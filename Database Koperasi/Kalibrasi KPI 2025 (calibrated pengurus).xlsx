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dw\Downloads\"/>
    </mc:Choice>
  </mc:AlternateContent>
  <xr:revisionPtr revIDLastSave="0" documentId="13_ncr:1_{EBCA65E5-27EA-47B2-87ED-30EB1EC7C69F}" xr6:coauthVersionLast="47" xr6:coauthVersionMax="47" xr10:uidLastSave="{00000000-0000-0000-0000-000000000000}"/>
  <bookViews>
    <workbookView xWindow="-110" yWindow="-110" windowWidth="19420" windowHeight="11020" firstSheet="4" activeTab="10" xr2:uid="{CF88CB0B-DD18-4444-9D9E-1A3B457E5754}"/>
  </bookViews>
  <sheets>
    <sheet name="Rekap Kalibrasi KPI" sheetId="6" r:id="rId1"/>
    <sheet name="PPh 21" sheetId="12" r:id="rId2"/>
    <sheet name="Dea A" sheetId="11" r:id="rId3"/>
    <sheet name="Fattah DP" sheetId="2" r:id="rId4"/>
    <sheet name="Yosida" sheetId="1" r:id="rId5"/>
    <sheet name="Shaidatun" sheetId="3" r:id="rId6"/>
    <sheet name="Vivi" sheetId="4" r:id="rId7"/>
    <sheet name="Annisa" sheetId="5" r:id="rId8"/>
    <sheet name="Sudarman" sheetId="7" r:id="rId9"/>
    <sheet name="Khambali" sheetId="8" r:id="rId10"/>
    <sheet name="Dafit" sheetId="10" r:id="rId11"/>
    <sheet name="Ismail" sheetId="9" r:id="rId12"/>
  </sheets>
  <definedNames>
    <definedName name="List1">#REF!</definedName>
    <definedName name="_xlnm.Print_Area" localSheetId="1">'PPh 21'!$A$1:$M$39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6" l="1"/>
  <c r="P29" i="12"/>
  <c r="O29" i="12"/>
  <c r="N29" i="12"/>
  <c r="G29" i="12"/>
  <c r="M28" i="12"/>
  <c r="M27" i="12"/>
  <c r="M26" i="12"/>
  <c r="M25" i="12"/>
  <c r="M24" i="12"/>
  <c r="M23" i="12"/>
  <c r="M22" i="12"/>
  <c r="M21" i="12"/>
  <c r="M20" i="12"/>
  <c r="Q19" i="12"/>
  <c r="M19" i="12"/>
  <c r="Q18" i="12"/>
  <c r="Q17" i="12"/>
  <c r="J17" i="12"/>
  <c r="I17" i="12"/>
  <c r="H17" i="12"/>
  <c r="L17" i="12" s="1"/>
  <c r="M17" i="12" s="1"/>
  <c r="F17" i="12"/>
  <c r="J16" i="12"/>
  <c r="I16" i="12"/>
  <c r="H16" i="12"/>
  <c r="F16" i="12"/>
  <c r="L16" i="12" s="1"/>
  <c r="M16" i="12" s="1"/>
  <c r="Q15" i="12"/>
  <c r="L15" i="12"/>
  <c r="M15" i="12" s="1"/>
  <c r="J15" i="12"/>
  <c r="I15" i="12"/>
  <c r="H15" i="12"/>
  <c r="F15" i="12"/>
  <c r="Q14" i="12"/>
  <c r="J14" i="12"/>
  <c r="I14" i="12"/>
  <c r="H14" i="12"/>
  <c r="F14" i="12"/>
  <c r="L14" i="12" s="1"/>
  <c r="M14" i="12" s="1"/>
  <c r="Q13" i="12"/>
  <c r="J13" i="12"/>
  <c r="I13" i="12"/>
  <c r="H13" i="12"/>
  <c r="F13" i="12"/>
  <c r="L13" i="12" s="1"/>
  <c r="M13" i="12" s="1"/>
  <c r="Q12" i="12"/>
  <c r="L12" i="12"/>
  <c r="M12" i="12" s="1"/>
  <c r="J12" i="12"/>
  <c r="I12" i="12"/>
  <c r="H12" i="12"/>
  <c r="F12" i="12"/>
  <c r="Q11" i="12"/>
  <c r="J11" i="12"/>
  <c r="I11" i="12"/>
  <c r="H11" i="12"/>
  <c r="F11" i="12"/>
  <c r="L11" i="12" s="1"/>
  <c r="M11" i="12" s="1"/>
  <c r="Q10" i="12"/>
  <c r="J10" i="12"/>
  <c r="I10" i="12"/>
  <c r="H10" i="12"/>
  <c r="F10" i="12"/>
  <c r="L10" i="12" s="1"/>
  <c r="M10" i="12" s="1"/>
  <c r="B10" i="12"/>
  <c r="B11" i="12" s="1"/>
  <c r="B12" i="12" s="1"/>
  <c r="B13" i="12" s="1"/>
  <c r="B14" i="12" s="1"/>
  <c r="B15" i="12" s="1"/>
  <c r="B16" i="12" s="1"/>
  <c r="B17" i="12" s="1"/>
  <c r="Q9" i="12"/>
  <c r="L9" i="12"/>
  <c r="M9" i="12" s="1"/>
  <c r="J9" i="12"/>
  <c r="I9" i="12"/>
  <c r="H9" i="12"/>
  <c r="F9" i="12"/>
  <c r="B9" i="12"/>
  <c r="Q8" i="12"/>
  <c r="Q29" i="12" s="1"/>
  <c r="J8" i="12"/>
  <c r="I8" i="12"/>
  <c r="H8" i="12"/>
  <c r="F8" i="12"/>
  <c r="L8" i="12" s="1"/>
  <c r="M8" i="12" s="1"/>
  <c r="M29" i="12" l="1"/>
  <c r="Q9" i="1" l="1"/>
  <c r="Q10" i="5"/>
  <c r="Q11" i="5"/>
  <c r="Q10" i="1"/>
  <c r="R13" i="11" l="1"/>
  <c r="D19" i="6" s="1"/>
  <c r="F19" i="6" l="1"/>
  <c r="R14" i="11"/>
  <c r="R11" i="11"/>
  <c r="R12" i="11" s="1"/>
  <c r="C19" i="6" s="1"/>
  <c r="Q9" i="7"/>
  <c r="Q12" i="3"/>
  <c r="Q9" i="4"/>
  <c r="F23" i="6"/>
  <c r="E25" i="6"/>
  <c r="F25" i="6" s="1"/>
  <c r="F24" i="6" l="1"/>
  <c r="E24" i="6"/>
  <c r="Q10" i="8" l="1"/>
  <c r="D20" i="6" s="1"/>
  <c r="F20" i="6" s="1"/>
  <c r="Q10" i="3"/>
  <c r="Q11" i="3" s="1"/>
  <c r="D15" i="6"/>
  <c r="F15" i="6" s="1"/>
  <c r="D22" i="6"/>
  <c r="F22" i="6" s="1"/>
  <c r="Q9" i="2"/>
  <c r="Q7" i="2"/>
  <c r="Q8" i="2" s="1"/>
  <c r="D23" i="6"/>
  <c r="C23" i="6"/>
  <c r="D21" i="6"/>
  <c r="C21" i="6"/>
  <c r="D16" i="6"/>
  <c r="Q11" i="9"/>
  <c r="Q10" i="9"/>
  <c r="Q11" i="10"/>
  <c r="Q10" i="10"/>
  <c r="Q11" i="8"/>
  <c r="Q10" i="7"/>
  <c r="Q7" i="7"/>
  <c r="Q8" i="7" s="1"/>
  <c r="C16" i="6" s="1"/>
  <c r="Q8" i="5"/>
  <c r="Q9" i="5" s="1"/>
  <c r="D14" i="6"/>
  <c r="F14" i="6" s="1"/>
  <c r="D18" i="6"/>
  <c r="F18" i="6" s="1"/>
  <c r="Q10" i="4"/>
  <c r="Q7" i="4"/>
  <c r="Q8" i="4" s="1"/>
  <c r="C18" i="6" s="1"/>
  <c r="F21" i="6"/>
  <c r="F16" i="6"/>
  <c r="D17" i="6"/>
  <c r="F17" i="6" s="1"/>
  <c r="Q13" i="3"/>
  <c r="Q10" i="2"/>
  <c r="Q8" i="9"/>
  <c r="Q9" i="9" s="1"/>
  <c r="Q8" i="10"/>
  <c r="Q9" i="10" s="1"/>
  <c r="Q8" i="8"/>
  <c r="Q9" i="8" s="1"/>
  <c r="C20" i="6" s="1"/>
  <c r="F12" i="6"/>
  <c r="F11" i="6"/>
  <c r="F10" i="6"/>
  <c r="F8" i="6"/>
  <c r="F7" i="6"/>
  <c r="F6" i="6"/>
  <c r="F26" i="6" l="1"/>
  <c r="F27" i="6" s="1"/>
  <c r="F29" i="6" s="1"/>
  <c r="C15" i="6"/>
  <c r="I17" i="6" s="1"/>
  <c r="C14" i="6"/>
  <c r="Q7" i="1"/>
  <c r="Q8" i="1" s="1"/>
  <c r="C17" i="6" s="1"/>
  <c r="C22" i="6" l="1"/>
</calcChain>
</file>

<file path=xl/sharedStrings.xml><?xml version="1.0" encoding="utf-8"?>
<sst xmlns="http://schemas.openxmlformats.org/spreadsheetml/2006/main" count="484" uniqueCount="161">
  <si>
    <t xml:space="preserve">KEY PERFORMANCE INDICATORS: </t>
  </si>
  <si>
    <t>Hasil Pekerjaan</t>
  </si>
  <si>
    <t>SLA</t>
  </si>
  <si>
    <t>Capaian</t>
  </si>
  <si>
    <t>Ketepatan waktu proses pengadaan</t>
  </si>
  <si>
    <t>Kegiatan</t>
  </si>
  <si>
    <t>2-3 Hari Kerja</t>
  </si>
  <si>
    <t>Kelengkapan dokumen pengadaan</t>
  </si>
  <si>
    <t>Dokumen</t>
  </si>
  <si>
    <t>1 Hari Kerja</t>
  </si>
  <si>
    <t>Ketepatan laporan pengadaan</t>
  </si>
  <si>
    <t>1 Hari Kerja (Setiap tanggal 5)</t>
  </si>
  <si>
    <t>Efisiensi anggaran pembelian</t>
  </si>
  <si>
    <t>TOTAL</t>
  </si>
  <si>
    <t>AVG</t>
  </si>
  <si>
    <t xml:space="preserve">SKALA CAPAIAN </t>
  </si>
  <si>
    <t>P5</t>
  </si>
  <si>
    <t>P4</t>
  </si>
  <si>
    <t>P3</t>
  </si>
  <si>
    <t>P2</t>
  </si>
  <si>
    <t>P1</t>
  </si>
  <si>
    <t>&lt;76</t>
  </si>
  <si>
    <t>Ketepatan dalam memeriksa dan menyusun dokumen perpajakan</t>
  </si>
  <si>
    <t>Ketepatan dalam input data</t>
  </si>
  <si>
    <t>Keselarasan pajak dengan catatan keuangan</t>
  </si>
  <si>
    <t>Kerapihan dan ketersediaan dokumen</t>
  </si>
  <si>
    <t>Arsip Keuangan</t>
  </si>
  <si>
    <t>Akurasi Pencatatan Transaksi</t>
  </si>
  <si>
    <t>Rekonsiliasi tepat waktu dan sesuai saldo</t>
  </si>
  <si>
    <t>Ketepatan dan kelengkapan update kertas kerja</t>
  </si>
  <si>
    <t>Ketepatan dalam pembuatan laporan keuangan dan perpajakan sesuai standar</t>
  </si>
  <si>
    <t xml:space="preserve">Ketepatan waktu proses pembayaran sesuai SOP </t>
  </si>
  <si>
    <t>Ketepatan transaksi kas beserta laporan</t>
  </si>
  <si>
    <t xml:space="preserve">Ketepatan laporan potongan atas pinjaman dan simpanan </t>
  </si>
  <si>
    <t>1 Hari Kerja (Maks tanggal 15 )</t>
  </si>
  <si>
    <t>Ketepatan pengelolaan dokumentasi dan arsip</t>
  </si>
  <si>
    <t>Ketepatan waktu dan akurasi penerbitan invoice</t>
  </si>
  <si>
    <t>Kesesuaian invoice dengan dokumen pendukung</t>
  </si>
  <si>
    <t>Ketepatan pencatatan invoice ke sistem</t>
  </si>
  <si>
    <t>Ketepatan monitoring status invoice</t>
  </si>
  <si>
    <t>Kerapihan dan kelengkapan arsip invoice</t>
  </si>
  <si>
    <t>PENGAWAS KOPERASI</t>
  </si>
  <si>
    <t>UNTUNG PRASETYO</t>
  </si>
  <si>
    <t>EVA SINTAULI SARAGIH</t>
  </si>
  <si>
    <t xml:space="preserve"> SUDIRO</t>
  </si>
  <si>
    <t>PENGURUS KOPERASI</t>
  </si>
  <si>
    <t>ADESTA MUNAS LATIEF</t>
  </si>
  <si>
    <t>MUHAMMAD ADITYO NUGROHO</t>
  </si>
  <si>
    <t>ANNISYAH FAZRIN</t>
  </si>
  <si>
    <t>PEGAWAI KOPERASI</t>
  </si>
  <si>
    <t>Annissa Fadillah</t>
  </si>
  <si>
    <t>Shaidatun Rohmah</t>
  </si>
  <si>
    <t>Sudarman</t>
  </si>
  <si>
    <t>Yosida Isdianawati</t>
  </si>
  <si>
    <t xml:space="preserve">Vivi Hazlinda </t>
  </si>
  <si>
    <t>Dea Adawiyah</t>
  </si>
  <si>
    <t>Khambali</t>
  </si>
  <si>
    <t>Dafit</t>
  </si>
  <si>
    <t>Fatah</t>
  </si>
  <si>
    <t>Ismail</t>
  </si>
  <si>
    <t>Nilai Akrual Insentif</t>
  </si>
  <si>
    <t>PENILAIAN KPI</t>
  </si>
  <si>
    <t>GAJI POKOK</t>
  </si>
  <si>
    <t>DESKRIPSI</t>
  </si>
  <si>
    <t>Ketepatan waktu penjemputan dan pengantaran mobil service</t>
  </si>
  <si>
    <t>Kepatuhan dan sikap pelayanan kepada klien</t>
  </si>
  <si>
    <t>Ketelitian pemeriksaan kendaraan</t>
  </si>
  <si>
    <t xml:space="preserve">Pelaporan dan pencatatan kendaraan </t>
  </si>
  <si>
    <t>Ketepatan waktu pelayanan fotocopy</t>
  </si>
  <si>
    <t>Pengelolaan bahan baku fotocopy</t>
  </si>
  <si>
    <t>Pelaporan dan pencatatan biaya dan pendapatan fotocopy</t>
  </si>
  <si>
    <t>Pemeliharaan dan perawatan mesin fotocopy</t>
  </si>
  <si>
    <t>Target Pendapatan</t>
  </si>
  <si>
    <t xml:space="preserve">1 Hari Kerja </t>
  </si>
  <si>
    <t>Target Penjualan</t>
  </si>
  <si>
    <t xml:space="preserve">Ketepatan waktu dan SOP </t>
  </si>
  <si>
    <t xml:space="preserve">Kepuasan pelanggan </t>
  </si>
  <si>
    <t>Pengelolaan stok barang</t>
  </si>
  <si>
    <t>Pelaporan pendapatan dan biaya BKI Mart</t>
  </si>
  <si>
    <t>109,9-108</t>
  </si>
  <si>
    <t>107,9-105</t>
  </si>
  <si>
    <t>104,9-102</t>
  </si>
  <si>
    <t>101,9-100,1</t>
  </si>
  <si>
    <t>99,9-90</t>
  </si>
  <si>
    <t>89,9-0</t>
  </si>
  <si>
    <t>AVG KPI</t>
  </si>
  <si>
    <t>RATE KPI</t>
  </si>
  <si>
    <t>Sisa</t>
  </si>
  <si>
    <t>Indah</t>
  </si>
  <si>
    <t>Wanda</t>
  </si>
  <si>
    <t>Melakukan analisa cashflow koperasi</t>
  </si>
  <si>
    <t>Pertumbuhan laba Koperasi</t>
  </si>
  <si>
    <t>Membuat Laporan RKAP dan Laporan Pertanggung jawaban Tahunan</t>
  </si>
  <si>
    <t>103,9-102</t>
  </si>
  <si>
    <t>105,9-104</t>
  </si>
  <si>
    <t>107,9-106</t>
  </si>
  <si>
    <t>PPh 21</t>
  </si>
  <si>
    <t>Selisih</t>
  </si>
  <si>
    <t>No.</t>
  </si>
  <si>
    <t>Nama Karyawan</t>
  </si>
  <si>
    <t>Status</t>
  </si>
  <si>
    <t>Kategori</t>
  </si>
  <si>
    <t>Penghasilan</t>
  </si>
  <si>
    <t>Tabel Tarif</t>
  </si>
  <si>
    <t>Jumlah PPh</t>
  </si>
  <si>
    <t>GAJI JULI</t>
  </si>
  <si>
    <t>GAJI 13</t>
  </si>
  <si>
    <t>NPWP</t>
  </si>
  <si>
    <t>Bruto</t>
  </si>
  <si>
    <t>Katgr</t>
  </si>
  <si>
    <t>TER</t>
  </si>
  <si>
    <t>A</t>
  </si>
  <si>
    <t>B</t>
  </si>
  <si>
    <t>C</t>
  </si>
  <si>
    <t>3172035105930006</t>
  </si>
  <si>
    <t>ANNISA FADHILLAH</t>
  </si>
  <si>
    <t>TK</t>
  </si>
  <si>
    <t>3302036709950001</t>
  </si>
  <si>
    <t>SHAIDATUN ROHMAH</t>
  </si>
  <si>
    <t>3275011011680014</t>
  </si>
  <si>
    <t>SUDARMAN</t>
  </si>
  <si>
    <t>K/0</t>
  </si>
  <si>
    <t>3174085610011001</t>
  </si>
  <si>
    <t>YOSIDA ISDIANAWATI</t>
  </si>
  <si>
    <t>3172046210970009</t>
  </si>
  <si>
    <t>VIVI HAZLINDA WIDIAWATI</t>
  </si>
  <si>
    <t>3175054505000001</t>
  </si>
  <si>
    <t>DEA ADAWIYAH</t>
  </si>
  <si>
    <t>3327013009890004</t>
  </si>
  <si>
    <t>KHAMBALI</t>
  </si>
  <si>
    <t>K/2</t>
  </si>
  <si>
    <t>3327012002000003</t>
  </si>
  <si>
    <t>DAFIT</t>
  </si>
  <si>
    <t>3216022608910003</t>
  </si>
  <si>
    <t>FATTAH DWI PUTRO H.</t>
  </si>
  <si>
    <t>3174050804980004</t>
  </si>
  <si>
    <t>ISMAIL SOLEH BARUS</t>
  </si>
  <si>
    <t>PEMOTONGAN</t>
  </si>
  <si>
    <t>3172036605990004</t>
  </si>
  <si>
    <t>WIDYA INDAH KUSTIANTI</t>
  </si>
  <si>
    <t>3172035105020006</t>
  </si>
  <si>
    <t>DIFA AUREL</t>
  </si>
  <si>
    <t>3271062606810017</t>
  </si>
  <si>
    <t>K/1</t>
  </si>
  <si>
    <t>2171104104759006</t>
  </si>
  <si>
    <t>TK/0</t>
  </si>
  <si>
    <t>3216022311840006</t>
  </si>
  <si>
    <t>SUDIRO</t>
  </si>
  <si>
    <t>3174012107910002</t>
  </si>
  <si>
    <t>3275032706900022</t>
  </si>
  <si>
    <t>3578185905950002</t>
  </si>
  <si>
    <t>ANISSYAH FAZRIN</t>
  </si>
  <si>
    <t>3172035610011002</t>
  </si>
  <si>
    <t>WANDA LESTARI</t>
  </si>
  <si>
    <t>Jakarta, 3 Februari 2026</t>
  </si>
  <si>
    <t>Mengetahui,</t>
  </si>
  <si>
    <t>Pembuat Daftar,</t>
  </si>
  <si>
    <t>( Dea Adawiyah )</t>
  </si>
  <si>
    <t>( Yosida Isdianawati )</t>
  </si>
  <si>
    <t>PERHITUNGAN PPH 21 TER MASA UNTUK INSENTIF</t>
  </si>
  <si>
    <t>Ketepatan dalam pembuatan laporan keuangan dan perpajakan sesuai PSAK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</si>
</sst>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_(* #,##0_);_(* \(#,##0\);_(* &quot;-&quot;??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33CCCC"/>
        <bgColor rgb="FF33CCCC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rgb="FF33CCCC"/>
      </patternFill>
    </fill>
    <fill>
      <patternFill patternType="solid">
        <fgColor theme="8" tint="-0.249977111117893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double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double">
        <color indexed="64"/>
      </top>
      <bottom/>
      <diagonal/>
    </border>
    <border>
      <left style="thin">
        <color theme="2" tint="-0.24994659260841701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2" tint="-0.24994659260841701"/>
      </right>
      <top/>
      <bottom style="thin">
        <color theme="0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indexed="64"/>
      </bottom>
      <diagonal/>
    </border>
    <border>
      <left style="thin">
        <color theme="2" tint="-0.24994659260841701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  <border>
      <left style="thin">
        <color indexed="64"/>
      </left>
      <right/>
      <top/>
      <bottom style="thin">
        <color theme="2" tint="-0.24994659260841701"/>
      </bottom>
      <diagonal/>
    </border>
    <border>
      <left/>
      <right/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10" fillId="0" borderId="0"/>
    <xf numFmtId="9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199">
    <xf numFmtId="0" fontId="0" fillId="0" borderId="0" xfId="0"/>
    <xf numFmtId="0" fontId="4" fillId="2" borderId="4" xfId="2" applyFont="1" applyFill="1" applyBorder="1" applyAlignment="1">
      <alignment vertical="center" wrapText="1"/>
    </xf>
    <xf numFmtId="0" fontId="4" fillId="2" borderId="5" xfId="2" applyFont="1" applyFill="1" applyBorder="1" applyAlignment="1">
      <alignment vertical="center" wrapText="1"/>
    </xf>
    <xf numFmtId="0" fontId="6" fillId="0" borderId="6" xfId="2" applyFont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6" fillId="0" borderId="12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 wrapText="1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6" fillId="0" borderId="16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left" vertical="center"/>
    </xf>
    <xf numFmtId="0" fontId="6" fillId="0" borderId="18" xfId="2" applyFont="1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2" fillId="0" borderId="10" xfId="0" applyFont="1" applyBorder="1" applyAlignment="1">
      <alignment horizontal="right"/>
    </xf>
    <xf numFmtId="0" fontId="0" fillId="0" borderId="10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0" xfId="1" applyNumberFormat="1" applyFont="1" applyBorder="1" applyAlignment="1">
      <alignment horizontal="center"/>
    </xf>
    <xf numFmtId="43" fontId="0" fillId="0" borderId="10" xfId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6" fillId="0" borderId="22" xfId="2" applyFont="1" applyBorder="1" applyAlignment="1">
      <alignment horizontal="center" vertical="center" wrapText="1"/>
    </xf>
    <xf numFmtId="0" fontId="6" fillId="0" borderId="29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left" vertical="center"/>
    </xf>
    <xf numFmtId="0" fontId="6" fillId="0" borderId="30" xfId="2" applyFont="1" applyBorder="1" applyAlignment="1">
      <alignment horizontal="center" vertical="center" wrapText="1"/>
    </xf>
    <xf numFmtId="0" fontId="9" fillId="0" borderId="17" xfId="2" applyFont="1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11" fillId="3" borderId="10" xfId="3" applyFont="1" applyFill="1" applyBorder="1" applyAlignment="1">
      <alignment vertical="center"/>
    </xf>
    <xf numFmtId="0" fontId="11" fillId="0" borderId="10" xfId="0" applyFont="1" applyBorder="1" applyAlignment="1">
      <alignment horizontal="center" vertical="center"/>
    </xf>
    <xf numFmtId="0" fontId="11" fillId="0" borderId="10" xfId="3" applyFont="1" applyBorder="1" applyAlignment="1">
      <alignment horizontal="left" vertical="center"/>
    </xf>
    <xf numFmtId="0" fontId="12" fillId="3" borderId="10" xfId="3" applyFont="1" applyFill="1" applyBorder="1" applyAlignment="1">
      <alignment vertical="center"/>
    </xf>
    <xf numFmtId="0" fontId="2" fillId="0" borderId="0" xfId="0" applyFont="1"/>
    <xf numFmtId="164" fontId="2" fillId="0" borderId="0" xfId="1" applyNumberFormat="1" applyFont="1"/>
    <xf numFmtId="0" fontId="0" fillId="0" borderId="10" xfId="0" applyBorder="1"/>
    <xf numFmtId="0" fontId="12" fillId="3" borderId="10" xfId="3" applyFont="1" applyFill="1" applyBorder="1" applyAlignment="1">
      <alignment horizontal="center" vertical="center"/>
    </xf>
    <xf numFmtId="0" fontId="0" fillId="3" borderId="10" xfId="0" applyFill="1" applyBorder="1"/>
    <xf numFmtId="164" fontId="0" fillId="0" borderId="10" xfId="1" applyNumberFormat="1" applyFont="1" applyBorder="1"/>
    <xf numFmtId="164" fontId="0" fillId="3" borderId="10" xfId="1" applyNumberFormat="1" applyFont="1" applyFill="1" applyBorder="1"/>
    <xf numFmtId="164" fontId="0" fillId="0" borderId="10" xfId="0" applyNumberFormat="1" applyBorder="1"/>
    <xf numFmtId="164" fontId="0" fillId="0" borderId="0" xfId="0" applyNumberFormat="1"/>
    <xf numFmtId="0" fontId="2" fillId="0" borderId="33" xfId="0" applyFont="1" applyBorder="1" applyAlignment="1">
      <alignment horizontal="right"/>
    </xf>
    <xf numFmtId="0" fontId="0" fillId="0" borderId="33" xfId="0" applyBorder="1" applyAlignment="1">
      <alignment horizontal="center"/>
    </xf>
    <xf numFmtId="0" fontId="6" fillId="0" borderId="19" xfId="2" applyFont="1" applyBorder="1" applyAlignment="1">
      <alignment horizontal="left" vertical="center"/>
    </xf>
    <xf numFmtId="43" fontId="0" fillId="0" borderId="10" xfId="1" applyFont="1" applyBorder="1" applyAlignment="1">
      <alignment horizontal="center"/>
    </xf>
    <xf numFmtId="0" fontId="2" fillId="0" borderId="0" xfId="0" applyFont="1" applyAlignment="1">
      <alignment horizontal="right"/>
    </xf>
    <xf numFmtId="164" fontId="0" fillId="0" borderId="0" xfId="0" applyNumberFormat="1" applyAlignment="1">
      <alignment horizontal="center"/>
    </xf>
    <xf numFmtId="2" fontId="0" fillId="0" borderId="10" xfId="0" applyNumberFormat="1" applyBorder="1"/>
    <xf numFmtId="2" fontId="0" fillId="3" borderId="10" xfId="0" applyNumberFormat="1" applyFill="1" applyBorder="1"/>
    <xf numFmtId="164" fontId="2" fillId="0" borderId="0" xfId="0" applyNumberFormat="1" applyFont="1"/>
    <xf numFmtId="2" fontId="0" fillId="0" borderId="0" xfId="0" applyNumberFormat="1"/>
    <xf numFmtId="43" fontId="0" fillId="0" borderId="0" xfId="1" applyFont="1"/>
    <xf numFmtId="0" fontId="5" fillId="0" borderId="0" xfId="2" applyFont="1"/>
    <xf numFmtId="0" fontId="5" fillId="0" borderId="37" xfId="2" applyFont="1" applyBorder="1"/>
    <xf numFmtId="9" fontId="0" fillId="0" borderId="0" xfId="4" applyFont="1"/>
    <xf numFmtId="10" fontId="0" fillId="0" borderId="0" xfId="4" applyNumberFormat="1" applyFont="1" applyAlignment="1">
      <alignment wrapText="1"/>
    </xf>
    <xf numFmtId="165" fontId="0" fillId="0" borderId="0" xfId="4" applyNumberFormat="1" applyFont="1"/>
    <xf numFmtId="164" fontId="0" fillId="0" borderId="0" xfId="1" applyNumberFormat="1" applyFont="1"/>
    <xf numFmtId="164" fontId="1" fillId="0" borderId="0" xfId="5" applyNumberFormat="1" applyFont="1"/>
    <xf numFmtId="0" fontId="1" fillId="0" borderId="0" xfId="3" applyFont="1"/>
    <xf numFmtId="0" fontId="1" fillId="0" borderId="0" xfId="3" applyFont="1" applyAlignment="1">
      <alignment horizontal="left"/>
    </xf>
    <xf numFmtId="166" fontId="18" fillId="4" borderId="42" xfId="5" applyNumberFormat="1" applyFont="1" applyFill="1" applyBorder="1" applyAlignment="1">
      <alignment horizontal="left" vertical="center"/>
    </xf>
    <xf numFmtId="166" fontId="18" fillId="4" borderId="44" xfId="5" applyNumberFormat="1" applyFont="1" applyFill="1" applyBorder="1" applyAlignment="1">
      <alignment horizontal="center" vertical="center" wrapText="1"/>
    </xf>
    <xf numFmtId="0" fontId="19" fillId="0" borderId="0" xfId="3" applyFont="1" applyAlignment="1">
      <alignment vertical="center"/>
    </xf>
    <xf numFmtId="0" fontId="18" fillId="4" borderId="48" xfId="3" applyFont="1" applyFill="1" applyBorder="1" applyAlignment="1">
      <alignment horizontal="center" vertical="center" wrapText="1"/>
    </xf>
    <xf numFmtId="0" fontId="2" fillId="0" borderId="0" xfId="3" applyFont="1"/>
    <xf numFmtId="166" fontId="18" fillId="4" borderId="0" xfId="5" applyNumberFormat="1" applyFont="1" applyFill="1" applyBorder="1" applyAlignment="1">
      <alignment horizontal="left" vertical="center"/>
    </xf>
    <xf numFmtId="0" fontId="18" fillId="4" borderId="51" xfId="3" applyFont="1" applyFill="1" applyBorder="1" applyAlignment="1">
      <alignment horizontal="center" vertical="center" wrapText="1"/>
    </xf>
    <xf numFmtId="166" fontId="18" fillId="4" borderId="52" xfId="5" applyNumberFormat="1" applyFont="1" applyFill="1" applyBorder="1" applyAlignment="1">
      <alignment horizontal="center" vertical="center" wrapText="1"/>
    </xf>
    <xf numFmtId="166" fontId="18" fillId="4" borderId="54" xfId="5" applyNumberFormat="1" applyFont="1" applyFill="1" applyBorder="1" applyAlignment="1">
      <alignment horizontal="left" vertical="center"/>
    </xf>
    <xf numFmtId="0" fontId="18" fillId="4" borderId="55" xfId="3" applyFont="1" applyFill="1" applyBorder="1" applyAlignment="1">
      <alignment horizontal="center" vertical="center" wrapText="1"/>
    </xf>
    <xf numFmtId="166" fontId="18" fillId="4" borderId="56" xfId="5" applyNumberFormat="1" applyFont="1" applyFill="1" applyBorder="1" applyAlignment="1">
      <alignment horizontal="center" vertical="center" wrapText="1"/>
    </xf>
    <xf numFmtId="0" fontId="18" fillId="5" borderId="0" xfId="6" applyNumberFormat="1" applyFont="1" applyFill="1" applyBorder="1" applyAlignment="1">
      <alignment horizontal="center" vertical="center"/>
    </xf>
    <xf numFmtId="0" fontId="18" fillId="5" borderId="0" xfId="6" applyNumberFormat="1" applyFont="1" applyFill="1" applyBorder="1" applyAlignment="1">
      <alignment horizontal="left" vertical="center"/>
    </xf>
    <xf numFmtId="0" fontId="20" fillId="5" borderId="0" xfId="6" applyNumberFormat="1" applyFont="1" applyFill="1" applyAlignment="1">
      <alignment horizontal="center" vertical="center"/>
    </xf>
    <xf numFmtId="0" fontId="16" fillId="0" borderId="0" xfId="5" applyNumberFormat="1" applyFont="1" applyFill="1" applyBorder="1" applyAlignment="1" applyProtection="1">
      <alignment horizontal="center" vertical="center"/>
    </xf>
    <xf numFmtId="1" fontId="16" fillId="0" borderId="0" xfId="5" quotePrefix="1" applyNumberFormat="1" applyFont="1" applyFill="1" applyBorder="1" applyAlignment="1" applyProtection="1">
      <alignment horizontal="left" vertical="center"/>
    </xf>
    <xf numFmtId="0" fontId="16" fillId="0" borderId="0" xfId="6" applyNumberFormat="1" applyFont="1" applyFill="1" applyBorder="1" applyAlignment="1" applyProtection="1">
      <alignment horizontal="left" vertical="center"/>
    </xf>
    <xf numFmtId="0" fontId="16" fillId="0" borderId="0" xfId="6" applyNumberFormat="1" applyFont="1" applyFill="1" applyBorder="1" applyAlignment="1" applyProtection="1">
      <alignment horizontal="center" vertical="center"/>
    </xf>
    <xf numFmtId="166" fontId="16" fillId="0" borderId="0" xfId="5" applyNumberFormat="1" applyFont="1" applyFill="1" applyBorder="1" applyAlignment="1">
      <alignment horizontal="right" vertical="center"/>
    </xf>
    <xf numFmtId="10" fontId="16" fillId="0" borderId="0" xfId="7" quotePrefix="1" applyNumberFormat="1" applyFont="1" applyFill="1" applyAlignment="1">
      <alignment horizontal="right"/>
    </xf>
    <xf numFmtId="10" fontId="16" fillId="0" borderId="0" xfId="7" quotePrefix="1" applyNumberFormat="1" applyFont="1" applyFill="1"/>
    <xf numFmtId="166" fontId="16" fillId="0" borderId="0" xfId="5" applyNumberFormat="1" applyFont="1" applyFill="1" applyBorder="1" applyAlignment="1">
      <alignment horizontal="center" vertical="center"/>
    </xf>
    <xf numFmtId="166" fontId="16" fillId="3" borderId="57" xfId="5" applyNumberFormat="1" applyFont="1" applyFill="1" applyBorder="1" applyAlignment="1">
      <alignment horizontal="center" vertical="center"/>
    </xf>
    <xf numFmtId="164" fontId="1" fillId="0" borderId="0" xfId="3" applyNumberFormat="1" applyFont="1"/>
    <xf numFmtId="166" fontId="14" fillId="0" borderId="0" xfId="3" applyNumberFormat="1" applyFont="1"/>
    <xf numFmtId="166" fontId="14" fillId="3" borderId="0" xfId="3" applyNumberFormat="1" applyFont="1" applyFill="1"/>
    <xf numFmtId="0" fontId="20" fillId="0" borderId="0" xfId="5" applyNumberFormat="1" applyFont="1" applyFill="1" applyBorder="1" applyAlignment="1" applyProtection="1">
      <alignment horizontal="center" vertical="center"/>
    </xf>
    <xf numFmtId="1" fontId="1" fillId="0" borderId="0" xfId="3" quotePrefix="1" applyNumberFormat="1" applyFont="1" applyAlignment="1">
      <alignment horizontal="left"/>
    </xf>
    <xf numFmtId="0" fontId="20" fillId="0" borderId="0" xfId="6" applyNumberFormat="1" applyFont="1" applyFill="1" applyBorder="1" applyAlignment="1" applyProtection="1">
      <alignment horizontal="left" vertical="center"/>
    </xf>
    <xf numFmtId="0" fontId="20" fillId="0" borderId="0" xfId="6" applyNumberFormat="1" applyFont="1" applyFill="1" applyBorder="1" applyAlignment="1" applyProtection="1">
      <alignment horizontal="center" vertical="center"/>
    </xf>
    <xf numFmtId="166" fontId="20" fillId="0" borderId="0" xfId="5" applyNumberFormat="1" applyFont="1" applyFill="1" applyBorder="1" applyAlignment="1">
      <alignment horizontal="right" vertical="center"/>
    </xf>
    <xf numFmtId="10" fontId="20" fillId="0" borderId="0" xfId="7" quotePrefix="1" applyNumberFormat="1" applyFont="1" applyFill="1" applyAlignment="1">
      <alignment horizontal="right"/>
    </xf>
    <xf numFmtId="10" fontId="20" fillId="0" borderId="0" xfId="7" quotePrefix="1" applyNumberFormat="1" applyFont="1" applyFill="1"/>
    <xf numFmtId="166" fontId="20" fillId="3" borderId="57" xfId="5" applyNumberFormat="1" applyFont="1" applyFill="1" applyBorder="1" applyAlignment="1">
      <alignment horizontal="center" vertical="center"/>
    </xf>
    <xf numFmtId="0" fontId="21" fillId="4" borderId="0" xfId="5" applyNumberFormat="1" applyFont="1" applyFill="1" applyBorder="1" applyAlignment="1" applyProtection="1">
      <alignment horizontal="center" vertical="center"/>
    </xf>
    <xf numFmtId="1" fontId="15" fillId="4" borderId="0" xfId="3" applyNumberFormat="1" applyFont="1" applyFill="1" applyAlignment="1">
      <alignment horizontal="left"/>
    </xf>
    <xf numFmtId="0" fontId="15" fillId="4" borderId="0" xfId="3" applyFont="1" applyFill="1"/>
    <xf numFmtId="0" fontId="21" fillId="4" borderId="0" xfId="6" applyNumberFormat="1" applyFont="1" applyFill="1" applyBorder="1" applyAlignment="1" applyProtection="1">
      <alignment horizontal="left" vertical="center"/>
    </xf>
    <xf numFmtId="0" fontId="21" fillId="4" borderId="0" xfId="6" applyNumberFormat="1" applyFont="1" applyFill="1" applyBorder="1" applyAlignment="1" applyProtection="1">
      <alignment horizontal="center" vertical="center"/>
    </xf>
    <xf numFmtId="166" fontId="21" fillId="4" borderId="0" xfId="5" applyNumberFormat="1" applyFont="1" applyFill="1" applyBorder="1" applyAlignment="1">
      <alignment horizontal="right" vertical="center"/>
    </xf>
    <xf numFmtId="10" fontId="18" fillId="4" borderId="0" xfId="7" quotePrefix="1" applyNumberFormat="1" applyFont="1" applyFill="1" applyAlignment="1"/>
    <xf numFmtId="164" fontId="20" fillId="0" borderId="0" xfId="5" quotePrefix="1" applyNumberFormat="1" applyFont="1" applyAlignment="1"/>
    <xf numFmtId="166" fontId="1" fillId="0" borderId="0" xfId="3" applyNumberFormat="1" applyFont="1"/>
    <xf numFmtId="0" fontId="1" fillId="0" borderId="0" xfId="3" quotePrefix="1" applyFont="1" applyAlignment="1">
      <alignment horizontal="left"/>
    </xf>
    <xf numFmtId="9" fontId="1" fillId="0" borderId="0" xfId="3" applyNumberFormat="1" applyFont="1"/>
    <xf numFmtId="166" fontId="2" fillId="0" borderId="0" xfId="3" applyNumberFormat="1" applyFont="1"/>
    <xf numFmtId="166" fontId="22" fillId="3" borderId="0" xfId="3" applyNumberFormat="1" applyFont="1" applyFill="1"/>
    <xf numFmtId="0" fontId="1" fillId="0" borderId="0" xfId="3" quotePrefix="1" applyFont="1" applyAlignment="1">
      <alignment horizontal="left" vertical="center"/>
    </xf>
    <xf numFmtId="0" fontId="1" fillId="0" borderId="0" xfId="3" applyFont="1" applyAlignment="1">
      <alignment wrapText="1"/>
    </xf>
    <xf numFmtId="0" fontId="1" fillId="0" borderId="0" xfId="3" applyFont="1" applyAlignment="1">
      <alignment vertical="center"/>
    </xf>
    <xf numFmtId="9" fontId="1" fillId="0" borderId="0" xfId="3" applyNumberFormat="1" applyFont="1" applyAlignment="1">
      <alignment horizontal="right" vertical="center"/>
    </xf>
    <xf numFmtId="166" fontId="22" fillId="3" borderId="0" xfId="3" applyNumberFormat="1" applyFont="1" applyFill="1" applyAlignment="1">
      <alignment vertical="center"/>
    </xf>
    <xf numFmtId="0" fontId="20" fillId="6" borderId="0" xfId="5" applyNumberFormat="1" applyFont="1" applyFill="1" applyBorder="1" applyAlignment="1" applyProtection="1">
      <alignment horizontal="center" vertical="center"/>
    </xf>
    <xf numFmtId="0" fontId="1" fillId="6" borderId="0" xfId="3" quotePrefix="1" applyFont="1" applyFill="1" applyAlignment="1">
      <alignment horizontal="left"/>
    </xf>
    <xf numFmtId="0" fontId="1" fillId="6" borderId="0" xfId="3" applyFont="1" applyFill="1"/>
    <xf numFmtId="166" fontId="20" fillId="6" borderId="0" xfId="5" applyNumberFormat="1" applyFont="1" applyFill="1" applyBorder="1" applyAlignment="1">
      <alignment horizontal="right" vertical="center"/>
    </xf>
    <xf numFmtId="9" fontId="1" fillId="6" borderId="0" xfId="3" applyNumberFormat="1" applyFont="1" applyFill="1"/>
    <xf numFmtId="166" fontId="2" fillId="6" borderId="0" xfId="3" applyNumberFormat="1" applyFont="1" applyFill="1"/>
    <xf numFmtId="166" fontId="2" fillId="7" borderId="0" xfId="3" applyNumberFormat="1" applyFont="1" applyFill="1"/>
    <xf numFmtId="166" fontId="2" fillId="3" borderId="0" xfId="3" applyNumberFormat="1" applyFont="1" applyFill="1"/>
    <xf numFmtId="0" fontId="12" fillId="3" borderId="26" xfId="3" applyFont="1" applyFill="1" applyBorder="1" applyAlignment="1">
      <alignment horizontal="center" vertical="center"/>
    </xf>
    <xf numFmtId="0" fontId="12" fillId="3" borderId="27" xfId="3" applyFont="1" applyFill="1" applyBorder="1" applyAlignment="1">
      <alignment horizontal="center" vertical="center"/>
    </xf>
    <xf numFmtId="0" fontId="12" fillId="3" borderId="28" xfId="3" applyFont="1" applyFill="1" applyBorder="1" applyAlignment="1">
      <alignment horizontal="center" vertical="center"/>
    </xf>
    <xf numFmtId="164" fontId="13" fillId="0" borderId="49" xfId="5" applyNumberFormat="1" applyFont="1" applyBorder="1" applyAlignment="1">
      <alignment horizontal="center" vertical="center"/>
    </xf>
    <xf numFmtId="164" fontId="13" fillId="0" borderId="0" xfId="5" applyNumberFormat="1" applyFont="1" applyAlignment="1">
      <alignment horizontal="center" vertical="center"/>
    </xf>
    <xf numFmtId="164" fontId="2" fillId="0" borderId="0" xfId="5" applyNumberFormat="1" applyFont="1" applyAlignment="1">
      <alignment horizontal="center" vertical="center"/>
    </xf>
    <xf numFmtId="0" fontId="13" fillId="0" borderId="0" xfId="3" applyFont="1" applyAlignment="1">
      <alignment horizontal="center" vertical="center"/>
    </xf>
    <xf numFmtId="10" fontId="21" fillId="4" borderId="0" xfId="7" quotePrefix="1" applyNumberFormat="1" applyFont="1" applyFill="1" applyAlignment="1">
      <alignment horizontal="center"/>
    </xf>
    <xf numFmtId="0" fontId="17" fillId="0" borderId="0" xfId="3" applyFont="1" applyAlignment="1">
      <alignment horizontal="center" vertical="center"/>
    </xf>
    <xf numFmtId="166" fontId="18" fillId="4" borderId="41" xfId="5" applyNumberFormat="1" applyFont="1" applyFill="1" applyBorder="1" applyAlignment="1">
      <alignment horizontal="center" vertical="center"/>
    </xf>
    <xf numFmtId="166" fontId="18" fillId="4" borderId="50" xfId="5" applyNumberFormat="1" applyFont="1" applyFill="1" applyBorder="1" applyAlignment="1">
      <alignment horizontal="center" vertical="center"/>
    </xf>
    <xf numFmtId="166" fontId="18" fillId="4" borderId="53" xfId="5" applyNumberFormat="1" applyFont="1" applyFill="1" applyBorder="1" applyAlignment="1">
      <alignment horizontal="center" vertical="center"/>
    </xf>
    <xf numFmtId="0" fontId="18" fillId="4" borderId="43" xfId="3" applyFont="1" applyFill="1" applyBorder="1" applyAlignment="1">
      <alignment horizontal="center" vertical="center" wrapText="1"/>
    </xf>
    <xf numFmtId="0" fontId="18" fillId="4" borderId="51" xfId="3" applyFont="1" applyFill="1" applyBorder="1" applyAlignment="1">
      <alignment horizontal="center" vertical="center" wrapText="1"/>
    </xf>
    <xf numFmtId="0" fontId="18" fillId="4" borderId="55" xfId="3" applyFont="1" applyFill="1" applyBorder="1" applyAlignment="1">
      <alignment horizontal="center" vertical="center" wrapText="1"/>
    </xf>
    <xf numFmtId="166" fontId="18" fillId="4" borderId="44" xfId="5" applyNumberFormat="1" applyFont="1" applyFill="1" applyBorder="1" applyAlignment="1">
      <alignment horizontal="center" vertical="center"/>
    </xf>
    <xf numFmtId="166" fontId="18" fillId="4" borderId="52" xfId="5" applyNumberFormat="1" applyFont="1" applyFill="1" applyBorder="1" applyAlignment="1">
      <alignment horizontal="center" vertical="center"/>
    </xf>
    <xf numFmtId="166" fontId="18" fillId="4" borderId="56" xfId="5" applyNumberFormat="1" applyFont="1" applyFill="1" applyBorder="1" applyAlignment="1">
      <alignment horizontal="center" vertical="center"/>
    </xf>
    <xf numFmtId="166" fontId="18" fillId="4" borderId="44" xfId="5" applyNumberFormat="1" applyFont="1" applyFill="1" applyBorder="1" applyAlignment="1">
      <alignment horizontal="center" vertical="center" wrapText="1"/>
    </xf>
    <xf numFmtId="166" fontId="18" fillId="4" borderId="52" xfId="5" applyNumberFormat="1" applyFont="1" applyFill="1" applyBorder="1" applyAlignment="1">
      <alignment horizontal="center" vertical="center" wrapText="1"/>
    </xf>
    <xf numFmtId="166" fontId="18" fillId="4" borderId="56" xfId="5" applyNumberFormat="1" applyFont="1" applyFill="1" applyBorder="1" applyAlignment="1">
      <alignment horizontal="center" vertical="center" wrapText="1"/>
    </xf>
    <xf numFmtId="0" fontId="18" fillId="4" borderId="45" xfId="3" applyFont="1" applyFill="1" applyBorder="1" applyAlignment="1">
      <alignment horizontal="center" vertical="center" wrapText="1"/>
    </xf>
    <xf numFmtId="0" fontId="18" fillId="4" borderId="46" xfId="3" applyFont="1" applyFill="1" applyBorder="1" applyAlignment="1">
      <alignment horizontal="center" vertical="center" wrapText="1"/>
    </xf>
    <xf numFmtId="0" fontId="18" fillId="4" borderId="47" xfId="3" applyFont="1" applyFill="1" applyBorder="1" applyAlignment="1">
      <alignment horizontal="center" vertical="center" wrapText="1"/>
    </xf>
    <xf numFmtId="0" fontId="18" fillId="4" borderId="48" xfId="3" applyFont="1" applyFill="1" applyBorder="1" applyAlignment="1">
      <alignment horizontal="center" vertical="center" wrapText="1"/>
    </xf>
    <xf numFmtId="164" fontId="0" fillId="0" borderId="26" xfId="1" applyNumberFormat="1" applyFont="1" applyBorder="1" applyAlignment="1">
      <alignment horizontal="center"/>
    </xf>
    <xf numFmtId="164" fontId="0" fillId="0" borderId="27" xfId="1" applyNumberFormat="1" applyFont="1" applyBorder="1" applyAlignment="1">
      <alignment horizontal="center"/>
    </xf>
    <xf numFmtId="164" fontId="0" fillId="0" borderId="28" xfId="1" applyNumberFormat="1" applyFont="1" applyBorder="1" applyAlignment="1">
      <alignment horizontal="center"/>
    </xf>
    <xf numFmtId="0" fontId="4" fillId="2" borderId="1" xfId="2" applyFont="1" applyFill="1" applyBorder="1" applyAlignment="1">
      <alignment vertical="center" wrapText="1"/>
    </xf>
    <xf numFmtId="0" fontId="5" fillId="0" borderId="2" xfId="2" applyFont="1" applyBorder="1"/>
    <xf numFmtId="0" fontId="5" fillId="0" borderId="3" xfId="2" applyFont="1" applyBorder="1"/>
    <xf numFmtId="0" fontId="7" fillId="0" borderId="7" xfId="2" applyFont="1" applyBorder="1" applyAlignment="1">
      <alignment horizontal="left" vertical="center" wrapText="1"/>
    </xf>
    <xf numFmtId="0" fontId="7" fillId="0" borderId="8" xfId="2" applyFont="1" applyBorder="1" applyAlignment="1">
      <alignment horizontal="left" vertical="center" wrapText="1"/>
    </xf>
    <xf numFmtId="0" fontId="5" fillId="0" borderId="8" xfId="2" applyFont="1" applyBorder="1"/>
    <xf numFmtId="0" fontId="5" fillId="0" borderId="9" xfId="2" applyFont="1" applyBorder="1"/>
    <xf numFmtId="0" fontId="7" fillId="0" borderId="38" xfId="2" applyFont="1" applyBorder="1" applyAlignment="1">
      <alignment horizontal="left" vertical="center" wrapText="1"/>
    </xf>
    <xf numFmtId="0" fontId="7" fillId="0" borderId="39" xfId="2" applyFont="1" applyBorder="1" applyAlignment="1">
      <alignment horizontal="left" vertical="center" wrapText="1"/>
    </xf>
    <xf numFmtId="0" fontId="6" fillId="0" borderId="40" xfId="2" applyFont="1" applyBorder="1" applyAlignment="1">
      <alignment horizontal="left" vertical="center"/>
    </xf>
    <xf numFmtId="0" fontId="6" fillId="0" borderId="35" xfId="2" applyFont="1" applyBorder="1" applyAlignment="1">
      <alignment horizontal="left" vertical="center"/>
    </xf>
    <xf numFmtId="0" fontId="7" fillId="0" borderId="23" xfId="2" applyFont="1" applyBorder="1" applyAlignment="1">
      <alignment horizontal="left" vertical="center" wrapText="1"/>
    </xf>
    <xf numFmtId="0" fontId="5" fillId="0" borderId="24" xfId="2" applyFont="1" applyBorder="1"/>
    <xf numFmtId="0" fontId="5" fillId="0" borderId="25" xfId="2" applyFont="1" applyBorder="1"/>
    <xf numFmtId="0" fontId="7" fillId="0" borderId="19" xfId="2" applyFont="1" applyBorder="1" applyAlignment="1">
      <alignment horizontal="left" vertical="center" wrapText="1"/>
    </xf>
    <xf numFmtId="0" fontId="5" fillId="0" borderId="19" xfId="2" applyFont="1" applyBorder="1"/>
    <xf numFmtId="0" fontId="8" fillId="0" borderId="7" xfId="2" applyFont="1" applyBorder="1" applyAlignment="1">
      <alignment horizontal="left" vertical="center" wrapText="1"/>
    </xf>
    <xf numFmtId="0" fontId="8" fillId="0" borderId="23" xfId="2" applyFont="1" applyBorder="1" applyAlignment="1">
      <alignment horizontal="left" vertical="center" wrapText="1"/>
    </xf>
    <xf numFmtId="0" fontId="9" fillId="0" borderId="26" xfId="2" applyFont="1" applyBorder="1" applyAlignment="1">
      <alignment horizontal="left" vertical="center"/>
    </xf>
    <xf numFmtId="0" fontId="9" fillId="0" borderId="27" xfId="2" applyFont="1" applyBorder="1" applyAlignment="1">
      <alignment horizontal="left" vertical="center"/>
    </xf>
    <xf numFmtId="0" fontId="9" fillId="0" borderId="28" xfId="2" applyFont="1" applyBorder="1" applyAlignment="1">
      <alignment horizontal="left" vertical="center"/>
    </xf>
    <xf numFmtId="0" fontId="9" fillId="0" borderId="34" xfId="2" applyFont="1" applyBorder="1" applyAlignment="1">
      <alignment horizontal="left" vertical="center"/>
    </xf>
    <xf numFmtId="0" fontId="9" fillId="0" borderId="35" xfId="2" applyFont="1" applyBorder="1" applyAlignment="1">
      <alignment horizontal="left" vertical="center"/>
    </xf>
    <xf numFmtId="0" fontId="9" fillId="0" borderId="36" xfId="2" applyFont="1" applyBorder="1" applyAlignment="1">
      <alignment horizontal="left" vertical="center"/>
    </xf>
    <xf numFmtId="164" fontId="0" fillId="0" borderId="10" xfId="1" applyNumberFormat="1" applyFont="1" applyFill="1" applyBorder="1" applyAlignment="1">
      <alignment horizontal="center"/>
    </xf>
    <xf numFmtId="164" fontId="0" fillId="0" borderId="26" xfId="1" applyNumberFormat="1" applyFont="1" applyFill="1" applyBorder="1" applyAlignment="1">
      <alignment horizontal="center" wrapText="1"/>
    </xf>
    <xf numFmtId="164" fontId="0" fillId="0" borderId="27" xfId="1" applyNumberFormat="1" applyFont="1" applyFill="1" applyBorder="1" applyAlignment="1">
      <alignment horizontal="center" wrapText="1"/>
    </xf>
    <xf numFmtId="164" fontId="0" fillId="0" borderId="28" xfId="1" applyNumberFormat="1" applyFont="1" applyFill="1" applyBorder="1" applyAlignment="1">
      <alignment horizontal="center" wrapText="1"/>
    </xf>
    <xf numFmtId="0" fontId="0" fillId="0" borderId="0" xfId="0" applyFill="1"/>
    <xf numFmtId="43" fontId="0" fillId="0" borderId="10" xfId="1" applyFont="1" applyFill="1" applyBorder="1" applyAlignment="1">
      <alignment horizontal="center" vertical="center"/>
    </xf>
    <xf numFmtId="164" fontId="0" fillId="0" borderId="10" xfId="1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0" borderId="0" xfId="2" applyFont="1" applyBorder="1" applyAlignment="1">
      <alignment horizontal="center" vertical="center" wrapText="1"/>
    </xf>
    <xf numFmtId="0" fontId="6" fillId="0" borderId="0" xfId="2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58" xfId="0" applyBorder="1" applyAlignment="1">
      <alignment horizontal="center" vertical="center"/>
    </xf>
    <xf numFmtId="0" fontId="23" fillId="8" borderId="21" xfId="2" applyFont="1" applyFill="1" applyBorder="1" applyAlignment="1">
      <alignment vertical="center" wrapText="1"/>
    </xf>
    <xf numFmtId="0" fontId="0" fillId="0" borderId="59" xfId="0" applyBorder="1" applyAlignment="1">
      <alignment horizontal="left" vertical="center"/>
    </xf>
    <xf numFmtId="0" fontId="23" fillId="8" borderId="10" xfId="2" applyFont="1" applyFill="1" applyBorder="1" applyAlignment="1">
      <alignment vertical="center" wrapText="1"/>
    </xf>
    <xf numFmtId="0" fontId="24" fillId="9" borderId="10" xfId="2" applyFont="1" applyFill="1" applyBorder="1"/>
    <xf numFmtId="0" fontId="23" fillId="8" borderId="10" xfId="2" applyFont="1" applyFill="1" applyBorder="1" applyAlignment="1">
      <alignment vertical="center" wrapText="1"/>
    </xf>
    <xf numFmtId="0" fontId="6" fillId="0" borderId="10" xfId="2" applyFont="1" applyBorder="1" applyAlignment="1">
      <alignment horizontal="center" vertical="center" wrapText="1"/>
    </xf>
    <xf numFmtId="0" fontId="7" fillId="0" borderId="10" xfId="2" applyFont="1" applyBorder="1" applyAlignment="1">
      <alignment horizontal="left" vertical="center" wrapText="1"/>
    </xf>
    <xf numFmtId="0" fontId="5" fillId="0" borderId="10" xfId="2" applyFont="1" applyBorder="1"/>
    <xf numFmtId="0" fontId="6" fillId="0" borderId="10" xfId="2" applyFont="1" applyBorder="1" applyAlignment="1">
      <alignment horizontal="left" vertical="center" wrapText="1"/>
    </xf>
    <xf numFmtId="0" fontId="6" fillId="0" borderId="26" xfId="2" applyFont="1" applyBorder="1" applyAlignment="1">
      <alignment horizontal="left" vertical="center"/>
    </xf>
    <xf numFmtId="0" fontId="6" fillId="0" borderId="27" xfId="2" applyFont="1" applyBorder="1" applyAlignment="1">
      <alignment horizontal="left" vertical="center"/>
    </xf>
    <xf numFmtId="0" fontId="6" fillId="0" borderId="28" xfId="2" applyFont="1" applyBorder="1" applyAlignment="1">
      <alignment horizontal="left" vertical="center"/>
    </xf>
  </cellXfs>
  <cellStyles count="8">
    <cellStyle name="Comma" xfId="1" builtinId="3"/>
    <cellStyle name="Comma [0] 2" xfId="6" xr:uid="{57B5FE1C-4284-49ED-9859-3D72489E9106}"/>
    <cellStyle name="Comma 2" xfId="5" xr:uid="{5EDB77BD-1DD1-4935-8EF4-9187A9CFC6E8}"/>
    <cellStyle name="Normal" xfId="0" builtinId="0"/>
    <cellStyle name="Normal 2" xfId="2" xr:uid="{43391ED1-4C32-442B-9680-B522A31C9164}"/>
    <cellStyle name="Normal 3" xfId="3" xr:uid="{46276C2A-A7F3-4E57-8D31-E98ED018A653}"/>
    <cellStyle name="Percent" xfId="4" builtinId="5"/>
    <cellStyle name="Percent 2" xfId="7" xr:uid="{1B67ED69-1D90-4B2F-9D7F-A172292A3B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4548A-A721-4528-8CC4-9FCC4B09C3DD}">
  <dimension ref="A2:I29"/>
  <sheetViews>
    <sheetView showGridLines="0" zoomScale="64" workbookViewId="0">
      <selection activeCell="G7" sqref="G7"/>
    </sheetView>
  </sheetViews>
  <sheetFormatPr defaultRowHeight="14.5" x14ac:dyDescent="0.35"/>
  <cols>
    <col min="2" max="2" width="30.54296875" bestFit="1" customWidth="1"/>
    <col min="3" max="4" width="19.1796875" customWidth="1"/>
    <col min="5" max="5" width="18.36328125" bestFit="1" customWidth="1"/>
    <col min="6" max="6" width="15.08984375" bestFit="1" customWidth="1"/>
    <col min="7" max="7" width="11.36328125" bestFit="1" customWidth="1"/>
    <col min="8" max="9" width="10.1796875" bestFit="1" customWidth="1"/>
  </cols>
  <sheetData>
    <row r="2" spans="1:7" x14ac:dyDescent="0.35">
      <c r="E2" s="34" t="s">
        <v>60</v>
      </c>
      <c r="F2" s="35">
        <v>102901750</v>
      </c>
    </row>
    <row r="3" spans="1:7" x14ac:dyDescent="0.35">
      <c r="E3" s="34"/>
      <c r="F3" s="35"/>
    </row>
    <row r="4" spans="1:7" x14ac:dyDescent="0.35">
      <c r="A4" s="123" t="s">
        <v>63</v>
      </c>
      <c r="B4" s="124"/>
      <c r="C4" s="123" t="s">
        <v>61</v>
      </c>
      <c r="D4" s="124"/>
      <c r="E4" s="124"/>
      <c r="F4" s="125"/>
    </row>
    <row r="5" spans="1:7" x14ac:dyDescent="0.35">
      <c r="A5" s="33" t="s">
        <v>41</v>
      </c>
      <c r="B5" s="30"/>
      <c r="C5" s="37" t="s">
        <v>85</v>
      </c>
      <c r="D5" s="37" t="s">
        <v>86</v>
      </c>
      <c r="E5" s="37" t="s">
        <v>62</v>
      </c>
      <c r="F5" s="37" t="s">
        <v>13</v>
      </c>
    </row>
    <row r="6" spans="1:7" x14ac:dyDescent="0.35">
      <c r="A6" s="31">
        <v>1</v>
      </c>
      <c r="B6" s="32" t="s">
        <v>42</v>
      </c>
      <c r="C6" s="36"/>
      <c r="D6" s="49">
        <v>1.3</v>
      </c>
      <c r="E6" s="39">
        <v>1942500</v>
      </c>
      <c r="F6" s="41">
        <f>D6*E6</f>
        <v>2525250</v>
      </c>
      <c r="G6" s="42"/>
    </row>
    <row r="7" spans="1:7" x14ac:dyDescent="0.35">
      <c r="A7" s="31">
        <v>2</v>
      </c>
      <c r="B7" s="32" t="s">
        <v>43</v>
      </c>
      <c r="C7" s="36"/>
      <c r="D7" s="49">
        <v>1.3</v>
      </c>
      <c r="E7" s="39">
        <v>1732500</v>
      </c>
      <c r="F7" s="41">
        <f>D7*E7</f>
        <v>2252250</v>
      </c>
    </row>
    <row r="8" spans="1:7" x14ac:dyDescent="0.35">
      <c r="A8" s="31">
        <v>3</v>
      </c>
      <c r="B8" s="32" t="s">
        <v>44</v>
      </c>
      <c r="C8" s="36"/>
      <c r="D8" s="49">
        <v>1.3</v>
      </c>
      <c r="E8" s="39">
        <v>1732500</v>
      </c>
      <c r="F8" s="41">
        <f>D8*E8</f>
        <v>2252250</v>
      </c>
    </row>
    <row r="9" spans="1:7" x14ac:dyDescent="0.35">
      <c r="A9" s="33" t="s">
        <v>45</v>
      </c>
      <c r="B9" s="30"/>
      <c r="C9" s="38"/>
      <c r="D9" s="50"/>
      <c r="E9" s="40"/>
      <c r="F9" s="38"/>
    </row>
    <row r="10" spans="1:7" x14ac:dyDescent="0.35">
      <c r="A10" s="31">
        <v>4</v>
      </c>
      <c r="B10" s="32" t="s">
        <v>46</v>
      </c>
      <c r="C10" s="36"/>
      <c r="D10" s="49">
        <v>2.2999999999999998</v>
      </c>
      <c r="E10" s="39">
        <v>4515000</v>
      </c>
      <c r="F10" s="41">
        <f t="shared" ref="F10:F12" si="0">D10*E10</f>
        <v>10384500</v>
      </c>
    </row>
    <row r="11" spans="1:7" x14ac:dyDescent="0.35">
      <c r="A11" s="31">
        <v>5</v>
      </c>
      <c r="B11" s="32" t="s">
        <v>47</v>
      </c>
      <c r="C11" s="36"/>
      <c r="D11" s="49">
        <v>2.2999999999999998</v>
      </c>
      <c r="E11" s="39">
        <v>4095000</v>
      </c>
      <c r="F11" s="41">
        <f t="shared" si="0"/>
        <v>9418500</v>
      </c>
    </row>
    <row r="12" spans="1:7" x14ac:dyDescent="0.35">
      <c r="A12" s="31">
        <v>6</v>
      </c>
      <c r="B12" s="32" t="s">
        <v>48</v>
      </c>
      <c r="C12" s="36"/>
      <c r="D12" s="49">
        <v>2.2999999999999998</v>
      </c>
      <c r="E12" s="39">
        <v>4095000</v>
      </c>
      <c r="F12" s="41">
        <f t="shared" si="0"/>
        <v>9418500</v>
      </c>
    </row>
    <row r="13" spans="1:7" x14ac:dyDescent="0.35">
      <c r="A13" s="33" t="s">
        <v>49</v>
      </c>
      <c r="B13" s="30"/>
      <c r="C13" s="38"/>
      <c r="D13" s="50"/>
      <c r="E13" s="40"/>
      <c r="F13" s="38"/>
      <c r="G13" s="42"/>
    </row>
    <row r="14" spans="1:7" x14ac:dyDescent="0.35">
      <c r="A14" s="31">
        <v>7</v>
      </c>
      <c r="B14" s="32" t="s">
        <v>50</v>
      </c>
      <c r="C14" s="36">
        <f>Annisa!Q9</f>
        <v>100.4</v>
      </c>
      <c r="D14" s="49">
        <f>Annisa!Q10</f>
        <v>1.1000000000000001</v>
      </c>
      <c r="E14" s="39">
        <v>3362625</v>
      </c>
      <c r="F14" s="41">
        <f>D14*E14</f>
        <v>3698887.5000000005</v>
      </c>
      <c r="G14" s="56">
        <v>0</v>
      </c>
    </row>
    <row r="15" spans="1:7" x14ac:dyDescent="0.35">
      <c r="A15" s="31">
        <v>8</v>
      </c>
      <c r="B15" s="32" t="s">
        <v>51</v>
      </c>
      <c r="C15" s="36">
        <f>Shaidatun!Q11</f>
        <v>108</v>
      </c>
      <c r="D15" s="49">
        <f>Shaidatun!Q12</f>
        <v>2.2000000000000002</v>
      </c>
      <c r="E15" s="39">
        <v>3583125</v>
      </c>
      <c r="F15" s="41">
        <f t="shared" ref="F15:F16" si="1">D15*E15</f>
        <v>7882875.0000000009</v>
      </c>
      <c r="G15" s="57">
        <v>2.5000000000000001E-3</v>
      </c>
    </row>
    <row r="16" spans="1:7" x14ac:dyDescent="0.35">
      <c r="A16" s="31">
        <v>9</v>
      </c>
      <c r="B16" s="32" t="s">
        <v>52</v>
      </c>
      <c r="C16" s="36">
        <f>Sudarman!Q8</f>
        <v>108.75</v>
      </c>
      <c r="D16" s="49">
        <f>Sudarman!Q9</f>
        <v>2.2000000000000002</v>
      </c>
      <c r="E16" s="39">
        <v>2480625</v>
      </c>
      <c r="F16" s="41">
        <f t="shared" si="1"/>
        <v>5457375</v>
      </c>
      <c r="G16" s="42">
        <v>2.5000000000000001E-3</v>
      </c>
    </row>
    <row r="17" spans="1:9" x14ac:dyDescent="0.35">
      <c r="A17" s="31">
        <v>10</v>
      </c>
      <c r="B17" s="32" t="s">
        <v>53</v>
      </c>
      <c r="C17" s="36">
        <f>Yosida!Q8</f>
        <v>100.5</v>
      </c>
      <c r="D17" s="49">
        <f>Yosida!Q9</f>
        <v>1.1000000000000001</v>
      </c>
      <c r="E17" s="39">
        <v>3087000</v>
      </c>
      <c r="F17" s="41">
        <f>D17*E17</f>
        <v>3395700.0000000005</v>
      </c>
      <c r="G17" s="56">
        <v>0</v>
      </c>
      <c r="I17">
        <f>SUM(C14:C23)/10</f>
        <v>104.4855</v>
      </c>
    </row>
    <row r="18" spans="1:9" x14ac:dyDescent="0.35">
      <c r="A18" s="31">
        <v>11</v>
      </c>
      <c r="B18" s="32" t="s">
        <v>54</v>
      </c>
      <c r="C18" s="36">
        <f>Vivi!Q8</f>
        <v>105.22499999999999</v>
      </c>
      <c r="D18" s="49">
        <f>Vivi!Q9</f>
        <v>1.8</v>
      </c>
      <c r="E18" s="39">
        <v>3150000</v>
      </c>
      <c r="F18" s="41">
        <f t="shared" ref="F18:F25" si="2">D18*E18</f>
        <v>5670000</v>
      </c>
      <c r="G18" s="57">
        <v>2.5000000000000001E-3</v>
      </c>
    </row>
    <row r="19" spans="1:9" x14ac:dyDescent="0.35">
      <c r="A19" s="31">
        <v>12</v>
      </c>
      <c r="B19" s="32" t="s">
        <v>55</v>
      </c>
      <c r="C19" s="36">
        <f>'Dea A'!R12</f>
        <v>106.25</v>
      </c>
      <c r="D19" s="49">
        <f>'Dea A'!R13</f>
        <v>2</v>
      </c>
      <c r="E19" s="39">
        <v>8983333.3333333321</v>
      </c>
      <c r="F19" s="41">
        <f t="shared" si="2"/>
        <v>17966666.666666664</v>
      </c>
      <c r="G19" s="56">
        <v>0.02</v>
      </c>
      <c r="H19" s="42"/>
    </row>
    <row r="20" spans="1:9" x14ac:dyDescent="0.35">
      <c r="A20" s="31">
        <v>13</v>
      </c>
      <c r="B20" s="32" t="s">
        <v>56</v>
      </c>
      <c r="C20" s="36">
        <f>Khambali!Q9</f>
        <v>108.47999999999999</v>
      </c>
      <c r="D20" s="49">
        <f>Khambali!Q10</f>
        <v>2.2000000000000002</v>
      </c>
      <c r="E20" s="39">
        <v>2800000</v>
      </c>
      <c r="F20" s="41">
        <f t="shared" si="2"/>
        <v>6160000.0000000009</v>
      </c>
      <c r="G20" s="58">
        <v>5.0000000000000001E-3</v>
      </c>
      <c r="I20" s="53"/>
    </row>
    <row r="21" spans="1:9" x14ac:dyDescent="0.35">
      <c r="A21" s="31">
        <v>14</v>
      </c>
      <c r="B21" s="32" t="s">
        <v>57</v>
      </c>
      <c r="C21" s="36">
        <f>Dafit!Q9</f>
        <v>110</v>
      </c>
      <c r="D21" s="49">
        <f>Dafit!Q10</f>
        <v>2.5</v>
      </c>
      <c r="E21" s="39">
        <v>1800000</v>
      </c>
      <c r="F21" s="41">
        <f t="shared" si="2"/>
        <v>4500000</v>
      </c>
      <c r="G21" s="56">
        <v>0</v>
      </c>
    </row>
    <row r="22" spans="1:9" x14ac:dyDescent="0.35">
      <c r="A22" s="31">
        <v>15</v>
      </c>
      <c r="B22" s="32" t="s">
        <v>58</v>
      </c>
      <c r="C22" s="36">
        <f>'Fattah DP'!Q8</f>
        <v>108.25</v>
      </c>
      <c r="D22" s="49">
        <f>'Fattah DP'!Q9</f>
        <v>2.2000000000000002</v>
      </c>
      <c r="E22" s="39">
        <v>2450000</v>
      </c>
      <c r="F22" s="41">
        <f>D22*E22</f>
        <v>5390000</v>
      </c>
      <c r="G22" s="57">
        <v>2.5000000000000001E-3</v>
      </c>
      <c r="H22" s="42"/>
      <c r="I22" s="42"/>
    </row>
    <row r="23" spans="1:9" x14ac:dyDescent="0.35">
      <c r="A23" s="31">
        <v>16</v>
      </c>
      <c r="B23" s="32" t="s">
        <v>59</v>
      </c>
      <c r="C23" s="36">
        <f>Ismail!Q9</f>
        <v>89</v>
      </c>
      <c r="D23" s="49">
        <f>Ismail!Q10</f>
        <v>0.6</v>
      </c>
      <c r="E23" s="39">
        <v>2500000</v>
      </c>
      <c r="F23" s="41">
        <f>D23*E23</f>
        <v>1500000</v>
      </c>
      <c r="G23" s="56">
        <v>0</v>
      </c>
    </row>
    <row r="24" spans="1:9" x14ac:dyDescent="0.35">
      <c r="A24" s="31">
        <v>17</v>
      </c>
      <c r="B24" s="32" t="s">
        <v>88</v>
      </c>
      <c r="C24" s="36"/>
      <c r="D24" s="49">
        <v>0.35</v>
      </c>
      <c r="E24" s="39">
        <f>150000*20</f>
        <v>3000000</v>
      </c>
      <c r="F24" s="41">
        <f t="shared" si="2"/>
        <v>1050000</v>
      </c>
      <c r="G24" s="56">
        <v>0</v>
      </c>
    </row>
    <row r="25" spans="1:9" x14ac:dyDescent="0.35">
      <c r="A25" s="31">
        <v>18</v>
      </c>
      <c r="B25" s="32" t="s">
        <v>89</v>
      </c>
      <c r="C25" s="36"/>
      <c r="D25" s="49">
        <v>1</v>
      </c>
      <c r="E25" s="39">
        <f>50000*25</f>
        <v>1250000</v>
      </c>
      <c r="F25" s="41">
        <f t="shared" si="2"/>
        <v>1250000</v>
      </c>
      <c r="G25" s="56">
        <v>0</v>
      </c>
    </row>
    <row r="26" spans="1:9" x14ac:dyDescent="0.35">
      <c r="D26" s="52"/>
      <c r="F26" s="42">
        <f>SUM(F6:F25)</f>
        <v>100172754.16666666</v>
      </c>
    </row>
    <row r="27" spans="1:9" x14ac:dyDescent="0.35">
      <c r="E27" s="34" t="s">
        <v>87</v>
      </c>
      <c r="F27" s="51">
        <f>F2-F26</f>
        <v>2728995.8333333433</v>
      </c>
      <c r="G27" s="42"/>
    </row>
    <row r="28" spans="1:9" x14ac:dyDescent="0.35">
      <c r="E28" t="s">
        <v>96</v>
      </c>
      <c r="F28" s="59">
        <f>'PPh 21'!M29</f>
        <v>2592601.145833333</v>
      </c>
    </row>
    <row r="29" spans="1:9" x14ac:dyDescent="0.35">
      <c r="E29" t="s">
        <v>97</v>
      </c>
      <c r="F29" s="42">
        <f>F27-F28</f>
        <v>136394.68750001024</v>
      </c>
    </row>
  </sheetData>
  <mergeCells count="2">
    <mergeCell ref="A4:B4"/>
    <mergeCell ref="C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FD9BF-DCAC-490E-98C7-6C67A8C09F93}">
  <sheetPr>
    <pageSetUpPr fitToPage="1"/>
  </sheetPr>
  <dimension ref="B1:R38"/>
  <sheetViews>
    <sheetView showGridLines="0" view="pageBreakPreview" topLeftCell="B12" zoomScaleNormal="100" zoomScaleSheetLayoutView="100" workbookViewId="0">
      <selection activeCell="C8" sqref="C8"/>
    </sheetView>
  </sheetViews>
  <sheetFormatPr defaultRowHeight="14.5" x14ac:dyDescent="0.35"/>
  <cols>
    <col min="1" max="1" width="0" style="61" hidden="1" customWidth="1"/>
    <col min="2" max="2" width="8.7265625" style="61"/>
    <col min="3" max="3" width="18.81640625" style="62" customWidth="1"/>
    <col min="4" max="4" width="22.453125" style="61" bestFit="1" customWidth="1"/>
    <col min="5" max="6" width="8.7265625" style="61"/>
    <col min="7" max="7" width="15.08984375" style="61" customWidth="1"/>
    <col min="8" max="10" width="8.7265625" style="61"/>
    <col min="11" max="11" width="4.1796875" style="61" customWidth="1"/>
    <col min="12" max="12" width="8.7265625" style="61"/>
    <col min="13" max="13" width="14.36328125" style="61" customWidth="1"/>
    <col min="14" max="16" width="13.54296875" style="60" customWidth="1"/>
    <col min="17" max="17" width="13.54296875" style="61" customWidth="1"/>
    <col min="18" max="18" width="15.26953125" style="61" customWidth="1"/>
    <col min="19" max="16384" width="8.7265625" style="61"/>
  </cols>
  <sheetData>
    <row r="1" spans="2:18" x14ac:dyDescent="0.35">
      <c r="B1" s="131" t="s">
        <v>159</v>
      </c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</row>
    <row r="2" spans="2:18" x14ac:dyDescent="0.35"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</row>
    <row r="3" spans="2:18" ht="15" thickBot="1" x14ac:dyDescent="0.4"/>
    <row r="4" spans="2:18" ht="23.5" customHeight="1" thickTop="1" x14ac:dyDescent="0.35">
      <c r="B4" s="132" t="s">
        <v>98</v>
      </c>
      <c r="C4" s="63"/>
      <c r="D4" s="135" t="s">
        <v>99</v>
      </c>
      <c r="E4" s="138" t="s">
        <v>100</v>
      </c>
      <c r="F4" s="141" t="s">
        <v>101</v>
      </c>
      <c r="G4" s="64" t="s">
        <v>102</v>
      </c>
      <c r="H4" s="144" t="s">
        <v>103</v>
      </c>
      <c r="I4" s="145"/>
      <c r="J4" s="146"/>
      <c r="K4" s="65"/>
      <c r="L4" s="66"/>
      <c r="M4" s="147" t="s">
        <v>104</v>
      </c>
      <c r="N4" s="126" t="s">
        <v>105</v>
      </c>
      <c r="O4" s="127" t="s">
        <v>106</v>
      </c>
      <c r="P4" s="128"/>
      <c r="Q4" s="67"/>
    </row>
    <row r="5" spans="2:18" x14ac:dyDescent="0.35">
      <c r="B5" s="133"/>
      <c r="C5" s="68" t="s">
        <v>107</v>
      </c>
      <c r="D5" s="136"/>
      <c r="E5" s="139"/>
      <c r="F5" s="142"/>
      <c r="G5" s="70" t="s">
        <v>108</v>
      </c>
      <c r="H5" s="66" t="s">
        <v>109</v>
      </c>
      <c r="I5" s="66" t="s">
        <v>109</v>
      </c>
      <c r="J5" s="66" t="s">
        <v>109</v>
      </c>
      <c r="K5" s="65"/>
      <c r="L5" s="69" t="s">
        <v>110</v>
      </c>
      <c r="M5" s="136"/>
      <c r="N5" s="126"/>
      <c r="O5" s="127"/>
      <c r="P5" s="128"/>
      <c r="Q5" s="129" t="s">
        <v>13</v>
      </c>
    </row>
    <row r="6" spans="2:18" x14ac:dyDescent="0.35">
      <c r="B6" s="134"/>
      <c r="C6" s="71"/>
      <c r="D6" s="137"/>
      <c r="E6" s="140"/>
      <c r="F6" s="143"/>
      <c r="G6" s="73"/>
      <c r="H6" s="72" t="s">
        <v>111</v>
      </c>
      <c r="I6" s="72" t="s">
        <v>112</v>
      </c>
      <c r="J6" s="72" t="s">
        <v>113</v>
      </c>
      <c r="K6" s="65"/>
      <c r="L6" s="72"/>
      <c r="M6" s="137"/>
      <c r="N6" s="126"/>
      <c r="O6" s="127"/>
      <c r="P6" s="128"/>
      <c r="Q6" s="129"/>
    </row>
    <row r="7" spans="2:18" x14ac:dyDescent="0.35">
      <c r="B7" s="74"/>
      <c r="C7" s="75"/>
      <c r="D7" s="74"/>
      <c r="E7" s="74"/>
      <c r="F7" s="74"/>
      <c r="G7" s="74"/>
      <c r="H7" s="76"/>
      <c r="I7" s="76"/>
      <c r="J7" s="76"/>
      <c r="K7" s="76"/>
      <c r="L7" s="76"/>
      <c r="M7" s="76"/>
    </row>
    <row r="8" spans="2:18" x14ac:dyDescent="0.35">
      <c r="B8" s="77">
        <v>1</v>
      </c>
      <c r="C8" s="78" t="s">
        <v>114</v>
      </c>
      <c r="D8" s="79" t="s">
        <v>115</v>
      </c>
      <c r="E8" s="79" t="s">
        <v>116</v>
      </c>
      <c r="F8" s="80" t="str">
        <f>IF(E8="TK","A",IF(E8="TK/1","A",IF(E8="K/0","A",IF(E8="TK/2","B",IF(E8="TK/3","B",IF(E8="K/1","B",IF(E8="K/2","B",IF(E8="K/3","C"))))))))</f>
        <v>A</v>
      </c>
      <c r="G8" s="81">
        <v>3698887.5000000005</v>
      </c>
      <c r="H8" s="82">
        <f t="shared" ref="H8:H17" si="0">IF(G8&gt;1400000000,34%,IF(G8&gt;910000000,33%,IF(G8&gt;695000000,32%,IF(G8&gt;550000000,31%,IF(G8&gt;454000000,30%,IF(G8&gt;337000000,29%,IF(G8&gt;206000000,28%,IF(G8&gt;157000000,27%,IF(G8&gt;125000000,26%,IF(G8&gt;103000000,25%,IF(G8&gt;89000000,24%,IF(G8&gt;77500000,23%,IF(G8&gt;68600000,22%,IF(G8&gt;62200000,21%,IF(G8&gt;56300000,20%,IF(G8&gt;51400000,19%,IF(G8&gt;47800000,18%,IF(G8&gt;43850000,17%,IF(G8&gt;39100000,16%,IF(G8&gt;35400000,15%,IF(G8&gt;32400000,14%,IF(G8&gt;30050000,13%,IF(G8&gt;28000000,12%,IF(G8&gt;26450000,11%,IF(G8&gt;24150000,10%,IF(G8&gt;19750000,9%,IF(G8&gt;16950000,8%,IF(G8&gt;15100000,7%,IF(G8&gt;13750000,6%,IF(G8&gt;12500000,5%,IF(G8&gt;11600000,4%,IF(G8&gt;11050000,3.5%,IF(G8&gt;10700000,3%,IF(G8&gt;10350000,2.5%,IF(G8&gt;10050000,2.25%,IF(G8&gt;9650000,2%,IF(G8&gt;8550000,1.75%,IF(G8&gt;7500000,1.5%,IF(G8&gt;6750000,1.25%,IF(G8&gt;6300000,1%,IF(G8&gt;5950000,0.75%,IF(G8&gt;5650000,0.5%,IF(G8&gt;5400000,0.25%,IF(G8&gt;5400000,0%,0%))))))))))))))))))))))))))))))))))))))))))))</f>
        <v>0</v>
      </c>
      <c r="I8" s="82">
        <f t="shared" ref="I8:I17" si="1">IF(G8&gt;1405000000,34%,IF(G8&gt;957000000,33%,IF(G8&gt;704000000,32%,IF(G8&gt;555000000,31%,IF(G8&gt;459000000,30%,IF(G8&gt;374000000,29%,IF(G8&gt;211000000,28%,IF(G8&gt;163000000,27%,IF(G8&gt;129000000,26%,IF(G8&gt;109000000,25%,IF(G8&gt;93000000,24%,IF(G8&gt;80000000,23%,IF(G8&gt;71000000,22%,IF(G8&gt;64000000,21%,IF(G8&gt;58500000,20%,IF(G8&gt;53800000,19%,IF(G8&gt;49500000,18%,IF(G8&gt;45800000,17%,IF(G8&gt;41100000,16%,IF(G8&gt;37100000,15%,IF(G8&gt;33950000,14%,IF(G8&gt;31450000,13%,IF(G8&gt;29350000,12%,IF(G8&gt;27700000,11%,IF(G8&gt;26000000,10%,IF(G8&gt;21850000,9%,IF(G8&gt;18450000,8%,IF(G8&gt;16400000,7%,IF(G8&gt;14950000,6%,IF(G8&gt;13600000,5%,IF(G8&gt;12600000,4%,IF(G8&gt;11600000,3%,IF(G8&gt;11250000,2.5%,IF(G8&gt;10750000,2%,IF(G8&gt;9200000,1.5%,IF(G8&gt;7300000,1%,IF(G8&gt;6850000,0.75%,IF(G8&gt;6500000,0.5%,IF(G8&gt;6200000,0.25%,IF(G8&gt;6200000,0%,0%))))))))))))))))))))))))))))))))))))))))</f>
        <v>0</v>
      </c>
      <c r="J8" s="83">
        <f t="shared" ref="J8:J17" si="2">IF(G8&gt;1419000000,34%,IF(G8&gt;965000000,33%,IF(G8&gt;709000000,32%,IF(G8&gt;561000000,31%,IF(G8&gt;463000000,30%,IF(G8&gt;390000000,29%,IF(G8&gt;221000000,28%,IF(G8&gt;169000000,27%,IF(G8&gt;134000000,26%,IF(G8&gt;110000000,25%,IF(G8&gt;95600000,24%,IF(G8&gt;83200000,23%,IF(G8&gt;74500000,22%,IF(G8&gt;66700000,21%,IF(G8&gt;60400000,20%,IF(G8&gt;55800000,19%,IF(G8&gt;51200000,18%,IF(G8&gt;47400000,17%,IF(G8&gt;43000000,16%,IF(G8&gt;38900000,15%,IF(G8&gt;35400000,14%,IF(G8&gt;32600000,13%,IF(G8&gt;30100000,12%,IF(G8&gt;28100000,11%,IF(G8&gt;26600000,10%,IF(G8&gt;22700000,9%,IF(G8&gt;19500000,8%,IF(G8&gt;17050000,7%,IF(G8&gt;15550000,6%,IF(G8&gt;14150000,5%,IF(G8&gt;12950000,4%,IF(G8&gt;12050000,3%,IF(G8&gt;11200000,2%,IF(G8&gt;10950000,1.75%,IF(G8&gt;9800000,1.5%,IF(G8&gt;8850000,1.25%,IF(G8&gt;7800000,1%,IF(G8&gt;7350000,0.75%,IF(G8&gt;6950000,0.5%,IF(G8&gt;6600000,0.25%,IF(G8&gt;6600000,0%,0%)))))))))))))))))))))))))))))))))))))))))</f>
        <v>0</v>
      </c>
      <c r="K8" s="84"/>
      <c r="L8" s="83">
        <f t="shared" ref="L8:L17" si="3">IF(F8="A",H8,IF(F8="B",I8,IF(F8="C",J8)))</f>
        <v>0</v>
      </c>
      <c r="M8" s="85">
        <f t="shared" ref="M8:M17" si="4">G8*L8</f>
        <v>0</v>
      </c>
      <c r="Q8" s="86">
        <f>N8+O8</f>
        <v>0</v>
      </c>
      <c r="R8" s="87"/>
    </row>
    <row r="9" spans="2:18" x14ac:dyDescent="0.35">
      <c r="B9" s="77">
        <f t="shared" ref="B9:B17" si="5">+B8+1</f>
        <v>2</v>
      </c>
      <c r="C9" s="78" t="s">
        <v>117</v>
      </c>
      <c r="D9" s="79" t="s">
        <v>118</v>
      </c>
      <c r="E9" s="79" t="s">
        <v>116</v>
      </c>
      <c r="F9" s="80" t="str">
        <f>IF(E9="TK","A",IF(E9="TK/1","A",IF(E9="K/0","A",IF(E9="TK/2","B",IF(E9="TK/3","B",IF(E9="K/1","B",IF(E9="K/2","B",IF(E9="K/3","C"))))))))</f>
        <v>A</v>
      </c>
      <c r="G9" s="81">
        <v>7882875.0000000009</v>
      </c>
      <c r="H9" s="82">
        <f t="shared" si="0"/>
        <v>1.4999999999999999E-2</v>
      </c>
      <c r="I9" s="82">
        <f t="shared" si="1"/>
        <v>0.01</v>
      </c>
      <c r="J9" s="83">
        <f t="shared" si="2"/>
        <v>0.01</v>
      </c>
      <c r="K9" s="84"/>
      <c r="L9" s="83">
        <f t="shared" si="3"/>
        <v>1.4999999999999999E-2</v>
      </c>
      <c r="M9" s="85">
        <f t="shared" si="4"/>
        <v>118243.12500000001</v>
      </c>
      <c r="Q9" s="86">
        <f t="shared" ref="Q9:Q19" si="6">N9+O9</f>
        <v>0</v>
      </c>
      <c r="R9" s="88"/>
    </row>
    <row r="10" spans="2:18" x14ac:dyDescent="0.35">
      <c r="B10" s="89">
        <f t="shared" si="5"/>
        <v>3</v>
      </c>
      <c r="C10" s="90" t="s">
        <v>119</v>
      </c>
      <c r="D10" s="61" t="s">
        <v>120</v>
      </c>
      <c r="E10" s="91" t="s">
        <v>121</v>
      </c>
      <c r="F10" s="92" t="str">
        <f t="shared" ref="F10:F17" si="7">IF(E10="TK","A",IF(E10="TK/1","A",IF(E10="K/0","A",IF(E10="TK/2","B",IF(E10="TK/3","B",IF(E10="K/1","B",IF(E10="K/2","B",IF(E10="K/3","C"))))))))</f>
        <v>A</v>
      </c>
      <c r="G10" s="93">
        <v>5457375</v>
      </c>
      <c r="H10" s="94">
        <f t="shared" si="0"/>
        <v>2.5000000000000001E-3</v>
      </c>
      <c r="I10" s="94">
        <f t="shared" si="1"/>
        <v>0</v>
      </c>
      <c r="J10" s="95">
        <f t="shared" si="2"/>
        <v>0</v>
      </c>
      <c r="L10" s="95">
        <f t="shared" si="3"/>
        <v>2.5000000000000001E-3</v>
      </c>
      <c r="M10" s="96">
        <f t="shared" si="4"/>
        <v>13643.4375</v>
      </c>
      <c r="Q10" s="86">
        <f t="shared" si="6"/>
        <v>0</v>
      </c>
      <c r="R10" s="87"/>
    </row>
    <row r="11" spans="2:18" x14ac:dyDescent="0.35">
      <c r="B11" s="89">
        <f t="shared" si="5"/>
        <v>4</v>
      </c>
      <c r="C11" s="90" t="s">
        <v>122</v>
      </c>
      <c r="D11" s="61" t="s">
        <v>123</v>
      </c>
      <c r="E11" s="91" t="s">
        <v>116</v>
      </c>
      <c r="F11" s="92" t="str">
        <f t="shared" si="7"/>
        <v>A</v>
      </c>
      <c r="G11" s="93">
        <v>3395700.0000000005</v>
      </c>
      <c r="H11" s="94">
        <f t="shared" si="0"/>
        <v>0</v>
      </c>
      <c r="I11" s="94">
        <f t="shared" si="1"/>
        <v>0</v>
      </c>
      <c r="J11" s="95">
        <f t="shared" si="2"/>
        <v>0</v>
      </c>
      <c r="L11" s="95">
        <f t="shared" si="3"/>
        <v>0</v>
      </c>
      <c r="M11" s="96">
        <f t="shared" si="4"/>
        <v>0</v>
      </c>
      <c r="Q11" s="86">
        <f t="shared" si="6"/>
        <v>0</v>
      </c>
      <c r="R11" s="88"/>
    </row>
    <row r="12" spans="2:18" x14ac:dyDescent="0.35">
      <c r="B12" s="89">
        <f t="shared" si="5"/>
        <v>5</v>
      </c>
      <c r="C12" s="90" t="s">
        <v>124</v>
      </c>
      <c r="D12" s="61" t="s">
        <v>125</v>
      </c>
      <c r="E12" s="91" t="s">
        <v>116</v>
      </c>
      <c r="F12" s="92" t="str">
        <f t="shared" si="7"/>
        <v>A</v>
      </c>
      <c r="G12" s="93">
        <v>5670000</v>
      </c>
      <c r="H12" s="94">
        <f t="shared" si="0"/>
        <v>5.0000000000000001E-3</v>
      </c>
      <c r="I12" s="94">
        <f t="shared" si="1"/>
        <v>0</v>
      </c>
      <c r="J12" s="95">
        <f t="shared" si="2"/>
        <v>0</v>
      </c>
      <c r="L12" s="95">
        <f t="shared" si="3"/>
        <v>5.0000000000000001E-3</v>
      </c>
      <c r="M12" s="96">
        <f t="shared" si="4"/>
        <v>28350</v>
      </c>
      <c r="Q12" s="86">
        <f t="shared" si="6"/>
        <v>0</v>
      </c>
      <c r="R12" s="87"/>
    </row>
    <row r="13" spans="2:18" x14ac:dyDescent="0.35">
      <c r="B13" s="89">
        <f t="shared" si="5"/>
        <v>6</v>
      </c>
      <c r="C13" s="90" t="s">
        <v>126</v>
      </c>
      <c r="D13" s="61" t="s">
        <v>127</v>
      </c>
      <c r="E13" s="91" t="s">
        <v>116</v>
      </c>
      <c r="F13" s="92" t="str">
        <f t="shared" si="7"/>
        <v>A</v>
      </c>
      <c r="G13" s="93">
        <v>17966666.666666664</v>
      </c>
      <c r="H13" s="94">
        <f t="shared" si="0"/>
        <v>0.08</v>
      </c>
      <c r="I13" s="94">
        <f t="shared" si="1"/>
        <v>7.0000000000000007E-2</v>
      </c>
      <c r="J13" s="95">
        <f t="shared" si="2"/>
        <v>7.0000000000000007E-2</v>
      </c>
      <c r="L13" s="95">
        <f t="shared" si="3"/>
        <v>0.08</v>
      </c>
      <c r="M13" s="96">
        <f t="shared" si="4"/>
        <v>1437333.3333333333</v>
      </c>
      <c r="Q13" s="86">
        <f t="shared" si="6"/>
        <v>0</v>
      </c>
      <c r="R13" s="87"/>
    </row>
    <row r="14" spans="2:18" x14ac:dyDescent="0.35">
      <c r="B14" s="89">
        <f t="shared" si="5"/>
        <v>7</v>
      </c>
      <c r="C14" s="90" t="s">
        <v>128</v>
      </c>
      <c r="D14" s="61" t="s">
        <v>129</v>
      </c>
      <c r="E14" s="91" t="s">
        <v>130</v>
      </c>
      <c r="F14" s="92" t="str">
        <f t="shared" si="7"/>
        <v>B</v>
      </c>
      <c r="G14" s="93">
        <v>6160000.0000000009</v>
      </c>
      <c r="H14" s="94">
        <f t="shared" si="0"/>
        <v>7.4999999999999997E-3</v>
      </c>
      <c r="I14" s="94">
        <f t="shared" si="1"/>
        <v>0</v>
      </c>
      <c r="J14" s="95">
        <f t="shared" si="2"/>
        <v>0</v>
      </c>
      <c r="L14" s="95">
        <f t="shared" si="3"/>
        <v>0</v>
      </c>
      <c r="M14" s="96">
        <f t="shared" si="4"/>
        <v>0</v>
      </c>
      <c r="Q14" s="86">
        <f t="shared" si="6"/>
        <v>0</v>
      </c>
      <c r="R14" s="87"/>
    </row>
    <row r="15" spans="2:18" x14ac:dyDescent="0.35">
      <c r="B15" s="89">
        <f t="shared" si="5"/>
        <v>8</v>
      </c>
      <c r="C15" s="90" t="s">
        <v>131</v>
      </c>
      <c r="D15" s="61" t="s">
        <v>132</v>
      </c>
      <c r="E15" s="91" t="s">
        <v>116</v>
      </c>
      <c r="F15" s="92" t="str">
        <f t="shared" si="7"/>
        <v>A</v>
      </c>
      <c r="G15" s="93">
        <v>4500000</v>
      </c>
      <c r="H15" s="94">
        <f t="shared" si="0"/>
        <v>0</v>
      </c>
      <c r="I15" s="94">
        <f t="shared" si="1"/>
        <v>0</v>
      </c>
      <c r="J15" s="95">
        <f t="shared" si="2"/>
        <v>0</v>
      </c>
      <c r="L15" s="95">
        <f t="shared" si="3"/>
        <v>0</v>
      </c>
      <c r="M15" s="96">
        <f t="shared" si="4"/>
        <v>0</v>
      </c>
      <c r="Q15" s="86">
        <f t="shared" si="6"/>
        <v>0</v>
      </c>
      <c r="R15" s="87"/>
    </row>
    <row r="16" spans="2:18" x14ac:dyDescent="0.35">
      <c r="B16" s="89">
        <f t="shared" si="5"/>
        <v>9</v>
      </c>
      <c r="C16" s="90" t="s">
        <v>133</v>
      </c>
      <c r="D16" s="61" t="s">
        <v>134</v>
      </c>
      <c r="E16" s="91" t="s">
        <v>116</v>
      </c>
      <c r="F16" s="92" t="str">
        <f t="shared" si="7"/>
        <v>A</v>
      </c>
      <c r="G16" s="93">
        <v>5390000</v>
      </c>
      <c r="H16" s="94">
        <f t="shared" si="0"/>
        <v>0</v>
      </c>
      <c r="I16" s="94">
        <f t="shared" si="1"/>
        <v>0</v>
      </c>
      <c r="J16" s="95">
        <f t="shared" si="2"/>
        <v>0</v>
      </c>
      <c r="L16" s="95">
        <f t="shared" si="3"/>
        <v>0</v>
      </c>
      <c r="M16" s="96">
        <f t="shared" si="4"/>
        <v>0</v>
      </c>
      <c r="Q16" s="86"/>
      <c r="R16" s="87"/>
    </row>
    <row r="17" spans="2:18" x14ac:dyDescent="0.35">
      <c r="B17" s="89">
        <f t="shared" si="5"/>
        <v>10</v>
      </c>
      <c r="C17" s="90" t="s">
        <v>135</v>
      </c>
      <c r="D17" s="61" t="s">
        <v>136</v>
      </c>
      <c r="E17" s="91" t="s">
        <v>116</v>
      </c>
      <c r="F17" s="92" t="str">
        <f t="shared" si="7"/>
        <v>A</v>
      </c>
      <c r="G17" s="93">
        <v>1500000</v>
      </c>
      <c r="H17" s="94">
        <f t="shared" si="0"/>
        <v>0</v>
      </c>
      <c r="I17" s="94">
        <f t="shared" si="1"/>
        <v>0</v>
      </c>
      <c r="J17" s="95">
        <f t="shared" si="2"/>
        <v>0</v>
      </c>
      <c r="L17" s="95">
        <f t="shared" si="3"/>
        <v>0</v>
      </c>
      <c r="M17" s="96">
        <f t="shared" si="4"/>
        <v>0</v>
      </c>
      <c r="Q17" s="86">
        <f t="shared" si="6"/>
        <v>0</v>
      </c>
      <c r="R17" s="87"/>
    </row>
    <row r="18" spans="2:18" x14ac:dyDescent="0.35">
      <c r="B18" s="97"/>
      <c r="C18" s="98"/>
      <c r="D18" s="99"/>
      <c r="E18" s="100"/>
      <c r="F18" s="101"/>
      <c r="G18" s="102"/>
      <c r="H18" s="130"/>
      <c r="I18" s="130"/>
      <c r="J18" s="130"/>
      <c r="K18" s="99"/>
      <c r="L18" s="103" t="s">
        <v>137</v>
      </c>
      <c r="M18" s="103"/>
      <c r="N18" s="104"/>
      <c r="Q18" s="86">
        <f t="shared" si="6"/>
        <v>0</v>
      </c>
      <c r="R18" s="105"/>
    </row>
    <row r="19" spans="2:18" x14ac:dyDescent="0.35">
      <c r="B19" s="89">
        <v>1</v>
      </c>
      <c r="C19" s="106" t="s">
        <v>138</v>
      </c>
      <c r="D19" s="61" t="s">
        <v>139</v>
      </c>
      <c r="E19" s="61" t="s">
        <v>116</v>
      </c>
      <c r="G19" s="93">
        <v>1050000</v>
      </c>
      <c r="H19" s="107"/>
      <c r="I19" s="108"/>
      <c r="L19" s="107">
        <v>0.05</v>
      </c>
      <c r="M19" s="109">
        <f>L19*0.5*G19</f>
        <v>26250</v>
      </c>
      <c r="Q19" s="86">
        <f t="shared" si="6"/>
        <v>0</v>
      </c>
      <c r="R19" s="87"/>
    </row>
    <row r="20" spans="2:18" x14ac:dyDescent="0.35">
      <c r="B20" s="89">
        <v>2</v>
      </c>
      <c r="C20" s="106" t="s">
        <v>140</v>
      </c>
      <c r="D20" s="61" t="s">
        <v>141</v>
      </c>
      <c r="G20" s="93"/>
      <c r="H20" s="107"/>
      <c r="I20" s="108"/>
      <c r="L20" s="107">
        <v>0.05</v>
      </c>
      <c r="M20" s="109">
        <f>L20*0.5*G20</f>
        <v>0</v>
      </c>
      <c r="Q20" s="86"/>
      <c r="R20" s="87"/>
    </row>
    <row r="21" spans="2:18" x14ac:dyDescent="0.35">
      <c r="B21" s="89">
        <v>3</v>
      </c>
      <c r="C21" s="106" t="s">
        <v>142</v>
      </c>
      <c r="D21" s="61" t="s">
        <v>42</v>
      </c>
      <c r="E21" s="61" t="s">
        <v>143</v>
      </c>
      <c r="G21" s="93">
        <v>2525250</v>
      </c>
      <c r="H21" s="107"/>
      <c r="I21" s="108"/>
      <c r="L21" s="107">
        <v>0.05</v>
      </c>
      <c r="M21" s="109">
        <f>L21*0.5*G21</f>
        <v>63131.25</v>
      </c>
      <c r="Q21" s="86"/>
      <c r="R21" s="87"/>
    </row>
    <row r="22" spans="2:18" x14ac:dyDescent="0.35">
      <c r="B22" s="89">
        <v>4</v>
      </c>
      <c r="C22" s="106" t="s">
        <v>144</v>
      </c>
      <c r="D22" s="61" t="s">
        <v>43</v>
      </c>
      <c r="E22" s="61" t="s">
        <v>145</v>
      </c>
      <c r="G22" s="93">
        <v>2252250</v>
      </c>
      <c r="H22" s="107"/>
      <c r="I22" s="108"/>
      <c r="L22" s="107">
        <v>0.05</v>
      </c>
      <c r="M22" s="109">
        <f t="shared" ref="M22:M25" si="8">L22*0.5*G22</f>
        <v>56306.25</v>
      </c>
      <c r="Q22" s="86"/>
      <c r="R22" s="87"/>
    </row>
    <row r="23" spans="2:18" x14ac:dyDescent="0.35">
      <c r="B23" s="89">
        <v>5</v>
      </c>
      <c r="C23" s="106" t="s">
        <v>146</v>
      </c>
      <c r="D23" s="61" t="s">
        <v>147</v>
      </c>
      <c r="E23" s="61" t="s">
        <v>130</v>
      </c>
      <c r="G23" s="93">
        <v>2252250</v>
      </c>
      <c r="H23" s="107"/>
      <c r="I23" s="108"/>
      <c r="L23" s="107">
        <v>0.05</v>
      </c>
      <c r="M23" s="109">
        <f t="shared" si="8"/>
        <v>56306.25</v>
      </c>
      <c r="Q23" s="86"/>
      <c r="R23" s="87"/>
    </row>
    <row r="24" spans="2:18" x14ac:dyDescent="0.35">
      <c r="B24" s="89">
        <v>6</v>
      </c>
      <c r="C24" s="106" t="s">
        <v>148</v>
      </c>
      <c r="D24" s="61" t="s">
        <v>46</v>
      </c>
      <c r="E24" s="61" t="s">
        <v>130</v>
      </c>
      <c r="G24" s="93">
        <v>10384500</v>
      </c>
      <c r="H24" s="107"/>
      <c r="I24" s="108"/>
      <c r="L24" s="107">
        <v>0.05</v>
      </c>
      <c r="M24" s="109">
        <f t="shared" si="8"/>
        <v>259612.5</v>
      </c>
      <c r="Q24" s="86"/>
      <c r="R24" s="87"/>
    </row>
    <row r="25" spans="2:18" ht="29" x14ac:dyDescent="0.35">
      <c r="B25" s="89">
        <v>7</v>
      </c>
      <c r="C25" s="110" t="s">
        <v>149</v>
      </c>
      <c r="D25" s="111" t="s">
        <v>47</v>
      </c>
      <c r="E25" s="112" t="s">
        <v>130</v>
      </c>
      <c r="G25" s="93">
        <v>9418500</v>
      </c>
      <c r="H25" s="107"/>
      <c r="I25" s="108"/>
      <c r="L25" s="113">
        <v>0.05</v>
      </c>
      <c r="M25" s="114">
        <f t="shared" si="8"/>
        <v>235462.5</v>
      </c>
      <c r="Q25" s="86"/>
      <c r="R25" s="87"/>
    </row>
    <row r="26" spans="2:18" x14ac:dyDescent="0.35">
      <c r="B26" s="89">
        <v>8</v>
      </c>
      <c r="C26" s="106" t="s">
        <v>150</v>
      </c>
      <c r="D26" s="61" t="s">
        <v>151</v>
      </c>
      <c r="E26" s="61" t="s">
        <v>116</v>
      </c>
      <c r="G26" s="93">
        <v>9418500</v>
      </c>
      <c r="H26" s="107"/>
      <c r="I26" s="108"/>
      <c r="L26" s="107">
        <v>0.05</v>
      </c>
      <c r="M26" s="109">
        <f>L26*0.5*G26</f>
        <v>235462.5</v>
      </c>
      <c r="Q26" s="86"/>
      <c r="R26" s="87"/>
    </row>
    <row r="27" spans="2:18" x14ac:dyDescent="0.35">
      <c r="B27" s="89">
        <v>9</v>
      </c>
      <c r="C27" s="106" t="s">
        <v>152</v>
      </c>
      <c r="D27" s="61" t="s">
        <v>153</v>
      </c>
      <c r="E27" s="61" t="s">
        <v>116</v>
      </c>
      <c r="G27" s="93">
        <v>1250000</v>
      </c>
      <c r="H27" s="107"/>
      <c r="I27" s="108"/>
      <c r="L27" s="107">
        <v>0.05</v>
      </c>
      <c r="M27" s="109">
        <f>L27*G27</f>
        <v>62500</v>
      </c>
      <c r="Q27" s="86"/>
      <c r="R27" s="87"/>
    </row>
    <row r="28" spans="2:18" x14ac:dyDescent="0.35">
      <c r="B28" s="115"/>
      <c r="C28" s="116"/>
      <c r="D28" s="117"/>
      <c r="E28" s="117"/>
      <c r="F28" s="117"/>
      <c r="G28" s="118"/>
      <c r="H28" s="119"/>
      <c r="I28" s="120"/>
      <c r="J28" s="117"/>
      <c r="K28" s="117"/>
      <c r="L28" s="119"/>
      <c r="M28" s="120">
        <f t="shared" ref="M28" si="9">R28*0.5*L28</f>
        <v>0</v>
      </c>
      <c r="Q28" s="86"/>
      <c r="R28" s="87"/>
    </row>
    <row r="29" spans="2:18" x14ac:dyDescent="0.35">
      <c r="C29" s="67" t="s">
        <v>13</v>
      </c>
      <c r="G29" s="108">
        <f>SUM(G8:G28)</f>
        <v>100172754.16666666</v>
      </c>
      <c r="J29" s="67" t="s">
        <v>13</v>
      </c>
      <c r="M29" s="121">
        <f>SUM(M8:M28)</f>
        <v>2592601.145833333</v>
      </c>
      <c r="N29" s="122">
        <f>SUM(N8:N27)</f>
        <v>0</v>
      </c>
      <c r="O29" s="122">
        <f>SUM(O8:O26)</f>
        <v>0</v>
      </c>
      <c r="P29" s="122">
        <f>SUM(P8:P26)</f>
        <v>0</v>
      </c>
      <c r="Q29" s="122">
        <f>SUM(Q8:Q26)</f>
        <v>0</v>
      </c>
      <c r="R29" s="122"/>
    </row>
    <row r="30" spans="2:18" x14ac:dyDescent="0.35">
      <c r="M30" s="105"/>
    </row>
    <row r="32" spans="2:18" x14ac:dyDescent="0.35">
      <c r="J32" s="61" t="s">
        <v>154</v>
      </c>
    </row>
    <row r="33" spans="3:10" x14ac:dyDescent="0.35">
      <c r="C33" s="62" t="s">
        <v>155</v>
      </c>
      <c r="J33" s="61" t="s">
        <v>156</v>
      </c>
    </row>
    <row r="38" spans="3:10" x14ac:dyDescent="0.35">
      <c r="C38" s="62" t="s">
        <v>157</v>
      </c>
      <c r="J38" s="61" t="s">
        <v>158</v>
      </c>
    </row>
  </sheetData>
  <mergeCells count="12">
    <mergeCell ref="B1:M2"/>
    <mergeCell ref="B4:B6"/>
    <mergeCell ref="D4:D6"/>
    <mergeCell ref="E4:E6"/>
    <mergeCell ref="F4:F6"/>
    <mergeCell ref="H4:J4"/>
    <mergeCell ref="M4:M6"/>
    <mergeCell ref="N4:N6"/>
    <mergeCell ref="O4:O6"/>
    <mergeCell ref="P4:P6"/>
    <mergeCell ref="Q5:Q6"/>
    <mergeCell ref="H18:J18"/>
  </mergeCells>
  <pageMargins left="0.7" right="0.7" top="0.75" bottom="0.75" header="0.3" footer="0.3"/>
  <pageSetup paperSize="9" scale="64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253A4-AEA8-4F34-A558-1A23E8092848}">
  <dimension ref="B1:R23"/>
  <sheetViews>
    <sheetView showGridLines="0" zoomScale="67" workbookViewId="0">
      <selection activeCell="B2" sqref="B2:Q10"/>
    </sheetView>
  </sheetViews>
  <sheetFormatPr defaultRowHeight="14.5" x14ac:dyDescent="0.35"/>
  <cols>
    <col min="2" max="2" width="5.6328125" bestFit="1" customWidth="1"/>
    <col min="3" max="3" width="11.6328125" bestFit="1" customWidth="1"/>
    <col min="4" max="4" width="11.453125" customWidth="1"/>
    <col min="5" max="5" width="11.81640625" customWidth="1"/>
    <col min="6" max="6" width="13.54296875" customWidth="1"/>
    <col min="7" max="7" width="11.6328125" bestFit="1" customWidth="1"/>
    <col min="9" max="9" width="7.1796875" customWidth="1"/>
    <col min="10" max="15" width="8.7265625" hidden="1" customWidth="1"/>
    <col min="16" max="16" width="15.90625" bestFit="1" customWidth="1"/>
    <col min="17" max="17" width="25.453125" bestFit="1" customWidth="1"/>
  </cols>
  <sheetData>
    <row r="1" spans="2:18" ht="15" thickBot="1" x14ac:dyDescent="0.4"/>
    <row r="2" spans="2:18" x14ac:dyDescent="0.35">
      <c r="B2" s="151" t="s">
        <v>0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3"/>
      <c r="P2" s="1" t="s">
        <v>1</v>
      </c>
      <c r="Q2" s="1" t="s">
        <v>2</v>
      </c>
      <c r="R2" s="2" t="s">
        <v>3</v>
      </c>
    </row>
    <row r="3" spans="2:18" ht="14.5" customHeight="1" x14ac:dyDescent="0.35">
      <c r="B3" s="3">
        <v>1</v>
      </c>
      <c r="C3" s="154" t="s">
        <v>4</v>
      </c>
      <c r="D3" s="155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7"/>
      <c r="P3" s="4" t="s">
        <v>5</v>
      </c>
      <c r="Q3" s="4" t="s">
        <v>6</v>
      </c>
      <c r="R3" s="5">
        <v>109</v>
      </c>
    </row>
    <row r="4" spans="2:18" ht="14.5" customHeight="1" x14ac:dyDescent="0.35">
      <c r="B4" s="6">
        <v>2</v>
      </c>
      <c r="C4" s="154" t="s">
        <v>22</v>
      </c>
      <c r="D4" s="155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7"/>
      <c r="P4" s="4" t="s">
        <v>5</v>
      </c>
      <c r="Q4" s="4" t="s">
        <v>9</v>
      </c>
      <c r="R4" s="5">
        <v>98</v>
      </c>
    </row>
    <row r="5" spans="2:18" ht="31.5" customHeight="1" x14ac:dyDescent="0.35">
      <c r="B5" s="7">
        <v>3</v>
      </c>
      <c r="C5" s="154" t="s">
        <v>30</v>
      </c>
      <c r="D5" s="155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7"/>
      <c r="P5" s="4" t="s">
        <v>8</v>
      </c>
      <c r="Q5" s="8" t="s">
        <v>11</v>
      </c>
      <c r="R5" s="9">
        <v>108</v>
      </c>
    </row>
    <row r="6" spans="2:18" ht="31.5" customHeight="1" x14ac:dyDescent="0.35">
      <c r="B6" s="7">
        <v>4</v>
      </c>
      <c r="C6" s="158" t="s">
        <v>36</v>
      </c>
      <c r="D6" s="159"/>
      <c r="E6" s="159"/>
      <c r="F6" s="159"/>
      <c r="G6" s="159"/>
      <c r="H6" s="159"/>
      <c r="I6" s="159"/>
      <c r="J6" s="54"/>
      <c r="K6" s="54"/>
      <c r="L6" s="54"/>
      <c r="M6" s="54"/>
      <c r="N6" s="54"/>
      <c r="O6" s="55"/>
      <c r="P6" s="8" t="s">
        <v>8</v>
      </c>
      <c r="Q6" s="8" t="s">
        <v>9</v>
      </c>
      <c r="R6" s="9">
        <v>98</v>
      </c>
    </row>
    <row r="7" spans="2:18" ht="31.5" customHeight="1" x14ac:dyDescent="0.35">
      <c r="B7" s="7">
        <v>5</v>
      </c>
      <c r="C7" s="158" t="s">
        <v>33</v>
      </c>
      <c r="D7" s="159"/>
      <c r="E7" s="159"/>
      <c r="F7" s="159"/>
      <c r="G7" s="159"/>
      <c r="H7" s="159"/>
      <c r="I7" s="159"/>
      <c r="J7" s="54"/>
      <c r="K7" s="54"/>
      <c r="L7" s="54"/>
      <c r="M7" s="54"/>
      <c r="N7" s="54"/>
      <c r="O7" s="55"/>
      <c r="P7" s="8" t="s">
        <v>26</v>
      </c>
      <c r="Q7" s="8" t="s">
        <v>9</v>
      </c>
      <c r="R7" s="9">
        <v>107</v>
      </c>
    </row>
    <row r="8" spans="2:18" ht="31.5" customHeight="1" x14ac:dyDescent="0.35">
      <c r="B8" s="7">
        <v>6</v>
      </c>
      <c r="C8" s="158" t="s">
        <v>90</v>
      </c>
      <c r="D8" s="159"/>
      <c r="E8" s="159"/>
      <c r="F8" s="159"/>
      <c r="G8" s="159"/>
      <c r="H8" s="159"/>
      <c r="I8" s="159"/>
      <c r="J8" s="54"/>
      <c r="K8" s="54"/>
      <c r="L8" s="54"/>
      <c r="M8" s="54"/>
      <c r="N8" s="54"/>
      <c r="O8" s="55"/>
      <c r="P8" s="8" t="s">
        <v>8</v>
      </c>
      <c r="Q8" s="8"/>
      <c r="R8" s="9">
        <v>110</v>
      </c>
    </row>
    <row r="9" spans="2:18" ht="31.5" customHeight="1" x14ac:dyDescent="0.35">
      <c r="B9" s="7">
        <v>7</v>
      </c>
      <c r="C9" s="158" t="s">
        <v>91</v>
      </c>
      <c r="D9" s="159"/>
      <c r="E9" s="159"/>
      <c r="F9" s="159"/>
      <c r="G9" s="159"/>
      <c r="H9" s="159"/>
      <c r="I9" s="159"/>
      <c r="J9" s="54"/>
      <c r="K9" s="54"/>
      <c r="L9" s="54"/>
      <c r="M9" s="54"/>
      <c r="N9" s="54"/>
      <c r="O9" s="55"/>
      <c r="P9" s="8"/>
      <c r="Q9" s="8"/>
      <c r="R9" s="9">
        <v>110</v>
      </c>
    </row>
    <row r="10" spans="2:18" ht="15" customHeight="1" thickBot="1" x14ac:dyDescent="0.4">
      <c r="B10" s="10">
        <v>8</v>
      </c>
      <c r="C10" s="160" t="s">
        <v>92</v>
      </c>
      <c r="D10" s="161"/>
      <c r="E10" s="161"/>
      <c r="F10" s="161"/>
      <c r="G10" s="161"/>
      <c r="H10" s="161"/>
      <c r="I10" s="161"/>
      <c r="J10" s="11"/>
      <c r="K10" s="11"/>
      <c r="L10" s="11"/>
      <c r="M10" s="11"/>
      <c r="N10" s="11"/>
      <c r="O10" s="12"/>
      <c r="P10" s="13"/>
      <c r="Q10" s="13"/>
      <c r="R10" s="14">
        <v>110</v>
      </c>
    </row>
    <row r="11" spans="2:18" x14ac:dyDescent="0.35">
      <c r="Q11" s="15" t="s">
        <v>13</v>
      </c>
      <c r="R11" s="16">
        <f>SUM(R3:R10)</f>
        <v>850</v>
      </c>
    </row>
    <row r="12" spans="2:18" x14ac:dyDescent="0.35">
      <c r="Q12" s="15" t="s">
        <v>14</v>
      </c>
      <c r="R12" s="16">
        <f>R11/8</f>
        <v>106.25</v>
      </c>
    </row>
    <row r="13" spans="2:18" x14ac:dyDescent="0.35">
      <c r="Q13" s="15" t="s">
        <v>86</v>
      </c>
      <c r="R13" s="46">
        <f>D18</f>
        <v>2</v>
      </c>
    </row>
    <row r="14" spans="2:18" x14ac:dyDescent="0.35">
      <c r="Q14" s="15" t="s">
        <v>15</v>
      </c>
      <c r="R14" s="17" t="str">
        <f>C16</f>
        <v>P4</v>
      </c>
    </row>
    <row r="15" spans="2:18" x14ac:dyDescent="0.35">
      <c r="Q15" s="47"/>
      <c r="R15" s="48"/>
    </row>
    <row r="16" spans="2:18" x14ac:dyDescent="0.35">
      <c r="B16" s="175" t="s">
        <v>16</v>
      </c>
      <c r="C16" s="176" t="s">
        <v>17</v>
      </c>
      <c r="D16" s="177"/>
      <c r="E16" s="177"/>
      <c r="F16" s="177"/>
      <c r="G16" s="178"/>
      <c r="H16" s="175" t="s">
        <v>18</v>
      </c>
      <c r="I16" s="175" t="s">
        <v>19</v>
      </c>
      <c r="J16" s="175" t="s">
        <v>20</v>
      </c>
      <c r="K16" s="179"/>
      <c r="L16" s="179"/>
      <c r="M16" s="179"/>
      <c r="N16" s="179"/>
      <c r="O16" s="179"/>
      <c r="P16" s="175" t="s">
        <v>20</v>
      </c>
    </row>
    <row r="17" spans="2:16" x14ac:dyDescent="0.35">
      <c r="B17" s="175">
        <v>110</v>
      </c>
      <c r="C17" s="175" t="s">
        <v>79</v>
      </c>
      <c r="D17" s="175" t="s">
        <v>95</v>
      </c>
      <c r="E17" s="175" t="s">
        <v>94</v>
      </c>
      <c r="F17" s="175" t="s">
        <v>93</v>
      </c>
      <c r="G17" s="175" t="s">
        <v>82</v>
      </c>
      <c r="H17" s="181">
        <v>100</v>
      </c>
      <c r="I17" s="181" t="s">
        <v>83</v>
      </c>
      <c r="J17" s="181" t="s">
        <v>21</v>
      </c>
      <c r="K17" s="182"/>
      <c r="L17" s="182"/>
      <c r="M17" s="182"/>
      <c r="N17" s="182"/>
      <c r="O17" s="182"/>
      <c r="P17" s="181" t="s">
        <v>84</v>
      </c>
    </row>
    <row r="18" spans="2:16" x14ac:dyDescent="0.35">
      <c r="B18" s="180">
        <v>2.5</v>
      </c>
      <c r="C18" s="180">
        <v>2.2000000000000002</v>
      </c>
      <c r="D18" s="180">
        <v>2</v>
      </c>
      <c r="E18" s="180">
        <v>1.8</v>
      </c>
      <c r="F18" s="180">
        <v>1.4</v>
      </c>
      <c r="G18" s="180">
        <v>1.1000000000000001</v>
      </c>
      <c r="H18" s="180">
        <v>1</v>
      </c>
      <c r="I18" s="180">
        <v>0.8</v>
      </c>
      <c r="J18" s="180">
        <v>0.5</v>
      </c>
      <c r="K18" s="182"/>
      <c r="L18" s="182"/>
      <c r="M18" s="182"/>
      <c r="N18" s="182"/>
      <c r="O18" s="182"/>
      <c r="P18" s="180">
        <v>0.6</v>
      </c>
    </row>
    <row r="21" spans="2:16" x14ac:dyDescent="0.35">
      <c r="B21" s="18" t="s">
        <v>16</v>
      </c>
      <c r="C21" s="148" t="s">
        <v>17</v>
      </c>
      <c r="D21" s="149"/>
      <c r="E21" s="149"/>
      <c r="F21" s="150"/>
      <c r="G21" s="18" t="s">
        <v>18</v>
      </c>
      <c r="H21" s="18" t="s">
        <v>19</v>
      </c>
      <c r="I21" s="18" t="s">
        <v>20</v>
      </c>
      <c r="O21" s="18" t="s">
        <v>20</v>
      </c>
    </row>
    <row r="22" spans="2:16" x14ac:dyDescent="0.35">
      <c r="B22" s="18">
        <v>110</v>
      </c>
      <c r="C22" s="18" t="s">
        <v>79</v>
      </c>
      <c r="D22" s="18" t="s">
        <v>80</v>
      </c>
      <c r="E22" s="18" t="s">
        <v>81</v>
      </c>
      <c r="F22" s="18" t="s">
        <v>82</v>
      </c>
      <c r="G22" s="18">
        <v>100</v>
      </c>
      <c r="H22" s="18" t="s">
        <v>83</v>
      </c>
      <c r="I22" s="18" t="s">
        <v>21</v>
      </c>
      <c r="O22" s="18" t="s">
        <v>84</v>
      </c>
    </row>
    <row r="23" spans="2:16" x14ac:dyDescent="0.35">
      <c r="B23" s="19">
        <v>2.5</v>
      </c>
      <c r="C23" s="19">
        <v>2.2000000000000002</v>
      </c>
      <c r="D23" s="19">
        <v>1.8</v>
      </c>
      <c r="E23" s="19">
        <v>1.4</v>
      </c>
      <c r="F23" s="19">
        <v>1.1000000000000001</v>
      </c>
      <c r="G23" s="19">
        <v>1</v>
      </c>
      <c r="H23" s="19">
        <v>0.8</v>
      </c>
      <c r="I23" s="19">
        <v>0.5</v>
      </c>
      <c r="O23" s="19">
        <v>0.6</v>
      </c>
    </row>
  </sheetData>
  <mergeCells count="11">
    <mergeCell ref="C16:G16"/>
    <mergeCell ref="C21:F21"/>
    <mergeCell ref="B2:O2"/>
    <mergeCell ref="C3:O3"/>
    <mergeCell ref="C4:O4"/>
    <mergeCell ref="C5:O5"/>
    <mergeCell ref="C7:I7"/>
    <mergeCell ref="C6:I6"/>
    <mergeCell ref="C8:I8"/>
    <mergeCell ref="C9:I9"/>
    <mergeCell ref="C10:I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39089-F911-42EC-AD46-2669E8A63760}">
  <dimension ref="B1:Q14"/>
  <sheetViews>
    <sheetView showGridLines="0" topLeftCell="B1" zoomScale="67" workbookViewId="0">
      <selection activeCell="C3" sqref="C3:N6"/>
    </sheetView>
  </sheetViews>
  <sheetFormatPr defaultRowHeight="14.5" x14ac:dyDescent="0.35"/>
  <cols>
    <col min="4" max="4" width="11.81640625" customWidth="1"/>
    <col min="5" max="5" width="10.1796875" bestFit="1" customWidth="1"/>
    <col min="8" max="8" width="7.1796875" customWidth="1"/>
    <col min="9" max="14" width="8.7265625" hidden="1" customWidth="1"/>
    <col min="15" max="15" width="15.90625" bestFit="1" customWidth="1"/>
    <col min="16" max="16" width="25.453125" bestFit="1" customWidth="1"/>
  </cols>
  <sheetData>
    <row r="1" spans="2:17" ht="15" thickBot="1" x14ac:dyDescent="0.4"/>
    <row r="2" spans="2:17" x14ac:dyDescent="0.35">
      <c r="B2" s="151" t="s">
        <v>0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3"/>
      <c r="O2" s="1" t="s">
        <v>1</v>
      </c>
      <c r="P2" s="1" t="s">
        <v>2</v>
      </c>
      <c r="Q2" s="2" t="s">
        <v>3</v>
      </c>
    </row>
    <row r="3" spans="2:17" ht="14.5" customHeight="1" x14ac:dyDescent="0.35">
      <c r="B3" s="3">
        <v>1</v>
      </c>
      <c r="C3" s="154" t="s">
        <v>4</v>
      </c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7"/>
      <c r="O3" s="4" t="s">
        <v>5</v>
      </c>
      <c r="P3" s="4" t="s">
        <v>6</v>
      </c>
      <c r="Q3" s="5">
        <v>106</v>
      </c>
    </row>
    <row r="4" spans="2:17" ht="14.5" customHeight="1" x14ac:dyDescent="0.35">
      <c r="B4" s="6">
        <v>2</v>
      </c>
      <c r="C4" s="154" t="s">
        <v>7</v>
      </c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7"/>
      <c r="O4" s="4" t="s">
        <v>8</v>
      </c>
      <c r="P4" s="4" t="s">
        <v>9</v>
      </c>
      <c r="Q4" s="5">
        <v>108</v>
      </c>
    </row>
    <row r="5" spans="2:17" ht="14.5" customHeight="1" x14ac:dyDescent="0.35">
      <c r="B5" s="7">
        <v>3</v>
      </c>
      <c r="C5" s="154" t="s">
        <v>10</v>
      </c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7"/>
      <c r="O5" s="4" t="s">
        <v>8</v>
      </c>
      <c r="P5" s="8" t="s">
        <v>11</v>
      </c>
      <c r="Q5" s="9">
        <v>109</v>
      </c>
    </row>
    <row r="6" spans="2:17" ht="15" customHeight="1" thickBot="1" x14ac:dyDescent="0.4">
      <c r="B6" s="10">
        <v>4</v>
      </c>
      <c r="C6" s="11" t="s">
        <v>12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  <c r="O6" s="13" t="s">
        <v>8</v>
      </c>
      <c r="P6" s="13" t="s">
        <v>9</v>
      </c>
      <c r="Q6" s="14">
        <v>110</v>
      </c>
    </row>
    <row r="7" spans="2:17" x14ac:dyDescent="0.35">
      <c r="P7" s="15" t="s">
        <v>13</v>
      </c>
      <c r="Q7" s="16">
        <f>SUM(Q3:Q6)</f>
        <v>433</v>
      </c>
    </row>
    <row r="8" spans="2:17" x14ac:dyDescent="0.35">
      <c r="P8" s="15" t="s">
        <v>14</v>
      </c>
      <c r="Q8" s="16">
        <f>Q7/4</f>
        <v>108.25</v>
      </c>
    </row>
    <row r="9" spans="2:17" x14ac:dyDescent="0.35">
      <c r="P9" s="15" t="s">
        <v>86</v>
      </c>
      <c r="Q9" s="46">
        <f>C14</f>
        <v>2.2000000000000002</v>
      </c>
    </row>
    <row r="10" spans="2:17" x14ac:dyDescent="0.35">
      <c r="P10" s="15" t="s">
        <v>15</v>
      </c>
      <c r="Q10" s="17" t="str">
        <f>C12</f>
        <v>P4</v>
      </c>
    </row>
    <row r="11" spans="2:17" x14ac:dyDescent="0.35">
      <c r="P11" s="47"/>
      <c r="Q11" s="48"/>
    </row>
    <row r="12" spans="2:17" x14ac:dyDescent="0.35">
      <c r="B12" s="18" t="s">
        <v>16</v>
      </c>
      <c r="C12" s="148" t="s">
        <v>17</v>
      </c>
      <c r="D12" s="149"/>
      <c r="E12" s="149"/>
      <c r="F12" s="150"/>
      <c r="G12" s="18" t="s">
        <v>18</v>
      </c>
      <c r="H12" s="18" t="s">
        <v>19</v>
      </c>
      <c r="I12" s="18" t="s">
        <v>20</v>
      </c>
      <c r="O12" s="18" t="s">
        <v>20</v>
      </c>
    </row>
    <row r="13" spans="2:17" x14ac:dyDescent="0.35">
      <c r="B13" s="18">
        <v>110</v>
      </c>
      <c r="C13" s="18" t="s">
        <v>79</v>
      </c>
      <c r="D13" s="18" t="s">
        <v>80</v>
      </c>
      <c r="E13" s="18" t="s">
        <v>81</v>
      </c>
      <c r="F13" s="18" t="s">
        <v>82</v>
      </c>
      <c r="G13" s="18">
        <v>100</v>
      </c>
      <c r="H13" s="18" t="s">
        <v>83</v>
      </c>
      <c r="I13" s="18" t="s">
        <v>21</v>
      </c>
      <c r="O13" s="18" t="s">
        <v>84</v>
      </c>
    </row>
    <row r="14" spans="2:17" x14ac:dyDescent="0.35">
      <c r="B14" s="19">
        <v>2.5</v>
      </c>
      <c r="C14" s="19">
        <v>2.2000000000000002</v>
      </c>
      <c r="D14" s="19">
        <v>1.8</v>
      </c>
      <c r="E14" s="19">
        <v>1.4</v>
      </c>
      <c r="F14" s="19">
        <v>1.1000000000000001</v>
      </c>
      <c r="G14" s="19">
        <v>1</v>
      </c>
      <c r="H14" s="19">
        <v>0.8</v>
      </c>
      <c r="I14" s="19">
        <v>0.5</v>
      </c>
      <c r="O14" s="19">
        <v>0.6</v>
      </c>
    </row>
  </sheetData>
  <mergeCells count="5">
    <mergeCell ref="B2:N2"/>
    <mergeCell ref="C3:N3"/>
    <mergeCell ref="C4:N4"/>
    <mergeCell ref="C5:N5"/>
    <mergeCell ref="C12:F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75D4A-17AC-4FF4-9C79-02A848A7BE65}">
  <sheetPr>
    <tabColor rgb="FFFFFF00"/>
  </sheetPr>
  <dimension ref="B1:Q14"/>
  <sheetViews>
    <sheetView showGridLines="0" workbookViewId="0">
      <selection activeCell="C5" sqref="C5:N5"/>
    </sheetView>
  </sheetViews>
  <sheetFormatPr defaultRowHeight="14.5" x14ac:dyDescent="0.35"/>
  <cols>
    <col min="6" max="6" width="11.6328125" bestFit="1" customWidth="1"/>
    <col min="8" max="8" width="7.1796875" customWidth="1"/>
    <col min="9" max="14" width="8.7265625" hidden="1" customWidth="1"/>
    <col min="15" max="15" width="15.90625" bestFit="1" customWidth="1"/>
    <col min="16" max="16" width="22.6328125" bestFit="1" customWidth="1"/>
  </cols>
  <sheetData>
    <row r="1" spans="2:17" ht="15" thickBot="1" x14ac:dyDescent="0.4"/>
    <row r="2" spans="2:17" x14ac:dyDescent="0.35">
      <c r="B2" s="151" t="s">
        <v>0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3"/>
      <c r="O2" s="1" t="s">
        <v>1</v>
      </c>
      <c r="P2" s="1" t="s">
        <v>2</v>
      </c>
      <c r="Q2" s="2" t="s">
        <v>3</v>
      </c>
    </row>
    <row r="3" spans="2:17" ht="30.5" customHeight="1" x14ac:dyDescent="0.35">
      <c r="B3" s="3">
        <v>1</v>
      </c>
      <c r="C3" s="154" t="s">
        <v>22</v>
      </c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7"/>
      <c r="O3" s="4" t="s">
        <v>5</v>
      </c>
      <c r="P3" s="4" t="s">
        <v>9</v>
      </c>
      <c r="Q3" s="20">
        <v>98</v>
      </c>
    </row>
    <row r="4" spans="2:17" ht="14.5" customHeight="1" x14ac:dyDescent="0.35">
      <c r="B4" s="6">
        <v>2</v>
      </c>
      <c r="C4" s="154" t="s">
        <v>23</v>
      </c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7"/>
      <c r="O4" s="4" t="s">
        <v>8</v>
      </c>
      <c r="P4" s="4" t="s">
        <v>9</v>
      </c>
      <c r="Q4" s="20">
        <v>101</v>
      </c>
    </row>
    <row r="5" spans="2:17" ht="14.5" customHeight="1" x14ac:dyDescent="0.35">
      <c r="B5" s="7">
        <v>3</v>
      </c>
      <c r="C5" s="154" t="s">
        <v>24</v>
      </c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7"/>
      <c r="O5" s="4" t="s">
        <v>8</v>
      </c>
      <c r="P5" s="8" t="s">
        <v>11</v>
      </c>
      <c r="Q5" s="21">
        <v>98</v>
      </c>
    </row>
    <row r="6" spans="2:17" ht="15" thickBot="1" x14ac:dyDescent="0.4">
      <c r="B6" s="10">
        <v>4</v>
      </c>
      <c r="C6" s="11" t="s">
        <v>25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  <c r="O6" s="13" t="s">
        <v>26</v>
      </c>
      <c r="P6" s="13" t="s">
        <v>9</v>
      </c>
      <c r="Q6" s="22">
        <v>105</v>
      </c>
    </row>
    <row r="7" spans="2:17" x14ac:dyDescent="0.35">
      <c r="P7" s="15" t="s">
        <v>13</v>
      </c>
      <c r="Q7" s="16">
        <f>SUM(Q3:Q6)</f>
        <v>402</v>
      </c>
    </row>
    <row r="8" spans="2:17" x14ac:dyDescent="0.35">
      <c r="P8" s="15" t="s">
        <v>14</v>
      </c>
      <c r="Q8" s="16">
        <f>Q7/4</f>
        <v>100.5</v>
      </c>
    </row>
    <row r="9" spans="2:17" x14ac:dyDescent="0.35">
      <c r="P9" s="15" t="s">
        <v>86</v>
      </c>
      <c r="Q9" s="46">
        <f>F14</f>
        <v>1.1000000000000001</v>
      </c>
    </row>
    <row r="10" spans="2:17" x14ac:dyDescent="0.35">
      <c r="P10" s="15" t="s">
        <v>15</v>
      </c>
      <c r="Q10" s="17" t="str">
        <f>C12</f>
        <v>P4</v>
      </c>
    </row>
    <row r="12" spans="2:17" x14ac:dyDescent="0.35">
      <c r="B12" s="18" t="s">
        <v>16</v>
      </c>
      <c r="C12" s="148" t="s">
        <v>17</v>
      </c>
      <c r="D12" s="149"/>
      <c r="E12" s="149"/>
      <c r="F12" s="150"/>
      <c r="G12" s="18" t="s">
        <v>18</v>
      </c>
      <c r="H12" s="18" t="s">
        <v>19</v>
      </c>
      <c r="I12" s="18" t="s">
        <v>20</v>
      </c>
      <c r="O12" s="18" t="s">
        <v>20</v>
      </c>
    </row>
    <row r="13" spans="2:17" x14ac:dyDescent="0.35">
      <c r="B13" s="18">
        <v>110</v>
      </c>
      <c r="C13" s="18" t="s">
        <v>79</v>
      </c>
      <c r="D13" s="18" t="s">
        <v>80</v>
      </c>
      <c r="E13" s="18" t="s">
        <v>81</v>
      </c>
      <c r="F13" s="18" t="s">
        <v>82</v>
      </c>
      <c r="G13" s="18">
        <v>100</v>
      </c>
      <c r="H13" s="18" t="s">
        <v>83</v>
      </c>
      <c r="I13" s="18" t="s">
        <v>21</v>
      </c>
      <c r="O13" s="18" t="s">
        <v>84</v>
      </c>
    </row>
    <row r="14" spans="2:17" x14ac:dyDescent="0.35">
      <c r="B14" s="19">
        <v>2.5</v>
      </c>
      <c r="C14" s="19">
        <v>2.2000000000000002</v>
      </c>
      <c r="D14" s="19">
        <v>1.8</v>
      </c>
      <c r="E14" s="19">
        <v>1.4</v>
      </c>
      <c r="F14" s="19">
        <v>1.1000000000000001</v>
      </c>
      <c r="G14" s="19">
        <v>1</v>
      </c>
      <c r="H14" s="19">
        <v>0.8</v>
      </c>
      <c r="I14" s="19">
        <v>0.5</v>
      </c>
      <c r="O14" s="19">
        <v>0.6</v>
      </c>
    </row>
  </sheetData>
  <mergeCells count="5">
    <mergeCell ref="B2:N2"/>
    <mergeCell ref="C3:N3"/>
    <mergeCell ref="C4:N4"/>
    <mergeCell ref="C5:N5"/>
    <mergeCell ref="C12:F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EE2A1-90E7-4189-8515-F54A6469EA47}">
  <dimension ref="B1:Q17"/>
  <sheetViews>
    <sheetView showGridLines="0" workbookViewId="0">
      <selection activeCell="B2" sqref="B2:P8"/>
    </sheetView>
  </sheetViews>
  <sheetFormatPr defaultRowHeight="14.5" x14ac:dyDescent="0.35"/>
  <cols>
    <col min="7" max="7" width="3.6328125" customWidth="1"/>
    <col min="8" max="8" width="6.81640625" customWidth="1"/>
    <col min="9" max="14" width="8.7265625" hidden="1" customWidth="1"/>
    <col min="15" max="15" width="15.90625" bestFit="1" customWidth="1"/>
    <col min="16" max="16" width="25.453125" bestFit="1" customWidth="1"/>
  </cols>
  <sheetData>
    <row r="1" spans="2:17" ht="15" thickBot="1" x14ac:dyDescent="0.4"/>
    <row r="2" spans="2:17" x14ac:dyDescent="0.35">
      <c r="B2" s="189" t="s">
        <v>0</v>
      </c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1" t="s">
        <v>1</v>
      </c>
      <c r="P2" s="191" t="s">
        <v>2</v>
      </c>
      <c r="Q2" s="187" t="s">
        <v>3</v>
      </c>
    </row>
    <row r="3" spans="2:17" x14ac:dyDescent="0.35">
      <c r="B3" s="192">
        <v>1</v>
      </c>
      <c r="C3" s="193" t="s">
        <v>27</v>
      </c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4" t="s">
        <v>8</v>
      </c>
      <c r="P3" s="4" t="s">
        <v>9</v>
      </c>
      <c r="Q3" s="20">
        <v>110</v>
      </c>
    </row>
    <row r="4" spans="2:17" ht="14.5" customHeight="1" x14ac:dyDescent="0.35">
      <c r="B4" s="192">
        <v>2</v>
      </c>
      <c r="C4" s="193" t="s">
        <v>28</v>
      </c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4" t="s">
        <v>8</v>
      </c>
      <c r="P4" s="4" t="s">
        <v>9</v>
      </c>
      <c r="Q4" s="20">
        <v>110</v>
      </c>
    </row>
    <row r="5" spans="2:17" ht="14.5" customHeight="1" x14ac:dyDescent="0.35">
      <c r="B5" s="192">
        <v>3</v>
      </c>
      <c r="C5" s="193" t="s">
        <v>29</v>
      </c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4" t="s">
        <v>8</v>
      </c>
      <c r="P5" s="4" t="s">
        <v>11</v>
      </c>
      <c r="Q5" s="21">
        <v>105.5</v>
      </c>
    </row>
    <row r="6" spans="2:17" x14ac:dyDescent="0.35">
      <c r="B6" s="192">
        <v>4</v>
      </c>
      <c r="C6" s="196" t="s">
        <v>25</v>
      </c>
      <c r="D6" s="197"/>
      <c r="E6" s="197"/>
      <c r="F6" s="197"/>
      <c r="G6" s="197"/>
      <c r="H6" s="198"/>
      <c r="I6" s="25"/>
      <c r="J6" s="25"/>
      <c r="K6" s="25"/>
      <c r="L6" s="25"/>
      <c r="M6" s="25"/>
      <c r="N6" s="25"/>
      <c r="O6" s="4" t="s">
        <v>8</v>
      </c>
      <c r="P6" s="4" t="s">
        <v>9</v>
      </c>
      <c r="Q6" s="20">
        <v>109</v>
      </c>
    </row>
    <row r="7" spans="2:17" x14ac:dyDescent="0.35">
      <c r="B7" s="192">
        <v>5</v>
      </c>
      <c r="C7" s="193" t="s">
        <v>24</v>
      </c>
      <c r="D7" s="194"/>
      <c r="E7" s="194"/>
      <c r="F7" s="194"/>
      <c r="G7" s="194"/>
      <c r="H7" s="194"/>
      <c r="I7" s="194"/>
      <c r="J7" s="194"/>
      <c r="K7" s="194"/>
      <c r="L7" s="194"/>
      <c r="M7" s="194"/>
      <c r="N7" s="194"/>
      <c r="O7" s="4" t="s">
        <v>8</v>
      </c>
      <c r="P7" s="4" t="s">
        <v>11</v>
      </c>
      <c r="Q7" s="21"/>
    </row>
    <row r="8" spans="2:17" ht="25.5" customHeight="1" x14ac:dyDescent="0.35">
      <c r="B8" s="192">
        <v>6</v>
      </c>
      <c r="C8" s="195" t="s">
        <v>160</v>
      </c>
      <c r="D8" s="195"/>
      <c r="E8" s="195"/>
      <c r="F8" s="195"/>
      <c r="G8" s="195"/>
      <c r="H8" s="195"/>
      <c r="I8" s="25"/>
      <c r="J8" s="25"/>
      <c r="K8" s="25"/>
      <c r="L8" s="25"/>
      <c r="M8" s="25"/>
      <c r="N8" s="25"/>
      <c r="O8" s="4" t="s">
        <v>8</v>
      </c>
      <c r="P8" s="4" t="s">
        <v>11</v>
      </c>
      <c r="Q8" s="21">
        <v>105.5</v>
      </c>
    </row>
    <row r="9" spans="2:17" x14ac:dyDescent="0.35">
      <c r="B9" s="183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5"/>
      <c r="P9" s="188"/>
      <c r="Q9" s="186"/>
    </row>
    <row r="10" spans="2:17" x14ac:dyDescent="0.35">
      <c r="P10" s="15" t="s">
        <v>13</v>
      </c>
      <c r="Q10" s="16">
        <f>SUM(Q3:Q8)</f>
        <v>540</v>
      </c>
    </row>
    <row r="11" spans="2:17" x14ac:dyDescent="0.35">
      <c r="P11" s="15" t="s">
        <v>14</v>
      </c>
      <c r="Q11" s="16">
        <f>Q10/5</f>
        <v>108</v>
      </c>
    </row>
    <row r="12" spans="2:17" x14ac:dyDescent="0.35">
      <c r="P12" s="15" t="s">
        <v>86</v>
      </c>
      <c r="Q12" s="46">
        <f>C17</f>
        <v>2.2000000000000002</v>
      </c>
    </row>
    <row r="13" spans="2:17" x14ac:dyDescent="0.35">
      <c r="P13" s="15" t="s">
        <v>15</v>
      </c>
      <c r="Q13" s="17" t="str">
        <f>C15</f>
        <v>P4</v>
      </c>
    </row>
    <row r="15" spans="2:17" x14ac:dyDescent="0.35">
      <c r="B15" s="18" t="s">
        <v>16</v>
      </c>
      <c r="C15" s="148" t="s">
        <v>17</v>
      </c>
      <c r="D15" s="149"/>
      <c r="E15" s="149"/>
      <c r="F15" s="150"/>
      <c r="G15" s="18" t="s">
        <v>18</v>
      </c>
      <c r="H15" s="18" t="s">
        <v>19</v>
      </c>
      <c r="I15" s="18" t="s">
        <v>20</v>
      </c>
      <c r="O15" s="18" t="s">
        <v>20</v>
      </c>
    </row>
    <row r="16" spans="2:17" x14ac:dyDescent="0.35">
      <c r="B16" s="18">
        <v>110</v>
      </c>
      <c r="C16" s="18" t="s">
        <v>79</v>
      </c>
      <c r="D16" s="18" t="s">
        <v>80</v>
      </c>
      <c r="E16" s="18" t="s">
        <v>81</v>
      </c>
      <c r="F16" s="18" t="s">
        <v>82</v>
      </c>
      <c r="G16" s="18">
        <v>100</v>
      </c>
      <c r="H16" s="18" t="s">
        <v>83</v>
      </c>
      <c r="I16" s="18" t="s">
        <v>21</v>
      </c>
      <c r="O16" s="18" t="s">
        <v>84</v>
      </c>
    </row>
    <row r="17" spans="2:15" x14ac:dyDescent="0.35">
      <c r="B17" s="19">
        <v>2.5</v>
      </c>
      <c r="C17" s="19">
        <v>2.2000000000000002</v>
      </c>
      <c r="D17" s="19">
        <v>1.8</v>
      </c>
      <c r="E17" s="19">
        <v>1.4</v>
      </c>
      <c r="F17" s="19">
        <v>1.1000000000000001</v>
      </c>
      <c r="G17" s="19">
        <v>1</v>
      </c>
      <c r="H17" s="19">
        <v>0.8</v>
      </c>
      <c r="I17" s="19">
        <v>0.5</v>
      </c>
      <c r="O17" s="19">
        <v>0.6</v>
      </c>
    </row>
  </sheetData>
  <mergeCells count="8">
    <mergeCell ref="C7:N7"/>
    <mergeCell ref="C8:H8"/>
    <mergeCell ref="C6:H6"/>
    <mergeCell ref="B2:N2"/>
    <mergeCell ref="C3:N3"/>
    <mergeCell ref="C4:N4"/>
    <mergeCell ref="C5:N5"/>
    <mergeCell ref="C15:F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9452F-0C51-4342-B202-BD4BBD544A1E}">
  <dimension ref="B1:Q14"/>
  <sheetViews>
    <sheetView showGridLines="0" workbookViewId="0">
      <selection activeCell="C3" sqref="C3:N3"/>
    </sheetView>
  </sheetViews>
  <sheetFormatPr defaultRowHeight="14.5" x14ac:dyDescent="0.35"/>
  <cols>
    <col min="6" max="6" width="9.81640625" customWidth="1"/>
    <col min="8" max="8" width="7.1796875" customWidth="1"/>
    <col min="9" max="14" width="8.7265625" hidden="1" customWidth="1"/>
    <col min="15" max="15" width="15.90625" bestFit="1" customWidth="1"/>
    <col min="16" max="16" width="26.90625" bestFit="1" customWidth="1"/>
  </cols>
  <sheetData>
    <row r="1" spans="2:17" ht="15" thickBot="1" x14ac:dyDescent="0.4"/>
    <row r="2" spans="2:17" x14ac:dyDescent="0.35">
      <c r="B2" s="151" t="s">
        <v>0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3"/>
      <c r="O2" s="1" t="s">
        <v>1</v>
      </c>
      <c r="P2" s="1" t="s">
        <v>2</v>
      </c>
      <c r="Q2" s="2" t="s">
        <v>3</v>
      </c>
    </row>
    <row r="3" spans="2:17" x14ac:dyDescent="0.35">
      <c r="B3" s="3">
        <v>1</v>
      </c>
      <c r="C3" s="154" t="s">
        <v>31</v>
      </c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7"/>
      <c r="O3" s="4" t="s">
        <v>8</v>
      </c>
      <c r="P3" s="4" t="s">
        <v>9</v>
      </c>
      <c r="Q3" s="5">
        <v>104.9</v>
      </c>
    </row>
    <row r="4" spans="2:17" x14ac:dyDescent="0.35">
      <c r="B4" s="6">
        <v>2</v>
      </c>
      <c r="C4" s="154" t="s">
        <v>32</v>
      </c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7"/>
      <c r="O4" s="4" t="s">
        <v>8</v>
      </c>
      <c r="P4" s="4" t="s">
        <v>9</v>
      </c>
      <c r="Q4" s="5">
        <v>105</v>
      </c>
    </row>
    <row r="5" spans="2:17" x14ac:dyDescent="0.35">
      <c r="B5" s="7">
        <v>3</v>
      </c>
      <c r="C5" s="162" t="s">
        <v>33</v>
      </c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4"/>
      <c r="O5" s="8" t="s">
        <v>8</v>
      </c>
      <c r="P5" s="8" t="s">
        <v>34</v>
      </c>
      <c r="Q5" s="9">
        <v>106</v>
      </c>
    </row>
    <row r="6" spans="2:17" ht="15" thickBot="1" x14ac:dyDescent="0.4">
      <c r="B6" s="10">
        <v>4</v>
      </c>
      <c r="C6" s="165" t="s">
        <v>35</v>
      </c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3" t="s">
        <v>26</v>
      </c>
      <c r="P6" s="13" t="s">
        <v>9</v>
      </c>
      <c r="Q6" s="14">
        <v>105</v>
      </c>
    </row>
    <row r="7" spans="2:17" x14ac:dyDescent="0.35">
      <c r="P7" s="15" t="s">
        <v>13</v>
      </c>
      <c r="Q7" s="16">
        <f>SUM(Q3:Q6)</f>
        <v>420.9</v>
      </c>
    </row>
    <row r="8" spans="2:17" x14ac:dyDescent="0.35">
      <c r="P8" s="15" t="s">
        <v>14</v>
      </c>
      <c r="Q8" s="16">
        <f>Q7/4</f>
        <v>105.22499999999999</v>
      </c>
    </row>
    <row r="9" spans="2:17" x14ac:dyDescent="0.35">
      <c r="P9" s="15" t="s">
        <v>86</v>
      </c>
      <c r="Q9" s="46">
        <f>D14</f>
        <v>1.8</v>
      </c>
    </row>
    <row r="10" spans="2:17" x14ac:dyDescent="0.35">
      <c r="P10" s="15" t="s">
        <v>15</v>
      </c>
      <c r="Q10" s="17" t="str">
        <f>C12</f>
        <v>P4</v>
      </c>
    </row>
    <row r="12" spans="2:17" x14ac:dyDescent="0.35">
      <c r="B12" s="18" t="s">
        <v>16</v>
      </c>
      <c r="C12" s="148" t="s">
        <v>17</v>
      </c>
      <c r="D12" s="149"/>
      <c r="E12" s="149"/>
      <c r="F12" s="150"/>
      <c r="G12" s="18" t="s">
        <v>18</v>
      </c>
      <c r="H12" s="18" t="s">
        <v>19</v>
      </c>
      <c r="I12" s="18" t="s">
        <v>20</v>
      </c>
      <c r="O12" s="18" t="s">
        <v>20</v>
      </c>
    </row>
    <row r="13" spans="2:17" x14ac:dyDescent="0.35">
      <c r="B13" s="18">
        <v>110</v>
      </c>
      <c r="C13" s="18" t="s">
        <v>79</v>
      </c>
      <c r="D13" s="18" t="s">
        <v>80</v>
      </c>
      <c r="E13" s="18" t="s">
        <v>81</v>
      </c>
      <c r="F13" s="18" t="s">
        <v>82</v>
      </c>
      <c r="G13" s="18">
        <v>100</v>
      </c>
      <c r="H13" s="18" t="s">
        <v>83</v>
      </c>
      <c r="I13" s="18" t="s">
        <v>21</v>
      </c>
      <c r="O13" s="18" t="s">
        <v>84</v>
      </c>
    </row>
    <row r="14" spans="2:17" x14ac:dyDescent="0.35">
      <c r="B14" s="19">
        <v>2.5</v>
      </c>
      <c r="C14" s="19">
        <v>2.2000000000000002</v>
      </c>
      <c r="D14" s="19">
        <v>1.8</v>
      </c>
      <c r="E14" s="19">
        <v>1.4</v>
      </c>
      <c r="F14" s="19">
        <v>1.1000000000000001</v>
      </c>
      <c r="G14" s="19">
        <v>1</v>
      </c>
      <c r="H14" s="19">
        <v>0.8</v>
      </c>
      <c r="I14" s="19">
        <v>0.5</v>
      </c>
      <c r="O14" s="19">
        <v>0.6</v>
      </c>
    </row>
  </sheetData>
  <mergeCells count="6">
    <mergeCell ref="C12:F12"/>
    <mergeCell ref="B2:N2"/>
    <mergeCell ref="C3:N3"/>
    <mergeCell ref="C4:N4"/>
    <mergeCell ref="C5:N5"/>
    <mergeCell ref="C6:N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3688D-3B97-4D59-9251-CBAAB9625F8C}">
  <sheetPr>
    <tabColor rgb="FFFFFF00"/>
  </sheetPr>
  <dimension ref="B1:Q15"/>
  <sheetViews>
    <sheetView showGridLines="0" workbookViewId="0">
      <selection activeCell="C3" sqref="C3:N7"/>
    </sheetView>
  </sheetViews>
  <sheetFormatPr defaultRowHeight="14.5" x14ac:dyDescent="0.35"/>
  <cols>
    <col min="8" max="8" width="7.1796875" customWidth="1"/>
    <col min="9" max="14" width="8.7265625" hidden="1" customWidth="1"/>
    <col min="15" max="15" width="15.90625" bestFit="1" customWidth="1"/>
    <col min="16" max="16" width="22.6328125" bestFit="1" customWidth="1"/>
  </cols>
  <sheetData>
    <row r="1" spans="2:17" ht="15" thickBot="1" x14ac:dyDescent="0.4"/>
    <row r="2" spans="2:17" x14ac:dyDescent="0.35">
      <c r="B2" s="151" t="s">
        <v>0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3"/>
      <c r="O2" s="1" t="s">
        <v>1</v>
      </c>
      <c r="P2" s="1" t="s">
        <v>2</v>
      </c>
      <c r="Q2" s="2" t="s">
        <v>3</v>
      </c>
    </row>
    <row r="3" spans="2:17" ht="14.5" customHeight="1" x14ac:dyDescent="0.35">
      <c r="B3" s="3">
        <v>1</v>
      </c>
      <c r="C3" s="154" t="s">
        <v>36</v>
      </c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7"/>
      <c r="O3" s="4" t="s">
        <v>8</v>
      </c>
      <c r="P3" s="4" t="s">
        <v>9</v>
      </c>
      <c r="Q3" s="5">
        <v>93</v>
      </c>
    </row>
    <row r="4" spans="2:17" ht="14.5" customHeight="1" x14ac:dyDescent="0.35">
      <c r="B4" s="6">
        <v>2</v>
      </c>
      <c r="C4" s="167" t="s">
        <v>37</v>
      </c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7"/>
      <c r="O4" s="4" t="s">
        <v>8</v>
      </c>
      <c r="P4" s="4" t="s">
        <v>9</v>
      </c>
      <c r="Q4" s="5">
        <v>99</v>
      </c>
    </row>
    <row r="5" spans="2:17" ht="14.5" customHeight="1" x14ac:dyDescent="0.35">
      <c r="B5" s="7">
        <v>3</v>
      </c>
      <c r="C5" s="168" t="s">
        <v>38</v>
      </c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4"/>
      <c r="O5" s="4" t="s">
        <v>8</v>
      </c>
      <c r="P5" s="8" t="s">
        <v>9</v>
      </c>
      <c r="Q5" s="9">
        <v>99</v>
      </c>
    </row>
    <row r="6" spans="2:17" x14ac:dyDescent="0.35">
      <c r="B6" s="23">
        <v>4</v>
      </c>
      <c r="C6" s="169" t="s">
        <v>39</v>
      </c>
      <c r="D6" s="170"/>
      <c r="E6" s="170"/>
      <c r="F6" s="170"/>
      <c r="G6" s="170"/>
      <c r="H6" s="171"/>
      <c r="I6" s="25"/>
      <c r="J6" s="25"/>
      <c r="K6" s="25"/>
      <c r="L6" s="25"/>
      <c r="M6" s="25"/>
      <c r="N6" s="25"/>
      <c r="O6" s="4" t="s">
        <v>8</v>
      </c>
      <c r="P6" s="4" t="s">
        <v>9</v>
      </c>
      <c r="Q6" s="5">
        <v>105</v>
      </c>
    </row>
    <row r="7" spans="2:17" ht="15" thickBot="1" x14ac:dyDescent="0.4">
      <c r="B7" s="26">
        <v>5</v>
      </c>
      <c r="C7" s="27" t="s">
        <v>40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2"/>
      <c r="O7" s="28" t="s">
        <v>26</v>
      </c>
      <c r="P7" s="28" t="s">
        <v>9</v>
      </c>
      <c r="Q7" s="29">
        <v>106</v>
      </c>
    </row>
    <row r="8" spans="2:17" x14ac:dyDescent="0.35">
      <c r="P8" s="15" t="s">
        <v>13</v>
      </c>
      <c r="Q8" s="16">
        <f>SUM(Q3:Q7)</f>
        <v>502</v>
      </c>
    </row>
    <row r="9" spans="2:17" x14ac:dyDescent="0.35">
      <c r="P9" s="15" t="s">
        <v>14</v>
      </c>
      <c r="Q9" s="16">
        <f>Q8/5</f>
        <v>100.4</v>
      </c>
    </row>
    <row r="10" spans="2:17" x14ac:dyDescent="0.35">
      <c r="P10" s="15" t="s">
        <v>86</v>
      </c>
      <c r="Q10" s="46">
        <f>F15</f>
        <v>1.1000000000000001</v>
      </c>
    </row>
    <row r="11" spans="2:17" x14ac:dyDescent="0.35">
      <c r="P11" s="15" t="s">
        <v>15</v>
      </c>
      <c r="Q11" s="17" t="str">
        <f>C13</f>
        <v>P4</v>
      </c>
    </row>
    <row r="12" spans="2:17" x14ac:dyDescent="0.35">
      <c r="P12" s="47"/>
      <c r="Q12" s="48"/>
    </row>
    <row r="13" spans="2:17" x14ac:dyDescent="0.35">
      <c r="B13" s="18" t="s">
        <v>16</v>
      </c>
      <c r="C13" s="148" t="s">
        <v>17</v>
      </c>
      <c r="D13" s="149"/>
      <c r="E13" s="149"/>
      <c r="F13" s="150"/>
      <c r="G13" s="18" t="s">
        <v>18</v>
      </c>
      <c r="H13" s="18" t="s">
        <v>19</v>
      </c>
      <c r="I13" s="18" t="s">
        <v>20</v>
      </c>
      <c r="O13" s="18" t="s">
        <v>20</v>
      </c>
    </row>
    <row r="14" spans="2:17" x14ac:dyDescent="0.35">
      <c r="B14" s="18">
        <v>110</v>
      </c>
      <c r="C14" s="18" t="s">
        <v>79</v>
      </c>
      <c r="D14" s="18" t="s">
        <v>80</v>
      </c>
      <c r="E14" s="18" t="s">
        <v>81</v>
      </c>
      <c r="F14" s="18" t="s">
        <v>82</v>
      </c>
      <c r="G14" s="18">
        <v>100</v>
      </c>
      <c r="H14" s="18" t="s">
        <v>83</v>
      </c>
      <c r="I14" s="18" t="s">
        <v>21</v>
      </c>
      <c r="O14" s="18" t="s">
        <v>84</v>
      </c>
    </row>
    <row r="15" spans="2:17" x14ac:dyDescent="0.35">
      <c r="B15" s="19">
        <v>2.5</v>
      </c>
      <c r="C15" s="19">
        <v>2.2000000000000002</v>
      </c>
      <c r="D15" s="19">
        <v>1.8</v>
      </c>
      <c r="E15" s="19">
        <v>1.4</v>
      </c>
      <c r="F15" s="19">
        <v>1.1000000000000001</v>
      </c>
      <c r="G15" s="19">
        <v>1</v>
      </c>
      <c r="H15" s="19">
        <v>0.8</v>
      </c>
      <c r="I15" s="19">
        <v>0.5</v>
      </c>
      <c r="O15" s="19">
        <v>0.6</v>
      </c>
    </row>
  </sheetData>
  <mergeCells count="6">
    <mergeCell ref="C13:F13"/>
    <mergeCell ref="B2:N2"/>
    <mergeCell ref="C3:N3"/>
    <mergeCell ref="C4:N4"/>
    <mergeCell ref="C5:N5"/>
    <mergeCell ref="C6:H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8DCC1-BCEA-48FF-888C-58F134E23714}">
  <dimension ref="B1:Q15"/>
  <sheetViews>
    <sheetView showGridLines="0" workbookViewId="0">
      <selection activeCell="P3" sqref="P3:P6"/>
    </sheetView>
  </sheetViews>
  <sheetFormatPr defaultRowHeight="14.5" x14ac:dyDescent="0.35"/>
  <cols>
    <col min="8" max="8" width="7.1796875" customWidth="1"/>
    <col min="9" max="14" width="8.7265625" hidden="1" customWidth="1"/>
    <col min="15" max="15" width="15.90625" bestFit="1" customWidth="1"/>
    <col min="16" max="16" width="22.6328125" bestFit="1" customWidth="1"/>
  </cols>
  <sheetData>
    <row r="1" spans="2:17" ht="15" thickBot="1" x14ac:dyDescent="0.4"/>
    <row r="2" spans="2:17" x14ac:dyDescent="0.35">
      <c r="B2" s="151" t="s">
        <v>0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3"/>
      <c r="O2" s="1" t="s">
        <v>1</v>
      </c>
      <c r="P2" s="1" t="s">
        <v>2</v>
      </c>
      <c r="Q2" s="2" t="s">
        <v>3</v>
      </c>
    </row>
    <row r="3" spans="2:17" ht="14.5" customHeight="1" x14ac:dyDescent="0.35">
      <c r="B3" s="3">
        <v>1</v>
      </c>
      <c r="C3" s="167" t="s">
        <v>64</v>
      </c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7"/>
      <c r="O3" s="4" t="s">
        <v>5</v>
      </c>
      <c r="P3" s="4" t="s">
        <v>9</v>
      </c>
      <c r="Q3" s="5">
        <v>110</v>
      </c>
    </row>
    <row r="4" spans="2:17" ht="14.5" customHeight="1" x14ac:dyDescent="0.35">
      <c r="B4" s="6">
        <v>2</v>
      </c>
      <c r="C4" s="167" t="s">
        <v>65</v>
      </c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7"/>
      <c r="O4" s="4" t="s">
        <v>5</v>
      </c>
      <c r="P4" s="4" t="s">
        <v>9</v>
      </c>
      <c r="Q4" s="5">
        <v>108</v>
      </c>
    </row>
    <row r="5" spans="2:17" ht="14.5" customHeight="1" x14ac:dyDescent="0.35">
      <c r="B5" s="7">
        <v>3</v>
      </c>
      <c r="C5" s="168" t="s">
        <v>66</v>
      </c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4"/>
      <c r="O5" s="4" t="s">
        <v>5</v>
      </c>
      <c r="P5" s="8" t="s">
        <v>9</v>
      </c>
      <c r="Q5" s="9">
        <v>109</v>
      </c>
    </row>
    <row r="6" spans="2:17" ht="15" thickBot="1" x14ac:dyDescent="0.4">
      <c r="B6" s="24">
        <v>4</v>
      </c>
      <c r="C6" s="172" t="s">
        <v>67</v>
      </c>
      <c r="D6" s="173"/>
      <c r="E6" s="173"/>
      <c r="F6" s="173"/>
      <c r="G6" s="173"/>
      <c r="H6" s="174"/>
      <c r="I6" s="45"/>
      <c r="J6" s="45"/>
      <c r="K6" s="45"/>
      <c r="L6" s="45"/>
      <c r="M6" s="45"/>
      <c r="N6" s="45"/>
      <c r="O6" s="13" t="s">
        <v>8</v>
      </c>
      <c r="P6" s="13" t="s">
        <v>9</v>
      </c>
      <c r="Q6" s="14">
        <v>108</v>
      </c>
    </row>
    <row r="7" spans="2:17" x14ac:dyDescent="0.35">
      <c r="P7" s="15" t="s">
        <v>13</v>
      </c>
      <c r="Q7" s="16">
        <f>SUM(Q2:Q6)</f>
        <v>435</v>
      </c>
    </row>
    <row r="8" spans="2:17" x14ac:dyDescent="0.35">
      <c r="P8" s="15" t="s">
        <v>14</v>
      </c>
      <c r="Q8" s="16">
        <f>Q7/4</f>
        <v>108.75</v>
      </c>
    </row>
    <row r="9" spans="2:17" x14ac:dyDescent="0.35">
      <c r="P9" s="15" t="s">
        <v>86</v>
      </c>
      <c r="Q9" s="46">
        <f>C15</f>
        <v>2.2000000000000002</v>
      </c>
    </row>
    <row r="10" spans="2:17" x14ac:dyDescent="0.35">
      <c r="P10" s="15" t="s">
        <v>15</v>
      </c>
      <c r="Q10" s="17" t="str">
        <f>C13</f>
        <v>P4</v>
      </c>
    </row>
    <row r="11" spans="2:17" x14ac:dyDescent="0.35">
      <c r="P11" s="47"/>
      <c r="Q11" s="48"/>
    </row>
    <row r="12" spans="2:17" x14ac:dyDescent="0.35">
      <c r="P12" s="47"/>
      <c r="Q12" s="48"/>
    </row>
    <row r="13" spans="2:17" x14ac:dyDescent="0.35">
      <c r="B13" s="18" t="s">
        <v>16</v>
      </c>
      <c r="C13" s="148" t="s">
        <v>17</v>
      </c>
      <c r="D13" s="149"/>
      <c r="E13" s="149"/>
      <c r="F13" s="150"/>
      <c r="G13" s="18" t="s">
        <v>18</v>
      </c>
      <c r="H13" s="18" t="s">
        <v>19</v>
      </c>
      <c r="I13" s="18" t="s">
        <v>20</v>
      </c>
      <c r="O13" s="18" t="s">
        <v>20</v>
      </c>
    </row>
    <row r="14" spans="2:17" x14ac:dyDescent="0.35">
      <c r="B14" s="18">
        <v>110</v>
      </c>
      <c r="C14" s="18" t="s">
        <v>79</v>
      </c>
      <c r="D14" s="18" t="s">
        <v>80</v>
      </c>
      <c r="E14" s="18" t="s">
        <v>81</v>
      </c>
      <c r="F14" s="18" t="s">
        <v>82</v>
      </c>
      <c r="G14" s="18">
        <v>100</v>
      </c>
      <c r="H14" s="18" t="s">
        <v>83</v>
      </c>
      <c r="I14" s="18" t="s">
        <v>21</v>
      </c>
      <c r="O14" s="18" t="s">
        <v>84</v>
      </c>
    </row>
    <row r="15" spans="2:17" x14ac:dyDescent="0.35">
      <c r="B15" s="19">
        <v>2.5</v>
      </c>
      <c r="C15" s="19">
        <v>2.2000000000000002</v>
      </c>
      <c r="D15" s="19">
        <v>1.8</v>
      </c>
      <c r="E15" s="19">
        <v>1.4</v>
      </c>
      <c r="F15" s="19">
        <v>1.1000000000000001</v>
      </c>
      <c r="G15" s="19">
        <v>1</v>
      </c>
      <c r="H15" s="19">
        <v>0.8</v>
      </c>
      <c r="I15" s="19">
        <v>0.5</v>
      </c>
      <c r="O15" s="19">
        <v>0.6</v>
      </c>
    </row>
  </sheetData>
  <mergeCells count="6">
    <mergeCell ref="C13:F13"/>
    <mergeCell ref="B2:N2"/>
    <mergeCell ref="C3:N3"/>
    <mergeCell ref="C4:N4"/>
    <mergeCell ref="C5:N5"/>
    <mergeCell ref="C6:H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B12BF-26BF-4372-B333-9A6FA55763B6}">
  <dimension ref="B1:Q16"/>
  <sheetViews>
    <sheetView showGridLines="0" zoomScale="70" workbookViewId="0">
      <selection activeCell="Q10" sqref="Q10"/>
    </sheetView>
  </sheetViews>
  <sheetFormatPr defaultRowHeight="14.5" x14ac:dyDescent="0.35"/>
  <cols>
    <col min="8" max="8" width="7.1796875" customWidth="1"/>
    <col min="9" max="14" width="8.7265625" hidden="1" customWidth="1"/>
    <col min="15" max="15" width="15.90625" bestFit="1" customWidth="1"/>
    <col min="16" max="16" width="22.6328125" bestFit="1" customWidth="1"/>
  </cols>
  <sheetData>
    <row r="1" spans="2:17" ht="15" thickBot="1" x14ac:dyDescent="0.4"/>
    <row r="2" spans="2:17" x14ac:dyDescent="0.35">
      <c r="B2" s="151" t="s">
        <v>0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3"/>
      <c r="O2" s="1" t="s">
        <v>1</v>
      </c>
      <c r="P2" s="1" t="s">
        <v>2</v>
      </c>
      <c r="Q2" s="2" t="s">
        <v>3</v>
      </c>
    </row>
    <row r="3" spans="2:17" ht="14.5" customHeight="1" x14ac:dyDescent="0.35">
      <c r="B3" s="3">
        <v>1</v>
      </c>
      <c r="C3" s="167" t="s">
        <v>68</v>
      </c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7"/>
      <c r="O3" s="4" t="s">
        <v>5</v>
      </c>
      <c r="P3" s="4" t="s">
        <v>9</v>
      </c>
      <c r="Q3" s="5">
        <v>108</v>
      </c>
    </row>
    <row r="4" spans="2:17" ht="14.5" customHeight="1" x14ac:dyDescent="0.35">
      <c r="B4" s="6">
        <v>2</v>
      </c>
      <c r="C4" s="167" t="s">
        <v>69</v>
      </c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7"/>
      <c r="O4" s="4" t="s">
        <v>5</v>
      </c>
      <c r="P4" s="4" t="s">
        <v>9</v>
      </c>
      <c r="Q4" s="5">
        <v>108</v>
      </c>
    </row>
    <row r="5" spans="2:17" ht="14.5" customHeight="1" x14ac:dyDescent="0.35">
      <c r="B5" s="7">
        <v>3</v>
      </c>
      <c r="C5" s="168" t="s">
        <v>71</v>
      </c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4"/>
      <c r="O5" s="4" t="s">
        <v>5</v>
      </c>
      <c r="P5" s="8" t="s">
        <v>9</v>
      </c>
      <c r="Q5" s="9">
        <v>108.5</v>
      </c>
    </row>
    <row r="6" spans="2:17" ht="15" thickBot="1" x14ac:dyDescent="0.4">
      <c r="B6" s="24">
        <v>4</v>
      </c>
      <c r="C6" s="172" t="s">
        <v>70</v>
      </c>
      <c r="D6" s="173"/>
      <c r="E6" s="173"/>
      <c r="F6" s="173"/>
      <c r="G6" s="173"/>
      <c r="H6" s="174"/>
      <c r="I6" s="45"/>
      <c r="J6" s="45"/>
      <c r="K6" s="45"/>
      <c r="L6" s="45"/>
      <c r="M6" s="45"/>
      <c r="N6" s="45"/>
      <c r="O6" s="13" t="s">
        <v>8</v>
      </c>
      <c r="P6" s="13" t="s">
        <v>11</v>
      </c>
      <c r="Q6" s="14">
        <v>107.9</v>
      </c>
    </row>
    <row r="7" spans="2:17" ht="15" thickBot="1" x14ac:dyDescent="0.4">
      <c r="B7" s="24">
        <v>5</v>
      </c>
      <c r="C7" s="172" t="s">
        <v>72</v>
      </c>
      <c r="D7" s="173"/>
      <c r="E7" s="173"/>
      <c r="F7" s="173"/>
      <c r="G7" s="173"/>
      <c r="H7" s="174"/>
      <c r="I7" s="45"/>
      <c r="J7" s="45"/>
      <c r="K7" s="45"/>
      <c r="L7" s="45"/>
      <c r="M7" s="45"/>
      <c r="N7" s="45"/>
      <c r="O7" s="13" t="s">
        <v>5</v>
      </c>
      <c r="P7" s="13" t="s">
        <v>9</v>
      </c>
      <c r="Q7" s="14">
        <v>110</v>
      </c>
    </row>
    <row r="8" spans="2:17" x14ac:dyDescent="0.35">
      <c r="P8" s="43" t="s">
        <v>13</v>
      </c>
      <c r="Q8" s="44">
        <f>SUM(Q3:Q7)</f>
        <v>542.4</v>
      </c>
    </row>
    <row r="9" spans="2:17" x14ac:dyDescent="0.35">
      <c r="P9" s="15" t="s">
        <v>14</v>
      </c>
      <c r="Q9" s="16">
        <f>Q8/5</f>
        <v>108.47999999999999</v>
      </c>
    </row>
    <row r="10" spans="2:17" x14ac:dyDescent="0.35">
      <c r="P10" s="15" t="s">
        <v>86</v>
      </c>
      <c r="Q10" s="46">
        <f>C16</f>
        <v>2.2000000000000002</v>
      </c>
    </row>
    <row r="11" spans="2:17" x14ac:dyDescent="0.35">
      <c r="P11" s="15" t="s">
        <v>15</v>
      </c>
      <c r="Q11" s="17" t="str">
        <f>C14</f>
        <v>P4</v>
      </c>
    </row>
    <row r="12" spans="2:17" x14ac:dyDescent="0.35">
      <c r="P12" s="47"/>
      <c r="Q12" s="48"/>
    </row>
    <row r="13" spans="2:17" x14ac:dyDescent="0.35">
      <c r="P13" s="47"/>
      <c r="Q13" s="48"/>
    </row>
    <row r="14" spans="2:17" x14ac:dyDescent="0.35">
      <c r="B14" s="18" t="s">
        <v>16</v>
      </c>
      <c r="C14" s="148" t="s">
        <v>17</v>
      </c>
      <c r="D14" s="149"/>
      <c r="E14" s="149"/>
      <c r="F14" s="150"/>
      <c r="G14" s="18" t="s">
        <v>18</v>
      </c>
      <c r="H14" s="18" t="s">
        <v>19</v>
      </c>
      <c r="I14" s="18" t="s">
        <v>20</v>
      </c>
      <c r="O14" s="18" t="s">
        <v>20</v>
      </c>
    </row>
    <row r="15" spans="2:17" x14ac:dyDescent="0.35">
      <c r="B15" s="18">
        <v>110</v>
      </c>
      <c r="C15" s="18" t="s">
        <v>79</v>
      </c>
      <c r="D15" s="18" t="s">
        <v>80</v>
      </c>
      <c r="E15" s="18" t="s">
        <v>81</v>
      </c>
      <c r="F15" s="18" t="s">
        <v>82</v>
      </c>
      <c r="G15" s="18">
        <v>100</v>
      </c>
      <c r="H15" s="18" t="s">
        <v>83</v>
      </c>
      <c r="I15" s="18" t="s">
        <v>21</v>
      </c>
      <c r="O15" s="18" t="s">
        <v>84</v>
      </c>
    </row>
    <row r="16" spans="2:17" x14ac:dyDescent="0.35">
      <c r="B16" s="19">
        <v>2.5</v>
      </c>
      <c r="C16" s="19">
        <v>2.2000000000000002</v>
      </c>
      <c r="D16" s="19">
        <v>1.8</v>
      </c>
      <c r="E16" s="19">
        <v>1.4</v>
      </c>
      <c r="F16" s="19">
        <v>1.1000000000000001</v>
      </c>
      <c r="G16" s="19">
        <v>1</v>
      </c>
      <c r="H16" s="19">
        <v>0.8</v>
      </c>
      <c r="I16" s="19">
        <v>0.5</v>
      </c>
      <c r="O16" s="19">
        <v>0.6</v>
      </c>
    </row>
  </sheetData>
  <mergeCells count="7">
    <mergeCell ref="C7:H7"/>
    <mergeCell ref="C14:F14"/>
    <mergeCell ref="B2:N2"/>
    <mergeCell ref="C3:N3"/>
    <mergeCell ref="C4:N4"/>
    <mergeCell ref="C5:N5"/>
    <mergeCell ref="C6:H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3833C-7B89-4C59-AE1D-488F9EA603FF}">
  <dimension ref="B1:Q16"/>
  <sheetViews>
    <sheetView showGridLines="0" tabSelected="1" workbookViewId="0">
      <selection activeCell="C3" sqref="C3:N6"/>
    </sheetView>
  </sheetViews>
  <sheetFormatPr defaultRowHeight="14.5" x14ac:dyDescent="0.35"/>
  <cols>
    <col min="8" max="8" width="7.1796875" customWidth="1"/>
    <col min="9" max="14" width="8.7265625" hidden="1" customWidth="1"/>
    <col min="15" max="15" width="15.90625" bestFit="1" customWidth="1"/>
    <col min="16" max="16" width="22.6328125" bestFit="1" customWidth="1"/>
  </cols>
  <sheetData>
    <row r="1" spans="2:17" ht="15" thickBot="1" x14ac:dyDescent="0.4"/>
    <row r="2" spans="2:17" x14ac:dyDescent="0.35">
      <c r="B2" s="151" t="s">
        <v>0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3"/>
      <c r="O2" s="1" t="s">
        <v>1</v>
      </c>
      <c r="P2" s="1" t="s">
        <v>2</v>
      </c>
      <c r="Q2" s="2" t="s">
        <v>3</v>
      </c>
    </row>
    <row r="3" spans="2:17" ht="14.5" customHeight="1" x14ac:dyDescent="0.35">
      <c r="B3" s="3">
        <v>1</v>
      </c>
      <c r="C3" s="167" t="s">
        <v>68</v>
      </c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7"/>
      <c r="O3" s="4" t="s">
        <v>5</v>
      </c>
      <c r="P3" s="4" t="s">
        <v>9</v>
      </c>
      <c r="Q3" s="20">
        <v>110</v>
      </c>
    </row>
    <row r="4" spans="2:17" ht="14.5" customHeight="1" x14ac:dyDescent="0.35">
      <c r="B4" s="6">
        <v>2</v>
      </c>
      <c r="C4" s="167" t="s">
        <v>69</v>
      </c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7"/>
      <c r="O4" s="4" t="s">
        <v>5</v>
      </c>
      <c r="P4" s="4" t="s">
        <v>9</v>
      </c>
      <c r="Q4" s="20">
        <v>110</v>
      </c>
    </row>
    <row r="5" spans="2:17" ht="14.5" customHeight="1" x14ac:dyDescent="0.35">
      <c r="B5" s="7">
        <v>3</v>
      </c>
      <c r="C5" s="168" t="s">
        <v>71</v>
      </c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4"/>
      <c r="O5" s="4" t="s">
        <v>5</v>
      </c>
      <c r="P5" s="8" t="s">
        <v>9</v>
      </c>
      <c r="Q5" s="21">
        <v>110</v>
      </c>
    </row>
    <row r="6" spans="2:17" ht="15" thickBot="1" x14ac:dyDescent="0.4">
      <c r="B6" s="24">
        <v>4</v>
      </c>
      <c r="C6" s="172" t="s">
        <v>70</v>
      </c>
      <c r="D6" s="173"/>
      <c r="E6" s="173"/>
      <c r="F6" s="173"/>
      <c r="G6" s="173"/>
      <c r="H6" s="174"/>
      <c r="I6" s="45"/>
      <c r="J6" s="45"/>
      <c r="K6" s="45"/>
      <c r="L6" s="45"/>
      <c r="M6" s="45"/>
      <c r="N6" s="45"/>
      <c r="O6" s="13" t="s">
        <v>8</v>
      </c>
      <c r="P6" s="13" t="s">
        <v>11</v>
      </c>
      <c r="Q6" s="22">
        <v>110</v>
      </c>
    </row>
    <row r="7" spans="2:17" ht="15" thickBot="1" x14ac:dyDescent="0.4">
      <c r="B7" s="24">
        <v>5</v>
      </c>
      <c r="C7" s="172" t="s">
        <v>72</v>
      </c>
      <c r="D7" s="173"/>
      <c r="E7" s="173"/>
      <c r="F7" s="173"/>
      <c r="G7" s="173"/>
      <c r="H7" s="174"/>
      <c r="I7" s="45"/>
      <c r="J7" s="45"/>
      <c r="K7" s="45"/>
      <c r="L7" s="45"/>
      <c r="M7" s="45"/>
      <c r="N7" s="45"/>
      <c r="O7" s="13" t="s">
        <v>8</v>
      </c>
      <c r="P7" s="13" t="s">
        <v>73</v>
      </c>
      <c r="Q7" s="22">
        <v>110</v>
      </c>
    </row>
    <row r="8" spans="2:17" x14ac:dyDescent="0.35">
      <c r="P8" s="43" t="s">
        <v>13</v>
      </c>
      <c r="Q8" s="44">
        <f>SUM(Q3:Q7)</f>
        <v>550</v>
      </c>
    </row>
    <row r="9" spans="2:17" x14ac:dyDescent="0.35">
      <c r="P9" s="15" t="s">
        <v>14</v>
      </c>
      <c r="Q9" s="16">
        <f>Q8/5</f>
        <v>110</v>
      </c>
    </row>
    <row r="10" spans="2:17" x14ac:dyDescent="0.35">
      <c r="P10" s="15" t="s">
        <v>86</v>
      </c>
      <c r="Q10" s="46">
        <f>B16</f>
        <v>2.5</v>
      </c>
    </row>
    <row r="11" spans="2:17" x14ac:dyDescent="0.35">
      <c r="P11" s="15" t="s">
        <v>15</v>
      </c>
      <c r="Q11" s="17" t="str">
        <f>B14</f>
        <v>P5</v>
      </c>
    </row>
    <row r="12" spans="2:17" x14ac:dyDescent="0.35">
      <c r="P12" s="47"/>
      <c r="Q12" s="48"/>
    </row>
    <row r="13" spans="2:17" x14ac:dyDescent="0.35">
      <c r="P13" s="47"/>
      <c r="Q13" s="48"/>
    </row>
    <row r="14" spans="2:17" x14ac:dyDescent="0.35">
      <c r="B14" s="18" t="s">
        <v>16</v>
      </c>
      <c r="C14" s="148" t="s">
        <v>17</v>
      </c>
      <c r="D14" s="149"/>
      <c r="E14" s="149"/>
      <c r="F14" s="150"/>
      <c r="G14" s="18" t="s">
        <v>18</v>
      </c>
      <c r="H14" s="18" t="s">
        <v>19</v>
      </c>
      <c r="I14" s="18" t="s">
        <v>20</v>
      </c>
      <c r="O14" s="18" t="s">
        <v>20</v>
      </c>
    </row>
    <row r="15" spans="2:17" x14ac:dyDescent="0.35">
      <c r="B15" s="18">
        <v>110</v>
      </c>
      <c r="C15" s="18" t="s">
        <v>79</v>
      </c>
      <c r="D15" s="18" t="s">
        <v>80</v>
      </c>
      <c r="E15" s="18" t="s">
        <v>81</v>
      </c>
      <c r="F15" s="18" t="s">
        <v>82</v>
      </c>
      <c r="G15" s="18">
        <v>100</v>
      </c>
      <c r="H15" s="18" t="s">
        <v>83</v>
      </c>
      <c r="I15" s="18" t="s">
        <v>21</v>
      </c>
      <c r="O15" s="18" t="s">
        <v>84</v>
      </c>
    </row>
    <row r="16" spans="2:17" x14ac:dyDescent="0.35">
      <c r="B16" s="19">
        <v>2.5</v>
      </c>
      <c r="C16" s="19">
        <v>2.2000000000000002</v>
      </c>
      <c r="D16" s="19">
        <v>1.8</v>
      </c>
      <c r="E16" s="19">
        <v>1.4</v>
      </c>
      <c r="F16" s="19">
        <v>1.1000000000000001</v>
      </c>
      <c r="G16" s="19">
        <v>1</v>
      </c>
      <c r="H16" s="19">
        <v>0.8</v>
      </c>
      <c r="I16" s="19">
        <v>0.5</v>
      </c>
      <c r="O16" s="19">
        <v>0.6</v>
      </c>
    </row>
  </sheetData>
  <mergeCells count="7">
    <mergeCell ref="C14:F14"/>
    <mergeCell ref="B2:N2"/>
    <mergeCell ref="C3:N3"/>
    <mergeCell ref="C4:N4"/>
    <mergeCell ref="C5:N5"/>
    <mergeCell ref="C7:H7"/>
    <mergeCell ref="C6:H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6D92E-4054-4318-B7AC-66CA3F2F1665}">
  <dimension ref="B1:Q16"/>
  <sheetViews>
    <sheetView showGridLines="0" workbookViewId="0">
      <selection activeCell="P6" sqref="P6"/>
    </sheetView>
  </sheetViews>
  <sheetFormatPr defaultRowHeight="14.5" x14ac:dyDescent="0.35"/>
  <cols>
    <col min="8" max="8" width="7.1796875" customWidth="1"/>
    <col min="9" max="14" width="8.7265625" hidden="1" customWidth="1"/>
    <col min="15" max="15" width="15.90625" bestFit="1" customWidth="1"/>
    <col min="16" max="16" width="22.6328125" bestFit="1" customWidth="1"/>
  </cols>
  <sheetData>
    <row r="1" spans="2:17" ht="15" thickBot="1" x14ac:dyDescent="0.4"/>
    <row r="2" spans="2:17" x14ac:dyDescent="0.35">
      <c r="B2" s="151" t="s">
        <v>0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3"/>
      <c r="O2" s="1" t="s">
        <v>1</v>
      </c>
      <c r="P2" s="1" t="s">
        <v>2</v>
      </c>
      <c r="Q2" s="2" t="s">
        <v>3</v>
      </c>
    </row>
    <row r="3" spans="2:17" ht="14.5" customHeight="1" x14ac:dyDescent="0.35">
      <c r="B3" s="3">
        <v>1</v>
      </c>
      <c r="C3" s="167" t="s">
        <v>75</v>
      </c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7"/>
      <c r="O3" s="4" t="s">
        <v>5</v>
      </c>
      <c r="P3" s="4" t="s">
        <v>9</v>
      </c>
      <c r="Q3" s="20">
        <v>89</v>
      </c>
    </row>
    <row r="4" spans="2:17" ht="14.5" customHeight="1" x14ac:dyDescent="0.35">
      <c r="B4" s="6">
        <v>2</v>
      </c>
      <c r="C4" s="167" t="s">
        <v>76</v>
      </c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7"/>
      <c r="O4" s="4" t="s">
        <v>5</v>
      </c>
      <c r="P4" s="4" t="s">
        <v>9</v>
      </c>
      <c r="Q4" s="20">
        <v>89</v>
      </c>
    </row>
    <row r="5" spans="2:17" ht="14.5" customHeight="1" x14ac:dyDescent="0.35">
      <c r="B5" s="7">
        <v>3</v>
      </c>
      <c r="C5" s="168" t="s">
        <v>77</v>
      </c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4"/>
      <c r="O5" s="4" t="s">
        <v>5</v>
      </c>
      <c r="P5" s="8" t="s">
        <v>9</v>
      </c>
      <c r="Q5" s="20">
        <v>89</v>
      </c>
    </row>
    <row r="6" spans="2:17" ht="14.5" customHeight="1" thickBot="1" x14ac:dyDescent="0.4">
      <c r="B6" s="7">
        <v>4</v>
      </c>
      <c r="C6" s="168" t="s">
        <v>78</v>
      </c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4"/>
      <c r="O6" s="13" t="s">
        <v>8</v>
      </c>
      <c r="P6" s="13" t="s">
        <v>11</v>
      </c>
      <c r="Q6" s="20">
        <v>89</v>
      </c>
    </row>
    <row r="7" spans="2:17" ht="15" thickBot="1" x14ac:dyDescent="0.4">
      <c r="B7" s="24">
        <v>5</v>
      </c>
      <c r="C7" s="172" t="s">
        <v>74</v>
      </c>
      <c r="D7" s="173"/>
      <c r="E7" s="173"/>
      <c r="F7" s="173"/>
      <c r="G7" s="173"/>
      <c r="H7" s="174"/>
      <c r="I7" s="45"/>
      <c r="J7" s="45"/>
      <c r="K7" s="45"/>
      <c r="L7" s="45"/>
      <c r="M7" s="45"/>
      <c r="N7" s="45"/>
      <c r="O7" s="13" t="s">
        <v>8</v>
      </c>
      <c r="P7" s="13" t="s">
        <v>73</v>
      </c>
      <c r="Q7" s="20">
        <v>89</v>
      </c>
    </row>
    <row r="8" spans="2:17" x14ac:dyDescent="0.35">
      <c r="P8" s="43" t="s">
        <v>13</v>
      </c>
      <c r="Q8" s="44">
        <f>SUM(Q3:Q7)</f>
        <v>445</v>
      </c>
    </row>
    <row r="9" spans="2:17" x14ac:dyDescent="0.35">
      <c r="P9" s="15" t="s">
        <v>14</v>
      </c>
      <c r="Q9" s="16">
        <f>Q8/5</f>
        <v>89</v>
      </c>
    </row>
    <row r="10" spans="2:17" x14ac:dyDescent="0.35">
      <c r="P10" s="15" t="s">
        <v>86</v>
      </c>
      <c r="Q10" s="46">
        <f>O16</f>
        <v>0.6</v>
      </c>
    </row>
    <row r="11" spans="2:17" x14ac:dyDescent="0.35">
      <c r="P11" s="15" t="s">
        <v>15</v>
      </c>
      <c r="Q11" s="17" t="str">
        <f>O14</f>
        <v>P1</v>
      </c>
    </row>
    <row r="12" spans="2:17" x14ac:dyDescent="0.35">
      <c r="P12" s="47"/>
      <c r="Q12" s="48"/>
    </row>
    <row r="13" spans="2:17" x14ac:dyDescent="0.35">
      <c r="P13" s="47"/>
      <c r="Q13" s="48"/>
    </row>
    <row r="14" spans="2:17" x14ac:dyDescent="0.35">
      <c r="B14" s="18" t="s">
        <v>16</v>
      </c>
      <c r="C14" s="148" t="s">
        <v>17</v>
      </c>
      <c r="D14" s="149"/>
      <c r="E14" s="149"/>
      <c r="F14" s="150"/>
      <c r="G14" s="18" t="s">
        <v>18</v>
      </c>
      <c r="H14" s="18" t="s">
        <v>19</v>
      </c>
      <c r="I14" s="18" t="s">
        <v>20</v>
      </c>
      <c r="O14" s="18" t="s">
        <v>20</v>
      </c>
    </row>
    <row r="15" spans="2:17" x14ac:dyDescent="0.35">
      <c r="B15" s="18">
        <v>110</v>
      </c>
      <c r="C15" s="18" t="s">
        <v>79</v>
      </c>
      <c r="D15" s="18" t="s">
        <v>80</v>
      </c>
      <c r="E15" s="18" t="s">
        <v>81</v>
      </c>
      <c r="F15" s="18" t="s">
        <v>82</v>
      </c>
      <c r="G15" s="18">
        <v>100</v>
      </c>
      <c r="H15" s="18" t="s">
        <v>83</v>
      </c>
      <c r="I15" s="18" t="s">
        <v>21</v>
      </c>
      <c r="O15" s="18" t="s">
        <v>84</v>
      </c>
    </row>
    <row r="16" spans="2:17" x14ac:dyDescent="0.35">
      <c r="B16" s="19">
        <v>2.5</v>
      </c>
      <c r="C16" s="19">
        <v>2.2000000000000002</v>
      </c>
      <c r="D16" s="19">
        <v>1.8</v>
      </c>
      <c r="E16" s="19">
        <v>1.4</v>
      </c>
      <c r="F16" s="19">
        <v>1.1000000000000001</v>
      </c>
      <c r="G16" s="19">
        <v>1</v>
      </c>
      <c r="H16" s="19">
        <v>0.8</v>
      </c>
      <c r="I16" s="19">
        <v>0.5</v>
      </c>
      <c r="O16" s="19">
        <v>0.6</v>
      </c>
    </row>
  </sheetData>
  <mergeCells count="7">
    <mergeCell ref="C14:F14"/>
    <mergeCell ref="B2:N2"/>
    <mergeCell ref="C3:N3"/>
    <mergeCell ref="C4:N4"/>
    <mergeCell ref="C6:N6"/>
    <mergeCell ref="C7:H7"/>
    <mergeCell ref="C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Rekap Kalibrasi KPI</vt:lpstr>
      <vt:lpstr>PPh 21</vt:lpstr>
      <vt:lpstr>Dea A</vt:lpstr>
      <vt:lpstr>Fattah DP</vt:lpstr>
      <vt:lpstr>Yosida</vt:lpstr>
      <vt:lpstr>Shaidatun</vt:lpstr>
      <vt:lpstr>Vivi</vt:lpstr>
      <vt:lpstr>Annisa</vt:lpstr>
      <vt:lpstr>Sudarman</vt:lpstr>
      <vt:lpstr>Khambali</vt:lpstr>
      <vt:lpstr>Dafit</vt:lpstr>
      <vt:lpstr>Ismail</vt:lpstr>
      <vt:lpstr>'PPh 21'!Print_Area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 Adawiyah</dc:creator>
  <cp:lastModifiedBy>Dea Adawiyah</cp:lastModifiedBy>
  <dcterms:created xsi:type="dcterms:W3CDTF">2026-02-10T09:33:29Z</dcterms:created>
  <dcterms:modified xsi:type="dcterms:W3CDTF">2026-02-26T10:27:20Z</dcterms:modified>
</cp:coreProperties>
</file>