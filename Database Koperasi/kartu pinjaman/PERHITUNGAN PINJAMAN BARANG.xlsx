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9b474228dc75fd/Desktop/"/>
    </mc:Choice>
  </mc:AlternateContent>
  <xr:revisionPtr revIDLastSave="1138" documentId="8_{F5C9D8D4-F582-4559-9782-EC36E451A8FE}" xr6:coauthVersionLast="47" xr6:coauthVersionMax="47" xr10:uidLastSave="{9C89DD79-A4F9-41A0-A3D7-C78869F73CBD}"/>
  <bookViews>
    <workbookView xWindow="-110" yWindow="-110" windowWidth="19420" windowHeight="10300" firstSheet="34" activeTab="36" xr2:uid="{5627315C-7C6D-4F4C-B669-DDD19CB041CC}"/>
  </bookViews>
  <sheets>
    <sheet name="REGULER BARANG-HP RONY" sheetId="8" r:id="rId1"/>
    <sheet name="REGULER HP - SUMARTINI" sheetId="7" r:id="rId2"/>
    <sheet name="REGULER BARANG-HP RUSDY WANGSA" sheetId="10" r:id="rId3"/>
    <sheet name="REGULER BARANG-MESIN CUCI" sheetId="14" r:id="rId4"/>
    <sheet name="REGULER MTR SCOOPY" sheetId="13" r:id="rId5"/>
    <sheet name="REGULER MTR AEROX" sheetId="11" r:id="rId6"/>
    <sheet name="PINJ.HOTEL FERRY" sheetId="6" r:id="rId7"/>
    <sheet name="REGULER - PEMB. GARMIN S42" sheetId="3" r:id="rId8"/>
    <sheet name="REGULER - PEMB.GOLF WILLY" sheetId="2" r:id="rId9"/>
    <sheet name="REGULER - PS5" sheetId="1" r:id="rId10"/>
    <sheet name="LUNAS-PINJ HP SAMSUNG S25" sheetId="5" r:id="rId11"/>
    <sheet name="PINJ IPHONE ADITYO" sheetId="4" r:id="rId12"/>
    <sheet name="PINJ.THULE MARDINI" sheetId="16" r:id="rId13"/>
    <sheet name="PINJ.THULE YULIA DIAN ANGGRAINI" sheetId="17" r:id="rId14"/>
    <sheet name="PINJ.THULE RANDY" sheetId="18" r:id="rId15"/>
    <sheet name="PINJ.THULE ADITYO NUGROHO" sheetId="19" r:id="rId16"/>
    <sheet name="PINJ TV DWI CAHYA KURNIAWAN" sheetId="15" r:id="rId17"/>
    <sheet name="PINJ HP REDMI RISKA TRI" sheetId="22" r:id="rId18"/>
    <sheet name="PINJ iPAD A16 RISKA DERIANI MAS" sheetId="20" r:id="rId19"/>
    <sheet name="PINJ SEPATU M.ADITYO N" sheetId="21" r:id="rId20"/>
    <sheet name="PINJ AIR PURIFIER M.ADITYO N" sheetId="23" r:id="rId21"/>
    <sheet name="PINJ. LAPTOP ADESTA" sheetId="24" r:id="rId22"/>
    <sheet name="PINJ. MESIN CUCI BARU AWAN" sheetId="26" r:id="rId23"/>
    <sheet name="PINJ. TV MARIYANA" sheetId="27" r:id="rId24"/>
    <sheet name="PINJ. HP OPPO ALWIN" sheetId="28" r:id="rId25"/>
    <sheet name="PINJ. MOTOR KAWASAKI" sheetId="29" r:id="rId26"/>
    <sheet name="PINJ.ALAT GOLF M.ADITYO" sheetId="30" r:id="rId27"/>
    <sheet name="PINJ.GOLF ADITYO NUGROHO" sheetId="31" r:id="rId28"/>
    <sheet name="PINJ. AIR PURIEF DWI CAHYA" sheetId="32" r:id="rId29"/>
    <sheet name="PINJ. LAPTOP DWI CAHYA" sheetId="33" r:id="rId30"/>
    <sheet name="PINJ HP IQOO RANDI RANTE" sheetId="34" r:id="rId31"/>
    <sheet name="PINJ SAMSUNG GALAXY TAB S10" sheetId="35" r:id="rId32"/>
    <sheet name="PINJ MOTOR RISKA TRI HANDINI" sheetId="36" r:id="rId33"/>
    <sheet name="PINJ AQUA CHESTFEEZER &amp; ELECTRO" sheetId="37" r:id="rId34"/>
    <sheet name="PINJ APPLE IPAD 11" sheetId="38" r:id="rId35"/>
    <sheet name="PINJ HP IPHONE 17 ASPAR" sheetId="39" r:id="rId36"/>
    <sheet name="PINJ HP IPHONE 17 WILLY" sheetId="40" r:id="rId37"/>
  </sheets>
  <externalReferences>
    <externalReference r:id="rId38"/>
  </externalReferences>
  <definedNames>
    <definedName name="BULAN">[1]SOAL30!$I$20:$I$44</definedName>
    <definedName name="BULAN2">[1]SOAL30!$I$20:$I$80</definedName>
    <definedName name="_xlnm.Print_Area" localSheetId="10">'LUNAS-PINJ HP SAMSUNG S25'!$A$1:$G$22</definedName>
    <definedName name="_xlnm.Print_Area" localSheetId="20">'PINJ AIR PURIFIER M.ADITYO N'!$A$1:$G$22</definedName>
    <definedName name="_xlnm.Print_Area" localSheetId="34">'PINJ APPLE IPAD 11'!$A$1:$G$22</definedName>
    <definedName name="_xlnm.Print_Area" localSheetId="33">'PINJ AQUA CHESTFEEZER &amp; ELECTRO'!$A$1:$G$22</definedName>
    <definedName name="_xlnm.Print_Area" localSheetId="35">'PINJ HP IPHONE 17 ASPAR'!$A$1:$G$24</definedName>
    <definedName name="_xlnm.Print_Area" localSheetId="36">'PINJ HP IPHONE 17 WILLY'!$A$1:$G$22</definedName>
    <definedName name="_xlnm.Print_Area" localSheetId="30">'PINJ HP IQOO RANDI RANTE'!$A$1:$G$24</definedName>
    <definedName name="_xlnm.Print_Area" localSheetId="17">'PINJ HP REDMI RISKA TRI'!$A$1:$G$24</definedName>
    <definedName name="_xlnm.Print_Area" localSheetId="18">'PINJ iPAD A16 RISKA DERIANI MAS'!$A$1:$G$22</definedName>
    <definedName name="_xlnm.Print_Area" localSheetId="11">'PINJ IPHONE ADITYO'!$A$1:$G$22</definedName>
    <definedName name="_xlnm.Print_Area" localSheetId="32">'PINJ MOTOR RISKA TRI HANDINI'!$A$1:$G$48</definedName>
    <definedName name="_xlnm.Print_Area" localSheetId="31">'PINJ SAMSUNG GALAXY TAB S10'!$A$1:$G$22</definedName>
    <definedName name="_xlnm.Print_Area" localSheetId="19">'PINJ SEPATU M.ADITYO N'!$A$1:$G$22</definedName>
    <definedName name="_xlnm.Print_Area" localSheetId="16">'PINJ TV DWI CAHYA KURNIAWAN'!$A$1:$G$22</definedName>
    <definedName name="_xlnm.Print_Area" localSheetId="28">'PINJ. AIR PURIEF DWI CAHYA'!$A$1:$G$24</definedName>
    <definedName name="_xlnm.Print_Area" localSheetId="24">'PINJ. HP OPPO ALWIN'!$A$1:$G$24</definedName>
    <definedName name="_xlnm.Print_Area" localSheetId="21">'PINJ. LAPTOP ADESTA'!$A$1:$G$15</definedName>
    <definedName name="_xlnm.Print_Area" localSheetId="29">'PINJ. LAPTOP DWI CAHYA'!$A$1:$G$24</definedName>
    <definedName name="_xlnm.Print_Area" localSheetId="22">'PINJ. MESIN CUCI BARU AWAN'!$A$1:$G$24</definedName>
    <definedName name="_xlnm.Print_Area" localSheetId="25">'PINJ. MOTOR KAWASAKI'!$A$1:$G$24</definedName>
    <definedName name="_xlnm.Print_Area" localSheetId="23">'PINJ. TV MARIYANA'!$A$1:$G$15</definedName>
    <definedName name="_xlnm.Print_Area" localSheetId="26">'PINJ.ALAT GOLF M.ADITYO'!$A$1:$G$24</definedName>
    <definedName name="_xlnm.Print_Area" localSheetId="27">'PINJ.GOLF ADITYO NUGROHO'!$A$1:$G$15</definedName>
    <definedName name="_xlnm.Print_Area" localSheetId="6">'PINJ.HOTEL FERRY'!$A$1:$G$15</definedName>
    <definedName name="_xlnm.Print_Area" localSheetId="15">'PINJ.THULE ADITYO NUGROHO'!$A$1:$G$15</definedName>
    <definedName name="_xlnm.Print_Area" localSheetId="12">'PINJ.THULE MARDINI'!$A$1:$G$15</definedName>
    <definedName name="_xlnm.Print_Area" localSheetId="14">'PINJ.THULE RANDY'!$A$1:$G$15</definedName>
    <definedName name="_xlnm.Print_Area" localSheetId="13">'PINJ.THULE YULIA DIAN ANGGRAINI'!$A$1:$G$15</definedName>
    <definedName name="_xlnm.Print_Area" localSheetId="7">'REGULER - PEMB. GARMIN S42'!$A$1:$G$22</definedName>
    <definedName name="_xlnm.Print_Area" localSheetId="8">'REGULER - PEMB.GOLF WILLY'!$A$1:$G$22</definedName>
    <definedName name="_xlnm.Print_Area" localSheetId="9">'REGULER - PS5'!$A$1:$G$22</definedName>
    <definedName name="_xlnm.Print_Area" localSheetId="0">'REGULER BARANG-HP RONY'!$A$1:$E$22</definedName>
    <definedName name="_xlnm.Print_Area" localSheetId="2">'REGULER BARANG-HP RUSDY WANGSA'!$A$1:$G$22</definedName>
    <definedName name="_xlnm.Print_Area" localSheetId="3">'REGULER BARANG-MESIN CUCI'!$A$1:$G$24</definedName>
    <definedName name="_xlnm.Print_Area" localSheetId="1">'REGULER HP - SUMARTINI'!$A$1:$G$22</definedName>
    <definedName name="_xlnm.Print_Area" localSheetId="5">'REGULER MTR AEROX'!$A$1:$G$36</definedName>
    <definedName name="_xlnm.Print_Area" localSheetId="4">'REGULER MTR SCOOPY'!$A$1:$G$36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40" l="1"/>
  <c r="E21" i="40"/>
  <c r="C12" i="40"/>
  <c r="C13" i="40"/>
  <c r="C14" i="40"/>
  <c r="C15" i="40"/>
  <c r="C16" i="40"/>
  <c r="C17" i="40"/>
  <c r="C18" i="40"/>
  <c r="C19" i="40"/>
  <c r="C20" i="40"/>
  <c r="C11" i="40"/>
  <c r="C21" i="40" s="1"/>
  <c r="K19" i="40"/>
  <c r="K11" i="40"/>
  <c r="I15" i="40"/>
  <c r="I19" i="40"/>
  <c r="I18" i="40"/>
  <c r="M14" i="40"/>
  <c r="J14" i="40"/>
  <c r="I14" i="40"/>
  <c r="D20" i="40"/>
  <c r="D19" i="40"/>
  <c r="E19" i="40" s="1"/>
  <c r="D18" i="40"/>
  <c r="E18" i="40" s="1"/>
  <c r="D17" i="40"/>
  <c r="E17" i="40" s="1"/>
  <c r="D16" i="40"/>
  <c r="E16" i="40" s="1"/>
  <c r="E15" i="40"/>
  <c r="D15" i="40"/>
  <c r="D14" i="40"/>
  <c r="I13" i="40"/>
  <c r="D13" i="40"/>
  <c r="E13" i="40" s="1"/>
  <c r="D12" i="40"/>
  <c r="E12" i="40" s="1"/>
  <c r="D11" i="40"/>
  <c r="D21" i="40" s="1"/>
  <c r="I13" i="39"/>
  <c r="I14" i="39" s="1"/>
  <c r="E23" i="39"/>
  <c r="D23" i="39"/>
  <c r="C23" i="39"/>
  <c r="L12" i="39"/>
  <c r="L11" i="39"/>
  <c r="M10" i="39"/>
  <c r="E12" i="39"/>
  <c r="E16" i="39"/>
  <c r="E18" i="39"/>
  <c r="E11" i="39"/>
  <c r="M24" i="39"/>
  <c r="M22" i="39"/>
  <c r="L24" i="39"/>
  <c r="D12" i="39"/>
  <c r="D13" i="39"/>
  <c r="D14" i="39"/>
  <c r="E14" i="39" s="1"/>
  <c r="D15" i="39"/>
  <c r="E15" i="39" s="1"/>
  <c r="D16" i="39"/>
  <c r="D17" i="39"/>
  <c r="D18" i="39"/>
  <c r="D19" i="39"/>
  <c r="D20" i="39"/>
  <c r="D21" i="39"/>
  <c r="D22" i="39"/>
  <c r="D11" i="39"/>
  <c r="E20" i="39"/>
  <c r="E19" i="39"/>
  <c r="L18" i="39"/>
  <c r="M16" i="39"/>
  <c r="M17" i="39" s="1"/>
  <c r="E13" i="39"/>
  <c r="I19" i="38"/>
  <c r="D12" i="38"/>
  <c r="D13" i="38"/>
  <c r="D14" i="38"/>
  <c r="D15" i="38"/>
  <c r="D16" i="38"/>
  <c r="D21" i="38" s="1"/>
  <c r="D17" i="38"/>
  <c r="D18" i="38"/>
  <c r="D19" i="38"/>
  <c r="D20" i="38"/>
  <c r="E20" i="38" s="1"/>
  <c r="D11" i="38"/>
  <c r="J14" i="38"/>
  <c r="I15" i="38"/>
  <c r="I14" i="38"/>
  <c r="I13" i="38"/>
  <c r="L18" i="38"/>
  <c r="M17" i="38"/>
  <c r="M16" i="38"/>
  <c r="E16" i="38"/>
  <c r="E15" i="38"/>
  <c r="C47" i="36"/>
  <c r="F10" i="36" s="1"/>
  <c r="I9" i="37"/>
  <c r="C21" i="37"/>
  <c r="D12" i="37"/>
  <c r="D11" i="37"/>
  <c r="D21" i="37" s="1"/>
  <c r="I8" i="37"/>
  <c r="I7" i="37"/>
  <c r="L18" i="37"/>
  <c r="M16" i="37"/>
  <c r="M17" i="37" s="1"/>
  <c r="F10" i="35"/>
  <c r="E47" i="36"/>
  <c r="D47" i="36"/>
  <c r="K8" i="36"/>
  <c r="D12" i="36"/>
  <c r="E12" i="36" s="1"/>
  <c r="D13" i="36"/>
  <c r="D14" i="36"/>
  <c r="E14" i="36" s="1"/>
  <c r="D15" i="36"/>
  <c r="D16" i="36"/>
  <c r="D17" i="36"/>
  <c r="D18" i="36"/>
  <c r="D19" i="36"/>
  <c r="D20" i="36"/>
  <c r="E20" i="36" s="1"/>
  <c r="D21" i="36"/>
  <c r="E21" i="36" s="1"/>
  <c r="D22" i="36"/>
  <c r="E22" i="36" s="1"/>
  <c r="D23" i="36"/>
  <c r="E23" i="36" s="1"/>
  <c r="D24" i="36"/>
  <c r="D25" i="36"/>
  <c r="D26" i="36"/>
  <c r="D27" i="36"/>
  <c r="D28" i="36"/>
  <c r="D29" i="36"/>
  <c r="D30" i="36"/>
  <c r="E30" i="36" s="1"/>
  <c r="D31" i="36"/>
  <c r="E31" i="36" s="1"/>
  <c r="D32" i="36"/>
  <c r="E32" i="36" s="1"/>
  <c r="D33" i="36"/>
  <c r="E33" i="36" s="1"/>
  <c r="D34" i="36"/>
  <c r="E34" i="36" s="1"/>
  <c r="D35" i="36"/>
  <c r="D36" i="36"/>
  <c r="E36" i="36" s="1"/>
  <c r="D37" i="36"/>
  <c r="D38" i="36"/>
  <c r="E38" i="36" s="1"/>
  <c r="D39" i="36"/>
  <c r="D40" i="36"/>
  <c r="D41" i="36"/>
  <c r="D42" i="36"/>
  <c r="D43" i="36"/>
  <c r="D44" i="36"/>
  <c r="D45" i="36"/>
  <c r="D46" i="36"/>
  <c r="D11" i="36"/>
  <c r="E35" i="36"/>
  <c r="E37" i="36"/>
  <c r="E39" i="36"/>
  <c r="E40" i="36"/>
  <c r="E41" i="36"/>
  <c r="E42" i="36"/>
  <c r="E43" i="36"/>
  <c r="E44" i="36"/>
  <c r="E45" i="36"/>
  <c r="E46" i="36"/>
  <c r="C52" i="36"/>
  <c r="E29" i="36"/>
  <c r="E28" i="36"/>
  <c r="E27" i="36"/>
  <c r="I26" i="36"/>
  <c r="I27" i="36" s="1"/>
  <c r="J27" i="36" s="1"/>
  <c r="E26" i="36"/>
  <c r="E25" i="36"/>
  <c r="E24" i="36"/>
  <c r="E19" i="36"/>
  <c r="E18" i="36"/>
  <c r="E17" i="36"/>
  <c r="E16" i="36"/>
  <c r="E15" i="36"/>
  <c r="E13" i="36"/>
  <c r="I13" i="35"/>
  <c r="I14" i="35" s="1"/>
  <c r="J14" i="35" s="1"/>
  <c r="F12" i="35"/>
  <c r="F13" i="35" s="1"/>
  <c r="F14" i="35" s="1"/>
  <c r="F15" i="35" s="1"/>
  <c r="F16" i="35" s="1"/>
  <c r="F17" i="35" s="1"/>
  <c r="F18" i="35" s="1"/>
  <c r="F19" i="35" s="1"/>
  <c r="F20" i="35" s="1"/>
  <c r="E11" i="35"/>
  <c r="D12" i="35"/>
  <c r="D21" i="35" s="1"/>
  <c r="D13" i="35"/>
  <c r="E13" i="35" s="1"/>
  <c r="D14" i="35"/>
  <c r="E14" i="35" s="1"/>
  <c r="D15" i="35"/>
  <c r="E15" i="35" s="1"/>
  <c r="D16" i="35"/>
  <c r="D17" i="35"/>
  <c r="D18" i="35"/>
  <c r="D19" i="35"/>
  <c r="E19" i="35" s="1"/>
  <c r="D20" i="35"/>
  <c r="D11" i="35"/>
  <c r="D12" i="34"/>
  <c r="D23" i="34" s="1"/>
  <c r="D13" i="34"/>
  <c r="D14" i="34"/>
  <c r="D15" i="34"/>
  <c r="E15" i="34" s="1"/>
  <c r="D16" i="34"/>
  <c r="D17" i="34"/>
  <c r="D18" i="34"/>
  <c r="D19" i="34"/>
  <c r="D20" i="34"/>
  <c r="D21" i="34"/>
  <c r="E21" i="34" s="1"/>
  <c r="D22" i="34"/>
  <c r="E22" i="34" s="1"/>
  <c r="E20" i="35"/>
  <c r="C21" i="35"/>
  <c r="L18" i="35"/>
  <c r="E18" i="35"/>
  <c r="E17" i="35"/>
  <c r="M16" i="35"/>
  <c r="M17" i="35" s="1"/>
  <c r="E16" i="35"/>
  <c r="I13" i="34"/>
  <c r="I14" i="34" s="1"/>
  <c r="F11" i="34"/>
  <c r="L18" i="34"/>
  <c r="H10" i="34"/>
  <c r="E12" i="34"/>
  <c r="F12" i="34" s="1"/>
  <c r="F13" i="34" s="1"/>
  <c r="F14" i="34" s="1"/>
  <c r="M17" i="34"/>
  <c r="M16" i="34"/>
  <c r="E20" i="34"/>
  <c r="E19" i="34"/>
  <c r="E18" i="34"/>
  <c r="E17" i="34"/>
  <c r="E16" i="34"/>
  <c r="E14" i="34"/>
  <c r="E13" i="34"/>
  <c r="D11" i="34"/>
  <c r="E11" i="14"/>
  <c r="I23" i="32"/>
  <c r="J23" i="32"/>
  <c r="J15" i="33"/>
  <c r="C16" i="33" s="1"/>
  <c r="E16" i="33" s="1"/>
  <c r="I15" i="33"/>
  <c r="I14" i="33"/>
  <c r="D12" i="33"/>
  <c r="D13" i="33"/>
  <c r="D14" i="33"/>
  <c r="D15" i="33"/>
  <c r="D16" i="33"/>
  <c r="D11" i="33"/>
  <c r="I16" i="33"/>
  <c r="E22" i="33"/>
  <c r="E21" i="33"/>
  <c r="E20" i="33"/>
  <c r="E19" i="33"/>
  <c r="E18" i="33"/>
  <c r="E17" i="33"/>
  <c r="J14" i="32"/>
  <c r="I14" i="32"/>
  <c r="E20" i="40" l="1"/>
  <c r="E14" i="40"/>
  <c r="H10" i="40"/>
  <c r="E11" i="40"/>
  <c r="J14" i="39"/>
  <c r="I15" i="39"/>
  <c r="I19" i="39" s="1"/>
  <c r="E21" i="39"/>
  <c r="E17" i="39"/>
  <c r="E22" i="39"/>
  <c r="M14" i="39"/>
  <c r="E17" i="38"/>
  <c r="E18" i="38"/>
  <c r="E13" i="38"/>
  <c r="E14" i="38"/>
  <c r="C21" i="38"/>
  <c r="E19" i="38"/>
  <c r="E12" i="38"/>
  <c r="M14" i="38"/>
  <c r="E11" i="38"/>
  <c r="I10" i="37"/>
  <c r="J10" i="37" s="1"/>
  <c r="J9" i="37"/>
  <c r="F10" i="37"/>
  <c r="E12" i="37"/>
  <c r="M14" i="37"/>
  <c r="E11" i="37"/>
  <c r="H10" i="35"/>
  <c r="E12" i="35"/>
  <c r="F15" i="34"/>
  <c r="F16" i="34" s="1"/>
  <c r="F17" i="34" s="1"/>
  <c r="F18" i="34" s="1"/>
  <c r="F19" i="34" s="1"/>
  <c r="F20" i="34" s="1"/>
  <c r="F21" i="34" s="1"/>
  <c r="F22" i="34" s="1"/>
  <c r="I15" i="35"/>
  <c r="F11" i="35"/>
  <c r="M14" i="35"/>
  <c r="I15" i="34"/>
  <c r="I16" i="34" s="1"/>
  <c r="J14" i="34"/>
  <c r="M14" i="34"/>
  <c r="C23" i="34"/>
  <c r="E11" i="34"/>
  <c r="E23" i="34" s="1"/>
  <c r="D23" i="33"/>
  <c r="C12" i="33"/>
  <c r="E12" i="33" s="1"/>
  <c r="C11" i="33"/>
  <c r="C14" i="33"/>
  <c r="E14" i="33" s="1"/>
  <c r="C13" i="33"/>
  <c r="E13" i="33" s="1"/>
  <c r="C15" i="33"/>
  <c r="E15" i="33" s="1"/>
  <c r="E22" i="32"/>
  <c r="E21" i="32"/>
  <c r="E20" i="32"/>
  <c r="E19" i="32"/>
  <c r="E18" i="32"/>
  <c r="E17" i="32"/>
  <c r="E16" i="32"/>
  <c r="D15" i="32"/>
  <c r="D14" i="32"/>
  <c r="D13" i="32"/>
  <c r="D12" i="32"/>
  <c r="D11" i="32"/>
  <c r="D23" i="32" s="1"/>
  <c r="C14" i="31"/>
  <c r="J14" i="31"/>
  <c r="I13" i="31"/>
  <c r="I14" i="31"/>
  <c r="D13" i="31"/>
  <c r="E13" i="31" s="1"/>
  <c r="D12" i="31"/>
  <c r="E12" i="31" s="1"/>
  <c r="D11" i="31"/>
  <c r="J15" i="30"/>
  <c r="I15" i="30"/>
  <c r="I14" i="30"/>
  <c r="F11" i="40" l="1"/>
  <c r="F12" i="40" s="1"/>
  <c r="F13" i="40" s="1"/>
  <c r="F14" i="40" s="1"/>
  <c r="F15" i="40" s="1"/>
  <c r="F16" i="40" s="1"/>
  <c r="F17" i="40" s="1"/>
  <c r="F18" i="40" s="1"/>
  <c r="F19" i="40" s="1"/>
  <c r="F20" i="40" s="1"/>
  <c r="F10" i="39"/>
  <c r="F11" i="39" s="1"/>
  <c r="F12" i="39" s="1"/>
  <c r="F13" i="39" s="1"/>
  <c r="F14" i="39" s="1"/>
  <c r="F15" i="39" s="1"/>
  <c r="F16" i="39" s="1"/>
  <c r="F10" i="38"/>
  <c r="H10" i="38" s="1"/>
  <c r="E21" i="38"/>
  <c r="E21" i="37"/>
  <c r="F11" i="37"/>
  <c r="F12" i="37" s="1"/>
  <c r="E11" i="36"/>
  <c r="E21" i="35"/>
  <c r="E11" i="33"/>
  <c r="E23" i="33" s="1"/>
  <c r="C23" i="33"/>
  <c r="F10" i="33" s="1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E12" i="32"/>
  <c r="E13" i="32"/>
  <c r="E15" i="32"/>
  <c r="E14" i="32"/>
  <c r="E11" i="31"/>
  <c r="E14" i="31" s="1"/>
  <c r="D14" i="31"/>
  <c r="F10" i="31" s="1"/>
  <c r="F11" i="31" s="1"/>
  <c r="F12" i="31" s="1"/>
  <c r="F13" i="31" s="1"/>
  <c r="L12" i="30"/>
  <c r="D11" i="30"/>
  <c r="C28" i="30"/>
  <c r="D22" i="30"/>
  <c r="D21" i="30"/>
  <c r="D20" i="30"/>
  <c r="D19" i="30"/>
  <c r="D18" i="30"/>
  <c r="D17" i="30"/>
  <c r="D16" i="30"/>
  <c r="D15" i="30"/>
  <c r="D14" i="30"/>
  <c r="D13" i="30"/>
  <c r="D12" i="30"/>
  <c r="D23" i="30"/>
  <c r="E23" i="29"/>
  <c r="C23" i="29"/>
  <c r="D23" i="29"/>
  <c r="I16" i="29"/>
  <c r="I14" i="29"/>
  <c r="I15" i="29"/>
  <c r="J15" i="29" s="1"/>
  <c r="D12" i="29"/>
  <c r="D13" i="29"/>
  <c r="D14" i="29"/>
  <c r="D15" i="29"/>
  <c r="D16" i="29"/>
  <c r="D17" i="29"/>
  <c r="D18" i="29"/>
  <c r="D11" i="29"/>
  <c r="C28" i="29"/>
  <c r="E22" i="29"/>
  <c r="E21" i="29"/>
  <c r="E20" i="29"/>
  <c r="E19" i="29"/>
  <c r="D12" i="27"/>
  <c r="D13" i="27"/>
  <c r="D11" i="27"/>
  <c r="H10" i="39" l="1"/>
  <c r="F17" i="39"/>
  <c r="F18" i="39" s="1"/>
  <c r="F19" i="39" s="1"/>
  <c r="F20" i="39" s="1"/>
  <c r="F21" i="39" s="1"/>
  <c r="F22" i="39" s="1"/>
  <c r="F11" i="38"/>
  <c r="F12" i="38" s="1"/>
  <c r="F13" i="38" s="1"/>
  <c r="F14" i="38" s="1"/>
  <c r="F15" i="38" s="1"/>
  <c r="F16" i="38" s="1"/>
  <c r="F17" i="38" s="1"/>
  <c r="F18" i="38" s="1"/>
  <c r="F19" i="38" s="1"/>
  <c r="F20" i="38" s="1"/>
  <c r="F11" i="36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C23" i="32"/>
  <c r="F10" i="32" s="1"/>
  <c r="E11" i="32"/>
  <c r="E23" i="32" s="1"/>
  <c r="C12" i="29"/>
  <c r="E12" i="29" s="1"/>
  <c r="C18" i="29"/>
  <c r="E18" i="29" s="1"/>
  <c r="C11" i="29"/>
  <c r="C16" i="29"/>
  <c r="E16" i="29" s="1"/>
  <c r="C17" i="29"/>
  <c r="E17" i="29"/>
  <c r="C13" i="29"/>
  <c r="E13" i="29" s="1"/>
  <c r="C15" i="29"/>
  <c r="E15" i="29" s="1"/>
  <c r="C14" i="29"/>
  <c r="E14" i="29" s="1"/>
  <c r="F10" i="28"/>
  <c r="D23" i="28"/>
  <c r="I14" i="28"/>
  <c r="I15" i="28" s="1"/>
  <c r="J15" i="28" s="1"/>
  <c r="D12" i="28"/>
  <c r="D13" i="28"/>
  <c r="D14" i="28"/>
  <c r="D15" i="28"/>
  <c r="E20" i="28"/>
  <c r="E21" i="28"/>
  <c r="E22" i="28"/>
  <c r="D11" i="28"/>
  <c r="C28" i="28"/>
  <c r="E19" i="28"/>
  <c r="E18" i="28"/>
  <c r="E17" i="28"/>
  <c r="E16" i="28"/>
  <c r="I14" i="27"/>
  <c r="J14" i="27"/>
  <c r="C14" i="27"/>
  <c r="I13" i="27"/>
  <c r="D14" i="27"/>
  <c r="F10" i="27" s="1"/>
  <c r="J15" i="26"/>
  <c r="D12" i="26"/>
  <c r="D13" i="26"/>
  <c r="D14" i="26"/>
  <c r="D15" i="26"/>
  <c r="D11" i="26"/>
  <c r="F11" i="32" l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C11" i="30"/>
  <c r="E11" i="30" s="1"/>
  <c r="C13" i="30"/>
  <c r="E13" i="30" s="1"/>
  <c r="C14" i="30"/>
  <c r="E14" i="30" s="1"/>
  <c r="C15" i="30"/>
  <c r="E15" i="30" s="1"/>
  <c r="C16" i="30"/>
  <c r="E16" i="30" s="1"/>
  <c r="C17" i="30"/>
  <c r="E17" i="30" s="1"/>
  <c r="C18" i="30"/>
  <c r="E18" i="30" s="1"/>
  <c r="C19" i="30"/>
  <c r="E19" i="30" s="1"/>
  <c r="C20" i="30"/>
  <c r="E20" i="30" s="1"/>
  <c r="C12" i="30"/>
  <c r="E12" i="30" s="1"/>
  <c r="C21" i="30"/>
  <c r="E21" i="30" s="1"/>
  <c r="C22" i="30"/>
  <c r="E22" i="30" s="1"/>
  <c r="E11" i="29"/>
  <c r="C12" i="28"/>
  <c r="E12" i="28" s="1"/>
  <c r="C14" i="28"/>
  <c r="E14" i="28" s="1"/>
  <c r="C11" i="28"/>
  <c r="E11" i="28" s="1"/>
  <c r="C13" i="28"/>
  <c r="E13" i="28" s="1"/>
  <c r="C15" i="28"/>
  <c r="E15" i="28" s="1"/>
  <c r="E12" i="27"/>
  <c r="E13" i="27"/>
  <c r="E11" i="27"/>
  <c r="I14" i="26"/>
  <c r="I15" i="26" s="1"/>
  <c r="C11" i="26" s="1"/>
  <c r="C28" i="26"/>
  <c r="D23" i="26"/>
  <c r="J14" i="24"/>
  <c r="I14" i="24"/>
  <c r="J13" i="24"/>
  <c r="D12" i="24"/>
  <c r="D11" i="24"/>
  <c r="I13" i="24"/>
  <c r="E13" i="24"/>
  <c r="K16" i="21"/>
  <c r="I13" i="21"/>
  <c r="J14" i="21"/>
  <c r="J13" i="21"/>
  <c r="J15" i="21"/>
  <c r="E23" i="30" l="1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C23" i="30"/>
  <c r="F10" i="29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E23" i="28"/>
  <c r="C23" i="28"/>
  <c r="F11" i="28" s="1"/>
  <c r="E14" i="27"/>
  <c r="F11" i="27"/>
  <c r="F12" i="27" s="1"/>
  <c r="F13" i="27" s="1"/>
  <c r="C15" i="26"/>
  <c r="E15" i="26" s="1"/>
  <c r="C12" i="26"/>
  <c r="E12" i="26" s="1"/>
  <c r="E20" i="26"/>
  <c r="E17" i="26"/>
  <c r="C14" i="26"/>
  <c r="E14" i="26" s="1"/>
  <c r="E22" i="26"/>
  <c r="E19" i="26"/>
  <c r="E16" i="26"/>
  <c r="C13" i="26"/>
  <c r="E13" i="26" s="1"/>
  <c r="E18" i="26"/>
  <c r="E21" i="26"/>
  <c r="C12" i="24"/>
  <c r="C11" i="24"/>
  <c r="C14" i="24" s="1"/>
  <c r="E12" i="24"/>
  <c r="D14" i="24"/>
  <c r="E11" i="24"/>
  <c r="E14" i="24" s="1"/>
  <c r="I14" i="21"/>
  <c r="I16" i="21" s="1"/>
  <c r="J16" i="21" s="1"/>
  <c r="I13" i="23"/>
  <c r="L14" i="23"/>
  <c r="J15" i="23"/>
  <c r="I14" i="23"/>
  <c r="I16" i="23"/>
  <c r="J16" i="23" s="1"/>
  <c r="D12" i="23"/>
  <c r="D13" i="23"/>
  <c r="D14" i="23"/>
  <c r="D15" i="23"/>
  <c r="E15" i="23" s="1"/>
  <c r="D11" i="23"/>
  <c r="C21" i="23"/>
  <c r="N17" i="23"/>
  <c r="E14" i="23"/>
  <c r="E13" i="23"/>
  <c r="E12" i="23"/>
  <c r="J11" i="23"/>
  <c r="I11" i="23"/>
  <c r="H11" i="23"/>
  <c r="J19" i="22"/>
  <c r="I19" i="22"/>
  <c r="H19" i="22"/>
  <c r="I18" i="22"/>
  <c r="H18" i="22"/>
  <c r="H17" i="22"/>
  <c r="C11" i="22"/>
  <c r="E11" i="22" s="1"/>
  <c r="C28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21" i="21"/>
  <c r="C21" i="21"/>
  <c r="F10" i="21" s="1"/>
  <c r="D20" i="21"/>
  <c r="E20" i="21" s="1"/>
  <c r="E19" i="21"/>
  <c r="D19" i="21"/>
  <c r="D18" i="21"/>
  <c r="E18" i="21" s="1"/>
  <c r="D17" i="21"/>
  <c r="E17" i="21" s="1"/>
  <c r="E16" i="21"/>
  <c r="D16" i="21"/>
  <c r="D15" i="21"/>
  <c r="E15" i="21" s="1"/>
  <c r="D14" i="21"/>
  <c r="E14" i="21" s="1"/>
  <c r="D13" i="21"/>
  <c r="E13" i="21" s="1"/>
  <c r="D12" i="21"/>
  <c r="E12" i="21" s="1"/>
  <c r="D11" i="21"/>
  <c r="E11" i="21" s="1"/>
  <c r="F12" i="28" l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C23" i="26"/>
  <c r="E11" i="26"/>
  <c r="E23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10" i="24"/>
  <c r="F11" i="24" s="1"/>
  <c r="F12" i="24" s="1"/>
  <c r="F13" i="24" s="1"/>
  <c r="D21" i="23"/>
  <c r="E11" i="23"/>
  <c r="F10" i="23"/>
  <c r="E21" i="23"/>
  <c r="C14" i="22"/>
  <c r="E14" i="22" s="1"/>
  <c r="C19" i="22"/>
  <c r="E19" i="22" s="1"/>
  <c r="C16" i="22"/>
  <c r="E16" i="22" s="1"/>
  <c r="C13" i="22"/>
  <c r="E13" i="22" s="1"/>
  <c r="C18" i="22"/>
  <c r="E18" i="22" s="1"/>
  <c r="C15" i="22"/>
  <c r="E15" i="22" s="1"/>
  <c r="C12" i="22"/>
  <c r="E12" i="22" s="1"/>
  <c r="C20" i="22"/>
  <c r="E20" i="22" s="1"/>
  <c r="C17" i="22"/>
  <c r="E17" i="22" s="1"/>
  <c r="C22" i="22"/>
  <c r="E22" i="22" s="1"/>
  <c r="C21" i="22"/>
  <c r="E21" i="22" s="1"/>
  <c r="F11" i="21"/>
  <c r="F12" i="21" s="1"/>
  <c r="F13" i="21" s="1"/>
  <c r="F14" i="21" s="1"/>
  <c r="F15" i="21" s="1"/>
  <c r="F16" i="21" s="1"/>
  <c r="F17" i="21" s="1"/>
  <c r="F18" i="21" s="1"/>
  <c r="F19" i="21" s="1"/>
  <c r="F20" i="21" s="1"/>
  <c r="E21" i="21"/>
  <c r="F11" i="23" l="1"/>
  <c r="F12" i="23" s="1"/>
  <c r="F13" i="23" s="1"/>
  <c r="F14" i="23" s="1"/>
  <c r="F15" i="23" s="1"/>
  <c r="C23" i="22"/>
  <c r="E23" i="22"/>
  <c r="D12" i="20"/>
  <c r="E12" i="20" s="1"/>
  <c r="D13" i="20"/>
  <c r="D14" i="20"/>
  <c r="D15" i="20"/>
  <c r="D11" i="20"/>
  <c r="I17" i="20"/>
  <c r="J16" i="20"/>
  <c r="I16" i="20"/>
  <c r="N15" i="20"/>
  <c r="N17" i="20" s="1"/>
  <c r="J15" i="20"/>
  <c r="E15" i="20"/>
  <c r="E14" i="20"/>
  <c r="I13" i="20"/>
  <c r="E13" i="20"/>
  <c r="I11" i="20"/>
  <c r="H11" i="20"/>
  <c r="J11" i="20" s="1"/>
  <c r="C21" i="20"/>
  <c r="C14" i="19"/>
  <c r="D13" i="19"/>
  <c r="E13" i="19" s="1"/>
  <c r="D12" i="19"/>
  <c r="E12" i="19" s="1"/>
  <c r="I11" i="19"/>
  <c r="H11" i="19"/>
  <c r="J11" i="19" s="1"/>
  <c r="E11" i="19"/>
  <c r="D11" i="19"/>
  <c r="D14" i="19" s="1"/>
  <c r="D14" i="18"/>
  <c r="C14" i="18"/>
  <c r="D13" i="18"/>
  <c r="E13" i="18" s="1"/>
  <c r="D12" i="18"/>
  <c r="E12" i="18" s="1"/>
  <c r="I11" i="18"/>
  <c r="H11" i="18"/>
  <c r="J11" i="18" s="1"/>
  <c r="D11" i="18"/>
  <c r="E11" i="18" s="1"/>
  <c r="E14" i="18" s="1"/>
  <c r="F10" i="22" l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D21" i="20"/>
  <c r="F10" i="20"/>
  <c r="E11" i="20"/>
  <c r="E21" i="20" s="1"/>
  <c r="E14" i="19"/>
  <c r="F10" i="19"/>
  <c r="F11" i="19" s="1"/>
  <c r="F12" i="19" s="1"/>
  <c r="F13" i="19" s="1"/>
  <c r="F10" i="18"/>
  <c r="F11" i="18" s="1"/>
  <c r="F12" i="18" s="1"/>
  <c r="F13" i="18" s="1"/>
  <c r="F11" i="20" l="1"/>
  <c r="F12" i="20" s="1"/>
  <c r="F13" i="20" s="1"/>
  <c r="F14" i="20" s="1"/>
  <c r="F15" i="20" s="1"/>
  <c r="F12" i="17"/>
  <c r="F13" i="17"/>
  <c r="I13" i="17"/>
  <c r="C14" i="17"/>
  <c r="D13" i="17"/>
  <c r="E13" i="17" s="1"/>
  <c r="D12" i="17"/>
  <c r="E12" i="17" s="1"/>
  <c r="I11" i="17"/>
  <c r="H11" i="17"/>
  <c r="J11" i="17" s="1"/>
  <c r="D11" i="17"/>
  <c r="D14" i="17" s="1"/>
  <c r="D12" i="16"/>
  <c r="E12" i="16" s="1"/>
  <c r="D13" i="16"/>
  <c r="E13" i="16" s="1"/>
  <c r="D11" i="16"/>
  <c r="C14" i="16"/>
  <c r="I11" i="16"/>
  <c r="H11" i="16"/>
  <c r="J11" i="16" s="1"/>
  <c r="C12" i="15"/>
  <c r="E12" i="15" s="1"/>
  <c r="C13" i="15"/>
  <c r="E13" i="15" s="1"/>
  <c r="C14" i="15"/>
  <c r="C15" i="15"/>
  <c r="C16" i="15"/>
  <c r="C11" i="15"/>
  <c r="E11" i="15" s="1"/>
  <c r="E16" i="15"/>
  <c r="I17" i="15"/>
  <c r="D12" i="15"/>
  <c r="D13" i="15"/>
  <c r="D14" i="15"/>
  <c r="D15" i="15"/>
  <c r="D16" i="15"/>
  <c r="D11" i="15"/>
  <c r="J15" i="15"/>
  <c r="N15" i="15"/>
  <c r="N17" i="15" s="1"/>
  <c r="E15" i="15"/>
  <c r="E14" i="15"/>
  <c r="I13" i="15"/>
  <c r="I16" i="15" s="1"/>
  <c r="J16" i="15" s="1"/>
  <c r="I11" i="15"/>
  <c r="H11" i="15"/>
  <c r="J11" i="15" s="1"/>
  <c r="D21" i="15"/>
  <c r="F10" i="17" l="1"/>
  <c r="E11" i="17"/>
  <c r="E14" i="17" s="1"/>
  <c r="D14" i="16"/>
  <c r="F10" i="16"/>
  <c r="E11" i="16"/>
  <c r="E14" i="16" s="1"/>
  <c r="C21" i="15"/>
  <c r="F10" i="15"/>
  <c r="E21" i="15"/>
  <c r="N17" i="4"/>
  <c r="N15" i="4"/>
  <c r="D11" i="13"/>
  <c r="K20" i="13"/>
  <c r="I20" i="13"/>
  <c r="I19" i="13"/>
  <c r="D35" i="13"/>
  <c r="E11" i="13"/>
  <c r="C35" i="13"/>
  <c r="F10" i="13" s="1"/>
  <c r="J15" i="14"/>
  <c r="D11" i="14"/>
  <c r="D12" i="14"/>
  <c r="D23" i="14" s="1"/>
  <c r="D13" i="14"/>
  <c r="D14" i="14"/>
  <c r="I14" i="14"/>
  <c r="D15" i="14"/>
  <c r="I15" i="14"/>
  <c r="C16" i="14"/>
  <c r="E16" i="14" s="1"/>
  <c r="D16" i="14"/>
  <c r="D17" i="14"/>
  <c r="D18" i="14"/>
  <c r="D19" i="14"/>
  <c r="D20" i="14"/>
  <c r="D21" i="14"/>
  <c r="D22" i="14"/>
  <c r="C28" i="14"/>
  <c r="D12" i="13"/>
  <c r="E12" i="13" s="1"/>
  <c r="D13" i="13"/>
  <c r="E13" i="13"/>
  <c r="D14" i="13"/>
  <c r="E14" i="13"/>
  <c r="D15" i="13"/>
  <c r="E15" i="13"/>
  <c r="D16" i="13"/>
  <c r="E16" i="13"/>
  <c r="D17" i="13"/>
  <c r="E17" i="13"/>
  <c r="D18" i="13"/>
  <c r="E18" i="13"/>
  <c r="D19" i="13"/>
  <c r="E19" i="13"/>
  <c r="D20" i="13"/>
  <c r="E20" i="13"/>
  <c r="J20" i="13"/>
  <c r="D21" i="13"/>
  <c r="E21" i="13" s="1"/>
  <c r="J21" i="13"/>
  <c r="D22" i="13"/>
  <c r="E22" i="13"/>
  <c r="D23" i="13"/>
  <c r="E23" i="13" s="1"/>
  <c r="D24" i="13"/>
  <c r="E24" i="13"/>
  <c r="D25" i="13"/>
  <c r="E25" i="13"/>
  <c r="D26" i="13"/>
  <c r="E26" i="13"/>
  <c r="D27" i="13"/>
  <c r="E27" i="13"/>
  <c r="D28" i="13"/>
  <c r="E28" i="13"/>
  <c r="D29" i="13"/>
  <c r="E29" i="13"/>
  <c r="D30" i="13"/>
  <c r="E30" i="13" s="1"/>
  <c r="D31" i="13"/>
  <c r="E31" i="13"/>
  <c r="D32" i="13"/>
  <c r="E32" i="13"/>
  <c r="D33" i="13"/>
  <c r="E33" i="13"/>
  <c r="D34" i="13"/>
  <c r="E34" i="13" s="1"/>
  <c r="C40" i="13"/>
  <c r="D11" i="11"/>
  <c r="D12" i="11"/>
  <c r="E12" i="11"/>
  <c r="D13" i="11"/>
  <c r="E13" i="11"/>
  <c r="D14" i="11"/>
  <c r="E14" i="11" s="1"/>
  <c r="I14" i="11"/>
  <c r="D15" i="11"/>
  <c r="E15" i="11"/>
  <c r="I15" i="11"/>
  <c r="J15" i="11"/>
  <c r="D16" i="11"/>
  <c r="E16" i="11"/>
  <c r="J16" i="11"/>
  <c r="K16" i="11" s="1"/>
  <c r="D17" i="11"/>
  <c r="E17" i="11"/>
  <c r="D18" i="11"/>
  <c r="E18" i="11"/>
  <c r="D19" i="11"/>
  <c r="E19" i="11"/>
  <c r="I19" i="11"/>
  <c r="I20" i="11" s="1"/>
  <c r="J20" i="11" s="1"/>
  <c r="K20" i="11" s="1"/>
  <c r="C11" i="11" s="1"/>
  <c r="D20" i="11"/>
  <c r="E20" i="11" s="1"/>
  <c r="D21" i="11"/>
  <c r="E21" i="11"/>
  <c r="J21" i="11"/>
  <c r="D22" i="11"/>
  <c r="E22" i="11"/>
  <c r="D23" i="11"/>
  <c r="E23" i="11" s="1"/>
  <c r="D24" i="11"/>
  <c r="E24" i="11"/>
  <c r="D25" i="11"/>
  <c r="E25" i="11"/>
  <c r="D26" i="11"/>
  <c r="E26" i="11"/>
  <c r="I26" i="11"/>
  <c r="I27" i="11" s="1"/>
  <c r="J27" i="11" s="1"/>
  <c r="D27" i="11"/>
  <c r="E27" i="11"/>
  <c r="D28" i="11"/>
  <c r="E28" i="11"/>
  <c r="D29" i="11"/>
  <c r="E29" i="11"/>
  <c r="D30" i="11"/>
  <c r="E30" i="11" s="1"/>
  <c r="D31" i="11"/>
  <c r="E31" i="11"/>
  <c r="D32" i="11"/>
  <c r="E32" i="11"/>
  <c r="D33" i="11"/>
  <c r="E33" i="11"/>
  <c r="D34" i="11"/>
  <c r="E34" i="11" s="1"/>
  <c r="C40" i="11"/>
  <c r="C26" i="10"/>
  <c r="C21" i="10"/>
  <c r="D20" i="10"/>
  <c r="E20" i="10" s="1"/>
  <c r="D19" i="10"/>
  <c r="E19" i="10" s="1"/>
  <c r="D18" i="10"/>
  <c r="E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I11" i="10"/>
  <c r="H11" i="10"/>
  <c r="J11" i="10" s="1"/>
  <c r="D11" i="10"/>
  <c r="E11" i="10" s="1"/>
  <c r="F10" i="10"/>
  <c r="C26" i="8"/>
  <c r="C21" i="8"/>
  <c r="C20" i="8"/>
  <c r="C19" i="8"/>
  <c r="C18" i="8"/>
  <c r="C17" i="8"/>
  <c r="C16" i="8"/>
  <c r="C15" i="8"/>
  <c r="C14" i="8"/>
  <c r="C13" i="8"/>
  <c r="C12" i="8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11" i="7"/>
  <c r="D21" i="7" s="1"/>
  <c r="E11" i="7"/>
  <c r="E21" i="7" s="1"/>
  <c r="F11" i="7"/>
  <c r="F12" i="7" s="1"/>
  <c r="F13" i="7" s="1"/>
  <c r="F14" i="7" s="1"/>
  <c r="F15" i="7" s="1"/>
  <c r="F16" i="7" s="1"/>
  <c r="F17" i="7" s="1"/>
  <c r="F18" i="7" s="1"/>
  <c r="F19" i="7" s="1"/>
  <c r="F20" i="7" s="1"/>
  <c r="H11" i="7"/>
  <c r="I11" i="7"/>
  <c r="J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C21" i="7"/>
  <c r="C26" i="7"/>
  <c r="D11" i="6"/>
  <c r="E11" i="6" s="1"/>
  <c r="E14" i="6" s="1"/>
  <c r="H11" i="6"/>
  <c r="I11" i="6"/>
  <c r="J11" i="6"/>
  <c r="D12" i="6"/>
  <c r="E12" i="6"/>
  <c r="C14" i="6"/>
  <c r="D11" i="5"/>
  <c r="E11" i="5" s="1"/>
  <c r="H11" i="5"/>
  <c r="I11" i="5"/>
  <c r="J11" i="5"/>
  <c r="D12" i="5"/>
  <c r="E12" i="5"/>
  <c r="D13" i="5"/>
  <c r="E13" i="5"/>
  <c r="D14" i="5"/>
  <c r="E14" i="5" s="1"/>
  <c r="D15" i="5"/>
  <c r="E15" i="5"/>
  <c r="D16" i="5"/>
  <c r="E16" i="5"/>
  <c r="D17" i="5"/>
  <c r="E17" i="5"/>
  <c r="D18" i="5"/>
  <c r="E18" i="5" s="1"/>
  <c r="D19" i="5"/>
  <c r="E19" i="5"/>
  <c r="D20" i="5"/>
  <c r="E20" i="5"/>
  <c r="C21" i="5"/>
  <c r="D11" i="4"/>
  <c r="E11" i="4"/>
  <c r="H11" i="4"/>
  <c r="I11" i="4"/>
  <c r="J11" i="4"/>
  <c r="D12" i="4"/>
  <c r="D21" i="4" s="1"/>
  <c r="E12" i="4"/>
  <c r="D13" i="4"/>
  <c r="E13" i="4"/>
  <c r="I13" i="4"/>
  <c r="D14" i="4"/>
  <c r="E14" i="4" s="1"/>
  <c r="I14" i="4"/>
  <c r="I16" i="4" s="1"/>
  <c r="J16" i="4" s="1"/>
  <c r="D15" i="4"/>
  <c r="E15" i="4"/>
  <c r="J15" i="4"/>
  <c r="D16" i="4"/>
  <c r="E16" i="4"/>
  <c r="D17" i="4"/>
  <c r="E17" i="4"/>
  <c r="D18" i="4"/>
  <c r="E18" i="4"/>
  <c r="D19" i="4"/>
  <c r="E19" i="4"/>
  <c r="D20" i="4"/>
  <c r="E20" i="4"/>
  <c r="C21" i="4"/>
  <c r="D11" i="3"/>
  <c r="E11" i="3" s="1"/>
  <c r="H11" i="3"/>
  <c r="I11" i="3"/>
  <c r="J11" i="3"/>
  <c r="D12" i="3"/>
  <c r="E12" i="3"/>
  <c r="D13" i="3"/>
  <c r="E13" i="3"/>
  <c r="D14" i="3"/>
  <c r="E14" i="3" s="1"/>
  <c r="D15" i="3"/>
  <c r="E15" i="3"/>
  <c r="D16" i="3"/>
  <c r="E16" i="3"/>
  <c r="D17" i="3"/>
  <c r="E17" i="3"/>
  <c r="D18" i="3"/>
  <c r="E18" i="3" s="1"/>
  <c r="D19" i="3"/>
  <c r="E19" i="3"/>
  <c r="D20" i="3"/>
  <c r="E20" i="3"/>
  <c r="C21" i="3"/>
  <c r="C26" i="3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D11" i="2"/>
  <c r="E11" i="2"/>
  <c r="H11" i="2"/>
  <c r="I11" i="2"/>
  <c r="J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C21" i="2"/>
  <c r="D21" i="2"/>
  <c r="E21" i="2"/>
  <c r="C26" i="2"/>
  <c r="C26" i="1"/>
  <c r="D21" i="1"/>
  <c r="F10" i="1" s="1"/>
  <c r="C21" i="1"/>
  <c r="D20" i="1"/>
  <c r="E20" i="1" s="1"/>
  <c r="D19" i="1"/>
  <c r="E19" i="1" s="1"/>
  <c r="D18" i="1"/>
  <c r="E18" i="1" s="1"/>
  <c r="E17" i="1"/>
  <c r="D17" i="1"/>
  <c r="D16" i="1"/>
  <c r="E16" i="1" s="1"/>
  <c r="D15" i="1"/>
  <c r="E15" i="1" s="1"/>
  <c r="D14" i="1"/>
  <c r="E14" i="1" s="1"/>
  <c r="E13" i="1"/>
  <c r="D13" i="1"/>
  <c r="D12" i="1"/>
  <c r="E12" i="1" s="1"/>
  <c r="I11" i="1"/>
  <c r="H11" i="1"/>
  <c r="J11" i="1" s="1"/>
  <c r="D11" i="1"/>
  <c r="E11" i="1" s="1"/>
  <c r="F11" i="17" l="1"/>
  <c r="F11" i="16"/>
  <c r="F12" i="16" s="1"/>
  <c r="F13" i="16" s="1"/>
  <c r="F11" i="15"/>
  <c r="F12" i="15" s="1"/>
  <c r="F13" i="15" s="1"/>
  <c r="F14" i="15" s="1"/>
  <c r="F15" i="15" s="1"/>
  <c r="F16" i="15" s="1"/>
  <c r="E35" i="13"/>
  <c r="C18" i="14"/>
  <c r="E18" i="14" s="1"/>
  <c r="C15" i="14"/>
  <c r="E15" i="14" s="1"/>
  <c r="C20" i="14"/>
  <c r="E20" i="14" s="1"/>
  <c r="C17" i="14"/>
  <c r="E17" i="14" s="1"/>
  <c r="C13" i="14"/>
  <c r="E13" i="14" s="1"/>
  <c r="C21" i="14"/>
  <c r="E21" i="14" s="1"/>
  <c r="C12" i="14"/>
  <c r="E12" i="14" s="1"/>
  <c r="C14" i="14"/>
  <c r="E14" i="14" s="1"/>
  <c r="C11" i="14"/>
  <c r="C22" i="14"/>
  <c r="E22" i="14" s="1"/>
  <c r="C19" i="14"/>
  <c r="E19" i="14" s="1"/>
  <c r="F11" i="13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E11" i="11"/>
  <c r="E35" i="11" s="1"/>
  <c r="C35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E21" i="10"/>
  <c r="F11" i="10"/>
  <c r="F12" i="10" s="1"/>
  <c r="F13" i="10" s="1"/>
  <c r="F14" i="10" s="1"/>
  <c r="F15" i="10" s="1"/>
  <c r="F16" i="10" s="1"/>
  <c r="F17" i="10" s="1"/>
  <c r="F18" i="10" s="1"/>
  <c r="F19" i="10" s="1"/>
  <c r="F20" i="10" s="1"/>
  <c r="D21" i="10"/>
  <c r="D14" i="6"/>
  <c r="F10" i="6" s="1"/>
  <c r="F11" i="6" s="1"/>
  <c r="F12" i="6" s="1"/>
  <c r="E21" i="5"/>
  <c r="D21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E21" i="4"/>
  <c r="F10" i="4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E21" i="3"/>
  <c r="D21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E21" i="1"/>
  <c r="F11" i="1"/>
  <c r="F12" i="1" s="1"/>
  <c r="F13" i="1" s="1"/>
  <c r="F14" i="1" s="1"/>
  <c r="F15" i="1" s="1"/>
  <c r="F16" i="1" s="1"/>
  <c r="F17" i="1" s="1"/>
  <c r="F18" i="1" s="1"/>
  <c r="F19" i="1" s="1"/>
  <c r="F20" i="1" s="1"/>
  <c r="E23" i="14" l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C23" i="14"/>
</calcChain>
</file>

<file path=xl/sharedStrings.xml><?xml version="1.0" encoding="utf-8"?>
<sst xmlns="http://schemas.openxmlformats.org/spreadsheetml/2006/main" count="1180" uniqueCount="170">
  <si>
    <t>KOPERASI PEGAWAI BIRO KLASIFIKASI INDONESIA</t>
  </si>
  <si>
    <t>KARTU PINJAMAN BARANG</t>
  </si>
  <si>
    <t>PS5</t>
  </si>
  <si>
    <t>NAMA :</t>
  </si>
  <si>
    <t>HARDIAN</t>
  </si>
  <si>
    <t>TANGGAL PEMBAYARAN</t>
  </si>
  <si>
    <t>URAIAN</t>
  </si>
  <si>
    <t>MUTASI</t>
  </si>
  <si>
    <t>SISA ANGSURAN</t>
  </si>
  <si>
    <t>KETERANGAN</t>
  </si>
  <si>
    <t>ANGSURAN</t>
  </si>
  <si>
    <t>ANGSURAN PER BULAN</t>
  </si>
  <si>
    <t xml:space="preserve"> </t>
  </si>
  <si>
    <t>POKOK</t>
  </si>
  <si>
    <t>SIMPANAN KHUSUS</t>
  </si>
  <si>
    <t>5 = 3 + 4</t>
  </si>
  <si>
    <t>Angsuran Ke 1</t>
  </si>
  <si>
    <t>Angsuran Ke 2</t>
  </si>
  <si>
    <t>Angsuran Ke 3</t>
  </si>
  <si>
    <t>Angsuran Ke 4</t>
  </si>
  <si>
    <t>Angsuran Ke 5</t>
  </si>
  <si>
    <t>Angsuran Ke 6</t>
  </si>
  <si>
    <t>Angsuran Ke 7</t>
  </si>
  <si>
    <t>Angsuran Ke 8</t>
  </si>
  <si>
    <t>Angsuran Ke 9</t>
  </si>
  <si>
    <t>Angsuran Ke 10</t>
  </si>
  <si>
    <t>JUMLAH</t>
  </si>
  <si>
    <t>NOTE :</t>
  </si>
  <si>
    <t>Pinjaman di gabung</t>
  </si>
  <si>
    <t>Reguler 1 sisa</t>
  </si>
  <si>
    <t>Reguler 2 pinjaman baru</t>
  </si>
  <si>
    <t>total</t>
  </si>
  <si>
    <t>WILLY ADI NUGROHO</t>
  </si>
  <si>
    <t>KARTU PIUTANG PINJAMAN GOLF</t>
  </si>
  <si>
    <t>GARMIN S42</t>
  </si>
  <si>
    <t>Total</t>
  </si>
  <si>
    <t>SHU</t>
  </si>
  <si>
    <t>Harga + Margin 7%</t>
  </si>
  <si>
    <t>Margin 7%</t>
  </si>
  <si>
    <t>Harga Beli</t>
  </si>
  <si>
    <t>MUHAMMAD ADITYO NUGROHO</t>
  </si>
  <si>
    <t>HP IPHONE 16 MAXPRO</t>
  </si>
  <si>
    <t>R.Agus Doddy Dwi Sagita</t>
  </si>
  <si>
    <t>HP SAMSUNG GALAXY S25 ULTRA</t>
  </si>
  <si>
    <t>FERRY HARFIANTO EFFENDI</t>
  </si>
  <si>
    <t>PEMBAYARAN HOTEL</t>
  </si>
  <si>
    <t>KARTU PINJAMAN</t>
  </si>
  <si>
    <t xml:space="preserve">KETERANGAN </t>
  </si>
  <si>
    <t>SUMARTINI</t>
  </si>
  <si>
    <t>HP IPHONE 13 128GB MIDNIGHT</t>
  </si>
  <si>
    <t>KARTU PINJAMAN REGULER - HP</t>
  </si>
  <si>
    <t>TANDA TERIMA</t>
  </si>
  <si>
    <t>KARTU PIUTANG REGULER</t>
  </si>
  <si>
    <t>RONY WIRANTO</t>
  </si>
  <si>
    <t>NAMA BARANG:</t>
  </si>
  <si>
    <t>HP Iphone 14 Plus 128Gb Midnight</t>
  </si>
  <si>
    <t>SISA POKOK (Rp)</t>
  </si>
  <si>
    <t>4 = 4 - 3</t>
  </si>
  <si>
    <t>Saldo Awal</t>
  </si>
  <si>
    <t>HP SAMSUNG Z FLIP 128GB</t>
  </si>
  <si>
    <t>RUSDY WANGSA</t>
  </si>
  <si>
    <t>Angsuran Ke 12</t>
  </si>
  <si>
    <t>Angsuran Ke 11</t>
  </si>
  <si>
    <t>dibayarkan  12 kali</t>
  </si>
  <si>
    <t>SIMPANAN SUKARELA (SHU)</t>
  </si>
  <si>
    <t>TOTAL JUAL KE ANGGOTA</t>
  </si>
  <si>
    <t>MARGIN 10%</t>
  </si>
  <si>
    <t>HARGA</t>
  </si>
  <si>
    <t>MARGIN 26%</t>
  </si>
  <si>
    <t>ANDRI SURYAWAN</t>
  </si>
  <si>
    <t>MOTOR - AEROX ALPHA ULTIMATE</t>
  </si>
  <si>
    <t>KARTU PINJAMAN - KENDARAAN</t>
  </si>
  <si>
    <t>DWI CAHYA KURNIAWAN</t>
  </si>
  <si>
    <t>MESIN CUCI - DRYER MAYTAG PINTU KACA</t>
  </si>
  <si>
    <t>KARTU PINJAMAN REGULER - PERALATAN RUMAH TANGGA</t>
  </si>
  <si>
    <t>Angsuran Ke 13</t>
  </si>
  <si>
    <t>Angsuran Ke 14</t>
  </si>
  <si>
    <t>Angsuran Ke 15</t>
  </si>
  <si>
    <t>Angsuran Ke 16</t>
  </si>
  <si>
    <t>Angsuran Ke 17</t>
  </si>
  <si>
    <t>Angsuran Ke 18</t>
  </si>
  <si>
    <t>Angsuran Ke 19</t>
  </si>
  <si>
    <t>Angsuran Ke 20</t>
  </si>
  <si>
    <t>Angsuran Ke 21</t>
  </si>
  <si>
    <t>Angsuran Ke 22</t>
  </si>
  <si>
    <t>Angsuran Ke 23</t>
  </si>
  <si>
    <t>Angsuran Ke 24</t>
  </si>
  <si>
    <t>MOTOR - SCOOPY PRESTIGE WHITE</t>
  </si>
  <si>
    <t>KOSSIM</t>
  </si>
  <si>
    <t>PEMBELIAN THULE</t>
  </si>
  <si>
    <t>MARDINI EMBUN SARI</t>
  </si>
  <si>
    <t>YULIA DIAN ANGGRAINI</t>
  </si>
  <si>
    <t>PEMBELIAN THULE SLING BAG AION 2L - BLACK</t>
  </si>
  <si>
    <t>M.ADITYO NUGROHO</t>
  </si>
  <si>
    <t>TV LG 43 UR7500 PSC</t>
  </si>
  <si>
    <t>RISKA DERIANI MASKAR</t>
  </si>
  <si>
    <t>iPad A16 256GB Wi Fi 11 Inch Biru</t>
  </si>
  <si>
    <t>SEPATU FOOTSAL</t>
  </si>
  <si>
    <t>RANDY YOLANDA</t>
  </si>
  <si>
    <t>KARTU PINJAMAN BARANG - ELEKTRONIK</t>
  </si>
  <si>
    <t>Handphone - Xiaomi Redmi Note 14 5G</t>
  </si>
  <si>
    <t>RISKA TRI HANDINI</t>
  </si>
  <si>
    <t>AIR PURIFIER LEVOIT CORE 300S</t>
  </si>
  <si>
    <t>Harga + Margin 10%</t>
  </si>
  <si>
    <t>Margin 10%</t>
  </si>
  <si>
    <t>Margin</t>
  </si>
  <si>
    <t>Harga + Margin ...%</t>
  </si>
  <si>
    <t>PEMBELIAN LAPTOP LENOVO IPS3 14IAH8 77ID Arctic Grey</t>
  </si>
  <si>
    <t>ADESTA MUNAS LATIEF</t>
  </si>
  <si>
    <t>Harga Jual</t>
  </si>
  <si>
    <t>Margin 5,85% + SHU</t>
  </si>
  <si>
    <t>MESIN CUCI - LG WM FRONT LOADING 11 KG SILVER</t>
  </si>
  <si>
    <t>MARGIN 7,5%</t>
  </si>
  <si>
    <t>dibayarkan  5 kali</t>
  </si>
  <si>
    <t>PEMBELIAN TV HD 24 INCH NGY LED</t>
  </si>
  <si>
    <t>dibayarkan  3 kali</t>
  </si>
  <si>
    <t>ALWIN RIDWAN</t>
  </si>
  <si>
    <t>KARTU PINJAMAN REGULER - ELEKTRONIK</t>
  </si>
  <si>
    <t>HANDPHONE - OPPO A5 PRO</t>
  </si>
  <si>
    <t>MARIYANA ASTRI FANDANI</t>
  </si>
  <si>
    <t>KARTU PINJAMAN REGULER - KENDARAAN RODA 2</t>
  </si>
  <si>
    <t>MARGIN 109%</t>
  </si>
  <si>
    <t>dibayarkan  8 kali</t>
  </si>
  <si>
    <t>ANGSURAN/BULAN</t>
  </si>
  <si>
    <t>MOHAMMAD HASAN</t>
  </si>
  <si>
    <t>MOTOR KAWASAKI ZX25R</t>
  </si>
  <si>
    <t>KARTU PINJAMAN BARANG - ALAT OLAHRGA</t>
  </si>
  <si>
    <t>ALAT GOLF</t>
  </si>
  <si>
    <t>M. ADITYO NUGROHO</t>
  </si>
  <si>
    <t>MARGIN 5%</t>
  </si>
  <si>
    <t>ALAT GOLF (PINK CADDIE BAG)</t>
  </si>
  <si>
    <t>MARGIN 3%</t>
  </si>
  <si>
    <t>LEVOIT VESYNC CORE 400S TRUE HEPA SMART AIR PURIFIER LAP</t>
  </si>
  <si>
    <t>DWI CAHYA KURNIAWANI</t>
  </si>
  <si>
    <t>LAPTOP - ASUS E1404FA</t>
  </si>
  <si>
    <t>MARGIN 7%</t>
  </si>
  <si>
    <t>Total harga asli + margin</t>
  </si>
  <si>
    <t>dibayarkan 6 kali</t>
  </si>
  <si>
    <t>harga beli</t>
  </si>
  <si>
    <t>Dibayar Melalui Transfer Sendiri</t>
  </si>
  <si>
    <t>RANDI RANTE</t>
  </si>
  <si>
    <t>Handphone - IQOO 13 5G</t>
  </si>
  <si>
    <t>dibayarkan 12 kali</t>
  </si>
  <si>
    <t>MARGIN 20%</t>
  </si>
  <si>
    <t>SAMSUNG GALAXY TAB S10 FE</t>
  </si>
  <si>
    <t>MARGIN %</t>
  </si>
  <si>
    <t>MOTOR - HONDA ADV ROADSYNC SUV BROWN</t>
  </si>
  <si>
    <t>Angsuran Ke 25</t>
  </si>
  <si>
    <t>Angsuran Ke 26</t>
  </si>
  <si>
    <t>Angsuran Ke 27</t>
  </si>
  <si>
    <t>Angsuran Ke 28</t>
  </si>
  <si>
    <t>Angsuran Ke 29</t>
  </si>
  <si>
    <t>Angsuran Ke 30</t>
  </si>
  <si>
    <t>Angsuran Ke 31</t>
  </si>
  <si>
    <t>Angsuran Ke 32</t>
  </si>
  <si>
    <t>Angsuran Ke 33</t>
  </si>
  <si>
    <t>Angsuran Ke 34</t>
  </si>
  <si>
    <t>Angsuran Ke 35</t>
  </si>
  <si>
    <t>Angsuran Ke 36</t>
  </si>
  <si>
    <t>dibayarkan2 kali</t>
  </si>
  <si>
    <t>AQUA CHESTFEEZER, ELECTROLUX DISPENSER &amp; MONITOR LED SAMSUNG S27D396</t>
  </si>
  <si>
    <t>MUHAMMAD ASPAR</t>
  </si>
  <si>
    <t>APPLE IPAD 11 2025</t>
  </si>
  <si>
    <t>Handphone - IPHONE 17</t>
  </si>
  <si>
    <t>HARGA OTR</t>
  </si>
  <si>
    <t>IPHONE 17 PRO MAX 256 GB MIDNIGHT BLUE</t>
  </si>
  <si>
    <t>dibayarkan 10 kali</t>
  </si>
  <si>
    <t>MAS WILLY SUDAH BAYAR DULUAN</t>
  </si>
  <si>
    <t>JADI SISA PINJAMAN MAS WILLY</t>
  </si>
  <si>
    <t>NOMINAL ANGSURAN/BULAN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</si>
</sst>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13809]d\ mmm\ yyyy;@"/>
    <numFmt numFmtId="168" formatCode="[$-421]dd\ mmmm\ yyyy;@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rgb="FF00B0F0"/>
      <name val="Arial Narrow"/>
      <family val="2"/>
    </font>
    <font>
      <sz val="8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3" fillId="3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/>
    </xf>
    <xf numFmtId="0" fontId="3" fillId="0" borderId="2" xfId="0" applyFont="1" applyBorder="1"/>
    <xf numFmtId="17" fontId="4" fillId="2" borderId="2" xfId="0" quotePrefix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166" fontId="4" fillId="2" borderId="2" xfId="1" applyNumberFormat="1" applyFont="1" applyFill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164" fontId="4" fillId="2" borderId="2" xfId="2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66" fontId="4" fillId="0" borderId="5" xfId="1" applyNumberFormat="1" applyFont="1" applyBorder="1" applyAlignment="1">
      <alignment vertical="center"/>
    </xf>
    <xf numFmtId="166" fontId="4" fillId="0" borderId="2" xfId="1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2" borderId="2" xfId="0" quotePrefix="1" applyFont="1" applyFill="1" applyBorder="1" applyAlignment="1">
      <alignment vertical="center"/>
    </xf>
    <xf numFmtId="17" fontId="4" fillId="2" borderId="2" xfId="0" quotePrefix="1" applyNumberFormat="1" applyFont="1" applyFill="1" applyBorder="1" applyAlignment="1">
      <alignment vertical="center"/>
    </xf>
    <xf numFmtId="0" fontId="4" fillId="2" borderId="2" xfId="0" quotePrefix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66" fontId="3" fillId="0" borderId="0" xfId="1" applyNumberFormat="1" applyFont="1"/>
    <xf numFmtId="166" fontId="3" fillId="0" borderId="1" xfId="1" applyNumberFormat="1" applyFont="1" applyBorder="1"/>
    <xf numFmtId="0" fontId="4" fillId="0" borderId="0" xfId="0" applyFont="1" applyAlignment="1">
      <alignment horizontal="center" vertical="center" wrapText="1"/>
    </xf>
    <xf numFmtId="166" fontId="3" fillId="0" borderId="0" xfId="0" applyNumberFormat="1" applyFont="1"/>
    <xf numFmtId="167" fontId="2" fillId="0" borderId="2" xfId="0" applyNumberFormat="1" applyFont="1" applyBorder="1" applyAlignment="1">
      <alignment horizontal="center" vertical="center" wrapText="1"/>
    </xf>
    <xf numFmtId="164" fontId="3" fillId="0" borderId="0" xfId="2" applyFont="1"/>
    <xf numFmtId="164" fontId="2" fillId="3" borderId="2" xfId="2" applyFont="1" applyFill="1" applyBorder="1" applyAlignment="1">
      <alignment horizontal="center" vertical="center"/>
    </xf>
    <xf numFmtId="164" fontId="2" fillId="2" borderId="0" xfId="2" applyFont="1" applyFill="1" applyAlignment="1">
      <alignment horizontal="center"/>
    </xf>
    <xf numFmtId="0" fontId="2" fillId="0" borderId="0" xfId="0" applyFont="1"/>
    <xf numFmtId="168" fontId="3" fillId="2" borderId="2" xfId="0" quotePrefix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66" fontId="3" fillId="2" borderId="2" xfId="1" applyNumberFormat="1" applyFont="1" applyFill="1" applyBorder="1" applyAlignment="1">
      <alignment vertical="center"/>
    </xf>
    <xf numFmtId="166" fontId="4" fillId="2" borderId="2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5" fontId="3" fillId="0" borderId="0" xfId="1" applyFont="1"/>
    <xf numFmtId="165" fontId="3" fillId="0" borderId="0" xfId="1" applyFont="1" applyAlignment="1">
      <alignment vertical="center"/>
    </xf>
    <xf numFmtId="0" fontId="4" fillId="2" borderId="3" xfId="0" quotePrefix="1" applyFont="1" applyFill="1" applyBorder="1" applyAlignment="1">
      <alignment vertical="center"/>
    </xf>
    <xf numFmtId="43" fontId="3" fillId="0" borderId="0" xfId="0" applyNumberFormat="1" applyFont="1" applyAlignment="1">
      <alignment vertical="center"/>
    </xf>
    <xf numFmtId="165" fontId="4" fillId="0" borderId="2" xfId="1" applyFont="1" applyBorder="1" applyAlignment="1">
      <alignment vertical="center"/>
    </xf>
    <xf numFmtId="165" fontId="3" fillId="0" borderId="0" xfId="1" applyFont="1" applyFill="1"/>
    <xf numFmtId="165" fontId="3" fillId="3" borderId="0" xfId="1" applyFont="1" applyFill="1"/>
    <xf numFmtId="0" fontId="3" fillId="0" borderId="3" xfId="0" applyFont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165" fontId="4" fillId="0" borderId="0" xfId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9" xfId="0" applyFont="1" applyBorder="1" applyAlignment="1">
      <alignment vertical="center"/>
    </xf>
    <xf numFmtId="166" fontId="4" fillId="0" borderId="9" xfId="1" applyNumberFormat="1" applyFont="1" applyBorder="1" applyAlignment="1">
      <alignment vertical="center"/>
    </xf>
    <xf numFmtId="0" fontId="3" fillId="0" borderId="9" xfId="0" applyFont="1" applyBorder="1"/>
    <xf numFmtId="167" fontId="4" fillId="2" borderId="2" xfId="0" quotePrefix="1" applyNumberFormat="1" applyFont="1" applyFill="1" applyBorder="1" applyAlignment="1">
      <alignment horizontal="center" vertical="center"/>
    </xf>
    <xf numFmtId="167" fontId="6" fillId="2" borderId="2" xfId="0" quotePrefix="1" applyNumberFormat="1" applyFont="1" applyFill="1" applyBorder="1" applyAlignment="1">
      <alignment vertical="center"/>
    </xf>
    <xf numFmtId="167" fontId="4" fillId="2" borderId="2" xfId="0" quotePrefix="1" applyNumberFormat="1" applyFont="1" applyFill="1" applyBorder="1" applyAlignment="1">
      <alignment vertical="center"/>
    </xf>
    <xf numFmtId="167" fontId="4" fillId="2" borderId="2" xfId="0" applyNumberFormat="1" applyFont="1" applyFill="1" applyBorder="1" applyAlignment="1">
      <alignment vertical="center"/>
    </xf>
    <xf numFmtId="164" fontId="3" fillId="0" borderId="0" xfId="0" applyNumberFormat="1" applyFont="1"/>
    <xf numFmtId="166" fontId="3" fillId="0" borderId="0" xfId="1" applyNumberFormat="1" applyFont="1" applyBorder="1"/>
    <xf numFmtId="14" fontId="2" fillId="0" borderId="2" xfId="0" applyNumberFormat="1" applyFont="1" applyBorder="1" applyAlignment="1">
      <alignment horizontal="center" vertical="center" wrapText="1"/>
    </xf>
    <xf numFmtId="167" fontId="4" fillId="2" borderId="3" xfId="0" quotePrefix="1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0" fontId="4" fillId="2" borderId="3" xfId="0" quotePrefix="1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4" fontId="2" fillId="3" borderId="2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KOPERASI%20PEGAWAI%20BKI/KOPERASI%20BKI/MASTER%20PINJAMAN/CD%20latihan/BAB3J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OAL1"/>
      <sheetName val="SOAL2"/>
      <sheetName val="SOAL3"/>
      <sheetName val="SOAL4"/>
      <sheetName val="SOAL5"/>
      <sheetName val="SOAL6"/>
      <sheetName val="SOAL7"/>
      <sheetName val="SOAL8"/>
      <sheetName val="SOAL9"/>
      <sheetName val="SOAL10"/>
      <sheetName val="SOAL11"/>
      <sheetName val="SOAL12"/>
      <sheetName val="SOAL13"/>
      <sheetName val="SOAL14"/>
      <sheetName val="SOAL15"/>
      <sheetName val="SOAL16"/>
      <sheetName val="SOAL17"/>
      <sheetName val="SOAL18"/>
      <sheetName val="SOAL19"/>
      <sheetName val="SOAL20"/>
      <sheetName val="SOAL21"/>
      <sheetName val="SOAL22"/>
      <sheetName val="SOAL23"/>
      <sheetName val="SOAL24"/>
      <sheetName val="SOAL25"/>
      <sheetName val="SOAL26"/>
      <sheetName val="SOAL27"/>
      <sheetName val="SOAL28"/>
      <sheetName val="S0AL29"/>
      <sheetName val="SOAL30"/>
      <sheetName val="SOAL31"/>
      <sheetName val="SOAL32"/>
      <sheetName val="SOAL33"/>
      <sheetName val="SOAL34"/>
      <sheetName val="SOAL35"/>
      <sheetName val="SOAL36"/>
      <sheetName val="SOAL37"/>
      <sheetName val="SOAL38"/>
      <sheetName val="SOAL39"/>
      <sheetName val="SOAL40"/>
      <sheetName val="SOAL41"/>
      <sheetName val="SOAL42"/>
      <sheetName val="SOAL43"/>
      <sheetName val="SOAL44"/>
      <sheetName val="SOAL45"/>
      <sheetName val="SOAL46"/>
      <sheetName val="SOAL47"/>
      <sheetName val="SOAL48"/>
      <sheetName val="SOAL49"/>
      <sheetName val="SOAL50"/>
      <sheetName val="SOAL51"/>
      <sheetName val="SOAL52"/>
      <sheetName val="SOAL53"/>
      <sheetName val="SOAL54"/>
      <sheetName val="SOAL55"/>
      <sheetName val="SOAL56"/>
      <sheetName val="SOAL57"/>
      <sheetName val="SOAL58"/>
      <sheetName val="SOAL59"/>
      <sheetName val="SOAL60"/>
      <sheetName val="SOAL61"/>
      <sheetName val="SOAL62"/>
      <sheetName val="SOAL63"/>
      <sheetName val="SOAL64"/>
      <sheetName val="SOAL65"/>
      <sheetName val="SOAL66"/>
      <sheetName val="SOAL67"/>
      <sheetName val="SOAL68"/>
      <sheetName val="SOAL69"/>
      <sheetName val="SOAL70"/>
      <sheetName val="SOAL71"/>
      <sheetName val="SOAL72"/>
      <sheetName val="SOAL73"/>
      <sheetName val="SOAL74"/>
      <sheetName val="SOAL75"/>
      <sheetName val="SOAL76"/>
      <sheetName val="SOAL77"/>
      <sheetName val="SOAL78"/>
      <sheetName val="SOAL79"/>
      <sheetName val="SOAL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0">
          <cell r="I20">
            <v>0</v>
          </cell>
        </row>
        <row r="21">
          <cell r="I21">
            <v>1</v>
          </cell>
        </row>
        <row r="22">
          <cell r="I22">
            <v>2</v>
          </cell>
        </row>
        <row r="23">
          <cell r="I23">
            <v>3</v>
          </cell>
        </row>
        <row r="24">
          <cell r="I24">
            <v>4</v>
          </cell>
        </row>
        <row r="25">
          <cell r="I25">
            <v>5</v>
          </cell>
        </row>
        <row r="26">
          <cell r="I26">
            <v>6</v>
          </cell>
        </row>
        <row r="27">
          <cell r="I27">
            <v>7</v>
          </cell>
        </row>
        <row r="28">
          <cell r="I28">
            <v>8</v>
          </cell>
        </row>
        <row r="29">
          <cell r="I29">
            <v>9</v>
          </cell>
        </row>
        <row r="30">
          <cell r="I30">
            <v>10</v>
          </cell>
        </row>
        <row r="31">
          <cell r="I31">
            <v>11</v>
          </cell>
        </row>
        <row r="32">
          <cell r="I32">
            <v>12</v>
          </cell>
        </row>
        <row r="33">
          <cell r="I33">
            <v>13</v>
          </cell>
        </row>
        <row r="34">
          <cell r="I34">
            <v>14</v>
          </cell>
        </row>
        <row r="35">
          <cell r="I35">
            <v>15</v>
          </cell>
        </row>
        <row r="36">
          <cell r="I36">
            <v>16</v>
          </cell>
        </row>
        <row r="37">
          <cell r="I37">
            <v>17</v>
          </cell>
        </row>
        <row r="38">
          <cell r="I38">
            <v>18</v>
          </cell>
        </row>
        <row r="39">
          <cell r="I39">
            <v>19</v>
          </cell>
        </row>
        <row r="40">
          <cell r="I40">
            <v>20</v>
          </cell>
        </row>
        <row r="41">
          <cell r="I41">
            <v>21</v>
          </cell>
        </row>
        <row r="42">
          <cell r="I42">
            <v>22</v>
          </cell>
        </row>
        <row r="43">
          <cell r="I43">
            <v>23</v>
          </cell>
        </row>
        <row r="44">
          <cell r="I44">
            <v>24</v>
          </cell>
        </row>
        <row r="45">
          <cell r="I45">
            <v>25</v>
          </cell>
        </row>
        <row r="46">
          <cell r="I46">
            <v>26</v>
          </cell>
        </row>
        <row r="47">
          <cell r="I47">
            <v>27</v>
          </cell>
        </row>
        <row r="48">
          <cell r="I48">
            <v>28</v>
          </cell>
        </row>
        <row r="49">
          <cell r="I49">
            <v>29</v>
          </cell>
        </row>
        <row r="50">
          <cell r="I50">
            <v>30</v>
          </cell>
        </row>
        <row r="51">
          <cell r="I51">
            <v>31</v>
          </cell>
        </row>
        <row r="52">
          <cell r="I52">
            <v>32</v>
          </cell>
        </row>
        <row r="53">
          <cell r="I53">
            <v>33</v>
          </cell>
        </row>
        <row r="54">
          <cell r="I54">
            <v>34</v>
          </cell>
        </row>
        <row r="55">
          <cell r="I55">
            <v>35</v>
          </cell>
        </row>
        <row r="56">
          <cell r="I56">
            <v>36</v>
          </cell>
        </row>
        <row r="57">
          <cell r="I57">
            <v>37</v>
          </cell>
        </row>
        <row r="58">
          <cell r="I58">
            <v>38</v>
          </cell>
        </row>
        <row r="59">
          <cell r="I59">
            <v>39</v>
          </cell>
        </row>
        <row r="60">
          <cell r="I60">
            <v>40</v>
          </cell>
        </row>
        <row r="61">
          <cell r="I61">
            <v>41</v>
          </cell>
        </row>
        <row r="62">
          <cell r="I62">
            <v>42</v>
          </cell>
        </row>
        <row r="63">
          <cell r="I63">
            <v>43</v>
          </cell>
        </row>
        <row r="64">
          <cell r="I64">
            <v>44</v>
          </cell>
        </row>
        <row r="65">
          <cell r="I65">
            <v>45</v>
          </cell>
        </row>
        <row r="66">
          <cell r="I66">
            <v>46</v>
          </cell>
        </row>
        <row r="67">
          <cell r="I67">
            <v>47</v>
          </cell>
        </row>
        <row r="68">
          <cell r="I68">
            <v>48</v>
          </cell>
        </row>
        <row r="69">
          <cell r="I69">
            <v>49</v>
          </cell>
        </row>
        <row r="70">
          <cell r="I70">
            <v>50</v>
          </cell>
        </row>
        <row r="71">
          <cell r="I71">
            <v>51</v>
          </cell>
        </row>
        <row r="72">
          <cell r="I72">
            <v>52</v>
          </cell>
        </row>
        <row r="73">
          <cell r="I73">
            <v>53</v>
          </cell>
        </row>
        <row r="74">
          <cell r="I74">
            <v>54</v>
          </cell>
        </row>
        <row r="75">
          <cell r="I75">
            <v>55</v>
          </cell>
        </row>
        <row r="76">
          <cell r="I76">
            <v>56</v>
          </cell>
        </row>
        <row r="77">
          <cell r="I77">
            <v>57</v>
          </cell>
        </row>
        <row r="78">
          <cell r="I78">
            <v>58</v>
          </cell>
        </row>
        <row r="79">
          <cell r="I79">
            <v>59</v>
          </cell>
        </row>
        <row r="80">
          <cell r="I80">
            <v>60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A52E-A409-4430-8C80-EF8BE448A09B}">
  <sheetPr>
    <tabColor rgb="FFFF0000"/>
  </sheetPr>
  <dimension ref="A1:I26"/>
  <sheetViews>
    <sheetView view="pageBreakPreview" topLeftCell="A16" zoomScaleNormal="115" zoomScaleSheetLayoutView="100" workbookViewId="0">
      <selection activeCell="C14" sqref="C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1.453125" style="2" customWidth="1"/>
    <col min="4" max="4" width="15.453125" style="2" customWidth="1"/>
    <col min="5" max="5" width="13.54296875" style="2" customWidth="1"/>
    <col min="6" max="6" width="9.1796875" style="2"/>
    <col min="7" max="7" width="16.54296875" style="2" customWidth="1"/>
    <col min="8" max="8" width="9.1796875" style="2"/>
    <col min="9" max="9" width="11.81640625" style="2" bestFit="1" customWidth="1"/>
    <col min="10" max="256" width="9.1796875" style="2"/>
    <col min="257" max="257" width="18.54296875" style="2" customWidth="1"/>
    <col min="258" max="258" width="16.54296875" style="2" customWidth="1"/>
    <col min="259" max="259" width="11.453125" style="2" customWidth="1"/>
    <col min="260" max="260" width="15.453125" style="2" customWidth="1"/>
    <col min="261" max="261" width="13.54296875" style="2" customWidth="1"/>
    <col min="262" max="262" width="9.1796875" style="2"/>
    <col min="263" max="263" width="16.54296875" style="2" customWidth="1"/>
    <col min="264" max="264" width="9.1796875" style="2"/>
    <col min="265" max="265" width="11.81640625" style="2" bestFit="1" customWidth="1"/>
    <col min="266" max="512" width="9.1796875" style="2"/>
    <col min="513" max="513" width="18.54296875" style="2" customWidth="1"/>
    <col min="514" max="514" width="16.54296875" style="2" customWidth="1"/>
    <col min="515" max="515" width="11.453125" style="2" customWidth="1"/>
    <col min="516" max="516" width="15.453125" style="2" customWidth="1"/>
    <col min="517" max="517" width="13.54296875" style="2" customWidth="1"/>
    <col min="518" max="518" width="9.1796875" style="2"/>
    <col min="519" max="519" width="16.54296875" style="2" customWidth="1"/>
    <col min="520" max="520" width="9.1796875" style="2"/>
    <col min="521" max="521" width="11.81640625" style="2" bestFit="1" customWidth="1"/>
    <col min="522" max="768" width="9.1796875" style="2"/>
    <col min="769" max="769" width="18.54296875" style="2" customWidth="1"/>
    <col min="770" max="770" width="16.54296875" style="2" customWidth="1"/>
    <col min="771" max="771" width="11.453125" style="2" customWidth="1"/>
    <col min="772" max="772" width="15.453125" style="2" customWidth="1"/>
    <col min="773" max="773" width="13.54296875" style="2" customWidth="1"/>
    <col min="774" max="774" width="9.1796875" style="2"/>
    <col min="775" max="775" width="16.54296875" style="2" customWidth="1"/>
    <col min="776" max="776" width="9.1796875" style="2"/>
    <col min="777" max="777" width="11.81640625" style="2" bestFit="1" customWidth="1"/>
    <col min="778" max="1024" width="9.1796875" style="2"/>
    <col min="1025" max="1025" width="18.54296875" style="2" customWidth="1"/>
    <col min="1026" max="1026" width="16.54296875" style="2" customWidth="1"/>
    <col min="1027" max="1027" width="11.453125" style="2" customWidth="1"/>
    <col min="1028" max="1028" width="15.453125" style="2" customWidth="1"/>
    <col min="1029" max="1029" width="13.54296875" style="2" customWidth="1"/>
    <col min="1030" max="1030" width="9.1796875" style="2"/>
    <col min="1031" max="1031" width="16.54296875" style="2" customWidth="1"/>
    <col min="1032" max="1032" width="9.1796875" style="2"/>
    <col min="1033" max="1033" width="11.81640625" style="2" bestFit="1" customWidth="1"/>
    <col min="1034" max="1280" width="9.1796875" style="2"/>
    <col min="1281" max="1281" width="18.54296875" style="2" customWidth="1"/>
    <col min="1282" max="1282" width="16.54296875" style="2" customWidth="1"/>
    <col min="1283" max="1283" width="11.453125" style="2" customWidth="1"/>
    <col min="1284" max="1284" width="15.453125" style="2" customWidth="1"/>
    <col min="1285" max="1285" width="13.54296875" style="2" customWidth="1"/>
    <col min="1286" max="1286" width="9.1796875" style="2"/>
    <col min="1287" max="1287" width="16.54296875" style="2" customWidth="1"/>
    <col min="1288" max="1288" width="9.1796875" style="2"/>
    <col min="1289" max="1289" width="11.81640625" style="2" bestFit="1" customWidth="1"/>
    <col min="1290" max="1536" width="9.1796875" style="2"/>
    <col min="1537" max="1537" width="18.54296875" style="2" customWidth="1"/>
    <col min="1538" max="1538" width="16.54296875" style="2" customWidth="1"/>
    <col min="1539" max="1539" width="11.453125" style="2" customWidth="1"/>
    <col min="1540" max="1540" width="15.453125" style="2" customWidth="1"/>
    <col min="1541" max="1541" width="13.54296875" style="2" customWidth="1"/>
    <col min="1542" max="1542" width="9.1796875" style="2"/>
    <col min="1543" max="1543" width="16.54296875" style="2" customWidth="1"/>
    <col min="1544" max="1544" width="9.1796875" style="2"/>
    <col min="1545" max="1545" width="11.81640625" style="2" bestFit="1" customWidth="1"/>
    <col min="1546" max="1792" width="9.1796875" style="2"/>
    <col min="1793" max="1793" width="18.54296875" style="2" customWidth="1"/>
    <col min="1794" max="1794" width="16.54296875" style="2" customWidth="1"/>
    <col min="1795" max="1795" width="11.453125" style="2" customWidth="1"/>
    <col min="1796" max="1796" width="15.453125" style="2" customWidth="1"/>
    <col min="1797" max="1797" width="13.54296875" style="2" customWidth="1"/>
    <col min="1798" max="1798" width="9.1796875" style="2"/>
    <col min="1799" max="1799" width="16.54296875" style="2" customWidth="1"/>
    <col min="1800" max="1800" width="9.1796875" style="2"/>
    <col min="1801" max="1801" width="11.81640625" style="2" bestFit="1" customWidth="1"/>
    <col min="1802" max="2048" width="9.1796875" style="2"/>
    <col min="2049" max="2049" width="18.54296875" style="2" customWidth="1"/>
    <col min="2050" max="2050" width="16.54296875" style="2" customWidth="1"/>
    <col min="2051" max="2051" width="11.453125" style="2" customWidth="1"/>
    <col min="2052" max="2052" width="15.453125" style="2" customWidth="1"/>
    <col min="2053" max="2053" width="13.54296875" style="2" customWidth="1"/>
    <col min="2054" max="2054" width="9.1796875" style="2"/>
    <col min="2055" max="2055" width="16.54296875" style="2" customWidth="1"/>
    <col min="2056" max="2056" width="9.1796875" style="2"/>
    <col min="2057" max="2057" width="11.81640625" style="2" bestFit="1" customWidth="1"/>
    <col min="2058" max="2304" width="9.1796875" style="2"/>
    <col min="2305" max="2305" width="18.54296875" style="2" customWidth="1"/>
    <col min="2306" max="2306" width="16.54296875" style="2" customWidth="1"/>
    <col min="2307" max="2307" width="11.453125" style="2" customWidth="1"/>
    <col min="2308" max="2308" width="15.453125" style="2" customWidth="1"/>
    <col min="2309" max="2309" width="13.54296875" style="2" customWidth="1"/>
    <col min="2310" max="2310" width="9.1796875" style="2"/>
    <col min="2311" max="2311" width="16.54296875" style="2" customWidth="1"/>
    <col min="2312" max="2312" width="9.1796875" style="2"/>
    <col min="2313" max="2313" width="11.81640625" style="2" bestFit="1" customWidth="1"/>
    <col min="2314" max="2560" width="9.1796875" style="2"/>
    <col min="2561" max="2561" width="18.54296875" style="2" customWidth="1"/>
    <col min="2562" max="2562" width="16.54296875" style="2" customWidth="1"/>
    <col min="2563" max="2563" width="11.453125" style="2" customWidth="1"/>
    <col min="2564" max="2564" width="15.453125" style="2" customWidth="1"/>
    <col min="2565" max="2565" width="13.54296875" style="2" customWidth="1"/>
    <col min="2566" max="2566" width="9.1796875" style="2"/>
    <col min="2567" max="2567" width="16.54296875" style="2" customWidth="1"/>
    <col min="2568" max="2568" width="9.1796875" style="2"/>
    <col min="2569" max="2569" width="11.81640625" style="2" bestFit="1" customWidth="1"/>
    <col min="2570" max="2816" width="9.1796875" style="2"/>
    <col min="2817" max="2817" width="18.54296875" style="2" customWidth="1"/>
    <col min="2818" max="2818" width="16.54296875" style="2" customWidth="1"/>
    <col min="2819" max="2819" width="11.453125" style="2" customWidth="1"/>
    <col min="2820" max="2820" width="15.453125" style="2" customWidth="1"/>
    <col min="2821" max="2821" width="13.54296875" style="2" customWidth="1"/>
    <col min="2822" max="2822" width="9.1796875" style="2"/>
    <col min="2823" max="2823" width="16.54296875" style="2" customWidth="1"/>
    <col min="2824" max="2824" width="9.1796875" style="2"/>
    <col min="2825" max="2825" width="11.81640625" style="2" bestFit="1" customWidth="1"/>
    <col min="2826" max="3072" width="9.1796875" style="2"/>
    <col min="3073" max="3073" width="18.54296875" style="2" customWidth="1"/>
    <col min="3074" max="3074" width="16.54296875" style="2" customWidth="1"/>
    <col min="3075" max="3075" width="11.453125" style="2" customWidth="1"/>
    <col min="3076" max="3076" width="15.453125" style="2" customWidth="1"/>
    <col min="3077" max="3077" width="13.54296875" style="2" customWidth="1"/>
    <col min="3078" max="3078" width="9.1796875" style="2"/>
    <col min="3079" max="3079" width="16.54296875" style="2" customWidth="1"/>
    <col min="3080" max="3080" width="9.1796875" style="2"/>
    <col min="3081" max="3081" width="11.81640625" style="2" bestFit="1" customWidth="1"/>
    <col min="3082" max="3328" width="9.1796875" style="2"/>
    <col min="3329" max="3329" width="18.54296875" style="2" customWidth="1"/>
    <col min="3330" max="3330" width="16.54296875" style="2" customWidth="1"/>
    <col min="3331" max="3331" width="11.453125" style="2" customWidth="1"/>
    <col min="3332" max="3332" width="15.453125" style="2" customWidth="1"/>
    <col min="3333" max="3333" width="13.54296875" style="2" customWidth="1"/>
    <col min="3334" max="3334" width="9.1796875" style="2"/>
    <col min="3335" max="3335" width="16.54296875" style="2" customWidth="1"/>
    <col min="3336" max="3336" width="9.1796875" style="2"/>
    <col min="3337" max="3337" width="11.81640625" style="2" bestFit="1" customWidth="1"/>
    <col min="3338" max="3584" width="9.1796875" style="2"/>
    <col min="3585" max="3585" width="18.54296875" style="2" customWidth="1"/>
    <col min="3586" max="3586" width="16.54296875" style="2" customWidth="1"/>
    <col min="3587" max="3587" width="11.453125" style="2" customWidth="1"/>
    <col min="3588" max="3588" width="15.453125" style="2" customWidth="1"/>
    <col min="3589" max="3589" width="13.54296875" style="2" customWidth="1"/>
    <col min="3590" max="3590" width="9.1796875" style="2"/>
    <col min="3591" max="3591" width="16.54296875" style="2" customWidth="1"/>
    <col min="3592" max="3592" width="9.1796875" style="2"/>
    <col min="3593" max="3593" width="11.81640625" style="2" bestFit="1" customWidth="1"/>
    <col min="3594" max="3840" width="9.1796875" style="2"/>
    <col min="3841" max="3841" width="18.54296875" style="2" customWidth="1"/>
    <col min="3842" max="3842" width="16.54296875" style="2" customWidth="1"/>
    <col min="3843" max="3843" width="11.453125" style="2" customWidth="1"/>
    <col min="3844" max="3844" width="15.453125" style="2" customWidth="1"/>
    <col min="3845" max="3845" width="13.54296875" style="2" customWidth="1"/>
    <col min="3846" max="3846" width="9.1796875" style="2"/>
    <col min="3847" max="3847" width="16.54296875" style="2" customWidth="1"/>
    <col min="3848" max="3848" width="9.1796875" style="2"/>
    <col min="3849" max="3849" width="11.81640625" style="2" bestFit="1" customWidth="1"/>
    <col min="3850" max="4096" width="9.1796875" style="2"/>
    <col min="4097" max="4097" width="18.54296875" style="2" customWidth="1"/>
    <col min="4098" max="4098" width="16.54296875" style="2" customWidth="1"/>
    <col min="4099" max="4099" width="11.453125" style="2" customWidth="1"/>
    <col min="4100" max="4100" width="15.453125" style="2" customWidth="1"/>
    <col min="4101" max="4101" width="13.54296875" style="2" customWidth="1"/>
    <col min="4102" max="4102" width="9.1796875" style="2"/>
    <col min="4103" max="4103" width="16.54296875" style="2" customWidth="1"/>
    <col min="4104" max="4104" width="9.1796875" style="2"/>
    <col min="4105" max="4105" width="11.81640625" style="2" bestFit="1" customWidth="1"/>
    <col min="4106" max="4352" width="9.1796875" style="2"/>
    <col min="4353" max="4353" width="18.54296875" style="2" customWidth="1"/>
    <col min="4354" max="4354" width="16.54296875" style="2" customWidth="1"/>
    <col min="4355" max="4355" width="11.453125" style="2" customWidth="1"/>
    <col min="4356" max="4356" width="15.453125" style="2" customWidth="1"/>
    <col min="4357" max="4357" width="13.54296875" style="2" customWidth="1"/>
    <col min="4358" max="4358" width="9.1796875" style="2"/>
    <col min="4359" max="4359" width="16.54296875" style="2" customWidth="1"/>
    <col min="4360" max="4360" width="9.1796875" style="2"/>
    <col min="4361" max="4361" width="11.81640625" style="2" bestFit="1" customWidth="1"/>
    <col min="4362" max="4608" width="9.1796875" style="2"/>
    <col min="4609" max="4609" width="18.54296875" style="2" customWidth="1"/>
    <col min="4610" max="4610" width="16.54296875" style="2" customWidth="1"/>
    <col min="4611" max="4611" width="11.453125" style="2" customWidth="1"/>
    <col min="4612" max="4612" width="15.453125" style="2" customWidth="1"/>
    <col min="4613" max="4613" width="13.54296875" style="2" customWidth="1"/>
    <col min="4614" max="4614" width="9.1796875" style="2"/>
    <col min="4615" max="4615" width="16.54296875" style="2" customWidth="1"/>
    <col min="4616" max="4616" width="9.1796875" style="2"/>
    <col min="4617" max="4617" width="11.81640625" style="2" bestFit="1" customWidth="1"/>
    <col min="4618" max="4864" width="9.1796875" style="2"/>
    <col min="4865" max="4865" width="18.54296875" style="2" customWidth="1"/>
    <col min="4866" max="4866" width="16.54296875" style="2" customWidth="1"/>
    <col min="4867" max="4867" width="11.453125" style="2" customWidth="1"/>
    <col min="4868" max="4868" width="15.453125" style="2" customWidth="1"/>
    <col min="4869" max="4869" width="13.54296875" style="2" customWidth="1"/>
    <col min="4870" max="4870" width="9.1796875" style="2"/>
    <col min="4871" max="4871" width="16.54296875" style="2" customWidth="1"/>
    <col min="4872" max="4872" width="9.1796875" style="2"/>
    <col min="4873" max="4873" width="11.81640625" style="2" bestFit="1" customWidth="1"/>
    <col min="4874" max="5120" width="9.1796875" style="2"/>
    <col min="5121" max="5121" width="18.54296875" style="2" customWidth="1"/>
    <col min="5122" max="5122" width="16.54296875" style="2" customWidth="1"/>
    <col min="5123" max="5123" width="11.453125" style="2" customWidth="1"/>
    <col min="5124" max="5124" width="15.453125" style="2" customWidth="1"/>
    <col min="5125" max="5125" width="13.54296875" style="2" customWidth="1"/>
    <col min="5126" max="5126" width="9.1796875" style="2"/>
    <col min="5127" max="5127" width="16.54296875" style="2" customWidth="1"/>
    <col min="5128" max="5128" width="9.1796875" style="2"/>
    <col min="5129" max="5129" width="11.81640625" style="2" bestFit="1" customWidth="1"/>
    <col min="5130" max="5376" width="9.1796875" style="2"/>
    <col min="5377" max="5377" width="18.54296875" style="2" customWidth="1"/>
    <col min="5378" max="5378" width="16.54296875" style="2" customWidth="1"/>
    <col min="5379" max="5379" width="11.453125" style="2" customWidth="1"/>
    <col min="5380" max="5380" width="15.453125" style="2" customWidth="1"/>
    <col min="5381" max="5381" width="13.54296875" style="2" customWidth="1"/>
    <col min="5382" max="5382" width="9.1796875" style="2"/>
    <col min="5383" max="5383" width="16.54296875" style="2" customWidth="1"/>
    <col min="5384" max="5384" width="9.1796875" style="2"/>
    <col min="5385" max="5385" width="11.81640625" style="2" bestFit="1" customWidth="1"/>
    <col min="5386" max="5632" width="9.1796875" style="2"/>
    <col min="5633" max="5633" width="18.54296875" style="2" customWidth="1"/>
    <col min="5634" max="5634" width="16.54296875" style="2" customWidth="1"/>
    <col min="5635" max="5635" width="11.453125" style="2" customWidth="1"/>
    <col min="5636" max="5636" width="15.453125" style="2" customWidth="1"/>
    <col min="5637" max="5637" width="13.54296875" style="2" customWidth="1"/>
    <col min="5638" max="5638" width="9.1796875" style="2"/>
    <col min="5639" max="5639" width="16.54296875" style="2" customWidth="1"/>
    <col min="5640" max="5640" width="9.1796875" style="2"/>
    <col min="5641" max="5641" width="11.81640625" style="2" bestFit="1" customWidth="1"/>
    <col min="5642" max="5888" width="9.1796875" style="2"/>
    <col min="5889" max="5889" width="18.54296875" style="2" customWidth="1"/>
    <col min="5890" max="5890" width="16.54296875" style="2" customWidth="1"/>
    <col min="5891" max="5891" width="11.453125" style="2" customWidth="1"/>
    <col min="5892" max="5892" width="15.453125" style="2" customWidth="1"/>
    <col min="5893" max="5893" width="13.54296875" style="2" customWidth="1"/>
    <col min="5894" max="5894" width="9.1796875" style="2"/>
    <col min="5895" max="5895" width="16.54296875" style="2" customWidth="1"/>
    <col min="5896" max="5896" width="9.1796875" style="2"/>
    <col min="5897" max="5897" width="11.81640625" style="2" bestFit="1" customWidth="1"/>
    <col min="5898" max="6144" width="9.1796875" style="2"/>
    <col min="6145" max="6145" width="18.54296875" style="2" customWidth="1"/>
    <col min="6146" max="6146" width="16.54296875" style="2" customWidth="1"/>
    <col min="6147" max="6147" width="11.453125" style="2" customWidth="1"/>
    <col min="6148" max="6148" width="15.453125" style="2" customWidth="1"/>
    <col min="6149" max="6149" width="13.54296875" style="2" customWidth="1"/>
    <col min="6150" max="6150" width="9.1796875" style="2"/>
    <col min="6151" max="6151" width="16.54296875" style="2" customWidth="1"/>
    <col min="6152" max="6152" width="9.1796875" style="2"/>
    <col min="6153" max="6153" width="11.81640625" style="2" bestFit="1" customWidth="1"/>
    <col min="6154" max="6400" width="9.1796875" style="2"/>
    <col min="6401" max="6401" width="18.54296875" style="2" customWidth="1"/>
    <col min="6402" max="6402" width="16.54296875" style="2" customWidth="1"/>
    <col min="6403" max="6403" width="11.453125" style="2" customWidth="1"/>
    <col min="6404" max="6404" width="15.453125" style="2" customWidth="1"/>
    <col min="6405" max="6405" width="13.54296875" style="2" customWidth="1"/>
    <col min="6406" max="6406" width="9.1796875" style="2"/>
    <col min="6407" max="6407" width="16.54296875" style="2" customWidth="1"/>
    <col min="6408" max="6408" width="9.1796875" style="2"/>
    <col min="6409" max="6409" width="11.81640625" style="2" bestFit="1" customWidth="1"/>
    <col min="6410" max="6656" width="9.1796875" style="2"/>
    <col min="6657" max="6657" width="18.54296875" style="2" customWidth="1"/>
    <col min="6658" max="6658" width="16.54296875" style="2" customWidth="1"/>
    <col min="6659" max="6659" width="11.453125" style="2" customWidth="1"/>
    <col min="6660" max="6660" width="15.453125" style="2" customWidth="1"/>
    <col min="6661" max="6661" width="13.54296875" style="2" customWidth="1"/>
    <col min="6662" max="6662" width="9.1796875" style="2"/>
    <col min="6663" max="6663" width="16.54296875" style="2" customWidth="1"/>
    <col min="6664" max="6664" width="9.1796875" style="2"/>
    <col min="6665" max="6665" width="11.81640625" style="2" bestFit="1" customWidth="1"/>
    <col min="6666" max="6912" width="9.1796875" style="2"/>
    <col min="6913" max="6913" width="18.54296875" style="2" customWidth="1"/>
    <col min="6914" max="6914" width="16.54296875" style="2" customWidth="1"/>
    <col min="6915" max="6915" width="11.453125" style="2" customWidth="1"/>
    <col min="6916" max="6916" width="15.453125" style="2" customWidth="1"/>
    <col min="6917" max="6917" width="13.54296875" style="2" customWidth="1"/>
    <col min="6918" max="6918" width="9.1796875" style="2"/>
    <col min="6919" max="6919" width="16.54296875" style="2" customWidth="1"/>
    <col min="6920" max="6920" width="9.1796875" style="2"/>
    <col min="6921" max="6921" width="11.81640625" style="2" bestFit="1" customWidth="1"/>
    <col min="6922" max="7168" width="9.1796875" style="2"/>
    <col min="7169" max="7169" width="18.54296875" style="2" customWidth="1"/>
    <col min="7170" max="7170" width="16.54296875" style="2" customWidth="1"/>
    <col min="7171" max="7171" width="11.453125" style="2" customWidth="1"/>
    <col min="7172" max="7172" width="15.453125" style="2" customWidth="1"/>
    <col min="7173" max="7173" width="13.54296875" style="2" customWidth="1"/>
    <col min="7174" max="7174" width="9.1796875" style="2"/>
    <col min="7175" max="7175" width="16.54296875" style="2" customWidth="1"/>
    <col min="7176" max="7176" width="9.1796875" style="2"/>
    <col min="7177" max="7177" width="11.81640625" style="2" bestFit="1" customWidth="1"/>
    <col min="7178" max="7424" width="9.1796875" style="2"/>
    <col min="7425" max="7425" width="18.54296875" style="2" customWidth="1"/>
    <col min="7426" max="7426" width="16.54296875" style="2" customWidth="1"/>
    <col min="7427" max="7427" width="11.453125" style="2" customWidth="1"/>
    <col min="7428" max="7428" width="15.453125" style="2" customWidth="1"/>
    <col min="7429" max="7429" width="13.54296875" style="2" customWidth="1"/>
    <col min="7430" max="7430" width="9.1796875" style="2"/>
    <col min="7431" max="7431" width="16.54296875" style="2" customWidth="1"/>
    <col min="7432" max="7432" width="9.1796875" style="2"/>
    <col min="7433" max="7433" width="11.81640625" style="2" bestFit="1" customWidth="1"/>
    <col min="7434" max="7680" width="9.1796875" style="2"/>
    <col min="7681" max="7681" width="18.54296875" style="2" customWidth="1"/>
    <col min="7682" max="7682" width="16.54296875" style="2" customWidth="1"/>
    <col min="7683" max="7683" width="11.453125" style="2" customWidth="1"/>
    <col min="7684" max="7684" width="15.453125" style="2" customWidth="1"/>
    <col min="7685" max="7685" width="13.54296875" style="2" customWidth="1"/>
    <col min="7686" max="7686" width="9.1796875" style="2"/>
    <col min="7687" max="7687" width="16.54296875" style="2" customWidth="1"/>
    <col min="7688" max="7688" width="9.1796875" style="2"/>
    <col min="7689" max="7689" width="11.81640625" style="2" bestFit="1" customWidth="1"/>
    <col min="7690" max="7936" width="9.1796875" style="2"/>
    <col min="7937" max="7937" width="18.54296875" style="2" customWidth="1"/>
    <col min="7938" max="7938" width="16.54296875" style="2" customWidth="1"/>
    <col min="7939" max="7939" width="11.453125" style="2" customWidth="1"/>
    <col min="7940" max="7940" width="15.453125" style="2" customWidth="1"/>
    <col min="7941" max="7941" width="13.54296875" style="2" customWidth="1"/>
    <col min="7942" max="7942" width="9.1796875" style="2"/>
    <col min="7943" max="7943" width="16.54296875" style="2" customWidth="1"/>
    <col min="7944" max="7944" width="9.1796875" style="2"/>
    <col min="7945" max="7945" width="11.81640625" style="2" bestFit="1" customWidth="1"/>
    <col min="7946" max="8192" width="9.1796875" style="2"/>
    <col min="8193" max="8193" width="18.54296875" style="2" customWidth="1"/>
    <col min="8194" max="8194" width="16.54296875" style="2" customWidth="1"/>
    <col min="8195" max="8195" width="11.453125" style="2" customWidth="1"/>
    <col min="8196" max="8196" width="15.453125" style="2" customWidth="1"/>
    <col min="8197" max="8197" width="13.54296875" style="2" customWidth="1"/>
    <col min="8198" max="8198" width="9.1796875" style="2"/>
    <col min="8199" max="8199" width="16.54296875" style="2" customWidth="1"/>
    <col min="8200" max="8200" width="9.1796875" style="2"/>
    <col min="8201" max="8201" width="11.81640625" style="2" bestFit="1" customWidth="1"/>
    <col min="8202" max="8448" width="9.1796875" style="2"/>
    <col min="8449" max="8449" width="18.54296875" style="2" customWidth="1"/>
    <col min="8450" max="8450" width="16.54296875" style="2" customWidth="1"/>
    <col min="8451" max="8451" width="11.453125" style="2" customWidth="1"/>
    <col min="8452" max="8452" width="15.453125" style="2" customWidth="1"/>
    <col min="8453" max="8453" width="13.54296875" style="2" customWidth="1"/>
    <col min="8454" max="8454" width="9.1796875" style="2"/>
    <col min="8455" max="8455" width="16.54296875" style="2" customWidth="1"/>
    <col min="8456" max="8456" width="9.1796875" style="2"/>
    <col min="8457" max="8457" width="11.81640625" style="2" bestFit="1" customWidth="1"/>
    <col min="8458" max="8704" width="9.1796875" style="2"/>
    <col min="8705" max="8705" width="18.54296875" style="2" customWidth="1"/>
    <col min="8706" max="8706" width="16.54296875" style="2" customWidth="1"/>
    <col min="8707" max="8707" width="11.453125" style="2" customWidth="1"/>
    <col min="8708" max="8708" width="15.453125" style="2" customWidth="1"/>
    <col min="8709" max="8709" width="13.54296875" style="2" customWidth="1"/>
    <col min="8710" max="8710" width="9.1796875" style="2"/>
    <col min="8711" max="8711" width="16.54296875" style="2" customWidth="1"/>
    <col min="8712" max="8712" width="9.1796875" style="2"/>
    <col min="8713" max="8713" width="11.81640625" style="2" bestFit="1" customWidth="1"/>
    <col min="8714" max="8960" width="9.1796875" style="2"/>
    <col min="8961" max="8961" width="18.54296875" style="2" customWidth="1"/>
    <col min="8962" max="8962" width="16.54296875" style="2" customWidth="1"/>
    <col min="8963" max="8963" width="11.453125" style="2" customWidth="1"/>
    <col min="8964" max="8964" width="15.453125" style="2" customWidth="1"/>
    <col min="8965" max="8965" width="13.54296875" style="2" customWidth="1"/>
    <col min="8966" max="8966" width="9.1796875" style="2"/>
    <col min="8967" max="8967" width="16.54296875" style="2" customWidth="1"/>
    <col min="8968" max="8968" width="9.1796875" style="2"/>
    <col min="8969" max="8969" width="11.81640625" style="2" bestFit="1" customWidth="1"/>
    <col min="8970" max="9216" width="9.1796875" style="2"/>
    <col min="9217" max="9217" width="18.54296875" style="2" customWidth="1"/>
    <col min="9218" max="9218" width="16.54296875" style="2" customWidth="1"/>
    <col min="9219" max="9219" width="11.453125" style="2" customWidth="1"/>
    <col min="9220" max="9220" width="15.453125" style="2" customWidth="1"/>
    <col min="9221" max="9221" width="13.54296875" style="2" customWidth="1"/>
    <col min="9222" max="9222" width="9.1796875" style="2"/>
    <col min="9223" max="9223" width="16.54296875" style="2" customWidth="1"/>
    <col min="9224" max="9224" width="9.1796875" style="2"/>
    <col min="9225" max="9225" width="11.81640625" style="2" bestFit="1" customWidth="1"/>
    <col min="9226" max="9472" width="9.1796875" style="2"/>
    <col min="9473" max="9473" width="18.54296875" style="2" customWidth="1"/>
    <col min="9474" max="9474" width="16.54296875" style="2" customWidth="1"/>
    <col min="9475" max="9475" width="11.453125" style="2" customWidth="1"/>
    <col min="9476" max="9476" width="15.453125" style="2" customWidth="1"/>
    <col min="9477" max="9477" width="13.54296875" style="2" customWidth="1"/>
    <col min="9478" max="9478" width="9.1796875" style="2"/>
    <col min="9479" max="9479" width="16.54296875" style="2" customWidth="1"/>
    <col min="9480" max="9480" width="9.1796875" style="2"/>
    <col min="9481" max="9481" width="11.81640625" style="2" bestFit="1" customWidth="1"/>
    <col min="9482" max="9728" width="9.1796875" style="2"/>
    <col min="9729" max="9729" width="18.54296875" style="2" customWidth="1"/>
    <col min="9730" max="9730" width="16.54296875" style="2" customWidth="1"/>
    <col min="9731" max="9731" width="11.453125" style="2" customWidth="1"/>
    <col min="9732" max="9732" width="15.453125" style="2" customWidth="1"/>
    <col min="9733" max="9733" width="13.54296875" style="2" customWidth="1"/>
    <col min="9734" max="9734" width="9.1796875" style="2"/>
    <col min="9735" max="9735" width="16.54296875" style="2" customWidth="1"/>
    <col min="9736" max="9736" width="9.1796875" style="2"/>
    <col min="9737" max="9737" width="11.81640625" style="2" bestFit="1" customWidth="1"/>
    <col min="9738" max="9984" width="9.1796875" style="2"/>
    <col min="9985" max="9985" width="18.54296875" style="2" customWidth="1"/>
    <col min="9986" max="9986" width="16.54296875" style="2" customWidth="1"/>
    <col min="9987" max="9987" width="11.453125" style="2" customWidth="1"/>
    <col min="9988" max="9988" width="15.453125" style="2" customWidth="1"/>
    <col min="9989" max="9989" width="13.54296875" style="2" customWidth="1"/>
    <col min="9990" max="9990" width="9.1796875" style="2"/>
    <col min="9991" max="9991" width="16.54296875" style="2" customWidth="1"/>
    <col min="9992" max="9992" width="9.1796875" style="2"/>
    <col min="9993" max="9993" width="11.81640625" style="2" bestFit="1" customWidth="1"/>
    <col min="9994" max="10240" width="9.1796875" style="2"/>
    <col min="10241" max="10241" width="18.54296875" style="2" customWidth="1"/>
    <col min="10242" max="10242" width="16.54296875" style="2" customWidth="1"/>
    <col min="10243" max="10243" width="11.453125" style="2" customWidth="1"/>
    <col min="10244" max="10244" width="15.453125" style="2" customWidth="1"/>
    <col min="10245" max="10245" width="13.54296875" style="2" customWidth="1"/>
    <col min="10246" max="10246" width="9.1796875" style="2"/>
    <col min="10247" max="10247" width="16.54296875" style="2" customWidth="1"/>
    <col min="10248" max="10248" width="9.1796875" style="2"/>
    <col min="10249" max="10249" width="11.81640625" style="2" bestFit="1" customWidth="1"/>
    <col min="10250" max="10496" width="9.1796875" style="2"/>
    <col min="10497" max="10497" width="18.54296875" style="2" customWidth="1"/>
    <col min="10498" max="10498" width="16.54296875" style="2" customWidth="1"/>
    <col min="10499" max="10499" width="11.453125" style="2" customWidth="1"/>
    <col min="10500" max="10500" width="15.453125" style="2" customWidth="1"/>
    <col min="10501" max="10501" width="13.54296875" style="2" customWidth="1"/>
    <col min="10502" max="10502" width="9.1796875" style="2"/>
    <col min="10503" max="10503" width="16.54296875" style="2" customWidth="1"/>
    <col min="10504" max="10504" width="9.1796875" style="2"/>
    <col min="10505" max="10505" width="11.81640625" style="2" bestFit="1" customWidth="1"/>
    <col min="10506" max="10752" width="9.1796875" style="2"/>
    <col min="10753" max="10753" width="18.54296875" style="2" customWidth="1"/>
    <col min="10754" max="10754" width="16.54296875" style="2" customWidth="1"/>
    <col min="10755" max="10755" width="11.453125" style="2" customWidth="1"/>
    <col min="10756" max="10756" width="15.453125" style="2" customWidth="1"/>
    <col min="10757" max="10757" width="13.54296875" style="2" customWidth="1"/>
    <col min="10758" max="10758" width="9.1796875" style="2"/>
    <col min="10759" max="10759" width="16.54296875" style="2" customWidth="1"/>
    <col min="10760" max="10760" width="9.1796875" style="2"/>
    <col min="10761" max="10761" width="11.81640625" style="2" bestFit="1" customWidth="1"/>
    <col min="10762" max="11008" width="9.1796875" style="2"/>
    <col min="11009" max="11009" width="18.54296875" style="2" customWidth="1"/>
    <col min="11010" max="11010" width="16.54296875" style="2" customWidth="1"/>
    <col min="11011" max="11011" width="11.453125" style="2" customWidth="1"/>
    <col min="11012" max="11012" width="15.453125" style="2" customWidth="1"/>
    <col min="11013" max="11013" width="13.54296875" style="2" customWidth="1"/>
    <col min="11014" max="11014" width="9.1796875" style="2"/>
    <col min="11015" max="11015" width="16.54296875" style="2" customWidth="1"/>
    <col min="11016" max="11016" width="9.1796875" style="2"/>
    <col min="11017" max="11017" width="11.81640625" style="2" bestFit="1" customWidth="1"/>
    <col min="11018" max="11264" width="9.1796875" style="2"/>
    <col min="11265" max="11265" width="18.54296875" style="2" customWidth="1"/>
    <col min="11266" max="11266" width="16.54296875" style="2" customWidth="1"/>
    <col min="11267" max="11267" width="11.453125" style="2" customWidth="1"/>
    <col min="11268" max="11268" width="15.453125" style="2" customWidth="1"/>
    <col min="11269" max="11269" width="13.54296875" style="2" customWidth="1"/>
    <col min="11270" max="11270" width="9.1796875" style="2"/>
    <col min="11271" max="11271" width="16.54296875" style="2" customWidth="1"/>
    <col min="11272" max="11272" width="9.1796875" style="2"/>
    <col min="11273" max="11273" width="11.81640625" style="2" bestFit="1" customWidth="1"/>
    <col min="11274" max="11520" width="9.1796875" style="2"/>
    <col min="11521" max="11521" width="18.54296875" style="2" customWidth="1"/>
    <col min="11522" max="11522" width="16.54296875" style="2" customWidth="1"/>
    <col min="11523" max="11523" width="11.453125" style="2" customWidth="1"/>
    <col min="11524" max="11524" width="15.453125" style="2" customWidth="1"/>
    <col min="11525" max="11525" width="13.54296875" style="2" customWidth="1"/>
    <col min="11526" max="11526" width="9.1796875" style="2"/>
    <col min="11527" max="11527" width="16.54296875" style="2" customWidth="1"/>
    <col min="11528" max="11528" width="9.1796875" style="2"/>
    <col min="11529" max="11529" width="11.81640625" style="2" bestFit="1" customWidth="1"/>
    <col min="11530" max="11776" width="9.1796875" style="2"/>
    <col min="11777" max="11777" width="18.54296875" style="2" customWidth="1"/>
    <col min="11778" max="11778" width="16.54296875" style="2" customWidth="1"/>
    <col min="11779" max="11779" width="11.453125" style="2" customWidth="1"/>
    <col min="11780" max="11780" width="15.453125" style="2" customWidth="1"/>
    <col min="11781" max="11781" width="13.54296875" style="2" customWidth="1"/>
    <col min="11782" max="11782" width="9.1796875" style="2"/>
    <col min="11783" max="11783" width="16.54296875" style="2" customWidth="1"/>
    <col min="11784" max="11784" width="9.1796875" style="2"/>
    <col min="11785" max="11785" width="11.81640625" style="2" bestFit="1" customWidth="1"/>
    <col min="11786" max="12032" width="9.1796875" style="2"/>
    <col min="12033" max="12033" width="18.54296875" style="2" customWidth="1"/>
    <col min="12034" max="12034" width="16.54296875" style="2" customWidth="1"/>
    <col min="12035" max="12035" width="11.453125" style="2" customWidth="1"/>
    <col min="12036" max="12036" width="15.453125" style="2" customWidth="1"/>
    <col min="12037" max="12037" width="13.54296875" style="2" customWidth="1"/>
    <col min="12038" max="12038" width="9.1796875" style="2"/>
    <col min="12039" max="12039" width="16.54296875" style="2" customWidth="1"/>
    <col min="12040" max="12040" width="9.1796875" style="2"/>
    <col min="12041" max="12041" width="11.81640625" style="2" bestFit="1" customWidth="1"/>
    <col min="12042" max="12288" width="9.1796875" style="2"/>
    <col min="12289" max="12289" width="18.54296875" style="2" customWidth="1"/>
    <col min="12290" max="12290" width="16.54296875" style="2" customWidth="1"/>
    <col min="12291" max="12291" width="11.453125" style="2" customWidth="1"/>
    <col min="12292" max="12292" width="15.453125" style="2" customWidth="1"/>
    <col min="12293" max="12293" width="13.54296875" style="2" customWidth="1"/>
    <col min="12294" max="12294" width="9.1796875" style="2"/>
    <col min="12295" max="12295" width="16.54296875" style="2" customWidth="1"/>
    <col min="12296" max="12296" width="9.1796875" style="2"/>
    <col min="12297" max="12297" width="11.81640625" style="2" bestFit="1" customWidth="1"/>
    <col min="12298" max="12544" width="9.1796875" style="2"/>
    <col min="12545" max="12545" width="18.54296875" style="2" customWidth="1"/>
    <col min="12546" max="12546" width="16.54296875" style="2" customWidth="1"/>
    <col min="12547" max="12547" width="11.453125" style="2" customWidth="1"/>
    <col min="12548" max="12548" width="15.453125" style="2" customWidth="1"/>
    <col min="12549" max="12549" width="13.54296875" style="2" customWidth="1"/>
    <col min="12550" max="12550" width="9.1796875" style="2"/>
    <col min="12551" max="12551" width="16.54296875" style="2" customWidth="1"/>
    <col min="12552" max="12552" width="9.1796875" style="2"/>
    <col min="12553" max="12553" width="11.81640625" style="2" bestFit="1" customWidth="1"/>
    <col min="12554" max="12800" width="9.1796875" style="2"/>
    <col min="12801" max="12801" width="18.54296875" style="2" customWidth="1"/>
    <col min="12802" max="12802" width="16.54296875" style="2" customWidth="1"/>
    <col min="12803" max="12803" width="11.453125" style="2" customWidth="1"/>
    <col min="12804" max="12804" width="15.453125" style="2" customWidth="1"/>
    <col min="12805" max="12805" width="13.54296875" style="2" customWidth="1"/>
    <col min="12806" max="12806" width="9.1796875" style="2"/>
    <col min="12807" max="12807" width="16.54296875" style="2" customWidth="1"/>
    <col min="12808" max="12808" width="9.1796875" style="2"/>
    <col min="12809" max="12809" width="11.81640625" style="2" bestFit="1" customWidth="1"/>
    <col min="12810" max="13056" width="9.1796875" style="2"/>
    <col min="13057" max="13057" width="18.54296875" style="2" customWidth="1"/>
    <col min="13058" max="13058" width="16.54296875" style="2" customWidth="1"/>
    <col min="13059" max="13059" width="11.453125" style="2" customWidth="1"/>
    <col min="13060" max="13060" width="15.453125" style="2" customWidth="1"/>
    <col min="13061" max="13061" width="13.54296875" style="2" customWidth="1"/>
    <col min="13062" max="13062" width="9.1796875" style="2"/>
    <col min="13063" max="13063" width="16.54296875" style="2" customWidth="1"/>
    <col min="13064" max="13064" width="9.1796875" style="2"/>
    <col min="13065" max="13065" width="11.81640625" style="2" bestFit="1" customWidth="1"/>
    <col min="13066" max="13312" width="9.1796875" style="2"/>
    <col min="13313" max="13313" width="18.54296875" style="2" customWidth="1"/>
    <col min="13314" max="13314" width="16.54296875" style="2" customWidth="1"/>
    <col min="13315" max="13315" width="11.453125" style="2" customWidth="1"/>
    <col min="13316" max="13316" width="15.453125" style="2" customWidth="1"/>
    <col min="13317" max="13317" width="13.54296875" style="2" customWidth="1"/>
    <col min="13318" max="13318" width="9.1796875" style="2"/>
    <col min="13319" max="13319" width="16.54296875" style="2" customWidth="1"/>
    <col min="13320" max="13320" width="9.1796875" style="2"/>
    <col min="13321" max="13321" width="11.81640625" style="2" bestFit="1" customWidth="1"/>
    <col min="13322" max="13568" width="9.1796875" style="2"/>
    <col min="13569" max="13569" width="18.54296875" style="2" customWidth="1"/>
    <col min="13570" max="13570" width="16.54296875" style="2" customWidth="1"/>
    <col min="13571" max="13571" width="11.453125" style="2" customWidth="1"/>
    <col min="13572" max="13572" width="15.453125" style="2" customWidth="1"/>
    <col min="13573" max="13573" width="13.54296875" style="2" customWidth="1"/>
    <col min="13574" max="13574" width="9.1796875" style="2"/>
    <col min="13575" max="13575" width="16.54296875" style="2" customWidth="1"/>
    <col min="13576" max="13576" width="9.1796875" style="2"/>
    <col min="13577" max="13577" width="11.81640625" style="2" bestFit="1" customWidth="1"/>
    <col min="13578" max="13824" width="9.1796875" style="2"/>
    <col min="13825" max="13825" width="18.54296875" style="2" customWidth="1"/>
    <col min="13826" max="13826" width="16.54296875" style="2" customWidth="1"/>
    <col min="13827" max="13827" width="11.453125" style="2" customWidth="1"/>
    <col min="13828" max="13828" width="15.453125" style="2" customWidth="1"/>
    <col min="13829" max="13829" width="13.54296875" style="2" customWidth="1"/>
    <col min="13830" max="13830" width="9.1796875" style="2"/>
    <col min="13831" max="13831" width="16.54296875" style="2" customWidth="1"/>
    <col min="13832" max="13832" width="9.1796875" style="2"/>
    <col min="13833" max="13833" width="11.81640625" style="2" bestFit="1" customWidth="1"/>
    <col min="13834" max="14080" width="9.1796875" style="2"/>
    <col min="14081" max="14081" width="18.54296875" style="2" customWidth="1"/>
    <col min="14082" max="14082" width="16.54296875" style="2" customWidth="1"/>
    <col min="14083" max="14083" width="11.453125" style="2" customWidth="1"/>
    <col min="14084" max="14084" width="15.453125" style="2" customWidth="1"/>
    <col min="14085" max="14085" width="13.54296875" style="2" customWidth="1"/>
    <col min="14086" max="14086" width="9.1796875" style="2"/>
    <col min="14087" max="14087" width="16.54296875" style="2" customWidth="1"/>
    <col min="14088" max="14088" width="9.1796875" style="2"/>
    <col min="14089" max="14089" width="11.81640625" style="2" bestFit="1" customWidth="1"/>
    <col min="14090" max="14336" width="9.1796875" style="2"/>
    <col min="14337" max="14337" width="18.54296875" style="2" customWidth="1"/>
    <col min="14338" max="14338" width="16.54296875" style="2" customWidth="1"/>
    <col min="14339" max="14339" width="11.453125" style="2" customWidth="1"/>
    <col min="14340" max="14340" width="15.453125" style="2" customWidth="1"/>
    <col min="14341" max="14341" width="13.54296875" style="2" customWidth="1"/>
    <col min="14342" max="14342" width="9.1796875" style="2"/>
    <col min="14343" max="14343" width="16.54296875" style="2" customWidth="1"/>
    <col min="14344" max="14344" width="9.1796875" style="2"/>
    <col min="14345" max="14345" width="11.81640625" style="2" bestFit="1" customWidth="1"/>
    <col min="14346" max="14592" width="9.1796875" style="2"/>
    <col min="14593" max="14593" width="18.54296875" style="2" customWidth="1"/>
    <col min="14594" max="14594" width="16.54296875" style="2" customWidth="1"/>
    <col min="14595" max="14595" width="11.453125" style="2" customWidth="1"/>
    <col min="14596" max="14596" width="15.453125" style="2" customWidth="1"/>
    <col min="14597" max="14597" width="13.54296875" style="2" customWidth="1"/>
    <col min="14598" max="14598" width="9.1796875" style="2"/>
    <col min="14599" max="14599" width="16.54296875" style="2" customWidth="1"/>
    <col min="14600" max="14600" width="9.1796875" style="2"/>
    <col min="14601" max="14601" width="11.81640625" style="2" bestFit="1" customWidth="1"/>
    <col min="14602" max="14848" width="9.1796875" style="2"/>
    <col min="14849" max="14849" width="18.54296875" style="2" customWidth="1"/>
    <col min="14850" max="14850" width="16.54296875" style="2" customWidth="1"/>
    <col min="14851" max="14851" width="11.453125" style="2" customWidth="1"/>
    <col min="14852" max="14852" width="15.453125" style="2" customWidth="1"/>
    <col min="14853" max="14853" width="13.54296875" style="2" customWidth="1"/>
    <col min="14854" max="14854" width="9.1796875" style="2"/>
    <col min="14855" max="14855" width="16.54296875" style="2" customWidth="1"/>
    <col min="14856" max="14856" width="9.1796875" style="2"/>
    <col min="14857" max="14857" width="11.81640625" style="2" bestFit="1" customWidth="1"/>
    <col min="14858" max="15104" width="9.1796875" style="2"/>
    <col min="15105" max="15105" width="18.54296875" style="2" customWidth="1"/>
    <col min="15106" max="15106" width="16.54296875" style="2" customWidth="1"/>
    <col min="15107" max="15107" width="11.453125" style="2" customWidth="1"/>
    <col min="15108" max="15108" width="15.453125" style="2" customWidth="1"/>
    <col min="15109" max="15109" width="13.54296875" style="2" customWidth="1"/>
    <col min="15110" max="15110" width="9.1796875" style="2"/>
    <col min="15111" max="15111" width="16.54296875" style="2" customWidth="1"/>
    <col min="15112" max="15112" width="9.1796875" style="2"/>
    <col min="15113" max="15113" width="11.81640625" style="2" bestFit="1" customWidth="1"/>
    <col min="15114" max="15360" width="9.1796875" style="2"/>
    <col min="15361" max="15361" width="18.54296875" style="2" customWidth="1"/>
    <col min="15362" max="15362" width="16.54296875" style="2" customWidth="1"/>
    <col min="15363" max="15363" width="11.453125" style="2" customWidth="1"/>
    <col min="15364" max="15364" width="15.453125" style="2" customWidth="1"/>
    <col min="15365" max="15365" width="13.54296875" style="2" customWidth="1"/>
    <col min="15366" max="15366" width="9.1796875" style="2"/>
    <col min="15367" max="15367" width="16.54296875" style="2" customWidth="1"/>
    <col min="15368" max="15368" width="9.1796875" style="2"/>
    <col min="15369" max="15369" width="11.81640625" style="2" bestFit="1" customWidth="1"/>
    <col min="15370" max="15616" width="9.1796875" style="2"/>
    <col min="15617" max="15617" width="18.54296875" style="2" customWidth="1"/>
    <col min="15618" max="15618" width="16.54296875" style="2" customWidth="1"/>
    <col min="15619" max="15619" width="11.453125" style="2" customWidth="1"/>
    <col min="15620" max="15620" width="15.453125" style="2" customWidth="1"/>
    <col min="15621" max="15621" width="13.54296875" style="2" customWidth="1"/>
    <col min="15622" max="15622" width="9.1796875" style="2"/>
    <col min="15623" max="15623" width="16.54296875" style="2" customWidth="1"/>
    <col min="15624" max="15624" width="9.1796875" style="2"/>
    <col min="15625" max="15625" width="11.81640625" style="2" bestFit="1" customWidth="1"/>
    <col min="15626" max="15872" width="9.1796875" style="2"/>
    <col min="15873" max="15873" width="18.54296875" style="2" customWidth="1"/>
    <col min="15874" max="15874" width="16.54296875" style="2" customWidth="1"/>
    <col min="15875" max="15875" width="11.453125" style="2" customWidth="1"/>
    <col min="15876" max="15876" width="15.453125" style="2" customWidth="1"/>
    <col min="15877" max="15877" width="13.54296875" style="2" customWidth="1"/>
    <col min="15878" max="15878" width="9.1796875" style="2"/>
    <col min="15879" max="15879" width="16.54296875" style="2" customWidth="1"/>
    <col min="15880" max="15880" width="9.1796875" style="2"/>
    <col min="15881" max="15881" width="11.81640625" style="2" bestFit="1" customWidth="1"/>
    <col min="15882" max="16128" width="9.1796875" style="2"/>
    <col min="16129" max="16129" width="18.54296875" style="2" customWidth="1"/>
    <col min="16130" max="16130" width="16.54296875" style="2" customWidth="1"/>
    <col min="16131" max="16131" width="11.453125" style="2" customWidth="1"/>
    <col min="16132" max="16132" width="15.453125" style="2" customWidth="1"/>
    <col min="16133" max="16133" width="13.54296875" style="2" customWidth="1"/>
    <col min="16134" max="16134" width="9.1796875" style="2"/>
    <col min="16135" max="16135" width="16.54296875" style="2" customWidth="1"/>
    <col min="16136" max="16136" width="9.1796875" style="2"/>
    <col min="16137" max="16137" width="11.81640625" style="2" bestFit="1" customWidth="1"/>
    <col min="16138" max="16384" width="9.1796875" style="2"/>
  </cols>
  <sheetData>
    <row r="1" spans="1:8" x14ac:dyDescent="0.3">
      <c r="A1" s="74" t="s">
        <v>0</v>
      </c>
      <c r="B1" s="74"/>
      <c r="C1" s="74"/>
      <c r="D1" s="74"/>
      <c r="E1" s="74"/>
      <c r="F1" s="40"/>
    </row>
    <row r="2" spans="1:8" x14ac:dyDescent="0.3">
      <c r="A2" s="74" t="s">
        <v>51</v>
      </c>
      <c r="B2" s="74"/>
      <c r="C2" s="74"/>
      <c r="D2" s="74"/>
      <c r="E2" s="74"/>
      <c r="F2" s="40"/>
    </row>
    <row r="3" spans="1:8" x14ac:dyDescent="0.3">
      <c r="A3" s="74" t="s">
        <v>52</v>
      </c>
      <c r="B3" s="74"/>
      <c r="C3" s="74"/>
      <c r="D3" s="74"/>
      <c r="E3" s="74"/>
    </row>
    <row r="4" spans="1:8" x14ac:dyDescent="0.3">
      <c r="A4" s="74"/>
      <c r="B4" s="74"/>
      <c r="C4" s="74"/>
      <c r="D4" s="74"/>
      <c r="E4" s="74"/>
      <c r="F4" s="40"/>
    </row>
    <row r="5" spans="1:8" x14ac:dyDescent="0.3">
      <c r="A5" s="1" t="s">
        <v>3</v>
      </c>
      <c r="B5" s="75" t="s">
        <v>53</v>
      </c>
      <c r="C5" s="75"/>
      <c r="D5" s="75"/>
      <c r="E5" s="75"/>
    </row>
    <row r="6" spans="1:8" x14ac:dyDescent="0.3">
      <c r="A6" s="40" t="s">
        <v>54</v>
      </c>
      <c r="B6" s="40" t="s">
        <v>55</v>
      </c>
    </row>
    <row r="7" spans="1:8" ht="30" customHeight="1" x14ac:dyDescent="0.3">
      <c r="A7" s="69" t="s">
        <v>5</v>
      </c>
      <c r="B7" s="70" t="s">
        <v>6</v>
      </c>
      <c r="C7" s="71" t="s">
        <v>11</v>
      </c>
      <c r="D7" s="71" t="s">
        <v>56</v>
      </c>
      <c r="E7" s="71" t="s">
        <v>47</v>
      </c>
    </row>
    <row r="8" spans="1:8" ht="30" customHeight="1" x14ac:dyDescent="0.3">
      <c r="A8" s="69"/>
      <c r="B8" s="70"/>
      <c r="C8" s="72"/>
      <c r="D8" s="72"/>
      <c r="E8" s="72"/>
      <c r="H8" s="2" t="s">
        <v>12</v>
      </c>
    </row>
    <row r="9" spans="1:8" x14ac:dyDescent="0.3">
      <c r="A9" s="69"/>
      <c r="B9" s="70"/>
      <c r="C9" s="73"/>
      <c r="D9" s="73"/>
      <c r="E9" s="73"/>
    </row>
    <row r="10" spans="1:8" s="8" customFormat="1" ht="11.25" customHeight="1" x14ac:dyDescent="0.3">
      <c r="A10" s="4">
        <v>1</v>
      </c>
      <c r="B10" s="5">
        <v>2</v>
      </c>
      <c r="C10" s="5">
        <v>3</v>
      </c>
      <c r="D10" s="4" t="s">
        <v>57</v>
      </c>
      <c r="E10" s="5"/>
    </row>
    <row r="11" spans="1:8" s="23" customFormat="1" ht="31" customHeight="1" x14ac:dyDescent="0.35">
      <c r="A11" s="41">
        <v>45659</v>
      </c>
      <c r="B11" s="42" t="s">
        <v>58</v>
      </c>
      <c r="C11" s="42"/>
      <c r="D11" s="43">
        <v>9728930</v>
      </c>
      <c r="E11" s="42"/>
      <c r="G11" s="23" t="s">
        <v>12</v>
      </c>
    </row>
    <row r="12" spans="1:8" s="23" customFormat="1" ht="31" customHeight="1" x14ac:dyDescent="0.35">
      <c r="A12" s="14"/>
      <c r="B12" s="15" t="s">
        <v>16</v>
      </c>
      <c r="C12" s="16">
        <f t="shared" ref="C12:C21" si="0">$D$11/10</f>
        <v>972893</v>
      </c>
      <c r="D12" s="44">
        <f t="shared" ref="D12:D21" si="1">D11-C12</f>
        <v>8756037</v>
      </c>
      <c r="E12" s="45"/>
    </row>
    <row r="13" spans="1:8" s="23" customFormat="1" ht="31" customHeight="1" x14ac:dyDescent="0.35">
      <c r="A13" s="24"/>
      <c r="B13" s="15" t="s">
        <v>17</v>
      </c>
      <c r="C13" s="16">
        <f t="shared" si="0"/>
        <v>972893</v>
      </c>
      <c r="D13" s="44">
        <f t="shared" si="1"/>
        <v>7783144</v>
      </c>
      <c r="E13" s="45"/>
    </row>
    <row r="14" spans="1:8" s="23" customFormat="1" ht="31" customHeight="1" x14ac:dyDescent="0.35">
      <c r="A14" s="24"/>
      <c r="B14" s="15" t="s">
        <v>18</v>
      </c>
      <c r="C14" s="16">
        <f t="shared" si="0"/>
        <v>972893</v>
      </c>
      <c r="D14" s="44">
        <f t="shared" si="1"/>
        <v>6810251</v>
      </c>
      <c r="E14" s="45"/>
    </row>
    <row r="15" spans="1:8" s="23" customFormat="1" ht="31" customHeight="1" x14ac:dyDescent="0.35">
      <c r="A15" s="25"/>
      <c r="B15" s="15" t="s">
        <v>19</v>
      </c>
      <c r="C15" s="16">
        <f t="shared" si="0"/>
        <v>972893</v>
      </c>
      <c r="D15" s="44">
        <f t="shared" si="1"/>
        <v>5837358</v>
      </c>
      <c r="E15" s="45"/>
    </row>
    <row r="16" spans="1:8" s="23" customFormat="1" ht="31" customHeight="1" x14ac:dyDescent="0.35">
      <c r="A16" s="26"/>
      <c r="B16" s="15" t="s">
        <v>20</v>
      </c>
      <c r="C16" s="16">
        <f t="shared" si="0"/>
        <v>972893</v>
      </c>
      <c r="D16" s="44">
        <f t="shared" si="1"/>
        <v>4864465</v>
      </c>
      <c r="E16" s="45"/>
    </row>
    <row r="17" spans="1:9" s="23" customFormat="1" ht="31" customHeight="1" x14ac:dyDescent="0.35">
      <c r="A17" s="27"/>
      <c r="B17" s="15" t="s">
        <v>21</v>
      </c>
      <c r="C17" s="16">
        <f t="shared" si="0"/>
        <v>972893</v>
      </c>
      <c r="D17" s="44">
        <f t="shared" si="1"/>
        <v>3891572</v>
      </c>
      <c r="E17" s="27"/>
    </row>
    <row r="18" spans="1:9" s="23" customFormat="1" ht="31" customHeight="1" x14ac:dyDescent="0.35">
      <c r="A18" s="27"/>
      <c r="B18" s="15" t="s">
        <v>22</v>
      </c>
      <c r="C18" s="16">
        <f t="shared" si="0"/>
        <v>972893</v>
      </c>
      <c r="D18" s="44">
        <f t="shared" si="1"/>
        <v>2918679</v>
      </c>
      <c r="E18" s="27"/>
    </row>
    <row r="19" spans="1:9" s="23" customFormat="1" ht="31" customHeight="1" x14ac:dyDescent="0.3">
      <c r="A19" s="27"/>
      <c r="B19" s="15" t="s">
        <v>23</v>
      </c>
      <c r="C19" s="16">
        <f t="shared" si="0"/>
        <v>972893</v>
      </c>
      <c r="D19" s="44">
        <f t="shared" si="1"/>
        <v>1945786</v>
      </c>
      <c r="E19" s="27"/>
      <c r="G19" s="2"/>
      <c r="H19" s="2"/>
      <c r="I19" s="2"/>
    </row>
    <row r="20" spans="1:9" s="23" customFormat="1" ht="31" customHeight="1" x14ac:dyDescent="0.3">
      <c r="A20" s="26"/>
      <c r="B20" s="15" t="s">
        <v>24</v>
      </c>
      <c r="C20" s="16">
        <f t="shared" si="0"/>
        <v>972893</v>
      </c>
      <c r="D20" s="44">
        <f t="shared" si="1"/>
        <v>972893</v>
      </c>
      <c r="E20" s="27"/>
      <c r="G20" s="2"/>
      <c r="H20" s="2"/>
      <c r="I20" s="2"/>
    </row>
    <row r="21" spans="1:9" s="23" customFormat="1" ht="31" customHeight="1" x14ac:dyDescent="0.3">
      <c r="A21" s="26"/>
      <c r="B21" s="15" t="s">
        <v>25</v>
      </c>
      <c r="C21" s="16">
        <f t="shared" si="0"/>
        <v>972893</v>
      </c>
      <c r="D21" s="44">
        <f t="shared" si="1"/>
        <v>0</v>
      </c>
      <c r="E21" s="27"/>
      <c r="G21" s="2"/>
      <c r="H21" s="2"/>
      <c r="I21" s="2"/>
    </row>
    <row r="23" spans="1:9" ht="19.5" customHeight="1" x14ac:dyDescent="0.3">
      <c r="A23" s="29" t="s">
        <v>27</v>
      </c>
      <c r="B23" s="30" t="s">
        <v>28</v>
      </c>
      <c r="C23" s="30"/>
      <c r="D23" s="30"/>
      <c r="E23" s="30"/>
    </row>
    <row r="24" spans="1:9" x14ac:dyDescent="0.3">
      <c r="B24" s="31" t="s">
        <v>29</v>
      </c>
      <c r="C24" s="32">
        <v>9000000</v>
      </c>
    </row>
    <row r="25" spans="1:9" ht="28" x14ac:dyDescent="0.3">
      <c r="B25" s="31" t="s">
        <v>30</v>
      </c>
      <c r="C25" s="33">
        <v>5000000</v>
      </c>
    </row>
    <row r="26" spans="1:9" x14ac:dyDescent="0.3">
      <c r="B26" s="34" t="s">
        <v>31</v>
      </c>
      <c r="C26" s="35">
        <f>C24+C25</f>
        <v>14000000</v>
      </c>
    </row>
  </sheetData>
  <mergeCells count="10">
    <mergeCell ref="A1:E1"/>
    <mergeCell ref="A2:E2"/>
    <mergeCell ref="A3:E3"/>
    <mergeCell ref="A4:E4"/>
    <mergeCell ref="B5:E5"/>
    <mergeCell ref="A7:A9"/>
    <mergeCell ref="B7:B9"/>
    <mergeCell ref="C7:C9"/>
    <mergeCell ref="D7:D9"/>
    <mergeCell ref="E7:E9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86B0-96D0-4FEF-AA0F-344AF10D79B7}">
  <sheetPr>
    <tabColor theme="1"/>
  </sheetPr>
  <dimension ref="A1:J26"/>
  <sheetViews>
    <sheetView view="pageBreakPreview" zoomScale="85" zoomScaleNormal="85" zoomScaleSheetLayoutView="85" workbookViewId="0">
      <selection activeCell="D8" sqref="D8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37" customWidth="1"/>
    <col min="7" max="7" width="21.2695312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40"/>
    </row>
    <row r="2" spans="1:10" x14ac:dyDescent="0.3">
      <c r="A2" s="74" t="s">
        <v>50</v>
      </c>
      <c r="B2" s="74"/>
      <c r="C2" s="74"/>
      <c r="D2" s="74"/>
      <c r="E2" s="74"/>
      <c r="F2" s="74"/>
      <c r="G2" s="40"/>
    </row>
    <row r="3" spans="1:10" x14ac:dyDescent="0.3">
      <c r="A3" s="74" t="s">
        <v>49</v>
      </c>
      <c r="B3" s="74"/>
      <c r="C3" s="74"/>
      <c r="D3" s="74"/>
      <c r="E3" s="74"/>
      <c r="F3" s="74"/>
    </row>
    <row r="4" spans="1:10" x14ac:dyDescent="0.3">
      <c r="A4" s="1"/>
      <c r="B4" s="1"/>
      <c r="C4" s="1"/>
      <c r="D4" s="1"/>
      <c r="E4" s="1"/>
      <c r="F4" s="39"/>
    </row>
    <row r="5" spans="1:10" x14ac:dyDescent="0.3">
      <c r="A5" s="3" t="s">
        <v>3</v>
      </c>
      <c r="B5" s="80" t="s">
        <v>48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79" t="s">
        <v>8</v>
      </c>
      <c r="G6" s="79" t="s">
        <v>47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79"/>
      <c r="G7" s="7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79"/>
      <c r="G8" s="7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38"/>
      <c r="G9" s="7"/>
    </row>
    <row r="10" spans="1:10" ht="30.75" customHeight="1" x14ac:dyDescent="0.3">
      <c r="A10" s="9"/>
      <c r="B10" s="10"/>
      <c r="C10" s="10"/>
      <c r="D10" s="10"/>
      <c r="E10" s="11"/>
      <c r="F10" s="12">
        <v>9728930</v>
      </c>
      <c r="G10" s="13"/>
    </row>
    <row r="11" spans="1:10" s="23" customFormat="1" ht="31" customHeight="1" x14ac:dyDescent="0.35">
      <c r="A11" s="14"/>
      <c r="B11" s="15" t="s">
        <v>16</v>
      </c>
      <c r="C11" s="16">
        <v>962893</v>
      </c>
      <c r="D11" s="16">
        <f t="shared" ref="D11:D20" si="0">100000/10</f>
        <v>10000</v>
      </c>
      <c r="E11" s="17">
        <f t="shared" ref="E11:E20" si="1">C11+D11</f>
        <v>972893</v>
      </c>
      <c r="F11" s="18">
        <f t="shared" ref="F11:F20" si="2">F10-E11</f>
        <v>8756037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24"/>
      <c r="B12" s="15" t="s">
        <v>17</v>
      </c>
      <c r="C12" s="16">
        <v>962893</v>
      </c>
      <c r="D12" s="16">
        <f t="shared" si="0"/>
        <v>10000</v>
      </c>
      <c r="E12" s="17">
        <f t="shared" si="1"/>
        <v>972893</v>
      </c>
      <c r="F12" s="18">
        <f t="shared" si="2"/>
        <v>7783144</v>
      </c>
      <c r="G12" s="19"/>
    </row>
    <row r="13" spans="1:10" s="23" customFormat="1" ht="31" customHeight="1" x14ac:dyDescent="0.35">
      <c r="A13" s="24"/>
      <c r="B13" s="15" t="s">
        <v>18</v>
      </c>
      <c r="C13" s="16">
        <v>962893</v>
      </c>
      <c r="D13" s="16">
        <f t="shared" si="0"/>
        <v>10000</v>
      </c>
      <c r="E13" s="17">
        <f t="shared" si="1"/>
        <v>972893</v>
      </c>
      <c r="F13" s="18">
        <f t="shared" si="2"/>
        <v>6810251</v>
      </c>
      <c r="G13" s="19"/>
      <c r="H13" s="23" t="s">
        <v>12</v>
      </c>
    </row>
    <row r="14" spans="1:10" s="23" customFormat="1" ht="31" customHeight="1" x14ac:dyDescent="0.35">
      <c r="A14" s="25"/>
      <c r="B14" s="15" t="s">
        <v>19</v>
      </c>
      <c r="C14" s="16">
        <v>962893</v>
      </c>
      <c r="D14" s="16">
        <f t="shared" si="0"/>
        <v>10000</v>
      </c>
      <c r="E14" s="17">
        <f t="shared" si="1"/>
        <v>972893</v>
      </c>
      <c r="F14" s="18">
        <f t="shared" si="2"/>
        <v>5837358</v>
      </c>
      <c r="G14" s="19"/>
    </row>
    <row r="15" spans="1:10" s="23" customFormat="1" ht="31" customHeight="1" x14ac:dyDescent="0.35">
      <c r="A15" s="26"/>
      <c r="B15" s="15" t="s">
        <v>20</v>
      </c>
      <c r="C15" s="16">
        <v>962893</v>
      </c>
      <c r="D15" s="16">
        <f t="shared" si="0"/>
        <v>10000</v>
      </c>
      <c r="E15" s="17">
        <f t="shared" si="1"/>
        <v>972893</v>
      </c>
      <c r="F15" s="18">
        <f t="shared" si="2"/>
        <v>4864465</v>
      </c>
      <c r="G15" s="19"/>
    </row>
    <row r="16" spans="1:10" s="23" customFormat="1" ht="31" customHeight="1" x14ac:dyDescent="0.35">
      <c r="A16" s="27"/>
      <c r="B16" s="15" t="s">
        <v>21</v>
      </c>
      <c r="C16" s="16">
        <v>962893</v>
      </c>
      <c r="D16" s="16">
        <f t="shared" si="0"/>
        <v>10000</v>
      </c>
      <c r="E16" s="17">
        <f t="shared" si="1"/>
        <v>972893</v>
      </c>
      <c r="F16" s="18">
        <f t="shared" si="2"/>
        <v>3891572</v>
      </c>
      <c r="G16" s="19"/>
    </row>
    <row r="17" spans="1:7" s="23" customFormat="1" ht="31" customHeight="1" x14ac:dyDescent="0.35">
      <c r="A17" s="27"/>
      <c r="B17" s="15" t="s">
        <v>22</v>
      </c>
      <c r="C17" s="16">
        <v>962893</v>
      </c>
      <c r="D17" s="16">
        <f t="shared" si="0"/>
        <v>10000</v>
      </c>
      <c r="E17" s="17">
        <f t="shared" si="1"/>
        <v>972893</v>
      </c>
      <c r="F17" s="18">
        <f t="shared" si="2"/>
        <v>2918679</v>
      </c>
      <c r="G17" s="19"/>
    </row>
    <row r="18" spans="1:7" s="23" customFormat="1" ht="31" customHeight="1" x14ac:dyDescent="0.35">
      <c r="A18" s="27"/>
      <c r="B18" s="15" t="s">
        <v>23</v>
      </c>
      <c r="C18" s="16">
        <v>962893</v>
      </c>
      <c r="D18" s="16">
        <f t="shared" si="0"/>
        <v>10000</v>
      </c>
      <c r="E18" s="17">
        <f t="shared" si="1"/>
        <v>972893</v>
      </c>
      <c r="F18" s="18">
        <f t="shared" si="2"/>
        <v>1945786</v>
      </c>
      <c r="G18" s="19"/>
    </row>
    <row r="19" spans="1:7" s="23" customFormat="1" ht="31" customHeight="1" x14ac:dyDescent="0.35">
      <c r="A19" s="26"/>
      <c r="B19" s="15" t="s">
        <v>24</v>
      </c>
      <c r="C19" s="16">
        <v>962893</v>
      </c>
      <c r="D19" s="16">
        <f t="shared" si="0"/>
        <v>10000</v>
      </c>
      <c r="E19" s="17">
        <f t="shared" si="1"/>
        <v>972893</v>
      </c>
      <c r="F19" s="18">
        <f t="shared" si="2"/>
        <v>972893</v>
      </c>
      <c r="G19" s="19"/>
    </row>
    <row r="20" spans="1:7" s="23" customFormat="1" ht="31" customHeight="1" x14ac:dyDescent="0.35">
      <c r="A20" s="26"/>
      <c r="B20" s="15" t="s">
        <v>25</v>
      </c>
      <c r="C20" s="16">
        <v>962893</v>
      </c>
      <c r="D20" s="16">
        <f t="shared" si="0"/>
        <v>10000</v>
      </c>
      <c r="E20" s="17">
        <f t="shared" si="1"/>
        <v>972893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9628930</v>
      </c>
      <c r="D21" s="28">
        <f>SUM(D11:D20)</f>
        <v>100000</v>
      </c>
      <c r="E21" s="28">
        <f>SUM(E11:E20)</f>
        <v>9728930</v>
      </c>
      <c r="F21" s="18"/>
      <c r="G21" s="19"/>
    </row>
    <row r="23" spans="1:7" ht="19.5" customHeight="1" x14ac:dyDescent="0.3">
      <c r="A23" s="29" t="s">
        <v>27</v>
      </c>
      <c r="B23" s="78" t="s">
        <v>28</v>
      </c>
      <c r="C23" s="78"/>
      <c r="D23" s="78"/>
      <c r="E23" s="78"/>
      <c r="F23" s="78"/>
    </row>
    <row r="24" spans="1:7" x14ac:dyDescent="0.3">
      <c r="B24" s="31" t="s">
        <v>29</v>
      </c>
      <c r="C24" s="32">
        <v>9000000</v>
      </c>
    </row>
    <row r="25" spans="1:7" ht="28" x14ac:dyDescent="0.3">
      <c r="B25" s="31" t="s">
        <v>30</v>
      </c>
      <c r="C25" s="33">
        <v>5000000</v>
      </c>
    </row>
    <row r="26" spans="1:7" x14ac:dyDescent="0.3">
      <c r="B26" s="34" t="s">
        <v>31</v>
      </c>
      <c r="C26" s="35">
        <f>C24+C25</f>
        <v>14000000</v>
      </c>
    </row>
  </sheetData>
  <mergeCells count="13">
    <mergeCell ref="A21:B21"/>
    <mergeCell ref="B23:F23"/>
    <mergeCell ref="G6:G8"/>
    <mergeCell ref="A1:F1"/>
    <mergeCell ref="A2:F2"/>
    <mergeCell ref="A3:F3"/>
    <mergeCell ref="B5:F5"/>
    <mergeCell ref="A6:A8"/>
    <mergeCell ref="B6:B8"/>
    <mergeCell ref="C6:E6"/>
    <mergeCell ref="F6:F8"/>
    <mergeCell ref="C7:D7"/>
    <mergeCell ref="E7:E8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D1A2-01B3-48D1-9793-736BC000B36C}">
  <sheetPr>
    <tabColor theme="1"/>
  </sheetPr>
  <dimension ref="A1:J26"/>
  <sheetViews>
    <sheetView view="pageBreakPreview" zoomScale="85" zoomScaleNormal="85" zoomScaleSheetLayoutView="85" workbookViewId="0">
      <selection activeCell="C22" sqref="C2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256" width="9.1796875" style="2"/>
    <col min="257" max="257" width="18.54296875" style="2" customWidth="1"/>
    <col min="258" max="258" width="16.54296875" style="2" customWidth="1"/>
    <col min="259" max="259" width="10.7265625" style="2" customWidth="1"/>
    <col min="260" max="260" width="10" style="2" bestFit="1" customWidth="1"/>
    <col min="261" max="261" width="11.453125" style="2" customWidth="1"/>
    <col min="262" max="262" width="13.54296875" style="2" customWidth="1"/>
    <col min="263" max="263" width="21.54296875" style="2" customWidth="1"/>
    <col min="264" max="264" width="16.54296875" style="2" customWidth="1"/>
    <col min="265" max="265" width="9.1796875" style="2"/>
    <col min="266" max="266" width="11.81640625" style="2" bestFit="1" customWidth="1"/>
    <col min="267" max="512" width="9.1796875" style="2"/>
    <col min="513" max="513" width="18.54296875" style="2" customWidth="1"/>
    <col min="514" max="514" width="16.54296875" style="2" customWidth="1"/>
    <col min="515" max="515" width="10.7265625" style="2" customWidth="1"/>
    <col min="516" max="516" width="10" style="2" bestFit="1" customWidth="1"/>
    <col min="517" max="517" width="11.453125" style="2" customWidth="1"/>
    <col min="518" max="518" width="13.54296875" style="2" customWidth="1"/>
    <col min="519" max="519" width="21.54296875" style="2" customWidth="1"/>
    <col min="520" max="520" width="16.54296875" style="2" customWidth="1"/>
    <col min="521" max="521" width="9.1796875" style="2"/>
    <col min="522" max="522" width="11.81640625" style="2" bestFit="1" customWidth="1"/>
    <col min="523" max="768" width="9.1796875" style="2"/>
    <col min="769" max="769" width="18.54296875" style="2" customWidth="1"/>
    <col min="770" max="770" width="16.54296875" style="2" customWidth="1"/>
    <col min="771" max="771" width="10.7265625" style="2" customWidth="1"/>
    <col min="772" max="772" width="10" style="2" bestFit="1" customWidth="1"/>
    <col min="773" max="773" width="11.453125" style="2" customWidth="1"/>
    <col min="774" max="774" width="13.54296875" style="2" customWidth="1"/>
    <col min="775" max="775" width="21.54296875" style="2" customWidth="1"/>
    <col min="776" max="776" width="16.54296875" style="2" customWidth="1"/>
    <col min="777" max="777" width="9.1796875" style="2"/>
    <col min="778" max="778" width="11.81640625" style="2" bestFit="1" customWidth="1"/>
    <col min="779" max="1024" width="9.1796875" style="2"/>
    <col min="1025" max="1025" width="18.54296875" style="2" customWidth="1"/>
    <col min="1026" max="1026" width="16.54296875" style="2" customWidth="1"/>
    <col min="1027" max="1027" width="10.7265625" style="2" customWidth="1"/>
    <col min="1028" max="1028" width="10" style="2" bestFit="1" customWidth="1"/>
    <col min="1029" max="1029" width="11.453125" style="2" customWidth="1"/>
    <col min="1030" max="1030" width="13.54296875" style="2" customWidth="1"/>
    <col min="1031" max="1031" width="21.54296875" style="2" customWidth="1"/>
    <col min="1032" max="1032" width="16.54296875" style="2" customWidth="1"/>
    <col min="1033" max="1033" width="9.1796875" style="2"/>
    <col min="1034" max="1034" width="11.81640625" style="2" bestFit="1" customWidth="1"/>
    <col min="1035" max="1280" width="9.1796875" style="2"/>
    <col min="1281" max="1281" width="18.54296875" style="2" customWidth="1"/>
    <col min="1282" max="1282" width="16.54296875" style="2" customWidth="1"/>
    <col min="1283" max="1283" width="10.7265625" style="2" customWidth="1"/>
    <col min="1284" max="1284" width="10" style="2" bestFit="1" customWidth="1"/>
    <col min="1285" max="1285" width="11.453125" style="2" customWidth="1"/>
    <col min="1286" max="1286" width="13.54296875" style="2" customWidth="1"/>
    <col min="1287" max="1287" width="21.54296875" style="2" customWidth="1"/>
    <col min="1288" max="1288" width="16.54296875" style="2" customWidth="1"/>
    <col min="1289" max="1289" width="9.1796875" style="2"/>
    <col min="1290" max="1290" width="11.81640625" style="2" bestFit="1" customWidth="1"/>
    <col min="1291" max="1536" width="9.1796875" style="2"/>
    <col min="1537" max="1537" width="18.54296875" style="2" customWidth="1"/>
    <col min="1538" max="1538" width="16.54296875" style="2" customWidth="1"/>
    <col min="1539" max="1539" width="10.7265625" style="2" customWidth="1"/>
    <col min="1540" max="1540" width="10" style="2" bestFit="1" customWidth="1"/>
    <col min="1541" max="1541" width="11.453125" style="2" customWidth="1"/>
    <col min="1542" max="1542" width="13.54296875" style="2" customWidth="1"/>
    <col min="1543" max="1543" width="21.54296875" style="2" customWidth="1"/>
    <col min="1544" max="1544" width="16.54296875" style="2" customWidth="1"/>
    <col min="1545" max="1545" width="9.1796875" style="2"/>
    <col min="1546" max="1546" width="11.81640625" style="2" bestFit="1" customWidth="1"/>
    <col min="1547" max="1792" width="9.1796875" style="2"/>
    <col min="1793" max="1793" width="18.54296875" style="2" customWidth="1"/>
    <col min="1794" max="1794" width="16.54296875" style="2" customWidth="1"/>
    <col min="1795" max="1795" width="10.7265625" style="2" customWidth="1"/>
    <col min="1796" max="1796" width="10" style="2" bestFit="1" customWidth="1"/>
    <col min="1797" max="1797" width="11.453125" style="2" customWidth="1"/>
    <col min="1798" max="1798" width="13.54296875" style="2" customWidth="1"/>
    <col min="1799" max="1799" width="21.54296875" style="2" customWidth="1"/>
    <col min="1800" max="1800" width="16.54296875" style="2" customWidth="1"/>
    <col min="1801" max="1801" width="9.1796875" style="2"/>
    <col min="1802" max="1802" width="11.81640625" style="2" bestFit="1" customWidth="1"/>
    <col min="1803" max="2048" width="9.1796875" style="2"/>
    <col min="2049" max="2049" width="18.54296875" style="2" customWidth="1"/>
    <col min="2050" max="2050" width="16.54296875" style="2" customWidth="1"/>
    <col min="2051" max="2051" width="10.7265625" style="2" customWidth="1"/>
    <col min="2052" max="2052" width="10" style="2" bestFit="1" customWidth="1"/>
    <col min="2053" max="2053" width="11.453125" style="2" customWidth="1"/>
    <col min="2054" max="2054" width="13.54296875" style="2" customWidth="1"/>
    <col min="2055" max="2055" width="21.54296875" style="2" customWidth="1"/>
    <col min="2056" max="2056" width="16.54296875" style="2" customWidth="1"/>
    <col min="2057" max="2057" width="9.1796875" style="2"/>
    <col min="2058" max="2058" width="11.81640625" style="2" bestFit="1" customWidth="1"/>
    <col min="2059" max="2304" width="9.1796875" style="2"/>
    <col min="2305" max="2305" width="18.54296875" style="2" customWidth="1"/>
    <col min="2306" max="2306" width="16.54296875" style="2" customWidth="1"/>
    <col min="2307" max="2307" width="10.7265625" style="2" customWidth="1"/>
    <col min="2308" max="2308" width="10" style="2" bestFit="1" customWidth="1"/>
    <col min="2309" max="2309" width="11.453125" style="2" customWidth="1"/>
    <col min="2310" max="2310" width="13.54296875" style="2" customWidth="1"/>
    <col min="2311" max="2311" width="21.54296875" style="2" customWidth="1"/>
    <col min="2312" max="2312" width="16.54296875" style="2" customWidth="1"/>
    <col min="2313" max="2313" width="9.1796875" style="2"/>
    <col min="2314" max="2314" width="11.81640625" style="2" bestFit="1" customWidth="1"/>
    <col min="2315" max="2560" width="9.1796875" style="2"/>
    <col min="2561" max="2561" width="18.54296875" style="2" customWidth="1"/>
    <col min="2562" max="2562" width="16.54296875" style="2" customWidth="1"/>
    <col min="2563" max="2563" width="10.7265625" style="2" customWidth="1"/>
    <col min="2564" max="2564" width="10" style="2" bestFit="1" customWidth="1"/>
    <col min="2565" max="2565" width="11.453125" style="2" customWidth="1"/>
    <col min="2566" max="2566" width="13.54296875" style="2" customWidth="1"/>
    <col min="2567" max="2567" width="21.54296875" style="2" customWidth="1"/>
    <col min="2568" max="2568" width="16.54296875" style="2" customWidth="1"/>
    <col min="2569" max="2569" width="9.1796875" style="2"/>
    <col min="2570" max="2570" width="11.81640625" style="2" bestFit="1" customWidth="1"/>
    <col min="2571" max="2816" width="9.1796875" style="2"/>
    <col min="2817" max="2817" width="18.54296875" style="2" customWidth="1"/>
    <col min="2818" max="2818" width="16.54296875" style="2" customWidth="1"/>
    <col min="2819" max="2819" width="10.7265625" style="2" customWidth="1"/>
    <col min="2820" max="2820" width="10" style="2" bestFit="1" customWidth="1"/>
    <col min="2821" max="2821" width="11.453125" style="2" customWidth="1"/>
    <col min="2822" max="2822" width="13.54296875" style="2" customWidth="1"/>
    <col min="2823" max="2823" width="21.54296875" style="2" customWidth="1"/>
    <col min="2824" max="2824" width="16.54296875" style="2" customWidth="1"/>
    <col min="2825" max="2825" width="9.1796875" style="2"/>
    <col min="2826" max="2826" width="11.81640625" style="2" bestFit="1" customWidth="1"/>
    <col min="2827" max="3072" width="9.1796875" style="2"/>
    <col min="3073" max="3073" width="18.54296875" style="2" customWidth="1"/>
    <col min="3074" max="3074" width="16.54296875" style="2" customWidth="1"/>
    <col min="3075" max="3075" width="10.7265625" style="2" customWidth="1"/>
    <col min="3076" max="3076" width="10" style="2" bestFit="1" customWidth="1"/>
    <col min="3077" max="3077" width="11.453125" style="2" customWidth="1"/>
    <col min="3078" max="3078" width="13.54296875" style="2" customWidth="1"/>
    <col min="3079" max="3079" width="21.54296875" style="2" customWidth="1"/>
    <col min="3080" max="3080" width="16.54296875" style="2" customWidth="1"/>
    <col min="3081" max="3081" width="9.1796875" style="2"/>
    <col min="3082" max="3082" width="11.81640625" style="2" bestFit="1" customWidth="1"/>
    <col min="3083" max="3328" width="9.1796875" style="2"/>
    <col min="3329" max="3329" width="18.54296875" style="2" customWidth="1"/>
    <col min="3330" max="3330" width="16.54296875" style="2" customWidth="1"/>
    <col min="3331" max="3331" width="10.7265625" style="2" customWidth="1"/>
    <col min="3332" max="3332" width="10" style="2" bestFit="1" customWidth="1"/>
    <col min="3333" max="3333" width="11.453125" style="2" customWidth="1"/>
    <col min="3334" max="3334" width="13.54296875" style="2" customWidth="1"/>
    <col min="3335" max="3335" width="21.54296875" style="2" customWidth="1"/>
    <col min="3336" max="3336" width="16.54296875" style="2" customWidth="1"/>
    <col min="3337" max="3337" width="9.1796875" style="2"/>
    <col min="3338" max="3338" width="11.81640625" style="2" bestFit="1" customWidth="1"/>
    <col min="3339" max="3584" width="9.1796875" style="2"/>
    <col min="3585" max="3585" width="18.54296875" style="2" customWidth="1"/>
    <col min="3586" max="3586" width="16.54296875" style="2" customWidth="1"/>
    <col min="3587" max="3587" width="10.7265625" style="2" customWidth="1"/>
    <col min="3588" max="3588" width="10" style="2" bestFit="1" customWidth="1"/>
    <col min="3589" max="3589" width="11.453125" style="2" customWidth="1"/>
    <col min="3590" max="3590" width="13.54296875" style="2" customWidth="1"/>
    <col min="3591" max="3591" width="21.54296875" style="2" customWidth="1"/>
    <col min="3592" max="3592" width="16.54296875" style="2" customWidth="1"/>
    <col min="3593" max="3593" width="9.1796875" style="2"/>
    <col min="3594" max="3594" width="11.81640625" style="2" bestFit="1" customWidth="1"/>
    <col min="3595" max="3840" width="9.1796875" style="2"/>
    <col min="3841" max="3841" width="18.54296875" style="2" customWidth="1"/>
    <col min="3842" max="3842" width="16.54296875" style="2" customWidth="1"/>
    <col min="3843" max="3843" width="10.7265625" style="2" customWidth="1"/>
    <col min="3844" max="3844" width="10" style="2" bestFit="1" customWidth="1"/>
    <col min="3845" max="3845" width="11.453125" style="2" customWidth="1"/>
    <col min="3846" max="3846" width="13.54296875" style="2" customWidth="1"/>
    <col min="3847" max="3847" width="21.54296875" style="2" customWidth="1"/>
    <col min="3848" max="3848" width="16.54296875" style="2" customWidth="1"/>
    <col min="3849" max="3849" width="9.1796875" style="2"/>
    <col min="3850" max="3850" width="11.81640625" style="2" bestFit="1" customWidth="1"/>
    <col min="3851" max="4096" width="9.1796875" style="2"/>
    <col min="4097" max="4097" width="18.54296875" style="2" customWidth="1"/>
    <col min="4098" max="4098" width="16.54296875" style="2" customWidth="1"/>
    <col min="4099" max="4099" width="10.7265625" style="2" customWidth="1"/>
    <col min="4100" max="4100" width="10" style="2" bestFit="1" customWidth="1"/>
    <col min="4101" max="4101" width="11.453125" style="2" customWidth="1"/>
    <col min="4102" max="4102" width="13.54296875" style="2" customWidth="1"/>
    <col min="4103" max="4103" width="21.54296875" style="2" customWidth="1"/>
    <col min="4104" max="4104" width="16.54296875" style="2" customWidth="1"/>
    <col min="4105" max="4105" width="9.1796875" style="2"/>
    <col min="4106" max="4106" width="11.81640625" style="2" bestFit="1" customWidth="1"/>
    <col min="4107" max="4352" width="9.1796875" style="2"/>
    <col min="4353" max="4353" width="18.54296875" style="2" customWidth="1"/>
    <col min="4354" max="4354" width="16.54296875" style="2" customWidth="1"/>
    <col min="4355" max="4355" width="10.7265625" style="2" customWidth="1"/>
    <col min="4356" max="4356" width="10" style="2" bestFit="1" customWidth="1"/>
    <col min="4357" max="4357" width="11.453125" style="2" customWidth="1"/>
    <col min="4358" max="4358" width="13.54296875" style="2" customWidth="1"/>
    <col min="4359" max="4359" width="21.54296875" style="2" customWidth="1"/>
    <col min="4360" max="4360" width="16.54296875" style="2" customWidth="1"/>
    <col min="4361" max="4361" width="9.1796875" style="2"/>
    <col min="4362" max="4362" width="11.81640625" style="2" bestFit="1" customWidth="1"/>
    <col min="4363" max="4608" width="9.1796875" style="2"/>
    <col min="4609" max="4609" width="18.54296875" style="2" customWidth="1"/>
    <col min="4610" max="4610" width="16.54296875" style="2" customWidth="1"/>
    <col min="4611" max="4611" width="10.7265625" style="2" customWidth="1"/>
    <col min="4612" max="4612" width="10" style="2" bestFit="1" customWidth="1"/>
    <col min="4613" max="4613" width="11.453125" style="2" customWidth="1"/>
    <col min="4614" max="4614" width="13.54296875" style="2" customWidth="1"/>
    <col min="4615" max="4615" width="21.54296875" style="2" customWidth="1"/>
    <col min="4616" max="4616" width="16.54296875" style="2" customWidth="1"/>
    <col min="4617" max="4617" width="9.1796875" style="2"/>
    <col min="4618" max="4618" width="11.81640625" style="2" bestFit="1" customWidth="1"/>
    <col min="4619" max="4864" width="9.1796875" style="2"/>
    <col min="4865" max="4865" width="18.54296875" style="2" customWidth="1"/>
    <col min="4866" max="4866" width="16.54296875" style="2" customWidth="1"/>
    <col min="4867" max="4867" width="10.7265625" style="2" customWidth="1"/>
    <col min="4868" max="4868" width="10" style="2" bestFit="1" customWidth="1"/>
    <col min="4869" max="4869" width="11.453125" style="2" customWidth="1"/>
    <col min="4870" max="4870" width="13.54296875" style="2" customWidth="1"/>
    <col min="4871" max="4871" width="21.54296875" style="2" customWidth="1"/>
    <col min="4872" max="4872" width="16.54296875" style="2" customWidth="1"/>
    <col min="4873" max="4873" width="9.1796875" style="2"/>
    <col min="4874" max="4874" width="11.81640625" style="2" bestFit="1" customWidth="1"/>
    <col min="4875" max="5120" width="9.1796875" style="2"/>
    <col min="5121" max="5121" width="18.54296875" style="2" customWidth="1"/>
    <col min="5122" max="5122" width="16.54296875" style="2" customWidth="1"/>
    <col min="5123" max="5123" width="10.7265625" style="2" customWidth="1"/>
    <col min="5124" max="5124" width="10" style="2" bestFit="1" customWidth="1"/>
    <col min="5125" max="5125" width="11.453125" style="2" customWidth="1"/>
    <col min="5126" max="5126" width="13.54296875" style="2" customWidth="1"/>
    <col min="5127" max="5127" width="21.54296875" style="2" customWidth="1"/>
    <col min="5128" max="5128" width="16.54296875" style="2" customWidth="1"/>
    <col min="5129" max="5129" width="9.1796875" style="2"/>
    <col min="5130" max="5130" width="11.81640625" style="2" bestFit="1" customWidth="1"/>
    <col min="5131" max="5376" width="9.1796875" style="2"/>
    <col min="5377" max="5377" width="18.54296875" style="2" customWidth="1"/>
    <col min="5378" max="5378" width="16.54296875" style="2" customWidth="1"/>
    <col min="5379" max="5379" width="10.7265625" style="2" customWidth="1"/>
    <col min="5380" max="5380" width="10" style="2" bestFit="1" customWidth="1"/>
    <col min="5381" max="5381" width="11.453125" style="2" customWidth="1"/>
    <col min="5382" max="5382" width="13.54296875" style="2" customWidth="1"/>
    <col min="5383" max="5383" width="21.54296875" style="2" customWidth="1"/>
    <col min="5384" max="5384" width="16.54296875" style="2" customWidth="1"/>
    <col min="5385" max="5385" width="9.1796875" style="2"/>
    <col min="5386" max="5386" width="11.81640625" style="2" bestFit="1" customWidth="1"/>
    <col min="5387" max="5632" width="9.1796875" style="2"/>
    <col min="5633" max="5633" width="18.54296875" style="2" customWidth="1"/>
    <col min="5634" max="5634" width="16.54296875" style="2" customWidth="1"/>
    <col min="5635" max="5635" width="10.7265625" style="2" customWidth="1"/>
    <col min="5636" max="5636" width="10" style="2" bestFit="1" customWidth="1"/>
    <col min="5637" max="5637" width="11.453125" style="2" customWidth="1"/>
    <col min="5638" max="5638" width="13.54296875" style="2" customWidth="1"/>
    <col min="5639" max="5639" width="21.54296875" style="2" customWidth="1"/>
    <col min="5640" max="5640" width="16.54296875" style="2" customWidth="1"/>
    <col min="5641" max="5641" width="9.1796875" style="2"/>
    <col min="5642" max="5642" width="11.81640625" style="2" bestFit="1" customWidth="1"/>
    <col min="5643" max="5888" width="9.1796875" style="2"/>
    <col min="5889" max="5889" width="18.54296875" style="2" customWidth="1"/>
    <col min="5890" max="5890" width="16.54296875" style="2" customWidth="1"/>
    <col min="5891" max="5891" width="10.7265625" style="2" customWidth="1"/>
    <col min="5892" max="5892" width="10" style="2" bestFit="1" customWidth="1"/>
    <col min="5893" max="5893" width="11.453125" style="2" customWidth="1"/>
    <col min="5894" max="5894" width="13.54296875" style="2" customWidth="1"/>
    <col min="5895" max="5895" width="21.54296875" style="2" customWidth="1"/>
    <col min="5896" max="5896" width="16.54296875" style="2" customWidth="1"/>
    <col min="5897" max="5897" width="9.1796875" style="2"/>
    <col min="5898" max="5898" width="11.81640625" style="2" bestFit="1" customWidth="1"/>
    <col min="5899" max="6144" width="9.1796875" style="2"/>
    <col min="6145" max="6145" width="18.54296875" style="2" customWidth="1"/>
    <col min="6146" max="6146" width="16.54296875" style="2" customWidth="1"/>
    <col min="6147" max="6147" width="10.7265625" style="2" customWidth="1"/>
    <col min="6148" max="6148" width="10" style="2" bestFit="1" customWidth="1"/>
    <col min="6149" max="6149" width="11.453125" style="2" customWidth="1"/>
    <col min="6150" max="6150" width="13.54296875" style="2" customWidth="1"/>
    <col min="6151" max="6151" width="21.54296875" style="2" customWidth="1"/>
    <col min="6152" max="6152" width="16.54296875" style="2" customWidth="1"/>
    <col min="6153" max="6153" width="9.1796875" style="2"/>
    <col min="6154" max="6154" width="11.81640625" style="2" bestFit="1" customWidth="1"/>
    <col min="6155" max="6400" width="9.1796875" style="2"/>
    <col min="6401" max="6401" width="18.54296875" style="2" customWidth="1"/>
    <col min="6402" max="6402" width="16.54296875" style="2" customWidth="1"/>
    <col min="6403" max="6403" width="10.7265625" style="2" customWidth="1"/>
    <col min="6404" max="6404" width="10" style="2" bestFit="1" customWidth="1"/>
    <col min="6405" max="6405" width="11.453125" style="2" customWidth="1"/>
    <col min="6406" max="6406" width="13.54296875" style="2" customWidth="1"/>
    <col min="6407" max="6407" width="21.54296875" style="2" customWidth="1"/>
    <col min="6408" max="6408" width="16.54296875" style="2" customWidth="1"/>
    <col min="6409" max="6409" width="9.1796875" style="2"/>
    <col min="6410" max="6410" width="11.81640625" style="2" bestFit="1" customWidth="1"/>
    <col min="6411" max="6656" width="9.1796875" style="2"/>
    <col min="6657" max="6657" width="18.54296875" style="2" customWidth="1"/>
    <col min="6658" max="6658" width="16.54296875" style="2" customWidth="1"/>
    <col min="6659" max="6659" width="10.7265625" style="2" customWidth="1"/>
    <col min="6660" max="6660" width="10" style="2" bestFit="1" customWidth="1"/>
    <col min="6661" max="6661" width="11.453125" style="2" customWidth="1"/>
    <col min="6662" max="6662" width="13.54296875" style="2" customWidth="1"/>
    <col min="6663" max="6663" width="21.54296875" style="2" customWidth="1"/>
    <col min="6664" max="6664" width="16.54296875" style="2" customWidth="1"/>
    <col min="6665" max="6665" width="9.1796875" style="2"/>
    <col min="6666" max="6666" width="11.81640625" style="2" bestFit="1" customWidth="1"/>
    <col min="6667" max="6912" width="9.1796875" style="2"/>
    <col min="6913" max="6913" width="18.54296875" style="2" customWidth="1"/>
    <col min="6914" max="6914" width="16.54296875" style="2" customWidth="1"/>
    <col min="6915" max="6915" width="10.7265625" style="2" customWidth="1"/>
    <col min="6916" max="6916" width="10" style="2" bestFit="1" customWidth="1"/>
    <col min="6917" max="6917" width="11.453125" style="2" customWidth="1"/>
    <col min="6918" max="6918" width="13.54296875" style="2" customWidth="1"/>
    <col min="6919" max="6919" width="21.54296875" style="2" customWidth="1"/>
    <col min="6920" max="6920" width="16.54296875" style="2" customWidth="1"/>
    <col min="6921" max="6921" width="9.1796875" style="2"/>
    <col min="6922" max="6922" width="11.81640625" style="2" bestFit="1" customWidth="1"/>
    <col min="6923" max="7168" width="9.1796875" style="2"/>
    <col min="7169" max="7169" width="18.54296875" style="2" customWidth="1"/>
    <col min="7170" max="7170" width="16.54296875" style="2" customWidth="1"/>
    <col min="7171" max="7171" width="10.7265625" style="2" customWidth="1"/>
    <col min="7172" max="7172" width="10" style="2" bestFit="1" customWidth="1"/>
    <col min="7173" max="7173" width="11.453125" style="2" customWidth="1"/>
    <col min="7174" max="7174" width="13.54296875" style="2" customWidth="1"/>
    <col min="7175" max="7175" width="21.54296875" style="2" customWidth="1"/>
    <col min="7176" max="7176" width="16.54296875" style="2" customWidth="1"/>
    <col min="7177" max="7177" width="9.1796875" style="2"/>
    <col min="7178" max="7178" width="11.81640625" style="2" bestFit="1" customWidth="1"/>
    <col min="7179" max="7424" width="9.1796875" style="2"/>
    <col min="7425" max="7425" width="18.54296875" style="2" customWidth="1"/>
    <col min="7426" max="7426" width="16.54296875" style="2" customWidth="1"/>
    <col min="7427" max="7427" width="10.7265625" style="2" customWidth="1"/>
    <col min="7428" max="7428" width="10" style="2" bestFit="1" customWidth="1"/>
    <col min="7429" max="7429" width="11.453125" style="2" customWidth="1"/>
    <col min="7430" max="7430" width="13.54296875" style="2" customWidth="1"/>
    <col min="7431" max="7431" width="21.54296875" style="2" customWidth="1"/>
    <col min="7432" max="7432" width="16.54296875" style="2" customWidth="1"/>
    <col min="7433" max="7433" width="9.1796875" style="2"/>
    <col min="7434" max="7434" width="11.81640625" style="2" bestFit="1" customWidth="1"/>
    <col min="7435" max="7680" width="9.1796875" style="2"/>
    <col min="7681" max="7681" width="18.54296875" style="2" customWidth="1"/>
    <col min="7682" max="7682" width="16.54296875" style="2" customWidth="1"/>
    <col min="7683" max="7683" width="10.7265625" style="2" customWidth="1"/>
    <col min="7684" max="7684" width="10" style="2" bestFit="1" customWidth="1"/>
    <col min="7685" max="7685" width="11.453125" style="2" customWidth="1"/>
    <col min="7686" max="7686" width="13.54296875" style="2" customWidth="1"/>
    <col min="7687" max="7687" width="21.54296875" style="2" customWidth="1"/>
    <col min="7688" max="7688" width="16.54296875" style="2" customWidth="1"/>
    <col min="7689" max="7689" width="9.1796875" style="2"/>
    <col min="7690" max="7690" width="11.81640625" style="2" bestFit="1" customWidth="1"/>
    <col min="7691" max="7936" width="9.1796875" style="2"/>
    <col min="7937" max="7937" width="18.54296875" style="2" customWidth="1"/>
    <col min="7938" max="7938" width="16.54296875" style="2" customWidth="1"/>
    <col min="7939" max="7939" width="10.7265625" style="2" customWidth="1"/>
    <col min="7940" max="7940" width="10" style="2" bestFit="1" customWidth="1"/>
    <col min="7941" max="7941" width="11.453125" style="2" customWidth="1"/>
    <col min="7942" max="7942" width="13.54296875" style="2" customWidth="1"/>
    <col min="7943" max="7943" width="21.54296875" style="2" customWidth="1"/>
    <col min="7944" max="7944" width="16.54296875" style="2" customWidth="1"/>
    <col min="7945" max="7945" width="9.1796875" style="2"/>
    <col min="7946" max="7946" width="11.81640625" style="2" bestFit="1" customWidth="1"/>
    <col min="7947" max="8192" width="9.1796875" style="2"/>
    <col min="8193" max="8193" width="18.54296875" style="2" customWidth="1"/>
    <col min="8194" max="8194" width="16.54296875" style="2" customWidth="1"/>
    <col min="8195" max="8195" width="10.7265625" style="2" customWidth="1"/>
    <col min="8196" max="8196" width="10" style="2" bestFit="1" customWidth="1"/>
    <col min="8197" max="8197" width="11.453125" style="2" customWidth="1"/>
    <col min="8198" max="8198" width="13.54296875" style="2" customWidth="1"/>
    <col min="8199" max="8199" width="21.54296875" style="2" customWidth="1"/>
    <col min="8200" max="8200" width="16.54296875" style="2" customWidth="1"/>
    <col min="8201" max="8201" width="9.1796875" style="2"/>
    <col min="8202" max="8202" width="11.81640625" style="2" bestFit="1" customWidth="1"/>
    <col min="8203" max="8448" width="9.1796875" style="2"/>
    <col min="8449" max="8449" width="18.54296875" style="2" customWidth="1"/>
    <col min="8450" max="8450" width="16.54296875" style="2" customWidth="1"/>
    <col min="8451" max="8451" width="10.7265625" style="2" customWidth="1"/>
    <col min="8452" max="8452" width="10" style="2" bestFit="1" customWidth="1"/>
    <col min="8453" max="8453" width="11.453125" style="2" customWidth="1"/>
    <col min="8454" max="8454" width="13.54296875" style="2" customWidth="1"/>
    <col min="8455" max="8455" width="21.54296875" style="2" customWidth="1"/>
    <col min="8456" max="8456" width="16.54296875" style="2" customWidth="1"/>
    <col min="8457" max="8457" width="9.1796875" style="2"/>
    <col min="8458" max="8458" width="11.81640625" style="2" bestFit="1" customWidth="1"/>
    <col min="8459" max="8704" width="9.1796875" style="2"/>
    <col min="8705" max="8705" width="18.54296875" style="2" customWidth="1"/>
    <col min="8706" max="8706" width="16.54296875" style="2" customWidth="1"/>
    <col min="8707" max="8707" width="10.7265625" style="2" customWidth="1"/>
    <col min="8708" max="8708" width="10" style="2" bestFit="1" customWidth="1"/>
    <col min="8709" max="8709" width="11.453125" style="2" customWidth="1"/>
    <col min="8710" max="8710" width="13.54296875" style="2" customWidth="1"/>
    <col min="8711" max="8711" width="21.54296875" style="2" customWidth="1"/>
    <col min="8712" max="8712" width="16.54296875" style="2" customWidth="1"/>
    <col min="8713" max="8713" width="9.1796875" style="2"/>
    <col min="8714" max="8714" width="11.81640625" style="2" bestFit="1" customWidth="1"/>
    <col min="8715" max="8960" width="9.1796875" style="2"/>
    <col min="8961" max="8961" width="18.54296875" style="2" customWidth="1"/>
    <col min="8962" max="8962" width="16.54296875" style="2" customWidth="1"/>
    <col min="8963" max="8963" width="10.7265625" style="2" customWidth="1"/>
    <col min="8964" max="8964" width="10" style="2" bestFit="1" customWidth="1"/>
    <col min="8965" max="8965" width="11.453125" style="2" customWidth="1"/>
    <col min="8966" max="8966" width="13.54296875" style="2" customWidth="1"/>
    <col min="8967" max="8967" width="21.54296875" style="2" customWidth="1"/>
    <col min="8968" max="8968" width="16.54296875" style="2" customWidth="1"/>
    <col min="8969" max="8969" width="9.1796875" style="2"/>
    <col min="8970" max="8970" width="11.81640625" style="2" bestFit="1" customWidth="1"/>
    <col min="8971" max="9216" width="9.1796875" style="2"/>
    <col min="9217" max="9217" width="18.54296875" style="2" customWidth="1"/>
    <col min="9218" max="9218" width="16.54296875" style="2" customWidth="1"/>
    <col min="9219" max="9219" width="10.7265625" style="2" customWidth="1"/>
    <col min="9220" max="9220" width="10" style="2" bestFit="1" customWidth="1"/>
    <col min="9221" max="9221" width="11.453125" style="2" customWidth="1"/>
    <col min="9222" max="9222" width="13.54296875" style="2" customWidth="1"/>
    <col min="9223" max="9223" width="21.54296875" style="2" customWidth="1"/>
    <col min="9224" max="9224" width="16.54296875" style="2" customWidth="1"/>
    <col min="9225" max="9225" width="9.1796875" style="2"/>
    <col min="9226" max="9226" width="11.81640625" style="2" bestFit="1" customWidth="1"/>
    <col min="9227" max="9472" width="9.1796875" style="2"/>
    <col min="9473" max="9473" width="18.54296875" style="2" customWidth="1"/>
    <col min="9474" max="9474" width="16.54296875" style="2" customWidth="1"/>
    <col min="9475" max="9475" width="10.7265625" style="2" customWidth="1"/>
    <col min="9476" max="9476" width="10" style="2" bestFit="1" customWidth="1"/>
    <col min="9477" max="9477" width="11.453125" style="2" customWidth="1"/>
    <col min="9478" max="9478" width="13.54296875" style="2" customWidth="1"/>
    <col min="9479" max="9479" width="21.54296875" style="2" customWidth="1"/>
    <col min="9480" max="9480" width="16.54296875" style="2" customWidth="1"/>
    <col min="9481" max="9481" width="9.1796875" style="2"/>
    <col min="9482" max="9482" width="11.81640625" style="2" bestFit="1" customWidth="1"/>
    <col min="9483" max="9728" width="9.1796875" style="2"/>
    <col min="9729" max="9729" width="18.54296875" style="2" customWidth="1"/>
    <col min="9730" max="9730" width="16.54296875" style="2" customWidth="1"/>
    <col min="9731" max="9731" width="10.7265625" style="2" customWidth="1"/>
    <col min="9732" max="9732" width="10" style="2" bestFit="1" customWidth="1"/>
    <col min="9733" max="9733" width="11.453125" style="2" customWidth="1"/>
    <col min="9734" max="9734" width="13.54296875" style="2" customWidth="1"/>
    <col min="9735" max="9735" width="21.54296875" style="2" customWidth="1"/>
    <col min="9736" max="9736" width="16.54296875" style="2" customWidth="1"/>
    <col min="9737" max="9737" width="9.1796875" style="2"/>
    <col min="9738" max="9738" width="11.81640625" style="2" bestFit="1" customWidth="1"/>
    <col min="9739" max="9984" width="9.1796875" style="2"/>
    <col min="9985" max="9985" width="18.54296875" style="2" customWidth="1"/>
    <col min="9986" max="9986" width="16.54296875" style="2" customWidth="1"/>
    <col min="9987" max="9987" width="10.7265625" style="2" customWidth="1"/>
    <col min="9988" max="9988" width="10" style="2" bestFit="1" customWidth="1"/>
    <col min="9989" max="9989" width="11.453125" style="2" customWidth="1"/>
    <col min="9990" max="9990" width="13.54296875" style="2" customWidth="1"/>
    <col min="9991" max="9991" width="21.54296875" style="2" customWidth="1"/>
    <col min="9992" max="9992" width="16.54296875" style="2" customWidth="1"/>
    <col min="9993" max="9993" width="9.1796875" style="2"/>
    <col min="9994" max="9994" width="11.81640625" style="2" bestFit="1" customWidth="1"/>
    <col min="9995" max="10240" width="9.1796875" style="2"/>
    <col min="10241" max="10241" width="18.54296875" style="2" customWidth="1"/>
    <col min="10242" max="10242" width="16.54296875" style="2" customWidth="1"/>
    <col min="10243" max="10243" width="10.7265625" style="2" customWidth="1"/>
    <col min="10244" max="10244" width="10" style="2" bestFit="1" customWidth="1"/>
    <col min="10245" max="10245" width="11.453125" style="2" customWidth="1"/>
    <col min="10246" max="10246" width="13.54296875" style="2" customWidth="1"/>
    <col min="10247" max="10247" width="21.54296875" style="2" customWidth="1"/>
    <col min="10248" max="10248" width="16.54296875" style="2" customWidth="1"/>
    <col min="10249" max="10249" width="9.1796875" style="2"/>
    <col min="10250" max="10250" width="11.81640625" style="2" bestFit="1" customWidth="1"/>
    <col min="10251" max="10496" width="9.1796875" style="2"/>
    <col min="10497" max="10497" width="18.54296875" style="2" customWidth="1"/>
    <col min="10498" max="10498" width="16.54296875" style="2" customWidth="1"/>
    <col min="10499" max="10499" width="10.7265625" style="2" customWidth="1"/>
    <col min="10500" max="10500" width="10" style="2" bestFit="1" customWidth="1"/>
    <col min="10501" max="10501" width="11.453125" style="2" customWidth="1"/>
    <col min="10502" max="10502" width="13.54296875" style="2" customWidth="1"/>
    <col min="10503" max="10503" width="21.54296875" style="2" customWidth="1"/>
    <col min="10504" max="10504" width="16.54296875" style="2" customWidth="1"/>
    <col min="10505" max="10505" width="9.1796875" style="2"/>
    <col min="10506" max="10506" width="11.81640625" style="2" bestFit="1" customWidth="1"/>
    <col min="10507" max="10752" width="9.1796875" style="2"/>
    <col min="10753" max="10753" width="18.54296875" style="2" customWidth="1"/>
    <col min="10754" max="10754" width="16.54296875" style="2" customWidth="1"/>
    <col min="10755" max="10755" width="10.7265625" style="2" customWidth="1"/>
    <col min="10756" max="10756" width="10" style="2" bestFit="1" customWidth="1"/>
    <col min="10757" max="10757" width="11.453125" style="2" customWidth="1"/>
    <col min="10758" max="10758" width="13.54296875" style="2" customWidth="1"/>
    <col min="10759" max="10759" width="21.54296875" style="2" customWidth="1"/>
    <col min="10760" max="10760" width="16.54296875" style="2" customWidth="1"/>
    <col min="10761" max="10761" width="9.1796875" style="2"/>
    <col min="10762" max="10762" width="11.81640625" style="2" bestFit="1" customWidth="1"/>
    <col min="10763" max="11008" width="9.1796875" style="2"/>
    <col min="11009" max="11009" width="18.54296875" style="2" customWidth="1"/>
    <col min="11010" max="11010" width="16.54296875" style="2" customWidth="1"/>
    <col min="11011" max="11011" width="10.7265625" style="2" customWidth="1"/>
    <col min="11012" max="11012" width="10" style="2" bestFit="1" customWidth="1"/>
    <col min="11013" max="11013" width="11.453125" style="2" customWidth="1"/>
    <col min="11014" max="11014" width="13.54296875" style="2" customWidth="1"/>
    <col min="11015" max="11015" width="21.54296875" style="2" customWidth="1"/>
    <col min="11016" max="11016" width="16.54296875" style="2" customWidth="1"/>
    <col min="11017" max="11017" width="9.1796875" style="2"/>
    <col min="11018" max="11018" width="11.81640625" style="2" bestFit="1" customWidth="1"/>
    <col min="11019" max="11264" width="9.1796875" style="2"/>
    <col min="11265" max="11265" width="18.54296875" style="2" customWidth="1"/>
    <col min="11266" max="11266" width="16.54296875" style="2" customWidth="1"/>
    <col min="11267" max="11267" width="10.7265625" style="2" customWidth="1"/>
    <col min="11268" max="11268" width="10" style="2" bestFit="1" customWidth="1"/>
    <col min="11269" max="11269" width="11.453125" style="2" customWidth="1"/>
    <col min="11270" max="11270" width="13.54296875" style="2" customWidth="1"/>
    <col min="11271" max="11271" width="21.54296875" style="2" customWidth="1"/>
    <col min="11272" max="11272" width="16.54296875" style="2" customWidth="1"/>
    <col min="11273" max="11273" width="9.1796875" style="2"/>
    <col min="11274" max="11274" width="11.81640625" style="2" bestFit="1" customWidth="1"/>
    <col min="11275" max="11520" width="9.1796875" style="2"/>
    <col min="11521" max="11521" width="18.54296875" style="2" customWidth="1"/>
    <col min="11522" max="11522" width="16.54296875" style="2" customWidth="1"/>
    <col min="11523" max="11523" width="10.7265625" style="2" customWidth="1"/>
    <col min="11524" max="11524" width="10" style="2" bestFit="1" customWidth="1"/>
    <col min="11525" max="11525" width="11.453125" style="2" customWidth="1"/>
    <col min="11526" max="11526" width="13.54296875" style="2" customWidth="1"/>
    <col min="11527" max="11527" width="21.54296875" style="2" customWidth="1"/>
    <col min="11528" max="11528" width="16.54296875" style="2" customWidth="1"/>
    <col min="11529" max="11529" width="9.1796875" style="2"/>
    <col min="11530" max="11530" width="11.81640625" style="2" bestFit="1" customWidth="1"/>
    <col min="11531" max="11776" width="9.1796875" style="2"/>
    <col min="11777" max="11777" width="18.54296875" style="2" customWidth="1"/>
    <col min="11778" max="11778" width="16.54296875" style="2" customWidth="1"/>
    <col min="11779" max="11779" width="10.7265625" style="2" customWidth="1"/>
    <col min="11780" max="11780" width="10" style="2" bestFit="1" customWidth="1"/>
    <col min="11781" max="11781" width="11.453125" style="2" customWidth="1"/>
    <col min="11782" max="11782" width="13.54296875" style="2" customWidth="1"/>
    <col min="11783" max="11783" width="21.54296875" style="2" customWidth="1"/>
    <col min="11784" max="11784" width="16.54296875" style="2" customWidth="1"/>
    <col min="11785" max="11785" width="9.1796875" style="2"/>
    <col min="11786" max="11786" width="11.81640625" style="2" bestFit="1" customWidth="1"/>
    <col min="11787" max="12032" width="9.1796875" style="2"/>
    <col min="12033" max="12033" width="18.54296875" style="2" customWidth="1"/>
    <col min="12034" max="12034" width="16.54296875" style="2" customWidth="1"/>
    <col min="12035" max="12035" width="10.7265625" style="2" customWidth="1"/>
    <col min="12036" max="12036" width="10" style="2" bestFit="1" customWidth="1"/>
    <col min="12037" max="12037" width="11.453125" style="2" customWidth="1"/>
    <col min="12038" max="12038" width="13.54296875" style="2" customWidth="1"/>
    <col min="12039" max="12039" width="21.54296875" style="2" customWidth="1"/>
    <col min="12040" max="12040" width="16.54296875" style="2" customWidth="1"/>
    <col min="12041" max="12041" width="9.1796875" style="2"/>
    <col min="12042" max="12042" width="11.81640625" style="2" bestFit="1" customWidth="1"/>
    <col min="12043" max="12288" width="9.1796875" style="2"/>
    <col min="12289" max="12289" width="18.54296875" style="2" customWidth="1"/>
    <col min="12290" max="12290" width="16.54296875" style="2" customWidth="1"/>
    <col min="12291" max="12291" width="10.7265625" style="2" customWidth="1"/>
    <col min="12292" max="12292" width="10" style="2" bestFit="1" customWidth="1"/>
    <col min="12293" max="12293" width="11.453125" style="2" customWidth="1"/>
    <col min="12294" max="12294" width="13.54296875" style="2" customWidth="1"/>
    <col min="12295" max="12295" width="21.54296875" style="2" customWidth="1"/>
    <col min="12296" max="12296" width="16.54296875" style="2" customWidth="1"/>
    <col min="12297" max="12297" width="9.1796875" style="2"/>
    <col min="12298" max="12298" width="11.81640625" style="2" bestFit="1" customWidth="1"/>
    <col min="12299" max="12544" width="9.1796875" style="2"/>
    <col min="12545" max="12545" width="18.54296875" style="2" customWidth="1"/>
    <col min="12546" max="12546" width="16.54296875" style="2" customWidth="1"/>
    <col min="12547" max="12547" width="10.7265625" style="2" customWidth="1"/>
    <col min="12548" max="12548" width="10" style="2" bestFit="1" customWidth="1"/>
    <col min="12549" max="12549" width="11.453125" style="2" customWidth="1"/>
    <col min="12550" max="12550" width="13.54296875" style="2" customWidth="1"/>
    <col min="12551" max="12551" width="21.54296875" style="2" customWidth="1"/>
    <col min="12552" max="12552" width="16.54296875" style="2" customWidth="1"/>
    <col min="12553" max="12553" width="9.1796875" style="2"/>
    <col min="12554" max="12554" width="11.81640625" style="2" bestFit="1" customWidth="1"/>
    <col min="12555" max="12800" width="9.1796875" style="2"/>
    <col min="12801" max="12801" width="18.54296875" style="2" customWidth="1"/>
    <col min="12802" max="12802" width="16.54296875" style="2" customWidth="1"/>
    <col min="12803" max="12803" width="10.7265625" style="2" customWidth="1"/>
    <col min="12804" max="12804" width="10" style="2" bestFit="1" customWidth="1"/>
    <col min="12805" max="12805" width="11.453125" style="2" customWidth="1"/>
    <col min="12806" max="12806" width="13.54296875" style="2" customWidth="1"/>
    <col min="12807" max="12807" width="21.54296875" style="2" customWidth="1"/>
    <col min="12808" max="12808" width="16.54296875" style="2" customWidth="1"/>
    <col min="12809" max="12809" width="9.1796875" style="2"/>
    <col min="12810" max="12810" width="11.81640625" style="2" bestFit="1" customWidth="1"/>
    <col min="12811" max="13056" width="9.1796875" style="2"/>
    <col min="13057" max="13057" width="18.54296875" style="2" customWidth="1"/>
    <col min="13058" max="13058" width="16.54296875" style="2" customWidth="1"/>
    <col min="13059" max="13059" width="10.7265625" style="2" customWidth="1"/>
    <col min="13060" max="13060" width="10" style="2" bestFit="1" customWidth="1"/>
    <col min="13061" max="13061" width="11.453125" style="2" customWidth="1"/>
    <col min="13062" max="13062" width="13.54296875" style="2" customWidth="1"/>
    <col min="13063" max="13063" width="21.54296875" style="2" customWidth="1"/>
    <col min="13064" max="13064" width="16.54296875" style="2" customWidth="1"/>
    <col min="13065" max="13065" width="9.1796875" style="2"/>
    <col min="13066" max="13066" width="11.81640625" style="2" bestFit="1" customWidth="1"/>
    <col min="13067" max="13312" width="9.1796875" style="2"/>
    <col min="13313" max="13313" width="18.54296875" style="2" customWidth="1"/>
    <col min="13314" max="13314" width="16.54296875" style="2" customWidth="1"/>
    <col min="13315" max="13315" width="10.7265625" style="2" customWidth="1"/>
    <col min="13316" max="13316" width="10" style="2" bestFit="1" customWidth="1"/>
    <col min="13317" max="13317" width="11.453125" style="2" customWidth="1"/>
    <col min="13318" max="13318" width="13.54296875" style="2" customWidth="1"/>
    <col min="13319" max="13319" width="21.54296875" style="2" customWidth="1"/>
    <col min="13320" max="13320" width="16.54296875" style="2" customWidth="1"/>
    <col min="13321" max="13321" width="9.1796875" style="2"/>
    <col min="13322" max="13322" width="11.81640625" style="2" bestFit="1" customWidth="1"/>
    <col min="13323" max="13568" width="9.1796875" style="2"/>
    <col min="13569" max="13569" width="18.54296875" style="2" customWidth="1"/>
    <col min="13570" max="13570" width="16.54296875" style="2" customWidth="1"/>
    <col min="13571" max="13571" width="10.7265625" style="2" customWidth="1"/>
    <col min="13572" max="13572" width="10" style="2" bestFit="1" customWidth="1"/>
    <col min="13573" max="13573" width="11.453125" style="2" customWidth="1"/>
    <col min="13574" max="13574" width="13.54296875" style="2" customWidth="1"/>
    <col min="13575" max="13575" width="21.54296875" style="2" customWidth="1"/>
    <col min="13576" max="13576" width="16.54296875" style="2" customWidth="1"/>
    <col min="13577" max="13577" width="9.1796875" style="2"/>
    <col min="13578" max="13578" width="11.81640625" style="2" bestFit="1" customWidth="1"/>
    <col min="13579" max="13824" width="9.1796875" style="2"/>
    <col min="13825" max="13825" width="18.54296875" style="2" customWidth="1"/>
    <col min="13826" max="13826" width="16.54296875" style="2" customWidth="1"/>
    <col min="13827" max="13827" width="10.7265625" style="2" customWidth="1"/>
    <col min="13828" max="13828" width="10" style="2" bestFit="1" customWidth="1"/>
    <col min="13829" max="13829" width="11.453125" style="2" customWidth="1"/>
    <col min="13830" max="13830" width="13.54296875" style="2" customWidth="1"/>
    <col min="13831" max="13831" width="21.54296875" style="2" customWidth="1"/>
    <col min="13832" max="13832" width="16.54296875" style="2" customWidth="1"/>
    <col min="13833" max="13833" width="9.1796875" style="2"/>
    <col min="13834" max="13834" width="11.81640625" style="2" bestFit="1" customWidth="1"/>
    <col min="13835" max="14080" width="9.1796875" style="2"/>
    <col min="14081" max="14081" width="18.54296875" style="2" customWidth="1"/>
    <col min="14082" max="14082" width="16.54296875" style="2" customWidth="1"/>
    <col min="14083" max="14083" width="10.7265625" style="2" customWidth="1"/>
    <col min="14084" max="14084" width="10" style="2" bestFit="1" customWidth="1"/>
    <col min="14085" max="14085" width="11.453125" style="2" customWidth="1"/>
    <col min="14086" max="14086" width="13.54296875" style="2" customWidth="1"/>
    <col min="14087" max="14087" width="21.54296875" style="2" customWidth="1"/>
    <col min="14088" max="14088" width="16.54296875" style="2" customWidth="1"/>
    <col min="14089" max="14089" width="9.1796875" style="2"/>
    <col min="14090" max="14090" width="11.81640625" style="2" bestFit="1" customWidth="1"/>
    <col min="14091" max="14336" width="9.1796875" style="2"/>
    <col min="14337" max="14337" width="18.54296875" style="2" customWidth="1"/>
    <col min="14338" max="14338" width="16.54296875" style="2" customWidth="1"/>
    <col min="14339" max="14339" width="10.7265625" style="2" customWidth="1"/>
    <col min="14340" max="14340" width="10" style="2" bestFit="1" customWidth="1"/>
    <col min="14341" max="14341" width="11.453125" style="2" customWidth="1"/>
    <col min="14342" max="14342" width="13.54296875" style="2" customWidth="1"/>
    <col min="14343" max="14343" width="21.54296875" style="2" customWidth="1"/>
    <col min="14344" max="14344" width="16.54296875" style="2" customWidth="1"/>
    <col min="14345" max="14345" width="9.1796875" style="2"/>
    <col min="14346" max="14346" width="11.81640625" style="2" bestFit="1" customWidth="1"/>
    <col min="14347" max="14592" width="9.1796875" style="2"/>
    <col min="14593" max="14593" width="18.54296875" style="2" customWidth="1"/>
    <col min="14594" max="14594" width="16.54296875" style="2" customWidth="1"/>
    <col min="14595" max="14595" width="10.7265625" style="2" customWidth="1"/>
    <col min="14596" max="14596" width="10" style="2" bestFit="1" customWidth="1"/>
    <col min="14597" max="14597" width="11.453125" style="2" customWidth="1"/>
    <col min="14598" max="14598" width="13.54296875" style="2" customWidth="1"/>
    <col min="14599" max="14599" width="21.54296875" style="2" customWidth="1"/>
    <col min="14600" max="14600" width="16.54296875" style="2" customWidth="1"/>
    <col min="14601" max="14601" width="9.1796875" style="2"/>
    <col min="14602" max="14602" width="11.81640625" style="2" bestFit="1" customWidth="1"/>
    <col min="14603" max="14848" width="9.1796875" style="2"/>
    <col min="14849" max="14849" width="18.54296875" style="2" customWidth="1"/>
    <col min="14850" max="14850" width="16.54296875" style="2" customWidth="1"/>
    <col min="14851" max="14851" width="10.7265625" style="2" customWidth="1"/>
    <col min="14852" max="14852" width="10" style="2" bestFit="1" customWidth="1"/>
    <col min="14853" max="14853" width="11.453125" style="2" customWidth="1"/>
    <col min="14854" max="14854" width="13.54296875" style="2" customWidth="1"/>
    <col min="14855" max="14855" width="21.54296875" style="2" customWidth="1"/>
    <col min="14856" max="14856" width="16.54296875" style="2" customWidth="1"/>
    <col min="14857" max="14857" width="9.1796875" style="2"/>
    <col min="14858" max="14858" width="11.81640625" style="2" bestFit="1" customWidth="1"/>
    <col min="14859" max="15104" width="9.1796875" style="2"/>
    <col min="15105" max="15105" width="18.54296875" style="2" customWidth="1"/>
    <col min="15106" max="15106" width="16.54296875" style="2" customWidth="1"/>
    <col min="15107" max="15107" width="10.7265625" style="2" customWidth="1"/>
    <col min="15108" max="15108" width="10" style="2" bestFit="1" customWidth="1"/>
    <col min="15109" max="15109" width="11.453125" style="2" customWidth="1"/>
    <col min="15110" max="15110" width="13.54296875" style="2" customWidth="1"/>
    <col min="15111" max="15111" width="21.54296875" style="2" customWidth="1"/>
    <col min="15112" max="15112" width="16.54296875" style="2" customWidth="1"/>
    <col min="15113" max="15113" width="9.1796875" style="2"/>
    <col min="15114" max="15114" width="11.81640625" style="2" bestFit="1" customWidth="1"/>
    <col min="15115" max="15360" width="9.1796875" style="2"/>
    <col min="15361" max="15361" width="18.54296875" style="2" customWidth="1"/>
    <col min="15362" max="15362" width="16.54296875" style="2" customWidth="1"/>
    <col min="15363" max="15363" width="10.7265625" style="2" customWidth="1"/>
    <col min="15364" max="15364" width="10" style="2" bestFit="1" customWidth="1"/>
    <col min="15365" max="15365" width="11.453125" style="2" customWidth="1"/>
    <col min="15366" max="15366" width="13.54296875" style="2" customWidth="1"/>
    <col min="15367" max="15367" width="21.54296875" style="2" customWidth="1"/>
    <col min="15368" max="15368" width="16.54296875" style="2" customWidth="1"/>
    <col min="15369" max="15369" width="9.1796875" style="2"/>
    <col min="15370" max="15370" width="11.81640625" style="2" bestFit="1" customWidth="1"/>
    <col min="15371" max="15616" width="9.1796875" style="2"/>
    <col min="15617" max="15617" width="18.54296875" style="2" customWidth="1"/>
    <col min="15618" max="15618" width="16.54296875" style="2" customWidth="1"/>
    <col min="15619" max="15619" width="10.7265625" style="2" customWidth="1"/>
    <col min="15620" max="15620" width="10" style="2" bestFit="1" customWidth="1"/>
    <col min="15621" max="15621" width="11.453125" style="2" customWidth="1"/>
    <col min="15622" max="15622" width="13.54296875" style="2" customWidth="1"/>
    <col min="15623" max="15623" width="21.54296875" style="2" customWidth="1"/>
    <col min="15624" max="15624" width="16.54296875" style="2" customWidth="1"/>
    <col min="15625" max="15625" width="9.1796875" style="2"/>
    <col min="15626" max="15626" width="11.81640625" style="2" bestFit="1" customWidth="1"/>
    <col min="15627" max="15872" width="9.1796875" style="2"/>
    <col min="15873" max="15873" width="18.54296875" style="2" customWidth="1"/>
    <col min="15874" max="15874" width="16.54296875" style="2" customWidth="1"/>
    <col min="15875" max="15875" width="10.7265625" style="2" customWidth="1"/>
    <col min="15876" max="15876" width="10" style="2" bestFit="1" customWidth="1"/>
    <col min="15877" max="15877" width="11.453125" style="2" customWidth="1"/>
    <col min="15878" max="15878" width="13.54296875" style="2" customWidth="1"/>
    <col min="15879" max="15879" width="21.54296875" style="2" customWidth="1"/>
    <col min="15880" max="15880" width="16.54296875" style="2" customWidth="1"/>
    <col min="15881" max="15881" width="9.1796875" style="2"/>
    <col min="15882" max="15882" width="11.81640625" style="2" bestFit="1" customWidth="1"/>
    <col min="15883" max="16128" width="9.1796875" style="2"/>
    <col min="16129" max="16129" width="18.54296875" style="2" customWidth="1"/>
    <col min="16130" max="16130" width="16.54296875" style="2" customWidth="1"/>
    <col min="16131" max="16131" width="10.7265625" style="2" customWidth="1"/>
    <col min="16132" max="16132" width="10" style="2" bestFit="1" customWidth="1"/>
    <col min="16133" max="16133" width="11.453125" style="2" customWidth="1"/>
    <col min="16134" max="16134" width="13.54296875" style="2" customWidth="1"/>
    <col min="16135" max="16135" width="21.54296875" style="2" customWidth="1"/>
    <col min="16136" max="16136" width="16.54296875" style="2" customWidth="1"/>
    <col min="16137" max="16137" width="9.1796875" style="2"/>
    <col min="16138" max="16138" width="11.81640625" style="2" bestFit="1" customWidth="1"/>
    <col min="16139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50</v>
      </c>
      <c r="B2" s="74"/>
      <c r="C2" s="74"/>
      <c r="D2" s="74"/>
      <c r="E2" s="74"/>
      <c r="F2" s="74"/>
      <c r="G2" s="74"/>
    </row>
    <row r="3" spans="1:10" x14ac:dyDescent="0.3">
      <c r="A3" s="74" t="s">
        <v>59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60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9"/>
      <c r="B10" s="10"/>
      <c r="C10" s="10"/>
      <c r="D10" s="10"/>
      <c r="E10" s="11"/>
      <c r="F10" s="12">
        <f>17170930</f>
        <v>17170930</v>
      </c>
      <c r="G10" s="13"/>
    </row>
    <row r="11" spans="1:10" s="23" customFormat="1" ht="31" customHeight="1" x14ac:dyDescent="0.35">
      <c r="A11" s="14"/>
      <c r="B11" s="15" t="s">
        <v>16</v>
      </c>
      <c r="C11" s="16">
        <v>1707093</v>
      </c>
      <c r="D11" s="16">
        <f>100000/10</f>
        <v>10000</v>
      </c>
      <c r="E11" s="17">
        <f>C11+D11</f>
        <v>1717093</v>
      </c>
      <c r="F11" s="18">
        <f>F10-E11</f>
        <v>15453837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24"/>
      <c r="B12" s="15" t="s">
        <v>17</v>
      </c>
      <c r="C12" s="16">
        <v>1707093</v>
      </c>
      <c r="D12" s="16">
        <f t="shared" ref="D12:D20" si="0">100000/10</f>
        <v>10000</v>
      </c>
      <c r="E12" s="17">
        <f t="shared" ref="E12:E19" si="1">C12+D12</f>
        <v>1717093</v>
      </c>
      <c r="F12" s="18">
        <f t="shared" ref="F12:F20" si="2">F11-E12</f>
        <v>13736744</v>
      </c>
      <c r="G12" s="19"/>
    </row>
    <row r="13" spans="1:10" s="23" customFormat="1" ht="31" customHeight="1" x14ac:dyDescent="0.35">
      <c r="A13" s="24"/>
      <c r="B13" s="15" t="s">
        <v>18</v>
      </c>
      <c r="C13" s="16">
        <v>1707093</v>
      </c>
      <c r="D13" s="16">
        <f t="shared" si="0"/>
        <v>10000</v>
      </c>
      <c r="E13" s="17">
        <f t="shared" si="1"/>
        <v>1717093</v>
      </c>
      <c r="F13" s="18">
        <f t="shared" si="2"/>
        <v>12019651</v>
      </c>
      <c r="G13" s="19"/>
      <c r="H13" s="23" t="s">
        <v>12</v>
      </c>
    </row>
    <row r="14" spans="1:10" s="23" customFormat="1" ht="31" customHeight="1" x14ac:dyDescent="0.35">
      <c r="A14" s="25"/>
      <c r="B14" s="15" t="s">
        <v>19</v>
      </c>
      <c r="C14" s="16">
        <v>1707093</v>
      </c>
      <c r="D14" s="16">
        <f t="shared" si="0"/>
        <v>10000</v>
      </c>
      <c r="E14" s="17">
        <f t="shared" si="1"/>
        <v>1717093</v>
      </c>
      <c r="F14" s="18">
        <f t="shared" si="2"/>
        <v>10302558</v>
      </c>
      <c r="G14" s="19"/>
    </row>
    <row r="15" spans="1:10" s="23" customFormat="1" ht="31" customHeight="1" x14ac:dyDescent="0.35">
      <c r="A15" s="26"/>
      <c r="B15" s="15" t="s">
        <v>20</v>
      </c>
      <c r="C15" s="16">
        <v>1707093</v>
      </c>
      <c r="D15" s="16">
        <f t="shared" si="0"/>
        <v>10000</v>
      </c>
      <c r="E15" s="17">
        <f t="shared" si="1"/>
        <v>1717093</v>
      </c>
      <c r="F15" s="18">
        <f t="shared" si="2"/>
        <v>8585465</v>
      </c>
      <c r="G15" s="19"/>
    </row>
    <row r="16" spans="1:10" s="23" customFormat="1" ht="31" customHeight="1" x14ac:dyDescent="0.35">
      <c r="A16" s="27"/>
      <c r="B16" s="15" t="s">
        <v>21</v>
      </c>
      <c r="C16" s="16">
        <v>1707093</v>
      </c>
      <c r="D16" s="16">
        <f t="shared" si="0"/>
        <v>10000</v>
      </c>
      <c r="E16" s="17">
        <f t="shared" si="1"/>
        <v>1717093</v>
      </c>
      <c r="F16" s="18">
        <f t="shared" si="2"/>
        <v>6868372</v>
      </c>
      <c r="G16" s="19"/>
    </row>
    <row r="17" spans="1:7" s="23" customFormat="1" ht="31" customHeight="1" x14ac:dyDescent="0.35">
      <c r="A17" s="27"/>
      <c r="B17" s="15" t="s">
        <v>22</v>
      </c>
      <c r="C17" s="16">
        <v>1707093</v>
      </c>
      <c r="D17" s="16">
        <f t="shared" si="0"/>
        <v>10000</v>
      </c>
      <c r="E17" s="17">
        <f t="shared" si="1"/>
        <v>1717093</v>
      </c>
      <c r="F17" s="18">
        <f t="shared" si="2"/>
        <v>5151279</v>
      </c>
      <c r="G17" s="19"/>
    </row>
    <row r="18" spans="1:7" s="23" customFormat="1" ht="31" customHeight="1" x14ac:dyDescent="0.35">
      <c r="A18" s="27"/>
      <c r="B18" s="15" t="s">
        <v>23</v>
      </c>
      <c r="C18" s="16">
        <v>1707093</v>
      </c>
      <c r="D18" s="16">
        <f t="shared" si="0"/>
        <v>10000</v>
      </c>
      <c r="E18" s="17">
        <f t="shared" si="1"/>
        <v>1717093</v>
      </c>
      <c r="F18" s="18">
        <f t="shared" si="2"/>
        <v>3434186</v>
      </c>
      <c r="G18" s="19"/>
    </row>
    <row r="19" spans="1:7" s="23" customFormat="1" ht="31" customHeight="1" x14ac:dyDescent="0.35">
      <c r="A19" s="26"/>
      <c r="B19" s="15" t="s">
        <v>24</v>
      </c>
      <c r="C19" s="16">
        <v>1707093</v>
      </c>
      <c r="D19" s="16">
        <f t="shared" si="0"/>
        <v>10000</v>
      </c>
      <c r="E19" s="17">
        <f t="shared" si="1"/>
        <v>1717093</v>
      </c>
      <c r="F19" s="18">
        <f t="shared" si="2"/>
        <v>1717093</v>
      </c>
      <c r="G19" s="19"/>
    </row>
    <row r="20" spans="1:7" s="23" customFormat="1" ht="31" customHeight="1" x14ac:dyDescent="0.35">
      <c r="A20" s="26"/>
      <c r="B20" s="15" t="s">
        <v>25</v>
      </c>
      <c r="C20" s="16">
        <v>1707093</v>
      </c>
      <c r="D20" s="16">
        <f t="shared" si="0"/>
        <v>10000</v>
      </c>
      <c r="E20" s="17">
        <f>C20+D20</f>
        <v>1717093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17070930</v>
      </c>
      <c r="D21" s="28">
        <f>SUM(D11:D20)</f>
        <v>100000</v>
      </c>
      <c r="E21" s="28">
        <f>SUM(E11:E20)</f>
        <v>17170930</v>
      </c>
      <c r="F21" s="18"/>
      <c r="G21" s="19"/>
    </row>
    <row r="23" spans="1:7" ht="19.5" customHeight="1" x14ac:dyDescent="0.3">
      <c r="A23" s="29" t="s">
        <v>27</v>
      </c>
      <c r="B23" s="78" t="s">
        <v>28</v>
      </c>
      <c r="C23" s="78"/>
      <c r="D23" s="78"/>
      <c r="E23" s="78"/>
      <c r="F23" s="78"/>
    </row>
    <row r="24" spans="1:7" x14ac:dyDescent="0.3">
      <c r="B24" s="31" t="s">
        <v>29</v>
      </c>
      <c r="C24" s="32">
        <v>9000000</v>
      </c>
    </row>
    <row r="25" spans="1:7" ht="28" x14ac:dyDescent="0.3">
      <c r="B25" s="31" t="s">
        <v>30</v>
      </c>
      <c r="C25" s="33">
        <v>5000000</v>
      </c>
    </row>
    <row r="26" spans="1:7" x14ac:dyDescent="0.3">
      <c r="B26" s="34" t="s">
        <v>31</v>
      </c>
      <c r="C26" s="35">
        <f>C24+C25</f>
        <v>14000000</v>
      </c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A69A-DE06-4A0E-A4DD-34B31929949E}">
  <sheetPr>
    <tabColor theme="1"/>
  </sheetPr>
  <dimension ref="A1:J28"/>
  <sheetViews>
    <sheetView view="pageBreakPreview" zoomScale="85" zoomScaleNormal="85" zoomScaleSheetLayoutView="85" workbookViewId="0">
      <selection activeCell="E12" sqref="E1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74</v>
      </c>
      <c r="B2" s="74"/>
      <c r="C2" s="74"/>
      <c r="D2" s="74"/>
      <c r="E2" s="74"/>
      <c r="F2" s="74"/>
      <c r="G2" s="74"/>
    </row>
    <row r="3" spans="1:10" x14ac:dyDescent="0.3">
      <c r="A3" s="74" t="s">
        <v>73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72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9"/>
      <c r="B10" s="10"/>
      <c r="C10" s="10"/>
      <c r="D10" s="10"/>
      <c r="E10" s="11"/>
      <c r="F10" s="12">
        <f>E23</f>
        <v>18469999.999999996</v>
      </c>
      <c r="G10" s="13"/>
      <c r="I10" s="51"/>
    </row>
    <row r="11" spans="1:10" s="23" customFormat="1" ht="31" customHeight="1" x14ac:dyDescent="0.35">
      <c r="A11" s="14"/>
      <c r="B11" s="15" t="s">
        <v>16</v>
      </c>
      <c r="C11" s="16">
        <f t="shared" ref="C11:C22" si="0">$J$15</f>
        <v>1530833.3333333333</v>
      </c>
      <c r="D11" s="16">
        <f t="shared" ref="D11:D22" si="1">100000/12</f>
        <v>8333.3333333333339</v>
      </c>
      <c r="E11" s="17">
        <f>C11+D11</f>
        <v>1539166.6666666665</v>
      </c>
      <c r="F11" s="18">
        <f t="shared" ref="F11:F22" si="2">F10-E11</f>
        <v>16930833.333333328</v>
      </c>
      <c r="G11" s="19"/>
      <c r="H11" s="20"/>
      <c r="I11" s="50"/>
      <c r="J11" s="22"/>
    </row>
    <row r="12" spans="1:10" s="23" customFormat="1" ht="31" customHeight="1" x14ac:dyDescent="0.35">
      <c r="A12" s="24"/>
      <c r="B12" s="15" t="s">
        <v>17</v>
      </c>
      <c r="C12" s="16">
        <f t="shared" si="0"/>
        <v>1530833.3333333333</v>
      </c>
      <c r="D12" s="16">
        <f t="shared" si="1"/>
        <v>8333.3333333333339</v>
      </c>
      <c r="E12" s="17">
        <f t="shared" ref="E12:E22" si="3">C12+D12</f>
        <v>1539166.6666666665</v>
      </c>
      <c r="F12" s="18">
        <f t="shared" si="2"/>
        <v>15391666.666666662</v>
      </c>
      <c r="G12" s="19"/>
      <c r="I12" s="47"/>
    </row>
    <row r="13" spans="1:10" s="23" customFormat="1" ht="31" customHeight="1" x14ac:dyDescent="0.35">
      <c r="A13" s="24"/>
      <c r="B13" s="15" t="s">
        <v>18</v>
      </c>
      <c r="C13" s="16">
        <f t="shared" si="0"/>
        <v>1530833.3333333333</v>
      </c>
      <c r="D13" s="16">
        <f t="shared" si="1"/>
        <v>8333.3333333333339</v>
      </c>
      <c r="E13" s="17">
        <f t="shared" si="3"/>
        <v>1539166.6666666665</v>
      </c>
      <c r="F13" s="18">
        <f t="shared" si="2"/>
        <v>13852499.999999996</v>
      </c>
      <c r="G13" s="19"/>
      <c r="H13" s="23" t="s">
        <v>67</v>
      </c>
      <c r="I13" s="47">
        <v>16700000</v>
      </c>
    </row>
    <row r="14" spans="1:10" s="23" customFormat="1" ht="31" customHeight="1" x14ac:dyDescent="0.35">
      <c r="A14" s="25"/>
      <c r="B14" s="15" t="s">
        <v>19</v>
      </c>
      <c r="C14" s="16">
        <f t="shared" si="0"/>
        <v>1530833.3333333333</v>
      </c>
      <c r="D14" s="16">
        <f t="shared" si="1"/>
        <v>8333.3333333333339</v>
      </c>
      <c r="E14" s="17">
        <f t="shared" si="3"/>
        <v>1539166.6666666665</v>
      </c>
      <c r="F14" s="18">
        <f t="shared" si="2"/>
        <v>12313333.33333333</v>
      </c>
      <c r="G14" s="19"/>
      <c r="H14" s="23" t="s">
        <v>66</v>
      </c>
      <c r="I14" s="47">
        <f>I13*10%</f>
        <v>1670000</v>
      </c>
    </row>
    <row r="15" spans="1:10" s="23" customFormat="1" ht="31" customHeight="1" x14ac:dyDescent="0.35">
      <c r="A15" s="26"/>
      <c r="B15" s="15" t="s">
        <v>20</v>
      </c>
      <c r="C15" s="16">
        <f t="shared" si="0"/>
        <v>1530833.3333333333</v>
      </c>
      <c r="D15" s="16">
        <f t="shared" si="1"/>
        <v>8333.3333333333339</v>
      </c>
      <c r="E15" s="17">
        <f t="shared" si="3"/>
        <v>1539166.6666666665</v>
      </c>
      <c r="F15" s="18">
        <f t="shared" si="2"/>
        <v>10774166.666666664</v>
      </c>
      <c r="G15" s="19"/>
      <c r="H15" s="23" t="s">
        <v>65</v>
      </c>
      <c r="I15" s="47">
        <f>I13+I14</f>
        <v>18370000</v>
      </c>
      <c r="J15" s="49">
        <f>I15/12</f>
        <v>1530833.3333333333</v>
      </c>
    </row>
    <row r="16" spans="1:10" s="23" customFormat="1" ht="31" customHeight="1" x14ac:dyDescent="0.35">
      <c r="A16" s="27"/>
      <c r="B16" s="15" t="s">
        <v>21</v>
      </c>
      <c r="C16" s="16">
        <f t="shared" si="0"/>
        <v>1530833.3333333333</v>
      </c>
      <c r="D16" s="16">
        <f t="shared" si="1"/>
        <v>8333.3333333333339</v>
      </c>
      <c r="E16" s="17">
        <f t="shared" si="3"/>
        <v>1539166.6666666665</v>
      </c>
      <c r="F16" s="18">
        <f t="shared" si="2"/>
        <v>9234999.9999999981</v>
      </c>
      <c r="G16" s="19"/>
      <c r="H16" s="23" t="s">
        <v>64</v>
      </c>
      <c r="I16" s="47">
        <v>100000</v>
      </c>
      <c r="J16" s="23" t="s">
        <v>63</v>
      </c>
    </row>
    <row r="17" spans="1:9" s="23" customFormat="1" ht="31" customHeight="1" x14ac:dyDescent="0.35">
      <c r="A17" s="27"/>
      <c r="B17" s="15" t="s">
        <v>22</v>
      </c>
      <c r="C17" s="16">
        <f t="shared" si="0"/>
        <v>1530833.3333333333</v>
      </c>
      <c r="D17" s="16">
        <f t="shared" si="1"/>
        <v>8333.3333333333339</v>
      </c>
      <c r="E17" s="17">
        <f t="shared" si="3"/>
        <v>1539166.6666666665</v>
      </c>
      <c r="F17" s="18">
        <f t="shared" si="2"/>
        <v>7695833.3333333321</v>
      </c>
      <c r="G17" s="19"/>
      <c r="I17" s="47"/>
    </row>
    <row r="18" spans="1:9" s="23" customFormat="1" ht="31" customHeight="1" x14ac:dyDescent="0.35">
      <c r="A18" s="27"/>
      <c r="B18" s="15" t="s">
        <v>23</v>
      </c>
      <c r="C18" s="16">
        <f t="shared" si="0"/>
        <v>1530833.3333333333</v>
      </c>
      <c r="D18" s="16">
        <f t="shared" si="1"/>
        <v>8333.3333333333339</v>
      </c>
      <c r="E18" s="17">
        <f t="shared" si="3"/>
        <v>1539166.6666666665</v>
      </c>
      <c r="F18" s="18">
        <f t="shared" si="2"/>
        <v>6156666.666666666</v>
      </c>
      <c r="G18" s="19"/>
      <c r="I18" s="47"/>
    </row>
    <row r="19" spans="1:9" s="23" customFormat="1" ht="31" customHeight="1" x14ac:dyDescent="0.35">
      <c r="A19" s="26"/>
      <c r="B19" s="15" t="s">
        <v>24</v>
      </c>
      <c r="C19" s="16">
        <f t="shared" si="0"/>
        <v>1530833.3333333333</v>
      </c>
      <c r="D19" s="16">
        <f t="shared" si="1"/>
        <v>8333.3333333333339</v>
      </c>
      <c r="E19" s="17">
        <f t="shared" si="3"/>
        <v>1539166.6666666665</v>
      </c>
      <c r="F19" s="18">
        <f t="shared" si="2"/>
        <v>4617500</v>
      </c>
      <c r="G19" s="19"/>
      <c r="I19" s="47"/>
    </row>
    <row r="20" spans="1:9" s="23" customFormat="1" ht="31" customHeight="1" x14ac:dyDescent="0.35">
      <c r="A20" s="26"/>
      <c r="B20" s="15" t="s">
        <v>25</v>
      </c>
      <c r="C20" s="16">
        <f t="shared" si="0"/>
        <v>1530833.3333333333</v>
      </c>
      <c r="D20" s="16">
        <f t="shared" si="1"/>
        <v>8333.3333333333339</v>
      </c>
      <c r="E20" s="17">
        <f t="shared" si="3"/>
        <v>1539166.6666666665</v>
      </c>
      <c r="F20" s="18">
        <f t="shared" si="2"/>
        <v>3078333.3333333335</v>
      </c>
      <c r="G20" s="19"/>
      <c r="I20" s="47"/>
    </row>
    <row r="21" spans="1:9" s="23" customFormat="1" ht="31" customHeight="1" x14ac:dyDescent="0.35">
      <c r="A21" s="48"/>
      <c r="B21" s="15" t="s">
        <v>62</v>
      </c>
      <c r="C21" s="16">
        <f t="shared" si="0"/>
        <v>1530833.3333333333</v>
      </c>
      <c r="D21" s="16">
        <f t="shared" si="1"/>
        <v>8333.3333333333339</v>
      </c>
      <c r="E21" s="17">
        <f t="shared" si="3"/>
        <v>1539166.6666666665</v>
      </c>
      <c r="F21" s="18">
        <f t="shared" si="2"/>
        <v>1539166.666666667</v>
      </c>
      <c r="G21" s="19"/>
      <c r="I21" s="47"/>
    </row>
    <row r="22" spans="1:9" s="23" customFormat="1" ht="31" customHeight="1" x14ac:dyDescent="0.35">
      <c r="A22" s="48"/>
      <c r="B22" s="15" t="s">
        <v>61</v>
      </c>
      <c r="C22" s="16">
        <f t="shared" si="0"/>
        <v>1530833.3333333333</v>
      </c>
      <c r="D22" s="16">
        <f t="shared" si="1"/>
        <v>8333.3333333333339</v>
      </c>
      <c r="E22" s="17">
        <f t="shared" si="3"/>
        <v>1539166.6666666665</v>
      </c>
      <c r="F22" s="18">
        <f t="shared" si="2"/>
        <v>0</v>
      </c>
      <c r="G22" s="19"/>
      <c r="I22" s="47"/>
    </row>
    <row r="23" spans="1:9" s="23" customFormat="1" ht="31" customHeight="1" x14ac:dyDescent="0.3">
      <c r="A23" s="76" t="s">
        <v>26</v>
      </c>
      <c r="B23" s="77"/>
      <c r="C23" s="28">
        <f>SUM(C11:C22)</f>
        <v>18370000</v>
      </c>
      <c r="D23" s="28">
        <f>SUM(D11:D22)</f>
        <v>99999.999999999985</v>
      </c>
      <c r="E23" s="28">
        <f>SUM(E11:E22)</f>
        <v>18469999.999999996</v>
      </c>
      <c r="F23" s="18"/>
      <c r="G23" s="19"/>
      <c r="H23" s="2"/>
      <c r="I23" s="46"/>
    </row>
    <row r="25" spans="1:9" ht="19.5" customHeight="1" x14ac:dyDescent="0.3">
      <c r="A25" s="29" t="s">
        <v>27</v>
      </c>
      <c r="B25" s="78" t="s">
        <v>28</v>
      </c>
      <c r="C25" s="78"/>
      <c r="D25" s="78"/>
      <c r="E25" s="78"/>
      <c r="F25" s="78"/>
    </row>
    <row r="26" spans="1:9" x14ac:dyDescent="0.3">
      <c r="B26" s="31" t="s">
        <v>29</v>
      </c>
      <c r="C26" s="32">
        <v>9000000</v>
      </c>
    </row>
    <row r="27" spans="1:9" ht="28" x14ac:dyDescent="0.3">
      <c r="B27" s="31" t="s">
        <v>30</v>
      </c>
      <c r="C27" s="33">
        <v>5000000</v>
      </c>
    </row>
    <row r="28" spans="1:9" x14ac:dyDescent="0.3">
      <c r="B28" s="34" t="s">
        <v>31</v>
      </c>
      <c r="C28" s="35">
        <f>C26+C27</f>
        <v>14000000</v>
      </c>
    </row>
  </sheetData>
  <mergeCells count="13"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  <mergeCell ref="E7:E8"/>
    <mergeCell ref="A23:B23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BF5F-7B2B-4BC4-9C4B-3BE86B71DF65}">
  <sheetPr>
    <tabColor theme="1"/>
  </sheetPr>
  <dimension ref="A1:K40"/>
  <sheetViews>
    <sheetView view="pageBreakPreview" zoomScale="85" zoomScaleNormal="85" zoomScaleSheetLayoutView="85" workbookViewId="0">
      <selection activeCell="H16" sqref="H16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4" style="46" bestFit="1" customWidth="1"/>
    <col min="10" max="10" width="11.81640625" style="2" bestFit="1" customWidth="1"/>
    <col min="11" max="11" width="12" style="2" bestFit="1" customWidth="1"/>
    <col min="12" max="16384" width="9.1796875" style="2"/>
  </cols>
  <sheetData>
    <row r="1" spans="1:11" x14ac:dyDescent="0.3">
      <c r="A1" s="74" t="s">
        <v>0</v>
      </c>
      <c r="B1" s="74"/>
      <c r="C1" s="74"/>
      <c r="D1" s="74"/>
      <c r="E1" s="74"/>
      <c r="F1" s="74"/>
      <c r="G1" s="74"/>
    </row>
    <row r="2" spans="1:11" x14ac:dyDescent="0.3">
      <c r="A2" s="74" t="s">
        <v>71</v>
      </c>
      <c r="B2" s="74"/>
      <c r="C2" s="74"/>
      <c r="D2" s="74"/>
      <c r="E2" s="74"/>
      <c r="F2" s="74"/>
      <c r="G2" s="74"/>
    </row>
    <row r="3" spans="1:11" x14ac:dyDescent="0.3">
      <c r="A3" s="74" t="s">
        <v>87</v>
      </c>
      <c r="B3" s="74"/>
      <c r="C3" s="74"/>
      <c r="D3" s="74"/>
      <c r="E3" s="74"/>
      <c r="F3" s="74"/>
      <c r="G3" s="74"/>
    </row>
    <row r="4" spans="1:11" x14ac:dyDescent="0.3">
      <c r="A4" s="1"/>
      <c r="B4" s="1"/>
      <c r="C4" s="1"/>
      <c r="D4" s="1"/>
      <c r="E4" s="1"/>
      <c r="F4" s="1"/>
    </row>
    <row r="5" spans="1:11" x14ac:dyDescent="0.3">
      <c r="A5" s="3" t="s">
        <v>3</v>
      </c>
      <c r="B5" s="80" t="s">
        <v>88</v>
      </c>
      <c r="C5" s="80"/>
      <c r="D5" s="80"/>
      <c r="E5" s="80"/>
      <c r="F5" s="80"/>
    </row>
    <row r="6" spans="1:11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1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1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1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1" ht="36.75" customHeight="1" x14ac:dyDescent="0.3">
      <c r="A10" s="9"/>
      <c r="B10" s="10"/>
      <c r="C10" s="10"/>
      <c r="D10" s="10"/>
      <c r="E10" s="11"/>
      <c r="F10" s="12">
        <f>C35</f>
        <v>29851008</v>
      </c>
      <c r="G10" s="13"/>
      <c r="I10" s="51"/>
    </row>
    <row r="11" spans="1:11" s="23" customFormat="1" ht="31" customHeight="1" x14ac:dyDescent="0.35">
      <c r="A11" s="14"/>
      <c r="B11" s="15" t="s">
        <v>16</v>
      </c>
      <c r="C11" s="16">
        <v>1243792</v>
      </c>
      <c r="D11" s="16">
        <f t="shared" ref="D11:D34" si="0">200000/24</f>
        <v>8333.3333333333339</v>
      </c>
      <c r="E11" s="17">
        <f t="shared" ref="E11:E34" si="1">C11+D11</f>
        <v>1252125.3333333333</v>
      </c>
      <c r="F11" s="18">
        <f>$F$10-E11</f>
        <v>28598882.666666668</v>
      </c>
      <c r="G11" s="19"/>
      <c r="H11" s="20"/>
      <c r="I11" s="50"/>
      <c r="J11" s="22"/>
    </row>
    <row r="12" spans="1:11" s="23" customFormat="1" ht="31" customHeight="1" x14ac:dyDescent="0.35">
      <c r="A12" s="24"/>
      <c r="B12" s="15" t="s">
        <v>17</v>
      </c>
      <c r="C12" s="16">
        <v>1243792</v>
      </c>
      <c r="D12" s="16">
        <f t="shared" si="0"/>
        <v>8333.3333333333339</v>
      </c>
      <c r="E12" s="17">
        <f t="shared" si="1"/>
        <v>1252125.3333333333</v>
      </c>
      <c r="F12" s="18">
        <f t="shared" ref="F12:F34" si="2">F11-E12</f>
        <v>27346757.333333336</v>
      </c>
      <c r="G12" s="19"/>
      <c r="I12" s="47"/>
    </row>
    <row r="13" spans="1:11" s="23" customFormat="1" ht="31" customHeight="1" x14ac:dyDescent="0.35">
      <c r="A13" s="24"/>
      <c r="B13" s="15" t="s">
        <v>18</v>
      </c>
      <c r="C13" s="16">
        <v>1243792</v>
      </c>
      <c r="D13" s="16">
        <f t="shared" si="0"/>
        <v>8333.3333333333339</v>
      </c>
      <c r="E13" s="17">
        <f t="shared" si="1"/>
        <v>1252125.3333333333</v>
      </c>
      <c r="F13" s="18">
        <f t="shared" si="2"/>
        <v>26094632.000000004</v>
      </c>
      <c r="G13" s="19"/>
      <c r="I13" s="47"/>
    </row>
    <row r="14" spans="1:11" s="23" customFormat="1" ht="31" customHeight="1" x14ac:dyDescent="0.35">
      <c r="A14" s="25"/>
      <c r="B14" s="15" t="s">
        <v>19</v>
      </c>
      <c r="C14" s="16">
        <v>1243792</v>
      </c>
      <c r="D14" s="16">
        <f t="shared" si="0"/>
        <v>8333.3333333333339</v>
      </c>
      <c r="E14" s="17">
        <f t="shared" si="1"/>
        <v>1252125.3333333333</v>
      </c>
      <c r="F14" s="18">
        <f t="shared" si="2"/>
        <v>24842506.666666672</v>
      </c>
      <c r="G14" s="19"/>
      <c r="I14" s="47"/>
    </row>
    <row r="15" spans="1:11" s="23" customFormat="1" ht="31" customHeight="1" x14ac:dyDescent="0.35">
      <c r="A15" s="26"/>
      <c r="B15" s="15" t="s">
        <v>20</v>
      </c>
      <c r="C15" s="16">
        <v>1243792</v>
      </c>
      <c r="D15" s="16">
        <f t="shared" si="0"/>
        <v>8333.3333333333339</v>
      </c>
      <c r="E15" s="17">
        <f t="shared" si="1"/>
        <v>1252125.3333333333</v>
      </c>
      <c r="F15" s="18">
        <f t="shared" si="2"/>
        <v>23590381.33333334</v>
      </c>
      <c r="G15" s="19"/>
      <c r="I15" s="47"/>
      <c r="J15" s="49"/>
    </row>
    <row r="16" spans="1:11" s="23" customFormat="1" ht="31" customHeight="1" x14ac:dyDescent="0.35">
      <c r="A16" s="27"/>
      <c r="B16" s="15" t="s">
        <v>21</v>
      </c>
      <c r="C16" s="16">
        <v>1243792</v>
      </c>
      <c r="D16" s="16">
        <f t="shared" si="0"/>
        <v>8333.3333333333339</v>
      </c>
      <c r="E16" s="17">
        <f t="shared" si="1"/>
        <v>1252125.3333333333</v>
      </c>
      <c r="F16" s="18">
        <f t="shared" si="2"/>
        <v>22338256.000000007</v>
      </c>
      <c r="G16" s="19"/>
      <c r="I16" s="47"/>
      <c r="J16" s="49"/>
      <c r="K16" s="49"/>
    </row>
    <row r="17" spans="1:11" s="23" customFormat="1" ht="31" customHeight="1" x14ac:dyDescent="0.35">
      <c r="A17" s="27"/>
      <c r="B17" s="15" t="s">
        <v>22</v>
      </c>
      <c r="C17" s="16">
        <v>1243792</v>
      </c>
      <c r="D17" s="16">
        <f t="shared" si="0"/>
        <v>8333.3333333333339</v>
      </c>
      <c r="E17" s="17">
        <f t="shared" si="1"/>
        <v>1252125.3333333333</v>
      </c>
      <c r="F17" s="18">
        <f t="shared" si="2"/>
        <v>21086130.666666675</v>
      </c>
      <c r="G17" s="19"/>
      <c r="I17" s="47"/>
    </row>
    <row r="18" spans="1:11" s="23" customFormat="1" ht="31" customHeight="1" x14ac:dyDescent="0.35">
      <c r="A18" s="27"/>
      <c r="B18" s="15" t="s">
        <v>23</v>
      </c>
      <c r="C18" s="16">
        <v>1243792</v>
      </c>
      <c r="D18" s="16">
        <f t="shared" si="0"/>
        <v>8333.3333333333339</v>
      </c>
      <c r="E18" s="17">
        <f t="shared" si="1"/>
        <v>1252125.3333333333</v>
      </c>
      <c r="F18" s="18">
        <f t="shared" si="2"/>
        <v>19834005.333333343</v>
      </c>
      <c r="G18" s="19"/>
      <c r="H18" s="23" t="s">
        <v>67</v>
      </c>
      <c r="I18" s="47">
        <v>23850000</v>
      </c>
      <c r="J18" s="49"/>
    </row>
    <row r="19" spans="1:11" s="23" customFormat="1" ht="31" customHeight="1" x14ac:dyDescent="0.35">
      <c r="A19" s="26"/>
      <c r="B19" s="15" t="s">
        <v>24</v>
      </c>
      <c r="C19" s="16">
        <v>1243792</v>
      </c>
      <c r="D19" s="16">
        <f t="shared" si="0"/>
        <v>8333.3333333333339</v>
      </c>
      <c r="E19" s="17">
        <f t="shared" si="1"/>
        <v>1252125.3333333333</v>
      </c>
      <c r="F19" s="18">
        <f t="shared" si="2"/>
        <v>18581880.000000011</v>
      </c>
      <c r="G19" s="19"/>
      <c r="H19" s="23" t="s">
        <v>68</v>
      </c>
      <c r="I19" s="47">
        <f>I18*26%</f>
        <v>6201000</v>
      </c>
    </row>
    <row r="20" spans="1:11" s="23" customFormat="1" ht="31" customHeight="1" x14ac:dyDescent="0.35">
      <c r="A20" s="26"/>
      <c r="B20" s="15" t="s">
        <v>25</v>
      </c>
      <c r="C20" s="16">
        <v>1243792</v>
      </c>
      <c r="D20" s="16">
        <f t="shared" si="0"/>
        <v>8333.3333333333339</v>
      </c>
      <c r="E20" s="17">
        <f t="shared" si="1"/>
        <v>1252125.3333333333</v>
      </c>
      <c r="F20" s="18">
        <f t="shared" si="2"/>
        <v>17329754.666666679</v>
      </c>
      <c r="G20" s="19"/>
      <c r="H20" s="23" t="s">
        <v>65</v>
      </c>
      <c r="I20" s="47">
        <f>I18+I19</f>
        <v>30051000</v>
      </c>
      <c r="J20" s="49">
        <f>I20/24</f>
        <v>1252125</v>
      </c>
      <c r="K20" s="49">
        <f>J20-D19</f>
        <v>1243791.6666666667</v>
      </c>
    </row>
    <row r="21" spans="1:11" s="23" customFormat="1" ht="31" customHeight="1" x14ac:dyDescent="0.35">
      <c r="A21" s="48"/>
      <c r="B21" s="15" t="s">
        <v>62</v>
      </c>
      <c r="C21" s="16">
        <v>1243792</v>
      </c>
      <c r="D21" s="16">
        <f t="shared" si="0"/>
        <v>8333.3333333333339</v>
      </c>
      <c r="E21" s="17">
        <f t="shared" si="1"/>
        <v>1252125.3333333333</v>
      </c>
      <c r="F21" s="18">
        <f t="shared" si="2"/>
        <v>16077629.333333345</v>
      </c>
      <c r="G21" s="19"/>
      <c r="H21" s="23" t="s">
        <v>64</v>
      </c>
      <c r="I21" s="47">
        <v>200000</v>
      </c>
      <c r="J21" s="49">
        <f>I21/24</f>
        <v>8333.3333333333339</v>
      </c>
    </row>
    <row r="22" spans="1:11" s="23" customFormat="1" ht="31" customHeight="1" x14ac:dyDescent="0.35">
      <c r="A22" s="48"/>
      <c r="B22" s="15" t="s">
        <v>61</v>
      </c>
      <c r="C22" s="16">
        <v>1243792</v>
      </c>
      <c r="D22" s="16">
        <f t="shared" si="0"/>
        <v>8333.3333333333339</v>
      </c>
      <c r="E22" s="17">
        <f t="shared" si="1"/>
        <v>1252125.3333333333</v>
      </c>
      <c r="F22" s="18">
        <f t="shared" si="2"/>
        <v>14825504.000000011</v>
      </c>
      <c r="G22" s="19"/>
      <c r="I22" s="47"/>
    </row>
    <row r="23" spans="1:11" s="23" customFormat="1" ht="31" customHeight="1" x14ac:dyDescent="0.35">
      <c r="A23" s="14"/>
      <c r="B23" s="15" t="s">
        <v>75</v>
      </c>
      <c r="C23" s="16">
        <v>1243792</v>
      </c>
      <c r="D23" s="16">
        <f t="shared" si="0"/>
        <v>8333.3333333333339</v>
      </c>
      <c r="E23" s="17">
        <f t="shared" si="1"/>
        <v>1252125.3333333333</v>
      </c>
      <c r="F23" s="18">
        <f t="shared" si="2"/>
        <v>13573378.666666677</v>
      </c>
      <c r="G23" s="53"/>
      <c r="H23" s="54"/>
      <c r="I23" s="55"/>
      <c r="J23" s="56"/>
    </row>
    <row r="24" spans="1:11" s="23" customFormat="1" ht="31" customHeight="1" x14ac:dyDescent="0.35">
      <c r="A24" s="24"/>
      <c r="B24" s="15" t="s">
        <v>76</v>
      </c>
      <c r="C24" s="16">
        <v>1243792</v>
      </c>
      <c r="D24" s="16">
        <f t="shared" si="0"/>
        <v>8333.3333333333339</v>
      </c>
      <c r="E24" s="17">
        <f t="shared" si="1"/>
        <v>1252125.3333333333</v>
      </c>
      <c r="F24" s="18">
        <f t="shared" si="2"/>
        <v>12321253.333333343</v>
      </c>
      <c r="G24" s="19"/>
      <c r="I24" s="47"/>
    </row>
    <row r="25" spans="1:11" s="23" customFormat="1" ht="31" customHeight="1" x14ac:dyDescent="0.35">
      <c r="A25" s="24"/>
      <c r="B25" s="15" t="s">
        <v>77</v>
      </c>
      <c r="C25" s="16">
        <v>1243792</v>
      </c>
      <c r="D25" s="16">
        <f t="shared" si="0"/>
        <v>8333.3333333333339</v>
      </c>
      <c r="E25" s="17">
        <f t="shared" si="1"/>
        <v>1252125.3333333333</v>
      </c>
      <c r="F25" s="18">
        <f t="shared" si="2"/>
        <v>11069128.000000009</v>
      </c>
      <c r="G25" s="19"/>
      <c r="I25" s="47"/>
    </row>
    <row r="26" spans="1:11" s="23" customFormat="1" ht="31" customHeight="1" x14ac:dyDescent="0.35">
      <c r="A26" s="25"/>
      <c r="B26" s="15" t="s">
        <v>78</v>
      </c>
      <c r="C26" s="16">
        <v>1243792</v>
      </c>
      <c r="D26" s="16">
        <f t="shared" si="0"/>
        <v>8333.3333333333339</v>
      </c>
      <c r="E26" s="17">
        <f t="shared" si="1"/>
        <v>1252125.3333333333</v>
      </c>
      <c r="F26" s="18">
        <f t="shared" si="2"/>
        <v>9817002.6666666754</v>
      </c>
      <c r="G26" s="19"/>
      <c r="I26" s="47"/>
    </row>
    <row r="27" spans="1:11" s="23" customFormat="1" ht="31" customHeight="1" x14ac:dyDescent="0.35">
      <c r="A27" s="26"/>
      <c r="B27" s="15" t="s">
        <v>79</v>
      </c>
      <c r="C27" s="16">
        <v>1243792</v>
      </c>
      <c r="D27" s="16">
        <f t="shared" si="0"/>
        <v>8333.3333333333339</v>
      </c>
      <c r="E27" s="17">
        <f t="shared" si="1"/>
        <v>1252125.3333333333</v>
      </c>
      <c r="F27" s="18">
        <f t="shared" si="2"/>
        <v>8564877.3333333414</v>
      </c>
      <c r="G27" s="19"/>
      <c r="I27" s="47"/>
      <c r="J27" s="49"/>
    </row>
    <row r="28" spans="1:11" s="23" customFormat="1" ht="31" customHeight="1" x14ac:dyDescent="0.35">
      <c r="A28" s="27"/>
      <c r="B28" s="15" t="s">
        <v>80</v>
      </c>
      <c r="C28" s="16">
        <v>1243792</v>
      </c>
      <c r="D28" s="16">
        <f t="shared" si="0"/>
        <v>8333.3333333333339</v>
      </c>
      <c r="E28" s="17">
        <f t="shared" si="1"/>
        <v>1252125.3333333333</v>
      </c>
      <c r="F28" s="18">
        <f t="shared" si="2"/>
        <v>7312752.0000000084</v>
      </c>
      <c r="G28" s="19"/>
      <c r="I28" s="47"/>
    </row>
    <row r="29" spans="1:11" s="23" customFormat="1" ht="31" customHeight="1" x14ac:dyDescent="0.35">
      <c r="A29" s="27"/>
      <c r="B29" s="15" t="s">
        <v>81</v>
      </c>
      <c r="C29" s="16">
        <v>1243792</v>
      </c>
      <c r="D29" s="16">
        <f t="shared" si="0"/>
        <v>8333.3333333333339</v>
      </c>
      <c r="E29" s="17">
        <f t="shared" si="1"/>
        <v>1252125.3333333333</v>
      </c>
      <c r="F29" s="18">
        <f t="shared" si="2"/>
        <v>6060626.6666666754</v>
      </c>
      <c r="G29" s="19"/>
      <c r="I29" s="47"/>
    </row>
    <row r="30" spans="1:11" s="23" customFormat="1" ht="31" customHeight="1" x14ac:dyDescent="0.35">
      <c r="A30" s="27"/>
      <c r="B30" s="15" t="s">
        <v>82</v>
      </c>
      <c r="C30" s="16">
        <v>1243792</v>
      </c>
      <c r="D30" s="16">
        <f t="shared" si="0"/>
        <v>8333.3333333333339</v>
      </c>
      <c r="E30" s="17">
        <f t="shared" si="1"/>
        <v>1252125.3333333333</v>
      </c>
      <c r="F30" s="18">
        <f t="shared" si="2"/>
        <v>4808501.3333333423</v>
      </c>
      <c r="G30" s="19"/>
      <c r="I30" s="47"/>
    </row>
    <row r="31" spans="1:11" s="23" customFormat="1" ht="31" customHeight="1" x14ac:dyDescent="0.35">
      <c r="A31" s="26"/>
      <c r="B31" s="15" t="s">
        <v>83</v>
      </c>
      <c r="C31" s="16">
        <v>1243792</v>
      </c>
      <c r="D31" s="16">
        <f t="shared" si="0"/>
        <v>8333.3333333333339</v>
      </c>
      <c r="E31" s="17">
        <f t="shared" si="1"/>
        <v>1252125.3333333333</v>
      </c>
      <c r="F31" s="18">
        <f t="shared" si="2"/>
        <v>3556376.0000000093</v>
      </c>
      <c r="G31" s="19"/>
      <c r="I31" s="47"/>
    </row>
    <row r="32" spans="1:11" s="23" customFormat="1" ht="31" customHeight="1" x14ac:dyDescent="0.35">
      <c r="A32" s="26"/>
      <c r="B32" s="15" t="s">
        <v>84</v>
      </c>
      <c r="C32" s="16">
        <v>1243792</v>
      </c>
      <c r="D32" s="16">
        <f t="shared" si="0"/>
        <v>8333.3333333333339</v>
      </c>
      <c r="E32" s="17">
        <f t="shared" si="1"/>
        <v>1252125.3333333333</v>
      </c>
      <c r="F32" s="18">
        <f t="shared" si="2"/>
        <v>2304250.6666666763</v>
      </c>
      <c r="G32" s="19"/>
      <c r="I32" s="47"/>
    </row>
    <row r="33" spans="1:9" s="23" customFormat="1" ht="31" customHeight="1" x14ac:dyDescent="0.35">
      <c r="A33" s="48"/>
      <c r="B33" s="15" t="s">
        <v>85</v>
      </c>
      <c r="C33" s="16">
        <v>1243792</v>
      </c>
      <c r="D33" s="16">
        <f t="shared" si="0"/>
        <v>8333.3333333333339</v>
      </c>
      <c r="E33" s="17">
        <f t="shared" si="1"/>
        <v>1252125.3333333333</v>
      </c>
      <c r="F33" s="18">
        <f t="shared" si="2"/>
        <v>1052125.333333343</v>
      </c>
      <c r="G33" s="19"/>
      <c r="I33" s="47"/>
    </row>
    <row r="34" spans="1:9" s="23" customFormat="1" ht="31" customHeight="1" x14ac:dyDescent="0.35">
      <c r="A34" s="48"/>
      <c r="B34" s="15" t="s">
        <v>86</v>
      </c>
      <c r="C34" s="16">
        <v>1243792</v>
      </c>
      <c r="D34" s="16">
        <f t="shared" si="0"/>
        <v>8333.3333333333339</v>
      </c>
      <c r="E34" s="17">
        <f t="shared" si="1"/>
        <v>1252125.3333333333</v>
      </c>
      <c r="F34" s="18">
        <f t="shared" si="2"/>
        <v>-199999.99999999022</v>
      </c>
      <c r="G34" s="19"/>
      <c r="I34" s="47"/>
    </row>
    <row r="35" spans="1:9" s="23" customFormat="1" ht="31" customHeight="1" x14ac:dyDescent="0.3">
      <c r="A35" s="76" t="s">
        <v>26</v>
      </c>
      <c r="B35" s="77"/>
      <c r="C35" s="28">
        <f>SUM(C11:C34)</f>
        <v>29851008</v>
      </c>
      <c r="D35" s="28">
        <f>SUM(D11:D34)</f>
        <v>200000.00000000006</v>
      </c>
      <c r="E35" s="28">
        <f>SUM(E11:E34)</f>
        <v>30051007.999999989</v>
      </c>
      <c r="F35" s="18"/>
      <c r="G35" s="19"/>
      <c r="H35" s="2"/>
      <c r="I35" s="46"/>
    </row>
    <row r="37" spans="1:9" ht="19.5" customHeight="1" x14ac:dyDescent="0.3">
      <c r="A37" s="29" t="s">
        <v>27</v>
      </c>
      <c r="B37" s="78" t="s">
        <v>28</v>
      </c>
      <c r="C37" s="78"/>
      <c r="D37" s="78"/>
      <c r="E37" s="78"/>
      <c r="F37" s="78"/>
    </row>
    <row r="38" spans="1:9" x14ac:dyDescent="0.3">
      <c r="B38" s="31" t="s">
        <v>29</v>
      </c>
      <c r="C38" s="32">
        <v>9000000</v>
      </c>
    </row>
    <row r="39" spans="1:9" ht="28" x14ac:dyDescent="0.3">
      <c r="B39" s="31" t="s">
        <v>30</v>
      </c>
      <c r="C39" s="33">
        <v>5000000</v>
      </c>
    </row>
    <row r="40" spans="1:9" x14ac:dyDescent="0.3">
      <c r="B40" s="34" t="s">
        <v>31</v>
      </c>
      <c r="C40" s="35">
        <f>C38+C39</f>
        <v>14000000</v>
      </c>
    </row>
  </sheetData>
  <mergeCells count="13">
    <mergeCell ref="E7:E8"/>
    <mergeCell ref="A35:B35"/>
    <mergeCell ref="B37:F37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honeticPr fontId="7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76B4-C56C-4400-8ECA-CACD28C4F45F}">
  <sheetPr>
    <tabColor theme="1"/>
  </sheetPr>
  <dimension ref="A1:K40"/>
  <sheetViews>
    <sheetView view="pageBreakPreview" zoomScale="85" zoomScaleNormal="85" zoomScaleSheetLayoutView="85" workbookViewId="0">
      <selection activeCell="H14" sqref="H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4" style="46" bestFit="1" customWidth="1"/>
    <col min="10" max="10" width="11.81640625" style="2" bestFit="1" customWidth="1"/>
    <col min="11" max="11" width="12" style="2" bestFit="1" customWidth="1"/>
    <col min="12" max="16384" width="9.1796875" style="2"/>
  </cols>
  <sheetData>
    <row r="1" spans="1:11" x14ac:dyDescent="0.3">
      <c r="A1" s="74" t="s">
        <v>0</v>
      </c>
      <c r="B1" s="74"/>
      <c r="C1" s="74"/>
      <c r="D1" s="74"/>
      <c r="E1" s="74"/>
      <c r="F1" s="74"/>
      <c r="G1" s="74"/>
    </row>
    <row r="2" spans="1:11" x14ac:dyDescent="0.3">
      <c r="A2" s="74" t="s">
        <v>71</v>
      </c>
      <c r="B2" s="74"/>
      <c r="C2" s="74"/>
      <c r="D2" s="74"/>
      <c r="E2" s="74"/>
      <c r="F2" s="74"/>
      <c r="G2" s="74"/>
    </row>
    <row r="3" spans="1:11" x14ac:dyDescent="0.3">
      <c r="A3" s="74" t="s">
        <v>70</v>
      </c>
      <c r="B3" s="74"/>
      <c r="C3" s="74"/>
      <c r="D3" s="74"/>
      <c r="E3" s="74"/>
      <c r="F3" s="74"/>
      <c r="G3" s="74"/>
    </row>
    <row r="4" spans="1:11" x14ac:dyDescent="0.3">
      <c r="A4" s="1"/>
      <c r="B4" s="1"/>
      <c r="C4" s="1"/>
      <c r="D4" s="1"/>
      <c r="E4" s="1"/>
      <c r="F4" s="1"/>
    </row>
    <row r="5" spans="1:11" x14ac:dyDescent="0.3">
      <c r="A5" s="3" t="s">
        <v>3</v>
      </c>
      <c r="B5" s="80" t="s">
        <v>69</v>
      </c>
      <c r="C5" s="80"/>
      <c r="D5" s="80"/>
      <c r="E5" s="80"/>
      <c r="F5" s="80"/>
    </row>
    <row r="6" spans="1:11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1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1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1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1" ht="36.75" customHeight="1" x14ac:dyDescent="0.3">
      <c r="A10" s="9"/>
      <c r="B10" s="10"/>
      <c r="C10" s="10"/>
      <c r="D10" s="10"/>
      <c r="E10" s="11"/>
      <c r="F10" s="12">
        <f>C35</f>
        <v>52795607.666666664</v>
      </c>
      <c r="G10" s="13"/>
      <c r="I10" s="51"/>
    </row>
    <row r="11" spans="1:11" s="23" customFormat="1" ht="31" customHeight="1" x14ac:dyDescent="0.35">
      <c r="A11" s="14"/>
      <c r="B11" s="15" t="s">
        <v>16</v>
      </c>
      <c r="C11" s="16">
        <f>K20</f>
        <v>2199816.6666666665</v>
      </c>
      <c r="D11" s="16">
        <f t="shared" ref="D11:D34" si="0">200000/24</f>
        <v>8333.3333333333339</v>
      </c>
      <c r="E11" s="17">
        <f t="shared" ref="E11:E34" si="1">C11+D11</f>
        <v>2208150</v>
      </c>
      <c r="F11" s="18">
        <f>$F$10-E11</f>
        <v>50587457.666666664</v>
      </c>
      <c r="G11" s="19"/>
      <c r="H11" s="20"/>
      <c r="I11" s="50"/>
      <c r="J11" s="22"/>
    </row>
    <row r="12" spans="1:11" s="23" customFormat="1" ht="31" customHeight="1" x14ac:dyDescent="0.35">
      <c r="A12" s="24"/>
      <c r="B12" s="15" t="s">
        <v>17</v>
      </c>
      <c r="C12" s="16">
        <v>2199817</v>
      </c>
      <c r="D12" s="16">
        <f t="shared" si="0"/>
        <v>8333.3333333333339</v>
      </c>
      <c r="E12" s="17">
        <f t="shared" si="1"/>
        <v>2208150.3333333335</v>
      </c>
      <c r="F12" s="18">
        <f t="shared" ref="F12:F34" si="2">F11-E12</f>
        <v>48379307.333333328</v>
      </c>
      <c r="G12" s="19"/>
      <c r="I12" s="47"/>
    </row>
    <row r="13" spans="1:11" s="23" customFormat="1" ht="31" customHeight="1" x14ac:dyDescent="0.35">
      <c r="A13" s="24"/>
      <c r="B13" s="15" t="s">
        <v>18</v>
      </c>
      <c r="C13" s="16">
        <v>2199817</v>
      </c>
      <c r="D13" s="16">
        <f t="shared" si="0"/>
        <v>8333.3333333333339</v>
      </c>
      <c r="E13" s="17">
        <f t="shared" si="1"/>
        <v>2208150.3333333335</v>
      </c>
      <c r="F13" s="18">
        <f t="shared" si="2"/>
        <v>46171156.999999993</v>
      </c>
      <c r="G13" s="19"/>
      <c r="H13" s="23" t="s">
        <v>67</v>
      </c>
      <c r="I13" s="47">
        <v>41560000</v>
      </c>
    </row>
    <row r="14" spans="1:11" s="23" customFormat="1" ht="31" customHeight="1" x14ac:dyDescent="0.35">
      <c r="A14" s="25"/>
      <c r="B14" s="15" t="s">
        <v>19</v>
      </c>
      <c r="C14" s="16">
        <v>2199817</v>
      </c>
      <c r="D14" s="16">
        <f t="shared" si="0"/>
        <v>8333.3333333333339</v>
      </c>
      <c r="E14" s="17">
        <f t="shared" si="1"/>
        <v>2208150.3333333335</v>
      </c>
      <c r="F14" s="18">
        <f t="shared" si="2"/>
        <v>43963006.666666657</v>
      </c>
      <c r="G14" s="19"/>
      <c r="H14" s="23" t="s">
        <v>68</v>
      </c>
      <c r="I14" s="47">
        <f>I13*26%</f>
        <v>10805600</v>
      </c>
      <c r="J14" s="23">
        <v>2208150</v>
      </c>
    </row>
    <row r="15" spans="1:11" s="23" customFormat="1" ht="31" customHeight="1" x14ac:dyDescent="0.35">
      <c r="A15" s="26"/>
      <c r="B15" s="15" t="s">
        <v>20</v>
      </c>
      <c r="C15" s="16">
        <v>2199817</v>
      </c>
      <c r="D15" s="16">
        <f t="shared" si="0"/>
        <v>8333.3333333333339</v>
      </c>
      <c r="E15" s="17">
        <f t="shared" si="1"/>
        <v>2208150.3333333335</v>
      </c>
      <c r="F15" s="18">
        <f t="shared" si="2"/>
        <v>41754856.333333321</v>
      </c>
      <c r="G15" s="19"/>
      <c r="H15" s="23" t="s">
        <v>65</v>
      </c>
      <c r="I15" s="47">
        <f>I13+I14</f>
        <v>52365600</v>
      </c>
      <c r="J15" s="49">
        <f>I15/24</f>
        <v>2181900</v>
      </c>
    </row>
    <row r="16" spans="1:11" s="23" customFormat="1" ht="31" customHeight="1" x14ac:dyDescent="0.35">
      <c r="A16" s="27"/>
      <c r="B16" s="15" t="s">
        <v>21</v>
      </c>
      <c r="C16" s="16">
        <v>2199817</v>
      </c>
      <c r="D16" s="16">
        <f t="shared" si="0"/>
        <v>8333.3333333333339</v>
      </c>
      <c r="E16" s="17">
        <f t="shared" si="1"/>
        <v>2208150.3333333335</v>
      </c>
      <c r="F16" s="18">
        <f t="shared" si="2"/>
        <v>39546705.999999985</v>
      </c>
      <c r="G16" s="19"/>
      <c r="H16" s="23" t="s">
        <v>64</v>
      </c>
      <c r="I16" s="47">
        <v>200000</v>
      </c>
      <c r="J16" s="49">
        <f>J14-J15</f>
        <v>26250</v>
      </c>
      <c r="K16" s="49">
        <f>J16*J17</f>
        <v>630000</v>
      </c>
    </row>
    <row r="17" spans="1:11" s="23" customFormat="1" ht="31" customHeight="1" x14ac:dyDescent="0.35">
      <c r="A17" s="27"/>
      <c r="B17" s="15" t="s">
        <v>22</v>
      </c>
      <c r="C17" s="16">
        <v>2199817</v>
      </c>
      <c r="D17" s="16">
        <f t="shared" si="0"/>
        <v>8333.3333333333339</v>
      </c>
      <c r="E17" s="17">
        <f t="shared" si="1"/>
        <v>2208150.3333333335</v>
      </c>
      <c r="F17" s="18">
        <f t="shared" si="2"/>
        <v>37338555.666666649</v>
      </c>
      <c r="G17" s="19"/>
      <c r="I17" s="47"/>
      <c r="J17" s="23">
        <v>24</v>
      </c>
    </row>
    <row r="18" spans="1:11" s="23" customFormat="1" ht="31" customHeight="1" x14ac:dyDescent="0.35">
      <c r="A18" s="27"/>
      <c r="B18" s="15" t="s">
        <v>23</v>
      </c>
      <c r="C18" s="16">
        <v>2199817</v>
      </c>
      <c r="D18" s="16">
        <f t="shared" si="0"/>
        <v>8333.3333333333339</v>
      </c>
      <c r="E18" s="17">
        <f t="shared" si="1"/>
        <v>2208150.3333333335</v>
      </c>
      <c r="F18" s="18">
        <f t="shared" si="2"/>
        <v>35130405.333333313</v>
      </c>
      <c r="G18" s="19"/>
      <c r="H18" s="23" t="s">
        <v>67</v>
      </c>
      <c r="I18" s="47">
        <v>42060000</v>
      </c>
      <c r="J18" s="49"/>
    </row>
    <row r="19" spans="1:11" s="23" customFormat="1" ht="31" customHeight="1" x14ac:dyDescent="0.35">
      <c r="A19" s="26"/>
      <c r="B19" s="15" t="s">
        <v>24</v>
      </c>
      <c r="C19" s="16">
        <v>2199817</v>
      </c>
      <c r="D19" s="16">
        <f t="shared" si="0"/>
        <v>8333.3333333333339</v>
      </c>
      <c r="E19" s="17">
        <f t="shared" si="1"/>
        <v>2208150.3333333335</v>
      </c>
      <c r="F19" s="18">
        <f t="shared" si="2"/>
        <v>32922254.999999981</v>
      </c>
      <c r="G19" s="19"/>
      <c r="H19" s="23" t="s">
        <v>68</v>
      </c>
      <c r="I19" s="47">
        <f>I18*26%</f>
        <v>10935600</v>
      </c>
    </row>
    <row r="20" spans="1:11" s="23" customFormat="1" ht="31" customHeight="1" x14ac:dyDescent="0.35">
      <c r="A20" s="26"/>
      <c r="B20" s="15" t="s">
        <v>25</v>
      </c>
      <c r="C20" s="16">
        <v>2199817</v>
      </c>
      <c r="D20" s="16">
        <f t="shared" si="0"/>
        <v>8333.3333333333339</v>
      </c>
      <c r="E20" s="17">
        <f t="shared" si="1"/>
        <v>2208150.3333333335</v>
      </c>
      <c r="F20" s="18">
        <f t="shared" si="2"/>
        <v>30714104.666666649</v>
      </c>
      <c r="G20" s="19"/>
      <c r="H20" s="23" t="s">
        <v>65</v>
      </c>
      <c r="I20" s="47">
        <f>I18+I19</f>
        <v>52995600</v>
      </c>
      <c r="J20" s="49">
        <f>I20/24</f>
        <v>2208150</v>
      </c>
      <c r="K20" s="49">
        <f>J20-D19</f>
        <v>2199816.6666666665</v>
      </c>
    </row>
    <row r="21" spans="1:11" s="23" customFormat="1" ht="31" customHeight="1" x14ac:dyDescent="0.35">
      <c r="A21" s="48"/>
      <c r="B21" s="15" t="s">
        <v>62</v>
      </c>
      <c r="C21" s="16">
        <v>2199817</v>
      </c>
      <c r="D21" s="16">
        <f t="shared" si="0"/>
        <v>8333.3333333333339</v>
      </c>
      <c r="E21" s="17">
        <f t="shared" si="1"/>
        <v>2208150.3333333335</v>
      </c>
      <c r="F21" s="18">
        <f t="shared" si="2"/>
        <v>28505954.333333317</v>
      </c>
      <c r="G21" s="19"/>
      <c r="H21" s="23" t="s">
        <v>64</v>
      </c>
      <c r="I21" s="47">
        <v>200000</v>
      </c>
      <c r="J21" s="49">
        <f>I21/24</f>
        <v>8333.3333333333339</v>
      </c>
    </row>
    <row r="22" spans="1:11" s="23" customFormat="1" ht="31" customHeight="1" x14ac:dyDescent="0.35">
      <c r="A22" s="48"/>
      <c r="B22" s="15" t="s">
        <v>61</v>
      </c>
      <c r="C22" s="16">
        <v>2199817</v>
      </c>
      <c r="D22" s="16">
        <f t="shared" si="0"/>
        <v>8333.3333333333339</v>
      </c>
      <c r="E22" s="17">
        <f t="shared" si="1"/>
        <v>2208150.3333333335</v>
      </c>
      <c r="F22" s="18">
        <f t="shared" si="2"/>
        <v>26297803.999999985</v>
      </c>
      <c r="G22" s="19"/>
      <c r="I22" s="47"/>
    </row>
    <row r="23" spans="1:11" s="23" customFormat="1" ht="31" customHeight="1" x14ac:dyDescent="0.35">
      <c r="A23" s="14"/>
      <c r="B23" s="15" t="s">
        <v>75</v>
      </c>
      <c r="C23" s="16">
        <v>2199817</v>
      </c>
      <c r="D23" s="16">
        <f t="shared" si="0"/>
        <v>8333.3333333333339</v>
      </c>
      <c r="E23" s="17">
        <f t="shared" si="1"/>
        <v>2208150.3333333335</v>
      </c>
      <c r="F23" s="18">
        <f t="shared" si="2"/>
        <v>24089653.666666653</v>
      </c>
      <c r="G23" s="19"/>
      <c r="H23" s="20"/>
      <c r="I23" s="50"/>
      <c r="J23" s="22"/>
    </row>
    <row r="24" spans="1:11" s="23" customFormat="1" ht="31" customHeight="1" x14ac:dyDescent="0.35">
      <c r="A24" s="24"/>
      <c r="B24" s="15" t="s">
        <v>76</v>
      </c>
      <c r="C24" s="16">
        <v>2199817</v>
      </c>
      <c r="D24" s="16">
        <f t="shared" si="0"/>
        <v>8333.3333333333339</v>
      </c>
      <c r="E24" s="17">
        <f t="shared" si="1"/>
        <v>2208150.3333333335</v>
      </c>
      <c r="F24" s="18">
        <f t="shared" si="2"/>
        <v>21881503.333333321</v>
      </c>
      <c r="G24" s="19"/>
      <c r="I24" s="47"/>
    </row>
    <row r="25" spans="1:11" s="23" customFormat="1" ht="31" customHeight="1" x14ac:dyDescent="0.35">
      <c r="A25" s="24"/>
      <c r="B25" s="15" t="s">
        <v>77</v>
      </c>
      <c r="C25" s="16">
        <v>2199817</v>
      </c>
      <c r="D25" s="16">
        <f t="shared" si="0"/>
        <v>8333.3333333333339</v>
      </c>
      <c r="E25" s="17">
        <f t="shared" si="1"/>
        <v>2208150.3333333335</v>
      </c>
      <c r="F25" s="18">
        <f t="shared" si="2"/>
        <v>19673352.999999989</v>
      </c>
      <c r="G25" s="19"/>
      <c r="H25" s="23" t="s">
        <v>67</v>
      </c>
      <c r="I25" s="47">
        <v>16700000</v>
      </c>
    </row>
    <row r="26" spans="1:11" s="23" customFormat="1" ht="31" customHeight="1" x14ac:dyDescent="0.35">
      <c r="A26" s="25"/>
      <c r="B26" s="15" t="s">
        <v>78</v>
      </c>
      <c r="C26" s="16">
        <v>2199817</v>
      </c>
      <c r="D26" s="16">
        <f t="shared" si="0"/>
        <v>8333.3333333333339</v>
      </c>
      <c r="E26" s="17">
        <f t="shared" si="1"/>
        <v>2208150.3333333335</v>
      </c>
      <c r="F26" s="18">
        <f t="shared" si="2"/>
        <v>17465202.666666657</v>
      </c>
      <c r="G26" s="19"/>
      <c r="H26" s="23" t="s">
        <v>66</v>
      </c>
      <c r="I26" s="47">
        <f>I25*10%</f>
        <v>1670000</v>
      </c>
    </row>
    <row r="27" spans="1:11" s="23" customFormat="1" ht="31" customHeight="1" x14ac:dyDescent="0.35">
      <c r="A27" s="26"/>
      <c r="B27" s="15" t="s">
        <v>79</v>
      </c>
      <c r="C27" s="16">
        <v>2199817</v>
      </c>
      <c r="D27" s="16">
        <f t="shared" si="0"/>
        <v>8333.3333333333339</v>
      </c>
      <c r="E27" s="17">
        <f t="shared" si="1"/>
        <v>2208150.3333333335</v>
      </c>
      <c r="F27" s="18">
        <f t="shared" si="2"/>
        <v>15257052.333333323</v>
      </c>
      <c r="G27" s="19"/>
      <c r="H27" s="23" t="s">
        <v>65</v>
      </c>
      <c r="I27" s="47">
        <f>I25+I26</f>
        <v>18370000</v>
      </c>
      <c r="J27" s="49">
        <f>I27/12</f>
        <v>1530833.3333333333</v>
      </c>
    </row>
    <row r="28" spans="1:11" s="23" customFormat="1" ht="31" customHeight="1" x14ac:dyDescent="0.35">
      <c r="A28" s="27"/>
      <c r="B28" s="15" t="s">
        <v>80</v>
      </c>
      <c r="C28" s="16">
        <v>2199817</v>
      </c>
      <c r="D28" s="16">
        <f t="shared" si="0"/>
        <v>8333.3333333333339</v>
      </c>
      <c r="E28" s="17">
        <f t="shared" si="1"/>
        <v>2208150.3333333335</v>
      </c>
      <c r="F28" s="18">
        <f t="shared" si="2"/>
        <v>13048901.999999989</v>
      </c>
      <c r="G28" s="19"/>
      <c r="H28" s="23" t="s">
        <v>64</v>
      </c>
      <c r="I28" s="47">
        <v>100000</v>
      </c>
      <c r="J28" s="23" t="s">
        <v>63</v>
      </c>
    </row>
    <row r="29" spans="1:11" s="23" customFormat="1" ht="31" customHeight="1" x14ac:dyDescent="0.35">
      <c r="A29" s="27"/>
      <c r="B29" s="15" t="s">
        <v>81</v>
      </c>
      <c r="C29" s="16">
        <v>2199817</v>
      </c>
      <c r="D29" s="16">
        <f t="shared" si="0"/>
        <v>8333.3333333333339</v>
      </c>
      <c r="E29" s="17">
        <f t="shared" si="1"/>
        <v>2208150.3333333335</v>
      </c>
      <c r="F29" s="18">
        <f t="shared" si="2"/>
        <v>10840751.666666655</v>
      </c>
      <c r="G29" s="19"/>
      <c r="I29" s="47"/>
    </row>
    <row r="30" spans="1:11" s="23" customFormat="1" ht="31" customHeight="1" x14ac:dyDescent="0.35">
      <c r="A30" s="27"/>
      <c r="B30" s="15" t="s">
        <v>82</v>
      </c>
      <c r="C30" s="16">
        <v>2199817</v>
      </c>
      <c r="D30" s="16">
        <f t="shared" si="0"/>
        <v>8333.3333333333339</v>
      </c>
      <c r="E30" s="17">
        <f t="shared" si="1"/>
        <v>2208150.3333333335</v>
      </c>
      <c r="F30" s="18">
        <f t="shared" si="2"/>
        <v>8632601.3333333209</v>
      </c>
      <c r="G30" s="19"/>
      <c r="I30" s="47"/>
    </row>
    <row r="31" spans="1:11" s="23" customFormat="1" ht="31" customHeight="1" x14ac:dyDescent="0.35">
      <c r="A31" s="26"/>
      <c r="B31" s="15" t="s">
        <v>83</v>
      </c>
      <c r="C31" s="16">
        <v>2199817</v>
      </c>
      <c r="D31" s="16">
        <f t="shared" si="0"/>
        <v>8333.3333333333339</v>
      </c>
      <c r="E31" s="17">
        <f t="shared" si="1"/>
        <v>2208150.3333333335</v>
      </c>
      <c r="F31" s="18">
        <f t="shared" si="2"/>
        <v>6424450.999999987</v>
      </c>
      <c r="G31" s="19"/>
      <c r="I31" s="47"/>
    </row>
    <row r="32" spans="1:11" s="23" customFormat="1" ht="31" customHeight="1" x14ac:dyDescent="0.35">
      <c r="A32" s="26"/>
      <c r="B32" s="15" t="s">
        <v>84</v>
      </c>
      <c r="C32" s="16">
        <v>2199817</v>
      </c>
      <c r="D32" s="16">
        <f t="shared" si="0"/>
        <v>8333.3333333333339</v>
      </c>
      <c r="E32" s="17">
        <f t="shared" si="1"/>
        <v>2208150.3333333335</v>
      </c>
      <c r="F32" s="18">
        <f t="shared" si="2"/>
        <v>4216300.666666653</v>
      </c>
      <c r="G32" s="19"/>
      <c r="I32" s="47"/>
    </row>
    <row r="33" spans="1:9" s="23" customFormat="1" ht="31" customHeight="1" x14ac:dyDescent="0.35">
      <c r="A33" s="48"/>
      <c r="B33" s="15" t="s">
        <v>85</v>
      </c>
      <c r="C33" s="16">
        <v>2199817</v>
      </c>
      <c r="D33" s="16">
        <f t="shared" si="0"/>
        <v>8333.3333333333339</v>
      </c>
      <c r="E33" s="17">
        <f t="shared" si="1"/>
        <v>2208150.3333333335</v>
      </c>
      <c r="F33" s="18">
        <f t="shared" si="2"/>
        <v>2008150.3333333195</v>
      </c>
      <c r="G33" s="19"/>
      <c r="I33" s="47"/>
    </row>
    <row r="34" spans="1:9" s="23" customFormat="1" ht="31" customHeight="1" x14ac:dyDescent="0.35">
      <c r="A34" s="48"/>
      <c r="B34" s="15" t="s">
        <v>86</v>
      </c>
      <c r="C34" s="16">
        <v>2199817</v>
      </c>
      <c r="D34" s="16">
        <f t="shared" si="0"/>
        <v>8333.3333333333339</v>
      </c>
      <c r="E34" s="17">
        <f t="shared" si="1"/>
        <v>2208150.3333333335</v>
      </c>
      <c r="F34" s="18">
        <f t="shared" si="2"/>
        <v>-200000.00000001397</v>
      </c>
      <c r="G34" s="19"/>
      <c r="I34" s="47"/>
    </row>
    <row r="35" spans="1:9" s="23" customFormat="1" ht="31" customHeight="1" x14ac:dyDescent="0.3">
      <c r="A35" s="76" t="s">
        <v>26</v>
      </c>
      <c r="B35" s="77"/>
      <c r="C35" s="28">
        <f>SUM(C11:C34)</f>
        <v>52795607.666666664</v>
      </c>
      <c r="D35" s="28"/>
      <c r="E35" s="28">
        <f>SUM(E11:E34)</f>
        <v>52995607.666666679</v>
      </c>
      <c r="F35" s="18"/>
      <c r="G35" s="19"/>
      <c r="H35" s="2"/>
      <c r="I35" s="46"/>
    </row>
    <row r="37" spans="1:9" ht="19.5" customHeight="1" x14ac:dyDescent="0.3">
      <c r="A37" s="29" t="s">
        <v>27</v>
      </c>
      <c r="B37" s="78" t="s">
        <v>28</v>
      </c>
      <c r="C37" s="78"/>
      <c r="D37" s="78"/>
      <c r="E37" s="78"/>
      <c r="F37" s="78"/>
    </row>
    <row r="38" spans="1:9" x14ac:dyDescent="0.3">
      <c r="B38" s="31" t="s">
        <v>29</v>
      </c>
      <c r="C38" s="32">
        <v>9000000</v>
      </c>
    </row>
    <row r="39" spans="1:9" ht="28" x14ac:dyDescent="0.3">
      <c r="B39" s="31" t="s">
        <v>30</v>
      </c>
      <c r="C39" s="33">
        <v>5000000</v>
      </c>
    </row>
    <row r="40" spans="1:9" x14ac:dyDescent="0.3">
      <c r="B40" s="34" t="s">
        <v>31</v>
      </c>
      <c r="C40" s="35">
        <f>C38+C39</f>
        <v>14000000</v>
      </c>
    </row>
  </sheetData>
  <mergeCells count="13">
    <mergeCell ref="A35:B35"/>
    <mergeCell ref="B37:F37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  <mergeCell ref="E7:E8"/>
  </mergeCells>
  <phoneticPr fontId="7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0768-6A02-4005-8518-D12744A3F2C6}">
  <sheetPr>
    <tabColor rgb="FFFF0000"/>
  </sheetPr>
  <dimension ref="A1:J19"/>
  <sheetViews>
    <sheetView view="pageBreakPreview" zoomScale="85" zoomScaleNormal="85" zoomScaleSheetLayoutView="85" workbookViewId="0">
      <selection activeCell="M6" sqref="M6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46</v>
      </c>
      <c r="B2" s="74"/>
      <c r="C2" s="74"/>
      <c r="D2" s="74"/>
      <c r="E2" s="74"/>
      <c r="F2" s="74"/>
      <c r="G2" s="74"/>
    </row>
    <row r="3" spans="1:10" x14ac:dyDescent="0.3">
      <c r="A3" s="74" t="s">
        <v>45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44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45742</v>
      </c>
      <c r="B10" s="10"/>
      <c r="C10" s="10"/>
      <c r="D10" s="10"/>
      <c r="E10" s="11"/>
      <c r="F10" s="12">
        <f>C14+D14</f>
        <v>3587496</v>
      </c>
      <c r="G10" s="13"/>
    </row>
    <row r="11" spans="1:10" s="23" customFormat="1" ht="31" customHeight="1" x14ac:dyDescent="0.35">
      <c r="A11" s="36">
        <v>45772</v>
      </c>
      <c r="B11" s="15" t="s">
        <v>16</v>
      </c>
      <c r="C11" s="16">
        <v>1709928</v>
      </c>
      <c r="D11" s="16">
        <f>167640/2</f>
        <v>83820</v>
      </c>
      <c r="E11" s="17">
        <f>C11+D11</f>
        <v>1793748</v>
      </c>
      <c r="F11" s="18">
        <f>F10-E11</f>
        <v>1793748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36">
        <v>45800</v>
      </c>
      <c r="B12" s="15" t="s">
        <v>17</v>
      </c>
      <c r="C12" s="16">
        <v>1709928</v>
      </c>
      <c r="D12" s="16">
        <f>167640/2</f>
        <v>83820</v>
      </c>
      <c r="E12" s="17">
        <f>C12+D12</f>
        <v>1793748</v>
      </c>
      <c r="F12" s="18">
        <f>F11-E12</f>
        <v>0</v>
      </c>
      <c r="G12" s="19"/>
    </row>
    <row r="13" spans="1:10" s="23" customFormat="1" ht="31" customHeight="1" x14ac:dyDescent="0.35">
      <c r="A13" s="26"/>
      <c r="B13" s="15"/>
      <c r="C13" s="16"/>
      <c r="D13" s="16"/>
      <c r="E13" s="17"/>
      <c r="F13" s="18"/>
      <c r="G13" s="19"/>
    </row>
    <row r="14" spans="1:10" s="23" customFormat="1" ht="31" customHeight="1" x14ac:dyDescent="0.35">
      <c r="A14" s="76" t="s">
        <v>26</v>
      </c>
      <c r="B14" s="77"/>
      <c r="C14" s="28">
        <f>SUM(C11:C13)</f>
        <v>3419856</v>
      </c>
      <c r="D14" s="28">
        <f>SUM(D11:D13)</f>
        <v>167640</v>
      </c>
      <c r="E14" s="28">
        <f>SUM(E11:E13)</f>
        <v>3587496</v>
      </c>
      <c r="F14" s="18"/>
      <c r="G14" s="19"/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AD83-B474-4750-B8A6-36DB59368BCE}">
  <sheetPr>
    <tabColor theme="1"/>
  </sheetPr>
  <dimension ref="A1:J26"/>
  <sheetViews>
    <sheetView view="pageBreakPreview" zoomScale="85" zoomScaleNormal="85" zoomScaleSheetLayoutView="85" workbookViewId="0">
      <selection activeCell="A19" sqref="A19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</v>
      </c>
      <c r="B2" s="74"/>
      <c r="C2" s="74"/>
      <c r="D2" s="74"/>
      <c r="E2" s="74"/>
      <c r="F2" s="74"/>
      <c r="G2" s="74"/>
    </row>
    <row r="3" spans="1:10" x14ac:dyDescent="0.3">
      <c r="A3" s="74" t="s">
        <v>34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32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9"/>
      <c r="B10" s="10"/>
      <c r="C10" s="10"/>
      <c r="D10" s="10"/>
      <c r="E10" s="11"/>
      <c r="F10" s="12">
        <f>C21+D21</f>
        <v>5106530</v>
      </c>
      <c r="G10" s="13"/>
    </row>
    <row r="11" spans="1:10" s="23" customFormat="1" ht="31" customHeight="1" x14ac:dyDescent="0.35">
      <c r="A11" s="14"/>
      <c r="B11" s="15" t="s">
        <v>16</v>
      </c>
      <c r="C11" s="16">
        <v>500653</v>
      </c>
      <c r="D11" s="16">
        <f t="shared" ref="D11:D20" si="0">100000/10</f>
        <v>10000</v>
      </c>
      <c r="E11" s="17">
        <f t="shared" ref="E11:E20" si="1">C11+D11</f>
        <v>510653</v>
      </c>
      <c r="F11" s="18">
        <f t="shared" ref="F11:F20" si="2">F10-E11</f>
        <v>4595877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24"/>
      <c r="B12" s="15" t="s">
        <v>17</v>
      </c>
      <c r="C12" s="16">
        <v>500653</v>
      </c>
      <c r="D12" s="16">
        <f t="shared" si="0"/>
        <v>10000</v>
      </c>
      <c r="E12" s="17">
        <f t="shared" si="1"/>
        <v>510653</v>
      </c>
      <c r="F12" s="18">
        <f t="shared" si="2"/>
        <v>4085224</v>
      </c>
      <c r="G12" s="19"/>
    </row>
    <row r="13" spans="1:10" s="23" customFormat="1" ht="31" customHeight="1" x14ac:dyDescent="0.35">
      <c r="A13" s="24"/>
      <c r="B13" s="15" t="s">
        <v>18</v>
      </c>
      <c r="C13" s="16">
        <v>500653</v>
      </c>
      <c r="D13" s="16">
        <f t="shared" si="0"/>
        <v>10000</v>
      </c>
      <c r="E13" s="17">
        <f t="shared" si="1"/>
        <v>510653</v>
      </c>
      <c r="F13" s="18">
        <f t="shared" si="2"/>
        <v>3574571</v>
      </c>
      <c r="G13" s="19"/>
      <c r="H13" s="23" t="s">
        <v>12</v>
      </c>
    </row>
    <row r="14" spans="1:10" s="23" customFormat="1" ht="31" customHeight="1" x14ac:dyDescent="0.35">
      <c r="A14" s="25"/>
      <c r="B14" s="15" t="s">
        <v>19</v>
      </c>
      <c r="C14" s="16">
        <v>500653</v>
      </c>
      <c r="D14" s="16">
        <f t="shared" si="0"/>
        <v>10000</v>
      </c>
      <c r="E14" s="17">
        <f t="shared" si="1"/>
        <v>510653</v>
      </c>
      <c r="F14" s="18">
        <f t="shared" si="2"/>
        <v>3063918</v>
      </c>
      <c r="G14" s="19"/>
    </row>
    <row r="15" spans="1:10" s="23" customFormat="1" ht="31" customHeight="1" x14ac:dyDescent="0.35">
      <c r="A15" s="26"/>
      <c r="B15" s="15" t="s">
        <v>20</v>
      </c>
      <c r="C15" s="16">
        <v>500653</v>
      </c>
      <c r="D15" s="16">
        <f t="shared" si="0"/>
        <v>10000</v>
      </c>
      <c r="E15" s="17">
        <f t="shared" si="1"/>
        <v>510653</v>
      </c>
      <c r="F15" s="18">
        <f t="shared" si="2"/>
        <v>2553265</v>
      </c>
      <c r="G15" s="19"/>
    </row>
    <row r="16" spans="1:10" s="23" customFormat="1" ht="31" customHeight="1" x14ac:dyDescent="0.35">
      <c r="A16" s="27"/>
      <c r="B16" s="15" t="s">
        <v>21</v>
      </c>
      <c r="C16" s="16">
        <v>500653</v>
      </c>
      <c r="D16" s="16">
        <f t="shared" si="0"/>
        <v>10000</v>
      </c>
      <c r="E16" s="17">
        <f t="shared" si="1"/>
        <v>510653</v>
      </c>
      <c r="F16" s="18">
        <f t="shared" si="2"/>
        <v>2042612</v>
      </c>
      <c r="G16" s="19"/>
    </row>
    <row r="17" spans="1:7" s="23" customFormat="1" ht="31" customHeight="1" x14ac:dyDescent="0.35">
      <c r="A17" s="27"/>
      <c r="B17" s="15" t="s">
        <v>22</v>
      </c>
      <c r="C17" s="16">
        <v>500653</v>
      </c>
      <c r="D17" s="16">
        <f t="shared" si="0"/>
        <v>10000</v>
      </c>
      <c r="E17" s="17">
        <f t="shared" si="1"/>
        <v>510653</v>
      </c>
      <c r="F17" s="18">
        <f t="shared" si="2"/>
        <v>1531959</v>
      </c>
      <c r="G17" s="19"/>
    </row>
    <row r="18" spans="1:7" s="23" customFormat="1" ht="31" customHeight="1" x14ac:dyDescent="0.35">
      <c r="A18" s="27"/>
      <c r="B18" s="15" t="s">
        <v>23</v>
      </c>
      <c r="C18" s="16">
        <v>500653</v>
      </c>
      <c r="D18" s="16">
        <f t="shared" si="0"/>
        <v>10000</v>
      </c>
      <c r="E18" s="17">
        <f t="shared" si="1"/>
        <v>510653</v>
      </c>
      <c r="F18" s="18">
        <f t="shared" si="2"/>
        <v>1021306</v>
      </c>
      <c r="G18" s="19"/>
    </row>
    <row r="19" spans="1:7" s="23" customFormat="1" ht="31" customHeight="1" x14ac:dyDescent="0.35">
      <c r="A19" s="26"/>
      <c r="B19" s="15" t="s">
        <v>24</v>
      </c>
      <c r="C19" s="16">
        <v>500653</v>
      </c>
      <c r="D19" s="16">
        <f t="shared" si="0"/>
        <v>10000</v>
      </c>
      <c r="E19" s="17">
        <f t="shared" si="1"/>
        <v>510653</v>
      </c>
      <c r="F19" s="18">
        <f t="shared" si="2"/>
        <v>510653</v>
      </c>
      <c r="G19" s="19"/>
    </row>
    <row r="20" spans="1:7" s="23" customFormat="1" ht="31" customHeight="1" x14ac:dyDescent="0.35">
      <c r="A20" s="26"/>
      <c r="B20" s="15" t="s">
        <v>25</v>
      </c>
      <c r="C20" s="16">
        <v>500653</v>
      </c>
      <c r="D20" s="16">
        <f t="shared" si="0"/>
        <v>10000</v>
      </c>
      <c r="E20" s="17">
        <f t="shared" si="1"/>
        <v>510653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5006530</v>
      </c>
      <c r="D21" s="28">
        <f>SUM(D11:D20)</f>
        <v>100000</v>
      </c>
      <c r="E21" s="28">
        <f>SUM(E11:E20)</f>
        <v>5106530</v>
      </c>
      <c r="F21" s="18"/>
      <c r="G21" s="19"/>
    </row>
    <row r="23" spans="1:7" ht="19.5" customHeight="1" x14ac:dyDescent="0.3">
      <c r="A23" s="29" t="s">
        <v>27</v>
      </c>
      <c r="B23" s="78" t="s">
        <v>28</v>
      </c>
      <c r="C23" s="78"/>
      <c r="D23" s="78"/>
      <c r="E23" s="78"/>
      <c r="F23" s="78"/>
    </row>
    <row r="24" spans="1:7" x14ac:dyDescent="0.3">
      <c r="B24" s="31" t="s">
        <v>29</v>
      </c>
      <c r="C24" s="32">
        <v>9000000</v>
      </c>
    </row>
    <row r="25" spans="1:7" ht="28" x14ac:dyDescent="0.3">
      <c r="B25" s="31" t="s">
        <v>30</v>
      </c>
      <c r="C25" s="33">
        <v>5000000</v>
      </c>
    </row>
    <row r="26" spans="1:7" x14ac:dyDescent="0.3">
      <c r="B26" s="34" t="s">
        <v>31</v>
      </c>
      <c r="C26" s="35">
        <f>C24+C25</f>
        <v>14000000</v>
      </c>
    </row>
  </sheetData>
  <mergeCells count="13"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  <mergeCell ref="E7:E8"/>
    <mergeCell ref="A21:B21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7573-D34B-4969-B732-115492E59182}">
  <sheetPr>
    <tabColor theme="1"/>
  </sheetPr>
  <dimension ref="A1:J26"/>
  <sheetViews>
    <sheetView view="pageBreakPreview" zoomScale="85" zoomScaleNormal="85" zoomScaleSheetLayoutView="85" workbookViewId="0">
      <selection activeCell="A3" sqref="A3:G3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33</v>
      </c>
      <c r="B2" s="74"/>
      <c r="C2" s="74"/>
      <c r="D2" s="74"/>
      <c r="E2" s="74"/>
      <c r="F2" s="74"/>
      <c r="G2" s="74"/>
    </row>
    <row r="3" spans="1:10" x14ac:dyDescent="0.3">
      <c r="A3" s="74"/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32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9"/>
      <c r="B10" s="10"/>
      <c r="C10" s="10"/>
      <c r="D10" s="10"/>
      <c r="E10" s="11"/>
      <c r="F10" s="12">
        <f>C21+D21</f>
        <v>12396980</v>
      </c>
      <c r="G10" s="13"/>
    </row>
    <row r="11" spans="1:10" s="23" customFormat="1" ht="31" customHeight="1" x14ac:dyDescent="0.35">
      <c r="A11" s="14"/>
      <c r="B11" s="15" t="s">
        <v>16</v>
      </c>
      <c r="C11" s="16">
        <v>1229698</v>
      </c>
      <c r="D11" s="16">
        <f t="shared" ref="D11:D20" si="0">100000/10</f>
        <v>10000</v>
      </c>
      <c r="E11" s="17">
        <f t="shared" ref="E11:E20" si="1">C11+D11</f>
        <v>1239698</v>
      </c>
      <c r="F11" s="18">
        <f t="shared" ref="F11:F20" si="2">F10-E11</f>
        <v>11157282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24"/>
      <c r="B12" s="15" t="s">
        <v>17</v>
      </c>
      <c r="C12" s="16">
        <v>1229698</v>
      </c>
      <c r="D12" s="16">
        <f t="shared" si="0"/>
        <v>10000</v>
      </c>
      <c r="E12" s="17">
        <f t="shared" si="1"/>
        <v>1239698</v>
      </c>
      <c r="F12" s="18">
        <f t="shared" si="2"/>
        <v>9917584</v>
      </c>
      <c r="G12" s="19"/>
    </row>
    <row r="13" spans="1:10" s="23" customFormat="1" ht="31" customHeight="1" x14ac:dyDescent="0.35">
      <c r="A13" s="24"/>
      <c r="B13" s="15" t="s">
        <v>18</v>
      </c>
      <c r="C13" s="16">
        <v>1229698</v>
      </c>
      <c r="D13" s="16">
        <f t="shared" si="0"/>
        <v>10000</v>
      </c>
      <c r="E13" s="17">
        <f t="shared" si="1"/>
        <v>1239698</v>
      </c>
      <c r="F13" s="18">
        <f t="shared" si="2"/>
        <v>8677886</v>
      </c>
      <c r="G13" s="19"/>
      <c r="H13" s="23" t="s">
        <v>12</v>
      </c>
    </row>
    <row r="14" spans="1:10" s="23" customFormat="1" ht="31" customHeight="1" x14ac:dyDescent="0.35">
      <c r="A14" s="25"/>
      <c r="B14" s="15" t="s">
        <v>19</v>
      </c>
      <c r="C14" s="16">
        <v>1229698</v>
      </c>
      <c r="D14" s="16">
        <f t="shared" si="0"/>
        <v>10000</v>
      </c>
      <c r="E14" s="17">
        <f t="shared" si="1"/>
        <v>1239698</v>
      </c>
      <c r="F14" s="18">
        <f t="shared" si="2"/>
        <v>7438188</v>
      </c>
      <c r="G14" s="19"/>
    </row>
    <row r="15" spans="1:10" s="23" customFormat="1" ht="31" customHeight="1" x14ac:dyDescent="0.35">
      <c r="A15" s="26"/>
      <c r="B15" s="15" t="s">
        <v>20</v>
      </c>
      <c r="C15" s="16">
        <v>1229698</v>
      </c>
      <c r="D15" s="16">
        <f t="shared" si="0"/>
        <v>10000</v>
      </c>
      <c r="E15" s="17">
        <f t="shared" si="1"/>
        <v>1239698</v>
      </c>
      <c r="F15" s="18">
        <f t="shared" si="2"/>
        <v>6198490</v>
      </c>
      <c r="G15" s="19"/>
    </row>
    <row r="16" spans="1:10" s="23" customFormat="1" ht="31" customHeight="1" x14ac:dyDescent="0.35">
      <c r="A16" s="27"/>
      <c r="B16" s="15" t="s">
        <v>21</v>
      </c>
      <c r="C16" s="16">
        <v>1229698</v>
      </c>
      <c r="D16" s="16">
        <f t="shared" si="0"/>
        <v>10000</v>
      </c>
      <c r="E16" s="17">
        <f t="shared" si="1"/>
        <v>1239698</v>
      </c>
      <c r="F16" s="18">
        <f t="shared" si="2"/>
        <v>4958792</v>
      </c>
      <c r="G16" s="19"/>
    </row>
    <row r="17" spans="1:7" s="23" customFormat="1" ht="31" customHeight="1" x14ac:dyDescent="0.35">
      <c r="A17" s="27"/>
      <c r="B17" s="15" t="s">
        <v>22</v>
      </c>
      <c r="C17" s="16">
        <v>1229698</v>
      </c>
      <c r="D17" s="16">
        <f t="shared" si="0"/>
        <v>10000</v>
      </c>
      <c r="E17" s="17">
        <f t="shared" si="1"/>
        <v>1239698</v>
      </c>
      <c r="F17" s="18">
        <f t="shared" si="2"/>
        <v>3719094</v>
      </c>
      <c r="G17" s="19"/>
    </row>
    <row r="18" spans="1:7" s="23" customFormat="1" ht="31" customHeight="1" x14ac:dyDescent="0.35">
      <c r="A18" s="27"/>
      <c r="B18" s="15" t="s">
        <v>23</v>
      </c>
      <c r="C18" s="16">
        <v>1229698</v>
      </c>
      <c r="D18" s="16">
        <f t="shared" si="0"/>
        <v>10000</v>
      </c>
      <c r="E18" s="17">
        <f t="shared" si="1"/>
        <v>1239698</v>
      </c>
      <c r="F18" s="18">
        <f t="shared" si="2"/>
        <v>2479396</v>
      </c>
      <c r="G18" s="19"/>
    </row>
    <row r="19" spans="1:7" s="23" customFormat="1" ht="31" customHeight="1" x14ac:dyDescent="0.35">
      <c r="A19" s="26"/>
      <c r="B19" s="15" t="s">
        <v>24</v>
      </c>
      <c r="C19" s="16">
        <v>1229698</v>
      </c>
      <c r="D19" s="16">
        <f t="shared" si="0"/>
        <v>10000</v>
      </c>
      <c r="E19" s="17">
        <f t="shared" si="1"/>
        <v>1239698</v>
      </c>
      <c r="F19" s="18">
        <f t="shared" si="2"/>
        <v>1239698</v>
      </c>
      <c r="G19" s="19"/>
    </row>
    <row r="20" spans="1:7" s="23" customFormat="1" ht="31" customHeight="1" x14ac:dyDescent="0.35">
      <c r="A20" s="26"/>
      <c r="B20" s="15" t="s">
        <v>25</v>
      </c>
      <c r="C20" s="16">
        <v>1229698</v>
      </c>
      <c r="D20" s="16">
        <f t="shared" si="0"/>
        <v>10000</v>
      </c>
      <c r="E20" s="17">
        <f t="shared" si="1"/>
        <v>1239698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12296980</v>
      </c>
      <c r="D21" s="28">
        <f>SUM(D11:D20)</f>
        <v>100000</v>
      </c>
      <c r="E21" s="28">
        <f>SUM(E11:E20)</f>
        <v>12396980</v>
      </c>
      <c r="F21" s="18"/>
      <c r="G21" s="19"/>
    </row>
    <row r="23" spans="1:7" ht="19.5" customHeight="1" x14ac:dyDescent="0.3">
      <c r="A23" s="29" t="s">
        <v>27</v>
      </c>
      <c r="B23" s="78" t="s">
        <v>28</v>
      </c>
      <c r="C23" s="78"/>
      <c r="D23" s="78"/>
      <c r="E23" s="78"/>
      <c r="F23" s="78"/>
    </row>
    <row r="24" spans="1:7" x14ac:dyDescent="0.3">
      <c r="B24" s="31" t="s">
        <v>29</v>
      </c>
      <c r="C24" s="32">
        <v>9000000</v>
      </c>
    </row>
    <row r="25" spans="1:7" ht="28" x14ac:dyDescent="0.3">
      <c r="B25" s="31" t="s">
        <v>30</v>
      </c>
      <c r="C25" s="33">
        <v>5000000</v>
      </c>
    </row>
    <row r="26" spans="1:7" x14ac:dyDescent="0.3">
      <c r="B26" s="34" t="s">
        <v>31</v>
      </c>
      <c r="C26" s="35">
        <f>C24+C25</f>
        <v>14000000</v>
      </c>
    </row>
  </sheetData>
  <mergeCells count="13"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  <mergeCell ref="E7:E8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7987-0572-44D2-B197-EE82056CE589}">
  <sheetPr>
    <tabColor theme="1"/>
  </sheetPr>
  <dimension ref="A1:J26"/>
  <sheetViews>
    <sheetView view="pageBreakPreview" zoomScale="85" zoomScaleNormal="85" zoomScaleSheetLayoutView="85" workbookViewId="0">
      <selection activeCell="F11" sqref="F11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256" width="9.1796875" style="2"/>
    <col min="257" max="257" width="18.54296875" style="2" customWidth="1"/>
    <col min="258" max="258" width="16.54296875" style="2" customWidth="1"/>
    <col min="259" max="259" width="10.7265625" style="2" customWidth="1"/>
    <col min="260" max="260" width="10" style="2" bestFit="1" customWidth="1"/>
    <col min="261" max="261" width="11.453125" style="2" customWidth="1"/>
    <col min="262" max="262" width="13.54296875" style="2" customWidth="1"/>
    <col min="263" max="263" width="21.54296875" style="2" customWidth="1"/>
    <col min="264" max="264" width="16.54296875" style="2" customWidth="1"/>
    <col min="265" max="265" width="9.1796875" style="2"/>
    <col min="266" max="266" width="11.81640625" style="2" bestFit="1" customWidth="1"/>
    <col min="267" max="512" width="9.1796875" style="2"/>
    <col min="513" max="513" width="18.54296875" style="2" customWidth="1"/>
    <col min="514" max="514" width="16.54296875" style="2" customWidth="1"/>
    <col min="515" max="515" width="10.7265625" style="2" customWidth="1"/>
    <col min="516" max="516" width="10" style="2" bestFit="1" customWidth="1"/>
    <col min="517" max="517" width="11.453125" style="2" customWidth="1"/>
    <col min="518" max="518" width="13.54296875" style="2" customWidth="1"/>
    <col min="519" max="519" width="21.54296875" style="2" customWidth="1"/>
    <col min="520" max="520" width="16.54296875" style="2" customWidth="1"/>
    <col min="521" max="521" width="9.1796875" style="2"/>
    <col min="522" max="522" width="11.81640625" style="2" bestFit="1" customWidth="1"/>
    <col min="523" max="768" width="9.1796875" style="2"/>
    <col min="769" max="769" width="18.54296875" style="2" customWidth="1"/>
    <col min="770" max="770" width="16.54296875" style="2" customWidth="1"/>
    <col min="771" max="771" width="10.7265625" style="2" customWidth="1"/>
    <col min="772" max="772" width="10" style="2" bestFit="1" customWidth="1"/>
    <col min="773" max="773" width="11.453125" style="2" customWidth="1"/>
    <col min="774" max="774" width="13.54296875" style="2" customWidth="1"/>
    <col min="775" max="775" width="21.54296875" style="2" customWidth="1"/>
    <col min="776" max="776" width="16.54296875" style="2" customWidth="1"/>
    <col min="777" max="777" width="9.1796875" style="2"/>
    <col min="778" max="778" width="11.81640625" style="2" bestFit="1" customWidth="1"/>
    <col min="779" max="1024" width="9.1796875" style="2"/>
    <col min="1025" max="1025" width="18.54296875" style="2" customWidth="1"/>
    <col min="1026" max="1026" width="16.54296875" style="2" customWidth="1"/>
    <col min="1027" max="1027" width="10.7265625" style="2" customWidth="1"/>
    <col min="1028" max="1028" width="10" style="2" bestFit="1" customWidth="1"/>
    <col min="1029" max="1029" width="11.453125" style="2" customWidth="1"/>
    <col min="1030" max="1030" width="13.54296875" style="2" customWidth="1"/>
    <col min="1031" max="1031" width="21.54296875" style="2" customWidth="1"/>
    <col min="1032" max="1032" width="16.54296875" style="2" customWidth="1"/>
    <col min="1033" max="1033" width="9.1796875" style="2"/>
    <col min="1034" max="1034" width="11.81640625" style="2" bestFit="1" customWidth="1"/>
    <col min="1035" max="1280" width="9.1796875" style="2"/>
    <col min="1281" max="1281" width="18.54296875" style="2" customWidth="1"/>
    <col min="1282" max="1282" width="16.54296875" style="2" customWidth="1"/>
    <col min="1283" max="1283" width="10.7265625" style="2" customWidth="1"/>
    <col min="1284" max="1284" width="10" style="2" bestFit="1" customWidth="1"/>
    <col min="1285" max="1285" width="11.453125" style="2" customWidth="1"/>
    <col min="1286" max="1286" width="13.54296875" style="2" customWidth="1"/>
    <col min="1287" max="1287" width="21.54296875" style="2" customWidth="1"/>
    <col min="1288" max="1288" width="16.54296875" style="2" customWidth="1"/>
    <col min="1289" max="1289" width="9.1796875" style="2"/>
    <col min="1290" max="1290" width="11.81640625" style="2" bestFit="1" customWidth="1"/>
    <col min="1291" max="1536" width="9.1796875" style="2"/>
    <col min="1537" max="1537" width="18.54296875" style="2" customWidth="1"/>
    <col min="1538" max="1538" width="16.54296875" style="2" customWidth="1"/>
    <col min="1539" max="1539" width="10.7265625" style="2" customWidth="1"/>
    <col min="1540" max="1540" width="10" style="2" bestFit="1" customWidth="1"/>
    <col min="1541" max="1541" width="11.453125" style="2" customWidth="1"/>
    <col min="1542" max="1542" width="13.54296875" style="2" customWidth="1"/>
    <col min="1543" max="1543" width="21.54296875" style="2" customWidth="1"/>
    <col min="1544" max="1544" width="16.54296875" style="2" customWidth="1"/>
    <col min="1545" max="1545" width="9.1796875" style="2"/>
    <col min="1546" max="1546" width="11.81640625" style="2" bestFit="1" customWidth="1"/>
    <col min="1547" max="1792" width="9.1796875" style="2"/>
    <col min="1793" max="1793" width="18.54296875" style="2" customWidth="1"/>
    <col min="1794" max="1794" width="16.54296875" style="2" customWidth="1"/>
    <col min="1795" max="1795" width="10.7265625" style="2" customWidth="1"/>
    <col min="1796" max="1796" width="10" style="2" bestFit="1" customWidth="1"/>
    <col min="1797" max="1797" width="11.453125" style="2" customWidth="1"/>
    <col min="1798" max="1798" width="13.54296875" style="2" customWidth="1"/>
    <col min="1799" max="1799" width="21.54296875" style="2" customWidth="1"/>
    <col min="1800" max="1800" width="16.54296875" style="2" customWidth="1"/>
    <col min="1801" max="1801" width="9.1796875" style="2"/>
    <col min="1802" max="1802" width="11.81640625" style="2" bestFit="1" customWidth="1"/>
    <col min="1803" max="2048" width="9.1796875" style="2"/>
    <col min="2049" max="2049" width="18.54296875" style="2" customWidth="1"/>
    <col min="2050" max="2050" width="16.54296875" style="2" customWidth="1"/>
    <col min="2051" max="2051" width="10.7265625" style="2" customWidth="1"/>
    <col min="2052" max="2052" width="10" style="2" bestFit="1" customWidth="1"/>
    <col min="2053" max="2053" width="11.453125" style="2" customWidth="1"/>
    <col min="2054" max="2054" width="13.54296875" style="2" customWidth="1"/>
    <col min="2055" max="2055" width="21.54296875" style="2" customWidth="1"/>
    <col min="2056" max="2056" width="16.54296875" style="2" customWidth="1"/>
    <col min="2057" max="2057" width="9.1796875" style="2"/>
    <col min="2058" max="2058" width="11.81640625" style="2" bestFit="1" customWidth="1"/>
    <col min="2059" max="2304" width="9.1796875" style="2"/>
    <col min="2305" max="2305" width="18.54296875" style="2" customWidth="1"/>
    <col min="2306" max="2306" width="16.54296875" style="2" customWidth="1"/>
    <col min="2307" max="2307" width="10.7265625" style="2" customWidth="1"/>
    <col min="2308" max="2308" width="10" style="2" bestFit="1" customWidth="1"/>
    <col min="2309" max="2309" width="11.453125" style="2" customWidth="1"/>
    <col min="2310" max="2310" width="13.54296875" style="2" customWidth="1"/>
    <col min="2311" max="2311" width="21.54296875" style="2" customWidth="1"/>
    <col min="2312" max="2312" width="16.54296875" style="2" customWidth="1"/>
    <col min="2313" max="2313" width="9.1796875" style="2"/>
    <col min="2314" max="2314" width="11.81640625" style="2" bestFit="1" customWidth="1"/>
    <col min="2315" max="2560" width="9.1796875" style="2"/>
    <col min="2561" max="2561" width="18.54296875" style="2" customWidth="1"/>
    <col min="2562" max="2562" width="16.54296875" style="2" customWidth="1"/>
    <col min="2563" max="2563" width="10.7265625" style="2" customWidth="1"/>
    <col min="2564" max="2564" width="10" style="2" bestFit="1" customWidth="1"/>
    <col min="2565" max="2565" width="11.453125" style="2" customWidth="1"/>
    <col min="2566" max="2566" width="13.54296875" style="2" customWidth="1"/>
    <col min="2567" max="2567" width="21.54296875" style="2" customWidth="1"/>
    <col min="2568" max="2568" width="16.54296875" style="2" customWidth="1"/>
    <col min="2569" max="2569" width="9.1796875" style="2"/>
    <col min="2570" max="2570" width="11.81640625" style="2" bestFit="1" customWidth="1"/>
    <col min="2571" max="2816" width="9.1796875" style="2"/>
    <col min="2817" max="2817" width="18.54296875" style="2" customWidth="1"/>
    <col min="2818" max="2818" width="16.54296875" style="2" customWidth="1"/>
    <col min="2819" max="2819" width="10.7265625" style="2" customWidth="1"/>
    <col min="2820" max="2820" width="10" style="2" bestFit="1" customWidth="1"/>
    <col min="2821" max="2821" width="11.453125" style="2" customWidth="1"/>
    <col min="2822" max="2822" width="13.54296875" style="2" customWidth="1"/>
    <col min="2823" max="2823" width="21.54296875" style="2" customWidth="1"/>
    <col min="2824" max="2824" width="16.54296875" style="2" customWidth="1"/>
    <col min="2825" max="2825" width="9.1796875" style="2"/>
    <col min="2826" max="2826" width="11.81640625" style="2" bestFit="1" customWidth="1"/>
    <col min="2827" max="3072" width="9.1796875" style="2"/>
    <col min="3073" max="3073" width="18.54296875" style="2" customWidth="1"/>
    <col min="3074" max="3074" width="16.54296875" style="2" customWidth="1"/>
    <col min="3075" max="3075" width="10.7265625" style="2" customWidth="1"/>
    <col min="3076" max="3076" width="10" style="2" bestFit="1" customWidth="1"/>
    <col min="3077" max="3077" width="11.453125" style="2" customWidth="1"/>
    <col min="3078" max="3078" width="13.54296875" style="2" customWidth="1"/>
    <col min="3079" max="3079" width="21.54296875" style="2" customWidth="1"/>
    <col min="3080" max="3080" width="16.54296875" style="2" customWidth="1"/>
    <col min="3081" max="3081" width="9.1796875" style="2"/>
    <col min="3082" max="3082" width="11.81640625" style="2" bestFit="1" customWidth="1"/>
    <col min="3083" max="3328" width="9.1796875" style="2"/>
    <col min="3329" max="3329" width="18.54296875" style="2" customWidth="1"/>
    <col min="3330" max="3330" width="16.54296875" style="2" customWidth="1"/>
    <col min="3331" max="3331" width="10.7265625" style="2" customWidth="1"/>
    <col min="3332" max="3332" width="10" style="2" bestFit="1" customWidth="1"/>
    <col min="3333" max="3333" width="11.453125" style="2" customWidth="1"/>
    <col min="3334" max="3334" width="13.54296875" style="2" customWidth="1"/>
    <col min="3335" max="3335" width="21.54296875" style="2" customWidth="1"/>
    <col min="3336" max="3336" width="16.54296875" style="2" customWidth="1"/>
    <col min="3337" max="3337" width="9.1796875" style="2"/>
    <col min="3338" max="3338" width="11.81640625" style="2" bestFit="1" customWidth="1"/>
    <col min="3339" max="3584" width="9.1796875" style="2"/>
    <col min="3585" max="3585" width="18.54296875" style="2" customWidth="1"/>
    <col min="3586" max="3586" width="16.54296875" style="2" customWidth="1"/>
    <col min="3587" max="3587" width="10.7265625" style="2" customWidth="1"/>
    <col min="3588" max="3588" width="10" style="2" bestFit="1" customWidth="1"/>
    <col min="3589" max="3589" width="11.453125" style="2" customWidth="1"/>
    <col min="3590" max="3590" width="13.54296875" style="2" customWidth="1"/>
    <col min="3591" max="3591" width="21.54296875" style="2" customWidth="1"/>
    <col min="3592" max="3592" width="16.54296875" style="2" customWidth="1"/>
    <col min="3593" max="3593" width="9.1796875" style="2"/>
    <col min="3594" max="3594" width="11.81640625" style="2" bestFit="1" customWidth="1"/>
    <col min="3595" max="3840" width="9.1796875" style="2"/>
    <col min="3841" max="3841" width="18.54296875" style="2" customWidth="1"/>
    <col min="3842" max="3842" width="16.54296875" style="2" customWidth="1"/>
    <col min="3843" max="3843" width="10.7265625" style="2" customWidth="1"/>
    <col min="3844" max="3844" width="10" style="2" bestFit="1" customWidth="1"/>
    <col min="3845" max="3845" width="11.453125" style="2" customWidth="1"/>
    <col min="3846" max="3846" width="13.54296875" style="2" customWidth="1"/>
    <col min="3847" max="3847" width="21.54296875" style="2" customWidth="1"/>
    <col min="3848" max="3848" width="16.54296875" style="2" customWidth="1"/>
    <col min="3849" max="3849" width="9.1796875" style="2"/>
    <col min="3850" max="3850" width="11.81640625" style="2" bestFit="1" customWidth="1"/>
    <col min="3851" max="4096" width="9.1796875" style="2"/>
    <col min="4097" max="4097" width="18.54296875" style="2" customWidth="1"/>
    <col min="4098" max="4098" width="16.54296875" style="2" customWidth="1"/>
    <col min="4099" max="4099" width="10.7265625" style="2" customWidth="1"/>
    <col min="4100" max="4100" width="10" style="2" bestFit="1" customWidth="1"/>
    <col min="4101" max="4101" width="11.453125" style="2" customWidth="1"/>
    <col min="4102" max="4102" width="13.54296875" style="2" customWidth="1"/>
    <col min="4103" max="4103" width="21.54296875" style="2" customWidth="1"/>
    <col min="4104" max="4104" width="16.54296875" style="2" customWidth="1"/>
    <col min="4105" max="4105" width="9.1796875" style="2"/>
    <col min="4106" max="4106" width="11.81640625" style="2" bestFit="1" customWidth="1"/>
    <col min="4107" max="4352" width="9.1796875" style="2"/>
    <col min="4353" max="4353" width="18.54296875" style="2" customWidth="1"/>
    <col min="4354" max="4354" width="16.54296875" style="2" customWidth="1"/>
    <col min="4355" max="4355" width="10.7265625" style="2" customWidth="1"/>
    <col min="4356" max="4356" width="10" style="2" bestFit="1" customWidth="1"/>
    <col min="4357" max="4357" width="11.453125" style="2" customWidth="1"/>
    <col min="4358" max="4358" width="13.54296875" style="2" customWidth="1"/>
    <col min="4359" max="4359" width="21.54296875" style="2" customWidth="1"/>
    <col min="4360" max="4360" width="16.54296875" style="2" customWidth="1"/>
    <col min="4361" max="4361" width="9.1796875" style="2"/>
    <col min="4362" max="4362" width="11.81640625" style="2" bestFit="1" customWidth="1"/>
    <col min="4363" max="4608" width="9.1796875" style="2"/>
    <col min="4609" max="4609" width="18.54296875" style="2" customWidth="1"/>
    <col min="4610" max="4610" width="16.54296875" style="2" customWidth="1"/>
    <col min="4611" max="4611" width="10.7265625" style="2" customWidth="1"/>
    <col min="4612" max="4612" width="10" style="2" bestFit="1" customWidth="1"/>
    <col min="4613" max="4613" width="11.453125" style="2" customWidth="1"/>
    <col min="4614" max="4614" width="13.54296875" style="2" customWidth="1"/>
    <col min="4615" max="4615" width="21.54296875" style="2" customWidth="1"/>
    <col min="4616" max="4616" width="16.54296875" style="2" customWidth="1"/>
    <col min="4617" max="4617" width="9.1796875" style="2"/>
    <col min="4618" max="4618" width="11.81640625" style="2" bestFit="1" customWidth="1"/>
    <col min="4619" max="4864" width="9.1796875" style="2"/>
    <col min="4865" max="4865" width="18.54296875" style="2" customWidth="1"/>
    <col min="4866" max="4866" width="16.54296875" style="2" customWidth="1"/>
    <col min="4867" max="4867" width="10.7265625" style="2" customWidth="1"/>
    <col min="4868" max="4868" width="10" style="2" bestFit="1" customWidth="1"/>
    <col min="4869" max="4869" width="11.453125" style="2" customWidth="1"/>
    <col min="4870" max="4870" width="13.54296875" style="2" customWidth="1"/>
    <col min="4871" max="4871" width="21.54296875" style="2" customWidth="1"/>
    <col min="4872" max="4872" width="16.54296875" style="2" customWidth="1"/>
    <col min="4873" max="4873" width="9.1796875" style="2"/>
    <col min="4874" max="4874" width="11.81640625" style="2" bestFit="1" customWidth="1"/>
    <col min="4875" max="5120" width="9.1796875" style="2"/>
    <col min="5121" max="5121" width="18.54296875" style="2" customWidth="1"/>
    <col min="5122" max="5122" width="16.54296875" style="2" customWidth="1"/>
    <col min="5123" max="5123" width="10.7265625" style="2" customWidth="1"/>
    <col min="5124" max="5124" width="10" style="2" bestFit="1" customWidth="1"/>
    <col min="5125" max="5125" width="11.453125" style="2" customWidth="1"/>
    <col min="5126" max="5126" width="13.54296875" style="2" customWidth="1"/>
    <col min="5127" max="5127" width="21.54296875" style="2" customWidth="1"/>
    <col min="5128" max="5128" width="16.54296875" style="2" customWidth="1"/>
    <col min="5129" max="5129" width="9.1796875" style="2"/>
    <col min="5130" max="5130" width="11.81640625" style="2" bestFit="1" customWidth="1"/>
    <col min="5131" max="5376" width="9.1796875" style="2"/>
    <col min="5377" max="5377" width="18.54296875" style="2" customWidth="1"/>
    <col min="5378" max="5378" width="16.54296875" style="2" customWidth="1"/>
    <col min="5379" max="5379" width="10.7265625" style="2" customWidth="1"/>
    <col min="5380" max="5380" width="10" style="2" bestFit="1" customWidth="1"/>
    <col min="5381" max="5381" width="11.453125" style="2" customWidth="1"/>
    <col min="5382" max="5382" width="13.54296875" style="2" customWidth="1"/>
    <col min="5383" max="5383" width="21.54296875" style="2" customWidth="1"/>
    <col min="5384" max="5384" width="16.54296875" style="2" customWidth="1"/>
    <col min="5385" max="5385" width="9.1796875" style="2"/>
    <col min="5386" max="5386" width="11.81640625" style="2" bestFit="1" customWidth="1"/>
    <col min="5387" max="5632" width="9.1796875" style="2"/>
    <col min="5633" max="5633" width="18.54296875" style="2" customWidth="1"/>
    <col min="5634" max="5634" width="16.54296875" style="2" customWidth="1"/>
    <col min="5635" max="5635" width="10.7265625" style="2" customWidth="1"/>
    <col min="5636" max="5636" width="10" style="2" bestFit="1" customWidth="1"/>
    <col min="5637" max="5637" width="11.453125" style="2" customWidth="1"/>
    <col min="5638" max="5638" width="13.54296875" style="2" customWidth="1"/>
    <col min="5639" max="5639" width="21.54296875" style="2" customWidth="1"/>
    <col min="5640" max="5640" width="16.54296875" style="2" customWidth="1"/>
    <col min="5641" max="5641" width="9.1796875" style="2"/>
    <col min="5642" max="5642" width="11.81640625" style="2" bestFit="1" customWidth="1"/>
    <col min="5643" max="5888" width="9.1796875" style="2"/>
    <col min="5889" max="5889" width="18.54296875" style="2" customWidth="1"/>
    <col min="5890" max="5890" width="16.54296875" style="2" customWidth="1"/>
    <col min="5891" max="5891" width="10.7265625" style="2" customWidth="1"/>
    <col min="5892" max="5892" width="10" style="2" bestFit="1" customWidth="1"/>
    <col min="5893" max="5893" width="11.453125" style="2" customWidth="1"/>
    <col min="5894" max="5894" width="13.54296875" style="2" customWidth="1"/>
    <col min="5895" max="5895" width="21.54296875" style="2" customWidth="1"/>
    <col min="5896" max="5896" width="16.54296875" style="2" customWidth="1"/>
    <col min="5897" max="5897" width="9.1796875" style="2"/>
    <col min="5898" max="5898" width="11.81640625" style="2" bestFit="1" customWidth="1"/>
    <col min="5899" max="6144" width="9.1796875" style="2"/>
    <col min="6145" max="6145" width="18.54296875" style="2" customWidth="1"/>
    <col min="6146" max="6146" width="16.54296875" style="2" customWidth="1"/>
    <col min="6147" max="6147" width="10.7265625" style="2" customWidth="1"/>
    <col min="6148" max="6148" width="10" style="2" bestFit="1" customWidth="1"/>
    <col min="6149" max="6149" width="11.453125" style="2" customWidth="1"/>
    <col min="6150" max="6150" width="13.54296875" style="2" customWidth="1"/>
    <col min="6151" max="6151" width="21.54296875" style="2" customWidth="1"/>
    <col min="6152" max="6152" width="16.54296875" style="2" customWidth="1"/>
    <col min="6153" max="6153" width="9.1796875" style="2"/>
    <col min="6154" max="6154" width="11.81640625" style="2" bestFit="1" customWidth="1"/>
    <col min="6155" max="6400" width="9.1796875" style="2"/>
    <col min="6401" max="6401" width="18.54296875" style="2" customWidth="1"/>
    <col min="6402" max="6402" width="16.54296875" style="2" customWidth="1"/>
    <col min="6403" max="6403" width="10.7265625" style="2" customWidth="1"/>
    <col min="6404" max="6404" width="10" style="2" bestFit="1" customWidth="1"/>
    <col min="6405" max="6405" width="11.453125" style="2" customWidth="1"/>
    <col min="6406" max="6406" width="13.54296875" style="2" customWidth="1"/>
    <col min="6407" max="6407" width="21.54296875" style="2" customWidth="1"/>
    <col min="6408" max="6408" width="16.54296875" style="2" customWidth="1"/>
    <col min="6409" max="6409" width="9.1796875" style="2"/>
    <col min="6410" max="6410" width="11.81640625" style="2" bestFit="1" customWidth="1"/>
    <col min="6411" max="6656" width="9.1796875" style="2"/>
    <col min="6657" max="6657" width="18.54296875" style="2" customWidth="1"/>
    <col min="6658" max="6658" width="16.54296875" style="2" customWidth="1"/>
    <col min="6659" max="6659" width="10.7265625" style="2" customWidth="1"/>
    <col min="6660" max="6660" width="10" style="2" bestFit="1" customWidth="1"/>
    <col min="6661" max="6661" width="11.453125" style="2" customWidth="1"/>
    <col min="6662" max="6662" width="13.54296875" style="2" customWidth="1"/>
    <col min="6663" max="6663" width="21.54296875" style="2" customWidth="1"/>
    <col min="6664" max="6664" width="16.54296875" style="2" customWidth="1"/>
    <col min="6665" max="6665" width="9.1796875" style="2"/>
    <col min="6666" max="6666" width="11.81640625" style="2" bestFit="1" customWidth="1"/>
    <col min="6667" max="6912" width="9.1796875" style="2"/>
    <col min="6913" max="6913" width="18.54296875" style="2" customWidth="1"/>
    <col min="6914" max="6914" width="16.54296875" style="2" customWidth="1"/>
    <col min="6915" max="6915" width="10.7265625" style="2" customWidth="1"/>
    <col min="6916" max="6916" width="10" style="2" bestFit="1" customWidth="1"/>
    <col min="6917" max="6917" width="11.453125" style="2" customWidth="1"/>
    <col min="6918" max="6918" width="13.54296875" style="2" customWidth="1"/>
    <col min="6919" max="6919" width="21.54296875" style="2" customWidth="1"/>
    <col min="6920" max="6920" width="16.54296875" style="2" customWidth="1"/>
    <col min="6921" max="6921" width="9.1796875" style="2"/>
    <col min="6922" max="6922" width="11.81640625" style="2" bestFit="1" customWidth="1"/>
    <col min="6923" max="7168" width="9.1796875" style="2"/>
    <col min="7169" max="7169" width="18.54296875" style="2" customWidth="1"/>
    <col min="7170" max="7170" width="16.54296875" style="2" customWidth="1"/>
    <col min="7171" max="7171" width="10.7265625" style="2" customWidth="1"/>
    <col min="7172" max="7172" width="10" style="2" bestFit="1" customWidth="1"/>
    <col min="7173" max="7173" width="11.453125" style="2" customWidth="1"/>
    <col min="7174" max="7174" width="13.54296875" style="2" customWidth="1"/>
    <col min="7175" max="7175" width="21.54296875" style="2" customWidth="1"/>
    <col min="7176" max="7176" width="16.54296875" style="2" customWidth="1"/>
    <col min="7177" max="7177" width="9.1796875" style="2"/>
    <col min="7178" max="7178" width="11.81640625" style="2" bestFit="1" customWidth="1"/>
    <col min="7179" max="7424" width="9.1796875" style="2"/>
    <col min="7425" max="7425" width="18.54296875" style="2" customWidth="1"/>
    <col min="7426" max="7426" width="16.54296875" style="2" customWidth="1"/>
    <col min="7427" max="7427" width="10.7265625" style="2" customWidth="1"/>
    <col min="7428" max="7428" width="10" style="2" bestFit="1" customWidth="1"/>
    <col min="7429" max="7429" width="11.453125" style="2" customWidth="1"/>
    <col min="7430" max="7430" width="13.54296875" style="2" customWidth="1"/>
    <col min="7431" max="7431" width="21.54296875" style="2" customWidth="1"/>
    <col min="7432" max="7432" width="16.54296875" style="2" customWidth="1"/>
    <col min="7433" max="7433" width="9.1796875" style="2"/>
    <col min="7434" max="7434" width="11.81640625" style="2" bestFit="1" customWidth="1"/>
    <col min="7435" max="7680" width="9.1796875" style="2"/>
    <col min="7681" max="7681" width="18.54296875" style="2" customWidth="1"/>
    <col min="7682" max="7682" width="16.54296875" style="2" customWidth="1"/>
    <col min="7683" max="7683" width="10.7265625" style="2" customWidth="1"/>
    <col min="7684" max="7684" width="10" style="2" bestFit="1" customWidth="1"/>
    <col min="7685" max="7685" width="11.453125" style="2" customWidth="1"/>
    <col min="7686" max="7686" width="13.54296875" style="2" customWidth="1"/>
    <col min="7687" max="7687" width="21.54296875" style="2" customWidth="1"/>
    <col min="7688" max="7688" width="16.54296875" style="2" customWidth="1"/>
    <col min="7689" max="7689" width="9.1796875" style="2"/>
    <col min="7690" max="7690" width="11.81640625" style="2" bestFit="1" customWidth="1"/>
    <col min="7691" max="7936" width="9.1796875" style="2"/>
    <col min="7937" max="7937" width="18.54296875" style="2" customWidth="1"/>
    <col min="7938" max="7938" width="16.54296875" style="2" customWidth="1"/>
    <col min="7939" max="7939" width="10.7265625" style="2" customWidth="1"/>
    <col min="7940" max="7940" width="10" style="2" bestFit="1" customWidth="1"/>
    <col min="7941" max="7941" width="11.453125" style="2" customWidth="1"/>
    <col min="7942" max="7942" width="13.54296875" style="2" customWidth="1"/>
    <col min="7943" max="7943" width="21.54296875" style="2" customWidth="1"/>
    <col min="7944" max="7944" width="16.54296875" style="2" customWidth="1"/>
    <col min="7945" max="7945" width="9.1796875" style="2"/>
    <col min="7946" max="7946" width="11.81640625" style="2" bestFit="1" customWidth="1"/>
    <col min="7947" max="8192" width="9.1796875" style="2"/>
    <col min="8193" max="8193" width="18.54296875" style="2" customWidth="1"/>
    <col min="8194" max="8194" width="16.54296875" style="2" customWidth="1"/>
    <col min="8195" max="8195" width="10.7265625" style="2" customWidth="1"/>
    <col min="8196" max="8196" width="10" style="2" bestFit="1" customWidth="1"/>
    <col min="8197" max="8197" width="11.453125" style="2" customWidth="1"/>
    <col min="8198" max="8198" width="13.54296875" style="2" customWidth="1"/>
    <col min="8199" max="8199" width="21.54296875" style="2" customWidth="1"/>
    <col min="8200" max="8200" width="16.54296875" style="2" customWidth="1"/>
    <col min="8201" max="8201" width="9.1796875" style="2"/>
    <col min="8202" max="8202" width="11.81640625" style="2" bestFit="1" customWidth="1"/>
    <col min="8203" max="8448" width="9.1796875" style="2"/>
    <col min="8449" max="8449" width="18.54296875" style="2" customWidth="1"/>
    <col min="8450" max="8450" width="16.54296875" style="2" customWidth="1"/>
    <col min="8451" max="8451" width="10.7265625" style="2" customWidth="1"/>
    <col min="8452" max="8452" width="10" style="2" bestFit="1" customWidth="1"/>
    <col min="8453" max="8453" width="11.453125" style="2" customWidth="1"/>
    <col min="8454" max="8454" width="13.54296875" style="2" customWidth="1"/>
    <col min="8455" max="8455" width="21.54296875" style="2" customWidth="1"/>
    <col min="8456" max="8456" width="16.54296875" style="2" customWidth="1"/>
    <col min="8457" max="8457" width="9.1796875" style="2"/>
    <col min="8458" max="8458" width="11.81640625" style="2" bestFit="1" customWidth="1"/>
    <col min="8459" max="8704" width="9.1796875" style="2"/>
    <col min="8705" max="8705" width="18.54296875" style="2" customWidth="1"/>
    <col min="8706" max="8706" width="16.54296875" style="2" customWidth="1"/>
    <col min="8707" max="8707" width="10.7265625" style="2" customWidth="1"/>
    <col min="8708" max="8708" width="10" style="2" bestFit="1" customWidth="1"/>
    <col min="8709" max="8709" width="11.453125" style="2" customWidth="1"/>
    <col min="8710" max="8710" width="13.54296875" style="2" customWidth="1"/>
    <col min="8711" max="8711" width="21.54296875" style="2" customWidth="1"/>
    <col min="8712" max="8712" width="16.54296875" style="2" customWidth="1"/>
    <col min="8713" max="8713" width="9.1796875" style="2"/>
    <col min="8714" max="8714" width="11.81640625" style="2" bestFit="1" customWidth="1"/>
    <col min="8715" max="8960" width="9.1796875" style="2"/>
    <col min="8961" max="8961" width="18.54296875" style="2" customWidth="1"/>
    <col min="8962" max="8962" width="16.54296875" style="2" customWidth="1"/>
    <col min="8963" max="8963" width="10.7265625" style="2" customWidth="1"/>
    <col min="8964" max="8964" width="10" style="2" bestFit="1" customWidth="1"/>
    <col min="8965" max="8965" width="11.453125" style="2" customWidth="1"/>
    <col min="8966" max="8966" width="13.54296875" style="2" customWidth="1"/>
    <col min="8967" max="8967" width="21.54296875" style="2" customWidth="1"/>
    <col min="8968" max="8968" width="16.54296875" style="2" customWidth="1"/>
    <col min="8969" max="8969" width="9.1796875" style="2"/>
    <col min="8970" max="8970" width="11.81640625" style="2" bestFit="1" customWidth="1"/>
    <col min="8971" max="9216" width="9.1796875" style="2"/>
    <col min="9217" max="9217" width="18.54296875" style="2" customWidth="1"/>
    <col min="9218" max="9218" width="16.54296875" style="2" customWidth="1"/>
    <col min="9219" max="9219" width="10.7265625" style="2" customWidth="1"/>
    <col min="9220" max="9220" width="10" style="2" bestFit="1" customWidth="1"/>
    <col min="9221" max="9221" width="11.453125" style="2" customWidth="1"/>
    <col min="9222" max="9222" width="13.54296875" style="2" customWidth="1"/>
    <col min="9223" max="9223" width="21.54296875" style="2" customWidth="1"/>
    <col min="9224" max="9224" width="16.54296875" style="2" customWidth="1"/>
    <col min="9225" max="9225" width="9.1796875" style="2"/>
    <col min="9226" max="9226" width="11.81640625" style="2" bestFit="1" customWidth="1"/>
    <col min="9227" max="9472" width="9.1796875" style="2"/>
    <col min="9473" max="9473" width="18.54296875" style="2" customWidth="1"/>
    <col min="9474" max="9474" width="16.54296875" style="2" customWidth="1"/>
    <col min="9475" max="9475" width="10.7265625" style="2" customWidth="1"/>
    <col min="9476" max="9476" width="10" style="2" bestFit="1" customWidth="1"/>
    <col min="9477" max="9477" width="11.453125" style="2" customWidth="1"/>
    <col min="9478" max="9478" width="13.54296875" style="2" customWidth="1"/>
    <col min="9479" max="9479" width="21.54296875" style="2" customWidth="1"/>
    <col min="9480" max="9480" width="16.54296875" style="2" customWidth="1"/>
    <col min="9481" max="9481" width="9.1796875" style="2"/>
    <col min="9482" max="9482" width="11.81640625" style="2" bestFit="1" customWidth="1"/>
    <col min="9483" max="9728" width="9.1796875" style="2"/>
    <col min="9729" max="9729" width="18.54296875" style="2" customWidth="1"/>
    <col min="9730" max="9730" width="16.54296875" style="2" customWidth="1"/>
    <col min="9731" max="9731" width="10.7265625" style="2" customWidth="1"/>
    <col min="9732" max="9732" width="10" style="2" bestFit="1" customWidth="1"/>
    <col min="9733" max="9733" width="11.453125" style="2" customWidth="1"/>
    <col min="9734" max="9734" width="13.54296875" style="2" customWidth="1"/>
    <col min="9735" max="9735" width="21.54296875" style="2" customWidth="1"/>
    <col min="9736" max="9736" width="16.54296875" style="2" customWidth="1"/>
    <col min="9737" max="9737" width="9.1796875" style="2"/>
    <col min="9738" max="9738" width="11.81640625" style="2" bestFit="1" customWidth="1"/>
    <col min="9739" max="9984" width="9.1796875" style="2"/>
    <col min="9985" max="9985" width="18.54296875" style="2" customWidth="1"/>
    <col min="9986" max="9986" width="16.54296875" style="2" customWidth="1"/>
    <col min="9987" max="9987" width="10.7265625" style="2" customWidth="1"/>
    <col min="9988" max="9988" width="10" style="2" bestFit="1" customWidth="1"/>
    <col min="9989" max="9989" width="11.453125" style="2" customWidth="1"/>
    <col min="9990" max="9990" width="13.54296875" style="2" customWidth="1"/>
    <col min="9991" max="9991" width="21.54296875" style="2" customWidth="1"/>
    <col min="9992" max="9992" width="16.54296875" style="2" customWidth="1"/>
    <col min="9993" max="9993" width="9.1796875" style="2"/>
    <col min="9994" max="9994" width="11.81640625" style="2" bestFit="1" customWidth="1"/>
    <col min="9995" max="10240" width="9.1796875" style="2"/>
    <col min="10241" max="10241" width="18.54296875" style="2" customWidth="1"/>
    <col min="10242" max="10242" width="16.54296875" style="2" customWidth="1"/>
    <col min="10243" max="10243" width="10.7265625" style="2" customWidth="1"/>
    <col min="10244" max="10244" width="10" style="2" bestFit="1" customWidth="1"/>
    <col min="10245" max="10245" width="11.453125" style="2" customWidth="1"/>
    <col min="10246" max="10246" width="13.54296875" style="2" customWidth="1"/>
    <col min="10247" max="10247" width="21.54296875" style="2" customWidth="1"/>
    <col min="10248" max="10248" width="16.54296875" style="2" customWidth="1"/>
    <col min="10249" max="10249" width="9.1796875" style="2"/>
    <col min="10250" max="10250" width="11.81640625" style="2" bestFit="1" customWidth="1"/>
    <col min="10251" max="10496" width="9.1796875" style="2"/>
    <col min="10497" max="10497" width="18.54296875" style="2" customWidth="1"/>
    <col min="10498" max="10498" width="16.54296875" style="2" customWidth="1"/>
    <col min="10499" max="10499" width="10.7265625" style="2" customWidth="1"/>
    <col min="10500" max="10500" width="10" style="2" bestFit="1" customWidth="1"/>
    <col min="10501" max="10501" width="11.453125" style="2" customWidth="1"/>
    <col min="10502" max="10502" width="13.54296875" style="2" customWidth="1"/>
    <col min="10503" max="10503" width="21.54296875" style="2" customWidth="1"/>
    <col min="10504" max="10504" width="16.54296875" style="2" customWidth="1"/>
    <col min="10505" max="10505" width="9.1796875" style="2"/>
    <col min="10506" max="10506" width="11.81640625" style="2" bestFit="1" customWidth="1"/>
    <col min="10507" max="10752" width="9.1796875" style="2"/>
    <col min="10753" max="10753" width="18.54296875" style="2" customWidth="1"/>
    <col min="10754" max="10754" width="16.54296875" style="2" customWidth="1"/>
    <col min="10755" max="10755" width="10.7265625" style="2" customWidth="1"/>
    <col min="10756" max="10756" width="10" style="2" bestFit="1" customWidth="1"/>
    <col min="10757" max="10757" width="11.453125" style="2" customWidth="1"/>
    <col min="10758" max="10758" width="13.54296875" style="2" customWidth="1"/>
    <col min="10759" max="10759" width="21.54296875" style="2" customWidth="1"/>
    <col min="10760" max="10760" width="16.54296875" style="2" customWidth="1"/>
    <col min="10761" max="10761" width="9.1796875" style="2"/>
    <col min="10762" max="10762" width="11.81640625" style="2" bestFit="1" customWidth="1"/>
    <col min="10763" max="11008" width="9.1796875" style="2"/>
    <col min="11009" max="11009" width="18.54296875" style="2" customWidth="1"/>
    <col min="11010" max="11010" width="16.54296875" style="2" customWidth="1"/>
    <col min="11011" max="11011" width="10.7265625" style="2" customWidth="1"/>
    <col min="11012" max="11012" width="10" style="2" bestFit="1" customWidth="1"/>
    <col min="11013" max="11013" width="11.453125" style="2" customWidth="1"/>
    <col min="11014" max="11014" width="13.54296875" style="2" customWidth="1"/>
    <col min="11015" max="11015" width="21.54296875" style="2" customWidth="1"/>
    <col min="11016" max="11016" width="16.54296875" style="2" customWidth="1"/>
    <col min="11017" max="11017" width="9.1796875" style="2"/>
    <col min="11018" max="11018" width="11.81640625" style="2" bestFit="1" customWidth="1"/>
    <col min="11019" max="11264" width="9.1796875" style="2"/>
    <col min="11265" max="11265" width="18.54296875" style="2" customWidth="1"/>
    <col min="11266" max="11266" width="16.54296875" style="2" customWidth="1"/>
    <col min="11267" max="11267" width="10.7265625" style="2" customWidth="1"/>
    <col min="11268" max="11268" width="10" style="2" bestFit="1" customWidth="1"/>
    <col min="11269" max="11269" width="11.453125" style="2" customWidth="1"/>
    <col min="11270" max="11270" width="13.54296875" style="2" customWidth="1"/>
    <col min="11271" max="11271" width="21.54296875" style="2" customWidth="1"/>
    <col min="11272" max="11272" width="16.54296875" style="2" customWidth="1"/>
    <col min="11273" max="11273" width="9.1796875" style="2"/>
    <col min="11274" max="11274" width="11.81640625" style="2" bestFit="1" customWidth="1"/>
    <col min="11275" max="11520" width="9.1796875" style="2"/>
    <col min="11521" max="11521" width="18.54296875" style="2" customWidth="1"/>
    <col min="11522" max="11522" width="16.54296875" style="2" customWidth="1"/>
    <col min="11523" max="11523" width="10.7265625" style="2" customWidth="1"/>
    <col min="11524" max="11524" width="10" style="2" bestFit="1" customWidth="1"/>
    <col min="11525" max="11525" width="11.453125" style="2" customWidth="1"/>
    <col min="11526" max="11526" width="13.54296875" style="2" customWidth="1"/>
    <col min="11527" max="11527" width="21.54296875" style="2" customWidth="1"/>
    <col min="11528" max="11528" width="16.54296875" style="2" customWidth="1"/>
    <col min="11529" max="11529" width="9.1796875" style="2"/>
    <col min="11530" max="11530" width="11.81640625" style="2" bestFit="1" customWidth="1"/>
    <col min="11531" max="11776" width="9.1796875" style="2"/>
    <col min="11777" max="11777" width="18.54296875" style="2" customWidth="1"/>
    <col min="11778" max="11778" width="16.54296875" style="2" customWidth="1"/>
    <col min="11779" max="11779" width="10.7265625" style="2" customWidth="1"/>
    <col min="11780" max="11780" width="10" style="2" bestFit="1" customWidth="1"/>
    <col min="11781" max="11781" width="11.453125" style="2" customWidth="1"/>
    <col min="11782" max="11782" width="13.54296875" style="2" customWidth="1"/>
    <col min="11783" max="11783" width="21.54296875" style="2" customWidth="1"/>
    <col min="11784" max="11784" width="16.54296875" style="2" customWidth="1"/>
    <col min="11785" max="11785" width="9.1796875" style="2"/>
    <col min="11786" max="11786" width="11.81640625" style="2" bestFit="1" customWidth="1"/>
    <col min="11787" max="12032" width="9.1796875" style="2"/>
    <col min="12033" max="12033" width="18.54296875" style="2" customWidth="1"/>
    <col min="12034" max="12034" width="16.54296875" style="2" customWidth="1"/>
    <col min="12035" max="12035" width="10.7265625" style="2" customWidth="1"/>
    <col min="12036" max="12036" width="10" style="2" bestFit="1" customWidth="1"/>
    <col min="12037" max="12037" width="11.453125" style="2" customWidth="1"/>
    <col min="12038" max="12038" width="13.54296875" style="2" customWidth="1"/>
    <col min="12039" max="12039" width="21.54296875" style="2" customWidth="1"/>
    <col min="12040" max="12040" width="16.54296875" style="2" customWidth="1"/>
    <col min="12041" max="12041" width="9.1796875" style="2"/>
    <col min="12042" max="12042" width="11.81640625" style="2" bestFit="1" customWidth="1"/>
    <col min="12043" max="12288" width="9.1796875" style="2"/>
    <col min="12289" max="12289" width="18.54296875" style="2" customWidth="1"/>
    <col min="12290" max="12290" width="16.54296875" style="2" customWidth="1"/>
    <col min="12291" max="12291" width="10.7265625" style="2" customWidth="1"/>
    <col min="12292" max="12292" width="10" style="2" bestFit="1" customWidth="1"/>
    <col min="12293" max="12293" width="11.453125" style="2" customWidth="1"/>
    <col min="12294" max="12294" width="13.54296875" style="2" customWidth="1"/>
    <col min="12295" max="12295" width="21.54296875" style="2" customWidth="1"/>
    <col min="12296" max="12296" width="16.54296875" style="2" customWidth="1"/>
    <col min="12297" max="12297" width="9.1796875" style="2"/>
    <col min="12298" max="12298" width="11.81640625" style="2" bestFit="1" customWidth="1"/>
    <col min="12299" max="12544" width="9.1796875" style="2"/>
    <col min="12545" max="12545" width="18.54296875" style="2" customWidth="1"/>
    <col min="12546" max="12546" width="16.54296875" style="2" customWidth="1"/>
    <col min="12547" max="12547" width="10.7265625" style="2" customWidth="1"/>
    <col min="12548" max="12548" width="10" style="2" bestFit="1" customWidth="1"/>
    <col min="12549" max="12549" width="11.453125" style="2" customWidth="1"/>
    <col min="12550" max="12550" width="13.54296875" style="2" customWidth="1"/>
    <col min="12551" max="12551" width="21.54296875" style="2" customWidth="1"/>
    <col min="12552" max="12552" width="16.54296875" style="2" customWidth="1"/>
    <col min="12553" max="12553" width="9.1796875" style="2"/>
    <col min="12554" max="12554" width="11.81640625" style="2" bestFit="1" customWidth="1"/>
    <col min="12555" max="12800" width="9.1796875" style="2"/>
    <col min="12801" max="12801" width="18.54296875" style="2" customWidth="1"/>
    <col min="12802" max="12802" width="16.54296875" style="2" customWidth="1"/>
    <col min="12803" max="12803" width="10.7265625" style="2" customWidth="1"/>
    <col min="12804" max="12804" width="10" style="2" bestFit="1" customWidth="1"/>
    <col min="12805" max="12805" width="11.453125" style="2" customWidth="1"/>
    <col min="12806" max="12806" width="13.54296875" style="2" customWidth="1"/>
    <col min="12807" max="12807" width="21.54296875" style="2" customWidth="1"/>
    <col min="12808" max="12808" width="16.54296875" style="2" customWidth="1"/>
    <col min="12809" max="12809" width="9.1796875" style="2"/>
    <col min="12810" max="12810" width="11.81640625" style="2" bestFit="1" customWidth="1"/>
    <col min="12811" max="13056" width="9.1796875" style="2"/>
    <col min="13057" max="13057" width="18.54296875" style="2" customWidth="1"/>
    <col min="13058" max="13058" width="16.54296875" style="2" customWidth="1"/>
    <col min="13059" max="13059" width="10.7265625" style="2" customWidth="1"/>
    <col min="13060" max="13060" width="10" style="2" bestFit="1" customWidth="1"/>
    <col min="13061" max="13061" width="11.453125" style="2" customWidth="1"/>
    <col min="13062" max="13062" width="13.54296875" style="2" customWidth="1"/>
    <col min="13063" max="13063" width="21.54296875" style="2" customWidth="1"/>
    <col min="13064" max="13064" width="16.54296875" style="2" customWidth="1"/>
    <col min="13065" max="13065" width="9.1796875" style="2"/>
    <col min="13066" max="13066" width="11.81640625" style="2" bestFit="1" customWidth="1"/>
    <col min="13067" max="13312" width="9.1796875" style="2"/>
    <col min="13313" max="13313" width="18.54296875" style="2" customWidth="1"/>
    <col min="13314" max="13314" width="16.54296875" style="2" customWidth="1"/>
    <col min="13315" max="13315" width="10.7265625" style="2" customWidth="1"/>
    <col min="13316" max="13316" width="10" style="2" bestFit="1" customWidth="1"/>
    <col min="13317" max="13317" width="11.453125" style="2" customWidth="1"/>
    <col min="13318" max="13318" width="13.54296875" style="2" customWidth="1"/>
    <col min="13319" max="13319" width="21.54296875" style="2" customWidth="1"/>
    <col min="13320" max="13320" width="16.54296875" style="2" customWidth="1"/>
    <col min="13321" max="13321" width="9.1796875" style="2"/>
    <col min="13322" max="13322" width="11.81640625" style="2" bestFit="1" customWidth="1"/>
    <col min="13323" max="13568" width="9.1796875" style="2"/>
    <col min="13569" max="13569" width="18.54296875" style="2" customWidth="1"/>
    <col min="13570" max="13570" width="16.54296875" style="2" customWidth="1"/>
    <col min="13571" max="13571" width="10.7265625" style="2" customWidth="1"/>
    <col min="13572" max="13572" width="10" style="2" bestFit="1" customWidth="1"/>
    <col min="13573" max="13573" width="11.453125" style="2" customWidth="1"/>
    <col min="13574" max="13574" width="13.54296875" style="2" customWidth="1"/>
    <col min="13575" max="13575" width="21.54296875" style="2" customWidth="1"/>
    <col min="13576" max="13576" width="16.54296875" style="2" customWidth="1"/>
    <col min="13577" max="13577" width="9.1796875" style="2"/>
    <col min="13578" max="13578" width="11.81640625" style="2" bestFit="1" customWidth="1"/>
    <col min="13579" max="13824" width="9.1796875" style="2"/>
    <col min="13825" max="13825" width="18.54296875" style="2" customWidth="1"/>
    <col min="13826" max="13826" width="16.54296875" style="2" customWidth="1"/>
    <col min="13827" max="13827" width="10.7265625" style="2" customWidth="1"/>
    <col min="13828" max="13828" width="10" style="2" bestFit="1" customWidth="1"/>
    <col min="13829" max="13829" width="11.453125" style="2" customWidth="1"/>
    <col min="13830" max="13830" width="13.54296875" style="2" customWidth="1"/>
    <col min="13831" max="13831" width="21.54296875" style="2" customWidth="1"/>
    <col min="13832" max="13832" width="16.54296875" style="2" customWidth="1"/>
    <col min="13833" max="13833" width="9.1796875" style="2"/>
    <col min="13834" max="13834" width="11.81640625" style="2" bestFit="1" customWidth="1"/>
    <col min="13835" max="14080" width="9.1796875" style="2"/>
    <col min="14081" max="14081" width="18.54296875" style="2" customWidth="1"/>
    <col min="14082" max="14082" width="16.54296875" style="2" customWidth="1"/>
    <col min="14083" max="14083" width="10.7265625" style="2" customWidth="1"/>
    <col min="14084" max="14084" width="10" style="2" bestFit="1" customWidth="1"/>
    <col min="14085" max="14085" width="11.453125" style="2" customWidth="1"/>
    <col min="14086" max="14086" width="13.54296875" style="2" customWidth="1"/>
    <col min="14087" max="14087" width="21.54296875" style="2" customWidth="1"/>
    <col min="14088" max="14088" width="16.54296875" style="2" customWidth="1"/>
    <col min="14089" max="14089" width="9.1796875" style="2"/>
    <col min="14090" max="14090" width="11.81640625" style="2" bestFit="1" customWidth="1"/>
    <col min="14091" max="14336" width="9.1796875" style="2"/>
    <col min="14337" max="14337" width="18.54296875" style="2" customWidth="1"/>
    <col min="14338" max="14338" width="16.54296875" style="2" customWidth="1"/>
    <col min="14339" max="14339" width="10.7265625" style="2" customWidth="1"/>
    <col min="14340" max="14340" width="10" style="2" bestFit="1" customWidth="1"/>
    <col min="14341" max="14341" width="11.453125" style="2" customWidth="1"/>
    <col min="14342" max="14342" width="13.54296875" style="2" customWidth="1"/>
    <col min="14343" max="14343" width="21.54296875" style="2" customWidth="1"/>
    <col min="14344" max="14344" width="16.54296875" style="2" customWidth="1"/>
    <col min="14345" max="14345" width="9.1796875" style="2"/>
    <col min="14346" max="14346" width="11.81640625" style="2" bestFit="1" customWidth="1"/>
    <col min="14347" max="14592" width="9.1796875" style="2"/>
    <col min="14593" max="14593" width="18.54296875" style="2" customWidth="1"/>
    <col min="14594" max="14594" width="16.54296875" style="2" customWidth="1"/>
    <col min="14595" max="14595" width="10.7265625" style="2" customWidth="1"/>
    <col min="14596" max="14596" width="10" style="2" bestFit="1" customWidth="1"/>
    <col min="14597" max="14597" width="11.453125" style="2" customWidth="1"/>
    <col min="14598" max="14598" width="13.54296875" style="2" customWidth="1"/>
    <col min="14599" max="14599" width="21.54296875" style="2" customWidth="1"/>
    <col min="14600" max="14600" width="16.54296875" style="2" customWidth="1"/>
    <col min="14601" max="14601" width="9.1796875" style="2"/>
    <col min="14602" max="14602" width="11.81640625" style="2" bestFit="1" customWidth="1"/>
    <col min="14603" max="14848" width="9.1796875" style="2"/>
    <col min="14849" max="14849" width="18.54296875" style="2" customWidth="1"/>
    <col min="14850" max="14850" width="16.54296875" style="2" customWidth="1"/>
    <col min="14851" max="14851" width="10.7265625" style="2" customWidth="1"/>
    <col min="14852" max="14852" width="10" style="2" bestFit="1" customWidth="1"/>
    <col min="14853" max="14853" width="11.453125" style="2" customWidth="1"/>
    <col min="14854" max="14854" width="13.54296875" style="2" customWidth="1"/>
    <col min="14855" max="14855" width="21.54296875" style="2" customWidth="1"/>
    <col min="14856" max="14856" width="16.54296875" style="2" customWidth="1"/>
    <col min="14857" max="14857" width="9.1796875" style="2"/>
    <col min="14858" max="14858" width="11.81640625" style="2" bestFit="1" customWidth="1"/>
    <col min="14859" max="15104" width="9.1796875" style="2"/>
    <col min="15105" max="15105" width="18.54296875" style="2" customWidth="1"/>
    <col min="15106" max="15106" width="16.54296875" style="2" customWidth="1"/>
    <col min="15107" max="15107" width="10.7265625" style="2" customWidth="1"/>
    <col min="15108" max="15108" width="10" style="2" bestFit="1" customWidth="1"/>
    <col min="15109" max="15109" width="11.453125" style="2" customWidth="1"/>
    <col min="15110" max="15110" width="13.54296875" style="2" customWidth="1"/>
    <col min="15111" max="15111" width="21.54296875" style="2" customWidth="1"/>
    <col min="15112" max="15112" width="16.54296875" style="2" customWidth="1"/>
    <col min="15113" max="15113" width="9.1796875" style="2"/>
    <col min="15114" max="15114" width="11.81640625" style="2" bestFit="1" customWidth="1"/>
    <col min="15115" max="15360" width="9.1796875" style="2"/>
    <col min="15361" max="15361" width="18.54296875" style="2" customWidth="1"/>
    <col min="15362" max="15362" width="16.54296875" style="2" customWidth="1"/>
    <col min="15363" max="15363" width="10.7265625" style="2" customWidth="1"/>
    <col min="15364" max="15364" width="10" style="2" bestFit="1" customWidth="1"/>
    <col min="15365" max="15365" width="11.453125" style="2" customWidth="1"/>
    <col min="15366" max="15366" width="13.54296875" style="2" customWidth="1"/>
    <col min="15367" max="15367" width="21.54296875" style="2" customWidth="1"/>
    <col min="15368" max="15368" width="16.54296875" style="2" customWidth="1"/>
    <col min="15369" max="15369" width="9.1796875" style="2"/>
    <col min="15370" max="15370" width="11.81640625" style="2" bestFit="1" customWidth="1"/>
    <col min="15371" max="15616" width="9.1796875" style="2"/>
    <col min="15617" max="15617" width="18.54296875" style="2" customWidth="1"/>
    <col min="15618" max="15618" width="16.54296875" style="2" customWidth="1"/>
    <col min="15619" max="15619" width="10.7265625" style="2" customWidth="1"/>
    <col min="15620" max="15620" width="10" style="2" bestFit="1" customWidth="1"/>
    <col min="15621" max="15621" width="11.453125" style="2" customWidth="1"/>
    <col min="15622" max="15622" width="13.54296875" style="2" customWidth="1"/>
    <col min="15623" max="15623" width="21.54296875" style="2" customWidth="1"/>
    <col min="15624" max="15624" width="16.54296875" style="2" customWidth="1"/>
    <col min="15625" max="15625" width="9.1796875" style="2"/>
    <col min="15626" max="15626" width="11.81640625" style="2" bestFit="1" customWidth="1"/>
    <col min="15627" max="15872" width="9.1796875" style="2"/>
    <col min="15873" max="15873" width="18.54296875" style="2" customWidth="1"/>
    <col min="15874" max="15874" width="16.54296875" style="2" customWidth="1"/>
    <col min="15875" max="15875" width="10.7265625" style="2" customWidth="1"/>
    <col min="15876" max="15876" width="10" style="2" bestFit="1" customWidth="1"/>
    <col min="15877" max="15877" width="11.453125" style="2" customWidth="1"/>
    <col min="15878" max="15878" width="13.54296875" style="2" customWidth="1"/>
    <col min="15879" max="15879" width="21.54296875" style="2" customWidth="1"/>
    <col min="15880" max="15880" width="16.54296875" style="2" customWidth="1"/>
    <col min="15881" max="15881" width="9.1796875" style="2"/>
    <col min="15882" max="15882" width="11.81640625" style="2" bestFit="1" customWidth="1"/>
    <col min="15883" max="16128" width="9.1796875" style="2"/>
    <col min="16129" max="16129" width="18.54296875" style="2" customWidth="1"/>
    <col min="16130" max="16130" width="16.54296875" style="2" customWidth="1"/>
    <col min="16131" max="16131" width="10.7265625" style="2" customWidth="1"/>
    <col min="16132" max="16132" width="10" style="2" bestFit="1" customWidth="1"/>
    <col min="16133" max="16133" width="11.453125" style="2" customWidth="1"/>
    <col min="16134" max="16134" width="13.54296875" style="2" customWidth="1"/>
    <col min="16135" max="16135" width="21.54296875" style="2" customWidth="1"/>
    <col min="16136" max="16136" width="16.54296875" style="2" customWidth="1"/>
    <col min="16137" max="16137" width="9.1796875" style="2"/>
    <col min="16138" max="16138" width="11.81640625" style="2" bestFit="1" customWidth="1"/>
    <col min="16139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</v>
      </c>
      <c r="B2" s="74"/>
      <c r="C2" s="74"/>
      <c r="D2" s="74"/>
      <c r="E2" s="74"/>
      <c r="F2" s="74"/>
      <c r="G2" s="74"/>
    </row>
    <row r="3" spans="1:10" x14ac:dyDescent="0.3">
      <c r="A3" s="74" t="s">
        <v>2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4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9"/>
      <c r="B10" s="10"/>
      <c r="C10" s="10"/>
      <c r="D10" s="10"/>
      <c r="E10" s="11"/>
      <c r="F10" s="12">
        <f>C21+D21</f>
        <v>10633510</v>
      </c>
      <c r="G10" s="13"/>
    </row>
    <row r="11" spans="1:10" s="23" customFormat="1" ht="31" customHeight="1" x14ac:dyDescent="0.35">
      <c r="A11" s="14"/>
      <c r="B11" s="15" t="s">
        <v>16</v>
      </c>
      <c r="C11" s="16">
        <v>1053351</v>
      </c>
      <c r="D11" s="16">
        <f>100000/10</f>
        <v>10000</v>
      </c>
      <c r="E11" s="17">
        <f>C11+D11</f>
        <v>1063351</v>
      </c>
      <c r="F11" s="18">
        <f>F10-E11</f>
        <v>9570159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24"/>
      <c r="B12" s="15" t="s">
        <v>17</v>
      </c>
      <c r="C12" s="16">
        <v>1053351</v>
      </c>
      <c r="D12" s="16">
        <f t="shared" ref="D12:D20" si="0">100000/10</f>
        <v>10000</v>
      </c>
      <c r="E12" s="17">
        <f t="shared" ref="E12:E19" si="1">C12+D12</f>
        <v>1063351</v>
      </c>
      <c r="F12" s="18">
        <f t="shared" ref="F12:F20" si="2">F11-E12</f>
        <v>8506808</v>
      </c>
      <c r="G12" s="19"/>
    </row>
    <row r="13" spans="1:10" s="23" customFormat="1" ht="31" customHeight="1" x14ac:dyDescent="0.35">
      <c r="A13" s="24"/>
      <c r="B13" s="15" t="s">
        <v>18</v>
      </c>
      <c r="C13" s="16">
        <v>1053351</v>
      </c>
      <c r="D13" s="16">
        <f t="shared" si="0"/>
        <v>10000</v>
      </c>
      <c r="E13" s="17">
        <f t="shared" si="1"/>
        <v>1063351</v>
      </c>
      <c r="F13" s="18">
        <f t="shared" si="2"/>
        <v>7443457</v>
      </c>
      <c r="G13" s="19"/>
      <c r="H13" s="23" t="s">
        <v>12</v>
      </c>
    </row>
    <row r="14" spans="1:10" s="23" customFormat="1" ht="31" customHeight="1" x14ac:dyDescent="0.35">
      <c r="A14" s="25"/>
      <c r="B14" s="15" t="s">
        <v>19</v>
      </c>
      <c r="C14" s="16">
        <v>1053351</v>
      </c>
      <c r="D14" s="16">
        <f t="shared" si="0"/>
        <v>10000</v>
      </c>
      <c r="E14" s="17">
        <f t="shared" si="1"/>
        <v>1063351</v>
      </c>
      <c r="F14" s="18">
        <f t="shared" si="2"/>
        <v>6380106</v>
      </c>
      <c r="G14" s="19"/>
    </row>
    <row r="15" spans="1:10" s="23" customFormat="1" ht="31" customHeight="1" x14ac:dyDescent="0.35">
      <c r="A15" s="26"/>
      <c r="B15" s="15" t="s">
        <v>20</v>
      </c>
      <c r="C15" s="16">
        <v>1053351</v>
      </c>
      <c r="D15" s="16">
        <f t="shared" si="0"/>
        <v>10000</v>
      </c>
      <c r="E15" s="17">
        <f t="shared" si="1"/>
        <v>1063351</v>
      </c>
      <c r="F15" s="18">
        <f t="shared" si="2"/>
        <v>5316755</v>
      </c>
      <c r="G15" s="19"/>
    </row>
    <row r="16" spans="1:10" s="23" customFormat="1" ht="31" customHeight="1" x14ac:dyDescent="0.35">
      <c r="A16" s="27"/>
      <c r="B16" s="15" t="s">
        <v>21</v>
      </c>
      <c r="C16" s="16">
        <v>1053351</v>
      </c>
      <c r="D16" s="16">
        <f t="shared" si="0"/>
        <v>10000</v>
      </c>
      <c r="E16" s="17">
        <f t="shared" si="1"/>
        <v>1063351</v>
      </c>
      <c r="F16" s="18">
        <f t="shared" si="2"/>
        <v>4253404</v>
      </c>
      <c r="G16" s="19"/>
    </row>
    <row r="17" spans="1:7" s="23" customFormat="1" ht="31" customHeight="1" x14ac:dyDescent="0.35">
      <c r="A17" s="27"/>
      <c r="B17" s="15" t="s">
        <v>22</v>
      </c>
      <c r="C17" s="16">
        <v>1053351</v>
      </c>
      <c r="D17" s="16">
        <f t="shared" si="0"/>
        <v>10000</v>
      </c>
      <c r="E17" s="17">
        <f t="shared" si="1"/>
        <v>1063351</v>
      </c>
      <c r="F17" s="18">
        <f t="shared" si="2"/>
        <v>3190053</v>
      </c>
      <c r="G17" s="19"/>
    </row>
    <row r="18" spans="1:7" s="23" customFormat="1" ht="31" customHeight="1" x14ac:dyDescent="0.35">
      <c r="A18" s="27"/>
      <c r="B18" s="15" t="s">
        <v>23</v>
      </c>
      <c r="C18" s="16">
        <v>1053351</v>
      </c>
      <c r="D18" s="16">
        <f t="shared" si="0"/>
        <v>10000</v>
      </c>
      <c r="E18" s="17">
        <f t="shared" si="1"/>
        <v>1063351</v>
      </c>
      <c r="F18" s="18">
        <f t="shared" si="2"/>
        <v>2126702</v>
      </c>
      <c r="G18" s="19"/>
    </row>
    <row r="19" spans="1:7" s="23" customFormat="1" ht="31" customHeight="1" x14ac:dyDescent="0.35">
      <c r="A19" s="26"/>
      <c r="B19" s="15" t="s">
        <v>24</v>
      </c>
      <c r="C19" s="16">
        <v>1053351</v>
      </c>
      <c r="D19" s="16">
        <f t="shared" si="0"/>
        <v>10000</v>
      </c>
      <c r="E19" s="17">
        <f t="shared" si="1"/>
        <v>1063351</v>
      </c>
      <c r="F19" s="18">
        <f>F18-E19</f>
        <v>1063351</v>
      </c>
      <c r="G19" s="19"/>
    </row>
    <row r="20" spans="1:7" s="23" customFormat="1" ht="31" customHeight="1" x14ac:dyDescent="0.35">
      <c r="A20" s="26"/>
      <c r="B20" s="15" t="s">
        <v>25</v>
      </c>
      <c r="C20" s="16">
        <v>1053351</v>
      </c>
      <c r="D20" s="16">
        <f t="shared" si="0"/>
        <v>10000</v>
      </c>
      <c r="E20" s="17">
        <f>C20+D20</f>
        <v>1063351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10533510</v>
      </c>
      <c r="D21" s="28">
        <f>SUM(D11:D20)</f>
        <v>100000</v>
      </c>
      <c r="E21" s="28">
        <f>SUM(E11:E20)</f>
        <v>10633510</v>
      </c>
      <c r="F21" s="18"/>
      <c r="G21" s="19"/>
    </row>
    <row r="23" spans="1:7" ht="19.5" customHeight="1" x14ac:dyDescent="0.3">
      <c r="A23" s="29" t="s">
        <v>27</v>
      </c>
      <c r="B23" s="78" t="s">
        <v>28</v>
      </c>
      <c r="C23" s="78"/>
      <c r="D23" s="78"/>
      <c r="E23" s="78"/>
      <c r="F23" s="78"/>
    </row>
    <row r="24" spans="1:7" x14ac:dyDescent="0.3">
      <c r="B24" s="31" t="s">
        <v>29</v>
      </c>
      <c r="C24" s="32">
        <v>9000000</v>
      </c>
    </row>
    <row r="25" spans="1:7" ht="28" x14ac:dyDescent="0.3">
      <c r="B25" s="31" t="s">
        <v>30</v>
      </c>
      <c r="C25" s="33">
        <v>5000000</v>
      </c>
    </row>
    <row r="26" spans="1:7" x14ac:dyDescent="0.3">
      <c r="B26" s="34" t="s">
        <v>31</v>
      </c>
      <c r="C26" s="35">
        <f>C24+C25</f>
        <v>14000000</v>
      </c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BF07-AF21-4152-A0D1-CEA5EB274E07}">
  <sheetPr>
    <tabColor rgb="FFFF0000"/>
  </sheetPr>
  <dimension ref="A1:J26"/>
  <sheetViews>
    <sheetView view="pageBreakPreview" zoomScale="85" zoomScaleNormal="85" zoomScaleSheetLayoutView="85" workbookViewId="0">
      <selection activeCell="A12" sqref="A1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</v>
      </c>
      <c r="B2" s="74"/>
      <c r="C2" s="74"/>
      <c r="D2" s="74"/>
      <c r="E2" s="74"/>
      <c r="F2" s="74"/>
      <c r="G2" s="74"/>
    </row>
    <row r="3" spans="1:10" x14ac:dyDescent="0.3">
      <c r="A3" s="74" t="s">
        <v>43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42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45734</v>
      </c>
      <c r="B10" s="10"/>
      <c r="C10" s="10"/>
      <c r="D10" s="10"/>
      <c r="E10" s="11"/>
      <c r="F10" s="12">
        <f>C21+D21</f>
        <v>27221290</v>
      </c>
      <c r="G10" s="13"/>
    </row>
    <row r="11" spans="1:10" s="23" customFormat="1" ht="31" customHeight="1" x14ac:dyDescent="0.35">
      <c r="A11" s="14"/>
      <c r="B11" s="15" t="s">
        <v>16</v>
      </c>
      <c r="C11" s="16">
        <v>2712129</v>
      </c>
      <c r="D11" s="16">
        <f t="shared" ref="D11:D20" si="0">100000/10</f>
        <v>10000</v>
      </c>
      <c r="E11" s="17">
        <f t="shared" ref="E11:E20" si="1">C11+D11</f>
        <v>2722129</v>
      </c>
      <c r="F11" s="18">
        <f t="shared" ref="F11:F20" si="2">F10-E11</f>
        <v>24499161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24"/>
      <c r="B12" s="15" t="s">
        <v>17</v>
      </c>
      <c r="C12" s="16">
        <v>2712129</v>
      </c>
      <c r="D12" s="16">
        <f t="shared" si="0"/>
        <v>10000</v>
      </c>
      <c r="E12" s="17">
        <f t="shared" si="1"/>
        <v>2722129</v>
      </c>
      <c r="F12" s="18">
        <f t="shared" si="2"/>
        <v>21777032</v>
      </c>
      <c r="G12" s="19"/>
    </row>
    <row r="13" spans="1:10" s="23" customFormat="1" ht="31" customHeight="1" x14ac:dyDescent="0.35">
      <c r="A13" s="24"/>
      <c r="B13" s="15" t="s">
        <v>18</v>
      </c>
      <c r="C13" s="16">
        <v>2712129</v>
      </c>
      <c r="D13" s="16">
        <f t="shared" si="0"/>
        <v>10000</v>
      </c>
      <c r="E13" s="17">
        <f t="shared" si="1"/>
        <v>2722129</v>
      </c>
      <c r="F13" s="18">
        <f t="shared" si="2"/>
        <v>19054903</v>
      </c>
      <c r="G13" s="19"/>
      <c r="H13" s="23" t="s">
        <v>12</v>
      </c>
    </row>
    <row r="14" spans="1:10" s="23" customFormat="1" ht="31" customHeight="1" x14ac:dyDescent="0.35">
      <c r="A14" s="25"/>
      <c r="B14" s="15" t="s">
        <v>19</v>
      </c>
      <c r="C14" s="16">
        <v>2712129</v>
      </c>
      <c r="D14" s="16">
        <f t="shared" si="0"/>
        <v>10000</v>
      </c>
      <c r="E14" s="17">
        <f t="shared" si="1"/>
        <v>2722129</v>
      </c>
      <c r="F14" s="18">
        <f t="shared" si="2"/>
        <v>16332774</v>
      </c>
      <c r="G14" s="19"/>
    </row>
    <row r="15" spans="1:10" s="23" customFormat="1" ht="31" customHeight="1" x14ac:dyDescent="0.35">
      <c r="A15" s="26"/>
      <c r="B15" s="15" t="s">
        <v>20</v>
      </c>
      <c r="C15" s="16">
        <v>2712129</v>
      </c>
      <c r="D15" s="16">
        <f t="shared" si="0"/>
        <v>10000</v>
      </c>
      <c r="E15" s="17">
        <f t="shared" si="1"/>
        <v>2722129</v>
      </c>
      <c r="F15" s="18">
        <f t="shared" si="2"/>
        <v>13610645</v>
      </c>
      <c r="G15" s="19"/>
    </row>
    <row r="16" spans="1:10" s="23" customFormat="1" ht="31" customHeight="1" x14ac:dyDescent="0.35">
      <c r="A16" s="27"/>
      <c r="B16" s="15" t="s">
        <v>21</v>
      </c>
      <c r="C16" s="16">
        <v>2712129</v>
      </c>
      <c r="D16" s="16">
        <f t="shared" si="0"/>
        <v>10000</v>
      </c>
      <c r="E16" s="17">
        <f t="shared" si="1"/>
        <v>2722129</v>
      </c>
      <c r="F16" s="18">
        <f t="shared" si="2"/>
        <v>10888516</v>
      </c>
      <c r="G16" s="19"/>
    </row>
    <row r="17" spans="1:7" s="23" customFormat="1" ht="31" customHeight="1" x14ac:dyDescent="0.35">
      <c r="A17" s="27"/>
      <c r="B17" s="15" t="s">
        <v>22</v>
      </c>
      <c r="C17" s="16">
        <v>2712129</v>
      </c>
      <c r="D17" s="16">
        <f t="shared" si="0"/>
        <v>10000</v>
      </c>
      <c r="E17" s="17">
        <f t="shared" si="1"/>
        <v>2722129</v>
      </c>
      <c r="F17" s="18">
        <f t="shared" si="2"/>
        <v>8166387</v>
      </c>
      <c r="G17" s="19"/>
    </row>
    <row r="18" spans="1:7" s="23" customFormat="1" ht="31" customHeight="1" x14ac:dyDescent="0.35">
      <c r="A18" s="27"/>
      <c r="B18" s="15" t="s">
        <v>23</v>
      </c>
      <c r="C18" s="16">
        <v>2712129</v>
      </c>
      <c r="D18" s="16">
        <f t="shared" si="0"/>
        <v>10000</v>
      </c>
      <c r="E18" s="17">
        <f t="shared" si="1"/>
        <v>2722129</v>
      </c>
      <c r="F18" s="18">
        <f t="shared" si="2"/>
        <v>5444258</v>
      </c>
      <c r="G18" s="19"/>
    </row>
    <row r="19" spans="1:7" s="23" customFormat="1" ht="31" customHeight="1" x14ac:dyDescent="0.35">
      <c r="A19" s="26"/>
      <c r="B19" s="15" t="s">
        <v>24</v>
      </c>
      <c r="C19" s="16">
        <v>2712129</v>
      </c>
      <c r="D19" s="16">
        <f t="shared" si="0"/>
        <v>10000</v>
      </c>
      <c r="E19" s="17">
        <f t="shared" si="1"/>
        <v>2722129</v>
      </c>
      <c r="F19" s="18">
        <f t="shared" si="2"/>
        <v>2722129</v>
      </c>
      <c r="G19" s="19"/>
    </row>
    <row r="20" spans="1:7" s="23" customFormat="1" ht="31" customHeight="1" x14ac:dyDescent="0.35">
      <c r="A20" s="26"/>
      <c r="B20" s="15" t="s">
        <v>25</v>
      </c>
      <c r="C20" s="16">
        <v>2712129</v>
      </c>
      <c r="D20" s="16">
        <f t="shared" si="0"/>
        <v>10000</v>
      </c>
      <c r="E20" s="17">
        <f t="shared" si="1"/>
        <v>2722129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27121290</v>
      </c>
      <c r="D21" s="28">
        <f>SUM(D11:D20)</f>
        <v>100000</v>
      </c>
      <c r="E21" s="28">
        <f>SUM(E11:E20)</f>
        <v>27221290</v>
      </c>
      <c r="F21" s="18"/>
      <c r="G21" s="19"/>
    </row>
    <row r="23" spans="1:7" ht="19.5" customHeight="1" x14ac:dyDescent="0.3">
      <c r="A23" s="29"/>
      <c r="B23" s="78"/>
      <c r="C23" s="78"/>
      <c r="D23" s="78"/>
      <c r="E23" s="78"/>
      <c r="F23" s="78"/>
    </row>
    <row r="24" spans="1:7" x14ac:dyDescent="0.3">
      <c r="B24" s="31"/>
      <c r="C24" s="32"/>
    </row>
    <row r="25" spans="1:7" x14ac:dyDescent="0.3">
      <c r="B25" s="31"/>
      <c r="C25" s="33"/>
    </row>
    <row r="26" spans="1:7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32AD-2E0F-4AD8-A47F-201AC0FAD995}">
  <sheetPr>
    <tabColor theme="1"/>
  </sheetPr>
  <dimension ref="A1:N26"/>
  <sheetViews>
    <sheetView view="pageBreakPreview" zoomScale="85" zoomScaleNormal="85" zoomScaleSheetLayoutView="85" workbookViewId="0">
      <selection activeCell="A12" sqref="A1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4" x14ac:dyDescent="0.3">
      <c r="A1" s="74" t="s">
        <v>0</v>
      </c>
      <c r="B1" s="74"/>
      <c r="C1" s="74"/>
      <c r="D1" s="74"/>
      <c r="E1" s="74"/>
      <c r="F1" s="74"/>
      <c r="G1" s="74"/>
    </row>
    <row r="2" spans="1:14" x14ac:dyDescent="0.3">
      <c r="A2" s="74" t="s">
        <v>1</v>
      </c>
      <c r="B2" s="74"/>
      <c r="C2" s="74"/>
      <c r="D2" s="74"/>
      <c r="E2" s="74"/>
      <c r="F2" s="74"/>
      <c r="G2" s="74"/>
    </row>
    <row r="3" spans="1:14" x14ac:dyDescent="0.3">
      <c r="A3" s="74" t="s">
        <v>41</v>
      </c>
      <c r="B3" s="74"/>
      <c r="C3" s="74"/>
      <c r="D3" s="74"/>
      <c r="E3" s="74"/>
      <c r="F3" s="74"/>
      <c r="G3" s="74"/>
    </row>
    <row r="4" spans="1:14" x14ac:dyDescent="0.3">
      <c r="A4" s="1"/>
      <c r="B4" s="1"/>
      <c r="C4" s="1"/>
      <c r="D4" s="1"/>
      <c r="E4" s="1"/>
      <c r="F4" s="1"/>
    </row>
    <row r="5" spans="1:14" x14ac:dyDescent="0.3">
      <c r="A5" s="3" t="s">
        <v>3</v>
      </c>
      <c r="B5" s="80" t="s">
        <v>40</v>
      </c>
      <c r="C5" s="80"/>
      <c r="D5" s="80"/>
      <c r="E5" s="80"/>
      <c r="F5" s="80"/>
    </row>
    <row r="6" spans="1:14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4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4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4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4" ht="36.75" customHeight="1" x14ac:dyDescent="0.3">
      <c r="A10" s="36">
        <v>45748</v>
      </c>
      <c r="B10" s="10"/>
      <c r="C10" s="10"/>
      <c r="D10" s="10"/>
      <c r="E10" s="11"/>
      <c r="F10" s="12">
        <f>C21+D21</f>
        <v>24173930</v>
      </c>
      <c r="G10" s="13"/>
    </row>
    <row r="11" spans="1:14" s="23" customFormat="1" ht="31" customHeight="1" x14ac:dyDescent="0.35">
      <c r="A11" s="36">
        <v>45772</v>
      </c>
      <c r="B11" s="15" t="s">
        <v>16</v>
      </c>
      <c r="C11" s="16">
        <v>2407393</v>
      </c>
      <c r="D11" s="16">
        <f t="shared" ref="D11:D20" si="0">100000/10</f>
        <v>10000</v>
      </c>
      <c r="E11" s="17">
        <f t="shared" ref="E11:E20" si="1">C11+D11</f>
        <v>2417393</v>
      </c>
      <c r="F11" s="18">
        <f t="shared" ref="F11:F20" si="2">F10-E11</f>
        <v>21756537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4" s="23" customFormat="1" ht="31" customHeight="1" x14ac:dyDescent="0.35">
      <c r="A12" s="24"/>
      <c r="B12" s="15" t="s">
        <v>17</v>
      </c>
      <c r="C12" s="16">
        <v>2407393</v>
      </c>
      <c r="D12" s="16">
        <f t="shared" si="0"/>
        <v>10000</v>
      </c>
      <c r="E12" s="17">
        <f t="shared" si="1"/>
        <v>2417393</v>
      </c>
      <c r="F12" s="18">
        <f t="shared" si="2"/>
        <v>19339144</v>
      </c>
      <c r="G12" s="19"/>
      <c r="H12" s="23" t="s">
        <v>39</v>
      </c>
      <c r="I12" s="23">
        <v>22499000</v>
      </c>
    </row>
    <row r="13" spans="1:14" s="23" customFormat="1" ht="31" customHeight="1" x14ac:dyDescent="0.35">
      <c r="A13" s="24"/>
      <c r="B13" s="15" t="s">
        <v>18</v>
      </c>
      <c r="C13" s="16">
        <v>2407393</v>
      </c>
      <c r="D13" s="16">
        <f t="shared" si="0"/>
        <v>10000</v>
      </c>
      <c r="E13" s="17">
        <f t="shared" si="1"/>
        <v>2417393</v>
      </c>
      <c r="F13" s="18">
        <f t="shared" si="2"/>
        <v>16921751</v>
      </c>
      <c r="G13" s="19"/>
      <c r="H13" s="23" t="s">
        <v>38</v>
      </c>
      <c r="I13" s="23">
        <f>I12*7%</f>
        <v>1574930.0000000002</v>
      </c>
    </row>
    <row r="14" spans="1:14" s="23" customFormat="1" ht="31" customHeight="1" x14ac:dyDescent="0.35">
      <c r="A14" s="25"/>
      <c r="B14" s="15" t="s">
        <v>19</v>
      </c>
      <c r="C14" s="16">
        <v>2407393</v>
      </c>
      <c r="D14" s="16">
        <f t="shared" si="0"/>
        <v>10000</v>
      </c>
      <c r="E14" s="17">
        <f t="shared" si="1"/>
        <v>2417393</v>
      </c>
      <c r="F14" s="18">
        <f t="shared" si="2"/>
        <v>14504358</v>
      </c>
      <c r="G14" s="19"/>
      <c r="H14" s="23" t="s">
        <v>37</v>
      </c>
      <c r="I14" s="23">
        <f>I12+I13</f>
        <v>24073930</v>
      </c>
    </row>
    <row r="15" spans="1:14" s="23" customFormat="1" ht="31" customHeight="1" x14ac:dyDescent="0.35">
      <c r="A15" s="26"/>
      <c r="B15" s="15" t="s">
        <v>20</v>
      </c>
      <c r="C15" s="16">
        <v>2407393</v>
      </c>
      <c r="D15" s="16">
        <f t="shared" si="0"/>
        <v>10000</v>
      </c>
      <c r="E15" s="17">
        <f t="shared" si="1"/>
        <v>2417393</v>
      </c>
      <c r="F15" s="18">
        <f t="shared" si="2"/>
        <v>12086965</v>
      </c>
      <c r="G15" s="19"/>
      <c r="H15" s="23" t="s">
        <v>36</v>
      </c>
      <c r="I15" s="23">
        <v>100000</v>
      </c>
      <c r="J15" s="23">
        <f>I15/10</f>
        <v>10000</v>
      </c>
      <c r="M15" s="23">
        <v>100000</v>
      </c>
      <c r="N15" s="23">
        <f>M15/8</f>
        <v>12500</v>
      </c>
    </row>
    <row r="16" spans="1:14" s="23" customFormat="1" ht="31" customHeight="1" x14ac:dyDescent="0.35">
      <c r="A16" s="27"/>
      <c r="B16" s="15" t="s">
        <v>21</v>
      </c>
      <c r="C16" s="16">
        <v>2407393</v>
      </c>
      <c r="D16" s="16">
        <f t="shared" si="0"/>
        <v>10000</v>
      </c>
      <c r="E16" s="17">
        <f t="shared" si="1"/>
        <v>2417393</v>
      </c>
      <c r="F16" s="18">
        <f t="shared" si="2"/>
        <v>9669572</v>
      </c>
      <c r="G16" s="19"/>
      <c r="H16" s="23" t="s">
        <v>35</v>
      </c>
      <c r="I16" s="23">
        <f>I14+I15</f>
        <v>24173930</v>
      </c>
      <c r="J16" s="23">
        <f>I16/10</f>
        <v>2417393</v>
      </c>
      <c r="N16" s="23">
        <v>2449875</v>
      </c>
    </row>
    <row r="17" spans="1:14" s="23" customFormat="1" ht="31" customHeight="1" x14ac:dyDescent="0.35">
      <c r="A17" s="27"/>
      <c r="B17" s="15" t="s">
        <v>22</v>
      </c>
      <c r="C17" s="16">
        <v>2407393</v>
      </c>
      <c r="D17" s="16">
        <f t="shared" si="0"/>
        <v>10000</v>
      </c>
      <c r="E17" s="17">
        <f t="shared" si="1"/>
        <v>2417393</v>
      </c>
      <c r="F17" s="18">
        <f t="shared" si="2"/>
        <v>7252179</v>
      </c>
      <c r="G17" s="19"/>
      <c r="N17" s="23">
        <f>N16-N15</f>
        <v>2437375</v>
      </c>
    </row>
    <row r="18" spans="1:14" s="23" customFormat="1" ht="31" customHeight="1" x14ac:dyDescent="0.35">
      <c r="A18" s="27"/>
      <c r="B18" s="15" t="s">
        <v>23</v>
      </c>
      <c r="C18" s="16">
        <v>2407393</v>
      </c>
      <c r="D18" s="16">
        <f t="shared" si="0"/>
        <v>10000</v>
      </c>
      <c r="E18" s="17">
        <f t="shared" si="1"/>
        <v>2417393</v>
      </c>
      <c r="F18" s="18">
        <f t="shared" si="2"/>
        <v>4834786</v>
      </c>
      <c r="G18" s="19"/>
    </row>
    <row r="19" spans="1:14" s="23" customFormat="1" ht="31" customHeight="1" x14ac:dyDescent="0.35">
      <c r="A19" s="26"/>
      <c r="B19" s="15" t="s">
        <v>24</v>
      </c>
      <c r="C19" s="16">
        <v>2407393</v>
      </c>
      <c r="D19" s="16">
        <f t="shared" si="0"/>
        <v>10000</v>
      </c>
      <c r="E19" s="17">
        <f t="shared" si="1"/>
        <v>2417393</v>
      </c>
      <c r="F19" s="18">
        <f t="shared" si="2"/>
        <v>2417393</v>
      </c>
      <c r="G19" s="19"/>
    </row>
    <row r="20" spans="1:14" s="23" customFormat="1" ht="31" customHeight="1" x14ac:dyDescent="0.35">
      <c r="A20" s="26"/>
      <c r="B20" s="15" t="s">
        <v>25</v>
      </c>
      <c r="C20" s="16">
        <v>2407393</v>
      </c>
      <c r="D20" s="16">
        <f t="shared" si="0"/>
        <v>10000</v>
      </c>
      <c r="E20" s="17">
        <f t="shared" si="1"/>
        <v>2417393</v>
      </c>
      <c r="F20" s="18">
        <f t="shared" si="2"/>
        <v>0</v>
      </c>
      <c r="G20" s="19"/>
    </row>
    <row r="21" spans="1:14" s="23" customFormat="1" ht="31" customHeight="1" x14ac:dyDescent="0.35">
      <c r="A21" s="76" t="s">
        <v>26</v>
      </c>
      <c r="B21" s="77"/>
      <c r="C21" s="28">
        <f>SUM(C11:C20)</f>
        <v>24073930</v>
      </c>
      <c r="D21" s="28">
        <f>SUM(D11:D20)</f>
        <v>100000</v>
      </c>
      <c r="E21" s="28">
        <f>SUM(E11:E20)</f>
        <v>24173930</v>
      </c>
      <c r="F21" s="18"/>
      <c r="G21" s="19"/>
    </row>
    <row r="23" spans="1:14" ht="19.5" customHeight="1" x14ac:dyDescent="0.3">
      <c r="A23" s="29"/>
      <c r="B23" s="78"/>
      <c r="C23" s="78"/>
      <c r="D23" s="78"/>
      <c r="E23" s="78"/>
      <c r="F23" s="78"/>
    </row>
    <row r="24" spans="1:14" x14ac:dyDescent="0.3">
      <c r="B24" s="31"/>
      <c r="C24" s="32"/>
    </row>
    <row r="25" spans="1:14" x14ac:dyDescent="0.3">
      <c r="B25" s="31"/>
      <c r="C25" s="33"/>
    </row>
    <row r="26" spans="1:14" x14ac:dyDescent="0.3">
      <c r="B26" s="34"/>
      <c r="C26" s="35"/>
    </row>
  </sheetData>
  <mergeCells count="13"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  <mergeCell ref="E7:E8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1771-51BA-42BF-93E5-EE202B33B0A5}">
  <sheetPr>
    <tabColor rgb="FFFF0000"/>
  </sheetPr>
  <dimension ref="A1:J19"/>
  <sheetViews>
    <sheetView view="pageBreakPreview" zoomScale="85" zoomScaleNormal="85" zoomScaleSheetLayoutView="85" workbookViewId="0">
      <selection activeCell="A14" sqref="A14:B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46</v>
      </c>
      <c r="B2" s="74"/>
      <c r="C2" s="74"/>
      <c r="D2" s="74"/>
      <c r="E2" s="74"/>
      <c r="F2" s="74"/>
      <c r="G2" s="74"/>
    </row>
    <row r="3" spans="1:10" x14ac:dyDescent="0.3">
      <c r="A3" s="74" t="s">
        <v>89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90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45775</v>
      </c>
      <c r="B10" s="10"/>
      <c r="C10" s="10"/>
      <c r="D10" s="10"/>
      <c r="E10" s="11"/>
      <c r="F10" s="12">
        <f>C14+D14</f>
        <v>2395000</v>
      </c>
      <c r="G10" s="13"/>
    </row>
    <row r="11" spans="1:10" s="23" customFormat="1" ht="31" customHeight="1" x14ac:dyDescent="0.35">
      <c r="A11" s="36">
        <v>45800</v>
      </c>
      <c r="B11" s="15" t="s">
        <v>16</v>
      </c>
      <c r="C11" s="16">
        <v>765000</v>
      </c>
      <c r="D11" s="16">
        <f>100000/3</f>
        <v>33333.333333333336</v>
      </c>
      <c r="E11" s="17">
        <f>C11+D11</f>
        <v>798333.33333333337</v>
      </c>
      <c r="F11" s="18">
        <f>F10-E11</f>
        <v>1596666.6666666665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36">
        <v>45833</v>
      </c>
      <c r="B12" s="15" t="s">
        <v>17</v>
      </c>
      <c r="C12" s="16">
        <v>765000</v>
      </c>
      <c r="D12" s="16">
        <f t="shared" ref="D12:D13" si="0">100000/3</f>
        <v>33333.333333333336</v>
      </c>
      <c r="E12" s="17">
        <f>C12+D12</f>
        <v>798333.33333333337</v>
      </c>
      <c r="F12" s="18">
        <f t="shared" ref="F12:F13" si="1">F11-E12</f>
        <v>798333.33333333314</v>
      </c>
      <c r="G12" s="19"/>
    </row>
    <row r="13" spans="1:10" s="23" customFormat="1" ht="31" customHeight="1" x14ac:dyDescent="0.35">
      <c r="A13" s="36">
        <v>45863</v>
      </c>
      <c r="B13" s="15" t="s">
        <v>18</v>
      </c>
      <c r="C13" s="16">
        <v>765000</v>
      </c>
      <c r="D13" s="16">
        <f t="shared" si="0"/>
        <v>33333.333333333336</v>
      </c>
      <c r="E13" s="17">
        <f>C13+D13</f>
        <v>798333.33333333337</v>
      </c>
      <c r="F13" s="18">
        <f t="shared" si="1"/>
        <v>0</v>
      </c>
      <c r="G13" s="19"/>
      <c r="J13" s="57"/>
    </row>
    <row r="14" spans="1:10" s="23" customFormat="1" ht="31" customHeight="1" x14ac:dyDescent="0.35">
      <c r="A14" s="76" t="s">
        <v>26</v>
      </c>
      <c r="B14" s="77"/>
      <c r="C14" s="28">
        <f>SUM(C11:C13)</f>
        <v>2295000</v>
      </c>
      <c r="D14" s="28">
        <f>SUM(D11:D13)</f>
        <v>100000</v>
      </c>
      <c r="E14" s="28">
        <f>SUM(E11:E13)</f>
        <v>2395000</v>
      </c>
      <c r="F14" s="18"/>
      <c r="G14" s="19"/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honeticPr fontId="7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7593-DB8B-444C-BA36-193C2077BCC5}">
  <sheetPr>
    <tabColor rgb="FFFF0000"/>
  </sheetPr>
  <dimension ref="A1:J19"/>
  <sheetViews>
    <sheetView view="pageBreakPreview" topLeftCell="A4" zoomScale="85" zoomScaleNormal="85" zoomScaleSheetLayoutView="85" workbookViewId="0">
      <selection activeCell="H16" sqref="H16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46</v>
      </c>
      <c r="B2" s="74"/>
      <c r="C2" s="74"/>
      <c r="D2" s="74"/>
      <c r="E2" s="74"/>
      <c r="F2" s="74"/>
      <c r="G2" s="74"/>
    </row>
    <row r="3" spans="1:10" x14ac:dyDescent="0.3">
      <c r="A3" s="74" t="s">
        <v>89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91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45775</v>
      </c>
      <c r="B10" s="10"/>
      <c r="C10" s="10"/>
      <c r="D10" s="10"/>
      <c r="E10" s="11"/>
      <c r="F10" s="12">
        <f>C14+D14</f>
        <v>2095000</v>
      </c>
      <c r="G10" s="13"/>
    </row>
    <row r="11" spans="1:10" s="23" customFormat="1" ht="31" customHeight="1" x14ac:dyDescent="0.35">
      <c r="A11" s="36">
        <v>45800</v>
      </c>
      <c r="B11" s="15" t="s">
        <v>16</v>
      </c>
      <c r="C11" s="16">
        <v>665000</v>
      </c>
      <c r="D11" s="16">
        <f>100000/3</f>
        <v>33333.333333333336</v>
      </c>
      <c r="E11" s="17">
        <f>C11+D11</f>
        <v>698333.33333333337</v>
      </c>
      <c r="F11" s="18">
        <f>F10-E11</f>
        <v>1396666.6666666665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36">
        <v>45833</v>
      </c>
      <c r="B12" s="15" t="s">
        <v>17</v>
      </c>
      <c r="C12" s="16">
        <v>665000</v>
      </c>
      <c r="D12" s="16">
        <f t="shared" ref="D12:D13" si="0">100000/3</f>
        <v>33333.333333333336</v>
      </c>
      <c r="E12" s="17">
        <f>C12+D12</f>
        <v>698333.33333333337</v>
      </c>
      <c r="F12" s="18">
        <f t="shared" ref="F12:F13" si="1">F11-E12</f>
        <v>698333.33333333314</v>
      </c>
      <c r="G12" s="19"/>
    </row>
    <row r="13" spans="1:10" s="23" customFormat="1" ht="31" customHeight="1" x14ac:dyDescent="0.35">
      <c r="A13" s="36">
        <v>45863</v>
      </c>
      <c r="B13" s="15" t="s">
        <v>18</v>
      </c>
      <c r="C13" s="16">
        <v>665000</v>
      </c>
      <c r="D13" s="16">
        <f t="shared" si="0"/>
        <v>33333.333333333336</v>
      </c>
      <c r="E13" s="17">
        <f>C13+D13</f>
        <v>698333.33333333337</v>
      </c>
      <c r="F13" s="18">
        <f t="shared" si="1"/>
        <v>0</v>
      </c>
      <c r="G13" s="19"/>
      <c r="I13" s="57">
        <f>C11-D11</f>
        <v>631666.66666666663</v>
      </c>
      <c r="J13" s="57"/>
    </row>
    <row r="14" spans="1:10" s="23" customFormat="1" ht="31" customHeight="1" x14ac:dyDescent="0.35">
      <c r="A14" s="76" t="s">
        <v>26</v>
      </c>
      <c r="B14" s="77"/>
      <c r="C14" s="28">
        <f>SUM(C11:C13)</f>
        <v>1995000</v>
      </c>
      <c r="D14" s="28">
        <f>SUM(D11:D13)</f>
        <v>100000</v>
      </c>
      <c r="E14" s="28">
        <f>SUM(E11:E13)</f>
        <v>2095000</v>
      </c>
      <c r="F14" s="18"/>
      <c r="G14" s="19"/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EABA-1F0D-4FE0-8E67-D914175A16CB}">
  <sheetPr>
    <tabColor rgb="FFFF0000"/>
  </sheetPr>
  <dimension ref="A1:J19"/>
  <sheetViews>
    <sheetView view="pageBreakPreview" topLeftCell="A7" zoomScale="85" zoomScaleNormal="85" zoomScaleSheetLayoutView="85" workbookViewId="0">
      <selection activeCell="A14" sqref="A14:B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46</v>
      </c>
      <c r="B2" s="74"/>
      <c r="C2" s="74"/>
      <c r="D2" s="74"/>
      <c r="E2" s="74"/>
      <c r="F2" s="74"/>
      <c r="G2" s="74"/>
    </row>
    <row r="3" spans="1:10" x14ac:dyDescent="0.3">
      <c r="A3" s="74" t="s">
        <v>89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98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45775</v>
      </c>
      <c r="B10" s="10"/>
      <c r="C10" s="10"/>
      <c r="D10" s="10"/>
      <c r="E10" s="11"/>
      <c r="F10" s="12">
        <f>C14+D14</f>
        <v>1650001</v>
      </c>
      <c r="G10" s="13"/>
    </row>
    <row r="11" spans="1:10" s="23" customFormat="1" ht="31" customHeight="1" x14ac:dyDescent="0.35">
      <c r="A11" s="36">
        <v>45800</v>
      </c>
      <c r="B11" s="15" t="s">
        <v>16</v>
      </c>
      <c r="C11" s="16">
        <v>516667</v>
      </c>
      <c r="D11" s="16">
        <f>100000/3</f>
        <v>33333.333333333336</v>
      </c>
      <c r="E11" s="17">
        <f>C11+D11</f>
        <v>550000.33333333337</v>
      </c>
      <c r="F11" s="18">
        <f>F10-E11</f>
        <v>1100000.6666666665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36">
        <v>45833</v>
      </c>
      <c r="B12" s="15" t="s">
        <v>17</v>
      </c>
      <c r="C12" s="16">
        <v>516667</v>
      </c>
      <c r="D12" s="16">
        <f t="shared" ref="D12:D13" si="0">100000/3</f>
        <v>33333.333333333336</v>
      </c>
      <c r="E12" s="17">
        <f>C12+D12</f>
        <v>550000.33333333337</v>
      </c>
      <c r="F12" s="18">
        <f t="shared" ref="F12:F13" si="1">F11-E12</f>
        <v>550000.33333333314</v>
      </c>
      <c r="G12" s="19"/>
    </row>
    <row r="13" spans="1:10" s="23" customFormat="1" ht="31" customHeight="1" x14ac:dyDescent="0.35">
      <c r="A13" s="36">
        <v>45863</v>
      </c>
      <c r="B13" s="15" t="s">
        <v>18</v>
      </c>
      <c r="C13" s="16">
        <v>516667</v>
      </c>
      <c r="D13" s="16">
        <f t="shared" si="0"/>
        <v>33333.333333333336</v>
      </c>
      <c r="E13" s="17">
        <f>C13+D13</f>
        <v>550000.33333333337</v>
      </c>
      <c r="F13" s="18">
        <f t="shared" si="1"/>
        <v>0</v>
      </c>
      <c r="G13" s="19"/>
      <c r="I13" s="57"/>
      <c r="J13" s="57"/>
    </row>
    <row r="14" spans="1:10" s="23" customFormat="1" ht="31" customHeight="1" x14ac:dyDescent="0.35">
      <c r="A14" s="76" t="s">
        <v>26</v>
      </c>
      <c r="B14" s="77"/>
      <c r="C14" s="28">
        <f>SUM(C11:C13)</f>
        <v>1550001</v>
      </c>
      <c r="D14" s="28">
        <f>SUM(D11:D13)</f>
        <v>100000</v>
      </c>
      <c r="E14" s="28">
        <f>SUM(E11:E13)</f>
        <v>1650001</v>
      </c>
      <c r="F14" s="18"/>
      <c r="G14" s="19"/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72A7-B61E-4D93-BC92-DF5BF0411E32}">
  <sheetPr>
    <tabColor rgb="FFFF0000"/>
  </sheetPr>
  <dimension ref="A1:J19"/>
  <sheetViews>
    <sheetView view="pageBreakPreview" topLeftCell="A4" zoomScale="85" zoomScaleNormal="85" zoomScaleSheetLayoutView="85" workbookViewId="0">
      <selection activeCell="A14" sqref="A14:B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46</v>
      </c>
      <c r="B2" s="74"/>
      <c r="C2" s="74"/>
      <c r="D2" s="74"/>
      <c r="E2" s="74"/>
      <c r="F2" s="74"/>
      <c r="G2" s="74"/>
    </row>
    <row r="3" spans="1:10" x14ac:dyDescent="0.3">
      <c r="A3" s="74" t="s">
        <v>92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93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45775</v>
      </c>
      <c r="B10" s="10"/>
      <c r="C10" s="10"/>
      <c r="D10" s="10"/>
      <c r="E10" s="11"/>
      <c r="F10" s="12">
        <f>C14+D14</f>
        <v>1495000</v>
      </c>
      <c r="G10" s="13"/>
    </row>
    <row r="11" spans="1:10" s="23" customFormat="1" ht="31" customHeight="1" x14ac:dyDescent="0.35">
      <c r="A11" s="36">
        <v>45802</v>
      </c>
      <c r="B11" s="15" t="s">
        <v>16</v>
      </c>
      <c r="C11" s="16">
        <v>465000</v>
      </c>
      <c r="D11" s="16">
        <f>100000/3</f>
        <v>33333.333333333336</v>
      </c>
      <c r="E11" s="17">
        <f>C11+D11</f>
        <v>498333.33333333331</v>
      </c>
      <c r="F11" s="18">
        <f>F10-E11</f>
        <v>996666.66666666674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0" s="23" customFormat="1" ht="31" customHeight="1" x14ac:dyDescent="0.35">
      <c r="A12" s="36">
        <v>45833</v>
      </c>
      <c r="B12" s="15" t="s">
        <v>17</v>
      </c>
      <c r="C12" s="16">
        <v>465000</v>
      </c>
      <c r="D12" s="16">
        <f t="shared" ref="D12:D13" si="0">100000/3</f>
        <v>33333.333333333336</v>
      </c>
      <c r="E12" s="17">
        <f>C12+D12</f>
        <v>498333.33333333331</v>
      </c>
      <c r="F12" s="18">
        <f t="shared" ref="F12:F13" si="1">F11-E12</f>
        <v>498333.33333333343</v>
      </c>
      <c r="G12" s="19"/>
    </row>
    <row r="13" spans="1:10" s="23" customFormat="1" ht="31" customHeight="1" x14ac:dyDescent="0.35">
      <c r="A13" s="36">
        <v>45863</v>
      </c>
      <c r="B13" s="15" t="s">
        <v>18</v>
      </c>
      <c r="C13" s="16">
        <v>465000</v>
      </c>
      <c r="D13" s="16">
        <f t="shared" si="0"/>
        <v>33333.333333333336</v>
      </c>
      <c r="E13" s="17">
        <f>C13+D13</f>
        <v>498333.33333333331</v>
      </c>
      <c r="F13" s="18">
        <f t="shared" si="1"/>
        <v>0</v>
      </c>
      <c r="G13" s="19"/>
      <c r="I13" s="57"/>
      <c r="J13" s="57"/>
    </row>
    <row r="14" spans="1:10" s="23" customFormat="1" ht="31" customHeight="1" x14ac:dyDescent="0.35">
      <c r="A14" s="76" t="s">
        <v>26</v>
      </c>
      <c r="B14" s="77"/>
      <c r="C14" s="28">
        <f>SUM(C11:C13)</f>
        <v>1395000</v>
      </c>
      <c r="D14" s="28">
        <f>SUM(D11:D13)</f>
        <v>100000</v>
      </c>
      <c r="E14" s="28">
        <f>SUM(E11:E13)</f>
        <v>1495000</v>
      </c>
      <c r="F14" s="18"/>
      <c r="G14" s="19"/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C087-86CD-40E5-A92D-F7AA600C301C}">
  <sheetPr>
    <tabColor theme="1"/>
  </sheetPr>
  <dimension ref="A1:N26"/>
  <sheetViews>
    <sheetView view="pageBreakPreview" zoomScale="92" zoomScaleNormal="85" zoomScaleSheetLayoutView="85" workbookViewId="0">
      <selection activeCell="A4" sqref="A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4" x14ac:dyDescent="0.3">
      <c r="A1" s="74" t="s">
        <v>0</v>
      </c>
      <c r="B1" s="74"/>
      <c r="C1" s="74"/>
      <c r="D1" s="74"/>
      <c r="E1" s="74"/>
      <c r="F1" s="74"/>
      <c r="G1" s="74"/>
    </row>
    <row r="2" spans="1:14" x14ac:dyDescent="0.3">
      <c r="A2" s="74" t="s">
        <v>1</v>
      </c>
      <c r="B2" s="74"/>
      <c r="C2" s="74"/>
      <c r="D2" s="74"/>
      <c r="E2" s="74"/>
      <c r="F2" s="74"/>
      <c r="G2" s="74"/>
    </row>
    <row r="3" spans="1:14" x14ac:dyDescent="0.3">
      <c r="A3" s="74" t="s">
        <v>94</v>
      </c>
      <c r="B3" s="74"/>
      <c r="C3" s="74"/>
      <c r="D3" s="74"/>
      <c r="E3" s="74"/>
      <c r="F3" s="74"/>
      <c r="G3" s="74"/>
    </row>
    <row r="4" spans="1:14" x14ac:dyDescent="0.3">
      <c r="A4" s="1"/>
      <c r="B4" s="1"/>
      <c r="C4" s="1"/>
      <c r="D4" s="1"/>
      <c r="E4" s="1"/>
      <c r="F4" s="1"/>
    </row>
    <row r="5" spans="1:14" x14ac:dyDescent="0.3">
      <c r="A5" s="3" t="s">
        <v>3</v>
      </c>
      <c r="B5" s="80" t="s">
        <v>72</v>
      </c>
      <c r="C5" s="80"/>
      <c r="D5" s="80"/>
      <c r="E5" s="80"/>
      <c r="F5" s="80"/>
    </row>
    <row r="6" spans="1:14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4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4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4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4" ht="36.75" customHeight="1" x14ac:dyDescent="0.3">
      <c r="A10" s="36">
        <v>45787</v>
      </c>
      <c r="B10" s="10"/>
      <c r="C10" s="10"/>
      <c r="D10" s="10"/>
      <c r="E10" s="11"/>
      <c r="F10" s="12">
        <f>C21+D21</f>
        <v>4000000</v>
      </c>
      <c r="G10" s="13"/>
    </row>
    <row r="11" spans="1:14" s="23" customFormat="1" ht="31" customHeight="1" x14ac:dyDescent="0.35">
      <c r="A11" s="14"/>
      <c r="B11" s="15" t="s">
        <v>16</v>
      </c>
      <c r="C11" s="16">
        <f>3900000/6</f>
        <v>650000</v>
      </c>
      <c r="D11" s="16">
        <f>100000/6</f>
        <v>16666.666666666668</v>
      </c>
      <c r="E11" s="17">
        <f>C11+D11</f>
        <v>666666.66666666663</v>
      </c>
      <c r="F11" s="18">
        <f t="shared" ref="F11:F16" si="0">F10-E11</f>
        <v>3333333.3333333335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4" s="23" customFormat="1" ht="31" customHeight="1" x14ac:dyDescent="0.35">
      <c r="A12" s="24"/>
      <c r="B12" s="15" t="s">
        <v>17</v>
      </c>
      <c r="C12" s="16">
        <f t="shared" ref="C12:C16" si="1">3900000/6</f>
        <v>650000</v>
      </c>
      <c r="D12" s="16">
        <f t="shared" ref="D12:D16" si="2">100000/6</f>
        <v>16666.666666666668</v>
      </c>
      <c r="E12" s="17">
        <f t="shared" ref="E12:E16" si="3">C12+D12</f>
        <v>666666.66666666663</v>
      </c>
      <c r="F12" s="18">
        <f t="shared" si="0"/>
        <v>2666666.666666667</v>
      </c>
      <c r="G12" s="19"/>
      <c r="H12" s="23" t="s">
        <v>39</v>
      </c>
    </row>
    <row r="13" spans="1:14" s="23" customFormat="1" ht="31" customHeight="1" x14ac:dyDescent="0.35">
      <c r="A13" s="24"/>
      <c r="B13" s="15" t="s">
        <v>18</v>
      </c>
      <c r="C13" s="16">
        <f t="shared" si="1"/>
        <v>650000</v>
      </c>
      <c r="D13" s="16">
        <f t="shared" si="2"/>
        <v>16666.666666666668</v>
      </c>
      <c r="E13" s="17">
        <f t="shared" si="3"/>
        <v>666666.66666666663</v>
      </c>
      <c r="F13" s="18">
        <f t="shared" si="0"/>
        <v>2000000.0000000005</v>
      </c>
      <c r="G13" s="19"/>
      <c r="H13" s="23" t="s">
        <v>38</v>
      </c>
      <c r="I13" s="23">
        <f>I12*7%</f>
        <v>0</v>
      </c>
    </row>
    <row r="14" spans="1:14" s="23" customFormat="1" ht="31" customHeight="1" x14ac:dyDescent="0.35">
      <c r="A14" s="25"/>
      <c r="B14" s="15" t="s">
        <v>19</v>
      </c>
      <c r="C14" s="16">
        <f t="shared" si="1"/>
        <v>650000</v>
      </c>
      <c r="D14" s="16">
        <f t="shared" si="2"/>
        <v>16666.666666666668</v>
      </c>
      <c r="E14" s="17">
        <f t="shared" si="3"/>
        <v>666666.66666666663</v>
      </c>
      <c r="F14" s="18">
        <f t="shared" si="0"/>
        <v>1333333.333333334</v>
      </c>
      <c r="G14" s="19"/>
      <c r="H14" s="23" t="s">
        <v>37</v>
      </c>
      <c r="I14" s="23">
        <v>4000000</v>
      </c>
    </row>
    <row r="15" spans="1:14" s="23" customFormat="1" ht="31" customHeight="1" x14ac:dyDescent="0.35">
      <c r="A15" s="26"/>
      <c r="B15" s="15" t="s">
        <v>20</v>
      </c>
      <c r="C15" s="16">
        <f t="shared" si="1"/>
        <v>650000</v>
      </c>
      <c r="D15" s="16">
        <f t="shared" si="2"/>
        <v>16666.666666666668</v>
      </c>
      <c r="E15" s="17">
        <f t="shared" si="3"/>
        <v>666666.66666666663</v>
      </c>
      <c r="F15" s="18">
        <f t="shared" si="0"/>
        <v>666666.66666666733</v>
      </c>
      <c r="G15" s="19"/>
      <c r="H15" s="23" t="s">
        <v>36</v>
      </c>
      <c r="I15" s="23">
        <v>100000</v>
      </c>
      <c r="J15" s="23">
        <f>I15/6</f>
        <v>16666.666666666668</v>
      </c>
      <c r="M15" s="23">
        <v>100000</v>
      </c>
      <c r="N15" s="23">
        <f>M15/8</f>
        <v>12500</v>
      </c>
    </row>
    <row r="16" spans="1:14" s="23" customFormat="1" ht="31" customHeight="1" x14ac:dyDescent="0.35">
      <c r="A16" s="27"/>
      <c r="B16" s="15" t="s">
        <v>21</v>
      </c>
      <c r="C16" s="16">
        <f t="shared" si="1"/>
        <v>650000</v>
      </c>
      <c r="D16" s="16">
        <f t="shared" si="2"/>
        <v>16666.666666666668</v>
      </c>
      <c r="E16" s="17">
        <f t="shared" si="3"/>
        <v>666666.66666666663</v>
      </c>
      <c r="F16" s="18">
        <f t="shared" si="0"/>
        <v>0</v>
      </c>
      <c r="G16" s="19"/>
      <c r="H16" s="23" t="s">
        <v>35</v>
      </c>
      <c r="I16" s="23">
        <f>I14+I15</f>
        <v>4100000</v>
      </c>
      <c r="J16" s="23">
        <f>I16/10</f>
        <v>410000</v>
      </c>
      <c r="N16" s="23">
        <v>2449875</v>
      </c>
    </row>
    <row r="17" spans="1:14" s="23" customFormat="1" ht="31" hidden="1" customHeight="1" x14ac:dyDescent="0.35">
      <c r="A17" s="27"/>
      <c r="B17" s="15"/>
      <c r="C17" s="16"/>
      <c r="D17" s="16"/>
      <c r="E17" s="17"/>
      <c r="F17" s="18"/>
      <c r="G17" s="19"/>
      <c r="I17" s="23">
        <f>4000000/6</f>
        <v>666666.66666666663</v>
      </c>
      <c r="N17" s="23">
        <f>N16-N15</f>
        <v>2437375</v>
      </c>
    </row>
    <row r="18" spans="1:14" s="23" customFormat="1" ht="31" hidden="1" customHeight="1" x14ac:dyDescent="0.35">
      <c r="A18" s="27"/>
      <c r="B18" s="15"/>
      <c r="C18" s="16"/>
      <c r="D18" s="16"/>
      <c r="E18" s="17"/>
      <c r="F18" s="18"/>
      <c r="G18" s="19"/>
    </row>
    <row r="19" spans="1:14" s="23" customFormat="1" ht="31" hidden="1" customHeight="1" x14ac:dyDescent="0.35">
      <c r="A19" s="26"/>
      <c r="B19" s="15"/>
      <c r="C19" s="16"/>
      <c r="D19" s="16"/>
      <c r="E19" s="17"/>
      <c r="F19" s="18"/>
      <c r="G19" s="19"/>
    </row>
    <row r="20" spans="1:14" s="23" customFormat="1" ht="31" hidden="1" customHeight="1" x14ac:dyDescent="0.35">
      <c r="A20" s="26"/>
      <c r="B20" s="15"/>
      <c r="C20" s="16"/>
      <c r="D20" s="16"/>
      <c r="E20" s="17"/>
      <c r="F20" s="18"/>
      <c r="G20" s="19"/>
    </row>
    <row r="21" spans="1:14" s="23" customFormat="1" ht="31" customHeight="1" x14ac:dyDescent="0.35">
      <c r="A21" s="76" t="s">
        <v>26</v>
      </c>
      <c r="B21" s="77"/>
      <c r="C21" s="28">
        <f>SUM(C11:C20)</f>
        <v>3900000</v>
      </c>
      <c r="D21" s="28">
        <f>SUM(D11:D20)</f>
        <v>100000.00000000001</v>
      </c>
      <c r="E21" s="28">
        <f>SUM(E11:E20)</f>
        <v>3999999.9999999995</v>
      </c>
      <c r="F21" s="18"/>
      <c r="G21" s="19"/>
    </row>
    <row r="23" spans="1:14" ht="19.5" customHeight="1" x14ac:dyDescent="0.3">
      <c r="A23" s="29"/>
      <c r="B23" s="78"/>
      <c r="C23" s="78"/>
      <c r="D23" s="78"/>
      <c r="E23" s="78"/>
      <c r="F23" s="78"/>
    </row>
    <row r="24" spans="1:14" x14ac:dyDescent="0.3">
      <c r="B24" s="31"/>
      <c r="C24" s="32"/>
    </row>
    <row r="25" spans="1:14" x14ac:dyDescent="0.3">
      <c r="B25" s="31"/>
      <c r="C25" s="33"/>
    </row>
    <row r="26" spans="1:14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FFD3-6B9E-4C2E-9354-9864FD5846D4}">
  <sheetPr>
    <tabColor theme="1"/>
  </sheetPr>
  <dimension ref="A1:J28"/>
  <sheetViews>
    <sheetView view="pageBreakPreview" topLeftCell="A13" zoomScale="85" zoomScaleNormal="85" zoomScaleSheetLayoutView="85" workbookViewId="0">
      <selection activeCell="F14" sqref="F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99</v>
      </c>
      <c r="B2" s="74"/>
      <c r="C2" s="74"/>
      <c r="D2" s="74"/>
      <c r="E2" s="74"/>
      <c r="F2" s="74"/>
      <c r="G2" s="74"/>
    </row>
    <row r="3" spans="1:10" x14ac:dyDescent="0.3">
      <c r="A3" s="74" t="s">
        <v>100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101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9"/>
      <c r="B10" s="10"/>
      <c r="C10" s="10"/>
      <c r="D10" s="10"/>
      <c r="E10" s="11"/>
      <c r="F10" s="12">
        <f>E23</f>
        <v>5200000</v>
      </c>
      <c r="G10" s="13"/>
      <c r="I10" s="51"/>
    </row>
    <row r="11" spans="1:10" s="23" customFormat="1" ht="31" customHeight="1" x14ac:dyDescent="0.35">
      <c r="A11" s="14">
        <v>45833</v>
      </c>
      <c r="B11" s="15" t="s">
        <v>16</v>
      </c>
      <c r="C11" s="16">
        <f>$J$15</f>
        <v>425000</v>
      </c>
      <c r="D11" s="16">
        <f t="shared" ref="D11:D22" si="0">100000/12</f>
        <v>8333.3333333333339</v>
      </c>
      <c r="E11" s="17">
        <f>C11+D11</f>
        <v>433333.33333333331</v>
      </c>
      <c r="F11" s="18">
        <f t="shared" ref="F11:F22" si="1">F10-E11</f>
        <v>4766666.666666667</v>
      </c>
      <c r="G11" s="19"/>
      <c r="H11" s="59"/>
      <c r="I11" s="55"/>
      <c r="J11" s="56"/>
    </row>
    <row r="12" spans="1:10" s="23" customFormat="1" ht="31" customHeight="1" x14ac:dyDescent="0.35">
      <c r="A12" s="14">
        <v>45863</v>
      </c>
      <c r="B12" s="15" t="s">
        <v>17</v>
      </c>
      <c r="C12" s="16">
        <f t="shared" ref="C12:C22" si="2">$J$15</f>
        <v>425000</v>
      </c>
      <c r="D12" s="16">
        <f t="shared" si="0"/>
        <v>8333.3333333333339</v>
      </c>
      <c r="E12" s="17">
        <f t="shared" ref="E12:E22" si="3">C12+D12</f>
        <v>433333.33333333331</v>
      </c>
      <c r="F12" s="18">
        <f t="shared" si="1"/>
        <v>4333333.333333334</v>
      </c>
      <c r="G12" s="19"/>
      <c r="H12" s="58"/>
      <c r="I12" s="47"/>
    </row>
    <row r="13" spans="1:10" s="23" customFormat="1" ht="31" customHeight="1" x14ac:dyDescent="0.35">
      <c r="A13" s="14">
        <v>45894</v>
      </c>
      <c r="B13" s="15" t="s">
        <v>18</v>
      </c>
      <c r="C13" s="16">
        <f t="shared" si="2"/>
        <v>425000</v>
      </c>
      <c r="D13" s="16">
        <f t="shared" si="0"/>
        <v>8333.3333333333339</v>
      </c>
      <c r="E13" s="17">
        <f t="shared" si="3"/>
        <v>433333.33333333331</v>
      </c>
      <c r="F13" s="18">
        <f t="shared" si="1"/>
        <v>3900000.0000000005</v>
      </c>
      <c r="G13" s="19"/>
      <c r="I13" s="47"/>
    </row>
    <row r="14" spans="1:10" s="23" customFormat="1" ht="31" customHeight="1" x14ac:dyDescent="0.35">
      <c r="A14" s="14">
        <v>45925</v>
      </c>
      <c r="B14" s="15" t="s">
        <v>19</v>
      </c>
      <c r="C14" s="16">
        <f t="shared" si="2"/>
        <v>425000</v>
      </c>
      <c r="D14" s="16">
        <f t="shared" si="0"/>
        <v>8333.3333333333339</v>
      </c>
      <c r="E14" s="17">
        <f t="shared" si="3"/>
        <v>433333.33333333331</v>
      </c>
      <c r="F14" s="18">
        <f t="shared" si="1"/>
        <v>3466666.666666667</v>
      </c>
      <c r="G14" s="19"/>
      <c r="I14" s="47"/>
    </row>
    <row r="15" spans="1:10" s="23" customFormat="1" ht="31" customHeight="1" x14ac:dyDescent="0.35">
      <c r="A15" s="26"/>
      <c r="B15" s="15" t="s">
        <v>20</v>
      </c>
      <c r="C15" s="16">
        <f t="shared" si="2"/>
        <v>425000</v>
      </c>
      <c r="D15" s="16">
        <f t="shared" si="0"/>
        <v>8333.3333333333339</v>
      </c>
      <c r="E15" s="17">
        <f t="shared" si="3"/>
        <v>433333.33333333331</v>
      </c>
      <c r="F15" s="18">
        <f t="shared" si="1"/>
        <v>3033333.3333333335</v>
      </c>
      <c r="G15" s="19"/>
      <c r="H15" s="23">
        <v>433000</v>
      </c>
      <c r="I15" s="47"/>
      <c r="J15" s="49">
        <v>425000</v>
      </c>
    </row>
    <row r="16" spans="1:10" s="23" customFormat="1" ht="31" customHeight="1" x14ac:dyDescent="0.35">
      <c r="A16" s="27"/>
      <c r="B16" s="15" t="s">
        <v>21</v>
      </c>
      <c r="C16" s="16">
        <f t="shared" si="2"/>
        <v>425000</v>
      </c>
      <c r="D16" s="16">
        <f t="shared" si="0"/>
        <v>8333.3333333333339</v>
      </c>
      <c r="E16" s="17">
        <f t="shared" si="3"/>
        <v>433333.33333333331</v>
      </c>
      <c r="F16" s="18">
        <f t="shared" si="1"/>
        <v>2600000</v>
      </c>
      <c r="G16" s="19"/>
      <c r="H16" s="23">
        <v>12</v>
      </c>
      <c r="I16" s="47"/>
    </row>
    <row r="17" spans="1:10" s="23" customFormat="1" ht="31" customHeight="1" x14ac:dyDescent="0.35">
      <c r="A17" s="27"/>
      <c r="B17" s="15" t="s">
        <v>22</v>
      </c>
      <c r="C17" s="16">
        <f t="shared" si="2"/>
        <v>425000</v>
      </c>
      <c r="D17" s="16">
        <f t="shared" si="0"/>
        <v>8333.3333333333339</v>
      </c>
      <c r="E17" s="17">
        <f t="shared" si="3"/>
        <v>433333.33333333331</v>
      </c>
      <c r="F17" s="18">
        <f t="shared" si="1"/>
        <v>2166666.6666666665</v>
      </c>
      <c r="G17" s="19"/>
      <c r="H17" s="23">
        <f>H15*H16</f>
        <v>5196000</v>
      </c>
      <c r="I17" s="47"/>
    </row>
    <row r="18" spans="1:10" s="23" customFormat="1" ht="31" customHeight="1" x14ac:dyDescent="0.35">
      <c r="A18" s="27"/>
      <c r="B18" s="15" t="s">
        <v>23</v>
      </c>
      <c r="C18" s="16">
        <f t="shared" si="2"/>
        <v>425000</v>
      </c>
      <c r="D18" s="16">
        <f t="shared" si="0"/>
        <v>8333.3333333333339</v>
      </c>
      <c r="E18" s="17">
        <f t="shared" si="3"/>
        <v>433333.33333333331</v>
      </c>
      <c r="F18" s="18">
        <f t="shared" si="1"/>
        <v>1733333.3333333333</v>
      </c>
      <c r="G18" s="19"/>
      <c r="H18" s="23">
        <f>H17-100000</f>
        <v>5096000</v>
      </c>
      <c r="I18" s="47">
        <f>H18/12</f>
        <v>424666.66666666669</v>
      </c>
    </row>
    <row r="19" spans="1:10" s="23" customFormat="1" ht="31" customHeight="1" x14ac:dyDescent="0.35">
      <c r="A19" s="26"/>
      <c r="B19" s="15" t="s">
        <v>24</v>
      </c>
      <c r="C19" s="16">
        <f t="shared" si="2"/>
        <v>425000</v>
      </c>
      <c r="D19" s="16">
        <f t="shared" si="0"/>
        <v>8333.3333333333339</v>
      </c>
      <c r="E19" s="17">
        <f t="shared" si="3"/>
        <v>433333.33333333331</v>
      </c>
      <c r="F19" s="18">
        <f t="shared" si="1"/>
        <v>1300000</v>
      </c>
      <c r="G19" s="19"/>
      <c r="H19" s="23">
        <f>100000/12</f>
        <v>8333.3333333333339</v>
      </c>
      <c r="I19" s="47">
        <f>I18+H19</f>
        <v>433000</v>
      </c>
      <c r="J19" s="47">
        <f>I19-H19</f>
        <v>424666.66666666669</v>
      </c>
    </row>
    <row r="20" spans="1:10" s="23" customFormat="1" ht="31" customHeight="1" x14ac:dyDescent="0.35">
      <c r="A20" s="26"/>
      <c r="B20" s="15" t="s">
        <v>25</v>
      </c>
      <c r="C20" s="16">
        <f t="shared" si="2"/>
        <v>425000</v>
      </c>
      <c r="D20" s="16">
        <f t="shared" si="0"/>
        <v>8333.3333333333339</v>
      </c>
      <c r="E20" s="17">
        <f t="shared" si="3"/>
        <v>433333.33333333331</v>
      </c>
      <c r="F20" s="18">
        <f t="shared" si="1"/>
        <v>866666.66666666674</v>
      </c>
      <c r="G20" s="19"/>
      <c r="I20" s="47"/>
    </row>
    <row r="21" spans="1:10" s="23" customFormat="1" ht="31" customHeight="1" x14ac:dyDescent="0.35">
      <c r="A21" s="48"/>
      <c r="B21" s="15" t="s">
        <v>62</v>
      </c>
      <c r="C21" s="16">
        <f t="shared" si="2"/>
        <v>425000</v>
      </c>
      <c r="D21" s="16">
        <f t="shared" si="0"/>
        <v>8333.3333333333339</v>
      </c>
      <c r="E21" s="17">
        <f t="shared" si="3"/>
        <v>433333.33333333331</v>
      </c>
      <c r="F21" s="18">
        <f t="shared" si="1"/>
        <v>433333.33333333343</v>
      </c>
      <c r="G21" s="19"/>
      <c r="I21" s="47"/>
    </row>
    <row r="22" spans="1:10" s="23" customFormat="1" ht="31" customHeight="1" x14ac:dyDescent="0.35">
      <c r="A22" s="48"/>
      <c r="B22" s="15" t="s">
        <v>61</v>
      </c>
      <c r="C22" s="16">
        <f t="shared" si="2"/>
        <v>425000</v>
      </c>
      <c r="D22" s="16">
        <f t="shared" si="0"/>
        <v>8333.3333333333339</v>
      </c>
      <c r="E22" s="17">
        <f t="shared" si="3"/>
        <v>433333.33333333331</v>
      </c>
      <c r="F22" s="18">
        <f t="shared" si="1"/>
        <v>0</v>
      </c>
      <c r="G22" s="19"/>
      <c r="I22" s="47"/>
    </row>
    <row r="23" spans="1:10" s="23" customFormat="1" ht="31" customHeight="1" x14ac:dyDescent="0.3">
      <c r="A23" s="76" t="s">
        <v>26</v>
      </c>
      <c r="B23" s="77"/>
      <c r="C23" s="28">
        <f>SUM(C11:C22)</f>
        <v>5100000</v>
      </c>
      <c r="D23" s="28">
        <f>SUM(D11:D22)</f>
        <v>99999.999999999985</v>
      </c>
      <c r="E23" s="28">
        <f>SUM(E11:E22)</f>
        <v>5200000</v>
      </c>
      <c r="F23" s="18"/>
      <c r="G23" s="19"/>
      <c r="H23" s="2"/>
      <c r="I23" s="46"/>
    </row>
    <row r="25" spans="1:10" ht="19.5" customHeight="1" x14ac:dyDescent="0.3">
      <c r="A25" s="29" t="s">
        <v>27</v>
      </c>
      <c r="B25" s="78" t="s">
        <v>28</v>
      </c>
      <c r="C25" s="78"/>
      <c r="D25" s="78"/>
      <c r="E25" s="78"/>
      <c r="F25" s="78"/>
    </row>
    <row r="26" spans="1:10" x14ac:dyDescent="0.3">
      <c r="B26" s="31" t="s">
        <v>29</v>
      </c>
      <c r="C26" s="32">
        <v>9000000</v>
      </c>
    </row>
    <row r="27" spans="1:10" ht="28" x14ac:dyDescent="0.3">
      <c r="B27" s="31" t="s">
        <v>30</v>
      </c>
      <c r="C27" s="33">
        <v>5000000</v>
      </c>
    </row>
    <row r="28" spans="1:10" x14ac:dyDescent="0.3">
      <c r="B28" s="34" t="s">
        <v>31</v>
      </c>
      <c r="C28" s="35">
        <f>C26+C27</f>
        <v>14000000</v>
      </c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D34E-D8CD-4DF3-B7BE-2D7EADC4BF5B}">
  <sheetPr>
    <tabColor theme="1"/>
  </sheetPr>
  <dimension ref="A1:N26"/>
  <sheetViews>
    <sheetView view="pageBreakPreview" zoomScale="92" zoomScaleNormal="85" zoomScaleSheetLayoutView="85" workbookViewId="0">
      <selection activeCell="A11" sqref="A11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4" x14ac:dyDescent="0.3">
      <c r="A1" s="74" t="s">
        <v>0</v>
      </c>
      <c r="B1" s="74"/>
      <c r="C1" s="74"/>
      <c r="D1" s="74"/>
      <c r="E1" s="74"/>
      <c r="F1" s="74"/>
      <c r="G1" s="74"/>
    </row>
    <row r="2" spans="1:14" x14ac:dyDescent="0.3">
      <c r="A2" s="74" t="s">
        <v>1</v>
      </c>
      <c r="B2" s="74"/>
      <c r="C2" s="74"/>
      <c r="D2" s="74"/>
      <c r="E2" s="74"/>
      <c r="F2" s="74"/>
      <c r="G2" s="74"/>
    </row>
    <row r="3" spans="1:14" x14ac:dyDescent="0.3">
      <c r="A3" s="74" t="s">
        <v>96</v>
      </c>
      <c r="B3" s="74"/>
      <c r="C3" s="74"/>
      <c r="D3" s="74"/>
      <c r="E3" s="74"/>
      <c r="F3" s="74"/>
      <c r="G3" s="74"/>
    </row>
    <row r="4" spans="1:14" x14ac:dyDescent="0.3">
      <c r="A4" s="1"/>
      <c r="B4" s="1"/>
      <c r="C4" s="1"/>
      <c r="D4" s="1"/>
      <c r="E4" s="1"/>
      <c r="F4" s="1"/>
    </row>
    <row r="5" spans="1:14" x14ac:dyDescent="0.3">
      <c r="A5" s="3" t="s">
        <v>3</v>
      </c>
      <c r="B5" s="80" t="s">
        <v>95</v>
      </c>
      <c r="C5" s="80"/>
      <c r="D5" s="80"/>
      <c r="E5" s="80"/>
      <c r="F5" s="80"/>
    </row>
    <row r="6" spans="1:14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4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4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4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4" ht="36.75" customHeight="1" x14ac:dyDescent="0.3">
      <c r="A10" s="36">
        <v>45800</v>
      </c>
      <c r="B10" s="10"/>
      <c r="C10" s="10"/>
      <c r="D10" s="10"/>
      <c r="E10" s="11"/>
      <c r="F10" s="12">
        <f>C21+D21</f>
        <v>9898900</v>
      </c>
      <c r="G10" s="13"/>
    </row>
    <row r="11" spans="1:14" s="23" customFormat="1" ht="31" customHeight="1" x14ac:dyDescent="0.35">
      <c r="A11" s="14"/>
      <c r="B11" s="15" t="s">
        <v>16</v>
      </c>
      <c r="C11" s="16">
        <v>1959780</v>
      </c>
      <c r="D11" s="16">
        <f>100000/5</f>
        <v>20000</v>
      </c>
      <c r="E11" s="17">
        <f>C11+D11</f>
        <v>1979780</v>
      </c>
      <c r="F11" s="18">
        <f t="shared" ref="F11:F15" si="0">F10-E11</f>
        <v>7919120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4" s="23" customFormat="1" ht="31" customHeight="1" x14ac:dyDescent="0.35">
      <c r="A12" s="24"/>
      <c r="B12" s="15" t="s">
        <v>17</v>
      </c>
      <c r="C12" s="16">
        <v>1959780</v>
      </c>
      <c r="D12" s="16">
        <f t="shared" ref="D12:D15" si="1">100000/5</f>
        <v>20000</v>
      </c>
      <c r="E12" s="17">
        <f t="shared" ref="E12:E15" si="2">C12+D12</f>
        <v>1979780</v>
      </c>
      <c r="F12" s="18">
        <f t="shared" si="0"/>
        <v>5939340</v>
      </c>
      <c r="G12" s="19"/>
      <c r="H12" s="23" t="s">
        <v>39</v>
      </c>
    </row>
    <row r="13" spans="1:14" s="23" customFormat="1" ht="31" customHeight="1" x14ac:dyDescent="0.35">
      <c r="A13" s="24"/>
      <c r="B13" s="15" t="s">
        <v>18</v>
      </c>
      <c r="C13" s="16">
        <v>1959780</v>
      </c>
      <c r="D13" s="16">
        <f t="shared" si="1"/>
        <v>20000</v>
      </c>
      <c r="E13" s="17">
        <f t="shared" si="2"/>
        <v>1979780</v>
      </c>
      <c r="F13" s="18">
        <f t="shared" si="0"/>
        <v>3959560</v>
      </c>
      <c r="G13" s="19"/>
      <c r="H13" s="23" t="s">
        <v>38</v>
      </c>
      <c r="I13" s="23">
        <f>I12*7%</f>
        <v>0</v>
      </c>
    </row>
    <row r="14" spans="1:14" s="23" customFormat="1" ht="31" customHeight="1" x14ac:dyDescent="0.35">
      <c r="A14" s="25"/>
      <c r="B14" s="15" t="s">
        <v>19</v>
      </c>
      <c r="C14" s="16">
        <v>1959780</v>
      </c>
      <c r="D14" s="16">
        <f t="shared" si="1"/>
        <v>20000</v>
      </c>
      <c r="E14" s="17">
        <f t="shared" si="2"/>
        <v>1979780</v>
      </c>
      <c r="F14" s="18">
        <f t="shared" si="0"/>
        <v>1979780</v>
      </c>
      <c r="G14" s="19"/>
      <c r="H14" s="23" t="s">
        <v>37</v>
      </c>
      <c r="I14" s="23">
        <v>4000000</v>
      </c>
    </row>
    <row r="15" spans="1:14" s="23" customFormat="1" ht="31" customHeight="1" x14ac:dyDescent="0.35">
      <c r="A15" s="26"/>
      <c r="B15" s="15" t="s">
        <v>20</v>
      </c>
      <c r="C15" s="16">
        <v>1959780</v>
      </c>
      <c r="D15" s="16">
        <f t="shared" si="1"/>
        <v>20000</v>
      </c>
      <c r="E15" s="17">
        <f t="shared" si="2"/>
        <v>1979780</v>
      </c>
      <c r="F15" s="18">
        <f t="shared" si="0"/>
        <v>0</v>
      </c>
      <c r="G15" s="19"/>
      <c r="H15" s="23" t="s">
        <v>36</v>
      </c>
      <c r="I15" s="23">
        <v>100000</v>
      </c>
      <c r="J15" s="23">
        <f>I15/6</f>
        <v>16666.666666666668</v>
      </c>
      <c r="M15" s="23">
        <v>100000</v>
      </c>
      <c r="N15" s="23">
        <f>M15/8</f>
        <v>12500</v>
      </c>
    </row>
    <row r="16" spans="1:14" s="23" customFormat="1" ht="31" hidden="1" customHeight="1" x14ac:dyDescent="0.35">
      <c r="A16" s="27"/>
      <c r="B16" s="15"/>
      <c r="C16" s="16"/>
      <c r="D16" s="16"/>
      <c r="E16" s="17"/>
      <c r="F16" s="18"/>
      <c r="G16" s="19"/>
      <c r="H16" s="23" t="s">
        <v>35</v>
      </c>
      <c r="I16" s="23">
        <f>I14+I15</f>
        <v>4100000</v>
      </c>
      <c r="J16" s="23">
        <f>I16/10</f>
        <v>410000</v>
      </c>
      <c r="N16" s="23">
        <v>2449875</v>
      </c>
    </row>
    <row r="17" spans="1:14" s="23" customFormat="1" ht="31" hidden="1" customHeight="1" x14ac:dyDescent="0.35">
      <c r="A17" s="27"/>
      <c r="B17" s="15"/>
      <c r="C17" s="16"/>
      <c r="D17" s="16"/>
      <c r="E17" s="17"/>
      <c r="F17" s="18"/>
      <c r="G17" s="19"/>
      <c r="I17" s="23">
        <f>4000000/6</f>
        <v>666666.66666666663</v>
      </c>
      <c r="N17" s="23">
        <f>N16-N15</f>
        <v>2437375</v>
      </c>
    </row>
    <row r="18" spans="1:14" s="23" customFormat="1" ht="31" hidden="1" customHeight="1" x14ac:dyDescent="0.35">
      <c r="A18" s="27"/>
      <c r="B18" s="15"/>
      <c r="C18" s="16"/>
      <c r="D18" s="16"/>
      <c r="E18" s="17"/>
      <c r="F18" s="18"/>
      <c r="G18" s="19"/>
    </row>
    <row r="19" spans="1:14" s="23" customFormat="1" ht="31" hidden="1" customHeight="1" x14ac:dyDescent="0.35">
      <c r="A19" s="26"/>
      <c r="B19" s="15"/>
      <c r="C19" s="16"/>
      <c r="D19" s="16"/>
      <c r="E19" s="17"/>
      <c r="F19" s="18"/>
      <c r="G19" s="19"/>
    </row>
    <row r="20" spans="1:14" s="23" customFormat="1" ht="31" hidden="1" customHeight="1" x14ac:dyDescent="0.35">
      <c r="A20" s="26"/>
      <c r="B20" s="15"/>
      <c r="C20" s="16"/>
      <c r="D20" s="16"/>
      <c r="E20" s="17"/>
      <c r="F20" s="18"/>
      <c r="G20" s="19"/>
    </row>
    <row r="21" spans="1:14" s="23" customFormat="1" ht="31" customHeight="1" x14ac:dyDescent="0.35">
      <c r="A21" s="76" t="s">
        <v>26</v>
      </c>
      <c r="B21" s="77"/>
      <c r="C21" s="28">
        <f>SUM(C11:C20)</f>
        <v>9798900</v>
      </c>
      <c r="D21" s="28">
        <f>SUM(D11:D20)</f>
        <v>100000</v>
      </c>
      <c r="E21" s="28">
        <f>SUM(E11:E20)</f>
        <v>9898900</v>
      </c>
      <c r="F21" s="18"/>
      <c r="G21" s="19"/>
    </row>
    <row r="23" spans="1:14" ht="19.5" customHeight="1" x14ac:dyDescent="0.3">
      <c r="A23" s="29"/>
      <c r="B23" s="78"/>
      <c r="C23" s="78"/>
      <c r="D23" s="78"/>
      <c r="E23" s="78"/>
      <c r="F23" s="78"/>
    </row>
    <row r="24" spans="1:14" x14ac:dyDescent="0.3">
      <c r="B24" s="31"/>
      <c r="C24" s="32"/>
    </row>
    <row r="25" spans="1:14" x14ac:dyDescent="0.3">
      <c r="B25" s="31"/>
      <c r="C25" s="33"/>
    </row>
    <row r="26" spans="1:14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honeticPr fontId="7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5FD3-A8A9-4153-B2B9-866F548A5D21}">
  <sheetPr>
    <tabColor theme="1"/>
  </sheetPr>
  <dimension ref="A1:K26"/>
  <sheetViews>
    <sheetView view="pageBreakPreview" topLeftCell="A16" zoomScaleNormal="85" zoomScaleSheetLayoutView="100" workbookViewId="0">
      <selection activeCell="D28" sqref="D28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1" x14ac:dyDescent="0.3">
      <c r="A1" s="74" t="s">
        <v>0</v>
      </c>
      <c r="B1" s="74"/>
      <c r="C1" s="74"/>
      <c r="D1" s="74"/>
      <c r="E1" s="74"/>
      <c r="F1" s="74"/>
      <c r="G1" s="74"/>
    </row>
    <row r="2" spans="1:11" x14ac:dyDescent="0.3">
      <c r="A2" s="74" t="s">
        <v>1</v>
      </c>
      <c r="B2" s="74"/>
      <c r="C2" s="74"/>
      <c r="D2" s="74"/>
      <c r="E2" s="74"/>
      <c r="F2" s="74"/>
      <c r="G2" s="74"/>
    </row>
    <row r="3" spans="1:11" x14ac:dyDescent="0.3">
      <c r="A3" s="74" t="s">
        <v>97</v>
      </c>
      <c r="B3" s="74"/>
      <c r="C3" s="74"/>
      <c r="D3" s="74"/>
      <c r="E3" s="74"/>
      <c r="F3" s="74"/>
      <c r="G3" s="74"/>
    </row>
    <row r="4" spans="1:11" x14ac:dyDescent="0.3">
      <c r="A4" s="1"/>
      <c r="B4" s="1"/>
      <c r="C4" s="1"/>
      <c r="D4" s="1"/>
      <c r="E4" s="1"/>
      <c r="F4" s="1"/>
    </row>
    <row r="5" spans="1:11" x14ac:dyDescent="0.3">
      <c r="A5" s="3" t="s">
        <v>3</v>
      </c>
      <c r="B5" s="80" t="s">
        <v>40</v>
      </c>
      <c r="C5" s="80"/>
      <c r="D5" s="80"/>
      <c r="E5" s="80"/>
      <c r="F5" s="80"/>
    </row>
    <row r="6" spans="1:11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1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1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1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1" ht="36.75" customHeight="1" x14ac:dyDescent="0.3">
      <c r="A10" s="36">
        <v>45802</v>
      </c>
      <c r="B10" s="10"/>
      <c r="C10" s="10"/>
      <c r="D10" s="10"/>
      <c r="E10" s="11"/>
      <c r="F10" s="12">
        <f>C21+D21</f>
        <v>4590800</v>
      </c>
      <c r="G10" s="13"/>
      <c r="H10" s="60"/>
    </row>
    <row r="11" spans="1:11" s="23" customFormat="1" ht="31" customHeight="1" x14ac:dyDescent="0.35">
      <c r="A11" s="36"/>
      <c r="B11" s="15" t="s">
        <v>16</v>
      </c>
      <c r="C11" s="16">
        <v>449080</v>
      </c>
      <c r="D11" s="16">
        <f t="shared" ref="D11:D20" si="0">100000/10</f>
        <v>10000</v>
      </c>
      <c r="E11" s="17">
        <f t="shared" ref="E11:E20" si="1">C11+D11</f>
        <v>459080</v>
      </c>
      <c r="F11" s="18">
        <f t="shared" ref="F11:F20" si="2">F10-E11</f>
        <v>4131720</v>
      </c>
      <c r="G11" s="19"/>
      <c r="H11" s="59"/>
      <c r="I11" s="54"/>
      <c r="J11" s="56"/>
    </row>
    <row r="12" spans="1:11" s="23" customFormat="1" ht="31" customHeight="1" x14ac:dyDescent="0.35">
      <c r="A12" s="24"/>
      <c r="B12" s="15" t="s">
        <v>17</v>
      </c>
      <c r="C12" s="16">
        <v>449080</v>
      </c>
      <c r="D12" s="16">
        <f t="shared" si="0"/>
        <v>10000</v>
      </c>
      <c r="E12" s="17">
        <f t="shared" si="1"/>
        <v>459080</v>
      </c>
      <c r="F12" s="18">
        <f t="shared" si="2"/>
        <v>3672640</v>
      </c>
      <c r="G12" s="19"/>
      <c r="H12" s="23" t="s">
        <v>39</v>
      </c>
      <c r="I12" s="23">
        <v>4120000</v>
      </c>
      <c r="J12" s="23">
        <v>4120000</v>
      </c>
    </row>
    <row r="13" spans="1:11" s="23" customFormat="1" ht="31" customHeight="1" x14ac:dyDescent="0.35">
      <c r="A13" s="24"/>
      <c r="B13" s="15" t="s">
        <v>18</v>
      </c>
      <c r="C13" s="16">
        <v>449080</v>
      </c>
      <c r="D13" s="16">
        <f t="shared" si="0"/>
        <v>10000</v>
      </c>
      <c r="E13" s="17">
        <f t="shared" si="1"/>
        <v>459080</v>
      </c>
      <c r="F13" s="18">
        <f t="shared" si="2"/>
        <v>3213560</v>
      </c>
      <c r="G13" s="19"/>
      <c r="H13" s="23" t="s">
        <v>105</v>
      </c>
      <c r="I13" s="23">
        <f>I12*9%</f>
        <v>370800</v>
      </c>
      <c r="J13" s="23">
        <f>J12*9%</f>
        <v>370800</v>
      </c>
    </row>
    <row r="14" spans="1:11" s="23" customFormat="1" ht="31" customHeight="1" x14ac:dyDescent="0.35">
      <c r="A14" s="25"/>
      <c r="B14" s="15" t="s">
        <v>19</v>
      </c>
      <c r="C14" s="16">
        <v>449080</v>
      </c>
      <c r="D14" s="16">
        <f t="shared" si="0"/>
        <v>10000</v>
      </c>
      <c r="E14" s="17">
        <f t="shared" si="1"/>
        <v>459080</v>
      </c>
      <c r="F14" s="18">
        <f t="shared" si="2"/>
        <v>2754480</v>
      </c>
      <c r="G14" s="19"/>
      <c r="H14" s="23" t="s">
        <v>106</v>
      </c>
      <c r="I14" s="23">
        <f>I12+I13</f>
        <v>4490800</v>
      </c>
      <c r="J14" s="23">
        <f>J12+J13</f>
        <v>4490800</v>
      </c>
    </row>
    <row r="15" spans="1:11" s="23" customFormat="1" ht="31" customHeight="1" x14ac:dyDescent="0.35">
      <c r="A15" s="26"/>
      <c r="B15" s="15" t="s">
        <v>20</v>
      </c>
      <c r="C15" s="16">
        <v>449080</v>
      </c>
      <c r="D15" s="16">
        <f t="shared" si="0"/>
        <v>10000</v>
      </c>
      <c r="E15" s="17">
        <f t="shared" si="1"/>
        <v>459080</v>
      </c>
      <c r="F15" s="18">
        <f t="shared" si="2"/>
        <v>2295400</v>
      </c>
      <c r="G15" s="19"/>
      <c r="H15" s="23" t="s">
        <v>36</v>
      </c>
      <c r="I15" s="23">
        <v>100000</v>
      </c>
      <c r="J15" s="23">
        <f>I15/10</f>
        <v>10000</v>
      </c>
    </row>
    <row r="16" spans="1:11" s="23" customFormat="1" ht="31" customHeight="1" x14ac:dyDescent="0.35">
      <c r="A16" s="27"/>
      <c r="B16" s="15" t="s">
        <v>21</v>
      </c>
      <c r="C16" s="16">
        <v>449080</v>
      </c>
      <c r="D16" s="16">
        <f t="shared" si="0"/>
        <v>10000</v>
      </c>
      <c r="E16" s="17">
        <f t="shared" si="1"/>
        <v>459080</v>
      </c>
      <c r="F16" s="18">
        <f t="shared" si="2"/>
        <v>1836320</v>
      </c>
      <c r="G16" s="19"/>
      <c r="H16" s="23" t="s">
        <v>35</v>
      </c>
      <c r="I16" s="23">
        <f>I14+I15</f>
        <v>4590800</v>
      </c>
      <c r="J16" s="23">
        <f>I16/10</f>
        <v>459080</v>
      </c>
      <c r="K16" s="23">
        <f>J16-J15</f>
        <v>449080</v>
      </c>
    </row>
    <row r="17" spans="1:7" s="23" customFormat="1" ht="31" customHeight="1" x14ac:dyDescent="0.35">
      <c r="A17" s="27"/>
      <c r="B17" s="15" t="s">
        <v>22</v>
      </c>
      <c r="C17" s="16">
        <v>449080</v>
      </c>
      <c r="D17" s="16">
        <f t="shared" si="0"/>
        <v>10000</v>
      </c>
      <c r="E17" s="17">
        <f t="shared" si="1"/>
        <v>459080</v>
      </c>
      <c r="F17" s="18">
        <f t="shared" si="2"/>
        <v>1377240</v>
      </c>
      <c r="G17" s="19"/>
    </row>
    <row r="18" spans="1:7" s="23" customFormat="1" ht="31" customHeight="1" x14ac:dyDescent="0.35">
      <c r="A18" s="27"/>
      <c r="B18" s="15" t="s">
        <v>23</v>
      </c>
      <c r="C18" s="16">
        <v>449080</v>
      </c>
      <c r="D18" s="16">
        <f t="shared" si="0"/>
        <v>10000</v>
      </c>
      <c r="E18" s="17">
        <f t="shared" si="1"/>
        <v>459080</v>
      </c>
      <c r="F18" s="18">
        <f t="shared" si="2"/>
        <v>918160</v>
      </c>
      <c r="G18" s="19"/>
    </row>
    <row r="19" spans="1:7" s="23" customFormat="1" ht="31" customHeight="1" x14ac:dyDescent="0.35">
      <c r="A19" s="26"/>
      <c r="B19" s="15" t="s">
        <v>24</v>
      </c>
      <c r="C19" s="16">
        <v>449080</v>
      </c>
      <c r="D19" s="16">
        <f t="shared" si="0"/>
        <v>10000</v>
      </c>
      <c r="E19" s="17">
        <f t="shared" si="1"/>
        <v>459080</v>
      </c>
      <c r="F19" s="18">
        <f t="shared" si="2"/>
        <v>459080</v>
      </c>
      <c r="G19" s="19"/>
    </row>
    <row r="20" spans="1:7" s="23" customFormat="1" ht="31" customHeight="1" x14ac:dyDescent="0.35">
      <c r="A20" s="26"/>
      <c r="B20" s="15" t="s">
        <v>25</v>
      </c>
      <c r="C20" s="16">
        <v>449080</v>
      </c>
      <c r="D20" s="16">
        <f t="shared" si="0"/>
        <v>10000</v>
      </c>
      <c r="E20" s="17">
        <f t="shared" si="1"/>
        <v>459080</v>
      </c>
      <c r="F20" s="18">
        <f t="shared" si="2"/>
        <v>0</v>
      </c>
      <c r="G20" s="19"/>
    </row>
    <row r="21" spans="1:7" s="23" customFormat="1" ht="31" customHeight="1" x14ac:dyDescent="0.35">
      <c r="A21" s="76" t="s">
        <v>26</v>
      </c>
      <c r="B21" s="77"/>
      <c r="C21" s="28">
        <f>SUM(C11:C20)</f>
        <v>4490800</v>
      </c>
      <c r="D21" s="28">
        <f>SUM(D11:D20)</f>
        <v>100000</v>
      </c>
      <c r="E21" s="28">
        <f>SUM(E11:E20)</f>
        <v>4590800</v>
      </c>
      <c r="F21" s="18"/>
      <c r="G21" s="19"/>
    </row>
    <row r="23" spans="1:7" ht="19.5" customHeight="1" x14ac:dyDescent="0.3">
      <c r="A23" s="29"/>
      <c r="B23" s="78"/>
      <c r="C23" s="78"/>
      <c r="D23" s="78"/>
      <c r="E23" s="78"/>
      <c r="F23" s="78"/>
    </row>
    <row r="24" spans="1:7" x14ac:dyDescent="0.3">
      <c r="B24" s="31"/>
      <c r="C24" s="32"/>
    </row>
    <row r="25" spans="1:7" x14ac:dyDescent="0.3">
      <c r="B25" s="31"/>
      <c r="C25" s="33"/>
    </row>
    <row r="26" spans="1:7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23B9-8467-4639-8143-EABD4677B3FA}">
  <sheetPr>
    <tabColor rgb="FFFF0000"/>
  </sheetPr>
  <dimension ref="A1:N26"/>
  <sheetViews>
    <sheetView view="pageBreakPreview" topLeftCell="A7" zoomScale="85" zoomScaleNormal="85" zoomScaleSheetLayoutView="85" workbookViewId="0">
      <selection activeCell="A11" sqref="A11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1796875" style="2"/>
    <col min="10" max="10" width="11.81640625" style="2" bestFit="1" customWidth="1"/>
    <col min="11" max="16384" width="9.1796875" style="2"/>
  </cols>
  <sheetData>
    <row r="1" spans="1:14" x14ac:dyDescent="0.3">
      <c r="A1" s="74" t="s">
        <v>0</v>
      </c>
      <c r="B1" s="74"/>
      <c r="C1" s="74"/>
      <c r="D1" s="74"/>
      <c r="E1" s="74"/>
      <c r="F1" s="74"/>
      <c r="G1" s="74"/>
    </row>
    <row r="2" spans="1:14" x14ac:dyDescent="0.3">
      <c r="A2" s="74" t="s">
        <v>1</v>
      </c>
      <c r="B2" s="74"/>
      <c r="C2" s="74"/>
      <c r="D2" s="74"/>
      <c r="E2" s="74"/>
      <c r="F2" s="74"/>
      <c r="G2" s="74"/>
    </row>
    <row r="3" spans="1:14" x14ac:dyDescent="0.3">
      <c r="A3" s="74" t="s">
        <v>102</v>
      </c>
      <c r="B3" s="74"/>
      <c r="C3" s="74"/>
      <c r="D3" s="74"/>
      <c r="E3" s="74"/>
      <c r="F3" s="74"/>
      <c r="G3" s="74"/>
    </row>
    <row r="4" spans="1:14" x14ac:dyDescent="0.3">
      <c r="A4" s="1"/>
      <c r="B4" s="1"/>
      <c r="C4" s="1"/>
      <c r="D4" s="1"/>
      <c r="E4" s="1"/>
      <c r="F4" s="1"/>
    </row>
    <row r="5" spans="1:14" x14ac:dyDescent="0.3">
      <c r="A5" s="3" t="s">
        <v>3</v>
      </c>
      <c r="B5" s="80" t="s">
        <v>40</v>
      </c>
      <c r="C5" s="80"/>
      <c r="D5" s="80"/>
      <c r="E5" s="80"/>
      <c r="F5" s="80"/>
    </row>
    <row r="6" spans="1:14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4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4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4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4" ht="36.75" customHeight="1" x14ac:dyDescent="0.3">
      <c r="A10" s="36">
        <v>45818</v>
      </c>
      <c r="B10" s="10"/>
      <c r="C10" s="10"/>
      <c r="D10" s="10"/>
      <c r="E10" s="11"/>
      <c r="F10" s="12">
        <f>C21+D21</f>
        <v>2463900</v>
      </c>
      <c r="G10" s="13"/>
    </row>
    <row r="11" spans="1:14" s="23" customFormat="1" ht="31" customHeight="1" x14ac:dyDescent="0.35">
      <c r="A11" s="36"/>
      <c r="B11" s="15" t="s">
        <v>16</v>
      </c>
      <c r="C11" s="16">
        <v>472780</v>
      </c>
      <c r="D11" s="16">
        <f>100000/5</f>
        <v>20000</v>
      </c>
      <c r="E11" s="17">
        <f t="shared" ref="E11:E15" si="0">C11+D11</f>
        <v>492780</v>
      </c>
      <c r="F11" s="18">
        <f t="shared" ref="F11:F15" si="1">F10-E11</f>
        <v>1971120</v>
      </c>
      <c r="G11" s="19"/>
      <c r="H11" s="20" t="e">
        <f>#REF!/10</f>
        <v>#REF!</v>
      </c>
      <c r="I11" s="21" t="e">
        <f>#REF!*0.5%</f>
        <v>#REF!</v>
      </c>
      <c r="J11" s="22" t="e">
        <f>#REF!-H11</f>
        <v>#REF!</v>
      </c>
    </row>
    <row r="12" spans="1:14" s="23" customFormat="1" ht="31" customHeight="1" x14ac:dyDescent="0.35">
      <c r="A12" s="24"/>
      <c r="B12" s="15" t="s">
        <v>17</v>
      </c>
      <c r="C12" s="16">
        <v>472780</v>
      </c>
      <c r="D12" s="16">
        <f t="shared" ref="D12:D15" si="2">100000/5</f>
        <v>20000</v>
      </c>
      <c r="E12" s="17">
        <f t="shared" si="0"/>
        <v>492780</v>
      </c>
      <c r="F12" s="18">
        <f t="shared" si="1"/>
        <v>1478340</v>
      </c>
      <c r="G12" s="19"/>
      <c r="H12" s="23" t="s">
        <v>39</v>
      </c>
      <c r="I12" s="23">
        <v>2149000</v>
      </c>
    </row>
    <row r="13" spans="1:14" s="23" customFormat="1" ht="31" customHeight="1" x14ac:dyDescent="0.35">
      <c r="A13" s="24"/>
      <c r="B13" s="15" t="s">
        <v>18</v>
      </c>
      <c r="C13" s="16">
        <v>472780</v>
      </c>
      <c r="D13" s="16">
        <f t="shared" si="2"/>
        <v>20000</v>
      </c>
      <c r="E13" s="17">
        <f t="shared" si="0"/>
        <v>492780</v>
      </c>
      <c r="F13" s="18">
        <f t="shared" si="1"/>
        <v>985560</v>
      </c>
      <c r="G13" s="19"/>
      <c r="H13" s="23" t="s">
        <v>104</v>
      </c>
      <c r="I13" s="23">
        <f>I12*10%</f>
        <v>214900</v>
      </c>
    </row>
    <row r="14" spans="1:14" s="23" customFormat="1" ht="31" customHeight="1" x14ac:dyDescent="0.35">
      <c r="A14" s="25"/>
      <c r="B14" s="15" t="s">
        <v>19</v>
      </c>
      <c r="C14" s="16">
        <v>472780</v>
      </c>
      <c r="D14" s="16">
        <f t="shared" si="2"/>
        <v>20000</v>
      </c>
      <c r="E14" s="17">
        <f t="shared" si="0"/>
        <v>492780</v>
      </c>
      <c r="F14" s="18">
        <f t="shared" si="1"/>
        <v>492780</v>
      </c>
      <c r="G14" s="19"/>
      <c r="H14" s="23" t="s">
        <v>103</v>
      </c>
      <c r="I14" s="23">
        <f>I12+I13</f>
        <v>2363900</v>
      </c>
      <c r="L14" s="23">
        <f>I14/5</f>
        <v>472780</v>
      </c>
    </row>
    <row r="15" spans="1:14" s="23" customFormat="1" ht="31" customHeight="1" x14ac:dyDescent="0.35">
      <c r="A15" s="26"/>
      <c r="B15" s="15" t="s">
        <v>20</v>
      </c>
      <c r="C15" s="16">
        <v>472780</v>
      </c>
      <c r="D15" s="16">
        <f t="shared" si="2"/>
        <v>20000</v>
      </c>
      <c r="E15" s="17">
        <f t="shared" si="0"/>
        <v>492780</v>
      </c>
      <c r="F15" s="18">
        <f t="shared" si="1"/>
        <v>0</v>
      </c>
      <c r="G15" s="19"/>
      <c r="H15" s="23" t="s">
        <v>36</v>
      </c>
      <c r="I15" s="23">
        <v>100000</v>
      </c>
      <c r="J15" s="23">
        <f>I15/5</f>
        <v>20000</v>
      </c>
    </row>
    <row r="16" spans="1:14" s="23" customFormat="1" ht="31" hidden="1" customHeight="1" x14ac:dyDescent="0.35">
      <c r="A16" s="27"/>
      <c r="B16" s="15"/>
      <c r="C16" s="16"/>
      <c r="D16" s="16"/>
      <c r="E16" s="17"/>
      <c r="F16" s="18"/>
      <c r="G16" s="19"/>
      <c r="H16" s="23" t="s">
        <v>35</v>
      </c>
      <c r="I16" s="23">
        <f>I14+I15</f>
        <v>2463900</v>
      </c>
      <c r="J16" s="23">
        <f>I16/5</f>
        <v>492780</v>
      </c>
      <c r="N16" s="23">
        <v>2449875</v>
      </c>
    </row>
    <row r="17" spans="1:14" s="23" customFormat="1" ht="31" hidden="1" customHeight="1" x14ac:dyDescent="0.35">
      <c r="A17" s="27"/>
      <c r="B17" s="15"/>
      <c r="C17" s="16"/>
      <c r="D17" s="16"/>
      <c r="E17" s="17"/>
      <c r="F17" s="18"/>
      <c r="G17" s="19"/>
      <c r="N17" s="23">
        <f>N16-N15</f>
        <v>2449875</v>
      </c>
    </row>
    <row r="18" spans="1:14" s="23" customFormat="1" ht="31" hidden="1" customHeight="1" x14ac:dyDescent="0.35">
      <c r="A18" s="27"/>
      <c r="B18" s="15"/>
      <c r="C18" s="16"/>
      <c r="D18" s="16"/>
      <c r="E18" s="17"/>
      <c r="F18" s="18"/>
      <c r="G18" s="19"/>
    </row>
    <row r="19" spans="1:14" s="23" customFormat="1" ht="31" hidden="1" customHeight="1" x14ac:dyDescent="0.35">
      <c r="A19" s="26"/>
      <c r="B19" s="15"/>
      <c r="C19" s="16"/>
      <c r="D19" s="16"/>
      <c r="E19" s="17"/>
      <c r="F19" s="18"/>
      <c r="G19" s="19"/>
    </row>
    <row r="20" spans="1:14" s="23" customFormat="1" ht="31" hidden="1" customHeight="1" x14ac:dyDescent="0.35">
      <c r="A20" s="26"/>
      <c r="B20" s="15"/>
      <c r="C20" s="16"/>
      <c r="D20" s="16"/>
      <c r="E20" s="17"/>
      <c r="F20" s="18"/>
      <c r="G20" s="19"/>
    </row>
    <row r="21" spans="1:14" s="23" customFormat="1" ht="31" customHeight="1" x14ac:dyDescent="0.35">
      <c r="A21" s="76" t="s">
        <v>26</v>
      </c>
      <c r="B21" s="77"/>
      <c r="C21" s="28">
        <f>SUM(C11:C20)</f>
        <v>2363900</v>
      </c>
      <c r="D21" s="28">
        <f>SUM(D11:D20)</f>
        <v>100000</v>
      </c>
      <c r="E21" s="28">
        <f>SUM(E11:E20)</f>
        <v>2463900</v>
      </c>
      <c r="F21" s="18"/>
      <c r="G21" s="19"/>
    </row>
    <row r="23" spans="1:14" ht="19.5" customHeight="1" x14ac:dyDescent="0.3">
      <c r="A23" s="29"/>
      <c r="B23" s="78"/>
      <c r="C23" s="78"/>
      <c r="D23" s="78"/>
      <c r="E23" s="78"/>
      <c r="F23" s="78"/>
    </row>
    <row r="24" spans="1:14" x14ac:dyDescent="0.3">
      <c r="B24" s="31"/>
      <c r="C24" s="32"/>
    </row>
    <row r="25" spans="1:14" x14ac:dyDescent="0.3">
      <c r="B25" s="31"/>
      <c r="C25" s="33"/>
    </row>
    <row r="26" spans="1:14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6979-D015-43F6-8CD0-BEEA23AF8505}">
  <sheetPr>
    <tabColor theme="1"/>
  </sheetPr>
  <dimension ref="A1:K19"/>
  <sheetViews>
    <sheetView view="pageBreakPreview" topLeftCell="A4" zoomScale="85" zoomScaleNormal="85" zoomScaleSheetLayoutView="85" workbookViewId="0">
      <selection activeCell="L11" sqref="L11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9.6328125" style="2" bestFit="1" customWidth="1"/>
    <col min="10" max="10" width="11.81640625" style="2" bestFit="1" customWidth="1"/>
    <col min="11" max="11" width="9.6328125" style="2" bestFit="1" customWidth="1"/>
    <col min="12" max="16384" width="9.1796875" style="2"/>
  </cols>
  <sheetData>
    <row r="1" spans="1:11" x14ac:dyDescent="0.3">
      <c r="A1" s="74" t="s">
        <v>0</v>
      </c>
      <c r="B1" s="74"/>
      <c r="C1" s="74"/>
      <c r="D1" s="74"/>
      <c r="E1" s="74"/>
      <c r="F1" s="74"/>
      <c r="G1" s="74"/>
    </row>
    <row r="2" spans="1:11" x14ac:dyDescent="0.3">
      <c r="A2" s="74" t="s">
        <v>46</v>
      </c>
      <c r="B2" s="74"/>
      <c r="C2" s="74"/>
      <c r="D2" s="74"/>
      <c r="E2" s="74"/>
      <c r="F2" s="74"/>
      <c r="G2" s="74"/>
    </row>
    <row r="3" spans="1:11" x14ac:dyDescent="0.3">
      <c r="A3" s="74" t="s">
        <v>107</v>
      </c>
      <c r="B3" s="74"/>
      <c r="C3" s="74"/>
      <c r="D3" s="74"/>
      <c r="E3" s="74"/>
      <c r="F3" s="74"/>
      <c r="G3" s="74"/>
    </row>
    <row r="4" spans="1:11" x14ac:dyDescent="0.3">
      <c r="A4" s="1"/>
      <c r="B4" s="1"/>
      <c r="C4" s="1"/>
      <c r="D4" s="1"/>
      <c r="E4" s="1"/>
      <c r="F4" s="1"/>
    </row>
    <row r="5" spans="1:11" x14ac:dyDescent="0.3">
      <c r="A5" s="3" t="s">
        <v>3</v>
      </c>
      <c r="B5" s="80" t="s">
        <v>108</v>
      </c>
      <c r="C5" s="80"/>
      <c r="D5" s="80"/>
      <c r="E5" s="80"/>
      <c r="F5" s="80"/>
    </row>
    <row r="6" spans="1:11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1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1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1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1" ht="36.75" customHeight="1" x14ac:dyDescent="0.3">
      <c r="A10" s="36">
        <v>45870</v>
      </c>
      <c r="B10" s="10"/>
      <c r="C10" s="10"/>
      <c r="D10" s="10"/>
      <c r="E10" s="11"/>
      <c r="F10" s="12">
        <f>C14+D14</f>
        <v>8997250</v>
      </c>
      <c r="G10" s="13"/>
    </row>
    <row r="11" spans="1:11" s="23" customFormat="1" ht="31" customHeight="1" x14ac:dyDescent="0.35">
      <c r="A11" s="36"/>
      <c r="B11" s="15" t="s">
        <v>16</v>
      </c>
      <c r="C11" s="16">
        <f>J14</f>
        <v>4473625</v>
      </c>
      <c r="D11" s="16">
        <f>50000/2</f>
        <v>25000</v>
      </c>
      <c r="E11" s="17">
        <f>C11+D11</f>
        <v>4498625</v>
      </c>
      <c r="F11" s="18">
        <f>F10-E11</f>
        <v>4498625</v>
      </c>
      <c r="G11" s="19"/>
      <c r="H11" s="20"/>
      <c r="I11" s="21"/>
      <c r="J11" s="22"/>
    </row>
    <row r="12" spans="1:11" s="23" customFormat="1" ht="31" customHeight="1" x14ac:dyDescent="0.35">
      <c r="A12" s="36"/>
      <c r="B12" s="15" t="s">
        <v>17</v>
      </c>
      <c r="C12" s="16">
        <f>J14</f>
        <v>4473625</v>
      </c>
      <c r="D12" s="16">
        <f>50000/2</f>
        <v>25000</v>
      </c>
      <c r="E12" s="17">
        <f>C12+D12</f>
        <v>4498625</v>
      </c>
      <c r="F12" s="18">
        <f t="shared" ref="F12:F13" si="0">F11-E12</f>
        <v>0</v>
      </c>
      <c r="G12" s="19"/>
      <c r="H12" s="23" t="s">
        <v>39</v>
      </c>
      <c r="I12" s="23">
        <v>8500000</v>
      </c>
    </row>
    <row r="13" spans="1:11" s="23" customFormat="1" ht="31" customHeight="1" x14ac:dyDescent="0.35">
      <c r="A13" s="36"/>
      <c r="B13" s="15"/>
      <c r="C13" s="16"/>
      <c r="D13" s="16"/>
      <c r="E13" s="17">
        <f>C13+D13</f>
        <v>0</v>
      </c>
      <c r="F13" s="18">
        <f t="shared" si="0"/>
        <v>0</v>
      </c>
      <c r="G13" s="19"/>
      <c r="H13" s="23" t="s">
        <v>110</v>
      </c>
      <c r="I13" s="57">
        <f>I12*5.85%</f>
        <v>497249.99999999994</v>
      </c>
      <c r="J13" s="57">
        <f>I13-50000</f>
        <v>447249.99999999994</v>
      </c>
    </row>
    <row r="14" spans="1:11" s="23" customFormat="1" ht="31" customHeight="1" x14ac:dyDescent="0.35">
      <c r="A14" s="76" t="s">
        <v>26</v>
      </c>
      <c r="B14" s="77"/>
      <c r="C14" s="28">
        <f>SUM(C11:C13)</f>
        <v>8947250</v>
      </c>
      <c r="D14" s="28">
        <f>SUM(D11:D13)</f>
        <v>50000</v>
      </c>
      <c r="E14" s="28">
        <f>SUM(E11:E13)</f>
        <v>8997250</v>
      </c>
      <c r="F14" s="18"/>
      <c r="G14" s="19"/>
      <c r="H14" s="23" t="s">
        <v>109</v>
      </c>
      <c r="I14" s="57">
        <f>I12+J13</f>
        <v>8947250</v>
      </c>
      <c r="J14" s="57">
        <f>I14/2</f>
        <v>4473625</v>
      </c>
      <c r="K14" s="57"/>
    </row>
    <row r="16" spans="1:11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AF51-B217-4AD7-91A8-D6D909488BDA}">
  <sheetPr>
    <tabColor theme="1"/>
  </sheetPr>
  <dimension ref="A1:J28"/>
  <sheetViews>
    <sheetView view="pageBreakPreview" topLeftCell="A7" zoomScale="85" zoomScaleNormal="85" zoomScaleSheetLayoutView="85" workbookViewId="0">
      <selection activeCell="H12" sqref="H12:J15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74</v>
      </c>
      <c r="B2" s="74"/>
      <c r="C2" s="74"/>
      <c r="D2" s="74"/>
      <c r="E2" s="74"/>
      <c r="F2" s="74"/>
      <c r="G2" s="74"/>
    </row>
    <row r="3" spans="1:10" x14ac:dyDescent="0.3">
      <c r="A3" s="74" t="s">
        <v>111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72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9"/>
      <c r="B10" s="10"/>
      <c r="C10" s="10"/>
      <c r="D10" s="10"/>
      <c r="E10" s="11"/>
      <c r="F10" s="12">
        <f>E23</f>
        <v>8699998.9250000007</v>
      </c>
      <c r="G10" s="13"/>
      <c r="I10" s="51"/>
    </row>
    <row r="11" spans="1:10" s="23" customFormat="1" ht="31" customHeight="1" x14ac:dyDescent="0.35">
      <c r="A11" s="14"/>
      <c r="B11" s="15" t="s">
        <v>16</v>
      </c>
      <c r="C11" s="16">
        <f>$J$15</f>
        <v>1719999.7850000001</v>
      </c>
      <c r="D11" s="16">
        <f>100000/5</f>
        <v>20000</v>
      </c>
      <c r="E11" s="17">
        <f t="shared" ref="E11:E22" si="0">C11+D11</f>
        <v>1739999.7850000001</v>
      </c>
      <c r="F11" s="18">
        <f t="shared" ref="F11:F22" si="1">F10-E11</f>
        <v>6959999.1400000006</v>
      </c>
      <c r="G11" s="19"/>
      <c r="H11" s="20"/>
      <c r="I11" s="50"/>
      <c r="J11" s="22"/>
    </row>
    <row r="12" spans="1:10" s="23" customFormat="1" ht="31" customHeight="1" x14ac:dyDescent="0.35">
      <c r="A12" s="24"/>
      <c r="B12" s="15" t="s">
        <v>17</v>
      </c>
      <c r="C12" s="16">
        <f t="shared" ref="C12:C15" si="2">$J$15</f>
        <v>1719999.7850000001</v>
      </c>
      <c r="D12" s="16">
        <f t="shared" ref="D12:D15" si="3">100000/5</f>
        <v>20000</v>
      </c>
      <c r="E12" s="17">
        <f t="shared" si="0"/>
        <v>1739999.7850000001</v>
      </c>
      <c r="F12" s="18">
        <f t="shared" si="1"/>
        <v>5219999.3550000004</v>
      </c>
      <c r="G12" s="19"/>
      <c r="H12" s="23" t="s">
        <v>64</v>
      </c>
      <c r="I12" s="47">
        <v>100000</v>
      </c>
      <c r="J12" s="23" t="s">
        <v>113</v>
      </c>
    </row>
    <row r="13" spans="1:10" s="23" customFormat="1" ht="31" customHeight="1" x14ac:dyDescent="0.35">
      <c r="A13" s="24"/>
      <c r="B13" s="15" t="s">
        <v>18</v>
      </c>
      <c r="C13" s="16">
        <f t="shared" si="2"/>
        <v>1719999.7850000001</v>
      </c>
      <c r="D13" s="16">
        <f t="shared" si="3"/>
        <v>20000</v>
      </c>
      <c r="E13" s="17">
        <f t="shared" si="0"/>
        <v>1739999.7850000001</v>
      </c>
      <c r="F13" s="18">
        <f t="shared" si="1"/>
        <v>3479999.5700000003</v>
      </c>
      <c r="G13" s="19"/>
      <c r="H13" s="23" t="s">
        <v>67</v>
      </c>
      <c r="I13" s="47">
        <v>7999999</v>
      </c>
    </row>
    <row r="14" spans="1:10" s="23" customFormat="1" ht="31" customHeight="1" x14ac:dyDescent="0.35">
      <c r="A14" s="25"/>
      <c r="B14" s="15" t="s">
        <v>19</v>
      </c>
      <c r="C14" s="16">
        <f t="shared" si="2"/>
        <v>1719999.7850000001</v>
      </c>
      <c r="D14" s="16">
        <f t="shared" si="3"/>
        <v>20000</v>
      </c>
      <c r="E14" s="17">
        <f t="shared" si="0"/>
        <v>1739999.7850000001</v>
      </c>
      <c r="F14" s="18">
        <f t="shared" si="1"/>
        <v>1739999.7850000001</v>
      </c>
      <c r="G14" s="19"/>
      <c r="H14" s="23" t="s">
        <v>112</v>
      </c>
      <c r="I14" s="47">
        <f>I13*7.5%</f>
        <v>599999.92499999993</v>
      </c>
    </row>
    <row r="15" spans="1:10" s="23" customFormat="1" ht="31" customHeight="1" x14ac:dyDescent="0.35">
      <c r="A15" s="26"/>
      <c r="B15" s="15" t="s">
        <v>20</v>
      </c>
      <c r="C15" s="16">
        <f t="shared" si="2"/>
        <v>1719999.7850000001</v>
      </c>
      <c r="D15" s="16">
        <f t="shared" si="3"/>
        <v>20000</v>
      </c>
      <c r="E15" s="17">
        <f t="shared" si="0"/>
        <v>1739999.7850000001</v>
      </c>
      <c r="F15" s="18">
        <f t="shared" si="1"/>
        <v>0</v>
      </c>
      <c r="G15" s="19"/>
      <c r="H15" s="23" t="s">
        <v>65</v>
      </c>
      <c r="I15" s="47">
        <f>I13+I14</f>
        <v>8599998.9250000007</v>
      </c>
      <c r="J15" s="49">
        <f>I15/5</f>
        <v>1719999.7850000001</v>
      </c>
    </row>
    <row r="16" spans="1:10" s="23" customFormat="1" ht="31" hidden="1" customHeight="1" x14ac:dyDescent="0.35">
      <c r="A16" s="27"/>
      <c r="B16" s="15"/>
      <c r="C16" s="16"/>
      <c r="D16" s="16"/>
      <c r="E16" s="17">
        <f t="shared" si="0"/>
        <v>0</v>
      </c>
      <c r="F16" s="18">
        <f t="shared" si="1"/>
        <v>0</v>
      </c>
      <c r="G16" s="19"/>
    </row>
    <row r="17" spans="1:9" s="23" customFormat="1" ht="31" hidden="1" customHeight="1" x14ac:dyDescent="0.35">
      <c r="A17" s="27"/>
      <c r="B17" s="15"/>
      <c r="C17" s="16"/>
      <c r="D17" s="16"/>
      <c r="E17" s="17">
        <f t="shared" si="0"/>
        <v>0</v>
      </c>
      <c r="F17" s="18">
        <f t="shared" si="1"/>
        <v>0</v>
      </c>
      <c r="G17" s="19"/>
      <c r="I17" s="47"/>
    </row>
    <row r="18" spans="1:9" s="23" customFormat="1" ht="31" hidden="1" customHeight="1" x14ac:dyDescent="0.35">
      <c r="A18" s="27"/>
      <c r="B18" s="15"/>
      <c r="C18" s="16"/>
      <c r="D18" s="16"/>
      <c r="E18" s="17">
        <f t="shared" si="0"/>
        <v>0</v>
      </c>
      <c r="F18" s="18">
        <f t="shared" si="1"/>
        <v>0</v>
      </c>
      <c r="G18" s="19"/>
      <c r="I18" s="47"/>
    </row>
    <row r="19" spans="1:9" s="23" customFormat="1" ht="31" hidden="1" customHeight="1" x14ac:dyDescent="0.35">
      <c r="A19" s="26"/>
      <c r="B19" s="15"/>
      <c r="C19" s="16"/>
      <c r="D19" s="16"/>
      <c r="E19" s="17">
        <f t="shared" si="0"/>
        <v>0</v>
      </c>
      <c r="F19" s="18">
        <f t="shared" si="1"/>
        <v>0</v>
      </c>
      <c r="G19" s="19"/>
      <c r="I19" s="47"/>
    </row>
    <row r="20" spans="1:9" s="23" customFormat="1" ht="31" hidden="1" customHeight="1" x14ac:dyDescent="0.35">
      <c r="A20" s="26"/>
      <c r="B20" s="15"/>
      <c r="C20" s="16"/>
      <c r="D20" s="16"/>
      <c r="E20" s="17">
        <f t="shared" si="0"/>
        <v>0</v>
      </c>
      <c r="F20" s="18">
        <f t="shared" si="1"/>
        <v>0</v>
      </c>
      <c r="G20" s="19"/>
      <c r="I20" s="47"/>
    </row>
    <row r="21" spans="1:9" s="23" customFormat="1" ht="31" hidden="1" customHeight="1" x14ac:dyDescent="0.35">
      <c r="A21" s="48"/>
      <c r="B21" s="15"/>
      <c r="C21" s="16"/>
      <c r="D21" s="16"/>
      <c r="E21" s="17">
        <f t="shared" si="0"/>
        <v>0</v>
      </c>
      <c r="F21" s="18">
        <f t="shared" si="1"/>
        <v>0</v>
      </c>
      <c r="G21" s="19"/>
      <c r="I21" s="47"/>
    </row>
    <row r="22" spans="1:9" s="23" customFormat="1" ht="31" hidden="1" customHeight="1" x14ac:dyDescent="0.35">
      <c r="A22" s="48"/>
      <c r="B22" s="15"/>
      <c r="C22" s="16"/>
      <c r="D22" s="16"/>
      <c r="E22" s="17">
        <f t="shared" si="0"/>
        <v>0</v>
      </c>
      <c r="F22" s="18">
        <f t="shared" si="1"/>
        <v>0</v>
      </c>
      <c r="G22" s="19"/>
      <c r="I22" s="47"/>
    </row>
    <row r="23" spans="1:9" s="23" customFormat="1" ht="31" customHeight="1" x14ac:dyDescent="0.3">
      <c r="A23" s="76" t="s">
        <v>26</v>
      </c>
      <c r="B23" s="77"/>
      <c r="C23" s="28">
        <f>SUM(C11:C22)</f>
        <v>8599998.9250000007</v>
      </c>
      <c r="D23" s="28">
        <f>SUM(D11:D22)</f>
        <v>100000</v>
      </c>
      <c r="E23" s="28">
        <f>SUM(E11:E22)</f>
        <v>8699998.9250000007</v>
      </c>
      <c r="F23" s="18"/>
      <c r="G23" s="19"/>
      <c r="H23" s="2"/>
      <c r="I23" s="46"/>
    </row>
    <row r="25" spans="1:9" ht="19.5" customHeight="1" x14ac:dyDescent="0.3">
      <c r="A25" s="29" t="s">
        <v>27</v>
      </c>
      <c r="B25" s="78" t="s">
        <v>28</v>
      </c>
      <c r="C25" s="78"/>
      <c r="D25" s="78"/>
      <c r="E25" s="78"/>
      <c r="F25" s="78"/>
    </row>
    <row r="26" spans="1:9" x14ac:dyDescent="0.3">
      <c r="B26" s="31" t="s">
        <v>29</v>
      </c>
      <c r="C26" s="32">
        <v>9000000</v>
      </c>
    </row>
    <row r="27" spans="1:9" ht="28" x14ac:dyDescent="0.3">
      <c r="B27" s="31" t="s">
        <v>30</v>
      </c>
      <c r="C27" s="33">
        <v>5000000</v>
      </c>
    </row>
    <row r="28" spans="1:9" x14ac:dyDescent="0.3">
      <c r="B28" s="34" t="s">
        <v>31</v>
      </c>
      <c r="C28" s="35">
        <f>C26+C27</f>
        <v>14000000</v>
      </c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3FC1-0DBC-4B2A-A773-5A591A4918DE}">
  <sheetPr>
    <tabColor theme="1"/>
  </sheetPr>
  <dimension ref="A1:J19"/>
  <sheetViews>
    <sheetView view="pageBreakPreview" topLeftCell="A13" zoomScale="85" zoomScaleNormal="85" zoomScaleSheetLayoutView="85" workbookViewId="0">
      <selection activeCell="H8" sqref="H8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12" style="2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46</v>
      </c>
      <c r="B2" s="74"/>
      <c r="C2" s="74"/>
      <c r="D2" s="74"/>
      <c r="E2" s="74"/>
      <c r="F2" s="74"/>
      <c r="G2" s="74"/>
    </row>
    <row r="3" spans="1:10" x14ac:dyDescent="0.3">
      <c r="A3" s="74" t="s">
        <v>114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119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45877</v>
      </c>
      <c r="B10" s="10"/>
      <c r="C10" s="10"/>
      <c r="D10" s="10"/>
      <c r="E10" s="11"/>
      <c r="F10" s="12">
        <f>C14+D14</f>
        <v>868721</v>
      </c>
      <c r="G10" s="13"/>
    </row>
    <row r="11" spans="1:10" s="23" customFormat="1" ht="31" customHeight="1" x14ac:dyDescent="0.35">
      <c r="A11" s="36">
        <v>45894</v>
      </c>
      <c r="B11" s="15" t="s">
        <v>16</v>
      </c>
      <c r="C11" s="16">
        <v>272907</v>
      </c>
      <c r="D11" s="16">
        <f>50000/3</f>
        <v>16666.666666666668</v>
      </c>
      <c r="E11" s="17">
        <f>C11+D11</f>
        <v>289573.66666666669</v>
      </c>
      <c r="F11" s="18">
        <f>F10-E11</f>
        <v>579147.33333333326</v>
      </c>
      <c r="G11" s="19"/>
      <c r="H11" s="23" t="s">
        <v>64</v>
      </c>
      <c r="I11" s="47">
        <v>100000</v>
      </c>
      <c r="J11" s="23" t="s">
        <v>115</v>
      </c>
    </row>
    <row r="12" spans="1:10" s="23" customFormat="1" ht="31" customHeight="1" x14ac:dyDescent="0.35">
      <c r="A12" s="36"/>
      <c r="B12" s="15" t="s">
        <v>17</v>
      </c>
      <c r="C12" s="16">
        <v>272907</v>
      </c>
      <c r="D12" s="16">
        <f t="shared" ref="D12:D13" si="0">50000/3</f>
        <v>16666.666666666668</v>
      </c>
      <c r="E12" s="17">
        <f>C12+D12</f>
        <v>289573.66666666669</v>
      </c>
      <c r="F12" s="18">
        <f t="shared" ref="F12:F13" si="1">F11-E12</f>
        <v>289573.66666666657</v>
      </c>
      <c r="G12" s="19"/>
      <c r="H12" s="23" t="s">
        <v>67</v>
      </c>
      <c r="I12" s="47">
        <v>761600</v>
      </c>
    </row>
    <row r="13" spans="1:10" s="23" customFormat="1" ht="31" customHeight="1" x14ac:dyDescent="0.35">
      <c r="A13" s="36"/>
      <c r="B13" s="15" t="s">
        <v>18</v>
      </c>
      <c r="C13" s="16">
        <v>272907</v>
      </c>
      <c r="D13" s="16">
        <f t="shared" si="0"/>
        <v>16666.666666666668</v>
      </c>
      <c r="E13" s="17">
        <f>C13+D13</f>
        <v>289573.66666666669</v>
      </c>
      <c r="F13" s="18">
        <f t="shared" si="1"/>
        <v>0</v>
      </c>
      <c r="G13" s="19"/>
      <c r="H13" s="23" t="s">
        <v>112</v>
      </c>
      <c r="I13" s="47">
        <f>I12*7.5%</f>
        <v>57120</v>
      </c>
    </row>
    <row r="14" spans="1:10" s="23" customFormat="1" ht="31" customHeight="1" x14ac:dyDescent="0.35">
      <c r="A14" s="76" t="s">
        <v>26</v>
      </c>
      <c r="B14" s="77"/>
      <c r="C14" s="28">
        <f>SUM(C11:C13)</f>
        <v>818721</v>
      </c>
      <c r="D14" s="28">
        <f>SUM(D11:D13)</f>
        <v>50000</v>
      </c>
      <c r="E14" s="28">
        <f>SUM(E11:E13)</f>
        <v>868721</v>
      </c>
      <c r="F14" s="18"/>
      <c r="G14" s="19"/>
      <c r="H14" s="23" t="s">
        <v>65</v>
      </c>
      <c r="I14" s="47">
        <f>I12+I13</f>
        <v>818720</v>
      </c>
      <c r="J14" s="49">
        <f>I14/3</f>
        <v>272906.66666666669</v>
      </c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2CF4-A2F4-4792-8790-60CDA1A4F869}">
  <sheetPr>
    <tabColor theme="1"/>
  </sheetPr>
  <dimension ref="A1:J28"/>
  <sheetViews>
    <sheetView view="pageBreakPreview" topLeftCell="A13" zoomScale="85" zoomScaleNormal="85" zoomScaleSheetLayoutView="85" workbookViewId="0">
      <selection activeCell="H9" sqref="H9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117</v>
      </c>
      <c r="B2" s="74"/>
      <c r="C2" s="74"/>
      <c r="D2" s="74"/>
      <c r="E2" s="74"/>
      <c r="F2" s="74"/>
      <c r="G2" s="74"/>
    </row>
    <row r="3" spans="1:10" x14ac:dyDescent="0.3">
      <c r="A3" s="74" t="s">
        <v>118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116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9"/>
      <c r="B10" s="10"/>
      <c r="C10" s="10"/>
      <c r="D10" s="10"/>
      <c r="E10" s="11"/>
      <c r="F10" s="12">
        <f>C23+D23</f>
        <v>3761168.75</v>
      </c>
      <c r="G10" s="13"/>
      <c r="I10" s="51"/>
    </row>
    <row r="11" spans="1:10" s="23" customFormat="1" ht="31" customHeight="1" x14ac:dyDescent="0.35">
      <c r="A11" s="14"/>
      <c r="B11" s="15" t="s">
        <v>16</v>
      </c>
      <c r="C11" s="16">
        <f>$J$15</f>
        <v>742233.75</v>
      </c>
      <c r="D11" s="16">
        <f>50000/5</f>
        <v>10000</v>
      </c>
      <c r="E11" s="17">
        <f t="shared" ref="E11:E22" si="0">C11+D11</f>
        <v>752233.75</v>
      </c>
      <c r="F11" s="18">
        <f t="shared" ref="F11:F22" si="1">F10-E11</f>
        <v>3008935</v>
      </c>
      <c r="G11" s="19"/>
      <c r="H11" s="20"/>
      <c r="I11" s="50"/>
      <c r="J11" s="22"/>
    </row>
    <row r="12" spans="1:10" s="23" customFormat="1" ht="31" customHeight="1" x14ac:dyDescent="0.35">
      <c r="A12" s="24"/>
      <c r="B12" s="15" t="s">
        <v>17</v>
      </c>
      <c r="C12" s="16">
        <f t="shared" ref="C12:C15" si="2">$J$15</f>
        <v>742233.75</v>
      </c>
      <c r="D12" s="16">
        <f t="shared" ref="D12:D15" si="3">50000/5</f>
        <v>10000</v>
      </c>
      <c r="E12" s="17">
        <f t="shared" si="0"/>
        <v>752233.75</v>
      </c>
      <c r="F12" s="18">
        <f t="shared" si="1"/>
        <v>2256701.25</v>
      </c>
      <c r="G12" s="19"/>
      <c r="H12" s="23" t="s">
        <v>64</v>
      </c>
      <c r="I12" s="47">
        <v>50000</v>
      </c>
      <c r="J12" s="23" t="s">
        <v>113</v>
      </c>
    </row>
    <row r="13" spans="1:10" s="23" customFormat="1" ht="31" customHeight="1" x14ac:dyDescent="0.35">
      <c r="A13" s="24"/>
      <c r="B13" s="15" t="s">
        <v>18</v>
      </c>
      <c r="C13" s="16">
        <f t="shared" si="2"/>
        <v>742233.75</v>
      </c>
      <c r="D13" s="16">
        <f t="shared" si="3"/>
        <v>10000</v>
      </c>
      <c r="E13" s="17">
        <f t="shared" si="0"/>
        <v>752233.75</v>
      </c>
      <c r="F13" s="18">
        <f t="shared" si="1"/>
        <v>1504467.5</v>
      </c>
      <c r="G13" s="19"/>
      <c r="H13" s="23" t="s">
        <v>67</v>
      </c>
      <c r="I13" s="47">
        <v>3452250</v>
      </c>
    </row>
    <row r="14" spans="1:10" s="23" customFormat="1" ht="31" customHeight="1" x14ac:dyDescent="0.35">
      <c r="A14" s="25"/>
      <c r="B14" s="15" t="s">
        <v>19</v>
      </c>
      <c r="C14" s="16">
        <f t="shared" si="2"/>
        <v>742233.75</v>
      </c>
      <c r="D14" s="16">
        <f t="shared" si="3"/>
        <v>10000</v>
      </c>
      <c r="E14" s="17">
        <f t="shared" si="0"/>
        <v>752233.75</v>
      </c>
      <c r="F14" s="18">
        <f t="shared" si="1"/>
        <v>752233.75</v>
      </c>
      <c r="G14" s="19"/>
      <c r="H14" s="23" t="s">
        <v>112</v>
      </c>
      <c r="I14" s="47">
        <f>I13*7.5%</f>
        <v>258918.75</v>
      </c>
    </row>
    <row r="15" spans="1:10" s="23" customFormat="1" ht="31" customHeight="1" x14ac:dyDescent="0.35">
      <c r="A15" s="26"/>
      <c r="B15" s="15" t="s">
        <v>20</v>
      </c>
      <c r="C15" s="16">
        <f t="shared" si="2"/>
        <v>742233.75</v>
      </c>
      <c r="D15" s="16">
        <f t="shared" si="3"/>
        <v>10000</v>
      </c>
      <c r="E15" s="17">
        <f t="shared" si="0"/>
        <v>752233.75</v>
      </c>
      <c r="F15" s="18">
        <f t="shared" si="1"/>
        <v>0</v>
      </c>
      <c r="G15" s="19"/>
      <c r="H15" s="23" t="s">
        <v>65</v>
      </c>
      <c r="I15" s="47">
        <f>I13+I14</f>
        <v>3711168.75</v>
      </c>
      <c r="J15" s="49">
        <f>I15/5</f>
        <v>742233.75</v>
      </c>
    </row>
    <row r="16" spans="1:10" s="23" customFormat="1" ht="31" hidden="1" customHeight="1" x14ac:dyDescent="0.35">
      <c r="A16" s="27"/>
      <c r="B16" s="15"/>
      <c r="C16" s="16"/>
      <c r="D16" s="16"/>
      <c r="E16" s="17">
        <f t="shared" si="0"/>
        <v>0</v>
      </c>
      <c r="F16" s="18">
        <f t="shared" si="1"/>
        <v>0</v>
      </c>
      <c r="G16" s="19"/>
    </row>
    <row r="17" spans="1:9" s="23" customFormat="1" ht="31" hidden="1" customHeight="1" x14ac:dyDescent="0.35">
      <c r="A17" s="27"/>
      <c r="B17" s="15"/>
      <c r="C17" s="16"/>
      <c r="D17" s="16"/>
      <c r="E17" s="17">
        <f t="shared" si="0"/>
        <v>0</v>
      </c>
      <c r="F17" s="18">
        <f t="shared" si="1"/>
        <v>0</v>
      </c>
      <c r="G17" s="19"/>
      <c r="I17" s="47"/>
    </row>
    <row r="18" spans="1:9" s="23" customFormat="1" ht="31" hidden="1" customHeight="1" x14ac:dyDescent="0.35">
      <c r="A18" s="27"/>
      <c r="B18" s="15"/>
      <c r="C18" s="16"/>
      <c r="D18" s="16"/>
      <c r="E18" s="17">
        <f t="shared" si="0"/>
        <v>0</v>
      </c>
      <c r="F18" s="18">
        <f t="shared" si="1"/>
        <v>0</v>
      </c>
      <c r="G18" s="19"/>
      <c r="I18" s="47"/>
    </row>
    <row r="19" spans="1:9" s="23" customFormat="1" ht="31" hidden="1" customHeight="1" x14ac:dyDescent="0.35">
      <c r="A19" s="26"/>
      <c r="B19" s="15"/>
      <c r="C19" s="16"/>
      <c r="D19" s="16"/>
      <c r="E19" s="17">
        <f t="shared" si="0"/>
        <v>0</v>
      </c>
      <c r="F19" s="18">
        <f t="shared" si="1"/>
        <v>0</v>
      </c>
      <c r="G19" s="19"/>
      <c r="I19" s="47"/>
    </row>
    <row r="20" spans="1:9" s="23" customFormat="1" ht="31" hidden="1" customHeight="1" x14ac:dyDescent="0.35">
      <c r="A20" s="26"/>
      <c r="B20" s="15"/>
      <c r="C20" s="16"/>
      <c r="D20" s="16"/>
      <c r="E20" s="17">
        <f t="shared" si="0"/>
        <v>0</v>
      </c>
      <c r="F20" s="18">
        <f t="shared" si="1"/>
        <v>0</v>
      </c>
      <c r="G20" s="19"/>
      <c r="I20" s="47"/>
    </row>
    <row r="21" spans="1:9" s="23" customFormat="1" ht="31" hidden="1" customHeight="1" x14ac:dyDescent="0.35">
      <c r="A21" s="48"/>
      <c r="B21" s="15"/>
      <c r="C21" s="16"/>
      <c r="D21" s="16"/>
      <c r="E21" s="17">
        <f t="shared" si="0"/>
        <v>0</v>
      </c>
      <c r="F21" s="18">
        <f t="shared" si="1"/>
        <v>0</v>
      </c>
      <c r="G21" s="19"/>
      <c r="I21" s="47"/>
    </row>
    <row r="22" spans="1:9" s="23" customFormat="1" ht="31" hidden="1" customHeight="1" x14ac:dyDescent="0.35">
      <c r="A22" s="48"/>
      <c r="B22" s="15"/>
      <c r="C22" s="16"/>
      <c r="D22" s="16"/>
      <c r="E22" s="17">
        <f t="shared" si="0"/>
        <v>0</v>
      </c>
      <c r="F22" s="18">
        <f t="shared" si="1"/>
        <v>0</v>
      </c>
      <c r="G22" s="19"/>
      <c r="I22" s="47"/>
    </row>
    <row r="23" spans="1:9" s="23" customFormat="1" ht="31" customHeight="1" x14ac:dyDescent="0.3">
      <c r="A23" s="76" t="s">
        <v>26</v>
      </c>
      <c r="B23" s="77"/>
      <c r="C23" s="28">
        <f>SUM(C11:C22)</f>
        <v>3711168.75</v>
      </c>
      <c r="D23" s="28">
        <f>SUM(D11:D22)</f>
        <v>50000</v>
      </c>
      <c r="E23" s="28">
        <f>SUM(E11:E22)</f>
        <v>3761168.75</v>
      </c>
      <c r="F23" s="18"/>
      <c r="G23" s="19"/>
      <c r="H23" s="2"/>
      <c r="I23" s="46"/>
    </row>
    <row r="25" spans="1:9" ht="19.5" customHeight="1" x14ac:dyDescent="0.3">
      <c r="A25" s="29" t="s">
        <v>27</v>
      </c>
      <c r="B25" s="78" t="s">
        <v>28</v>
      </c>
      <c r="C25" s="78"/>
      <c r="D25" s="78"/>
      <c r="E25" s="78"/>
      <c r="F25" s="78"/>
    </row>
    <row r="26" spans="1:9" x14ac:dyDescent="0.3">
      <c r="B26" s="31" t="s">
        <v>29</v>
      </c>
      <c r="C26" s="32">
        <v>9000000</v>
      </c>
    </row>
    <row r="27" spans="1:9" ht="28" x14ac:dyDescent="0.3">
      <c r="B27" s="31" t="s">
        <v>30</v>
      </c>
      <c r="C27" s="33">
        <v>5000000</v>
      </c>
    </row>
    <row r="28" spans="1:9" x14ac:dyDescent="0.3">
      <c r="B28" s="34" t="s">
        <v>31</v>
      </c>
      <c r="C28" s="35">
        <f>C26+C27</f>
        <v>14000000</v>
      </c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09D1-D813-4B77-B805-709E57010D96}">
  <sheetPr>
    <tabColor theme="1"/>
  </sheetPr>
  <dimension ref="A1:J28"/>
  <sheetViews>
    <sheetView view="pageBreakPreview" zoomScale="85" zoomScaleNormal="85" zoomScaleSheetLayoutView="85" workbookViewId="0">
      <selection activeCell="A15" sqref="A15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1.90625" style="2" bestFit="1" customWidth="1"/>
    <col min="4" max="4" width="10" style="2" bestFit="1" customWidth="1"/>
    <col min="5" max="5" width="11.90625" style="2" bestFit="1" customWidth="1"/>
    <col min="6" max="6" width="13.54296875" style="2" customWidth="1"/>
    <col min="7" max="7" width="21.54296875" style="2" customWidth="1"/>
    <col min="8" max="8" width="28.1796875" style="2" customWidth="1"/>
    <col min="9" max="9" width="14" style="46" bestFit="1" customWidth="1"/>
    <col min="10" max="10" width="12.9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120</v>
      </c>
      <c r="B2" s="74"/>
      <c r="C2" s="74"/>
      <c r="D2" s="74"/>
      <c r="E2" s="74"/>
      <c r="F2" s="74"/>
      <c r="G2" s="74"/>
    </row>
    <row r="3" spans="1:10" x14ac:dyDescent="0.3">
      <c r="A3" s="74" t="s">
        <v>125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124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36"/>
      <c r="B10" s="10"/>
      <c r="C10" s="10"/>
      <c r="D10" s="10"/>
      <c r="E10" s="11"/>
      <c r="F10" s="12">
        <f>E23</f>
        <v>111280000.00000001</v>
      </c>
      <c r="G10" s="13"/>
      <c r="I10" s="51"/>
    </row>
    <row r="11" spans="1:10" s="23" customFormat="1" ht="31" customHeight="1" x14ac:dyDescent="0.35">
      <c r="A11" s="61">
        <v>45894</v>
      </c>
      <c r="B11" s="15" t="s">
        <v>16</v>
      </c>
      <c r="C11" s="16">
        <f>$J$15</f>
        <v>13897500.000000002</v>
      </c>
      <c r="D11" s="16">
        <f>100000/8</f>
        <v>12500</v>
      </c>
      <c r="E11" s="17">
        <f t="shared" ref="E11:E22" si="0">C11+D11</f>
        <v>13910000.000000002</v>
      </c>
      <c r="F11" s="18">
        <f t="shared" ref="F11:F22" si="1">F10-E11</f>
        <v>97370000.000000015</v>
      </c>
      <c r="G11" s="53"/>
      <c r="H11" s="54"/>
      <c r="I11" s="55"/>
      <c r="J11" s="56"/>
    </row>
    <row r="12" spans="1:10" s="23" customFormat="1" ht="31" customHeight="1" x14ac:dyDescent="0.35">
      <c r="A12" s="61">
        <v>45925</v>
      </c>
      <c r="B12" s="15" t="s">
        <v>17</v>
      </c>
      <c r="C12" s="16">
        <f t="shared" ref="C12:C18" si="2">$J$15</f>
        <v>13897500.000000002</v>
      </c>
      <c r="D12" s="16">
        <f t="shared" ref="D12:D18" si="3">100000/8</f>
        <v>12500</v>
      </c>
      <c r="E12" s="17">
        <f t="shared" si="0"/>
        <v>13910000.000000002</v>
      </c>
      <c r="F12" s="18">
        <f t="shared" si="1"/>
        <v>83460000.000000015</v>
      </c>
      <c r="G12" s="19"/>
      <c r="H12" s="23" t="s">
        <v>64</v>
      </c>
      <c r="I12" s="47">
        <v>100000</v>
      </c>
      <c r="J12" s="23" t="s">
        <v>122</v>
      </c>
    </row>
    <row r="13" spans="1:10" s="23" customFormat="1" ht="31" customHeight="1" x14ac:dyDescent="0.35">
      <c r="A13" s="61">
        <v>45955</v>
      </c>
      <c r="B13" s="15" t="s">
        <v>18</v>
      </c>
      <c r="C13" s="16">
        <f t="shared" si="2"/>
        <v>13897500.000000002</v>
      </c>
      <c r="D13" s="16">
        <f t="shared" si="3"/>
        <v>12500</v>
      </c>
      <c r="E13" s="17">
        <f t="shared" si="0"/>
        <v>13910000.000000002</v>
      </c>
      <c r="F13" s="18">
        <f t="shared" si="1"/>
        <v>69550000.000000015</v>
      </c>
      <c r="G13" s="19"/>
      <c r="H13" s="23" t="s">
        <v>67</v>
      </c>
      <c r="I13" s="47">
        <v>102000000</v>
      </c>
    </row>
    <row r="14" spans="1:10" s="23" customFormat="1" ht="31" customHeight="1" x14ac:dyDescent="0.35">
      <c r="A14" s="61">
        <v>45986</v>
      </c>
      <c r="B14" s="15" t="s">
        <v>19</v>
      </c>
      <c r="C14" s="16">
        <f t="shared" si="2"/>
        <v>13897500.000000002</v>
      </c>
      <c r="D14" s="16">
        <f t="shared" si="3"/>
        <v>12500</v>
      </c>
      <c r="E14" s="17">
        <f t="shared" si="0"/>
        <v>13910000.000000002</v>
      </c>
      <c r="F14" s="18">
        <f t="shared" si="1"/>
        <v>55640000.000000015</v>
      </c>
      <c r="G14" s="19"/>
      <c r="H14" s="23" t="s">
        <v>121</v>
      </c>
      <c r="I14" s="47">
        <f>I13*109%</f>
        <v>111180000.00000001</v>
      </c>
    </row>
    <row r="15" spans="1:10" s="23" customFormat="1" ht="31" customHeight="1" x14ac:dyDescent="0.35">
      <c r="A15" s="63"/>
      <c r="B15" s="15" t="s">
        <v>20</v>
      </c>
      <c r="C15" s="16">
        <f t="shared" si="2"/>
        <v>13897500.000000002</v>
      </c>
      <c r="D15" s="16">
        <f t="shared" si="3"/>
        <v>12500</v>
      </c>
      <c r="E15" s="17">
        <f t="shared" si="0"/>
        <v>13910000.000000002</v>
      </c>
      <c r="F15" s="18">
        <f t="shared" si="1"/>
        <v>41730000.000000015</v>
      </c>
      <c r="G15" s="19"/>
      <c r="H15" s="23" t="s">
        <v>65</v>
      </c>
      <c r="I15" s="47">
        <f>I14</f>
        <v>111180000.00000001</v>
      </c>
      <c r="J15" s="49">
        <f>I15/8</f>
        <v>13897500.000000002</v>
      </c>
    </row>
    <row r="16" spans="1:10" s="23" customFormat="1" ht="31" customHeight="1" x14ac:dyDescent="0.35">
      <c r="A16" s="64"/>
      <c r="B16" s="15" t="s">
        <v>21</v>
      </c>
      <c r="C16" s="16">
        <f t="shared" si="2"/>
        <v>13897500.000000002</v>
      </c>
      <c r="D16" s="16">
        <f t="shared" si="3"/>
        <v>12500</v>
      </c>
      <c r="E16" s="17">
        <f t="shared" si="0"/>
        <v>13910000.000000002</v>
      </c>
      <c r="F16" s="18">
        <f t="shared" si="1"/>
        <v>27820000.000000015</v>
      </c>
      <c r="G16" s="19"/>
      <c r="H16" s="23" t="s">
        <v>123</v>
      </c>
      <c r="I16" s="57">
        <f>E11</f>
        <v>13910000.000000002</v>
      </c>
    </row>
    <row r="17" spans="1:9" s="23" customFormat="1" ht="31" customHeight="1" x14ac:dyDescent="0.35">
      <c r="A17" s="64"/>
      <c r="B17" s="15" t="s">
        <v>22</v>
      </c>
      <c r="C17" s="16">
        <f t="shared" si="2"/>
        <v>13897500.000000002</v>
      </c>
      <c r="D17" s="16">
        <f t="shared" si="3"/>
        <v>12500</v>
      </c>
      <c r="E17" s="17">
        <f t="shared" si="0"/>
        <v>13910000.000000002</v>
      </c>
      <c r="F17" s="18">
        <f t="shared" si="1"/>
        <v>13910000.000000013</v>
      </c>
      <c r="G17" s="19"/>
      <c r="I17" s="47"/>
    </row>
    <row r="18" spans="1:9" s="23" customFormat="1" ht="31" customHeight="1" x14ac:dyDescent="0.35">
      <c r="A18" s="64"/>
      <c r="B18" s="15" t="s">
        <v>23</v>
      </c>
      <c r="C18" s="16">
        <f t="shared" si="2"/>
        <v>13897500.000000002</v>
      </c>
      <c r="D18" s="16">
        <f t="shared" si="3"/>
        <v>12500</v>
      </c>
      <c r="E18" s="17">
        <f t="shared" si="0"/>
        <v>13910000.000000002</v>
      </c>
      <c r="F18" s="18">
        <f t="shared" si="1"/>
        <v>0</v>
      </c>
      <c r="G18" s="19"/>
      <c r="I18" s="47"/>
    </row>
    <row r="19" spans="1:9" s="23" customFormat="1" ht="31" hidden="1" customHeight="1" x14ac:dyDescent="0.35">
      <c r="A19" s="26"/>
      <c r="B19" s="15"/>
      <c r="C19" s="16"/>
      <c r="D19" s="16"/>
      <c r="E19" s="17">
        <f t="shared" si="0"/>
        <v>0</v>
      </c>
      <c r="F19" s="18">
        <f t="shared" si="1"/>
        <v>0</v>
      </c>
      <c r="G19" s="19"/>
      <c r="I19" s="47"/>
    </row>
    <row r="20" spans="1:9" s="23" customFormat="1" ht="31" hidden="1" customHeight="1" x14ac:dyDescent="0.35">
      <c r="A20" s="26"/>
      <c r="B20" s="15"/>
      <c r="C20" s="16"/>
      <c r="D20" s="16"/>
      <c r="E20" s="17">
        <f t="shared" si="0"/>
        <v>0</v>
      </c>
      <c r="F20" s="18">
        <f t="shared" si="1"/>
        <v>0</v>
      </c>
      <c r="G20" s="19"/>
      <c r="I20" s="47"/>
    </row>
    <row r="21" spans="1:9" s="23" customFormat="1" ht="31" hidden="1" customHeight="1" x14ac:dyDescent="0.35">
      <c r="A21" s="48"/>
      <c r="B21" s="15"/>
      <c r="C21" s="16"/>
      <c r="D21" s="16"/>
      <c r="E21" s="17">
        <f t="shared" si="0"/>
        <v>0</v>
      </c>
      <c r="F21" s="18">
        <f t="shared" si="1"/>
        <v>0</v>
      </c>
      <c r="G21" s="19"/>
      <c r="I21" s="47"/>
    </row>
    <row r="22" spans="1:9" s="23" customFormat="1" ht="31" hidden="1" customHeight="1" x14ac:dyDescent="0.35">
      <c r="A22" s="48"/>
      <c r="B22" s="15"/>
      <c r="C22" s="16"/>
      <c r="D22" s="16"/>
      <c r="E22" s="17">
        <f t="shared" si="0"/>
        <v>0</v>
      </c>
      <c r="F22" s="18">
        <f t="shared" si="1"/>
        <v>0</v>
      </c>
      <c r="G22" s="19"/>
      <c r="I22" s="47"/>
    </row>
    <row r="23" spans="1:9" s="23" customFormat="1" ht="31" customHeight="1" x14ac:dyDescent="0.3">
      <c r="A23" s="76" t="s">
        <v>26</v>
      </c>
      <c r="B23" s="77"/>
      <c r="C23" s="28">
        <f>SUM(C11:C22)</f>
        <v>111180000.00000001</v>
      </c>
      <c r="D23" s="28">
        <f>SUM(D11:D22)</f>
        <v>100000</v>
      </c>
      <c r="E23" s="28">
        <f>SUM(E11:E22)</f>
        <v>111280000.00000001</v>
      </c>
      <c r="F23" s="18"/>
      <c r="G23" s="19"/>
      <c r="H23" s="2"/>
      <c r="I23" s="46"/>
    </row>
    <row r="25" spans="1:9" ht="19.5" customHeight="1" x14ac:dyDescent="0.3">
      <c r="A25" s="29" t="s">
        <v>27</v>
      </c>
      <c r="B25" s="78" t="s">
        <v>28</v>
      </c>
      <c r="C25" s="78"/>
      <c r="D25" s="78"/>
      <c r="E25" s="78"/>
      <c r="F25" s="78"/>
    </row>
    <row r="26" spans="1:9" x14ac:dyDescent="0.3">
      <c r="B26" s="31" t="s">
        <v>29</v>
      </c>
      <c r="C26" s="32">
        <v>9000000</v>
      </c>
    </row>
    <row r="27" spans="1:9" ht="28" x14ac:dyDescent="0.3">
      <c r="B27" s="31" t="s">
        <v>30</v>
      </c>
      <c r="C27" s="33">
        <v>5000000</v>
      </c>
    </row>
    <row r="28" spans="1:9" x14ac:dyDescent="0.3">
      <c r="B28" s="34" t="s">
        <v>31</v>
      </c>
      <c r="C28" s="35">
        <f>C26+C27</f>
        <v>14000000</v>
      </c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honeticPr fontId="7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8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832C-79DD-4F46-A786-63526C51FEBB}">
  <sheetPr>
    <tabColor theme="1"/>
  </sheetPr>
  <dimension ref="A1:L28"/>
  <sheetViews>
    <sheetView view="pageBreakPreview" zoomScale="85" zoomScaleNormal="85" zoomScaleSheetLayoutView="85" workbookViewId="0">
      <selection activeCell="I17" sqref="I17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1.54296875" style="2" bestFit="1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4" style="46" bestFit="1" customWidth="1"/>
    <col min="10" max="10" width="12.90625" style="2" bestFit="1" customWidth="1"/>
    <col min="11" max="11" width="9.1796875" style="2"/>
    <col min="12" max="12" width="12.90625" style="2" bestFit="1" customWidth="1"/>
    <col min="13" max="16384" width="9.1796875" style="2"/>
  </cols>
  <sheetData>
    <row r="1" spans="1:12" x14ac:dyDescent="0.3">
      <c r="A1" s="74" t="s">
        <v>0</v>
      </c>
      <c r="B1" s="74"/>
      <c r="C1" s="74"/>
      <c r="D1" s="74"/>
      <c r="E1" s="74"/>
      <c r="F1" s="74"/>
      <c r="G1" s="74"/>
    </row>
    <row r="2" spans="1:12" x14ac:dyDescent="0.3">
      <c r="A2" s="74" t="s">
        <v>126</v>
      </c>
      <c r="B2" s="74"/>
      <c r="C2" s="74"/>
      <c r="D2" s="74"/>
      <c r="E2" s="74"/>
      <c r="F2" s="74"/>
      <c r="G2" s="74"/>
    </row>
    <row r="3" spans="1:12" x14ac:dyDescent="0.3">
      <c r="A3" s="74" t="s">
        <v>127</v>
      </c>
      <c r="B3" s="74"/>
      <c r="C3" s="74"/>
      <c r="D3" s="74"/>
      <c r="E3" s="74"/>
      <c r="F3" s="74"/>
      <c r="G3" s="74"/>
    </row>
    <row r="4" spans="1:12" x14ac:dyDescent="0.3">
      <c r="A4" s="1"/>
      <c r="B4" s="1"/>
      <c r="C4" s="1"/>
      <c r="D4" s="1"/>
      <c r="E4" s="1"/>
      <c r="F4" s="1"/>
    </row>
    <row r="5" spans="1:12" x14ac:dyDescent="0.3">
      <c r="A5" s="3" t="s">
        <v>3</v>
      </c>
      <c r="B5" s="80" t="s">
        <v>128</v>
      </c>
      <c r="C5" s="80"/>
      <c r="D5" s="80"/>
      <c r="E5" s="80"/>
      <c r="F5" s="80"/>
    </row>
    <row r="6" spans="1:12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2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2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2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2" ht="36.75" customHeight="1" x14ac:dyDescent="0.3">
      <c r="A10" s="9"/>
      <c r="B10" s="10"/>
      <c r="C10" s="10"/>
      <c r="D10" s="10"/>
      <c r="E10" s="11"/>
      <c r="F10" s="12">
        <f>E23</f>
        <v>19259875</v>
      </c>
      <c r="G10" s="13"/>
      <c r="I10" s="51"/>
    </row>
    <row r="11" spans="1:12" s="23" customFormat="1" ht="31" customHeight="1" x14ac:dyDescent="0.35">
      <c r="A11" s="14"/>
      <c r="B11" s="15" t="s">
        <v>16</v>
      </c>
      <c r="C11" s="16">
        <f>$J$15</f>
        <v>1596656.25</v>
      </c>
      <c r="D11" s="16">
        <f>100000/12</f>
        <v>8333.3333333333339</v>
      </c>
      <c r="E11" s="17">
        <f>C11+D11</f>
        <v>1604989.5833333333</v>
      </c>
      <c r="F11" s="18">
        <f t="shared" ref="F11:F22" si="0">F10-E11</f>
        <v>17654885.416666668</v>
      </c>
      <c r="G11" s="19"/>
      <c r="H11" s="59"/>
      <c r="I11" s="55"/>
      <c r="J11" s="56"/>
    </row>
    <row r="12" spans="1:12" s="23" customFormat="1" ht="31" customHeight="1" x14ac:dyDescent="0.35">
      <c r="A12" s="24"/>
      <c r="B12" s="15" t="s">
        <v>17</v>
      </c>
      <c r="C12" s="16">
        <f t="shared" ref="C12:C22" si="1">$J$15</f>
        <v>1596656.25</v>
      </c>
      <c r="D12" s="16">
        <f t="shared" ref="D12:D22" si="2">100000/12</f>
        <v>8333.3333333333339</v>
      </c>
      <c r="E12" s="17">
        <f t="shared" ref="E12:E22" si="3">C12+D12</f>
        <v>1604989.5833333333</v>
      </c>
      <c r="F12" s="18">
        <f t="shared" si="0"/>
        <v>16049895.833333334</v>
      </c>
      <c r="G12" s="19"/>
      <c r="H12" s="23" t="s">
        <v>64</v>
      </c>
      <c r="I12" s="47">
        <v>100000</v>
      </c>
      <c r="L12" s="49">
        <f>I15+I12</f>
        <v>19259875</v>
      </c>
    </row>
    <row r="13" spans="1:12" s="23" customFormat="1" ht="31" customHeight="1" x14ac:dyDescent="0.35">
      <c r="A13" s="24"/>
      <c r="B13" s="15" t="s">
        <v>18</v>
      </c>
      <c r="C13" s="16">
        <f t="shared" si="1"/>
        <v>1596656.25</v>
      </c>
      <c r="D13" s="16">
        <f t="shared" si="2"/>
        <v>8333.3333333333339</v>
      </c>
      <c r="E13" s="17">
        <f t="shared" si="3"/>
        <v>1604989.5833333333</v>
      </c>
      <c r="F13" s="18">
        <f t="shared" si="0"/>
        <v>14444906.25</v>
      </c>
      <c r="G13" s="19"/>
      <c r="H13" s="23" t="s">
        <v>67</v>
      </c>
      <c r="I13" s="47">
        <v>18247500</v>
      </c>
    </row>
    <row r="14" spans="1:12" s="23" customFormat="1" ht="31" customHeight="1" x14ac:dyDescent="0.35">
      <c r="A14" s="25"/>
      <c r="B14" s="15" t="s">
        <v>19</v>
      </c>
      <c r="C14" s="16">
        <f t="shared" si="1"/>
        <v>1596656.25</v>
      </c>
      <c r="D14" s="16">
        <f t="shared" si="2"/>
        <v>8333.3333333333339</v>
      </c>
      <c r="E14" s="17">
        <f t="shared" si="3"/>
        <v>1604989.5833333333</v>
      </c>
      <c r="F14" s="18">
        <f t="shared" si="0"/>
        <v>12839916.666666666</v>
      </c>
      <c r="G14" s="19"/>
      <c r="H14" s="23" t="s">
        <v>129</v>
      </c>
      <c r="I14" s="47">
        <f>I13*5%</f>
        <v>912375</v>
      </c>
    </row>
    <row r="15" spans="1:12" s="23" customFormat="1" ht="31" customHeight="1" x14ac:dyDescent="0.35">
      <c r="A15" s="26"/>
      <c r="B15" s="15" t="s">
        <v>20</v>
      </c>
      <c r="C15" s="16">
        <f t="shared" si="1"/>
        <v>1596656.25</v>
      </c>
      <c r="D15" s="16">
        <f t="shared" si="2"/>
        <v>8333.3333333333339</v>
      </c>
      <c r="E15" s="17">
        <f t="shared" si="3"/>
        <v>1604989.5833333333</v>
      </c>
      <c r="F15" s="18">
        <f t="shared" si="0"/>
        <v>11234927.083333332</v>
      </c>
      <c r="G15" s="19"/>
      <c r="H15" s="23" t="s">
        <v>65</v>
      </c>
      <c r="I15" s="47">
        <f>I14+I13</f>
        <v>19159875</v>
      </c>
      <c r="J15" s="49">
        <f>I15/12</f>
        <v>1596656.25</v>
      </c>
    </row>
    <row r="16" spans="1:12" s="23" customFormat="1" ht="31" customHeight="1" x14ac:dyDescent="0.35">
      <c r="A16" s="27"/>
      <c r="B16" s="15" t="s">
        <v>21</v>
      </c>
      <c r="C16" s="16">
        <f t="shared" si="1"/>
        <v>1596656.25</v>
      </c>
      <c r="D16" s="16">
        <f t="shared" si="2"/>
        <v>8333.3333333333339</v>
      </c>
      <c r="E16" s="17">
        <f t="shared" si="3"/>
        <v>1604989.5833333333</v>
      </c>
      <c r="F16" s="18">
        <f t="shared" si="0"/>
        <v>9629937.4999999981</v>
      </c>
      <c r="G16" s="19"/>
      <c r="H16" s="23" t="s">
        <v>123</v>
      </c>
      <c r="I16" s="57"/>
      <c r="J16" s="49"/>
    </row>
    <row r="17" spans="1:10" s="23" customFormat="1" ht="31" customHeight="1" x14ac:dyDescent="0.35">
      <c r="A17" s="27"/>
      <c r="B17" s="15" t="s">
        <v>22</v>
      </c>
      <c r="C17" s="16">
        <f t="shared" si="1"/>
        <v>1596656.25</v>
      </c>
      <c r="D17" s="16">
        <f t="shared" si="2"/>
        <v>8333.3333333333339</v>
      </c>
      <c r="E17" s="17">
        <f t="shared" si="3"/>
        <v>1604989.5833333333</v>
      </c>
      <c r="F17" s="18">
        <f t="shared" si="0"/>
        <v>8024947.9166666651</v>
      </c>
      <c r="G17" s="19"/>
      <c r="I17" s="47"/>
    </row>
    <row r="18" spans="1:10" s="23" customFormat="1" ht="31" customHeight="1" x14ac:dyDescent="0.35">
      <c r="A18" s="27"/>
      <c r="B18" s="15" t="s">
        <v>23</v>
      </c>
      <c r="C18" s="16">
        <f t="shared" si="1"/>
        <v>1596656.25</v>
      </c>
      <c r="D18" s="16">
        <f t="shared" si="2"/>
        <v>8333.3333333333339</v>
      </c>
      <c r="E18" s="17">
        <f t="shared" si="3"/>
        <v>1604989.5833333333</v>
      </c>
      <c r="F18" s="18">
        <f t="shared" si="0"/>
        <v>6419958.3333333321</v>
      </c>
      <c r="G18" s="19"/>
      <c r="I18" s="47"/>
    </row>
    <row r="19" spans="1:10" s="23" customFormat="1" ht="31" customHeight="1" x14ac:dyDescent="0.35">
      <c r="A19" s="26"/>
      <c r="B19" s="15" t="s">
        <v>24</v>
      </c>
      <c r="C19" s="16">
        <f t="shared" si="1"/>
        <v>1596656.25</v>
      </c>
      <c r="D19" s="16">
        <f t="shared" si="2"/>
        <v>8333.3333333333339</v>
      </c>
      <c r="E19" s="17">
        <f t="shared" si="3"/>
        <v>1604989.5833333333</v>
      </c>
      <c r="F19" s="18">
        <f t="shared" si="0"/>
        <v>4814968.7499999991</v>
      </c>
      <c r="G19" s="19"/>
      <c r="I19" s="47"/>
      <c r="J19" s="47"/>
    </row>
    <row r="20" spans="1:10" s="23" customFormat="1" ht="31" customHeight="1" x14ac:dyDescent="0.35">
      <c r="A20" s="26"/>
      <c r="B20" s="15" t="s">
        <v>25</v>
      </c>
      <c r="C20" s="16">
        <f t="shared" si="1"/>
        <v>1596656.25</v>
      </c>
      <c r="D20" s="16">
        <f t="shared" si="2"/>
        <v>8333.3333333333339</v>
      </c>
      <c r="E20" s="17">
        <f t="shared" si="3"/>
        <v>1604989.5833333333</v>
      </c>
      <c r="F20" s="18">
        <f t="shared" si="0"/>
        <v>3209979.166666666</v>
      </c>
      <c r="G20" s="19"/>
      <c r="I20" s="47"/>
    </row>
    <row r="21" spans="1:10" s="23" customFormat="1" ht="31" customHeight="1" x14ac:dyDescent="0.35">
      <c r="A21" s="48"/>
      <c r="B21" s="15" t="s">
        <v>62</v>
      </c>
      <c r="C21" s="16">
        <f t="shared" si="1"/>
        <v>1596656.25</v>
      </c>
      <c r="D21" s="16">
        <f t="shared" si="2"/>
        <v>8333.3333333333339</v>
      </c>
      <c r="E21" s="17">
        <f t="shared" si="3"/>
        <v>1604989.5833333333</v>
      </c>
      <c r="F21" s="18">
        <f t="shared" si="0"/>
        <v>1604989.5833333328</v>
      </c>
      <c r="G21" s="19"/>
      <c r="I21" s="47"/>
    </row>
    <row r="22" spans="1:10" s="23" customFormat="1" ht="31" customHeight="1" x14ac:dyDescent="0.35">
      <c r="A22" s="48"/>
      <c r="B22" s="15" t="s">
        <v>61</v>
      </c>
      <c r="C22" s="16">
        <f t="shared" si="1"/>
        <v>1596656.25</v>
      </c>
      <c r="D22" s="16">
        <f t="shared" si="2"/>
        <v>8333.3333333333339</v>
      </c>
      <c r="E22" s="17">
        <f t="shared" si="3"/>
        <v>1604989.5833333333</v>
      </c>
      <c r="F22" s="18">
        <f t="shared" si="0"/>
        <v>0</v>
      </c>
      <c r="G22" s="19"/>
      <c r="I22" s="47"/>
    </row>
    <row r="23" spans="1:10" s="23" customFormat="1" ht="31" customHeight="1" x14ac:dyDescent="0.3">
      <c r="A23" s="76" t="s">
        <v>26</v>
      </c>
      <c r="B23" s="77"/>
      <c r="C23" s="28">
        <f>SUM(C11:C22)</f>
        <v>19159875</v>
      </c>
      <c r="D23" s="28">
        <f>SUM(D11:D22)</f>
        <v>99999.999999999985</v>
      </c>
      <c r="E23" s="28">
        <f>SUM(E11:E22)</f>
        <v>19259875</v>
      </c>
      <c r="F23" s="18"/>
      <c r="G23" s="19"/>
      <c r="H23" s="2"/>
      <c r="I23" s="46"/>
    </row>
    <row r="25" spans="1:10" ht="19.5" customHeight="1" x14ac:dyDescent="0.3">
      <c r="A25" s="29" t="s">
        <v>27</v>
      </c>
      <c r="B25" s="78" t="s">
        <v>28</v>
      </c>
      <c r="C25" s="78"/>
      <c r="D25" s="78"/>
      <c r="E25" s="78"/>
      <c r="F25" s="78"/>
    </row>
    <row r="26" spans="1:10" x14ac:dyDescent="0.3">
      <c r="B26" s="31" t="s">
        <v>29</v>
      </c>
      <c r="C26" s="32">
        <v>9000000</v>
      </c>
    </row>
    <row r="27" spans="1:10" ht="28" x14ac:dyDescent="0.3">
      <c r="B27" s="31" t="s">
        <v>30</v>
      </c>
      <c r="C27" s="33">
        <v>5000000</v>
      </c>
    </row>
    <row r="28" spans="1:10" x14ac:dyDescent="0.3">
      <c r="B28" s="34" t="s">
        <v>31</v>
      </c>
      <c r="C28" s="35">
        <f>C26+C27</f>
        <v>14000000</v>
      </c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F256-53D3-4CBE-9FA3-4673FD3BDF9A}">
  <dimension ref="A1:J19"/>
  <sheetViews>
    <sheetView view="pageBreakPreview" zoomScale="85" zoomScaleNormal="85" zoomScaleSheetLayoutView="85" workbookViewId="0">
      <selection activeCell="I8" sqref="I8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16.54296875" style="2" customWidth="1"/>
    <col min="9" max="9" width="12.90625" style="2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126</v>
      </c>
      <c r="B2" s="74"/>
      <c r="C2" s="74"/>
      <c r="D2" s="74"/>
      <c r="E2" s="74"/>
      <c r="F2" s="74"/>
      <c r="G2" s="74"/>
    </row>
    <row r="3" spans="1:10" x14ac:dyDescent="0.3">
      <c r="A3" s="74" t="s">
        <v>130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 t="s">
        <v>139</v>
      </c>
    </row>
    <row r="5" spans="1:10" x14ac:dyDescent="0.3">
      <c r="A5" s="3" t="s">
        <v>3</v>
      </c>
      <c r="B5" s="80" t="s">
        <v>93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2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</row>
    <row r="10" spans="1:10" ht="36.75" customHeight="1" x14ac:dyDescent="0.3">
      <c r="A10" s="36">
        <v>45898</v>
      </c>
      <c r="B10" s="10"/>
      <c r="C10" s="10"/>
      <c r="D10" s="10"/>
      <c r="E10" s="11"/>
      <c r="F10" s="12">
        <f>C14+D14</f>
        <v>7624666</v>
      </c>
      <c r="G10" s="13"/>
    </row>
    <row r="11" spans="1:10" s="23" customFormat="1" ht="31" customHeight="1" x14ac:dyDescent="0.35">
      <c r="A11" s="36">
        <v>45902</v>
      </c>
      <c r="B11" s="15" t="s">
        <v>16</v>
      </c>
      <c r="C11" s="16">
        <v>2508222</v>
      </c>
      <c r="D11" s="16">
        <f>100000/3</f>
        <v>33333.333333333336</v>
      </c>
      <c r="E11" s="17">
        <f>C11+D11</f>
        <v>2541555.3333333335</v>
      </c>
      <c r="F11" s="18">
        <f>F10-E11</f>
        <v>5083110.666666666</v>
      </c>
      <c r="G11" s="19"/>
      <c r="H11" s="23" t="s">
        <v>64</v>
      </c>
      <c r="I11" s="47">
        <v>100000</v>
      </c>
      <c r="J11" s="22"/>
    </row>
    <row r="12" spans="1:10" s="23" customFormat="1" ht="31" customHeight="1" x14ac:dyDescent="0.35">
      <c r="A12" s="36">
        <v>45938</v>
      </c>
      <c r="B12" s="15" t="s">
        <v>17</v>
      </c>
      <c r="C12" s="16">
        <v>2508222</v>
      </c>
      <c r="D12" s="16">
        <f t="shared" ref="D12:D13" si="0">100000/3</f>
        <v>33333.333333333336</v>
      </c>
      <c r="E12" s="17">
        <f>C12+D12</f>
        <v>2541555.3333333335</v>
      </c>
      <c r="F12" s="18">
        <f t="shared" ref="F12:F13" si="1">F11-E12</f>
        <v>2541555.3333333326</v>
      </c>
      <c r="G12" s="19"/>
      <c r="H12" s="23" t="s">
        <v>67</v>
      </c>
      <c r="I12" s="47">
        <v>7305500</v>
      </c>
    </row>
    <row r="13" spans="1:10" s="23" customFormat="1" ht="31" customHeight="1" x14ac:dyDescent="0.35">
      <c r="A13" s="36">
        <v>45964</v>
      </c>
      <c r="B13" s="15" t="s">
        <v>18</v>
      </c>
      <c r="C13" s="16">
        <v>2508222</v>
      </c>
      <c r="D13" s="16">
        <f t="shared" si="0"/>
        <v>33333.333333333336</v>
      </c>
      <c r="E13" s="17">
        <f>C13+D13</f>
        <v>2541555.3333333335</v>
      </c>
      <c r="F13" s="18">
        <f t="shared" si="1"/>
        <v>0</v>
      </c>
      <c r="G13" s="19"/>
      <c r="H13" s="23" t="s">
        <v>131</v>
      </c>
      <c r="I13" s="47">
        <f>I12*3%</f>
        <v>219165</v>
      </c>
      <c r="J13" s="57"/>
    </row>
    <row r="14" spans="1:10" s="23" customFormat="1" ht="31" customHeight="1" x14ac:dyDescent="0.35">
      <c r="A14" s="76" t="s">
        <v>26</v>
      </c>
      <c r="B14" s="77"/>
      <c r="C14" s="28">
        <f>SUM(C11:C13)</f>
        <v>7524666</v>
      </c>
      <c r="D14" s="28">
        <f>SUM(D11:D13)</f>
        <v>100000</v>
      </c>
      <c r="E14" s="28">
        <f>SUM(E11:E13)</f>
        <v>7624666</v>
      </c>
      <c r="F14" s="18"/>
      <c r="G14" s="19"/>
      <c r="H14" s="23" t="s">
        <v>65</v>
      </c>
      <c r="I14" s="47">
        <f>I13+I12</f>
        <v>7524665</v>
      </c>
      <c r="J14" s="49">
        <f>I14/3</f>
        <v>2508221.6666666665</v>
      </c>
    </row>
    <row r="16" spans="1:10" ht="19.5" customHeight="1" x14ac:dyDescent="0.3">
      <c r="A16" s="29"/>
      <c r="B16" s="78"/>
      <c r="C16" s="78"/>
      <c r="D16" s="78"/>
      <c r="E16" s="78"/>
      <c r="F16" s="78"/>
    </row>
    <row r="17" spans="2:3" x14ac:dyDescent="0.3">
      <c r="B17" s="31"/>
      <c r="C17" s="32"/>
    </row>
    <row r="18" spans="2:3" x14ac:dyDescent="0.3">
      <c r="B18" s="31"/>
      <c r="C18" s="33"/>
    </row>
    <row r="19" spans="2:3" x14ac:dyDescent="0.3">
      <c r="B19" s="34"/>
      <c r="C19" s="35"/>
    </row>
  </sheetData>
  <mergeCells count="13">
    <mergeCell ref="E7:E8"/>
    <mergeCell ref="A14:B14"/>
    <mergeCell ref="B16:F16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AB17-F7B5-497F-A6B7-B7D151B1289B}">
  <sheetPr>
    <tabColor theme="1"/>
  </sheetPr>
  <dimension ref="A1:J28"/>
  <sheetViews>
    <sheetView view="pageBreakPreview" zoomScale="85" zoomScaleNormal="85" zoomScaleSheetLayoutView="85" workbookViewId="0">
      <selection activeCell="I23" sqref="I23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117</v>
      </c>
      <c r="B2" s="74"/>
      <c r="C2" s="74"/>
      <c r="D2" s="74"/>
      <c r="E2" s="74"/>
      <c r="F2" s="74"/>
      <c r="G2" s="74"/>
    </row>
    <row r="3" spans="1:10" x14ac:dyDescent="0.3">
      <c r="A3" s="74" t="s">
        <v>132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133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9"/>
      <c r="B10" s="10"/>
      <c r="C10" s="10"/>
      <c r="D10" s="10"/>
      <c r="E10" s="11"/>
      <c r="F10" s="12">
        <f>C23+D23</f>
        <v>4200000</v>
      </c>
      <c r="G10" s="13"/>
      <c r="I10" s="51"/>
    </row>
    <row r="11" spans="1:10" s="23" customFormat="1" ht="31" customHeight="1" x14ac:dyDescent="0.35">
      <c r="A11" s="14"/>
      <c r="B11" s="15" t="s">
        <v>16</v>
      </c>
      <c r="C11" s="16">
        <v>830000</v>
      </c>
      <c r="D11" s="16">
        <f>50000/5</f>
        <v>10000</v>
      </c>
      <c r="E11" s="17">
        <f t="shared" ref="E11:E22" si="0">C11+D11</f>
        <v>840000</v>
      </c>
      <c r="F11" s="18">
        <f t="shared" ref="F11:F22" si="1">F10-E11</f>
        <v>3360000</v>
      </c>
      <c r="G11" s="19"/>
      <c r="H11" s="20"/>
      <c r="I11" s="50"/>
      <c r="J11" s="22"/>
    </row>
    <row r="12" spans="1:10" s="23" customFormat="1" ht="31" customHeight="1" x14ac:dyDescent="0.35">
      <c r="A12" s="24"/>
      <c r="B12" s="15" t="s">
        <v>17</v>
      </c>
      <c r="C12" s="16">
        <v>830000</v>
      </c>
      <c r="D12" s="16">
        <f t="shared" ref="D12:D15" si="2">50000/5</f>
        <v>10000</v>
      </c>
      <c r="E12" s="17">
        <f t="shared" si="0"/>
        <v>840000</v>
      </c>
      <c r="F12" s="18">
        <f t="shared" si="1"/>
        <v>2520000</v>
      </c>
      <c r="G12" s="19"/>
      <c r="I12" s="47">
        <v>50000</v>
      </c>
    </row>
    <row r="13" spans="1:10" s="23" customFormat="1" ht="31" customHeight="1" x14ac:dyDescent="0.35">
      <c r="A13" s="24"/>
      <c r="B13" s="15" t="s">
        <v>18</v>
      </c>
      <c r="C13" s="16">
        <v>830000</v>
      </c>
      <c r="D13" s="16">
        <f t="shared" si="2"/>
        <v>10000</v>
      </c>
      <c r="E13" s="17">
        <f t="shared" si="0"/>
        <v>840000</v>
      </c>
      <c r="F13" s="18">
        <f t="shared" si="1"/>
        <v>1680000</v>
      </c>
      <c r="G13" s="19"/>
      <c r="I13" s="47">
        <v>4200000</v>
      </c>
    </row>
    <row r="14" spans="1:10" s="23" customFormat="1" ht="31" customHeight="1" x14ac:dyDescent="0.35">
      <c r="A14" s="25"/>
      <c r="B14" s="15" t="s">
        <v>19</v>
      </c>
      <c r="C14" s="16">
        <v>830000</v>
      </c>
      <c r="D14" s="16">
        <f t="shared" si="2"/>
        <v>10000</v>
      </c>
      <c r="E14" s="17">
        <f t="shared" si="0"/>
        <v>840000</v>
      </c>
      <c r="F14" s="18">
        <f t="shared" si="1"/>
        <v>840000</v>
      </c>
      <c r="G14" s="19"/>
      <c r="I14" s="47">
        <f>I13-I12</f>
        <v>4150000</v>
      </c>
      <c r="J14" s="49">
        <f>I14/5</f>
        <v>830000</v>
      </c>
    </row>
    <row r="15" spans="1:10" s="23" customFormat="1" ht="31" customHeight="1" x14ac:dyDescent="0.35">
      <c r="A15" s="26"/>
      <c r="B15" s="15" t="s">
        <v>20</v>
      </c>
      <c r="C15" s="16">
        <v>830000</v>
      </c>
      <c r="D15" s="16">
        <f t="shared" si="2"/>
        <v>10000</v>
      </c>
      <c r="E15" s="17">
        <f t="shared" si="0"/>
        <v>840000</v>
      </c>
      <c r="F15" s="18">
        <f t="shared" si="1"/>
        <v>0</v>
      </c>
      <c r="G15" s="19"/>
      <c r="H15" s="23" t="s">
        <v>138</v>
      </c>
      <c r="I15" s="47">
        <v>3059150</v>
      </c>
      <c r="J15" s="49"/>
    </row>
    <row r="16" spans="1:10" s="23" customFormat="1" ht="31" hidden="1" customHeight="1" x14ac:dyDescent="0.35">
      <c r="A16" s="27"/>
      <c r="B16" s="15"/>
      <c r="C16" s="16"/>
      <c r="D16" s="16"/>
      <c r="E16" s="17">
        <f t="shared" si="0"/>
        <v>0</v>
      </c>
      <c r="F16" s="18">
        <f t="shared" si="1"/>
        <v>0</v>
      </c>
      <c r="G16" s="19"/>
    </row>
    <row r="17" spans="1:10" s="23" customFormat="1" ht="31" hidden="1" customHeight="1" x14ac:dyDescent="0.35">
      <c r="A17" s="27"/>
      <c r="B17" s="15"/>
      <c r="C17" s="16"/>
      <c r="D17" s="16"/>
      <c r="E17" s="17">
        <f t="shared" si="0"/>
        <v>0</v>
      </c>
      <c r="F17" s="18">
        <f t="shared" si="1"/>
        <v>0</v>
      </c>
      <c r="G17" s="19"/>
      <c r="I17" s="47"/>
    </row>
    <row r="18" spans="1:10" s="23" customFormat="1" ht="31" hidden="1" customHeight="1" x14ac:dyDescent="0.35">
      <c r="A18" s="27"/>
      <c r="B18" s="15"/>
      <c r="C18" s="16"/>
      <c r="D18" s="16"/>
      <c r="E18" s="17">
        <f t="shared" si="0"/>
        <v>0</v>
      </c>
      <c r="F18" s="18">
        <f t="shared" si="1"/>
        <v>0</v>
      </c>
      <c r="G18" s="19"/>
      <c r="I18" s="47"/>
    </row>
    <row r="19" spans="1:10" s="23" customFormat="1" ht="31" hidden="1" customHeight="1" x14ac:dyDescent="0.35">
      <c r="A19" s="26"/>
      <c r="B19" s="15"/>
      <c r="C19" s="16"/>
      <c r="D19" s="16"/>
      <c r="E19" s="17">
        <f t="shared" si="0"/>
        <v>0</v>
      </c>
      <c r="F19" s="18">
        <f t="shared" si="1"/>
        <v>0</v>
      </c>
      <c r="G19" s="19"/>
      <c r="I19" s="47"/>
    </row>
    <row r="20" spans="1:10" s="23" customFormat="1" ht="31" hidden="1" customHeight="1" x14ac:dyDescent="0.35">
      <c r="A20" s="26"/>
      <c r="B20" s="15"/>
      <c r="C20" s="16"/>
      <c r="D20" s="16"/>
      <c r="E20" s="17">
        <f t="shared" si="0"/>
        <v>0</v>
      </c>
      <c r="F20" s="18">
        <f t="shared" si="1"/>
        <v>0</v>
      </c>
      <c r="G20" s="19"/>
      <c r="I20" s="47"/>
    </row>
    <row r="21" spans="1:10" s="23" customFormat="1" ht="31" hidden="1" customHeight="1" x14ac:dyDescent="0.35">
      <c r="A21" s="48"/>
      <c r="B21" s="15"/>
      <c r="C21" s="16"/>
      <c r="D21" s="16"/>
      <c r="E21" s="17">
        <f t="shared" si="0"/>
        <v>0</v>
      </c>
      <c r="F21" s="18">
        <f t="shared" si="1"/>
        <v>0</v>
      </c>
      <c r="G21" s="19"/>
      <c r="I21" s="47"/>
    </row>
    <row r="22" spans="1:10" s="23" customFormat="1" ht="31" hidden="1" customHeight="1" x14ac:dyDescent="0.35">
      <c r="A22" s="48"/>
      <c r="B22" s="15"/>
      <c r="C22" s="16"/>
      <c r="D22" s="16"/>
      <c r="E22" s="17">
        <f t="shared" si="0"/>
        <v>0</v>
      </c>
      <c r="F22" s="18">
        <f t="shared" si="1"/>
        <v>0</v>
      </c>
      <c r="G22" s="19"/>
      <c r="I22" s="47"/>
    </row>
    <row r="23" spans="1:10" s="23" customFormat="1" ht="31" customHeight="1" x14ac:dyDescent="0.3">
      <c r="A23" s="76" t="s">
        <v>26</v>
      </c>
      <c r="B23" s="77"/>
      <c r="C23" s="28">
        <f>SUM(C11:C22)</f>
        <v>4150000</v>
      </c>
      <c r="D23" s="28">
        <f>SUM(D11:D22)</f>
        <v>50000</v>
      </c>
      <c r="E23" s="28">
        <f>SUM(E11:E22)</f>
        <v>4200000</v>
      </c>
      <c r="F23" s="18"/>
      <c r="G23" s="19"/>
      <c r="H23" s="2"/>
      <c r="I23" s="46">
        <f>I15*35.7%</f>
        <v>1092116.55</v>
      </c>
      <c r="J23" s="49">
        <f>I15+I23</f>
        <v>4151266.55</v>
      </c>
    </row>
    <row r="25" spans="1:10" ht="19.5" customHeight="1" x14ac:dyDescent="0.3">
      <c r="A25" s="29"/>
      <c r="B25" s="78"/>
      <c r="C25" s="78"/>
      <c r="D25" s="78"/>
      <c r="E25" s="78"/>
      <c r="F25" s="78"/>
    </row>
    <row r="26" spans="1:10" x14ac:dyDescent="0.3">
      <c r="B26" s="31"/>
      <c r="C26" s="32"/>
    </row>
    <row r="27" spans="1:10" x14ac:dyDescent="0.3">
      <c r="B27" s="31"/>
      <c r="C27" s="33"/>
    </row>
    <row r="28" spans="1:10" x14ac:dyDescent="0.3">
      <c r="B28" s="34"/>
      <c r="C28" s="35"/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0E95-5F73-4357-B665-1B6F87760C8F}">
  <sheetPr>
    <tabColor theme="1"/>
  </sheetPr>
  <dimension ref="A1:J28"/>
  <sheetViews>
    <sheetView view="pageBreakPreview" topLeftCell="A13" zoomScale="85" zoomScaleNormal="85" zoomScaleSheetLayoutView="85" workbookViewId="0">
      <selection activeCell="F10" sqref="F10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6384" width="9.1796875" style="2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</row>
    <row r="2" spans="1:10" x14ac:dyDescent="0.3">
      <c r="A2" s="74" t="s">
        <v>117</v>
      </c>
      <c r="B2" s="74"/>
      <c r="C2" s="74"/>
      <c r="D2" s="74"/>
      <c r="E2" s="74"/>
      <c r="F2" s="74"/>
      <c r="G2" s="74"/>
    </row>
    <row r="3" spans="1:10" x14ac:dyDescent="0.3">
      <c r="A3" s="74" t="s">
        <v>134</v>
      </c>
      <c r="B3" s="74"/>
      <c r="C3" s="74"/>
      <c r="D3" s="74"/>
      <c r="E3" s="74"/>
      <c r="F3" s="74"/>
      <c r="G3" s="74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3" t="s">
        <v>3</v>
      </c>
      <c r="B5" s="80" t="s">
        <v>133</v>
      </c>
      <c r="C5" s="80"/>
      <c r="D5" s="80"/>
      <c r="E5" s="80"/>
      <c r="F5" s="80"/>
    </row>
    <row r="6" spans="1:10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0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0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0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0" ht="36.75" customHeight="1" x14ac:dyDescent="0.3">
      <c r="A10" s="9"/>
      <c r="B10" s="10"/>
      <c r="C10" s="10"/>
      <c r="D10" s="10"/>
      <c r="E10" s="11"/>
      <c r="F10" s="12">
        <f>C23+D23</f>
        <v>6787499.9999999991</v>
      </c>
      <c r="G10" s="13"/>
      <c r="I10" s="51"/>
    </row>
    <row r="11" spans="1:10" s="23" customFormat="1" ht="31" customHeight="1" x14ac:dyDescent="0.35">
      <c r="A11" s="14"/>
      <c r="B11" s="15" t="s">
        <v>16</v>
      </c>
      <c r="C11" s="16">
        <f>$J$15</f>
        <v>1114583.3333333333</v>
      </c>
      <c r="D11" s="16">
        <f>100000/6</f>
        <v>16666.666666666668</v>
      </c>
      <c r="E11" s="17">
        <f t="shared" ref="E11:E22" si="0">C11+D11</f>
        <v>1131250</v>
      </c>
      <c r="F11" s="18">
        <f t="shared" ref="F11:F22" si="1">F10-E11</f>
        <v>5656249.9999999991</v>
      </c>
      <c r="G11" s="19"/>
      <c r="H11" s="20"/>
      <c r="I11" s="50"/>
      <c r="J11" s="22"/>
    </row>
    <row r="12" spans="1:10" s="23" customFormat="1" ht="31" customHeight="1" x14ac:dyDescent="0.35">
      <c r="A12" s="24"/>
      <c r="B12" s="15" t="s">
        <v>17</v>
      </c>
      <c r="C12" s="16">
        <f t="shared" ref="C12:C16" si="2">$J$15</f>
        <v>1114583.3333333333</v>
      </c>
      <c r="D12" s="16">
        <f t="shared" ref="D12:D16" si="3">100000/6</f>
        <v>16666.666666666668</v>
      </c>
      <c r="E12" s="17">
        <f t="shared" si="0"/>
        <v>1131250</v>
      </c>
      <c r="F12" s="18">
        <f t="shared" si="1"/>
        <v>4524999.9999999991</v>
      </c>
      <c r="G12" s="19"/>
      <c r="H12" s="23" t="s">
        <v>64</v>
      </c>
      <c r="I12" s="47">
        <v>100000</v>
      </c>
      <c r="J12" s="23" t="s">
        <v>137</v>
      </c>
    </row>
    <row r="13" spans="1:10" s="23" customFormat="1" ht="31" customHeight="1" x14ac:dyDescent="0.35">
      <c r="A13" s="24"/>
      <c r="B13" s="15" t="s">
        <v>18</v>
      </c>
      <c r="C13" s="16">
        <f t="shared" si="2"/>
        <v>1114583.3333333333</v>
      </c>
      <c r="D13" s="16">
        <f t="shared" si="3"/>
        <v>16666.666666666668</v>
      </c>
      <c r="E13" s="17">
        <f t="shared" si="0"/>
        <v>1131250</v>
      </c>
      <c r="F13" s="18">
        <f t="shared" si="1"/>
        <v>3393749.9999999991</v>
      </c>
      <c r="G13" s="19"/>
      <c r="H13" s="23" t="s">
        <v>67</v>
      </c>
      <c r="I13" s="47">
        <v>6250000</v>
      </c>
    </row>
    <row r="14" spans="1:10" s="23" customFormat="1" ht="31" customHeight="1" x14ac:dyDescent="0.35">
      <c r="A14" s="25"/>
      <c r="B14" s="15" t="s">
        <v>19</v>
      </c>
      <c r="C14" s="16">
        <f t="shared" si="2"/>
        <v>1114583.3333333333</v>
      </c>
      <c r="D14" s="16">
        <f t="shared" si="3"/>
        <v>16666.666666666668</v>
      </c>
      <c r="E14" s="17">
        <f t="shared" si="0"/>
        <v>1131250</v>
      </c>
      <c r="F14" s="18">
        <f t="shared" si="1"/>
        <v>2262499.9999999991</v>
      </c>
      <c r="G14" s="19"/>
      <c r="H14" s="23" t="s">
        <v>135</v>
      </c>
      <c r="I14" s="47">
        <f>I13*7%</f>
        <v>437500.00000000006</v>
      </c>
    </row>
    <row r="15" spans="1:10" s="23" customFormat="1" ht="31" customHeight="1" x14ac:dyDescent="0.35">
      <c r="A15" s="26"/>
      <c r="B15" s="15" t="s">
        <v>20</v>
      </c>
      <c r="C15" s="16">
        <f t="shared" si="2"/>
        <v>1114583.3333333333</v>
      </c>
      <c r="D15" s="16">
        <f t="shared" si="3"/>
        <v>16666.666666666668</v>
      </c>
      <c r="E15" s="17">
        <f t="shared" si="0"/>
        <v>1131250</v>
      </c>
      <c r="F15" s="18">
        <f t="shared" si="1"/>
        <v>1131249.9999999991</v>
      </c>
      <c r="G15" s="19"/>
      <c r="H15" s="23" t="s">
        <v>136</v>
      </c>
      <c r="I15" s="47">
        <f>I13+I14</f>
        <v>6687500</v>
      </c>
      <c r="J15" s="49">
        <f>I15/6</f>
        <v>1114583.3333333333</v>
      </c>
    </row>
    <row r="16" spans="1:10" s="23" customFormat="1" ht="31" customHeight="1" x14ac:dyDescent="0.3">
      <c r="A16" s="27"/>
      <c r="B16" s="15" t="s">
        <v>21</v>
      </c>
      <c r="C16" s="16">
        <f t="shared" si="2"/>
        <v>1114583.3333333333</v>
      </c>
      <c r="D16" s="16">
        <f t="shared" si="3"/>
        <v>16666.666666666668</v>
      </c>
      <c r="E16" s="17">
        <f t="shared" si="0"/>
        <v>1131250</v>
      </c>
      <c r="F16" s="18">
        <f t="shared" si="1"/>
        <v>0</v>
      </c>
      <c r="G16" s="19"/>
      <c r="H16" s="2" t="s">
        <v>65</v>
      </c>
      <c r="I16" s="46">
        <f>I15+I12</f>
        <v>6787500</v>
      </c>
    </row>
    <row r="17" spans="1:9" s="23" customFormat="1" ht="31" hidden="1" customHeight="1" x14ac:dyDescent="0.35">
      <c r="A17" s="27"/>
      <c r="B17" s="15"/>
      <c r="C17" s="16"/>
      <c r="D17" s="16"/>
      <c r="E17" s="17">
        <f t="shared" si="0"/>
        <v>0</v>
      </c>
      <c r="F17" s="18">
        <f t="shared" si="1"/>
        <v>0</v>
      </c>
      <c r="G17" s="19"/>
      <c r="I17" s="47"/>
    </row>
    <row r="18" spans="1:9" s="23" customFormat="1" ht="31" hidden="1" customHeight="1" x14ac:dyDescent="0.35">
      <c r="A18" s="27"/>
      <c r="B18" s="15"/>
      <c r="C18" s="16"/>
      <c r="D18" s="16"/>
      <c r="E18" s="17">
        <f t="shared" si="0"/>
        <v>0</v>
      </c>
      <c r="F18" s="18">
        <f t="shared" si="1"/>
        <v>0</v>
      </c>
      <c r="G18" s="19"/>
      <c r="I18" s="47"/>
    </row>
    <row r="19" spans="1:9" s="23" customFormat="1" ht="31" hidden="1" customHeight="1" x14ac:dyDescent="0.35">
      <c r="A19" s="26"/>
      <c r="B19" s="15"/>
      <c r="C19" s="16"/>
      <c r="D19" s="16"/>
      <c r="E19" s="17">
        <f t="shared" si="0"/>
        <v>0</v>
      </c>
      <c r="F19" s="18">
        <f t="shared" si="1"/>
        <v>0</v>
      </c>
      <c r="G19" s="19"/>
      <c r="I19" s="47"/>
    </row>
    <row r="20" spans="1:9" s="23" customFormat="1" ht="31" hidden="1" customHeight="1" x14ac:dyDescent="0.35">
      <c r="A20" s="26"/>
      <c r="B20" s="15"/>
      <c r="C20" s="16"/>
      <c r="D20" s="16"/>
      <c r="E20" s="17">
        <f t="shared" si="0"/>
        <v>0</v>
      </c>
      <c r="F20" s="18">
        <f t="shared" si="1"/>
        <v>0</v>
      </c>
      <c r="G20" s="19"/>
      <c r="I20" s="47"/>
    </row>
    <row r="21" spans="1:9" s="23" customFormat="1" ht="31" hidden="1" customHeight="1" x14ac:dyDescent="0.35">
      <c r="A21" s="48"/>
      <c r="B21" s="15"/>
      <c r="C21" s="16"/>
      <c r="D21" s="16"/>
      <c r="E21" s="17">
        <f t="shared" si="0"/>
        <v>0</v>
      </c>
      <c r="F21" s="18">
        <f t="shared" si="1"/>
        <v>0</v>
      </c>
      <c r="G21" s="19"/>
      <c r="I21" s="47"/>
    </row>
    <row r="22" spans="1:9" s="23" customFormat="1" ht="31" hidden="1" customHeight="1" x14ac:dyDescent="0.35">
      <c r="A22" s="48"/>
      <c r="B22" s="15"/>
      <c r="C22" s="16"/>
      <c r="D22" s="16"/>
      <c r="E22" s="17">
        <f t="shared" si="0"/>
        <v>0</v>
      </c>
      <c r="F22" s="18">
        <f t="shared" si="1"/>
        <v>0</v>
      </c>
      <c r="G22" s="19"/>
      <c r="I22" s="47"/>
    </row>
    <row r="23" spans="1:9" s="23" customFormat="1" ht="31" customHeight="1" x14ac:dyDescent="0.35">
      <c r="A23" s="76" t="s">
        <v>26</v>
      </c>
      <c r="B23" s="77"/>
      <c r="C23" s="28">
        <f>SUM(C11:C22)</f>
        <v>6687499.9999999991</v>
      </c>
      <c r="D23" s="28">
        <f>SUM(D11:D22)</f>
        <v>100000.00000000001</v>
      </c>
      <c r="E23" s="28">
        <f>SUM(E11:E22)</f>
        <v>6787500</v>
      </c>
      <c r="F23" s="18"/>
      <c r="G23" s="19"/>
    </row>
    <row r="25" spans="1:9" ht="19.5" customHeight="1" x14ac:dyDescent="0.3">
      <c r="A25" s="29"/>
      <c r="B25" s="78"/>
      <c r="C25" s="78"/>
      <c r="D25" s="78"/>
      <c r="E25" s="78"/>
      <c r="F25" s="78"/>
    </row>
    <row r="26" spans="1:9" x14ac:dyDescent="0.3">
      <c r="B26" s="31"/>
      <c r="C26" s="32"/>
    </row>
    <row r="27" spans="1:9" x14ac:dyDescent="0.3">
      <c r="B27" s="31"/>
      <c r="C27" s="33"/>
    </row>
    <row r="28" spans="1:9" x14ac:dyDescent="0.3">
      <c r="B28" s="34"/>
      <c r="C28" s="35"/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8FEE-BB1E-4098-B66A-815BE8A38A3F}">
  <sheetPr>
    <tabColor theme="1"/>
  </sheetPr>
  <dimension ref="A1:M28"/>
  <sheetViews>
    <sheetView view="pageBreakPreview" topLeftCell="A19" zoomScale="115" zoomScaleNormal="85" zoomScaleSheetLayoutView="115" workbookViewId="0">
      <selection activeCell="D11" sqref="D11:D2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2" width="9.1796875" style="2"/>
    <col min="13" max="13" width="11.453125" style="2" bestFit="1" customWidth="1"/>
    <col min="14" max="16384" width="9.1796875" style="2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</row>
    <row r="2" spans="1:13" x14ac:dyDescent="0.3">
      <c r="A2" s="74" t="s">
        <v>99</v>
      </c>
      <c r="B2" s="74"/>
      <c r="C2" s="74"/>
      <c r="D2" s="74"/>
      <c r="E2" s="74"/>
      <c r="F2" s="74"/>
      <c r="G2" s="74"/>
    </row>
    <row r="3" spans="1:13" x14ac:dyDescent="0.3">
      <c r="A3" s="74" t="s">
        <v>141</v>
      </c>
      <c r="B3" s="74"/>
      <c r="C3" s="74"/>
      <c r="D3" s="74"/>
      <c r="E3" s="74"/>
      <c r="F3" s="74"/>
      <c r="G3" s="74"/>
    </row>
    <row r="4" spans="1:13" x14ac:dyDescent="0.3">
      <c r="A4" s="1"/>
      <c r="B4" s="1"/>
      <c r="C4" s="1"/>
      <c r="D4" s="1"/>
      <c r="E4" s="1"/>
      <c r="F4" s="1"/>
    </row>
    <row r="5" spans="1:13" x14ac:dyDescent="0.3">
      <c r="A5" s="3" t="s">
        <v>3</v>
      </c>
      <c r="B5" s="80" t="s">
        <v>140</v>
      </c>
      <c r="C5" s="80"/>
      <c r="D5" s="80"/>
      <c r="E5" s="80"/>
      <c r="F5" s="80"/>
    </row>
    <row r="6" spans="1:13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3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3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3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3" ht="36.75" customHeight="1" x14ac:dyDescent="0.3">
      <c r="A10" s="67">
        <v>45894</v>
      </c>
      <c r="B10" s="10"/>
      <c r="C10" s="10"/>
      <c r="D10" s="10"/>
      <c r="E10" s="11"/>
      <c r="F10" s="12">
        <v>10923852</v>
      </c>
      <c r="G10" s="13"/>
      <c r="H10" s="65">
        <f>F10-D11</f>
        <v>10915518.666666666</v>
      </c>
      <c r="I10" s="51"/>
    </row>
    <row r="11" spans="1:13" s="23" customFormat="1" ht="31" customHeight="1" x14ac:dyDescent="0.35">
      <c r="A11" s="14"/>
      <c r="B11" s="15" t="s">
        <v>16</v>
      </c>
      <c r="C11" s="16">
        <v>901988</v>
      </c>
      <c r="D11" s="16">
        <f t="shared" ref="D11:D22" si="0">100000/12</f>
        <v>8333.3333333333339</v>
      </c>
      <c r="E11" s="17">
        <f>C11+D11</f>
        <v>910321.33333333337</v>
      </c>
      <c r="F11" s="18">
        <f>F10-E11</f>
        <v>10013530.666666666</v>
      </c>
      <c r="G11" s="19"/>
      <c r="H11" s="23" t="s">
        <v>64</v>
      </c>
      <c r="I11" s="47">
        <v>100000</v>
      </c>
      <c r="J11" s="23" t="s">
        <v>142</v>
      </c>
    </row>
    <row r="12" spans="1:13" s="23" customFormat="1" ht="31" customHeight="1" x14ac:dyDescent="0.35">
      <c r="A12" s="24"/>
      <c r="B12" s="15" t="s">
        <v>17</v>
      </c>
      <c r="C12" s="16">
        <v>901988</v>
      </c>
      <c r="D12" s="16">
        <f t="shared" si="0"/>
        <v>8333.3333333333339</v>
      </c>
      <c r="E12" s="17">
        <f t="shared" ref="E12:E22" si="1">C12+D12</f>
        <v>910321.33333333337</v>
      </c>
      <c r="F12" s="18">
        <f t="shared" ref="F12:F22" si="2">F11-E12</f>
        <v>9103209.3333333321</v>
      </c>
      <c r="G12" s="19"/>
      <c r="H12" s="23" t="s">
        <v>67</v>
      </c>
      <c r="I12" s="47">
        <v>8987160</v>
      </c>
    </row>
    <row r="13" spans="1:13" s="23" customFormat="1" ht="31" customHeight="1" x14ac:dyDescent="0.35">
      <c r="A13" s="24"/>
      <c r="B13" s="15" t="s">
        <v>18</v>
      </c>
      <c r="C13" s="16">
        <v>901988</v>
      </c>
      <c r="D13" s="16">
        <f t="shared" si="0"/>
        <v>8333.3333333333339</v>
      </c>
      <c r="E13" s="17">
        <f t="shared" si="1"/>
        <v>910321.33333333337</v>
      </c>
      <c r="F13" s="18">
        <f t="shared" si="2"/>
        <v>8192887.9999999991</v>
      </c>
      <c r="G13" s="19"/>
      <c r="H13" s="23" t="s">
        <v>143</v>
      </c>
      <c r="I13" s="47">
        <f>I12*20.4%</f>
        <v>1833380.64</v>
      </c>
    </row>
    <row r="14" spans="1:13" s="23" customFormat="1" ht="31" customHeight="1" x14ac:dyDescent="0.35">
      <c r="A14" s="25"/>
      <c r="B14" s="15" t="s">
        <v>19</v>
      </c>
      <c r="C14" s="16">
        <v>901988</v>
      </c>
      <c r="D14" s="16">
        <f t="shared" si="0"/>
        <v>8333.3333333333339</v>
      </c>
      <c r="E14" s="17">
        <f t="shared" si="1"/>
        <v>910321.33333333337</v>
      </c>
      <c r="F14" s="18">
        <f t="shared" si="2"/>
        <v>7282566.666666666</v>
      </c>
      <c r="G14" s="19"/>
      <c r="H14" s="23" t="s">
        <v>136</v>
      </c>
      <c r="I14" s="47">
        <f>I12+I13</f>
        <v>10820540.640000001</v>
      </c>
      <c r="J14" s="49">
        <f>I14/12</f>
        <v>901711.72000000009</v>
      </c>
      <c r="M14" s="49">
        <f>I14-I12</f>
        <v>1833380.6400000006</v>
      </c>
    </row>
    <row r="15" spans="1:13" s="23" customFormat="1" ht="31" customHeight="1" x14ac:dyDescent="0.3">
      <c r="A15" s="26"/>
      <c r="B15" s="15" t="s">
        <v>20</v>
      </c>
      <c r="C15" s="16">
        <v>901988</v>
      </c>
      <c r="D15" s="16">
        <f t="shared" si="0"/>
        <v>8333.3333333333339</v>
      </c>
      <c r="E15" s="17">
        <f t="shared" si="1"/>
        <v>910321.33333333337</v>
      </c>
      <c r="F15" s="18">
        <f t="shared" si="2"/>
        <v>6372245.333333333</v>
      </c>
      <c r="G15" s="19"/>
      <c r="H15" s="2" t="s">
        <v>65</v>
      </c>
      <c r="I15" s="46">
        <f>I14+I11</f>
        <v>10920540.640000001</v>
      </c>
    </row>
    <row r="16" spans="1:13" s="23" customFormat="1" ht="31" customHeight="1" x14ac:dyDescent="0.35">
      <c r="A16" s="27"/>
      <c r="B16" s="15" t="s">
        <v>21</v>
      </c>
      <c r="C16" s="16">
        <v>901988</v>
      </c>
      <c r="D16" s="16">
        <f t="shared" si="0"/>
        <v>8333.3333333333339</v>
      </c>
      <c r="E16" s="17">
        <f t="shared" si="1"/>
        <v>910321.33333333337</v>
      </c>
      <c r="F16" s="18">
        <f t="shared" si="2"/>
        <v>5461924</v>
      </c>
      <c r="G16" s="19"/>
      <c r="I16" s="47">
        <f>I15/12</f>
        <v>910045.05333333334</v>
      </c>
      <c r="L16" s="23">
        <v>910321</v>
      </c>
      <c r="M16" s="23">
        <f>L16*12</f>
        <v>10923852</v>
      </c>
    </row>
    <row r="17" spans="1:13" s="23" customFormat="1" ht="31" customHeight="1" x14ac:dyDescent="0.35">
      <c r="A17" s="27"/>
      <c r="B17" s="15" t="s">
        <v>22</v>
      </c>
      <c r="C17" s="16">
        <v>901988</v>
      </c>
      <c r="D17" s="16">
        <f t="shared" si="0"/>
        <v>8333.3333333333339</v>
      </c>
      <c r="E17" s="17">
        <f t="shared" si="1"/>
        <v>910321.33333333337</v>
      </c>
      <c r="F17" s="18">
        <f t="shared" si="2"/>
        <v>4551602.666666667</v>
      </c>
      <c r="G17" s="19"/>
      <c r="I17" s="47"/>
      <c r="M17" s="23">
        <f>M16/100</f>
        <v>109238.52</v>
      </c>
    </row>
    <row r="18" spans="1:13" s="23" customFormat="1" ht="31" customHeight="1" x14ac:dyDescent="0.35">
      <c r="A18" s="27"/>
      <c r="B18" s="15" t="s">
        <v>23</v>
      </c>
      <c r="C18" s="16">
        <v>901988</v>
      </c>
      <c r="D18" s="16">
        <f t="shared" si="0"/>
        <v>8333.3333333333339</v>
      </c>
      <c r="E18" s="17">
        <f t="shared" si="1"/>
        <v>910321.33333333337</v>
      </c>
      <c r="F18" s="18">
        <f t="shared" si="2"/>
        <v>3641281.3333333335</v>
      </c>
      <c r="G18" s="19"/>
      <c r="I18" s="47"/>
      <c r="L18" s="23">
        <f>L16-8333</f>
        <v>901988</v>
      </c>
    </row>
    <row r="19" spans="1:13" s="23" customFormat="1" ht="31" customHeight="1" x14ac:dyDescent="0.35">
      <c r="A19" s="26"/>
      <c r="B19" s="15" t="s">
        <v>24</v>
      </c>
      <c r="C19" s="16">
        <v>901988</v>
      </c>
      <c r="D19" s="16">
        <f t="shared" si="0"/>
        <v>8333.3333333333339</v>
      </c>
      <c r="E19" s="17">
        <f t="shared" si="1"/>
        <v>910321.33333333337</v>
      </c>
      <c r="F19" s="18">
        <f t="shared" si="2"/>
        <v>2730960</v>
      </c>
      <c r="G19" s="19"/>
      <c r="I19" s="47"/>
      <c r="J19" s="47"/>
    </row>
    <row r="20" spans="1:13" s="23" customFormat="1" ht="31" customHeight="1" x14ac:dyDescent="0.35">
      <c r="A20" s="26"/>
      <c r="B20" s="15" t="s">
        <v>25</v>
      </c>
      <c r="C20" s="16">
        <v>901988</v>
      </c>
      <c r="D20" s="16">
        <f t="shared" si="0"/>
        <v>8333.3333333333339</v>
      </c>
      <c r="E20" s="17">
        <f t="shared" si="1"/>
        <v>910321.33333333337</v>
      </c>
      <c r="F20" s="18">
        <f t="shared" si="2"/>
        <v>1820638.6666666665</v>
      </c>
      <c r="G20" s="19"/>
      <c r="I20" s="47"/>
    </row>
    <row r="21" spans="1:13" s="23" customFormat="1" ht="31" customHeight="1" x14ac:dyDescent="0.35">
      <c r="A21" s="48"/>
      <c r="B21" s="15" t="s">
        <v>62</v>
      </c>
      <c r="C21" s="16">
        <v>901988</v>
      </c>
      <c r="D21" s="16">
        <f t="shared" si="0"/>
        <v>8333.3333333333339</v>
      </c>
      <c r="E21" s="17">
        <f t="shared" si="1"/>
        <v>910321.33333333337</v>
      </c>
      <c r="F21" s="18">
        <f t="shared" si="2"/>
        <v>910317.33333333314</v>
      </c>
      <c r="G21" s="19"/>
      <c r="I21" s="47"/>
    </row>
    <row r="22" spans="1:13" s="23" customFormat="1" ht="31" customHeight="1" x14ac:dyDescent="0.35">
      <c r="A22" s="48"/>
      <c r="B22" s="15" t="s">
        <v>61</v>
      </c>
      <c r="C22" s="16">
        <v>901988</v>
      </c>
      <c r="D22" s="16">
        <f t="shared" si="0"/>
        <v>8333.3333333333339</v>
      </c>
      <c r="E22" s="17">
        <f t="shared" si="1"/>
        <v>910321.33333333337</v>
      </c>
      <c r="F22" s="18">
        <f t="shared" si="2"/>
        <v>-4.0000000002328306</v>
      </c>
      <c r="G22" s="19"/>
      <c r="I22" s="47"/>
    </row>
    <row r="23" spans="1:13" s="23" customFormat="1" ht="31" customHeight="1" x14ac:dyDescent="0.3">
      <c r="A23" s="76" t="s">
        <v>26</v>
      </c>
      <c r="B23" s="77"/>
      <c r="C23" s="28">
        <f>SUM(C11:C22)</f>
        <v>10823856</v>
      </c>
      <c r="D23" s="28">
        <f>SUM(D11:D22)</f>
        <v>99999.999999999985</v>
      </c>
      <c r="E23" s="28">
        <f>SUM(E11:E22)</f>
        <v>10923856</v>
      </c>
      <c r="F23" s="18"/>
      <c r="G23" s="19"/>
      <c r="H23" s="2"/>
      <c r="I23" s="46"/>
    </row>
    <row r="25" spans="1:13" ht="19.5" customHeight="1" x14ac:dyDescent="0.3">
      <c r="A25" s="29"/>
      <c r="B25" s="78"/>
      <c r="C25" s="78"/>
      <c r="D25" s="78"/>
      <c r="E25" s="78"/>
      <c r="F25" s="78"/>
    </row>
    <row r="26" spans="1:13" x14ac:dyDescent="0.3">
      <c r="B26" s="31"/>
      <c r="C26" s="32"/>
    </row>
    <row r="27" spans="1:13" x14ac:dyDescent="0.3">
      <c r="B27" s="31"/>
      <c r="C27" s="66"/>
    </row>
    <row r="28" spans="1:13" x14ac:dyDescent="0.3">
      <c r="B28" s="34"/>
      <c r="C28" s="35"/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24F-CAF0-4DB0-9E2C-5EAA782B28F9}">
  <sheetPr>
    <tabColor theme="1"/>
  </sheetPr>
  <dimension ref="A1:M26"/>
  <sheetViews>
    <sheetView view="pageBreakPreview" topLeftCell="A12" zoomScale="85" zoomScaleNormal="85" zoomScaleSheetLayoutView="85" workbookViewId="0">
      <selection activeCell="A12" sqref="A1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2" width="9.1796875" style="2"/>
    <col min="13" max="13" width="11.453125" style="2" bestFit="1" customWidth="1"/>
    <col min="14" max="16384" width="9.1796875" style="2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</row>
    <row r="2" spans="1:13" x14ac:dyDescent="0.3">
      <c r="A2" s="74" t="s">
        <v>99</v>
      </c>
      <c r="B2" s="74"/>
      <c r="C2" s="74"/>
      <c r="D2" s="74"/>
      <c r="E2" s="74"/>
      <c r="F2" s="74"/>
      <c r="G2" s="74"/>
    </row>
    <row r="3" spans="1:13" x14ac:dyDescent="0.3">
      <c r="A3" s="74" t="s">
        <v>144</v>
      </c>
      <c r="B3" s="74"/>
      <c r="C3" s="74"/>
      <c r="D3" s="74"/>
      <c r="E3" s="74"/>
      <c r="F3" s="74"/>
      <c r="G3" s="74"/>
    </row>
    <row r="4" spans="1:13" x14ac:dyDescent="0.3">
      <c r="A4" s="1"/>
      <c r="B4" s="1"/>
      <c r="C4" s="1"/>
      <c r="D4" s="1"/>
      <c r="E4" s="1"/>
      <c r="F4" s="1"/>
    </row>
    <row r="5" spans="1:13" x14ac:dyDescent="0.3">
      <c r="A5" s="3" t="s">
        <v>3</v>
      </c>
      <c r="B5" s="80" t="s">
        <v>32</v>
      </c>
      <c r="C5" s="80"/>
      <c r="D5" s="80"/>
      <c r="E5" s="80"/>
      <c r="F5" s="80"/>
    </row>
    <row r="6" spans="1:13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3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3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3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3" ht="36.75" customHeight="1" x14ac:dyDescent="0.3">
      <c r="A10" s="36">
        <v>45946</v>
      </c>
      <c r="B10" s="10"/>
      <c r="C10" s="10"/>
      <c r="D10" s="10"/>
      <c r="E10" s="11"/>
      <c r="F10" s="12">
        <f>C21+D21</f>
        <v>8393750</v>
      </c>
      <c r="G10" s="13"/>
      <c r="H10" s="65">
        <f>F10-D11</f>
        <v>8383750</v>
      </c>
      <c r="I10" s="51"/>
    </row>
    <row r="11" spans="1:13" s="23" customFormat="1" ht="31" customHeight="1" x14ac:dyDescent="0.35">
      <c r="A11" s="36">
        <v>45986</v>
      </c>
      <c r="B11" s="15" t="s">
        <v>16</v>
      </c>
      <c r="C11" s="16">
        <v>829375</v>
      </c>
      <c r="D11" s="16">
        <f>100000/10</f>
        <v>10000</v>
      </c>
      <c r="E11" s="17">
        <f>C11+D11</f>
        <v>839375</v>
      </c>
      <c r="F11" s="18">
        <f>F10-E11</f>
        <v>7554375</v>
      </c>
      <c r="G11" s="19"/>
      <c r="H11" s="23" t="s">
        <v>64</v>
      </c>
      <c r="I11" s="47">
        <v>100000</v>
      </c>
      <c r="J11" s="23" t="s">
        <v>142</v>
      </c>
    </row>
    <row r="12" spans="1:13" s="23" customFormat="1" ht="31" customHeight="1" x14ac:dyDescent="0.35">
      <c r="A12" s="62"/>
      <c r="B12" s="15" t="s">
        <v>17</v>
      </c>
      <c r="C12" s="16">
        <v>829375</v>
      </c>
      <c r="D12" s="16">
        <f t="shared" ref="D12:D20" si="0">100000/10</f>
        <v>10000</v>
      </c>
      <c r="E12" s="17">
        <f t="shared" ref="E12:E20" si="1">C12+D12</f>
        <v>839375</v>
      </c>
      <c r="F12" s="18">
        <f t="shared" ref="F12:F20" si="2">F11-E12</f>
        <v>6715000</v>
      </c>
      <c r="G12" s="19"/>
      <c r="H12" s="23" t="s">
        <v>67</v>
      </c>
      <c r="I12" s="47">
        <v>8000543</v>
      </c>
    </row>
    <row r="13" spans="1:13" s="23" customFormat="1" ht="31" customHeight="1" x14ac:dyDescent="0.35">
      <c r="A13" s="62"/>
      <c r="B13" s="15" t="s">
        <v>18</v>
      </c>
      <c r="C13" s="16">
        <v>829375</v>
      </c>
      <c r="D13" s="16">
        <f t="shared" si="0"/>
        <v>10000</v>
      </c>
      <c r="E13" s="17">
        <f t="shared" si="1"/>
        <v>839375</v>
      </c>
      <c r="F13" s="18">
        <f t="shared" si="2"/>
        <v>5875625</v>
      </c>
      <c r="G13" s="19"/>
      <c r="H13" s="23" t="s">
        <v>145</v>
      </c>
      <c r="I13" s="47">
        <f>I12*3.66%</f>
        <v>292819.8738</v>
      </c>
    </row>
    <row r="14" spans="1:13" s="23" customFormat="1" ht="31" customHeight="1" x14ac:dyDescent="0.35">
      <c r="A14" s="63"/>
      <c r="B14" s="15" t="s">
        <v>19</v>
      </c>
      <c r="C14" s="16">
        <v>829375</v>
      </c>
      <c r="D14" s="16">
        <f t="shared" si="0"/>
        <v>10000</v>
      </c>
      <c r="E14" s="17">
        <f t="shared" si="1"/>
        <v>839375</v>
      </c>
      <c r="F14" s="18">
        <f t="shared" si="2"/>
        <v>5036250</v>
      </c>
      <c r="G14" s="19"/>
      <c r="H14" s="23" t="s">
        <v>136</v>
      </c>
      <c r="I14" s="47">
        <f>I12+I13</f>
        <v>8293362.8738000002</v>
      </c>
      <c r="J14" s="49">
        <f>I14/12</f>
        <v>691113.57281666668</v>
      </c>
      <c r="M14" s="49">
        <f>I14-I12</f>
        <v>292819.87380000018</v>
      </c>
    </row>
    <row r="15" spans="1:13" s="23" customFormat="1" ht="31" customHeight="1" x14ac:dyDescent="0.3">
      <c r="A15" s="63"/>
      <c r="B15" s="15" t="s">
        <v>20</v>
      </c>
      <c r="C15" s="16">
        <v>829375</v>
      </c>
      <c r="D15" s="16">
        <f t="shared" si="0"/>
        <v>10000</v>
      </c>
      <c r="E15" s="17">
        <f t="shared" si="1"/>
        <v>839375</v>
      </c>
      <c r="F15" s="18">
        <f t="shared" si="2"/>
        <v>4196875</v>
      </c>
      <c r="G15" s="19"/>
      <c r="H15" s="2" t="s">
        <v>65</v>
      </c>
      <c r="I15" s="46">
        <f>I14+I11</f>
        <v>8393362.8738000002</v>
      </c>
    </row>
    <row r="16" spans="1:13" s="23" customFormat="1" ht="31" customHeight="1" x14ac:dyDescent="0.35">
      <c r="A16" s="64"/>
      <c r="B16" s="15" t="s">
        <v>21</v>
      </c>
      <c r="C16" s="16">
        <v>829375</v>
      </c>
      <c r="D16" s="16">
        <f t="shared" si="0"/>
        <v>10000</v>
      </c>
      <c r="E16" s="17">
        <f t="shared" si="1"/>
        <v>839375</v>
      </c>
      <c r="F16" s="18">
        <f t="shared" si="2"/>
        <v>3357500</v>
      </c>
      <c r="G16" s="19"/>
      <c r="I16" s="47"/>
      <c r="L16" s="23">
        <v>910321</v>
      </c>
      <c r="M16" s="23">
        <f>L16*12</f>
        <v>10923852</v>
      </c>
    </row>
    <row r="17" spans="1:13" s="23" customFormat="1" ht="31" customHeight="1" x14ac:dyDescent="0.35">
      <c r="A17" s="64"/>
      <c r="B17" s="15" t="s">
        <v>22</v>
      </c>
      <c r="C17" s="16">
        <v>829375</v>
      </c>
      <c r="D17" s="16">
        <f t="shared" si="0"/>
        <v>10000</v>
      </c>
      <c r="E17" s="17">
        <f t="shared" si="1"/>
        <v>839375</v>
      </c>
      <c r="F17" s="18">
        <f t="shared" si="2"/>
        <v>2518125</v>
      </c>
      <c r="G17" s="19"/>
      <c r="I17" s="47"/>
      <c r="M17" s="23">
        <f>M16/100</f>
        <v>109238.52</v>
      </c>
    </row>
    <row r="18" spans="1:13" s="23" customFormat="1" ht="31" customHeight="1" x14ac:dyDescent="0.35">
      <c r="A18" s="64"/>
      <c r="B18" s="15" t="s">
        <v>23</v>
      </c>
      <c r="C18" s="16">
        <v>829375</v>
      </c>
      <c r="D18" s="16">
        <f t="shared" si="0"/>
        <v>10000</v>
      </c>
      <c r="E18" s="17">
        <f t="shared" si="1"/>
        <v>839375</v>
      </c>
      <c r="F18" s="18">
        <f t="shared" si="2"/>
        <v>1678750</v>
      </c>
      <c r="G18" s="19"/>
      <c r="I18" s="47"/>
      <c r="L18" s="23">
        <f>L16-8333</f>
        <v>901988</v>
      </c>
    </row>
    <row r="19" spans="1:13" s="23" customFormat="1" ht="31" customHeight="1" x14ac:dyDescent="0.35">
      <c r="A19" s="63"/>
      <c r="B19" s="15" t="s">
        <v>24</v>
      </c>
      <c r="C19" s="16">
        <v>829375</v>
      </c>
      <c r="D19" s="16">
        <f t="shared" si="0"/>
        <v>10000</v>
      </c>
      <c r="E19" s="17">
        <f t="shared" si="1"/>
        <v>839375</v>
      </c>
      <c r="F19" s="18">
        <f t="shared" si="2"/>
        <v>839375</v>
      </c>
      <c r="G19" s="19"/>
      <c r="I19" s="47"/>
      <c r="J19" s="47"/>
    </row>
    <row r="20" spans="1:13" s="23" customFormat="1" ht="31" customHeight="1" x14ac:dyDescent="0.35">
      <c r="A20" s="63"/>
      <c r="B20" s="15" t="s">
        <v>25</v>
      </c>
      <c r="C20" s="16">
        <v>829375</v>
      </c>
      <c r="D20" s="16">
        <f t="shared" si="0"/>
        <v>10000</v>
      </c>
      <c r="E20" s="17">
        <f t="shared" si="1"/>
        <v>839375</v>
      </c>
      <c r="F20" s="18">
        <f t="shared" si="2"/>
        <v>0</v>
      </c>
      <c r="G20" s="19"/>
      <c r="I20" s="47"/>
    </row>
    <row r="21" spans="1:13" s="23" customFormat="1" ht="31" customHeight="1" x14ac:dyDescent="0.3">
      <c r="A21" s="76" t="s">
        <v>26</v>
      </c>
      <c r="B21" s="77"/>
      <c r="C21" s="28">
        <f>SUM(C11:C20)</f>
        <v>8293750</v>
      </c>
      <c r="D21" s="28">
        <f>SUM(D11:D20)</f>
        <v>100000</v>
      </c>
      <c r="E21" s="28">
        <f>SUM(E11:E20)</f>
        <v>8393750</v>
      </c>
      <c r="F21" s="18"/>
      <c r="G21" s="19"/>
      <c r="H21" s="2"/>
      <c r="I21" s="46"/>
    </row>
    <row r="23" spans="1:13" ht="19.5" customHeight="1" x14ac:dyDescent="0.3">
      <c r="A23" s="29"/>
      <c r="B23" s="78"/>
      <c r="C23" s="78"/>
      <c r="D23" s="78"/>
      <c r="E23" s="78"/>
      <c r="F23" s="78"/>
    </row>
    <row r="24" spans="1:13" x14ac:dyDescent="0.3">
      <c r="B24" s="31"/>
      <c r="C24" s="32"/>
    </row>
    <row r="25" spans="1:13" x14ac:dyDescent="0.3">
      <c r="B25" s="31"/>
      <c r="C25" s="66"/>
    </row>
    <row r="26" spans="1:13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C8E8-06B7-47BE-8C47-1F24887D0480}">
  <sheetPr>
    <tabColor theme="1"/>
  </sheetPr>
  <dimension ref="A1:K52"/>
  <sheetViews>
    <sheetView view="pageBreakPreview" topLeftCell="A12" zoomScale="85" zoomScaleNormal="85" zoomScaleSheetLayoutView="85" workbookViewId="0">
      <selection activeCell="A11" sqref="A11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4" style="46" bestFit="1" customWidth="1"/>
    <col min="10" max="10" width="11.81640625" style="2" bestFit="1" customWidth="1"/>
    <col min="11" max="11" width="12" style="2" bestFit="1" customWidth="1"/>
    <col min="12" max="16384" width="9.1796875" style="2"/>
  </cols>
  <sheetData>
    <row r="1" spans="1:11" x14ac:dyDescent="0.3">
      <c r="A1" s="74" t="s">
        <v>0</v>
      </c>
      <c r="B1" s="74"/>
      <c r="C1" s="74"/>
      <c r="D1" s="74"/>
      <c r="E1" s="74"/>
      <c r="F1" s="74"/>
      <c r="G1" s="74"/>
    </row>
    <row r="2" spans="1:11" x14ac:dyDescent="0.3">
      <c r="A2" s="74" t="s">
        <v>71</v>
      </c>
      <c r="B2" s="74"/>
      <c r="C2" s="74"/>
      <c r="D2" s="74"/>
      <c r="E2" s="74"/>
      <c r="F2" s="74"/>
      <c r="G2" s="74"/>
    </row>
    <row r="3" spans="1:11" x14ac:dyDescent="0.3">
      <c r="A3" s="74" t="s">
        <v>146</v>
      </c>
      <c r="B3" s="74"/>
      <c r="C3" s="74"/>
      <c r="D3" s="74"/>
      <c r="E3" s="74"/>
      <c r="F3" s="74"/>
      <c r="G3" s="74"/>
    </row>
    <row r="4" spans="1:11" x14ac:dyDescent="0.3">
      <c r="A4" s="1"/>
      <c r="B4" s="1"/>
      <c r="C4" s="1"/>
      <c r="D4" s="1"/>
      <c r="E4" s="1"/>
      <c r="F4" s="1"/>
    </row>
    <row r="5" spans="1:11" x14ac:dyDescent="0.3">
      <c r="A5" s="3" t="s">
        <v>3</v>
      </c>
      <c r="B5" s="80" t="s">
        <v>101</v>
      </c>
      <c r="C5" s="80"/>
      <c r="D5" s="80"/>
      <c r="E5" s="80"/>
      <c r="F5" s="80"/>
    </row>
    <row r="6" spans="1:11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1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1" ht="28" x14ac:dyDescent="0.3">
      <c r="A8" s="69"/>
      <c r="B8" s="70"/>
      <c r="C8" s="5" t="s">
        <v>13</v>
      </c>
      <c r="D8" s="4" t="s">
        <v>14</v>
      </c>
      <c r="E8" s="73"/>
      <c r="F8" s="69"/>
      <c r="G8" s="69"/>
      <c r="J8" s="2">
        <v>1665000</v>
      </c>
      <c r="K8" s="35">
        <f>J8-D11</f>
        <v>1656666.6666666667</v>
      </c>
    </row>
    <row r="9" spans="1:11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1" ht="36.75" customHeight="1" x14ac:dyDescent="0.3">
      <c r="A10" s="36">
        <v>45945</v>
      </c>
      <c r="B10" s="10"/>
      <c r="C10" s="10"/>
      <c r="D10" s="10"/>
      <c r="E10" s="11"/>
      <c r="F10" s="12">
        <f>C47+D47</f>
        <v>59940012</v>
      </c>
      <c r="G10" s="13"/>
      <c r="I10" s="51"/>
    </row>
    <row r="11" spans="1:11" s="23" customFormat="1" ht="31" customHeight="1" x14ac:dyDescent="0.35">
      <c r="A11" s="61">
        <v>45986</v>
      </c>
      <c r="B11" s="15" t="s">
        <v>16</v>
      </c>
      <c r="C11" s="16">
        <v>1656667</v>
      </c>
      <c r="D11" s="16">
        <f>300000/36</f>
        <v>8333.3333333333339</v>
      </c>
      <c r="E11" s="17">
        <f t="shared" ref="E11:E46" si="0">C11+D11</f>
        <v>1665000.3333333333</v>
      </c>
      <c r="F11" s="18">
        <f>$F$10-E11</f>
        <v>58275011.666666664</v>
      </c>
      <c r="G11" s="19"/>
      <c r="H11" s="20"/>
      <c r="I11" s="50"/>
      <c r="J11" s="22"/>
    </row>
    <row r="12" spans="1:11" s="23" customFormat="1" ht="31" customHeight="1" x14ac:dyDescent="0.35">
      <c r="A12" s="62"/>
      <c r="B12" s="15" t="s">
        <v>17</v>
      </c>
      <c r="C12" s="16">
        <v>1656667</v>
      </c>
      <c r="D12" s="16">
        <f t="shared" ref="D12:D46" si="1">300000/36</f>
        <v>8333.3333333333339</v>
      </c>
      <c r="E12" s="17">
        <f t="shared" si="0"/>
        <v>1665000.3333333333</v>
      </c>
      <c r="F12" s="18">
        <f t="shared" ref="F12:F33" si="2">F11-E12</f>
        <v>56610011.333333328</v>
      </c>
      <c r="G12" s="19"/>
      <c r="I12" s="47"/>
    </row>
    <row r="13" spans="1:11" s="23" customFormat="1" ht="31" customHeight="1" x14ac:dyDescent="0.35">
      <c r="A13" s="62"/>
      <c r="B13" s="15" t="s">
        <v>18</v>
      </c>
      <c r="C13" s="16">
        <v>1656667</v>
      </c>
      <c r="D13" s="16">
        <f t="shared" si="1"/>
        <v>8333.3333333333339</v>
      </c>
      <c r="E13" s="17">
        <f t="shared" si="0"/>
        <v>1665000.3333333333</v>
      </c>
      <c r="F13" s="18">
        <f t="shared" si="2"/>
        <v>54945010.999999993</v>
      </c>
      <c r="G13" s="19"/>
      <c r="H13" s="23" t="s">
        <v>67</v>
      </c>
      <c r="I13" s="47"/>
    </row>
    <row r="14" spans="1:11" s="23" customFormat="1" ht="31" customHeight="1" x14ac:dyDescent="0.35">
      <c r="A14" s="63"/>
      <c r="B14" s="15" t="s">
        <v>19</v>
      </c>
      <c r="C14" s="16">
        <v>1656667</v>
      </c>
      <c r="D14" s="16">
        <f t="shared" si="1"/>
        <v>8333.3333333333339</v>
      </c>
      <c r="E14" s="17">
        <f t="shared" si="0"/>
        <v>1665000.3333333333</v>
      </c>
      <c r="F14" s="18">
        <f t="shared" si="2"/>
        <v>53280010.666666657</v>
      </c>
      <c r="G14" s="19"/>
      <c r="H14" s="23" t="s">
        <v>68</v>
      </c>
      <c r="I14" s="47"/>
    </row>
    <row r="15" spans="1:11" s="23" customFormat="1" ht="31" customHeight="1" x14ac:dyDescent="0.35">
      <c r="A15" s="63"/>
      <c r="B15" s="15" t="s">
        <v>20</v>
      </c>
      <c r="C15" s="16">
        <v>1656667</v>
      </c>
      <c r="D15" s="16">
        <f t="shared" si="1"/>
        <v>8333.3333333333339</v>
      </c>
      <c r="E15" s="17">
        <f t="shared" si="0"/>
        <v>1665000.3333333333</v>
      </c>
      <c r="F15" s="18">
        <f t="shared" si="2"/>
        <v>51615010.333333321</v>
      </c>
      <c r="G15" s="19"/>
      <c r="H15" s="23" t="s">
        <v>65</v>
      </c>
      <c r="I15" s="47"/>
      <c r="J15" s="49"/>
    </row>
    <row r="16" spans="1:11" s="23" customFormat="1" ht="31" customHeight="1" x14ac:dyDescent="0.35">
      <c r="A16" s="64"/>
      <c r="B16" s="15" t="s">
        <v>21</v>
      </c>
      <c r="C16" s="16">
        <v>1656667</v>
      </c>
      <c r="D16" s="16">
        <f t="shared" si="1"/>
        <v>8333.3333333333339</v>
      </c>
      <c r="E16" s="17">
        <f t="shared" si="0"/>
        <v>1665000.3333333333</v>
      </c>
      <c r="F16" s="18">
        <f t="shared" si="2"/>
        <v>49950009.999999985</v>
      </c>
      <c r="G16" s="19"/>
      <c r="H16" s="23" t="s">
        <v>64</v>
      </c>
      <c r="I16" s="47"/>
      <c r="J16" s="49"/>
      <c r="K16" s="49"/>
    </row>
    <row r="17" spans="1:11" s="23" customFormat="1" ht="31" customHeight="1" x14ac:dyDescent="0.35">
      <c r="A17" s="64"/>
      <c r="B17" s="15" t="s">
        <v>22</v>
      </c>
      <c r="C17" s="16">
        <v>1656667</v>
      </c>
      <c r="D17" s="16">
        <f t="shared" si="1"/>
        <v>8333.3333333333339</v>
      </c>
      <c r="E17" s="17">
        <f t="shared" si="0"/>
        <v>1665000.3333333333</v>
      </c>
      <c r="F17" s="18">
        <f t="shared" si="2"/>
        <v>48285009.666666649</v>
      </c>
      <c r="G17" s="19"/>
      <c r="I17" s="47"/>
    </row>
    <row r="18" spans="1:11" s="23" customFormat="1" ht="31" customHeight="1" x14ac:dyDescent="0.35">
      <c r="A18" s="64"/>
      <c r="B18" s="15" t="s">
        <v>23</v>
      </c>
      <c r="C18" s="16">
        <v>1656667</v>
      </c>
      <c r="D18" s="16">
        <f t="shared" si="1"/>
        <v>8333.3333333333339</v>
      </c>
      <c r="E18" s="17">
        <f t="shared" si="0"/>
        <v>1665000.3333333333</v>
      </c>
      <c r="F18" s="18">
        <f t="shared" si="2"/>
        <v>46620009.333333313</v>
      </c>
      <c r="G18" s="19"/>
      <c r="H18" s="23" t="s">
        <v>67</v>
      </c>
      <c r="I18" s="47"/>
      <c r="J18" s="49"/>
    </row>
    <row r="19" spans="1:11" s="23" customFormat="1" ht="31" customHeight="1" x14ac:dyDescent="0.35">
      <c r="A19" s="63"/>
      <c r="B19" s="15" t="s">
        <v>24</v>
      </c>
      <c r="C19" s="16">
        <v>1656667</v>
      </c>
      <c r="D19" s="16">
        <f t="shared" si="1"/>
        <v>8333.3333333333339</v>
      </c>
      <c r="E19" s="17">
        <f t="shared" si="0"/>
        <v>1665000.3333333333</v>
      </c>
      <c r="F19" s="18">
        <f t="shared" si="2"/>
        <v>44955008.999999978</v>
      </c>
      <c r="G19" s="19"/>
      <c r="H19" s="23" t="s">
        <v>68</v>
      </c>
      <c r="I19" s="47"/>
    </row>
    <row r="20" spans="1:11" s="23" customFormat="1" ht="31" customHeight="1" x14ac:dyDescent="0.35">
      <c r="A20" s="63"/>
      <c r="B20" s="15" t="s">
        <v>25</v>
      </c>
      <c r="C20" s="16">
        <v>1656667</v>
      </c>
      <c r="D20" s="16">
        <f t="shared" si="1"/>
        <v>8333.3333333333339</v>
      </c>
      <c r="E20" s="17">
        <f t="shared" si="0"/>
        <v>1665000.3333333333</v>
      </c>
      <c r="F20" s="18">
        <f t="shared" si="2"/>
        <v>43290008.666666642</v>
      </c>
      <c r="G20" s="19"/>
      <c r="H20" s="23" t="s">
        <v>65</v>
      </c>
      <c r="I20" s="47"/>
      <c r="J20" s="49"/>
      <c r="K20" s="49"/>
    </row>
    <row r="21" spans="1:11" s="23" customFormat="1" ht="31" customHeight="1" x14ac:dyDescent="0.35">
      <c r="A21" s="68"/>
      <c r="B21" s="15" t="s">
        <v>62</v>
      </c>
      <c r="C21" s="16">
        <v>1656667</v>
      </c>
      <c r="D21" s="16">
        <f t="shared" si="1"/>
        <v>8333.3333333333339</v>
      </c>
      <c r="E21" s="17">
        <f t="shared" si="0"/>
        <v>1665000.3333333333</v>
      </c>
      <c r="F21" s="18">
        <f t="shared" si="2"/>
        <v>41625008.333333306</v>
      </c>
      <c r="G21" s="19"/>
      <c r="H21" s="23" t="s">
        <v>64</v>
      </c>
      <c r="I21" s="47"/>
      <c r="J21" s="49"/>
    </row>
    <row r="22" spans="1:11" s="23" customFormat="1" ht="31" customHeight="1" x14ac:dyDescent="0.35">
      <c r="A22" s="68"/>
      <c r="B22" s="15" t="s">
        <v>61</v>
      </c>
      <c r="C22" s="16">
        <v>1656667</v>
      </c>
      <c r="D22" s="16">
        <f t="shared" si="1"/>
        <v>8333.3333333333339</v>
      </c>
      <c r="E22" s="17">
        <f t="shared" si="0"/>
        <v>1665000.3333333333</v>
      </c>
      <c r="F22" s="18">
        <f t="shared" si="2"/>
        <v>39960007.99999997</v>
      </c>
      <c r="G22" s="19"/>
      <c r="I22" s="47"/>
    </row>
    <row r="23" spans="1:11" s="23" customFormat="1" ht="31" customHeight="1" x14ac:dyDescent="0.35">
      <c r="A23" s="61"/>
      <c r="B23" s="15" t="s">
        <v>75</v>
      </c>
      <c r="C23" s="16">
        <v>1656667</v>
      </c>
      <c r="D23" s="16">
        <f t="shared" si="1"/>
        <v>8333.3333333333339</v>
      </c>
      <c r="E23" s="17">
        <f t="shared" si="0"/>
        <v>1665000.3333333333</v>
      </c>
      <c r="F23" s="18">
        <f t="shared" si="2"/>
        <v>38295007.666666634</v>
      </c>
      <c r="G23" s="19"/>
      <c r="H23" s="20"/>
      <c r="I23" s="50"/>
      <c r="J23" s="22"/>
    </row>
    <row r="24" spans="1:11" s="23" customFormat="1" ht="31" customHeight="1" x14ac:dyDescent="0.35">
      <c r="A24" s="62"/>
      <c r="B24" s="15" t="s">
        <v>76</v>
      </c>
      <c r="C24" s="16">
        <v>1656667</v>
      </c>
      <c r="D24" s="16">
        <f t="shared" si="1"/>
        <v>8333.3333333333339</v>
      </c>
      <c r="E24" s="17">
        <f t="shared" si="0"/>
        <v>1665000.3333333333</v>
      </c>
      <c r="F24" s="18">
        <f t="shared" si="2"/>
        <v>36630007.333333299</v>
      </c>
      <c r="G24" s="19"/>
      <c r="I24" s="47"/>
    </row>
    <row r="25" spans="1:11" s="23" customFormat="1" ht="31" customHeight="1" x14ac:dyDescent="0.35">
      <c r="A25" s="62"/>
      <c r="B25" s="15" t="s">
        <v>77</v>
      </c>
      <c r="C25" s="16">
        <v>1656667</v>
      </c>
      <c r="D25" s="16">
        <f t="shared" si="1"/>
        <v>8333.3333333333339</v>
      </c>
      <c r="E25" s="17">
        <f t="shared" si="0"/>
        <v>1665000.3333333333</v>
      </c>
      <c r="F25" s="18">
        <f t="shared" si="2"/>
        <v>34965006.999999963</v>
      </c>
      <c r="G25" s="19"/>
      <c r="H25" s="23" t="s">
        <v>67</v>
      </c>
      <c r="I25" s="47">
        <v>16700000</v>
      </c>
    </row>
    <row r="26" spans="1:11" s="23" customFormat="1" ht="31" customHeight="1" x14ac:dyDescent="0.35">
      <c r="A26" s="63"/>
      <c r="B26" s="15" t="s">
        <v>78</v>
      </c>
      <c r="C26" s="16">
        <v>1656667</v>
      </c>
      <c r="D26" s="16">
        <f t="shared" si="1"/>
        <v>8333.3333333333339</v>
      </c>
      <c r="E26" s="17">
        <f t="shared" si="0"/>
        <v>1665000.3333333333</v>
      </c>
      <c r="F26" s="18">
        <f t="shared" si="2"/>
        <v>33300006.666666631</v>
      </c>
      <c r="G26" s="19"/>
      <c r="H26" s="23" t="s">
        <v>66</v>
      </c>
      <c r="I26" s="47">
        <f>I25*10%</f>
        <v>1670000</v>
      </c>
    </row>
    <row r="27" spans="1:11" s="23" customFormat="1" ht="31" customHeight="1" x14ac:dyDescent="0.35">
      <c r="A27" s="63"/>
      <c r="B27" s="15" t="s">
        <v>79</v>
      </c>
      <c r="C27" s="16">
        <v>1656667</v>
      </c>
      <c r="D27" s="16">
        <f t="shared" si="1"/>
        <v>8333.3333333333339</v>
      </c>
      <c r="E27" s="17">
        <f t="shared" si="0"/>
        <v>1665000.3333333333</v>
      </c>
      <c r="F27" s="18">
        <f t="shared" si="2"/>
        <v>31635006.333333299</v>
      </c>
      <c r="G27" s="19"/>
      <c r="H27" s="23" t="s">
        <v>65</v>
      </c>
      <c r="I27" s="47">
        <f>I25+I26</f>
        <v>18370000</v>
      </c>
      <c r="J27" s="49">
        <f>I27/12</f>
        <v>1530833.3333333333</v>
      </c>
    </row>
    <row r="28" spans="1:11" s="23" customFormat="1" ht="31" customHeight="1" x14ac:dyDescent="0.35">
      <c r="A28" s="64"/>
      <c r="B28" s="15" t="s">
        <v>80</v>
      </c>
      <c r="C28" s="16">
        <v>1656667</v>
      </c>
      <c r="D28" s="16">
        <f t="shared" si="1"/>
        <v>8333.3333333333339</v>
      </c>
      <c r="E28" s="17">
        <f t="shared" si="0"/>
        <v>1665000.3333333333</v>
      </c>
      <c r="F28" s="18">
        <f t="shared" si="2"/>
        <v>29970005.999999966</v>
      </c>
      <c r="G28" s="19"/>
      <c r="H28" s="23" t="s">
        <v>64</v>
      </c>
      <c r="I28" s="47">
        <v>100000</v>
      </c>
      <c r="J28" s="23" t="s">
        <v>63</v>
      </c>
    </row>
    <row r="29" spans="1:11" s="23" customFormat="1" ht="31" customHeight="1" x14ac:dyDescent="0.35">
      <c r="A29" s="64"/>
      <c r="B29" s="15" t="s">
        <v>81</v>
      </c>
      <c r="C29" s="16">
        <v>1656667</v>
      </c>
      <c r="D29" s="16">
        <f t="shared" si="1"/>
        <v>8333.3333333333339</v>
      </c>
      <c r="E29" s="17">
        <f t="shared" si="0"/>
        <v>1665000.3333333333</v>
      </c>
      <c r="F29" s="18">
        <f t="shared" si="2"/>
        <v>28305005.666666634</v>
      </c>
      <c r="G29" s="19"/>
      <c r="I29" s="47"/>
    </row>
    <row r="30" spans="1:11" s="23" customFormat="1" ht="31" customHeight="1" x14ac:dyDescent="0.35">
      <c r="A30" s="64"/>
      <c r="B30" s="15" t="s">
        <v>82</v>
      </c>
      <c r="C30" s="16">
        <v>1656667</v>
      </c>
      <c r="D30" s="16">
        <f t="shared" si="1"/>
        <v>8333.3333333333339</v>
      </c>
      <c r="E30" s="17">
        <f t="shared" si="0"/>
        <v>1665000.3333333333</v>
      </c>
      <c r="F30" s="18">
        <f t="shared" si="2"/>
        <v>26640005.333333302</v>
      </c>
      <c r="G30" s="19"/>
      <c r="I30" s="47"/>
    </row>
    <row r="31" spans="1:11" s="23" customFormat="1" ht="31" customHeight="1" x14ac:dyDescent="0.35">
      <c r="A31" s="63"/>
      <c r="B31" s="15" t="s">
        <v>83</v>
      </c>
      <c r="C31" s="16">
        <v>1656667</v>
      </c>
      <c r="D31" s="16">
        <f t="shared" si="1"/>
        <v>8333.3333333333339</v>
      </c>
      <c r="E31" s="17">
        <f t="shared" si="0"/>
        <v>1665000.3333333333</v>
      </c>
      <c r="F31" s="18">
        <f t="shared" si="2"/>
        <v>24975004.99999997</v>
      </c>
      <c r="G31" s="19"/>
      <c r="I31" s="47"/>
    </row>
    <row r="32" spans="1:11" s="23" customFormat="1" ht="31" customHeight="1" x14ac:dyDescent="0.35">
      <c r="A32" s="63"/>
      <c r="B32" s="15" t="s">
        <v>84</v>
      </c>
      <c r="C32" s="16">
        <v>1656667</v>
      </c>
      <c r="D32" s="16">
        <f t="shared" si="1"/>
        <v>8333.3333333333339</v>
      </c>
      <c r="E32" s="17">
        <f t="shared" si="0"/>
        <v>1665000.3333333333</v>
      </c>
      <c r="F32" s="18">
        <f t="shared" si="2"/>
        <v>23310004.666666638</v>
      </c>
      <c r="G32" s="19"/>
      <c r="I32" s="47"/>
    </row>
    <row r="33" spans="1:9" s="23" customFormat="1" ht="31" customHeight="1" x14ac:dyDescent="0.35">
      <c r="A33" s="68"/>
      <c r="B33" s="15" t="s">
        <v>85</v>
      </c>
      <c r="C33" s="16">
        <v>1656667</v>
      </c>
      <c r="D33" s="16">
        <f t="shared" si="1"/>
        <v>8333.3333333333339</v>
      </c>
      <c r="E33" s="17">
        <f t="shared" si="0"/>
        <v>1665000.3333333333</v>
      </c>
      <c r="F33" s="18">
        <f t="shared" si="2"/>
        <v>21645004.333333306</v>
      </c>
      <c r="G33" s="19"/>
      <c r="I33" s="47"/>
    </row>
    <row r="34" spans="1:9" s="23" customFormat="1" ht="31" customHeight="1" x14ac:dyDescent="0.35">
      <c r="A34" s="68"/>
      <c r="B34" s="15" t="s">
        <v>86</v>
      </c>
      <c r="C34" s="16">
        <v>1656667</v>
      </c>
      <c r="D34" s="16">
        <f t="shared" si="1"/>
        <v>8333.3333333333339</v>
      </c>
      <c r="E34" s="17">
        <f t="shared" si="0"/>
        <v>1665000.3333333333</v>
      </c>
      <c r="F34" s="18">
        <f>F33-E34</f>
        <v>19980003.999999974</v>
      </c>
      <c r="G34" s="19"/>
      <c r="I34" s="47"/>
    </row>
    <row r="35" spans="1:9" s="23" customFormat="1" ht="31" customHeight="1" x14ac:dyDescent="0.35">
      <c r="A35" s="68"/>
      <c r="B35" s="15" t="s">
        <v>147</v>
      </c>
      <c r="C35" s="16">
        <v>1656667</v>
      </c>
      <c r="D35" s="16">
        <f t="shared" si="1"/>
        <v>8333.3333333333339</v>
      </c>
      <c r="E35" s="17">
        <f t="shared" si="0"/>
        <v>1665000.3333333333</v>
      </c>
      <c r="F35" s="18">
        <f t="shared" ref="F35:F46" si="3">F34-E35</f>
        <v>18315003.666666642</v>
      </c>
      <c r="G35" s="19"/>
      <c r="I35" s="47"/>
    </row>
    <row r="36" spans="1:9" s="23" customFormat="1" ht="31" customHeight="1" x14ac:dyDescent="0.35">
      <c r="A36" s="68"/>
      <c r="B36" s="15" t="s">
        <v>148</v>
      </c>
      <c r="C36" s="16">
        <v>1656667</v>
      </c>
      <c r="D36" s="16">
        <f t="shared" si="1"/>
        <v>8333.3333333333339</v>
      </c>
      <c r="E36" s="17">
        <f t="shared" si="0"/>
        <v>1665000.3333333333</v>
      </c>
      <c r="F36" s="18">
        <f t="shared" si="3"/>
        <v>16650003.333333308</v>
      </c>
      <c r="G36" s="19"/>
      <c r="I36" s="47"/>
    </row>
    <row r="37" spans="1:9" s="23" customFormat="1" ht="31" customHeight="1" x14ac:dyDescent="0.35">
      <c r="A37" s="68"/>
      <c r="B37" s="15" t="s">
        <v>149</v>
      </c>
      <c r="C37" s="16">
        <v>1656667</v>
      </c>
      <c r="D37" s="16">
        <f t="shared" si="1"/>
        <v>8333.3333333333339</v>
      </c>
      <c r="E37" s="17">
        <f t="shared" si="0"/>
        <v>1665000.3333333333</v>
      </c>
      <c r="F37" s="18">
        <f t="shared" si="3"/>
        <v>14985002.999999974</v>
      </c>
      <c r="G37" s="19"/>
      <c r="I37" s="47"/>
    </row>
    <row r="38" spans="1:9" s="23" customFormat="1" ht="31" customHeight="1" x14ac:dyDescent="0.35">
      <c r="A38" s="68"/>
      <c r="B38" s="15" t="s">
        <v>150</v>
      </c>
      <c r="C38" s="16">
        <v>1656667</v>
      </c>
      <c r="D38" s="16">
        <f t="shared" si="1"/>
        <v>8333.3333333333339</v>
      </c>
      <c r="E38" s="17">
        <f t="shared" si="0"/>
        <v>1665000.3333333333</v>
      </c>
      <c r="F38" s="18">
        <f t="shared" si="3"/>
        <v>13320002.66666664</v>
      </c>
      <c r="G38" s="19"/>
      <c r="I38" s="47"/>
    </row>
    <row r="39" spans="1:9" s="23" customFormat="1" ht="31" customHeight="1" x14ac:dyDescent="0.35">
      <c r="A39" s="68"/>
      <c r="B39" s="15" t="s">
        <v>151</v>
      </c>
      <c r="C39" s="16">
        <v>1656667</v>
      </c>
      <c r="D39" s="16">
        <f t="shared" si="1"/>
        <v>8333.3333333333339</v>
      </c>
      <c r="E39" s="17">
        <f t="shared" si="0"/>
        <v>1665000.3333333333</v>
      </c>
      <c r="F39" s="18">
        <f t="shared" si="3"/>
        <v>11655002.333333306</v>
      </c>
      <c r="G39" s="19"/>
      <c r="I39" s="47"/>
    </row>
    <row r="40" spans="1:9" s="23" customFormat="1" ht="31" customHeight="1" x14ac:dyDescent="0.35">
      <c r="A40" s="68"/>
      <c r="B40" s="15" t="s">
        <v>152</v>
      </c>
      <c r="C40" s="16">
        <v>1656667</v>
      </c>
      <c r="D40" s="16">
        <f t="shared" si="1"/>
        <v>8333.3333333333339</v>
      </c>
      <c r="E40" s="17">
        <f t="shared" si="0"/>
        <v>1665000.3333333333</v>
      </c>
      <c r="F40" s="18">
        <f t="shared" si="3"/>
        <v>9990001.9999999721</v>
      </c>
      <c r="G40" s="19"/>
      <c r="I40" s="47"/>
    </row>
    <row r="41" spans="1:9" s="23" customFormat="1" ht="31" customHeight="1" x14ac:dyDescent="0.35">
      <c r="A41" s="68"/>
      <c r="B41" s="15" t="s">
        <v>153</v>
      </c>
      <c r="C41" s="16">
        <v>1656667</v>
      </c>
      <c r="D41" s="16">
        <f t="shared" si="1"/>
        <v>8333.3333333333339</v>
      </c>
      <c r="E41" s="17">
        <f t="shared" si="0"/>
        <v>1665000.3333333333</v>
      </c>
      <c r="F41" s="18">
        <f t="shared" si="3"/>
        <v>8325001.666666639</v>
      </c>
      <c r="G41" s="19"/>
      <c r="I41" s="47"/>
    </row>
    <row r="42" spans="1:9" s="23" customFormat="1" ht="31" customHeight="1" x14ac:dyDescent="0.35">
      <c r="A42" s="68"/>
      <c r="B42" s="15" t="s">
        <v>154</v>
      </c>
      <c r="C42" s="16">
        <v>1656667</v>
      </c>
      <c r="D42" s="16">
        <f t="shared" si="1"/>
        <v>8333.3333333333339</v>
      </c>
      <c r="E42" s="17">
        <f t="shared" si="0"/>
        <v>1665000.3333333333</v>
      </c>
      <c r="F42" s="18">
        <f t="shared" si="3"/>
        <v>6660001.333333306</v>
      </c>
      <c r="G42" s="19"/>
      <c r="I42" s="47"/>
    </row>
    <row r="43" spans="1:9" s="23" customFormat="1" ht="31" customHeight="1" x14ac:dyDescent="0.35">
      <c r="A43" s="68"/>
      <c r="B43" s="15" t="s">
        <v>155</v>
      </c>
      <c r="C43" s="16">
        <v>1656667</v>
      </c>
      <c r="D43" s="16">
        <f t="shared" si="1"/>
        <v>8333.3333333333339</v>
      </c>
      <c r="E43" s="17">
        <f t="shared" si="0"/>
        <v>1665000.3333333333</v>
      </c>
      <c r="F43" s="18">
        <f t="shared" si="3"/>
        <v>4995000.999999973</v>
      </c>
      <c r="G43" s="19"/>
      <c r="I43" s="47"/>
    </row>
    <row r="44" spans="1:9" s="23" customFormat="1" ht="31" customHeight="1" x14ac:dyDescent="0.35">
      <c r="A44" s="68"/>
      <c r="B44" s="15" t="s">
        <v>156</v>
      </c>
      <c r="C44" s="16">
        <v>1656667</v>
      </c>
      <c r="D44" s="16">
        <f t="shared" si="1"/>
        <v>8333.3333333333339</v>
      </c>
      <c r="E44" s="17">
        <f t="shared" si="0"/>
        <v>1665000.3333333333</v>
      </c>
      <c r="F44" s="18">
        <f t="shared" si="3"/>
        <v>3330000.66666664</v>
      </c>
      <c r="G44" s="19"/>
      <c r="I44" s="47"/>
    </row>
    <row r="45" spans="1:9" s="23" customFormat="1" ht="31" customHeight="1" x14ac:dyDescent="0.35">
      <c r="A45" s="68"/>
      <c r="B45" s="15" t="s">
        <v>157</v>
      </c>
      <c r="C45" s="16">
        <v>1656667</v>
      </c>
      <c r="D45" s="16">
        <f t="shared" si="1"/>
        <v>8333.3333333333339</v>
      </c>
      <c r="E45" s="17">
        <f t="shared" si="0"/>
        <v>1665000.3333333333</v>
      </c>
      <c r="F45" s="18">
        <f t="shared" si="3"/>
        <v>1665000.3333333067</v>
      </c>
      <c r="G45" s="19"/>
      <c r="I45" s="47"/>
    </row>
    <row r="46" spans="1:9" s="23" customFormat="1" ht="31" customHeight="1" x14ac:dyDescent="0.35">
      <c r="A46" s="68"/>
      <c r="B46" s="15" t="s">
        <v>158</v>
      </c>
      <c r="C46" s="16">
        <v>1656667</v>
      </c>
      <c r="D46" s="16">
        <f t="shared" si="1"/>
        <v>8333.3333333333339</v>
      </c>
      <c r="E46" s="17">
        <f t="shared" si="0"/>
        <v>1665000.3333333333</v>
      </c>
      <c r="F46" s="18">
        <f t="shared" si="3"/>
        <v>-2.6542693376541138E-8</v>
      </c>
      <c r="G46" s="19"/>
      <c r="I46" s="47"/>
    </row>
    <row r="47" spans="1:9" s="23" customFormat="1" ht="31" customHeight="1" x14ac:dyDescent="0.3">
      <c r="A47" s="76" t="s">
        <v>26</v>
      </c>
      <c r="B47" s="77"/>
      <c r="C47" s="28">
        <f>SUM(C11:C46)</f>
        <v>59640012</v>
      </c>
      <c r="D47" s="28">
        <f>SUM(D11:D46)</f>
        <v>300000.00000000006</v>
      </c>
      <c r="E47" s="28">
        <f>SUM(E11:E46)</f>
        <v>59940012.00000003</v>
      </c>
      <c r="F47" s="18"/>
      <c r="G47" s="19"/>
      <c r="H47" s="2"/>
      <c r="I47" s="46"/>
    </row>
    <row r="49" spans="1:6" ht="19.5" customHeight="1" x14ac:dyDescent="0.3">
      <c r="A49" s="29" t="s">
        <v>27</v>
      </c>
      <c r="B49" s="78" t="s">
        <v>28</v>
      </c>
      <c r="C49" s="78"/>
      <c r="D49" s="78"/>
      <c r="E49" s="78"/>
      <c r="F49" s="78"/>
    </row>
    <row r="50" spans="1:6" x14ac:dyDescent="0.3">
      <c r="B50" s="31" t="s">
        <v>29</v>
      </c>
      <c r="C50" s="32">
        <v>9000000</v>
      </c>
    </row>
    <row r="51" spans="1:6" ht="28" x14ac:dyDescent="0.3">
      <c r="B51" s="31" t="s">
        <v>30</v>
      </c>
      <c r="C51" s="33">
        <v>5000000</v>
      </c>
    </row>
    <row r="52" spans="1:6" x14ac:dyDescent="0.3">
      <c r="B52" s="34" t="s">
        <v>31</v>
      </c>
      <c r="C52" s="35">
        <f>C50+C51</f>
        <v>14000000</v>
      </c>
    </row>
  </sheetData>
  <mergeCells count="13">
    <mergeCell ref="E7:E8"/>
    <mergeCell ref="A47:B47"/>
    <mergeCell ref="B49:F49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honeticPr fontId="7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73" orientation="portrait" r:id="rId1"/>
  <rowBreaks count="1" manualBreakCount="1">
    <brk id="28" max="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1C97-F26B-48C2-805A-DA70AB050088}">
  <sheetPr>
    <tabColor theme="1"/>
  </sheetPr>
  <dimension ref="A1:M26"/>
  <sheetViews>
    <sheetView view="pageBreakPreview" topLeftCell="A4" zoomScale="85" zoomScaleNormal="85" zoomScaleSheetLayoutView="85" workbookViewId="0">
      <selection activeCell="J11" sqref="J11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2" width="9.1796875" style="2"/>
    <col min="13" max="13" width="11.453125" style="2" bestFit="1" customWidth="1"/>
    <col min="14" max="16384" width="9.1796875" style="2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</row>
    <row r="2" spans="1:13" x14ac:dyDescent="0.3">
      <c r="A2" s="74" t="s">
        <v>99</v>
      </c>
      <c r="B2" s="74"/>
      <c r="C2" s="74"/>
      <c r="D2" s="74"/>
      <c r="E2" s="74"/>
      <c r="F2" s="74"/>
      <c r="G2" s="74"/>
    </row>
    <row r="3" spans="1:13" x14ac:dyDescent="0.3">
      <c r="A3" s="74" t="s">
        <v>160</v>
      </c>
      <c r="B3" s="74"/>
      <c r="C3" s="74"/>
      <c r="D3" s="74"/>
      <c r="E3" s="74"/>
      <c r="F3" s="74"/>
      <c r="G3" s="74"/>
    </row>
    <row r="4" spans="1:13" x14ac:dyDescent="0.3">
      <c r="A4" s="1"/>
      <c r="B4" s="1"/>
      <c r="C4" s="1"/>
      <c r="D4" s="1"/>
      <c r="E4" s="1"/>
      <c r="F4" s="1"/>
    </row>
    <row r="5" spans="1:13" x14ac:dyDescent="0.3">
      <c r="A5" s="3" t="s">
        <v>3</v>
      </c>
      <c r="B5" s="80" t="s">
        <v>108</v>
      </c>
      <c r="C5" s="80"/>
      <c r="D5" s="80"/>
      <c r="E5" s="80"/>
      <c r="F5" s="80"/>
    </row>
    <row r="6" spans="1:13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  <c r="H6" s="23" t="s">
        <v>64</v>
      </c>
      <c r="I6" s="47">
        <v>100000</v>
      </c>
      <c r="J6" s="23" t="s">
        <v>159</v>
      </c>
    </row>
    <row r="7" spans="1:13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H7" s="23" t="s">
        <v>67</v>
      </c>
      <c r="I7" s="47">
        <f>5950000+1751655</f>
        <v>7701655</v>
      </c>
      <c r="J7" s="23"/>
    </row>
    <row r="8" spans="1:13" ht="28" x14ac:dyDescent="0.3">
      <c r="A8" s="69"/>
      <c r="B8" s="70"/>
      <c r="C8" s="5" t="s">
        <v>13</v>
      </c>
      <c r="D8" s="4" t="s">
        <v>14</v>
      </c>
      <c r="E8" s="73"/>
      <c r="F8" s="69"/>
      <c r="G8" s="69"/>
      <c r="H8" s="23" t="s">
        <v>145</v>
      </c>
      <c r="I8" s="47">
        <f>I7*7.5%</f>
        <v>577624.125</v>
      </c>
      <c r="J8" s="23"/>
    </row>
    <row r="9" spans="1:13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H9" s="23" t="s">
        <v>136</v>
      </c>
      <c r="I9" s="47">
        <f>I7+I8</f>
        <v>8279279.125</v>
      </c>
      <c r="J9" s="49">
        <f>I9/2</f>
        <v>4139639.5625</v>
      </c>
    </row>
    <row r="10" spans="1:13" ht="36.75" customHeight="1" x14ac:dyDescent="0.3">
      <c r="A10" s="67">
        <v>45957</v>
      </c>
      <c r="B10" s="10"/>
      <c r="C10" s="10"/>
      <c r="D10" s="10"/>
      <c r="E10" s="11"/>
      <c r="F10" s="12">
        <f>C21+D21</f>
        <v>8379280</v>
      </c>
      <c r="G10" s="13"/>
      <c r="H10" s="2" t="s">
        <v>65</v>
      </c>
      <c r="I10" s="46">
        <f>I9+I6</f>
        <v>8379279.125</v>
      </c>
      <c r="J10" s="49">
        <f>I10/2</f>
        <v>4189639.5625</v>
      </c>
    </row>
    <row r="11" spans="1:13" s="23" customFormat="1" ht="31" customHeight="1" x14ac:dyDescent="0.35">
      <c r="A11" s="14"/>
      <c r="B11" s="15" t="s">
        <v>16</v>
      </c>
      <c r="C11" s="16">
        <v>4139640</v>
      </c>
      <c r="D11" s="16">
        <f>100000/2</f>
        <v>50000</v>
      </c>
      <c r="E11" s="17">
        <f>C11+D11</f>
        <v>4189640</v>
      </c>
      <c r="F11" s="18">
        <f>F10-E11</f>
        <v>4189640</v>
      </c>
      <c r="G11" s="19"/>
    </row>
    <row r="12" spans="1:13" s="23" customFormat="1" ht="31" customHeight="1" x14ac:dyDescent="0.3">
      <c r="A12" s="24"/>
      <c r="B12" s="15" t="s">
        <v>17</v>
      </c>
      <c r="C12" s="16">
        <v>4139640</v>
      </c>
      <c r="D12" s="16">
        <f>100000/2</f>
        <v>50000</v>
      </c>
      <c r="E12" s="17">
        <f t="shared" ref="E12" si="0">C12+D12</f>
        <v>4189640</v>
      </c>
      <c r="F12" s="18">
        <f t="shared" ref="F12" si="1">F11-E12</f>
        <v>0</v>
      </c>
      <c r="G12" s="19"/>
      <c r="H12" s="2"/>
    </row>
    <row r="13" spans="1:13" s="23" customFormat="1" ht="31" hidden="1" customHeight="1" x14ac:dyDescent="0.35">
      <c r="A13" s="24"/>
      <c r="B13" s="15"/>
      <c r="C13" s="16"/>
      <c r="D13" s="16"/>
      <c r="E13" s="17"/>
      <c r="F13" s="18"/>
      <c r="G13" s="19"/>
    </row>
    <row r="14" spans="1:13" s="23" customFormat="1" ht="31" hidden="1" customHeight="1" x14ac:dyDescent="0.35">
      <c r="A14" s="25"/>
      <c r="B14" s="15"/>
      <c r="C14" s="16"/>
      <c r="D14" s="16"/>
      <c r="E14" s="17"/>
      <c r="F14" s="18"/>
      <c r="G14" s="19"/>
      <c r="M14" s="49">
        <f>I9-I7</f>
        <v>577624.125</v>
      </c>
    </row>
    <row r="15" spans="1:13" s="23" customFormat="1" ht="31" hidden="1" customHeight="1" x14ac:dyDescent="0.35">
      <c r="A15" s="26"/>
      <c r="B15" s="15"/>
      <c r="C15" s="16"/>
      <c r="D15" s="16"/>
      <c r="E15" s="17"/>
      <c r="F15" s="18"/>
      <c r="G15" s="19"/>
    </row>
    <row r="16" spans="1:13" s="23" customFormat="1" ht="31" hidden="1" customHeight="1" x14ac:dyDescent="0.35">
      <c r="A16" s="27"/>
      <c r="B16" s="15"/>
      <c r="C16" s="16"/>
      <c r="D16" s="16"/>
      <c r="E16" s="17"/>
      <c r="F16" s="18"/>
      <c r="G16" s="19"/>
      <c r="I16" s="47"/>
      <c r="L16" s="23">
        <v>910321</v>
      </c>
      <c r="M16" s="23">
        <f>L16*12</f>
        <v>10923852</v>
      </c>
    </row>
    <row r="17" spans="1:13" s="23" customFormat="1" ht="31" hidden="1" customHeight="1" x14ac:dyDescent="0.35">
      <c r="A17" s="27"/>
      <c r="B17" s="15"/>
      <c r="C17" s="16"/>
      <c r="D17" s="16"/>
      <c r="E17" s="17"/>
      <c r="F17" s="18"/>
      <c r="G17" s="19"/>
      <c r="I17" s="47"/>
      <c r="M17" s="23">
        <f>M16/100</f>
        <v>109238.52</v>
      </c>
    </row>
    <row r="18" spans="1:13" s="23" customFormat="1" ht="31" hidden="1" customHeight="1" x14ac:dyDescent="0.35">
      <c r="A18" s="27"/>
      <c r="B18" s="15"/>
      <c r="C18" s="16"/>
      <c r="D18" s="16"/>
      <c r="E18" s="17"/>
      <c r="F18" s="18"/>
      <c r="G18" s="19"/>
      <c r="I18" s="47"/>
      <c r="L18" s="23">
        <f>L16-8333</f>
        <v>901988</v>
      </c>
    </row>
    <row r="19" spans="1:13" s="23" customFormat="1" ht="31" hidden="1" customHeight="1" x14ac:dyDescent="0.35">
      <c r="A19" s="26"/>
      <c r="B19" s="15"/>
      <c r="C19" s="16"/>
      <c r="D19" s="16"/>
      <c r="E19" s="17"/>
      <c r="F19" s="18"/>
      <c r="G19" s="19"/>
      <c r="I19" s="47"/>
      <c r="J19" s="47"/>
    </row>
    <row r="20" spans="1:13" s="23" customFormat="1" ht="31" hidden="1" customHeight="1" x14ac:dyDescent="0.35">
      <c r="A20" s="26"/>
      <c r="B20" s="15"/>
      <c r="C20" s="16"/>
      <c r="D20" s="16"/>
      <c r="E20" s="17"/>
      <c r="F20" s="18"/>
      <c r="G20" s="19"/>
      <c r="I20" s="47"/>
    </row>
    <row r="21" spans="1:13" s="23" customFormat="1" ht="31" customHeight="1" x14ac:dyDescent="0.3">
      <c r="A21" s="76" t="s">
        <v>26</v>
      </c>
      <c r="B21" s="77"/>
      <c r="C21" s="28">
        <f>SUM(C11:C20)</f>
        <v>8279280</v>
      </c>
      <c r="D21" s="28">
        <f>SUM(D11:D20)</f>
        <v>100000</v>
      </c>
      <c r="E21" s="28">
        <f>SUM(E11:E20)</f>
        <v>8379280</v>
      </c>
      <c r="F21" s="18"/>
      <c r="G21" s="19"/>
      <c r="H21" s="2"/>
      <c r="I21" s="46"/>
    </row>
    <row r="23" spans="1:13" ht="19.5" customHeight="1" x14ac:dyDescent="0.3">
      <c r="A23" s="29"/>
      <c r="B23" s="78"/>
      <c r="C23" s="78"/>
      <c r="D23" s="78"/>
      <c r="E23" s="78"/>
      <c r="F23" s="78"/>
    </row>
    <row r="24" spans="1:13" x14ac:dyDescent="0.3">
      <c r="B24" s="31"/>
      <c r="C24" s="32"/>
    </row>
    <row r="25" spans="1:13" x14ac:dyDescent="0.3">
      <c r="B25" s="31"/>
      <c r="C25" s="66"/>
    </row>
    <row r="26" spans="1:13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A718-8766-4541-BF16-943922806C90}">
  <sheetPr>
    <tabColor theme="1"/>
  </sheetPr>
  <dimension ref="A1:M26"/>
  <sheetViews>
    <sheetView view="pageBreakPreview" topLeftCell="A12" zoomScale="85" zoomScaleNormal="85" zoomScaleSheetLayoutView="85" workbookViewId="0">
      <selection activeCell="H14" sqref="H14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2" width="9.1796875" style="2"/>
    <col min="13" max="13" width="11.453125" style="2" bestFit="1" customWidth="1"/>
    <col min="14" max="16384" width="9.1796875" style="2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</row>
    <row r="2" spans="1:13" x14ac:dyDescent="0.3">
      <c r="A2" s="74" t="s">
        <v>99</v>
      </c>
      <c r="B2" s="74"/>
      <c r="C2" s="74"/>
      <c r="D2" s="74"/>
      <c r="E2" s="74"/>
      <c r="F2" s="74"/>
      <c r="G2" s="74"/>
    </row>
    <row r="3" spans="1:13" x14ac:dyDescent="0.3">
      <c r="A3" s="74" t="s">
        <v>162</v>
      </c>
      <c r="B3" s="74"/>
      <c r="C3" s="74"/>
      <c r="D3" s="74"/>
      <c r="E3" s="74"/>
      <c r="F3" s="74"/>
      <c r="G3" s="74"/>
    </row>
    <row r="4" spans="1:13" x14ac:dyDescent="0.3">
      <c r="A4" s="1"/>
      <c r="B4" s="1"/>
      <c r="C4" s="1"/>
      <c r="D4" s="1"/>
      <c r="E4" s="1"/>
      <c r="F4" s="1"/>
    </row>
    <row r="5" spans="1:13" x14ac:dyDescent="0.3">
      <c r="A5" s="3" t="s">
        <v>3</v>
      </c>
      <c r="B5" s="80" t="s">
        <v>48</v>
      </c>
      <c r="C5" s="80"/>
      <c r="D5" s="80"/>
      <c r="E5" s="80"/>
      <c r="F5" s="80"/>
    </row>
    <row r="6" spans="1:13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3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3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3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3" ht="36.75" customHeight="1" x14ac:dyDescent="0.3">
      <c r="A10" s="36">
        <v>45989</v>
      </c>
      <c r="B10" s="10"/>
      <c r="C10" s="10"/>
      <c r="D10" s="10"/>
      <c r="E10" s="11"/>
      <c r="F10" s="12">
        <f>C21+D21</f>
        <v>6765000</v>
      </c>
      <c r="G10" s="13"/>
      <c r="H10" s="65">
        <f>F10-D11</f>
        <v>6755000</v>
      </c>
      <c r="I10" s="51"/>
    </row>
    <row r="11" spans="1:13" s="23" customFormat="1" ht="31" customHeight="1" x14ac:dyDescent="0.35">
      <c r="A11" s="61"/>
      <c r="B11" s="15" t="s">
        <v>16</v>
      </c>
      <c r="C11" s="16">
        <v>666500</v>
      </c>
      <c r="D11" s="16">
        <f>100000/10</f>
        <v>10000</v>
      </c>
      <c r="E11" s="17">
        <f>C11+D11</f>
        <v>676500</v>
      </c>
      <c r="F11" s="18">
        <f>F10-E11</f>
        <v>6088500</v>
      </c>
      <c r="G11" s="19"/>
      <c r="H11" s="23" t="s">
        <v>64</v>
      </c>
      <c r="I11" s="47">
        <v>100000</v>
      </c>
      <c r="J11" s="23" t="s">
        <v>142</v>
      </c>
    </row>
    <row r="12" spans="1:13" s="23" customFormat="1" ht="31" customHeight="1" x14ac:dyDescent="0.35">
      <c r="A12" s="62"/>
      <c r="B12" s="15" t="s">
        <v>17</v>
      </c>
      <c r="C12" s="16">
        <v>666500</v>
      </c>
      <c r="D12" s="16">
        <f t="shared" ref="D12:D20" si="0">100000/10</f>
        <v>10000</v>
      </c>
      <c r="E12" s="17">
        <f t="shared" ref="E12:E20" si="1">C12+D12</f>
        <v>676500</v>
      </c>
      <c r="F12" s="18">
        <f t="shared" ref="F12:F20" si="2">F11-E12</f>
        <v>5412000</v>
      </c>
      <c r="G12" s="19"/>
      <c r="H12" s="23" t="s">
        <v>67</v>
      </c>
      <c r="I12" s="47">
        <v>6200000</v>
      </c>
    </row>
    <row r="13" spans="1:13" s="23" customFormat="1" ht="31" customHeight="1" x14ac:dyDescent="0.35">
      <c r="A13" s="62"/>
      <c r="B13" s="15" t="s">
        <v>18</v>
      </c>
      <c r="C13" s="16">
        <v>666500</v>
      </c>
      <c r="D13" s="16">
        <f t="shared" si="0"/>
        <v>10000</v>
      </c>
      <c r="E13" s="17">
        <f t="shared" si="1"/>
        <v>676500</v>
      </c>
      <c r="F13" s="18">
        <f t="shared" si="2"/>
        <v>4735500</v>
      </c>
      <c r="G13" s="19"/>
      <c r="H13" s="23" t="s">
        <v>112</v>
      </c>
      <c r="I13" s="47">
        <f>I12*7.5%</f>
        <v>465000</v>
      </c>
    </row>
    <row r="14" spans="1:13" s="23" customFormat="1" ht="31" customHeight="1" x14ac:dyDescent="0.35">
      <c r="A14" s="63"/>
      <c r="B14" s="15" t="s">
        <v>19</v>
      </c>
      <c r="C14" s="16">
        <v>666500</v>
      </c>
      <c r="D14" s="16">
        <f t="shared" si="0"/>
        <v>10000</v>
      </c>
      <c r="E14" s="17">
        <f t="shared" si="1"/>
        <v>676500</v>
      </c>
      <c r="F14" s="18">
        <f t="shared" si="2"/>
        <v>4059000</v>
      </c>
      <c r="G14" s="19"/>
      <c r="H14" s="23" t="s">
        <v>136</v>
      </c>
      <c r="I14" s="47">
        <f>I12+I13</f>
        <v>6665000</v>
      </c>
      <c r="J14" s="49">
        <f>I14/10</f>
        <v>666500</v>
      </c>
      <c r="M14" s="49">
        <f>I14-I12</f>
        <v>465000</v>
      </c>
    </row>
    <row r="15" spans="1:13" s="23" customFormat="1" ht="31" customHeight="1" x14ac:dyDescent="0.3">
      <c r="A15" s="63"/>
      <c r="B15" s="15" t="s">
        <v>20</v>
      </c>
      <c r="C15" s="16">
        <v>666500</v>
      </c>
      <c r="D15" s="16">
        <f t="shared" si="0"/>
        <v>10000</v>
      </c>
      <c r="E15" s="17">
        <f t="shared" si="1"/>
        <v>676500</v>
      </c>
      <c r="F15" s="18">
        <f t="shared" si="2"/>
        <v>3382500</v>
      </c>
      <c r="G15" s="19"/>
      <c r="H15" s="2" t="s">
        <v>65</v>
      </c>
      <c r="I15" s="46">
        <f>I14+I11</f>
        <v>6765000</v>
      </c>
    </row>
    <row r="16" spans="1:13" s="23" customFormat="1" ht="31" customHeight="1" x14ac:dyDescent="0.35">
      <c r="A16" s="64"/>
      <c r="B16" s="15" t="s">
        <v>21</v>
      </c>
      <c r="C16" s="16">
        <v>666500</v>
      </c>
      <c r="D16" s="16">
        <f t="shared" si="0"/>
        <v>10000</v>
      </c>
      <c r="E16" s="17">
        <f t="shared" si="1"/>
        <v>676500</v>
      </c>
      <c r="F16" s="18">
        <f t="shared" si="2"/>
        <v>2706000</v>
      </c>
      <c r="G16" s="19"/>
      <c r="I16" s="47"/>
      <c r="L16" s="23">
        <v>910321</v>
      </c>
      <c r="M16" s="23">
        <f>L16*12</f>
        <v>10923852</v>
      </c>
    </row>
    <row r="17" spans="1:13" s="23" customFormat="1" ht="31" customHeight="1" x14ac:dyDescent="0.35">
      <c r="A17" s="64"/>
      <c r="B17" s="15" t="s">
        <v>22</v>
      </c>
      <c r="C17" s="16">
        <v>666500</v>
      </c>
      <c r="D17" s="16">
        <f t="shared" si="0"/>
        <v>10000</v>
      </c>
      <c r="E17" s="17">
        <f t="shared" si="1"/>
        <v>676500</v>
      </c>
      <c r="F17" s="18">
        <f t="shared" si="2"/>
        <v>2029500</v>
      </c>
      <c r="G17" s="19"/>
      <c r="I17" s="47"/>
      <c r="M17" s="23">
        <f>M16/100</f>
        <v>109238.52</v>
      </c>
    </row>
    <row r="18" spans="1:13" s="23" customFormat="1" ht="31" customHeight="1" x14ac:dyDescent="0.35">
      <c r="A18" s="64"/>
      <c r="B18" s="15" t="s">
        <v>23</v>
      </c>
      <c r="C18" s="16">
        <v>666500</v>
      </c>
      <c r="D18" s="16">
        <f t="shared" si="0"/>
        <v>10000</v>
      </c>
      <c r="E18" s="17">
        <f t="shared" si="1"/>
        <v>676500</v>
      </c>
      <c r="F18" s="18">
        <f t="shared" si="2"/>
        <v>1353000</v>
      </c>
      <c r="G18" s="19"/>
      <c r="I18" s="47"/>
      <c r="L18" s="23">
        <f>L16-8333</f>
        <v>901988</v>
      </c>
    </row>
    <row r="19" spans="1:13" s="23" customFormat="1" ht="31" customHeight="1" x14ac:dyDescent="0.35">
      <c r="A19" s="63"/>
      <c r="B19" s="15" t="s">
        <v>24</v>
      </c>
      <c r="C19" s="16">
        <v>666500</v>
      </c>
      <c r="D19" s="16">
        <f t="shared" si="0"/>
        <v>10000</v>
      </c>
      <c r="E19" s="17">
        <f t="shared" si="1"/>
        <v>676500</v>
      </c>
      <c r="F19" s="18">
        <f t="shared" si="2"/>
        <v>676500</v>
      </c>
      <c r="G19" s="19"/>
      <c r="I19" s="47">
        <f>I15-I12</f>
        <v>565000</v>
      </c>
      <c r="J19" s="47"/>
    </row>
    <row r="20" spans="1:13" s="23" customFormat="1" ht="31" customHeight="1" x14ac:dyDescent="0.35">
      <c r="A20" s="63"/>
      <c r="B20" s="15" t="s">
        <v>25</v>
      </c>
      <c r="C20" s="16">
        <v>666500</v>
      </c>
      <c r="D20" s="16">
        <f t="shared" si="0"/>
        <v>10000</v>
      </c>
      <c r="E20" s="17">
        <f t="shared" si="1"/>
        <v>676500</v>
      </c>
      <c r="F20" s="18">
        <f t="shared" si="2"/>
        <v>0</v>
      </c>
      <c r="G20" s="19"/>
      <c r="I20" s="47"/>
    </row>
    <row r="21" spans="1:13" s="23" customFormat="1" ht="31" customHeight="1" x14ac:dyDescent="0.3">
      <c r="A21" s="76" t="s">
        <v>26</v>
      </c>
      <c r="B21" s="77"/>
      <c r="C21" s="28">
        <f>SUM(C11:C20)</f>
        <v>6665000</v>
      </c>
      <c r="D21" s="28">
        <f>SUM(D11:D20)</f>
        <v>100000</v>
      </c>
      <c r="E21" s="28">
        <f>SUM(E11:E20)</f>
        <v>6765000</v>
      </c>
      <c r="F21" s="18"/>
      <c r="G21" s="19"/>
      <c r="H21" s="2"/>
      <c r="I21" s="46"/>
    </row>
    <row r="23" spans="1:13" ht="19.5" customHeight="1" x14ac:dyDescent="0.3">
      <c r="A23" s="29"/>
      <c r="B23" s="78"/>
      <c r="C23" s="78"/>
      <c r="D23" s="78"/>
      <c r="E23" s="78"/>
      <c r="F23" s="78"/>
    </row>
    <row r="24" spans="1:13" x14ac:dyDescent="0.3">
      <c r="B24" s="31"/>
      <c r="C24" s="32"/>
    </row>
    <row r="25" spans="1:13" x14ac:dyDescent="0.3">
      <c r="B25" s="31"/>
      <c r="C25" s="66"/>
    </row>
    <row r="26" spans="1:13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5B67-C2C7-47EA-9C09-90A8A522CEAC}">
  <sheetPr>
    <tabColor theme="1"/>
  </sheetPr>
  <dimension ref="A1:M28"/>
  <sheetViews>
    <sheetView view="pageBreakPreview" zoomScale="85" zoomScaleNormal="85" zoomScaleSheetLayoutView="85" workbookViewId="0">
      <selection activeCell="H8" sqref="H8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2.90625" style="46" bestFit="1" customWidth="1"/>
    <col min="10" max="10" width="11.81640625" style="2" bestFit="1" customWidth="1"/>
    <col min="11" max="12" width="9.1796875" style="2"/>
    <col min="13" max="13" width="11.453125" style="2" bestFit="1" customWidth="1"/>
    <col min="14" max="16384" width="9.1796875" style="2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</row>
    <row r="2" spans="1:13" x14ac:dyDescent="0.3">
      <c r="A2" s="74" t="s">
        <v>99</v>
      </c>
      <c r="B2" s="74"/>
      <c r="C2" s="74"/>
      <c r="D2" s="74"/>
      <c r="E2" s="74"/>
      <c r="F2" s="74"/>
      <c r="G2" s="74"/>
    </row>
    <row r="3" spans="1:13" x14ac:dyDescent="0.3">
      <c r="A3" s="74" t="s">
        <v>163</v>
      </c>
      <c r="B3" s="74"/>
      <c r="C3" s="74"/>
      <c r="D3" s="74"/>
      <c r="E3" s="74"/>
      <c r="F3" s="74"/>
      <c r="G3" s="74"/>
    </row>
    <row r="4" spans="1:13" x14ac:dyDescent="0.3">
      <c r="A4" s="1"/>
      <c r="B4" s="1"/>
      <c r="C4" s="1"/>
      <c r="D4" s="1"/>
      <c r="E4" s="1"/>
      <c r="F4" s="1"/>
    </row>
    <row r="5" spans="1:13" x14ac:dyDescent="0.3">
      <c r="A5" s="3" t="s">
        <v>3</v>
      </c>
      <c r="B5" s="80" t="s">
        <v>161</v>
      </c>
      <c r="C5" s="80"/>
      <c r="D5" s="80"/>
      <c r="E5" s="80"/>
      <c r="F5" s="80"/>
    </row>
    <row r="6" spans="1:13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3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3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3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3" ht="36.75" customHeight="1" x14ac:dyDescent="0.3">
      <c r="A10" s="36">
        <v>45988</v>
      </c>
      <c r="B10" s="10"/>
      <c r="C10" s="10"/>
      <c r="D10" s="10"/>
      <c r="E10" s="11"/>
      <c r="F10" s="12">
        <f>C23+D23</f>
        <v>18542680</v>
      </c>
      <c r="G10" s="13"/>
      <c r="H10" s="65">
        <f>F10-D11</f>
        <v>18534346.666666668</v>
      </c>
      <c r="I10" s="51"/>
      <c r="L10" s="2">
        <v>1545223</v>
      </c>
      <c r="M10" s="2">
        <f>L10*12</f>
        <v>18542676</v>
      </c>
    </row>
    <row r="11" spans="1:13" s="23" customFormat="1" ht="31" customHeight="1" x14ac:dyDescent="0.35">
      <c r="A11" s="61"/>
      <c r="B11" s="15" t="s">
        <v>16</v>
      </c>
      <c r="C11" s="16">
        <v>1536890</v>
      </c>
      <c r="D11" s="16">
        <f>100000/12</f>
        <v>8333.3333333333339</v>
      </c>
      <c r="E11" s="17">
        <f>C11+D11</f>
        <v>1545223.3333333333</v>
      </c>
      <c r="F11" s="18">
        <f>F10-E11</f>
        <v>16997456.666666668</v>
      </c>
      <c r="G11" s="19"/>
      <c r="H11" s="23" t="s">
        <v>64</v>
      </c>
      <c r="I11" s="47">
        <v>100000</v>
      </c>
      <c r="J11" s="23" t="s">
        <v>142</v>
      </c>
      <c r="L11" s="23">
        <f>100000/12</f>
        <v>8333.3333333333339</v>
      </c>
    </row>
    <row r="12" spans="1:13" s="23" customFormat="1" ht="31" customHeight="1" x14ac:dyDescent="0.35">
      <c r="A12" s="62"/>
      <c r="B12" s="15" t="s">
        <v>17</v>
      </c>
      <c r="C12" s="16">
        <v>1536890</v>
      </c>
      <c r="D12" s="16">
        <f t="shared" ref="D12:D22" si="0">100000/12</f>
        <v>8333.3333333333339</v>
      </c>
      <c r="E12" s="17">
        <f t="shared" ref="E12:E22" si="1">C12+D12</f>
        <v>1545223.3333333333</v>
      </c>
      <c r="F12" s="18">
        <f t="shared" ref="F12:F21" si="2">F11-E12</f>
        <v>15452233.333333334</v>
      </c>
      <c r="G12" s="19"/>
      <c r="H12" s="23" t="s">
        <v>164</v>
      </c>
      <c r="I12" s="47">
        <v>16900000</v>
      </c>
      <c r="L12" s="23">
        <f>L10-L11</f>
        <v>1536889.6666666667</v>
      </c>
    </row>
    <row r="13" spans="1:13" s="23" customFormat="1" ht="31" customHeight="1" x14ac:dyDescent="0.35">
      <c r="A13" s="62"/>
      <c r="B13" s="15" t="s">
        <v>18</v>
      </c>
      <c r="C13" s="16">
        <v>1536890</v>
      </c>
      <c r="D13" s="16">
        <f t="shared" si="0"/>
        <v>8333.3333333333339</v>
      </c>
      <c r="E13" s="17">
        <f t="shared" si="1"/>
        <v>1545223.3333333333</v>
      </c>
      <c r="F13" s="18">
        <f t="shared" si="2"/>
        <v>13907010</v>
      </c>
      <c r="G13" s="19"/>
      <c r="H13" s="23" t="s">
        <v>145</v>
      </c>
      <c r="I13" s="47">
        <f>I12*9.765%</f>
        <v>1650285</v>
      </c>
    </row>
    <row r="14" spans="1:13" s="23" customFormat="1" ht="31" customHeight="1" x14ac:dyDescent="0.35">
      <c r="A14" s="63"/>
      <c r="B14" s="15" t="s">
        <v>19</v>
      </c>
      <c r="C14" s="16">
        <v>1536890</v>
      </c>
      <c r="D14" s="16">
        <f t="shared" si="0"/>
        <v>8333.3333333333339</v>
      </c>
      <c r="E14" s="17">
        <f t="shared" si="1"/>
        <v>1545223.3333333333</v>
      </c>
      <c r="F14" s="18">
        <f t="shared" si="2"/>
        <v>12361786.666666666</v>
      </c>
      <c r="G14" s="19"/>
      <c r="H14" s="23" t="s">
        <v>136</v>
      </c>
      <c r="I14" s="47">
        <f>I12+I13</f>
        <v>18550285</v>
      </c>
      <c r="J14" s="49">
        <f>I14/12</f>
        <v>1545857.0833333333</v>
      </c>
      <c r="M14" s="49">
        <f>I14-I12</f>
        <v>1650285</v>
      </c>
    </row>
    <row r="15" spans="1:13" s="23" customFormat="1" ht="31" customHeight="1" x14ac:dyDescent="0.3">
      <c r="A15" s="63"/>
      <c r="B15" s="15" t="s">
        <v>20</v>
      </c>
      <c r="C15" s="16">
        <v>1536890</v>
      </c>
      <c r="D15" s="16">
        <f t="shared" si="0"/>
        <v>8333.3333333333339</v>
      </c>
      <c r="E15" s="17">
        <f t="shared" si="1"/>
        <v>1545223.3333333333</v>
      </c>
      <c r="F15" s="18">
        <f t="shared" si="2"/>
        <v>10816563.333333332</v>
      </c>
      <c r="G15" s="19"/>
      <c r="H15" s="2" t="s">
        <v>65</v>
      </c>
      <c r="I15" s="46">
        <f>I14+I11</f>
        <v>18650285</v>
      </c>
    </row>
    <row r="16" spans="1:13" s="23" customFormat="1" ht="31" customHeight="1" x14ac:dyDescent="0.35">
      <c r="A16" s="64"/>
      <c r="B16" s="15" t="s">
        <v>21</v>
      </c>
      <c r="C16" s="16">
        <v>1536890</v>
      </c>
      <c r="D16" s="16">
        <f t="shared" si="0"/>
        <v>8333.3333333333339</v>
      </c>
      <c r="E16" s="17">
        <f t="shared" si="1"/>
        <v>1545223.3333333333</v>
      </c>
      <c r="F16" s="18">
        <f t="shared" si="2"/>
        <v>9271339.9999999981</v>
      </c>
      <c r="G16" s="19"/>
      <c r="I16" s="47"/>
      <c r="L16" s="23">
        <v>910321</v>
      </c>
      <c r="M16" s="23">
        <f>L16*12</f>
        <v>10923852</v>
      </c>
    </row>
    <row r="17" spans="1:13" s="23" customFormat="1" ht="31" customHeight="1" x14ac:dyDescent="0.35">
      <c r="A17" s="64"/>
      <c r="B17" s="15" t="s">
        <v>22</v>
      </c>
      <c r="C17" s="16">
        <v>1536890</v>
      </c>
      <c r="D17" s="16">
        <f t="shared" si="0"/>
        <v>8333.3333333333339</v>
      </c>
      <c r="E17" s="17">
        <f t="shared" si="1"/>
        <v>1545223.3333333333</v>
      </c>
      <c r="F17" s="18">
        <f>F16-E17</f>
        <v>7726116.6666666651</v>
      </c>
      <c r="G17" s="19"/>
      <c r="I17" s="47"/>
      <c r="M17" s="23">
        <f>M16/100</f>
        <v>109238.52</v>
      </c>
    </row>
    <row r="18" spans="1:13" s="23" customFormat="1" ht="31" customHeight="1" x14ac:dyDescent="0.35">
      <c r="A18" s="64"/>
      <c r="B18" s="15" t="s">
        <v>23</v>
      </c>
      <c r="C18" s="16">
        <v>1536890</v>
      </c>
      <c r="D18" s="16">
        <f t="shared" si="0"/>
        <v>8333.3333333333339</v>
      </c>
      <c r="E18" s="17">
        <f t="shared" si="1"/>
        <v>1545223.3333333333</v>
      </c>
      <c r="F18" s="18">
        <f>F17-E18</f>
        <v>6180893.3333333321</v>
      </c>
      <c r="G18" s="19"/>
      <c r="I18" s="47">
        <v>18542676</v>
      </c>
      <c r="L18" s="23">
        <f>L16-8333</f>
        <v>901988</v>
      </c>
    </row>
    <row r="19" spans="1:13" s="23" customFormat="1" ht="31" customHeight="1" x14ac:dyDescent="0.35">
      <c r="A19" s="63"/>
      <c r="B19" s="15" t="s">
        <v>24</v>
      </c>
      <c r="C19" s="16">
        <v>1536890</v>
      </c>
      <c r="D19" s="16">
        <f t="shared" si="0"/>
        <v>8333.3333333333339</v>
      </c>
      <c r="E19" s="17">
        <f t="shared" si="1"/>
        <v>1545223.3333333333</v>
      </c>
      <c r="F19" s="18">
        <f t="shared" si="2"/>
        <v>4635669.9999999991</v>
      </c>
      <c r="G19" s="19"/>
      <c r="I19" s="47">
        <f>I15-I12</f>
        <v>1750285</v>
      </c>
      <c r="J19" s="47"/>
    </row>
    <row r="20" spans="1:13" s="23" customFormat="1" ht="31" customHeight="1" x14ac:dyDescent="0.35">
      <c r="A20" s="63"/>
      <c r="B20" s="15" t="s">
        <v>25</v>
      </c>
      <c r="C20" s="16">
        <v>1536890</v>
      </c>
      <c r="D20" s="16">
        <f t="shared" si="0"/>
        <v>8333.3333333333339</v>
      </c>
      <c r="E20" s="17">
        <f t="shared" si="1"/>
        <v>1545223.3333333333</v>
      </c>
      <c r="F20" s="18">
        <f t="shared" si="2"/>
        <v>3090446.666666666</v>
      </c>
      <c r="G20" s="19"/>
      <c r="I20" s="47"/>
    </row>
    <row r="21" spans="1:13" s="23" customFormat="1" ht="31" customHeight="1" x14ac:dyDescent="0.35">
      <c r="A21" s="68"/>
      <c r="B21" s="15" t="s">
        <v>62</v>
      </c>
      <c r="C21" s="16">
        <v>1536890</v>
      </c>
      <c r="D21" s="16">
        <f t="shared" si="0"/>
        <v>8333.3333333333339</v>
      </c>
      <c r="E21" s="17">
        <f t="shared" si="1"/>
        <v>1545223.3333333333</v>
      </c>
      <c r="F21" s="18">
        <f t="shared" si="2"/>
        <v>1545223.3333333328</v>
      </c>
      <c r="G21" s="19"/>
      <c r="I21" s="47"/>
    </row>
    <row r="22" spans="1:13" s="23" customFormat="1" ht="31" customHeight="1" x14ac:dyDescent="0.35">
      <c r="A22" s="68"/>
      <c r="B22" s="15" t="s">
        <v>61</v>
      </c>
      <c r="C22" s="16">
        <v>1536890</v>
      </c>
      <c r="D22" s="16">
        <f t="shared" si="0"/>
        <v>8333.3333333333339</v>
      </c>
      <c r="E22" s="17">
        <f t="shared" si="1"/>
        <v>1545223.3333333333</v>
      </c>
      <c r="F22" s="18">
        <f>F21-E22</f>
        <v>0</v>
      </c>
      <c r="G22" s="19"/>
      <c r="I22" s="47"/>
      <c r="L22" s="23">
        <v>17249000</v>
      </c>
      <c r="M22" s="23">
        <f>L22/12</f>
        <v>1437416.6666666667</v>
      </c>
    </row>
    <row r="23" spans="1:13" s="23" customFormat="1" ht="31" customHeight="1" x14ac:dyDescent="0.3">
      <c r="A23" s="76" t="s">
        <v>26</v>
      </c>
      <c r="B23" s="77"/>
      <c r="C23" s="28">
        <f>SUM(C11:C22)</f>
        <v>18442680</v>
      </c>
      <c r="D23" s="28">
        <f>SUM(D11:D22)</f>
        <v>99999.999999999985</v>
      </c>
      <c r="E23" s="28">
        <f>SUM(E11:E22)</f>
        <v>18542680</v>
      </c>
      <c r="F23" s="18"/>
      <c r="G23" s="19"/>
      <c r="H23" s="2"/>
      <c r="I23" s="46"/>
      <c r="L23" s="23">
        <v>100000</v>
      </c>
    </row>
    <row r="24" spans="1:13" x14ac:dyDescent="0.3">
      <c r="L24" s="2">
        <f>L22-L23</f>
        <v>17149000</v>
      </c>
      <c r="M24" s="2">
        <f>L24/12</f>
        <v>1429083.3333333333</v>
      </c>
    </row>
    <row r="25" spans="1:13" ht="19.5" customHeight="1" x14ac:dyDescent="0.3">
      <c r="A25" s="29"/>
      <c r="B25" s="78"/>
      <c r="C25" s="78"/>
      <c r="D25" s="78"/>
      <c r="E25" s="78"/>
      <c r="F25" s="78"/>
    </row>
    <row r="26" spans="1:13" x14ac:dyDescent="0.3">
      <c r="B26" s="31"/>
      <c r="C26" s="32"/>
    </row>
    <row r="27" spans="1:13" x14ac:dyDescent="0.3">
      <c r="B27" s="31"/>
      <c r="C27" s="66"/>
    </row>
    <row r="28" spans="1:13" x14ac:dyDescent="0.3">
      <c r="B28" s="34"/>
      <c r="C28" s="35"/>
    </row>
  </sheetData>
  <mergeCells count="13">
    <mergeCell ref="E7:E8"/>
    <mergeCell ref="A23:B23"/>
    <mergeCell ref="B25:F25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84EA-D8D6-431D-A221-AB10E4CD0F6C}">
  <sheetPr>
    <tabColor theme="1"/>
  </sheetPr>
  <dimension ref="A1:M26"/>
  <sheetViews>
    <sheetView tabSelected="1" view="pageBreakPreview" zoomScale="85" zoomScaleNormal="85" zoomScaleSheetLayoutView="85" workbookViewId="0">
      <selection activeCell="I22" sqref="I22"/>
    </sheetView>
  </sheetViews>
  <sheetFormatPr defaultColWidth="9.1796875" defaultRowHeight="14" x14ac:dyDescent="0.3"/>
  <cols>
    <col min="1" max="1" width="18.54296875" style="2" customWidth="1"/>
    <col min="2" max="2" width="16.54296875" style="2" customWidth="1"/>
    <col min="3" max="3" width="10.7265625" style="2" customWidth="1"/>
    <col min="4" max="4" width="10" style="2" bestFit="1" customWidth="1"/>
    <col min="5" max="5" width="11.453125" style="2" customWidth="1"/>
    <col min="6" max="6" width="13.54296875" style="2" customWidth="1"/>
    <col min="7" max="7" width="21.54296875" style="2" customWidth="1"/>
    <col min="8" max="8" width="28.1796875" style="2" customWidth="1"/>
    <col min="9" max="9" width="14" style="46" bestFit="1" customWidth="1"/>
    <col min="10" max="10" width="11.81640625" style="2" bestFit="1" customWidth="1"/>
    <col min="11" max="11" width="12" style="2" bestFit="1" customWidth="1"/>
    <col min="12" max="12" width="9.1796875" style="2"/>
    <col min="13" max="13" width="12" style="2" bestFit="1" customWidth="1"/>
    <col min="14" max="16384" width="9.1796875" style="2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</row>
    <row r="2" spans="1:13" x14ac:dyDescent="0.3">
      <c r="A2" s="74" t="s">
        <v>99</v>
      </c>
      <c r="B2" s="74"/>
      <c r="C2" s="74"/>
      <c r="D2" s="74"/>
      <c r="E2" s="74"/>
      <c r="F2" s="74"/>
      <c r="G2" s="74"/>
    </row>
    <row r="3" spans="1:13" x14ac:dyDescent="0.3">
      <c r="A3" s="74" t="s">
        <v>165</v>
      </c>
      <c r="B3" s="74"/>
      <c r="C3" s="74"/>
      <c r="D3" s="74"/>
      <c r="E3" s="74"/>
      <c r="F3" s="74"/>
      <c r="G3" s="74"/>
    </row>
    <row r="4" spans="1:13" x14ac:dyDescent="0.3">
      <c r="A4" s="1"/>
      <c r="B4" s="1"/>
      <c r="C4" s="1"/>
      <c r="D4" s="1"/>
      <c r="E4" s="1"/>
      <c r="F4" s="1"/>
    </row>
    <row r="5" spans="1:13" x14ac:dyDescent="0.3">
      <c r="A5" s="3" t="s">
        <v>3</v>
      </c>
      <c r="B5" s="80" t="s">
        <v>32</v>
      </c>
      <c r="C5" s="80"/>
      <c r="D5" s="80"/>
      <c r="E5" s="80"/>
      <c r="F5" s="80"/>
    </row>
    <row r="6" spans="1:13" ht="30" customHeight="1" x14ac:dyDescent="0.3">
      <c r="A6" s="69" t="s">
        <v>5</v>
      </c>
      <c r="B6" s="70" t="s">
        <v>6</v>
      </c>
      <c r="C6" s="81" t="s">
        <v>7</v>
      </c>
      <c r="D6" s="82"/>
      <c r="E6" s="83"/>
      <c r="F6" s="69" t="s">
        <v>8</v>
      </c>
      <c r="G6" s="69" t="s">
        <v>9</v>
      </c>
    </row>
    <row r="7" spans="1:13" ht="30" customHeight="1" x14ac:dyDescent="0.3">
      <c r="A7" s="69"/>
      <c r="B7" s="70"/>
      <c r="C7" s="70" t="s">
        <v>10</v>
      </c>
      <c r="D7" s="70"/>
      <c r="E7" s="71" t="s">
        <v>11</v>
      </c>
      <c r="F7" s="69"/>
      <c r="G7" s="69"/>
      <c r="I7" s="46" t="s">
        <v>12</v>
      </c>
    </row>
    <row r="8" spans="1:13" ht="28" x14ac:dyDescent="0.3">
      <c r="A8" s="69"/>
      <c r="B8" s="70"/>
      <c r="C8" s="5" t="s">
        <v>13</v>
      </c>
      <c r="D8" s="4" t="s">
        <v>14</v>
      </c>
      <c r="E8" s="73"/>
      <c r="F8" s="69"/>
      <c r="G8" s="69"/>
    </row>
    <row r="9" spans="1:13" s="8" customFormat="1" ht="11.25" customHeight="1" x14ac:dyDescent="0.3">
      <c r="A9" s="4">
        <v>1</v>
      </c>
      <c r="B9" s="5">
        <v>2</v>
      </c>
      <c r="C9" s="5">
        <v>3</v>
      </c>
      <c r="D9" s="5">
        <v>4</v>
      </c>
      <c r="E9" s="6" t="s">
        <v>15</v>
      </c>
      <c r="F9" s="5"/>
      <c r="G9" s="7"/>
      <c r="I9" s="52"/>
    </row>
    <row r="10" spans="1:13" ht="36.75" customHeight="1" x14ac:dyDescent="0.3">
      <c r="A10" s="36">
        <v>46027</v>
      </c>
      <c r="B10" s="10"/>
      <c r="C10" s="10"/>
      <c r="D10" s="10"/>
      <c r="E10" s="11"/>
      <c r="F10" s="12">
        <f>C21+D21</f>
        <v>17595175</v>
      </c>
      <c r="G10" s="13"/>
      <c r="H10" s="65">
        <f>F10-D11</f>
        <v>17585175</v>
      </c>
      <c r="I10" s="51"/>
    </row>
    <row r="11" spans="1:13" s="23" customFormat="1" ht="31" customHeight="1" x14ac:dyDescent="0.35">
      <c r="A11" s="61"/>
      <c r="B11" s="15" t="s">
        <v>16</v>
      </c>
      <c r="C11" s="16">
        <f>$K$19</f>
        <v>1749517.5</v>
      </c>
      <c r="D11" s="16">
        <f>100000/10</f>
        <v>10000</v>
      </c>
      <c r="E11" s="17">
        <f>C11+D11</f>
        <v>1759517.5</v>
      </c>
      <c r="F11" s="18">
        <f>F10-E11</f>
        <v>15835657.5</v>
      </c>
      <c r="G11" s="19"/>
      <c r="H11" s="23" t="s">
        <v>64</v>
      </c>
      <c r="I11" s="47">
        <v>100000</v>
      </c>
      <c r="J11" s="23" t="s">
        <v>166</v>
      </c>
      <c r="K11" s="49">
        <f>I11/10</f>
        <v>10000</v>
      </c>
    </row>
    <row r="12" spans="1:13" s="23" customFormat="1" ht="31" customHeight="1" x14ac:dyDescent="0.35">
      <c r="A12" s="62"/>
      <c r="B12" s="15" t="s">
        <v>17</v>
      </c>
      <c r="C12" s="16">
        <f t="shared" ref="C12:C20" si="0">$K$19</f>
        <v>1749517.5</v>
      </c>
      <c r="D12" s="16">
        <f t="shared" ref="D12:D20" si="1">100000/10</f>
        <v>10000</v>
      </c>
      <c r="E12" s="17">
        <f t="shared" ref="E12:E20" si="2">C12+D12</f>
        <v>1759517.5</v>
      </c>
      <c r="F12" s="18">
        <f t="shared" ref="F12:F20" si="3">F11-E12</f>
        <v>14076140</v>
      </c>
      <c r="G12" s="19"/>
      <c r="H12" s="23" t="s">
        <v>67</v>
      </c>
      <c r="I12" s="47">
        <v>25749000</v>
      </c>
    </row>
    <row r="13" spans="1:13" s="23" customFormat="1" ht="31" customHeight="1" x14ac:dyDescent="0.35">
      <c r="A13" s="62"/>
      <c r="B13" s="15" t="s">
        <v>18</v>
      </c>
      <c r="C13" s="16">
        <f t="shared" si="0"/>
        <v>1749517.5</v>
      </c>
      <c r="D13" s="16">
        <f t="shared" si="1"/>
        <v>10000</v>
      </c>
      <c r="E13" s="17">
        <f t="shared" si="2"/>
        <v>1759517.5</v>
      </c>
      <c r="F13" s="18">
        <f t="shared" si="3"/>
        <v>12316622.5</v>
      </c>
      <c r="G13" s="19"/>
      <c r="H13" s="23" t="s">
        <v>112</v>
      </c>
      <c r="I13" s="47">
        <f>I12*7.5%</f>
        <v>1931175</v>
      </c>
    </row>
    <row r="14" spans="1:13" s="23" customFormat="1" ht="31" customHeight="1" x14ac:dyDescent="0.35">
      <c r="A14" s="63"/>
      <c r="B14" s="15" t="s">
        <v>19</v>
      </c>
      <c r="C14" s="16">
        <f t="shared" si="0"/>
        <v>1749517.5</v>
      </c>
      <c r="D14" s="16">
        <f t="shared" si="1"/>
        <v>10000</v>
      </c>
      <c r="E14" s="17">
        <f t="shared" si="2"/>
        <v>1759517.5</v>
      </c>
      <c r="F14" s="18">
        <f t="shared" si="3"/>
        <v>10557105</v>
      </c>
      <c r="G14" s="19"/>
      <c r="H14" s="23" t="s">
        <v>136</v>
      </c>
      <c r="I14" s="47">
        <f>I12+I13</f>
        <v>27680175</v>
      </c>
      <c r="J14" s="49">
        <f>I14/10</f>
        <v>2768017.5</v>
      </c>
      <c r="M14" s="49">
        <f>I14-I12</f>
        <v>1931175</v>
      </c>
    </row>
    <row r="15" spans="1:13" s="23" customFormat="1" ht="31" customHeight="1" x14ac:dyDescent="0.3">
      <c r="A15" s="63"/>
      <c r="B15" s="15" t="s">
        <v>20</v>
      </c>
      <c r="C15" s="16">
        <f t="shared" si="0"/>
        <v>1749517.5</v>
      </c>
      <c r="D15" s="16">
        <f t="shared" si="1"/>
        <v>10000</v>
      </c>
      <c r="E15" s="17">
        <f t="shared" si="2"/>
        <v>1759517.5</v>
      </c>
      <c r="F15" s="18">
        <f t="shared" si="3"/>
        <v>8797587.5</v>
      </c>
      <c r="G15" s="19"/>
      <c r="H15" s="2" t="s">
        <v>65</v>
      </c>
      <c r="I15" s="46">
        <f>I14+I11</f>
        <v>27780175</v>
      </c>
    </row>
    <row r="16" spans="1:13" s="23" customFormat="1" ht="31" customHeight="1" x14ac:dyDescent="0.35">
      <c r="A16" s="64"/>
      <c r="B16" s="15" t="s">
        <v>21</v>
      </c>
      <c r="C16" s="16">
        <f t="shared" si="0"/>
        <v>1749517.5</v>
      </c>
      <c r="D16" s="16">
        <f t="shared" si="1"/>
        <v>10000</v>
      </c>
      <c r="E16" s="17">
        <f t="shared" si="2"/>
        <v>1759517.5</v>
      </c>
      <c r="F16" s="18">
        <f t="shared" si="3"/>
        <v>7038070</v>
      </c>
      <c r="G16" s="19"/>
      <c r="I16" s="47"/>
    </row>
    <row r="17" spans="1:11" s="23" customFormat="1" ht="31" customHeight="1" x14ac:dyDescent="0.35">
      <c r="A17" s="64"/>
      <c r="B17" s="15" t="s">
        <v>22</v>
      </c>
      <c r="C17" s="16">
        <f t="shared" si="0"/>
        <v>1749517.5</v>
      </c>
      <c r="D17" s="16">
        <f t="shared" si="1"/>
        <v>10000</v>
      </c>
      <c r="E17" s="17">
        <f t="shared" si="2"/>
        <v>1759517.5</v>
      </c>
      <c r="F17" s="18">
        <f t="shared" si="3"/>
        <v>5278552.5</v>
      </c>
      <c r="G17" s="19"/>
      <c r="H17" s="23" t="s">
        <v>167</v>
      </c>
      <c r="I17" s="47">
        <v>10185000</v>
      </c>
    </row>
    <row r="18" spans="1:11" s="23" customFormat="1" ht="31" customHeight="1" x14ac:dyDescent="0.35">
      <c r="A18" s="64"/>
      <c r="B18" s="15" t="s">
        <v>23</v>
      </c>
      <c r="C18" s="16">
        <f t="shared" si="0"/>
        <v>1749517.5</v>
      </c>
      <c r="D18" s="16">
        <f t="shared" si="1"/>
        <v>10000</v>
      </c>
      <c r="E18" s="17">
        <f t="shared" si="2"/>
        <v>1759517.5</v>
      </c>
      <c r="F18" s="18">
        <f t="shared" si="3"/>
        <v>3519035</v>
      </c>
      <c r="G18" s="19"/>
      <c r="H18" s="23" t="s">
        <v>168</v>
      </c>
      <c r="I18" s="47">
        <f>I15-I17</f>
        <v>17595175</v>
      </c>
    </row>
    <row r="19" spans="1:11" s="23" customFormat="1" ht="31" customHeight="1" x14ac:dyDescent="0.35">
      <c r="A19" s="63"/>
      <c r="B19" s="15" t="s">
        <v>24</v>
      </c>
      <c r="C19" s="16">
        <f t="shared" si="0"/>
        <v>1749517.5</v>
      </c>
      <c r="D19" s="16">
        <f t="shared" si="1"/>
        <v>10000</v>
      </c>
      <c r="E19" s="17">
        <f t="shared" si="2"/>
        <v>1759517.5</v>
      </c>
      <c r="F19" s="18">
        <f t="shared" si="3"/>
        <v>1759517.5</v>
      </c>
      <c r="G19" s="19"/>
      <c r="H19" s="23" t="s">
        <v>169</v>
      </c>
      <c r="I19" s="47">
        <f>I18/10</f>
        <v>1759517.5</v>
      </c>
      <c r="J19" s="47"/>
      <c r="K19" s="49">
        <f>I19-K11</f>
        <v>1749517.5</v>
      </c>
    </row>
    <row r="20" spans="1:11" s="23" customFormat="1" ht="31" customHeight="1" x14ac:dyDescent="0.35">
      <c r="A20" s="63"/>
      <c r="B20" s="15" t="s">
        <v>25</v>
      </c>
      <c r="C20" s="16">
        <f t="shared" si="0"/>
        <v>1749517.5</v>
      </c>
      <c r="D20" s="16">
        <f t="shared" si="1"/>
        <v>10000</v>
      </c>
      <c r="E20" s="17">
        <f t="shared" si="2"/>
        <v>1759517.5</v>
      </c>
      <c r="F20" s="18">
        <f t="shared" si="3"/>
        <v>0</v>
      </c>
      <c r="G20" s="19"/>
      <c r="I20" s="47"/>
    </row>
    <row r="21" spans="1:11" s="23" customFormat="1" ht="31" customHeight="1" x14ac:dyDescent="0.3">
      <c r="A21" s="76" t="s">
        <v>26</v>
      </c>
      <c r="B21" s="77"/>
      <c r="C21" s="28">
        <f>SUM(C11:C20)</f>
        <v>17495175</v>
      </c>
      <c r="D21" s="28">
        <f>SUM(D11:D20)</f>
        <v>100000</v>
      </c>
      <c r="E21" s="28">
        <f>SUM(E11:E20)</f>
        <v>17595175</v>
      </c>
      <c r="F21" s="18"/>
      <c r="G21" s="19"/>
      <c r="H21" s="2"/>
      <c r="I21" s="46"/>
    </row>
    <row r="23" spans="1:11" ht="19.5" customHeight="1" x14ac:dyDescent="0.3">
      <c r="A23" s="29"/>
      <c r="B23" s="78"/>
      <c r="C23" s="78"/>
      <c r="D23" s="78"/>
      <c r="E23" s="78"/>
      <c r="F23" s="78"/>
    </row>
    <row r="24" spans="1:11" x14ac:dyDescent="0.3">
      <c r="B24" s="31"/>
      <c r="C24" s="32"/>
    </row>
    <row r="25" spans="1:11" x14ac:dyDescent="0.3">
      <c r="B25" s="31"/>
      <c r="C25" s="66"/>
    </row>
    <row r="26" spans="1:11" x14ac:dyDescent="0.3">
      <c r="B26" s="34"/>
      <c r="C26" s="35"/>
    </row>
  </sheetData>
  <mergeCells count="13">
    <mergeCell ref="E7:E8"/>
    <mergeCell ref="A21:B21"/>
    <mergeCell ref="B23:F23"/>
    <mergeCell ref="A1:G1"/>
    <mergeCell ref="A2:G2"/>
    <mergeCell ref="A3:G3"/>
    <mergeCell ref="B5:F5"/>
    <mergeCell ref="A6:A8"/>
    <mergeCell ref="B6:B8"/>
    <mergeCell ref="C6:E6"/>
    <mergeCell ref="F6:F8"/>
    <mergeCell ref="G6:G8"/>
    <mergeCell ref="C7:D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37</vt:i4>
      </vt:variant>
    </vt:vector>
  </HeadingPairs>
  <TitlesOfParts>
    <vt:vector size="74" baseType="lpstr">
      <vt:lpstr>REGULER BARANG-HP RONY</vt:lpstr>
      <vt:lpstr>REGULER HP - SUMARTINI</vt:lpstr>
      <vt:lpstr>REGULER BARANG-HP RUSDY WANGSA</vt:lpstr>
      <vt:lpstr>REGULER BARANG-MESIN CUCI</vt:lpstr>
      <vt:lpstr>REGULER MTR SCOOPY</vt:lpstr>
      <vt:lpstr>REGULER MTR AEROX</vt:lpstr>
      <vt:lpstr>PINJ.HOTEL FERRY</vt:lpstr>
      <vt:lpstr>REGULER - PEMB. GARMIN S42</vt:lpstr>
      <vt:lpstr>REGULER - PEMB.GOLF WILLY</vt:lpstr>
      <vt:lpstr>REGULER - PS5</vt:lpstr>
      <vt:lpstr>LUNAS-PINJ HP SAMSUNG S25</vt:lpstr>
      <vt:lpstr>PINJ IPHONE ADITYO</vt:lpstr>
      <vt:lpstr>PINJ.THULE MARDINI</vt:lpstr>
      <vt:lpstr>PINJ.THULE YULIA DIAN ANGGRAINI</vt:lpstr>
      <vt:lpstr>PINJ.THULE RANDY</vt:lpstr>
      <vt:lpstr>PINJ.THULE ADITYO NUGROHO</vt:lpstr>
      <vt:lpstr>PINJ TV DWI CAHYA KURNIAWAN</vt:lpstr>
      <vt:lpstr>PINJ HP REDMI RISKA TRI</vt:lpstr>
      <vt:lpstr>PINJ iPAD A16 RISKA DERIANI MAS</vt:lpstr>
      <vt:lpstr>PINJ SEPATU M.ADITYO N</vt:lpstr>
      <vt:lpstr>PINJ AIR PURIFIER M.ADITYO N</vt:lpstr>
      <vt:lpstr>PINJ. LAPTOP ADESTA</vt:lpstr>
      <vt:lpstr>PINJ. MESIN CUCI BARU AWAN</vt:lpstr>
      <vt:lpstr>PINJ. TV MARIYANA</vt:lpstr>
      <vt:lpstr>PINJ. HP OPPO ALWIN</vt:lpstr>
      <vt:lpstr>PINJ. MOTOR KAWASAKI</vt:lpstr>
      <vt:lpstr>PINJ.ALAT GOLF M.ADITYO</vt:lpstr>
      <vt:lpstr>PINJ.GOLF ADITYO NUGROHO</vt:lpstr>
      <vt:lpstr>PINJ. AIR PURIEF DWI CAHYA</vt:lpstr>
      <vt:lpstr>PINJ. LAPTOP DWI CAHYA</vt:lpstr>
      <vt:lpstr>PINJ HP IQOO RANDI RANTE</vt:lpstr>
      <vt:lpstr>PINJ SAMSUNG GALAXY TAB S10</vt:lpstr>
      <vt:lpstr>PINJ MOTOR RISKA TRI HANDINI</vt:lpstr>
      <vt:lpstr>PINJ AQUA CHESTFEEZER &amp; ELECTRO</vt:lpstr>
      <vt:lpstr>PINJ APPLE IPAD 11</vt:lpstr>
      <vt:lpstr>PINJ HP IPHONE 17 ASPAR</vt:lpstr>
      <vt:lpstr>PINJ HP IPHONE 17 WILLY</vt:lpstr>
      <vt:lpstr>'LUNAS-PINJ HP SAMSUNG S25'!Print_Area</vt:lpstr>
      <vt:lpstr>'PINJ AIR PURIFIER M.ADITYO N'!Print_Area</vt:lpstr>
      <vt:lpstr>'PINJ APPLE IPAD 11'!Print_Area</vt:lpstr>
      <vt:lpstr>'PINJ AQUA CHESTFEEZER &amp; ELECTRO'!Print_Area</vt:lpstr>
      <vt:lpstr>'PINJ HP IPHONE 17 ASPAR'!Print_Area</vt:lpstr>
      <vt:lpstr>'PINJ HP IPHONE 17 WILLY'!Print_Area</vt:lpstr>
      <vt:lpstr>'PINJ HP IQOO RANDI RANTE'!Print_Area</vt:lpstr>
      <vt:lpstr>'PINJ HP REDMI RISKA TRI'!Print_Area</vt:lpstr>
      <vt:lpstr>'PINJ iPAD A16 RISKA DERIANI MAS'!Print_Area</vt:lpstr>
      <vt:lpstr>'PINJ IPHONE ADITYO'!Print_Area</vt:lpstr>
      <vt:lpstr>'PINJ MOTOR RISKA TRI HANDINI'!Print_Area</vt:lpstr>
      <vt:lpstr>'PINJ SAMSUNG GALAXY TAB S10'!Print_Area</vt:lpstr>
      <vt:lpstr>'PINJ SEPATU M.ADITYO N'!Print_Area</vt:lpstr>
      <vt:lpstr>'PINJ TV DWI CAHYA KURNIAWAN'!Print_Area</vt:lpstr>
      <vt:lpstr>'PINJ. AIR PURIEF DWI CAHYA'!Print_Area</vt:lpstr>
      <vt:lpstr>'PINJ. HP OPPO ALWIN'!Print_Area</vt:lpstr>
      <vt:lpstr>'PINJ. LAPTOP ADESTA'!Print_Area</vt:lpstr>
      <vt:lpstr>'PINJ. LAPTOP DWI CAHYA'!Print_Area</vt:lpstr>
      <vt:lpstr>'PINJ. MESIN CUCI BARU AWAN'!Print_Area</vt:lpstr>
      <vt:lpstr>'PINJ. MOTOR KAWASAKI'!Print_Area</vt:lpstr>
      <vt:lpstr>'PINJ. TV MARIYANA'!Print_Area</vt:lpstr>
      <vt:lpstr>'PINJ.ALAT GOLF M.ADITYO'!Print_Area</vt:lpstr>
      <vt:lpstr>'PINJ.GOLF ADITYO NUGROHO'!Print_Area</vt:lpstr>
      <vt:lpstr>'PINJ.HOTEL FERRY'!Print_Area</vt:lpstr>
      <vt:lpstr>'PINJ.THULE ADITYO NUGROHO'!Print_Area</vt:lpstr>
      <vt:lpstr>'PINJ.THULE MARDINI'!Print_Area</vt:lpstr>
      <vt:lpstr>'PINJ.THULE RANDY'!Print_Area</vt:lpstr>
      <vt:lpstr>'PINJ.THULE YULIA DIAN ANGGRAINI'!Print_Area</vt:lpstr>
      <vt:lpstr>'REGULER - PEMB. GARMIN S42'!Print_Area</vt:lpstr>
      <vt:lpstr>'REGULER - PEMB.GOLF WILLY'!Print_Area</vt:lpstr>
      <vt:lpstr>'REGULER - PS5'!Print_Area</vt:lpstr>
      <vt:lpstr>'REGULER BARANG-HP RONY'!Print_Area</vt:lpstr>
      <vt:lpstr>'REGULER BARANG-HP RUSDY WANGSA'!Print_Area</vt:lpstr>
      <vt:lpstr>'REGULER BARANG-MESIN CUCI'!Print_Area</vt:lpstr>
      <vt:lpstr>'REGULER HP - SUMARTINI'!Print_Area</vt:lpstr>
      <vt:lpstr>'REGULER MTR AEROX'!Print_Area</vt:lpstr>
      <vt:lpstr>'REGULER MTR SCOOPY'!Print_Area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Hazlinda</dc:creator>
  <cp:lastModifiedBy>Vivi Hazlinda</cp:lastModifiedBy>
  <cp:lastPrinted>2026-01-07T04:45:47Z</cp:lastPrinted>
  <dcterms:created xsi:type="dcterms:W3CDTF">2025-04-30T06:59:45Z</dcterms:created>
  <dcterms:modified xsi:type="dcterms:W3CDTF">2026-01-07T06:46:19Z</dcterms:modified>
</cp:coreProperties>
</file>