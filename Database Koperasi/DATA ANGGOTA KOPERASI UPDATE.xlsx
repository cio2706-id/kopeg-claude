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dw\Downloads\"/>
    </mc:Choice>
  </mc:AlternateContent>
  <xr:revisionPtr revIDLastSave="0" documentId="13_ncr:1_{4B91335B-73B9-4B24-8166-8E142D4762ED}" xr6:coauthVersionLast="47" xr6:coauthVersionMax="47" xr10:uidLastSave="{00000000-0000-0000-0000-000000000000}"/>
  <bookViews>
    <workbookView xWindow="20" yWindow="20" windowWidth="19180" windowHeight="10780" tabRatio="807" xr2:uid="{A77BF903-03A1-4B6B-B7E4-CDB109524912}"/>
  </bookViews>
  <sheets>
    <sheet name="ALL" sheetId="1" r:id="rId1"/>
    <sheet name="Rekon Cabang 2" sheetId="12" state="hidden" r:id="rId2"/>
    <sheet name="Rek. Cab Selindo" sheetId="8" state="hidden" r:id="rId3"/>
    <sheet name="Rek. Pusat 1" sheetId="10" state="hidden" r:id="rId4"/>
    <sheet name="Rek. Pusat" sheetId="11" state="hidden" r:id="rId5"/>
    <sheet name="Rek. Pusat 3" sheetId="9" state="hidden" r:id="rId6"/>
    <sheet name="Rek. IDS" sheetId="7" state="hidden" r:id="rId7"/>
    <sheet name="RINCIAN" sheetId="2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_DAT2">#REF!</definedName>
    <definedName name="__IntlFixup" hidden="1">TRUE</definedName>
    <definedName name="_DAT2">#REF!</definedName>
    <definedName name="_Fill" hidden="1">#REF!</definedName>
    <definedName name="_xlnm._FilterDatabase" localSheetId="0" hidden="1">ALL!$A$1:$J$675</definedName>
    <definedName name="_xlnm._FilterDatabase" localSheetId="1" hidden="1">'Rekon Cabang 2'!$I$2:$K$155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a">#REF!</definedName>
    <definedName name="aa">#REF!</definedName>
    <definedName name="AAA">#REF!</definedName>
    <definedName name="aaaa">#REF!</definedName>
    <definedName name="ABANG">#REF!</definedName>
    <definedName name="ada">#REF!</definedName>
    <definedName name="AllCheck" localSheetId="7">#REF!</definedName>
    <definedName name="AllCheck">#REF!</definedName>
    <definedName name="ANGKA1">#REF!</definedName>
    <definedName name="anscount" hidden="1">1</definedName>
    <definedName name="apa">#REF!</definedName>
    <definedName name="besi">#REF!</definedName>
    <definedName name="d">#REF!</definedName>
    <definedName name="da">#REF!</definedName>
    <definedName name="DAT">#REF!</definedName>
    <definedName name="data1">#REF!</definedName>
    <definedName name="database1">#REF!</definedName>
    <definedName name="DATANAS">#REF!</definedName>
    <definedName name="DD">#REF!</definedName>
    <definedName name="del">#REF!</definedName>
    <definedName name="f">#REF!</definedName>
    <definedName name="ik">#REF!</definedName>
    <definedName name="iku">#REF!</definedName>
    <definedName name="JUAL">#REF!</definedName>
    <definedName name="jual1012">#REF!</definedName>
    <definedName name="kdthp">#REF!</definedName>
    <definedName name="kdtot">#REF!</definedName>
    <definedName name="Keb_SDM">#REF!</definedName>
    <definedName name="KELPEG" localSheetId="7">#REF!</definedName>
    <definedName name="KELPEG">#REF!</definedName>
    <definedName name="kode">#REF!</definedName>
    <definedName name="kurs">#REF!</definedName>
    <definedName name="limcount" hidden="1">1</definedName>
    <definedName name="NASNAS">#REF!</definedName>
    <definedName name="ok" hidden="1">#REF!</definedName>
    <definedName name="PArea" localSheetId="7">#REF!</definedName>
    <definedName name="PArea">#REF!</definedName>
    <definedName name="POTONGAN">#REF!</definedName>
    <definedName name="Potongan1">#REF!</definedName>
    <definedName name="POTREV" localSheetId="7">#REF!</definedName>
    <definedName name="POTREV">#REF!</definedName>
    <definedName name="PP_PT">#REF!</definedName>
    <definedName name="_xlnm.Print_Area">#REF!</definedName>
    <definedName name="Print_Area1">#REF!</definedName>
    <definedName name="ptkp">#REF!</definedName>
    <definedName name="ptkp1" localSheetId="7">#REF!</definedName>
    <definedName name="ptkp1">#REF!</definedName>
    <definedName name="S">#REF!</definedName>
    <definedName name="SAPI">#REF!</definedName>
    <definedName name="SB">#REF!</definedName>
    <definedName name="sencount" hidden="1">1</definedName>
    <definedName name="SS">#REF!</definedName>
    <definedName name="TABEL1">#REF!</definedName>
    <definedName name="tahap">#REF!</definedName>
    <definedName name="thp">#REF!</definedName>
    <definedName name="UMUM">#REF!</definedName>
    <definedName name="UUU" hidden="1">#REF!</definedName>
    <definedName name="XX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81" i="1" l="1"/>
  <c r="H680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53" i="1"/>
  <c r="H650" i="1"/>
  <c r="H633" i="1"/>
  <c r="H617" i="1"/>
  <c r="H616" i="1"/>
  <c r="H612" i="1"/>
  <c r="H583" i="1"/>
  <c r="H538" i="1"/>
  <c r="H537" i="1"/>
  <c r="H536" i="1"/>
  <c r="H530" i="1"/>
  <c r="H526" i="1"/>
  <c r="H525" i="1"/>
  <c r="H521" i="1"/>
  <c r="H520" i="1"/>
  <c r="H517" i="1"/>
  <c r="H508" i="1"/>
  <c r="H504" i="1"/>
  <c r="H490" i="1"/>
  <c r="H489" i="1"/>
  <c r="H488" i="1"/>
  <c r="H487" i="1"/>
  <c r="H483" i="1"/>
  <c r="H479" i="1"/>
  <c r="H468" i="1"/>
  <c r="H466" i="1"/>
  <c r="H465" i="1"/>
  <c r="H458" i="1"/>
  <c r="H456" i="1"/>
  <c r="H451" i="1"/>
  <c r="H426" i="1"/>
  <c r="H402" i="1"/>
  <c r="H386" i="1"/>
  <c r="H380" i="1"/>
  <c r="H378" i="1"/>
  <c r="H377" i="1"/>
  <c r="H374" i="1"/>
  <c r="H349" i="1"/>
  <c r="H337" i="1"/>
  <c r="H322" i="1"/>
  <c r="H317" i="1"/>
  <c r="H299" i="1"/>
  <c r="H298" i="1"/>
  <c r="H297" i="1"/>
  <c r="H294" i="1"/>
  <c r="H293" i="1"/>
  <c r="H290" i="1"/>
  <c r="H287" i="1"/>
  <c r="H286" i="1"/>
  <c r="H285" i="1"/>
  <c r="H284" i="1"/>
  <c r="H283" i="1"/>
  <c r="H280" i="1"/>
  <c r="H279" i="1"/>
  <c r="H276" i="1"/>
  <c r="H262" i="1"/>
  <c r="H257" i="1"/>
  <c r="H256" i="1"/>
  <c r="H252" i="1"/>
  <c r="H250" i="1"/>
  <c r="H247" i="1"/>
  <c r="H239" i="1"/>
  <c r="H236" i="1"/>
  <c r="H235" i="1"/>
  <c r="H233" i="1"/>
  <c r="H232" i="1"/>
  <c r="H229" i="1"/>
  <c r="H224" i="1"/>
  <c r="H218" i="1"/>
  <c r="H214" i="1"/>
  <c r="H213" i="1"/>
  <c r="H210" i="1"/>
  <c r="H208" i="1"/>
  <c r="H207" i="1"/>
  <c r="H204" i="1"/>
  <c r="H202" i="1"/>
  <c r="H201" i="1"/>
  <c r="H199" i="1"/>
  <c r="H198" i="1"/>
  <c r="H197" i="1"/>
  <c r="H194" i="1"/>
  <c r="H183" i="1"/>
  <c r="H174" i="1"/>
  <c r="H172" i="1"/>
  <c r="H160" i="1"/>
  <c r="H159" i="1"/>
  <c r="H157" i="1"/>
  <c r="H142" i="1"/>
  <c r="H140" i="1"/>
  <c r="H138" i="1"/>
  <c r="H130" i="1"/>
  <c r="H124" i="1"/>
  <c r="H59" i="1"/>
  <c r="H52" i="1"/>
  <c r="H51" i="1"/>
  <c r="H48" i="1"/>
  <c r="H45" i="1"/>
  <c r="H44" i="1"/>
  <c r="H35" i="1"/>
  <c r="H30" i="1"/>
  <c r="H27" i="1"/>
  <c r="H25" i="1"/>
  <c r="H24" i="1"/>
  <c r="H23" i="1"/>
  <c r="H21" i="1"/>
  <c r="H20" i="1"/>
  <c r="H18" i="1"/>
  <c r="H17" i="1"/>
  <c r="H16" i="1"/>
  <c r="H11" i="1"/>
  <c r="H8" i="1"/>
  <c r="H7" i="1"/>
  <c r="H6" i="1"/>
  <c r="H5" i="1"/>
  <c r="G663" i="1" l="1"/>
  <c r="G664" i="1"/>
  <c r="G666" i="1"/>
  <c r="G667" i="1"/>
  <c r="G670" i="1"/>
  <c r="G661" i="1" l="1"/>
  <c r="G660" i="1"/>
  <c r="G653" i="1"/>
  <c r="G650" i="1"/>
  <c r="G644" i="1"/>
  <c r="G633" i="1"/>
  <c r="G617" i="1"/>
  <c r="G616" i="1"/>
  <c r="G612" i="1"/>
  <c r="G583" i="1"/>
  <c r="G542" i="1"/>
  <c r="G541" i="1"/>
  <c r="G540" i="1"/>
  <c r="G538" i="1"/>
  <c r="G537" i="1"/>
  <c r="G536" i="1"/>
  <c r="G534" i="1"/>
  <c r="G533" i="1"/>
  <c r="G532" i="1"/>
  <c r="G531" i="1"/>
  <c r="G530" i="1"/>
  <c r="G528" i="1"/>
  <c r="G527" i="1"/>
  <c r="G526" i="1"/>
  <c r="G525" i="1"/>
  <c r="G524" i="1"/>
  <c r="G523" i="1"/>
  <c r="G522" i="1"/>
  <c r="G521" i="1"/>
  <c r="G520" i="1"/>
  <c r="G517" i="1"/>
  <c r="G515" i="1"/>
  <c r="G513" i="1"/>
  <c r="G512" i="1"/>
  <c r="G509" i="1"/>
  <c r="G508" i="1"/>
  <c r="G507" i="1"/>
  <c r="G506" i="1"/>
  <c r="G505" i="1"/>
  <c r="G504" i="1"/>
  <c r="G503" i="1"/>
  <c r="G501" i="1"/>
  <c r="G500" i="1"/>
  <c r="G499" i="1"/>
  <c r="G495" i="1"/>
  <c r="G493" i="1"/>
  <c r="G492" i="1"/>
  <c r="G491" i="1"/>
  <c r="G490" i="1"/>
  <c r="G488" i="1"/>
  <c r="G487" i="1"/>
  <c r="G485" i="1"/>
  <c r="G484" i="1"/>
  <c r="G483" i="1"/>
  <c r="G481" i="1"/>
  <c r="G480" i="1"/>
  <c r="G479" i="1"/>
  <c r="G478" i="1"/>
  <c r="G477" i="1"/>
  <c r="G476" i="1"/>
  <c r="G475" i="1"/>
  <c r="G474" i="1"/>
  <c r="G473" i="1"/>
  <c r="G472" i="1"/>
  <c r="G470" i="1"/>
  <c r="G469" i="1"/>
  <c r="G468" i="1"/>
  <c r="G466" i="1"/>
  <c r="G465" i="1"/>
  <c r="G464" i="1"/>
  <c r="G462" i="1"/>
  <c r="G460" i="1"/>
  <c r="G458" i="1"/>
  <c r="G457" i="1"/>
  <c r="G456" i="1"/>
  <c r="G452" i="1"/>
  <c r="G451" i="1"/>
  <c r="G450" i="1"/>
  <c r="G448" i="1"/>
  <c r="G442" i="1"/>
  <c r="G434" i="1"/>
  <c r="G431" i="1"/>
  <c r="G429" i="1"/>
  <c r="G426" i="1"/>
  <c r="G424" i="1"/>
  <c r="G421" i="1"/>
  <c r="G417" i="1"/>
  <c r="G414" i="1"/>
  <c r="G412" i="1"/>
  <c r="G411" i="1"/>
  <c r="G409" i="1"/>
  <c r="G408" i="1"/>
  <c r="G407" i="1"/>
  <c r="G402" i="1"/>
  <c r="G398" i="1"/>
  <c r="G392" i="1"/>
  <c r="G391" i="1"/>
  <c r="G389" i="1"/>
  <c r="G386" i="1"/>
  <c r="G385" i="1"/>
  <c r="G384" i="1"/>
  <c r="G383" i="1"/>
  <c r="G382" i="1"/>
  <c r="G381" i="1"/>
  <c r="G380" i="1"/>
  <c r="G378" i="1"/>
  <c r="G377" i="1"/>
  <c r="G374" i="1"/>
  <c r="G370" i="1"/>
  <c r="G366" i="1"/>
  <c r="G363" i="1"/>
  <c r="G356" i="1"/>
  <c r="G353" i="1"/>
  <c r="G350" i="1"/>
  <c r="G349" i="1"/>
  <c r="G347" i="1"/>
  <c r="G345" i="1"/>
  <c r="G343" i="1"/>
  <c r="G342" i="1"/>
  <c r="G339" i="1"/>
  <c r="G338" i="1"/>
  <c r="G337" i="1"/>
  <c r="G332" i="1"/>
  <c r="G327" i="1"/>
  <c r="G324" i="1"/>
  <c r="G323" i="1"/>
  <c r="G322" i="1"/>
  <c r="G321" i="1"/>
  <c r="G320" i="1"/>
  <c r="G317" i="1"/>
  <c r="G316" i="1"/>
  <c r="G307" i="1"/>
  <c r="G302" i="1"/>
  <c r="G300" i="1"/>
  <c r="G299" i="1"/>
  <c r="G297" i="1"/>
  <c r="G296" i="1"/>
  <c r="G294" i="1"/>
  <c r="G293" i="1"/>
  <c r="G292" i="1"/>
  <c r="G290" i="1"/>
  <c r="G289" i="1"/>
  <c r="G288" i="1"/>
  <c r="G287" i="1"/>
  <c r="G286" i="1"/>
  <c r="G283" i="1"/>
  <c r="G281" i="1"/>
  <c r="G280" i="1"/>
  <c r="G277" i="1"/>
  <c r="G276" i="1"/>
  <c r="G274" i="1"/>
  <c r="G273" i="1"/>
  <c r="G272" i="1"/>
  <c r="G271" i="1"/>
  <c r="G269" i="1"/>
  <c r="G268" i="1"/>
  <c r="G267" i="1"/>
  <c r="G266" i="1"/>
  <c r="G265" i="1"/>
  <c r="G263" i="1"/>
  <c r="G262" i="1"/>
  <c r="G261" i="1"/>
  <c r="G259" i="1"/>
  <c r="G258" i="1"/>
  <c r="G257" i="1"/>
  <c r="G256" i="1"/>
  <c r="G255" i="1"/>
  <c r="G252" i="1"/>
  <c r="G251" i="1"/>
  <c r="G250" i="1"/>
  <c r="G248" i="1"/>
  <c r="G247" i="1"/>
  <c r="G246" i="1"/>
  <c r="G245" i="1"/>
  <c r="G243" i="1"/>
  <c r="G242" i="1"/>
  <c r="G241" i="1"/>
  <c r="G239" i="1"/>
  <c r="G238" i="1"/>
  <c r="G237" i="1"/>
  <c r="G236" i="1"/>
  <c r="G235" i="1"/>
  <c r="G233" i="1"/>
  <c r="G232" i="1"/>
  <c r="G230" i="1"/>
  <c r="G229" i="1"/>
  <c r="G227" i="1"/>
  <c r="G226" i="1"/>
  <c r="G225" i="1"/>
  <c r="G224" i="1"/>
  <c r="G218" i="1"/>
  <c r="G214" i="1"/>
  <c r="G213" i="1"/>
  <c r="G212" i="1"/>
  <c r="G211" i="1"/>
  <c r="G210" i="1"/>
  <c r="G209" i="1"/>
  <c r="G208" i="1"/>
  <c r="G207" i="1"/>
  <c r="G204" i="1"/>
  <c r="G202" i="1"/>
  <c r="G201" i="1"/>
  <c r="G200" i="1"/>
  <c r="G199" i="1"/>
  <c r="G198" i="1"/>
  <c r="G197" i="1"/>
  <c r="G195" i="1"/>
  <c r="G194" i="1"/>
  <c r="G192" i="1"/>
  <c r="G191" i="1"/>
  <c r="G188" i="1"/>
  <c r="G183" i="1"/>
  <c r="G178" i="1"/>
  <c r="G177" i="1"/>
  <c r="G174" i="1"/>
  <c r="G172" i="1"/>
  <c r="G168" i="1"/>
  <c r="G160" i="1"/>
  <c r="G159" i="1"/>
  <c r="G157" i="1"/>
  <c r="G143" i="1"/>
  <c r="G142" i="1"/>
  <c r="G140" i="1"/>
  <c r="G138" i="1"/>
  <c r="G137" i="1"/>
  <c r="G136" i="1"/>
  <c r="G132" i="1"/>
  <c r="G131" i="1"/>
  <c r="G130" i="1"/>
  <c r="G128" i="1"/>
  <c r="G127" i="1"/>
  <c r="G126" i="1"/>
  <c r="G124" i="1"/>
  <c r="G122" i="1"/>
  <c r="G121" i="1"/>
  <c r="G112" i="1"/>
  <c r="G111" i="1"/>
  <c r="G109" i="1"/>
  <c r="G108" i="1"/>
  <c r="G101" i="1"/>
  <c r="G100" i="1"/>
  <c r="G92" i="1"/>
  <c r="G91" i="1"/>
  <c r="G90" i="1"/>
  <c r="G89" i="1"/>
  <c r="G82" i="1"/>
  <c r="G75" i="1"/>
  <c r="G74" i="1"/>
  <c r="G72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J287" i="1" l="1"/>
  <c r="J380" i="1"/>
  <c r="N668" i="1"/>
  <c r="I176" i="1"/>
  <c r="J661" i="1"/>
  <c r="J644" i="1"/>
  <c r="J612" i="1"/>
  <c r="J541" i="1"/>
  <c r="J470" i="1"/>
  <c r="J469" i="1"/>
  <c r="J465" i="1"/>
  <c r="J464" i="1"/>
  <c r="J462" i="1"/>
  <c r="J457" i="1"/>
  <c r="J442" i="1"/>
  <c r="J389" i="1"/>
  <c r="J385" i="1"/>
  <c r="J384" i="1"/>
  <c r="J382" i="1"/>
  <c r="J381" i="1"/>
  <c r="J349" i="1"/>
  <c r="J332" i="1"/>
  <c r="J308" i="1"/>
  <c r="J307" i="1"/>
  <c r="J305" i="1"/>
  <c r="J297" i="1"/>
  <c r="J292" i="1"/>
  <c r="J288" i="1"/>
  <c r="J285" i="1"/>
  <c r="J284" i="1"/>
  <c r="J282" i="1"/>
  <c r="J281" i="1"/>
  <c r="J279" i="1"/>
  <c r="J277" i="1"/>
  <c r="J267" i="1"/>
  <c r="J266" i="1"/>
  <c r="J259" i="1"/>
  <c r="J258" i="1"/>
  <c r="J242" i="1"/>
  <c r="J241" i="1"/>
  <c r="J238" i="1"/>
  <c r="J233" i="1"/>
  <c r="J229" i="1"/>
  <c r="J226" i="1"/>
  <c r="J224" i="1"/>
  <c r="J218" i="1"/>
  <c r="J217" i="1"/>
  <c r="J212" i="1"/>
  <c r="J211" i="1"/>
  <c r="J210" i="1"/>
  <c r="J209" i="1"/>
  <c r="J207" i="1"/>
  <c r="J202" i="1"/>
  <c r="J200" i="1"/>
  <c r="J199" i="1"/>
  <c r="J197" i="1"/>
  <c r="J192" i="1"/>
  <c r="J188" i="1"/>
  <c r="J183" i="1"/>
  <c r="J177" i="1"/>
  <c r="J176" i="1"/>
  <c r="J172" i="1"/>
  <c r="J43" i="1"/>
  <c r="J540" i="1" l="1"/>
  <c r="J538" i="1"/>
  <c r="J537" i="1"/>
  <c r="J536" i="1"/>
  <c r="J535" i="1"/>
  <c r="J534" i="1"/>
  <c r="J533" i="1"/>
  <c r="J532" i="1"/>
  <c r="I540" i="1"/>
  <c r="I538" i="1"/>
  <c r="I537" i="1"/>
  <c r="I536" i="1"/>
  <c r="I535" i="1"/>
  <c r="I534" i="1"/>
  <c r="I533" i="1"/>
  <c r="I532" i="1"/>
  <c r="J530" i="1" l="1"/>
  <c r="J527" i="1"/>
  <c r="J526" i="1"/>
  <c r="J523" i="1"/>
  <c r="J522" i="1"/>
  <c r="J520" i="1"/>
  <c r="J517" i="1"/>
  <c r="J515" i="1"/>
  <c r="J513" i="1"/>
  <c r="J484" i="1"/>
  <c r="I530" i="1"/>
  <c r="I527" i="1"/>
  <c r="I526" i="1"/>
  <c r="I525" i="1"/>
  <c r="I523" i="1"/>
  <c r="I522" i="1"/>
  <c r="I520" i="1"/>
  <c r="I517" i="1"/>
  <c r="I515" i="1"/>
  <c r="I513" i="1"/>
  <c r="I484" i="1"/>
  <c r="J525" i="1" l="1"/>
  <c r="J528" i="1" l="1"/>
  <c r="J524" i="1"/>
  <c r="J521" i="1"/>
  <c r="J512" i="1"/>
  <c r="J509" i="1"/>
  <c r="J508" i="1"/>
  <c r="J507" i="1"/>
  <c r="J506" i="1"/>
  <c r="J505" i="1"/>
  <c r="J504" i="1"/>
  <c r="J503" i="1"/>
  <c r="J501" i="1"/>
  <c r="J500" i="1"/>
  <c r="J499" i="1"/>
  <c r="J495" i="1"/>
  <c r="J493" i="1"/>
  <c r="J492" i="1"/>
  <c r="J491" i="1"/>
  <c r="J490" i="1"/>
  <c r="J489" i="1"/>
  <c r="J488" i="1"/>
  <c r="J487" i="1"/>
  <c r="J485" i="1"/>
  <c r="J483" i="1"/>
  <c r="J481" i="1"/>
  <c r="J480" i="1"/>
  <c r="J479" i="1"/>
  <c r="J478" i="1"/>
  <c r="J477" i="1"/>
  <c r="J476" i="1"/>
  <c r="J475" i="1"/>
  <c r="J474" i="1"/>
  <c r="J473" i="1"/>
  <c r="J472" i="1"/>
  <c r="J243" i="1"/>
  <c r="I528" i="1"/>
  <c r="I524" i="1"/>
  <c r="I521" i="1"/>
  <c r="I512" i="1"/>
  <c r="I509" i="1"/>
  <c r="I508" i="1"/>
  <c r="I507" i="1"/>
  <c r="I506" i="1"/>
  <c r="I505" i="1"/>
  <c r="I504" i="1"/>
  <c r="I503" i="1"/>
  <c r="I501" i="1"/>
  <c r="I500" i="1"/>
  <c r="I499" i="1"/>
  <c r="I495" i="1"/>
  <c r="I493" i="1"/>
  <c r="I492" i="1"/>
  <c r="I491" i="1"/>
  <c r="I490" i="1"/>
  <c r="I489" i="1"/>
  <c r="I488" i="1"/>
  <c r="I487" i="1"/>
  <c r="I485" i="1"/>
  <c r="I483" i="1"/>
  <c r="I481" i="1"/>
  <c r="I480" i="1"/>
  <c r="I479" i="1"/>
  <c r="I478" i="1"/>
  <c r="I477" i="1"/>
  <c r="I476" i="1"/>
  <c r="I475" i="1"/>
  <c r="I474" i="1"/>
  <c r="I473" i="1"/>
  <c r="I472" i="1"/>
  <c r="I243" i="1"/>
  <c r="J434" i="1" l="1"/>
  <c r="J137" i="1"/>
  <c r="J136" i="1"/>
  <c r="J132" i="1"/>
  <c r="J131" i="1"/>
  <c r="J130" i="1"/>
  <c r="J128" i="1"/>
  <c r="J127" i="1"/>
  <c r="J126" i="1"/>
  <c r="J124" i="1"/>
  <c r="J121" i="1"/>
  <c r="I434" i="1"/>
  <c r="I137" i="1"/>
  <c r="I136" i="1"/>
  <c r="I132" i="1"/>
  <c r="I131" i="1"/>
  <c r="I130" i="1"/>
  <c r="I128" i="1"/>
  <c r="I127" i="1"/>
  <c r="I126" i="1"/>
  <c r="I124" i="1"/>
  <c r="I121" i="1"/>
  <c r="J451" i="1" l="1"/>
  <c r="J450" i="1"/>
  <c r="J429" i="1"/>
  <c r="J424" i="1"/>
  <c r="J421" i="1"/>
  <c r="J417" i="1"/>
  <c r="J414" i="1"/>
  <c r="J168" i="1"/>
  <c r="J160" i="1"/>
  <c r="J159" i="1"/>
  <c r="J157" i="1"/>
  <c r="J143" i="1"/>
  <c r="J142" i="1"/>
  <c r="J122" i="1"/>
  <c r="J112" i="1"/>
  <c r="J111" i="1"/>
  <c r="J109" i="1"/>
  <c r="J108" i="1"/>
  <c r="J106" i="1"/>
  <c r="J101" i="1"/>
  <c r="J100" i="1"/>
  <c r="J92" i="1"/>
  <c r="J91" i="1"/>
  <c r="J90" i="1"/>
  <c r="J89" i="1"/>
  <c r="J83" i="1"/>
  <c r="J82" i="1"/>
  <c r="J75" i="1"/>
  <c r="J74" i="1"/>
  <c r="J72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451" i="1"/>
  <c r="I450" i="1"/>
  <c r="I429" i="1"/>
  <c r="I424" i="1"/>
  <c r="I421" i="1"/>
  <c r="I417" i="1"/>
  <c r="I414" i="1"/>
  <c r="I168" i="1"/>
  <c r="I160" i="1"/>
  <c r="I159" i="1"/>
  <c r="I157" i="1"/>
  <c r="I143" i="1"/>
  <c r="I142" i="1"/>
  <c r="I122" i="1"/>
  <c r="I112" i="1"/>
  <c r="I111" i="1"/>
  <c r="I109" i="1"/>
  <c r="I108" i="1"/>
  <c r="I106" i="1"/>
  <c r="I101" i="1"/>
  <c r="I100" i="1"/>
  <c r="I92" i="1"/>
  <c r="I91" i="1"/>
  <c r="I90" i="1"/>
  <c r="I89" i="1"/>
  <c r="I83" i="1"/>
  <c r="I82" i="1"/>
  <c r="I75" i="1"/>
  <c r="I74" i="1"/>
  <c r="I72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S26" i="12" l="1"/>
  <c r="R26" i="12"/>
  <c r="S27" i="12"/>
  <c r="R27" i="12"/>
  <c r="R25" i="12"/>
  <c r="G154" i="12" l="1"/>
  <c r="F154" i="12"/>
  <c r="C154" i="12"/>
  <c r="B154" i="12"/>
  <c r="J4" i="12"/>
  <c r="K4" i="12"/>
  <c r="J5" i="12"/>
  <c r="K5" i="12"/>
  <c r="J6" i="12"/>
  <c r="K6" i="12"/>
  <c r="J7" i="12"/>
  <c r="K7" i="12"/>
  <c r="J8" i="12"/>
  <c r="K8" i="12"/>
  <c r="J9" i="12"/>
  <c r="K9" i="12"/>
  <c r="J10" i="12"/>
  <c r="K10" i="12"/>
  <c r="J11" i="12"/>
  <c r="K11" i="12"/>
  <c r="J12" i="12"/>
  <c r="K12" i="12"/>
  <c r="J13" i="12"/>
  <c r="K13" i="12"/>
  <c r="J14" i="12"/>
  <c r="K14" i="12"/>
  <c r="J15" i="12"/>
  <c r="K15" i="12"/>
  <c r="J16" i="12"/>
  <c r="K16" i="12"/>
  <c r="J17" i="12"/>
  <c r="K17" i="12"/>
  <c r="J18" i="12"/>
  <c r="K18" i="12"/>
  <c r="J19" i="12"/>
  <c r="K19" i="12"/>
  <c r="J20" i="12"/>
  <c r="K20" i="12"/>
  <c r="J21" i="12"/>
  <c r="K21" i="12"/>
  <c r="J22" i="12"/>
  <c r="K22" i="12"/>
  <c r="J23" i="12"/>
  <c r="K23" i="12"/>
  <c r="J24" i="12"/>
  <c r="K24" i="12"/>
  <c r="J25" i="12"/>
  <c r="K25" i="12"/>
  <c r="J26" i="12"/>
  <c r="K26" i="12"/>
  <c r="J27" i="12"/>
  <c r="K27" i="12"/>
  <c r="J28" i="12"/>
  <c r="K28" i="12"/>
  <c r="J29" i="12"/>
  <c r="K29" i="12"/>
  <c r="J30" i="12"/>
  <c r="K30" i="12"/>
  <c r="J31" i="12"/>
  <c r="K31" i="12"/>
  <c r="J32" i="12"/>
  <c r="K32" i="12"/>
  <c r="J33" i="12"/>
  <c r="K33" i="12"/>
  <c r="J34" i="12"/>
  <c r="K34" i="12"/>
  <c r="J35" i="12"/>
  <c r="K35" i="12"/>
  <c r="J36" i="12"/>
  <c r="K36" i="12"/>
  <c r="J37" i="12"/>
  <c r="K37" i="12"/>
  <c r="J38" i="12"/>
  <c r="K38" i="12"/>
  <c r="J39" i="12"/>
  <c r="K39" i="12"/>
  <c r="J40" i="12"/>
  <c r="K40" i="12"/>
  <c r="J41" i="12"/>
  <c r="K41" i="12"/>
  <c r="J42" i="12"/>
  <c r="K42" i="12"/>
  <c r="J43" i="12"/>
  <c r="K43" i="12"/>
  <c r="J44" i="12"/>
  <c r="K44" i="12"/>
  <c r="J45" i="12"/>
  <c r="K45" i="12"/>
  <c r="J46" i="12"/>
  <c r="K46" i="12"/>
  <c r="J47" i="12"/>
  <c r="K47" i="12"/>
  <c r="J48" i="12"/>
  <c r="K48" i="12"/>
  <c r="J49" i="12"/>
  <c r="K49" i="12"/>
  <c r="J50" i="12"/>
  <c r="K50" i="12"/>
  <c r="J51" i="12"/>
  <c r="K51" i="12"/>
  <c r="J52" i="12"/>
  <c r="K52" i="12"/>
  <c r="J53" i="12"/>
  <c r="K53" i="12"/>
  <c r="J54" i="12"/>
  <c r="K54" i="12"/>
  <c r="J55" i="12"/>
  <c r="K55" i="12"/>
  <c r="J56" i="12"/>
  <c r="K56" i="12"/>
  <c r="J57" i="12"/>
  <c r="K57" i="12"/>
  <c r="J58" i="12"/>
  <c r="K58" i="12"/>
  <c r="J59" i="12"/>
  <c r="K59" i="12"/>
  <c r="J60" i="12"/>
  <c r="K60" i="12"/>
  <c r="J61" i="12"/>
  <c r="K61" i="12"/>
  <c r="J62" i="12"/>
  <c r="K62" i="12"/>
  <c r="J63" i="12"/>
  <c r="K63" i="12"/>
  <c r="J64" i="12"/>
  <c r="K64" i="12"/>
  <c r="J65" i="12"/>
  <c r="K65" i="12"/>
  <c r="J66" i="12"/>
  <c r="K66" i="12"/>
  <c r="J67" i="12"/>
  <c r="K67" i="12"/>
  <c r="J68" i="12"/>
  <c r="K68" i="12"/>
  <c r="J69" i="12"/>
  <c r="K69" i="12"/>
  <c r="J70" i="12"/>
  <c r="K70" i="12"/>
  <c r="J71" i="12"/>
  <c r="K71" i="12"/>
  <c r="J72" i="12"/>
  <c r="K72" i="12"/>
  <c r="J73" i="12"/>
  <c r="K73" i="12"/>
  <c r="J74" i="12"/>
  <c r="K74" i="12"/>
  <c r="J75" i="12"/>
  <c r="K75" i="12"/>
  <c r="J76" i="12"/>
  <c r="K76" i="12"/>
  <c r="J77" i="12"/>
  <c r="K77" i="12"/>
  <c r="J78" i="12"/>
  <c r="K78" i="12"/>
  <c r="J79" i="12"/>
  <c r="K79" i="12"/>
  <c r="J80" i="12"/>
  <c r="K80" i="12"/>
  <c r="J81" i="12"/>
  <c r="K81" i="12"/>
  <c r="J82" i="12"/>
  <c r="K82" i="12"/>
  <c r="J83" i="12"/>
  <c r="K83" i="12"/>
  <c r="J84" i="12"/>
  <c r="K84" i="12"/>
  <c r="J85" i="12"/>
  <c r="K85" i="12"/>
  <c r="J86" i="12"/>
  <c r="K86" i="12"/>
  <c r="J87" i="12"/>
  <c r="K87" i="12"/>
  <c r="J88" i="12"/>
  <c r="K88" i="12"/>
  <c r="J89" i="12"/>
  <c r="K89" i="12"/>
  <c r="J90" i="12"/>
  <c r="K90" i="12"/>
  <c r="J91" i="12"/>
  <c r="K91" i="12"/>
  <c r="J92" i="12"/>
  <c r="K92" i="12"/>
  <c r="J93" i="12"/>
  <c r="K93" i="12"/>
  <c r="J94" i="12"/>
  <c r="K94" i="12"/>
  <c r="J95" i="12"/>
  <c r="K95" i="12"/>
  <c r="J96" i="12"/>
  <c r="K96" i="12"/>
  <c r="J97" i="12"/>
  <c r="K97" i="12"/>
  <c r="J98" i="12"/>
  <c r="K98" i="12"/>
  <c r="J99" i="12"/>
  <c r="K99" i="12"/>
  <c r="J100" i="12"/>
  <c r="K100" i="12"/>
  <c r="J101" i="12"/>
  <c r="K101" i="12"/>
  <c r="J102" i="12"/>
  <c r="K102" i="12"/>
  <c r="J103" i="12"/>
  <c r="K103" i="12"/>
  <c r="J104" i="12"/>
  <c r="K104" i="12"/>
  <c r="J105" i="12"/>
  <c r="K105" i="12"/>
  <c r="J106" i="12"/>
  <c r="K106" i="12"/>
  <c r="J107" i="12"/>
  <c r="K107" i="12"/>
  <c r="J108" i="12"/>
  <c r="K108" i="12"/>
  <c r="J109" i="12"/>
  <c r="K109" i="12"/>
  <c r="J110" i="12"/>
  <c r="K110" i="12"/>
  <c r="J111" i="12"/>
  <c r="K111" i="12"/>
  <c r="J112" i="12"/>
  <c r="K112" i="12"/>
  <c r="J113" i="12"/>
  <c r="K113" i="12"/>
  <c r="J114" i="12"/>
  <c r="K114" i="12"/>
  <c r="J115" i="12"/>
  <c r="K115" i="12"/>
  <c r="J116" i="12"/>
  <c r="K116" i="12"/>
  <c r="J117" i="12"/>
  <c r="K117" i="12"/>
  <c r="J118" i="12"/>
  <c r="K118" i="12"/>
  <c r="J119" i="12"/>
  <c r="K119" i="12"/>
  <c r="J120" i="12"/>
  <c r="K120" i="12"/>
  <c r="J121" i="12"/>
  <c r="K121" i="12"/>
  <c r="J122" i="12"/>
  <c r="K122" i="12"/>
  <c r="J123" i="12"/>
  <c r="K123" i="12"/>
  <c r="J124" i="12"/>
  <c r="K124" i="12"/>
  <c r="J125" i="12"/>
  <c r="K125" i="12"/>
  <c r="J126" i="12"/>
  <c r="K126" i="12"/>
  <c r="J127" i="12"/>
  <c r="K127" i="12"/>
  <c r="J128" i="12"/>
  <c r="K128" i="12"/>
  <c r="J129" i="12"/>
  <c r="K129" i="12"/>
  <c r="J130" i="12"/>
  <c r="K130" i="12"/>
  <c r="J131" i="12"/>
  <c r="K131" i="12"/>
  <c r="J132" i="12"/>
  <c r="K132" i="12"/>
  <c r="J133" i="12"/>
  <c r="K133" i="12"/>
  <c r="J134" i="12"/>
  <c r="K134" i="12"/>
  <c r="J135" i="12"/>
  <c r="K135" i="12"/>
  <c r="J136" i="12"/>
  <c r="K136" i="12"/>
  <c r="J137" i="12"/>
  <c r="K137" i="12"/>
  <c r="J138" i="12"/>
  <c r="K138" i="12"/>
  <c r="J139" i="12"/>
  <c r="K139" i="12"/>
  <c r="J140" i="12"/>
  <c r="K140" i="12"/>
  <c r="J141" i="12"/>
  <c r="K141" i="12"/>
  <c r="J142" i="12"/>
  <c r="K142" i="12"/>
  <c r="J143" i="12"/>
  <c r="K143" i="12"/>
  <c r="J144" i="12"/>
  <c r="K144" i="12"/>
  <c r="J145" i="12"/>
  <c r="K145" i="12"/>
  <c r="J146" i="12"/>
  <c r="K146" i="12"/>
  <c r="J147" i="12"/>
  <c r="K147" i="12"/>
  <c r="J148" i="12"/>
  <c r="K148" i="12"/>
  <c r="J149" i="12"/>
  <c r="K149" i="12"/>
  <c r="J150" i="12"/>
  <c r="K150" i="12"/>
  <c r="J151" i="12"/>
  <c r="K151" i="12"/>
  <c r="J152" i="12"/>
  <c r="K152" i="12"/>
  <c r="J153" i="12"/>
  <c r="K153" i="12"/>
  <c r="C155" i="12" l="1"/>
  <c r="G155" i="12"/>
  <c r="G156" i="12"/>
  <c r="K3" i="12"/>
  <c r="K154" i="12" s="1"/>
  <c r="J3" i="12"/>
  <c r="J154" i="12" s="1"/>
  <c r="K155" i="12" l="1"/>
  <c r="C49" i="11" l="1"/>
  <c r="D49" i="11"/>
  <c r="E49" i="11"/>
  <c r="F49" i="11"/>
  <c r="G49" i="11"/>
  <c r="B49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E21" i="11"/>
  <c r="G21" i="11" s="1"/>
  <c r="G9" i="11"/>
  <c r="G10" i="11"/>
  <c r="G11" i="11"/>
  <c r="G12" i="11"/>
  <c r="G13" i="11"/>
  <c r="G14" i="11"/>
  <c r="G15" i="11"/>
  <c r="G16" i="11"/>
  <c r="G17" i="11"/>
  <c r="G18" i="11"/>
  <c r="G19" i="11"/>
  <c r="G20" i="11"/>
  <c r="G22" i="11"/>
  <c r="G23" i="11"/>
  <c r="G24" i="11"/>
  <c r="G25" i="11"/>
  <c r="G26" i="11"/>
  <c r="G27" i="11"/>
  <c r="G28" i="11"/>
  <c r="G29" i="11"/>
  <c r="G30" i="11"/>
  <c r="G6" i="11"/>
  <c r="G7" i="11"/>
  <c r="G8" i="11"/>
  <c r="G4" i="11"/>
  <c r="G5" i="11"/>
  <c r="G3" i="11"/>
  <c r="N11" i="10"/>
  <c r="N19" i="10"/>
  <c r="N30" i="10"/>
  <c r="N8" i="10"/>
  <c r="N28" i="10"/>
  <c r="N26" i="10"/>
  <c r="N5" i="10"/>
  <c r="N10" i="10"/>
  <c r="N6" i="10"/>
  <c r="N21" i="10"/>
  <c r="N27" i="10"/>
  <c r="N13" i="10"/>
  <c r="N35" i="10"/>
  <c r="N7" i="10"/>
  <c r="N9" i="10"/>
  <c r="N12" i="10"/>
  <c r="N14" i="10"/>
  <c r="N15" i="10"/>
  <c r="N16" i="10"/>
  <c r="N17" i="10"/>
  <c r="N18" i="10"/>
  <c r="N20" i="10"/>
  <c r="N22" i="10"/>
  <c r="N23" i="10"/>
  <c r="N24" i="10"/>
  <c r="N25" i="10"/>
  <c r="N29" i="10"/>
  <c r="N31" i="10"/>
  <c r="N32" i="10"/>
  <c r="N33" i="10"/>
  <c r="N34" i="10"/>
  <c r="N36" i="10"/>
  <c r="N37" i="10"/>
  <c r="N38" i="10"/>
  <c r="N39" i="10"/>
  <c r="N40" i="10"/>
  <c r="N4" i="10"/>
  <c r="C156" i="9" l="1"/>
  <c r="D156" i="9"/>
  <c r="E156" i="9"/>
  <c r="F156" i="9"/>
  <c r="G156" i="9"/>
  <c r="H156" i="9"/>
  <c r="I156" i="9"/>
  <c r="J156" i="9"/>
  <c r="B156" i="9"/>
  <c r="I150" i="9"/>
  <c r="J150" i="9"/>
  <c r="I151" i="9"/>
  <c r="J151" i="9"/>
  <c r="I152" i="9"/>
  <c r="J152" i="9"/>
  <c r="I153" i="9"/>
  <c r="J153" i="9"/>
  <c r="I154" i="9"/>
  <c r="J154" i="9"/>
  <c r="I138" i="9"/>
  <c r="J138" i="9"/>
  <c r="I139" i="9"/>
  <c r="J139" i="9"/>
  <c r="I140" i="9"/>
  <c r="J140" i="9"/>
  <c r="I141" i="9"/>
  <c r="J141" i="9"/>
  <c r="I142" i="9"/>
  <c r="J142" i="9"/>
  <c r="I143" i="9"/>
  <c r="J143" i="9"/>
  <c r="I144" i="9"/>
  <c r="J144" i="9"/>
  <c r="I145" i="9"/>
  <c r="J145" i="9"/>
  <c r="I146" i="9"/>
  <c r="J146" i="9"/>
  <c r="I147" i="9"/>
  <c r="J147" i="9"/>
  <c r="I148" i="9"/>
  <c r="J148" i="9"/>
  <c r="I149" i="9"/>
  <c r="J149" i="9"/>
  <c r="I108" i="9"/>
  <c r="J108" i="9"/>
  <c r="I109" i="9"/>
  <c r="J109" i="9"/>
  <c r="I110" i="9"/>
  <c r="J110" i="9"/>
  <c r="I111" i="9"/>
  <c r="J111" i="9"/>
  <c r="I112" i="9"/>
  <c r="J112" i="9"/>
  <c r="I113" i="9"/>
  <c r="J113" i="9"/>
  <c r="I114" i="9"/>
  <c r="J114" i="9"/>
  <c r="I115" i="9"/>
  <c r="J115" i="9"/>
  <c r="I116" i="9"/>
  <c r="J116" i="9"/>
  <c r="I117" i="9"/>
  <c r="J117" i="9"/>
  <c r="I118" i="9"/>
  <c r="J118" i="9"/>
  <c r="I119" i="9"/>
  <c r="J119" i="9"/>
  <c r="I120" i="9"/>
  <c r="J120" i="9"/>
  <c r="I121" i="9"/>
  <c r="J121" i="9"/>
  <c r="I122" i="9"/>
  <c r="J122" i="9"/>
  <c r="I123" i="9"/>
  <c r="J123" i="9"/>
  <c r="I124" i="9"/>
  <c r="J124" i="9"/>
  <c r="I125" i="9"/>
  <c r="J125" i="9"/>
  <c r="I126" i="9"/>
  <c r="J126" i="9"/>
  <c r="I127" i="9"/>
  <c r="J127" i="9"/>
  <c r="I128" i="9"/>
  <c r="J128" i="9"/>
  <c r="I129" i="9"/>
  <c r="J129" i="9"/>
  <c r="I130" i="9"/>
  <c r="J130" i="9"/>
  <c r="I131" i="9"/>
  <c r="J131" i="9"/>
  <c r="I132" i="9"/>
  <c r="J132" i="9"/>
  <c r="I133" i="9"/>
  <c r="J133" i="9"/>
  <c r="I134" i="9"/>
  <c r="J134" i="9"/>
  <c r="I135" i="9"/>
  <c r="J135" i="9"/>
  <c r="I136" i="9"/>
  <c r="J136" i="9"/>
  <c r="I137" i="9"/>
  <c r="J137" i="9"/>
  <c r="I26" i="9"/>
  <c r="J26" i="9"/>
  <c r="I27" i="9"/>
  <c r="J27" i="9"/>
  <c r="I28" i="9"/>
  <c r="J28" i="9"/>
  <c r="I29" i="9"/>
  <c r="J29" i="9"/>
  <c r="I30" i="9"/>
  <c r="J30" i="9"/>
  <c r="I31" i="9"/>
  <c r="J31" i="9"/>
  <c r="I32" i="9"/>
  <c r="J32" i="9"/>
  <c r="I33" i="9"/>
  <c r="J33" i="9"/>
  <c r="I34" i="9"/>
  <c r="J34" i="9"/>
  <c r="I35" i="9"/>
  <c r="J35" i="9"/>
  <c r="I36" i="9"/>
  <c r="J36" i="9"/>
  <c r="I37" i="9"/>
  <c r="J37" i="9"/>
  <c r="I38" i="9"/>
  <c r="J38" i="9"/>
  <c r="I39" i="9"/>
  <c r="J39" i="9"/>
  <c r="I40" i="9"/>
  <c r="J40" i="9"/>
  <c r="I41" i="9"/>
  <c r="J41" i="9"/>
  <c r="I42" i="9"/>
  <c r="J42" i="9"/>
  <c r="I43" i="9"/>
  <c r="J43" i="9"/>
  <c r="I44" i="9"/>
  <c r="J44" i="9"/>
  <c r="I45" i="9"/>
  <c r="J45" i="9"/>
  <c r="I46" i="9"/>
  <c r="J46" i="9"/>
  <c r="I47" i="9"/>
  <c r="J47" i="9"/>
  <c r="I48" i="9"/>
  <c r="J48" i="9"/>
  <c r="I49" i="9"/>
  <c r="J49" i="9"/>
  <c r="I50" i="9"/>
  <c r="J50" i="9"/>
  <c r="I51" i="9"/>
  <c r="J51" i="9"/>
  <c r="I52" i="9"/>
  <c r="J52" i="9"/>
  <c r="I53" i="9"/>
  <c r="J53" i="9"/>
  <c r="I54" i="9"/>
  <c r="J54" i="9"/>
  <c r="I55" i="9"/>
  <c r="J55" i="9"/>
  <c r="I56" i="9"/>
  <c r="J56" i="9"/>
  <c r="I57" i="9"/>
  <c r="J57" i="9"/>
  <c r="I58" i="9"/>
  <c r="J58" i="9"/>
  <c r="I59" i="9"/>
  <c r="J59" i="9"/>
  <c r="I60" i="9"/>
  <c r="J60" i="9"/>
  <c r="I61" i="9"/>
  <c r="J61" i="9"/>
  <c r="I62" i="9"/>
  <c r="J62" i="9"/>
  <c r="I63" i="9"/>
  <c r="J63" i="9"/>
  <c r="I64" i="9"/>
  <c r="J64" i="9"/>
  <c r="I65" i="9"/>
  <c r="J65" i="9"/>
  <c r="I66" i="9"/>
  <c r="J66" i="9"/>
  <c r="I67" i="9"/>
  <c r="J67" i="9"/>
  <c r="I68" i="9"/>
  <c r="J68" i="9"/>
  <c r="I69" i="9"/>
  <c r="J69" i="9"/>
  <c r="I70" i="9"/>
  <c r="J70" i="9"/>
  <c r="I71" i="9"/>
  <c r="J71" i="9"/>
  <c r="I72" i="9"/>
  <c r="J72" i="9"/>
  <c r="I73" i="9"/>
  <c r="J73" i="9"/>
  <c r="I74" i="9"/>
  <c r="J74" i="9"/>
  <c r="I75" i="9"/>
  <c r="J75" i="9"/>
  <c r="I76" i="9"/>
  <c r="J76" i="9"/>
  <c r="I77" i="9"/>
  <c r="J77" i="9"/>
  <c r="I78" i="9"/>
  <c r="J78" i="9"/>
  <c r="I79" i="9"/>
  <c r="J79" i="9"/>
  <c r="I80" i="9"/>
  <c r="J80" i="9"/>
  <c r="I81" i="9"/>
  <c r="J81" i="9"/>
  <c r="I82" i="9"/>
  <c r="J82" i="9"/>
  <c r="I83" i="9"/>
  <c r="J83" i="9"/>
  <c r="I84" i="9"/>
  <c r="J84" i="9"/>
  <c r="I85" i="9"/>
  <c r="J85" i="9"/>
  <c r="I86" i="9"/>
  <c r="J86" i="9"/>
  <c r="I87" i="9"/>
  <c r="J87" i="9"/>
  <c r="I88" i="9"/>
  <c r="J88" i="9"/>
  <c r="I89" i="9"/>
  <c r="J89" i="9"/>
  <c r="I90" i="9"/>
  <c r="J90" i="9"/>
  <c r="I91" i="9"/>
  <c r="J91" i="9"/>
  <c r="I92" i="9"/>
  <c r="J92" i="9"/>
  <c r="I93" i="9"/>
  <c r="J93" i="9"/>
  <c r="I94" i="9"/>
  <c r="J94" i="9"/>
  <c r="I95" i="9"/>
  <c r="J95" i="9"/>
  <c r="I96" i="9"/>
  <c r="J96" i="9"/>
  <c r="I97" i="9"/>
  <c r="J97" i="9"/>
  <c r="I98" i="9"/>
  <c r="J98" i="9"/>
  <c r="I99" i="9"/>
  <c r="J99" i="9"/>
  <c r="I100" i="9"/>
  <c r="J100" i="9"/>
  <c r="I101" i="9"/>
  <c r="J101" i="9"/>
  <c r="I102" i="9"/>
  <c r="J102" i="9"/>
  <c r="I103" i="9"/>
  <c r="J103" i="9"/>
  <c r="I104" i="9"/>
  <c r="J104" i="9"/>
  <c r="I105" i="9"/>
  <c r="J105" i="9"/>
  <c r="I106" i="9"/>
  <c r="J106" i="9"/>
  <c r="I107" i="9"/>
  <c r="J107" i="9"/>
  <c r="I19" i="9"/>
  <c r="J19" i="9"/>
  <c r="I20" i="9"/>
  <c r="J20" i="9"/>
  <c r="I21" i="9"/>
  <c r="J21" i="9"/>
  <c r="I22" i="9"/>
  <c r="J22" i="9"/>
  <c r="I23" i="9"/>
  <c r="J23" i="9"/>
  <c r="I24" i="9"/>
  <c r="J24" i="9"/>
  <c r="I25" i="9"/>
  <c r="J25" i="9"/>
  <c r="I13" i="9"/>
  <c r="J13" i="9"/>
  <c r="I14" i="9"/>
  <c r="J14" i="9"/>
  <c r="I15" i="9"/>
  <c r="J15" i="9"/>
  <c r="I16" i="9"/>
  <c r="J16" i="9"/>
  <c r="I17" i="9"/>
  <c r="J17" i="9"/>
  <c r="I18" i="9"/>
  <c r="J18" i="9"/>
  <c r="I6" i="9"/>
  <c r="J6" i="9"/>
  <c r="I7" i="9"/>
  <c r="J7" i="9"/>
  <c r="I8" i="9"/>
  <c r="J8" i="9"/>
  <c r="I9" i="9"/>
  <c r="J9" i="9"/>
  <c r="I10" i="9"/>
  <c r="J10" i="9"/>
  <c r="I11" i="9"/>
  <c r="J11" i="9"/>
  <c r="I12" i="9"/>
  <c r="J12" i="9"/>
  <c r="J5" i="9"/>
  <c r="J4" i="9"/>
  <c r="I5" i="9"/>
  <c r="I4" i="9"/>
  <c r="C158" i="8" l="1"/>
  <c r="D158" i="8"/>
  <c r="E158" i="8"/>
  <c r="F158" i="8"/>
  <c r="G158" i="8"/>
  <c r="H158" i="8"/>
  <c r="I158" i="8"/>
  <c r="J158" i="8"/>
  <c r="B158" i="8"/>
  <c r="I156" i="8"/>
  <c r="J156" i="8"/>
  <c r="I154" i="8"/>
  <c r="J154" i="8"/>
  <c r="I155" i="8"/>
  <c r="J155" i="8"/>
  <c r="I133" i="8"/>
  <c r="J133" i="8"/>
  <c r="I134" i="8"/>
  <c r="J134" i="8"/>
  <c r="I135" i="8"/>
  <c r="J135" i="8"/>
  <c r="I136" i="8"/>
  <c r="J136" i="8"/>
  <c r="I137" i="8"/>
  <c r="J137" i="8"/>
  <c r="I138" i="8"/>
  <c r="J138" i="8"/>
  <c r="I139" i="8"/>
  <c r="J139" i="8"/>
  <c r="I140" i="8"/>
  <c r="J140" i="8"/>
  <c r="I141" i="8"/>
  <c r="J141" i="8"/>
  <c r="I142" i="8"/>
  <c r="J142" i="8"/>
  <c r="I143" i="8"/>
  <c r="J143" i="8"/>
  <c r="I144" i="8"/>
  <c r="J144" i="8"/>
  <c r="I145" i="8"/>
  <c r="J145" i="8"/>
  <c r="I146" i="8"/>
  <c r="J146" i="8"/>
  <c r="I147" i="8"/>
  <c r="J147" i="8"/>
  <c r="I148" i="8"/>
  <c r="J148" i="8"/>
  <c r="I149" i="8"/>
  <c r="J149" i="8"/>
  <c r="I150" i="8"/>
  <c r="J150" i="8"/>
  <c r="I151" i="8"/>
  <c r="J151" i="8"/>
  <c r="I152" i="8"/>
  <c r="J152" i="8"/>
  <c r="I153" i="8"/>
  <c r="J153" i="8"/>
  <c r="I102" i="8"/>
  <c r="J102" i="8"/>
  <c r="I103" i="8"/>
  <c r="J103" i="8"/>
  <c r="I104" i="8"/>
  <c r="J104" i="8"/>
  <c r="I105" i="8"/>
  <c r="J105" i="8"/>
  <c r="I106" i="8"/>
  <c r="J106" i="8"/>
  <c r="I107" i="8"/>
  <c r="J107" i="8"/>
  <c r="I108" i="8"/>
  <c r="J108" i="8"/>
  <c r="I109" i="8"/>
  <c r="J109" i="8"/>
  <c r="I110" i="8"/>
  <c r="J110" i="8"/>
  <c r="I111" i="8"/>
  <c r="J111" i="8"/>
  <c r="I112" i="8"/>
  <c r="J112" i="8"/>
  <c r="I113" i="8"/>
  <c r="J113" i="8"/>
  <c r="I114" i="8"/>
  <c r="J114" i="8"/>
  <c r="I115" i="8"/>
  <c r="J115" i="8"/>
  <c r="I116" i="8"/>
  <c r="J116" i="8"/>
  <c r="I117" i="8"/>
  <c r="J117" i="8"/>
  <c r="I118" i="8"/>
  <c r="J118" i="8"/>
  <c r="I119" i="8"/>
  <c r="J119" i="8"/>
  <c r="I120" i="8"/>
  <c r="J120" i="8"/>
  <c r="I121" i="8"/>
  <c r="J121" i="8"/>
  <c r="I122" i="8"/>
  <c r="J122" i="8"/>
  <c r="I123" i="8"/>
  <c r="J123" i="8"/>
  <c r="I124" i="8"/>
  <c r="J124" i="8"/>
  <c r="I125" i="8"/>
  <c r="J125" i="8"/>
  <c r="I126" i="8"/>
  <c r="J126" i="8"/>
  <c r="I127" i="8"/>
  <c r="J127" i="8"/>
  <c r="I128" i="8"/>
  <c r="J128" i="8"/>
  <c r="I129" i="8"/>
  <c r="J129" i="8"/>
  <c r="I130" i="8"/>
  <c r="J130" i="8"/>
  <c r="I131" i="8"/>
  <c r="J131" i="8"/>
  <c r="I132" i="8"/>
  <c r="J132" i="8"/>
  <c r="I82" i="8"/>
  <c r="J82" i="8"/>
  <c r="I83" i="8"/>
  <c r="J83" i="8"/>
  <c r="I84" i="8"/>
  <c r="J84" i="8"/>
  <c r="I85" i="8"/>
  <c r="J85" i="8"/>
  <c r="I86" i="8"/>
  <c r="J86" i="8"/>
  <c r="I87" i="8"/>
  <c r="J87" i="8"/>
  <c r="I88" i="8"/>
  <c r="J88" i="8"/>
  <c r="I89" i="8"/>
  <c r="J89" i="8"/>
  <c r="I90" i="8"/>
  <c r="J90" i="8"/>
  <c r="I91" i="8"/>
  <c r="J91" i="8"/>
  <c r="I92" i="8"/>
  <c r="J92" i="8"/>
  <c r="I93" i="8"/>
  <c r="J93" i="8"/>
  <c r="I94" i="8"/>
  <c r="J94" i="8"/>
  <c r="I95" i="8"/>
  <c r="J95" i="8"/>
  <c r="I96" i="8"/>
  <c r="J96" i="8"/>
  <c r="I97" i="8"/>
  <c r="J97" i="8"/>
  <c r="I98" i="8"/>
  <c r="J98" i="8"/>
  <c r="I99" i="8"/>
  <c r="J99" i="8"/>
  <c r="I100" i="8"/>
  <c r="J100" i="8"/>
  <c r="I101" i="8"/>
  <c r="J101" i="8"/>
  <c r="I81" i="8"/>
  <c r="J81" i="8"/>
  <c r="I59" i="8"/>
  <c r="J59" i="8"/>
  <c r="I60" i="8"/>
  <c r="J60" i="8"/>
  <c r="I61" i="8"/>
  <c r="J61" i="8"/>
  <c r="I62" i="8"/>
  <c r="J62" i="8"/>
  <c r="I63" i="8"/>
  <c r="J63" i="8"/>
  <c r="I64" i="8"/>
  <c r="J64" i="8"/>
  <c r="I65" i="8"/>
  <c r="J65" i="8"/>
  <c r="I66" i="8"/>
  <c r="J66" i="8"/>
  <c r="I67" i="8"/>
  <c r="J67" i="8"/>
  <c r="I68" i="8"/>
  <c r="J68" i="8"/>
  <c r="I69" i="8"/>
  <c r="J69" i="8"/>
  <c r="I70" i="8"/>
  <c r="J70" i="8"/>
  <c r="I71" i="8"/>
  <c r="J71" i="8"/>
  <c r="I72" i="8"/>
  <c r="J72" i="8"/>
  <c r="I73" i="8"/>
  <c r="J73" i="8"/>
  <c r="I74" i="8"/>
  <c r="J74" i="8"/>
  <c r="I75" i="8"/>
  <c r="J75" i="8"/>
  <c r="I76" i="8"/>
  <c r="J76" i="8"/>
  <c r="I77" i="8"/>
  <c r="J77" i="8"/>
  <c r="I78" i="8"/>
  <c r="J78" i="8"/>
  <c r="I79" i="8"/>
  <c r="J79" i="8"/>
  <c r="I80" i="8"/>
  <c r="J80" i="8"/>
  <c r="I55" i="8"/>
  <c r="J55" i="8"/>
  <c r="I56" i="8"/>
  <c r="J56" i="8"/>
  <c r="I57" i="8"/>
  <c r="J57" i="8"/>
  <c r="I58" i="8"/>
  <c r="J58" i="8"/>
  <c r="I37" i="8"/>
  <c r="J37" i="8"/>
  <c r="I38" i="8"/>
  <c r="J38" i="8"/>
  <c r="I39" i="8"/>
  <c r="J39" i="8"/>
  <c r="I40" i="8"/>
  <c r="J40" i="8"/>
  <c r="I41" i="8"/>
  <c r="J41" i="8"/>
  <c r="I42" i="8"/>
  <c r="J42" i="8"/>
  <c r="I43" i="8"/>
  <c r="J43" i="8"/>
  <c r="I44" i="8"/>
  <c r="J44" i="8"/>
  <c r="I45" i="8"/>
  <c r="J45" i="8"/>
  <c r="I46" i="8"/>
  <c r="J46" i="8"/>
  <c r="I47" i="8"/>
  <c r="J47" i="8"/>
  <c r="I48" i="8"/>
  <c r="J48" i="8"/>
  <c r="I49" i="8"/>
  <c r="J49" i="8"/>
  <c r="I50" i="8"/>
  <c r="J50" i="8"/>
  <c r="I51" i="8"/>
  <c r="J51" i="8"/>
  <c r="I52" i="8"/>
  <c r="J52" i="8"/>
  <c r="I53" i="8"/>
  <c r="J53" i="8"/>
  <c r="I54" i="8"/>
  <c r="J54" i="8"/>
  <c r="I24" i="8"/>
  <c r="J24" i="8"/>
  <c r="I25" i="8"/>
  <c r="J25" i="8"/>
  <c r="I26" i="8"/>
  <c r="J26" i="8"/>
  <c r="I27" i="8"/>
  <c r="J27" i="8"/>
  <c r="I28" i="8"/>
  <c r="J28" i="8"/>
  <c r="I29" i="8"/>
  <c r="J29" i="8"/>
  <c r="I30" i="8"/>
  <c r="J30" i="8"/>
  <c r="I31" i="8"/>
  <c r="J31" i="8"/>
  <c r="I32" i="8"/>
  <c r="J32" i="8"/>
  <c r="I33" i="8"/>
  <c r="J33" i="8"/>
  <c r="I34" i="8"/>
  <c r="J34" i="8"/>
  <c r="I35" i="8"/>
  <c r="J35" i="8"/>
  <c r="I36" i="8"/>
  <c r="J36" i="8"/>
  <c r="I20" i="8"/>
  <c r="J20" i="8"/>
  <c r="I21" i="8"/>
  <c r="J21" i="8"/>
  <c r="I22" i="8"/>
  <c r="J22" i="8"/>
  <c r="I23" i="8"/>
  <c r="J23" i="8"/>
  <c r="I17" i="8"/>
  <c r="J17" i="8"/>
  <c r="I18" i="8"/>
  <c r="J18" i="8"/>
  <c r="I19" i="8"/>
  <c r="J19" i="8"/>
  <c r="I11" i="8"/>
  <c r="J11" i="8"/>
  <c r="I12" i="8"/>
  <c r="J12" i="8"/>
  <c r="I13" i="8"/>
  <c r="J13" i="8"/>
  <c r="I14" i="8"/>
  <c r="J14" i="8"/>
  <c r="I15" i="8"/>
  <c r="J15" i="8"/>
  <c r="I16" i="8"/>
  <c r="J16" i="8"/>
  <c r="I10" i="8"/>
  <c r="J10" i="8"/>
  <c r="J4" i="8"/>
  <c r="J5" i="8"/>
  <c r="J6" i="8"/>
  <c r="J7" i="8"/>
  <c r="J8" i="8"/>
  <c r="J9" i="8"/>
  <c r="J3" i="8"/>
  <c r="I4" i="8"/>
  <c r="I5" i="8"/>
  <c r="I6" i="8"/>
  <c r="I7" i="8"/>
  <c r="I8" i="8"/>
  <c r="I9" i="8"/>
  <c r="I3" i="8"/>
  <c r="I24" i="7"/>
  <c r="J24" i="7"/>
  <c r="I25" i="7"/>
  <c r="J25" i="7"/>
  <c r="I26" i="7"/>
  <c r="J26" i="7"/>
  <c r="I27" i="7"/>
  <c r="J27" i="7"/>
  <c r="I28" i="7"/>
  <c r="J28" i="7"/>
  <c r="I29" i="7"/>
  <c r="J29" i="7"/>
  <c r="I30" i="7"/>
  <c r="J30" i="7"/>
  <c r="I31" i="7"/>
  <c r="J31" i="7"/>
  <c r="I32" i="7"/>
  <c r="J32" i="7"/>
  <c r="I33" i="7"/>
  <c r="J33" i="7"/>
  <c r="I34" i="7"/>
  <c r="J34" i="7"/>
  <c r="I35" i="7"/>
  <c r="J35" i="7"/>
  <c r="I36" i="7"/>
  <c r="J36" i="7"/>
  <c r="I37" i="7"/>
  <c r="J37" i="7"/>
  <c r="I38" i="7"/>
  <c r="J38" i="7"/>
  <c r="I39" i="7"/>
  <c r="J39" i="7"/>
  <c r="I40" i="7"/>
  <c r="J40" i="7"/>
  <c r="I41" i="7"/>
  <c r="J41" i="7"/>
  <c r="I42" i="7"/>
  <c r="J42" i="7"/>
  <c r="I17" i="7"/>
  <c r="J17" i="7"/>
  <c r="I18" i="7"/>
  <c r="J18" i="7"/>
  <c r="I19" i="7"/>
  <c r="J19" i="7"/>
  <c r="I20" i="7"/>
  <c r="J20" i="7"/>
  <c r="I21" i="7"/>
  <c r="J21" i="7"/>
  <c r="I22" i="7"/>
  <c r="J22" i="7"/>
  <c r="I23" i="7"/>
  <c r="J23" i="7"/>
  <c r="J5" i="7"/>
  <c r="J6" i="7"/>
  <c r="J7" i="7"/>
  <c r="J8" i="7"/>
  <c r="J9" i="7"/>
  <c r="J10" i="7"/>
  <c r="J11" i="7"/>
  <c r="J12" i="7"/>
  <c r="J13" i="7"/>
  <c r="J14" i="7"/>
  <c r="J15" i="7"/>
  <c r="J16" i="7"/>
  <c r="J4" i="7"/>
  <c r="I5" i="7"/>
  <c r="I6" i="7"/>
  <c r="I7" i="7"/>
  <c r="I8" i="7"/>
  <c r="I9" i="7"/>
  <c r="I10" i="7"/>
  <c r="I11" i="7"/>
  <c r="I12" i="7"/>
  <c r="I13" i="7"/>
  <c r="I14" i="7"/>
  <c r="I15" i="7"/>
  <c r="I16" i="7"/>
  <c r="I4" i="7"/>
  <c r="C30" i="2" l="1"/>
  <c r="C29" i="2"/>
  <c r="B5" i="2" l="1"/>
  <c r="B4" i="2"/>
  <c r="C10" i="2"/>
  <c r="N669" i="1"/>
  <c r="M666" i="1"/>
  <c r="M671" i="1" l="1"/>
  <c r="B22" i="2"/>
  <c r="J12" i="2"/>
  <c r="C12" i="2"/>
  <c r="K11" i="2" s="1"/>
  <c r="B8" i="2"/>
  <c r="C13" i="2" l="1"/>
  <c r="I14" i="2" s="1"/>
  <c r="K10" i="2"/>
  <c r="I172" i="1" l="1"/>
  <c r="I201" i="1"/>
  <c r="I202" i="1"/>
  <c r="I204" i="1"/>
  <c r="I251" i="1"/>
  <c r="I252" i="1"/>
  <c r="I224" i="1"/>
  <c r="I225" i="1"/>
  <c r="I226" i="1"/>
  <c r="I227" i="1"/>
  <c r="I229" i="1"/>
  <c r="I230" i="1"/>
  <c r="I232" i="1"/>
  <c r="I233" i="1"/>
  <c r="I235" i="1"/>
  <c r="I236" i="1"/>
  <c r="I237" i="1"/>
  <c r="I238" i="1"/>
  <c r="I239" i="1"/>
  <c r="I241" i="1"/>
  <c r="I245" i="1"/>
  <c r="I246" i="1"/>
  <c r="I247" i="1"/>
  <c r="I248" i="1"/>
  <c r="I250" i="1"/>
  <c r="I583" i="1"/>
  <c r="I256" i="1"/>
  <c r="I257" i="1"/>
  <c r="I207" i="1"/>
  <c r="I208" i="1"/>
  <c r="I209" i="1"/>
  <c r="I210" i="1"/>
  <c r="I211" i="1"/>
  <c r="I212" i="1"/>
  <c r="I213" i="1"/>
  <c r="I214" i="1"/>
  <c r="I217" i="1"/>
  <c r="I218" i="1"/>
  <c r="I242" i="1"/>
  <c r="I188" i="1"/>
  <c r="I191" i="1"/>
  <c r="I192" i="1"/>
  <c r="I194" i="1"/>
  <c r="I271" i="1"/>
  <c r="I272" i="1"/>
  <c r="I174" i="1"/>
  <c r="I177" i="1"/>
  <c r="I178" i="1"/>
  <c r="I182" i="1"/>
  <c r="I183" i="1"/>
  <c r="I184" i="1"/>
  <c r="I442" i="1"/>
  <c r="I448" i="1"/>
  <c r="I452" i="1"/>
  <c r="I456" i="1"/>
  <c r="I195" i="1"/>
  <c r="I197" i="1"/>
  <c r="I273" i="1"/>
  <c r="I258" i="1"/>
  <c r="I277" i="1"/>
  <c r="I279" i="1"/>
  <c r="I280" i="1"/>
  <c r="I283" i="1"/>
  <c r="I284" i="1"/>
  <c r="I285" i="1"/>
  <c r="I287" i="1"/>
  <c r="I288" i="1"/>
  <c r="I289" i="1"/>
  <c r="I290" i="1"/>
  <c r="I292" i="1"/>
  <c r="I612" i="1"/>
  <c r="I281" i="1"/>
  <c r="I282" i="1"/>
  <c r="I286" i="1"/>
  <c r="I464" i="1"/>
  <c r="I293" i="1"/>
  <c r="I294" i="1"/>
  <c r="I296" i="1"/>
  <c r="I297" i="1"/>
  <c r="I298" i="1"/>
  <c r="I299" i="1"/>
  <c r="I300" i="1"/>
  <c r="I261" i="1"/>
  <c r="I262" i="1"/>
  <c r="I263" i="1"/>
  <c r="I265" i="1"/>
  <c r="I266" i="1"/>
  <c r="I267" i="1"/>
  <c r="I268" i="1"/>
  <c r="I269" i="1"/>
  <c r="I270" i="1"/>
  <c r="I616" i="1"/>
  <c r="I617" i="1"/>
  <c r="I332" i="1"/>
  <c r="I337" i="1"/>
  <c r="I338" i="1"/>
  <c r="I339" i="1"/>
  <c r="I342" i="1"/>
  <c r="I343" i="1"/>
  <c r="I345" i="1"/>
  <c r="I347" i="1"/>
  <c r="I349" i="1"/>
  <c r="I350" i="1"/>
  <c r="I353" i="1"/>
  <c r="I316" i="1"/>
  <c r="I317" i="1"/>
  <c r="I320" i="1"/>
  <c r="I321" i="1"/>
  <c r="I322" i="1"/>
  <c r="I323" i="1"/>
  <c r="I324" i="1"/>
  <c r="I327" i="1"/>
  <c r="I363" i="1"/>
  <c r="I366" i="1"/>
  <c r="I370" i="1"/>
  <c r="I356" i="1"/>
  <c r="I374" i="1"/>
  <c r="I376" i="1"/>
  <c r="I377" i="1"/>
  <c r="I380" i="1"/>
  <c r="I381" i="1"/>
  <c r="I383" i="1"/>
  <c r="I384" i="1"/>
  <c r="I385" i="1"/>
  <c r="I386" i="1"/>
  <c r="I633" i="1"/>
  <c r="I635" i="1"/>
  <c r="I637" i="1"/>
  <c r="I378" i="1"/>
  <c r="I382" i="1"/>
  <c r="I644" i="1"/>
  <c r="I302" i="1"/>
  <c r="I305" i="1"/>
  <c r="I307" i="1"/>
  <c r="I308" i="1"/>
  <c r="I389" i="1"/>
  <c r="I391" i="1"/>
  <c r="I392" i="1"/>
  <c r="I398" i="1"/>
  <c r="I402" i="1"/>
  <c r="I43" i="1"/>
  <c r="I138" i="1"/>
  <c r="I140" i="1"/>
  <c r="I407" i="1"/>
  <c r="I408" i="1"/>
  <c r="I409" i="1"/>
  <c r="I410" i="1"/>
  <c r="I411" i="1"/>
  <c r="I412" i="1"/>
  <c r="I426" i="1"/>
  <c r="I431" i="1"/>
  <c r="I433" i="1"/>
  <c r="I457" i="1"/>
  <c r="I458" i="1"/>
  <c r="I460" i="1"/>
  <c r="I462" i="1"/>
  <c r="I198" i="1"/>
  <c r="I199" i="1"/>
  <c r="I200" i="1"/>
  <c r="I466" i="1"/>
  <c r="I469" i="1"/>
  <c r="I470" i="1"/>
  <c r="I650" i="1"/>
  <c r="I465" i="1"/>
  <c r="I468" i="1"/>
  <c r="I259" i="1"/>
  <c r="I274" i="1"/>
  <c r="I276" i="1"/>
  <c r="I653" i="1"/>
  <c r="I541" i="1"/>
  <c r="I542" i="1"/>
  <c r="I660" i="1"/>
  <c r="I661" i="1"/>
  <c r="I6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Vivi Hazlinda</author>
  </authors>
  <commentList>
    <comment ref="I176" authorId="0" shapeId="0" xr:uid="{8C70BE61-69C8-4AAB-8199-BBB95C980CDF}">
      <text>
        <r>
          <rPr>
            <b/>
            <sz val="9"/>
            <color indexed="81"/>
            <rFont val="Tahoma"/>
            <family val="2"/>
          </rPr>
          <t>Vivi Hazlinda:</t>
        </r>
        <r>
          <rPr>
            <sz val="9"/>
            <color indexed="81"/>
            <rFont val="Tahoma"/>
            <family val="2"/>
          </rPr>
          <t xml:space="preserve">
Simp.Pokok : 200.000
Simp. Wajib : 250.000</t>
        </r>
      </text>
    </comment>
  </commentList>
</comments>
</file>

<file path=xl/sharedStrings.xml><?xml version="1.0" encoding="utf-8"?>
<sst xmlns="http://schemas.openxmlformats.org/spreadsheetml/2006/main" count="5094" uniqueCount="1558">
  <si>
    <t>NUP</t>
  </si>
  <si>
    <t>Nama Pegawai</t>
  </si>
  <si>
    <t>Departemen</t>
  </si>
  <si>
    <t>Unit Penempatan</t>
  </si>
  <si>
    <t>CABANG UTAMA KLAS BATAM</t>
  </si>
  <si>
    <t>49500</t>
  </si>
  <si>
    <t>ARIEF SULISTIYONO</t>
  </si>
  <si>
    <t>CABANG MADYA KLAS BANJARMASIN</t>
  </si>
  <si>
    <t>49199</t>
  </si>
  <si>
    <t>BAMBANG WARDOJO</t>
  </si>
  <si>
    <t>92314</t>
  </si>
  <si>
    <t>EKA NANDA PRATAMA SUNARJO</t>
  </si>
  <si>
    <t>DIVISI OPERASI BISNIS KLASIFIKASI</t>
  </si>
  <si>
    <t>69508</t>
  </si>
  <si>
    <t>NINA SRI INDAH YANI</t>
  </si>
  <si>
    <t>CABANG MADYA KLAS PALEMBANG</t>
  </si>
  <si>
    <t>CABANG UTAMA KLAS SURABAYA</t>
  </si>
  <si>
    <t>105216</t>
  </si>
  <si>
    <t>PURWOKO WIDHYANTO WIRAWAN</t>
  </si>
  <si>
    <t>CABANG UTAMA KLAS BANTEN</t>
  </si>
  <si>
    <t>78010</t>
  </si>
  <si>
    <t>FERIZA YUSFI</t>
  </si>
  <si>
    <t>CABANG MADYA KLAS PEKANBARU</t>
  </si>
  <si>
    <t>78410</t>
  </si>
  <si>
    <t>LISA</t>
  </si>
  <si>
    <t>45197</t>
  </si>
  <si>
    <t>DONY TRI SUSILO</t>
  </si>
  <si>
    <t>CABANG PRATAMA KLAS JAMBI</t>
  </si>
  <si>
    <t>110816</t>
  </si>
  <si>
    <t>FITRIANI</t>
  </si>
  <si>
    <t>CABANG MADYA KLAS PONTIANAK</t>
  </si>
  <si>
    <t>95515</t>
  </si>
  <si>
    <t>SEPTIAN AJI DEWANGKARA</t>
  </si>
  <si>
    <t>CABANG MADYA KOMERSIAL BATAM</t>
  </si>
  <si>
    <t>86712</t>
  </si>
  <si>
    <t>BERMAN SARAGIH</t>
  </si>
  <si>
    <t>96615</t>
  </si>
  <si>
    <t>RUSDY WANGSA</t>
  </si>
  <si>
    <t>76710</t>
  </si>
  <si>
    <t>ARIF BIJAKSANA SATRIA NEGARA</t>
  </si>
  <si>
    <t>CABANG MADYA KOMERSIAL MAKASSAR</t>
  </si>
  <si>
    <t>76610</t>
  </si>
  <si>
    <t>ANDI ARDI ABDULLAH</t>
  </si>
  <si>
    <t>CABANG MADYA KOMERSIAL PEKANBARU</t>
  </si>
  <si>
    <t>107716</t>
  </si>
  <si>
    <t>M. HATTA BACO B</t>
  </si>
  <si>
    <t>108116</t>
  </si>
  <si>
    <t>RAHMAT S</t>
  </si>
  <si>
    <t>108416</t>
  </si>
  <si>
    <t>EKONDRO</t>
  </si>
  <si>
    <t>111116</t>
  </si>
  <si>
    <t>INDAH PETRICIA SARI</t>
  </si>
  <si>
    <t>112718</t>
  </si>
  <si>
    <t>ROZI DELFEMI IRAWATI</t>
  </si>
  <si>
    <t>112818</t>
  </si>
  <si>
    <t>ZULFAENI</t>
  </si>
  <si>
    <t>68208</t>
  </si>
  <si>
    <t>ABDILAH</t>
  </si>
  <si>
    <t>77810</t>
  </si>
  <si>
    <t>ADI ISMANTO</t>
  </si>
  <si>
    <t>77910</t>
  </si>
  <si>
    <t>BARI</t>
  </si>
  <si>
    <t>84812</t>
  </si>
  <si>
    <t>KAMARUDDIN</t>
  </si>
  <si>
    <t>84912</t>
  </si>
  <si>
    <t>SAID TAUFIQ</t>
  </si>
  <si>
    <t>96415</t>
  </si>
  <si>
    <t>MUH ALI HASAN</t>
  </si>
  <si>
    <t>CABANG MADYA KOMERSIAL SURABAYA</t>
  </si>
  <si>
    <t>67608</t>
  </si>
  <si>
    <t>A'AN AGUS FIRMANSYAH</t>
  </si>
  <si>
    <t>72308</t>
  </si>
  <si>
    <t>MUH. NASIR</t>
  </si>
  <si>
    <t>106616</t>
  </si>
  <si>
    <t>YOHANES ARDIANTO NUGROHO</t>
  </si>
  <si>
    <t>92914</t>
  </si>
  <si>
    <t>MUSTAKIM</t>
  </si>
  <si>
    <t>CABANG PRATAMA KLAS AMBON</t>
  </si>
  <si>
    <t>71008</t>
  </si>
  <si>
    <t>MUHAMMAD FAJRIN M. SAID</t>
  </si>
  <si>
    <t>CABANG PRATAMA KLAS BELAWAN</t>
  </si>
  <si>
    <t>73909</t>
  </si>
  <si>
    <t>ANDI P. SIAGIAN</t>
  </si>
  <si>
    <t>CABANG PRATAMA KLAS BITUNG</t>
  </si>
  <si>
    <t>88212</t>
  </si>
  <si>
    <t>AGRIS SETYAWAN</t>
  </si>
  <si>
    <t>110516</t>
  </si>
  <si>
    <t>ZUL FAJRIN AZDIN</t>
  </si>
  <si>
    <t>81911</t>
  </si>
  <si>
    <t>ARYO SINGGIH</t>
  </si>
  <si>
    <t>CABANG PRATAMA KLAS CIREBON</t>
  </si>
  <si>
    <t>103016</t>
  </si>
  <si>
    <t>CHOIRUN CAHYOABDI</t>
  </si>
  <si>
    <t>56603</t>
  </si>
  <si>
    <t>YULIAN ARPIANTO</t>
  </si>
  <si>
    <t>58404</t>
  </si>
  <si>
    <t>SULASMAN</t>
  </si>
  <si>
    <t>CABANG PRATAMA KLAS MAKASSAR</t>
  </si>
  <si>
    <t>88812</t>
  </si>
  <si>
    <t>MUH. ASQAR</t>
  </si>
  <si>
    <t>74609</t>
  </si>
  <si>
    <t>ILHAM SYAHRIR</t>
  </si>
  <si>
    <t>103816</t>
  </si>
  <si>
    <t>FAJAR NUGRAHA</t>
  </si>
  <si>
    <t>CABANG PRATAMA KLAS SEMARANG</t>
  </si>
  <si>
    <t>88912</t>
  </si>
  <si>
    <t>NOAH CAHYASASMITA</t>
  </si>
  <si>
    <t>DIVISI SURVEY</t>
  </si>
  <si>
    <t>100015</t>
  </si>
  <si>
    <t>RYAN HANGGA SRI WIJIHARTO</t>
  </si>
  <si>
    <t>CABANG PRATAMA KOMERSIAL BANJARMASIN</t>
  </si>
  <si>
    <t>85412</t>
  </si>
  <si>
    <t>BAMBANG TRI NUGROHO</t>
  </si>
  <si>
    <t>CABANG PRATAMA KOMERSIAL BANTEN</t>
  </si>
  <si>
    <t>85212</t>
  </si>
  <si>
    <t>MOH. NOOR KHOLIS</t>
  </si>
  <si>
    <t>86812</t>
  </si>
  <si>
    <t>MUHAMMAD ARAFAH</t>
  </si>
  <si>
    <t>108916</t>
  </si>
  <si>
    <t>OKI DWI ANGGORO</t>
  </si>
  <si>
    <t>CABANG PRATAMA KOMERSIAL BELAWAN</t>
  </si>
  <si>
    <t>52200</t>
  </si>
  <si>
    <t>HERI WIRAWAN</t>
  </si>
  <si>
    <t>96515</t>
  </si>
  <si>
    <t>SUDARMA EDY SARAGIH JAWAK</t>
  </si>
  <si>
    <t>CABANG PRATAMA KOMERSIAL PALEMBANG</t>
  </si>
  <si>
    <t>52700</t>
  </si>
  <si>
    <t>WIDODO</t>
  </si>
  <si>
    <t>96815</t>
  </si>
  <si>
    <t>AKHMAD MULIADDIN</t>
  </si>
  <si>
    <t>108216</t>
  </si>
  <si>
    <t>ZAINAL</t>
  </si>
  <si>
    <t>97015</t>
  </si>
  <si>
    <t>KHAERUL AKBAR</t>
  </si>
  <si>
    <t>99915</t>
  </si>
  <si>
    <t>MOKHAMMAD YUFIAN RIDHANANDA</t>
  </si>
  <si>
    <t>CABANG PRATAMA KOMERSIAL PONTIANAK</t>
  </si>
  <si>
    <t>94615</t>
  </si>
  <si>
    <t>MUHAMMAD RIZKY PURNAMA</t>
  </si>
  <si>
    <t>CABANG PRATAMA KOMERSIAL SEMARANG</t>
  </si>
  <si>
    <t>98615</t>
  </si>
  <si>
    <t>INDRA KUSUMA MUHAMMAD</t>
  </si>
  <si>
    <t>74209</t>
  </si>
  <si>
    <t>EDWIN OLAF JULIAN DAMANIK</t>
  </si>
  <si>
    <t>118224</t>
  </si>
  <si>
    <t>IBNUL QAYYIM</t>
  </si>
  <si>
    <t>104816</t>
  </si>
  <si>
    <t>MUHAMMAD ASRUL LA SARIPI</t>
  </si>
  <si>
    <t>CABANG UTAMA KLAS TG. PRIOK</t>
  </si>
  <si>
    <t>45497</t>
  </si>
  <si>
    <t>BUDI ISROFI</t>
  </si>
  <si>
    <t>104316</t>
  </si>
  <si>
    <t>JIADAN</t>
  </si>
  <si>
    <t>71208</t>
  </si>
  <si>
    <t>YULID ANJI FIRMANSYAH</t>
  </si>
  <si>
    <t>44997</t>
  </si>
  <si>
    <t>BENNI HERMAWAN</t>
  </si>
  <si>
    <t>CABANG UTAMA KLAS SAMARINDA</t>
  </si>
  <si>
    <t>60405</t>
  </si>
  <si>
    <t>DAVID NOER SYUHADA</t>
  </si>
  <si>
    <t>95315</t>
  </si>
  <si>
    <t>RANGSANG KUSUMADILAGA</t>
  </si>
  <si>
    <t>88612</t>
  </si>
  <si>
    <t>LA ODE ABDUL RAHMAN FIRU</t>
  </si>
  <si>
    <t>91614</t>
  </si>
  <si>
    <t>ABDUL KHOLICK</t>
  </si>
  <si>
    <t>91714</t>
  </si>
  <si>
    <t>AGUS ERICSON SIANIPAR</t>
  </si>
  <si>
    <t>47799</t>
  </si>
  <si>
    <t>BAMBANG RIYANTO</t>
  </si>
  <si>
    <t>71908</t>
  </si>
  <si>
    <t>BAKTI NUGROHO DWI KUSHADIANTO</t>
  </si>
  <si>
    <t>62606</t>
  </si>
  <si>
    <t>ABUKASIM USMAN</t>
  </si>
  <si>
    <t>79510</t>
  </si>
  <si>
    <t>NURUL HUDA</t>
  </si>
  <si>
    <t>57503</t>
  </si>
  <si>
    <t>TEGUH BUDI SANTOSO</t>
  </si>
  <si>
    <t>89012</t>
  </si>
  <si>
    <t>RIDWAN AHMAD FAUZI</t>
  </si>
  <si>
    <t>102816</t>
  </si>
  <si>
    <t>BAYU RISTA</t>
  </si>
  <si>
    <t>95215</t>
  </si>
  <si>
    <t>MUHAMAD BAQI</t>
  </si>
  <si>
    <t>101915</t>
  </si>
  <si>
    <t>FAUZI</t>
  </si>
  <si>
    <t>51400</t>
  </si>
  <si>
    <t>SOLEH ABIDIN</t>
  </si>
  <si>
    <t>61706</t>
  </si>
  <si>
    <t>RM KURNAEFI</t>
  </si>
  <si>
    <t>72708</t>
  </si>
  <si>
    <t>TONI SYARIF HIDAYAH</t>
  </si>
  <si>
    <t>74309</t>
  </si>
  <si>
    <t>HARDI E. P. SIAGIAN</t>
  </si>
  <si>
    <t>77510</t>
  </si>
  <si>
    <t>INDRA PERMANA</t>
  </si>
  <si>
    <t>107116</t>
  </si>
  <si>
    <t>RONY WIRANTO SETIAWAN</t>
  </si>
  <si>
    <t>45297</t>
  </si>
  <si>
    <t>MUHAMMAD IDI</t>
  </si>
  <si>
    <t>83111</t>
  </si>
  <si>
    <t>NARSO</t>
  </si>
  <si>
    <t>117123</t>
  </si>
  <si>
    <t>WILDANIS MIFTAHUL ABROR</t>
  </si>
  <si>
    <t>118124</t>
  </si>
  <si>
    <t>FARHAN ABDUL KARIM</t>
  </si>
  <si>
    <t>105916</t>
  </si>
  <si>
    <t>SUTRISNO</t>
  </si>
  <si>
    <t>80210</t>
  </si>
  <si>
    <t>A. RASYID ALIMUDDIN</t>
  </si>
  <si>
    <t>CABANG UTAMA KOMERSIAL BALIKPAPAN</t>
  </si>
  <si>
    <t>85512</t>
  </si>
  <si>
    <t>JOKO UTOMO</t>
  </si>
  <si>
    <t>66308</t>
  </si>
  <si>
    <t>RATNA DAMAYANTI</t>
  </si>
  <si>
    <t>83411</t>
  </si>
  <si>
    <t>SUDARYONO</t>
  </si>
  <si>
    <t>83511</t>
  </si>
  <si>
    <t>ADNAN</t>
  </si>
  <si>
    <t>99715</t>
  </si>
  <si>
    <t>BRAMANTI PRAMAWEDHA SATRIANTO PUTRA</t>
  </si>
  <si>
    <t>DEPARTEMEN MANAJEMEN PORTOFOLIO</t>
  </si>
  <si>
    <t>113419</t>
  </si>
  <si>
    <t>ALDICIO WILLIAM SCHUURMAN</t>
  </si>
  <si>
    <t>114319</t>
  </si>
  <si>
    <t>FAISHAL ABDURRAHMAN LABIB</t>
  </si>
  <si>
    <t>74409</t>
  </si>
  <si>
    <t>HARDIKA RATDITYA ARDYANTO</t>
  </si>
  <si>
    <t>50300</t>
  </si>
  <si>
    <t>PUJATMANTO BASTRIADI</t>
  </si>
  <si>
    <t>48099</t>
  </si>
  <si>
    <t>BAMBANG SUTOMO</t>
  </si>
  <si>
    <t>49900</t>
  </si>
  <si>
    <t>HERBERT SIMON HUTAJULU</t>
  </si>
  <si>
    <t>79110</t>
  </si>
  <si>
    <t>HIMAWAN</t>
  </si>
  <si>
    <t>83011</t>
  </si>
  <si>
    <t>MUNIR MURADI</t>
  </si>
  <si>
    <t>DIVISI MANAJEMEN CABANG KOMERSIAL</t>
  </si>
  <si>
    <t>56803</t>
  </si>
  <si>
    <t>TOGAP HIDAYAT SIAGIAN</t>
  </si>
  <si>
    <t>63606</t>
  </si>
  <si>
    <t>MAMIN RIFFIA KUSNANDAR</t>
  </si>
  <si>
    <t>66908</t>
  </si>
  <si>
    <t>ACHMAD TAWAKKAL RAMPA</t>
  </si>
  <si>
    <t>124125</t>
  </si>
  <si>
    <t>MUHAMMAD DAFA'ANH MURYA TSANI</t>
  </si>
  <si>
    <t>48399</t>
  </si>
  <si>
    <t>BUDI PRAKOSO</t>
  </si>
  <si>
    <t>DIVISI OPERASI DIGITAL TIC</t>
  </si>
  <si>
    <t>58306</t>
  </si>
  <si>
    <t>MAT HASAN</t>
  </si>
  <si>
    <t>115219</t>
  </si>
  <si>
    <t>RIANA PATRICIA</t>
  </si>
  <si>
    <t>GROUP STRATEGI DAN TRANSFORMASI KORPORAT</t>
  </si>
  <si>
    <t>114719</t>
  </si>
  <si>
    <t>MEGAWATI ROSALIO PUTRI</t>
  </si>
  <si>
    <t>91314</t>
  </si>
  <si>
    <t>IRAWATI</t>
  </si>
  <si>
    <t>117423</t>
  </si>
  <si>
    <t>ABDUL RIFANI PRAJA NURRAHMAN</t>
  </si>
  <si>
    <t>DIVISI AKUNTANSI KEUANGAN DAN PAJAK</t>
  </si>
  <si>
    <t>113619</t>
  </si>
  <si>
    <t>ADESTA MUNAS LATIEF</t>
  </si>
  <si>
    <t>113819</t>
  </si>
  <si>
    <t>ANNISYAH FAZRIN</t>
  </si>
  <si>
    <t>DIVISI KEUANGAN DAN AKUNTANSI</t>
  </si>
  <si>
    <t>58504</t>
  </si>
  <si>
    <t>SUMARTINI</t>
  </si>
  <si>
    <t>58704</t>
  </si>
  <si>
    <t>LILY PANDANSARI</t>
  </si>
  <si>
    <t>79210</t>
  </si>
  <si>
    <t>RISKA TRI HANDINI</t>
  </si>
  <si>
    <t>86512</t>
  </si>
  <si>
    <t>RATNA DEWI</t>
  </si>
  <si>
    <t>70408</t>
  </si>
  <si>
    <t>PUTRI NUR LAKSMI</t>
  </si>
  <si>
    <t>111416</t>
  </si>
  <si>
    <t>NENNY YUNIARTI</t>
  </si>
  <si>
    <t>99215</t>
  </si>
  <si>
    <t>TRI JANUAR PRATAMA</t>
  </si>
  <si>
    <t>93814</t>
  </si>
  <si>
    <t>AZIZA</t>
  </si>
  <si>
    <t>73609</t>
  </si>
  <si>
    <t>KURNIA FIRMANSYAH</t>
  </si>
  <si>
    <t>121625</t>
  </si>
  <si>
    <t>YULIA FAJRI KINANTI</t>
  </si>
  <si>
    <t>DIVISI HUMAN CAPITAL DAN TEKNOLOGI INFORMASI</t>
  </si>
  <si>
    <t>109317</t>
  </si>
  <si>
    <t>SAMSUL MUSLIM</t>
  </si>
  <si>
    <t>83711</t>
  </si>
  <si>
    <t>ROMILLO LIBRA SETIADI</t>
  </si>
  <si>
    <t>88012</t>
  </si>
  <si>
    <t>BAYU MAHARDIKA WICAKSONO</t>
  </si>
  <si>
    <t>94914</t>
  </si>
  <si>
    <t>MUCHLIS RACHMAN</t>
  </si>
  <si>
    <t>86412</t>
  </si>
  <si>
    <t>MARINA ARIFIANTI</t>
  </si>
  <si>
    <t>115119</t>
  </si>
  <si>
    <t>NURKUMALA SAKTI</t>
  </si>
  <si>
    <t>70208</t>
  </si>
  <si>
    <t>YULIA DIAN ANGGRAINI</t>
  </si>
  <si>
    <t>70308</t>
  </si>
  <si>
    <t>MIA MARTINA INDAH</t>
  </si>
  <si>
    <t>67508</t>
  </si>
  <si>
    <t>MARDINI EMBUN SARI</t>
  </si>
  <si>
    <t>68808</t>
  </si>
  <si>
    <t>DESI HARDIANAWATI</t>
  </si>
  <si>
    <t>79810</t>
  </si>
  <si>
    <t>RIDWAN ARIFIN</t>
  </si>
  <si>
    <t>72208</t>
  </si>
  <si>
    <t>EVA SINTAULI SARAGIH</t>
  </si>
  <si>
    <t>116423</t>
  </si>
  <si>
    <t>APRIANSYAH</t>
  </si>
  <si>
    <t>62006</t>
  </si>
  <si>
    <t>RACHMAD KURNIAWAN</t>
  </si>
  <si>
    <t>50500</t>
  </si>
  <si>
    <t>IRWANTO</t>
  </si>
  <si>
    <t>52900</t>
  </si>
  <si>
    <t>WAWAN PRIYA WIDYANTA</t>
  </si>
  <si>
    <t>40793</t>
  </si>
  <si>
    <t>ROSALINA AMRAN</t>
  </si>
  <si>
    <t>70908</t>
  </si>
  <si>
    <t>MUHAMAD SODIK</t>
  </si>
  <si>
    <t>85912</t>
  </si>
  <si>
    <t>YUSFI NOER ARYANI</t>
  </si>
  <si>
    <t>116723</t>
  </si>
  <si>
    <t>SAHDAT FAMA RIDHO</t>
  </si>
  <si>
    <t>124825</t>
  </si>
  <si>
    <t>ELMY MUFIDAH</t>
  </si>
  <si>
    <t>113319</t>
  </si>
  <si>
    <t>MOHAMMAD RIZKI SATRIO</t>
  </si>
  <si>
    <t>DIVISI HUMAN CAPITAL</t>
  </si>
  <si>
    <t>99315</t>
  </si>
  <si>
    <t>FIKRAH WATHANI</t>
  </si>
  <si>
    <t>49600</t>
  </si>
  <si>
    <t>DIVISI INTEGRASI SISTEM DAN PROSES BISNIS</t>
  </si>
  <si>
    <t>115823</t>
  </si>
  <si>
    <t>AGUS SYARIF MAOLANA</t>
  </si>
  <si>
    <t>119725</t>
  </si>
  <si>
    <t>IRMA YUNIATI</t>
  </si>
  <si>
    <t>85612</t>
  </si>
  <si>
    <t>BUSROL KARIM</t>
  </si>
  <si>
    <t>UNIT HSE</t>
  </si>
  <si>
    <t>65308</t>
  </si>
  <si>
    <t>DIDIET EDITHIA FIRMAN</t>
  </si>
  <si>
    <t>53000</t>
  </si>
  <si>
    <t>RIMA NOVEDIA BANGUN</t>
  </si>
  <si>
    <t>DIVISI PERENCANAAN KORPORAT DAN MANAJEMEN RISIKO</t>
  </si>
  <si>
    <t>94715</t>
  </si>
  <si>
    <t>WARINI</t>
  </si>
  <si>
    <t>53300</t>
  </si>
  <si>
    <t>ANOGI AKBAR ALI</t>
  </si>
  <si>
    <t>114919</t>
  </si>
  <si>
    <t>MUHAMMAD ADITYO NUGROHO</t>
  </si>
  <si>
    <t>94214</t>
  </si>
  <si>
    <t>DWI CAHYA KURNIAWANI</t>
  </si>
  <si>
    <t>46198</t>
  </si>
  <si>
    <t>DEDE MA'MUN SUMANTRI</t>
  </si>
  <si>
    <t>121825</t>
  </si>
  <si>
    <t>REGIYAN DRININ KAWASUGI</t>
  </si>
  <si>
    <t>124025</t>
  </si>
  <si>
    <t>MUHAMMAD RAFI AMRULLAH</t>
  </si>
  <si>
    <t>124425</t>
  </si>
  <si>
    <t>ELVIRA ANGGRAINI KUSUMAPUTRI</t>
  </si>
  <si>
    <t>114019</t>
  </si>
  <si>
    <t>CHRISANTYA DIAN EKA WIHARTI</t>
  </si>
  <si>
    <t>DIVISI MANAJEMEN RISIKO DAN KEBERLANJUTAN</t>
  </si>
  <si>
    <t>71308</t>
  </si>
  <si>
    <t>SURIATY PARAMINTA PUTRI</t>
  </si>
  <si>
    <t>113519</t>
  </si>
  <si>
    <t>ABDIL HAFIIZH ZHAFRAN</t>
  </si>
  <si>
    <t>DIVISI PEMASARAN KORPORAT</t>
  </si>
  <si>
    <t>81210</t>
  </si>
  <si>
    <t>SUKMA MAHARANI</t>
  </si>
  <si>
    <t>UNIT PEMASARAN DAN LAYANAN PELANGGAN NUSANTARA</t>
  </si>
  <si>
    <t>121325</t>
  </si>
  <si>
    <t>RAKA DWITA SETYANEGARA</t>
  </si>
  <si>
    <t>111216</t>
  </si>
  <si>
    <t>MARISA THERESIA SIHOMBING</t>
  </si>
  <si>
    <t>DIVISI PENGADAAN, UMUM DAN MANAJEMEN ASET</t>
  </si>
  <si>
    <t>56002</t>
  </si>
  <si>
    <t>ILYAS</t>
  </si>
  <si>
    <t>62306</t>
  </si>
  <si>
    <t>BAMBANG IRWAN</t>
  </si>
  <si>
    <t>61906</t>
  </si>
  <si>
    <t>TEGUH ANDANI</t>
  </si>
  <si>
    <t>44897</t>
  </si>
  <si>
    <t>MOHAMMAD HASAN</t>
  </si>
  <si>
    <t>62906</t>
  </si>
  <si>
    <t>SRI MULYANTI</t>
  </si>
  <si>
    <t>99415</t>
  </si>
  <si>
    <t>KOSIM BIN MARI</t>
  </si>
  <si>
    <t>99515</t>
  </si>
  <si>
    <t>SARIDI</t>
  </si>
  <si>
    <t>113719</t>
  </si>
  <si>
    <t>ADITYA PUTRI ANGGRAINI</t>
  </si>
  <si>
    <t>72608</t>
  </si>
  <si>
    <t>UNTUNG PRASETYO</t>
  </si>
  <si>
    <t>39792</t>
  </si>
  <si>
    <t>NASARUDDIN</t>
  </si>
  <si>
    <t>117223</t>
  </si>
  <si>
    <t>MUSLIM DERMAWAN BARUS</t>
  </si>
  <si>
    <t>121425</t>
  </si>
  <si>
    <t>RIAN EKA SAPUTRA</t>
  </si>
  <si>
    <t>46298</t>
  </si>
  <si>
    <t>SUKADI REDJI</t>
  </si>
  <si>
    <t>115422</t>
  </si>
  <si>
    <t>NADIA LISTIYANI</t>
  </si>
  <si>
    <t>DIVISI PENGEMBANGAN KORPORAT</t>
  </si>
  <si>
    <t>115319</t>
  </si>
  <si>
    <t>SALMA FADHILAH WIDITYANI</t>
  </si>
  <si>
    <t>89512</t>
  </si>
  <si>
    <t>BUDI FITRIAWAN</t>
  </si>
  <si>
    <t>DIVISI PERENCANAAN DAN KEUANGAN KORPORAT</t>
  </si>
  <si>
    <t>58804</t>
  </si>
  <si>
    <t>SYAHLIR</t>
  </si>
  <si>
    <t>121525</t>
  </si>
  <si>
    <t>THOMAS MAHENDRA</t>
  </si>
  <si>
    <t>116923</t>
  </si>
  <si>
    <t>AGUNG PRASETYO</t>
  </si>
  <si>
    <t>114119</t>
  </si>
  <si>
    <t>DENY HARDIANSYAH</t>
  </si>
  <si>
    <t>DIVISI SISTEM MANAJEMEN DAN AUDIT</t>
  </si>
  <si>
    <t>63406</t>
  </si>
  <si>
    <t>LYZA YUNI SETIAWATI</t>
  </si>
  <si>
    <t>70708</t>
  </si>
  <si>
    <t>KARTIKA WIJAYANTI KUSUMAWARDHANI</t>
  </si>
  <si>
    <t>62706</t>
  </si>
  <si>
    <t>ANDI LAMAPPASESSU</t>
  </si>
  <si>
    <t>117323</t>
  </si>
  <si>
    <t>TUNJUNG WIDYATMO HANDOYO</t>
  </si>
  <si>
    <t>DIVISI PERSETUJUAN RANCANG BANGUN NUSANTARA</t>
  </si>
  <si>
    <t>103316</t>
  </si>
  <si>
    <t>DENY CAHYO NUGROHO</t>
  </si>
  <si>
    <t>103616</t>
  </si>
  <si>
    <t>FAHRUL NUR HIDAYAT</t>
  </si>
  <si>
    <t>57904</t>
  </si>
  <si>
    <t>HERU SUSILO BUDIMAN</t>
  </si>
  <si>
    <t>79710</t>
  </si>
  <si>
    <t>SEFIA HELMINA</t>
  </si>
  <si>
    <t>90613</t>
  </si>
  <si>
    <t>RIYANTO</t>
  </si>
  <si>
    <t>63906</t>
  </si>
  <si>
    <t>ARMINDARY ARIEF</t>
  </si>
  <si>
    <t>87312</t>
  </si>
  <si>
    <t>FACHRUDDIN</t>
  </si>
  <si>
    <t>49700</t>
  </si>
  <si>
    <t>WASITO ABDUL MUKIT</t>
  </si>
  <si>
    <t>64607</t>
  </si>
  <si>
    <t>MOCHAMMAD ZAKY</t>
  </si>
  <si>
    <t>DIVISI PERSETUJUAN RANCANG BANGUN</t>
  </si>
  <si>
    <t>56903</t>
  </si>
  <si>
    <t>KRISHNA WIJAYADI</t>
  </si>
  <si>
    <t>71608</t>
  </si>
  <si>
    <t>HIJRAWATI MUHTAR</t>
  </si>
  <si>
    <t>73009</t>
  </si>
  <si>
    <t>DWIANA GALUH LISTIYARINI</t>
  </si>
  <si>
    <t>95815</t>
  </si>
  <si>
    <t>FAULINCIA</t>
  </si>
  <si>
    <t>96215</t>
  </si>
  <si>
    <t>DIAN FEBRIAN</t>
  </si>
  <si>
    <t>73409</t>
  </si>
  <si>
    <t>ANDI NURALIM KAMAL</t>
  </si>
  <si>
    <t>64206</t>
  </si>
  <si>
    <t>FAHMI</t>
  </si>
  <si>
    <t>61806</t>
  </si>
  <si>
    <t>WAHIDIN</t>
  </si>
  <si>
    <t>91014</t>
  </si>
  <si>
    <t>TAUFIK AKBAR</t>
  </si>
  <si>
    <t>91414</t>
  </si>
  <si>
    <t>NOMO PRIHASTA</t>
  </si>
  <si>
    <t>78610</t>
  </si>
  <si>
    <t>FARRAH MUTIA NURFADILAH</t>
  </si>
  <si>
    <t>DIVISI RISET DAN PENGEMBANGAN PRODUK</t>
  </si>
  <si>
    <t>DIVISI RISET DAN PENGEMBANGAN BISNIS KLASIFIKASI &amp; STATUTORIA</t>
  </si>
  <si>
    <t>79910</t>
  </si>
  <si>
    <t>MOHAMMAD ABDUL MALIK</t>
  </si>
  <si>
    <t>89912</t>
  </si>
  <si>
    <t>RISKA DERIANI MASKAR</t>
  </si>
  <si>
    <t>90212</t>
  </si>
  <si>
    <t>MUHAMMAD YUDI OKTOVIANTO</t>
  </si>
  <si>
    <t>85812</t>
  </si>
  <si>
    <t>NOVIANSYAH PAMUNGKAS</t>
  </si>
  <si>
    <t>DIVISI SEKRETARIS PERUSAHAAN</t>
  </si>
  <si>
    <t>101415</t>
  </si>
  <si>
    <t>WILLEM GERRIT PIETER REHATTA</t>
  </si>
  <si>
    <t>110016</t>
  </si>
  <si>
    <t>MICHELLE CHANTAL MUSTAMU</t>
  </si>
  <si>
    <t>113919</t>
  </si>
  <si>
    <t>BONOR SAMUEL CHARLES</t>
  </si>
  <si>
    <t>59504</t>
  </si>
  <si>
    <t>LINDA KURNIATY</t>
  </si>
  <si>
    <t>78710</t>
  </si>
  <si>
    <t>HAERUDIN</t>
  </si>
  <si>
    <t>90914</t>
  </si>
  <si>
    <t>GDE SANDHYANA PRADHITA</t>
  </si>
  <si>
    <t>93914</t>
  </si>
  <si>
    <t>DEBORAH NINDYA PAWESTRI</t>
  </si>
  <si>
    <t>67908</t>
  </si>
  <si>
    <t>ERRY SANJAYA DJAYUS</t>
  </si>
  <si>
    <t>94014</t>
  </si>
  <si>
    <t>WILLY ADI NUGROHO</t>
  </si>
  <si>
    <t>114519</t>
  </si>
  <si>
    <t>KEVIN IQBAL RIZALDI</t>
  </si>
  <si>
    <t>47198</t>
  </si>
  <si>
    <t>TRI LAKSONO JOENIAWAN</t>
  </si>
  <si>
    <t>DIVISI STATUTORIA</t>
  </si>
  <si>
    <t>57203</t>
  </si>
  <si>
    <t>DOAN OSCAR DEWANDARU</t>
  </si>
  <si>
    <t>75009</t>
  </si>
  <si>
    <t>TRI BUANA GALAXY</t>
  </si>
  <si>
    <t>71108</t>
  </si>
  <si>
    <t>ADITYA TRISANDHYA PRAMANA</t>
  </si>
  <si>
    <t>78910</t>
  </si>
  <si>
    <t>FIRMANSYAH</t>
  </si>
  <si>
    <t>57604</t>
  </si>
  <si>
    <t>ARIF YUNAEDI</t>
  </si>
  <si>
    <t>43696</t>
  </si>
  <si>
    <t>SIGIT PRASTOWO</t>
  </si>
  <si>
    <t>89312</t>
  </si>
  <si>
    <t>SYARIFUL MAHSYAR</t>
  </si>
  <si>
    <t>81811</t>
  </si>
  <si>
    <t>ALI AKBAR BASO</t>
  </si>
  <si>
    <t>94915</t>
  </si>
  <si>
    <t>LUTFI PALIAM PARAYA</t>
  </si>
  <si>
    <t>95615</t>
  </si>
  <si>
    <t>SETIONO PRABOWO</t>
  </si>
  <si>
    <t>71508</t>
  </si>
  <si>
    <t>ARIFUDDIN</t>
  </si>
  <si>
    <t>92214</t>
  </si>
  <si>
    <t>ARIFIN GUSTIAN PRAMOKO</t>
  </si>
  <si>
    <t>88712</t>
  </si>
  <si>
    <t>MAHESA SAGA</t>
  </si>
  <si>
    <t>106016</t>
  </si>
  <si>
    <t>SYARIFUDDIN YAMIN</t>
  </si>
  <si>
    <t>110916</t>
  </si>
  <si>
    <t>HAMBALI WAHID</t>
  </si>
  <si>
    <t>MIFTAH FARIDY</t>
  </si>
  <si>
    <t>48499</t>
  </si>
  <si>
    <t>MUHAMMAD ARFAH</t>
  </si>
  <si>
    <t>92614</t>
  </si>
  <si>
    <t>GARY SIMON</t>
  </si>
  <si>
    <t>82511</t>
  </si>
  <si>
    <t>IRWAN EKO SANTOSO</t>
  </si>
  <si>
    <t>83211</t>
  </si>
  <si>
    <t>NUR RAHMAD HIDAYAT</t>
  </si>
  <si>
    <t>47598</t>
  </si>
  <si>
    <t>TANTYO PRAJOGO</t>
  </si>
  <si>
    <t>82011</t>
  </si>
  <si>
    <t>AWALUDDIN PAINGNGI</t>
  </si>
  <si>
    <t>60605</t>
  </si>
  <si>
    <t>MUSHAWWIR RAZAK</t>
  </si>
  <si>
    <t>93114</t>
  </si>
  <si>
    <t>SANG LANANG SADDAMULLAH</t>
  </si>
  <si>
    <t>124225</t>
  </si>
  <si>
    <t>JASMINE PRATIWI</t>
  </si>
  <si>
    <t>57103</t>
  </si>
  <si>
    <t>PRASETYO</t>
  </si>
  <si>
    <t>DIVISI TEKNOLOGI INFORMASI</t>
  </si>
  <si>
    <t>114219</t>
  </si>
  <si>
    <t>DICKY ALDOKO</t>
  </si>
  <si>
    <t>109818</t>
  </si>
  <si>
    <t>M RAHMAT AKBAR RAMADHAN</t>
  </si>
  <si>
    <t>94814</t>
  </si>
  <si>
    <t>HARDIAN</t>
  </si>
  <si>
    <t>60805</t>
  </si>
  <si>
    <t>ANDRI SURYAWAN</t>
  </si>
  <si>
    <t>114819</t>
  </si>
  <si>
    <t>MUHAMMAD IRVAN WIDYA</t>
  </si>
  <si>
    <t>SATUAN PENGAWASAN INTERN</t>
  </si>
  <si>
    <t>53200</t>
  </si>
  <si>
    <t>RAHMAN SUSILO</t>
  </si>
  <si>
    <t>ANITA MAGDALENA</t>
  </si>
  <si>
    <t>114619</t>
  </si>
  <si>
    <t>LUTHFI SETIA MARDANI</t>
  </si>
  <si>
    <t>58204</t>
  </si>
  <si>
    <t>ABDUR RAHMAN</t>
  </si>
  <si>
    <t>94114</t>
  </si>
  <si>
    <t>SARI GITA TANTINIS</t>
  </si>
  <si>
    <t>59705</t>
  </si>
  <si>
    <t>BUDIMAN JOHANSYAH</t>
  </si>
  <si>
    <t>CABANG UTAMA KOMERSIAL JAKARTA</t>
  </si>
  <si>
    <t>72909</t>
  </si>
  <si>
    <t>HARRYS PAHALA MANALU</t>
  </si>
  <si>
    <t>65208</t>
  </si>
  <si>
    <t>ELVA MOCHAMAD RAMDHANI</t>
  </si>
  <si>
    <t>72108</t>
  </si>
  <si>
    <t>MUH. ASPAR</t>
  </si>
  <si>
    <t>103116</t>
  </si>
  <si>
    <t>DANIEL MAHARDHIKA</t>
  </si>
  <si>
    <t>67108</t>
  </si>
  <si>
    <t>BAMBANG WIJANARKO</t>
  </si>
  <si>
    <t>75210</t>
  </si>
  <si>
    <t>FERNANDO S</t>
  </si>
  <si>
    <t>72508</t>
  </si>
  <si>
    <t>MERDIANSAH</t>
  </si>
  <si>
    <t>70608</t>
  </si>
  <si>
    <t>SUSETYO WIJANARKO BUDIARDHI</t>
  </si>
  <si>
    <t>96115</t>
  </si>
  <si>
    <t>AZHAR GHIPARI</t>
  </si>
  <si>
    <t>96015</t>
  </si>
  <si>
    <t>EDIT HASTA PRIHANTIKA</t>
  </si>
  <si>
    <t>112418</t>
  </si>
  <si>
    <t>YUSRIADY BOROALLO RUGA</t>
  </si>
  <si>
    <t>84712</t>
  </si>
  <si>
    <t>SUDIRO</t>
  </si>
  <si>
    <t>119225</t>
  </si>
  <si>
    <t>DIMAS PUTRA PRASETYO</t>
  </si>
  <si>
    <t>108516</t>
  </si>
  <si>
    <t>FATKHURROHMAN</t>
  </si>
  <si>
    <t>115923</t>
  </si>
  <si>
    <t>KENNEDI PANGARIBUAN</t>
  </si>
  <si>
    <t>113019</t>
  </si>
  <si>
    <t>NOVELLA MUSYA</t>
  </si>
  <si>
    <t>75610</t>
  </si>
  <si>
    <t>RAHADI SIGIT WICAKSONO</t>
  </si>
  <si>
    <t>95715</t>
  </si>
  <si>
    <t>RIZKI ALDILLA TAMTURA</t>
  </si>
  <si>
    <t>116023</t>
  </si>
  <si>
    <t>SATRIA ADI SUKMA NEGARA</t>
  </si>
  <si>
    <t>75810</t>
  </si>
  <si>
    <t>DINO VITA LARASANTO</t>
  </si>
  <si>
    <t>75510</t>
  </si>
  <si>
    <t>SYAFRIL</t>
  </si>
  <si>
    <t>98415</t>
  </si>
  <si>
    <t>HENDI ZULFAN</t>
  </si>
  <si>
    <t>100115</t>
  </si>
  <si>
    <t>MUHAMMAD SOFIAN</t>
  </si>
  <si>
    <t>94415</t>
  </si>
  <si>
    <t>ABD. RAHMAN</t>
  </si>
  <si>
    <t>106916</t>
  </si>
  <si>
    <t>ISMAIL</t>
  </si>
  <si>
    <t>60705</t>
  </si>
  <si>
    <t>NERLAN PASARIBU</t>
  </si>
  <si>
    <t>112318</t>
  </si>
  <si>
    <t>R. ADE WARDOYO WINOTO PUTRO</t>
  </si>
  <si>
    <t>98315</t>
  </si>
  <si>
    <t>ARY FIRMANSYAH FIRLI</t>
  </si>
  <si>
    <t>107416</t>
  </si>
  <si>
    <t>HEDIAR HAPRI BANGABUA</t>
  </si>
  <si>
    <t>55501</t>
  </si>
  <si>
    <t>FERRY HARFIANTO EFFENDY</t>
  </si>
  <si>
    <t>79310</t>
  </si>
  <si>
    <t>DANDY RUKMANA</t>
  </si>
  <si>
    <t>59905</t>
  </si>
  <si>
    <t>R. SAPTO AGUNG PRAMUSINTO</t>
  </si>
  <si>
    <t>CoE ENERGY</t>
  </si>
  <si>
    <t>77010</t>
  </si>
  <si>
    <t>YUDI PRAWOTO</t>
  </si>
  <si>
    <t>76310</t>
  </si>
  <si>
    <t>AGUS SUNARTO</t>
  </si>
  <si>
    <t>112918</t>
  </si>
  <si>
    <t>BURHANUDDIN</t>
  </si>
  <si>
    <t>101615</t>
  </si>
  <si>
    <t>EFRY TALLAMMA</t>
  </si>
  <si>
    <t>100215</t>
  </si>
  <si>
    <t>ELVINO YUSKA PUTRA</t>
  </si>
  <si>
    <t>111016</t>
  </si>
  <si>
    <t>HELDA YULISTIANI</t>
  </si>
  <si>
    <t>53400</t>
  </si>
  <si>
    <t>WAHJOE ARIO TEDJO</t>
  </si>
  <si>
    <t>67008</t>
  </si>
  <si>
    <t>WINARTO</t>
  </si>
  <si>
    <t>107616</t>
  </si>
  <si>
    <t>JOKO SUSILO</t>
  </si>
  <si>
    <t>78110</t>
  </si>
  <si>
    <t>WAHYU PRIAMBODO</t>
  </si>
  <si>
    <t>75710</t>
  </si>
  <si>
    <t>ARIF RACHMAN</t>
  </si>
  <si>
    <t>117023</t>
  </si>
  <si>
    <t>TANTRY OCTAVIANI</t>
  </si>
  <si>
    <t>83611</t>
  </si>
  <si>
    <t>DR  KARTIKA KUS HENDRATNA</t>
  </si>
  <si>
    <t>CoE TRANSPORT &amp; LOGISTIC</t>
  </si>
  <si>
    <t>78510</t>
  </si>
  <si>
    <t>ARDHIAN BUDI SULISTIYO</t>
  </si>
  <si>
    <t>81411</t>
  </si>
  <si>
    <t>ARIF PURWONO</t>
  </si>
  <si>
    <t>99815</t>
  </si>
  <si>
    <t>MUHAMMAD TEGUH WIDODO</t>
  </si>
  <si>
    <t>87412</t>
  </si>
  <si>
    <t>NEVI EKO YULIANANTO</t>
  </si>
  <si>
    <t>113119</t>
  </si>
  <si>
    <t>FARIED</t>
  </si>
  <si>
    <t>112218</t>
  </si>
  <si>
    <t>HERY ALWIS</t>
  </si>
  <si>
    <t>95415</t>
  </si>
  <si>
    <t>SATRIA ALDI PERMANA</t>
  </si>
  <si>
    <t>122225</t>
  </si>
  <si>
    <t>RANDY YOLANDA ANNOFCI PRATAMA</t>
  </si>
  <si>
    <t>58904</t>
  </si>
  <si>
    <t>ENDAH MUSTIKA NINGTIAS</t>
  </si>
  <si>
    <t>UNIT TANGGUNG JAWAB SOSIAL DAN LINGKUNGAN</t>
  </si>
  <si>
    <t>110716</t>
  </si>
  <si>
    <t>ALWIN RIDWAN</t>
  </si>
  <si>
    <t>SURVEYOR</t>
  </si>
  <si>
    <t>KEPALA CABANG MADYA KLAS BANJARMASIN</t>
  </si>
  <si>
    <t>ADMINISTRATOR SENIOR</t>
  </si>
  <si>
    <t>SURVEYOR SENIOR I</t>
  </si>
  <si>
    <t>SURVEYOR SENIOR I A</t>
  </si>
  <si>
    <t>SURVEYOR JUNIOR</t>
  </si>
  <si>
    <t>ADMINISTRATOR</t>
  </si>
  <si>
    <t>KEPALA CABANG MADYA KLAS PEKANBARU</t>
  </si>
  <si>
    <t>SUPIR</t>
  </si>
  <si>
    <t>INSPEKTUR JUNIOR II</t>
  </si>
  <si>
    <t>OPERATOR PENGUJIAN</t>
  </si>
  <si>
    <t>INSPEKTUR</t>
  </si>
  <si>
    <t>INSPEKTUR JUNIOR I</t>
  </si>
  <si>
    <t>KEPALA CABANG MADYA KOMERSIAL BATAM</t>
  </si>
  <si>
    <t>KEPALA CABANG PRATAMA KLAS AMBON</t>
  </si>
  <si>
    <t>SURVEYOR SENIOR II A KENDALI OPERASI YANG DITEMPATKAN DI CABANG PRATAMA KLAS BELAWAN</t>
  </si>
  <si>
    <t>KEPALA CABANG PRATAMA KLAS JAMBI</t>
  </si>
  <si>
    <t>KEPALA CABANG PRATAMA KLAS MAKASSAR</t>
  </si>
  <si>
    <t>SURVEYOR SENIOR I A CABANG PRATAMA KLAS MAKASSAR YANG DITEMPATKAN DI KENDARI</t>
  </si>
  <si>
    <t>SURVEYOR SENIOR I A MEMPERTAHANKAN KLAS</t>
  </si>
  <si>
    <t>KEPALA CABANG PRATAMA KOMERSIAL BANJARMASIN</t>
  </si>
  <si>
    <t>KEPALA CABANG PRATAMA KOMERSIAL BANTEN</t>
  </si>
  <si>
    <t>KEPALA CABANG PRATAMA KOMERSIAL PONTIANAK</t>
  </si>
  <si>
    <t>KEPALA CABANG PRATAMA KOMERSIAL SEMARANG</t>
  </si>
  <si>
    <t>OFFICER ADMINISTRASI UMUM</t>
  </si>
  <si>
    <t>KEPALA CABANG UTAMA KLAS BATAM</t>
  </si>
  <si>
    <t>KEPALA CABANG UTAMA KLAS SAMARINDA</t>
  </si>
  <si>
    <t>SENIOR MANAGER OPERASI KLAS SAMARINDA</t>
  </si>
  <si>
    <t>ANALIS ADMINISTRASI UMUM &amp; KEUANGAN</t>
  </si>
  <si>
    <t>SURVEYOR SENIOR I B</t>
  </si>
  <si>
    <t>KEPALA CABANG UTAMA KLAS SURABAYA</t>
  </si>
  <si>
    <t>SENIOR MANAGER PEMASARAN &amp; DUKUNGAN BISNIS KLAS SURABAYA</t>
  </si>
  <si>
    <t>SURVEYOR SENIOR II B KENDALI OPERASI YANG DITEMPATKAN DI CABANG UTAMA KLAS SURABAYA</t>
  </si>
  <si>
    <t>STAF UTAMA I</t>
  </si>
  <si>
    <t>MANAGER ADMINISTRASI UMUM &amp; KEUANGAN KLAS TG. PRIOK</t>
  </si>
  <si>
    <t>KEPALA CABANG UTAMA KLAS TG. PRIOK</t>
  </si>
  <si>
    <t>SURVEYOR JUNIOR MEMPERTAHANKAN KLAS</t>
  </si>
  <si>
    <t>SPESIALIS TEKNIK</t>
  </si>
  <si>
    <t>SURVEYOR MEMPERTAHANKAN KLAS</t>
  </si>
  <si>
    <t>PJ. KEPALA CABANG UTAMA KOMERSIAL BALIKPAPAN</t>
  </si>
  <si>
    <t>MANAGER ADMINISTRASI UMUM DAN KEUANGAN KOMERSIAL BALIKPAPAN</t>
  </si>
  <si>
    <t>PJ. SENIOR MANAGER PENJUALAN DAN DUKUNGAN BISNIS KOMERSIAL BALIKPAPAN</t>
  </si>
  <si>
    <t>PJ. SENIOR MANAGER OPERASI KOMERSIAL BALIKPAPAN</t>
  </si>
  <si>
    <t>SPESIALIS MANAJEMEN PORTOFOLIO</t>
  </si>
  <si>
    <t>MANAGER DATA KLASIFIKASI</t>
  </si>
  <si>
    <t>SENIOR MANAGER MANAJEMEN PUSAT KENDALI OPERASI</t>
  </si>
  <si>
    <t>SPESIALIS SENIOR MANAJEMEN PUSAT KENDALI OPERASI</t>
  </si>
  <si>
    <t>SENIOR MANAGER OPERASI MATERIAL DAN KOMPONEN</t>
  </si>
  <si>
    <t>VP OPERASI BISNIS KLASIFIKASI</t>
  </si>
  <si>
    <t>ANALIS DUKUNGAN BISNIS</t>
  </si>
  <si>
    <t>SENIOR MANAGER DUKUNGAN OPERASI KOMERSIAL</t>
  </si>
  <si>
    <t>SPESIALIS SENIOR DUKUNGAN OPERASI</t>
  </si>
  <si>
    <t>OFFICER KENDALI OPERASI</t>
  </si>
  <si>
    <t>VP OPERASI DIGITAL TIC</t>
  </si>
  <si>
    <t>SPESIALIS PEMASARAN &amp; PENJUALAN</t>
  </si>
  <si>
    <t>SPESIALIS TRANSFORMATION OFFICE CHAMPION</t>
  </si>
  <si>
    <t>VP AKUNTANSI KEUANGAN DAN PAJAK</t>
  </si>
  <si>
    <t>SENIOR MANAGER BISNIS DAN SISTEM KEUANGAN</t>
  </si>
  <si>
    <t>ANALIS QA &amp; KEBIJAKAN AKUNTANSI KEUANGAN &amp; PAJAK</t>
  </si>
  <si>
    <t>ANALIS AKUNTANSI</t>
  </si>
  <si>
    <t>ANALIS VERIFIKASI KEUANGAN</t>
  </si>
  <si>
    <t>OFFICER VERIFIKASI KEUANGAN</t>
  </si>
  <si>
    <t>SENIOR MANAGER TREASURY</t>
  </si>
  <si>
    <t>OFFICER PEMBAYARAN</t>
  </si>
  <si>
    <t>ANALIS INFRASTRUKTUR TI</t>
  </si>
  <si>
    <t>MANAGER INFRASTRUKTUR TI</t>
  </si>
  <si>
    <t>PJ. SENIOR MANAGER TEKNOLOGI INFORMASI</t>
  </si>
  <si>
    <t>ANALIS REKRUTMEN &amp; HUBUNGAN INDUSTRIAL</t>
  </si>
  <si>
    <t>MANAGER PENGEMBANGAN SDM</t>
  </si>
  <si>
    <t>MANAGER PENGEMBANGAN ORGANISASI</t>
  </si>
  <si>
    <t>OFFICER REMUNERASI &amp; HCIS</t>
  </si>
  <si>
    <t>MANAGER REKRUTMEN DAN HUBUNGAN INDUSTRIAL</t>
  </si>
  <si>
    <t>OFFICER PENGEMBANGAN ORGANISASI</t>
  </si>
  <si>
    <t>SENIOR MANAGER PERENCANAAN DAN PENGEMBANGAN SDM</t>
  </si>
  <si>
    <t>MANAGER REMUNERASI DAN HCIS</t>
  </si>
  <si>
    <t xml:space="preserve">VP HUMAN CAPITAL DAN TEKNOLOGI INFORMASI </t>
  </si>
  <si>
    <t>SPESIALIS REMUNERASI &amp; HCIS</t>
  </si>
  <si>
    <t>ANALIS REMUNERASI &amp; HCIS</t>
  </si>
  <si>
    <t>OFFICER PENGEMBANGAN SDM</t>
  </si>
  <si>
    <t>PJ. ANALIS PENGEMBANGAN BUDAYA</t>
  </si>
  <si>
    <t>PJ. ANALIS PENGEMBANGAN TALENTA</t>
  </si>
  <si>
    <t>VP INTEGRASI SISTEM DAN PROSES BISNIS</t>
  </si>
  <si>
    <t>SENIOR MANAGER PROSES BISNIS DAN MANAJEMEN SISTEM TERINTEGRASI</t>
  </si>
  <si>
    <t>JUNIOR OFFICER</t>
  </si>
  <si>
    <t>ANALIS OPERASI HSE</t>
  </si>
  <si>
    <t>VP PERENCANAAN KORPORAT DAN MANAJEMEN RISIKO</t>
  </si>
  <si>
    <t>ANALIS MANAJEMEN RISIKO</t>
  </si>
  <si>
    <t>SPESIALIS SENIOR PERENCANAAN</t>
  </si>
  <si>
    <t>SENIOR MANAGER PERENCANAAN KORPORAT</t>
  </si>
  <si>
    <t>SENIOR MANAGER MANAJEMEN RISIKO DAN KEBERLANJUTAN</t>
  </si>
  <si>
    <t>SPESIALIS KEBERLANJUTAN</t>
  </si>
  <si>
    <t>ANALIS PERENCANAAN</t>
  </si>
  <si>
    <t>OFFICER PERENCANAAN</t>
  </si>
  <si>
    <t>OFFICER MANAJEMEN RISIKO</t>
  </si>
  <si>
    <t>SPESIALIS MANAJEMEN RISIKO</t>
  </si>
  <si>
    <t>SENIOR MANAGER MANAJEMEN RISIKO</t>
  </si>
  <si>
    <t>SPESIALIS RISET DAN STRATEGI PASAR</t>
  </si>
  <si>
    <t>SENIOR MANAGER PEMASARAN DAN LAYANAN PELANGGAN NUSANTARA</t>
  </si>
  <si>
    <t>OFFICER PEMASARAN DAN PENJUALAN</t>
  </si>
  <si>
    <t>ANALIS MANAJEMEN ASET NON PROPERTI</t>
  </si>
  <si>
    <t>PJ. SENIOR MANAGER LAYANAN UMUM DAN MANAJEMEN ASET</t>
  </si>
  <si>
    <t>ANALIS MANAJEMEN VENDOR</t>
  </si>
  <si>
    <t>SENIOR MANAGER PENGADAAN</t>
  </si>
  <si>
    <t>OFFICER LAYANAN UMUM</t>
  </si>
  <si>
    <t>SENIOR MANAGER MANAJEMEN ASET</t>
  </si>
  <si>
    <t>PJ. SENIOR SPESIALIS PERENCANAAN STRATEGI PENGADAAN &amp; PENGENDALIAN</t>
  </si>
  <si>
    <t>VP PENGADAAN UMUM DAN MANAJEMEN ASET</t>
  </si>
  <si>
    <t>OFFICER MANAJEMEN ASET PROPERTI DAN KOMERSIALISASI</t>
  </si>
  <si>
    <t>VP PENGEMBANGAN KORPORAT</t>
  </si>
  <si>
    <t>SPESIALIS PENGEMBANGAN KORPORAT</t>
  </si>
  <si>
    <t>ANALIS KENDALI KEUANGAN</t>
  </si>
  <si>
    <t>OFFICER MANAJEMEN PROGRAM DAN KINERJA KORPORAT</t>
  </si>
  <si>
    <t>OFFICER PERENCANAAN KORPORAT DAN KEUANGAN</t>
  </si>
  <si>
    <t>SPESIALIS PERENCANAAN DAN KEUANGAN KORPORAT</t>
  </si>
  <si>
    <t>SENIOR MANAGER SISTEM AUDIT DAN MANAJEMEN MUTU KOMERSIAL</t>
  </si>
  <si>
    <t>AUDITOR MANAJEMEN MUTU KOMERSIAL</t>
  </si>
  <si>
    <t>AUDITOR SENIOR I MANAJEMEN MUTU KOMERSIAL</t>
  </si>
  <si>
    <t>ENGINEER SENIOR I C STRUKTUR</t>
  </si>
  <si>
    <t>ENGINEER KELISTRIKAN</t>
  </si>
  <si>
    <t>ENGINEER PERMESINAN</t>
  </si>
  <si>
    <t>ENGINEER STRUKTUR</t>
  </si>
  <si>
    <t>SENIOR MANAGER MESIN DAN LISTRIK NUSANTARA</t>
  </si>
  <si>
    <t>VP PERSETUJUAN RANCANG BANGUN NUSANTARA</t>
  </si>
  <si>
    <t>SENIOR MANAGER STATUTORIA</t>
  </si>
  <si>
    <t>ENGINEER STATUTORIA</t>
  </si>
  <si>
    <t>ENGINEER SENIOR II B KELISTRIKAN</t>
  </si>
  <si>
    <t>ENGINEER SENIOR I B PERMESINAN</t>
  </si>
  <si>
    <t>VP PERSETUJUAN RANCANG BANGUN</t>
  </si>
  <si>
    <t>ENGINEER SENIOR II B STATUTORIA</t>
  </si>
  <si>
    <t>SENIOR MANAGER MESIN, LISTRIK, KOMPONEN DAN PENYEDIA JASA</t>
  </si>
  <si>
    <t>PENGKAJI SENIOR I B STATUTORIA  (PERATURAN  NASIONAL)</t>
  </si>
  <si>
    <t>PENGKAJI STATUTORIA (PERATURAN  NASIONAL)</t>
  </si>
  <si>
    <t>PENGKAJI SENIOR I B MATERIAL &amp; STRUKTUR (PERATURAN  NASIONAL)</t>
  </si>
  <si>
    <t>ANALIS EXECUTIVE SUPPORT</t>
  </si>
  <si>
    <t>JUNIOR PROTOKOLER</t>
  </si>
  <si>
    <t>SENIOR MANAGER KOMUNIKASI KORPORAT</t>
  </si>
  <si>
    <t>ANALIS ADMINISTRASI KORPORASI</t>
  </si>
  <si>
    <t>PROTOKOLER</t>
  </si>
  <si>
    <t>OFFICER LEGAL DAN KEPATUHAN</t>
  </si>
  <si>
    <t>STAF UTAMA I A</t>
  </si>
  <si>
    <t>PJ. SENIOR MANAGER KOMUNIKASI KORPORAT DAN TATA KELOLA</t>
  </si>
  <si>
    <t>PJ. SENIOR MANAGER LEGAL DAN KEPATUHAN</t>
  </si>
  <si>
    <t>SURVEYOR SENIOR II B OPERASI STATUTORIA KONVENSI</t>
  </si>
  <si>
    <t>SENIOR MANAGER RELASI EKSTERNAL STATUTORIA</t>
  </si>
  <si>
    <t>VP STATUTORIA</t>
  </si>
  <si>
    <t>SENIOR MANAGER MANAJEMEN KLASIFIKASI NUSANTARA</t>
  </si>
  <si>
    <t>SURVEYOR SENIOR I C MEMPERTAHANKAN KLAS NUSANTARA</t>
  </si>
  <si>
    <t>ENGINEER SENIOR I A MANAJEMEN KLASIFIKASI</t>
  </si>
  <si>
    <t>SENIOR MANAGER PENERIMAAN KLAS NUSANTARA</t>
  </si>
  <si>
    <t>SURVEYOR MEMPERTAHANKAN KLAS NUSANTARA</t>
  </si>
  <si>
    <t>SURVEYOR SENIOR I A MEMPERTAHANKAN KLAS DIVISI SURVEY YANG DITEMPATKAN DI CABANG UTAMA KLAS BANTEN</t>
  </si>
  <si>
    <t>SURVEYOR SENIOR I B MEMPERTAHANKAN KLAS DIVISI SURVEY YANG DITEMPATKAN DI CABANG UTAMA KLAS BATAM</t>
  </si>
  <si>
    <t>SURVEYOR PENERIMAAN KLAS YANG DITEMPATKAN DI CABANG UTAMA KLAS SURABAYA</t>
  </si>
  <si>
    <t>SURVEYOR SENIOR II C MEMPERTAHANKAN KLAS NUSANTARA</t>
  </si>
  <si>
    <t>SURVEYOR SENIOR I B PENERIMAAN KLAS NUSANTARA</t>
  </si>
  <si>
    <t>SURVEYOR SENIOR I B OPERASI KLASIFIKASI</t>
  </si>
  <si>
    <t>SURVEYOR SENIOR I C KENDALI OPERASI YANG DITEMPATKAN DI CABANG UTAMA KLAS SAMARINDA</t>
  </si>
  <si>
    <t>SURVEYOR UTAMA</t>
  </si>
  <si>
    <t>SURVEYOR SENIOR I B KENDALI OPERASI YANG DITEMPATKAN DI CABANG UTAMA KLAS SAMARINDA</t>
  </si>
  <si>
    <t>SENIOR MANAGER MANAJEMEN KLASIFIKASI</t>
  </si>
  <si>
    <t>SENIOR MANAGER PENGEMBANGAN DAN OPERASI TI</t>
  </si>
  <si>
    <t>ANALIS MANAJEMEN PROYEK TEKNOLOGI INFORMASI</t>
  </si>
  <si>
    <t>ANALIS PENGEMBANGAN DAN OPERASI TEKNOLOGI INFORMASI</t>
  </si>
  <si>
    <t>SPESIALIS MANAJEMEN PROYEK TEKNOLOGI INFORMASI</t>
  </si>
  <si>
    <t>VP PENGADAAN, UMUM DAN MANAJEMEN ASET</t>
  </si>
  <si>
    <t>SENIOR AUDITOR SEGMEN KOMERSIAL</t>
  </si>
  <si>
    <t>SENIOR MANAGER AUDIT SEGMEN KOMERSIAL</t>
  </si>
  <si>
    <t>ANALIS PERENCANAAN &amp; AUDIT SEGMEN KLASIFIKASI</t>
  </si>
  <si>
    <t>VP PENGAWASAN INTERN</t>
  </si>
  <si>
    <t>SENIOR AUDITOR</t>
  </si>
  <si>
    <t>KEPALA CABANG UTAMA KOMERSIAL JAKARTA</t>
  </si>
  <si>
    <t>PJ. SENIOR MANAGER OPERASI TRANSPORT &amp; LOGISTIC</t>
  </si>
  <si>
    <t>SENIOR MANAGER TKDN &amp; PEMERINTAHAN</t>
  </si>
  <si>
    <t>SENIOR MANAGER PENJUALAN DAN DUKUNGAN BISNIS KOMERSIAL JAKARTA</t>
  </si>
  <si>
    <t>MANAGER BISNIS EKONOMI HIJAU</t>
  </si>
  <si>
    <t>MANAGER LABORATORIUM</t>
  </si>
  <si>
    <t>MANAGER PENJUALAN KOMERSIAL JAKARTA</t>
  </si>
  <si>
    <t>MANAGER ADMINISTRASI UMUM DAN KEUANGAN</t>
  </si>
  <si>
    <t>INSPEKTUR OPERASI ENERGI</t>
  </si>
  <si>
    <t>INSPEKTUR JUNIOR II OPERASI ENERGI</t>
  </si>
  <si>
    <t>INSPEKTUR JUNIOR I OPERASI ENERGI</t>
  </si>
  <si>
    <t>ADMINISTRATOR KEUANGAN</t>
  </si>
  <si>
    <t>INSPEKTUR SENIOR I OPERASI TRANSPORT &amp; LOGISTIC</t>
  </si>
  <si>
    <t>INSPEKTUR OPERASI TRANSPORT &amp; LOGISTIC</t>
  </si>
  <si>
    <t>INSPEKTUR JUNIOR II OPERASI TRANSPORT &amp; LOGISTIC</t>
  </si>
  <si>
    <t>SPESIALIS TEKNIK TKDN &amp; PEMERINTAH</t>
  </si>
  <si>
    <t>OFFICER PENJUALAN</t>
  </si>
  <si>
    <t>VP CoE ENERGY</t>
  </si>
  <si>
    <t>SENIOR MANAGER DUKUNGAN TEKNIS DAN SUMBER DAYA ENERGI</t>
  </si>
  <si>
    <t>SPESIALIS SENIOR TEKNIK</t>
  </si>
  <si>
    <t>ANALIS TEKNIK</t>
  </si>
  <si>
    <t>VP CoE TRANSPORT &amp; LOGISTIC</t>
  </si>
  <si>
    <t>SENIOR MANAGER DUKUNGAN TEKNIS DAN SUMBER DAYA TRANSPORT &amp; LOGISTIC</t>
  </si>
  <si>
    <t>ANALIS TANGGUNG JAWAB SOSIAL DAN LINGKUNGAN</t>
  </si>
  <si>
    <t>Jabatan</t>
  </si>
  <si>
    <t>50780</t>
  </si>
  <si>
    <t>MUHTAR</t>
  </si>
  <si>
    <t>50777</t>
  </si>
  <si>
    <t>AHMAD YUNUS</t>
  </si>
  <si>
    <t>50773</t>
  </si>
  <si>
    <t>MARIYANA ASTRI FANDANI</t>
  </si>
  <si>
    <t>50816</t>
  </si>
  <si>
    <t>ARDHIANTI NOVIANDITA</t>
  </si>
  <si>
    <t>50783</t>
  </si>
  <si>
    <t>ADE SINTYA KUSUMAWARDANI</t>
  </si>
  <si>
    <t>50864</t>
  </si>
  <si>
    <t>NIRMALA LUTHFIYA ATYANTA</t>
  </si>
  <si>
    <t>50861</t>
  </si>
  <si>
    <t>MUHAMMAD RAHUL</t>
  </si>
  <si>
    <t>50801</t>
  </si>
  <si>
    <t>DHITYA PUTRA RAMADHAN</t>
  </si>
  <si>
    <t>50941</t>
  </si>
  <si>
    <t>IZZAFAJRI SYAFIRA</t>
  </si>
  <si>
    <t>50937</t>
  </si>
  <si>
    <t>ADITYA ILHAM SAPTIAWAN</t>
  </si>
  <si>
    <t>STAF DUKUNGAN BISNIS</t>
  </si>
  <si>
    <t>DIVISI SEKRETARIS PERUSAHAAN IDS</t>
  </si>
  <si>
    <t>STAF ANALIS</t>
  </si>
  <si>
    <t xml:space="preserve">STAF ADMINISTRASI </t>
  </si>
  <si>
    <t>Simpanan Kop</t>
  </si>
  <si>
    <t>Pinjaman Kop</t>
  </si>
  <si>
    <t>ARIEF BUDI PERMANA</t>
  </si>
  <si>
    <t>R. AGUS DODDY DWISAGITA</t>
  </si>
  <si>
    <t>BENNY SUSANTO</t>
  </si>
  <si>
    <t>DIREKSI</t>
  </si>
  <si>
    <t>VERSI KOPERASI</t>
  </si>
  <si>
    <t>PUSAT</t>
  </si>
  <si>
    <t>Simpanan Kantor Pusat</t>
  </si>
  <si>
    <t>Simpanan 3 Direksi BENNY SUSANTO, ARIEF BUDI PERMANA &amp; R. AGUS DODDY DWISAGITA</t>
  </si>
  <si>
    <t>TOTAL Simpanan Kantor Pusat</t>
  </si>
  <si>
    <t>Total Simpanan Pusat &amp; Cabang</t>
  </si>
  <si>
    <t>Total Pinjaman Pusat &amp; Cabang</t>
  </si>
  <si>
    <t>TOTAL Pinjaman Kantor Pusat</t>
  </si>
  <si>
    <t>TOTAL POTONGAN (SIMPANAN &amp; PINJAMAN) PUSAT</t>
  </si>
  <si>
    <t>TOTAL POTONGAN CABANG &amp; PUSAT</t>
  </si>
  <si>
    <t>SIMPANAN PRIOK</t>
  </si>
  <si>
    <t>SIMPANAN ALL CABANG SELINDO</t>
  </si>
  <si>
    <t>PINJAMAN PRIOK</t>
  </si>
  <si>
    <t>PINJAMAN ALL CABANG SELINDO</t>
  </si>
  <si>
    <t>TOTAL POTONGAN (SIMPANAN &amp; PINJAMAN) Cabang</t>
  </si>
  <si>
    <t>Pinjaman Kantor Pusat + Dana Simpanan Qurban Desember 2025</t>
  </si>
  <si>
    <t>Pinjaman Kantor Pusat ( Include dana Qurban )</t>
  </si>
  <si>
    <t xml:space="preserve">SIMPANAN CABANG UTAMA KOMERSIAL JAKARTA </t>
  </si>
  <si>
    <t>SIMPANAN CABANG:</t>
  </si>
  <si>
    <t>PINJAMAN CABANG:</t>
  </si>
  <si>
    <t xml:space="preserve">PINJAMAN CABANG UTAMA KOMERSIAL JAKARTA </t>
  </si>
  <si>
    <t>SIMPANAN CoE Energy</t>
  </si>
  <si>
    <t>PINJAMAN CoE Energy</t>
  </si>
  <si>
    <t>Selisih 1.000.000 dengan rekapan aslinya</t>
  </si>
  <si>
    <t>(Pinjaman Reguler Burhanuddin)</t>
  </si>
  <si>
    <t>SIMPANAN CoE Transport &amp; Logistic</t>
  </si>
  <si>
    <t>PINJAMAN CoE Transport &amp; Logistic</t>
  </si>
  <si>
    <t xml:space="preserve">Selisih 1.600.000 dengan rekapan aslinya </t>
  </si>
  <si>
    <t>(Pinjaman Reguler Azhar Giphari dan Edit Hasta)</t>
  </si>
  <si>
    <t>IDS</t>
  </si>
  <si>
    <t>SYAHLIR, A.MD.</t>
  </si>
  <si>
    <t>HARDIAN, S.KOM</t>
  </si>
  <si>
    <t>PRASETYO, S.T., M.M.T.</t>
  </si>
  <si>
    <t>M. RAHMAT AKBAR RAMADHAN</t>
  </si>
  <si>
    <t>FAJAR NUGRAHA, S.T., M.BUS.SYS., M.SC.</t>
  </si>
  <si>
    <t>FIKRAH WATHANI, S.PSI</t>
  </si>
  <si>
    <t>SURIATY PARAMINTA PUTRI, S.T., M.SC.</t>
  </si>
  <si>
    <t>MOHAMMAD HASAN, S.T.</t>
  </si>
  <si>
    <t>ABDIL HAFIIZH ZHAFRAN, S.T.,M.MT</t>
  </si>
  <si>
    <t>ANDRI SURYAWAN, S.H.</t>
  </si>
  <si>
    <t>GDE SANDHYANA PRADHITA, S.KOM.</t>
  </si>
  <si>
    <t>IRAWATI, S.T.</t>
  </si>
  <si>
    <t>MOHAMMAD RIZKI SATRIO, S.IKOM</t>
  </si>
  <si>
    <t>TEGUH ANDANI, S.SOS.</t>
  </si>
  <si>
    <t>ANITA MAGDALENA, S.H.</t>
  </si>
  <si>
    <t>BUDI FITRIAWAN, S.T., M.MT.</t>
  </si>
  <si>
    <t>INDRA KUSUMA MUHAMMAD, S.E.</t>
  </si>
  <si>
    <t>FAJAR NUGRAHA, S.T.</t>
  </si>
  <si>
    <t>PURWOKO WIDHYANTO WIRAWAN, S.T.</t>
  </si>
  <si>
    <t>DONY TRI SUSILO, S.T.</t>
  </si>
  <si>
    <t>FITRIANI, A.MD.</t>
  </si>
  <si>
    <t>MUHAMMAD IDI, S.T.</t>
  </si>
  <si>
    <t>ARY FIRMANSYAH FIRLI, S.T.</t>
  </si>
  <si>
    <t>HENDI ZULFAN, S.T.</t>
  </si>
  <si>
    <t>ANDI ARDI ABDULLAH, S.T.</t>
  </si>
  <si>
    <t>M. HATTA BACO B, S.T.</t>
  </si>
  <si>
    <t>RAHMAT S, S.T.</t>
  </si>
  <si>
    <t>INDAH PETRICIA SARI, S.E.</t>
  </si>
  <si>
    <t>SAID TAUFIQ, S.T.</t>
  </si>
  <si>
    <t>MUH ALI HASAN, A.MD.</t>
  </si>
  <si>
    <t>MUH. NASIR, S.T.</t>
  </si>
  <si>
    <t>YOHANES ARDIANTO NUGROHO, S.T.</t>
  </si>
  <si>
    <t>LA ODE ABDUL RAHMAN FIRU, S.T.</t>
  </si>
  <si>
    <t>ABD. RAHMAN, S.T.</t>
  </si>
  <si>
    <t>ARIEF SULISTIYONO, S.T.</t>
  </si>
  <si>
    <t>EKA NANDA PRATAMA SUNARJO, S.T.</t>
  </si>
  <si>
    <t>MUSTAKIM, S.T.</t>
  </si>
  <si>
    <t>MUSHAWWIR RAZAK, S.T.</t>
  </si>
  <si>
    <t>MUHAMMAD FAJRIN M. SAID, S.T.</t>
  </si>
  <si>
    <t>AGUS ERICSON SIANIPAR, S.T.</t>
  </si>
  <si>
    <t>MOH. NOOR KHOLIS, S.T.</t>
  </si>
  <si>
    <t>BAMBANG TRI NUGROHO, A.MD.</t>
  </si>
  <si>
    <t>OKI DWI ANGGORO, A.MD.</t>
  </si>
  <si>
    <t>HERI WIRAWAN, S.T.</t>
  </si>
  <si>
    <t>AKHMAD MULIADDIN, S.T.</t>
  </si>
  <si>
    <t>ZAINAL, S.T.</t>
  </si>
  <si>
    <t>KHAERUL AKBAR, S.T.</t>
  </si>
  <si>
    <t>A. RASYID ALIMUDDIN, S.T.</t>
  </si>
  <si>
    <t>WAHJOE ARIO TEDJO, S.T.</t>
  </si>
  <si>
    <t>YULIAN ARPIANTO, S.T.</t>
  </si>
  <si>
    <t>ARYO SINGGIH, M.MAR.E.</t>
  </si>
  <si>
    <t>MUHAMMAD ASRUL LA SARIPI, S.T.</t>
  </si>
  <si>
    <t>BUDI ISROFI, S.T.</t>
  </si>
  <si>
    <t>CHOIRUN CAHYOABDI, S.T.</t>
  </si>
  <si>
    <t>SULASMAN, S.T.</t>
  </si>
  <si>
    <t>ARIFUDDIN, S.T.</t>
  </si>
  <si>
    <t>HARDI E. P. SIAGIAN, S.T.</t>
  </si>
  <si>
    <t>IRWAN EKO SANTOSO, S.T.</t>
  </si>
  <si>
    <t>MUH. ASQAR, S.T.</t>
  </si>
  <si>
    <t>RIDWAN AHMAD FAUZI, S.T.</t>
  </si>
  <si>
    <t>TEGUH BUDI SANTOSO, S.T.</t>
  </si>
  <si>
    <t>ABDUL KHOLICK, S.T.</t>
  </si>
  <si>
    <t>ARIFIN GUSTIAN PRAMOKO, S.T.</t>
  </si>
  <si>
    <t>SEPTIAN AJI DEWANGKARA, S.T.</t>
  </si>
  <si>
    <t>BAYU RISTA, S.T.</t>
  </si>
  <si>
    <t>MUHAMAD BAQI, S.T.</t>
  </si>
  <si>
    <t>FAUZI, S.S.T.PEL.</t>
  </si>
  <si>
    <t>SYARIFUDDIN YAMIN, S.T.</t>
  </si>
  <si>
    <t>ANDI P. SIAGIAN, S.T.</t>
  </si>
  <si>
    <t>EDWIN OLAF JULIAN DAMANIK, S.T.</t>
  </si>
  <si>
    <t>ILHAM SYAHRIR, S.T.</t>
  </si>
  <si>
    <t>RANGSANG KUSUMADILAGA, S.T.</t>
  </si>
  <si>
    <t>RONY WIRANTO SETIAWAN, S.E.</t>
  </si>
  <si>
    <t>NARSO, M.MAR.E.</t>
  </si>
  <si>
    <t>BAMBANG RIYANTO, S.T.</t>
  </si>
  <si>
    <t>SUDARYONO, S.T.</t>
  </si>
  <si>
    <t>ADNAN, S.T.</t>
  </si>
  <si>
    <t>MUHAMMAD ARAFAH, S.T.</t>
  </si>
  <si>
    <t>MUHAMMAD RIZKY PURNAMA, S.T.</t>
  </si>
  <si>
    <t>EFRY TALLAMMA, S.N., M.M.</t>
  </si>
  <si>
    <t>DANIEL MAHARDHIKA, S.T.</t>
  </si>
  <si>
    <t>JOKO SUSILO, S.T.</t>
  </si>
  <si>
    <t>FATKHURROHMAN, A.MD.</t>
  </si>
  <si>
    <t>HELDA YULISTIANI, S.H.</t>
  </si>
  <si>
    <t>YUSRIADY BOROALLO RUGA, S.T.</t>
  </si>
  <si>
    <t>FERNANDO S, S.T.</t>
  </si>
  <si>
    <t>ARIF RACHMAN, A.MD.</t>
  </si>
  <si>
    <t>JOKO UTOMO, A.MD.</t>
  </si>
  <si>
    <t>RIZKI ALDILLA TAMTURA, S.T.</t>
  </si>
  <si>
    <t>EDIT HASTA PRIHANTIKA, S.T.</t>
  </si>
  <si>
    <t>AZHAR GHIPARI, S.T.</t>
  </si>
  <si>
    <t>MOKHAMMAD YUFIAN RIDHANANDA, S.T.</t>
  </si>
  <si>
    <t>ELVINO YUSKA PUTRA, S.PSI.</t>
  </si>
  <si>
    <t>BURHANUDDIN, A.MD.</t>
  </si>
  <si>
    <t>R. SAPTO AGUNG PRAMUSINTO, S.T</t>
  </si>
  <si>
    <t>MAMIN RIFFIA KUSNANDAR, S.T., M.T.</t>
  </si>
  <si>
    <t>WINARTO, S.T.</t>
  </si>
  <si>
    <t>YUDI PRAWOTO, S.T.</t>
  </si>
  <si>
    <t>SUDIRO, A.MD.</t>
  </si>
  <si>
    <t>RYAN HANGGA SRI WIJIHARTO, S.T.</t>
  </si>
  <si>
    <t>HEDIAR HAPRI BANGABUA, S.T.</t>
  </si>
  <si>
    <t>HERY ALWIS, S.T.</t>
  </si>
  <si>
    <t>NERLAN PASARIBU, S.T.</t>
  </si>
  <si>
    <t>ELVA MOCHAMAD RAMDHANI, S.T.</t>
  </si>
  <si>
    <t>SATRIA ALDI PERMANA, S.T.</t>
  </si>
  <si>
    <t>MUHAMMAD TEGUH WIDODO, S.T.</t>
  </si>
  <si>
    <t>FARIED, S.T.</t>
  </si>
  <si>
    <t>ARIF BIJAKSANA SATRIA NEGARA, S.T.</t>
  </si>
  <si>
    <t>ARDHIAN BUDI SULISTIYO, A.MD.</t>
  </si>
  <si>
    <t>ISMAIL, S.T.</t>
  </si>
  <si>
    <t>R. ADE WARDOYO WINOTO PUTRO, S.T.</t>
  </si>
  <si>
    <t>MERDIANSAH, S.E.</t>
  </si>
  <si>
    <t>MUH. ASPAR, S.E.</t>
  </si>
  <si>
    <t>WAHYU PRIAMBODO, S .T.</t>
  </si>
  <si>
    <t>MAHESA SAGA, S.T.</t>
  </si>
  <si>
    <t>KENEDI PANGARIBUAN, ST.</t>
  </si>
  <si>
    <t>SATRIA ADI SUKMA N, S.T.</t>
  </si>
  <si>
    <t>BENNI HERMAWAN, S.T.</t>
  </si>
  <si>
    <t>AGRIS SETYAWAN, S.T.</t>
  </si>
  <si>
    <t>YULID ANJI FIRMANSYAH, S.T.</t>
  </si>
  <si>
    <t>JIADAN, S.T.</t>
  </si>
  <si>
    <t>DR. KARTIKA KUS HENDRATNA</t>
  </si>
  <si>
    <t>BAKTI NUGROHO DWI KUSHADIANTO, S.T.</t>
  </si>
  <si>
    <t>ARIF PURWONO, S.T.</t>
  </si>
  <si>
    <t>NEVI EKO YULIANANTO, S.T.</t>
  </si>
  <si>
    <t>AWALUDDIN PAINGNGI, S.T.</t>
  </si>
  <si>
    <t>DAVID NOER SYUHADA, S.T.</t>
  </si>
  <si>
    <t>MIFTAH FARIDY, S.T.</t>
  </si>
  <si>
    <t>PUJATMANTO BASTRIADI, S.SOS.</t>
  </si>
  <si>
    <t>ANOGI AKBAR ALI, S.E.</t>
  </si>
  <si>
    <t>IRWANTO, S.E.</t>
  </si>
  <si>
    <t>MARINA ARIFIANTI, A.MD.</t>
  </si>
  <si>
    <t>SUMARTINI, S.E.</t>
  </si>
  <si>
    <t>AZIZA, S.E.</t>
  </si>
  <si>
    <t>NASARUDDIN, S.E.</t>
  </si>
  <si>
    <t>DEDE MA'MUN SUMANTRI, S.E.</t>
  </si>
  <si>
    <t>BAYU MAHARDIKA WICAKSONO, S.KOM.</t>
  </si>
  <si>
    <t>MUCHLIS RACHMAN, S.KOM</t>
  </si>
  <si>
    <t>ROMILLO  LIBRA SETIADI, S.KOM</t>
  </si>
  <si>
    <t>SAMSUL MUSLIM, S.KOM.</t>
  </si>
  <si>
    <t>MARDINI EMBUN SARI, S.E.</t>
  </si>
  <si>
    <t>MIA MARTINA INDAH, S.SOS</t>
  </si>
  <si>
    <t>MUHAMAD SODIK, S.T.</t>
  </si>
  <si>
    <t>WILLY ADI NUGROHO, S.H.</t>
  </si>
  <si>
    <t>KURNIA FIRMANSYAH, S.E.</t>
  </si>
  <si>
    <t>MUHAMMAD ARFAH, S.T.</t>
  </si>
  <si>
    <t>ABDUR RAHMAN, S.T.</t>
  </si>
  <si>
    <t>NOVIANSYAH PAMUNGKAS, S.KOM., M.MT.</t>
  </si>
  <si>
    <t>ANDI LAMAPPASESSU, S.T.</t>
  </si>
  <si>
    <t>BAMBANG SUTOMO, S.T.</t>
  </si>
  <si>
    <t>KARTIKA WIJAYANTI</t>
  </si>
  <si>
    <t>LYZA YUNI SETIAWATI, S.T.</t>
  </si>
  <si>
    <t>RIDWAN ARIFIN, S.T.</t>
  </si>
  <si>
    <t>TAUFIK AKBAR, S.T.</t>
  </si>
  <si>
    <t>HERBERT S. H, S.T.</t>
  </si>
  <si>
    <t>MUNIR M, S.T., M.T.</t>
  </si>
  <si>
    <t>SUKMA MAHARANI, S.T.</t>
  </si>
  <si>
    <t>KRISHNA WIJAYADI, S.T.</t>
  </si>
  <si>
    <t>ANDI NURALIM KAMAL, S.T.</t>
  </si>
  <si>
    <t>ARMINDARY ARIEF, S.T.</t>
  </si>
  <si>
    <t>DENY CAHYO NUGROHO, S.T.</t>
  </si>
  <si>
    <t>DIAN FEBRIAN, S.T.</t>
  </si>
  <si>
    <t>DWIANA GALUH LISTIYARINI, S.T.</t>
  </si>
  <si>
    <t>FAHMI, S.T.</t>
  </si>
  <si>
    <t>FAHRUL NUR HIDAYAT, S.T.</t>
  </si>
  <si>
    <t>FAULINCIA, S.T.</t>
  </si>
  <si>
    <t>HIJRAWATI, S.T.</t>
  </si>
  <si>
    <t>SEFIA HELMINA, S.T.</t>
  </si>
  <si>
    <t>FACHRUDDIN, S.T.</t>
  </si>
  <si>
    <t>HERU SUSILO BUDIMAN, S.T.</t>
  </si>
  <si>
    <t>MOCHAMMAD ZAKY, S.T., M.T.</t>
  </si>
  <si>
    <t>WAWAN PRIYA WIDYANTA, S.T.</t>
  </si>
  <si>
    <t>MOHAMMAD ABDUL MALIK, S.T.</t>
  </si>
  <si>
    <t>RISKA DERIANI MASKAR, S.T.</t>
  </si>
  <si>
    <t>MUHAMMAD YUDI OKTOVIANTO, S.T., M.MT.</t>
  </si>
  <si>
    <t>ALWIN RIDWAN, S.E.</t>
  </si>
  <si>
    <t>WILLEM GERRIT PIETER, S.E.</t>
  </si>
  <si>
    <t>ERRY SANJAYA DJAYUS, S.E.</t>
  </si>
  <si>
    <t>DEBORAH NINDYA PAWESTRI, S.H.</t>
  </si>
  <si>
    <t>ADITYA TRISANDHYA PRAMANA, S.T., M.SC.</t>
  </si>
  <si>
    <t>ARIF YUNAEDI, S.T., M.SC.</t>
  </si>
  <si>
    <t>WASITO ABDUL MUKIT, S.T.</t>
  </si>
  <si>
    <t>NOMO PRIHASTA, S.T.</t>
  </si>
  <si>
    <t>TRI BUANA GALAXY, S.T. M.SC.</t>
  </si>
  <si>
    <t>GARY SIMON, S.T.</t>
  </si>
  <si>
    <t>SANG LANANG SADDAMULLAH, S.T.</t>
  </si>
  <si>
    <t>HAMBALI WAHID, S.IP.</t>
  </si>
  <si>
    <t>TANTYO PRAJOGO, S.T.</t>
  </si>
  <si>
    <t>UNTUNG PRASETYO, A.MD</t>
  </si>
  <si>
    <t>MARISA THERESIA SIHOMBING, S.H.</t>
  </si>
  <si>
    <t>SARI GITA TANTINIS, S.PD.</t>
  </si>
  <si>
    <t>RAHMAN SUSILO, S.T.</t>
  </si>
  <si>
    <t>RIMA NOVEDIA BANGUN, S.T.</t>
  </si>
  <si>
    <t>DWI CAHYA KURNIAWANI, S.E.</t>
  </si>
  <si>
    <t>WARINI, ST</t>
  </si>
  <si>
    <t>ACHMAD TAWAKKAL RAMPA, S.T.</t>
  </si>
  <si>
    <t>AGUS SUNARTO, S.T.</t>
  </si>
  <si>
    <t>TOGAP HIDAYAT SIAGIAN, S.KOM.</t>
  </si>
  <si>
    <t>TUNJUNG WIDYATMO H, S.T.</t>
  </si>
  <si>
    <t>BUSROL KARIM, S.T.</t>
  </si>
  <si>
    <t>ROSALINA AMRAN, S.E.</t>
  </si>
  <si>
    <t>SIGIT PRASTOWO, S.T.</t>
  </si>
  <si>
    <t>HARRYS PAHALA MANALU, S.T.</t>
  </si>
  <si>
    <t>SETIONO PRABOWO, ST.</t>
  </si>
  <si>
    <t>BUDI PRAKOSO, S.T.</t>
  </si>
  <si>
    <t>RATNA DEWI, A.MD.</t>
  </si>
  <si>
    <t>TRI LAKSONO JOENIAWAN, S.T.</t>
  </si>
  <si>
    <t>ALI AKBAR BASO, S.T.</t>
  </si>
  <si>
    <t>BUDIMAN JOHANSYAH, S.T</t>
  </si>
  <si>
    <t>DOAN OSCAR DEWANDARU, S.T.</t>
  </si>
  <si>
    <t>MAT HASAN, S.T.</t>
  </si>
  <si>
    <t>NOAH CAHYASASMITA, S.T.</t>
  </si>
  <si>
    <t>SUTRISNO, S.T.</t>
  </si>
  <si>
    <t>R. BENY SUSANTO</t>
  </si>
  <si>
    <t>R. AGUS DODDY DWISAGITA, S.T.`</t>
  </si>
  <si>
    <t>ARIEF BUDI PERMANA, IR.</t>
  </si>
  <si>
    <t>Pokok</t>
  </si>
  <si>
    <t>Jasa</t>
  </si>
  <si>
    <t>Simpanan Wajib</t>
  </si>
  <si>
    <t>BSI</t>
  </si>
  <si>
    <t>Buku</t>
  </si>
  <si>
    <t>Sistem</t>
  </si>
  <si>
    <t>BUKU</t>
  </si>
  <si>
    <t>SISTEM</t>
  </si>
  <si>
    <t>a</t>
  </si>
  <si>
    <t>b</t>
  </si>
  <si>
    <t>c</t>
  </si>
  <si>
    <t>Khusus</t>
  </si>
  <si>
    <t>Reguler</t>
  </si>
  <si>
    <t>Mandiri</t>
  </si>
  <si>
    <t>KHUSUS</t>
  </si>
  <si>
    <t>REGULER</t>
  </si>
  <si>
    <t>Cabang Selindo</t>
  </si>
  <si>
    <t>BANK MANDIRI</t>
  </si>
  <si>
    <t>SENIOR MANAGER PIUTANG</t>
  </si>
  <si>
    <t>SPESIALIS SENIOR VERIFIKASI &amp; VALIDASI</t>
  </si>
  <si>
    <t>SPESIALIS VERIFIKASI &amp; VALIDASI</t>
  </si>
  <si>
    <t>ANGGOTA BARU PER JANUARI 2026</t>
  </si>
  <si>
    <t>EMAIL</t>
  </si>
  <si>
    <t>STATUS</t>
  </si>
  <si>
    <t>ALDI MUHAMMAD RIANTO</t>
  </si>
  <si>
    <t>ALDI WAHYU PRASETYO</t>
  </si>
  <si>
    <t>HENGKY PRABOWO</t>
  </si>
  <si>
    <t>MUHAMMAD ARDIANSYAH</t>
  </si>
  <si>
    <t>MUHAMMAD RIO</t>
  </si>
  <si>
    <t>MURDIYANTA</t>
  </si>
  <si>
    <t>NUR CAHYO FEBRIANTO PUTRO</t>
  </si>
  <si>
    <t>SAEPUL</t>
  </si>
  <si>
    <t>UCOK NELWAN</t>
  </si>
  <si>
    <t>SBU ENERGI KONTRAK</t>
  </si>
  <si>
    <t>HARYANTI</t>
  </si>
  <si>
    <t>ISHAK CHRISTIAN MEGAWE</t>
  </si>
  <si>
    <t>ANDI AULYA</t>
  </si>
  <si>
    <t>RANDI RANTE</t>
  </si>
  <si>
    <t>SBU INDUSTRI KONTRAK</t>
  </si>
  <si>
    <t>AKTIF</t>
  </si>
  <si>
    <t>SUDARMAN</t>
  </si>
  <si>
    <t>ANNISA FADHILAH</t>
  </si>
  <si>
    <t>SHAIDATUN ROHMAH</t>
  </si>
  <si>
    <t>YOSIDA ISDIANAWATI</t>
  </si>
  <si>
    <t>DEA ADAWIYAH</t>
  </si>
  <si>
    <t>VIVI HAZLINDA WIDIAWATI</t>
  </si>
  <si>
    <t>KHAMBALI</t>
  </si>
  <si>
    <t>FATTAH DWI PUTRO</t>
  </si>
  <si>
    <t xml:space="preserve">MUHAMMAD DAFIT </t>
  </si>
  <si>
    <t>AKHMAD ZULFIKRI</t>
  </si>
  <si>
    <t>YUNI INKA INDRAWATI</t>
  </si>
  <si>
    <t>Perusahaan</t>
  </si>
  <si>
    <t>BKI</t>
  </si>
  <si>
    <t>KOPERASI</t>
  </si>
  <si>
    <t>STAFF</t>
  </si>
  <si>
    <t>Akhmad.Zulfikri@idsurvey.co.id</t>
  </si>
  <si>
    <t>yuni.indrawati@idsurvey.co.id</t>
  </si>
  <si>
    <t>Achmad Suseno, Ir</t>
  </si>
  <si>
    <t>Ade Prihadi</t>
  </si>
  <si>
    <t>Ade Sugandi</t>
  </si>
  <si>
    <t>Adhitama Rama, ST.</t>
  </si>
  <si>
    <t>Aditia Warman</t>
  </si>
  <si>
    <t>Afrizal</t>
  </si>
  <si>
    <t xml:space="preserve">Agus Siswoko  Ir </t>
  </si>
  <si>
    <t>Agus Salim, Ir</t>
  </si>
  <si>
    <t>Agustang, ST</t>
  </si>
  <si>
    <t>Ahmad Sariful Anwar, ST.</t>
  </si>
  <si>
    <t>Ahmad Zakky. ST</t>
  </si>
  <si>
    <t>Alfonsus Susilarso, AMK-C</t>
  </si>
  <si>
    <t>Ali Akbar Baso, S.T.</t>
  </si>
  <si>
    <t>Antong Goli, ST</t>
  </si>
  <si>
    <t>Arief Nurtjahjo, Ir</t>
  </si>
  <si>
    <t>Arief Sofyan</t>
  </si>
  <si>
    <t>Arif Purwono, ST</t>
  </si>
  <si>
    <t>Aris Susanto</t>
  </si>
  <si>
    <t>Arsalnan Latif, Ir</t>
  </si>
  <si>
    <t>Asep Supriatna</t>
  </si>
  <si>
    <t>Asep Sutrisna S, SH, MM</t>
  </si>
  <si>
    <t>Atjeh Nahan, Ing.</t>
  </si>
  <si>
    <t>Azwar Firly</t>
  </si>
  <si>
    <t>Bagyono</t>
  </si>
  <si>
    <t>Bakir</t>
  </si>
  <si>
    <t>Bambang Hariyadi</t>
  </si>
  <si>
    <t>Bambang Sugiono</t>
  </si>
  <si>
    <t>Bambang Tri Suharto, Ir</t>
  </si>
  <si>
    <t>Bawa Prasetyo, ST.</t>
  </si>
  <si>
    <t>Benny Hosbrantas, Drs</t>
  </si>
  <si>
    <t>Bogi Akhmad Suendar</t>
  </si>
  <si>
    <t>Budi Setiawan</t>
  </si>
  <si>
    <t>Catur Achiryanto. St</t>
  </si>
  <si>
    <t>Chalis Umar, Ir.</t>
  </si>
  <si>
    <t>Dachlius</t>
  </si>
  <si>
    <t>Dani Maulana. ST</t>
  </si>
  <si>
    <t>Darma Toding</t>
  </si>
  <si>
    <t>Dede Nanda S, ST</t>
  </si>
  <si>
    <t>Dedy Haryadi</t>
  </si>
  <si>
    <t>Defri Sumarwan, ST</t>
  </si>
  <si>
    <t>Dermawan</t>
  </si>
  <si>
    <t>Dismir Abdoh</t>
  </si>
  <si>
    <t>Djoko Wahyudi. Ir</t>
  </si>
  <si>
    <t>Dody Setiawan</t>
  </si>
  <si>
    <t>Donny S. Purba. Drs</t>
  </si>
  <si>
    <t>Edy Sutrisno, Ir</t>
  </si>
  <si>
    <t>Eka Yuni Ermawati</t>
  </si>
  <si>
    <t>Eko Buana Putra</t>
  </si>
  <si>
    <t>Endang W</t>
  </si>
  <si>
    <t>Erlini Agung, SE</t>
  </si>
  <si>
    <t>Erwin, Ir</t>
  </si>
  <si>
    <t>Ery Dani Sampurno, Ir</t>
  </si>
  <si>
    <t>Efa Rosida Dwi Aditirta</t>
  </si>
  <si>
    <t>Fauzi Akbar Nasution, ST</t>
  </si>
  <si>
    <t>Fredhi Agung. P Ir</t>
  </si>
  <si>
    <t>Guruh M. Amal. ST</t>
  </si>
  <si>
    <t>Harusia Ismail</t>
  </si>
  <si>
    <t>Heintje Angganois, Ir</t>
  </si>
  <si>
    <t>Hendra Bagus, K, M.Mer</t>
  </si>
  <si>
    <t>Hendry Daniel</t>
  </si>
  <si>
    <t>Herawati , S</t>
  </si>
  <si>
    <t>Heri Siswanto, ST</t>
  </si>
  <si>
    <t>Herry Sudradjat, SH</t>
  </si>
  <si>
    <t>Ilyas Dangkeng</t>
  </si>
  <si>
    <t>Imam Suhadi, BE</t>
  </si>
  <si>
    <t>Imran</t>
  </si>
  <si>
    <t>ING Arimbawa, Ir</t>
  </si>
  <si>
    <t>Iqbal fikri. ir</t>
  </si>
  <si>
    <t>Irzan Azis. ST</t>
  </si>
  <si>
    <t>Is Supriati</t>
  </si>
  <si>
    <t>Jamaluddin Gani, Drs</t>
  </si>
  <si>
    <t>Jesse SR Tarigan</t>
  </si>
  <si>
    <t>Jonas Tahia. Ir</t>
  </si>
  <si>
    <t>Joustra Billy, ST.</t>
  </si>
  <si>
    <t>Juto Yuwono, Amd.</t>
  </si>
  <si>
    <t>Khusaini</t>
  </si>
  <si>
    <t>Kokok Yudha Cahyono, ST</t>
  </si>
  <si>
    <t>Lilah Kurnia Sari, ST</t>
  </si>
  <si>
    <t>M. Arif Kurniawan</t>
  </si>
  <si>
    <t>M. Iqbal, ST</t>
  </si>
  <si>
    <t>M. Natzir</t>
  </si>
  <si>
    <t>M. Nur Ardam</t>
  </si>
  <si>
    <t>Manahan. P. Sihombing</t>
  </si>
  <si>
    <t>Mardiana Muchtar</t>
  </si>
  <si>
    <t>Marthen Tonis</t>
  </si>
  <si>
    <t>Martono, ST</t>
  </si>
  <si>
    <t>Maskarena Johanis</t>
  </si>
  <si>
    <t>Ma'sum, Ir</t>
  </si>
  <si>
    <t>Misbahudin Aidy, Ir</t>
  </si>
  <si>
    <t>Moh. Mukhtar</t>
  </si>
  <si>
    <t>Moh. Rico Faridz, Ir</t>
  </si>
  <si>
    <t>Moh. Sugeng, Ir</t>
  </si>
  <si>
    <t>Muh. Saefuddin</t>
  </si>
  <si>
    <t>Muhammad Ichsan. ST</t>
  </si>
  <si>
    <t>Muhibuddin, ST</t>
  </si>
  <si>
    <t>Muhson Nurrochmat</t>
  </si>
  <si>
    <t>Mukti Bravita</t>
  </si>
  <si>
    <t>Muslim</t>
  </si>
  <si>
    <t>Mustari. Amk. C/MME</t>
  </si>
  <si>
    <t>Nano L, Ir</t>
  </si>
  <si>
    <t>Nur Hasan Sidiq. ST</t>
  </si>
  <si>
    <t>Nurhayati</t>
  </si>
  <si>
    <t>Nurul Huda</t>
  </si>
  <si>
    <t>Pardi Abbas, Ir</t>
  </si>
  <si>
    <t>Patunru Pongky, Drs.</t>
  </si>
  <si>
    <t>Pieter Petrus Paulus, Ir</t>
  </si>
  <si>
    <t>Poegoeh Setiono, Ir</t>
  </si>
  <si>
    <t>Purwantia</t>
  </si>
  <si>
    <t>Radjin Sitorus</t>
  </si>
  <si>
    <t>Rahmadani</t>
  </si>
  <si>
    <t>Reni P Simatupang</t>
  </si>
  <si>
    <t>Ridhayani</t>
  </si>
  <si>
    <t>Rino Yan Cahyo, SE</t>
  </si>
  <si>
    <t>Roni Karuniawan</t>
  </si>
  <si>
    <t>Sabaruddin</t>
  </si>
  <si>
    <t>Sabrina Mutiara Fani</t>
  </si>
  <si>
    <t>Sjaifuddin, M.SC</t>
  </si>
  <si>
    <t>Safiuddin, ST</t>
  </si>
  <si>
    <t>Saifoedin, ir</t>
  </si>
  <si>
    <t>Saifuddin Wijaya, Ir</t>
  </si>
  <si>
    <t>Salvinus Patangke, Ir</t>
  </si>
  <si>
    <t>Samsul Arif. ST</t>
  </si>
  <si>
    <t>Saptono</t>
  </si>
  <si>
    <t>Sari Putri Pertiwi</t>
  </si>
  <si>
    <t>Shindu Purwanto, Ir</t>
  </si>
  <si>
    <t>Siswanto ,ST</t>
  </si>
  <si>
    <t>Siti Komariah. ir</t>
  </si>
  <si>
    <t>Sofyan Hadi. ST</t>
  </si>
  <si>
    <t>Sri Atik, Dra</t>
  </si>
  <si>
    <t>Sri Dewi Amalia, Ir</t>
  </si>
  <si>
    <t>Sri Rachmi Andayani, Ir</t>
  </si>
  <si>
    <t>Sriyati</t>
  </si>
  <si>
    <t>Su'ad Syuhada, SE, MM</t>
  </si>
  <si>
    <t>Subur</t>
  </si>
  <si>
    <t>Sudirman, SE</t>
  </si>
  <si>
    <t>Suhar Chandra Kurniawan, ST</t>
  </si>
  <si>
    <t>Suherman Sardi</t>
  </si>
  <si>
    <t>Suhita Wardani, SE</t>
  </si>
  <si>
    <t>Sukiyo, Drs</t>
  </si>
  <si>
    <t>Sukma Maharani, ST</t>
  </si>
  <si>
    <t>Sukria</t>
  </si>
  <si>
    <t>Sukron Makmun ST</t>
  </si>
  <si>
    <t>Sulthan Said, M.Sc.</t>
  </si>
  <si>
    <t>Suprapti</t>
  </si>
  <si>
    <t>Suryanto</t>
  </si>
  <si>
    <t>Sutrisno</t>
  </si>
  <si>
    <t>Suyani</t>
  </si>
  <si>
    <t>Syarif Hidayat</t>
  </si>
  <si>
    <t>Syarif, Ir</t>
  </si>
  <si>
    <t>Taufik Hidayat, SE, MM.</t>
  </si>
  <si>
    <t>Tri Buana Galaxi</t>
  </si>
  <si>
    <t>Vecky Budiman CI</t>
  </si>
  <si>
    <t>Wibisono R.  Ir</t>
  </si>
  <si>
    <t>Wiyono, Ir</t>
  </si>
  <si>
    <t>Yansen Miri, Ir</t>
  </si>
  <si>
    <t>Yudas Pasomba</t>
  </si>
  <si>
    <t>Yudhi Ardikusuma AMK-C.</t>
  </si>
  <si>
    <t>Yudi Wasianto, Ir</t>
  </si>
  <si>
    <t>Yusman Susa</t>
  </si>
  <si>
    <t>Marwanto</t>
  </si>
  <si>
    <t>Andi Gunawan Sunre</t>
  </si>
  <si>
    <t>Umar Agus Irianto</t>
  </si>
  <si>
    <t>Renza Muharam</t>
  </si>
  <si>
    <t>Adhi kholidin</t>
  </si>
  <si>
    <t>Adi Yudho Wijayanto, ST</t>
  </si>
  <si>
    <t>Andre Guntur Teguh WS, ST.</t>
  </si>
  <si>
    <t>Angga Santoso</t>
  </si>
  <si>
    <t>Angga Yustiawan, ST.</t>
  </si>
  <si>
    <t>Budiwansyah</t>
  </si>
  <si>
    <t>Donny Putra Santika</t>
  </si>
  <si>
    <t>Eko Maja Priyanto, ST.</t>
  </si>
  <si>
    <t>Fachruddin Nur, ST.</t>
  </si>
  <si>
    <t>Firmansyah Putra AM, ST.</t>
  </si>
  <si>
    <t>Hendra, ST,</t>
  </si>
  <si>
    <t>Hendra Saputra</t>
  </si>
  <si>
    <t>I Gusti Ngurah Wira P, ST.</t>
  </si>
  <si>
    <t>Indra Mariska Amd.</t>
  </si>
  <si>
    <t>Muhammad Irfan, ST.</t>
  </si>
  <si>
    <t>Ruri Apridah</t>
  </si>
  <si>
    <t>Sigit Suhakso</t>
  </si>
  <si>
    <t>Suwandy, ST.</t>
  </si>
  <si>
    <t>Syari Dodi A.Yani</t>
  </si>
  <si>
    <t>Trian Indrawan, ST.</t>
  </si>
  <si>
    <t>Jakaria</t>
  </si>
  <si>
    <t>Hendro Lukito</t>
  </si>
  <si>
    <t>Lucky Lukman Nur Hakim</t>
  </si>
  <si>
    <t>Hendry Kurniawan</t>
  </si>
  <si>
    <t>Capt. Iman Satria Utama</t>
  </si>
  <si>
    <t>Bayu Indra Purbaya</t>
  </si>
  <si>
    <t>Riki Sanjaya</t>
  </si>
  <si>
    <t>Slamet Apriadi</t>
  </si>
  <si>
    <t>Andik Eko Saputro, ST</t>
  </si>
  <si>
    <t>Wawan Widiatmoko, ST</t>
  </si>
  <si>
    <t>Alfan Fadhli, ST</t>
  </si>
  <si>
    <t>Amir Hamzah, ST</t>
  </si>
  <si>
    <t>Ferry Fadli, ST</t>
  </si>
  <si>
    <t>Gary Simon</t>
  </si>
  <si>
    <t>I Nyoman Eriksandika P, ST</t>
  </si>
  <si>
    <t>La Ode Abdul Haslan P, ST</t>
  </si>
  <si>
    <t>Sigit Pamungkas, ST</t>
  </si>
  <si>
    <t>Yogia Rivaldhi, ST</t>
  </si>
  <si>
    <t>Bambang Firdiansyah H. K, ST</t>
  </si>
  <si>
    <t xml:space="preserve">Septi Wulandari, </t>
  </si>
  <si>
    <t>Ndaru Triwibowo</t>
  </si>
  <si>
    <t>Aziz Husain</t>
  </si>
  <si>
    <t>Agiyani Permana Putra</t>
  </si>
  <si>
    <t>M. Abdurrahman Ali</t>
  </si>
  <si>
    <t>Itqan Harchia</t>
  </si>
  <si>
    <t>Holis Nor Aini</t>
  </si>
  <si>
    <t>Ahmad Barnes</t>
  </si>
  <si>
    <t>Tri Budiyanto</t>
  </si>
  <si>
    <t>Atika Nurhikmah</t>
  </si>
  <si>
    <t>Andi Dina</t>
  </si>
  <si>
    <t>Rudiyanto, Ir</t>
  </si>
  <si>
    <t xml:space="preserve">Sahat </t>
  </si>
  <si>
    <t>Andi Dian Eka Anggriani, S.T</t>
  </si>
  <si>
    <t>Tesi Hidayati</t>
  </si>
  <si>
    <t>Timbul Tambunan</t>
  </si>
  <si>
    <t>Andri Rezeki</t>
  </si>
  <si>
    <t>Edi Zulkarnain</t>
  </si>
  <si>
    <t>Brams Firnandes</t>
  </si>
  <si>
    <t>Stefani Nur Fitri</t>
  </si>
  <si>
    <t>M. Setiawan</t>
  </si>
  <si>
    <t>Rudi Arfiansyah</t>
  </si>
  <si>
    <t>Fikram Sudarmadi</t>
  </si>
  <si>
    <t>Ishak Christian Megawe</t>
  </si>
  <si>
    <t>Randi Rante</t>
  </si>
  <si>
    <t>Soepriyanto</t>
  </si>
  <si>
    <t>Noval Der Sartapayu</t>
  </si>
  <si>
    <t>Ibnu Nafis</t>
  </si>
  <si>
    <t>Airin Christine</t>
  </si>
  <si>
    <t>Berthy Charles</t>
  </si>
  <si>
    <t>Ishak Sudradjat</t>
  </si>
  <si>
    <t>Jhon Nicodemus P</t>
  </si>
  <si>
    <t>Muchtar Kartoulomo</t>
  </si>
  <si>
    <t>Nindia Laurina</t>
  </si>
  <si>
    <t>Bayu Kadir</t>
  </si>
  <si>
    <t>Bina Aji Nugraha</t>
  </si>
  <si>
    <t>Muhammad Idam Yon Arif</t>
  </si>
  <si>
    <t>Ahmad Riadus Sholihivi</t>
  </si>
  <si>
    <t>Mian Saroha Simangunsong</t>
  </si>
  <si>
    <t>Andrew Cristiant Pramusinta</t>
  </si>
  <si>
    <t>Yhoga Susila Wardanu</t>
  </si>
  <si>
    <t>Agus Rizqiansyah</t>
  </si>
  <si>
    <t>Dwi Aryanto</t>
  </si>
  <si>
    <t>Tulus Setiyawan W K</t>
  </si>
  <si>
    <t>Risky Hari Prasetyo</t>
  </si>
  <si>
    <t>Fivid Rivantoro</t>
  </si>
  <si>
    <t>Eko Haryanto</t>
  </si>
  <si>
    <t>Adityo Aji Kurniawan</t>
  </si>
  <si>
    <t>Ardiansyah Dahlan, S.T.</t>
  </si>
  <si>
    <t>Mokhammad Fakhrur Rizal</t>
  </si>
  <si>
    <t>Sony Anggara</t>
  </si>
  <si>
    <t>La Ode Muhammad Ichsan, S.T.</t>
  </si>
  <si>
    <t>Andi Dian Aulya</t>
  </si>
  <si>
    <t>Febri Denyanto</t>
  </si>
  <si>
    <t>Rio Fegi</t>
  </si>
  <si>
    <t>Fatma Kurniasari</t>
  </si>
  <si>
    <t>Akbar Rakanda Prakasa, S.T.</t>
  </si>
  <si>
    <t>Vina Nanda Garjati, S.T.</t>
  </si>
  <si>
    <t>Rahmi Sartika Permana Dora</t>
  </si>
  <si>
    <t>Erick Marcos Kiuk</t>
  </si>
  <si>
    <t>Irsal</t>
  </si>
  <si>
    <t>Deni</t>
  </si>
  <si>
    <t>Petrus Jacob Matuankotta</t>
  </si>
  <si>
    <t>M Irfan</t>
  </si>
  <si>
    <t>Guntur Cahyo N, ST</t>
  </si>
  <si>
    <t>Khoirul Asnawi, AMD</t>
  </si>
  <si>
    <t>Riskita Novita Sari</t>
  </si>
  <si>
    <t>Poppy Ayundari</t>
  </si>
  <si>
    <t>Femmy Anantia Lestari</t>
  </si>
  <si>
    <t>Rahmawaty</t>
  </si>
  <si>
    <t>Jefry Kurniawan</t>
  </si>
  <si>
    <t>La Ode Abdul Rajab Azis</t>
  </si>
  <si>
    <t>Sulaeman Mustafa</t>
  </si>
  <si>
    <t>Yosua R Palentek,ST</t>
  </si>
  <si>
    <t>Defi Rizki Mauliani</t>
  </si>
  <si>
    <t>Andi Apriadi Awe</t>
  </si>
  <si>
    <t>Yusriadi</t>
  </si>
  <si>
    <t>Desi Annike Putri</t>
  </si>
  <si>
    <t>Irmarinda Sheyna C</t>
  </si>
  <si>
    <t>N. Karindita Ekibdwi Putri</t>
  </si>
  <si>
    <t>Sudirman Majid</t>
  </si>
  <si>
    <t>Andre L Latuihamalo</t>
  </si>
  <si>
    <t>R&amp;P</t>
  </si>
  <si>
    <t>CG</t>
  </si>
  <si>
    <t>-</t>
  </si>
  <si>
    <t>PHP</t>
  </si>
  <si>
    <t>PRB</t>
  </si>
  <si>
    <t>BM</t>
  </si>
  <si>
    <t>MHC</t>
  </si>
  <si>
    <t>SV</t>
  </si>
  <si>
    <t>TP</t>
  </si>
  <si>
    <t>PK</t>
  </si>
  <si>
    <t>DP</t>
  </si>
  <si>
    <t>SB</t>
  </si>
  <si>
    <t>SBU ENI</t>
  </si>
  <si>
    <t>BP</t>
  </si>
  <si>
    <t>PU</t>
  </si>
  <si>
    <t>SM</t>
  </si>
  <si>
    <t>BT</t>
  </si>
  <si>
    <t>SD</t>
  </si>
  <si>
    <t>SR</t>
  </si>
  <si>
    <t>ST</t>
  </si>
  <si>
    <t>BN</t>
  </si>
  <si>
    <t>KU</t>
  </si>
  <si>
    <t>STA</t>
  </si>
  <si>
    <t>DOK</t>
  </si>
  <si>
    <t>CN</t>
  </si>
  <si>
    <t>MKS</t>
  </si>
  <si>
    <t>DOC</t>
  </si>
  <si>
    <t>DMH</t>
  </si>
  <si>
    <t>SEKPER</t>
  </si>
  <si>
    <t>MRKU</t>
  </si>
  <si>
    <t>BMC</t>
  </si>
  <si>
    <t>PRC</t>
  </si>
  <si>
    <t>SB/2</t>
  </si>
  <si>
    <t>BPC</t>
  </si>
  <si>
    <t>PB</t>
  </si>
  <si>
    <t>IT</t>
  </si>
  <si>
    <t>MS</t>
  </si>
  <si>
    <t>SPI</t>
  </si>
  <si>
    <t>M&amp;K</t>
  </si>
  <si>
    <t>BJ</t>
  </si>
  <si>
    <t>MAC</t>
  </si>
  <si>
    <t>JB</t>
  </si>
  <si>
    <t>SBC</t>
  </si>
  <si>
    <t>PPO</t>
  </si>
  <si>
    <t>PBC</t>
  </si>
  <si>
    <t>SBU MNO</t>
  </si>
  <si>
    <t>PR</t>
  </si>
  <si>
    <t>BNC</t>
  </si>
  <si>
    <t>BALIKPAPAN</t>
  </si>
  <si>
    <t>PASIF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</si>
</sst>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(* #,##0_);_(* \(#,##0\);_(* &quot;-&quot;_);_(@_)"/>
    <numFmt numFmtId="166" formatCode="_-* #,##0.00_-;\-* #,##0.00_-;_-* &quot;-&quot;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 Light"/>
      <family val="1"/>
      <scheme val="major"/>
    </font>
    <font>
      <sz val="10"/>
      <color theme="1"/>
      <name val="Calibri Light"/>
      <family val="1"/>
      <scheme val="major"/>
    </font>
    <font>
      <sz val="1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1"/>
      <color rgb="FF1F1F1F"/>
      <name val="Calibri Light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0" fontId="1" fillId="0" borderId="1" xfId="2" applyBorder="1"/>
    <xf numFmtId="164" fontId="1" fillId="0" borderId="1" xfId="1" applyNumberFormat="1" applyBorder="1"/>
    <xf numFmtId="0" fontId="0" fillId="0" borderId="2" xfId="0" applyBorder="1"/>
    <xf numFmtId="0" fontId="2" fillId="0" borderId="0" xfId="0" applyFont="1"/>
    <xf numFmtId="165" fontId="2" fillId="0" borderId="0" xfId="3" applyFont="1"/>
    <xf numFmtId="165" fontId="0" fillId="0" borderId="0" xfId="3" applyFont="1"/>
    <xf numFmtId="165" fontId="0" fillId="0" borderId="1" xfId="3" applyFont="1" applyFill="1" applyBorder="1"/>
    <xf numFmtId="165" fontId="0" fillId="0" borderId="0" xfId="0" applyNumberFormat="1"/>
    <xf numFmtId="165" fontId="2" fillId="3" borderId="0" xfId="3" applyFont="1" applyFill="1"/>
    <xf numFmtId="0" fontId="2" fillId="4" borderId="0" xfId="0" applyFont="1" applyFill="1"/>
    <xf numFmtId="165" fontId="2" fillId="4" borderId="0" xfId="3" applyFont="1" applyFill="1"/>
    <xf numFmtId="165" fontId="0" fillId="5" borderId="0" xfId="0" applyNumberFormat="1" applyFill="1"/>
    <xf numFmtId="165" fontId="0" fillId="0" borderId="0" xfId="3" applyFont="1" applyFill="1"/>
    <xf numFmtId="0" fontId="0" fillId="6" borderId="1" xfId="0" applyFill="1" applyBorder="1"/>
    <xf numFmtId="164" fontId="0" fillId="0" borderId="0" xfId="1" applyNumberFormat="1" applyFont="1"/>
    <xf numFmtId="0" fontId="2" fillId="6" borderId="1" xfId="0" applyFont="1" applyFill="1" applyBorder="1"/>
    <xf numFmtId="164" fontId="2" fillId="0" borderId="1" xfId="1" applyNumberFormat="1" applyFont="1" applyBorder="1"/>
    <xf numFmtId="0" fontId="0" fillId="3" borderId="1" xfId="0" applyFill="1" applyBorder="1"/>
    <xf numFmtId="164" fontId="0" fillId="3" borderId="1" xfId="1" applyNumberFormat="1" applyFont="1" applyFill="1" applyBorder="1"/>
    <xf numFmtId="0" fontId="2" fillId="3" borderId="1" xfId="0" applyFont="1" applyFill="1" applyBorder="1"/>
    <xf numFmtId="164" fontId="2" fillId="3" borderId="1" xfId="1" applyNumberFormat="1" applyFont="1" applyFill="1" applyBorder="1"/>
    <xf numFmtId="164" fontId="0" fillId="0" borderId="0" xfId="0" applyNumberFormat="1"/>
    <xf numFmtId="0" fontId="3" fillId="0" borderId="3" xfId="0" applyFont="1" applyBorder="1"/>
    <xf numFmtId="166" fontId="4" fillId="0" borderId="0" xfId="4" applyNumberFormat="1" applyFont="1"/>
    <xf numFmtId="0" fontId="3" fillId="0" borderId="0" xfId="0" applyFont="1"/>
    <xf numFmtId="166" fontId="6" fillId="0" borderId="0" xfId="4" applyNumberFormat="1" applyFont="1"/>
    <xf numFmtId="0" fontId="5" fillId="0" borderId="3" xfId="0" applyFont="1" applyBorder="1"/>
    <xf numFmtId="43" fontId="0" fillId="0" borderId="0" xfId="0" applyNumberFormat="1"/>
    <xf numFmtId="0" fontId="3" fillId="0" borderId="1" xfId="0" applyFont="1" applyBorder="1"/>
    <xf numFmtId="0" fontId="5" fillId="0" borderId="1" xfId="0" applyFont="1" applyBorder="1"/>
    <xf numFmtId="166" fontId="0" fillId="0" borderId="0" xfId="0" applyNumberFormat="1"/>
    <xf numFmtId="0" fontId="7" fillId="0" borderId="3" xfId="0" applyFont="1" applyBorder="1"/>
    <xf numFmtId="166" fontId="8" fillId="0" borderId="0" xfId="4" applyNumberFormat="1" applyFont="1"/>
    <xf numFmtId="0" fontId="7" fillId="0" borderId="0" xfId="0" applyFont="1"/>
    <xf numFmtId="0" fontId="9" fillId="0" borderId="0" xfId="0" applyFont="1"/>
    <xf numFmtId="49" fontId="9" fillId="0" borderId="0" xfId="0" applyNumberFormat="1" applyFont="1"/>
    <xf numFmtId="0" fontId="8" fillId="0" borderId="0" xfId="0" applyFont="1"/>
    <xf numFmtId="41" fontId="8" fillId="0" borderId="0" xfId="4" applyFont="1"/>
    <xf numFmtId="0" fontId="9" fillId="0" borderId="3" xfId="0" applyFont="1" applyBorder="1"/>
    <xf numFmtId="49" fontId="9" fillId="0" borderId="3" xfId="0" applyNumberFormat="1" applyFont="1" applyBorder="1"/>
    <xf numFmtId="49" fontId="7" fillId="0" borderId="3" xfId="0" applyNumberFormat="1" applyFont="1" applyBorder="1" applyAlignment="1">
      <alignment horizontal="left" vertical="center" shrinkToFit="1"/>
    </xf>
    <xf numFmtId="0" fontId="7" fillId="0" borderId="4" xfId="0" applyFont="1" applyBorder="1"/>
    <xf numFmtId="49" fontId="7" fillId="0" borderId="3" xfId="0" applyNumberFormat="1" applyFont="1" applyBorder="1" applyAlignment="1">
      <alignment horizontal="left" vertical="center" wrapText="1" shrinkToFit="1"/>
    </xf>
    <xf numFmtId="0" fontId="7" fillId="0" borderId="1" xfId="0" applyFont="1" applyBorder="1"/>
    <xf numFmtId="41" fontId="8" fillId="0" borderId="0" xfId="1" applyNumberFormat="1" applyFont="1" applyFill="1" applyBorder="1" applyAlignment="1" applyProtection="1">
      <alignment horizontal="right" vertical="center" wrapText="1" shrinkToFit="1"/>
      <protection locked="0"/>
    </xf>
    <xf numFmtId="166" fontId="8" fillId="0" borderId="1" xfId="4" applyNumberFormat="1" applyFont="1" applyBorder="1"/>
    <xf numFmtId="0" fontId="8" fillId="0" borderId="0" xfId="0" applyFont="1" applyAlignment="1">
      <alignment vertical="center"/>
    </xf>
    <xf numFmtId="164" fontId="0" fillId="0" borderId="1" xfId="1" applyNumberFormat="1" applyFont="1" applyFill="1" applyBorder="1"/>
    <xf numFmtId="0" fontId="0" fillId="7" borderId="1" xfId="0" applyFill="1" applyBorder="1"/>
    <xf numFmtId="164" fontId="0" fillId="7" borderId="1" xfId="1" applyNumberFormat="1" applyFont="1" applyFill="1" applyBorder="1"/>
    <xf numFmtId="0" fontId="1" fillId="7" borderId="1" xfId="2" applyFill="1" applyBorder="1"/>
    <xf numFmtId="0" fontId="10" fillId="0" borderId="6" xfId="0" quotePrefix="1" applyFont="1" applyBorder="1" applyAlignment="1">
      <alignment horizontal="left"/>
    </xf>
    <xf numFmtId="0" fontId="10" fillId="0" borderId="6" xfId="0" applyFont="1" applyBorder="1"/>
    <xf numFmtId="0" fontId="10" fillId="8" borderId="6" xfId="0" quotePrefix="1" applyFont="1" applyFill="1" applyBorder="1" applyAlignment="1">
      <alignment horizontal="left"/>
    </xf>
    <xf numFmtId="0" fontId="10" fillId="8" borderId="6" xfId="0" applyFont="1" applyFill="1" applyBorder="1"/>
    <xf numFmtId="0" fontId="10" fillId="5" borderId="7" xfId="0" applyFont="1" applyFill="1" applyBorder="1"/>
    <xf numFmtId="0" fontId="10" fillId="0" borderId="8" xfId="0" applyFont="1" applyBorder="1"/>
    <xf numFmtId="41" fontId="11" fillId="0" borderId="5" xfId="5" applyFont="1" applyFill="1" applyBorder="1" applyAlignment="1">
      <alignment horizontal="right"/>
    </xf>
    <xf numFmtId="41" fontId="11" fillId="10" borderId="5" xfId="5" applyFont="1" applyFill="1" applyBorder="1"/>
    <xf numFmtId="41" fontId="11" fillId="10" borderId="5" xfId="5" applyFont="1" applyFill="1" applyBorder="1" applyAlignment="1">
      <alignment horizontal="right"/>
    </xf>
    <xf numFmtId="41" fontId="11" fillId="0" borderId="5" xfId="5" applyFont="1" applyFill="1" applyBorder="1"/>
    <xf numFmtId="41" fontId="11" fillId="0" borderId="6" xfId="5" applyFont="1" applyFill="1" applyBorder="1"/>
    <xf numFmtId="41" fontId="11" fillId="5" borderId="7" xfId="5" applyFont="1" applyFill="1" applyBorder="1"/>
    <xf numFmtId="41" fontId="11" fillId="0" borderId="7" xfId="5" applyFont="1" applyFill="1" applyBorder="1" applyAlignment="1">
      <alignment horizontal="right"/>
    </xf>
    <xf numFmtId="41" fontId="11" fillId="0" borderId="9" xfId="5" applyFont="1" applyFill="1" applyBorder="1"/>
    <xf numFmtId="0" fontId="12" fillId="0" borderId="5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41" fontId="13" fillId="9" borderId="7" xfId="5" applyFont="1" applyFill="1" applyBorder="1" applyAlignment="1">
      <alignment horizontal="center" vertical="center"/>
    </xf>
    <xf numFmtId="41" fontId="13" fillId="9" borderId="12" xfId="5" applyFont="1" applyFill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41" fontId="13" fillId="9" borderId="6" xfId="5" applyFont="1" applyFill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4" fillId="0" borderId="6" xfId="0" applyFont="1" applyBorder="1"/>
    <xf numFmtId="0" fontId="12" fillId="0" borderId="9" xfId="0" applyFont="1" applyBorder="1"/>
    <xf numFmtId="0" fontId="12" fillId="0" borderId="5" xfId="0" applyFont="1" applyBorder="1"/>
    <xf numFmtId="0" fontId="12" fillId="0" borderId="6" xfId="0" applyFont="1" applyBorder="1"/>
    <xf numFmtId="0" fontId="12" fillId="0" borderId="3" xfId="0" applyFont="1" applyBorder="1"/>
    <xf numFmtId="41" fontId="13" fillId="9" borderId="6" xfId="5" applyFont="1" applyFill="1" applyBorder="1" applyAlignment="1">
      <alignment vertical="center"/>
    </xf>
    <xf numFmtId="41" fontId="13" fillId="9" borderId="10" xfId="5" applyFont="1" applyFill="1" applyBorder="1" applyAlignment="1">
      <alignment vertical="center"/>
    </xf>
    <xf numFmtId="0" fontId="12" fillId="0" borderId="14" xfId="0" applyFont="1" applyBorder="1"/>
    <xf numFmtId="41" fontId="13" fillId="9" borderId="11" xfId="5" applyFont="1" applyFill="1" applyBorder="1" applyAlignment="1">
      <alignment vertical="center"/>
    </xf>
    <xf numFmtId="0" fontId="0" fillId="7" borderId="0" xfId="0" applyFill="1"/>
    <xf numFmtId="164" fontId="0" fillId="7" borderId="0" xfId="1" applyNumberFormat="1" applyFont="1" applyFill="1" applyBorder="1"/>
    <xf numFmtId="41" fontId="0" fillId="0" borderId="0" xfId="0" applyNumberFormat="1"/>
    <xf numFmtId="0" fontId="0" fillId="11" borderId="0" xfId="0" applyFill="1"/>
    <xf numFmtId="165" fontId="0" fillId="11" borderId="0" xfId="0" applyNumberFormat="1" applyFill="1"/>
    <xf numFmtId="49" fontId="0" fillId="11" borderId="0" xfId="0" applyNumberFormat="1" applyFill="1"/>
    <xf numFmtId="164" fontId="0" fillId="11" borderId="0" xfId="0" applyNumberFormat="1" applyFill="1"/>
    <xf numFmtId="0" fontId="0" fillId="5" borderId="1" xfId="0" applyFill="1" applyBorder="1"/>
    <xf numFmtId="0" fontId="2" fillId="0" borderId="15" xfId="0" applyFont="1" applyBorder="1"/>
    <xf numFmtId="0" fontId="2" fillId="5" borderId="1" xfId="0" applyFont="1" applyFill="1" applyBorder="1"/>
    <xf numFmtId="164" fontId="2" fillId="5" borderId="1" xfId="1" applyNumberFormat="1" applyFont="1" applyFill="1" applyBorder="1"/>
    <xf numFmtId="164" fontId="2" fillId="0" borderId="0" xfId="0" applyNumberFormat="1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7" fillId="0" borderId="1" xfId="6" applyBorder="1" applyAlignment="1">
      <alignment horizontal="left"/>
    </xf>
    <xf numFmtId="0" fontId="17" fillId="0" borderId="1" xfId="6" applyBorder="1" applyAlignment="1">
      <alignment horizontal="left" wrapText="1"/>
    </xf>
  </cellXfs>
  <cellStyles count="7">
    <cellStyle name="Comma" xfId="1" builtinId="3"/>
    <cellStyle name="Comma [0]" xfId="5" builtinId="6"/>
    <cellStyle name="Comma [0] 2" xfId="3" xr:uid="{C5C26FEF-A973-42F9-AEBA-BA68C3372E84}"/>
    <cellStyle name="Comma [0] 5 2 2" xfId="4" xr:uid="{8D1B7100-FD26-4AEB-876E-619B0BF44A41}"/>
    <cellStyle name="Hyperlink" xfId="6" builtinId="8"/>
    <cellStyle name="Normal" xfId="0" builtinId="0"/>
    <cellStyle name="Normal 4" xfId="2" xr:uid="{EF24023A-C8AB-425F-9340-CEDD19F3AF38}"/>
  </cellStyles>
  <dxfs count="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22413</xdr:colOff>
      <xdr:row>1</xdr:row>
      <xdr:rowOff>0</xdr:rowOff>
    </xdr:from>
    <xdr:to>
      <xdr:col>33</xdr:col>
      <xdr:colOff>412330</xdr:colOff>
      <xdr:row>21</xdr:row>
      <xdr:rowOff>18080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CBA7D2-2667-9EA8-32D2-629CA8EAF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11942" y="186765"/>
          <a:ext cx="11707859" cy="37533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davi\Downloads\DATA%20EMAIL%20PEGAWAI%20BKI%20PER%20JUNI%202025.xlsx" TargetMode="External"/><Relationship Id="rId1" Type="http://schemas.openxmlformats.org/officeDocument/2006/relationships/externalLinkPath" Target="/Users/ndavi/Downloads/DATA%20EMAIL%20PEGAWAI%20BKI%20PER%20JUNI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b9b474228dc75fd/Documents/KOPERASI%20BKI%20TAHUN%202026/REKAPAN%20POTONGAN/01.%20JANUARI%202026%20-%20ALL%20CABANG.xlsx" TargetMode="External"/><Relationship Id="rId1" Type="http://schemas.openxmlformats.org/officeDocument/2006/relationships/externalLinkPath" Target="https://d.docs.live.net/db9b474228dc75fd/Documents/KOPERASI%20BKI%20TAHUN%202026/REKAPAN%20POTONGAN/01.%20JANUARI%202026%20-%20ALL%20CABA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b9b474228dc75fd/Documents/SHU_Tahun_Buku_2024.xlsx" TargetMode="External"/><Relationship Id="rId1" Type="http://schemas.openxmlformats.org/officeDocument/2006/relationships/externalLinkPath" Target="https://d.docs.live.net/db9b474228dc75fd/Documents/SHU_Tahun_Buku_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b9b474228dc75fd/Documents/KOPERASI%20BKI%20TAHUN%202026/REKAPAN%20POTONGAN/01.%20POTONGAN%20KOPERASI%20BULAN%20JANUARI%202026.xlsx" TargetMode="External"/><Relationship Id="rId1" Type="http://schemas.openxmlformats.org/officeDocument/2006/relationships/externalLinkPath" Target="https://d.docs.live.net/db9b474228dc75fd/Documents/KOPERASI%20BKI%20TAHUN%202026/REKAPAN%20POTONGAN/01.%20POTONGAN%20KOPERASI%20BULAN%20JANUARI%2020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b9b474228dc75fd/Documents/KOPERASI%20BKI%20TAHUN%202026/REKAPAN%20POTONGAN/01.%20JANUARI%202026%20-%20KANTOR%20PUSAT.xlsx" TargetMode="External"/><Relationship Id="rId1" Type="http://schemas.openxmlformats.org/officeDocument/2006/relationships/externalLinkPath" Target="https://d.docs.live.net/db9b474228dc75fd/Documents/KOPERASI%20BKI%20TAHUN%202026/REKAPAN%20POTONGAN/01.%20JANUARI%202026%20-%20KANTOR%20PUSA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b9b474228dc75fd/Documents/KOPERASI%20BKI%20TAHUN%202026/REKAPAN%20POTONGAN/01.%20JANUARI%202026%20-%20CABANG%20UTAMA%20KLAS%20TG.PRIOK.xlsx" TargetMode="External"/><Relationship Id="rId1" Type="http://schemas.openxmlformats.org/officeDocument/2006/relationships/externalLinkPath" Target="https://d.docs.live.net/db9b474228dc75fd/Documents/KOPERASI%20BKI%20TAHUN%202026/REKAPAN%20POTONGAN/01.%20JANUARI%202026%20-%20CABANG%20UTAMA%20KLAS%20TG.PRIOK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b9b474228dc75fd/Documents/KOPERASI%20BKI%20TAHUN%202026/REKAPAN%20POTONGAN/01.%20JANUARI%202026%20-%20CABANG%20UTAMA%20KOMERSIAL%20JAKARTA.xlsx" TargetMode="External"/><Relationship Id="rId1" Type="http://schemas.openxmlformats.org/officeDocument/2006/relationships/externalLinkPath" Target="https://d.docs.live.net/db9b474228dc75fd/Documents/KOPERASI%20BKI%20TAHUN%202026/REKAPAN%20POTONGAN/01.%20JANUARI%202026%20-%20CABANG%20UTAMA%20KOMERSIAL%20JAKARTA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b9b474228dc75fd/Documents/KOPERASI%20BKI%20TAHUN%202026/REKAPAN%20POTONGAN/01.%20JANUARI%202026%20-%20CoE%20ENERGY.xlsx" TargetMode="External"/><Relationship Id="rId1" Type="http://schemas.openxmlformats.org/officeDocument/2006/relationships/externalLinkPath" Target="https://d.docs.live.net/db9b474228dc75fd/Documents/KOPERASI%20BKI%20TAHUN%202026/REKAPAN%20POTONGAN/01.%20JANUARI%202026%20-%20CoE%20ENER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b9b474228dc75fd/Documents/KOPERASI%20BKI%20TAHUN%202026/REKAPAN%20POTONGAN/01.%20JANUARI%202026%20-%20CoE%20TRANSPORT%20%5e0%20LOGISTIC.xlsx" TargetMode="External"/><Relationship Id="rId1" Type="http://schemas.openxmlformats.org/officeDocument/2006/relationships/externalLinkPath" Target="https://d.docs.live.net/db9b474228dc75fd/Documents/KOPERASI%20BKI%20TAHUN%202026/REKAPAN%20POTONGAN/01.%20JANUARI%202026%20-%20CoE%20TRANSPORT%20%5e0%20LOGIST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pegawai per JUNI25"/>
      <sheetName val="Data Email Anggota"/>
    </sheetNames>
    <sheetDataSet>
      <sheetData sheetId="0" refreshError="1"/>
      <sheetData sheetId="1">
        <row r="2">
          <cell r="C2" t="str">
            <v>DANDY RUKMANA</v>
          </cell>
          <cell r="D2" t="str">
            <v>UNIT BKI ACADEMY</v>
          </cell>
          <cell r="E2" t="str">
            <v>OFFICER PEMASARAN</v>
          </cell>
          <cell r="F2" t="str">
            <v>dandy@bki.co.id</v>
          </cell>
        </row>
        <row r="3">
          <cell r="C3" t="str">
            <v>ARIEF SULISTIYONO</v>
          </cell>
          <cell r="D3" t="str">
            <v>CABANG MADYA KLAS BANJARMASIN</v>
          </cell>
          <cell r="E3" t="str">
            <v>KEPALA CABANG MADYA KLAS BANJARMASIN</v>
          </cell>
          <cell r="F3" t="str">
            <v>arief.sulistiyono@bki.co.id</v>
          </cell>
        </row>
        <row r="4">
          <cell r="C4" t="str">
            <v>BAMBANG WARDOJO</v>
          </cell>
          <cell r="D4" t="str">
            <v>CABANG MADYA KLAS BANJARMASIN</v>
          </cell>
          <cell r="E4" t="str">
            <v>ADMINISTRATOR SENIOR</v>
          </cell>
          <cell r="F4" t="str">
            <v>bambang.wardojo@bki.co.id</v>
          </cell>
        </row>
        <row r="5">
          <cell r="C5" t="str">
            <v>EKA NANDA PRATAMA SUNARJO</v>
          </cell>
          <cell r="D5" t="str">
            <v>CABANG MADYA KLAS BANJARMASIN</v>
          </cell>
          <cell r="E5" t="str">
            <v>SURVEYOR SENIOR I</v>
          </cell>
          <cell r="F5" t="str">
            <v>eka.pratama@bki.co.id</v>
          </cell>
        </row>
        <row r="6">
          <cell r="C6" t="str">
            <v>NINA SRI INDAH YANI</v>
          </cell>
          <cell r="D6" t="str">
            <v>CABANG MADYA KLAS BANJARMASIN</v>
          </cell>
          <cell r="E6" t="str">
            <v>ADMINISTRATOR SENIOR</v>
          </cell>
          <cell r="F6" t="str">
            <v>nina@bki.co.id</v>
          </cell>
        </row>
        <row r="7">
          <cell r="C7" t="str">
            <v>PURWOKO WIDHYANTO WIRAWAN</v>
          </cell>
          <cell r="D7" t="str">
            <v>CABANG MADYA KLAS PEKANBARU</v>
          </cell>
          <cell r="E7" t="str">
            <v>SURVEYOR</v>
          </cell>
          <cell r="F7" t="str">
            <v>purwoko.ww@bki.co.id</v>
          </cell>
        </row>
        <row r="8">
          <cell r="C8" t="str">
            <v>FERIZA YUSFI</v>
          </cell>
          <cell r="D8" t="str">
            <v>CABANG MADYA KLAS PEKANBARU</v>
          </cell>
          <cell r="E8" t="str">
            <v>ADMINISTRATOR</v>
          </cell>
          <cell r="F8" t="str">
            <v>feriza.yusfi@bki.co.id</v>
          </cell>
        </row>
        <row r="9">
          <cell r="C9" t="str">
            <v>LISA</v>
          </cell>
          <cell r="D9" t="str">
            <v>CABANG MADYA KLAS PEKANBARU</v>
          </cell>
          <cell r="E9" t="str">
            <v>ADMINISTRATOR SENIOR</v>
          </cell>
          <cell r="F9" t="str">
            <v>lisa@bki.co.id</v>
          </cell>
        </row>
        <row r="10">
          <cell r="C10" t="str">
            <v>DONY TRI SUSILO</v>
          </cell>
          <cell r="D10" t="str">
            <v>CABANG MADYA KLAS PEKANBARU</v>
          </cell>
          <cell r="E10" t="str">
            <v>KEPALA CABANG MADYA KLAS PEKANBARU</v>
          </cell>
          <cell r="F10" t="str">
            <v>dony@bki.co.id</v>
          </cell>
        </row>
        <row r="11">
          <cell r="C11" t="str">
            <v>FITRIANI</v>
          </cell>
          <cell r="D11" t="str">
            <v>CABANG MADYA KLAS PONTIANAK</v>
          </cell>
          <cell r="E11" t="str">
            <v>ADMINISTRATOR SENIOR</v>
          </cell>
          <cell r="F11" t="str">
            <v>fitriani@bki.co.id</v>
          </cell>
        </row>
        <row r="12">
          <cell r="C12" t="str">
            <v>SEPTIAN AJI DEWANGKARA</v>
          </cell>
          <cell r="D12" t="str">
            <v>CABANG MADYA KLAS PONTIANAK</v>
          </cell>
          <cell r="E12" t="str">
            <v>SURVEYOR</v>
          </cell>
          <cell r="F12" t="str">
            <v>septian.dewangkara@bki.co.id</v>
          </cell>
        </row>
        <row r="13">
          <cell r="C13" t="str">
            <v>BERMAN SARAGIH</v>
          </cell>
          <cell r="D13" t="str">
            <v>CABANG MADYA KOMERSIL BATAM</v>
          </cell>
          <cell r="E13" t="str">
            <v>ASISTEN INSPEKTUR I</v>
          </cell>
          <cell r="F13" t="str">
            <v>berman.saragih@bki.co.id</v>
          </cell>
        </row>
        <row r="14">
          <cell r="C14" t="str">
            <v>RUSDY WANGSA</v>
          </cell>
          <cell r="D14" t="str">
            <v>CABANG MADYA KOMERSIL BATAM</v>
          </cell>
          <cell r="E14" t="str">
            <v>ADMINISTRATOR</v>
          </cell>
          <cell r="F14" t="str">
            <v>rusdy.wangsa@bki.co.id</v>
          </cell>
        </row>
        <row r="15">
          <cell r="C15" t="str">
            <v>ARIF BIJAKSANA SATRIA NEGARA</v>
          </cell>
          <cell r="D15" t="str">
            <v>CABANG MADYA KOMERSIL BATAM</v>
          </cell>
          <cell r="E15" t="str">
            <v>KEPALA CABANG MADYA KOMERSIL BATAM</v>
          </cell>
          <cell r="F15" t="str">
            <v>satria@bki.co.id</v>
          </cell>
        </row>
        <row r="16">
          <cell r="C16" t="str">
            <v>ANDI ARDI ABDULLAH</v>
          </cell>
          <cell r="D16" t="str">
            <v>CABANG MADYA KOMERSIL MAKASSAR</v>
          </cell>
          <cell r="E16" t="str">
            <v>INSPEKTUR</v>
          </cell>
          <cell r="F16" t="str">
            <v>a.ardi@bki.co.id</v>
          </cell>
        </row>
        <row r="17">
          <cell r="C17" t="str">
            <v>M. HATTA BACO B</v>
          </cell>
          <cell r="D17" t="str">
            <v>CABANG MADYA KOMERSIL PEKANBARU</v>
          </cell>
          <cell r="E17" t="str">
            <v>ASISTEN INSPEKTUR II</v>
          </cell>
          <cell r="F17" t="str">
            <v>m.hatta@bki.co.id</v>
          </cell>
        </row>
        <row r="18">
          <cell r="C18" t="str">
            <v>RAHMAT S</v>
          </cell>
          <cell r="D18" t="str">
            <v>CABANG MADYA KOMERSIL PEKANBARU</v>
          </cell>
          <cell r="E18" t="str">
            <v>ASISTEN INSPEKTUR II</v>
          </cell>
          <cell r="F18" t="str">
            <v>rahmat.s@bki.co.id</v>
          </cell>
        </row>
        <row r="19">
          <cell r="C19" t="str">
            <v>EKONDRO</v>
          </cell>
          <cell r="D19" t="str">
            <v>CABANG MADYA KOMERSIL PEKANBARU</v>
          </cell>
          <cell r="E19" t="str">
            <v>OPERATOR PENGUJIAN</v>
          </cell>
          <cell r="F19" t="str">
            <v>ekondro@bki.co.id</v>
          </cell>
        </row>
        <row r="20">
          <cell r="C20" t="str">
            <v>ROZI DELFEMI IRAWATI</v>
          </cell>
          <cell r="D20" t="str">
            <v>CABANG MADYA KOMERSIL PEKANBARU</v>
          </cell>
          <cell r="E20" t="str">
            <v>ADMINISTRATOR SENIOR</v>
          </cell>
          <cell r="F20" t="str">
            <v>rozi.di@bki.co.id</v>
          </cell>
        </row>
        <row r="21">
          <cell r="C21" t="str">
            <v>ZULFAENI</v>
          </cell>
          <cell r="D21" t="str">
            <v>CABANG MADYA KOMERSIL PEKANBARU</v>
          </cell>
          <cell r="E21" t="str">
            <v>ADMINISTRATOR</v>
          </cell>
          <cell r="F21" t="str">
            <v>zulfaeni@bki.co.id</v>
          </cell>
        </row>
        <row r="22">
          <cell r="C22" t="str">
            <v>ABDILAH</v>
          </cell>
          <cell r="D22" t="str">
            <v>CABANG MADYA KOMERSIL PEKANBARU</v>
          </cell>
          <cell r="E22" t="str">
            <v>ASISTEN INSPEKTUR I</v>
          </cell>
          <cell r="F22" t="str">
            <v>abdilah@bki.co.id</v>
          </cell>
        </row>
        <row r="23">
          <cell r="C23" t="str">
            <v>ADI ISMANTO</v>
          </cell>
          <cell r="D23" t="str">
            <v>CABANG MADYA KOMERSIL PEKANBARU</v>
          </cell>
          <cell r="E23" t="str">
            <v>ASISTEN INSPEKTUR I</v>
          </cell>
          <cell r="F23" t="str">
            <v>adi.ismanto@bki.co.id</v>
          </cell>
        </row>
        <row r="24">
          <cell r="C24" t="str">
            <v>BARI</v>
          </cell>
          <cell r="D24" t="str">
            <v>CABANG MADYA KOMERSIL PEKANBARU</v>
          </cell>
          <cell r="E24" t="str">
            <v>ASISTEN INSPEKTUR I</v>
          </cell>
          <cell r="F24" t="str">
            <v>bari@bki.co.id</v>
          </cell>
        </row>
        <row r="25">
          <cell r="C25" t="str">
            <v>KAMARUDDIN</v>
          </cell>
          <cell r="D25" t="str">
            <v>CABANG MADYA KOMERSIL PEKANBARU</v>
          </cell>
          <cell r="E25" t="str">
            <v>ASISTEN INSPEKTUR I</v>
          </cell>
          <cell r="F25" t="str">
            <v>kamaruddin@bki.co.id</v>
          </cell>
        </row>
        <row r="26">
          <cell r="C26" t="str">
            <v>SAID TAUFIQ</v>
          </cell>
          <cell r="D26" t="str">
            <v>CABANG MADYA KOMERSIL PEKANBARU</v>
          </cell>
          <cell r="E26" t="str">
            <v>INSPEKTUR</v>
          </cell>
          <cell r="F26" t="str">
            <v>said.taufik@bki.co.id</v>
          </cell>
        </row>
        <row r="27">
          <cell r="C27" t="str">
            <v>MUH ALI HASAN</v>
          </cell>
          <cell r="D27" t="str">
            <v>CABANG MADYA KOMERSIL PEKANBARU</v>
          </cell>
          <cell r="E27" t="str">
            <v>ASISTEN INSPEKTUR I</v>
          </cell>
          <cell r="F27" t="str">
            <v>ali.hasan@bki.co.id</v>
          </cell>
        </row>
        <row r="28">
          <cell r="C28" t="str">
            <v>A'AN AGUS FIRMANSYAH</v>
          </cell>
          <cell r="D28" t="str">
            <v>CABANG MADYA KOMERSIL SURABAYA</v>
          </cell>
          <cell r="E28" t="str">
            <v>INSPEKTUR</v>
          </cell>
          <cell r="F28" t="str">
            <v>aan@bki.co.id</v>
          </cell>
        </row>
        <row r="29">
          <cell r="C29" t="str">
            <v>MUH. NASIR</v>
          </cell>
          <cell r="D29" t="str">
            <v>CABANG MADYA KOMERSIL SURABAYA</v>
          </cell>
          <cell r="E29" t="str">
            <v>INSPEKTUR</v>
          </cell>
          <cell r="F29" t="str">
            <v>nasir@bki.co.id</v>
          </cell>
        </row>
        <row r="30">
          <cell r="C30" t="str">
            <v>YOHANES ARDIANTO NUGROHO</v>
          </cell>
          <cell r="D30" t="str">
            <v>CABANG PRATAMA KLAS AMBON</v>
          </cell>
          <cell r="E30" t="str">
            <v>SURVEYOR</v>
          </cell>
          <cell r="F30" t="str">
            <v>yohanes.an@bki.co.id</v>
          </cell>
        </row>
        <row r="31">
          <cell r="C31" t="str">
            <v>MUSTAKIM</v>
          </cell>
          <cell r="D31" t="str">
            <v>CABANG PRATAMA KLAS AMBON</v>
          </cell>
          <cell r="E31" t="str">
            <v>SURVEYOR SENIOR I A</v>
          </cell>
          <cell r="F31" t="str">
            <v>mustakim@bki.co.id</v>
          </cell>
        </row>
        <row r="32">
          <cell r="C32" t="str">
            <v>FEBRIANSYAH</v>
          </cell>
          <cell r="D32" t="str">
            <v>CABANG PRATAMA KLAS AMBON</v>
          </cell>
          <cell r="E32" t="str">
            <v>INSPEKTUR</v>
          </cell>
          <cell r="F32" t="str">
            <v>febriansyah@bki.co.id</v>
          </cell>
        </row>
        <row r="33">
          <cell r="C33" t="str">
            <v>MUHAMMAD FAJRIN M. SAID</v>
          </cell>
          <cell r="D33" t="str">
            <v>CABANG PRATAMA KLAS AMBON</v>
          </cell>
          <cell r="E33" t="str">
            <v>KEPALA CABANG PRATAMA KLAS AMBON</v>
          </cell>
          <cell r="F33" t="str">
            <v>fajrinsaid@bki.co.id</v>
          </cell>
        </row>
        <row r="34">
          <cell r="C34" t="str">
            <v>ANDI P. SIAGIAN</v>
          </cell>
          <cell r="D34" t="str">
            <v>CABANG PRATAMA KLAS BELAWAN</v>
          </cell>
          <cell r="E34" t="str">
            <v>SURVEYOR SENIOR II A KENDALI OPERASI YANG DITEMPATKAN DI CABANG PRATAMA KLAS BELAWAN</v>
          </cell>
          <cell r="F34" t="str">
            <v>andi@bki.co.id</v>
          </cell>
        </row>
        <row r="35">
          <cell r="C35" t="str">
            <v>AGRIS SETYAWAN</v>
          </cell>
          <cell r="D35" t="str">
            <v>CABANG PRATAMA KLAS BITUNG</v>
          </cell>
          <cell r="E35" t="str">
            <v>SURVEYOR SENIOR I A</v>
          </cell>
          <cell r="F35" t="str">
            <v>agris@bki.co.id</v>
          </cell>
        </row>
        <row r="36">
          <cell r="C36" t="str">
            <v>ZUL FAJRIN AZDIN</v>
          </cell>
          <cell r="D36" t="str">
            <v>CABANG PRATAMA KLAS BITUNG</v>
          </cell>
          <cell r="E36" t="str">
            <v>ADMINISTRATOR</v>
          </cell>
          <cell r="F36" t="str">
            <v>zul@bki.co.id</v>
          </cell>
        </row>
        <row r="37">
          <cell r="C37" t="str">
            <v>ARYO SINGGIH</v>
          </cell>
          <cell r="D37" t="str">
            <v>CABANG PRATAMA KLAS BITUNG</v>
          </cell>
          <cell r="E37" t="str">
            <v>SURVEYOR SENIOR I</v>
          </cell>
          <cell r="F37" t="str">
            <v>aryo@bki.co.id</v>
          </cell>
        </row>
        <row r="38">
          <cell r="C38" t="str">
            <v>CHOIRUN CAHYOABDI</v>
          </cell>
          <cell r="D38" t="str">
            <v>CABANG PRATAMA KLAS CIREBON</v>
          </cell>
          <cell r="E38" t="str">
            <v>SURVEYOR</v>
          </cell>
          <cell r="F38" t="str">
            <v>choironcahyo@bki.co.id</v>
          </cell>
        </row>
        <row r="39">
          <cell r="C39" t="str">
            <v>YULIAN ARPIANTO</v>
          </cell>
          <cell r="D39" t="str">
            <v>CABANG PRATAMA KLAS JAMBI</v>
          </cell>
          <cell r="E39" t="str">
            <v>KEPALA CABANG PRATAMA KLAS JAMBI</v>
          </cell>
          <cell r="F39" t="str">
            <v>yulian@bki.co.id</v>
          </cell>
        </row>
        <row r="40">
          <cell r="C40" t="str">
            <v>SULASMAN</v>
          </cell>
          <cell r="D40" t="str">
            <v>CABANG PRATAMA KLAS MAKASSAR</v>
          </cell>
          <cell r="E40" t="str">
            <v>KEPALA CABANG PRATAMA KLAS MAKASSAR</v>
          </cell>
          <cell r="F40" t="str">
            <v>sulasman@bki.co.id</v>
          </cell>
        </row>
        <row r="41">
          <cell r="C41" t="str">
            <v>MUH. ASQAR</v>
          </cell>
          <cell r="D41" t="str">
            <v>CABANG PRATAMA KLAS MAKASSAR</v>
          </cell>
          <cell r="E41" t="str">
            <v>SURVEYOR SENIOR I A</v>
          </cell>
          <cell r="F41" t="str">
            <v>asqar@bki.co.id</v>
          </cell>
        </row>
        <row r="42">
          <cell r="C42" t="str">
            <v>MAHMUR MOCHTAR</v>
          </cell>
          <cell r="D42" t="str">
            <v>CABANG PRATAMA KLAS MAKASSAR</v>
          </cell>
          <cell r="E42" t="str">
            <v>SURVEYOR SENIOR  I C MEMPERTAHANKAN KLAS DIVISI SURVEY YG DITEMPATKAN DI CABANG PRATAMA KLAS MAKASSAR</v>
          </cell>
          <cell r="F42" t="str">
            <v>mahmur@bki.co.id</v>
          </cell>
        </row>
        <row r="43">
          <cell r="C43" t="str">
            <v>ILHAM SYAHRIR</v>
          </cell>
          <cell r="D43" t="str">
            <v>CABANG PRATAMA KLAS MAKASSAR</v>
          </cell>
          <cell r="E43" t="str">
            <v>SURVEYOR SENIOR I A CABANG PRATAMA KLAS MAKASSAR YANG DITEMPATKAN DI KENDARI</v>
          </cell>
          <cell r="F43" t="str">
            <v>ilham@bki.co.id</v>
          </cell>
        </row>
        <row r="44">
          <cell r="C44" t="str">
            <v>FAJAR NUGRAHA</v>
          </cell>
          <cell r="D44" t="str">
            <v>CABANG PRATAMA KLAS SEMARANG</v>
          </cell>
          <cell r="E44" t="str">
            <v>SURVEYOR</v>
          </cell>
          <cell r="F44" t="str">
            <v>fajar.np@bki.co.id</v>
          </cell>
        </row>
        <row r="45">
          <cell r="C45" t="str">
            <v>NOAH CAHYASASMITA</v>
          </cell>
          <cell r="D45" t="str">
            <v>CABANG PRATAMA KLAS SORONG</v>
          </cell>
          <cell r="E45" t="str">
            <v>SURVEYOR SENIOR I A</v>
          </cell>
          <cell r="F45" t="str">
            <v>noah@bki.co.id</v>
          </cell>
        </row>
        <row r="46">
          <cell r="C46" t="str">
            <v>BAMBANG TRI NUGROHO</v>
          </cell>
          <cell r="D46" t="str">
            <v>CABANG PRATAMA KOMERSIL BANJARMASIN</v>
          </cell>
          <cell r="E46" t="str">
            <v>ASISTEN INSPEKTUR I</v>
          </cell>
          <cell r="F46" t="str">
            <v>bambang.tn@bki.co.id</v>
          </cell>
        </row>
        <row r="47">
          <cell r="C47" t="str">
            <v>RYAN HANGGA SRI WIJIHARTO</v>
          </cell>
          <cell r="D47" t="str">
            <v>CABANG PRATAMA KOMERSIL BANJARMASIN</v>
          </cell>
          <cell r="E47" t="str">
            <v>KEPALA CABANG PRATAMA KOMERSIL BANJARMASIN</v>
          </cell>
          <cell r="F47" t="str">
            <v>ryan.hangga@bki.co.id</v>
          </cell>
        </row>
        <row r="48">
          <cell r="C48" t="str">
            <v>MOH. NOOR KHOLIS</v>
          </cell>
          <cell r="D48" t="str">
            <v>CABANG PRATAMA KOMERSIL BANTEN</v>
          </cell>
          <cell r="E48" t="str">
            <v>ASISTEN INSPEKTUR II</v>
          </cell>
          <cell r="F48" t="str">
            <v>noor.kholis@bki.co.id</v>
          </cell>
        </row>
        <row r="49">
          <cell r="C49" t="str">
            <v>MUHAMMAD ARAFAH</v>
          </cell>
          <cell r="D49" t="str">
            <v>CABANG PRATAMA KOMERSIL BANTEN</v>
          </cell>
          <cell r="E49" t="str">
            <v>KEPALA CABANG PRATAMA KOMERSIL BANTEN</v>
          </cell>
          <cell r="F49" t="str">
            <v>arafah@bki.co.id</v>
          </cell>
        </row>
        <row r="50">
          <cell r="C50" t="str">
            <v>OKI DWI ANGGORO</v>
          </cell>
          <cell r="D50" t="str">
            <v>CABANG PRATAMA KOMERSIL BELAWAN</v>
          </cell>
          <cell r="E50" t="str">
            <v>ASISTEN INSPEKTUR I</v>
          </cell>
          <cell r="F50" t="str">
            <v>oki@bki.co.id</v>
          </cell>
        </row>
        <row r="51">
          <cell r="C51" t="str">
            <v>HERI WIRAWAN</v>
          </cell>
          <cell r="D51" t="str">
            <v>CABANG PRATAMA KOMERSIL BELAWAN</v>
          </cell>
          <cell r="E51" t="str">
            <v>INSPEKTUR</v>
          </cell>
          <cell r="F51" t="str">
            <v>heri.wirawan@bki.co.id</v>
          </cell>
        </row>
        <row r="52">
          <cell r="C52" t="str">
            <v>SUDARMA EDY SARAGIH JAWAK</v>
          </cell>
          <cell r="D52" t="str">
            <v>CABANG PRATAMA KOMERSIL BELAWAN</v>
          </cell>
          <cell r="E52" t="str">
            <v>ADMINISTRATOR</v>
          </cell>
          <cell r="F52" t="str">
            <v>sudarma@bki.co.id</v>
          </cell>
        </row>
        <row r="53">
          <cell r="C53" t="str">
            <v>WIDODO</v>
          </cell>
          <cell r="D53" t="str">
            <v>CABANG PRATAMA KOMERSIL PALEMBANG</v>
          </cell>
          <cell r="E53" t="str">
            <v>ADMINISTRATOR SENIOR</v>
          </cell>
          <cell r="F53" t="str">
            <v>widodo@bki.co.id</v>
          </cell>
        </row>
        <row r="54">
          <cell r="C54" t="str">
            <v>AKHMAD MULIADDIN</v>
          </cell>
          <cell r="D54" t="str">
            <v>CABANG PRATAMA KOMERSIL PALEMBANG</v>
          </cell>
          <cell r="E54" t="str">
            <v>ASISTEN INSPEKTUR II</v>
          </cell>
          <cell r="F54" t="str">
            <v>muliaddin@bki.co.id</v>
          </cell>
        </row>
        <row r="55">
          <cell r="C55" t="str">
            <v>ZAINAL</v>
          </cell>
          <cell r="D55" t="str">
            <v>CABANG PRATAMA KOMERSIL PALEMBANG</v>
          </cell>
          <cell r="E55" t="str">
            <v>ASISTEN INSPEKTUR II</v>
          </cell>
          <cell r="F55" t="str">
            <v>zainalstnaval@bki.co.id</v>
          </cell>
        </row>
        <row r="56">
          <cell r="C56" t="str">
            <v>KHAERUL AKBAR</v>
          </cell>
          <cell r="D56" t="str">
            <v>CABANG PRATAMA KOMERSIL PALEMBANG</v>
          </cell>
          <cell r="E56" t="str">
            <v>ASISTEN INSPEKTUR II</v>
          </cell>
          <cell r="F56" t="str">
            <v>khaerul.akbar@bki.co.id</v>
          </cell>
        </row>
        <row r="57">
          <cell r="C57" t="str">
            <v>MOKHAMMAD YUFIAN RIDHANANDA</v>
          </cell>
          <cell r="D57" t="str">
            <v>CABANG PRATAMA KOMERSIL PONTIANAK</v>
          </cell>
          <cell r="E57" t="str">
            <v>KEPALA CABANG PRATAMA KOMERSIL PONTIANAK</v>
          </cell>
          <cell r="F57" t="str">
            <v>yufian.ridhananda@bki.co.id</v>
          </cell>
        </row>
        <row r="58">
          <cell r="C58" t="str">
            <v>MUHAMMAD RIZKY PURNAMA</v>
          </cell>
          <cell r="D58" t="str">
            <v>CABANG PRATAMA KOMERSIL SEMARANG</v>
          </cell>
          <cell r="E58" t="str">
            <v>KEPALA CABANG PRATAMA KOMERSIL SEMARANG</v>
          </cell>
          <cell r="F58" t="str">
            <v>rizky@bki.co.id</v>
          </cell>
        </row>
        <row r="59">
          <cell r="C59" t="str">
            <v>IBNUL QAYYIM</v>
          </cell>
          <cell r="D59" t="str">
            <v>CABANG UTAMA KLAS BANTEN</v>
          </cell>
          <cell r="E59" t="str">
            <v>ASISTEN SURVEYOR</v>
          </cell>
          <cell r="F59" t="str">
            <v>ibnul.qayyim@bki.co.id</v>
          </cell>
        </row>
        <row r="60">
          <cell r="C60" t="str">
            <v>INDRA KUSUMA MUHAMMAD</v>
          </cell>
          <cell r="D60" t="str">
            <v>CABANG UTAMA KLAS BANTEN</v>
          </cell>
          <cell r="E60" t="str">
            <v>ADMINISTRATOR SENIOR</v>
          </cell>
          <cell r="F60" t="str">
            <v>indra.km@bki.co.id</v>
          </cell>
        </row>
        <row r="61">
          <cell r="C61" t="str">
            <v>MUCHAMMAD CHOIRON</v>
          </cell>
          <cell r="D61" t="str">
            <v>CABANG UTAMA KLAS BANTEN</v>
          </cell>
          <cell r="E61" t="str">
            <v>ADMINISTRATOR SENIOR</v>
          </cell>
          <cell r="F61" t="str">
            <v>choiron@bki.co.id</v>
          </cell>
        </row>
        <row r="62">
          <cell r="C62" t="str">
            <v>EDWIN OLAF JULIAN DAMANIK</v>
          </cell>
          <cell r="D62" t="str">
            <v>CABANG UTAMA KLAS BANTEN</v>
          </cell>
          <cell r="E62" t="str">
            <v>SURVEYOR SENIOR I A</v>
          </cell>
          <cell r="F62" t="str">
            <v>edwin@bki.co.id</v>
          </cell>
        </row>
        <row r="63">
          <cell r="C63" t="str">
            <v>ARIFUDDIN</v>
          </cell>
          <cell r="D63" t="str">
            <v>CABANG UTAMA KLAS BANTEN</v>
          </cell>
          <cell r="E63" t="str">
            <v>SURVEYOR SENIOR I A MEMPERTAHANKAN KLAS DIVISI SURVEY YANG DITEMPATKAN DI CABANG UTAMA KLAS BANTEN</v>
          </cell>
          <cell r="F63" t="str">
            <v>arifuddin@bki.co.id</v>
          </cell>
        </row>
        <row r="64">
          <cell r="C64" t="str">
            <v>BAMBANG IRWAN</v>
          </cell>
          <cell r="D64" t="str">
            <v>CABANG UTAMA KLAS BANTEN</v>
          </cell>
          <cell r="E64" t="str">
            <v>MANAGER ADMINISTRASI UMUM &amp; KEUANGAN KLAS BANTEN</v>
          </cell>
          <cell r="F64" t="str">
            <v>bambang.irwan@bki.co.id</v>
          </cell>
        </row>
        <row r="65">
          <cell r="C65" t="str">
            <v>JIADAN</v>
          </cell>
          <cell r="D65" t="str">
            <v>CABANG UTAMA KLAS BATAM</v>
          </cell>
          <cell r="E65" t="str">
            <v>SURVEYOR</v>
          </cell>
          <cell r="F65" t="str">
            <v>jiadan@bki.co.id</v>
          </cell>
        </row>
        <row r="66">
          <cell r="C66" t="str">
            <v>YULID ANJI FIRMANSYAH</v>
          </cell>
          <cell r="D66" t="str">
            <v>CABANG UTAMA KLAS BATAM</v>
          </cell>
          <cell r="E66" t="str">
            <v>SURVEYOR</v>
          </cell>
          <cell r="F66" t="str">
            <v>yulid@bki.co.id</v>
          </cell>
        </row>
        <row r="67">
          <cell r="C67" t="str">
            <v>MUHAMMAD ASRUL LA SARIPI</v>
          </cell>
          <cell r="D67" t="str">
            <v>CABANG UTAMA KLAS BATAM</v>
          </cell>
          <cell r="E67" t="str">
            <v>SURVEYOR</v>
          </cell>
          <cell r="F67" t="str">
            <v>m.asrul@bki.co.id</v>
          </cell>
        </row>
        <row r="68">
          <cell r="C68" t="str">
            <v>BUDI ISROFI</v>
          </cell>
          <cell r="D68" t="str">
            <v>CABANG UTAMA KLAS BATAM</v>
          </cell>
          <cell r="E68" t="str">
            <v>KEPALA CABANG UTAMA KLAS BATAM</v>
          </cell>
          <cell r="F68" t="str">
            <v>bisrofi@bki.co.id</v>
          </cell>
        </row>
        <row r="69">
          <cell r="C69" t="str">
            <v>ARIFIN GUSTIAN PRAMOKO</v>
          </cell>
          <cell r="D69" t="str">
            <v>CABANG UTAMA KLAS BATAM</v>
          </cell>
          <cell r="E69" t="str">
            <v>SURVEYOR SENIOR I B MEMPERTAHANKAN KLAS DIVISI SURVEY YANG DITEMPATKAN DI CABANG UTAMA KLAS BATAM</v>
          </cell>
          <cell r="F69" t="str">
            <v>arifin.gustian@bki.co.id</v>
          </cell>
        </row>
        <row r="70">
          <cell r="C70" t="str">
            <v>BENNI HERMAWAN</v>
          </cell>
          <cell r="D70" t="str">
            <v>CABANG UTAMA KLAS SAMARINDA</v>
          </cell>
          <cell r="E70" t="str">
            <v>KEPALA CABANG UTAMA KLAS SAMARINDA</v>
          </cell>
          <cell r="F70" t="str">
            <v>benni.hermawan@bki.co.id</v>
          </cell>
        </row>
        <row r="71">
          <cell r="C71" t="str">
            <v>RANGSANG KUSUMADILAGA</v>
          </cell>
          <cell r="D71" t="str">
            <v>CABANG UTAMA KLAS SAMARINDA</v>
          </cell>
          <cell r="E71" t="str">
            <v>SURVEYOR</v>
          </cell>
          <cell r="F71" t="str">
            <v>rangsang.kusumadilaga@bki.co.id</v>
          </cell>
        </row>
        <row r="72">
          <cell r="C72" t="str">
            <v>LA ODE ABDUL RAHMAN FIRU</v>
          </cell>
          <cell r="D72" t="str">
            <v>CABANG UTAMA KLAS SAMARINDA</v>
          </cell>
          <cell r="E72" t="str">
            <v>SURVEYOR SENIOR I A</v>
          </cell>
          <cell r="F72" t="str">
            <v>laode.arf@bki.co.id</v>
          </cell>
        </row>
        <row r="73">
          <cell r="C73" t="str">
            <v>ABDUL KHOLICK</v>
          </cell>
          <cell r="D73" t="str">
            <v>CABANG UTAMA KLAS SAMARINDA</v>
          </cell>
          <cell r="E73" t="str">
            <v>SURVEYOR SENIOR I A</v>
          </cell>
          <cell r="F73" t="str">
            <v>abdul.kholick@bki.co.id</v>
          </cell>
        </row>
        <row r="74">
          <cell r="C74" t="str">
            <v>AWALUDDIN PAINGNGI</v>
          </cell>
          <cell r="D74" t="str">
            <v>CABANG UTAMA KLAS SAMARINDA</v>
          </cell>
          <cell r="E74" t="str">
            <v>SURVEYOR SENIOR I B KENDALI OPERASI YANG DITEMPATKAN DI CABANG UTAMA KLAS SAMARINDA</v>
          </cell>
          <cell r="F74" t="str">
            <v>awaluddin@bki.co.id</v>
          </cell>
        </row>
        <row r="75">
          <cell r="C75" t="str">
            <v>MUSHAWWIR RAZAK</v>
          </cell>
          <cell r="D75" t="str">
            <v>CABANG UTAMA KLAS SAMARINDA</v>
          </cell>
          <cell r="E75" t="str">
            <v>SURVEYOR SENIOR I C KENDALI OPERASI YANG DITEMPATKAN DI CABANG UTAMA KLAS SAMARINDA</v>
          </cell>
          <cell r="F75" t="str">
            <v>mushawwir@bki.co.id</v>
          </cell>
        </row>
        <row r="76">
          <cell r="C76" t="str">
            <v>AGUS ERICSON SIANIPAR</v>
          </cell>
          <cell r="D76" t="str">
            <v>CABANG UTAMA KLAS SAMARINDA</v>
          </cell>
          <cell r="E76" t="str">
            <v>SURVEYOR SENIOR I A</v>
          </cell>
          <cell r="F76" t="str">
            <v>agus.sianipar@bki.co.id</v>
          </cell>
        </row>
        <row r="77">
          <cell r="C77" t="str">
            <v>SUWANDY</v>
          </cell>
          <cell r="D77" t="str">
            <v>CABANG SINGAPURA</v>
          </cell>
          <cell r="E77" t="str">
            <v>SURVEYOR SENIOR I B</v>
          </cell>
          <cell r="F77" t="str">
            <v>suwandy@bki.co.id</v>
          </cell>
        </row>
        <row r="78">
          <cell r="C78" t="str">
            <v>MISBAHUDIN AIDY, S.T.</v>
          </cell>
          <cell r="D78" t="str">
            <v>CABANG SINGAPURA</v>
          </cell>
          <cell r="E78" t="str">
            <v>KEPALA CABANG UTAMA KLAS SINGAPORE</v>
          </cell>
          <cell r="F78" t="str">
            <v>aidy@bki.co.id</v>
          </cell>
        </row>
        <row r="79">
          <cell r="C79" t="str">
            <v>MOHAMED FAZLI BIN MAHABUT</v>
          </cell>
          <cell r="D79" t="str">
            <v>CABANG SINGAPURA</v>
          </cell>
          <cell r="E79" t="str">
            <v>STAF DUKUNGAN BISNIS</v>
          </cell>
          <cell r="F79" t="str">
            <v>fazli@bki.co.id</v>
          </cell>
        </row>
        <row r="80">
          <cell r="C80" t="str">
            <v>RITA TIO</v>
          </cell>
          <cell r="D80" t="str">
            <v>CABANG SINGAPURA</v>
          </cell>
          <cell r="E80" t="str">
            <v>STAF DUKUNGAN BISNIS</v>
          </cell>
          <cell r="F80" t="str">
            <v>rita.tio@bki.co.id</v>
          </cell>
        </row>
        <row r="81">
          <cell r="C81" t="str">
            <v>SUWATI BUN</v>
          </cell>
          <cell r="D81" t="str">
            <v>CABANG SINGAPURA</v>
          </cell>
          <cell r="E81" t="str">
            <v>STAF DUKUNGAN BISNIS</v>
          </cell>
          <cell r="F81" t="str">
            <v>suwati.bun@bki.co.id</v>
          </cell>
        </row>
        <row r="82">
          <cell r="C82" t="str">
            <v>SYED MOHAMED ISMAIL</v>
          </cell>
          <cell r="D82" t="str">
            <v>CABANG SINGAPURA</v>
          </cell>
          <cell r="E82" t="str">
            <v>STAF DUKUNGAN BISNIS</v>
          </cell>
          <cell r="F82" t="str">
            <v>ismail.alattas@bki.co.id</v>
          </cell>
        </row>
        <row r="83">
          <cell r="C83" t="str">
            <v>BAKTI NUGROHO DWI KUSHADIANTO</v>
          </cell>
          <cell r="D83" t="str">
            <v>CABANG UTAMA KLAS SURABAYA</v>
          </cell>
          <cell r="E83" t="str">
            <v>SENIOR MANAGER PEMASARAN &amp; DUKUNGAN BISNIS KLAS SURABAYA</v>
          </cell>
          <cell r="F83" t="str">
            <v>bakti.nugroho@bki.co.id</v>
          </cell>
        </row>
        <row r="84">
          <cell r="C84" t="str">
            <v>BAMBANG RIYANTO</v>
          </cell>
          <cell r="D84" t="str">
            <v>CABANG UTAMA KLAS SURABAYA</v>
          </cell>
          <cell r="E84" t="str">
            <v>KEPALA CABANG UTAMA KLAS SURABAYA</v>
          </cell>
          <cell r="F84" t="str">
            <v>bambang.riyanto@bki.co.id</v>
          </cell>
        </row>
        <row r="85">
          <cell r="C85" t="str">
            <v>TEGUH BUDI SANTOSO</v>
          </cell>
          <cell r="D85" t="str">
            <v>CABANG UTAMA KLAS SURABAYA</v>
          </cell>
          <cell r="E85" t="str">
            <v>SURVEYOR SENIOR II B KENDALI OPERASI YANG DITEMPATKAN DI CABANG UTAMA KLAS SURABAYA</v>
          </cell>
          <cell r="F85" t="str">
            <v>teguh@bki.co.id</v>
          </cell>
        </row>
        <row r="86">
          <cell r="C86" t="str">
            <v>ABUKASIM USMAN</v>
          </cell>
          <cell r="D86" t="str">
            <v>CABANG UTAMA KLAS SURABAYA</v>
          </cell>
          <cell r="E86" t="str">
            <v>SUPIR</v>
          </cell>
        </row>
        <row r="87">
          <cell r="C87" t="str">
            <v>NURUL HUDA</v>
          </cell>
          <cell r="D87" t="str">
            <v>CABANG UTAMA KLAS SURABAYA</v>
          </cell>
          <cell r="E87" t="str">
            <v>ADMINISTRATOR</v>
          </cell>
          <cell r="F87" t="str">
            <v>nurul.huda@bki.co.id</v>
          </cell>
        </row>
        <row r="88">
          <cell r="C88" t="str">
            <v>RIDWAN AHMAD FAUZI</v>
          </cell>
          <cell r="D88" t="str">
            <v>CABANG UTAMA KLAS SURABAYA</v>
          </cell>
          <cell r="E88" t="str">
            <v>SURVEYOR SENIOR I A</v>
          </cell>
          <cell r="F88" t="str">
            <v>ridwan.af@bki.co.id</v>
          </cell>
        </row>
        <row r="89">
          <cell r="C89" t="str">
            <v>MAHESA SAGA</v>
          </cell>
          <cell r="D89" t="str">
            <v>CABANG UTAMA KLAS SURABAYA</v>
          </cell>
          <cell r="E89" t="str">
            <v>SURVEYOR PENERIMAAN KLAS YANG DITEMPATKAN DI CABANG UTAMA KLAS SURABAYA</v>
          </cell>
          <cell r="F89" t="str">
            <v>mahesa@bki.co.id</v>
          </cell>
        </row>
        <row r="90">
          <cell r="C90" t="str">
            <v>BAYU RISTA</v>
          </cell>
          <cell r="D90" t="str">
            <v>CABANG UTAMA KLAS SURABAYA</v>
          </cell>
          <cell r="E90" t="str">
            <v>SURVEYOR</v>
          </cell>
          <cell r="F90" t="str">
            <v>bayu.rista@bki.co.id</v>
          </cell>
        </row>
        <row r="91">
          <cell r="C91" t="str">
            <v>FARHAN ABDUL KARIM</v>
          </cell>
          <cell r="D91" t="str">
            <v>CABANG UTAMA KLAS TG.PRIOK</v>
          </cell>
          <cell r="E91" t="str">
            <v>ASISTEN SURVEYOR</v>
          </cell>
          <cell r="F91" t="str">
            <v>farhan.abdul@bki.co.id</v>
          </cell>
        </row>
        <row r="92">
          <cell r="C92" t="str">
            <v>WILDANIS MIFTAHUL ABROR</v>
          </cell>
          <cell r="D92" t="str">
            <v>CABANG UTAMA KLAS TG.PRIOK</v>
          </cell>
          <cell r="E92" t="str">
            <v>ASISTEN SURVEYOR</v>
          </cell>
          <cell r="F92" t="str">
            <v>wildanis.abror@bki.co.id</v>
          </cell>
        </row>
        <row r="93">
          <cell r="C93" t="str">
            <v>MUHAMAD BAQI</v>
          </cell>
          <cell r="D93" t="str">
            <v>CABANG UTAMA KLAS TG.PRIOK</v>
          </cell>
          <cell r="E93" t="str">
            <v>SURVEYOR</v>
          </cell>
          <cell r="F93" t="str">
            <v>muhamad.baqi@bki.co.id</v>
          </cell>
        </row>
        <row r="94">
          <cell r="C94" t="str">
            <v>FAUZI</v>
          </cell>
          <cell r="D94" t="str">
            <v>CABANG UTAMA KLAS TG.PRIOK</v>
          </cell>
          <cell r="E94" t="str">
            <v>SURVEYOR</v>
          </cell>
          <cell r="F94" t="str">
            <v>fauzi@bki.co.id</v>
          </cell>
        </row>
        <row r="95">
          <cell r="C95" t="str">
            <v>SOLEH ABIDIN</v>
          </cell>
          <cell r="D95" t="str">
            <v>CABANG UTAMA KLAS TG.PRIOK</v>
          </cell>
          <cell r="E95" t="str">
            <v>ADMINISTRATOR SENIOR</v>
          </cell>
          <cell r="F95" t="str">
            <v>soleh.abidin@bki.co.id</v>
          </cell>
        </row>
        <row r="96">
          <cell r="C96" t="str">
            <v>RM KURNAEFI</v>
          </cell>
          <cell r="D96" t="str">
            <v>CABANG UTAMA KLAS TG.PRIOK</v>
          </cell>
          <cell r="E96" t="str">
            <v>ADMINISTRATOR SENIOR</v>
          </cell>
          <cell r="F96" t="str">
            <v>kurnaefi@bki.co.id</v>
          </cell>
        </row>
        <row r="97">
          <cell r="C97" t="str">
            <v>TONI SYARIF HIDAYAH</v>
          </cell>
          <cell r="D97" t="str">
            <v>CABANG UTAMA KLAS TG.PRIOK</v>
          </cell>
          <cell r="E97" t="str">
            <v>OFFICER ADMINISTRASI UMUM</v>
          </cell>
          <cell r="F97" t="str">
            <v>toni@bki.co.id</v>
          </cell>
        </row>
        <row r="98">
          <cell r="C98" t="str">
            <v>HARDI E. P. SIAGIAN</v>
          </cell>
          <cell r="D98" t="str">
            <v>CABANG UTAMA KLAS TG.PRIOK</v>
          </cell>
          <cell r="E98" t="str">
            <v>SURVEYOR SENIOR I A</v>
          </cell>
          <cell r="F98" t="str">
            <v>hardi@bki.co.id</v>
          </cell>
        </row>
        <row r="99">
          <cell r="C99" t="str">
            <v>INDRA PERMANA</v>
          </cell>
          <cell r="D99" t="str">
            <v>CABANG UTAMA KLAS TG.PRIOK</v>
          </cell>
          <cell r="E99" t="str">
            <v>ADMINISTRATOR SENIOR</v>
          </cell>
          <cell r="F99" t="str">
            <v>indra.permana@bki.co.id</v>
          </cell>
        </row>
        <row r="100">
          <cell r="C100" t="str">
            <v>SUTRISNO</v>
          </cell>
          <cell r="D100" t="str">
            <v>CABANG UTAMA KLAS TG.PRIOK</v>
          </cell>
          <cell r="E100" t="str">
            <v>SURVEYOR KENDALI OPERASI YANG DITEMPATKAN DI CABANG UTAMA KLAS TG. PRIOK (OFFSHORE)</v>
          </cell>
          <cell r="F100" t="str">
            <v>sutrisno@bki.co.id</v>
          </cell>
        </row>
        <row r="101">
          <cell r="C101" t="str">
            <v>RONY WIRANTO SETIAWAN</v>
          </cell>
          <cell r="D101" t="str">
            <v>CABANG UTAMA KLAS TG.PRIOK</v>
          </cell>
          <cell r="E101" t="str">
            <v>MANAGER ADMINISTRASI UMUM &amp; KEUANGAN KLAS TG. PRIOK</v>
          </cell>
          <cell r="F101" t="str">
            <v>roni.ws@bki.co.id</v>
          </cell>
        </row>
        <row r="102">
          <cell r="C102" t="str">
            <v>MUHAMMAD IDI</v>
          </cell>
          <cell r="D102" t="str">
            <v>CABANG UTAMA KLAS TG.PRIOK</v>
          </cell>
          <cell r="E102" t="str">
            <v>KEPALA CABANG UTAMA KLAS TG. PRIOK</v>
          </cell>
          <cell r="F102" t="str">
            <v>idi@bki.co.id</v>
          </cell>
        </row>
        <row r="103">
          <cell r="C103" t="str">
            <v>DIDI KURNIADI</v>
          </cell>
          <cell r="D103" t="str">
            <v>CABANG UTAMA KLAS TG.PRIOK</v>
          </cell>
          <cell r="E103" t="str">
            <v>SENIOR MANAGER OPERASI KLAS TG.PRIOK</v>
          </cell>
          <cell r="F103" t="str">
            <v>didi@bki.co.id</v>
          </cell>
        </row>
        <row r="104">
          <cell r="C104" t="str">
            <v>NARSO</v>
          </cell>
          <cell r="D104" t="str">
            <v>CABANG UTAMA KLAS TG.PRIOK</v>
          </cell>
          <cell r="E104" t="str">
            <v>SURVEYOR SENIOR I A</v>
          </cell>
          <cell r="F104" t="str">
            <v>narso@bki.co.id</v>
          </cell>
        </row>
        <row r="105">
          <cell r="C105" t="str">
            <v>SYARIFUDDIN YAMIN</v>
          </cell>
          <cell r="D105" t="str">
            <v>CABANG UTAMA KLAS TG.PRIOK</v>
          </cell>
          <cell r="E105" t="str">
            <v>SURVEYOR MEMPERTAHANKAN KLAS DIVISI SURVEY YANG DITEMPATKAN DI CABUT KLAS TG PRIOK</v>
          </cell>
          <cell r="F105" t="str">
            <v>syarifuddin.yamin@bki.co.id</v>
          </cell>
        </row>
        <row r="106">
          <cell r="C106" t="str">
            <v>A. RASYID ALIMUDDIN</v>
          </cell>
          <cell r="D106" t="str">
            <v>CABANG UTAMA KOMERSIL BALIKPAPAN</v>
          </cell>
          <cell r="E106" t="str">
            <v>PJ. KEPALA CABANG UTAMA KOMERSIL BALIKPAPAN</v>
          </cell>
          <cell r="F106" t="str">
            <v>rasyid.alimuddin@bki.co.id</v>
          </cell>
        </row>
        <row r="107">
          <cell r="C107" t="str">
            <v>RATNA DAMAYANTI</v>
          </cell>
          <cell r="D107" t="str">
            <v>CABANG UTAMA KOMERSIL BALIKPAPAN</v>
          </cell>
          <cell r="E107" t="str">
            <v>ANALIS ADMINISTRASI UMUM &amp; KEUANGAN</v>
          </cell>
          <cell r="F107" t="str">
            <v>ratna.damayanti@bki.co.id</v>
          </cell>
        </row>
        <row r="108">
          <cell r="C108" t="str">
            <v>SUDARYONO</v>
          </cell>
          <cell r="D108" t="str">
            <v>CABANG UTAMA KOMERSIL BALIKPAPAN</v>
          </cell>
          <cell r="E108" t="str">
            <v>INSPEKTUR</v>
          </cell>
          <cell r="F108" t="str">
            <v>sudaryono@bki.co.id</v>
          </cell>
        </row>
        <row r="109">
          <cell r="C109" t="str">
            <v>ADNAN</v>
          </cell>
          <cell r="D109" t="str">
            <v>CABANG UTAMA KOMERSIL BALIKPAPAN</v>
          </cell>
          <cell r="E109" t="str">
            <v>MANAGER PEMASARAN &amp; PENJUALAN KOMERSIL BALIKPAPAN</v>
          </cell>
          <cell r="F109" t="str">
            <v>adnan@bki.co.id</v>
          </cell>
        </row>
        <row r="110">
          <cell r="C110" t="str">
            <v>BRAMANTI PRAMAWEDHA SATRIANTO PUTRA</v>
          </cell>
          <cell r="D110" t="str">
            <v>CABANG UTAMA KOMERSIL BALIKPAPAN</v>
          </cell>
          <cell r="E110" t="str">
            <v>PJ. SENIOR MANAGER OPERASI KOMERSIL BALIKPAPAN</v>
          </cell>
          <cell r="F110" t="str">
            <v>bramanti.psp@bki.co.id</v>
          </cell>
        </row>
        <row r="111">
          <cell r="C111" t="str">
            <v>ALDICIO WILLIAM SCHUURMAN</v>
          </cell>
          <cell r="D111" t="str">
            <v>DEPARTEMEN MANAJEMEN PORTOFOLIO</v>
          </cell>
          <cell r="E111" t="str">
            <v>SPESIALIS MANAJEMEN PORTOFOLIO</v>
          </cell>
          <cell r="F111" t="str">
            <v>aldicio.ws@bki.co.id</v>
          </cell>
        </row>
        <row r="112">
          <cell r="C112" t="str">
            <v>ALWI</v>
          </cell>
          <cell r="D112" t="str">
            <v>DIVISI OPERASI BISNIS KLASIFIKASI</v>
          </cell>
          <cell r="E112" t="str">
            <v>MANAGER MONITORING KAPAL</v>
          </cell>
          <cell r="F112" t="str">
            <v>alwi@bki.co.id</v>
          </cell>
        </row>
        <row r="113">
          <cell r="C113" t="str">
            <v>SUGENG YULIANTO</v>
          </cell>
          <cell r="D113" t="str">
            <v>GROUP BISNIS KLASIFIKASI NUSANTARA</v>
          </cell>
          <cell r="E113" t="str">
            <v>STAF UTAMA II C</v>
          </cell>
          <cell r="F113" t="str">
            <v>sugeng@bki.co.id</v>
          </cell>
        </row>
        <row r="114">
          <cell r="C114" t="str">
            <v>FAISHAL ABDURRAHMAN LABIB</v>
          </cell>
          <cell r="D114" t="str">
            <v>DIVISI OPERASI BISNIS KLASIFIKASI</v>
          </cell>
          <cell r="E114" t="str">
            <v>MANAGER DATA KLASIFIKASI</v>
          </cell>
          <cell r="F114" t="str">
            <v>faishal.labib@bki.co.id</v>
          </cell>
        </row>
        <row r="115">
          <cell r="C115" t="str">
            <v>PUJATMANTO BASTRIADI</v>
          </cell>
          <cell r="D115" t="str">
            <v>DIVISI OPERASI BISNIS KLASIFIKASI</v>
          </cell>
          <cell r="E115" t="str">
            <v>ANALIS ADMINISTRASI UMUM &amp; KEUANGAN</v>
          </cell>
          <cell r="F115" t="str">
            <v>pujatmanto@bki.co.id</v>
          </cell>
        </row>
        <row r="116">
          <cell r="C116" t="str">
            <v>BAMBANG SUTOMO</v>
          </cell>
          <cell r="D116" t="str">
            <v>DIVISI OPERASI BISNIS KLASIFIKASI</v>
          </cell>
          <cell r="E116" t="str">
            <v>SPESIALIS SENIOR MANAJEMEN PUSAT KENDALI OPERASI</v>
          </cell>
          <cell r="F116" t="str">
            <v>bambangs@bki.co.id</v>
          </cell>
        </row>
        <row r="117">
          <cell r="C117" t="str">
            <v>HERDIMAN MUSTARI</v>
          </cell>
          <cell r="D117" t="str">
            <v>DIVISI OPERASI BISNIS KLASIFIKASI</v>
          </cell>
          <cell r="E117" t="str">
            <v>SPESIALIS MANAJEMEN PUSAT KENDALI OPERASI</v>
          </cell>
          <cell r="F117" t="str">
            <v>herdiman@bki.co.id</v>
          </cell>
        </row>
        <row r="118">
          <cell r="C118" t="str">
            <v>AGUS SUNARTO</v>
          </cell>
          <cell r="D118" t="str">
            <v>DIVISI MANAJEMEN CABANG KOMERSIAL</v>
          </cell>
          <cell r="E118" t="str">
            <v>KEPALA PMU VERIFIKASI &amp; VALIDASI</v>
          </cell>
          <cell r="F118" t="str">
            <v>agus.sunarto@bki.co.id</v>
          </cell>
        </row>
        <row r="119">
          <cell r="C119" t="str">
            <v>ACHMAD TAWAKKAL RAMPA</v>
          </cell>
          <cell r="D119" t="str">
            <v>DIVISI MANAJEMEN CABANG KOMERSIAL</v>
          </cell>
          <cell r="E119" t="str">
            <v>SPESIALIS SENIOR KENDALI OPERASI</v>
          </cell>
          <cell r="F119" t="str">
            <v>tawakkal@bki.co.id</v>
          </cell>
        </row>
        <row r="120">
          <cell r="C120" t="str">
            <v>TOGAP HIDAYAT SIAGIAN</v>
          </cell>
          <cell r="D120" t="str">
            <v>DIVISI MANAJEMEN CABANG KOMERSIAL</v>
          </cell>
          <cell r="E120" t="str">
            <v>ANALIS DUKUNGAN BISNIS</v>
          </cell>
          <cell r="F120" t="str">
            <v>togap@bki.co.id</v>
          </cell>
        </row>
        <row r="121">
          <cell r="C121" t="str">
            <v>ROCHMANSYAH</v>
          </cell>
          <cell r="D121" t="str">
            <v>DIVISI MANAJEMEN CABANG KOMERSIAL</v>
          </cell>
          <cell r="E121" t="str">
            <v>ANALIS DUKUNGAN BISNIS</v>
          </cell>
          <cell r="F121" t="str">
            <v>rochmansyah@bki.co.id</v>
          </cell>
        </row>
        <row r="122">
          <cell r="C122" t="str">
            <v>RUSDIN HALUDDIN</v>
          </cell>
          <cell r="D122" t="str">
            <v xml:space="preserve">DIREKTORAT OPERASI BISNIS KOMERSIAL </v>
          </cell>
          <cell r="E122" t="str">
            <v>INSPEKTUR UTAMA SENIOR</v>
          </cell>
          <cell r="F122" t="str">
            <v>rusdin@bki.co.id</v>
          </cell>
        </row>
        <row r="123">
          <cell r="C123" t="str">
            <v>BUDIMAN JOHANSYAH</v>
          </cell>
          <cell r="D123" t="str">
            <v>DIVISI MANAJEMEN CABANG KOMERSIAL</v>
          </cell>
          <cell r="E123" t="str">
            <v>STAF UTAMA II A</v>
          </cell>
          <cell r="F123" t="str">
            <v>budiman@bki.co.id</v>
          </cell>
        </row>
        <row r="124">
          <cell r="C124" t="str">
            <v>FERRY HARFIANTO EFFENDY</v>
          </cell>
          <cell r="D124" t="str">
            <v>DIVISI MANAJEMEN CABANG KOMERSIAL</v>
          </cell>
          <cell r="E124" t="str">
            <v>SPESIALIS TEKNIK</v>
          </cell>
          <cell r="F124" t="str">
            <v>ferry.harfianto@bki.co.id</v>
          </cell>
        </row>
        <row r="125">
          <cell r="C125" t="str">
            <v>HARRYS PAHALA MANALU</v>
          </cell>
          <cell r="D125" t="str">
            <v>DIVISI MANAJEMEN CABANG KOMERSIAL</v>
          </cell>
          <cell r="E125" t="str">
            <v>ANALIS TEKNIK</v>
          </cell>
          <cell r="F125" t="str">
            <v>harrys.pm@bki.co.id</v>
          </cell>
        </row>
        <row r="126">
          <cell r="C126" t="str">
            <v>ABDUL RIFANI PRAJA NURRAHMAN</v>
          </cell>
          <cell r="D126" t="str">
            <v>DIVISI AKUNTANSI KEUANGAN DAN PAJAK</v>
          </cell>
          <cell r="E126" t="str">
            <v>VP AKUNTANSI KEUANGAN DAN PAJAK</v>
          </cell>
          <cell r="F126" t="str">
            <v>arifani@bki.co.id</v>
          </cell>
        </row>
        <row r="127">
          <cell r="C127" t="str">
            <v>DEDE MA'MUN SUMANTRI</v>
          </cell>
          <cell r="D127" t="str">
            <v>DIVISI PERENCANAAN KORPORAT DAN MANAJEMEN RISIKO</v>
          </cell>
          <cell r="E127" t="str">
            <v>ANALIS PERENCANAAN</v>
          </cell>
          <cell r="F127" t="str">
            <v>dede@bki.co.id</v>
          </cell>
        </row>
        <row r="128">
          <cell r="C128" t="str">
            <v>RISKA TRI HANDINI</v>
          </cell>
          <cell r="D128" t="str">
            <v>DIVISI KEUANGAN DAN AKUNTANSI</v>
          </cell>
          <cell r="E128" t="str">
            <v>OFFICER VERIFIKASI KEUANGAN</v>
          </cell>
          <cell r="F128" t="str">
            <v>riska.th@bki.co.id</v>
          </cell>
        </row>
        <row r="129">
          <cell r="C129" t="str">
            <v>PUTRI NUR LAKSMI</v>
          </cell>
          <cell r="D129" t="str">
            <v>DIVISI KEUANGAN DAN AKUNTANSI</v>
          </cell>
          <cell r="E129" t="str">
            <v>OFFICER VERIFIKASI KEUANGAN</v>
          </cell>
          <cell r="F129" t="str">
            <v>putri.nl@bki.co.id</v>
          </cell>
        </row>
        <row r="130">
          <cell r="C130" t="str">
            <v>SUMARTINI</v>
          </cell>
          <cell r="D130" t="str">
            <v>DIVISI KEUANGAN DAN AKUNTANSI</v>
          </cell>
          <cell r="E130" t="str">
            <v>ANALIS AKUNTANSI</v>
          </cell>
          <cell r="F130" t="str">
            <v>sumartini@bki.co.id</v>
          </cell>
        </row>
        <row r="131">
          <cell r="C131" t="str">
            <v>ADESTA MUNAS LATIEF</v>
          </cell>
          <cell r="D131" t="str">
            <v>DIVISI AKUNTANSI KEUANGAN DAN PAJAK</v>
          </cell>
          <cell r="E131" t="str">
            <v>SENIOR MANAGER BISNIS DAN SISTEM KEUANGAN</v>
          </cell>
          <cell r="F131" t="str">
            <v>adesta.latief@bki.co.id</v>
          </cell>
        </row>
        <row r="132">
          <cell r="C132" t="str">
            <v>NENNY YUNIARTI</v>
          </cell>
          <cell r="D132" t="str">
            <v>DIVISI KEUANGAN DAN AKUNTANSI</v>
          </cell>
          <cell r="E132" t="str">
            <v>OFFICER VERIFIKASI KEUANGAN</v>
          </cell>
          <cell r="F132" t="str">
            <v>nenny@bki.co.id</v>
          </cell>
        </row>
        <row r="133">
          <cell r="C133" t="str">
            <v>LILY PANDANSARI</v>
          </cell>
          <cell r="D133" t="str">
            <v>DIVISI KEUANGAN DAN AKUNTANSI</v>
          </cell>
          <cell r="E133" t="str">
            <v>ANALIS VERIFIKASI KEUANGAN</v>
          </cell>
          <cell r="F133" t="str">
            <v>lily.pandansari@bki.co.id</v>
          </cell>
        </row>
        <row r="134">
          <cell r="C134" t="str">
            <v>TRI JANUAR PRATAMA</v>
          </cell>
          <cell r="D134" t="str">
            <v>DIVISI KEUANGAN DAN AKUNTANSI</v>
          </cell>
          <cell r="E134" t="str">
            <v>OFFICER VERIFIKASI KEUANGAN</v>
          </cell>
          <cell r="F134" t="str">
            <v>januar@bki.co.id</v>
          </cell>
        </row>
        <row r="135">
          <cell r="C135" t="str">
            <v>AZIZA</v>
          </cell>
          <cell r="D135" t="str">
            <v>DIVISI KEUANGAN DAN AKUNTANSI</v>
          </cell>
          <cell r="E135" t="str">
            <v>ANALIS VERIFIKASI KEUANGAN</v>
          </cell>
          <cell r="F135" t="str">
            <v>aziza@bki.co.id</v>
          </cell>
        </row>
        <row r="136">
          <cell r="C136" t="str">
            <v>ANNISYAH FAZRIN</v>
          </cell>
          <cell r="D136" t="str">
            <v>DIVISI AKUNTANSI KEUANGAN DAN PAJAK</v>
          </cell>
          <cell r="E136" t="str">
            <v>ANALIS QA &amp; KEBIJAKAN AKUNTANSI KEUANGAN &amp; PAJAK</v>
          </cell>
          <cell r="F136" t="str">
            <v>annisyah.fazrin@bki.co.id</v>
          </cell>
        </row>
        <row r="137">
          <cell r="C137" t="str">
            <v>RATNA DEWI</v>
          </cell>
          <cell r="D137" t="str">
            <v>DIVISI KEUANGAN DAN AKUNTANSI</v>
          </cell>
          <cell r="E137" t="str">
            <v>OFFICER VERIFIKASI KEUANGAN</v>
          </cell>
          <cell r="F137" t="str">
            <v>ratna.dewi@bki.co.id</v>
          </cell>
        </row>
        <row r="138">
          <cell r="C138" t="str">
            <v>SAMSUL MUSLIM</v>
          </cell>
          <cell r="D138" t="str">
            <v>DIVISI HUMAN CAPITAL DAN TEKNOLOGI INFORMASI</v>
          </cell>
          <cell r="E138" t="str">
            <v>ANALIS INFRASTRUKTUR TI</v>
          </cell>
          <cell r="F138" t="str">
            <v>samsul.muslim@bki.co.id</v>
          </cell>
        </row>
        <row r="139">
          <cell r="C139" t="str">
            <v>ROMILLO LIBRA SETIADI</v>
          </cell>
          <cell r="D139" t="str">
            <v>DIVISI HUMAN CAPITAL DAN TEKNOLOGI INFORMASI</v>
          </cell>
          <cell r="E139" t="str">
            <v>MANAGER INFRASTRUKTUR TI</v>
          </cell>
          <cell r="F139" t="str">
            <v>romillo@bki.co.id</v>
          </cell>
        </row>
        <row r="140">
          <cell r="C140" t="str">
            <v>BAYU MAHARDIKA WICAKSONO</v>
          </cell>
          <cell r="D140" t="str">
            <v>DIVISI HUMAN CAPITAL DAN TEKNOLOGI INFORMASI</v>
          </cell>
          <cell r="E140" t="str">
            <v>PJ. SENIOR MANAGER TEKNOLOGI INFORMASI</v>
          </cell>
          <cell r="F140" t="str">
            <v>bayu.mahardika@bki.co.id</v>
          </cell>
        </row>
        <row r="141">
          <cell r="C141" t="str">
            <v>MUCHLIS RACHMAN</v>
          </cell>
          <cell r="D141" t="str">
            <v>DIVISI HUMAN CAPITAL DAN TEKNOLOGI INFORMASI</v>
          </cell>
          <cell r="E141" t="str">
            <v>ANALIS INFRASTRUKTUR TI</v>
          </cell>
          <cell r="F141" t="str">
            <v>muchlis.rachman@bki.co.id</v>
          </cell>
        </row>
        <row r="142">
          <cell r="C142" t="str">
            <v>DIDING SUWANDI</v>
          </cell>
          <cell r="D142" t="str">
            <v>DIVISI HUMAN CAPITAL DAN TEKNOLOGI INFORMASI</v>
          </cell>
          <cell r="E142" t="str">
            <v>SPESIALIS SENIOR TEKNOLOGI INFORMASI</v>
          </cell>
          <cell r="F142" t="str">
            <v>diding@bki.co.id</v>
          </cell>
        </row>
        <row r="143">
          <cell r="C143" t="str">
            <v>YUSFI NOER ARYANI</v>
          </cell>
          <cell r="D143" t="str">
            <v>DIVISI HUMAN CAPITAL DAN TEKNOLOGI INFORMASI</v>
          </cell>
          <cell r="E143" t="str">
            <v>SPESIALIS REMUNERASI &amp; HCIS</v>
          </cell>
          <cell r="F143" t="str">
            <v>yusfi@bki.co.id</v>
          </cell>
        </row>
        <row r="144">
          <cell r="C144" t="str">
            <v>SAHDAT FAMA RIDHO</v>
          </cell>
          <cell r="D144" t="str">
            <v>DIVISI HUMAN CAPITAL DAN TEKNOLOGI INFORMASI</v>
          </cell>
          <cell r="E144" t="str">
            <v>ANALIS REMUNERASI &amp; HCIS</v>
          </cell>
          <cell r="F144" t="str">
            <v>sahdat@bki.co.id</v>
          </cell>
        </row>
        <row r="145">
          <cell r="C145" t="str">
            <v>MARINA ARIFIANTI</v>
          </cell>
          <cell r="D145" t="str">
            <v>DIVISI HUMAN CAPITAL DAN TEKNOLOGI INFORMASI</v>
          </cell>
          <cell r="E145" t="str">
            <v>ANALIS REKRUTMEN &amp; HUBUNGAN INDUSTRIAL</v>
          </cell>
          <cell r="F145" t="str">
            <v>marina@bki.co.id</v>
          </cell>
        </row>
        <row r="146">
          <cell r="C146" t="str">
            <v>NURKUMALA SAKTI</v>
          </cell>
          <cell r="D146" t="str">
            <v>DIVISI HUMAN CAPITAL DAN TEKNOLOGI INFORMASI</v>
          </cell>
          <cell r="E146" t="str">
            <v>MANAGER PENGEMBANGAN SDM</v>
          </cell>
          <cell r="F146" t="str">
            <v>nurkumala.sakti@bki.co.id</v>
          </cell>
        </row>
        <row r="147">
          <cell r="C147" t="str">
            <v>YULIA DIAN ANGGRAINI</v>
          </cell>
          <cell r="D147" t="str">
            <v>DIVISI HUMAN CAPITAL DAN TEKNOLOGI INFORMASI</v>
          </cell>
          <cell r="E147" t="str">
            <v>MANAGER PENGEMBANGAN ORGANISASI</v>
          </cell>
          <cell r="F147" t="str">
            <v>yulia.da@bki.co.id</v>
          </cell>
        </row>
        <row r="148">
          <cell r="C148" t="str">
            <v>MIA MARTINA INDAH</v>
          </cell>
          <cell r="D148" t="str">
            <v>DIVISI HUMAN CAPITAL DAN TEKNOLOGI INFORMASI</v>
          </cell>
          <cell r="E148" t="str">
            <v>OFFICER REMUNERASI &amp; HCIS</v>
          </cell>
          <cell r="F148" t="str">
            <v>mia.mi@bki.co.id</v>
          </cell>
        </row>
        <row r="149">
          <cell r="C149" t="str">
            <v>AKHMAD MUSLIM</v>
          </cell>
          <cell r="D149" t="str">
            <v>DIVISI HUMAN CAPITAL DAN TEKNOLOGI INFORMASI</v>
          </cell>
          <cell r="E149" t="str">
            <v>STAF UTAMA II</v>
          </cell>
          <cell r="F149" t="str">
            <v>akhmad.muslim@bki.co.id</v>
          </cell>
        </row>
        <row r="150">
          <cell r="C150" t="str">
            <v>MARDINI EMBUN SARI</v>
          </cell>
          <cell r="D150" t="str">
            <v>DIVISI HUMAN CAPITAL DAN TEKNOLOGI INFORMASI</v>
          </cell>
          <cell r="E150" t="str">
            <v>MANAGER REKRUTMEN DAN HUBUNGAN INDUSTRIAL</v>
          </cell>
          <cell r="F150" t="str">
            <v>sari@bki.co.id</v>
          </cell>
        </row>
        <row r="151">
          <cell r="C151" t="str">
            <v>DESI HARDIANAWATI</v>
          </cell>
          <cell r="D151" t="str">
            <v>DIVISI HUMAN CAPITAL DAN TEKNOLOGI INFORMASI</v>
          </cell>
          <cell r="E151" t="str">
            <v>OFFICER PENGEMBANGAN ORGANISASI</v>
          </cell>
          <cell r="F151" t="str">
            <v>desi.hardianawati@bki.co.id</v>
          </cell>
        </row>
        <row r="152">
          <cell r="C152" t="str">
            <v>RIDWAN ARIFIN</v>
          </cell>
          <cell r="D152" t="str">
            <v>DIVISI HUMAN CAPITAL DAN TEKNOLOGI INFORMASI</v>
          </cell>
          <cell r="E152" t="str">
            <v>SENIOR MANAGER PERENCANAAN DAN PENGEMBANGAN SDM</v>
          </cell>
          <cell r="F152" t="str">
            <v>ridwan.arifin@bki.co.id</v>
          </cell>
        </row>
        <row r="153">
          <cell r="C153" t="str">
            <v>EVA SINTAULI SARAGIH</v>
          </cell>
          <cell r="D153" t="str">
            <v>DIVISI HUMAN CAPITAL DAN TEKNOLOGI INFORMASI</v>
          </cell>
          <cell r="E153" t="str">
            <v>STAF UTAMA I</v>
          </cell>
          <cell r="F153" t="str">
            <v>eva.ss@bki.co.id</v>
          </cell>
        </row>
        <row r="154">
          <cell r="C154" t="str">
            <v>APRIANSYAH</v>
          </cell>
          <cell r="D154" t="str">
            <v>DIVISI HUMAN CAPITAL DAN TEKNOLOGI INFORMASI</v>
          </cell>
          <cell r="E154" t="str">
            <v>MANAGER REMUNERASI DAN HCIS</v>
          </cell>
          <cell r="F154" t="str">
            <v>apriansyah@bki.co.id</v>
          </cell>
        </row>
        <row r="155">
          <cell r="C155" t="str">
            <v>RACHMAD KURNIAWAN</v>
          </cell>
          <cell r="D155" t="str">
            <v>DIVISI HUMAN CAPITAL DAN TEKNOLOGI INFORMASI</v>
          </cell>
          <cell r="E155" t="str">
            <v>ADMINISTRATOR SENIOR</v>
          </cell>
          <cell r="F155" t="str">
            <v>rachmad.kurniawan@bki.co.id</v>
          </cell>
        </row>
        <row r="156">
          <cell r="C156" t="str">
            <v>MUHAMAD SODIK</v>
          </cell>
          <cell r="D156" t="str">
            <v>DIVISI HUMAN CAPITAL DAN TEKNOLOGI INFORMASI</v>
          </cell>
          <cell r="E156" t="str">
            <v xml:space="preserve">VP HUMAN CAPITAL DAN TEKNOLOGI INFORMASI </v>
          </cell>
          <cell r="F156" t="str">
            <v>sodik@bki.co.id</v>
          </cell>
        </row>
        <row r="157">
          <cell r="C157" t="str">
            <v>IRWANTO</v>
          </cell>
          <cell r="D157" t="str">
            <v>DIVISI HUMAN CAPITAL DAN TEKNOLOGI INFORMASI</v>
          </cell>
          <cell r="E157" t="str">
            <v>STAF UTAMA I</v>
          </cell>
          <cell r="F157" t="str">
            <v>irwanto@bki.co.id</v>
          </cell>
        </row>
        <row r="158">
          <cell r="C158" t="str">
            <v>WAWAN PRIYA WIDYANTA</v>
          </cell>
          <cell r="D158" t="str">
            <v>DIVISI HUMAN CAPITAL DAN TEKNOLOGI INFORMASI</v>
          </cell>
          <cell r="E158" t="str">
            <v>SPESIALIS PENGEMBANGAN SDM</v>
          </cell>
          <cell r="F158" t="str">
            <v>wawan@bki.co.id</v>
          </cell>
        </row>
        <row r="159">
          <cell r="C159" t="str">
            <v>ROSALINA AMRAN</v>
          </cell>
          <cell r="D159" t="str">
            <v>DIVISI HUMAN CAPITAL DAN TEKNOLOGI INFORMASI</v>
          </cell>
          <cell r="E159" t="str">
            <v>STAF UTAMA I</v>
          </cell>
          <cell r="F159" t="str">
            <v>rosalina@bki.co.id</v>
          </cell>
        </row>
        <row r="160">
          <cell r="C160" t="str">
            <v>MUHTAR</v>
          </cell>
          <cell r="D160" t="str">
            <v>DIVISI HUMAN CAPITAL DAN TEKNOLOGI INFORMASI</v>
          </cell>
          <cell r="E160" t="str">
            <v>STAF DUKUNGAN BISNIS</v>
          </cell>
          <cell r="F160" t="str">
            <v>muhtar@bki.co.id</v>
          </cell>
        </row>
        <row r="161">
          <cell r="C161" t="str">
            <v>ELMY MUFIDAH</v>
          </cell>
          <cell r="D161" t="str">
            <v>DIVISI HUMAN CAPITAL DAN TEKNOLOGI INFORMASI</v>
          </cell>
          <cell r="E161" t="str">
            <v>STAF DUKUNGAN BISNIS</v>
          </cell>
          <cell r="F161" t="str">
            <v>elmy.m@bki.co.id</v>
          </cell>
        </row>
        <row r="162">
          <cell r="C162" t="str">
            <v>TRI BUANA GALAXY</v>
          </cell>
          <cell r="D162" t="str">
            <v>DIVISI STATUTORIA</v>
          </cell>
          <cell r="E162" t="str">
            <v>SENIOR MANAGER RELASI EKSTERNAL STATUTORIA</v>
          </cell>
          <cell r="F162" t="str">
            <v>galaxy@bki.co.id</v>
          </cell>
        </row>
        <row r="163">
          <cell r="C163" t="str">
            <v>MOHAMMAD RIZKI SATRIO</v>
          </cell>
          <cell r="D163" t="str">
            <v>DIVISI HUMAN CAPITAL</v>
          </cell>
          <cell r="E163" t="str">
            <v>PJ. ANALIS PENGEMBANGAN BUDAYA</v>
          </cell>
          <cell r="F163" t="str">
            <v>rizki.satrio@bki.co.id</v>
          </cell>
        </row>
        <row r="164">
          <cell r="C164" t="str">
            <v>FIKRAH WATHANI</v>
          </cell>
          <cell r="D164" t="str">
            <v>DIVISI HUMAN CAPITAL</v>
          </cell>
          <cell r="E164" t="str">
            <v>PJ. ANALIS PENGEMBANGAN TALENTA</v>
          </cell>
          <cell r="F164" t="str">
            <v>fikrah.wathani@bki.co.id</v>
          </cell>
        </row>
        <row r="165">
          <cell r="C165" t="str">
            <v>AGUS SYARIF MAOLANA</v>
          </cell>
          <cell r="D165" t="str">
            <v>DIVISI INTEGRASI SISTEM DAN PROSES BISNIS</v>
          </cell>
          <cell r="E165" t="str">
            <v>SENIOR MANAGER PROSES BISNIS DAN MANAJEMEN SISTEM TERINTEGRASI</v>
          </cell>
          <cell r="F165" t="str">
            <v>agus.syarif@bki.co.id</v>
          </cell>
        </row>
        <row r="166">
          <cell r="C166" t="str">
            <v>BUSROL KARIM</v>
          </cell>
          <cell r="D166" t="str">
            <v>UNIT HSE</v>
          </cell>
          <cell r="E166" t="str">
            <v>KEPALA UNIT HSE</v>
          </cell>
          <cell r="F166" t="str">
            <v>busrol.karim@bki.co.id</v>
          </cell>
        </row>
        <row r="167">
          <cell r="C167" t="str">
            <v>FAJAR NUGRAHA</v>
          </cell>
          <cell r="D167" t="str">
            <v>DIVISI INTEGRASI SISTEM DAN PROSES BISNIS</v>
          </cell>
          <cell r="E167" t="str">
            <v>VP INTEGRASI SISTEM DAN PROSES BISNIS</v>
          </cell>
          <cell r="F167" t="str">
            <v>fnugraha@bki.co.id</v>
          </cell>
        </row>
        <row r="168">
          <cell r="C168" t="str">
            <v>DIDIET EDITHIA FIRMAN</v>
          </cell>
          <cell r="D168" t="str">
            <v>UNIT HSE</v>
          </cell>
          <cell r="E168" t="str">
            <v>ANALIS OPERASI HSE</v>
          </cell>
          <cell r="F168" t="str">
            <v>didiet.ef@bki.co.id</v>
          </cell>
        </row>
        <row r="169">
          <cell r="C169" t="str">
            <v xml:space="preserve">THOMAS MAHENDRA </v>
          </cell>
          <cell r="D169" t="str">
            <v>DIVISI PERENCANAAN DAN KEUANGAN KORPORAT</v>
          </cell>
          <cell r="E169" t="str">
            <v>OFFICER MANAJEMEN PROGRAM DAN KINERJA KORPORAT</v>
          </cell>
          <cell r="F169" t="str">
            <v>thomas.m@bki.co.id</v>
          </cell>
        </row>
        <row r="170">
          <cell r="C170" t="str">
            <v>RIMA NOVEDIA BANGUN</v>
          </cell>
          <cell r="D170" t="str">
            <v>DIVISI PERENCANAAN KORPORAT DAN MANAJEMEN RISIKO</v>
          </cell>
          <cell r="E170" t="str">
            <v>VP PERENCANAAN KORPORAT DAN MANAJEMEN RISIKO</v>
          </cell>
          <cell r="F170" t="str">
            <v>rima@bki.co.id</v>
          </cell>
        </row>
        <row r="171">
          <cell r="C171" t="str">
            <v>WARINI</v>
          </cell>
          <cell r="D171" t="str">
            <v>DIVISI PERENCANAAN KORPORAT DAN MANAJEMEN RISIKO</v>
          </cell>
          <cell r="E171" t="str">
            <v>ANALIS MANAJEMEN RISIKO</v>
          </cell>
          <cell r="F171" t="str">
            <v>warini@bki.co.id</v>
          </cell>
        </row>
        <row r="172">
          <cell r="C172" t="str">
            <v>CHRISANTYA DIAN EKA WIHARTI</v>
          </cell>
          <cell r="D172" t="str">
            <v>DIVISI MANAJEMEN RISIKO DAN KEBERLANJUTAN</v>
          </cell>
          <cell r="E172" t="str">
            <v>SPESIALIS MANAJEMEN RISIKO</v>
          </cell>
          <cell r="F172" t="str">
            <v>chrisantya.wiharti@bki.co.id</v>
          </cell>
        </row>
        <row r="173">
          <cell r="C173" t="str">
            <v>SURIATY PARAMINTA PUTRI</v>
          </cell>
          <cell r="D173" t="str">
            <v>DIVISI MANAJEMEN RISIKO DAN KEBERLANJUTAN</v>
          </cell>
          <cell r="E173" t="str">
            <v>SENIOR MANAGER MANAJEMEN RISIKO</v>
          </cell>
          <cell r="F173" t="str">
            <v>putri@bki.co.id</v>
          </cell>
        </row>
        <row r="174">
          <cell r="C174" t="str">
            <v>MUHAMMAD ADITYO NUGROHO</v>
          </cell>
          <cell r="D174" t="str">
            <v>DIVISI PERENCANAAN KORPORAT DAN MANAJEMEN RISIKO</v>
          </cell>
          <cell r="E174" t="str">
            <v>SENIOR MANAGER MANAJEMEN RISIKO DAN KEBERLANJUTAN</v>
          </cell>
          <cell r="F174" t="str">
            <v>m.adityo@bki.co.id</v>
          </cell>
        </row>
        <row r="175">
          <cell r="C175" t="str">
            <v>DWI CAHYA KURNIAWANI</v>
          </cell>
          <cell r="D175" t="str">
            <v>DIVISI PERENCANAAN KORPORAT DAN MANAJEMEN RISIKO</v>
          </cell>
          <cell r="E175" t="str">
            <v>SPESIALIS MANAJEMEN RISIKO</v>
          </cell>
          <cell r="F175" t="str">
            <v>dwi.ck@bki.co.id</v>
          </cell>
        </row>
        <row r="176">
          <cell r="C176" t="str">
            <v>MARIYANA ASTRI FANDANI</v>
          </cell>
          <cell r="D176" t="str">
            <v>DIVISI PERENCANAAN KORPORAT DAN MANAJEMEN RISIKO</v>
          </cell>
          <cell r="E176" t="str">
            <v>STAF DUKUNGAN BISNIS</v>
          </cell>
          <cell r="F176" t="str">
            <v>mariyana.af@bki.co.id</v>
          </cell>
        </row>
        <row r="177">
          <cell r="C177" t="str">
            <v>ARDHIANTI NOVIANDITA</v>
          </cell>
          <cell r="D177" t="str">
            <v>DIVISI PERENCANAAN KORPORAT DAN MANAJEMEN RISIKO</v>
          </cell>
          <cell r="E177" t="str">
            <v>STAF DUKUNGAN BISNIS</v>
          </cell>
          <cell r="F177" t="str">
            <v>ardhianti.n@bki.co.id</v>
          </cell>
        </row>
        <row r="178">
          <cell r="C178" t="str">
            <v>KRISANTI CAHYA KAHERANING</v>
          </cell>
          <cell r="D178" t="str">
            <v>DIVISI MANAJEMEN RISIKO DAN KEBERLANJUTAN</v>
          </cell>
          <cell r="E178" t="str">
            <v>STAF DUKUNGAN BISNIS</v>
          </cell>
          <cell r="F178" t="str">
            <v>krisanti.ck@bki.co.id</v>
          </cell>
        </row>
        <row r="179">
          <cell r="C179" t="str">
            <v>WAHIDIN</v>
          </cell>
          <cell r="D179" t="str">
            <v>DIVISI PERSETUJUAN RANCANG BANGUN</v>
          </cell>
          <cell r="E179" t="str">
            <v>ADMINISTRATOR SENIOR</v>
          </cell>
          <cell r="F179" t="str">
            <v>wahidin@bki.co.id</v>
          </cell>
        </row>
        <row r="180">
          <cell r="C180" t="str">
            <v>HIMAWAN</v>
          </cell>
          <cell r="D180" t="str">
            <v>DIVISI OPERASI BISNIS KLASIFIKASI</v>
          </cell>
          <cell r="E180" t="str">
            <v>ADMINISTRATOR SENIOR</v>
          </cell>
          <cell r="F180" t="str">
            <v>himawan@bki.co.id</v>
          </cell>
        </row>
        <row r="181">
          <cell r="C181" t="str">
            <v>MUNIR M</v>
          </cell>
          <cell r="D181" t="str">
            <v>DIVISI OPERASI BISNIS KLASIFIKASI</v>
          </cell>
          <cell r="E181" t="str">
            <v>VP OPERASI BISNIS KLASIFIKASI</v>
          </cell>
          <cell r="F181" t="str">
            <v>munir.m@bki.co.id</v>
          </cell>
        </row>
        <row r="182">
          <cell r="C182" t="str">
            <v>EDO DODY HANDRADI</v>
          </cell>
          <cell r="D182" t="str">
            <v>DIVISI OPERASI BISNIS KLASIFIKASI</v>
          </cell>
          <cell r="E182" t="str">
            <v>ENGINEER OPERASI MATERIAL &amp; KOMPONEN</v>
          </cell>
          <cell r="F182" t="str">
            <v>edo.dh@bki.co.id</v>
          </cell>
        </row>
        <row r="183">
          <cell r="C183" t="str">
            <v>TAUFIK AKBAR</v>
          </cell>
          <cell r="D183" t="str">
            <v>DIVISI PERSETUJUAN RANCANG BANGUN</v>
          </cell>
          <cell r="E183" t="str">
            <v>SENIOR MANAGER MESIN, LISTRIK, KOMPONEN DAN PENYEDIA JASA</v>
          </cell>
          <cell r="F183" t="str">
            <v>taufik.akbar@bki.co.id</v>
          </cell>
        </row>
        <row r="184">
          <cell r="C184" t="str">
            <v>HERBERT</v>
          </cell>
          <cell r="D184" t="str">
            <v>DIVISI OPERASI BISNIS KLASIFIKASI</v>
          </cell>
          <cell r="E184" t="str">
            <v>SENIOR MANAGER OPERASI MATERIAL DAN KOMPONEN</v>
          </cell>
          <cell r="F184" t="str">
            <v>herbert@bki.co.id</v>
          </cell>
        </row>
        <row r="185">
          <cell r="C185" t="str">
            <v>MUHAMMAD ARIS SULTAN</v>
          </cell>
          <cell r="D185" t="str">
            <v>DIVISI OPERASI BISNIS KLASIFIKASI</v>
          </cell>
          <cell r="E185" t="str">
            <v>ENGINEER OPERASI MATERIAL &amp; KOMPONEN</v>
          </cell>
          <cell r="F185" t="str">
            <v>aris.sultan@bki.co.id</v>
          </cell>
        </row>
        <row r="186">
          <cell r="C186" t="str">
            <v>MAT HASAN</v>
          </cell>
          <cell r="D186" t="str">
            <v>DIVISI OPERASI DIGITAL TIC</v>
          </cell>
          <cell r="E186" t="str">
            <v>SPESIALIS PEMASARAN &amp; PENJUALAN</v>
          </cell>
          <cell r="F186" t="str">
            <v>mat.hasan@bki.co.id</v>
          </cell>
        </row>
        <row r="187">
          <cell r="C187" t="str">
            <v>BUDI PRAKOSO</v>
          </cell>
          <cell r="D187" t="str">
            <v>DIVISI OPERASI DIGITAL TIC</v>
          </cell>
          <cell r="E187" t="str">
            <v>VP OPERASI DIGITAL TIC</v>
          </cell>
          <cell r="F187" t="str">
            <v>budi.prakoso@bki.co.id</v>
          </cell>
        </row>
        <row r="188">
          <cell r="C188" t="str">
            <v>RAKA DWITA SETYANEGARA</v>
          </cell>
          <cell r="D188" t="str">
            <v>UNIT PEMASARAN DAN LAYANAN PELANGGAN NUSANTARA</v>
          </cell>
          <cell r="E188" t="str">
            <v>OFFICER PEMASARAN DAN PENJUALAN</v>
          </cell>
          <cell r="F188" t="str">
            <v>raka.dwita@bki.co.id</v>
          </cell>
        </row>
        <row r="189">
          <cell r="C189" t="str">
            <v>ABDIL HAFIIZH ZHAFRAN</v>
          </cell>
          <cell r="D189" t="str">
            <v>DIVISI PEMASARAN KORPORAT</v>
          </cell>
          <cell r="E189" t="str">
            <v>SPESIALIS RISET DAN STRATEGI PASAR</v>
          </cell>
          <cell r="F189" t="str">
            <v>abdil.hz@bki.co.id</v>
          </cell>
        </row>
        <row r="190">
          <cell r="C190" t="str">
            <v>SUKMA MAHARANI</v>
          </cell>
          <cell r="D190" t="str">
            <v>UNIT PEMASARAN DAN LAYANAN PELANGGAN NUSANTARA</v>
          </cell>
          <cell r="E190" t="str">
            <v>SENIOR MANAGER PEMASARAN DAN LAYANAN PELANGGAN NUSANTARA</v>
          </cell>
          <cell r="F190" t="str">
            <v>rani@bki.co.id</v>
          </cell>
        </row>
        <row r="191">
          <cell r="C191" t="str">
            <v>ERRY SANJAYA DJAYUS</v>
          </cell>
          <cell r="D191" t="str">
            <v>DIVISI PEMASARAN KORPORAT</v>
          </cell>
          <cell r="E191" t="str">
            <v>KOORDINATOR KEY ACCOUNT MANAGEMENT</v>
          </cell>
          <cell r="F191" t="str">
            <v>erry@bki.co.id</v>
          </cell>
        </row>
        <row r="192">
          <cell r="C192" t="str">
            <v>DHITYA PUTRA RAMADHAN</v>
          </cell>
          <cell r="D192" t="str">
            <v>UNIT PEMASARAN DAN LAYANAN PELANGGAN NUSANTARA</v>
          </cell>
          <cell r="E192" t="str">
            <v>STAF DUKUNGAN BISNIS</v>
          </cell>
          <cell r="F192" t="str">
            <v>dhitya.putra@bki.co.id</v>
          </cell>
        </row>
        <row r="193">
          <cell r="C193" t="str">
            <v>RIAN EKA SAPUTRA</v>
          </cell>
          <cell r="D193" t="str">
            <v>DIVISI PENGADAAN, UMUM DAN MANAJEMEN ASET</v>
          </cell>
          <cell r="E193" t="str">
            <v>OFFICER MANAJEMEN ASET PROPERTI DAN KOMERSIALISASI</v>
          </cell>
          <cell r="F193" t="str">
            <v>rian.es@bki.co.id</v>
          </cell>
        </row>
        <row r="194">
          <cell r="C194" t="str">
            <v>MARISA THERESIA SIHOMBING</v>
          </cell>
          <cell r="D194" t="str">
            <v>DIVISI PENGADAAN, UMUM DAN MANAJEMEN ASET</v>
          </cell>
          <cell r="E194" t="str">
            <v>ANALIS MANAJEMEN ASET NON PROPERTI</v>
          </cell>
          <cell r="F194" t="str">
            <v>marisa.ts@bki.co.id</v>
          </cell>
        </row>
        <row r="195">
          <cell r="C195" t="str">
            <v>ILYAS</v>
          </cell>
          <cell r="D195" t="str">
            <v>DIVISI PENGADAAN, UMUM DAN MANAJEMEN ASET</v>
          </cell>
          <cell r="E195" t="str">
            <v>SUPIR</v>
          </cell>
        </row>
        <row r="196">
          <cell r="C196" t="str">
            <v>TEGUH ANDANI</v>
          </cell>
          <cell r="D196" t="str">
            <v>DIVISI PENGADAAN, UMUM DAN MANAJEMEN ASET</v>
          </cell>
          <cell r="E196" t="str">
            <v>ANALIS MANAJEMEN VENDOR</v>
          </cell>
          <cell r="F196" t="str">
            <v>teguh.andani@bki.co.id</v>
          </cell>
        </row>
        <row r="197">
          <cell r="C197" t="str">
            <v>SRI MULYANTI</v>
          </cell>
          <cell r="D197" t="str">
            <v>DIVISI PENGADAAN, UMUM DAN MANAJEMEN ASET</v>
          </cell>
          <cell r="E197" t="str">
            <v>OFFICER LAYANAN UMUM</v>
          </cell>
          <cell r="F197" t="str">
            <v>sri.mulyanti@bki.co.id</v>
          </cell>
        </row>
        <row r="198">
          <cell r="C198" t="str">
            <v>ACHMAD</v>
          </cell>
          <cell r="D198" t="str">
            <v>DIVISI PENGADAAN, UMUM DAN MANAJEMEN ASET</v>
          </cell>
          <cell r="E198" t="str">
            <v>SUPIR</v>
          </cell>
        </row>
        <row r="199">
          <cell r="C199" t="str">
            <v>KOSIM BIN MARI</v>
          </cell>
          <cell r="D199" t="str">
            <v>DIVISI PENGADAAN, UMUM DAN MANAJEMEN ASET</v>
          </cell>
          <cell r="E199" t="str">
            <v>SUPIR</v>
          </cell>
        </row>
        <row r="200">
          <cell r="C200" t="str">
            <v>SARIDI</v>
          </cell>
          <cell r="D200" t="str">
            <v>DIVISI PENGADAAN, UMUM DAN MANAJEMEN ASET</v>
          </cell>
          <cell r="E200" t="str">
            <v>SUPIR</v>
          </cell>
        </row>
        <row r="201">
          <cell r="C201" t="str">
            <v>ADITYA PUTRI ANGGRAINI</v>
          </cell>
          <cell r="D201" t="str">
            <v>DIVISI PENGADAAN, UMUM DAN MANAJEMEN ASET</v>
          </cell>
          <cell r="E201" t="str">
            <v>SENIOR MANAGER MANAJEMEN ASET</v>
          </cell>
          <cell r="F201" t="str">
            <v>aditya.putri@bki.co.id</v>
          </cell>
        </row>
        <row r="202">
          <cell r="C202" t="str">
            <v>UNTUNG PRASETYO</v>
          </cell>
          <cell r="D202" t="str">
            <v>DIVISI PENGADAAN, UMUM DAN MANAJEMEN ASET</v>
          </cell>
          <cell r="E202" t="str">
            <v>PJ. SENIOR SPESIALIS PERENCANAAN STRATEGI PENGADAAN &amp; PENGENDALIAN</v>
          </cell>
          <cell r="F202" t="str">
            <v>untung@bki.co.id</v>
          </cell>
        </row>
        <row r="203">
          <cell r="C203" t="str">
            <v>NASARUDDIN</v>
          </cell>
          <cell r="D203" t="str">
            <v>DIVISI PENGADAAN, UMUM DAN MANAJEMEN ASET</v>
          </cell>
          <cell r="E203" t="str">
            <v>VP PENGADAAN UMUM DAN MANAJEMEN ASET</v>
          </cell>
          <cell r="F203" t="str">
            <v>nasaruddin@bki.co.id</v>
          </cell>
        </row>
        <row r="204">
          <cell r="C204" t="str">
            <v>MUSLIM DERMAWAN BARUS</v>
          </cell>
          <cell r="D204" t="str">
            <v>DIVISI PENGADAAN, UMUM DAN MANAJEMEN ASET</v>
          </cell>
          <cell r="E204" t="str">
            <v>ADMINISTRATOR SENIOR</v>
          </cell>
          <cell r="F204" t="str">
            <v>muslim.dermawan@bki.co.id</v>
          </cell>
        </row>
        <row r="205">
          <cell r="C205" t="str">
            <v>AHMAD YUNUS</v>
          </cell>
          <cell r="D205" t="str">
            <v>DIVISI PENGADAAN, UMUM DAN MANAJEMEN ASET</v>
          </cell>
          <cell r="E205" t="str">
            <v>STAF DUKUNGAN BISNIS</v>
          </cell>
          <cell r="F205" t="str">
            <v>ahmad.yunus@bki.co.id</v>
          </cell>
        </row>
        <row r="206">
          <cell r="C206" t="str">
            <v>NADIA LISTIYANI</v>
          </cell>
          <cell r="D206" t="str">
            <v>DIVISI PENGEMBANGAN KORPORAT</v>
          </cell>
          <cell r="E206" t="str">
            <v>VP PENGEMBANGAN KORPORAT</v>
          </cell>
          <cell r="F206" t="str">
            <v>nadia.listiyani@bki.co.id</v>
          </cell>
        </row>
        <row r="207">
          <cell r="C207" t="str">
            <v>SALMA FADHILAH WIDITYANI</v>
          </cell>
          <cell r="D207" t="str">
            <v>DIVISI PENGEMBANGAN KORPORAT</v>
          </cell>
          <cell r="E207" t="str">
            <v>SPESIALIS PENGEMBANGAN KORPORAT</v>
          </cell>
          <cell r="F207" t="str">
            <v>salma.widityani@bki.co.id</v>
          </cell>
        </row>
        <row r="208">
          <cell r="C208" t="str">
            <v>YULIA FAJRI KINANTI</v>
          </cell>
          <cell r="D208" t="str">
            <v>DIVISI KEUANGAN DAN AKUNTANSI</v>
          </cell>
          <cell r="E208" t="str">
            <v>OFFICER PEMBAYARAN</v>
          </cell>
          <cell r="F208" t="str">
            <v>yulia.fk@bki.co.id</v>
          </cell>
        </row>
        <row r="209">
          <cell r="C209" t="str">
            <v>BUDI FITRIAWAN</v>
          </cell>
          <cell r="D209" t="str">
            <v>DIVISI PERENCANAAN DAN KEUANGAN KORPORAT</v>
          </cell>
          <cell r="E209" t="str">
            <v>SENIOR MANAGER PERENCANAAN KORPORAT</v>
          </cell>
          <cell r="F209" t="str">
            <v>budi.fitriawan@bki.co.id</v>
          </cell>
        </row>
        <row r="210">
          <cell r="C210" t="str">
            <v>SYAHLIR</v>
          </cell>
          <cell r="D210" t="str">
            <v>DIVISI PERENCANAAN DAN KEUANGAN KORPORAT</v>
          </cell>
          <cell r="E210" t="str">
            <v>ANALIS KENDALI KEUANGAN</v>
          </cell>
          <cell r="F210" t="str">
            <v>syahril@bki.co.id</v>
          </cell>
        </row>
        <row r="211">
          <cell r="C211" t="str">
            <v>AGUNG PRASETYO</v>
          </cell>
          <cell r="D211" t="str">
            <v>DIVISI PERENCANAAN DAN KEUANGAN KORPORAT</v>
          </cell>
          <cell r="E211" t="str">
            <v>OFFICER PERENCANAAN KORPORAT DAN KEUANGAN</v>
          </cell>
          <cell r="F211" t="str">
            <v>agung.prasetyo@bki.co.id</v>
          </cell>
        </row>
        <row r="212">
          <cell r="C212" t="str">
            <v>DENY HARDIANSYAH</v>
          </cell>
          <cell r="D212" t="str">
            <v>DIVISI PERENCANAAN DAN KEUANGAN KORPORAT</v>
          </cell>
          <cell r="E212" t="str">
            <v>SPESIALIS PERENCANAAN DAN KEUANGAN KORPORAT</v>
          </cell>
          <cell r="F212" t="str">
            <v>deny.hardiansyah@bki.co.id</v>
          </cell>
        </row>
        <row r="213">
          <cell r="C213" t="str">
            <v>ELIS ROSIDA</v>
          </cell>
          <cell r="D213" t="str">
            <v>DIVISI KEUANGAN DAN AKUNTANSI</v>
          </cell>
          <cell r="E213" t="str">
            <v>ANALIS PIUTANG</v>
          </cell>
          <cell r="F213" t="str">
            <v>elis.rosida@bki.co.id</v>
          </cell>
        </row>
        <row r="214">
          <cell r="C214" t="str">
            <v>NOSY OSRIAT</v>
          </cell>
          <cell r="D214" t="str">
            <v>DIVISI KEUANGAN DAN AKUNTANSI</v>
          </cell>
          <cell r="E214" t="str">
            <v>ANALIS PIUTANG</v>
          </cell>
          <cell r="F214" t="str">
            <v>nosy@bki.co.id</v>
          </cell>
        </row>
        <row r="215">
          <cell r="C215" t="str">
            <v>REGIYAN DRININ KAWASUGI</v>
          </cell>
          <cell r="D215" t="str">
            <v>DIVISI PERENCANAAN KORPORAT DAN MANAJEMEN RISIKO</v>
          </cell>
          <cell r="E215" t="str">
            <v>OFFICER PERENCANAAN</v>
          </cell>
          <cell r="F215" t="str">
            <v>regiyan.dk@bki.co.id</v>
          </cell>
        </row>
        <row r="216">
          <cell r="C216" t="str">
            <v>LYZA YUNI SETIAWATI</v>
          </cell>
          <cell r="D216" t="str">
            <v>DIVISI MANAJEMEN SISTEM DAN MUTU</v>
          </cell>
          <cell r="E216" t="str">
            <v>SENIOR MANAGER SISTEM AUDIT DAN MANAJEMEN MUTU KOMERSIL</v>
          </cell>
          <cell r="F216" t="str">
            <v>lyzays@bki.co.id</v>
          </cell>
        </row>
        <row r="217">
          <cell r="C217" t="str">
            <v>KARTIKA WIJAYANTI KUSUMAWADHANI</v>
          </cell>
          <cell r="D217" t="str">
            <v>DIVISI MANAJEMEN SISTEM DAN MUTU</v>
          </cell>
          <cell r="E217" t="str">
            <v>ADMINISTRATOR SENIOR</v>
          </cell>
          <cell r="F217" t="str">
            <v>kartika.wijayanti@bki.co.id</v>
          </cell>
        </row>
        <row r="218">
          <cell r="C218" t="str">
            <v>ANDI LAMAPPASESSU</v>
          </cell>
          <cell r="D218" t="str">
            <v>DIVISI MANAJEMEN SISTEM DAN MUTU</v>
          </cell>
          <cell r="E218" t="str">
            <v>AUDITOR SENIOR I MANAJEMEN MUTU KOMERSIAL</v>
          </cell>
          <cell r="F218" t="str">
            <v>mappasessu@bki.co.id</v>
          </cell>
        </row>
        <row r="219">
          <cell r="C219" t="str">
            <v>TUNJUNG WIDYATMO H</v>
          </cell>
          <cell r="D219" t="str">
            <v>DIVISI MANAJEMEN SISTEM DAN MUTU</v>
          </cell>
          <cell r="E219" t="str">
            <v>AUDITOR MANAJEMEN MUTU KOMERSIAL</v>
          </cell>
          <cell r="F219" t="str">
            <v>tunjung.wh@bki.co.id</v>
          </cell>
        </row>
        <row r="220">
          <cell r="C220" t="str">
            <v>ANOGI AKBAR ALI</v>
          </cell>
          <cell r="D220" t="str">
            <v>DIVISI PERENCANAAN KORPORAT DAN MANAJEMEN RISIKO</v>
          </cell>
          <cell r="E220" t="str">
            <v>SPESIALIS SENIOR PERENCANAAN</v>
          </cell>
          <cell r="F220" t="str">
            <v>anogi@bki.co.id</v>
          </cell>
        </row>
        <row r="221">
          <cell r="C221" t="str">
            <v>MOCHAMMAD ZAKY</v>
          </cell>
          <cell r="D221" t="str">
            <v>DIVISI PERSETUJUAN RANCANG BANGUN</v>
          </cell>
          <cell r="E221" t="str">
            <v>SENIOR MANAGER STATUTORIA</v>
          </cell>
          <cell r="F221" t="str">
            <v>zaky@bki.co.id</v>
          </cell>
        </row>
        <row r="222">
          <cell r="C222" t="str">
            <v>DENY CAHYO NUGROHO</v>
          </cell>
          <cell r="D222" t="str">
            <v>DIVISI PERSETUJUAN RANCANG BANGUN NUSANTARA</v>
          </cell>
          <cell r="E222" t="str">
            <v>ENGINEER KELISTRIKAN</v>
          </cell>
          <cell r="F222" t="str">
            <v>deny.cn@bki.co.id</v>
          </cell>
        </row>
        <row r="223">
          <cell r="C223" t="str">
            <v>FAHRUL NUR HIDAYAT</v>
          </cell>
          <cell r="D223" t="str">
            <v>DIVISI PERSETUJUAN RANCANG BANGUN NUSANTARA</v>
          </cell>
          <cell r="E223" t="str">
            <v>ENGINEER PERMESINAN</v>
          </cell>
          <cell r="F223" t="str">
            <v>fahrulnurhidayat@bki.co.id</v>
          </cell>
        </row>
        <row r="224">
          <cell r="C224" t="str">
            <v>SUKADI REDJI</v>
          </cell>
          <cell r="D224" t="str">
            <v>DIVISI PERSETUJUAN RANCANG BANGUN NUSANTARA</v>
          </cell>
          <cell r="E224" t="str">
            <v>ADMINISTRATOR SENIOR</v>
          </cell>
          <cell r="F224" t="str">
            <v>sukadi.redji@bki.co.id</v>
          </cell>
        </row>
        <row r="225">
          <cell r="C225" t="str">
            <v>KRISHNA WIJAYADI</v>
          </cell>
          <cell r="D225" t="str">
            <v>DIVISI PERSETUJUAN RANCANG BANGUN</v>
          </cell>
          <cell r="E225" t="str">
            <v>ENGINEER SENIOR II B KELISTRIKAN</v>
          </cell>
          <cell r="F225" t="str">
            <v>krishna@bki.co.id</v>
          </cell>
        </row>
        <row r="226">
          <cell r="C226" t="str">
            <v>HERU SUSILO BUDIMAN</v>
          </cell>
          <cell r="D226" t="str">
            <v>DIVISI PERSETUJUAN RANCANG BANGUN NUSANTARA</v>
          </cell>
          <cell r="E226" t="str">
            <v>SENIOR MANAGER MESIN DAN LISTRIK NUSANTARA</v>
          </cell>
          <cell r="F226" t="str">
            <v>heru.sb@bki.co.id</v>
          </cell>
        </row>
        <row r="227">
          <cell r="C227" t="str">
            <v>HIJRAWATI MUHTAR</v>
          </cell>
          <cell r="D227" t="str">
            <v>DIVISI PERSETUJUAN RANCANG BANGUN</v>
          </cell>
          <cell r="E227" t="str">
            <v>ENGINEER SENIOR I B PERMESINAN</v>
          </cell>
          <cell r="F227" t="str">
            <v>hijrawati@bki.co.id</v>
          </cell>
        </row>
        <row r="228">
          <cell r="C228" t="str">
            <v>DWIANA GALUH LISTIYARINI</v>
          </cell>
          <cell r="D228" t="str">
            <v>DIVISI PERSETUJUAN RANCANG BANGUN</v>
          </cell>
          <cell r="E228" t="str">
            <v>ENGINEER SENIOR I C STRUKTUR</v>
          </cell>
          <cell r="F228" t="str">
            <v>dwiana@bki.co.id</v>
          </cell>
        </row>
        <row r="229">
          <cell r="C229" t="str">
            <v>SEFIA HELMINA</v>
          </cell>
          <cell r="D229" t="str">
            <v>DIVISI PERSETUJUAN RANCANG BANGUN NUSANTARA</v>
          </cell>
          <cell r="E229" t="str">
            <v>ENGINEER STRUKTUR</v>
          </cell>
          <cell r="F229" t="str">
            <v>sefia@bki.co.id</v>
          </cell>
        </row>
        <row r="230">
          <cell r="C230" t="str">
            <v>RIYANTO</v>
          </cell>
          <cell r="D230" t="str">
            <v>DIVISI PERSETUJUAN RANCANG BANGUN NUSANTARA</v>
          </cell>
          <cell r="E230" t="str">
            <v>ADMINISTRATOR SENIOR</v>
          </cell>
          <cell r="F230" t="str">
            <v>riyanto@bki.co.id</v>
          </cell>
        </row>
        <row r="231">
          <cell r="C231" t="str">
            <v>FAULINCIA</v>
          </cell>
          <cell r="D231" t="str">
            <v>DIVISI PERSETUJUAN RANCANG BANGUN</v>
          </cell>
          <cell r="E231" t="str">
            <v>ENGINEER KELISTRIKAN</v>
          </cell>
          <cell r="F231" t="str">
            <v>faulincia@bki.co.id</v>
          </cell>
        </row>
        <row r="232">
          <cell r="C232" t="str">
            <v>DIAN FEBRIAN</v>
          </cell>
          <cell r="D232" t="str">
            <v>DIVISI PERSETUJUAN RANCANG BANGUN</v>
          </cell>
          <cell r="E232" t="str">
            <v>ENGINEER STATUTORIA</v>
          </cell>
          <cell r="F232" t="str">
            <v>dian.febrian@bki.co.id</v>
          </cell>
        </row>
        <row r="233">
          <cell r="C233" t="str">
            <v>ARMINDARY ARIEF</v>
          </cell>
          <cell r="D233" t="str">
            <v>DIVISI PERSETUJUAN RANCANG BANGUN NUSANTARA</v>
          </cell>
          <cell r="E233" t="str">
            <v>ENGINEER STRUKTUR</v>
          </cell>
          <cell r="F233" t="str">
            <v>armindary@bki.co.id</v>
          </cell>
        </row>
        <row r="234">
          <cell r="C234" t="str">
            <v>ANDI NURALIM KAMAL</v>
          </cell>
          <cell r="D234" t="str">
            <v>DIVISI PERSETUJUAN RANCANG BANGUN</v>
          </cell>
          <cell r="E234" t="str">
            <v>VP PERSETUJUAN RANCANG BANGUN</v>
          </cell>
          <cell r="F234" t="str">
            <v>andi.nuralim@bki.co.id</v>
          </cell>
        </row>
        <row r="235">
          <cell r="C235" t="str">
            <v>FAHMI</v>
          </cell>
          <cell r="D235" t="str">
            <v>DIVISI PERSETUJUAN RANCANG BANGUN</v>
          </cell>
          <cell r="E235" t="str">
            <v>ENGINEER SENIOR II B STATUTORIA</v>
          </cell>
          <cell r="F235" t="str">
            <v>fahmi@bki.co.id</v>
          </cell>
        </row>
        <row r="236">
          <cell r="C236" t="str">
            <v>FACHRUDDIN</v>
          </cell>
          <cell r="D236" t="str">
            <v>DIVISI PERSETUJUAN RANCANG BANGUN NUSANTARA</v>
          </cell>
          <cell r="E236" t="str">
            <v>ENGINEER STRUKTUR</v>
          </cell>
          <cell r="F236" t="str">
            <v>fachruddin@bki.co.id</v>
          </cell>
        </row>
        <row r="237">
          <cell r="C237" t="str">
            <v>FARRAH MUTIA NURFADILAH</v>
          </cell>
          <cell r="D237" t="str">
            <v>DIVISI RISET DAN PENGEMBANGAN PRODUK</v>
          </cell>
          <cell r="E237" t="str">
            <v>ADMINISTRATOR SENIOR</v>
          </cell>
          <cell r="F237" t="str">
            <v>farrah.mn@bki.co.id</v>
          </cell>
        </row>
        <row r="238">
          <cell r="C238" t="str">
            <v>SRI JATMIKO ABDUL ROHMAN</v>
          </cell>
          <cell r="D238" t="str">
            <v>DIVISI RISET DAN PENGEMBANGAN BISNIS KLASIFIKASI &amp; STATUTORIA</v>
          </cell>
          <cell r="E238" t="str">
            <v>PENGKAJI SENIOR I A MATERIAL &amp; STRUKTUR  (PERATURAN  NASIONAL)</v>
          </cell>
          <cell r="F238" t="str">
            <v>jatmiko@bki.co.id</v>
          </cell>
        </row>
        <row r="239">
          <cell r="C239" t="str">
            <v>MOHAMMAD ABDUL MALIK</v>
          </cell>
          <cell r="D239" t="str">
            <v>DIVISI RISET DAN PENGEMBANGAN BISNIS KLASIFIKASI &amp; STATUTORIA</v>
          </cell>
          <cell r="E239" t="str">
            <v>PENGKAJI SENIOR I B STATUTORIA  (PERATURAN  NASIONAL)</v>
          </cell>
          <cell r="F239" t="str">
            <v>abdulmalik@bki.co.id</v>
          </cell>
        </row>
        <row r="240">
          <cell r="C240" t="str">
            <v>WANGININGASTUTI MUTMAINNAH</v>
          </cell>
          <cell r="D240" t="str">
            <v>DIVISI RISET DAN PENGEMBANGAN BISNIS KLASIFIKASI &amp; STATUTORIA</v>
          </cell>
          <cell r="E240" t="str">
            <v>PENELITI MATERIAL &amp; STRUKTUR</v>
          </cell>
          <cell r="F240" t="str">
            <v>wanginingastuti@bki.co.id</v>
          </cell>
        </row>
        <row r="241">
          <cell r="C241" t="str">
            <v>RISKA DERIANI MASKAR</v>
          </cell>
          <cell r="D241" t="str">
            <v>DIVISI RISET DAN PENGEMBANGAN BISNIS KLASIFIKASI &amp; STATUTORIA</v>
          </cell>
          <cell r="E241" t="str">
            <v>PENGKAJI STATUTORIA (PERATURAN  NASIONAL)</v>
          </cell>
          <cell r="F241" t="str">
            <v>riska@bki.co.id</v>
          </cell>
        </row>
        <row r="242">
          <cell r="C242" t="str">
            <v>MUHAMAD RIZQI FITRA HARIADI</v>
          </cell>
          <cell r="D242" t="str">
            <v>DIVISI RISET DAN PENGEMBANGAN BISNIS KLASIFIKASI &amp; STATUTORIA</v>
          </cell>
          <cell r="E242" t="str">
            <v>PENELITI PERMESINAN</v>
          </cell>
          <cell r="F242" t="str">
            <v>m.rizqi@bki.co.id</v>
          </cell>
        </row>
        <row r="243">
          <cell r="C243" t="str">
            <v>MUHAMMAD YUDI OKTOVIANTO</v>
          </cell>
          <cell r="D243" t="str">
            <v>DIVISI RISET DAN PENGEMBANGAN BISNIS KLASIFIKASI &amp; STATUTORIA</v>
          </cell>
          <cell r="E243" t="str">
            <v>PENGKAJI SENIOR I B MATERIAL &amp; STRUKTUR (PERATURAN  NASIONAL)</v>
          </cell>
          <cell r="F243" t="str">
            <v>yudi.oktovianto@bki.co.id</v>
          </cell>
        </row>
        <row r="244">
          <cell r="C244" t="str">
            <v>WILLY ADI NUGROHO</v>
          </cell>
          <cell r="D244" t="str">
            <v>DIVISI SEKRETARIS PERUSAHAAN</v>
          </cell>
          <cell r="E244" t="str">
            <v>PJ. SENIOR MANAGER TATA KELOLA</v>
          </cell>
          <cell r="F244" t="str">
            <v>willy.an@bki.co.id</v>
          </cell>
        </row>
        <row r="245">
          <cell r="C245" t="str">
            <v>NOVIANSYAH PAMUNGKAS</v>
          </cell>
          <cell r="D245" t="str">
            <v>DIVISI SEKRETARIS PERUSAHAAN</v>
          </cell>
          <cell r="E245" t="str">
            <v>ANALIS EXECUTIVE SUPPORT</v>
          </cell>
          <cell r="F245" t="str">
            <v>noviansyah@bki.co.id</v>
          </cell>
        </row>
        <row r="246">
          <cell r="C246" t="str">
            <v>WILLEM GERRIT PIETER</v>
          </cell>
          <cell r="D246" t="str">
            <v>DIVISI SEKRETARIS PERUSAHAAN</v>
          </cell>
          <cell r="E246" t="str">
            <v>JUNIOR PROTOKOLER</v>
          </cell>
          <cell r="F246" t="str">
            <v>gerrit.rehatta@bki.co.id</v>
          </cell>
        </row>
        <row r="247">
          <cell r="C247" t="str">
            <v>MICHELLE CHANTAL MUSTAMU</v>
          </cell>
          <cell r="D247" t="str">
            <v>DIVISI SEKRETARIS PERUSAHAAN</v>
          </cell>
          <cell r="E247" t="str">
            <v>ADMINISTRATOR</v>
          </cell>
          <cell r="F247" t="str">
            <v>michelle.mustamu@bki.co.id</v>
          </cell>
        </row>
        <row r="248">
          <cell r="C248" t="str">
            <v>BONOR SAMUEL CHARLES</v>
          </cell>
          <cell r="D248" t="str">
            <v>DIVISI SEKRETARIS PERUSAHAAN</v>
          </cell>
          <cell r="E248" t="str">
            <v>SENIOR MANAGER KOMUNIKASI KORPORAT</v>
          </cell>
          <cell r="F248" t="str">
            <v>bonor.sc@bki.co.id</v>
          </cell>
        </row>
        <row r="249">
          <cell r="C249" t="str">
            <v>LINDA KURNIATY</v>
          </cell>
          <cell r="D249" t="str">
            <v>DIVISI SEKRETARIS PERUSAHAAN</v>
          </cell>
          <cell r="E249" t="str">
            <v>ANALIS ADMISNISTRASI KORPORASI</v>
          </cell>
          <cell r="F249" t="str">
            <v>linda.kurniaty@bki.co.id</v>
          </cell>
        </row>
        <row r="250">
          <cell r="C250" t="str">
            <v>HAERUDIN</v>
          </cell>
          <cell r="D250" t="str">
            <v>DIVISI SEKRETARIS PERUSAHAAN</v>
          </cell>
          <cell r="E250" t="str">
            <v>ADMINISTRATOR</v>
          </cell>
          <cell r="F250" t="str">
            <v>haerudin@bki.co.id</v>
          </cell>
        </row>
        <row r="251">
          <cell r="C251" t="str">
            <v>GDE SANDHYANA PRADHITA</v>
          </cell>
          <cell r="D251" t="str">
            <v>DIVISI SEKRETARIS PERUSAHAAN</v>
          </cell>
          <cell r="E251" t="str">
            <v>PROTOKOLER</v>
          </cell>
          <cell r="F251" t="str">
            <v>gde.sandhyana@bki.co.id</v>
          </cell>
        </row>
        <row r="252">
          <cell r="C252" t="str">
            <v>ADE SINTYA KUSUMAWARDANI</v>
          </cell>
          <cell r="D252" t="str">
            <v>DIVISI SEKRETARIS PERUSAHAAN</v>
          </cell>
          <cell r="E252" t="str">
            <v>STAF DUKUNGAN BISNIS</v>
          </cell>
          <cell r="F252" t="str">
            <v>ade.sintya@bki.co.id</v>
          </cell>
        </row>
        <row r="253">
          <cell r="C253" t="str">
            <v>ADITYA TRISANDHYA PRAMANA</v>
          </cell>
          <cell r="D253" t="str">
            <v>DIVISI STATUTORIA</v>
          </cell>
          <cell r="E253" t="str">
            <v>SENIOR MANAGER OPERASI STATUTORIA NON KONVENSI</v>
          </cell>
          <cell r="F253" t="str">
            <v>aditya@bki.co.id</v>
          </cell>
        </row>
        <row r="254">
          <cell r="C254" t="str">
            <v>WASITO ABDUL MUKIT</v>
          </cell>
          <cell r="D254" t="str">
            <v>DIVISI PERSETUJUAN RANCANG BANGUN NUSANTARA</v>
          </cell>
          <cell r="E254" t="str">
            <v>VP PERSETUJUAN RANCANG BANGUN NUSANTARA</v>
          </cell>
          <cell r="F254" t="str">
            <v>wasito@bki.co.id</v>
          </cell>
        </row>
        <row r="255">
          <cell r="C255" t="str">
            <v>FIRMANSYAH</v>
          </cell>
          <cell r="D255" t="str">
            <v>DIVISI STATUTORIA</v>
          </cell>
          <cell r="E255" t="str">
            <v>ADMINISTRATOR SENIOR</v>
          </cell>
          <cell r="F255" t="str">
            <v>firmansyah@bki.co.id</v>
          </cell>
        </row>
        <row r="256">
          <cell r="C256" t="str">
            <v>AFIF AMRULLAH</v>
          </cell>
          <cell r="D256" t="str">
            <v>DIVISI STATUTORIA</v>
          </cell>
          <cell r="E256" t="str">
            <v>SURVEYOR SENIOR I C OPERASI STATUTORIA KONVENSI</v>
          </cell>
          <cell r="F256" t="str">
            <v>afif.amrullah@bki.co.id</v>
          </cell>
        </row>
        <row r="257">
          <cell r="C257" t="str">
            <v>ARIF YUNAEDI</v>
          </cell>
          <cell r="D257" t="str">
            <v>DIVISI SURVEY</v>
          </cell>
          <cell r="E257" t="str">
            <v>SENIOR MANAGER MANAJEMEN KLASIFIKASI NUSANTARA</v>
          </cell>
          <cell r="F257" t="str">
            <v>arif.yunaedi@bki.co.id</v>
          </cell>
        </row>
        <row r="258">
          <cell r="C258" t="str">
            <v>NOMO PRIHASTA</v>
          </cell>
          <cell r="D258" t="str">
            <v>DIVISI PERSETUJUAN RANCANG BANGUN</v>
          </cell>
          <cell r="E258" t="str">
            <v>ENGINEER STATUTORIA</v>
          </cell>
          <cell r="F258" t="str">
            <v>nomo.prihasta@bki.co.id</v>
          </cell>
        </row>
        <row r="259">
          <cell r="C259" t="str">
            <v>DOAN OSCAR DEWANDARU</v>
          </cell>
          <cell r="D259" t="str">
            <v>DIVISI STATUTORIA</v>
          </cell>
          <cell r="E259" t="str">
            <v>SURVEYOR SENIOR II B OPERASI STATUTORIA KONVENSI</v>
          </cell>
          <cell r="F259" t="str">
            <v>doan.oscar@bki.co.id</v>
          </cell>
        </row>
        <row r="260">
          <cell r="C260" t="str">
            <v>TRI LAKSONO JOENIAWAN</v>
          </cell>
          <cell r="D260" t="str">
            <v>DIVISI STATUTORIA</v>
          </cell>
          <cell r="E260" t="str">
            <v>SURVEYOR SENIOR II B OPERASI STATUTORIA KONVENSI</v>
          </cell>
          <cell r="F260" t="str">
            <v>tri@bki.co.id</v>
          </cell>
        </row>
        <row r="261">
          <cell r="C261" t="str">
            <v>HAMBALI WAHID</v>
          </cell>
          <cell r="D261" t="str">
            <v>DIVISI SURVEY</v>
          </cell>
          <cell r="E261" t="str">
            <v>ADMINISTRATOR SENIOR</v>
          </cell>
          <cell r="F261" t="str">
            <v>hambali.wahid@bki.co.id</v>
          </cell>
        </row>
        <row r="262">
          <cell r="C262" t="str">
            <v>TANTYO PRAJOGO</v>
          </cell>
          <cell r="D262" t="str">
            <v>DIVISI OPERASI BISNIS KLASIFIKASI</v>
          </cell>
          <cell r="E262" t="str">
            <v>SURVEYOR UTAMA</v>
          </cell>
          <cell r="F262" t="str">
            <v>tantyo.prajogo@bki.co.id</v>
          </cell>
        </row>
        <row r="263">
          <cell r="C263" t="str">
            <v>RUDI HARIYANTO</v>
          </cell>
          <cell r="D263" t="str">
            <v>DIVISI SURVEY</v>
          </cell>
          <cell r="E263" t="str">
            <v>ADMINISTRATOR SENIOR</v>
          </cell>
          <cell r="F263" t="str">
            <v>rudi.hariyanto@bki.co.id</v>
          </cell>
        </row>
        <row r="264">
          <cell r="C264" t="str">
            <v>SANG LANANG SADDAMULLAH</v>
          </cell>
          <cell r="D264" t="str">
            <v>DIVISI OPERASI BISNIS KLASIFIKASI</v>
          </cell>
          <cell r="E264" t="str">
            <v>SENIOR MANAGER MANAJEMEN KLASIFIKASI</v>
          </cell>
          <cell r="F264" t="str">
            <v>sang.saddam@bki.co.id</v>
          </cell>
        </row>
        <row r="265">
          <cell r="C265" t="str">
            <v>SANDI NANDARIANTO</v>
          </cell>
          <cell r="D265" t="str">
            <v>DIVISI SURVEY</v>
          </cell>
          <cell r="E265" t="str">
            <v>SURVEYOR MEMPERTAHANKAN KLAS NUSANTARA</v>
          </cell>
          <cell r="F265" t="str">
            <v>sandi.nandarianto@bki.co.id</v>
          </cell>
        </row>
        <row r="266">
          <cell r="C266" t="str">
            <v>MIFTAH FARIDY</v>
          </cell>
          <cell r="D266" t="str">
            <v>DIVISI SURVEY</v>
          </cell>
          <cell r="E266" t="str">
            <v>SURVEYOR SENIOR I B PENERIMAAN KLAS NUSANTARA</v>
          </cell>
          <cell r="F266" t="str">
            <v>miftah.faridy@bki.co.id</v>
          </cell>
        </row>
        <row r="267">
          <cell r="C267" t="str">
            <v>MUHAMMAD ARFAH</v>
          </cell>
          <cell r="D267" t="str">
            <v>DIVISI SURVEY</v>
          </cell>
          <cell r="E267" t="str">
            <v>SURVEYOR SENIOR II C MEMPERTAHANKAN KLAS NUSANTARA</v>
          </cell>
          <cell r="F267" t="str">
            <v>arfah@bki.co.id</v>
          </cell>
        </row>
        <row r="268">
          <cell r="C268" t="str">
            <v>SETIONO PRABOWO</v>
          </cell>
          <cell r="D268" t="str">
            <v>DIVISI SURVEY</v>
          </cell>
          <cell r="E268" t="str">
            <v>SURVEYOR MEMPERTAHANKAN KLAS NUSANTARA</v>
          </cell>
          <cell r="F268" t="str">
            <v>setiono.prabowo@bki.co.id</v>
          </cell>
        </row>
        <row r="269">
          <cell r="C269" t="str">
            <v>IRWAN EKO SANTOSO</v>
          </cell>
          <cell r="D269" t="str">
            <v>DIVISI SURVEY</v>
          </cell>
          <cell r="E269" t="str">
            <v>SURVEYOR SENIOR I A MEMPERTAHANKAN KLAS NUSANTARA</v>
          </cell>
          <cell r="F269" t="str">
            <v>irwan.es@bki.co.id</v>
          </cell>
        </row>
        <row r="270">
          <cell r="C270" t="str">
            <v>SYARIFUL MAHSYAR</v>
          </cell>
          <cell r="D270" t="str">
            <v>DIVISI SURVEY</v>
          </cell>
          <cell r="E270" t="str">
            <v>ENGINEER SENIOR I A MANAJEMEN KLASIFIKASI</v>
          </cell>
          <cell r="F270" t="str">
            <v>syariful.mahsyar@bki.co.id</v>
          </cell>
        </row>
        <row r="271">
          <cell r="C271" t="str">
            <v>LUTFI PALIAM PARAYA</v>
          </cell>
          <cell r="D271" t="str">
            <v>DIVISI SURVEY</v>
          </cell>
          <cell r="E271" t="str">
            <v>SURVEYOR MEMPERTAHANKAN KLAS NUSANTARA</v>
          </cell>
          <cell r="F271" t="str">
            <v>lutfi.paraya@bki.co.id</v>
          </cell>
        </row>
        <row r="272">
          <cell r="C272" t="str">
            <v>SIGIT PRASTOWO</v>
          </cell>
          <cell r="D272" t="str">
            <v>DIVISI SURVEY</v>
          </cell>
          <cell r="E272" t="str">
            <v>SURVEYOR SENIOR I C MEMPERTAHANKAN KLAS NUSANTARA</v>
          </cell>
          <cell r="F272" t="str">
            <v>sigit.prastowo@bki.co.id</v>
          </cell>
        </row>
        <row r="273">
          <cell r="C273" t="str">
            <v>NUR RAHMAD HIDAYAT</v>
          </cell>
          <cell r="D273" t="str">
            <v>DIVISI OPERASI BISNIS KLASIFIKASI</v>
          </cell>
          <cell r="E273" t="str">
            <v>SURVEYOR SENIOR I B OPERASI KLASIFIKASI</v>
          </cell>
          <cell r="F273" t="str">
            <v>nur.ra@bki.co.id</v>
          </cell>
        </row>
        <row r="274">
          <cell r="C274" t="str">
            <v>RISWAN AKBAR</v>
          </cell>
          <cell r="D274" t="str">
            <v>DIVISI SURVEY</v>
          </cell>
          <cell r="E274" t="str">
            <v>SURVEYOR SENIOR I A MEMPERTAHANKAN KLAS NUSANTARA</v>
          </cell>
          <cell r="F274" t="str">
            <v>riswan.akbar@bki.co.id</v>
          </cell>
        </row>
        <row r="275">
          <cell r="C275" t="str">
            <v>PRASETYO</v>
          </cell>
          <cell r="D275" t="str">
            <v>DIVISI TEKNOLOGI INFORMASI</v>
          </cell>
          <cell r="E275" t="str">
            <v>SENIOR MANAGER PENGEMBANGAN DAN OPERASI TI</v>
          </cell>
          <cell r="F275" t="str">
            <v>prasetyo@bki.co.id</v>
          </cell>
        </row>
        <row r="276">
          <cell r="C276" t="str">
            <v>DICKY ALDOKO</v>
          </cell>
          <cell r="D276" t="str">
            <v>DIVISI TEKNOLOGI INFORMASI</v>
          </cell>
          <cell r="E276" t="str">
            <v>ANALIS MANAJEMEN PROYEK TEKNOLOGI INFORMASI</v>
          </cell>
          <cell r="F276" t="str">
            <v>dicky.aldoko@bki.co.id</v>
          </cell>
        </row>
        <row r="277">
          <cell r="C277" t="str">
            <v>M RAHMAT AKBAR RAMADHAN</v>
          </cell>
          <cell r="D277" t="str">
            <v>DIVISI TEKNOLOGI INFORMASI</v>
          </cell>
          <cell r="E277" t="str">
            <v>ANALIS PENGEMBANGAN DAN OPERASI TEKNOLOGI INFORMASI</v>
          </cell>
          <cell r="F277" t="str">
            <v>rahmat.akbar@bki.co.id</v>
          </cell>
        </row>
        <row r="278">
          <cell r="C278" t="str">
            <v>HARDIAN</v>
          </cell>
          <cell r="D278" t="str">
            <v>DIVISI TEKNOLOGI INFORMASI</v>
          </cell>
          <cell r="E278" t="str">
            <v>SPESIALIS MANAJEMEN PROYEK TEKNOLOGI INFORMASI</v>
          </cell>
          <cell r="F278" t="str">
            <v>hardian@bki.co.id</v>
          </cell>
        </row>
        <row r="279">
          <cell r="C279" t="str">
            <v>ARIEF BUDI PERMANA</v>
          </cell>
          <cell r="D279" t="str">
            <v>DIREKTUR</v>
          </cell>
          <cell r="E279" t="str">
            <v>DIREKTUR</v>
          </cell>
          <cell r="F279" t="str">
            <v>ariefbp@bki.co.id</v>
          </cell>
        </row>
        <row r="280">
          <cell r="C280" t="str">
            <v>R. AGUS DODDY DWISAGITA</v>
          </cell>
          <cell r="D280" t="str">
            <v>DIREKTUR</v>
          </cell>
          <cell r="E280" t="str">
            <v>DIREKTUR</v>
          </cell>
          <cell r="F280" t="str">
            <v>dody@bki.co.id</v>
          </cell>
        </row>
        <row r="281">
          <cell r="C281" t="str">
            <v>MEGAWATI ROSALIO PUTRI</v>
          </cell>
          <cell r="D281" t="str">
            <v>GROUP STRATEGI DAN TRANSFORMASI KORPORAT</v>
          </cell>
          <cell r="E281" t="str">
            <v>SPESIALIS TRANSFORMATION OFFICE CHAMPION</v>
          </cell>
          <cell r="F281" t="str">
            <v>megawati.rp@bki.co.id</v>
          </cell>
        </row>
        <row r="282">
          <cell r="C282" t="str">
            <v>RIANA PATRICIA</v>
          </cell>
          <cell r="D282" t="str">
            <v>GROUP STRATEGI DAN TRANSFORMASI KORPORAT</v>
          </cell>
          <cell r="E282" t="str">
            <v>SPESIALIS TRANSFORMATION OFFICE CHAMPION</v>
          </cell>
          <cell r="F282" t="str">
            <v>riana.patricia@bki.co.id</v>
          </cell>
        </row>
        <row r="283">
          <cell r="C283" t="str">
            <v>IRAWATI</v>
          </cell>
          <cell r="D283" t="str">
            <v>GROUP STRATEGI DAN TRANSFORMASI KORPORAT</v>
          </cell>
          <cell r="E283" t="str">
            <v>SPESIALIS TRANSFORMATION OFFICE CHAMPION</v>
          </cell>
          <cell r="F283" t="str">
            <v>irawati@bki.co.id</v>
          </cell>
        </row>
        <row r="284">
          <cell r="C284" t="str">
            <v>KEVIN IQBAL RIZALDI</v>
          </cell>
          <cell r="D284" t="str">
            <v>DIVISI LEGAL COUNSEL</v>
          </cell>
          <cell r="E284" t="str">
            <v>PJ. SENIOR SPESIALIS LEGAL COUNSEL</v>
          </cell>
          <cell r="F284" t="str">
            <v>kevin.ir@bki.co.id</v>
          </cell>
        </row>
        <row r="285">
          <cell r="C285" t="str">
            <v>ANDRI SURYAWAN</v>
          </cell>
          <cell r="D285" t="str">
            <v>DIVISI LEGAL COUNSEL</v>
          </cell>
          <cell r="E285" t="str">
            <v>PRINCIPAL LEGAL COUNSEL</v>
          </cell>
          <cell r="F285" t="str">
            <v>andri.suryawan@bki.co.id</v>
          </cell>
        </row>
        <row r="286">
          <cell r="C286" t="str">
            <v>DEBORAH NINDYA PAWESTRI</v>
          </cell>
          <cell r="D286" t="str">
            <v>DIVISI LEGAL COUNSEL</v>
          </cell>
          <cell r="E286" t="str">
            <v>OFFICER LEGAL</v>
          </cell>
          <cell r="F286" t="str">
            <v>deborah.np@bki.co.id</v>
          </cell>
        </row>
        <row r="287">
          <cell r="C287" t="str">
            <v>MUHAMMAD IRVAN WIDYA</v>
          </cell>
          <cell r="D287" t="str">
            <v>SATUAN PENGAWASAN INTERN</v>
          </cell>
          <cell r="E287" t="str">
            <v>SENIOR AUDITOR SEGMEN KOMERSIAL</v>
          </cell>
          <cell r="F287" t="str">
            <v>muhammad.iw@bki.co.id</v>
          </cell>
        </row>
        <row r="288">
          <cell r="C288" t="str">
            <v>RAHMAN SUSILO</v>
          </cell>
          <cell r="D288" t="str">
            <v>SATUAN PENGAWASAN INTERN</v>
          </cell>
          <cell r="E288" t="str">
            <v>SENIOR MANAGER AUDIT SEGMEN KOMERSIAL</v>
          </cell>
          <cell r="F288" t="str">
            <v>susilo@bki.co.id</v>
          </cell>
        </row>
        <row r="289">
          <cell r="C289" t="str">
            <v>ANITA MAGDALENA</v>
          </cell>
          <cell r="D289" t="str">
            <v>SATUAN PENGAWASAN INTERN</v>
          </cell>
          <cell r="E289" t="str">
            <v>SENIOR MANAGER AUDIT SEGMEN KLASIFIKASI</v>
          </cell>
          <cell r="F289" t="str">
            <v>anitamp@bki.co.id</v>
          </cell>
        </row>
        <row r="290">
          <cell r="C290" t="str">
            <v>LUTHFI SETIA MARDANI</v>
          </cell>
          <cell r="D290" t="str">
            <v>SATUAN PENGAWASAN INTERN</v>
          </cell>
          <cell r="E290" t="str">
            <v>ANALIS PERENCANAAN &amp; AUDIT SEGMEN KLASIFIKASI</v>
          </cell>
          <cell r="F290" t="str">
            <v>luthfi.mardani@bki.co.id</v>
          </cell>
        </row>
        <row r="291">
          <cell r="C291" t="str">
            <v>ABDUR RAHMAN</v>
          </cell>
          <cell r="D291" t="str">
            <v>SATUAN PENGAWASAN INTERN</v>
          </cell>
          <cell r="E291" t="str">
            <v>VP PENGAWASAN INTERN</v>
          </cell>
          <cell r="F291" t="str">
            <v>rahman@bki.co.id</v>
          </cell>
        </row>
        <row r="292">
          <cell r="C292" t="str">
            <v>SARI GITA TANTINIS</v>
          </cell>
          <cell r="D292" t="str">
            <v>SATUAN PENGAWASAN INTERN</v>
          </cell>
          <cell r="E292" t="str">
            <v>SENIOR AUDITOR SEGMEN KOMERSIAL</v>
          </cell>
          <cell r="F292" t="str">
            <v>gita@bki.co.id</v>
          </cell>
        </row>
        <row r="293">
          <cell r="C293" t="str">
            <v>DIMAS PUTRA PRASETYO</v>
          </cell>
          <cell r="D293" t="str">
            <v>SBU ENERGI DAN INDUSTRI</v>
          </cell>
          <cell r="E293" t="str">
            <v>ASISTEN INSPEKTUR II OPERASI ENERGI</v>
          </cell>
          <cell r="F293" t="str">
            <v>dimas.pp@bki.co.id</v>
          </cell>
        </row>
        <row r="294">
          <cell r="C294" t="str">
            <v>IRMA YUNIATI</v>
          </cell>
          <cell r="D294" t="str">
            <v>SBU ENERGI DAN INDUSTRI</v>
          </cell>
          <cell r="E294" t="str">
            <v>ASISTEN INSPEKTUR I OPERASI ENERGI</v>
          </cell>
          <cell r="F294" t="str">
            <v>irma.yuniati@bki.co.id</v>
          </cell>
        </row>
        <row r="295">
          <cell r="C295" t="str">
            <v>HENDI ZULFAN</v>
          </cell>
          <cell r="D295" t="str">
            <v>SBU ENERGI DAN INDUSTRI</v>
          </cell>
          <cell r="E295" t="str">
            <v>OPERATOR PENGUJIAN</v>
          </cell>
          <cell r="F295" t="str">
            <v>hendy.zulfan@bki.co.id</v>
          </cell>
        </row>
        <row r="296">
          <cell r="C296" t="str">
            <v>WAHJOE ARIO TEDJO</v>
          </cell>
          <cell r="D296" t="str">
            <v>SBU ENERGI DAN INDUSTRI</v>
          </cell>
          <cell r="E296" t="str">
            <v>INSPEKTUR SENIOR II OPERASI INDUSTRI</v>
          </cell>
          <cell r="F296" t="str">
            <v>tedjo@bki.co.id</v>
          </cell>
        </row>
        <row r="297">
          <cell r="C297" t="str">
            <v>WINARTO</v>
          </cell>
          <cell r="D297" t="str">
            <v>SBU ENERGI DAN INDUSTRI</v>
          </cell>
          <cell r="E297" t="str">
            <v>SENIOR INSPEKTUR II B</v>
          </cell>
          <cell r="F297" t="str">
            <v>winarto@bki.co.id</v>
          </cell>
        </row>
        <row r="298">
          <cell r="C298" t="str">
            <v>MUHAMMAD SOFIAN</v>
          </cell>
          <cell r="D298" t="str">
            <v>SBU ENERGI DAN INDUSTRI</v>
          </cell>
          <cell r="E298" t="str">
            <v>ADMINISTRATOR</v>
          </cell>
          <cell r="F298" t="str">
            <v>sofian@bki.co.id</v>
          </cell>
        </row>
        <row r="299">
          <cell r="C299" t="str">
            <v>EFRY TALLAMMA</v>
          </cell>
          <cell r="D299" t="str">
            <v>SBU ENERGI DAN INDUSTRI</v>
          </cell>
          <cell r="E299" t="str">
            <v>ADMINISTRATOR SENIOR</v>
          </cell>
          <cell r="F299" t="str">
            <v>efry.t@bki.co.id</v>
          </cell>
        </row>
        <row r="300">
          <cell r="C300" t="str">
            <v>DANIEL MAHARDHIKA</v>
          </cell>
          <cell r="D300" t="str">
            <v>SBU ENERGI DAN INDUSTRI</v>
          </cell>
          <cell r="E300" t="str">
            <v>MANAGER BISNIS EKONOMI HIJAU</v>
          </cell>
          <cell r="F300" t="str">
            <v>daniel.mahardhika@bki.co.id</v>
          </cell>
        </row>
        <row r="301">
          <cell r="C301" t="str">
            <v>JOKO SUSILO</v>
          </cell>
          <cell r="D301" t="str">
            <v>SBU ENERGI DAN INDUSTRI</v>
          </cell>
          <cell r="E301" t="str">
            <v>INSPEKTUR OPERASI INDUSTRI</v>
          </cell>
          <cell r="F301" t="str">
            <v>joko.susilo@bki.co.id</v>
          </cell>
        </row>
        <row r="302">
          <cell r="C302" t="str">
            <v>FATKHURROHMAN</v>
          </cell>
          <cell r="D302" t="str">
            <v>SBU ENERGI DAN INDUSTRI</v>
          </cell>
          <cell r="E302" t="str">
            <v>ASISTEN INSPEKTUR II OPERASI INDUSTRI</v>
          </cell>
          <cell r="F302" t="str">
            <v>fatkhurrohman@bki.co.id</v>
          </cell>
        </row>
        <row r="303">
          <cell r="C303" t="str">
            <v>HELDA YULISTIANI</v>
          </cell>
          <cell r="D303" t="str">
            <v>SBU ENERGI DAN INDUSTRI</v>
          </cell>
          <cell r="E303" t="str">
            <v>ADMINISTRATOR SENIOR</v>
          </cell>
          <cell r="F303" t="str">
            <v>helda.yulistiani@bki.co.id</v>
          </cell>
        </row>
        <row r="304">
          <cell r="C304" t="str">
            <v>YUSRIADY BOROALLO RUGA</v>
          </cell>
          <cell r="D304" t="str">
            <v>SBU ENERGI DAN INDUSTRI</v>
          </cell>
          <cell r="E304" t="str">
            <v>INSPEKTUR OPERASI ENERGI</v>
          </cell>
          <cell r="F304" t="str">
            <v>yusriadi.br@bki.co.id</v>
          </cell>
        </row>
        <row r="305">
          <cell r="C305" t="str">
            <v>WAHYU PRIAMBODO</v>
          </cell>
          <cell r="D305" t="str">
            <v>SBU ENERGI DAN INDUSTRI</v>
          </cell>
          <cell r="E305" t="str">
            <v>INSPEKTUR SENIOR I OPERASI ENERGI</v>
          </cell>
          <cell r="F305" t="str">
            <v>wahyu.priambodo@bki.co.id</v>
          </cell>
        </row>
        <row r="306">
          <cell r="C306" t="str">
            <v>BAMBANG WIJANARKO</v>
          </cell>
          <cell r="D306" t="str">
            <v>SBU ENERGI DAN INDUSTRI</v>
          </cell>
          <cell r="E306" t="str">
            <v>MANAGER LABORATORIUM</v>
          </cell>
          <cell r="F306" t="str">
            <v>wijanarko@bki.co.id</v>
          </cell>
        </row>
        <row r="307">
          <cell r="C307" t="str">
            <v>SUSETYO WIJANARKO BUDIARDHI</v>
          </cell>
          <cell r="D307" t="str">
            <v>SBU ENERGI DAN INDUSTRI</v>
          </cell>
          <cell r="E307" t="str">
            <v>INSPEKTUR OPERASI INDUSTRI</v>
          </cell>
          <cell r="F307" t="str">
            <v>sesetyo@bki.co.id</v>
          </cell>
        </row>
        <row r="308">
          <cell r="C308" t="str">
            <v>FERNANDO S</v>
          </cell>
          <cell r="D308" t="str">
            <v>SBU ENERGI DAN INDUSTRI</v>
          </cell>
          <cell r="E308" t="str">
            <v>MANAGER PEMASARAN DAN PENGEMBANGAN</v>
          </cell>
          <cell r="F308" t="str">
            <v>fernando@bki.co.id</v>
          </cell>
        </row>
        <row r="309">
          <cell r="C309" t="str">
            <v>RAHADI SIGIT WICAKSONO</v>
          </cell>
          <cell r="D309" t="str">
            <v>SBU ENERGI DAN INDUSTRI</v>
          </cell>
          <cell r="E309" t="str">
            <v>ASISTEN INSPEKTUR II OPERASI ENERGI</v>
          </cell>
          <cell r="F309" t="str">
            <v>rahadi@bki.co.id</v>
          </cell>
        </row>
        <row r="310">
          <cell r="C310" t="str">
            <v>ARIF RACHMAN</v>
          </cell>
          <cell r="D310" t="str">
            <v>SBU ENERGI DAN INDUSTRI</v>
          </cell>
          <cell r="E310" t="str">
            <v>INSPEKTUR OPERASI INDUSTRI</v>
          </cell>
          <cell r="F310" t="str">
            <v>arachman@bki.co.id</v>
          </cell>
        </row>
        <row r="311">
          <cell r="C311" t="str">
            <v>DINO VITA LARASANTO</v>
          </cell>
          <cell r="D311" t="str">
            <v>SBU ENERGI DAN INDUSTRI</v>
          </cell>
          <cell r="E311" t="str">
            <v>ASISTEN INSPEKTUR I OPERASI ENERGI</v>
          </cell>
          <cell r="F311" t="str">
            <v>dino.vl@bki.co.id</v>
          </cell>
        </row>
        <row r="312">
          <cell r="C312" t="str">
            <v>JOKO UTOMO</v>
          </cell>
          <cell r="D312" t="str">
            <v>SBU ENERGI DAN INDUSTRI</v>
          </cell>
          <cell r="E312" t="str">
            <v>MANAGER ADMINISTRASI KEUANGAN ENERGI DAN INDUSTRI</v>
          </cell>
          <cell r="F312" t="str">
            <v>joko.utomo@bki.co.id</v>
          </cell>
        </row>
        <row r="313">
          <cell r="C313" t="str">
            <v>RIZKI ALDILLA TAMTURA</v>
          </cell>
          <cell r="D313" t="str">
            <v>SBU ENERGI DAN INDUSTRI</v>
          </cell>
          <cell r="E313" t="str">
            <v>ASISTEN INSPEKTUR II OPERASI INDUSTRI</v>
          </cell>
          <cell r="F313" t="str">
            <v>rizki.tamtura@bki.co.id</v>
          </cell>
        </row>
        <row r="314">
          <cell r="C314" t="str">
            <v>EDIT HASTA PRIHANTIKA</v>
          </cell>
          <cell r="D314" t="str">
            <v>SBU ENERGI DAN INDUSTRI</v>
          </cell>
          <cell r="E314" t="str">
            <v>INSPEKTUR OPERASI ENERGI</v>
          </cell>
          <cell r="F314" t="str">
            <v>hasta@bki.co.id</v>
          </cell>
        </row>
        <row r="315">
          <cell r="C315" t="str">
            <v>AZHAR GHIPARI</v>
          </cell>
          <cell r="D315" t="str">
            <v>SBU ENERGI DAN INDUSTRI</v>
          </cell>
          <cell r="E315" t="str">
            <v>INSPEKTUR OPERASI ENERGI</v>
          </cell>
          <cell r="F315" t="str">
            <v>azhar.ghipari@bki.co.id</v>
          </cell>
        </row>
        <row r="316">
          <cell r="C316" t="str">
            <v>ELVINO YUSKA PUTRA</v>
          </cell>
          <cell r="D316" t="str">
            <v>SBU ENERGI DAN INDUSTRI</v>
          </cell>
          <cell r="E316" t="str">
            <v>ADMINISTRATOR SENIOR</v>
          </cell>
          <cell r="F316" t="str">
            <v>elvino.yusca@bki.co.id</v>
          </cell>
        </row>
        <row r="317">
          <cell r="C317" t="str">
            <v>BURHANUDDIN</v>
          </cell>
          <cell r="D317" t="str">
            <v>SBU ENERGI DAN INDUSTRI</v>
          </cell>
          <cell r="E317" t="str">
            <v>ADMINISTRATOR SENIOR</v>
          </cell>
          <cell r="F317" t="str">
            <v>burhanuddin@bki.co.id</v>
          </cell>
        </row>
        <row r="318">
          <cell r="C318" t="str">
            <v>R. SAPTO AGUNG PRAMUSINTO</v>
          </cell>
          <cell r="D318" t="str">
            <v>SBU ENERGI DAN INDUSTRI</v>
          </cell>
          <cell r="E318" t="str">
            <v>KEPALA SBU ENERGI &amp; INDUSTRI</v>
          </cell>
          <cell r="F318" t="str">
            <v>sapto.ap@bki.co.id</v>
          </cell>
        </row>
        <row r="319">
          <cell r="C319" t="str">
            <v>MAMIN RIFFIA KUSNANDAR</v>
          </cell>
          <cell r="D319" t="str">
            <v>SBU ENERGI DAN INDUSTRI</v>
          </cell>
          <cell r="E319" t="str">
            <v>SENIOR MANAGER OPERASI ENERGI</v>
          </cell>
          <cell r="F319" t="str">
            <v>mamin@bki.co.id</v>
          </cell>
        </row>
        <row r="320">
          <cell r="C320" t="str">
            <v>SYAFRIL</v>
          </cell>
          <cell r="D320" t="str">
            <v>SBU ENERGI DAN INDUSTRI</v>
          </cell>
          <cell r="E320" t="str">
            <v>ASISTEN INSPEKTUR I OPERASI INDUSTRI</v>
          </cell>
          <cell r="F320" t="str">
            <v>syafril@bki.co.id</v>
          </cell>
        </row>
        <row r="321">
          <cell r="C321" t="str">
            <v>NOVELLA MUSYA</v>
          </cell>
          <cell r="D321" t="str">
            <v>SBU ENERGI DAN INDUSTRI</v>
          </cell>
          <cell r="E321" t="str">
            <v>ASISTEN INSPEKTUR II OPERASI ENERGI</v>
          </cell>
          <cell r="F321" t="str">
            <v>novella.musya@bki.co.id</v>
          </cell>
        </row>
        <row r="322">
          <cell r="C322" t="str">
            <v>YUDI PRAWOTO</v>
          </cell>
          <cell r="D322" t="str">
            <v>SBU ENERGI DAN INDUSTRI</v>
          </cell>
          <cell r="E322" t="str">
            <v>SENIOR MANAGER  DUKUNGAN DAN PENGEMBANGAN BISNIS ENERGI DAN INDUSTRI</v>
          </cell>
          <cell r="F322" t="str">
            <v>yudi.prawoto@bki.co.id</v>
          </cell>
        </row>
        <row r="323">
          <cell r="C323" t="str">
            <v>SUDIRO</v>
          </cell>
          <cell r="D323" t="str">
            <v>SBU ENERGI DAN INDUSTRI</v>
          </cell>
          <cell r="E323" t="str">
            <v>MANAGER ADMINISTRASI UMUM ENERGI DAN INDUSTRI</v>
          </cell>
          <cell r="F323" t="str">
            <v>sudiro@bki.co.id</v>
          </cell>
        </row>
        <row r="324">
          <cell r="C324" t="str">
            <v>KENEDI PANGARIBUAN</v>
          </cell>
          <cell r="D324" t="str">
            <v>SBU ENERGI DAN INDUSTRI</v>
          </cell>
          <cell r="E324" t="str">
            <v>ASISTEN INSPEKTUR II ENERGI</v>
          </cell>
          <cell r="F324" t="str">
            <v>kenedi.pangaribuan@bki.co.id</v>
          </cell>
        </row>
        <row r="325">
          <cell r="C325" t="str">
            <v>SATRIA ADI SUKMA NEGARA</v>
          </cell>
          <cell r="D325" t="str">
            <v>SBU ENERGI DAN INDUSTRI</v>
          </cell>
          <cell r="E325" t="str">
            <v>ASISTEN INSPEKTUR II ENERGI</v>
          </cell>
          <cell r="F325" t="str">
            <v>satria.adi@bki.co.id</v>
          </cell>
        </row>
        <row r="326">
          <cell r="C326" t="str">
            <v>TANTRY OCTAVIANI</v>
          </cell>
          <cell r="D326" t="str">
            <v>SBU ENERGI DAN INDUSTRI</v>
          </cell>
          <cell r="E326" t="str">
            <v>ADMINISTRATOR SENIOR</v>
          </cell>
          <cell r="F326" t="str">
            <v>tantry.octa@bki.co.id</v>
          </cell>
        </row>
        <row r="327">
          <cell r="C327" t="str">
            <v>RANDY YOLANDA ANNOFCI PRATAMA</v>
          </cell>
          <cell r="D327" t="str">
            <v>SBU MARINE SERVICES</v>
          </cell>
          <cell r="E327" t="str">
            <v>ADMINISTRATOR SENIOR</v>
          </cell>
          <cell r="F327" t="str">
            <v>randy.yap@bki.co.id</v>
          </cell>
        </row>
        <row r="328">
          <cell r="C328" t="str">
            <v>DR  KARTIKA KUS HENDRATNA</v>
          </cell>
          <cell r="D328" t="str">
            <v>SBU MARINE SERVICES</v>
          </cell>
          <cell r="E328" t="str">
            <v>KEPALA SBU MARINE SERVICES</v>
          </cell>
          <cell r="F328" t="str">
            <v>kartika.khendratna@bki.co.id</v>
          </cell>
        </row>
        <row r="329">
          <cell r="C329" t="str">
            <v>ARY FIRMANSYAH FIRLI</v>
          </cell>
          <cell r="D329" t="str">
            <v>SBU MARINE SERVICES</v>
          </cell>
          <cell r="E329" t="str">
            <v>ASISTEN INSPEKTUR II</v>
          </cell>
          <cell r="F329" t="str">
            <v>ary.firmansyah@bki.co.id</v>
          </cell>
        </row>
        <row r="330">
          <cell r="C330" t="str">
            <v>ABD. RAHMAN</v>
          </cell>
          <cell r="D330" t="str">
            <v>SBU MARINE SERVICES</v>
          </cell>
          <cell r="E330" t="str">
            <v>INSPEKTUR SENIOR I OPERASI MARINE</v>
          </cell>
          <cell r="F330" t="str">
            <v>abd.rahman@bki.co.id</v>
          </cell>
        </row>
        <row r="331">
          <cell r="C331" t="str">
            <v>ISMAIL</v>
          </cell>
          <cell r="D331" t="str">
            <v>SBU MARINE SERVICES</v>
          </cell>
          <cell r="E331" t="str">
            <v>INSPEKTUR SENIOR I OPERASI MARINE</v>
          </cell>
          <cell r="F331" t="str">
            <v>ismail@bki.co.id</v>
          </cell>
        </row>
        <row r="332">
          <cell r="C332" t="str">
            <v>ARIF PURWONO</v>
          </cell>
          <cell r="D332" t="str">
            <v>SBU MARINE SERVICES</v>
          </cell>
          <cell r="E332" t="str">
            <v>STAF UTAMA I</v>
          </cell>
          <cell r="F332" t="str">
            <v>arifpurwono@bki.co.id</v>
          </cell>
        </row>
        <row r="333">
          <cell r="C333" t="str">
            <v>HEDIAR HAPRI BANGABUA</v>
          </cell>
          <cell r="D333" t="str">
            <v>SBU MARINE SERVICES</v>
          </cell>
          <cell r="E333" t="str">
            <v>ASISTEN INSPEKTUR II OPERASI MARINE</v>
          </cell>
          <cell r="F333" t="str">
            <v>hediar.hb@bki.co.id</v>
          </cell>
        </row>
        <row r="334">
          <cell r="C334" t="str">
            <v>HERY ALWIS</v>
          </cell>
          <cell r="D334" t="str">
            <v>SBU MARINE SERVICES</v>
          </cell>
          <cell r="E334" t="str">
            <v>INSPEKTUR OPERASI MARINE</v>
          </cell>
          <cell r="F334" t="str">
            <v>hery.alwis@bki.co.id</v>
          </cell>
        </row>
        <row r="335">
          <cell r="C335" t="str">
            <v>MERDIANSAH</v>
          </cell>
          <cell r="D335" t="str">
            <v>SBU MARINE SERVICES</v>
          </cell>
          <cell r="E335" t="str">
            <v>MANAGER ADMINISTRASI KEUANGAN MARINE SERVICES</v>
          </cell>
          <cell r="F335" t="str">
            <v>merdiansah@bki.co.id</v>
          </cell>
        </row>
        <row r="336">
          <cell r="C336" t="str">
            <v>MUH. ASPAR</v>
          </cell>
          <cell r="D336" t="str">
            <v>SBU MARINE SERVICES</v>
          </cell>
          <cell r="E336" t="str">
            <v>PJ. SENIOR MANAGER  DUKUNGAN DAN PENGEMBANGAN BISNIS MARINE SERVICES</v>
          </cell>
          <cell r="F336" t="str">
            <v>aspar@bki.co.id</v>
          </cell>
        </row>
        <row r="337">
          <cell r="C337" t="str">
            <v>NERLAN PASARIBU</v>
          </cell>
          <cell r="D337" t="str">
            <v>SBU MARINE SERVICES</v>
          </cell>
          <cell r="E337" t="str">
            <v>INSPEKTUR OPERASI MARINE</v>
          </cell>
          <cell r="F337" t="str">
            <v>nerlan@bki.co.id</v>
          </cell>
        </row>
        <row r="338">
          <cell r="C338" t="str">
            <v>ELVA MOCHAMAD RAMDHANI</v>
          </cell>
          <cell r="D338" t="str">
            <v>SBU MARINE SERVICES</v>
          </cell>
          <cell r="E338" t="str">
            <v>SENIOR MANAGER OPERASI OFFSHORE MIGAS</v>
          </cell>
          <cell r="F338" t="str">
            <v>elva@bki.co.id</v>
          </cell>
        </row>
        <row r="339">
          <cell r="C339" t="str">
            <v>SATRIA ALDI PERMANA</v>
          </cell>
          <cell r="D339" t="str">
            <v>SBU MARINE SERVICES</v>
          </cell>
          <cell r="E339" t="str">
            <v>INSPEKTUR OFFSHORE MIGAS</v>
          </cell>
          <cell r="F339" t="str">
            <v>satria.permana@bki.co.id</v>
          </cell>
        </row>
        <row r="340">
          <cell r="C340" t="str">
            <v>MUHAMMAD TEGUH WIDODO</v>
          </cell>
          <cell r="D340" t="str">
            <v>SBU MARINE SERVICES</v>
          </cell>
          <cell r="E340" t="str">
            <v>INSPEKTUR OFFSHORE MIGAS</v>
          </cell>
          <cell r="F340" t="str">
            <v>teguh.widodo@bki.co.id</v>
          </cell>
        </row>
        <row r="341">
          <cell r="C341" t="str">
            <v>FARIED</v>
          </cell>
          <cell r="D341" t="str">
            <v>SBU MARINE SERVICES</v>
          </cell>
          <cell r="E341" t="str">
            <v>INSPEKTUR OPERASI MARINE</v>
          </cell>
          <cell r="F341" t="str">
            <v>faried@bki.co.id</v>
          </cell>
        </row>
        <row r="342">
          <cell r="C342" t="str">
            <v>ARDHIAN BUDI SULISTIYO</v>
          </cell>
          <cell r="D342" t="str">
            <v>SBU MARINE SERVICES</v>
          </cell>
          <cell r="E342" t="str">
            <v>SENIOR MANAGER OPERASI MARINE</v>
          </cell>
          <cell r="F342" t="str">
            <v>ardhian.bs@bki.co.id</v>
          </cell>
        </row>
        <row r="343">
          <cell r="C343" t="str">
            <v>R. ADE WARDOYO WINOTO PUTRO</v>
          </cell>
          <cell r="D343" t="str">
            <v>SBU MARINE SERVICES</v>
          </cell>
          <cell r="E343" t="str">
            <v>ASISTEN INSPEKTUR II OFFSHORE MIGAS</v>
          </cell>
          <cell r="F343" t="str">
            <v>ade.wardoyo@bki.co.id</v>
          </cell>
        </row>
        <row r="344">
          <cell r="C344" t="str">
            <v>ENDAH MUSTIKA NINGTIAS</v>
          </cell>
          <cell r="D344" t="str">
            <v>UNIT TANGGUNG JAWAB SOSIAL DAN LINGKUNGAN</v>
          </cell>
          <cell r="E344" t="str">
            <v>ANALIS TANGGUNG JAWAB SOSIAL DAN LINGKUNGAN</v>
          </cell>
          <cell r="F344" t="str">
            <v>endah.mn@bki.co.id</v>
          </cell>
        </row>
        <row r="345">
          <cell r="C345" t="str">
            <v>ALWIN RIDWAN</v>
          </cell>
          <cell r="D345" t="str">
            <v>UNIT TANGGUNG JAWAB SOSIAL DAN LINGKUNGAN</v>
          </cell>
          <cell r="E345" t="str">
            <v>ADMINISTRATOR SENIOR</v>
          </cell>
          <cell r="F345" t="str">
            <v>alwin.ridwan@bki.co.id</v>
          </cell>
        </row>
        <row r="346">
          <cell r="C346" t="str">
            <v>MUHAMMAD RAFI AMRULLAH</v>
          </cell>
          <cell r="D346" t="str">
            <v>DIVISI HUMAN CAPITAL DAN TEKNOLOGI INFORMASI</v>
          </cell>
          <cell r="E346" t="str">
            <v>STAF DUKUNGAN BISNIS</v>
          </cell>
          <cell r="F346" t="str">
            <v>m.rafi@bki.co.id</v>
          </cell>
        </row>
        <row r="347">
          <cell r="C347" t="str">
            <v>MUHAMMAD DAFA'ANH MURYA TSANI</v>
          </cell>
          <cell r="D347" t="str">
            <v>DIVISI HUMAN CAPITAL DAN TEKNOLOGI INFORMASI</v>
          </cell>
          <cell r="E347" t="str">
            <v>STAF DUKUNGAN BISNIS</v>
          </cell>
          <cell r="F347" t="str">
            <v>m.dafa@bki.co.id</v>
          </cell>
        </row>
        <row r="348">
          <cell r="C348" t="str">
            <v>ADITYA ILHAM SAPTIAWAN</v>
          </cell>
          <cell r="D348" t="str">
            <v>DIVISI HUMAN CAPITAL DAN TEKNOLOGI INFORMASI</v>
          </cell>
          <cell r="E348" t="str">
            <v>MANAGEMENT TRAINEE</v>
          </cell>
          <cell r="F348" t="str">
            <v>aditya.is@bki.co.id</v>
          </cell>
        </row>
        <row r="349">
          <cell r="C349" t="str">
            <v>JASMINE PRATIWI</v>
          </cell>
          <cell r="D349" t="str">
            <v>DIVISI HUMAN CAPITAL DAN TEKNOLOGI INFORMASI</v>
          </cell>
          <cell r="E349" t="str">
            <v>STAF DUKUNGAN BISNIS</v>
          </cell>
          <cell r="F349" t="str">
            <v>jasmine.pr@bki.co.id</v>
          </cell>
        </row>
        <row r="350">
          <cell r="C350" t="str">
            <v>IZZAFAJRI SYAFIRA</v>
          </cell>
          <cell r="D350" t="str">
            <v>DIVISI HUMAN CAPITAL DAN TEKNOLOGI INFORMASI</v>
          </cell>
          <cell r="E350" t="str">
            <v>STAF DUKUNGAN BISNIS</v>
          </cell>
          <cell r="F350" t="str">
            <v>izzafajri.sy@bki.co.id</v>
          </cell>
        </row>
        <row r="351">
          <cell r="C351" t="str">
            <v>DINDA PRATIWI</v>
          </cell>
          <cell r="D351" t="str">
            <v>UNIT TANGGUNG JAWAB SOSIAL DAN LINGKUNGAN</v>
          </cell>
          <cell r="E351" t="str">
            <v>STAF DUKUNGAN BISNIS</v>
          </cell>
          <cell r="F351" t="str">
            <v>dinda.p@bki.co.id</v>
          </cell>
        </row>
        <row r="352">
          <cell r="C352" t="str">
            <v>Muhammad Ardiansyah</v>
          </cell>
          <cell r="D352" t="str">
            <v>SBU ENI ENERGI KONTRAK</v>
          </cell>
          <cell r="F352" t="str">
            <v>ardian.bki01@gmail.com</v>
          </cell>
        </row>
        <row r="353">
          <cell r="C353" t="str">
            <v>Muhammad Rio</v>
          </cell>
          <cell r="D353" t="str">
            <v>SBU ENI ENERGI KONTRAK</v>
          </cell>
          <cell r="F353" t="str">
            <v>muhammadrio2010@gmail.com</v>
          </cell>
        </row>
        <row r="354">
          <cell r="C354" t="str">
            <v>Murdiyanta</v>
          </cell>
          <cell r="D354" t="str">
            <v>SBU ENI ENERGI KONTRAK</v>
          </cell>
        </row>
        <row r="355">
          <cell r="C355" t="str">
            <v>Nur Cahyo Febrianto</v>
          </cell>
          <cell r="D355" t="str">
            <v>SBU ENI ENERGI KONTRAK</v>
          </cell>
          <cell r="F355" t="str">
            <v>nurcahyo.febrianto@gmail.com</v>
          </cell>
        </row>
        <row r="356">
          <cell r="C356" t="str">
            <v>Hengki Prabowo</v>
          </cell>
          <cell r="D356" t="str">
            <v>SBU ENI ENERGI KONTRAK</v>
          </cell>
        </row>
        <row r="357">
          <cell r="C357" t="str">
            <v>Aldi Wahyu Prasetyo</v>
          </cell>
          <cell r="D357" t="str">
            <v>SBU ENI ENERGI KONTRAK</v>
          </cell>
          <cell r="F357" t="str">
            <v>Aldiwahyuprasetyo98@gmail.com</v>
          </cell>
        </row>
        <row r="358">
          <cell r="C358" t="str">
            <v>Saepul</v>
          </cell>
          <cell r="D358" t="str">
            <v>SBU ENI ENERGI KONTRAK</v>
          </cell>
          <cell r="F358" t="str">
            <v>saepulsheen538@gmail.com</v>
          </cell>
        </row>
        <row r="359">
          <cell r="C359" t="str">
            <v>Aldi Muhammad Rianto</v>
          </cell>
          <cell r="D359" t="str">
            <v>SBU ENI ENERGI KONTRAK</v>
          </cell>
          <cell r="F359" t="str">
            <v>aldim.bki@gmail.com</v>
          </cell>
        </row>
        <row r="360">
          <cell r="C360" t="str">
            <v>Haryanti</v>
          </cell>
          <cell r="D360" t="str">
            <v>SBU ENI ENERGI KONTRAK</v>
          </cell>
        </row>
        <row r="361">
          <cell r="C361" t="str">
            <v>Annissa Fadhillah</v>
          </cell>
          <cell r="D361" t="str">
            <v>Koperasi</v>
          </cell>
          <cell r="F361" t="str">
            <v>Annissafadhillah93@gmail.com</v>
          </cell>
        </row>
        <row r="362">
          <cell r="C362" t="str">
            <v>Shaidatun Rohmah</v>
          </cell>
          <cell r="D362" t="str">
            <v>Koperasi</v>
          </cell>
          <cell r="F362" t="str">
            <v>shaida.tun@gmail.com</v>
          </cell>
        </row>
        <row r="363">
          <cell r="C363" t="str">
            <v>Yosida Isdianawati</v>
          </cell>
          <cell r="D363" t="str">
            <v>Koperasi</v>
          </cell>
          <cell r="F363" t="str">
            <v>yosidaisdiana@gmail.com</v>
          </cell>
        </row>
        <row r="364">
          <cell r="C364" t="str">
            <v>Sudarman</v>
          </cell>
          <cell r="D364" t="str">
            <v>Koperasi</v>
          </cell>
          <cell r="F364" t="str">
            <v>budbki1964@gmail.com</v>
          </cell>
        </row>
        <row r="365">
          <cell r="C365" t="str">
            <v>Ahmad Ghufron</v>
          </cell>
          <cell r="D365" t="str">
            <v>SBU MNO Kontrak</v>
          </cell>
          <cell r="F365" t="str">
            <v>ahmad.gufran@bki.co.id</v>
          </cell>
        </row>
        <row r="366">
          <cell r="C366" t="str">
            <v>Zeid Rizaldy</v>
          </cell>
          <cell r="D366" t="str">
            <v>SBU MNO Kontrak</v>
          </cell>
          <cell r="F366" t="str">
            <v>Zeid.risaldy@bki.co.id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NCIAN CABANG"/>
      <sheetName val="REKAP POTONGAN"/>
      <sheetName val="Sheet1"/>
      <sheetName val="REKAP POTONGAN CABANG "/>
    </sheetNames>
    <sheetDataSet>
      <sheetData sheetId="0" refreshError="1"/>
      <sheetData sheetId="1">
        <row r="6">
          <cell r="B6" t="str">
            <v>BAYU RISTA</v>
          </cell>
          <cell r="C6">
            <v>0</v>
          </cell>
          <cell r="D6">
            <v>150000</v>
          </cell>
        </row>
        <row r="7">
          <cell r="B7" t="str">
            <v>ABUKASIM USMAN</v>
          </cell>
          <cell r="C7">
            <v>0</v>
          </cell>
          <cell r="D7">
            <v>150000</v>
          </cell>
        </row>
        <row r="8">
          <cell r="B8" t="str">
            <v>NURUL HUDA</v>
          </cell>
          <cell r="C8">
            <v>0</v>
          </cell>
          <cell r="D8">
            <v>150000</v>
          </cell>
        </row>
        <row r="9">
          <cell r="B9" t="str">
            <v>SEPTIAN AJI DEWANGKARA</v>
          </cell>
          <cell r="C9">
            <v>0</v>
          </cell>
          <cell r="D9">
            <v>250000</v>
          </cell>
        </row>
        <row r="10">
          <cell r="B10" t="str">
            <v>RIDWAN AHMAD FAUZI</v>
          </cell>
          <cell r="C10">
            <v>0</v>
          </cell>
          <cell r="D10">
            <v>150000</v>
          </cell>
        </row>
        <row r="11">
          <cell r="B11" t="str">
            <v>BAMBANG RIYANTO</v>
          </cell>
          <cell r="C11">
            <v>0</v>
          </cell>
          <cell r="D11">
            <v>350000</v>
          </cell>
        </row>
        <row r="12">
          <cell r="B12" t="str">
            <v>BAKTI NUGROHO DWI KUSHADIANTO</v>
          </cell>
          <cell r="C12">
            <v>0</v>
          </cell>
          <cell r="D12">
            <v>250000</v>
          </cell>
        </row>
        <row r="13">
          <cell r="B13" t="str">
            <v>A'AN AGUS FIRMANSYAH</v>
          </cell>
          <cell r="C13">
            <v>0</v>
          </cell>
          <cell r="D13">
            <v>150000</v>
          </cell>
        </row>
        <row r="14">
          <cell r="B14" t="str">
            <v>MUH. NASIR</v>
          </cell>
          <cell r="C14">
            <v>0</v>
          </cell>
          <cell r="D14">
            <v>150000</v>
          </cell>
        </row>
        <row r="15">
          <cell r="B15" t="str">
            <v>ZAINAL</v>
          </cell>
          <cell r="C15">
            <v>0</v>
          </cell>
          <cell r="D15">
            <v>150000</v>
          </cell>
        </row>
        <row r="16">
          <cell r="B16" t="str">
            <v>WIDODO</v>
          </cell>
          <cell r="C16">
            <v>0</v>
          </cell>
          <cell r="D16">
            <v>150000</v>
          </cell>
        </row>
        <row r="17">
          <cell r="B17" t="str">
            <v>AKHMAD MULIADDIN</v>
          </cell>
          <cell r="C17">
            <v>0</v>
          </cell>
          <cell r="D17">
            <v>150000</v>
          </cell>
        </row>
        <row r="18">
          <cell r="B18" t="str">
            <v>KHAERUL AKBAR</v>
          </cell>
          <cell r="C18">
            <v>0</v>
          </cell>
          <cell r="D18">
            <v>150000</v>
          </cell>
        </row>
        <row r="19">
          <cell r="B19" t="str">
            <v>A. RASYID ALIMUDDIN</v>
          </cell>
          <cell r="C19">
            <v>0</v>
          </cell>
          <cell r="D19">
            <v>250000</v>
          </cell>
        </row>
        <row r="20">
          <cell r="B20" t="str">
            <v>BAMBANG WARDOJO</v>
          </cell>
          <cell r="C20">
            <v>0</v>
          </cell>
          <cell r="D20">
            <v>150000</v>
          </cell>
        </row>
        <row r="21">
          <cell r="B21" t="str">
            <v>NINA SRI INDAH YANI</v>
          </cell>
          <cell r="C21">
            <v>0</v>
          </cell>
          <cell r="D21">
            <v>150000</v>
          </cell>
        </row>
        <row r="22">
          <cell r="B22" t="str">
            <v>ARIEF SULISTIYONO</v>
          </cell>
          <cell r="C22">
            <v>0</v>
          </cell>
          <cell r="D22">
            <v>350000</v>
          </cell>
        </row>
        <row r="23">
          <cell r="B23" t="str">
            <v>EKA NANDA PRATAMA SUNARJO</v>
          </cell>
          <cell r="C23">
            <v>6272588</v>
          </cell>
          <cell r="D23">
            <v>250000</v>
          </cell>
        </row>
        <row r="24">
          <cell r="B24" t="str">
            <v>BAMBANG TRI NUGROHO</v>
          </cell>
          <cell r="C24">
            <v>0</v>
          </cell>
          <cell r="D24">
            <v>150000</v>
          </cell>
        </row>
        <row r="25">
          <cell r="B25" t="str">
            <v>FAJAR NUGRAHA</v>
          </cell>
          <cell r="C25">
            <v>0</v>
          </cell>
          <cell r="D25">
            <v>250000</v>
          </cell>
        </row>
        <row r="26">
          <cell r="B26" t="str">
            <v>FERIZA YUSFI</v>
          </cell>
          <cell r="C26">
            <v>0</v>
          </cell>
          <cell r="D26">
            <v>150000</v>
          </cell>
        </row>
        <row r="27">
          <cell r="B27" t="str">
            <v>LISA</v>
          </cell>
          <cell r="C27">
            <v>0</v>
          </cell>
          <cell r="D27">
            <v>150000</v>
          </cell>
        </row>
        <row r="28">
          <cell r="B28" t="str">
            <v>PURWOKO WIDHYANTO WIRAWAN</v>
          </cell>
          <cell r="C28">
            <v>0</v>
          </cell>
          <cell r="D28">
            <v>250000</v>
          </cell>
        </row>
        <row r="29">
          <cell r="B29" t="str">
            <v>DONY TRI SUSILO</v>
          </cell>
          <cell r="C29">
            <v>0</v>
          </cell>
          <cell r="D29">
            <v>350000</v>
          </cell>
        </row>
        <row r="30">
          <cell r="B30" t="str">
            <v>M. HATTA BACO B</v>
          </cell>
          <cell r="C30">
            <v>0</v>
          </cell>
          <cell r="D30">
            <v>150000</v>
          </cell>
        </row>
        <row r="31">
          <cell r="B31" t="str">
            <v>RAHMAT S</v>
          </cell>
          <cell r="C31">
            <v>0</v>
          </cell>
          <cell r="D31">
            <v>150000</v>
          </cell>
        </row>
        <row r="32">
          <cell r="B32" t="str">
            <v>EKONDRO</v>
          </cell>
          <cell r="C32">
            <v>0</v>
          </cell>
          <cell r="D32">
            <v>150000</v>
          </cell>
        </row>
        <row r="33">
          <cell r="B33" t="str">
            <v>ABDILAH</v>
          </cell>
          <cell r="C33">
            <v>0</v>
          </cell>
          <cell r="D33">
            <v>150000</v>
          </cell>
        </row>
        <row r="34">
          <cell r="B34" t="str">
            <v>ADI ISMANTO</v>
          </cell>
          <cell r="C34">
            <v>0</v>
          </cell>
          <cell r="D34">
            <v>150000</v>
          </cell>
        </row>
        <row r="35">
          <cell r="B35" t="str">
            <v>BARI</v>
          </cell>
          <cell r="C35">
            <v>0</v>
          </cell>
          <cell r="D35">
            <v>150000</v>
          </cell>
        </row>
        <row r="36">
          <cell r="B36" t="str">
            <v>KAMARUDDIN</v>
          </cell>
          <cell r="C36">
            <v>0</v>
          </cell>
          <cell r="D36">
            <v>150000</v>
          </cell>
        </row>
        <row r="37">
          <cell r="B37" t="str">
            <v>SAID TAUFIQ</v>
          </cell>
          <cell r="C37">
            <v>0</v>
          </cell>
          <cell r="D37">
            <v>250000</v>
          </cell>
        </row>
        <row r="38">
          <cell r="B38" t="str">
            <v>ZULFAENI</v>
          </cell>
          <cell r="C38">
            <v>0</v>
          </cell>
          <cell r="D38">
            <v>150000</v>
          </cell>
        </row>
        <row r="39">
          <cell r="B39" t="str">
            <v>ROZI DELFEMI IRAWATI</v>
          </cell>
          <cell r="C39">
            <v>0</v>
          </cell>
          <cell r="D39">
            <v>150000</v>
          </cell>
        </row>
        <row r="40">
          <cell r="B40" t="str">
            <v>MUH ALI HASAN</v>
          </cell>
          <cell r="C40">
            <v>0</v>
          </cell>
          <cell r="D40">
            <v>150000</v>
          </cell>
        </row>
        <row r="41">
          <cell r="B41" t="str">
            <v>MUHAMMAD ARAFAH</v>
          </cell>
          <cell r="C41">
            <v>0</v>
          </cell>
          <cell r="D41">
            <v>450000</v>
          </cell>
        </row>
        <row r="42">
          <cell r="B42" t="str">
            <v>MOH. NOOR KHOLIS</v>
          </cell>
          <cell r="C42">
            <v>0</v>
          </cell>
          <cell r="D42">
            <v>150000</v>
          </cell>
        </row>
        <row r="43">
          <cell r="B43" t="str">
            <v>INDRA KUSUMA MUHAMMAD</v>
          </cell>
          <cell r="C43">
            <v>2876137</v>
          </cell>
          <cell r="D43">
            <v>150000</v>
          </cell>
        </row>
        <row r="44">
          <cell r="B44" t="str">
            <v>EDWIN OLAF JULIAN DAMANIK</v>
          </cell>
          <cell r="C44">
            <v>0</v>
          </cell>
          <cell r="D44">
            <v>250000</v>
          </cell>
        </row>
        <row r="45">
          <cell r="B45" t="str">
            <v>IBNUL QAYYIM</v>
          </cell>
          <cell r="C45">
            <v>0</v>
          </cell>
          <cell r="D45">
            <v>100000</v>
          </cell>
        </row>
        <row r="46">
          <cell r="B46" t="str">
            <v>MUHAMMAD ASRUL LA SARIPI</v>
          </cell>
          <cell r="C46">
            <v>0</v>
          </cell>
          <cell r="D46">
            <v>150000</v>
          </cell>
        </row>
        <row r="47">
          <cell r="B47" t="str">
            <v>BUDI ISROFI</v>
          </cell>
          <cell r="C47">
            <v>0</v>
          </cell>
          <cell r="D47">
            <v>350000</v>
          </cell>
        </row>
        <row r="48">
          <cell r="B48" t="str">
            <v>YULID ANJI FIRMANSYAH</v>
          </cell>
          <cell r="C48">
            <v>0</v>
          </cell>
          <cell r="D48">
            <v>250000</v>
          </cell>
        </row>
        <row r="49">
          <cell r="B49" t="str">
            <v>JIADAN</v>
          </cell>
          <cell r="C49">
            <v>0</v>
          </cell>
          <cell r="D49">
            <v>250000</v>
          </cell>
        </row>
        <row r="50">
          <cell r="B50" t="str">
            <v>BERMAN SARAGIH</v>
          </cell>
          <cell r="C50">
            <v>0</v>
          </cell>
          <cell r="D50">
            <v>150000</v>
          </cell>
        </row>
        <row r="51">
          <cell r="B51" t="str">
            <v>ARIF BIJAKSANA SATRIA NEGARA</v>
          </cell>
          <cell r="C51">
            <v>0</v>
          </cell>
          <cell r="D51">
            <v>250000</v>
          </cell>
        </row>
        <row r="52">
          <cell r="B52" t="str">
            <v>RUSDY WANGSA</v>
          </cell>
          <cell r="C52">
            <v>2500000</v>
          </cell>
          <cell r="D52">
            <v>150000</v>
          </cell>
        </row>
        <row r="53">
          <cell r="B53" t="str">
            <v>OKI DWI ANGGORO</v>
          </cell>
          <cell r="C53">
            <v>0</v>
          </cell>
          <cell r="D53">
            <v>150000</v>
          </cell>
        </row>
        <row r="54">
          <cell r="B54" t="str">
            <v>HERI WIRAWAN</v>
          </cell>
          <cell r="C54">
            <v>1701389</v>
          </cell>
          <cell r="D54">
            <v>150000</v>
          </cell>
        </row>
        <row r="55">
          <cell r="B55" t="str">
            <v>SUDARMA EDY SARAGIH JAWAK</v>
          </cell>
          <cell r="C55">
            <v>0</v>
          </cell>
          <cell r="D55">
            <v>150000</v>
          </cell>
        </row>
        <row r="56">
          <cell r="B56" t="str">
            <v>FITRIANI</v>
          </cell>
          <cell r="C56">
            <v>0</v>
          </cell>
          <cell r="D56">
            <v>150000</v>
          </cell>
        </row>
        <row r="57">
          <cell r="B57" t="str">
            <v>CHOIRUN CAHYOABDI</v>
          </cell>
          <cell r="C57">
            <v>0</v>
          </cell>
          <cell r="D57">
            <v>150000</v>
          </cell>
        </row>
        <row r="58">
          <cell r="B58" t="str">
            <v>MUH. ASQAR</v>
          </cell>
          <cell r="C58">
            <v>0</v>
          </cell>
          <cell r="D58">
            <v>150000</v>
          </cell>
        </row>
        <row r="59">
          <cell r="B59" t="str">
            <v>ABDUL KHOLICK</v>
          </cell>
          <cell r="C59">
            <v>0</v>
          </cell>
          <cell r="D59">
            <v>250000</v>
          </cell>
        </row>
        <row r="60">
          <cell r="B60" t="str">
            <v>RANGSANG KUSUMADILAGA</v>
          </cell>
          <cell r="C60">
            <v>0</v>
          </cell>
          <cell r="D60">
            <v>250000</v>
          </cell>
        </row>
        <row r="61">
          <cell r="B61" t="str">
            <v>BENNI HERMAWAN</v>
          </cell>
          <cell r="C61">
            <v>0</v>
          </cell>
          <cell r="D61">
            <v>500000</v>
          </cell>
        </row>
        <row r="62">
          <cell r="B62" t="str">
            <v>SULASMAN</v>
          </cell>
          <cell r="C62">
            <v>0</v>
          </cell>
          <cell r="D62">
            <v>250000</v>
          </cell>
        </row>
        <row r="63">
          <cell r="B63" t="str">
            <v>ILHAM SYAHRIR</v>
          </cell>
          <cell r="C63">
            <v>0</v>
          </cell>
          <cell r="D63">
            <v>250000</v>
          </cell>
        </row>
        <row r="64">
          <cell r="B64" t="str">
            <v>ANDI ARDI ABDULLAH</v>
          </cell>
          <cell r="C64">
            <v>0</v>
          </cell>
          <cell r="D64">
            <v>150000</v>
          </cell>
        </row>
        <row r="65">
          <cell r="B65" t="str">
            <v>ZUL FAJRIN AZDIN</v>
          </cell>
          <cell r="C65">
            <v>2310813</v>
          </cell>
          <cell r="D65">
            <v>150000</v>
          </cell>
        </row>
        <row r="66">
          <cell r="B66" t="str">
            <v>ARYO SINGGIH</v>
          </cell>
          <cell r="C66">
            <v>0</v>
          </cell>
          <cell r="D66">
            <v>250000</v>
          </cell>
        </row>
        <row r="67">
          <cell r="B67" t="str">
            <v>AGRIS SETYAWAN</v>
          </cell>
          <cell r="C67">
            <v>1699127</v>
          </cell>
          <cell r="D67">
            <v>250000</v>
          </cell>
        </row>
        <row r="68">
          <cell r="B68" t="str">
            <v>AGUS ERICSON SIANIPAR</v>
          </cell>
          <cell r="C68">
            <v>0</v>
          </cell>
          <cell r="D68">
            <v>250000</v>
          </cell>
        </row>
        <row r="69">
          <cell r="B69" t="str">
            <v>LA ODE ABDUL RAHMAN FIRU</v>
          </cell>
          <cell r="C69">
            <v>0</v>
          </cell>
          <cell r="D69">
            <v>250000</v>
          </cell>
        </row>
        <row r="70">
          <cell r="B70" t="str">
            <v>YOHANES ARDIANTO NUGROHO</v>
          </cell>
          <cell r="C70">
            <v>0</v>
          </cell>
          <cell r="D70">
            <v>250000</v>
          </cell>
        </row>
        <row r="71">
          <cell r="B71" t="str">
            <v>MUSTAKIM</v>
          </cell>
          <cell r="C71">
            <v>0</v>
          </cell>
          <cell r="D71">
            <v>250000</v>
          </cell>
        </row>
        <row r="72">
          <cell r="B72" t="str">
            <v>MUHAMMAD FAJRIN M. SAID</v>
          </cell>
          <cell r="C72">
            <v>0</v>
          </cell>
          <cell r="D72">
            <v>250000</v>
          </cell>
        </row>
        <row r="73">
          <cell r="B73" t="str">
            <v>ADNAN</v>
          </cell>
          <cell r="C73">
            <v>0</v>
          </cell>
          <cell r="D73">
            <v>150000</v>
          </cell>
        </row>
        <row r="74">
          <cell r="B74" t="str">
            <v>SUDARYONO</v>
          </cell>
          <cell r="C74">
            <v>0</v>
          </cell>
          <cell r="D74">
            <v>150000</v>
          </cell>
        </row>
        <row r="75">
          <cell r="B75" t="str">
            <v>MUHAMMAD RIZKY PURNAMA</v>
          </cell>
          <cell r="C75">
            <v>0</v>
          </cell>
          <cell r="D75">
            <v>350000</v>
          </cell>
        </row>
        <row r="76">
          <cell r="B76" t="str">
            <v>RATNA DAMAYANTI</v>
          </cell>
          <cell r="C76">
            <v>0</v>
          </cell>
          <cell r="D76">
            <v>250000</v>
          </cell>
        </row>
        <row r="77">
          <cell r="B77" t="str">
            <v>MOKHAMMAD YUFIAN RIDHANANDA</v>
          </cell>
          <cell r="C77">
            <v>0</v>
          </cell>
          <cell r="D77">
            <v>100000</v>
          </cell>
        </row>
        <row r="78">
          <cell r="B78" t="str">
            <v>RYAN HANGGA SRI WIJIHARTO</v>
          </cell>
          <cell r="C78">
            <v>0</v>
          </cell>
          <cell r="D78">
            <v>100000</v>
          </cell>
        </row>
        <row r="79">
          <cell r="B79" t="str">
            <v>YULIAN ARPIANTO</v>
          </cell>
          <cell r="C79">
            <v>0</v>
          </cell>
          <cell r="D79">
            <v>350000</v>
          </cell>
        </row>
        <row r="80">
          <cell r="B80" t="str">
            <v>BRAMANTI PRAMAWEDHA SATRIANTO PUTRA</v>
          </cell>
          <cell r="C80">
            <v>0</v>
          </cell>
          <cell r="D80">
            <v>100000</v>
          </cell>
        </row>
        <row r="81">
          <cell r="B81" t="str">
            <v>INDAH PETRICIA SARI</v>
          </cell>
          <cell r="C81">
            <v>0</v>
          </cell>
          <cell r="D81">
            <v>150000</v>
          </cell>
        </row>
        <row r="82">
          <cell r="B82" t="str">
            <v>DAVID NOER SYUHADA</v>
          </cell>
          <cell r="C82">
            <v>0</v>
          </cell>
          <cell r="D82">
            <v>350000</v>
          </cell>
        </row>
        <row r="83">
          <cell r="B83" t="str">
            <v>FAUZI</v>
          </cell>
          <cell r="C83">
            <v>5373476</v>
          </cell>
          <cell r="D83">
            <v>250000</v>
          </cell>
        </row>
        <row r="84">
          <cell r="B84" t="str">
            <v>JOKO UTOMO</v>
          </cell>
          <cell r="C84">
            <v>4895833</v>
          </cell>
          <cell r="D84">
            <v>250000</v>
          </cell>
        </row>
        <row r="85">
          <cell r="B85" t="str">
            <v>SYARIFUDDIN YAMIN</v>
          </cell>
          <cell r="C85">
            <v>0</v>
          </cell>
          <cell r="D85">
            <v>250000</v>
          </cell>
        </row>
        <row r="86">
          <cell r="B86" t="str">
            <v>MIFTAH FARIDY</v>
          </cell>
          <cell r="C86">
            <v>0</v>
          </cell>
          <cell r="D86">
            <v>250000</v>
          </cell>
        </row>
        <row r="87">
          <cell r="B87" t="str">
            <v>ANDI P. SIAGIAN</v>
          </cell>
          <cell r="C87">
            <v>0</v>
          </cell>
          <cell r="D87">
            <v>250000</v>
          </cell>
        </row>
        <row r="88">
          <cell r="B88" t="str">
            <v>TEGUH BUDI SANTOSO</v>
          </cell>
          <cell r="C88">
            <v>0</v>
          </cell>
          <cell r="D88">
            <v>250000</v>
          </cell>
        </row>
        <row r="89">
          <cell r="B89" t="str">
            <v>ARIFUDDIN</v>
          </cell>
          <cell r="C89">
            <v>0</v>
          </cell>
          <cell r="D89">
            <v>150000</v>
          </cell>
        </row>
        <row r="90">
          <cell r="B90" t="str">
            <v>ARIFIN GUSTIAN PRAMOKO</v>
          </cell>
          <cell r="C90">
            <v>0</v>
          </cell>
          <cell r="D90">
            <v>250000</v>
          </cell>
        </row>
        <row r="91">
          <cell r="B91" t="str">
            <v>MAHESA SAGA</v>
          </cell>
          <cell r="C91">
            <v>0</v>
          </cell>
          <cell r="D91">
            <v>250000</v>
          </cell>
        </row>
        <row r="92">
          <cell r="B92" t="str">
            <v>AWALUDDIN PAINGNGI</v>
          </cell>
          <cell r="C92">
            <v>3402778</v>
          </cell>
          <cell r="D92">
            <v>250000</v>
          </cell>
        </row>
        <row r="93">
          <cell r="B93" t="str">
            <v>MUSHAWWIR RAZAK</v>
          </cell>
          <cell r="C93">
            <v>0</v>
          </cell>
          <cell r="D93">
            <v>250000</v>
          </cell>
        </row>
      </sheetData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ANAN DAN SHU 2024"/>
      <sheetName val="SHU"/>
    </sheetNames>
    <sheetDataSet>
      <sheetData sheetId="0"/>
      <sheetData sheetId="1">
        <row r="8">
          <cell r="C8" t="str">
            <v>Aan Agus F, Amd.</v>
          </cell>
          <cell r="D8" t="str">
            <v>SBC</v>
          </cell>
          <cell r="E8">
            <v>5000</v>
          </cell>
          <cell r="F8">
            <v>17240660</v>
          </cell>
          <cell r="G8">
            <v>0</v>
          </cell>
          <cell r="H8">
            <v>1997221.987578423</v>
          </cell>
          <cell r="I8">
            <v>291393.14382319199</v>
          </cell>
          <cell r="J8">
            <v>2288615.1314016152</v>
          </cell>
          <cell r="K8">
            <v>19242881.987578422</v>
          </cell>
          <cell r="L8" t="str">
            <v>AKTIF</v>
          </cell>
        </row>
        <row r="9">
          <cell r="C9" t="str">
            <v>Abu Kasim Usman</v>
          </cell>
          <cell r="D9" t="str">
            <v>SB</v>
          </cell>
          <cell r="E9">
            <v>5000</v>
          </cell>
          <cell r="F9">
            <v>10609532</v>
          </cell>
          <cell r="G9">
            <v>0</v>
          </cell>
          <cell r="H9">
            <v>1217315.6837100901</v>
          </cell>
          <cell r="I9">
            <v>179168.55157241994</v>
          </cell>
          <cell r="J9">
            <v>1396484.2352825101</v>
          </cell>
          <cell r="K9">
            <v>11831847.683710091</v>
          </cell>
          <cell r="L9" t="str">
            <v>AKTIF</v>
          </cell>
        </row>
        <row r="10">
          <cell r="C10" t="str">
            <v>Achmad</v>
          </cell>
          <cell r="D10" t="str">
            <v>PUMA</v>
          </cell>
          <cell r="E10">
            <v>5000</v>
          </cell>
          <cell r="F10">
            <v>24852898</v>
          </cell>
          <cell r="G10">
            <v>795000</v>
          </cell>
          <cell r="H10">
            <v>2229525.2915070974</v>
          </cell>
          <cell r="I10">
            <v>422220.90150352195</v>
          </cell>
          <cell r="J10">
            <v>2651746.1930106194</v>
          </cell>
          <cell r="K10">
            <v>27882423.291507099</v>
          </cell>
          <cell r="L10" t="str">
            <v>AKTIF</v>
          </cell>
        </row>
        <row r="11">
          <cell r="C11" t="str">
            <v>Akhmad Muslim</v>
          </cell>
          <cell r="D11" t="str">
            <v>HCTIO</v>
          </cell>
          <cell r="E11">
            <v>5000</v>
          </cell>
          <cell r="F11">
            <v>37699463</v>
          </cell>
          <cell r="G11">
            <v>37500</v>
          </cell>
          <cell r="H11">
            <v>15062212.813497629</v>
          </cell>
          <cell r="I11">
            <v>799608.64527569374</v>
          </cell>
          <cell r="J11">
            <v>15861821.458773322</v>
          </cell>
          <cell r="K11">
            <v>52804175.813497633</v>
          </cell>
          <cell r="L11" t="e">
            <v>#N/A</v>
          </cell>
        </row>
        <row r="12">
          <cell r="C12" t="str">
            <v>Achmad Tawakkal</v>
          </cell>
          <cell r="D12" t="str">
            <v>DOC</v>
          </cell>
          <cell r="E12">
            <v>5000</v>
          </cell>
          <cell r="F12">
            <v>34674262</v>
          </cell>
          <cell r="G12">
            <v>0</v>
          </cell>
          <cell r="H12">
            <v>5114337.2027084157</v>
          </cell>
          <cell r="I12">
            <v>602590.71292971598</v>
          </cell>
          <cell r="J12">
            <v>5716927.915638132</v>
          </cell>
          <cell r="K12">
            <v>39793599.202708416</v>
          </cell>
          <cell r="L12" t="str">
            <v>AKTIF</v>
          </cell>
        </row>
        <row r="13">
          <cell r="C13" t="str">
            <v>Aditya Trisandriya P, ST</v>
          </cell>
          <cell r="D13" t="str">
            <v>STA</v>
          </cell>
          <cell r="E13">
            <v>5000</v>
          </cell>
          <cell r="F13">
            <v>44697275</v>
          </cell>
          <cell r="G13">
            <v>0</v>
          </cell>
          <cell r="H13">
            <v>4257094.6857161894</v>
          </cell>
          <cell r="I13">
            <v>741387.10934941657</v>
          </cell>
          <cell r="J13">
            <v>4998481.795065606</v>
          </cell>
          <cell r="K13">
            <v>48959369.685716189</v>
          </cell>
          <cell r="L13" t="str">
            <v>AKTIF</v>
          </cell>
        </row>
        <row r="14">
          <cell r="C14" t="str">
            <v>Agung Prihanto, Ir</v>
          </cell>
          <cell r="D14" t="str">
            <v>HCTIO</v>
          </cell>
          <cell r="E14">
            <v>5000</v>
          </cell>
          <cell r="F14">
            <v>77549876</v>
          </cell>
          <cell r="G14">
            <v>347500</v>
          </cell>
          <cell r="H14">
            <v>11842161.64933815</v>
          </cell>
          <cell r="I14">
            <v>1358993.0543397968</v>
          </cell>
          <cell r="J14">
            <v>13201154.703677947</v>
          </cell>
          <cell r="K14">
            <v>89744537.649338156</v>
          </cell>
          <cell r="L14" t="str">
            <v>AKTIF</v>
          </cell>
        </row>
        <row r="15">
          <cell r="C15" t="str">
            <v>Ahmad Yunus</v>
          </cell>
          <cell r="D15" t="str">
            <v>PU</v>
          </cell>
          <cell r="E15">
            <v>5000</v>
          </cell>
          <cell r="F15">
            <v>13231788</v>
          </cell>
          <cell r="G15">
            <v>535000</v>
          </cell>
          <cell r="H15">
            <v>1783497.3494085006</v>
          </cell>
          <cell r="I15">
            <v>235552.21634456379</v>
          </cell>
          <cell r="J15">
            <v>2019049.5657530644</v>
          </cell>
          <cell r="K15">
            <v>15555285.3494085</v>
          </cell>
          <cell r="L15" t="str">
            <v>AKTIF</v>
          </cell>
        </row>
        <row r="16">
          <cell r="C16" t="str">
            <v>Akhmad Muliaddin</v>
          </cell>
          <cell r="D16" t="str">
            <v>PBC</v>
          </cell>
          <cell r="E16">
            <v>5000</v>
          </cell>
          <cell r="F16">
            <v>18900000</v>
          </cell>
          <cell r="G16">
            <v>0</v>
          </cell>
          <cell r="H16">
            <v>3875093.3881559232</v>
          </cell>
          <cell r="I16">
            <v>344956.80185772438</v>
          </cell>
          <cell r="J16">
            <v>4220050.190013648</v>
          </cell>
          <cell r="K16">
            <v>22780093.388155922</v>
          </cell>
          <cell r="L16" t="str">
            <v>AKTIF</v>
          </cell>
        </row>
        <row r="17">
          <cell r="C17" t="str">
            <v>Alim Saadi, Ir</v>
          </cell>
          <cell r="D17" t="str">
            <v>R&amp;P</v>
          </cell>
          <cell r="E17">
            <v>5000</v>
          </cell>
          <cell r="F17">
            <v>67026138</v>
          </cell>
          <cell r="G17">
            <v>100000</v>
          </cell>
          <cell r="H17">
            <v>19727391.222606033</v>
          </cell>
          <cell r="I17">
            <v>1315290.5014109502</v>
          </cell>
          <cell r="J17">
            <v>21042681.724016983</v>
          </cell>
          <cell r="K17">
            <v>86858529.222606033</v>
          </cell>
          <cell r="L17" t="str">
            <v>AKTIF</v>
          </cell>
        </row>
        <row r="18">
          <cell r="C18" t="str">
            <v>Andi Ardi Abdullah. ST</v>
          </cell>
          <cell r="D18" t="str">
            <v>MKSC</v>
          </cell>
          <cell r="E18">
            <v>5000</v>
          </cell>
          <cell r="F18">
            <v>12814161</v>
          </cell>
          <cell r="G18">
            <v>0</v>
          </cell>
          <cell r="H18">
            <v>6717668.6778727239</v>
          </cell>
          <cell r="I18">
            <v>295844.36592441954</v>
          </cell>
          <cell r="J18">
            <v>7013513.0437971437</v>
          </cell>
          <cell r="K18">
            <v>19536829.677872725</v>
          </cell>
          <cell r="L18" t="str">
            <v>AKTIF</v>
          </cell>
        </row>
        <row r="19">
          <cell r="C19" t="str">
            <v>Andi Arman, ST.</v>
          </cell>
          <cell r="D19" t="str">
            <v>SV</v>
          </cell>
          <cell r="E19">
            <v>5000</v>
          </cell>
          <cell r="F19">
            <v>26027980</v>
          </cell>
          <cell r="G19">
            <v>0</v>
          </cell>
          <cell r="H19">
            <v>2979690.5134089058</v>
          </cell>
          <cell r="I19">
            <v>439336.12839625013</v>
          </cell>
          <cell r="J19">
            <v>3419026.6418051561</v>
          </cell>
          <cell r="K19">
            <v>29012670.513408907</v>
          </cell>
          <cell r="L19" t="str">
            <v>AKTIF</v>
          </cell>
        </row>
        <row r="20">
          <cell r="C20" t="str">
            <v>Andi Lama Passesu</v>
          </cell>
          <cell r="D20" t="str">
            <v>PSMMO</v>
          </cell>
          <cell r="E20">
            <v>5000</v>
          </cell>
          <cell r="F20">
            <v>47029884</v>
          </cell>
          <cell r="G20">
            <v>0</v>
          </cell>
          <cell r="H20">
            <v>8565906.6821377259</v>
          </cell>
          <cell r="I20">
            <v>841957.52000047558</v>
          </cell>
          <cell r="J20">
            <v>9407864.2021382023</v>
          </cell>
          <cell r="K20">
            <v>55600790.682137728</v>
          </cell>
          <cell r="L20" t="str">
            <v>AKTIF</v>
          </cell>
        </row>
        <row r="21">
          <cell r="C21" t="str">
            <v>Andi Nuralim Kamal</v>
          </cell>
          <cell r="D21" t="str">
            <v>PRB</v>
          </cell>
          <cell r="E21">
            <v>5000</v>
          </cell>
          <cell r="F21">
            <v>40939498</v>
          </cell>
          <cell r="G21">
            <v>0</v>
          </cell>
          <cell r="H21">
            <v>3956525.8190196324</v>
          </cell>
          <cell r="I21">
            <v>679931.96133250638</v>
          </cell>
          <cell r="J21">
            <v>4636457.7803521389</v>
          </cell>
          <cell r="K21">
            <v>44901023.819019631</v>
          </cell>
          <cell r="L21" t="e">
            <v>#N/A</v>
          </cell>
        </row>
        <row r="22">
          <cell r="C22" t="str">
            <v>Andi P. Siagian . ST</v>
          </cell>
          <cell r="D22" t="str">
            <v>BN</v>
          </cell>
          <cell r="E22">
            <v>5000</v>
          </cell>
          <cell r="F22">
            <v>25567478</v>
          </cell>
          <cell r="G22">
            <v>0</v>
          </cell>
          <cell r="H22">
            <v>3299412.1448247475</v>
          </cell>
          <cell r="I22">
            <v>437204.30457605486</v>
          </cell>
          <cell r="J22">
            <v>3736616.4494008021</v>
          </cell>
          <cell r="K22">
            <v>28871890.144824747</v>
          </cell>
          <cell r="L22" t="str">
            <v>AKTIF</v>
          </cell>
        </row>
        <row r="23">
          <cell r="C23" t="str">
            <v>andri suryawan</v>
          </cell>
          <cell r="D23" t="str">
            <v>LC</v>
          </cell>
          <cell r="E23">
            <v>5000</v>
          </cell>
          <cell r="F23">
            <v>39095000</v>
          </cell>
          <cell r="G23">
            <v>650000</v>
          </cell>
          <cell r="H23">
            <v>2945305.336628363</v>
          </cell>
          <cell r="I23">
            <v>646530.97475535003</v>
          </cell>
          <cell r="J23">
            <v>3591836.311383713</v>
          </cell>
          <cell r="K23">
            <v>42695305.336628363</v>
          </cell>
          <cell r="L23" t="e">
            <v>#N/A</v>
          </cell>
        </row>
        <row r="24">
          <cell r="C24" t="str">
            <v>Anita Magdalena</v>
          </cell>
          <cell r="D24" t="str">
            <v>SPI</v>
          </cell>
          <cell r="E24">
            <v>5000</v>
          </cell>
          <cell r="F24">
            <v>36018134</v>
          </cell>
          <cell r="G24">
            <v>375000</v>
          </cell>
          <cell r="H24">
            <v>4081046.0685511567</v>
          </cell>
          <cell r="I24">
            <v>612972.39920581004</v>
          </cell>
          <cell r="J24">
            <v>4694018.4677569671</v>
          </cell>
          <cell r="K24">
            <v>40479180.068551153</v>
          </cell>
          <cell r="L24" t="e">
            <v>#N/A</v>
          </cell>
        </row>
        <row r="25">
          <cell r="C25" t="str">
            <v>Anogi Akbar Ali</v>
          </cell>
          <cell r="D25" t="str">
            <v>PSMMO</v>
          </cell>
          <cell r="E25">
            <v>5000</v>
          </cell>
          <cell r="F25">
            <v>52878542</v>
          </cell>
          <cell r="G25">
            <v>50000</v>
          </cell>
          <cell r="H25">
            <v>7896834.365962714</v>
          </cell>
          <cell r="I25">
            <v>921148.64190654969</v>
          </cell>
          <cell r="J25">
            <v>8817983.0078692641</v>
          </cell>
          <cell r="K25">
            <v>60830376.365962714</v>
          </cell>
          <cell r="L25" t="e">
            <v>#N/A</v>
          </cell>
        </row>
        <row r="26">
          <cell r="C26" t="str">
            <v>Aquarius Setiawan, ST</v>
          </cell>
          <cell r="D26" t="str">
            <v>SBC</v>
          </cell>
          <cell r="E26">
            <v>5000</v>
          </cell>
          <cell r="F26">
            <v>19034067</v>
          </cell>
          <cell r="G26">
            <v>0</v>
          </cell>
          <cell r="H26">
            <v>2827924.8737752568</v>
          </cell>
          <cell r="I26">
            <v>331129.79189752962</v>
          </cell>
          <cell r="J26">
            <v>3159054.6656727865</v>
          </cell>
          <cell r="K26">
            <v>21866991.873775259</v>
          </cell>
          <cell r="L26" t="str">
            <v>AKTIF</v>
          </cell>
        </row>
        <row r="27">
          <cell r="C27" t="str">
            <v>Ardhian Budi S.</v>
          </cell>
          <cell r="D27" t="str">
            <v>SBU MNO</v>
          </cell>
          <cell r="E27">
            <v>10000</v>
          </cell>
          <cell r="F27">
            <v>27913302</v>
          </cell>
          <cell r="G27">
            <v>0</v>
          </cell>
          <cell r="H27">
            <v>7707068.4083700227</v>
          </cell>
          <cell r="I27">
            <v>539547.33264912188</v>
          </cell>
          <cell r="J27">
            <v>8246615.7410191447</v>
          </cell>
          <cell r="K27">
            <v>35630370.408370025</v>
          </cell>
          <cell r="L27" t="str">
            <v>AKTIF</v>
          </cell>
        </row>
        <row r="28">
          <cell r="C28" t="str">
            <v>Arief Budi Permana, Ir</v>
          </cell>
          <cell r="D28" t="str">
            <v>DOK</v>
          </cell>
          <cell r="E28">
            <v>5000</v>
          </cell>
          <cell r="F28">
            <v>71130464</v>
          </cell>
          <cell r="G28">
            <v>0</v>
          </cell>
          <cell r="H28">
            <v>16262091.683633815</v>
          </cell>
          <cell r="I28">
            <v>1323452.9281817512</v>
          </cell>
          <cell r="J28">
            <v>17585544.611815568</v>
          </cell>
          <cell r="K28">
            <v>87397555.683633819</v>
          </cell>
          <cell r="L28" t="str">
            <v>AKTIF</v>
          </cell>
        </row>
        <row r="29">
          <cell r="C29" t="str">
            <v>Arif Rachman</v>
          </cell>
          <cell r="D29" t="str">
            <v>SBU ENI</v>
          </cell>
          <cell r="E29">
            <v>5000</v>
          </cell>
          <cell r="F29">
            <v>21995858</v>
          </cell>
          <cell r="G29">
            <v>990000</v>
          </cell>
          <cell r="H29">
            <v>770309.49771898263</v>
          </cell>
          <cell r="I29">
            <v>359813.1144045486</v>
          </cell>
          <cell r="J29">
            <v>1130122.6121235313</v>
          </cell>
          <cell r="K29">
            <v>23761167.497718982</v>
          </cell>
          <cell r="L29" t="e">
            <v>#N/A</v>
          </cell>
        </row>
        <row r="30">
          <cell r="C30" t="str">
            <v>Arief Sulistiono, Ir</v>
          </cell>
          <cell r="D30" t="str">
            <v>BJ</v>
          </cell>
          <cell r="E30">
            <v>5000</v>
          </cell>
          <cell r="F30">
            <v>55171058</v>
          </cell>
          <cell r="G30">
            <v>50000</v>
          </cell>
          <cell r="H30">
            <v>19427158.07501347</v>
          </cell>
          <cell r="I30">
            <v>1130466.5976048913</v>
          </cell>
          <cell r="J30">
            <v>20557624.672618359</v>
          </cell>
          <cell r="K30">
            <v>74653216.075013474</v>
          </cell>
          <cell r="L30" t="str">
            <v>AKTIF</v>
          </cell>
        </row>
        <row r="31">
          <cell r="C31" t="str">
            <v>Arif Bijaksana Satria N, ST.</v>
          </cell>
          <cell r="D31" t="str">
            <v>BMC</v>
          </cell>
          <cell r="E31">
            <v>5000</v>
          </cell>
          <cell r="F31">
            <v>36191147</v>
          </cell>
          <cell r="G31">
            <v>1310000</v>
          </cell>
          <cell r="H31">
            <v>4118217.2876587412</v>
          </cell>
          <cell r="I31">
            <v>630313.81563594122</v>
          </cell>
          <cell r="J31">
            <v>4748531.1032946827</v>
          </cell>
          <cell r="K31">
            <v>41624364.287658744</v>
          </cell>
          <cell r="L31" t="str">
            <v>AKTIF</v>
          </cell>
        </row>
        <row r="32">
          <cell r="C32" t="str">
            <v>ARIF YUNAEDI</v>
          </cell>
          <cell r="D32" t="str">
            <v>STA</v>
          </cell>
          <cell r="E32">
            <v>5000</v>
          </cell>
          <cell r="F32">
            <v>52884577</v>
          </cell>
          <cell r="G32">
            <v>0</v>
          </cell>
          <cell r="H32">
            <v>2074051.6122440724</v>
          </cell>
          <cell r="I32">
            <v>832309.03497671173</v>
          </cell>
          <cell r="J32">
            <v>2906360.6472207839</v>
          </cell>
          <cell r="K32">
            <v>54963628.61224407</v>
          </cell>
          <cell r="L32" t="e">
            <v>#N/A</v>
          </cell>
        </row>
        <row r="33">
          <cell r="C33" t="str">
            <v>Arifuddin  ST</v>
          </cell>
          <cell r="D33" t="str">
            <v>CG</v>
          </cell>
          <cell r="E33">
            <v>5000</v>
          </cell>
          <cell r="F33">
            <v>23678235</v>
          </cell>
          <cell r="G33">
            <v>0</v>
          </cell>
          <cell r="H33">
            <v>8738803.1494085155</v>
          </cell>
          <cell r="I33">
            <v>490963.86038277211</v>
          </cell>
          <cell r="J33">
            <v>9229767.0097912885</v>
          </cell>
          <cell r="K33">
            <v>32422038.149408516</v>
          </cell>
          <cell r="L33" t="str">
            <v>AKTIF</v>
          </cell>
        </row>
        <row r="34">
          <cell r="C34" t="str">
            <v>Armindary Arief</v>
          </cell>
          <cell r="D34" t="str">
            <v>PRB</v>
          </cell>
          <cell r="E34">
            <v>5000</v>
          </cell>
          <cell r="F34">
            <v>37815979</v>
          </cell>
          <cell r="G34">
            <v>0</v>
          </cell>
          <cell r="H34">
            <v>4709402.1392603638</v>
          </cell>
          <cell r="I34">
            <v>644033.54321704933</v>
          </cell>
          <cell r="J34">
            <v>5353435.6824774127</v>
          </cell>
          <cell r="K34">
            <v>42530381.139260367</v>
          </cell>
          <cell r="L34" t="e">
            <v>#N/A</v>
          </cell>
        </row>
        <row r="35">
          <cell r="C35" t="str">
            <v>Aryo Singgih, M.Mar.E</v>
          </cell>
          <cell r="D35" t="str">
            <v>BT</v>
          </cell>
          <cell r="E35">
            <v>5000</v>
          </cell>
          <cell r="F35">
            <v>33725000</v>
          </cell>
          <cell r="G35">
            <v>0</v>
          </cell>
          <cell r="H35">
            <v>5619075.0889564529</v>
          </cell>
          <cell r="I35">
            <v>595859.32627489907</v>
          </cell>
          <cell r="J35">
            <v>6214934.4152313517</v>
          </cell>
          <cell r="K35">
            <v>39349075.088956453</v>
          </cell>
          <cell r="L35" t="str">
            <v>AKTIF</v>
          </cell>
        </row>
        <row r="36">
          <cell r="C36" t="str">
            <v>Bambang Irwan</v>
          </cell>
          <cell r="D36" t="str">
            <v>CG</v>
          </cell>
          <cell r="E36">
            <v>5000</v>
          </cell>
          <cell r="F36">
            <v>29511013</v>
          </cell>
          <cell r="G36">
            <v>210000</v>
          </cell>
          <cell r="H36">
            <v>2729941.0739856288</v>
          </cell>
          <cell r="I36">
            <v>491477.44602418353</v>
          </cell>
          <cell r="J36">
            <v>3221418.5200098124</v>
          </cell>
          <cell r="K36">
            <v>32455954.073985629</v>
          </cell>
          <cell r="L36" t="str">
            <v>AKTIF</v>
          </cell>
        </row>
        <row r="37">
          <cell r="C37" t="str">
            <v>Bambang Riyanto, Ir</v>
          </cell>
          <cell r="D37" t="str">
            <v>SB</v>
          </cell>
          <cell r="E37">
            <v>5000</v>
          </cell>
          <cell r="F37">
            <v>30694515</v>
          </cell>
          <cell r="G37">
            <v>50000</v>
          </cell>
          <cell r="H37">
            <v>12608748.7564479</v>
          </cell>
          <cell r="I37">
            <v>656570.09146873897</v>
          </cell>
          <cell r="J37">
            <v>13265318.847916638</v>
          </cell>
          <cell r="K37">
            <v>43358263.756447896</v>
          </cell>
          <cell r="L37" t="str">
            <v>AKTIF</v>
          </cell>
        </row>
        <row r="38">
          <cell r="C38" t="str">
            <v>Bambang Sutomo, Ir</v>
          </cell>
          <cell r="D38" t="str">
            <v>SV</v>
          </cell>
          <cell r="E38">
            <v>5000</v>
          </cell>
          <cell r="F38">
            <v>42684477</v>
          </cell>
          <cell r="G38">
            <v>10000</v>
          </cell>
          <cell r="H38">
            <v>7956586.5539680514</v>
          </cell>
          <cell r="I38">
            <v>767079.98428855452</v>
          </cell>
          <cell r="J38">
            <v>8723666.5382566061</v>
          </cell>
          <cell r="K38">
            <v>50656063.55396805</v>
          </cell>
          <cell r="L38" t="str">
            <v>AKTIF</v>
          </cell>
        </row>
        <row r="39">
          <cell r="C39" t="str">
            <v>Bambang Wardoyo</v>
          </cell>
          <cell r="D39" t="str">
            <v>BJ</v>
          </cell>
          <cell r="E39">
            <v>5000</v>
          </cell>
          <cell r="F39">
            <v>20633939</v>
          </cell>
          <cell r="G39">
            <v>0</v>
          </cell>
          <cell r="H39">
            <v>3095747.8560101115</v>
          </cell>
          <cell r="I39">
            <v>359412.1205491072</v>
          </cell>
          <cell r="J39">
            <v>3455159.976559219</v>
          </cell>
          <cell r="K39">
            <v>23734686.856010113</v>
          </cell>
          <cell r="L39" t="str">
            <v>AKTIF</v>
          </cell>
        </row>
        <row r="40">
          <cell r="C40" t="str">
            <v>Bambang Wijanarko.</v>
          </cell>
          <cell r="D40" t="str">
            <v>SBU ENI</v>
          </cell>
          <cell r="E40">
            <v>5000</v>
          </cell>
          <cell r="F40">
            <v>25614881</v>
          </cell>
          <cell r="G40">
            <v>980000</v>
          </cell>
          <cell r="H40">
            <v>4460457.7444358282</v>
          </cell>
          <cell r="I40">
            <v>470343.77494997182</v>
          </cell>
          <cell r="J40">
            <v>4930801.5193857998</v>
          </cell>
          <cell r="K40">
            <v>31060338.744435828</v>
          </cell>
          <cell r="L40" t="str">
            <v>AKTIF</v>
          </cell>
        </row>
        <row r="41">
          <cell r="C41" t="str">
            <v>Benny Hermawan, Ir</v>
          </cell>
          <cell r="D41" t="str">
            <v>SD</v>
          </cell>
          <cell r="E41">
            <v>5000</v>
          </cell>
          <cell r="F41">
            <v>38482113</v>
          </cell>
          <cell r="G41">
            <v>0</v>
          </cell>
          <cell r="H41">
            <v>12746806.790335642</v>
          </cell>
          <cell r="I41">
            <v>775830.40667859383</v>
          </cell>
          <cell r="J41">
            <v>13522637.197014237</v>
          </cell>
          <cell r="K41">
            <v>51233919.79033564</v>
          </cell>
          <cell r="L41" t="str">
            <v>AKTIF</v>
          </cell>
        </row>
        <row r="42">
          <cell r="C42" t="str">
            <v>Berman Saragih</v>
          </cell>
          <cell r="D42" t="str">
            <v>BMC</v>
          </cell>
          <cell r="E42">
            <v>5000</v>
          </cell>
          <cell r="F42">
            <v>21957208</v>
          </cell>
          <cell r="G42">
            <v>0</v>
          </cell>
          <cell r="H42">
            <v>5410693.0544423694</v>
          </cell>
          <cell r="I42">
            <v>414505.25440856197</v>
          </cell>
          <cell r="J42">
            <v>5825198.308850931</v>
          </cell>
          <cell r="K42">
            <v>27372901.054442368</v>
          </cell>
          <cell r="L42" t="e">
            <v>#N/A</v>
          </cell>
        </row>
        <row r="43">
          <cell r="C43" t="str">
            <v>Budi Isrofi, Ir</v>
          </cell>
          <cell r="D43" t="str">
            <v>BM</v>
          </cell>
          <cell r="E43">
            <v>5000</v>
          </cell>
          <cell r="F43">
            <v>31407578</v>
          </cell>
          <cell r="G43">
            <v>0</v>
          </cell>
          <cell r="H43">
            <v>13916181.885483816</v>
          </cell>
          <cell r="I43">
            <v>686409.12817342044</v>
          </cell>
          <cell r="J43">
            <v>14602591.013657236</v>
          </cell>
          <cell r="K43">
            <v>45328759.885483816</v>
          </cell>
          <cell r="L43" t="str">
            <v>AKTIF</v>
          </cell>
        </row>
        <row r="44">
          <cell r="C44" t="str">
            <v>Budi Prakoso, Ir</v>
          </cell>
          <cell r="D44" t="str">
            <v>RKRB</v>
          </cell>
          <cell r="E44">
            <v>5000</v>
          </cell>
          <cell r="F44">
            <v>34964030</v>
          </cell>
          <cell r="G44">
            <v>35000</v>
          </cell>
          <cell r="H44">
            <v>10927885.317326333</v>
          </cell>
          <cell r="I44">
            <v>695542.65389020648</v>
          </cell>
          <cell r="J44">
            <v>11623427.971216541</v>
          </cell>
          <cell r="K44">
            <v>45931915.317326337</v>
          </cell>
          <cell r="L44" t="str">
            <v>AKTIF</v>
          </cell>
        </row>
        <row r="45">
          <cell r="C45" t="str">
            <v>Budiman Johansyah</v>
          </cell>
          <cell r="D45" t="str">
            <v>BPC</v>
          </cell>
          <cell r="E45">
            <v>5000</v>
          </cell>
          <cell r="F45">
            <v>20816599</v>
          </cell>
          <cell r="G45">
            <v>75000</v>
          </cell>
          <cell r="H45">
            <v>6255673.3282835176</v>
          </cell>
          <cell r="I45">
            <v>411164.29445388191</v>
          </cell>
          <cell r="J45">
            <v>6666837.6227373993</v>
          </cell>
          <cell r="K45">
            <v>27152272.328283519</v>
          </cell>
          <cell r="L45" t="e">
            <v>#N/A</v>
          </cell>
        </row>
        <row r="46">
          <cell r="C46" t="str">
            <v>Burhanuddin</v>
          </cell>
          <cell r="D46" t="str">
            <v>SBU ENI</v>
          </cell>
          <cell r="E46">
            <v>5000</v>
          </cell>
          <cell r="F46">
            <v>16198751</v>
          </cell>
          <cell r="G46">
            <v>1203500</v>
          </cell>
          <cell r="H46">
            <v>1092341.6363917191</v>
          </cell>
          <cell r="I46">
            <v>280137.58340597351</v>
          </cell>
          <cell r="J46">
            <v>1372479.2197976927</v>
          </cell>
          <cell r="K46">
            <v>18499592.636391718</v>
          </cell>
          <cell r="L46" t="str">
            <v>AKTIF</v>
          </cell>
        </row>
        <row r="47">
          <cell r="C47" t="str">
            <v>Dandy Rukmana</v>
          </cell>
          <cell r="D47" t="str">
            <v>ACD</v>
          </cell>
          <cell r="E47">
            <v>200000</v>
          </cell>
          <cell r="F47">
            <v>9100000</v>
          </cell>
          <cell r="G47">
            <v>0</v>
          </cell>
          <cell r="H47">
            <v>355462.47579117084</v>
          </cell>
          <cell r="I47">
            <v>146211.75599911858</v>
          </cell>
          <cell r="J47">
            <v>501674.2317902894</v>
          </cell>
          <cell r="K47">
            <v>9655462.4757911712</v>
          </cell>
          <cell r="L47" t="e">
            <v>#N/A</v>
          </cell>
        </row>
        <row r="48">
          <cell r="C48" t="str">
            <v>David Noer Syuhada, Ir</v>
          </cell>
          <cell r="D48" t="str">
            <v>SV</v>
          </cell>
          <cell r="E48">
            <v>5000</v>
          </cell>
          <cell r="F48">
            <v>18145000</v>
          </cell>
          <cell r="G48">
            <v>25000</v>
          </cell>
          <cell r="H48">
            <v>878616.02501975489</v>
          </cell>
          <cell r="I48">
            <v>288527.10723447864</v>
          </cell>
          <cell r="J48">
            <v>1167143.1322542336</v>
          </cell>
          <cell r="K48">
            <v>19053616.025019754</v>
          </cell>
          <cell r="L48" t="str">
            <v>AKTIF</v>
          </cell>
        </row>
        <row r="49">
          <cell r="C49" t="str">
            <v>Dede Ma'mun, SE</v>
          </cell>
          <cell r="D49" t="str">
            <v>AKP</v>
          </cell>
          <cell r="E49">
            <v>5000</v>
          </cell>
          <cell r="F49">
            <v>39237174</v>
          </cell>
          <cell r="G49">
            <v>1277000</v>
          </cell>
          <cell r="H49">
            <v>3916195.0825997572</v>
          </cell>
          <cell r="I49">
            <v>672880.5956551024</v>
          </cell>
          <cell r="J49">
            <v>4589075.6782548595</v>
          </cell>
          <cell r="K49">
            <v>44435369.082599759</v>
          </cell>
          <cell r="L49" t="str">
            <v>AKTIF</v>
          </cell>
        </row>
        <row r="50">
          <cell r="C50" t="str">
            <v>Desi Hardianawati</v>
          </cell>
          <cell r="D50" t="str">
            <v>HCTIO</v>
          </cell>
          <cell r="E50">
            <v>5000</v>
          </cell>
          <cell r="F50">
            <v>25443744</v>
          </cell>
          <cell r="G50">
            <v>810000</v>
          </cell>
          <cell r="H50">
            <v>2368118.2185790516</v>
          </cell>
          <cell r="I50">
            <v>433493.86983975599</v>
          </cell>
          <cell r="J50">
            <v>2801612.0884188074</v>
          </cell>
          <cell r="K50">
            <v>28626862.21857905</v>
          </cell>
          <cell r="L50" t="str">
            <v>AKTIF</v>
          </cell>
        </row>
        <row r="51">
          <cell r="C51" t="str">
            <v>Didi Kurniadi, Ir</v>
          </cell>
          <cell r="D51" t="str">
            <v>TP</v>
          </cell>
          <cell r="E51">
            <v>5000</v>
          </cell>
          <cell r="F51">
            <v>46310800</v>
          </cell>
          <cell r="G51">
            <v>85000</v>
          </cell>
          <cell r="H51">
            <v>8039914.1066459473</v>
          </cell>
          <cell r="I51">
            <v>824390.59002468502</v>
          </cell>
          <cell r="J51">
            <v>8864304.6966706328</v>
          </cell>
          <cell r="K51">
            <v>54440714.106645949</v>
          </cell>
          <cell r="L51" t="str">
            <v>AKTIF</v>
          </cell>
        </row>
        <row r="52">
          <cell r="C52" t="str">
            <v>Diding Suwandi</v>
          </cell>
          <cell r="D52" t="str">
            <v>HCTIO</v>
          </cell>
          <cell r="E52">
            <v>5000</v>
          </cell>
          <cell r="F52">
            <v>59261930</v>
          </cell>
          <cell r="G52">
            <v>1103000</v>
          </cell>
          <cell r="H52">
            <v>5795464.9035054184</v>
          </cell>
          <cell r="I52">
            <v>1001936.3235549164</v>
          </cell>
          <cell r="J52">
            <v>6797401.2270603348</v>
          </cell>
          <cell r="K52">
            <v>66165394.903505415</v>
          </cell>
          <cell r="L52" t="e">
            <v>#N/A</v>
          </cell>
        </row>
        <row r="53">
          <cell r="C53" t="str">
            <v>Didiet E Firmansyah.</v>
          </cell>
          <cell r="D53" t="str">
            <v>ISPB</v>
          </cell>
          <cell r="E53">
            <v>5000</v>
          </cell>
          <cell r="F53">
            <v>36804821</v>
          </cell>
          <cell r="G53">
            <v>120000</v>
          </cell>
          <cell r="H53">
            <v>4452782.7445296207</v>
          </cell>
          <cell r="I53">
            <v>626652.85857346631</v>
          </cell>
          <cell r="J53">
            <v>5079435.6031030873</v>
          </cell>
          <cell r="K53">
            <v>41382603.74452962</v>
          </cell>
          <cell r="L53" t="str">
            <v>AKTIF</v>
          </cell>
        </row>
        <row r="54">
          <cell r="C54" t="str">
            <v>Dino Vita Larasanto</v>
          </cell>
          <cell r="D54" t="str">
            <v>SBU ENI</v>
          </cell>
          <cell r="E54">
            <v>5000</v>
          </cell>
          <cell r="F54">
            <v>21770858</v>
          </cell>
          <cell r="G54">
            <v>910000</v>
          </cell>
          <cell r="H54">
            <v>2666764.4685921022</v>
          </cell>
          <cell r="I54">
            <v>383912.36666390952</v>
          </cell>
          <cell r="J54">
            <v>3050676.8352560117</v>
          </cell>
          <cell r="K54">
            <v>25352622.468592104</v>
          </cell>
          <cell r="L54" t="e">
            <v>#N/A</v>
          </cell>
        </row>
        <row r="55">
          <cell r="C55" t="str">
            <v>Doan Oskar Dewandaru. Ir</v>
          </cell>
          <cell r="D55" t="str">
            <v>AB</v>
          </cell>
          <cell r="E55">
            <v>5000</v>
          </cell>
          <cell r="F55">
            <v>24036013</v>
          </cell>
          <cell r="G55">
            <v>40000</v>
          </cell>
          <cell r="H55">
            <v>2105839.6417022636</v>
          </cell>
          <cell r="I55">
            <v>396545.03535520291</v>
          </cell>
          <cell r="J55">
            <v>2502384.6770574665</v>
          </cell>
          <cell r="K55">
            <v>26186852.641702265</v>
          </cell>
          <cell r="L55" t="str">
            <v>AKTIF</v>
          </cell>
        </row>
        <row r="56">
          <cell r="C56" t="str">
            <v>DONY TRI SUSILO</v>
          </cell>
          <cell r="D56" t="str">
            <v>PR</v>
          </cell>
          <cell r="E56">
            <v>5000</v>
          </cell>
          <cell r="F56">
            <v>39775160</v>
          </cell>
          <cell r="G56">
            <v>0</v>
          </cell>
          <cell r="H56">
            <v>13387892.849299023</v>
          </cell>
          <cell r="I56">
            <v>805118.80084883899</v>
          </cell>
          <cell r="J56">
            <v>14193011.650147863</v>
          </cell>
          <cell r="K56">
            <v>53168052.849299021</v>
          </cell>
          <cell r="L56" t="e">
            <v>#N/A</v>
          </cell>
        </row>
        <row r="57">
          <cell r="C57" t="str">
            <v>Dwiana Galuh Listiyarini</v>
          </cell>
          <cell r="D57" t="str">
            <v>PRB</v>
          </cell>
          <cell r="E57">
            <v>5000</v>
          </cell>
          <cell r="F57">
            <v>35639498</v>
          </cell>
          <cell r="G57">
            <v>0</v>
          </cell>
          <cell r="H57">
            <v>3518535.6156666232</v>
          </cell>
          <cell r="I57">
            <v>593042.11782252602</v>
          </cell>
          <cell r="J57">
            <v>4111577.7334891493</v>
          </cell>
          <cell r="K57">
            <v>39163033.61566662</v>
          </cell>
          <cell r="L57" t="e">
            <v>#N/A</v>
          </cell>
        </row>
        <row r="58">
          <cell r="C58" t="str">
            <v>Edwin Olaf J.D ST</v>
          </cell>
          <cell r="D58" t="str">
            <v>CG</v>
          </cell>
          <cell r="E58">
            <v>5000</v>
          </cell>
          <cell r="F58">
            <v>35058538</v>
          </cell>
          <cell r="G58">
            <v>650000</v>
          </cell>
          <cell r="H58">
            <v>3482005.9051594906</v>
          </cell>
          <cell r="I58">
            <v>593534.41806466458</v>
          </cell>
          <cell r="J58">
            <v>4075540.3232241552</v>
          </cell>
          <cell r="K58">
            <v>39195543.905159488</v>
          </cell>
          <cell r="L58" t="str">
            <v>AKTIF</v>
          </cell>
        </row>
        <row r="59">
          <cell r="C59" t="str">
            <v>Elis Rosida</v>
          </cell>
          <cell r="D59" t="str">
            <v>PKK</v>
          </cell>
          <cell r="E59">
            <v>5000</v>
          </cell>
          <cell r="F59">
            <v>36529733</v>
          </cell>
          <cell r="G59">
            <v>1422000</v>
          </cell>
          <cell r="H59">
            <v>1255578.2521574167</v>
          </cell>
          <cell r="I59">
            <v>593788.32441603416</v>
          </cell>
          <cell r="J59">
            <v>1849366.5765734508</v>
          </cell>
          <cell r="K59">
            <v>39212311.25215742</v>
          </cell>
          <cell r="L59" t="str">
            <v>AKTIF</v>
          </cell>
        </row>
        <row r="60">
          <cell r="C60" t="str">
            <v>Elva Mochamad Ramdhani</v>
          </cell>
          <cell r="D60" t="str">
            <v>SBU MNO</v>
          </cell>
          <cell r="E60">
            <v>5000</v>
          </cell>
          <cell r="F60">
            <v>45191972</v>
          </cell>
          <cell r="G60">
            <v>645000</v>
          </cell>
          <cell r="H60">
            <v>4640303.7515061209</v>
          </cell>
          <cell r="I60">
            <v>764448.33201577154</v>
          </cell>
          <cell r="J60">
            <v>5404752.0835218923</v>
          </cell>
          <cell r="K60">
            <v>50482275.75150612</v>
          </cell>
          <cell r="L60" t="e">
            <v>#N/A</v>
          </cell>
        </row>
        <row r="61">
          <cell r="C61" t="str">
            <v>Endah Mustika</v>
          </cell>
          <cell r="D61" t="str">
            <v>TJSL</v>
          </cell>
          <cell r="E61">
            <v>5000</v>
          </cell>
          <cell r="F61">
            <v>38111918</v>
          </cell>
          <cell r="G61">
            <v>670000</v>
          </cell>
          <cell r="H61">
            <v>1296338.49898383</v>
          </cell>
          <cell r="I61">
            <v>606976.96599968243</v>
          </cell>
          <cell r="J61">
            <v>1903315.4649835124</v>
          </cell>
          <cell r="K61">
            <v>40083256.49898383</v>
          </cell>
          <cell r="L61" t="e">
            <v>#N/A</v>
          </cell>
        </row>
        <row r="62">
          <cell r="C62" t="str">
            <v>Erry S Djayus</v>
          </cell>
          <cell r="D62" t="str">
            <v>SEKPER</v>
          </cell>
          <cell r="E62">
            <v>5000</v>
          </cell>
          <cell r="F62">
            <v>30840660</v>
          </cell>
          <cell r="G62">
            <v>2850000</v>
          </cell>
          <cell r="H62">
            <v>2466878.8378160056</v>
          </cell>
          <cell r="I62">
            <v>547605.90889564331</v>
          </cell>
          <cell r="J62">
            <v>3014484.746711649</v>
          </cell>
          <cell r="K62">
            <v>36162538.837816007</v>
          </cell>
          <cell r="L62" t="e">
            <v>#N/A</v>
          </cell>
        </row>
        <row r="63">
          <cell r="C63" t="str">
            <v>Eva Saragih</v>
          </cell>
          <cell r="D63" t="str">
            <v>HCTIO</v>
          </cell>
          <cell r="E63">
            <v>5000</v>
          </cell>
          <cell r="F63">
            <v>38053066</v>
          </cell>
          <cell r="G63">
            <v>850000</v>
          </cell>
          <cell r="H63">
            <v>5340496.3640352199</v>
          </cell>
          <cell r="I63">
            <v>670051.79916583677</v>
          </cell>
          <cell r="J63">
            <v>6010548.1632010564</v>
          </cell>
          <cell r="K63">
            <v>44248562.364035219</v>
          </cell>
          <cell r="L63" t="e">
            <v>#N/A</v>
          </cell>
        </row>
        <row r="64">
          <cell r="C64" t="str">
            <v>Fahmi</v>
          </cell>
          <cell r="D64" t="str">
            <v>PRB</v>
          </cell>
          <cell r="E64">
            <v>5000</v>
          </cell>
          <cell r="F64">
            <v>38491804</v>
          </cell>
          <cell r="G64">
            <v>210000</v>
          </cell>
          <cell r="H64">
            <v>4727823.2173939664</v>
          </cell>
          <cell r="I64">
            <v>657726.45614283811</v>
          </cell>
          <cell r="J64">
            <v>5385549.6735368045</v>
          </cell>
          <cell r="K64">
            <v>43434627.217393965</v>
          </cell>
          <cell r="L64" t="e">
            <v>#N/A</v>
          </cell>
        </row>
        <row r="65">
          <cell r="C65" t="str">
            <v>Fajar Nugraha, Ir</v>
          </cell>
          <cell r="D65" t="str">
            <v>HCTIO</v>
          </cell>
          <cell r="E65">
            <v>5000</v>
          </cell>
          <cell r="F65">
            <v>68123471</v>
          </cell>
          <cell r="G65">
            <v>50000</v>
          </cell>
          <cell r="H65">
            <v>10670025.696645916</v>
          </cell>
          <cell r="I65">
            <v>1193995.335677864</v>
          </cell>
          <cell r="J65">
            <v>11864021.03232378</v>
          </cell>
          <cell r="K65">
            <v>78848496.696645916</v>
          </cell>
          <cell r="L65" t="str">
            <v>AKTIF</v>
          </cell>
        </row>
        <row r="66">
          <cell r="C66" t="str">
            <v>Farrah Mutia N</v>
          </cell>
          <cell r="D66" t="str">
            <v>TI</v>
          </cell>
          <cell r="E66">
            <v>5000</v>
          </cell>
          <cell r="F66">
            <v>24576609</v>
          </cell>
          <cell r="G66">
            <v>1813000</v>
          </cell>
          <cell r="H66">
            <v>2229527.7684022761</v>
          </cell>
          <cell r="I66">
            <v>433452.59860523633</v>
          </cell>
          <cell r="J66">
            <v>2662980.3670075126</v>
          </cell>
          <cell r="K66">
            <v>28624136.768402275</v>
          </cell>
          <cell r="L66" t="e">
            <v>#N/A</v>
          </cell>
        </row>
        <row r="67">
          <cell r="C67" t="str">
            <v>Febriansyah</v>
          </cell>
          <cell r="D67" t="str">
            <v>AB</v>
          </cell>
          <cell r="E67">
            <v>5000</v>
          </cell>
          <cell r="F67">
            <v>21995858</v>
          </cell>
          <cell r="G67">
            <v>0</v>
          </cell>
          <cell r="H67">
            <v>2386307.645151264</v>
          </cell>
          <cell r="I67">
            <v>369292.5452052746</v>
          </cell>
          <cell r="J67">
            <v>2755600.1903565386</v>
          </cell>
          <cell r="K67">
            <v>24387165.645151265</v>
          </cell>
          <cell r="L67" t="str">
            <v>AKTIF</v>
          </cell>
        </row>
        <row r="68">
          <cell r="C68" t="str">
            <v>Fernando, Ir</v>
          </cell>
          <cell r="D68" t="str">
            <v>SBU ENI</v>
          </cell>
          <cell r="E68">
            <v>5000</v>
          </cell>
          <cell r="F68">
            <v>21845858</v>
          </cell>
          <cell r="G68">
            <v>0</v>
          </cell>
          <cell r="H68">
            <v>2677427.8914502547</v>
          </cell>
          <cell r="I68">
            <v>371429.51576159307</v>
          </cell>
          <cell r="J68">
            <v>3048857.4072118476</v>
          </cell>
          <cell r="K68">
            <v>24528285.891450256</v>
          </cell>
          <cell r="L68" t="str">
            <v>AKTIF</v>
          </cell>
        </row>
        <row r="69">
          <cell r="C69" t="str">
            <v>Ferry harfianto effendi</v>
          </cell>
          <cell r="D69" t="str">
            <v>SBU ENI</v>
          </cell>
          <cell r="E69">
            <v>5000</v>
          </cell>
          <cell r="F69">
            <v>49092861</v>
          </cell>
          <cell r="G69">
            <v>585000</v>
          </cell>
          <cell r="H69">
            <v>5705906.5801723674</v>
          </cell>
          <cell r="I69">
            <v>838746.87419987714</v>
          </cell>
          <cell r="J69">
            <v>6544653.4543722449</v>
          </cell>
          <cell r="K69">
            <v>55388767.580172367</v>
          </cell>
          <cell r="L69" t="e">
            <v>#N/A</v>
          </cell>
        </row>
        <row r="70">
          <cell r="C70" t="str">
            <v>Fikrah Wathani</v>
          </cell>
          <cell r="D70" t="str">
            <v>HCS</v>
          </cell>
          <cell r="E70">
            <v>5000</v>
          </cell>
          <cell r="F70">
            <v>19853973</v>
          </cell>
          <cell r="G70">
            <v>50000</v>
          </cell>
          <cell r="H70">
            <v>1529471.9930674867</v>
          </cell>
          <cell r="I70">
            <v>324640.34697313269</v>
          </cell>
          <cell r="J70">
            <v>1854112.3400406195</v>
          </cell>
          <cell r="K70">
            <v>21438444.993067488</v>
          </cell>
          <cell r="L70" t="str">
            <v>AKTIF</v>
          </cell>
        </row>
        <row r="71">
          <cell r="C71" t="str">
            <v>Firmansyah</v>
          </cell>
          <cell r="D71" t="str">
            <v>STA</v>
          </cell>
          <cell r="E71">
            <v>5000</v>
          </cell>
          <cell r="F71">
            <v>23989161</v>
          </cell>
          <cell r="G71">
            <v>50000</v>
          </cell>
          <cell r="H71">
            <v>3440312.0650717425</v>
          </cell>
          <cell r="I71">
            <v>416194.77882392524</v>
          </cell>
          <cell r="J71">
            <v>3856506.8438956677</v>
          </cell>
          <cell r="K71">
            <v>27484473.065071743</v>
          </cell>
          <cell r="L71" t="str">
            <v>AKTIF</v>
          </cell>
        </row>
        <row r="72">
          <cell r="C72" t="str">
            <v>HAERUDIN</v>
          </cell>
          <cell r="D72" t="str">
            <v>SEKPER</v>
          </cell>
          <cell r="E72">
            <v>5000</v>
          </cell>
          <cell r="F72">
            <v>25114242</v>
          </cell>
          <cell r="G72">
            <v>2078000</v>
          </cell>
          <cell r="H72">
            <v>2260129.223240274</v>
          </cell>
          <cell r="I72">
            <v>446070.18922881229</v>
          </cell>
          <cell r="J72">
            <v>2706199.4124690862</v>
          </cell>
          <cell r="K72">
            <v>29457371.223240275</v>
          </cell>
          <cell r="L72" t="e">
            <v>#N/A</v>
          </cell>
        </row>
        <row r="73">
          <cell r="C73" t="str">
            <v>Hambali Wahid</v>
          </cell>
          <cell r="D73" t="str">
            <v>SV</v>
          </cell>
          <cell r="E73">
            <v>5000</v>
          </cell>
          <cell r="F73">
            <v>19584532</v>
          </cell>
          <cell r="G73">
            <v>30000</v>
          </cell>
          <cell r="H73">
            <v>2319199.6598919872</v>
          </cell>
          <cell r="I73">
            <v>332216.14070054417</v>
          </cell>
          <cell r="J73">
            <v>2651415.8005925315</v>
          </cell>
          <cell r="K73">
            <v>21938731.659891985</v>
          </cell>
          <cell r="L73" t="str">
            <v>AKTIF</v>
          </cell>
        </row>
        <row r="74">
          <cell r="C74" t="str">
            <v>Hardi E.P. Siagian. ST</v>
          </cell>
          <cell r="D74" t="str">
            <v>TP</v>
          </cell>
          <cell r="E74">
            <v>5000</v>
          </cell>
          <cell r="F74">
            <v>21414667</v>
          </cell>
          <cell r="G74">
            <v>0</v>
          </cell>
          <cell r="H74">
            <v>5677074.7014116533</v>
          </cell>
          <cell r="I74">
            <v>410323.39941783116</v>
          </cell>
          <cell r="J74">
            <v>6087398.1008294849</v>
          </cell>
          <cell r="K74">
            <v>27096741.701411653</v>
          </cell>
          <cell r="L74" t="str">
            <v>AKTIF</v>
          </cell>
        </row>
        <row r="75">
          <cell r="C75" t="str">
            <v>Harrys Pahala</v>
          </cell>
          <cell r="D75" t="str">
            <v>DOC</v>
          </cell>
          <cell r="E75">
            <v>5000</v>
          </cell>
          <cell r="F75">
            <v>21845858</v>
          </cell>
          <cell r="G75">
            <v>0</v>
          </cell>
          <cell r="H75">
            <v>2361268.1257860912</v>
          </cell>
          <cell r="I75">
            <v>366641.93830169109</v>
          </cell>
          <cell r="J75">
            <v>2727910.0640877821</v>
          </cell>
          <cell r="K75">
            <v>24212126.125786092</v>
          </cell>
          <cell r="L75" t="str">
            <v>AKTIF</v>
          </cell>
        </row>
        <row r="76">
          <cell r="C76" t="str">
            <v>Herbert SH, Ir</v>
          </cell>
          <cell r="D76" t="str">
            <v>M&amp;K</v>
          </cell>
          <cell r="E76">
            <v>5000</v>
          </cell>
          <cell r="F76">
            <v>55483869</v>
          </cell>
          <cell r="G76">
            <v>0</v>
          </cell>
          <cell r="H76">
            <v>9947618.8788878657</v>
          </cell>
          <cell r="I76">
            <v>990898.5533500571</v>
          </cell>
          <cell r="J76">
            <v>10938517.432237923</v>
          </cell>
          <cell r="K76">
            <v>65436487.878887862</v>
          </cell>
          <cell r="L76" t="str">
            <v>AKTIF</v>
          </cell>
        </row>
        <row r="77">
          <cell r="C77" t="str">
            <v>HERDIMAN MUSTARI</v>
          </cell>
          <cell r="D77" t="str">
            <v>SD</v>
          </cell>
          <cell r="E77">
            <v>5000</v>
          </cell>
          <cell r="F77">
            <v>16042646</v>
          </cell>
          <cell r="G77">
            <v>0</v>
          </cell>
          <cell r="H77">
            <v>2906244.3776191822</v>
          </cell>
          <cell r="I77">
            <v>287016.97117821564</v>
          </cell>
          <cell r="J77">
            <v>3193261.3487973977</v>
          </cell>
          <cell r="K77">
            <v>18953890.377619181</v>
          </cell>
          <cell r="L77" t="e">
            <v>#N/A</v>
          </cell>
        </row>
        <row r="78">
          <cell r="C78" t="str">
            <v>Heri Wirawan, ST.</v>
          </cell>
          <cell r="D78" t="str">
            <v>BNC</v>
          </cell>
          <cell r="E78">
            <v>5000</v>
          </cell>
          <cell r="F78">
            <v>22885147</v>
          </cell>
          <cell r="G78">
            <v>565000</v>
          </cell>
          <cell r="H78">
            <v>8473635.678683091</v>
          </cell>
          <cell r="I78">
            <v>483494.53939356422</v>
          </cell>
          <cell r="J78">
            <v>8957130.2180766556</v>
          </cell>
          <cell r="K78">
            <v>31928782.678683091</v>
          </cell>
          <cell r="L78" t="str">
            <v>AKTIF</v>
          </cell>
        </row>
        <row r="79">
          <cell r="C79" t="str">
            <v>Heru Susilo Budiman</v>
          </cell>
          <cell r="D79" t="str">
            <v>PRB</v>
          </cell>
          <cell r="E79">
            <v>5000</v>
          </cell>
          <cell r="F79">
            <v>53443284</v>
          </cell>
          <cell r="G79">
            <v>80000</v>
          </cell>
          <cell r="H79">
            <v>2737463.5668233968</v>
          </cell>
          <cell r="I79">
            <v>852026.89927851257</v>
          </cell>
          <cell r="J79">
            <v>3589490.4661019095</v>
          </cell>
          <cell r="K79">
            <v>56265747.566823393</v>
          </cell>
          <cell r="L79" t="e">
            <v>#N/A</v>
          </cell>
        </row>
        <row r="80">
          <cell r="C80" t="str">
            <v>Hijrawati Muchtar ST</v>
          </cell>
          <cell r="D80" t="str">
            <v>PRB</v>
          </cell>
          <cell r="E80">
            <v>5000</v>
          </cell>
          <cell r="F80">
            <v>36500255</v>
          </cell>
          <cell r="G80">
            <v>0</v>
          </cell>
          <cell r="H80">
            <v>4392305.3089473685</v>
          </cell>
          <cell r="I80">
            <v>619307.89165653824</v>
          </cell>
          <cell r="J80">
            <v>5011613.200603907</v>
          </cell>
          <cell r="K80">
            <v>40897560.308947369</v>
          </cell>
          <cell r="L80" t="str">
            <v>AKTIF</v>
          </cell>
        </row>
        <row r="81">
          <cell r="C81" t="str">
            <v>Himawan</v>
          </cell>
          <cell r="D81" t="str">
            <v>M&amp;K</v>
          </cell>
          <cell r="E81">
            <v>5000</v>
          </cell>
          <cell r="F81">
            <v>24056743</v>
          </cell>
          <cell r="G81">
            <v>1057500</v>
          </cell>
          <cell r="H81">
            <v>1337749.9158730183</v>
          </cell>
          <cell r="I81">
            <v>400635.74400345463</v>
          </cell>
          <cell r="J81">
            <v>1738385.659876473</v>
          </cell>
          <cell r="K81">
            <v>26456992.915873017</v>
          </cell>
          <cell r="L81" t="str">
            <v>AKTIF</v>
          </cell>
        </row>
        <row r="82">
          <cell r="C82" t="str">
            <v>ILham Syahrir</v>
          </cell>
          <cell r="D82" t="str">
            <v>TP</v>
          </cell>
          <cell r="E82">
            <v>5000</v>
          </cell>
          <cell r="F82">
            <v>23892478</v>
          </cell>
          <cell r="G82">
            <v>0</v>
          </cell>
          <cell r="H82">
            <v>1194747.9861906462</v>
          </cell>
          <cell r="I82">
            <v>379969.20733380289</v>
          </cell>
          <cell r="J82">
            <v>1574717.1935244491</v>
          </cell>
          <cell r="K82">
            <v>25092225.986190647</v>
          </cell>
          <cell r="L82" t="e">
            <v>#N/A</v>
          </cell>
        </row>
        <row r="83">
          <cell r="C83" t="str">
            <v>Ilyas</v>
          </cell>
          <cell r="D83" t="str">
            <v>PUMA</v>
          </cell>
          <cell r="E83">
            <v>5000</v>
          </cell>
          <cell r="F83">
            <v>26399256</v>
          </cell>
          <cell r="G83">
            <v>604000</v>
          </cell>
          <cell r="H83">
            <v>2672491.4364167326</v>
          </cell>
          <cell r="I83">
            <v>449452.75411981065</v>
          </cell>
          <cell r="J83">
            <v>3121944.1905365433</v>
          </cell>
          <cell r="K83">
            <v>29680747.436416734</v>
          </cell>
          <cell r="L83" t="str">
            <v>AKTIF</v>
          </cell>
        </row>
        <row r="84">
          <cell r="C84" t="str">
            <v>Indra Kusuma</v>
          </cell>
          <cell r="D84" t="str">
            <v>CG</v>
          </cell>
          <cell r="E84">
            <v>5000</v>
          </cell>
          <cell r="F84">
            <v>18759933</v>
          </cell>
          <cell r="G84">
            <v>0</v>
          </cell>
          <cell r="H84">
            <v>3730362.3276958694</v>
          </cell>
          <cell r="I84">
            <v>340644.1317365974</v>
          </cell>
          <cell r="J84">
            <v>4071006.4594324669</v>
          </cell>
          <cell r="K84">
            <v>22495295.327695869</v>
          </cell>
          <cell r="L84" t="str">
            <v>AKTIF</v>
          </cell>
        </row>
        <row r="85">
          <cell r="C85" t="str">
            <v>Indra Permana</v>
          </cell>
          <cell r="D85" t="str">
            <v>TP</v>
          </cell>
          <cell r="E85">
            <v>5000</v>
          </cell>
          <cell r="F85">
            <v>22440323</v>
          </cell>
          <cell r="G85">
            <v>285000</v>
          </cell>
          <cell r="H85">
            <v>1554610.8695744595</v>
          </cell>
          <cell r="I85">
            <v>367744.45908682409</v>
          </cell>
          <cell r="J85">
            <v>1922355.3286612835</v>
          </cell>
          <cell r="K85">
            <v>24284933.869574461</v>
          </cell>
          <cell r="L85" t="str">
            <v>AKTIF</v>
          </cell>
        </row>
        <row r="86">
          <cell r="C86" t="str">
            <v>Irwan Eko Santoso, ST</v>
          </cell>
          <cell r="D86" t="str">
            <v>SD</v>
          </cell>
          <cell r="E86">
            <v>5000</v>
          </cell>
          <cell r="F86">
            <v>28825000</v>
          </cell>
          <cell r="G86">
            <v>0</v>
          </cell>
          <cell r="H86">
            <v>5148806.6949621728</v>
          </cell>
          <cell r="I86">
            <v>514537.85938077897</v>
          </cell>
          <cell r="J86">
            <v>5663344.5543429516</v>
          </cell>
          <cell r="K86">
            <v>33978806.694962174</v>
          </cell>
          <cell r="L86" t="str">
            <v>AKTIF</v>
          </cell>
        </row>
        <row r="87">
          <cell r="C87" t="str">
            <v>Irwanto</v>
          </cell>
          <cell r="D87" t="str">
            <v>HCTIO</v>
          </cell>
          <cell r="E87">
            <v>5000</v>
          </cell>
          <cell r="F87">
            <v>44528397</v>
          </cell>
          <cell r="G87">
            <v>854000</v>
          </cell>
          <cell r="H87">
            <v>4186156.2556903339</v>
          </cell>
          <cell r="I87">
            <v>750687.63311996439</v>
          </cell>
          <cell r="J87">
            <v>4936843.8888102984</v>
          </cell>
          <cell r="K87">
            <v>49573553.255690336</v>
          </cell>
          <cell r="L87" t="e">
            <v>#N/A</v>
          </cell>
        </row>
        <row r="88">
          <cell r="C88" t="str">
            <v>Kartika Wijayanti</v>
          </cell>
          <cell r="D88" t="str">
            <v>PSMMO</v>
          </cell>
          <cell r="E88">
            <v>5000</v>
          </cell>
          <cell r="F88">
            <v>25242036</v>
          </cell>
          <cell r="G88">
            <v>220000</v>
          </cell>
          <cell r="H88">
            <v>3975625.3373103444</v>
          </cell>
          <cell r="I88">
            <v>445847.43881600146</v>
          </cell>
          <cell r="J88">
            <v>4421472.7761263456</v>
          </cell>
          <cell r="K88">
            <v>29442661.337310344</v>
          </cell>
          <cell r="L88" t="str">
            <v>AKTIF</v>
          </cell>
        </row>
        <row r="89">
          <cell r="C89" t="str">
            <v>Kosim Bin Mari</v>
          </cell>
          <cell r="D89" t="str">
            <v>PUMA</v>
          </cell>
          <cell r="E89">
            <v>5000</v>
          </cell>
          <cell r="F89">
            <v>21095858</v>
          </cell>
          <cell r="G89">
            <v>880000</v>
          </cell>
          <cell r="H89">
            <v>2590649.5204737359</v>
          </cell>
          <cell r="I89">
            <v>372084.0168062101</v>
          </cell>
          <cell r="J89">
            <v>2962733.5372799458</v>
          </cell>
          <cell r="K89">
            <v>24571507.520473737</v>
          </cell>
          <cell r="L89" t="str">
            <v>AKTIF</v>
          </cell>
        </row>
        <row r="90">
          <cell r="C90" t="str">
            <v>Krishna Wijayadi</v>
          </cell>
          <cell r="D90" t="str">
            <v>PRB</v>
          </cell>
          <cell r="E90">
            <v>5000</v>
          </cell>
          <cell r="F90">
            <v>45192947</v>
          </cell>
          <cell r="G90">
            <v>30000</v>
          </cell>
          <cell r="H90">
            <v>4251986.876615366</v>
          </cell>
          <cell r="I90">
            <v>749269.96370802075</v>
          </cell>
          <cell r="J90">
            <v>5001256.8403233867</v>
          </cell>
          <cell r="K90">
            <v>49479933.876615368</v>
          </cell>
          <cell r="L90" t="str">
            <v>AKTIF</v>
          </cell>
        </row>
        <row r="91">
          <cell r="C91" t="str">
            <v>Lily Pandansari</v>
          </cell>
          <cell r="D91" t="str">
            <v>AKP</v>
          </cell>
          <cell r="E91">
            <v>5000</v>
          </cell>
          <cell r="F91">
            <v>41697316</v>
          </cell>
          <cell r="G91">
            <v>1125000</v>
          </cell>
          <cell r="H91">
            <v>5871373.6705754716</v>
          </cell>
          <cell r="I91">
            <v>737439.65650982817</v>
          </cell>
          <cell r="J91">
            <v>6608813.3270852994</v>
          </cell>
          <cell r="K91">
            <v>48698689.67057547</v>
          </cell>
          <cell r="L91" t="str">
            <v>AKTIF</v>
          </cell>
        </row>
        <row r="92">
          <cell r="C92" t="str">
            <v>Linda Kurniaty</v>
          </cell>
          <cell r="D92" t="str">
            <v>SEKPER</v>
          </cell>
          <cell r="E92">
            <v>5000</v>
          </cell>
          <cell r="F92">
            <v>30687151</v>
          </cell>
          <cell r="G92">
            <v>2196000</v>
          </cell>
          <cell r="H92">
            <v>6466856.8555260664</v>
          </cell>
          <cell r="I92">
            <v>595949.16559852031</v>
          </cell>
          <cell r="J92">
            <v>7062806.0211245865</v>
          </cell>
          <cell r="K92">
            <v>39355007.855526067</v>
          </cell>
          <cell r="L92" t="str">
            <v>AKTIF</v>
          </cell>
        </row>
        <row r="93">
          <cell r="C93" t="str">
            <v>Lisa</v>
          </cell>
          <cell r="D93" t="str">
            <v>PR</v>
          </cell>
          <cell r="E93">
            <v>5000</v>
          </cell>
          <cell r="F93">
            <v>22739393</v>
          </cell>
          <cell r="G93">
            <v>200000</v>
          </cell>
          <cell r="H93">
            <v>8112913.1270996975</v>
          </cell>
          <cell r="I93">
            <v>470297.85231217986</v>
          </cell>
          <cell r="J93">
            <v>8583210.9794118777</v>
          </cell>
          <cell r="K93">
            <v>31057306.127099697</v>
          </cell>
          <cell r="L93" t="str">
            <v>AKTIF</v>
          </cell>
        </row>
        <row r="94">
          <cell r="C94" t="str">
            <v>lyza yuni s</v>
          </cell>
          <cell r="D94" t="str">
            <v>PSMMO</v>
          </cell>
          <cell r="E94">
            <v>5000</v>
          </cell>
          <cell r="F94">
            <v>34526249</v>
          </cell>
          <cell r="G94">
            <v>1050000</v>
          </cell>
          <cell r="H94">
            <v>2363296.1682330603</v>
          </cell>
          <cell r="I94">
            <v>574590.66238881799</v>
          </cell>
          <cell r="J94">
            <v>2937886.8306218782</v>
          </cell>
          <cell r="K94">
            <v>37944545.168233059</v>
          </cell>
          <cell r="L94" t="e">
            <v>#N/A</v>
          </cell>
        </row>
        <row r="95">
          <cell r="C95" t="str">
            <v>Lukman Hakim. Ir</v>
          </cell>
          <cell r="D95" t="str">
            <v>SV</v>
          </cell>
          <cell r="E95">
            <v>5000</v>
          </cell>
          <cell r="F95">
            <v>31047025</v>
          </cell>
          <cell r="G95">
            <v>0</v>
          </cell>
          <cell r="H95">
            <v>12220289.760292934</v>
          </cell>
          <cell r="I95">
            <v>655268.57394063636</v>
          </cell>
          <cell r="J95">
            <v>12875558.334233571</v>
          </cell>
          <cell r="K95">
            <v>43272314.760292932</v>
          </cell>
          <cell r="L95" t="str">
            <v>AKTIF</v>
          </cell>
        </row>
        <row r="96">
          <cell r="C96" t="str">
            <v>M. Arif Maulana Wiranegar</v>
          </cell>
          <cell r="D96" t="str">
            <v>SD</v>
          </cell>
          <cell r="E96">
            <v>5000</v>
          </cell>
          <cell r="F96">
            <v>14325000</v>
          </cell>
          <cell r="G96">
            <v>0</v>
          </cell>
          <cell r="H96">
            <v>4781035.2108760495</v>
          </cell>
          <cell r="I96">
            <v>289396.6005407949</v>
          </cell>
          <cell r="J96">
            <v>5070431.8114168439</v>
          </cell>
          <cell r="K96">
            <v>19111035.210876048</v>
          </cell>
          <cell r="L96" t="str">
            <v>AKTIF</v>
          </cell>
        </row>
        <row r="97">
          <cell r="C97" t="str">
            <v>Muh Aspar</v>
          </cell>
          <cell r="D97" t="str">
            <v>SBU MNO</v>
          </cell>
          <cell r="E97">
            <v>0</v>
          </cell>
          <cell r="F97">
            <v>14250000</v>
          </cell>
          <cell r="G97">
            <v>440000</v>
          </cell>
          <cell r="H97">
            <v>483596.85850545147</v>
          </cell>
          <cell r="I97">
            <v>229772.34358968414</v>
          </cell>
          <cell r="J97">
            <v>713369.20209513558</v>
          </cell>
          <cell r="K97">
            <v>15173596.858505452</v>
          </cell>
          <cell r="L97" t="str">
            <v>AKTIF</v>
          </cell>
        </row>
        <row r="98">
          <cell r="C98" t="str">
            <v>M. Basarudin Aspahani, Ir</v>
          </cell>
          <cell r="D98" t="str">
            <v>M&amp;K</v>
          </cell>
          <cell r="E98">
            <v>0</v>
          </cell>
          <cell r="F98">
            <v>3150000</v>
          </cell>
          <cell r="G98">
            <v>0</v>
          </cell>
          <cell r="H98">
            <v>236140.23866130947</v>
          </cell>
          <cell r="I98">
            <v>51276.001703209608</v>
          </cell>
          <cell r="J98">
            <v>287416.24036451906</v>
          </cell>
          <cell r="K98">
            <v>3386140.2386613097</v>
          </cell>
          <cell r="L98" t="str">
            <v>AKTIF</v>
          </cell>
        </row>
        <row r="99">
          <cell r="C99" t="str">
            <v>Mahmur Mochtar, ST</v>
          </cell>
          <cell r="D99" t="str">
            <v>MKSC</v>
          </cell>
          <cell r="E99">
            <v>5000</v>
          </cell>
          <cell r="F99">
            <v>36877980</v>
          </cell>
          <cell r="G99">
            <v>0</v>
          </cell>
          <cell r="H99">
            <v>2909714.2396197109</v>
          </cell>
          <cell r="I99">
            <v>602577.00915916683</v>
          </cell>
          <cell r="J99">
            <v>3512291.2487788778</v>
          </cell>
          <cell r="K99">
            <v>39792694.23961971</v>
          </cell>
          <cell r="L99" t="str">
            <v>AKTIF</v>
          </cell>
        </row>
        <row r="100">
          <cell r="C100" t="str">
            <v>Mamin Rifia. St</v>
          </cell>
          <cell r="D100" t="str">
            <v>SBU ENI</v>
          </cell>
          <cell r="E100">
            <v>5000</v>
          </cell>
          <cell r="F100">
            <v>32380222</v>
          </cell>
          <cell r="G100">
            <v>1240000</v>
          </cell>
          <cell r="H100">
            <v>3023925.6876209998</v>
          </cell>
          <cell r="I100">
            <v>554974.58073224209</v>
          </cell>
          <cell r="J100">
            <v>3578900.268353242</v>
          </cell>
          <cell r="K100">
            <v>36649147.687620997</v>
          </cell>
          <cell r="L100" t="str">
            <v>AKTIF</v>
          </cell>
        </row>
        <row r="101">
          <cell r="C101" t="str">
            <v>Manggarseta Jatnika, Ir</v>
          </cell>
          <cell r="D101" t="str">
            <v>SB</v>
          </cell>
          <cell r="E101">
            <v>5000</v>
          </cell>
          <cell r="F101">
            <v>41869812</v>
          </cell>
          <cell r="G101">
            <v>87500</v>
          </cell>
          <cell r="H101">
            <v>7671851.3726410586</v>
          </cell>
          <cell r="I101">
            <v>751605.44639435655</v>
          </cell>
          <cell r="J101">
            <v>8423456.8190354146</v>
          </cell>
          <cell r="K101">
            <v>49634163.372641057</v>
          </cell>
          <cell r="L101" t="str">
            <v>AKTIF</v>
          </cell>
        </row>
        <row r="102">
          <cell r="C102" t="str">
            <v>Mardini Embun Sari</v>
          </cell>
          <cell r="D102" t="str">
            <v>HCTIO</v>
          </cell>
          <cell r="E102">
            <v>5000</v>
          </cell>
          <cell r="F102">
            <v>34855222</v>
          </cell>
          <cell r="G102">
            <v>175000</v>
          </cell>
          <cell r="H102">
            <v>2345382.5432214392</v>
          </cell>
          <cell r="I102">
            <v>566050.962786761</v>
          </cell>
          <cell r="J102">
            <v>2911433.5060082003</v>
          </cell>
          <cell r="K102">
            <v>37380604.543221436</v>
          </cell>
          <cell r="L102" t="str">
            <v>AKTIF</v>
          </cell>
        </row>
        <row r="103">
          <cell r="C103" t="str">
            <v>Marina Arifianti</v>
          </cell>
          <cell r="D103" t="str">
            <v>HCTIO</v>
          </cell>
          <cell r="E103">
            <v>5000</v>
          </cell>
          <cell r="F103">
            <v>29606383</v>
          </cell>
          <cell r="G103">
            <v>2490000</v>
          </cell>
          <cell r="H103">
            <v>2465854.421783654</v>
          </cell>
          <cell r="I103">
            <v>523448.41028065776</v>
          </cell>
          <cell r="J103">
            <v>2989302.832064312</v>
          </cell>
          <cell r="K103">
            <v>34567237.421783656</v>
          </cell>
          <cell r="L103" t="str">
            <v>AKTIF</v>
          </cell>
        </row>
        <row r="104">
          <cell r="C104" t="str">
            <v>Mat Hasan</v>
          </cell>
          <cell r="D104" t="str">
            <v>SBU MNO</v>
          </cell>
          <cell r="E104">
            <v>5000</v>
          </cell>
          <cell r="F104">
            <v>36345858</v>
          </cell>
          <cell r="G104">
            <v>0</v>
          </cell>
          <cell r="H104">
            <v>2954633.5703917113</v>
          </cell>
          <cell r="I104">
            <v>595199.34517115098</v>
          </cell>
          <cell r="J104">
            <v>3549832.9155628625</v>
          </cell>
          <cell r="K104">
            <v>39305491.570391715</v>
          </cell>
          <cell r="L104" t="str">
            <v>AKTIF</v>
          </cell>
        </row>
        <row r="105">
          <cell r="C105" t="str">
            <v>Merdiansah</v>
          </cell>
          <cell r="D105" t="str">
            <v>SBU MNO</v>
          </cell>
          <cell r="E105">
            <v>5000</v>
          </cell>
          <cell r="F105">
            <v>36621642</v>
          </cell>
          <cell r="G105">
            <v>30000</v>
          </cell>
          <cell r="H105">
            <v>1200724.3398442888</v>
          </cell>
          <cell r="I105">
            <v>573270.52162739646</v>
          </cell>
          <cell r="J105">
            <v>1773994.8614716851</v>
          </cell>
          <cell r="K105">
            <v>37857366.339844286</v>
          </cell>
          <cell r="L105" t="str">
            <v>AKTIF</v>
          </cell>
        </row>
        <row r="106">
          <cell r="C106" t="str">
            <v>Mia Martina Indah</v>
          </cell>
          <cell r="D106" t="str">
            <v>HCTIO</v>
          </cell>
          <cell r="E106">
            <v>5000</v>
          </cell>
          <cell r="F106">
            <v>25200447</v>
          </cell>
          <cell r="G106">
            <v>550000</v>
          </cell>
          <cell r="H106">
            <v>2131892.5436173719</v>
          </cell>
          <cell r="I106">
            <v>422295.34784472827</v>
          </cell>
          <cell r="J106">
            <v>2554187.8914621002</v>
          </cell>
          <cell r="K106">
            <v>27887339.543617371</v>
          </cell>
          <cell r="L106" t="str">
            <v>AKTIF</v>
          </cell>
        </row>
        <row r="107">
          <cell r="C107" t="str">
            <v>Miftah Faridy</v>
          </cell>
          <cell r="D107" t="str">
            <v>SV</v>
          </cell>
          <cell r="E107">
            <v>5000</v>
          </cell>
          <cell r="F107">
            <v>29016000</v>
          </cell>
          <cell r="G107">
            <v>200000</v>
          </cell>
          <cell r="H107">
            <v>2030516.689282483</v>
          </cell>
          <cell r="I107">
            <v>473238.76450582338</v>
          </cell>
          <cell r="J107">
            <v>2503755.4537883066</v>
          </cell>
          <cell r="K107">
            <v>31251516.689282484</v>
          </cell>
          <cell r="L107" t="e">
            <v>#N/A</v>
          </cell>
        </row>
        <row r="108">
          <cell r="C108" t="str">
            <v>Mochammad Zaky</v>
          </cell>
          <cell r="D108" t="str">
            <v>RP</v>
          </cell>
          <cell r="E108">
            <v>5000</v>
          </cell>
          <cell r="F108">
            <v>41972107</v>
          </cell>
          <cell r="G108">
            <v>30000</v>
          </cell>
          <cell r="H108">
            <v>5675768.2735547889</v>
          </cell>
          <cell r="I108">
            <v>722057.27507238078</v>
          </cell>
          <cell r="J108">
            <v>6397825.5486271698</v>
          </cell>
          <cell r="K108">
            <v>47682875.273554787</v>
          </cell>
          <cell r="L108" t="e">
            <v>#N/A</v>
          </cell>
        </row>
        <row r="109">
          <cell r="C109" t="str">
            <v>Moh. Furqon, ST.</v>
          </cell>
          <cell r="D109" t="str">
            <v>STA</v>
          </cell>
          <cell r="E109">
            <v>5000</v>
          </cell>
          <cell r="F109">
            <v>21502980</v>
          </cell>
          <cell r="G109">
            <v>0</v>
          </cell>
          <cell r="H109">
            <v>3714498.8404314043</v>
          </cell>
          <cell r="I109">
            <v>381941.6139989614</v>
          </cell>
          <cell r="J109">
            <v>4096440.4544303659</v>
          </cell>
          <cell r="K109">
            <v>25222478.840431403</v>
          </cell>
          <cell r="L109" t="str">
            <v>AKTIF</v>
          </cell>
        </row>
        <row r="110">
          <cell r="C110" t="str">
            <v>Muhammad Arfah</v>
          </cell>
          <cell r="D110" t="str">
            <v>SV</v>
          </cell>
          <cell r="E110">
            <v>5000</v>
          </cell>
          <cell r="F110">
            <v>53986636</v>
          </cell>
          <cell r="G110">
            <v>360000</v>
          </cell>
          <cell r="H110">
            <v>5343888.8400201313</v>
          </cell>
          <cell r="I110">
            <v>903963.69247275812</v>
          </cell>
          <cell r="J110">
            <v>6247852.5324928891</v>
          </cell>
          <cell r="K110">
            <v>59695524.840020135</v>
          </cell>
          <cell r="L110" t="e">
            <v>#N/A</v>
          </cell>
        </row>
        <row r="111">
          <cell r="C111" t="str">
            <v>Muh. Fajrin M. Said ST</v>
          </cell>
          <cell r="D111" t="str">
            <v>MKS</v>
          </cell>
          <cell r="E111">
            <v>5000</v>
          </cell>
          <cell r="F111">
            <v>33306004</v>
          </cell>
          <cell r="G111">
            <v>0</v>
          </cell>
          <cell r="H111">
            <v>9825385.3501900658</v>
          </cell>
          <cell r="I111">
            <v>653210.268298015</v>
          </cell>
          <cell r="J111">
            <v>10478595.618488081</v>
          </cell>
          <cell r="K111">
            <v>43136389.350190066</v>
          </cell>
          <cell r="L111" t="str">
            <v>AKTIF</v>
          </cell>
        </row>
        <row r="112">
          <cell r="C112" t="str">
            <v>Muh. Idi, Ir</v>
          </cell>
          <cell r="D112" t="str">
            <v>TP</v>
          </cell>
          <cell r="E112">
            <v>5000</v>
          </cell>
          <cell r="F112">
            <v>16720845</v>
          </cell>
          <cell r="G112">
            <v>0</v>
          </cell>
          <cell r="H112">
            <v>623064.30015594547</v>
          </cell>
          <cell r="I112">
            <v>262712.89436474029</v>
          </cell>
          <cell r="J112">
            <v>885777.19452068582</v>
          </cell>
          <cell r="K112">
            <v>17348909.300155945</v>
          </cell>
          <cell r="L112" t="str">
            <v>AKTIF</v>
          </cell>
        </row>
        <row r="113">
          <cell r="C113" t="str">
            <v>Muh. Nasir, ST.</v>
          </cell>
          <cell r="D113" t="str">
            <v>SBC</v>
          </cell>
          <cell r="E113">
            <v>5000</v>
          </cell>
          <cell r="F113">
            <v>18009933</v>
          </cell>
          <cell r="G113">
            <v>0</v>
          </cell>
          <cell r="H113">
            <v>1777789.1582600363</v>
          </cell>
          <cell r="I113">
            <v>299719.32157757517</v>
          </cell>
          <cell r="J113">
            <v>2077508.4798376113</v>
          </cell>
          <cell r="K113">
            <v>19792722.158260036</v>
          </cell>
          <cell r="L113" t="str">
            <v>AKTIF</v>
          </cell>
        </row>
        <row r="114">
          <cell r="C114" t="str">
            <v>Muhamad Sodik</v>
          </cell>
          <cell r="D114" t="str">
            <v>HCTIO</v>
          </cell>
          <cell r="E114">
            <v>5000</v>
          </cell>
          <cell r="F114">
            <v>47592141</v>
          </cell>
          <cell r="G114">
            <v>0</v>
          </cell>
          <cell r="H114">
            <v>4438329.7859327029</v>
          </cell>
          <cell r="I114">
            <v>787968.21767241531</v>
          </cell>
          <cell r="J114">
            <v>5226298.003605118</v>
          </cell>
          <cell r="K114">
            <v>52035470.785932705</v>
          </cell>
          <cell r="L114" t="e">
            <v>#N/A</v>
          </cell>
        </row>
        <row r="115">
          <cell r="C115" t="str">
            <v>Muhammad Abdul Malik, ST.</v>
          </cell>
          <cell r="D115" t="str">
            <v>RP</v>
          </cell>
          <cell r="E115">
            <v>5000</v>
          </cell>
          <cell r="F115">
            <v>34342879</v>
          </cell>
          <cell r="G115">
            <v>0</v>
          </cell>
          <cell r="H115">
            <v>3019774.9627567045</v>
          </cell>
          <cell r="I115">
            <v>565854.85337038629</v>
          </cell>
          <cell r="J115">
            <v>3585629.8161270907</v>
          </cell>
          <cell r="K115">
            <v>37367653.962756708</v>
          </cell>
          <cell r="L115" t="str">
            <v>AKTIF</v>
          </cell>
        </row>
        <row r="116">
          <cell r="C116" t="str">
            <v>Mushawwir Razak</v>
          </cell>
          <cell r="D116" t="str">
            <v>SD</v>
          </cell>
          <cell r="E116">
            <v>5000</v>
          </cell>
          <cell r="F116">
            <v>25999750</v>
          </cell>
          <cell r="G116">
            <v>70000</v>
          </cell>
          <cell r="H116">
            <v>13802713.885782793</v>
          </cell>
          <cell r="I116">
            <v>603860.66790177021</v>
          </cell>
          <cell r="J116">
            <v>14406574.553684562</v>
          </cell>
          <cell r="K116">
            <v>39877463.885782793</v>
          </cell>
          <cell r="L116" t="str">
            <v>AKTIF</v>
          </cell>
        </row>
        <row r="117">
          <cell r="C117" t="str">
            <v>Mustakim ST</v>
          </cell>
          <cell r="D117" t="str">
            <v>AB</v>
          </cell>
          <cell r="E117">
            <v>5000</v>
          </cell>
          <cell r="F117">
            <v>22825000</v>
          </cell>
          <cell r="G117">
            <v>0</v>
          </cell>
          <cell r="H117">
            <v>2370200.4168902971</v>
          </cell>
          <cell r="I117">
            <v>381604.25393619854</v>
          </cell>
          <cell r="J117">
            <v>2751804.6708264956</v>
          </cell>
          <cell r="K117">
            <v>25200200.416890297</v>
          </cell>
          <cell r="L117" t="str">
            <v>AKTIF</v>
          </cell>
        </row>
        <row r="118">
          <cell r="C118" t="str">
            <v>Narso, M.Mer.E</v>
          </cell>
          <cell r="D118" t="str">
            <v>TP</v>
          </cell>
          <cell r="E118">
            <v>5000</v>
          </cell>
          <cell r="F118">
            <v>19675000</v>
          </cell>
          <cell r="G118">
            <v>0</v>
          </cell>
          <cell r="H118">
            <v>1853460.1779220146</v>
          </cell>
          <cell r="I118">
            <v>326079.152940117</v>
          </cell>
          <cell r="J118">
            <v>2179539.3308621314</v>
          </cell>
          <cell r="K118">
            <v>21533460.177922014</v>
          </cell>
          <cell r="L118" t="str">
            <v>AKTIF</v>
          </cell>
        </row>
        <row r="119">
          <cell r="C119" t="str">
            <v>Nasaruddin</v>
          </cell>
          <cell r="D119" t="str">
            <v>PUMA</v>
          </cell>
          <cell r="E119">
            <v>5000</v>
          </cell>
          <cell r="F119">
            <v>77857727</v>
          </cell>
          <cell r="G119">
            <v>796000</v>
          </cell>
          <cell r="H119">
            <v>14068477.855697315</v>
          </cell>
          <cell r="I119">
            <v>1404159.3020359771</v>
          </cell>
          <cell r="J119">
            <v>15472637.157733291</v>
          </cell>
          <cell r="K119">
            <v>92727204.855697319</v>
          </cell>
          <cell r="L119" t="e">
            <v>#N/A</v>
          </cell>
        </row>
        <row r="120">
          <cell r="C120" t="str">
            <v>Nerlan Pasaribu, ST</v>
          </cell>
          <cell r="D120" t="str">
            <v>SBU MNO</v>
          </cell>
          <cell r="E120">
            <v>5000</v>
          </cell>
          <cell r="F120">
            <v>38094022</v>
          </cell>
          <cell r="G120">
            <v>25000</v>
          </cell>
          <cell r="H120">
            <v>5371053.7933312291</v>
          </cell>
          <cell r="I120">
            <v>658641.82321692631</v>
          </cell>
          <cell r="J120">
            <v>6029695.6165481554</v>
          </cell>
          <cell r="K120">
            <v>43495075.793331228</v>
          </cell>
          <cell r="L120" t="str">
            <v>AKTIF</v>
          </cell>
        </row>
        <row r="121">
          <cell r="C121" t="str">
            <v>Nina Sri Indah Yani</v>
          </cell>
          <cell r="D121" t="str">
            <v>BJ</v>
          </cell>
          <cell r="E121">
            <v>5000</v>
          </cell>
          <cell r="F121">
            <v>22650255</v>
          </cell>
          <cell r="G121">
            <v>0</v>
          </cell>
          <cell r="H121">
            <v>5193689.0303288726</v>
          </cell>
          <cell r="I121">
            <v>421713.92821470287</v>
          </cell>
          <cell r="J121">
            <v>5615402.9585435754</v>
          </cell>
          <cell r="K121">
            <v>27848944.030328874</v>
          </cell>
          <cell r="L121" t="str">
            <v>AKTIF</v>
          </cell>
        </row>
        <row r="122">
          <cell r="C122" t="str">
            <v>Moh Noor Kholis</v>
          </cell>
          <cell r="D122" t="str">
            <v>CGC</v>
          </cell>
          <cell r="E122">
            <v>5000</v>
          </cell>
          <cell r="F122">
            <v>16709933</v>
          </cell>
          <cell r="G122">
            <v>150000</v>
          </cell>
          <cell r="H122">
            <v>3162948.301268904</v>
          </cell>
          <cell r="I122">
            <v>303280.3142617456</v>
          </cell>
          <cell r="J122">
            <v>3466228.6155306497</v>
          </cell>
          <cell r="K122">
            <v>20027881.301268905</v>
          </cell>
          <cell r="L122" t="e">
            <v>#N/A</v>
          </cell>
        </row>
        <row r="123">
          <cell r="C123" t="str">
            <v>Nosy Osriat</v>
          </cell>
          <cell r="D123" t="str">
            <v>PKK</v>
          </cell>
          <cell r="E123">
            <v>5000</v>
          </cell>
          <cell r="F123">
            <v>34799256</v>
          </cell>
          <cell r="G123">
            <v>3425000</v>
          </cell>
          <cell r="H123">
            <v>1279147.1117088324</v>
          </cell>
          <cell r="I123">
            <v>598272.01546973584</v>
          </cell>
          <cell r="J123">
            <v>1877419.1271785684</v>
          </cell>
          <cell r="K123">
            <v>39508403.111708835</v>
          </cell>
          <cell r="L123" t="str">
            <v>AKTIF</v>
          </cell>
        </row>
        <row r="124">
          <cell r="C124" t="str">
            <v>Noviansyah Pamungkas</v>
          </cell>
          <cell r="D124" t="str">
            <v>SEKPER</v>
          </cell>
          <cell r="E124">
            <v>5000</v>
          </cell>
          <cell r="F124">
            <v>22313505</v>
          </cell>
          <cell r="G124">
            <v>250000</v>
          </cell>
          <cell r="H124">
            <v>2763340.5484420783</v>
          </cell>
          <cell r="I124">
            <v>383597.74372513208</v>
          </cell>
          <cell r="J124">
            <v>3146938.2921672105</v>
          </cell>
          <cell r="K124">
            <v>25331845.548442077</v>
          </cell>
          <cell r="L124" t="str">
            <v>AKTIF</v>
          </cell>
        </row>
        <row r="125">
          <cell r="C125" t="str">
            <v>Nur Rahmad Hidayat, ST</v>
          </cell>
          <cell r="D125" t="str">
            <v>TP</v>
          </cell>
          <cell r="E125">
            <v>5000</v>
          </cell>
          <cell r="F125">
            <v>25550000</v>
          </cell>
          <cell r="G125">
            <v>0</v>
          </cell>
          <cell r="H125">
            <v>2343699.1531714392</v>
          </cell>
          <cell r="I125">
            <v>422467.36533892172</v>
          </cell>
          <cell r="J125">
            <v>2766166.5185103607</v>
          </cell>
          <cell r="K125">
            <v>27898699.153171439</v>
          </cell>
          <cell r="L125" t="str">
            <v>AKTIF</v>
          </cell>
        </row>
        <row r="126">
          <cell r="C126" t="str">
            <v>Prasetyo</v>
          </cell>
          <cell r="D126" t="str">
            <v>HCTIO</v>
          </cell>
          <cell r="E126">
            <v>5000</v>
          </cell>
          <cell r="F126">
            <v>16704146</v>
          </cell>
          <cell r="G126">
            <v>1300000</v>
          </cell>
          <cell r="H126">
            <v>411238.18948501477</v>
          </cell>
          <cell r="I126">
            <v>278938.13737827371</v>
          </cell>
          <cell r="J126">
            <v>690176.32686328841</v>
          </cell>
          <cell r="K126">
            <v>18420384.189485013</v>
          </cell>
          <cell r="L126" t="e">
            <v>#N/A</v>
          </cell>
        </row>
        <row r="127">
          <cell r="C127" t="str">
            <v>Pujatmanto Bastriadi</v>
          </cell>
          <cell r="D127" t="str">
            <v>DOK</v>
          </cell>
          <cell r="E127">
            <v>5000</v>
          </cell>
          <cell r="F127">
            <v>41104126</v>
          </cell>
          <cell r="G127">
            <v>1490000</v>
          </cell>
          <cell r="H127">
            <v>10472140.176209964</v>
          </cell>
          <cell r="I127">
            <v>803653.16940289375</v>
          </cell>
          <cell r="J127">
            <v>11275793.345612857</v>
          </cell>
          <cell r="K127">
            <v>53071266.176209964</v>
          </cell>
          <cell r="L127" t="e">
            <v>#N/A</v>
          </cell>
        </row>
        <row r="128">
          <cell r="C128" t="str">
            <v>PUTRI NUR LAKSMI</v>
          </cell>
          <cell r="D128" t="str">
            <v>AKP</v>
          </cell>
          <cell r="E128">
            <v>5000</v>
          </cell>
          <cell r="F128">
            <v>24786773</v>
          </cell>
          <cell r="G128">
            <v>2115000</v>
          </cell>
          <cell r="H128">
            <v>3728976.830113872</v>
          </cell>
          <cell r="I128">
            <v>463914.26513659692</v>
          </cell>
          <cell r="J128">
            <v>4192891.0952504687</v>
          </cell>
          <cell r="K128">
            <v>30635749.830113873</v>
          </cell>
          <cell r="L128" t="e">
            <v>#N/A</v>
          </cell>
        </row>
        <row r="129">
          <cell r="C129" t="str">
            <v>R. Agus Doddy Dwisagita.</v>
          </cell>
          <cell r="D129" t="str">
            <v>DOC</v>
          </cell>
          <cell r="E129">
            <v>5000</v>
          </cell>
          <cell r="F129">
            <v>62397002</v>
          </cell>
          <cell r="G129">
            <v>535000</v>
          </cell>
          <cell r="H129">
            <v>5889519.9959423821</v>
          </cell>
          <cell r="I129">
            <v>1042233.5196858719</v>
          </cell>
          <cell r="J129">
            <v>6931753.515628254</v>
          </cell>
          <cell r="K129">
            <v>68826521.995942384</v>
          </cell>
          <cell r="L129" t="str">
            <v>AKTIF</v>
          </cell>
        </row>
        <row r="130">
          <cell r="C130" t="str">
            <v>R. Sapto Agung. P</v>
          </cell>
          <cell r="D130" t="str">
            <v>SBU ENI</v>
          </cell>
          <cell r="E130">
            <v>5000</v>
          </cell>
          <cell r="F130">
            <v>46347002</v>
          </cell>
          <cell r="G130">
            <v>0</v>
          </cell>
          <cell r="H130">
            <v>4839277.2119274819</v>
          </cell>
          <cell r="I130">
            <v>775184.70442854555</v>
          </cell>
          <cell r="J130">
            <v>5614461.9163560271</v>
          </cell>
          <cell r="K130">
            <v>51191279.211927481</v>
          </cell>
          <cell r="L130" t="str">
            <v>AKTIF</v>
          </cell>
        </row>
        <row r="131">
          <cell r="C131" t="str">
            <v>RM KURNAEFI</v>
          </cell>
          <cell r="D131" t="str">
            <v>TP</v>
          </cell>
          <cell r="E131">
            <v>5000</v>
          </cell>
          <cell r="F131">
            <v>25665346</v>
          </cell>
          <cell r="G131">
            <v>595000</v>
          </cell>
          <cell r="H131">
            <v>2652424.7196600609</v>
          </cell>
          <cell r="I131">
            <v>437899.06978587678</v>
          </cell>
          <cell r="J131">
            <v>3090323.7894459376</v>
          </cell>
          <cell r="K131">
            <v>28917770.719660062</v>
          </cell>
          <cell r="L131" t="e">
            <v>#N/A</v>
          </cell>
        </row>
        <row r="132">
          <cell r="C132" t="str">
            <v xml:space="preserve">Rachmat Kurniawan </v>
          </cell>
          <cell r="D132" t="str">
            <v>HCTIO</v>
          </cell>
          <cell r="E132">
            <v>5000</v>
          </cell>
          <cell r="F132">
            <v>25923960</v>
          </cell>
          <cell r="G132">
            <v>1285000</v>
          </cell>
          <cell r="H132">
            <v>2412305.8097722665</v>
          </cell>
          <cell r="I132">
            <v>448627.7439950913</v>
          </cell>
          <cell r="J132">
            <v>2860933.553767358</v>
          </cell>
          <cell r="K132">
            <v>29626265.809772268</v>
          </cell>
          <cell r="L132" t="e">
            <v>#N/A</v>
          </cell>
        </row>
        <row r="133">
          <cell r="C133" t="str">
            <v>Rahadi Sigit Wicaksono</v>
          </cell>
          <cell r="D133" t="str">
            <v>SBU ENI</v>
          </cell>
          <cell r="E133">
            <v>5000</v>
          </cell>
          <cell r="F133">
            <v>21920858</v>
          </cell>
          <cell r="G133">
            <v>60000</v>
          </cell>
          <cell r="H133">
            <v>2353773.8933159802</v>
          </cell>
          <cell r="I133">
            <v>368572.74609233835</v>
          </cell>
          <cell r="J133">
            <v>2722346.6394083183</v>
          </cell>
          <cell r="K133">
            <v>24339631.893315978</v>
          </cell>
          <cell r="L133" t="e">
            <v>#N/A</v>
          </cell>
        </row>
        <row r="134">
          <cell r="C134" t="str">
            <v>Rahman Susilo</v>
          </cell>
          <cell r="D134" t="str">
            <v>SPI</v>
          </cell>
          <cell r="E134">
            <v>5000</v>
          </cell>
          <cell r="F134">
            <v>34522362</v>
          </cell>
          <cell r="G134">
            <v>15000</v>
          </cell>
          <cell r="H134">
            <v>5852647.897788181</v>
          </cell>
          <cell r="I134">
            <v>611697.81826255063</v>
          </cell>
          <cell r="J134">
            <v>6464345.7160507319</v>
          </cell>
          <cell r="K134">
            <v>40395009.897788182</v>
          </cell>
          <cell r="L134" t="str">
            <v>AKTIF</v>
          </cell>
        </row>
        <row r="135">
          <cell r="C135" t="str">
            <v>Ratna Dewi</v>
          </cell>
          <cell r="D135" t="str">
            <v>AKP</v>
          </cell>
          <cell r="E135">
            <v>5000</v>
          </cell>
          <cell r="F135">
            <v>22145858</v>
          </cell>
          <cell r="G135">
            <v>400000</v>
          </cell>
          <cell r="H135">
            <v>746055.98232935974</v>
          </cell>
          <cell r="I135">
            <v>352782.96728481486</v>
          </cell>
          <cell r="J135">
            <v>1098838.9496141747</v>
          </cell>
          <cell r="K135">
            <v>23296913.982329361</v>
          </cell>
          <cell r="L135" t="str">
            <v>AKTIF</v>
          </cell>
        </row>
        <row r="136">
          <cell r="C136" t="str">
            <v>Ridwan Arifin</v>
          </cell>
          <cell r="D136" t="str">
            <v>HCTIO</v>
          </cell>
          <cell r="E136">
            <v>5000</v>
          </cell>
          <cell r="F136">
            <v>37345858</v>
          </cell>
          <cell r="G136">
            <v>0</v>
          </cell>
          <cell r="H136">
            <v>3137721.5997355329</v>
          </cell>
          <cell r="I136">
            <v>613114.73541844438</v>
          </cell>
          <cell r="J136">
            <v>3750836.3351539774</v>
          </cell>
          <cell r="K136">
            <v>40488579.599735536</v>
          </cell>
          <cell r="L136" t="e">
            <v>#N/A</v>
          </cell>
        </row>
        <row r="137">
          <cell r="C137" t="str">
            <v>Rima Novedia Bangun</v>
          </cell>
          <cell r="D137" t="str">
            <v>MRKU</v>
          </cell>
          <cell r="E137">
            <v>5000</v>
          </cell>
          <cell r="F137">
            <v>63164163</v>
          </cell>
          <cell r="G137">
            <v>760000</v>
          </cell>
          <cell r="H137">
            <v>14346179.20098453</v>
          </cell>
          <cell r="I137">
            <v>1185316.1113031069</v>
          </cell>
          <cell r="J137">
            <v>15531495.312287636</v>
          </cell>
          <cell r="K137">
            <v>78275342.200984538</v>
          </cell>
          <cell r="L137" t="e">
            <v>#N/A</v>
          </cell>
        </row>
        <row r="138">
          <cell r="C138" t="str">
            <v>Riyanto</v>
          </cell>
          <cell r="D138" t="str">
            <v>PRB</v>
          </cell>
          <cell r="E138">
            <v>5000</v>
          </cell>
          <cell r="F138">
            <v>22350424</v>
          </cell>
          <cell r="G138">
            <v>30000</v>
          </cell>
          <cell r="H138">
            <v>2602680.4913221458</v>
          </cell>
          <cell r="I138">
            <v>378392.50537466351</v>
          </cell>
          <cell r="J138">
            <v>2981072.9966968093</v>
          </cell>
          <cell r="K138">
            <v>24988104.491322145</v>
          </cell>
          <cell r="L138" t="str">
            <v>AKTIF</v>
          </cell>
        </row>
        <row r="139">
          <cell r="C139" t="str">
            <v>Rizal Febrianto</v>
          </cell>
          <cell r="D139" t="str">
            <v>PRB</v>
          </cell>
          <cell r="E139">
            <v>5000</v>
          </cell>
          <cell r="F139">
            <v>18700000</v>
          </cell>
          <cell r="G139">
            <v>1560000</v>
          </cell>
          <cell r="H139">
            <v>1527669.47433627</v>
          </cell>
          <cell r="I139">
            <v>330004.33482498769</v>
          </cell>
          <cell r="J139">
            <v>1857673.8091612577</v>
          </cell>
          <cell r="K139">
            <v>21792669.47433627</v>
          </cell>
          <cell r="L139" t="str">
            <v>AKTIF</v>
          </cell>
        </row>
        <row r="140">
          <cell r="C140" t="str">
            <v>Rochmansyah</v>
          </cell>
          <cell r="D140" t="str">
            <v>DOC</v>
          </cell>
          <cell r="E140">
            <v>5000</v>
          </cell>
          <cell r="F140">
            <v>30252410</v>
          </cell>
          <cell r="G140">
            <v>2670000</v>
          </cell>
          <cell r="H140">
            <v>1006873.5788341522</v>
          </cell>
          <cell r="I140">
            <v>513863.65003990568</v>
          </cell>
          <cell r="J140">
            <v>1520737.228874058</v>
          </cell>
          <cell r="K140">
            <v>33934283.578834154</v>
          </cell>
          <cell r="L140" t="str">
            <v>AKTIF</v>
          </cell>
        </row>
        <row r="141">
          <cell r="C141" t="str">
            <v>romillo libra</v>
          </cell>
          <cell r="D141" t="str">
            <v>HCTIO</v>
          </cell>
          <cell r="E141">
            <v>5000</v>
          </cell>
          <cell r="F141">
            <v>31425000</v>
          </cell>
          <cell r="G141">
            <v>100000</v>
          </cell>
          <cell r="H141">
            <v>2192346.4278181945</v>
          </cell>
          <cell r="I141">
            <v>510654.30578641302</v>
          </cell>
          <cell r="J141">
            <v>2703000.7336046076</v>
          </cell>
          <cell r="K141">
            <v>33722346.427818194</v>
          </cell>
          <cell r="L141" t="e">
            <v>#N/A</v>
          </cell>
        </row>
        <row r="142">
          <cell r="C142" t="str">
            <v>ROSALINA AMRAN</v>
          </cell>
          <cell r="D142" t="str">
            <v>HCTIO</v>
          </cell>
          <cell r="E142">
            <v>5000</v>
          </cell>
          <cell r="F142">
            <v>56009170</v>
          </cell>
          <cell r="G142">
            <v>930000</v>
          </cell>
          <cell r="H142">
            <v>20651531.806228638</v>
          </cell>
          <cell r="I142">
            <v>1175024.3810194104</v>
          </cell>
          <cell r="J142">
            <v>21826556.187248047</v>
          </cell>
          <cell r="K142">
            <v>77595701.806228638</v>
          </cell>
          <cell r="L142" t="e">
            <v>#N/A</v>
          </cell>
        </row>
        <row r="143">
          <cell r="C143" t="str">
            <v>Rudi Haryanto</v>
          </cell>
          <cell r="D143" t="str">
            <v>SV</v>
          </cell>
          <cell r="E143">
            <v>5000</v>
          </cell>
          <cell r="F143">
            <v>22656215</v>
          </cell>
          <cell r="G143">
            <v>680000</v>
          </cell>
          <cell r="H143">
            <v>3002667.3174152728</v>
          </cell>
          <cell r="I143">
            <v>398922.92089797597</v>
          </cell>
          <cell r="J143">
            <v>3401590.2383132488</v>
          </cell>
          <cell r="K143">
            <v>26343882.317415275</v>
          </cell>
          <cell r="L143" t="str">
            <v>AKTIF</v>
          </cell>
        </row>
        <row r="144">
          <cell r="C144" t="str">
            <v>Rudy Sunaryadi , Ir</v>
          </cell>
          <cell r="D144" t="str">
            <v>BNC</v>
          </cell>
          <cell r="E144">
            <v>5000</v>
          </cell>
          <cell r="F144">
            <v>17378868</v>
          </cell>
          <cell r="G144">
            <v>0</v>
          </cell>
          <cell r="H144">
            <v>3414681.1692260643</v>
          </cell>
          <cell r="I144">
            <v>314950.46497162967</v>
          </cell>
          <cell r="J144">
            <v>3729631.6341976942</v>
          </cell>
          <cell r="K144">
            <v>20798549.169226065</v>
          </cell>
          <cell r="L144" t="str">
            <v>AKTIF</v>
          </cell>
        </row>
        <row r="145">
          <cell r="C145" t="str">
            <v>Rusdin Haluddin  Ir</v>
          </cell>
          <cell r="D145" t="str">
            <v>BMC</v>
          </cell>
          <cell r="E145">
            <v>205000</v>
          </cell>
          <cell r="F145">
            <v>43920000</v>
          </cell>
          <cell r="G145">
            <v>250000</v>
          </cell>
          <cell r="H145">
            <v>4128513.4315498308</v>
          </cell>
          <cell r="I145">
            <v>734484.1211629929</v>
          </cell>
          <cell r="J145">
            <v>4862997.5527128242</v>
          </cell>
          <cell r="K145">
            <v>48503513.431549832</v>
          </cell>
          <cell r="L145" t="str">
            <v>AKTIF</v>
          </cell>
        </row>
        <row r="146">
          <cell r="C146" t="str">
            <v>Syafril</v>
          </cell>
          <cell r="D146" t="str">
            <v>SBU ENI</v>
          </cell>
          <cell r="E146">
            <v>5000</v>
          </cell>
          <cell r="F146">
            <v>20413906</v>
          </cell>
          <cell r="G146">
            <v>2395000</v>
          </cell>
          <cell r="H146">
            <v>1849297.113252949</v>
          </cell>
          <cell r="I146">
            <v>373472.55450404109</v>
          </cell>
          <cell r="J146">
            <v>2222769.6677569901</v>
          </cell>
          <cell r="K146">
            <v>24663203.113252949</v>
          </cell>
          <cell r="L146" t="e">
            <v>#N/A</v>
          </cell>
        </row>
        <row r="147">
          <cell r="C147" t="str">
            <v>Saridi</v>
          </cell>
          <cell r="D147" t="str">
            <v>PUMA</v>
          </cell>
          <cell r="E147">
            <v>5000</v>
          </cell>
          <cell r="F147">
            <v>21269063</v>
          </cell>
          <cell r="G147">
            <v>1230000</v>
          </cell>
          <cell r="H147">
            <v>2755095.7853850303</v>
          </cell>
          <cell r="I147">
            <v>382497.05493978295</v>
          </cell>
          <cell r="J147">
            <v>3137592.8403248135</v>
          </cell>
          <cell r="K147">
            <v>25259158.785385031</v>
          </cell>
          <cell r="L147" t="str">
            <v>AKTIF</v>
          </cell>
        </row>
        <row r="148">
          <cell r="C148" t="str">
            <v>Sefia Helmina, ST</v>
          </cell>
          <cell r="D148" t="str">
            <v>PRB</v>
          </cell>
          <cell r="E148">
            <v>5000</v>
          </cell>
          <cell r="F148">
            <v>34723838</v>
          </cell>
          <cell r="G148">
            <v>0</v>
          </cell>
          <cell r="H148">
            <v>3099397.2864425262</v>
          </cell>
          <cell r="I148">
            <v>572829.39283810696</v>
          </cell>
          <cell r="J148">
            <v>3672226.6792806331</v>
          </cell>
          <cell r="K148">
            <v>37828235.286442526</v>
          </cell>
          <cell r="L148" t="str">
            <v>AKTIF</v>
          </cell>
        </row>
        <row r="149">
          <cell r="C149" t="str">
            <v>Sigit Prastowo, Ir</v>
          </cell>
          <cell r="D149" t="str">
            <v>STA</v>
          </cell>
          <cell r="E149">
            <v>5000</v>
          </cell>
          <cell r="F149">
            <v>47548200</v>
          </cell>
          <cell r="G149">
            <v>60000</v>
          </cell>
          <cell r="H149">
            <v>5491723.4796980191</v>
          </cell>
          <cell r="I149">
            <v>804162.83876958874</v>
          </cell>
          <cell r="J149">
            <v>6295886.3184676077</v>
          </cell>
          <cell r="K149">
            <v>53104923.479698017</v>
          </cell>
          <cell r="L149" t="str">
            <v>AKTIF</v>
          </cell>
        </row>
        <row r="150">
          <cell r="C150" t="str">
            <v>Soleh Abidin</v>
          </cell>
          <cell r="D150" t="str">
            <v>TP</v>
          </cell>
          <cell r="E150">
            <v>5000</v>
          </cell>
          <cell r="F150">
            <v>26219336</v>
          </cell>
          <cell r="G150">
            <v>3057500</v>
          </cell>
          <cell r="H150">
            <v>3467644.329626061</v>
          </cell>
          <cell r="I150">
            <v>495922.28638026572</v>
          </cell>
          <cell r="J150">
            <v>3963566.6160063269</v>
          </cell>
          <cell r="K150">
            <v>32749480.329626061</v>
          </cell>
          <cell r="L150" t="str">
            <v>AKTIF</v>
          </cell>
        </row>
        <row r="151">
          <cell r="C151" t="str">
            <v xml:space="preserve">Sri Jatmiko A. R. </v>
          </cell>
          <cell r="D151" t="str">
            <v>STA</v>
          </cell>
          <cell r="E151">
            <v>5000</v>
          </cell>
          <cell r="F151">
            <v>50012250</v>
          </cell>
          <cell r="G151">
            <v>10000</v>
          </cell>
          <cell r="H151">
            <v>12385541.12561968</v>
          </cell>
          <cell r="I151">
            <v>945110.99910160573</v>
          </cell>
          <cell r="J151">
            <v>13330652.124721285</v>
          </cell>
          <cell r="K151">
            <v>62412791.12561968</v>
          </cell>
          <cell r="L151" t="e">
            <v>#N/A</v>
          </cell>
        </row>
        <row r="152">
          <cell r="C152" t="str">
            <v>Sri Mulyanti</v>
          </cell>
          <cell r="D152" t="str">
            <v>PUMA</v>
          </cell>
          <cell r="E152">
            <v>5000</v>
          </cell>
          <cell r="F152">
            <v>25623756</v>
          </cell>
          <cell r="G152">
            <v>595000</v>
          </cell>
          <cell r="H152">
            <v>4637557.4809621526</v>
          </cell>
          <cell r="I152">
            <v>467329.95418958523</v>
          </cell>
          <cell r="J152">
            <v>5104887.4351517381</v>
          </cell>
          <cell r="K152">
            <v>30861313.480962154</v>
          </cell>
          <cell r="L152" t="str">
            <v>AKTIF</v>
          </cell>
        </row>
        <row r="153">
          <cell r="C153" t="str">
            <v>Sudiro</v>
          </cell>
          <cell r="D153" t="str">
            <v>SBU ENI</v>
          </cell>
          <cell r="E153">
            <v>5000</v>
          </cell>
          <cell r="F153">
            <v>18995858</v>
          </cell>
          <cell r="G153">
            <v>50000</v>
          </cell>
          <cell r="H153">
            <v>1220176.6953814244</v>
          </cell>
          <cell r="I153">
            <v>306962.36313506216</v>
          </cell>
          <cell r="J153">
            <v>1527139.0585164865</v>
          </cell>
          <cell r="K153">
            <v>20271034.695381425</v>
          </cell>
          <cell r="L153" t="e">
            <v>#N/A</v>
          </cell>
        </row>
        <row r="154">
          <cell r="C154" t="str">
            <v>Sugeng Yulianto, Ir</v>
          </cell>
          <cell r="D154" t="str">
            <v>DOK</v>
          </cell>
          <cell r="E154">
            <v>5000</v>
          </cell>
          <cell r="F154">
            <v>75147982</v>
          </cell>
          <cell r="G154">
            <v>740000</v>
          </cell>
          <cell r="H154">
            <v>8930347.1706396155</v>
          </cell>
          <cell r="I154">
            <v>1284471.6593147176</v>
          </cell>
          <cell r="J154">
            <v>10214818.829954334</v>
          </cell>
          <cell r="K154">
            <v>84823329.170639619</v>
          </cell>
          <cell r="L154" t="str">
            <v>AKTIF</v>
          </cell>
        </row>
        <row r="155">
          <cell r="C155" t="str">
            <v>Sukadi</v>
          </cell>
          <cell r="D155" t="str">
            <v>PRB</v>
          </cell>
          <cell r="E155">
            <v>5000</v>
          </cell>
          <cell r="F155">
            <v>26544922</v>
          </cell>
          <cell r="G155">
            <v>786500</v>
          </cell>
          <cell r="H155">
            <v>2825162.7516410053</v>
          </cell>
          <cell r="I155">
            <v>456734.02815356239</v>
          </cell>
          <cell r="J155">
            <v>3281896.7797945677</v>
          </cell>
          <cell r="K155">
            <v>30161584.751641005</v>
          </cell>
          <cell r="L155" t="e">
            <v>#N/A</v>
          </cell>
        </row>
        <row r="156">
          <cell r="C156" t="str">
            <v>Sulaeman</v>
          </cell>
          <cell r="D156" t="str">
            <v>KOP</v>
          </cell>
          <cell r="E156">
            <v>5000</v>
          </cell>
          <cell r="F156">
            <v>19071897</v>
          </cell>
          <cell r="G156">
            <v>2174000</v>
          </cell>
          <cell r="H156">
            <v>2550691.8198888334</v>
          </cell>
          <cell r="I156">
            <v>360425.21066706092</v>
          </cell>
          <cell r="J156">
            <v>2911117.0305558946</v>
          </cell>
          <cell r="K156">
            <v>23801588.819888834</v>
          </cell>
          <cell r="L156" t="str">
            <v>AKTIF</v>
          </cell>
        </row>
        <row r="157">
          <cell r="C157" t="str">
            <v>Sulasman Ardi, Ir.</v>
          </cell>
          <cell r="D157" t="str">
            <v>MKS</v>
          </cell>
          <cell r="E157">
            <v>5000</v>
          </cell>
          <cell r="F157">
            <v>34438168</v>
          </cell>
          <cell r="G157">
            <v>30000</v>
          </cell>
          <cell r="H157">
            <v>8817912.6841754355</v>
          </cell>
          <cell r="I157">
            <v>655552.7445529385</v>
          </cell>
          <cell r="J157">
            <v>9473465.4287283737</v>
          </cell>
          <cell r="K157">
            <v>43291080.684175432</v>
          </cell>
          <cell r="L157" t="str">
            <v>AKTIF</v>
          </cell>
        </row>
        <row r="158">
          <cell r="C158" t="str">
            <v>Sumartini</v>
          </cell>
          <cell r="D158" t="str">
            <v>AKP</v>
          </cell>
          <cell r="E158">
            <v>5000</v>
          </cell>
          <cell r="F158">
            <v>38651521</v>
          </cell>
          <cell r="G158">
            <v>3710000</v>
          </cell>
          <cell r="H158">
            <v>1433550.238210272</v>
          </cell>
          <cell r="I158">
            <v>663260.34042201168</v>
          </cell>
          <cell r="J158">
            <v>2096810.5786322837</v>
          </cell>
          <cell r="K158">
            <v>43800071.238210276</v>
          </cell>
          <cell r="L158" t="str">
            <v>AKTIF</v>
          </cell>
        </row>
        <row r="159">
          <cell r="C159" t="str">
            <v>Suriaty Paramita Putri, ST</v>
          </cell>
          <cell r="D159" t="str">
            <v>MRKU</v>
          </cell>
          <cell r="E159">
            <v>5000</v>
          </cell>
          <cell r="F159">
            <v>41603235</v>
          </cell>
          <cell r="G159">
            <v>0</v>
          </cell>
          <cell r="H159">
            <v>4340984.9125824273</v>
          </cell>
          <cell r="I159">
            <v>695804.69574118895</v>
          </cell>
          <cell r="J159">
            <v>5036789.608323616</v>
          </cell>
          <cell r="K159">
            <v>45949219.912582427</v>
          </cell>
          <cell r="L159" t="str">
            <v>AKTIF</v>
          </cell>
        </row>
        <row r="160">
          <cell r="C160" t="str">
            <v>Suroso Tumidiono</v>
          </cell>
          <cell r="D160" t="str">
            <v>PK</v>
          </cell>
          <cell r="E160">
            <v>5000</v>
          </cell>
          <cell r="F160">
            <v>23075911</v>
          </cell>
          <cell r="G160">
            <v>0</v>
          </cell>
          <cell r="H160">
            <v>9179806.7847845647</v>
          </cell>
          <cell r="I160">
            <v>488521.00134321547</v>
          </cell>
          <cell r="J160">
            <v>9668327.7861277796</v>
          </cell>
          <cell r="K160">
            <v>32260717.784784563</v>
          </cell>
          <cell r="L160" t="str">
            <v>AKTIF</v>
          </cell>
        </row>
        <row r="161">
          <cell r="C161" t="str">
            <v>Susetyo Wijanarko</v>
          </cell>
          <cell r="D161" t="str">
            <v>SBU ENI</v>
          </cell>
          <cell r="E161">
            <v>5000</v>
          </cell>
          <cell r="F161">
            <v>20413906</v>
          </cell>
          <cell r="G161">
            <v>20000</v>
          </cell>
          <cell r="H161">
            <v>701036.39775178407</v>
          </cell>
          <cell r="I161">
            <v>320120.15037552471</v>
          </cell>
          <cell r="J161">
            <v>1021156.5481273087</v>
          </cell>
          <cell r="K161">
            <v>21139942.397751786</v>
          </cell>
          <cell r="L161" t="str">
            <v>AKTIF</v>
          </cell>
        </row>
        <row r="162">
          <cell r="C162" t="str">
            <v>Syahlir</v>
          </cell>
          <cell r="D162" t="str">
            <v>PKK</v>
          </cell>
          <cell r="E162">
            <v>5000</v>
          </cell>
          <cell r="F162">
            <v>39098998</v>
          </cell>
          <cell r="G162">
            <v>890000</v>
          </cell>
          <cell r="H162">
            <v>1337206.8189867046</v>
          </cell>
          <cell r="I162">
            <v>625874.52950026654</v>
          </cell>
          <cell r="J162">
            <v>1963081.3484869711</v>
          </cell>
          <cell r="K162">
            <v>41331204.818986706</v>
          </cell>
          <cell r="L162" t="str">
            <v>AKTIF</v>
          </cell>
        </row>
        <row r="163">
          <cell r="C163" t="str">
            <v>Tantyo Prayogo</v>
          </cell>
          <cell r="D163" t="str">
            <v>SV</v>
          </cell>
          <cell r="E163">
            <v>5000</v>
          </cell>
          <cell r="F163">
            <v>51809920</v>
          </cell>
          <cell r="G163">
            <v>158000</v>
          </cell>
          <cell r="H163">
            <v>10483962.021638853</v>
          </cell>
          <cell r="I163">
            <v>945778.66337420803</v>
          </cell>
          <cell r="J163">
            <v>11429740.685013061</v>
          </cell>
          <cell r="K163">
            <v>62456882.021638855</v>
          </cell>
          <cell r="L163" t="e">
            <v>#N/A</v>
          </cell>
        </row>
        <row r="164">
          <cell r="C164" t="str">
            <v>Teguh Andani, S.Sos</v>
          </cell>
          <cell r="D164" t="str">
            <v>PUMA</v>
          </cell>
          <cell r="E164">
            <v>5000</v>
          </cell>
          <cell r="F164">
            <v>37869319</v>
          </cell>
          <cell r="G164">
            <v>3500000</v>
          </cell>
          <cell r="H164">
            <v>1826205.8921132751</v>
          </cell>
          <cell r="I164">
            <v>654181.46674967476</v>
          </cell>
          <cell r="J164">
            <v>2480387.35886295</v>
          </cell>
          <cell r="K164">
            <v>43200524.892113276</v>
          </cell>
          <cell r="L164" t="e">
            <v>#N/A</v>
          </cell>
        </row>
        <row r="165">
          <cell r="C165" t="str">
            <v>Teguh Budi Santoso. Ir</v>
          </cell>
          <cell r="D165" t="str">
            <v>SB</v>
          </cell>
          <cell r="E165">
            <v>5000</v>
          </cell>
          <cell r="F165">
            <v>36992947</v>
          </cell>
          <cell r="G165">
            <v>0</v>
          </cell>
          <cell r="H165">
            <v>6366583.7969416361</v>
          </cell>
          <cell r="I165">
            <v>656664.99267081032</v>
          </cell>
          <cell r="J165">
            <v>7023248.789612446</v>
          </cell>
          <cell r="K165">
            <v>43364530.796941638</v>
          </cell>
          <cell r="L165" t="str">
            <v>AKTIF</v>
          </cell>
        </row>
        <row r="166">
          <cell r="C166" t="str">
            <v>Togap Hidayat</v>
          </cell>
          <cell r="D166" t="str">
            <v>DOC</v>
          </cell>
          <cell r="E166">
            <v>5000</v>
          </cell>
          <cell r="F166">
            <v>34672002</v>
          </cell>
          <cell r="G166">
            <v>25000</v>
          </cell>
          <cell r="H166">
            <v>4408086.0330514805</v>
          </cell>
          <cell r="I166">
            <v>592240.36786741356</v>
          </cell>
          <cell r="J166">
            <v>5000326.4009188944</v>
          </cell>
          <cell r="K166">
            <v>39110088.033051483</v>
          </cell>
          <cell r="L166" t="e">
            <v>#N/A</v>
          </cell>
        </row>
        <row r="167">
          <cell r="C167" t="str">
            <v>Toni Syarif Hidayah</v>
          </cell>
          <cell r="D167" t="str">
            <v>TP</v>
          </cell>
          <cell r="E167">
            <v>5000</v>
          </cell>
          <cell r="F167">
            <v>21911919</v>
          </cell>
          <cell r="G167">
            <v>0</v>
          </cell>
          <cell r="H167">
            <v>2243490.4950282583</v>
          </cell>
          <cell r="I167">
            <v>365858.79824843939</v>
          </cell>
          <cell r="J167">
            <v>2609349.2932766979</v>
          </cell>
          <cell r="K167">
            <v>24160409.495028257</v>
          </cell>
          <cell r="L167" t="e">
            <v>#N/A</v>
          </cell>
        </row>
        <row r="168">
          <cell r="C168" t="str">
            <v>Totok Achmad, Ir</v>
          </cell>
          <cell r="D168" t="str">
            <v>DOK</v>
          </cell>
          <cell r="E168">
            <v>5000</v>
          </cell>
          <cell r="F168">
            <v>74835223</v>
          </cell>
          <cell r="G168">
            <v>250000</v>
          </cell>
          <cell r="H168">
            <v>12763558.32624935</v>
          </cell>
          <cell r="I168">
            <v>1330361.5099825598</v>
          </cell>
          <cell r="J168">
            <v>14093919.83623191</v>
          </cell>
          <cell r="K168">
            <v>87853781.326249346</v>
          </cell>
          <cell r="L168" t="str">
            <v>AKTIF</v>
          </cell>
        </row>
        <row r="169">
          <cell r="C169" t="str">
            <v>Tri Januar Pratama</v>
          </cell>
          <cell r="D169" t="str">
            <v>AKP</v>
          </cell>
          <cell r="E169">
            <v>5000</v>
          </cell>
          <cell r="F169">
            <v>20005960</v>
          </cell>
          <cell r="G169">
            <v>0</v>
          </cell>
          <cell r="H169">
            <v>1899338.7005493098</v>
          </cell>
          <cell r="I169">
            <v>331785.5830836338</v>
          </cell>
          <cell r="J169">
            <v>2231124.2836329434</v>
          </cell>
          <cell r="K169">
            <v>21910298.700549308</v>
          </cell>
          <cell r="L169" t="str">
            <v>AKTIF</v>
          </cell>
        </row>
        <row r="170">
          <cell r="C170" t="str">
            <v>TRI LAKSONO JOENIAWAN</v>
          </cell>
          <cell r="D170" t="str">
            <v>SD</v>
          </cell>
          <cell r="E170">
            <v>5000</v>
          </cell>
          <cell r="F170">
            <v>40463348</v>
          </cell>
          <cell r="G170">
            <v>0</v>
          </cell>
          <cell r="H170">
            <v>11107986.289678235</v>
          </cell>
          <cell r="I170">
            <v>781015.55708997662</v>
          </cell>
          <cell r="J170">
            <v>11889001.846768212</v>
          </cell>
          <cell r="K170">
            <v>51576334.289678231</v>
          </cell>
          <cell r="L170" t="e">
            <v>#N/A</v>
          </cell>
        </row>
        <row r="171">
          <cell r="C171" t="str">
            <v>Triyono Samuel, ST.</v>
          </cell>
          <cell r="D171" t="str">
            <v>PBC</v>
          </cell>
          <cell r="E171">
            <v>5000</v>
          </cell>
          <cell r="F171">
            <v>17777980</v>
          </cell>
          <cell r="G171">
            <v>0</v>
          </cell>
          <cell r="H171">
            <v>2388536.8030920876</v>
          </cell>
          <cell r="I171">
            <v>305455.37309481937</v>
          </cell>
          <cell r="J171">
            <v>2693992.1761869071</v>
          </cell>
          <cell r="K171">
            <v>20171516.803092089</v>
          </cell>
          <cell r="L171" t="str">
            <v>AKTIF</v>
          </cell>
        </row>
        <row r="172">
          <cell r="C172" t="str">
            <v>Untung Prasetyo</v>
          </cell>
          <cell r="D172" t="str">
            <v>PUMA</v>
          </cell>
          <cell r="E172">
            <v>5000</v>
          </cell>
          <cell r="F172">
            <v>31888231</v>
          </cell>
          <cell r="G172">
            <v>395000</v>
          </cell>
          <cell r="H172">
            <v>4100405.4797031386</v>
          </cell>
          <cell r="I172">
            <v>551029.68412448012</v>
          </cell>
          <cell r="J172">
            <v>4651435.1638276186</v>
          </cell>
          <cell r="K172">
            <v>36388636.479703136</v>
          </cell>
          <cell r="L172" t="str">
            <v>AKTIF</v>
          </cell>
        </row>
        <row r="173">
          <cell r="C173" t="str">
            <v>Wahidin</v>
          </cell>
          <cell r="D173" t="str">
            <v>M&amp;K</v>
          </cell>
          <cell r="E173">
            <v>5000</v>
          </cell>
          <cell r="F173">
            <v>25793093</v>
          </cell>
          <cell r="G173">
            <v>855000</v>
          </cell>
          <cell r="H173">
            <v>3262591.3472851645</v>
          </cell>
          <cell r="I173">
            <v>453010.38156367553</v>
          </cell>
          <cell r="J173">
            <v>3715601.7288488401</v>
          </cell>
          <cell r="K173">
            <v>29915684.347285166</v>
          </cell>
          <cell r="L173" t="str">
            <v>AKTIF</v>
          </cell>
        </row>
        <row r="174">
          <cell r="C174" t="str">
            <v>W. Ario Tedjo</v>
          </cell>
          <cell r="D174" t="str">
            <v>PKC</v>
          </cell>
          <cell r="E174">
            <v>5000</v>
          </cell>
          <cell r="F174">
            <v>56734919</v>
          </cell>
          <cell r="G174">
            <v>165000</v>
          </cell>
          <cell r="H174">
            <v>14850975.926216375</v>
          </cell>
          <cell r="I174">
            <v>1086592.7371946685</v>
          </cell>
          <cell r="J174">
            <v>15937568.663411044</v>
          </cell>
          <cell r="K174">
            <v>71755894.926216379</v>
          </cell>
          <cell r="L174" t="e">
            <v>#N/A</v>
          </cell>
        </row>
        <row r="175">
          <cell r="C175" t="str">
            <v>Wahyu Priambodo</v>
          </cell>
          <cell r="D175" t="str">
            <v>SBU ENI</v>
          </cell>
          <cell r="E175">
            <v>5000</v>
          </cell>
          <cell r="F175">
            <v>21652747</v>
          </cell>
          <cell r="G175">
            <v>0</v>
          </cell>
          <cell r="H175">
            <v>2432512.6216336777</v>
          </cell>
          <cell r="I175">
            <v>364796.52534355747</v>
          </cell>
          <cell r="J175">
            <v>2797309.1469772351</v>
          </cell>
          <cell r="K175">
            <v>24090259.621633679</v>
          </cell>
          <cell r="L175" t="e">
            <v>#N/A</v>
          </cell>
        </row>
        <row r="176">
          <cell r="C176" t="str">
            <v>Wasito Abdul Mukit, Ir</v>
          </cell>
          <cell r="D176" t="str">
            <v>STA</v>
          </cell>
          <cell r="E176">
            <v>5000</v>
          </cell>
          <cell r="F176">
            <v>58045785</v>
          </cell>
          <cell r="G176">
            <v>160000</v>
          </cell>
          <cell r="H176">
            <v>2375448.2679400705</v>
          </cell>
          <cell r="I176">
            <v>917451.60604043189</v>
          </cell>
          <cell r="J176">
            <v>3292899.8739805026</v>
          </cell>
          <cell r="K176">
            <v>60586233.267940074</v>
          </cell>
          <cell r="L176" t="str">
            <v>AKTIF</v>
          </cell>
        </row>
        <row r="177">
          <cell r="C177" t="str">
            <v>Wawan Priyawidyanta</v>
          </cell>
          <cell r="D177" t="str">
            <v>HCTIO</v>
          </cell>
          <cell r="E177">
            <v>5000</v>
          </cell>
          <cell r="F177">
            <v>34570840</v>
          </cell>
          <cell r="G177">
            <v>610000</v>
          </cell>
          <cell r="H177">
            <v>6003615.8413952291</v>
          </cell>
          <cell r="I177">
            <v>623728.03812539007</v>
          </cell>
          <cell r="J177">
            <v>6627343.8795206193</v>
          </cell>
          <cell r="K177">
            <v>41189455.841395229</v>
          </cell>
          <cell r="L177" t="e">
            <v>#N/A</v>
          </cell>
        </row>
        <row r="178">
          <cell r="C178" t="str">
            <v>Widodo</v>
          </cell>
          <cell r="D178" t="str">
            <v>PBC</v>
          </cell>
          <cell r="E178">
            <v>5000</v>
          </cell>
          <cell r="F178">
            <v>25252117</v>
          </cell>
          <cell r="G178">
            <v>50000</v>
          </cell>
          <cell r="H178">
            <v>13048275.540794658</v>
          </cell>
          <cell r="I178">
            <v>580812.08533365035</v>
          </cell>
          <cell r="J178">
            <v>13629087.626128308</v>
          </cell>
          <cell r="K178">
            <v>38355392.540794656</v>
          </cell>
          <cell r="L178" t="str">
            <v>AKTIF</v>
          </cell>
        </row>
        <row r="179">
          <cell r="C179" t="str">
            <v>Winarto</v>
          </cell>
          <cell r="D179" t="str">
            <v>SBU ENI</v>
          </cell>
          <cell r="E179">
            <v>5000</v>
          </cell>
          <cell r="F179">
            <v>30987174</v>
          </cell>
          <cell r="G179">
            <v>90000</v>
          </cell>
          <cell r="H179">
            <v>935356.06953557243</v>
          </cell>
          <cell r="I179">
            <v>484838.43274817208</v>
          </cell>
          <cell r="J179">
            <v>1420194.5022837445</v>
          </cell>
          <cell r="K179">
            <v>32017530.069535572</v>
          </cell>
          <cell r="L179" t="str">
            <v>AKTIF</v>
          </cell>
        </row>
        <row r="180">
          <cell r="C180" t="str">
            <v>Yohana Kaonseng</v>
          </cell>
          <cell r="D180" t="str">
            <v>HCTIO</v>
          </cell>
          <cell r="E180">
            <v>5000</v>
          </cell>
          <cell r="F180">
            <v>32914378</v>
          </cell>
          <cell r="G180">
            <v>1670000</v>
          </cell>
          <cell r="H180">
            <v>1141874.8689332209</v>
          </cell>
          <cell r="I180">
            <v>541074.98621780798</v>
          </cell>
          <cell r="J180">
            <v>1682949.8551510288</v>
          </cell>
          <cell r="K180">
            <v>35731252.868933223</v>
          </cell>
          <cell r="L180" t="str">
            <v>AKTIF</v>
          </cell>
        </row>
        <row r="181">
          <cell r="C181" t="str">
            <v>Yulia Dian Anggraini</v>
          </cell>
          <cell r="D181" t="str">
            <v>HCTIO</v>
          </cell>
          <cell r="E181">
            <v>5000</v>
          </cell>
          <cell r="F181">
            <v>32464901</v>
          </cell>
          <cell r="G181">
            <v>1098000</v>
          </cell>
          <cell r="H181">
            <v>4109784.9480718221</v>
          </cell>
          <cell r="I181">
            <v>570549.63843143033</v>
          </cell>
          <cell r="J181">
            <v>4680334.5865032524</v>
          </cell>
          <cell r="K181">
            <v>37677685.948071823</v>
          </cell>
          <cell r="L181" t="str">
            <v>AKTIF</v>
          </cell>
        </row>
        <row r="182">
          <cell r="C182" t="str">
            <v>Yulian Apriyanto. Ir</v>
          </cell>
          <cell r="D182" t="str">
            <v>JB</v>
          </cell>
          <cell r="E182">
            <v>5000</v>
          </cell>
          <cell r="F182">
            <v>38953217</v>
          </cell>
          <cell r="G182">
            <v>40000</v>
          </cell>
          <cell r="H182">
            <v>12257010.141362693</v>
          </cell>
          <cell r="I182">
            <v>776153.0618820258</v>
          </cell>
          <cell r="J182">
            <v>13033163.20324472</v>
          </cell>
          <cell r="K182">
            <v>51255227.141362697</v>
          </cell>
          <cell r="L182" t="str">
            <v>AKTIF</v>
          </cell>
        </row>
        <row r="183">
          <cell r="C183" t="str">
            <v>Yulid Anji. ST</v>
          </cell>
          <cell r="D183" t="str">
            <v>BM</v>
          </cell>
          <cell r="E183">
            <v>5000</v>
          </cell>
          <cell r="F183">
            <v>36880222</v>
          </cell>
          <cell r="G183">
            <v>0</v>
          </cell>
          <cell r="H183">
            <v>4846865.9824401606</v>
          </cell>
          <cell r="I183">
            <v>631945.06536801718</v>
          </cell>
          <cell r="J183">
            <v>5478811.0478081778</v>
          </cell>
          <cell r="K183">
            <v>41732087.982440159</v>
          </cell>
          <cell r="L183" t="str">
            <v>AKTIF</v>
          </cell>
        </row>
        <row r="184">
          <cell r="C184" t="str">
            <v>Yusfi Noer Aryani</v>
          </cell>
          <cell r="D184" t="str">
            <v>HCTIO</v>
          </cell>
          <cell r="E184">
            <v>5000</v>
          </cell>
          <cell r="F184">
            <v>32270858</v>
          </cell>
          <cell r="G184">
            <v>300000</v>
          </cell>
          <cell r="H184">
            <v>2976770.7214895063</v>
          </cell>
          <cell r="I184">
            <v>538370.09762991546</v>
          </cell>
          <cell r="J184">
            <v>3515140.8191194218</v>
          </cell>
          <cell r="K184">
            <v>35552628.721489504</v>
          </cell>
          <cell r="L184" t="str">
            <v>AKTIF</v>
          </cell>
        </row>
        <row r="185">
          <cell r="C185" t="str">
            <v>Awaludin Painging, ST.</v>
          </cell>
          <cell r="D185" t="str">
            <v>SV</v>
          </cell>
          <cell r="E185">
            <v>5000</v>
          </cell>
          <cell r="F185">
            <v>19750000</v>
          </cell>
          <cell r="G185">
            <v>0</v>
          </cell>
          <cell r="H185">
            <v>2739502.4632955333</v>
          </cell>
          <cell r="I185">
            <v>340632.12546589487</v>
          </cell>
          <cell r="J185">
            <v>3080134.5887614284</v>
          </cell>
          <cell r="K185">
            <v>22494502.463295534</v>
          </cell>
          <cell r="L185" t="str">
            <v>AKTIF</v>
          </cell>
        </row>
        <row r="186">
          <cell r="C186" t="str">
            <v>Fitriani A. Md.</v>
          </cell>
          <cell r="D186" t="str">
            <v>PK</v>
          </cell>
          <cell r="E186">
            <v>5000</v>
          </cell>
          <cell r="F186">
            <v>17080000</v>
          </cell>
          <cell r="G186">
            <v>350000</v>
          </cell>
          <cell r="H186">
            <v>2595510.178792519</v>
          </cell>
          <cell r="I186">
            <v>303320.12310570286</v>
          </cell>
          <cell r="J186">
            <v>2898830.301898222</v>
          </cell>
          <cell r="K186">
            <v>20030510.178792518</v>
          </cell>
          <cell r="L186" t="str">
            <v>AKTIF</v>
          </cell>
        </row>
        <row r="187">
          <cell r="C187" t="str">
            <v>muhammad rizky purnama</v>
          </cell>
          <cell r="D187" t="str">
            <v>BPC</v>
          </cell>
          <cell r="E187">
            <v>5000</v>
          </cell>
          <cell r="F187">
            <v>39380000</v>
          </cell>
          <cell r="G187">
            <v>0</v>
          </cell>
          <cell r="H187">
            <v>5364677.6679381104</v>
          </cell>
          <cell r="I187">
            <v>677640.14086623478</v>
          </cell>
          <cell r="J187">
            <v>6042317.8088043453</v>
          </cell>
          <cell r="K187">
            <v>44749677.667938113</v>
          </cell>
          <cell r="L187" t="e">
            <v>#N/A</v>
          </cell>
        </row>
        <row r="188">
          <cell r="C188" t="str">
            <v>Warini</v>
          </cell>
          <cell r="D188" t="str">
            <v>MRKU</v>
          </cell>
          <cell r="E188">
            <v>5000</v>
          </cell>
          <cell r="F188">
            <v>20250000</v>
          </cell>
          <cell r="G188">
            <v>0</v>
          </cell>
          <cell r="H188">
            <v>1753114.4461274878</v>
          </cell>
          <cell r="I188">
            <v>333266.79767705256</v>
          </cell>
          <cell r="J188">
            <v>2086381.2438045405</v>
          </cell>
          <cell r="K188">
            <v>22008114.446127489</v>
          </cell>
          <cell r="L188" t="str">
            <v>AKTIF</v>
          </cell>
        </row>
        <row r="189">
          <cell r="C189" t="str">
            <v>Agris Setyawan, ST.</v>
          </cell>
          <cell r="D189" t="str">
            <v>SV</v>
          </cell>
          <cell r="E189">
            <v>0</v>
          </cell>
          <cell r="F189">
            <v>8250000</v>
          </cell>
          <cell r="G189">
            <v>250000</v>
          </cell>
          <cell r="H189">
            <v>73733.34471268818</v>
          </cell>
          <cell r="I189">
            <v>129831.23397161973</v>
          </cell>
          <cell r="J189">
            <v>203564.57868430793</v>
          </cell>
          <cell r="K189">
            <v>8573733.3447126877</v>
          </cell>
          <cell r="L189" t="str">
            <v>AKTIF</v>
          </cell>
        </row>
        <row r="190">
          <cell r="C190" t="str">
            <v>Bambang Tri Nugroho</v>
          </cell>
          <cell r="D190" t="str">
            <v>BJC</v>
          </cell>
          <cell r="E190">
            <v>5000</v>
          </cell>
          <cell r="F190">
            <v>11395000</v>
          </cell>
          <cell r="G190">
            <v>0</v>
          </cell>
          <cell r="H190">
            <v>2421595.9588894835</v>
          </cell>
          <cell r="I190">
            <v>209299.12170716206</v>
          </cell>
          <cell r="J190">
            <v>2630895.0805966454</v>
          </cell>
          <cell r="K190">
            <v>13821595.958889484</v>
          </cell>
          <cell r="L190" t="str">
            <v>AKTIF</v>
          </cell>
        </row>
        <row r="191">
          <cell r="C191" t="str">
            <v>Bayu Mahardika W, ST.</v>
          </cell>
          <cell r="D191" t="str">
            <v>DOK</v>
          </cell>
          <cell r="E191">
            <v>5000</v>
          </cell>
          <cell r="F191">
            <v>30970000</v>
          </cell>
          <cell r="G191">
            <v>1250000</v>
          </cell>
          <cell r="H191">
            <v>2078763.5985016525</v>
          </cell>
          <cell r="I191">
            <v>519458.6510683517</v>
          </cell>
          <cell r="J191">
            <v>2598222.2495700042</v>
          </cell>
          <cell r="K191">
            <v>34303763.598501652</v>
          </cell>
          <cell r="L191" t="str">
            <v>AKTIF</v>
          </cell>
        </row>
        <row r="192">
          <cell r="C192" t="str">
            <v>Bobby A. Novrianto</v>
          </cell>
          <cell r="D192" t="str">
            <v>ACD</v>
          </cell>
          <cell r="E192">
            <v>0</v>
          </cell>
          <cell r="F192">
            <v>31975000</v>
          </cell>
          <cell r="G192">
            <v>220000</v>
          </cell>
          <cell r="H192">
            <v>2239487.1616215408</v>
          </cell>
          <cell r="I192">
            <v>521438.18563359318</v>
          </cell>
          <cell r="J192">
            <v>2760925.347255134</v>
          </cell>
          <cell r="K192">
            <v>34434487.161621541</v>
          </cell>
          <cell r="L192" t="str">
            <v>AKTIF</v>
          </cell>
        </row>
        <row r="193">
          <cell r="C193" t="str">
            <v>budi fitriawan</v>
          </cell>
          <cell r="D193" t="str">
            <v>PKK</v>
          </cell>
          <cell r="E193">
            <v>0</v>
          </cell>
          <cell r="F193">
            <v>32150000</v>
          </cell>
          <cell r="G193">
            <v>75000</v>
          </cell>
          <cell r="H193">
            <v>2216413.7188946363</v>
          </cell>
          <cell r="I193">
            <v>521543.07383594156</v>
          </cell>
          <cell r="J193">
            <v>2737956.7927305778</v>
          </cell>
          <cell r="K193">
            <v>34441413.718894638</v>
          </cell>
          <cell r="L193" t="e">
            <v>#N/A</v>
          </cell>
        </row>
        <row r="194">
          <cell r="C194" t="str">
            <v>Busrol</v>
          </cell>
          <cell r="D194" t="str">
            <v>ISPB</v>
          </cell>
          <cell r="E194">
            <v>5000</v>
          </cell>
          <cell r="F194">
            <v>23495000</v>
          </cell>
          <cell r="G194">
            <v>100000</v>
          </cell>
          <cell r="H194">
            <v>723632.28215870401</v>
          </cell>
          <cell r="I194">
            <v>368330.46549226629</v>
          </cell>
          <cell r="J194">
            <v>1091962.7476509702</v>
          </cell>
          <cell r="K194">
            <v>24323632.282158703</v>
          </cell>
          <cell r="L194" t="str">
            <v>AKTIF</v>
          </cell>
        </row>
        <row r="195">
          <cell r="C195" t="str">
            <v>Fachruddin, ST.</v>
          </cell>
          <cell r="D195" t="str">
            <v>PRB</v>
          </cell>
          <cell r="E195">
            <v>5000</v>
          </cell>
          <cell r="F195">
            <v>32095000</v>
          </cell>
          <cell r="G195">
            <v>0</v>
          </cell>
          <cell r="H195">
            <v>2978495.3861749545</v>
          </cell>
          <cell r="I195">
            <v>531190.34133052814</v>
          </cell>
          <cell r="J195">
            <v>3509685.7275054827</v>
          </cell>
          <cell r="K195">
            <v>35078495.386174954</v>
          </cell>
          <cell r="L195" t="str">
            <v>AKTIF</v>
          </cell>
        </row>
        <row r="196">
          <cell r="C196" t="str">
            <v>Kartika Kushendra, Dr.</v>
          </cell>
          <cell r="D196" t="str">
            <v>MNO</v>
          </cell>
          <cell r="E196">
            <v>5000</v>
          </cell>
          <cell r="F196">
            <v>49695000</v>
          </cell>
          <cell r="G196">
            <v>0</v>
          </cell>
          <cell r="H196">
            <v>4136374.5569021441</v>
          </cell>
          <cell r="I196">
            <v>815239.13332239818</v>
          </cell>
          <cell r="J196">
            <v>4951613.6902245423</v>
          </cell>
          <cell r="K196">
            <v>53836374.55690214</v>
          </cell>
          <cell r="L196" t="str">
            <v>AKTIF</v>
          </cell>
        </row>
        <row r="197">
          <cell r="C197" t="str">
            <v>Khairul Akbar ST.</v>
          </cell>
          <cell r="D197" t="str">
            <v>PBC</v>
          </cell>
          <cell r="E197">
            <v>5000</v>
          </cell>
          <cell r="F197">
            <v>18095000</v>
          </cell>
          <cell r="G197">
            <v>0</v>
          </cell>
          <cell r="H197">
            <v>2984869.0941798859</v>
          </cell>
          <cell r="I197">
            <v>319286.18054299627</v>
          </cell>
          <cell r="J197">
            <v>3304155.2747228821</v>
          </cell>
          <cell r="K197">
            <v>21084869.094179887</v>
          </cell>
          <cell r="L197" t="str">
            <v>AKTIF</v>
          </cell>
        </row>
        <row r="198">
          <cell r="C198" t="str">
            <v>LA Ode Abdul Rahman F, ST.</v>
          </cell>
          <cell r="D198" t="str">
            <v>SD</v>
          </cell>
          <cell r="E198">
            <v>5000</v>
          </cell>
          <cell r="F198">
            <v>17370000</v>
          </cell>
          <cell r="G198">
            <v>0</v>
          </cell>
          <cell r="H198">
            <v>3427958.4676164007</v>
          </cell>
          <cell r="I198">
            <v>315017.23456055316</v>
          </cell>
          <cell r="J198">
            <v>3742975.7021769537</v>
          </cell>
          <cell r="K198">
            <v>20802958.467616402</v>
          </cell>
          <cell r="L198" t="str">
            <v>AKTIF</v>
          </cell>
        </row>
        <row r="199">
          <cell r="C199" t="str">
            <v>M. Yudi Oktavianto, ST.</v>
          </cell>
          <cell r="D199" t="str">
            <v>RP</v>
          </cell>
          <cell r="E199">
            <v>5000</v>
          </cell>
          <cell r="F199">
            <v>31595000</v>
          </cell>
          <cell r="G199">
            <v>100000</v>
          </cell>
          <cell r="H199">
            <v>1941354.1811262176</v>
          </cell>
          <cell r="I199">
            <v>509427.84784710262</v>
          </cell>
          <cell r="J199">
            <v>2450782.02897332</v>
          </cell>
          <cell r="K199">
            <v>33641354.181126215</v>
          </cell>
          <cell r="L199" t="str">
            <v>AKTIF</v>
          </cell>
        </row>
        <row r="200">
          <cell r="C200" t="str">
            <v>Mahesa Saga, ST.</v>
          </cell>
          <cell r="D200" t="str">
            <v>SB</v>
          </cell>
          <cell r="E200">
            <v>5000</v>
          </cell>
          <cell r="F200">
            <v>27070000</v>
          </cell>
          <cell r="G200">
            <v>300000</v>
          </cell>
          <cell r="H200">
            <v>1640962.9772946225</v>
          </cell>
          <cell r="I200">
            <v>439385.9858657915</v>
          </cell>
          <cell r="J200">
            <v>2080348.963160414</v>
          </cell>
          <cell r="K200">
            <v>29015962.977294624</v>
          </cell>
          <cell r="L200" t="str">
            <v>AKTIF</v>
          </cell>
        </row>
        <row r="201">
          <cell r="C201" t="str">
            <v>Muh. Asqar, ST.</v>
          </cell>
          <cell r="D201" t="str">
            <v>MKS</v>
          </cell>
          <cell r="E201">
            <v>5000</v>
          </cell>
          <cell r="F201">
            <v>18295000</v>
          </cell>
          <cell r="G201">
            <v>0</v>
          </cell>
          <cell r="H201">
            <v>3104661.8749193717</v>
          </cell>
          <cell r="I201">
            <v>324128.77240692766</v>
          </cell>
          <cell r="J201">
            <v>3428790.6473262995</v>
          </cell>
          <cell r="K201">
            <v>21404661.87491937</v>
          </cell>
          <cell r="L201" t="str">
            <v>AKTIF</v>
          </cell>
        </row>
        <row r="202">
          <cell r="C202" t="str">
            <v>Nenny Yuniarti</v>
          </cell>
          <cell r="D202" t="str">
            <v>AKP</v>
          </cell>
          <cell r="E202">
            <v>5000</v>
          </cell>
          <cell r="F202">
            <v>17845000</v>
          </cell>
          <cell r="G202">
            <v>500000</v>
          </cell>
          <cell r="H202">
            <v>1735836.0330178393</v>
          </cell>
          <cell r="I202">
            <v>304157.91728891444</v>
          </cell>
          <cell r="J202">
            <v>2039993.9503067536</v>
          </cell>
          <cell r="K202">
            <v>20085836.03301784</v>
          </cell>
          <cell r="L202" t="e">
            <v>#N/A</v>
          </cell>
        </row>
        <row r="203">
          <cell r="C203" t="str">
            <v>Nevi Eko Yuliananto, ST.</v>
          </cell>
          <cell r="D203" t="str">
            <v>PRB</v>
          </cell>
          <cell r="E203">
            <v>5000</v>
          </cell>
          <cell r="F203">
            <v>26820000</v>
          </cell>
          <cell r="G203">
            <v>0</v>
          </cell>
          <cell r="H203">
            <v>1836856.094024899</v>
          </cell>
          <cell r="I203">
            <v>434023.77878932527</v>
          </cell>
          <cell r="J203">
            <v>2270879.8728142241</v>
          </cell>
          <cell r="K203">
            <v>28661856.0940249</v>
          </cell>
          <cell r="L203" t="str">
            <v>AKTIF</v>
          </cell>
        </row>
        <row r="204">
          <cell r="C204" t="str">
            <v>Noah Cahyasasmita</v>
          </cell>
          <cell r="D204" t="str">
            <v>SR</v>
          </cell>
          <cell r="E204">
            <v>5000</v>
          </cell>
          <cell r="F204">
            <v>27970000</v>
          </cell>
          <cell r="G204">
            <v>500000</v>
          </cell>
          <cell r="H204">
            <v>1983926.4094509978</v>
          </cell>
          <cell r="I204">
            <v>461236.64478420967</v>
          </cell>
          <cell r="J204">
            <v>2445163.0542352074</v>
          </cell>
          <cell r="K204">
            <v>30458926.409450997</v>
          </cell>
          <cell r="L204" t="e">
            <v>#N/A</v>
          </cell>
        </row>
        <row r="205">
          <cell r="C205" t="str">
            <v>Ridwan Ahmad Fauzi, ST.</v>
          </cell>
          <cell r="D205" t="str">
            <v>SB</v>
          </cell>
          <cell r="E205">
            <v>5000</v>
          </cell>
          <cell r="F205">
            <v>19645000</v>
          </cell>
          <cell r="G205">
            <v>0</v>
          </cell>
          <cell r="H205">
            <v>3927782.8535169652</v>
          </cell>
          <cell r="I205">
            <v>357036.13806402864</v>
          </cell>
          <cell r="J205">
            <v>4284818.9915809939</v>
          </cell>
          <cell r="K205">
            <v>23577782.853516966</v>
          </cell>
          <cell r="L205" t="str">
            <v>AKTIF</v>
          </cell>
        </row>
        <row r="206">
          <cell r="C206" t="str">
            <v>Riska Deriani Maskar</v>
          </cell>
          <cell r="D206" t="str">
            <v>RP</v>
          </cell>
          <cell r="E206">
            <v>5000</v>
          </cell>
          <cell r="F206">
            <v>31895000</v>
          </cell>
          <cell r="G206">
            <v>300000</v>
          </cell>
          <cell r="H206">
            <v>2087197.3648004823</v>
          </cell>
          <cell r="I206">
            <v>519207.7901566333</v>
          </cell>
          <cell r="J206">
            <v>2606405.1549571157</v>
          </cell>
          <cell r="K206">
            <v>34287197.364800483</v>
          </cell>
          <cell r="L206" t="e">
            <v>#N/A</v>
          </cell>
        </row>
        <row r="207">
          <cell r="C207" t="str">
            <v>Riswan Akbar</v>
          </cell>
          <cell r="D207" t="str">
            <v>TP</v>
          </cell>
          <cell r="E207">
            <v>5000</v>
          </cell>
          <cell r="F207">
            <v>27995000</v>
          </cell>
          <cell r="G207">
            <v>500000</v>
          </cell>
          <cell r="H207">
            <v>2557449.8946521571</v>
          </cell>
          <cell r="I207">
            <v>470300.02937064331</v>
          </cell>
          <cell r="J207">
            <v>3027749.9240228003</v>
          </cell>
          <cell r="K207">
            <v>31057449.894652158</v>
          </cell>
          <cell r="L207" t="e">
            <v>#N/A</v>
          </cell>
        </row>
        <row r="208">
          <cell r="C208" t="str">
            <v>Syariful Mahsyar, ST.</v>
          </cell>
          <cell r="D208" t="str">
            <v>SB</v>
          </cell>
          <cell r="E208">
            <v>5000</v>
          </cell>
          <cell r="F208">
            <v>19895000</v>
          </cell>
          <cell r="G208">
            <v>0</v>
          </cell>
          <cell r="H208">
            <v>3939100.573410593</v>
          </cell>
          <cell r="I208">
            <v>360993.24760643841</v>
          </cell>
          <cell r="J208">
            <v>4300093.8210170316</v>
          </cell>
          <cell r="K208">
            <v>23839100.573410593</v>
          </cell>
          <cell r="L208" t="str">
            <v>AKTIF</v>
          </cell>
        </row>
        <row r="209">
          <cell r="C209" t="str">
            <v>Wanginingastuti M, ST.</v>
          </cell>
          <cell r="D209" t="str">
            <v>RP</v>
          </cell>
          <cell r="E209">
            <v>0</v>
          </cell>
          <cell r="F209">
            <v>26375000</v>
          </cell>
          <cell r="G209">
            <v>0</v>
          </cell>
          <cell r="H209">
            <v>1705681.5364896497</v>
          </cell>
          <cell r="I209">
            <v>425223.10737536725</v>
          </cell>
          <cell r="J209">
            <v>2130904.6438650168</v>
          </cell>
          <cell r="K209">
            <v>28080681.536489651</v>
          </cell>
          <cell r="L209" t="str">
            <v>AKTIF</v>
          </cell>
        </row>
        <row r="210">
          <cell r="C210" t="str">
            <v>Zainal ST.</v>
          </cell>
          <cell r="D210" t="str">
            <v>PBC</v>
          </cell>
          <cell r="E210">
            <v>5000</v>
          </cell>
          <cell r="F210">
            <v>17695000</v>
          </cell>
          <cell r="G210">
            <v>0</v>
          </cell>
          <cell r="H210">
            <v>4032255.2075256864</v>
          </cell>
          <cell r="I210">
            <v>329089.48729076318</v>
          </cell>
          <cell r="J210">
            <v>4361344.6948164497</v>
          </cell>
          <cell r="K210">
            <v>21732255.207525685</v>
          </cell>
          <cell r="L210" t="str">
            <v>AKTIF</v>
          </cell>
        </row>
        <row r="211">
          <cell r="C211" t="str">
            <v>Mohammad Rizki Satrio</v>
          </cell>
          <cell r="D211" t="str">
            <v>HCS</v>
          </cell>
          <cell r="E211">
            <v>5000</v>
          </cell>
          <cell r="F211">
            <v>16095000</v>
          </cell>
          <cell r="G211">
            <v>160000</v>
          </cell>
          <cell r="H211">
            <v>1523804.42684552</v>
          </cell>
          <cell r="I211">
            <v>269298.47017824184</v>
          </cell>
          <cell r="J211">
            <v>1793102.8970237619</v>
          </cell>
          <cell r="K211">
            <v>17783804.426845521</v>
          </cell>
          <cell r="L211" t="e">
            <v>#N/A</v>
          </cell>
        </row>
        <row r="212">
          <cell r="C212" t="str">
            <v>Abdur Rahman</v>
          </cell>
          <cell r="D212" t="str">
            <v>SPI</v>
          </cell>
          <cell r="E212">
            <v>5000</v>
          </cell>
          <cell r="F212">
            <v>50039480</v>
          </cell>
          <cell r="G212">
            <v>1110000</v>
          </cell>
          <cell r="H212">
            <v>1475239.8549081373</v>
          </cell>
          <cell r="I212">
            <v>796966.87517780007</v>
          </cell>
          <cell r="J212">
            <v>2272206.7300859373</v>
          </cell>
          <cell r="K212">
            <v>52629719.854908139</v>
          </cell>
          <cell r="L212" t="e">
            <v>#N/A</v>
          </cell>
        </row>
        <row r="213">
          <cell r="C213" t="str">
            <v>Sari Gita Tantini</v>
          </cell>
          <cell r="D213" t="str">
            <v>SPI</v>
          </cell>
          <cell r="E213">
            <v>0</v>
          </cell>
          <cell r="F213">
            <v>18975000</v>
          </cell>
          <cell r="G213">
            <v>1470000</v>
          </cell>
          <cell r="H213">
            <v>1221464.9866795654</v>
          </cell>
          <cell r="I213">
            <v>328093.2321925119</v>
          </cell>
          <cell r="J213">
            <v>1549558.2188720773</v>
          </cell>
          <cell r="K213">
            <v>21666464.986679565</v>
          </cell>
          <cell r="L213" t="str">
            <v>AKTIF</v>
          </cell>
        </row>
        <row r="214">
          <cell r="C214" t="str">
            <v>Dwi Cahyo Kurniawan</v>
          </cell>
          <cell r="D214" t="str">
            <v>MRKU</v>
          </cell>
          <cell r="E214">
            <v>5000</v>
          </cell>
          <cell r="F214">
            <v>19120000</v>
          </cell>
          <cell r="G214">
            <v>400000</v>
          </cell>
          <cell r="H214">
            <v>1159991.8305233368</v>
          </cell>
          <cell r="I214">
            <v>313230.87692083028</v>
          </cell>
          <cell r="J214">
            <v>1473222.707444167</v>
          </cell>
          <cell r="K214">
            <v>20684991.830523338</v>
          </cell>
          <cell r="L214" t="str">
            <v>AKTIF</v>
          </cell>
        </row>
        <row r="215">
          <cell r="C215" t="str">
            <v>Agus Sunarto</v>
          </cell>
          <cell r="D215" t="str">
            <v>DOC</v>
          </cell>
          <cell r="E215">
            <v>5000</v>
          </cell>
          <cell r="F215">
            <v>18775000</v>
          </cell>
          <cell r="G215">
            <v>0</v>
          </cell>
          <cell r="H215">
            <v>1521299.7867723471</v>
          </cell>
          <cell r="I215">
            <v>307420.66455447482</v>
          </cell>
          <cell r="J215">
            <v>1828720.4513268219</v>
          </cell>
          <cell r="K215">
            <v>20301299.786772348</v>
          </cell>
          <cell r="L215" t="str">
            <v>AKTIF</v>
          </cell>
        </row>
        <row r="216">
          <cell r="C216" t="str">
            <v>Afif Amrullah, ST</v>
          </cell>
          <cell r="D216" t="str">
            <v>STA</v>
          </cell>
          <cell r="E216">
            <v>5000</v>
          </cell>
          <cell r="F216">
            <v>29545000</v>
          </cell>
          <cell r="G216">
            <v>0</v>
          </cell>
          <cell r="H216">
            <v>1429243.0932553308</v>
          </cell>
          <cell r="I216">
            <v>469115.75116626162</v>
          </cell>
          <cell r="J216">
            <v>1898358.8444215925</v>
          </cell>
          <cell r="K216">
            <v>30979243.09325533</v>
          </cell>
          <cell r="L216" t="str">
            <v>AKTIF</v>
          </cell>
        </row>
        <row r="217">
          <cell r="C217" t="str">
            <v>Nomo Prihasta, ST</v>
          </cell>
          <cell r="D217" t="str">
            <v>STA</v>
          </cell>
          <cell r="E217">
            <v>0</v>
          </cell>
          <cell r="F217">
            <v>29625000</v>
          </cell>
          <cell r="G217">
            <v>0</v>
          </cell>
          <cell r="H217">
            <v>1445932.0024606124</v>
          </cell>
          <cell r="I217">
            <v>470504.18765536411</v>
          </cell>
          <cell r="J217">
            <v>1916436.1901159766</v>
          </cell>
          <cell r="K217">
            <v>31070932.002460614</v>
          </cell>
          <cell r="L217" t="str">
            <v>AKTIF</v>
          </cell>
        </row>
        <row r="218">
          <cell r="C218" t="str">
            <v>Taufik Akbar, ST</v>
          </cell>
          <cell r="D218" t="str">
            <v>M&amp;K</v>
          </cell>
          <cell r="E218">
            <v>5000</v>
          </cell>
          <cell r="F218">
            <v>29420000</v>
          </cell>
          <cell r="G218">
            <v>0</v>
          </cell>
          <cell r="H218">
            <v>1423920.5189988005</v>
          </cell>
          <cell r="I218">
            <v>467142.28873749165</v>
          </cell>
          <cell r="J218">
            <v>1891062.8077362922</v>
          </cell>
          <cell r="K218">
            <v>30848920.518998802</v>
          </cell>
          <cell r="L218" t="str">
            <v>AKTIF</v>
          </cell>
        </row>
        <row r="219">
          <cell r="C219" t="str">
            <v>ABDUL KHOLICK</v>
          </cell>
          <cell r="D219" t="str">
            <v>SD</v>
          </cell>
          <cell r="E219">
            <v>5000</v>
          </cell>
          <cell r="F219">
            <v>13745000</v>
          </cell>
          <cell r="G219">
            <v>0</v>
          </cell>
          <cell r="H219">
            <v>945783.45196502493</v>
          </cell>
          <cell r="I219">
            <v>222536.86031942556</v>
          </cell>
          <cell r="J219">
            <v>1168320.3122844505</v>
          </cell>
          <cell r="K219">
            <v>14695783.451965025</v>
          </cell>
          <cell r="L219" t="e">
            <v>#N/A</v>
          </cell>
        </row>
        <row r="220">
          <cell r="C220" t="str">
            <v>Agus Ericson Sianipar</v>
          </cell>
          <cell r="D220" t="str">
            <v>SD</v>
          </cell>
          <cell r="E220">
            <v>5000</v>
          </cell>
          <cell r="F220">
            <v>28995000</v>
          </cell>
          <cell r="G220">
            <v>0</v>
          </cell>
          <cell r="H220">
            <v>3361170.852217434</v>
          </cell>
          <cell r="I220">
            <v>490042.15265229921</v>
          </cell>
          <cell r="J220">
            <v>3851213.004869733</v>
          </cell>
          <cell r="K220">
            <v>32361170.852217436</v>
          </cell>
          <cell r="L220" t="e">
            <v>#N/A</v>
          </cell>
        </row>
        <row r="221">
          <cell r="C221" t="str">
            <v>Arifin Gustian Pramoko, ST</v>
          </cell>
          <cell r="D221" t="str">
            <v>BM</v>
          </cell>
          <cell r="E221">
            <v>5000</v>
          </cell>
          <cell r="F221">
            <v>14270000</v>
          </cell>
          <cell r="G221">
            <v>0</v>
          </cell>
          <cell r="H221">
            <v>754350.23858864978</v>
          </cell>
          <cell r="I221">
            <v>227588.03065305861</v>
          </cell>
          <cell r="J221">
            <v>981938.26924170833</v>
          </cell>
          <cell r="K221">
            <v>15029350.23858865</v>
          </cell>
          <cell r="L221" t="str">
            <v>AKTIF</v>
          </cell>
        </row>
        <row r="222">
          <cell r="C222" t="str">
            <v>Eka Nanda P S</v>
          </cell>
          <cell r="D222" t="str">
            <v>BJ</v>
          </cell>
          <cell r="E222">
            <v>5000</v>
          </cell>
          <cell r="F222">
            <v>24170000</v>
          </cell>
          <cell r="G222">
            <v>0</v>
          </cell>
          <cell r="H222">
            <v>2647979.206792641</v>
          </cell>
          <cell r="I222">
            <v>406177.83982756769</v>
          </cell>
          <cell r="J222">
            <v>3054157.0466202088</v>
          </cell>
          <cell r="K222">
            <v>26822979.206792641</v>
          </cell>
          <cell r="L222" t="e">
            <v>#N/A</v>
          </cell>
        </row>
        <row r="223">
          <cell r="C223" t="str">
            <v>Sandi Nandarianto, ST</v>
          </cell>
          <cell r="D223" t="str">
            <v>SV</v>
          </cell>
          <cell r="E223">
            <v>0</v>
          </cell>
          <cell r="F223">
            <v>28000000</v>
          </cell>
          <cell r="G223">
            <v>350000</v>
          </cell>
          <cell r="H223">
            <v>1280476.2436190774</v>
          </cell>
          <cell r="I223">
            <v>448691.50219702139</v>
          </cell>
          <cell r="J223">
            <v>1729167.7458160988</v>
          </cell>
          <cell r="K223">
            <v>29630476.243619077</v>
          </cell>
          <cell r="L223" t="str">
            <v>AKTIF</v>
          </cell>
        </row>
        <row r="224">
          <cell r="C224" t="str">
            <v>Sang Lanang S, ST</v>
          </cell>
          <cell r="D224" t="str">
            <v>SV</v>
          </cell>
          <cell r="E224">
            <v>0</v>
          </cell>
          <cell r="F224">
            <v>26775000</v>
          </cell>
          <cell r="G224">
            <v>0</v>
          </cell>
          <cell r="H224">
            <v>1456739.0667525227</v>
          </cell>
          <cell r="I224">
            <v>427510.55728385184</v>
          </cell>
          <cell r="J224">
            <v>1884249.6240363745</v>
          </cell>
          <cell r="K224">
            <v>28231739.066752523</v>
          </cell>
          <cell r="L224" t="str">
            <v>AKTIF</v>
          </cell>
        </row>
        <row r="225">
          <cell r="C225" t="str">
            <v>Irawati</v>
          </cell>
          <cell r="D225" t="str">
            <v>STA</v>
          </cell>
          <cell r="E225">
            <v>5000</v>
          </cell>
          <cell r="F225">
            <v>29520000</v>
          </cell>
          <cell r="G225">
            <v>1050000</v>
          </cell>
          <cell r="H225">
            <v>1516239.2935624523</v>
          </cell>
          <cell r="I225">
            <v>485954.6045633828</v>
          </cell>
          <cell r="J225">
            <v>2002193.8981258352</v>
          </cell>
          <cell r="K225">
            <v>32091239.293562453</v>
          </cell>
          <cell r="L225" t="e">
            <v>#N/A</v>
          </cell>
        </row>
        <row r="226">
          <cell r="C226" t="str">
            <v>Gde Sandhyana Pradhita</v>
          </cell>
          <cell r="D226" t="str">
            <v>SEKPER</v>
          </cell>
          <cell r="E226">
            <v>5000</v>
          </cell>
          <cell r="F226">
            <v>18220000</v>
          </cell>
          <cell r="G226">
            <v>200000</v>
          </cell>
          <cell r="H226">
            <v>1708939.9456779021</v>
          </cell>
          <cell r="I226">
            <v>304886.35029335006</v>
          </cell>
          <cell r="J226">
            <v>2013826.295971252</v>
          </cell>
          <cell r="K226">
            <v>20133939.945677903</v>
          </cell>
          <cell r="L226" t="e">
            <v>#N/A</v>
          </cell>
        </row>
        <row r="227">
          <cell r="C227" t="str">
            <v>Hardian, S.KOM.</v>
          </cell>
          <cell r="D227" t="str">
            <v>TI</v>
          </cell>
          <cell r="E227">
            <v>5000</v>
          </cell>
          <cell r="F227">
            <v>28995000</v>
          </cell>
          <cell r="G227">
            <v>2350000</v>
          </cell>
          <cell r="H227">
            <v>1378458.6816742844</v>
          </cell>
          <cell r="I227">
            <v>495603.95755150885</v>
          </cell>
          <cell r="J227">
            <v>1874062.6392257933</v>
          </cell>
          <cell r="K227">
            <v>32728458.681674283</v>
          </cell>
          <cell r="L227" t="str">
            <v>AKTIF</v>
          </cell>
        </row>
        <row r="228">
          <cell r="C228" t="str">
            <v>Muhammad sofian</v>
          </cell>
          <cell r="D228" t="str">
            <v>SBU ENI</v>
          </cell>
          <cell r="E228">
            <v>10000</v>
          </cell>
          <cell r="F228">
            <v>16307047</v>
          </cell>
          <cell r="G228">
            <v>1345000</v>
          </cell>
          <cell r="H228">
            <v>793220.06224509014</v>
          </cell>
          <cell r="I228">
            <v>279466.36542466009</v>
          </cell>
          <cell r="J228">
            <v>1072686.4276697503</v>
          </cell>
          <cell r="K228">
            <v>18455267.06224509</v>
          </cell>
          <cell r="L228" t="e">
            <v>#N/A</v>
          </cell>
        </row>
        <row r="229">
          <cell r="C229" t="str">
            <v>Aziza</v>
          </cell>
          <cell r="D229" t="str">
            <v>AKP</v>
          </cell>
          <cell r="E229">
            <v>5000</v>
          </cell>
          <cell r="F229">
            <v>24595000</v>
          </cell>
          <cell r="G229">
            <v>0</v>
          </cell>
          <cell r="H229">
            <v>1158578.592376763</v>
          </cell>
          <cell r="I229">
            <v>390059.72189064987</v>
          </cell>
          <cell r="J229">
            <v>1548638.3142674128</v>
          </cell>
          <cell r="K229">
            <v>25758578.592376761</v>
          </cell>
          <cell r="L229" t="str">
            <v>AKTIF</v>
          </cell>
        </row>
        <row r="230">
          <cell r="C230" t="str">
            <v>Agung Prasetyo</v>
          </cell>
          <cell r="D230" t="str">
            <v>PKK</v>
          </cell>
          <cell r="E230">
            <v>5000</v>
          </cell>
          <cell r="F230">
            <v>11745000</v>
          </cell>
          <cell r="G230">
            <v>0</v>
          </cell>
          <cell r="H230">
            <v>1028485.0597511777</v>
          </cell>
          <cell r="I230">
            <v>193503.39191718798</v>
          </cell>
          <cell r="J230">
            <v>1221988.4516683656</v>
          </cell>
          <cell r="K230">
            <v>12778485.059751177</v>
          </cell>
          <cell r="L230" t="str">
            <v>AKTIF</v>
          </cell>
        </row>
        <row r="231">
          <cell r="C231" t="str">
            <v>Apriansyah</v>
          </cell>
          <cell r="D231" t="str">
            <v>HCTIO</v>
          </cell>
          <cell r="E231">
            <v>5000</v>
          </cell>
          <cell r="F231">
            <v>11745000</v>
          </cell>
          <cell r="G231">
            <v>540000</v>
          </cell>
          <cell r="H231">
            <v>1096479.8378356083</v>
          </cell>
          <cell r="I231">
            <v>202710.199396882</v>
          </cell>
          <cell r="J231">
            <v>1299190.0372324903</v>
          </cell>
          <cell r="K231">
            <v>13386479.837835608</v>
          </cell>
          <cell r="L231" t="str">
            <v>AKTIF</v>
          </cell>
        </row>
        <row r="232">
          <cell r="C232" t="str">
            <v>Sahdat Famaridho</v>
          </cell>
          <cell r="D232" t="str">
            <v>HCTIO</v>
          </cell>
          <cell r="E232">
            <v>5000</v>
          </cell>
          <cell r="F232">
            <v>11745000</v>
          </cell>
          <cell r="G232">
            <v>1440000</v>
          </cell>
          <cell r="H232">
            <v>1126152.5656491872</v>
          </cell>
          <cell r="I232">
            <v>216788.14567640249</v>
          </cell>
          <cell r="J232">
            <v>1342940.7113255896</v>
          </cell>
          <cell r="K232">
            <v>14316152.565649187</v>
          </cell>
          <cell r="L232" t="e">
            <v>#N/A</v>
          </cell>
        </row>
        <row r="233">
          <cell r="C233" t="str">
            <v>Yulia Fajri Kinanti</v>
          </cell>
          <cell r="D233" t="str">
            <v>KU</v>
          </cell>
          <cell r="E233">
            <v>5000</v>
          </cell>
          <cell r="F233">
            <v>11745000</v>
          </cell>
          <cell r="G233">
            <v>535000</v>
          </cell>
          <cell r="H233">
            <v>1073380.2325655248</v>
          </cell>
          <cell r="I233">
            <v>202284.68972919678</v>
          </cell>
          <cell r="J233">
            <v>1275664.9222947215</v>
          </cell>
          <cell r="K233">
            <v>13358380.232565524</v>
          </cell>
          <cell r="L233" t="str">
            <v>AKTIF</v>
          </cell>
        </row>
        <row r="234">
          <cell r="C234" t="str">
            <v>Muchlis Rachman, S.Kom.</v>
          </cell>
          <cell r="D234" t="str">
            <v>HCTIO</v>
          </cell>
          <cell r="E234">
            <v>5000</v>
          </cell>
          <cell r="F234">
            <v>18170000</v>
          </cell>
          <cell r="G234">
            <v>300000</v>
          </cell>
          <cell r="H234">
            <v>1393708.3947593281</v>
          </cell>
          <cell r="I234">
            <v>300869.97397751786</v>
          </cell>
          <cell r="J234">
            <v>1694578.3687368459</v>
          </cell>
          <cell r="K234">
            <v>19868708.394759327</v>
          </cell>
          <cell r="L234" t="str">
            <v>AKTIF</v>
          </cell>
        </row>
        <row r="235">
          <cell r="C235" t="str">
            <v>M Rahmat Akbar R</v>
          </cell>
          <cell r="D235" t="str">
            <v>TI</v>
          </cell>
          <cell r="E235">
            <v>5000</v>
          </cell>
          <cell r="F235">
            <v>17445000</v>
          </cell>
          <cell r="G235">
            <v>500000</v>
          </cell>
          <cell r="H235">
            <v>1254818.0499932342</v>
          </cell>
          <cell r="I235">
            <v>290816.74521271372</v>
          </cell>
          <cell r="J235">
            <v>1545634.7952059479</v>
          </cell>
          <cell r="K235">
            <v>19204818.049993236</v>
          </cell>
          <cell r="L235" t="e">
            <v>#N/A</v>
          </cell>
        </row>
        <row r="236">
          <cell r="C236" t="str">
            <v>Muslim Dermawan B</v>
          </cell>
          <cell r="D236" t="str">
            <v>PUMA</v>
          </cell>
          <cell r="E236">
            <v>5000</v>
          </cell>
          <cell r="F236">
            <v>11445000</v>
          </cell>
          <cell r="G236">
            <v>260000</v>
          </cell>
          <cell r="H236">
            <v>1265044.4189515605</v>
          </cell>
          <cell r="I236">
            <v>196479.87172214882</v>
          </cell>
          <cell r="J236">
            <v>1461524.2906737092</v>
          </cell>
          <cell r="K236">
            <v>12975044.41895156</v>
          </cell>
          <cell r="L236" t="str">
            <v>AKTIF</v>
          </cell>
        </row>
        <row r="237">
          <cell r="C237" t="str">
            <v>Edit Hasta Prihantika</v>
          </cell>
          <cell r="D237" t="str">
            <v>SBU ENI</v>
          </cell>
          <cell r="E237">
            <v>5000</v>
          </cell>
          <cell r="F237">
            <v>11825000</v>
          </cell>
          <cell r="G237">
            <v>750000</v>
          </cell>
          <cell r="H237">
            <v>1326642.8722455874</v>
          </cell>
          <cell r="I237">
            <v>210586.97908067246</v>
          </cell>
          <cell r="J237">
            <v>1537229.8513262598</v>
          </cell>
          <cell r="K237">
            <v>13906642.872245587</v>
          </cell>
          <cell r="L237" t="str">
            <v>AKTIF</v>
          </cell>
        </row>
        <row r="238">
          <cell r="C238" t="str">
            <v>Satria Aldi Permana</v>
          </cell>
          <cell r="D238" t="str">
            <v>SBU MNO</v>
          </cell>
          <cell r="E238">
            <v>5000</v>
          </cell>
          <cell r="F238">
            <v>11925000</v>
          </cell>
          <cell r="G238">
            <v>0</v>
          </cell>
          <cell r="H238">
            <v>1235456.1727940983</v>
          </cell>
          <cell r="I238">
            <v>199363.25892001664</v>
          </cell>
          <cell r="J238">
            <v>1434819.431714115</v>
          </cell>
          <cell r="K238">
            <v>13165456.172794098</v>
          </cell>
          <cell r="L238" t="str">
            <v>AKTIF</v>
          </cell>
        </row>
        <row r="239">
          <cell r="C239" t="str">
            <v>Azhar Ghipari</v>
          </cell>
          <cell r="D239" t="str">
            <v>SBU ENI</v>
          </cell>
          <cell r="E239">
            <v>5000</v>
          </cell>
          <cell r="F239">
            <v>11825000</v>
          </cell>
          <cell r="G239">
            <v>675000</v>
          </cell>
          <cell r="H239">
            <v>1259624.6487126967</v>
          </cell>
          <cell r="I239">
            <v>208436.41053994413</v>
          </cell>
          <cell r="J239">
            <v>1468061.0592526409</v>
          </cell>
          <cell r="K239">
            <v>13764624.648712697</v>
          </cell>
          <cell r="L239" t="e">
            <v>#N/A</v>
          </cell>
        </row>
        <row r="240">
          <cell r="C240" t="str">
            <v>Feriza Yusfi</v>
          </cell>
          <cell r="D240" t="str">
            <v>PR</v>
          </cell>
          <cell r="E240">
            <v>5000</v>
          </cell>
          <cell r="F240">
            <v>17470000</v>
          </cell>
          <cell r="G240">
            <v>0</v>
          </cell>
          <cell r="H240">
            <v>2771618.088038831</v>
          </cell>
          <cell r="I240">
            <v>306592.62475701421</v>
          </cell>
          <cell r="J240">
            <v>3078210.7127958452</v>
          </cell>
          <cell r="K240">
            <v>20246618.088038832</v>
          </cell>
          <cell r="L240" t="str">
            <v>AKTIF</v>
          </cell>
        </row>
        <row r="241">
          <cell r="C241" t="str">
            <v>Dian Febrian, S.T</v>
          </cell>
          <cell r="D241" t="str">
            <v>PRB</v>
          </cell>
          <cell r="E241">
            <v>5000</v>
          </cell>
          <cell r="F241">
            <v>26545000</v>
          </cell>
          <cell r="G241">
            <v>450000</v>
          </cell>
          <cell r="H241">
            <v>1110078.2375271476</v>
          </cell>
          <cell r="I241">
            <v>425668.25884170562</v>
          </cell>
          <cell r="J241">
            <v>1535746.4963688534</v>
          </cell>
          <cell r="K241">
            <v>28110078.237527147</v>
          </cell>
          <cell r="L241" t="str">
            <v>AKTIF</v>
          </cell>
        </row>
        <row r="242">
          <cell r="C242" t="str">
            <v>Rizki Aldilla Tamtura</v>
          </cell>
          <cell r="D242" t="str">
            <v>SBU ENI</v>
          </cell>
          <cell r="E242">
            <v>5000</v>
          </cell>
          <cell r="F242">
            <v>17845000</v>
          </cell>
          <cell r="G242">
            <v>850000</v>
          </cell>
          <cell r="H242">
            <v>1530756.8606024743</v>
          </cell>
          <cell r="I242">
            <v>306352.43968855316</v>
          </cell>
          <cell r="J242">
            <v>1837109.3002910274</v>
          </cell>
          <cell r="K242">
            <v>20230756.860602476</v>
          </cell>
          <cell r="L242" t="e">
            <v>#N/A</v>
          </cell>
        </row>
        <row r="243">
          <cell r="C243" t="str">
            <v>Deborah Nindya Pawestri, SH</v>
          </cell>
          <cell r="D243" t="str">
            <v>LC</v>
          </cell>
          <cell r="E243">
            <v>5000</v>
          </cell>
          <cell r="F243">
            <v>18220000</v>
          </cell>
          <cell r="G243">
            <v>990000</v>
          </cell>
          <cell r="H243">
            <v>1409310.4872122211</v>
          </cell>
          <cell r="I243">
            <v>312311.98507239221</v>
          </cell>
          <cell r="J243">
            <v>1721622.4722846134</v>
          </cell>
          <cell r="K243">
            <v>20624310.487212222</v>
          </cell>
          <cell r="L243" t="str">
            <v>AKTIF</v>
          </cell>
        </row>
        <row r="244">
          <cell r="C244" t="str">
            <v>Willy Adi Nugroho</v>
          </cell>
          <cell r="D244" t="str">
            <v>SEKPER</v>
          </cell>
          <cell r="E244">
            <v>5000</v>
          </cell>
          <cell r="F244">
            <v>23220000</v>
          </cell>
          <cell r="G244">
            <v>100000</v>
          </cell>
          <cell r="H244">
            <v>1464094.9330363332</v>
          </cell>
          <cell r="I244">
            <v>375378.92243645288</v>
          </cell>
          <cell r="J244">
            <v>1839473.8554727861</v>
          </cell>
          <cell r="K244">
            <v>24789094.933036335</v>
          </cell>
          <cell r="L244" t="e">
            <v>#N/A</v>
          </cell>
        </row>
        <row r="245">
          <cell r="C245" t="str">
            <v>Faulincia, S.T</v>
          </cell>
          <cell r="D245" t="str">
            <v>PRB</v>
          </cell>
          <cell r="E245">
            <v>5000</v>
          </cell>
          <cell r="F245">
            <v>25845000</v>
          </cell>
          <cell r="G245">
            <v>0</v>
          </cell>
          <cell r="H245">
            <v>1485330.0755263793</v>
          </cell>
          <cell r="I245">
            <v>413936.32062463544</v>
          </cell>
          <cell r="J245">
            <v>1899266.3961510146</v>
          </cell>
          <cell r="K245">
            <v>27335330.075526379</v>
          </cell>
          <cell r="L245" t="str">
            <v>AKTIF</v>
          </cell>
        </row>
        <row r="246">
          <cell r="C246" t="str">
            <v>Lutfi Palam Paraya, S.T</v>
          </cell>
          <cell r="D246" t="str">
            <v>SB</v>
          </cell>
          <cell r="E246">
            <v>5000</v>
          </cell>
          <cell r="F246">
            <v>13795000</v>
          </cell>
          <cell r="G246">
            <v>0</v>
          </cell>
          <cell r="H246">
            <v>1112625.7526513687</v>
          </cell>
          <cell r="I246">
            <v>225820.48279092621</v>
          </cell>
          <cell r="J246">
            <v>1338446.235442295</v>
          </cell>
          <cell r="K246">
            <v>14912625.752651369</v>
          </cell>
          <cell r="L246" t="str">
            <v>AKTIF</v>
          </cell>
        </row>
        <row r="247">
          <cell r="C247" t="str">
            <v>Muhamad Baqi, S.T</v>
          </cell>
          <cell r="D247" t="str">
            <v>SB</v>
          </cell>
          <cell r="E247">
            <v>5000</v>
          </cell>
          <cell r="F247">
            <v>13795000</v>
          </cell>
          <cell r="G247">
            <v>0</v>
          </cell>
          <cell r="H247">
            <v>1112625.7526513687</v>
          </cell>
          <cell r="I247">
            <v>225820.48279092621</v>
          </cell>
          <cell r="J247">
            <v>1338446.235442295</v>
          </cell>
          <cell r="K247">
            <v>14912625.752651369</v>
          </cell>
          <cell r="L247" t="str">
            <v>AKTIF</v>
          </cell>
        </row>
        <row r="248">
          <cell r="C248" t="str">
            <v>Rangsang Kusumadilaga, S.T</v>
          </cell>
          <cell r="D248" t="str">
            <v>SD</v>
          </cell>
          <cell r="E248">
            <v>5000</v>
          </cell>
          <cell r="F248">
            <v>25595000</v>
          </cell>
          <cell r="G248">
            <v>1800000</v>
          </cell>
          <cell r="H248">
            <v>1030094.822795357</v>
          </cell>
          <cell r="I248">
            <v>430514.23975646991</v>
          </cell>
          <cell r="J248">
            <v>1460609.0625518269</v>
          </cell>
          <cell r="K248">
            <v>28430094.822795358</v>
          </cell>
          <cell r="L248" t="str">
            <v>AKTIF</v>
          </cell>
        </row>
        <row r="249">
          <cell r="C249" t="str">
            <v>Septian Aji Dewangkara</v>
          </cell>
          <cell r="D249" t="str">
            <v>PK</v>
          </cell>
          <cell r="E249">
            <v>0</v>
          </cell>
          <cell r="F249">
            <v>13800000</v>
          </cell>
          <cell r="G249">
            <v>0</v>
          </cell>
          <cell r="H249">
            <v>1112625.7526513687</v>
          </cell>
          <cell r="I249">
            <v>225820.48279092621</v>
          </cell>
          <cell r="J249">
            <v>1338446.235442295</v>
          </cell>
          <cell r="K249">
            <v>14912625.752651369</v>
          </cell>
          <cell r="L249" t="str">
            <v>AKTIF</v>
          </cell>
        </row>
        <row r="250">
          <cell r="C250" t="str">
            <v>Setiono Prabowo, S.T</v>
          </cell>
          <cell r="D250" t="str">
            <v>SV</v>
          </cell>
          <cell r="E250">
            <v>0</v>
          </cell>
          <cell r="F250">
            <v>26450000</v>
          </cell>
          <cell r="G250">
            <v>150000</v>
          </cell>
          <cell r="H250">
            <v>3272585.0904499884</v>
          </cell>
          <cell r="I250">
            <v>452357.73358954396</v>
          </cell>
          <cell r="J250">
            <v>3724942.8240395323</v>
          </cell>
          <cell r="K250">
            <v>29872585.090449989</v>
          </cell>
          <cell r="L250" t="str">
            <v>AKTIF</v>
          </cell>
        </row>
        <row r="251">
          <cell r="C251" t="str">
            <v>Fauzi S, ST</v>
          </cell>
          <cell r="D251" t="str">
            <v>TP</v>
          </cell>
          <cell r="E251">
            <v>5000</v>
          </cell>
          <cell r="F251">
            <v>26295000</v>
          </cell>
          <cell r="G251">
            <v>0</v>
          </cell>
          <cell r="H251">
            <v>1191615.5966218824</v>
          </cell>
          <cell r="I251">
            <v>416302.93750434509</v>
          </cell>
          <cell r="J251">
            <v>1607918.5341262275</v>
          </cell>
          <cell r="K251">
            <v>27491615.596621882</v>
          </cell>
          <cell r="L251" t="str">
            <v>AKTIF</v>
          </cell>
        </row>
        <row r="252">
          <cell r="C252" t="str">
            <v>Samsul Muslim</v>
          </cell>
          <cell r="D252" t="str">
            <v>HCTIO</v>
          </cell>
          <cell r="E252">
            <v>5000</v>
          </cell>
          <cell r="F252">
            <v>15145000</v>
          </cell>
          <cell r="G252">
            <v>1050000</v>
          </cell>
          <cell r="H252">
            <v>1300150.2959413345</v>
          </cell>
          <cell r="I252">
            <v>265003.12247429806</v>
          </cell>
          <cell r="J252">
            <v>1565153.4184156326</v>
          </cell>
          <cell r="K252">
            <v>17500150.295941334</v>
          </cell>
          <cell r="L252" t="str">
            <v>AKTIF</v>
          </cell>
        </row>
        <row r="253">
          <cell r="C253" t="str">
            <v>M. Adityo Nugroho</v>
          </cell>
          <cell r="D253" t="str">
            <v>MRKU</v>
          </cell>
          <cell r="E253">
            <v>5000</v>
          </cell>
          <cell r="F253">
            <v>12995000</v>
          </cell>
          <cell r="G253">
            <v>250000</v>
          </cell>
          <cell r="H253">
            <v>1250900.6265344536</v>
          </cell>
          <cell r="I253">
            <v>219585.76810693796</v>
          </cell>
          <cell r="J253">
            <v>1470486.3946413915</v>
          </cell>
          <cell r="K253">
            <v>14500900.626534455</v>
          </cell>
          <cell r="L253" t="str">
            <v>AKTIF</v>
          </cell>
        </row>
        <row r="254">
          <cell r="C254" t="str">
            <v>Dedie Achmad Wahyono</v>
          </cell>
          <cell r="D254" t="str">
            <v>SB</v>
          </cell>
          <cell r="E254">
            <v>5000</v>
          </cell>
          <cell r="F254">
            <v>11745000</v>
          </cell>
          <cell r="G254">
            <v>0</v>
          </cell>
          <cell r="H254">
            <v>1282181.4586389437</v>
          </cell>
          <cell r="I254">
            <v>197345.09251568714</v>
          </cell>
          <cell r="J254">
            <v>1479526.551154631</v>
          </cell>
          <cell r="K254">
            <v>13032181.458638944</v>
          </cell>
          <cell r="L254" t="str">
            <v>AKTIF</v>
          </cell>
        </row>
        <row r="255">
          <cell r="C255" t="str">
            <v>Bonor Samuel Charles</v>
          </cell>
          <cell r="D255" t="str">
            <v>SEKPER</v>
          </cell>
          <cell r="E255">
            <v>5000</v>
          </cell>
          <cell r="F255">
            <v>15095000</v>
          </cell>
          <cell r="G255">
            <v>0</v>
          </cell>
          <cell r="H255">
            <v>949512.70699558069</v>
          </cell>
          <cell r="I255">
            <v>243036.25452469147</v>
          </cell>
          <cell r="J255">
            <v>1192548.9615202721</v>
          </cell>
          <cell r="K255">
            <v>16049512.70699558</v>
          </cell>
          <cell r="L255" t="str">
            <v>AKTIF</v>
          </cell>
        </row>
        <row r="256">
          <cell r="C256" t="str">
            <v>Saepul</v>
          </cell>
          <cell r="D256" t="str">
            <v>SBU ENI</v>
          </cell>
          <cell r="E256">
            <v>0</v>
          </cell>
          <cell r="F256">
            <v>9900000</v>
          </cell>
          <cell r="G256">
            <v>280000</v>
          </cell>
          <cell r="H256">
            <v>821124.72161621368</v>
          </cell>
          <cell r="I256">
            <v>166588.99224617623</v>
          </cell>
          <cell r="J256">
            <v>987713.71386238991</v>
          </cell>
          <cell r="K256">
            <v>11001124.721616214</v>
          </cell>
          <cell r="L256" t="str">
            <v>AKTIF</v>
          </cell>
        </row>
        <row r="257">
          <cell r="C257" t="str">
            <v>Annissa Fadhillah</v>
          </cell>
          <cell r="D257" t="str">
            <v>KOP</v>
          </cell>
          <cell r="E257">
            <v>0</v>
          </cell>
          <cell r="F257">
            <v>10775000</v>
          </cell>
          <cell r="G257">
            <v>20000</v>
          </cell>
          <cell r="H257">
            <v>1162941.1507626283</v>
          </cell>
          <cell r="I257">
            <v>181077.97303037636</v>
          </cell>
          <cell r="J257">
            <v>1344019.1237930045</v>
          </cell>
          <cell r="K257">
            <v>11957941.150762629</v>
          </cell>
          <cell r="L257" t="str">
            <v>AKTIF</v>
          </cell>
        </row>
        <row r="258">
          <cell r="C258" t="str">
            <v>Yudi P</v>
          </cell>
          <cell r="D258" t="str">
            <v>SBU ENI</v>
          </cell>
          <cell r="E258">
            <v>0</v>
          </cell>
          <cell r="F258">
            <v>37100000</v>
          </cell>
          <cell r="G258">
            <v>400000</v>
          </cell>
          <cell r="H258">
            <v>1276388.2674934873</v>
          </cell>
          <cell r="I258">
            <v>587187.18384634145</v>
          </cell>
          <cell r="J258">
            <v>1863575.4513398288</v>
          </cell>
          <cell r="K258">
            <v>38776388.267493486</v>
          </cell>
          <cell r="L258" t="e">
            <v>#N/A</v>
          </cell>
        </row>
        <row r="259">
          <cell r="C259" t="str">
            <v>Efry Tallamma</v>
          </cell>
          <cell r="D259" t="str">
            <v>SBU ENI</v>
          </cell>
          <cell r="E259">
            <v>50000</v>
          </cell>
          <cell r="F259">
            <v>15250000</v>
          </cell>
          <cell r="G259">
            <v>1950000</v>
          </cell>
          <cell r="H259">
            <v>1199789.9813257279</v>
          </cell>
          <cell r="I259">
            <v>279383.42650578625</v>
          </cell>
          <cell r="J259">
            <v>1479173.4078315143</v>
          </cell>
          <cell r="K259">
            <v>18449789.981325727</v>
          </cell>
          <cell r="L259" t="str">
            <v>AKTIF</v>
          </cell>
        </row>
        <row r="260">
          <cell r="C260" t="str">
            <v>Sudarma Edy Saragih</v>
          </cell>
          <cell r="D260" t="str">
            <v>BNC</v>
          </cell>
          <cell r="E260">
            <v>0</v>
          </cell>
          <cell r="F260">
            <v>15975000</v>
          </cell>
          <cell r="G260">
            <v>0</v>
          </cell>
          <cell r="H260">
            <v>1229173.6788679278</v>
          </cell>
          <cell r="I260">
            <v>260521.17652655253</v>
          </cell>
          <cell r="J260">
            <v>1489694.8553944803</v>
          </cell>
          <cell r="K260">
            <v>17204173.678867929</v>
          </cell>
          <cell r="L260" t="str">
            <v>AKTIF</v>
          </cell>
        </row>
        <row r="261">
          <cell r="C261" t="str">
            <v xml:space="preserve">Alwin Ridwan </v>
          </cell>
          <cell r="D261" t="str">
            <v>TJSL</v>
          </cell>
          <cell r="E261">
            <v>200000</v>
          </cell>
          <cell r="F261">
            <v>14350000</v>
          </cell>
          <cell r="G261">
            <v>850000</v>
          </cell>
          <cell r="H261">
            <v>1032467.9099472809</v>
          </cell>
          <cell r="I261">
            <v>248835.30898044183</v>
          </cell>
          <cell r="J261">
            <v>1281303.2189277227</v>
          </cell>
          <cell r="K261">
            <v>16432467.909947282</v>
          </cell>
          <cell r="L261" t="e">
            <v>#N/A</v>
          </cell>
        </row>
        <row r="262">
          <cell r="C262" t="str">
            <v>Fatkhurrohman</v>
          </cell>
          <cell r="D262" t="str">
            <v>SBU ENI</v>
          </cell>
          <cell r="E262">
            <v>200000</v>
          </cell>
          <cell r="F262">
            <v>9900000</v>
          </cell>
          <cell r="G262">
            <v>0</v>
          </cell>
          <cell r="H262">
            <v>994699.21869353682</v>
          </cell>
          <cell r="I262">
            <v>168005.98201427006</v>
          </cell>
          <cell r="J262">
            <v>1162705.200707807</v>
          </cell>
          <cell r="K262">
            <v>11094699.218693538</v>
          </cell>
          <cell r="L262" t="str">
            <v>AKTIF</v>
          </cell>
        </row>
        <row r="263">
          <cell r="C263" t="str">
            <v>Joko Susilo</v>
          </cell>
          <cell r="D263" t="str">
            <v>SBU ENI</v>
          </cell>
          <cell r="E263">
            <v>200000</v>
          </cell>
          <cell r="F263">
            <v>9900000</v>
          </cell>
          <cell r="G263">
            <v>0</v>
          </cell>
          <cell r="H263">
            <v>994699.21869353682</v>
          </cell>
          <cell r="I263">
            <v>168005.98201427006</v>
          </cell>
          <cell r="J263">
            <v>1162705.200707807</v>
          </cell>
          <cell r="K263">
            <v>11094699.218693538</v>
          </cell>
          <cell r="L263" t="str">
            <v>AKTIF</v>
          </cell>
        </row>
        <row r="264">
          <cell r="C264" t="str">
            <v>Joko Utomo</v>
          </cell>
          <cell r="D264" t="str">
            <v>SBU ENI</v>
          </cell>
          <cell r="E264">
            <v>250000</v>
          </cell>
          <cell r="F264">
            <v>2250000</v>
          </cell>
          <cell r="G264">
            <v>500000</v>
          </cell>
          <cell r="H264">
            <v>424633.31742439058</v>
          </cell>
          <cell r="I264">
            <v>51858.898757998402</v>
          </cell>
          <cell r="J264">
            <v>476492.21618238901</v>
          </cell>
          <cell r="K264">
            <v>3424633.3174243905</v>
          </cell>
          <cell r="L264" t="str">
            <v>ANGGOTA</v>
          </cell>
        </row>
        <row r="265">
          <cell r="C265" t="str">
            <v>Michelle Chantal Mustamu</v>
          </cell>
          <cell r="D265" t="str">
            <v>SEKPER</v>
          </cell>
          <cell r="E265">
            <v>200000</v>
          </cell>
          <cell r="F265">
            <v>14150000</v>
          </cell>
          <cell r="G265">
            <v>500000</v>
          </cell>
          <cell r="H265">
            <v>974401.24765762489</v>
          </cell>
          <cell r="I265">
            <v>239627.41296501987</v>
          </cell>
          <cell r="J265">
            <v>1214028.6606226447</v>
          </cell>
          <cell r="K265">
            <v>15824401.247657625</v>
          </cell>
          <cell r="L265" t="str">
            <v>AKTIF</v>
          </cell>
        </row>
        <row r="266">
          <cell r="C266" t="str">
            <v>Agus Setyowinarno</v>
          </cell>
          <cell r="D266" t="str">
            <v>SBU MNO</v>
          </cell>
          <cell r="E266">
            <v>200000</v>
          </cell>
          <cell r="F266">
            <v>9100000</v>
          </cell>
          <cell r="G266">
            <v>150000</v>
          </cell>
          <cell r="H266">
            <v>1033399.5742230164</v>
          </cell>
          <cell r="I266">
            <v>158749.12925514334</v>
          </cell>
          <cell r="J266">
            <v>1192148.7034781598</v>
          </cell>
          <cell r="K266">
            <v>10483399.574223015</v>
          </cell>
          <cell r="L266" t="str">
            <v>AKTIF</v>
          </cell>
        </row>
        <row r="267">
          <cell r="C267" t="str">
            <v>Hery Alwis</v>
          </cell>
          <cell r="D267" t="str">
            <v>SBU MNO</v>
          </cell>
          <cell r="E267">
            <v>200000</v>
          </cell>
          <cell r="F267">
            <v>10100000</v>
          </cell>
          <cell r="G267">
            <v>0</v>
          </cell>
          <cell r="H267">
            <v>1014269.2800620976</v>
          </cell>
          <cell r="I267">
            <v>171330.91070805601</v>
          </cell>
          <cell r="J267">
            <v>1185600.1907701537</v>
          </cell>
          <cell r="K267">
            <v>11314269.280062098</v>
          </cell>
          <cell r="L267" t="str">
            <v>AKTIF</v>
          </cell>
        </row>
        <row r="268">
          <cell r="C268" t="str">
            <v>Ismail</v>
          </cell>
          <cell r="D268" t="str">
            <v>SMC</v>
          </cell>
          <cell r="E268">
            <v>200000</v>
          </cell>
          <cell r="F268">
            <v>15150000</v>
          </cell>
          <cell r="G268">
            <v>0</v>
          </cell>
          <cell r="H268">
            <v>912310.31274104945</v>
          </cell>
          <cell r="I268">
            <v>246258.62856285516</v>
          </cell>
          <cell r="J268">
            <v>1158568.9413039046</v>
          </cell>
          <cell r="K268">
            <v>16262310.312741049</v>
          </cell>
          <cell r="L268" t="str">
            <v>AKTIF</v>
          </cell>
        </row>
        <row r="269">
          <cell r="C269" t="str">
            <v>Fajar Nugraha, S.T</v>
          </cell>
          <cell r="D269" t="str">
            <v>SM</v>
          </cell>
          <cell r="E269">
            <v>200000</v>
          </cell>
          <cell r="F269">
            <v>22200000</v>
          </cell>
          <cell r="G269">
            <v>0</v>
          </cell>
          <cell r="H269">
            <v>1813074.9739614027</v>
          </cell>
          <cell r="I269">
            <v>366656.30661996029</v>
          </cell>
          <cell r="J269">
            <v>2179731.280581363</v>
          </cell>
          <cell r="K269">
            <v>24213074.973961402</v>
          </cell>
          <cell r="L269" t="str">
            <v>AKTIF</v>
          </cell>
        </row>
        <row r="270">
          <cell r="C270" t="str">
            <v>Sutrisno</v>
          </cell>
          <cell r="D270" t="str">
            <v>TP</v>
          </cell>
          <cell r="E270">
            <v>200000</v>
          </cell>
          <cell r="F270">
            <v>14700000</v>
          </cell>
          <cell r="G270">
            <v>0</v>
          </cell>
          <cell r="H270">
            <v>923533.05397838482</v>
          </cell>
          <cell r="I270">
            <v>239614.26599016422</v>
          </cell>
          <cell r="J270">
            <v>1163147.3199685491</v>
          </cell>
          <cell r="K270">
            <v>15823533.053978385</v>
          </cell>
          <cell r="L270" t="str">
            <v>AKTIF</v>
          </cell>
        </row>
        <row r="271">
          <cell r="C271" t="str">
            <v>Purwoko Widhyanto Wirawan</v>
          </cell>
          <cell r="D271" t="str">
            <v>PR</v>
          </cell>
          <cell r="E271">
            <v>200000</v>
          </cell>
          <cell r="F271">
            <v>19700000</v>
          </cell>
          <cell r="G271">
            <v>0</v>
          </cell>
          <cell r="H271">
            <v>1227096.9042075484</v>
          </cell>
          <cell r="I271">
            <v>319925.63228045806</v>
          </cell>
          <cell r="J271">
            <v>1547022.5364880064</v>
          </cell>
          <cell r="K271">
            <v>21127096.90420755</v>
          </cell>
          <cell r="L271" t="str">
            <v>AKTIF</v>
          </cell>
        </row>
        <row r="272">
          <cell r="C272" t="str">
            <v>Fahrul Nur Hidayat</v>
          </cell>
          <cell r="D272" t="str">
            <v>PRB</v>
          </cell>
          <cell r="E272">
            <v>200000</v>
          </cell>
          <cell r="F272">
            <v>22350000</v>
          </cell>
          <cell r="G272">
            <v>0</v>
          </cell>
          <cell r="H272">
            <v>1151567.2926758321</v>
          </cell>
          <cell r="I272">
            <v>358910.59413075377</v>
          </cell>
          <cell r="J272">
            <v>1510477.8868065858</v>
          </cell>
          <cell r="K272">
            <v>23701567.29267583</v>
          </cell>
          <cell r="L272" t="str">
            <v>AKTIF</v>
          </cell>
        </row>
        <row r="273">
          <cell r="C273" t="str">
            <v>Yohanes Ardianto Nugroho</v>
          </cell>
          <cell r="D273" t="str">
            <v>AB</v>
          </cell>
          <cell r="E273">
            <v>200000</v>
          </cell>
          <cell r="F273">
            <v>12850000</v>
          </cell>
          <cell r="G273">
            <v>0</v>
          </cell>
          <cell r="H273">
            <v>662189.44296874595</v>
          </cell>
          <cell r="I273">
            <v>207642.38917357041</v>
          </cell>
          <cell r="J273">
            <v>869831.83214231639</v>
          </cell>
          <cell r="K273">
            <v>13712189.442968747</v>
          </cell>
          <cell r="L273" t="str">
            <v>AKTIF</v>
          </cell>
        </row>
        <row r="274">
          <cell r="C274" t="str">
            <v>Muhammad Aulia</v>
          </cell>
          <cell r="D274" t="str">
            <v>SV</v>
          </cell>
          <cell r="E274">
            <v>200000</v>
          </cell>
          <cell r="F274">
            <v>22350000</v>
          </cell>
          <cell r="G274">
            <v>0</v>
          </cell>
          <cell r="H274">
            <v>1167805.6256163809</v>
          </cell>
          <cell r="I274">
            <v>359156.48967223492</v>
          </cell>
          <cell r="J274">
            <v>1526962.1152886159</v>
          </cell>
          <cell r="K274">
            <v>23717805.625616379</v>
          </cell>
          <cell r="L274" t="str">
            <v>AKTIF</v>
          </cell>
        </row>
        <row r="275">
          <cell r="C275" t="str">
            <v>Alwi</v>
          </cell>
          <cell r="D275" t="str">
            <v>DOK</v>
          </cell>
          <cell r="E275">
            <v>200000</v>
          </cell>
          <cell r="F275">
            <v>22350000</v>
          </cell>
          <cell r="G275">
            <v>250000</v>
          </cell>
          <cell r="H275">
            <v>1179558.2701371962</v>
          </cell>
          <cell r="I275">
            <v>363120.18523718149</v>
          </cell>
          <cell r="J275">
            <v>1542678.4553743778</v>
          </cell>
          <cell r="K275">
            <v>23979558.270137195</v>
          </cell>
          <cell r="L275" t="str">
            <v>AKTIF</v>
          </cell>
        </row>
        <row r="276">
          <cell r="C276" t="str">
            <v>Ryan Hangga Sri Wijiharto</v>
          </cell>
          <cell r="D276" t="str">
            <v>SBU MNO</v>
          </cell>
          <cell r="E276">
            <v>150000</v>
          </cell>
          <cell r="F276">
            <v>9950000</v>
          </cell>
          <cell r="G276">
            <v>0</v>
          </cell>
          <cell r="H276">
            <v>981399.26983006112</v>
          </cell>
          <cell r="I276">
            <v>167804.58214524225</v>
          </cell>
          <cell r="J276">
            <v>1149203.8519753034</v>
          </cell>
          <cell r="K276">
            <v>11081399.269830061</v>
          </cell>
          <cell r="L276" t="str">
            <v>AKTIF</v>
          </cell>
        </row>
        <row r="277">
          <cell r="C277" t="str">
            <v>Mokhammad Yufian Ridhananda</v>
          </cell>
          <cell r="D277" t="str">
            <v>SBU ENI</v>
          </cell>
          <cell r="E277">
            <v>150000</v>
          </cell>
          <cell r="F277">
            <v>9950000</v>
          </cell>
          <cell r="G277">
            <v>150000</v>
          </cell>
          <cell r="H277">
            <v>1004712.9831700833</v>
          </cell>
          <cell r="I277">
            <v>170429.05533124527</v>
          </cell>
          <cell r="J277">
            <v>1175142.0385013286</v>
          </cell>
          <cell r="K277">
            <v>11254712.983170083</v>
          </cell>
          <cell r="L277" t="e">
            <v>#N/A</v>
          </cell>
        </row>
        <row r="278">
          <cell r="C278" t="str">
            <v>Bramanti Pramawedha S P</v>
          </cell>
          <cell r="D278" t="str">
            <v>SBU ENI</v>
          </cell>
          <cell r="E278">
            <v>150000</v>
          </cell>
          <cell r="F278">
            <v>9950000</v>
          </cell>
          <cell r="G278">
            <v>0</v>
          </cell>
          <cell r="H278">
            <v>700085.07972485223</v>
          </cell>
          <cell r="I278">
            <v>163544.66794373404</v>
          </cell>
          <cell r="J278">
            <v>863629.74766858621</v>
          </cell>
          <cell r="K278">
            <v>10800085.079724852</v>
          </cell>
          <cell r="L278" t="str">
            <v>AKTIF</v>
          </cell>
        </row>
        <row r="279">
          <cell r="C279" t="str">
            <v>Elvino Yusca Putra</v>
          </cell>
          <cell r="D279" t="str">
            <v>SBU ENI</v>
          </cell>
          <cell r="E279">
            <v>150000</v>
          </cell>
          <cell r="F279">
            <v>9950000</v>
          </cell>
          <cell r="G279">
            <v>450000</v>
          </cell>
          <cell r="H279">
            <v>999446.04644464387</v>
          </cell>
          <cell r="I279">
            <v>174892.17026130893</v>
          </cell>
          <cell r="J279">
            <v>1174338.2167059528</v>
          </cell>
          <cell r="K279">
            <v>11549446.046444643</v>
          </cell>
          <cell r="L279" t="str">
            <v>AKTIF</v>
          </cell>
        </row>
        <row r="280">
          <cell r="C280" t="str">
            <v>Muh Ali Hasan</v>
          </cell>
          <cell r="D280" t="str">
            <v>PRC</v>
          </cell>
          <cell r="E280">
            <v>200000</v>
          </cell>
          <cell r="F280">
            <v>14250000</v>
          </cell>
          <cell r="G280">
            <v>0</v>
          </cell>
          <cell r="H280">
            <v>1561645.624030825</v>
          </cell>
          <cell r="I280">
            <v>242462.8368651311</v>
          </cell>
          <cell r="J280">
            <v>1804108.460895956</v>
          </cell>
          <cell r="K280">
            <v>16011645.624030825</v>
          </cell>
          <cell r="L280" t="str">
            <v>AKTIF</v>
          </cell>
        </row>
        <row r="281">
          <cell r="C281" t="str">
            <v>M Rizqi Fitra H</v>
          </cell>
          <cell r="D281" t="str">
            <v>RP</v>
          </cell>
          <cell r="E281">
            <v>200000</v>
          </cell>
          <cell r="F281">
            <v>22350000</v>
          </cell>
          <cell r="G281">
            <v>0</v>
          </cell>
          <cell r="H281">
            <v>1167805.6256163809</v>
          </cell>
          <cell r="I281">
            <v>359156.48967223492</v>
          </cell>
          <cell r="J281">
            <v>1526962.1152886159</v>
          </cell>
          <cell r="K281">
            <v>23717805.625616379</v>
          </cell>
          <cell r="L281" t="str">
            <v>AKTIF</v>
          </cell>
        </row>
        <row r="282">
          <cell r="C282" t="str">
            <v>M Teguh Widodo</v>
          </cell>
          <cell r="D282" t="str">
            <v>SBU MNO</v>
          </cell>
          <cell r="E282">
            <v>150000</v>
          </cell>
          <cell r="F282">
            <v>10050000</v>
          </cell>
          <cell r="G282">
            <v>0</v>
          </cell>
          <cell r="H282">
            <v>984609.60736237909</v>
          </cell>
          <cell r="I282">
            <v>169367.48653492818</v>
          </cell>
          <cell r="J282">
            <v>1153977.0938973073</v>
          </cell>
          <cell r="K282">
            <v>11184609.607362378</v>
          </cell>
          <cell r="L282" t="str">
            <v>AKTIF</v>
          </cell>
        </row>
        <row r="283">
          <cell r="C283" t="str">
            <v xml:space="preserve">Haryanti </v>
          </cell>
          <cell r="D283" t="str">
            <v>SBU ENI</v>
          </cell>
          <cell r="E283">
            <v>200000</v>
          </cell>
          <cell r="F283">
            <v>9900000</v>
          </cell>
          <cell r="G283">
            <v>0</v>
          </cell>
          <cell r="H283">
            <v>975662.15455173538</v>
          </cell>
          <cell r="I283">
            <v>167717.70555063928</v>
          </cell>
          <cell r="J283">
            <v>1143379.8601023746</v>
          </cell>
          <cell r="K283">
            <v>11075662.154551735</v>
          </cell>
          <cell r="L283" t="e">
            <v>#N/A</v>
          </cell>
        </row>
        <row r="284">
          <cell r="C284" t="str">
            <v>Satria Adi Sukma Negara, ST</v>
          </cell>
          <cell r="D284" t="str">
            <v>SBU ENI</v>
          </cell>
          <cell r="E284">
            <v>200000</v>
          </cell>
          <cell r="F284">
            <v>9600000</v>
          </cell>
          <cell r="G284">
            <v>750000</v>
          </cell>
          <cell r="H284">
            <v>961088.50696099258</v>
          </cell>
          <cell r="I284">
            <v>174311.32566502242</v>
          </cell>
          <cell r="J284">
            <v>1135399.8326260149</v>
          </cell>
          <cell r="K284">
            <v>11511088.506960992</v>
          </cell>
          <cell r="L284" t="str">
            <v>AKTIF</v>
          </cell>
        </row>
        <row r="285">
          <cell r="C285" t="str">
            <v>Irma Yuniati</v>
          </cell>
          <cell r="D285" t="str">
            <v>SBU ENI</v>
          </cell>
          <cell r="E285">
            <v>200000</v>
          </cell>
          <cell r="F285">
            <v>9800000</v>
          </cell>
          <cell r="G285">
            <v>150000</v>
          </cell>
          <cell r="H285">
            <v>967539.18411382718</v>
          </cell>
          <cell r="I285">
            <v>168351.84545265351</v>
          </cell>
          <cell r="J285">
            <v>1135891.0295664808</v>
          </cell>
          <cell r="K285">
            <v>11117539.184113827</v>
          </cell>
          <cell r="L285" t="str">
            <v>AKTIF</v>
          </cell>
        </row>
        <row r="286">
          <cell r="C286" t="str">
            <v>Bayu Rista, S.T.</v>
          </cell>
          <cell r="D286" t="str">
            <v>SB</v>
          </cell>
          <cell r="E286">
            <v>0</v>
          </cell>
          <cell r="F286">
            <v>8550000</v>
          </cell>
          <cell r="G286">
            <v>0</v>
          </cell>
          <cell r="H286">
            <v>618493.17351665755</v>
          </cell>
          <cell r="I286">
            <v>138837.62586483022</v>
          </cell>
          <cell r="J286">
            <v>757330.79938148777</v>
          </cell>
          <cell r="K286">
            <v>9168493.1735166572</v>
          </cell>
          <cell r="L286" t="str">
            <v>AKTIF</v>
          </cell>
        </row>
        <row r="287">
          <cell r="C287" t="str">
            <v xml:space="preserve">Daniel Mahardhika </v>
          </cell>
          <cell r="D287" t="str">
            <v>SBU ENI</v>
          </cell>
          <cell r="E287">
            <v>200000</v>
          </cell>
          <cell r="F287">
            <v>22100000</v>
          </cell>
          <cell r="G287">
            <v>0</v>
          </cell>
          <cell r="H287">
            <v>1133150.1159610113</v>
          </cell>
          <cell r="I287">
            <v>354845.97818447475</v>
          </cell>
          <cell r="J287">
            <v>1487996.0941454861</v>
          </cell>
          <cell r="K287">
            <v>23433150.115961011</v>
          </cell>
          <cell r="L287" t="e">
            <v>#N/A</v>
          </cell>
        </row>
        <row r="288">
          <cell r="C288" t="str">
            <v>Deny Cahyo Nugroho, S.T.</v>
          </cell>
          <cell r="D288" t="str">
            <v>PRB</v>
          </cell>
          <cell r="E288">
            <v>0</v>
          </cell>
          <cell r="F288">
            <v>22350000</v>
          </cell>
          <cell r="G288">
            <v>0</v>
          </cell>
          <cell r="H288">
            <v>1123182.6945219534</v>
          </cell>
          <cell r="I288">
            <v>355452.18773924682</v>
          </cell>
          <cell r="J288">
            <v>1478634.8822612001</v>
          </cell>
          <cell r="K288">
            <v>23473182.694521952</v>
          </cell>
          <cell r="L288" t="str">
            <v>AKTIF</v>
          </cell>
        </row>
        <row r="289">
          <cell r="C289" t="str">
            <v>Jiadan, S.T.</v>
          </cell>
          <cell r="D289" t="str">
            <v>BM</v>
          </cell>
          <cell r="E289">
            <v>0</v>
          </cell>
          <cell r="F289">
            <v>22450000</v>
          </cell>
          <cell r="G289">
            <v>0</v>
          </cell>
          <cell r="H289">
            <v>1132948.1852949846</v>
          </cell>
          <cell r="I289">
            <v>357114.35619510995</v>
          </cell>
          <cell r="J289">
            <v>1490062.5414900945</v>
          </cell>
          <cell r="K289">
            <v>23582948.185294986</v>
          </cell>
          <cell r="L289" t="str">
            <v>AKTIF</v>
          </cell>
        </row>
        <row r="290">
          <cell r="C290" t="str">
            <v>Muhammad Aris Sultan</v>
          </cell>
          <cell r="D290" t="str">
            <v>SBU ENI</v>
          </cell>
          <cell r="E290">
            <v>0</v>
          </cell>
          <cell r="F290">
            <v>22100000</v>
          </cell>
          <cell r="G290">
            <v>250000</v>
          </cell>
          <cell r="H290">
            <v>1137647.0388451777</v>
          </cell>
          <cell r="I290">
            <v>355671.21993870666</v>
          </cell>
          <cell r="J290">
            <v>1493318.2587838843</v>
          </cell>
          <cell r="K290">
            <v>23487647.038845178</v>
          </cell>
          <cell r="L290" t="str">
            <v>AKTIF</v>
          </cell>
        </row>
        <row r="291">
          <cell r="C291" t="str">
            <v>Muhamad Ardiansyah</v>
          </cell>
          <cell r="D291" t="str">
            <v>SBU ENI</v>
          </cell>
          <cell r="E291">
            <v>200000</v>
          </cell>
          <cell r="F291">
            <v>9800000</v>
          </cell>
          <cell r="G291">
            <v>1870000</v>
          </cell>
          <cell r="H291">
            <v>1084033.5387792753</v>
          </cell>
          <cell r="I291">
            <v>196161.70594885942</v>
          </cell>
          <cell r="J291">
            <v>1280195.2447281347</v>
          </cell>
          <cell r="K291">
            <v>12954033.538779275</v>
          </cell>
          <cell r="L291" t="str">
            <v>AKTIF</v>
          </cell>
        </row>
        <row r="292">
          <cell r="C292" t="str">
            <v>Murdiyanta</v>
          </cell>
          <cell r="D292" t="str">
            <v>SBU ENI</v>
          </cell>
          <cell r="E292">
            <v>200000</v>
          </cell>
          <cell r="F292">
            <v>9700000</v>
          </cell>
          <cell r="G292">
            <v>550000</v>
          </cell>
          <cell r="H292">
            <v>971019.91355306306</v>
          </cell>
          <cell r="I292">
            <v>172947.42546494788</v>
          </cell>
          <cell r="J292">
            <v>1143967.339018011</v>
          </cell>
          <cell r="K292">
            <v>11421019.913553063</v>
          </cell>
          <cell r="L292" t="str">
            <v>AKTIF</v>
          </cell>
        </row>
        <row r="293">
          <cell r="C293" t="str">
            <v>Syarifuddin Yamin, S.T.</v>
          </cell>
          <cell r="D293" t="str">
            <v>TP</v>
          </cell>
          <cell r="E293">
            <v>0</v>
          </cell>
          <cell r="F293">
            <v>22350000</v>
          </cell>
          <cell r="G293">
            <v>0</v>
          </cell>
          <cell r="H293">
            <v>1123182.6945219534</v>
          </cell>
          <cell r="I293">
            <v>355452.18773924682</v>
          </cell>
          <cell r="J293">
            <v>1478634.8822612001</v>
          </cell>
          <cell r="K293">
            <v>23473182.694521952</v>
          </cell>
          <cell r="L293" t="str">
            <v>AKTIF</v>
          </cell>
        </row>
        <row r="294">
          <cell r="C294" t="str">
            <v>Choirun Cahyoabdi, S.T.</v>
          </cell>
          <cell r="D294" t="str">
            <v>CN</v>
          </cell>
          <cell r="E294">
            <v>0</v>
          </cell>
          <cell r="F294">
            <v>14250000</v>
          </cell>
          <cell r="G294">
            <v>0</v>
          </cell>
          <cell r="H294">
            <v>1722407.3289155329</v>
          </cell>
          <cell r="I294">
            <v>241868.65506953062</v>
          </cell>
          <cell r="J294">
            <v>1964275.9839850636</v>
          </cell>
          <cell r="K294">
            <v>15972407.328915533</v>
          </cell>
          <cell r="L294" t="str">
            <v>AKTIF</v>
          </cell>
        </row>
        <row r="295">
          <cell r="C295" t="str">
            <v>Muhammad Asrul La Saripi, S.T.</v>
          </cell>
          <cell r="D295" t="str">
            <v>BM</v>
          </cell>
          <cell r="E295">
            <v>0</v>
          </cell>
          <cell r="F295">
            <v>14400000</v>
          </cell>
          <cell r="G295">
            <v>0</v>
          </cell>
          <cell r="H295">
            <v>1141281.7890623298</v>
          </cell>
          <cell r="I295">
            <v>235340.16175333248</v>
          </cell>
          <cell r="J295">
            <v>1376621.9508156623</v>
          </cell>
          <cell r="K295">
            <v>15541281.78906233</v>
          </cell>
          <cell r="L295" t="str">
            <v>AKTIF</v>
          </cell>
        </row>
        <row r="296">
          <cell r="C296" t="str">
            <v>Oki Dwi Anggoro</v>
          </cell>
          <cell r="D296" t="str">
            <v>BNC</v>
          </cell>
          <cell r="E296">
            <v>0</v>
          </cell>
          <cell r="F296">
            <v>14250000</v>
          </cell>
          <cell r="G296">
            <v>0</v>
          </cell>
          <cell r="H296">
            <v>852062.69690184854</v>
          </cell>
          <cell r="I296">
            <v>228689.1085392439</v>
          </cell>
          <cell r="J296">
            <v>1080751.8054410925</v>
          </cell>
          <cell r="K296">
            <v>15102062.696901849</v>
          </cell>
          <cell r="L296" t="str">
            <v>AKTIF</v>
          </cell>
        </row>
        <row r="297">
          <cell r="C297" t="str">
            <v>Abdillah</v>
          </cell>
          <cell r="D297" t="str">
            <v>PRC</v>
          </cell>
          <cell r="E297">
            <v>0</v>
          </cell>
          <cell r="F297">
            <v>13500000</v>
          </cell>
          <cell r="G297">
            <v>0</v>
          </cell>
          <cell r="H297">
            <v>1188807.3858094465</v>
          </cell>
          <cell r="I297">
            <v>222431.22240874748</v>
          </cell>
          <cell r="J297">
            <v>1411238.608218194</v>
          </cell>
          <cell r="K297">
            <v>14688807.385809446</v>
          </cell>
          <cell r="L297" t="str">
            <v>AKTIF</v>
          </cell>
        </row>
        <row r="298">
          <cell r="C298" t="str">
            <v>Kamaruddin</v>
          </cell>
          <cell r="D298" t="str">
            <v>PRC</v>
          </cell>
          <cell r="E298">
            <v>0</v>
          </cell>
          <cell r="F298">
            <v>13500000</v>
          </cell>
          <cell r="G298">
            <v>0</v>
          </cell>
          <cell r="H298">
            <v>1188808.3992154805</v>
          </cell>
          <cell r="I298">
            <v>222431.23775465929</v>
          </cell>
          <cell r="J298">
            <v>1411239.6369701398</v>
          </cell>
          <cell r="K298">
            <v>14688808.39921548</v>
          </cell>
          <cell r="L298" t="str">
            <v>AKTIF</v>
          </cell>
        </row>
        <row r="299">
          <cell r="C299" t="str">
            <v>Bari</v>
          </cell>
          <cell r="D299" t="str">
            <v>PRC</v>
          </cell>
          <cell r="E299">
            <v>0</v>
          </cell>
          <cell r="F299">
            <v>13500000</v>
          </cell>
          <cell r="G299">
            <v>0</v>
          </cell>
          <cell r="H299">
            <v>1188808.3992154805</v>
          </cell>
          <cell r="I299">
            <v>222431.23775465929</v>
          </cell>
          <cell r="J299">
            <v>1411239.6369701398</v>
          </cell>
          <cell r="K299">
            <v>14688808.39921548</v>
          </cell>
          <cell r="L299" t="str">
            <v>AKTIF</v>
          </cell>
        </row>
        <row r="300">
          <cell r="C300" t="str">
            <v>Adi Ismanto</v>
          </cell>
          <cell r="D300" t="str">
            <v>PRC</v>
          </cell>
          <cell r="E300">
            <v>0</v>
          </cell>
          <cell r="F300">
            <v>13500000</v>
          </cell>
          <cell r="G300">
            <v>0</v>
          </cell>
          <cell r="H300">
            <v>1188808.3992154805</v>
          </cell>
          <cell r="I300">
            <v>222431.23775465929</v>
          </cell>
          <cell r="J300">
            <v>1411239.6369701398</v>
          </cell>
          <cell r="K300">
            <v>14688808.39921548</v>
          </cell>
          <cell r="L300" t="str">
            <v>AKTIF</v>
          </cell>
        </row>
        <row r="301">
          <cell r="C301" t="str">
            <v>Rahmat S</v>
          </cell>
          <cell r="D301" t="str">
            <v>PRC</v>
          </cell>
          <cell r="E301">
            <v>0</v>
          </cell>
          <cell r="F301">
            <v>13500000</v>
          </cell>
          <cell r="G301">
            <v>0</v>
          </cell>
          <cell r="H301">
            <v>351200.95015490626</v>
          </cell>
          <cell r="I301">
            <v>209747.42729274213</v>
          </cell>
          <cell r="J301">
            <v>560948.37744764844</v>
          </cell>
          <cell r="K301">
            <v>13851200.950154906</v>
          </cell>
          <cell r="L301" t="str">
            <v>AKTIF</v>
          </cell>
        </row>
        <row r="302">
          <cell r="C302" t="str">
            <v>M. Hatta Baco B</v>
          </cell>
          <cell r="D302" t="str">
            <v>PRC</v>
          </cell>
          <cell r="E302">
            <v>0</v>
          </cell>
          <cell r="F302">
            <v>13500000</v>
          </cell>
          <cell r="G302">
            <v>0</v>
          </cell>
          <cell r="H302">
            <v>1188808.3992154805</v>
          </cell>
          <cell r="I302">
            <v>222431.23775465929</v>
          </cell>
          <cell r="J302">
            <v>1411239.6369701398</v>
          </cell>
          <cell r="K302">
            <v>14688808.39921548</v>
          </cell>
          <cell r="L302" t="str">
            <v>AKTIF</v>
          </cell>
        </row>
        <row r="303">
          <cell r="C303" t="str">
            <v>Ekondro</v>
          </cell>
          <cell r="D303" t="str">
            <v>PRC</v>
          </cell>
          <cell r="E303">
            <v>0</v>
          </cell>
          <cell r="F303">
            <v>13500000</v>
          </cell>
          <cell r="G303">
            <v>0</v>
          </cell>
          <cell r="H303">
            <v>1188808.3992154805</v>
          </cell>
          <cell r="I303">
            <v>222431.23775465929</v>
          </cell>
          <cell r="J303">
            <v>1411239.6369701398</v>
          </cell>
          <cell r="K303">
            <v>14688808.39921548</v>
          </cell>
          <cell r="L303" t="str">
            <v>AKTIF</v>
          </cell>
        </row>
        <row r="304">
          <cell r="C304" t="str">
            <v>RONY WIRANTO</v>
          </cell>
          <cell r="D304" t="str">
            <v>TP</v>
          </cell>
          <cell r="E304">
            <v>0</v>
          </cell>
          <cell r="F304">
            <v>10700000</v>
          </cell>
          <cell r="G304">
            <v>185000</v>
          </cell>
          <cell r="H304">
            <v>628946.29735113634</v>
          </cell>
          <cell r="I304">
            <v>174354.60091488936</v>
          </cell>
          <cell r="J304">
            <v>803300.8982660257</v>
          </cell>
          <cell r="K304">
            <v>11513946.297351137</v>
          </cell>
          <cell r="L304" t="e">
            <v>#N/A</v>
          </cell>
        </row>
        <row r="305">
          <cell r="C305" t="str">
            <v>Marisa Theresia</v>
          </cell>
          <cell r="D305" t="str">
            <v>PUMA</v>
          </cell>
          <cell r="E305">
            <v>200000</v>
          </cell>
          <cell r="F305">
            <v>18500000</v>
          </cell>
          <cell r="G305">
            <v>350000</v>
          </cell>
          <cell r="H305">
            <v>1264127.8556281885</v>
          </cell>
          <cell r="I305">
            <v>307614.91878913139</v>
          </cell>
          <cell r="J305">
            <v>1571742.7744173198</v>
          </cell>
          <cell r="K305">
            <v>20314127.855628189</v>
          </cell>
          <cell r="L305" t="str">
            <v>AKTIF</v>
          </cell>
        </row>
        <row r="306">
          <cell r="C306" t="str">
            <v>Ahmad Gufran M</v>
          </cell>
          <cell r="D306" t="str">
            <v>SBU MNO</v>
          </cell>
          <cell r="E306">
            <v>200000</v>
          </cell>
          <cell r="F306">
            <v>9050000</v>
          </cell>
          <cell r="G306">
            <v>250000</v>
          </cell>
          <cell r="H306">
            <v>752771.42601862375</v>
          </cell>
          <cell r="I306">
            <v>155256.7489971976</v>
          </cell>
          <cell r="J306">
            <v>908028.17501582135</v>
          </cell>
          <cell r="K306">
            <v>10252771.426018624</v>
          </cell>
          <cell r="L306" t="str">
            <v>AKTIF</v>
          </cell>
        </row>
        <row r="307">
          <cell r="C307" t="str">
            <v>Said Taufik</v>
          </cell>
          <cell r="D307" t="str">
            <v>PRC</v>
          </cell>
          <cell r="E307">
            <v>0</v>
          </cell>
          <cell r="F307">
            <v>22400000</v>
          </cell>
          <cell r="G307">
            <v>0</v>
          </cell>
          <cell r="H307">
            <v>1764603.6937459745</v>
          </cell>
          <cell r="I307">
            <v>365922.31060334359</v>
          </cell>
          <cell r="J307">
            <v>2130526.0043493179</v>
          </cell>
          <cell r="K307">
            <v>24164603.693745974</v>
          </cell>
          <cell r="L307" t="str">
            <v>AKTIF</v>
          </cell>
        </row>
        <row r="308">
          <cell r="C308" t="str">
            <v>Nur Cahyo Febrianto Putro</v>
          </cell>
          <cell r="D308" t="str">
            <v>SBU ENI</v>
          </cell>
          <cell r="E308">
            <v>200000</v>
          </cell>
          <cell r="F308">
            <v>8800000</v>
          </cell>
          <cell r="G308">
            <v>670000</v>
          </cell>
          <cell r="H308">
            <v>770674.79174029082</v>
          </cell>
          <cell r="I308">
            <v>158102.15191074973</v>
          </cell>
          <cell r="J308">
            <v>928776.94365104055</v>
          </cell>
          <cell r="K308">
            <v>10440674.791740291</v>
          </cell>
          <cell r="L308" t="str">
            <v>AKTIF</v>
          </cell>
        </row>
        <row r="309">
          <cell r="C309" t="str">
            <v>A. Rasyid Alimuddin</v>
          </cell>
          <cell r="D309" t="str">
            <v>PBC</v>
          </cell>
          <cell r="E309">
            <v>0</v>
          </cell>
          <cell r="F309">
            <v>21200000</v>
          </cell>
          <cell r="G309">
            <v>0</v>
          </cell>
          <cell r="H309">
            <v>1305390.657092338</v>
          </cell>
          <cell r="I309">
            <v>340797.00435581658</v>
          </cell>
          <cell r="J309">
            <v>1646187.6614481546</v>
          </cell>
          <cell r="K309">
            <v>22505390.657092337</v>
          </cell>
          <cell r="L309" t="str">
            <v>AKTIF</v>
          </cell>
        </row>
        <row r="310">
          <cell r="C310" t="str">
            <v>tunjung widyatmo h</v>
          </cell>
          <cell r="D310" t="str">
            <v>PSMMO</v>
          </cell>
          <cell r="E310">
            <v>0</v>
          </cell>
          <cell r="F310">
            <v>8100000</v>
          </cell>
          <cell r="G310">
            <v>100000</v>
          </cell>
          <cell r="H310">
            <v>586660.41947753832</v>
          </cell>
          <cell r="I310">
            <v>133055.56854691138</v>
          </cell>
          <cell r="J310">
            <v>719715.98802444967</v>
          </cell>
          <cell r="K310">
            <v>8786660.4194775391</v>
          </cell>
          <cell r="L310" t="e">
            <v>#N/A</v>
          </cell>
        </row>
        <row r="311">
          <cell r="C311" t="str">
            <v>Hediar Hapri Bangabua</v>
          </cell>
          <cell r="D311" t="str">
            <v>SBU MNO</v>
          </cell>
          <cell r="E311">
            <v>200000</v>
          </cell>
          <cell r="F311">
            <v>11850000</v>
          </cell>
          <cell r="G311">
            <v>800000</v>
          </cell>
          <cell r="H311">
            <v>1010371.2479977988</v>
          </cell>
          <cell r="I311">
            <v>209886.29224654479</v>
          </cell>
          <cell r="J311">
            <v>1220257.5402443437</v>
          </cell>
          <cell r="K311">
            <v>13860371.247997798</v>
          </cell>
          <cell r="L311" t="str">
            <v>AKTIF</v>
          </cell>
        </row>
        <row r="312">
          <cell r="C312" t="str">
            <v>R. Ade Wardoyo Winoto Putro</v>
          </cell>
          <cell r="D312" t="str">
            <v>SBU MNO</v>
          </cell>
          <cell r="E312">
            <v>200000</v>
          </cell>
          <cell r="F312">
            <v>11700000</v>
          </cell>
          <cell r="G312">
            <v>500000</v>
          </cell>
          <cell r="H312">
            <v>903027.27071082522</v>
          </cell>
          <cell r="I312">
            <v>201446.48505771474</v>
          </cell>
          <cell r="J312">
            <v>1104473.7557685398</v>
          </cell>
          <cell r="K312">
            <v>13303027.270710826</v>
          </cell>
          <cell r="L312" t="e">
            <v>#N/A</v>
          </cell>
        </row>
        <row r="313">
          <cell r="C313" t="str">
            <v>Willem Gerrit Pieter, S.E</v>
          </cell>
          <cell r="D313" t="str">
            <v>SEKPER</v>
          </cell>
          <cell r="E313">
            <v>200000</v>
          </cell>
          <cell r="F313">
            <v>11400000</v>
          </cell>
          <cell r="G313">
            <v>250000</v>
          </cell>
          <cell r="H313">
            <v>820379.50059315318</v>
          </cell>
          <cell r="I313">
            <v>191866.35964893654</v>
          </cell>
          <cell r="J313">
            <v>1012245.8602420897</v>
          </cell>
          <cell r="K313">
            <v>12670379.500593154</v>
          </cell>
          <cell r="L313" t="str">
            <v>AKTIF</v>
          </cell>
        </row>
        <row r="314">
          <cell r="C314" t="str">
            <v>Zulfaeni</v>
          </cell>
          <cell r="D314" t="str">
            <v>PRC</v>
          </cell>
          <cell r="E314">
            <v>0</v>
          </cell>
          <cell r="F314">
            <v>10800000</v>
          </cell>
          <cell r="G314">
            <v>0</v>
          </cell>
          <cell r="H314">
            <v>674402.63802341651</v>
          </cell>
          <cell r="I314">
            <v>173755.79501787166</v>
          </cell>
          <cell r="J314">
            <v>848158.43304128817</v>
          </cell>
          <cell r="K314">
            <v>11474402.638023417</v>
          </cell>
          <cell r="L314" t="str">
            <v>AKTIF</v>
          </cell>
        </row>
        <row r="315">
          <cell r="C315" t="str">
            <v>Rozi Delfemi Irawati</v>
          </cell>
          <cell r="D315" t="str">
            <v>PRC</v>
          </cell>
          <cell r="E315">
            <v>0</v>
          </cell>
          <cell r="F315">
            <v>10800000</v>
          </cell>
          <cell r="G315">
            <v>0</v>
          </cell>
          <cell r="H315">
            <v>674402.63802341651</v>
          </cell>
          <cell r="I315">
            <v>173755.79501787166</v>
          </cell>
          <cell r="J315">
            <v>848158.43304128817</v>
          </cell>
          <cell r="K315">
            <v>11474402.638023417</v>
          </cell>
          <cell r="L315" t="str">
            <v>AKTIF</v>
          </cell>
        </row>
        <row r="316">
          <cell r="C316" t="str">
            <v>Tantry Octaviani</v>
          </cell>
          <cell r="D316" t="str">
            <v>SBU ENI</v>
          </cell>
          <cell r="E316">
            <v>200000</v>
          </cell>
          <cell r="F316">
            <v>7100000</v>
          </cell>
          <cell r="G316">
            <v>600000</v>
          </cell>
          <cell r="H316">
            <v>515978.07407675765</v>
          </cell>
          <cell r="I316">
            <v>127442.36081348489</v>
          </cell>
          <cell r="J316">
            <v>643420.43489024253</v>
          </cell>
          <cell r="K316">
            <v>8415978.0740767568</v>
          </cell>
          <cell r="L316" t="str">
            <v>AKTIF</v>
          </cell>
        </row>
        <row r="317">
          <cell r="C317" t="str">
            <v>Adnan</v>
          </cell>
          <cell r="D317" t="str">
            <v>BPC</v>
          </cell>
          <cell r="E317">
            <v>0</v>
          </cell>
          <cell r="F317">
            <v>11100000</v>
          </cell>
          <cell r="G317">
            <v>0</v>
          </cell>
          <cell r="H317">
            <v>679337.87594562629</v>
          </cell>
          <cell r="I317">
            <v>178373.40051469815</v>
          </cell>
          <cell r="J317">
            <v>857711.27646032441</v>
          </cell>
          <cell r="K317">
            <v>11779337.875945626</v>
          </cell>
          <cell r="L317" t="str">
            <v>AKTIF</v>
          </cell>
        </row>
        <row r="318">
          <cell r="C318" t="str">
            <v>Sudaryono</v>
          </cell>
          <cell r="D318" t="str">
            <v>BPC</v>
          </cell>
          <cell r="E318">
            <v>0</v>
          </cell>
          <cell r="F318">
            <v>11100000</v>
          </cell>
          <cell r="G318">
            <v>0</v>
          </cell>
          <cell r="H318">
            <v>679337.87594562629</v>
          </cell>
          <cell r="I318">
            <v>178373.40051469815</v>
          </cell>
          <cell r="J318">
            <v>857711.27646032441</v>
          </cell>
          <cell r="K318">
            <v>11779337.875945626</v>
          </cell>
          <cell r="L318" t="str">
            <v>AKTIF</v>
          </cell>
        </row>
        <row r="319">
          <cell r="C319" t="str">
            <v>Zul Fajrin Azdin</v>
          </cell>
          <cell r="D319" t="str">
            <v>BT</v>
          </cell>
          <cell r="E319">
            <v>0</v>
          </cell>
          <cell r="F319">
            <v>11100000</v>
          </cell>
          <cell r="G319">
            <v>0</v>
          </cell>
          <cell r="H319">
            <v>667101.34697191813</v>
          </cell>
          <cell r="I319">
            <v>178188.10391258655</v>
          </cell>
          <cell r="J319">
            <v>845289.45088450471</v>
          </cell>
          <cell r="K319">
            <v>11767101.346971918</v>
          </cell>
          <cell r="L319" t="str">
            <v>AKTIF</v>
          </cell>
        </row>
        <row r="320">
          <cell r="C320" t="str">
            <v>Dimas Putra Prasetyo</v>
          </cell>
          <cell r="D320" t="str">
            <v>SBU ENI</v>
          </cell>
          <cell r="E320">
            <v>200000</v>
          </cell>
          <cell r="F320">
            <v>7100000</v>
          </cell>
          <cell r="G320">
            <v>1250000</v>
          </cell>
          <cell r="H320">
            <v>486745.70500473562</v>
          </cell>
          <cell r="I320">
            <v>136842.58639697827</v>
          </cell>
          <cell r="J320">
            <v>623588.29140171385</v>
          </cell>
          <cell r="K320">
            <v>9036745.7050047349</v>
          </cell>
          <cell r="L320" t="str">
            <v>AKTIF</v>
          </cell>
        </row>
        <row r="321">
          <cell r="C321" t="str">
            <v>Lulu Ufikal Azmi</v>
          </cell>
          <cell r="D321" t="str">
            <v>SEKPER</v>
          </cell>
          <cell r="E321">
            <v>0</v>
          </cell>
          <cell r="F321">
            <v>4900000</v>
          </cell>
          <cell r="G321">
            <v>0</v>
          </cell>
          <cell r="H321">
            <v>316375.81720975612</v>
          </cell>
          <cell r="I321">
            <v>78991.086144020272</v>
          </cell>
          <cell r="J321">
            <v>395366.90335377638</v>
          </cell>
          <cell r="K321">
            <v>5216375.817209756</v>
          </cell>
          <cell r="L321" t="str">
            <v>AKTIF</v>
          </cell>
        </row>
        <row r="322">
          <cell r="C322" t="str">
            <v>Rian Eka Saputra</v>
          </cell>
          <cell r="D322" t="str">
            <v>PU</v>
          </cell>
          <cell r="E322">
            <v>0</v>
          </cell>
          <cell r="F322">
            <v>6600000</v>
          </cell>
          <cell r="G322">
            <v>0</v>
          </cell>
          <cell r="H322">
            <v>323078.83420773339</v>
          </cell>
          <cell r="I322">
            <v>104835.5286769317</v>
          </cell>
          <cell r="J322">
            <v>427914.36288466508</v>
          </cell>
          <cell r="K322">
            <v>6923078.8342077332</v>
          </cell>
          <cell r="L322" t="str">
            <v>AKTIF</v>
          </cell>
        </row>
        <row r="323">
          <cell r="C323" t="str">
            <v>Megawati Rosalio Putri</v>
          </cell>
          <cell r="D323" t="str">
            <v>PKO</v>
          </cell>
          <cell r="E323">
            <v>0</v>
          </cell>
          <cell r="F323">
            <v>9300000</v>
          </cell>
          <cell r="G323">
            <v>750000</v>
          </cell>
          <cell r="H323">
            <v>404293.96977295791</v>
          </cell>
          <cell r="I323">
            <v>158308.38583692504</v>
          </cell>
          <cell r="J323">
            <v>562602.35560988297</v>
          </cell>
          <cell r="K323">
            <v>10454293.969772957</v>
          </cell>
          <cell r="L323" t="str">
            <v>AKTIF</v>
          </cell>
        </row>
        <row r="324">
          <cell r="C324" t="str">
            <v>Sudarman /  Budi</v>
          </cell>
          <cell r="D324" t="str">
            <v>KOP</v>
          </cell>
          <cell r="E324">
            <v>0</v>
          </cell>
          <cell r="F324">
            <v>6000000</v>
          </cell>
          <cell r="G324">
            <v>500000</v>
          </cell>
          <cell r="H324">
            <v>237229.42101056251</v>
          </cell>
          <cell r="I324">
            <v>102021.22857239554</v>
          </cell>
          <cell r="J324">
            <v>339250.64958295808</v>
          </cell>
          <cell r="K324">
            <v>6737229.4210105622</v>
          </cell>
          <cell r="L324" t="str">
            <v>AKTIF</v>
          </cell>
        </row>
        <row r="325">
          <cell r="C325" t="str">
            <v>Shaidatun Rohmah</v>
          </cell>
          <cell r="D325" t="str">
            <v>KOP</v>
          </cell>
          <cell r="E325">
            <v>0</v>
          </cell>
          <cell r="F325">
            <v>6000000</v>
          </cell>
          <cell r="G325">
            <v>0</v>
          </cell>
          <cell r="H325">
            <v>218980.53628388816</v>
          </cell>
          <cell r="I325">
            <v>94173.434676405814</v>
          </cell>
          <cell r="J325">
            <v>313153.97096029395</v>
          </cell>
          <cell r="K325">
            <v>6218980.5362838879</v>
          </cell>
          <cell r="L325" t="str">
            <v>AKTIF</v>
          </cell>
        </row>
        <row r="326">
          <cell r="C326" t="str">
            <v>Dicky Aldoko</v>
          </cell>
          <cell r="D326" t="str">
            <v>TI</v>
          </cell>
          <cell r="E326">
            <v>0</v>
          </cell>
          <cell r="F326">
            <v>9300000</v>
          </cell>
          <cell r="G326">
            <v>0</v>
          </cell>
          <cell r="H326">
            <v>375098.2311058765</v>
          </cell>
          <cell r="I326">
            <v>146509.09838661482</v>
          </cell>
          <cell r="J326">
            <v>521607.32949249132</v>
          </cell>
          <cell r="K326">
            <v>9675098.2311058771</v>
          </cell>
          <cell r="L326" t="str">
            <v>AKTIF</v>
          </cell>
        </row>
        <row r="327">
          <cell r="C327" t="str">
            <v>Annisyah Fazrin</v>
          </cell>
          <cell r="D327" t="str">
            <v>PUMA</v>
          </cell>
          <cell r="E327">
            <v>0</v>
          </cell>
          <cell r="F327">
            <v>9300000</v>
          </cell>
          <cell r="G327">
            <v>0</v>
          </cell>
          <cell r="H327">
            <v>375098.2311058765</v>
          </cell>
          <cell r="I327">
            <v>146509.09838661482</v>
          </cell>
          <cell r="J327">
            <v>521607.32949249132</v>
          </cell>
          <cell r="K327">
            <v>9675098.2311058771</v>
          </cell>
          <cell r="L327" t="str">
            <v>AKTIF</v>
          </cell>
        </row>
        <row r="328">
          <cell r="C328" t="str">
            <v>Riana Patricia</v>
          </cell>
          <cell r="D328" t="str">
            <v>AKP</v>
          </cell>
          <cell r="E328">
            <v>0</v>
          </cell>
          <cell r="F328">
            <v>9300000</v>
          </cell>
          <cell r="G328">
            <v>750000</v>
          </cell>
          <cell r="H328">
            <v>386475.07673264307</v>
          </cell>
          <cell r="I328">
            <v>158038.55602318831</v>
          </cell>
          <cell r="J328">
            <v>544513.63275583135</v>
          </cell>
          <cell r="K328">
            <v>10436475.076732643</v>
          </cell>
          <cell r="L328" t="str">
            <v>AKTIF</v>
          </cell>
        </row>
        <row r="329">
          <cell r="C329" t="str">
            <v>Salma Fadhilah Widityani</v>
          </cell>
          <cell r="D329" t="str">
            <v>SEKPER</v>
          </cell>
          <cell r="E329">
            <v>0</v>
          </cell>
          <cell r="F329">
            <v>9300000</v>
          </cell>
          <cell r="G329">
            <v>0</v>
          </cell>
          <cell r="H329">
            <v>375098.2311058765</v>
          </cell>
          <cell r="I329">
            <v>146509.09838661482</v>
          </cell>
          <cell r="J329">
            <v>521607.32949249132</v>
          </cell>
          <cell r="K329">
            <v>9675098.2311058771</v>
          </cell>
          <cell r="L329" t="str">
            <v>AKTIF</v>
          </cell>
        </row>
        <row r="330">
          <cell r="C330" t="str">
            <v>Adesta Munas Latief</v>
          </cell>
          <cell r="D330" t="str">
            <v>AKP</v>
          </cell>
          <cell r="E330">
            <v>0</v>
          </cell>
          <cell r="F330">
            <v>9300000</v>
          </cell>
          <cell r="G330">
            <v>0</v>
          </cell>
          <cell r="H330">
            <v>375098.2311058765</v>
          </cell>
          <cell r="I330">
            <v>146509.09838661482</v>
          </cell>
          <cell r="J330">
            <v>521607.32949249132</v>
          </cell>
          <cell r="K330">
            <v>9675098.2311058771</v>
          </cell>
          <cell r="L330" t="str">
            <v>AKTIF</v>
          </cell>
        </row>
        <row r="331">
          <cell r="C331" t="str">
            <v>Luthfi Setia Mardani</v>
          </cell>
          <cell r="D331" t="str">
            <v>SPI</v>
          </cell>
          <cell r="E331">
            <v>0</v>
          </cell>
          <cell r="F331">
            <v>9300000</v>
          </cell>
          <cell r="G331">
            <v>0</v>
          </cell>
          <cell r="H331">
            <v>375098.2311058765</v>
          </cell>
          <cell r="I331">
            <v>146509.09838661482</v>
          </cell>
          <cell r="J331">
            <v>521607.32949249132</v>
          </cell>
          <cell r="K331">
            <v>9675098.2311058771</v>
          </cell>
          <cell r="L331" t="str">
            <v>AKTIF</v>
          </cell>
        </row>
        <row r="332">
          <cell r="C332" t="str">
            <v>Chrisantya Dian Eka W</v>
          </cell>
          <cell r="D332" t="str">
            <v>MRKU</v>
          </cell>
          <cell r="E332">
            <v>0</v>
          </cell>
          <cell r="F332">
            <v>9300000</v>
          </cell>
          <cell r="G332">
            <v>0</v>
          </cell>
          <cell r="H332">
            <v>375098.2311058765</v>
          </cell>
          <cell r="I332">
            <v>146509.09838661482</v>
          </cell>
          <cell r="J332">
            <v>521607.32949249132</v>
          </cell>
          <cell r="K332">
            <v>9675098.2311058771</v>
          </cell>
          <cell r="L332" t="str">
            <v>AKTIF</v>
          </cell>
        </row>
        <row r="333">
          <cell r="C333" t="str">
            <v>Abdil Hafizh Zhafran</v>
          </cell>
          <cell r="D333" t="str">
            <v>PKO</v>
          </cell>
          <cell r="E333">
            <v>0</v>
          </cell>
          <cell r="F333">
            <v>9300000</v>
          </cell>
          <cell r="G333">
            <v>0</v>
          </cell>
          <cell r="H333">
            <v>375098.2311058765</v>
          </cell>
          <cell r="I333">
            <v>146509.09838661482</v>
          </cell>
          <cell r="J333">
            <v>521607.32949249132</v>
          </cell>
          <cell r="K333">
            <v>9675098.2311058771</v>
          </cell>
          <cell r="L333" t="str">
            <v>AKTIF</v>
          </cell>
        </row>
        <row r="334">
          <cell r="C334" t="str">
            <v>Aldicio William Schuurman</v>
          </cell>
          <cell r="D334" t="str">
            <v>DMP</v>
          </cell>
          <cell r="E334">
            <v>0</v>
          </cell>
          <cell r="F334">
            <v>9300000</v>
          </cell>
          <cell r="G334">
            <v>500000</v>
          </cell>
          <cell r="H334">
            <v>381801.24810385372</v>
          </cell>
          <cell r="I334">
            <v>154182.05429847079</v>
          </cell>
          <cell r="J334">
            <v>535983.30240232451</v>
          </cell>
          <cell r="K334">
            <v>10181801.248103853</v>
          </cell>
          <cell r="L334" t="str">
            <v>AKTIF</v>
          </cell>
        </row>
        <row r="335">
          <cell r="C335" t="str">
            <v>Kevin Iqbal Rizaldi</v>
          </cell>
          <cell r="D335" t="str">
            <v>LC</v>
          </cell>
          <cell r="E335">
            <v>0</v>
          </cell>
          <cell r="F335">
            <v>9300000</v>
          </cell>
          <cell r="G335">
            <v>0</v>
          </cell>
          <cell r="H335">
            <v>375098.2311058765</v>
          </cell>
          <cell r="I335">
            <v>146509.09838661482</v>
          </cell>
          <cell r="J335">
            <v>521607.32949249132</v>
          </cell>
          <cell r="K335">
            <v>9675098.2311058771</v>
          </cell>
          <cell r="L335" t="str">
            <v>AKTIF</v>
          </cell>
        </row>
        <row r="336">
          <cell r="C336" t="str">
            <v>Faishal Abdurrahman Labib</v>
          </cell>
          <cell r="D336" t="str">
            <v>DOK</v>
          </cell>
          <cell r="E336">
            <v>0</v>
          </cell>
          <cell r="F336">
            <v>9300000</v>
          </cell>
          <cell r="G336">
            <v>0</v>
          </cell>
          <cell r="H336">
            <v>375098.2311058765</v>
          </cell>
          <cell r="I336">
            <v>146509.09838661482</v>
          </cell>
          <cell r="J336">
            <v>521607.32949249132</v>
          </cell>
          <cell r="K336">
            <v>9675098.2311058771</v>
          </cell>
          <cell r="L336" t="str">
            <v>AKTIF</v>
          </cell>
        </row>
        <row r="337">
          <cell r="C337" t="str">
            <v>Aditya Putri Anggraini</v>
          </cell>
          <cell r="D337" t="str">
            <v>PUMA</v>
          </cell>
          <cell r="E337">
            <v>0</v>
          </cell>
          <cell r="F337">
            <v>9300000</v>
          </cell>
          <cell r="G337">
            <v>0</v>
          </cell>
          <cell r="H337">
            <v>375098.2311058765</v>
          </cell>
          <cell r="I337">
            <v>146509.09838661482</v>
          </cell>
          <cell r="J337">
            <v>521607.32949249132</v>
          </cell>
          <cell r="K337">
            <v>9675098.2311058771</v>
          </cell>
          <cell r="L337" t="str">
            <v>AKTIF</v>
          </cell>
        </row>
        <row r="338">
          <cell r="C338" t="str">
            <v>Muhammad Irvan Widya</v>
          </cell>
          <cell r="D338" t="str">
            <v>SPI</v>
          </cell>
          <cell r="E338">
            <v>0</v>
          </cell>
          <cell r="F338">
            <v>9300000</v>
          </cell>
          <cell r="G338">
            <v>500000</v>
          </cell>
          <cell r="H338">
            <v>378449.73960486508</v>
          </cell>
          <cell r="I338">
            <v>154131.30272192933</v>
          </cell>
          <cell r="J338">
            <v>532581.04232679447</v>
          </cell>
          <cell r="K338">
            <v>10178449.739604864</v>
          </cell>
          <cell r="L338" t="str">
            <v>AKTIF</v>
          </cell>
        </row>
        <row r="339">
          <cell r="C339" t="str">
            <v>Muhammad Rio</v>
          </cell>
          <cell r="D339" t="str">
            <v>SBU ENI</v>
          </cell>
          <cell r="E339">
            <v>200000</v>
          </cell>
          <cell r="F339">
            <v>5700000</v>
          </cell>
          <cell r="G339">
            <v>400000</v>
          </cell>
          <cell r="H339">
            <v>225023.21089784362</v>
          </cell>
          <cell r="I339">
            <v>98807.809982422084</v>
          </cell>
          <cell r="J339">
            <v>323831.02088026569</v>
          </cell>
          <cell r="K339">
            <v>6525023.2108978434</v>
          </cell>
          <cell r="L339" t="str">
            <v>AKTIF</v>
          </cell>
        </row>
        <row r="340">
          <cell r="C340" t="str">
            <v>Harry Santoso</v>
          </cell>
          <cell r="E340">
            <v>200000</v>
          </cell>
          <cell r="F340">
            <v>2600000</v>
          </cell>
          <cell r="G340">
            <v>225000</v>
          </cell>
          <cell r="H340">
            <v>163525.00803300136</v>
          </cell>
          <cell r="I340">
            <v>48283.532936977026</v>
          </cell>
          <cell r="J340">
            <v>211808.54096997838</v>
          </cell>
          <cell r="K340">
            <v>3188525.0080330013</v>
          </cell>
          <cell r="L340" t="str">
            <v>AKTIF</v>
          </cell>
        </row>
        <row r="341">
          <cell r="C341" t="str">
            <v xml:space="preserve">Hengki Prabowo </v>
          </cell>
          <cell r="D341" t="str">
            <v>SBU ENI</v>
          </cell>
          <cell r="E341">
            <v>200000</v>
          </cell>
          <cell r="F341">
            <v>5500000</v>
          </cell>
          <cell r="G341">
            <v>270000</v>
          </cell>
          <cell r="H341">
            <v>174946.72317278472</v>
          </cell>
          <cell r="I341">
            <v>93052.347639360698</v>
          </cell>
          <cell r="J341">
            <v>267999.07081214542</v>
          </cell>
          <cell r="K341">
            <v>6144946.7231727848</v>
          </cell>
          <cell r="L341" t="e">
            <v>#N/A</v>
          </cell>
        </row>
        <row r="342">
          <cell r="C342" t="str">
            <v>Yosida Isdianawati</v>
          </cell>
          <cell r="D342" t="str">
            <v>KOP</v>
          </cell>
          <cell r="E342">
            <v>0</v>
          </cell>
          <cell r="F342">
            <v>4700000</v>
          </cell>
          <cell r="G342">
            <v>350000</v>
          </cell>
          <cell r="H342">
            <v>114371.43975772616</v>
          </cell>
          <cell r="I342">
            <v>78203.588769765367</v>
          </cell>
          <cell r="J342">
            <v>192575.02852749152</v>
          </cell>
          <cell r="K342">
            <v>5164371.4397577262</v>
          </cell>
          <cell r="L342" t="str">
            <v>AKTIF</v>
          </cell>
        </row>
        <row r="343">
          <cell r="C343" t="str">
            <v>Abd. Rahman ST</v>
          </cell>
          <cell r="D343" t="str">
            <v>BNC</v>
          </cell>
          <cell r="E343">
            <v>0</v>
          </cell>
          <cell r="F343">
            <v>6750000</v>
          </cell>
          <cell r="G343">
            <v>0</v>
          </cell>
          <cell r="H343">
            <v>145376.15015667316</v>
          </cell>
          <cell r="I343">
            <v>104416.02954976406</v>
          </cell>
          <cell r="J343">
            <v>249792.17970643722</v>
          </cell>
          <cell r="K343">
            <v>6895376.150156673</v>
          </cell>
          <cell r="L343" t="str">
            <v>AKTIF</v>
          </cell>
        </row>
        <row r="344">
          <cell r="C344" t="str">
            <v>Ratna Damayanti</v>
          </cell>
          <cell r="D344" t="str">
            <v>BPC</v>
          </cell>
          <cell r="E344">
            <v>400000</v>
          </cell>
          <cell r="F344">
            <v>11500000</v>
          </cell>
          <cell r="G344">
            <v>0</v>
          </cell>
          <cell r="H344">
            <v>272848.77033851785</v>
          </cell>
          <cell r="I344">
            <v>184332.29880861481</v>
          </cell>
          <cell r="J344">
            <v>457181.06914713269</v>
          </cell>
          <cell r="K344">
            <v>12172848.770338519</v>
          </cell>
          <cell r="L344" t="str">
            <v>AKTIF</v>
          </cell>
        </row>
        <row r="345">
          <cell r="C345" t="str">
            <v>Aldi Muhammad Rianto</v>
          </cell>
          <cell r="D345" t="str">
            <v>SBU ENI</v>
          </cell>
          <cell r="E345">
            <v>200000</v>
          </cell>
          <cell r="F345">
            <v>4300000</v>
          </cell>
          <cell r="G345">
            <v>100000</v>
          </cell>
          <cell r="H345">
            <v>98408.491515801492</v>
          </cell>
          <cell r="I345">
            <v>71147.555869860618</v>
          </cell>
          <cell r="J345">
            <v>169556.0473856621</v>
          </cell>
          <cell r="K345">
            <v>4698408.4915158013</v>
          </cell>
          <cell r="L345" t="str">
            <v>AKTIF</v>
          </cell>
        </row>
        <row r="346">
          <cell r="C346" t="str">
            <v>Aldi Wahyu Prasetyo</v>
          </cell>
          <cell r="D346" t="str">
            <v>SBU ENI</v>
          </cell>
          <cell r="E346">
            <v>200000</v>
          </cell>
          <cell r="F346">
            <v>4300000</v>
          </cell>
          <cell r="G346">
            <v>300000</v>
          </cell>
          <cell r="H346">
            <v>102959.43244771493</v>
          </cell>
          <cell r="I346">
            <v>74245.051441917763</v>
          </cell>
          <cell r="J346">
            <v>177204.48388963268</v>
          </cell>
          <cell r="K346">
            <v>4902959.4324477147</v>
          </cell>
          <cell r="L346" t="str">
            <v>AKTIF</v>
          </cell>
        </row>
        <row r="347">
          <cell r="C347" t="str">
            <v>Iqbal Rezky</v>
          </cell>
          <cell r="D347" t="str">
            <v>SBU ENI</v>
          </cell>
          <cell r="E347">
            <v>200000</v>
          </cell>
          <cell r="F347">
            <v>3100000</v>
          </cell>
          <cell r="G347">
            <v>500000</v>
          </cell>
          <cell r="H347">
            <v>111655.0712752906</v>
          </cell>
          <cell r="I347">
            <v>59233.823161552231</v>
          </cell>
          <cell r="J347">
            <v>170888.89443684282</v>
          </cell>
          <cell r="K347">
            <v>3911655.0712752906</v>
          </cell>
          <cell r="L347" t="str">
            <v>AKTIF</v>
          </cell>
        </row>
        <row r="348">
          <cell r="C348" t="str">
            <v>Ade Sintya Kusumawardani</v>
          </cell>
          <cell r="D348" t="str">
            <v>SEKPER</v>
          </cell>
          <cell r="E348">
            <v>0</v>
          </cell>
          <cell r="F348">
            <v>4200000</v>
          </cell>
          <cell r="G348">
            <v>0</v>
          </cell>
          <cell r="H348">
            <v>82815.611220849358</v>
          </cell>
          <cell r="I348">
            <v>64854.272149789271</v>
          </cell>
          <cell r="J348">
            <v>147669.88337063862</v>
          </cell>
          <cell r="K348">
            <v>4282815.6112208497</v>
          </cell>
          <cell r="L348" t="str">
            <v>AKTIF</v>
          </cell>
        </row>
        <row r="349">
          <cell r="C349" t="str">
            <v>Rozainbahri Noor</v>
          </cell>
          <cell r="D349" t="str">
            <v>DIREKSI</v>
          </cell>
          <cell r="E349">
            <v>0</v>
          </cell>
          <cell r="F349">
            <v>20500000</v>
          </cell>
          <cell r="G349">
            <v>0</v>
          </cell>
          <cell r="H349">
            <v>414072.98907407676</v>
          </cell>
          <cell r="I349">
            <v>316699.83126061416</v>
          </cell>
          <cell r="J349">
            <v>730772.82033469086</v>
          </cell>
          <cell r="K349">
            <v>20914072.989074077</v>
          </cell>
          <cell r="L349" t="str">
            <v>AKTIF</v>
          </cell>
        </row>
        <row r="350">
          <cell r="C350" t="str">
            <v>Nadia Listiyani</v>
          </cell>
          <cell r="D350" t="str">
            <v>PKK</v>
          </cell>
          <cell r="E350">
            <v>0</v>
          </cell>
          <cell r="F350">
            <v>8750000</v>
          </cell>
          <cell r="G350">
            <v>0</v>
          </cell>
          <cell r="H350">
            <v>60997</v>
          </cell>
          <cell r="I350">
            <v>133424.09508638317</v>
          </cell>
          <cell r="J350">
            <v>194421.09508638317</v>
          </cell>
          <cell r="K350">
            <v>8810997</v>
          </cell>
          <cell r="L350" t="str">
            <v>AKTIF</v>
          </cell>
        </row>
        <row r="351">
          <cell r="C351" t="str">
            <v>faried</v>
          </cell>
          <cell r="D351" t="str">
            <v>SBU MNO</v>
          </cell>
          <cell r="E351">
            <v>0</v>
          </cell>
          <cell r="F351">
            <v>8550000</v>
          </cell>
          <cell r="G351">
            <v>0</v>
          </cell>
          <cell r="H351">
            <v>58316</v>
          </cell>
          <cell r="I351">
            <v>130354.91585318137</v>
          </cell>
          <cell r="J351">
            <v>188670.91585318139</v>
          </cell>
          <cell r="K351">
            <v>8608316</v>
          </cell>
          <cell r="L351" t="str">
            <v>AKTIF</v>
          </cell>
        </row>
        <row r="352">
          <cell r="C352" t="str">
            <v>Arisudono Soerono</v>
          </cell>
          <cell r="D352" t="str">
            <v>DIREKSI</v>
          </cell>
          <cell r="E352">
            <v>0</v>
          </cell>
          <cell r="F352">
            <v>11500000</v>
          </cell>
          <cell r="G352">
            <v>0</v>
          </cell>
          <cell r="H352">
            <v>80436.203975726792</v>
          </cell>
          <cell r="I352">
            <v>175361.45128877598</v>
          </cell>
          <cell r="J352">
            <v>255797.65526450277</v>
          </cell>
          <cell r="K352">
            <v>11580436.203975726</v>
          </cell>
          <cell r="L352" t="str">
            <v>AKTIF</v>
          </cell>
        </row>
        <row r="353">
          <cell r="C353" t="str">
            <v>Benny Susanto</v>
          </cell>
          <cell r="D353" t="str">
            <v>DIREKSI</v>
          </cell>
          <cell r="E353">
            <v>0</v>
          </cell>
          <cell r="F353">
            <v>11500000</v>
          </cell>
          <cell r="G353">
            <v>0</v>
          </cell>
          <cell r="H353">
            <v>80436.203975726792</v>
          </cell>
          <cell r="I353">
            <v>175361.45128877598</v>
          </cell>
          <cell r="J353">
            <v>255797.65526450277</v>
          </cell>
          <cell r="K353">
            <v>11580436.203975726</v>
          </cell>
          <cell r="L353" t="str">
            <v>AKTIF</v>
          </cell>
        </row>
        <row r="354">
          <cell r="C354" t="str">
            <v>Agus Syarif Maolana</v>
          </cell>
          <cell r="D354" t="str">
            <v>ISPB</v>
          </cell>
          <cell r="E354">
            <v>0</v>
          </cell>
          <cell r="F354">
            <v>6300000</v>
          </cell>
          <cell r="G354">
            <v>0</v>
          </cell>
          <cell r="H354">
            <v>28152.67139150438</v>
          </cell>
          <cell r="I354">
            <v>95826.618003489246</v>
          </cell>
          <cell r="J354">
            <v>123979.28939499363</v>
          </cell>
          <cell r="K354">
            <v>6328152.6713915048</v>
          </cell>
          <cell r="L354" t="str">
            <v>AKTIF</v>
          </cell>
        </row>
        <row r="355">
          <cell r="C355" t="str">
            <v>Bakti Nugroho DK</v>
          </cell>
          <cell r="D355" t="str">
            <v>SV</v>
          </cell>
          <cell r="E355">
            <v>0</v>
          </cell>
          <cell r="F355">
            <v>6200000</v>
          </cell>
          <cell r="G355">
            <v>450000</v>
          </cell>
          <cell r="H355">
            <v>30833.878190695272</v>
          </cell>
          <cell r="I355">
            <v>101167.23619586356</v>
          </cell>
          <cell r="J355">
            <v>132001.11438655882</v>
          </cell>
          <cell r="K355">
            <v>6680833.8781906953</v>
          </cell>
          <cell r="L355" t="e">
            <v>#N/A</v>
          </cell>
        </row>
        <row r="356">
          <cell r="C356" t="str">
            <v>Wildanis M. A.</v>
          </cell>
          <cell r="D356" t="str">
            <v>TP</v>
          </cell>
          <cell r="E356">
            <v>0</v>
          </cell>
          <cell r="F356">
            <v>2550000</v>
          </cell>
          <cell r="G356">
            <v>0</v>
          </cell>
          <cell r="H356">
            <v>10054.525496965849</v>
          </cell>
          <cell r="I356">
            <v>38766.663799367161</v>
          </cell>
          <cell r="J356">
            <v>48821.18929633301</v>
          </cell>
          <cell r="K356">
            <v>2560054.5254969657</v>
          </cell>
          <cell r="L356" t="e">
            <v>#N/A</v>
          </cell>
        </row>
        <row r="357">
          <cell r="C357" t="str">
            <v>Abdul Rifani Praja Nurrahman</v>
          </cell>
          <cell r="D357" t="str">
            <v>AKP</v>
          </cell>
          <cell r="E357">
            <v>0</v>
          </cell>
          <cell r="F357">
            <v>7500000</v>
          </cell>
          <cell r="G357">
            <v>0</v>
          </cell>
          <cell r="H357">
            <v>20109.050993931698</v>
          </cell>
          <cell r="I357">
            <v>113876.30084084524</v>
          </cell>
          <cell r="J357">
            <v>133985.35183477693</v>
          </cell>
          <cell r="K357">
            <v>7520109.0509939315</v>
          </cell>
          <cell r="L357" t="str">
            <v>AKTIF</v>
          </cell>
        </row>
        <row r="358">
          <cell r="C358" t="str">
            <v>Farhan Abdul Karim</v>
          </cell>
          <cell r="D358" t="str">
            <v>TP</v>
          </cell>
          <cell r="E358">
            <v>200000</v>
          </cell>
          <cell r="F358">
            <v>1300000</v>
          </cell>
          <cell r="G358">
            <v>100000</v>
          </cell>
          <cell r="H358">
            <v>5362.413598381786</v>
          </cell>
          <cell r="I358">
            <v>24309.851350540244</v>
          </cell>
          <cell r="J358">
            <v>29672.264948922031</v>
          </cell>
          <cell r="K358">
            <v>1605362.4135983817</v>
          </cell>
          <cell r="L358" t="str">
            <v>AKTIF</v>
          </cell>
        </row>
        <row r="359">
          <cell r="C359" t="str">
            <v>Muhtar</v>
          </cell>
          <cell r="D359" t="str">
            <v>HCTIO</v>
          </cell>
          <cell r="E359">
            <v>200000</v>
          </cell>
          <cell r="F359">
            <v>1300000</v>
          </cell>
          <cell r="G359">
            <v>300000</v>
          </cell>
          <cell r="H359">
            <v>8043.6203975726794</v>
          </cell>
          <cell r="I359">
            <v>27379.03371528264</v>
          </cell>
          <cell r="J359">
            <v>35422.654112855322</v>
          </cell>
          <cell r="K359">
            <v>1808043.6203975726</v>
          </cell>
          <cell r="L359" t="str">
            <v>AKTIF</v>
          </cell>
        </row>
        <row r="360">
          <cell r="C360" t="str">
            <v>Ibnul Qayyim</v>
          </cell>
          <cell r="D360" t="str">
            <v>BT</v>
          </cell>
          <cell r="E360">
            <v>200000</v>
          </cell>
          <cell r="F360">
            <v>1200000</v>
          </cell>
          <cell r="G360">
            <v>0</v>
          </cell>
          <cell r="H360">
            <v>4021.8101987863397</v>
          </cell>
          <cell r="I360">
            <v>21260.96961641443</v>
          </cell>
          <cell r="J360">
            <v>25282.779815200771</v>
          </cell>
          <cell r="K360">
            <v>1404021.8101987864</v>
          </cell>
          <cell r="L360" t="str">
            <v>AKTIF</v>
          </cell>
        </row>
        <row r="361">
          <cell r="C361" t="str">
            <v>Kennedi Pangaribuan</v>
          </cell>
          <cell r="D361" t="str">
            <v>SBU ENI</v>
          </cell>
          <cell r="E361">
            <v>0</v>
          </cell>
          <cell r="F361">
            <v>1800000</v>
          </cell>
          <cell r="G361">
            <v>200000</v>
          </cell>
          <cell r="H361">
            <v>0</v>
          </cell>
          <cell r="I361">
            <v>30285.811035092433</v>
          </cell>
          <cell r="J361">
            <v>30285.811035092433</v>
          </cell>
          <cell r="K361">
            <v>2000000</v>
          </cell>
          <cell r="L361" t="str">
            <v>AKTIF</v>
          </cell>
        </row>
        <row r="362">
          <cell r="C362" t="str">
            <v>Novella Musya</v>
          </cell>
          <cell r="D362" t="str">
            <v>SBU ENI</v>
          </cell>
          <cell r="E362">
            <v>200000</v>
          </cell>
          <cell r="F362">
            <v>1950000</v>
          </cell>
          <cell r="G362">
            <v>0</v>
          </cell>
          <cell r="H362">
            <v>0</v>
          </cell>
          <cell r="I362">
            <v>32557.246862724365</v>
          </cell>
          <cell r="J362">
            <v>32557.246862724365</v>
          </cell>
          <cell r="K362">
            <v>2150000</v>
          </cell>
          <cell r="L362" t="str">
            <v>AKTIF</v>
          </cell>
        </row>
        <row r="363">
          <cell r="C363" t="str">
            <v>Regiyan DK</v>
          </cell>
          <cell r="D363" t="str">
            <v>PSMMO</v>
          </cell>
          <cell r="E363">
            <v>200000</v>
          </cell>
          <cell r="F363">
            <v>900000</v>
          </cell>
          <cell r="G363">
            <v>100000</v>
          </cell>
          <cell r="H363">
            <v>0</v>
          </cell>
          <cell r="I363">
            <v>18171.486621055457</v>
          </cell>
          <cell r="J363">
            <v>18171.486621055457</v>
          </cell>
          <cell r="K363">
            <v>1200000</v>
          </cell>
          <cell r="L363" t="str">
            <v>AKTIF</v>
          </cell>
        </row>
        <row r="364">
          <cell r="C364" t="str">
            <v>Raka Dwita Setyanegara</v>
          </cell>
          <cell r="D364" t="str">
            <v>PKO</v>
          </cell>
          <cell r="E364">
            <v>200000</v>
          </cell>
          <cell r="F364">
            <v>1300000</v>
          </cell>
          <cell r="G364">
            <v>250000</v>
          </cell>
          <cell r="H364">
            <v>0</v>
          </cell>
          <cell r="I364">
            <v>26500.084655705879</v>
          </cell>
          <cell r="J364">
            <v>26500.084655705879</v>
          </cell>
          <cell r="K364">
            <v>1750000</v>
          </cell>
          <cell r="L364" t="str">
            <v>AKTIF</v>
          </cell>
        </row>
        <row r="365">
          <cell r="C365" t="str">
            <v>hendy zulfan</v>
          </cell>
          <cell r="D365" t="str">
            <v>SBU ENI</v>
          </cell>
          <cell r="E365">
            <v>0</v>
          </cell>
          <cell r="F365">
            <v>450000</v>
          </cell>
          <cell r="G365">
            <v>0</v>
          </cell>
          <cell r="H365">
            <v>0</v>
          </cell>
          <cell r="I365">
            <v>6814.307482895797</v>
          </cell>
          <cell r="J365">
            <v>6814.307482895797</v>
          </cell>
          <cell r="K365">
            <v>450000</v>
          </cell>
          <cell r="L365" t="str">
            <v>AKTIF</v>
          </cell>
        </row>
        <row r="366">
          <cell r="C366" t="str">
            <v>Elmy Mufidah</v>
          </cell>
          <cell r="D366" t="str">
            <v>HCTIO</v>
          </cell>
          <cell r="E366">
            <v>0</v>
          </cell>
          <cell r="F366">
            <v>300000</v>
          </cell>
          <cell r="G366">
            <v>0</v>
          </cell>
          <cell r="H366">
            <v>0</v>
          </cell>
          <cell r="I366">
            <v>4542.8716552638643</v>
          </cell>
          <cell r="J366">
            <v>4542.8716552638643</v>
          </cell>
          <cell r="K366">
            <v>300000</v>
          </cell>
          <cell r="L366" t="str">
            <v>AKTIF</v>
          </cell>
        </row>
        <row r="367">
          <cell r="C367" t="str">
            <v xml:space="preserve">Muhammad Rafi Amrullah </v>
          </cell>
          <cell r="D367" t="str">
            <v>HCTIO</v>
          </cell>
          <cell r="E367">
            <v>0</v>
          </cell>
          <cell r="F367">
            <v>300000</v>
          </cell>
          <cell r="G367">
            <v>0</v>
          </cell>
          <cell r="H367">
            <v>0</v>
          </cell>
          <cell r="I367">
            <v>4542.8716552638643</v>
          </cell>
          <cell r="J367">
            <v>4542.8716552638643</v>
          </cell>
          <cell r="K367">
            <v>300000</v>
          </cell>
          <cell r="L367" t="str">
            <v>AKTIF</v>
          </cell>
        </row>
        <row r="368">
          <cell r="C368" t="str">
            <v>Muhammad Dafa'anh Murya Tsani</v>
          </cell>
          <cell r="D368" t="str">
            <v>HCTIO</v>
          </cell>
          <cell r="E368">
            <v>0</v>
          </cell>
          <cell r="F368">
            <v>300000</v>
          </cell>
          <cell r="G368">
            <v>0</v>
          </cell>
          <cell r="H368">
            <v>0</v>
          </cell>
          <cell r="I368">
            <v>4542.8716552638643</v>
          </cell>
          <cell r="J368">
            <v>4542.8716552638643</v>
          </cell>
          <cell r="K368">
            <v>300000</v>
          </cell>
          <cell r="L368" t="str">
            <v>AKTIF</v>
          </cell>
        </row>
        <row r="369">
          <cell r="C369" t="str">
            <v>Aditya Ilham Saptiawan</v>
          </cell>
          <cell r="D369" t="str">
            <v>HCTIO</v>
          </cell>
          <cell r="E369">
            <v>0</v>
          </cell>
          <cell r="F369">
            <v>300000</v>
          </cell>
          <cell r="G369">
            <v>0</v>
          </cell>
          <cell r="H369">
            <v>0</v>
          </cell>
          <cell r="I369">
            <v>4542.8716552638643</v>
          </cell>
          <cell r="J369">
            <v>4542.8716552638643</v>
          </cell>
          <cell r="K369">
            <v>300000</v>
          </cell>
          <cell r="L369" t="str">
            <v>AKTIF</v>
          </cell>
        </row>
        <row r="370">
          <cell r="C370" t="str">
            <v>Jasmine Pratiwi</v>
          </cell>
          <cell r="D370" t="str">
            <v>HCTIO</v>
          </cell>
          <cell r="E370">
            <v>0</v>
          </cell>
          <cell r="F370">
            <v>300000</v>
          </cell>
          <cell r="G370">
            <v>0</v>
          </cell>
          <cell r="H370">
            <v>0</v>
          </cell>
          <cell r="I370">
            <v>4542.8716552638643</v>
          </cell>
          <cell r="J370">
            <v>4542.8716552638643</v>
          </cell>
          <cell r="K370">
            <v>300000</v>
          </cell>
          <cell r="L370" t="str">
            <v>AKTIF</v>
          </cell>
        </row>
        <row r="371">
          <cell r="C371" t="str">
            <v>Izzafajri Syafira</v>
          </cell>
          <cell r="D371" t="str">
            <v>HCTIO</v>
          </cell>
          <cell r="E371">
            <v>0</v>
          </cell>
          <cell r="F371">
            <v>300000</v>
          </cell>
          <cell r="G371">
            <v>0</v>
          </cell>
          <cell r="H371">
            <v>0</v>
          </cell>
          <cell r="I371">
            <v>4542.8716552638643</v>
          </cell>
          <cell r="J371">
            <v>4542.8716552638643</v>
          </cell>
          <cell r="K371">
            <v>300000</v>
          </cell>
          <cell r="L371" t="str">
            <v>AKTIF</v>
          </cell>
        </row>
        <row r="372">
          <cell r="C372" t="str">
            <v>Mariyana Astri Fandani</v>
          </cell>
          <cell r="D372" t="str">
            <v>MRKU</v>
          </cell>
          <cell r="E372">
            <v>0</v>
          </cell>
          <cell r="F372">
            <v>300000</v>
          </cell>
          <cell r="G372">
            <v>0</v>
          </cell>
          <cell r="H372">
            <v>0</v>
          </cell>
          <cell r="I372">
            <v>4542.8716552638643</v>
          </cell>
          <cell r="J372">
            <v>4542.8716552638643</v>
          </cell>
          <cell r="K372">
            <v>300000</v>
          </cell>
          <cell r="L372" t="str">
            <v>AKTIF</v>
          </cell>
        </row>
        <row r="373">
          <cell r="C373" t="str">
            <v>Ardhianti Noviandita</v>
          </cell>
          <cell r="D373" t="str">
            <v>MRKU</v>
          </cell>
          <cell r="E373">
            <v>0</v>
          </cell>
          <cell r="F373">
            <v>300000</v>
          </cell>
          <cell r="G373">
            <v>0</v>
          </cell>
          <cell r="H373">
            <v>0</v>
          </cell>
          <cell r="I373">
            <v>4542.8716552638643</v>
          </cell>
          <cell r="J373">
            <v>4542.8716552638643</v>
          </cell>
          <cell r="K373">
            <v>300000</v>
          </cell>
          <cell r="L373" t="str">
            <v>AKTIF</v>
          </cell>
        </row>
        <row r="374">
          <cell r="C374" t="str">
            <v>Thomas Mahendra</v>
          </cell>
          <cell r="D374" t="str">
            <v>MRKU</v>
          </cell>
          <cell r="E374">
            <v>0</v>
          </cell>
          <cell r="F374">
            <v>300000</v>
          </cell>
          <cell r="G374">
            <v>0</v>
          </cell>
          <cell r="H374">
            <v>0</v>
          </cell>
          <cell r="I374">
            <v>4542.8716552638643</v>
          </cell>
          <cell r="J374">
            <v>4542.8716552638643</v>
          </cell>
          <cell r="K374">
            <v>300000</v>
          </cell>
          <cell r="L374" t="str">
            <v>AKTIF</v>
          </cell>
        </row>
        <row r="375">
          <cell r="C375" t="str">
            <v>Krisanti Cahya Kaheraing</v>
          </cell>
          <cell r="D375" t="str">
            <v>MRKU</v>
          </cell>
          <cell r="E375">
            <v>0</v>
          </cell>
          <cell r="F375">
            <v>300000</v>
          </cell>
          <cell r="G375">
            <v>0</v>
          </cell>
          <cell r="H375">
            <v>0</v>
          </cell>
          <cell r="I375">
            <v>4542.8716552638643</v>
          </cell>
          <cell r="J375">
            <v>4542.8716552638643</v>
          </cell>
          <cell r="K375">
            <v>300000</v>
          </cell>
          <cell r="L375" t="str">
            <v>AKTIF</v>
          </cell>
        </row>
        <row r="376">
          <cell r="C376" t="str">
            <v>ZEID RISALDY</v>
          </cell>
          <cell r="D376" t="str">
            <v>SBU MNO</v>
          </cell>
          <cell r="E376">
            <v>200000</v>
          </cell>
          <cell r="F376">
            <v>1900000</v>
          </cell>
          <cell r="G376">
            <v>0</v>
          </cell>
          <cell r="H376">
            <v>0</v>
          </cell>
          <cell r="I376">
            <v>31800.101586847053</v>
          </cell>
          <cell r="J376">
            <v>31800.101586847053</v>
          </cell>
          <cell r="K376">
            <v>2100000</v>
          </cell>
          <cell r="L376" t="str">
            <v>AKTIF</v>
          </cell>
        </row>
        <row r="377">
          <cell r="C377" t="str">
            <v>Vivi Hazlinda</v>
          </cell>
          <cell r="D377" t="str">
            <v>KOP</v>
          </cell>
          <cell r="E377">
            <v>0</v>
          </cell>
          <cell r="F377">
            <v>200000</v>
          </cell>
          <cell r="G377">
            <v>0</v>
          </cell>
          <cell r="H377">
            <v>0</v>
          </cell>
          <cell r="I377">
            <v>3028.5811035092433</v>
          </cell>
          <cell r="J377">
            <v>3028.5811035092433</v>
          </cell>
          <cell r="K377">
            <v>200000</v>
          </cell>
          <cell r="L377" t="str">
            <v>AKTIF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 t="str">
            <v>ARIEF SULISTIYONO</v>
          </cell>
          <cell r="C2" t="str">
            <v>CABANG MADYA KLAS BANJARMASIN</v>
          </cell>
          <cell r="D2" t="str">
            <v>CABANG MADYA KLAS BANJARMASIN</v>
          </cell>
          <cell r="E2" t="str">
            <v>KEPALA CABANG MADYA KLAS BANJARMASIN</v>
          </cell>
          <cell r="F2" t="str">
            <v>arief.sulistiyono@bki.co.id</v>
          </cell>
          <cell r="G2" t="str">
            <v>081316006659</v>
          </cell>
          <cell r="H2" t="str">
            <v>7C</v>
          </cell>
          <cell r="I2">
            <v>350000</v>
          </cell>
        </row>
        <row r="3">
          <cell r="B3" t="str">
            <v>BAMBANG WARDOJO</v>
          </cell>
          <cell r="C3" t="str">
            <v>CABANG MADYA KLAS BANJARMASIN</v>
          </cell>
          <cell r="D3" t="str">
            <v>CABANG MADYA KLAS BANJARMASIN</v>
          </cell>
          <cell r="E3" t="str">
            <v>ADMINISTRATOR SENIOR</v>
          </cell>
          <cell r="F3" t="str">
            <v>bambang.wardojo@bki.co.id</v>
          </cell>
          <cell r="G3" t="str">
            <v>081348058835</v>
          </cell>
          <cell r="H3" t="str">
            <v>3B</v>
          </cell>
          <cell r="I3">
            <v>150000</v>
          </cell>
        </row>
        <row r="4">
          <cell r="B4" t="str">
            <v>EKA NANDA PRATAMA SUNARJO</v>
          </cell>
          <cell r="C4" t="str">
            <v>CABANG MADYA KLAS BANJARMASIN</v>
          </cell>
          <cell r="D4" t="str">
            <v>CABANG MADYA KLAS BANJARMASIN</v>
          </cell>
          <cell r="E4" t="str">
            <v>SURVEYOR SENIOR I</v>
          </cell>
          <cell r="F4" t="str">
            <v>eka.pratama@bki.co.id</v>
          </cell>
          <cell r="G4" t="str">
            <v>082280008286</v>
          </cell>
          <cell r="H4" t="str">
            <v>6A</v>
          </cell>
          <cell r="I4">
            <v>250000</v>
          </cell>
        </row>
        <row r="5">
          <cell r="B5" t="str">
            <v>KOKO HARIANTO</v>
          </cell>
          <cell r="C5" t="str">
            <v>DIVISI OPERASI BISNIS KLASIFIKASI</v>
          </cell>
          <cell r="D5" t="str">
            <v>CABANG MADYA KLAS BANJARMASIN</v>
          </cell>
          <cell r="E5" t="str">
            <v>SURVEYOR SENIOR II A KENDALI OPERASI YANG DITEMPATKAN DI CABANG MADYA KLAS BANJARMASIN</v>
          </cell>
          <cell r="F5" t="str">
            <v>kokoharianto@bki.co.id</v>
          </cell>
          <cell r="G5" t="str">
            <v>081654909745</v>
          </cell>
          <cell r="H5" t="str">
            <v>7A</v>
          </cell>
          <cell r="I5">
            <v>0</v>
          </cell>
        </row>
        <row r="6">
          <cell r="B6" t="str">
            <v>MOH. HERBRAM ARYA PRANATA</v>
          </cell>
          <cell r="C6" t="str">
            <v>CABANG MADYA KLAS BANJARMASIN</v>
          </cell>
          <cell r="D6" t="str">
            <v>CABANG MADYA KLAS BANJARMASIN</v>
          </cell>
          <cell r="E6" t="str">
            <v>SURVEYOR</v>
          </cell>
          <cell r="F6" t="str">
            <v>moh.herbram@bki.co.id</v>
          </cell>
          <cell r="G6" t="str">
            <v>085695105135</v>
          </cell>
          <cell r="H6" t="str">
            <v>5C</v>
          </cell>
          <cell r="I6">
            <v>0</v>
          </cell>
        </row>
        <row r="7">
          <cell r="B7" t="str">
            <v>AMIR HAMZAH</v>
          </cell>
          <cell r="C7" t="str">
            <v>CABANG MADYA KLAS BANJARMASIN</v>
          </cell>
          <cell r="D7" t="str">
            <v>CABANG MADYA KLAS BANJARMASIN</v>
          </cell>
          <cell r="E7" t="str">
            <v>SURVEYOR SENIOR I A</v>
          </cell>
          <cell r="F7" t="str">
            <v>amir.hamzah@bki.co.id</v>
          </cell>
          <cell r="G7" t="str">
            <v>081318880301</v>
          </cell>
          <cell r="H7" t="str">
            <v>6A</v>
          </cell>
          <cell r="I7">
            <v>0</v>
          </cell>
        </row>
        <row r="8">
          <cell r="B8" t="str">
            <v>NINA SRI INDAH YANI</v>
          </cell>
          <cell r="C8" t="str">
            <v>CABANG MADYA KLAS BANJARMASIN</v>
          </cell>
          <cell r="D8" t="str">
            <v>CABANG MADYA KLAS BANJARMASIN</v>
          </cell>
          <cell r="E8" t="str">
            <v>ADMINISTRATOR SENIOR</v>
          </cell>
          <cell r="F8" t="str">
            <v>nina@bki.co.id</v>
          </cell>
          <cell r="G8" t="str">
            <v>08164564700</v>
          </cell>
          <cell r="H8" t="str">
            <v>3B</v>
          </cell>
          <cell r="I8">
            <v>150000</v>
          </cell>
        </row>
        <row r="9">
          <cell r="B9" t="str">
            <v>MUH. NURFADHIL M.</v>
          </cell>
          <cell r="C9" t="str">
            <v>CABANG MADYA KLAS BANJARMASIN</v>
          </cell>
          <cell r="D9" t="str">
            <v>CABANG MADYA KLAS BANJARMASIN</v>
          </cell>
          <cell r="E9" t="str">
            <v xml:space="preserve">SURVEYOR JUNIOR </v>
          </cell>
          <cell r="F9" t="str">
            <v>m.nurfadil@bki.co.id</v>
          </cell>
          <cell r="G9" t="str">
            <v>082196488084</v>
          </cell>
          <cell r="H9" t="str">
            <v>4C</v>
          </cell>
          <cell r="I9">
            <v>0</v>
          </cell>
        </row>
        <row r="10">
          <cell r="B10" t="str">
            <v>YOHANES ARDIANTO NUGROHO</v>
          </cell>
          <cell r="C10" t="str">
            <v>CABANG MADYA KLAS BANJARMASIN</v>
          </cell>
          <cell r="D10" t="str">
            <v>CABANG MADYA KLAS BANJARMASIN</v>
          </cell>
          <cell r="E10" t="str">
            <v>SURVEYOR</v>
          </cell>
          <cell r="F10" t="str">
            <v>yohanes.an@bki.co.id</v>
          </cell>
          <cell r="G10" t="str">
            <v>081280214649</v>
          </cell>
          <cell r="H10" t="str">
            <v>5C</v>
          </cell>
          <cell r="I10">
            <v>250000</v>
          </cell>
        </row>
        <row r="11">
          <cell r="B11" t="str">
            <v>ABU YAZID</v>
          </cell>
          <cell r="C11" t="str">
            <v>CABANG MADYA KLAS BANJARMASIN</v>
          </cell>
          <cell r="D11" t="str">
            <v>CABANG MADYA KLAS BANJARMASIN</v>
          </cell>
          <cell r="E11" t="str">
            <v>STAF OPERASIONAL</v>
          </cell>
          <cell r="F11" t="str">
            <v>abu.yazid@bki.co.id</v>
          </cell>
          <cell r="G11" t="str">
            <v>085248943990</v>
          </cell>
          <cell r="H11" t="str">
            <v>-</v>
          </cell>
          <cell r="I11">
            <v>0</v>
          </cell>
        </row>
        <row r="12">
          <cell r="B12" t="str">
            <v>CHELTIS CHARLES KEHEK</v>
          </cell>
          <cell r="C12" t="str">
            <v>CABANG MADYA KLAS BANJARMASIN</v>
          </cell>
          <cell r="D12" t="str">
            <v>CABANG MADYA KLAS BANJARMASIN</v>
          </cell>
          <cell r="E12" t="str">
            <v>STAF DUKUNGAN BISNIS</v>
          </cell>
          <cell r="F12" t="str">
            <v>cheltis.c@bki.co.id</v>
          </cell>
          <cell r="G12">
            <v>0</v>
          </cell>
          <cell r="H12" t="str">
            <v>-</v>
          </cell>
          <cell r="I12">
            <v>0</v>
          </cell>
        </row>
        <row r="13">
          <cell r="B13" t="str">
            <v>AZHAR</v>
          </cell>
          <cell r="C13" t="str">
            <v>CABANG MADYA KLAS PALEMBANG</v>
          </cell>
          <cell r="D13" t="str">
            <v>CABANG MADYA KLAS PALEMBANG</v>
          </cell>
          <cell r="E13" t="str">
            <v>KEPALA CABANG MADYA KLAS PALEMBANG</v>
          </cell>
          <cell r="F13" t="str">
            <v>azhar@bki.co.id</v>
          </cell>
          <cell r="G13" t="str">
            <v>081364424241</v>
          </cell>
          <cell r="H13" t="str">
            <v>7C</v>
          </cell>
          <cell r="I13">
            <v>0</v>
          </cell>
        </row>
        <row r="14">
          <cell r="B14" t="str">
            <v>DIAN ENDANG WAHYUNI</v>
          </cell>
          <cell r="C14" t="str">
            <v>CABANG MADYA KLAS PALEMBANG</v>
          </cell>
          <cell r="D14" t="str">
            <v>CABANG MADYA KLAS PALEMBANG</v>
          </cell>
          <cell r="E14" t="str">
            <v>ADMINISTRATOR SENIOR</v>
          </cell>
          <cell r="F14" t="str">
            <v>dian.endang@bki.co.id</v>
          </cell>
          <cell r="G14" t="str">
            <v>085267276520</v>
          </cell>
          <cell r="H14" t="str">
            <v>3B</v>
          </cell>
          <cell r="I14">
            <v>0</v>
          </cell>
        </row>
        <row r="15">
          <cell r="B15" t="str">
            <v>MOH. FURQON</v>
          </cell>
          <cell r="C15" t="str">
            <v>CABANG MADYA KLAS PALEMBANG</v>
          </cell>
          <cell r="D15" t="str">
            <v>CABANG MADYA KLAS PALEMBANG</v>
          </cell>
          <cell r="E15" t="str">
            <v>SURVEYOR SENIOR I</v>
          </cell>
          <cell r="F15" t="str">
            <v>furqon@bki.co.id</v>
          </cell>
          <cell r="G15" t="str">
            <v>082234777883</v>
          </cell>
          <cell r="H15" t="str">
            <v>6C</v>
          </cell>
          <cell r="I15">
            <v>0</v>
          </cell>
        </row>
        <row r="16">
          <cell r="B16" t="str">
            <v>FUAD UMAR PAISAL</v>
          </cell>
          <cell r="C16" t="str">
            <v>CABANG MADYA KLAS PALEMBANG</v>
          </cell>
          <cell r="D16" t="str">
            <v>CABANG MADYA KLAS PALEMBANG</v>
          </cell>
          <cell r="E16" t="str">
            <v>SURVEYOR SENIOR I A</v>
          </cell>
          <cell r="F16" t="str">
            <v>fuad.up@bki.co.id</v>
          </cell>
          <cell r="G16" t="str">
            <v>087888767059</v>
          </cell>
          <cell r="H16" t="str">
            <v>6A</v>
          </cell>
          <cell r="I16">
            <v>0</v>
          </cell>
        </row>
        <row r="17">
          <cell r="B17" t="str">
            <v>BAYU RISTA</v>
          </cell>
          <cell r="C17" t="str">
            <v>CABANG MADYA KLAS PALEMBANG</v>
          </cell>
          <cell r="D17" t="str">
            <v>CABANG MADYA KLAS PALEMBANG</v>
          </cell>
          <cell r="E17" t="str">
            <v>SURVEYOR</v>
          </cell>
          <cell r="F17" t="str">
            <v>bayu.rista@bki.co.id</v>
          </cell>
          <cell r="G17" t="str">
            <v>0852 4150 1242</v>
          </cell>
          <cell r="H17" t="str">
            <v>5C</v>
          </cell>
          <cell r="I17">
            <v>150000</v>
          </cell>
        </row>
        <row r="18">
          <cell r="B18" t="str">
            <v>FERLIANSYAH</v>
          </cell>
          <cell r="C18" t="str">
            <v>CABANG MADYA KLAS PALEMBANG</v>
          </cell>
          <cell r="D18" t="str">
            <v>CABANG MADYA KLAS PALEMBANG</v>
          </cell>
          <cell r="E18" t="str">
            <v>STAF KEUANGAN</v>
          </cell>
          <cell r="F18" t="str">
            <v>ferliansyah@bki.co.id</v>
          </cell>
          <cell r="G18" t="str">
            <v>08972734080</v>
          </cell>
          <cell r="H18" t="str">
            <v>-</v>
          </cell>
          <cell r="I18">
            <v>0</v>
          </cell>
        </row>
        <row r="19">
          <cell r="B19" t="str">
            <v>FERIZA YUSFI</v>
          </cell>
          <cell r="C19" t="str">
            <v>CABANG MADYA KLAS PEKANBARU</v>
          </cell>
          <cell r="D19" t="str">
            <v>CABANG MADYA KLAS PEKANBARU</v>
          </cell>
          <cell r="E19" t="str">
            <v>ADMINISTRATOR</v>
          </cell>
          <cell r="F19" t="str">
            <v>feriza.yusfi@bki.co.id</v>
          </cell>
          <cell r="G19" t="str">
            <v>081378006343</v>
          </cell>
          <cell r="H19" t="str">
            <v>2A</v>
          </cell>
          <cell r="I19">
            <v>150000</v>
          </cell>
        </row>
        <row r="20">
          <cell r="B20" t="str">
            <v>LISA</v>
          </cell>
          <cell r="C20" t="str">
            <v>CABANG MADYA KLAS PEKANBARU</v>
          </cell>
          <cell r="D20" t="str">
            <v>CABANG MADYA KLAS PEKANBARU</v>
          </cell>
          <cell r="E20" t="str">
            <v>ADMINISTRATOR SENIOR</v>
          </cell>
          <cell r="F20" t="str">
            <v>lisa@bki.co.id</v>
          </cell>
          <cell r="G20" t="str">
            <v>081363348720</v>
          </cell>
          <cell r="H20" t="str">
            <v>3B</v>
          </cell>
          <cell r="I20">
            <v>150000</v>
          </cell>
        </row>
        <row r="21">
          <cell r="B21" t="str">
            <v>DONY TRI SUSILO</v>
          </cell>
          <cell r="C21" t="str">
            <v>CABANG MADYA KLAS PEKANBARU</v>
          </cell>
          <cell r="D21" t="str">
            <v>CABANG MADYA KLAS PEKANBARU</v>
          </cell>
          <cell r="E21" t="str">
            <v>KEPALA CABANG MADYA KLAS PEKANBARU</v>
          </cell>
          <cell r="F21" t="str">
            <v>dony@bki.co.id</v>
          </cell>
          <cell r="G21" t="str">
            <v>085269006911</v>
          </cell>
          <cell r="H21" t="str">
            <v>7C</v>
          </cell>
          <cell r="I21">
            <v>350000</v>
          </cell>
        </row>
        <row r="22">
          <cell r="B22" t="str">
            <v>ANDI ARMAN</v>
          </cell>
          <cell r="C22" t="str">
            <v>CABANG MADYA KLAS PEKANBARU</v>
          </cell>
          <cell r="D22" t="str">
            <v>CABANG MADYA KLAS PEKANBARU</v>
          </cell>
          <cell r="E22" t="str">
            <v>SURVEYOR SENIOR I</v>
          </cell>
          <cell r="F22" t="str">
            <v>arman@bki.co.id</v>
          </cell>
          <cell r="G22" t="str">
            <v>0811 539 449</v>
          </cell>
          <cell r="H22" t="str">
            <v>6C</v>
          </cell>
          <cell r="I22">
            <v>0</v>
          </cell>
        </row>
        <row r="23">
          <cell r="B23" t="str">
            <v>MUHAMMAD ASRUL LA SARIPI</v>
          </cell>
          <cell r="C23" t="str">
            <v>CABANG MADYA KLAS PEKANBARU</v>
          </cell>
          <cell r="D23" t="str">
            <v>CABANG MADYA KLAS PEKANBARU</v>
          </cell>
          <cell r="E23" t="str">
            <v>SURVEYOR</v>
          </cell>
          <cell r="F23" t="str">
            <v>m.asrul@bki.co.id</v>
          </cell>
          <cell r="G23" t="str">
            <v>0823 9531 0817</v>
          </cell>
          <cell r="H23" t="str">
            <v>5C</v>
          </cell>
          <cell r="I23">
            <v>150000</v>
          </cell>
        </row>
        <row r="24">
          <cell r="B24" t="str">
            <v>ANDY WIBOWO</v>
          </cell>
          <cell r="C24" t="str">
            <v>CABANG MADYA KLAS PEKANBARU</v>
          </cell>
          <cell r="D24" t="str">
            <v>CABANG MADYA KLAS PEKANBARU</v>
          </cell>
          <cell r="E24" t="str">
            <v>SURVEYOR</v>
          </cell>
          <cell r="F24" t="str">
            <v>andy.wibowo@bki.co.id</v>
          </cell>
          <cell r="G24" t="str">
            <v>081261362463</v>
          </cell>
          <cell r="H24" t="str">
            <v>5C</v>
          </cell>
          <cell r="I24">
            <v>0</v>
          </cell>
        </row>
        <row r="25">
          <cell r="B25" t="str">
            <v>FITRIANI</v>
          </cell>
          <cell r="C25" t="str">
            <v>CABANG MADYA KLAS PONTIANAK</v>
          </cell>
          <cell r="D25" t="str">
            <v>CABANG MADYA KLAS PONTIANAK</v>
          </cell>
          <cell r="E25" t="str">
            <v>ADMINISTRATOR SENIOR</v>
          </cell>
          <cell r="F25" t="str">
            <v>fitriani@bki.co.id</v>
          </cell>
          <cell r="G25" t="str">
            <v>085248411888</v>
          </cell>
          <cell r="H25" t="str">
            <v>3B</v>
          </cell>
          <cell r="I25">
            <v>150000</v>
          </cell>
        </row>
        <row r="26">
          <cell r="B26" t="str">
            <v>MUHSON NURROCHMAT SLAMET</v>
          </cell>
          <cell r="C26" t="str">
            <v>CABANG MADYA KLAS PONTIANAK</v>
          </cell>
          <cell r="D26" t="str">
            <v>CABANG MADYA KLAS PONTIANAK</v>
          </cell>
          <cell r="E26" t="str">
            <v>KEPALA CABANG MADYA KLAS PONTIANAK</v>
          </cell>
          <cell r="F26" t="str">
            <v>muhson@bki.co.id</v>
          </cell>
          <cell r="G26" t="str">
            <v>081347196255</v>
          </cell>
          <cell r="H26" t="str">
            <v>7C</v>
          </cell>
          <cell r="I26">
            <v>0</v>
          </cell>
        </row>
        <row r="27">
          <cell r="B27" t="str">
            <v>SEPTIAN AJI DEWANGKARA</v>
          </cell>
          <cell r="C27" t="str">
            <v>CABANG MADYA KLAS PONTIANAK</v>
          </cell>
          <cell r="D27" t="str">
            <v>CABANG MADYA KLAS PONTIANAK</v>
          </cell>
          <cell r="E27" t="str">
            <v>SURVEYOR</v>
          </cell>
          <cell r="F27" t="str">
            <v>septian.dewangkara@bki.co.id</v>
          </cell>
          <cell r="G27" t="str">
            <v>087808266652</v>
          </cell>
          <cell r="H27" t="str">
            <v>5C</v>
          </cell>
          <cell r="I27">
            <v>250000</v>
          </cell>
        </row>
        <row r="28">
          <cell r="B28" t="str">
            <v>ALFIAN BONE PUTRA</v>
          </cell>
          <cell r="C28" t="str">
            <v>CABANG MADYA KLAS PONTIANAK</v>
          </cell>
          <cell r="D28" t="str">
            <v>CABANG MADYA KLAS PONTIANAK</v>
          </cell>
          <cell r="E28" t="str">
            <v>SURVEYOR SENIOR I A</v>
          </cell>
          <cell r="F28" t="str">
            <v>alfianbone.putra@bki.co.id</v>
          </cell>
          <cell r="G28" t="str">
            <v>081298427212</v>
          </cell>
          <cell r="H28" t="str">
            <v>6A</v>
          </cell>
          <cell r="I28">
            <v>0</v>
          </cell>
        </row>
        <row r="29">
          <cell r="B29" t="str">
            <v>ANDRE GUNTUR TEGUH WIJAKSANA SILAEN</v>
          </cell>
          <cell r="C29" t="str">
            <v>CABANG MADYA KLAS PONTIANAK</v>
          </cell>
          <cell r="D29" t="str">
            <v>CABANG MADYA KLAS PONTIANAK</v>
          </cell>
          <cell r="E29" t="str">
            <v>SURVEYOR SENIOR I A</v>
          </cell>
          <cell r="F29" t="str">
            <v>andre.gtws@bki.co.id</v>
          </cell>
          <cell r="G29" t="str">
            <v>081388418473</v>
          </cell>
          <cell r="H29" t="str">
            <v>6A</v>
          </cell>
          <cell r="I29">
            <v>0</v>
          </cell>
        </row>
        <row r="30">
          <cell r="B30" t="str">
            <v>DEDY HERYADI</v>
          </cell>
          <cell r="C30" t="str">
            <v>CABANG MADYA KLAS PONTIANAK</v>
          </cell>
          <cell r="D30" t="str">
            <v>CABANG MADYA KLAS PONTIANAK</v>
          </cell>
          <cell r="E30" t="str">
            <v>SUPIR</v>
          </cell>
          <cell r="F30" t="str">
            <v>dedi.heryadi@bki.co.id</v>
          </cell>
          <cell r="G30" t="str">
            <v/>
          </cell>
          <cell r="H30" t="str">
            <v>1A</v>
          </cell>
          <cell r="I30">
            <v>0</v>
          </cell>
        </row>
        <row r="31">
          <cell r="B31" t="str">
            <v>SANDI NANDARIANTO</v>
          </cell>
          <cell r="C31" t="str">
            <v>CABANG MADYA KLAS PONTIANAK</v>
          </cell>
          <cell r="D31" t="str">
            <v>CABANG MADYA KLAS PONTIANAK</v>
          </cell>
          <cell r="E31" t="str">
            <v>SURVEYOR</v>
          </cell>
          <cell r="F31" t="str">
            <v>sandi.nandarianto@bki.co.id</v>
          </cell>
          <cell r="G31" t="str">
            <v>081281901110</v>
          </cell>
          <cell r="H31" t="str">
            <v>5C</v>
          </cell>
          <cell r="I31">
            <v>0</v>
          </cell>
        </row>
        <row r="32">
          <cell r="B32" t="str">
            <v>RENZA MUHARAM</v>
          </cell>
          <cell r="C32" t="str">
            <v>CABANG MADYA KLAS PONTIANAK</v>
          </cell>
          <cell r="D32" t="str">
            <v>CABANG MADYA KLAS PONTIANAK</v>
          </cell>
          <cell r="E32" t="str">
            <v>STAF DUKUNGAN BISNIS</v>
          </cell>
          <cell r="F32" t="str">
            <v>renza@bki.co.id</v>
          </cell>
          <cell r="G32" t="str">
            <v>081298213003</v>
          </cell>
          <cell r="H32" t="str">
            <v>-</v>
          </cell>
          <cell r="I32">
            <v>0</v>
          </cell>
        </row>
        <row r="33">
          <cell r="B33" t="str">
            <v>ARIFIN NUR</v>
          </cell>
          <cell r="C33" t="str">
            <v>CABANG MADYA KLAS PONTIANAK</v>
          </cell>
          <cell r="D33" t="str">
            <v>CABANG MADYA KLAS PONTIANAK</v>
          </cell>
          <cell r="E33" t="str">
            <v>STAF DUKUNGAN BISNIS</v>
          </cell>
          <cell r="F33" t="str">
            <v>arifin.nur@bki.co.id</v>
          </cell>
          <cell r="G33" t="str">
            <v>081351509496</v>
          </cell>
          <cell r="H33" t="str">
            <v>-</v>
          </cell>
          <cell r="I33">
            <v>0</v>
          </cell>
        </row>
        <row r="34">
          <cell r="B34" t="str">
            <v>SUDIRMAN</v>
          </cell>
          <cell r="C34" t="str">
            <v>CABANG MADYA KOMERSIL BATAM</v>
          </cell>
          <cell r="D34" t="str">
            <v>CABANG MADYA KOMERSIL BATAM</v>
          </cell>
          <cell r="E34" t="str">
            <v xml:space="preserve">INSPEKTUR JUNIOR II </v>
          </cell>
          <cell r="F34" t="str">
            <v>sudirman.amir@bki.co.id</v>
          </cell>
          <cell r="G34" t="str">
            <v>0852 4209 9836</v>
          </cell>
          <cell r="H34" t="str">
            <v>4C</v>
          </cell>
          <cell r="I34">
            <v>0</v>
          </cell>
        </row>
        <row r="35">
          <cell r="B35" t="str">
            <v>MUKHAMAD ZUL ASIP</v>
          </cell>
          <cell r="C35" t="str">
            <v>CABANG MADYA KOMERSIL BATAM</v>
          </cell>
          <cell r="D35" t="str">
            <v>CABANG MADYA KOMERSIL BATAM</v>
          </cell>
          <cell r="E35" t="str">
            <v>ADMINISTRATOR</v>
          </cell>
          <cell r="F35" t="str">
            <v>zul.asip@bki.co.id</v>
          </cell>
          <cell r="G35" t="str">
            <v>0812 1556 6990</v>
          </cell>
          <cell r="H35" t="str">
            <v>2A</v>
          </cell>
          <cell r="I35">
            <v>0</v>
          </cell>
        </row>
        <row r="36">
          <cell r="B36" t="str">
            <v>PAJARUDDIN</v>
          </cell>
          <cell r="C36" t="str">
            <v>CABANG MADYA KOMERSIL BATAM</v>
          </cell>
          <cell r="D36" t="str">
            <v>CABANG MADYA KOMERSIL BATAM</v>
          </cell>
          <cell r="E36" t="str">
            <v>OPERATOR PENGUJIAN</v>
          </cell>
          <cell r="F36" t="str">
            <v>pajaruddin@bki.co.id</v>
          </cell>
          <cell r="G36" t="str">
            <v/>
          </cell>
          <cell r="H36" t="str">
            <v>3A</v>
          </cell>
          <cell r="I36">
            <v>0</v>
          </cell>
        </row>
        <row r="37">
          <cell r="B37" t="str">
            <v>ZULFADLI</v>
          </cell>
          <cell r="C37" t="str">
            <v>CABANG MADYA KOMERSIL BATAM</v>
          </cell>
          <cell r="D37" t="str">
            <v>CABANG MADYA KOMERSIL BATAM</v>
          </cell>
          <cell r="E37" t="str">
            <v>INSPEKTUR</v>
          </cell>
          <cell r="F37" t="str">
            <v>fadli@bki.co.id</v>
          </cell>
          <cell r="G37" t="str">
            <v>08137275550</v>
          </cell>
          <cell r="H37" t="str">
            <v>5C</v>
          </cell>
          <cell r="I37">
            <v>0</v>
          </cell>
        </row>
        <row r="38">
          <cell r="B38" t="str">
            <v>HELPI TORONG</v>
          </cell>
          <cell r="C38" t="str">
            <v>CABANG MADYA KOMERSIL BATAM</v>
          </cell>
          <cell r="D38" t="str">
            <v>CABANG MADYA KOMERSIL BATAM</v>
          </cell>
          <cell r="E38" t="str">
            <v xml:space="preserve">INSPEKTUR JUNIOR I  </v>
          </cell>
          <cell r="F38" t="str">
            <v>helpi@bki.co.id</v>
          </cell>
          <cell r="G38" t="str">
            <v>081536706628</v>
          </cell>
          <cell r="H38" t="str">
            <v>3C</v>
          </cell>
          <cell r="I38">
            <v>0</v>
          </cell>
        </row>
        <row r="39">
          <cell r="B39" t="str">
            <v>BERMAN SARAGIH</v>
          </cell>
          <cell r="C39" t="str">
            <v>CABANG MADYA KOMERSIL BATAM</v>
          </cell>
          <cell r="D39" t="str">
            <v>CABANG MADYA KOMERSIL BATAM</v>
          </cell>
          <cell r="E39" t="str">
            <v xml:space="preserve">INSPEKTUR JUNIOR I  </v>
          </cell>
          <cell r="F39" t="str">
            <v>berman.saragih@bki.co.id</v>
          </cell>
          <cell r="G39" t="str">
            <v>081372101812</v>
          </cell>
          <cell r="H39" t="str">
            <v>3C</v>
          </cell>
          <cell r="I39">
            <v>150000</v>
          </cell>
        </row>
        <row r="40">
          <cell r="B40" t="str">
            <v>RUSDY WANGSA</v>
          </cell>
          <cell r="C40" t="str">
            <v>CABANG MADYA KOMERSIL BATAM</v>
          </cell>
          <cell r="D40" t="str">
            <v>CABANG MADYA KOMERSIL BATAM</v>
          </cell>
          <cell r="E40" t="str">
            <v>ADMINISTRATOR</v>
          </cell>
          <cell r="F40" t="str">
            <v>rusdy.wangsa@bki.co.id</v>
          </cell>
          <cell r="G40" t="str">
            <v>085668759302</v>
          </cell>
          <cell r="H40" t="str">
            <v>2A</v>
          </cell>
          <cell r="I40">
            <v>150000</v>
          </cell>
        </row>
        <row r="41">
          <cell r="B41" t="str">
            <v>AHDIYAR</v>
          </cell>
          <cell r="C41" t="str">
            <v>CABANG MADYA KOMERSIL BATAM</v>
          </cell>
          <cell r="D41" t="str">
            <v>CABANG MADYA KOMERSIL BATAM</v>
          </cell>
          <cell r="E41" t="str">
            <v xml:space="preserve">INSPEKTUR JUNIOR II </v>
          </cell>
          <cell r="F41" t="str">
            <v>ahdiyar@bki.co.id</v>
          </cell>
          <cell r="G41" t="str">
            <v>08117011082</v>
          </cell>
          <cell r="H41" t="str">
            <v>4C</v>
          </cell>
          <cell r="I41">
            <v>0</v>
          </cell>
        </row>
        <row r="42">
          <cell r="B42" t="str">
            <v>IRVAN DESIADININGRAT ISKANDAR</v>
          </cell>
          <cell r="C42" t="str">
            <v>CABANG MADYA KOMERSIL BATAM</v>
          </cell>
          <cell r="D42" t="str">
            <v>CABANG MADYA KOMERSIL BATAM</v>
          </cell>
          <cell r="E42" t="str">
            <v>INSPEKTUR</v>
          </cell>
          <cell r="F42" t="str">
            <v>irvan@bki.co.id</v>
          </cell>
          <cell r="G42" t="str">
            <v>082173200097</v>
          </cell>
          <cell r="H42" t="str">
            <v>5C</v>
          </cell>
          <cell r="I42">
            <v>0</v>
          </cell>
        </row>
        <row r="43">
          <cell r="B43" t="str">
            <v>MUHAMMAD RYAN ANDHIKA</v>
          </cell>
          <cell r="C43" t="str">
            <v>CABANG MADYA KOMERSIL BATAM</v>
          </cell>
          <cell r="D43" t="str">
            <v>CABANG MADYA KOMERSIL BATAM</v>
          </cell>
          <cell r="E43" t="str">
            <v xml:space="preserve">INSPEKTUR JUNIOR II </v>
          </cell>
          <cell r="F43" t="str">
            <v>ryan@bki.co.id</v>
          </cell>
          <cell r="G43" t="str">
            <v>081364503377</v>
          </cell>
          <cell r="H43" t="str">
            <v>4C</v>
          </cell>
          <cell r="I43">
            <v>0</v>
          </cell>
        </row>
        <row r="44">
          <cell r="B44" t="str">
            <v>HENDRA ADY SAPUTRA M</v>
          </cell>
          <cell r="C44" t="str">
            <v>CABANG MADYA KOMERSIL BATAM</v>
          </cell>
          <cell r="D44" t="str">
            <v>CABANG MADYA KOMERSIL BATAM</v>
          </cell>
          <cell r="E44" t="str">
            <v xml:space="preserve">INSPEKTUR JUNIOR I  </v>
          </cell>
          <cell r="F44" t="str">
            <v>Hendra.as@bki.co.id</v>
          </cell>
          <cell r="G44" t="str">
            <v>0852 5522 2678</v>
          </cell>
          <cell r="H44" t="str">
            <v>3C</v>
          </cell>
          <cell r="I44">
            <v>0</v>
          </cell>
        </row>
        <row r="45">
          <cell r="B45" t="str">
            <v>ANDI MULIADI</v>
          </cell>
          <cell r="C45" t="str">
            <v>CABANG MADYA KOMERSIL BATAM</v>
          </cell>
          <cell r="D45" t="str">
            <v>CABANG MADYA KOMERSIL BATAM</v>
          </cell>
          <cell r="E45" t="str">
            <v xml:space="preserve">INSPEKTUR JUNIOR I  </v>
          </cell>
          <cell r="F45" t="str">
            <v>muliadi@bki.co.id</v>
          </cell>
          <cell r="G45" t="str">
            <v/>
          </cell>
          <cell r="H45" t="str">
            <v>3C</v>
          </cell>
          <cell r="I45">
            <v>0</v>
          </cell>
        </row>
        <row r="46">
          <cell r="B46" t="str">
            <v>MARISANDI</v>
          </cell>
          <cell r="C46" t="str">
            <v>CABANG MADYA KOMERSIL BATAM</v>
          </cell>
          <cell r="D46" t="str">
            <v>CABANG MADYA KOMERSIL BATAM</v>
          </cell>
          <cell r="E46" t="str">
            <v>OPERATOR PENGUJIAN</v>
          </cell>
          <cell r="F46" t="str">
            <v>marisandi@bki.co.id</v>
          </cell>
          <cell r="G46" t="str">
            <v>0813 7274 0152</v>
          </cell>
          <cell r="H46" t="str">
            <v>3A</v>
          </cell>
          <cell r="I46">
            <v>0</v>
          </cell>
        </row>
        <row r="47">
          <cell r="B47" t="str">
            <v>ANDI IKBAR</v>
          </cell>
          <cell r="C47" t="str">
            <v>CABANG MADYA KOMERSIL BATAM</v>
          </cell>
          <cell r="D47" t="str">
            <v>CABANG MADYA KOMERSIL BATAM</v>
          </cell>
          <cell r="E47" t="str">
            <v xml:space="preserve">INSPEKTUR JUNIOR II  </v>
          </cell>
          <cell r="F47" t="str">
            <v>andi.ikbar@bki.co.id</v>
          </cell>
          <cell r="G47" t="str">
            <v>0813 5510 7801</v>
          </cell>
          <cell r="H47" t="str">
            <v>4C</v>
          </cell>
          <cell r="I47">
            <v>0</v>
          </cell>
        </row>
        <row r="48">
          <cell r="B48" t="str">
            <v>KADAR PATTONRA</v>
          </cell>
          <cell r="C48" t="str">
            <v>CABANG MADYA KOMERSIL BATAM</v>
          </cell>
          <cell r="D48" t="str">
            <v>CABANG MADYA KOMERSIL BATAM</v>
          </cell>
          <cell r="E48" t="str">
            <v>INSPEKTUR</v>
          </cell>
          <cell r="F48" t="str">
            <v>kadar@bki.co.id</v>
          </cell>
          <cell r="G48" t="str">
            <v>0852 7437 5777</v>
          </cell>
          <cell r="H48" t="str">
            <v>5C</v>
          </cell>
          <cell r="I48">
            <v>0</v>
          </cell>
        </row>
        <row r="49">
          <cell r="B49" t="str">
            <v>ARIF BIJAKSANA SATRIA NEGARA</v>
          </cell>
          <cell r="C49" t="str">
            <v>CABANG MADYA KOMERSIL BATAM</v>
          </cell>
          <cell r="D49" t="str">
            <v>CABANG MADYA KOMERSIL BATAM</v>
          </cell>
          <cell r="E49" t="str">
            <v>KEPALA CABANG MADYA KOMERSIL BATAM</v>
          </cell>
          <cell r="F49" t="str">
            <v>satria@bki.co.id</v>
          </cell>
          <cell r="G49" t="str">
            <v>08117000292</v>
          </cell>
          <cell r="H49" t="str">
            <v>7C</v>
          </cell>
          <cell r="I49">
            <v>250000</v>
          </cell>
        </row>
        <row r="50">
          <cell r="B50" t="str">
            <v>AHMAD YUSRAN</v>
          </cell>
          <cell r="C50" t="str">
            <v>CABANG MADYA KOMERSIL MAKASSAR</v>
          </cell>
          <cell r="D50" t="str">
            <v>CABANG MADYA KOMERSIL MAKASSAR</v>
          </cell>
          <cell r="E50" t="str">
            <v>INSPEKTUR</v>
          </cell>
          <cell r="F50" t="str">
            <v>ahmad.yusran@bki.co.id</v>
          </cell>
          <cell r="G50" t="str">
            <v>081342208879</v>
          </cell>
          <cell r="H50" t="str">
            <v>5C</v>
          </cell>
          <cell r="I50">
            <v>0</v>
          </cell>
        </row>
        <row r="51">
          <cell r="B51" t="str">
            <v>ACHSAN</v>
          </cell>
          <cell r="C51" t="str">
            <v>CABANG MADYA KOMERSIL MAKASSAR</v>
          </cell>
          <cell r="D51" t="str">
            <v>CABANG MADYA KOMERSIL MAKASSAR</v>
          </cell>
          <cell r="E51" t="str">
            <v>OPERATOR PENGUJIAN</v>
          </cell>
          <cell r="F51" t="str">
            <v>achsan@bki.co.id</v>
          </cell>
          <cell r="G51" t="str">
            <v>082288303315</v>
          </cell>
          <cell r="H51" t="str">
            <v>3A</v>
          </cell>
          <cell r="I51">
            <v>0</v>
          </cell>
        </row>
        <row r="52">
          <cell r="B52" t="str">
            <v>AWALUDDIN</v>
          </cell>
          <cell r="C52" t="str">
            <v>CABANG MADYA KOMERSIL MAKASSAR</v>
          </cell>
          <cell r="D52" t="str">
            <v>CABANG MADYA KOMERSIL MAKASSAR</v>
          </cell>
          <cell r="E52" t="str">
            <v xml:space="preserve">INSPEKTUR JUNIOR II </v>
          </cell>
          <cell r="F52" t="str">
            <v>awaluddin.msc@bki.co.id</v>
          </cell>
          <cell r="G52" t="str">
            <v>085255086542</v>
          </cell>
          <cell r="H52" t="str">
            <v>4C</v>
          </cell>
          <cell r="I52">
            <v>0</v>
          </cell>
        </row>
        <row r="53">
          <cell r="B53" t="str">
            <v>M. IRFAN</v>
          </cell>
          <cell r="C53" t="str">
            <v>CABANG MADYA KOMERSIL MAKASSAR</v>
          </cell>
          <cell r="D53" t="str">
            <v>CABANG MADYA KOMERSIL MAKASSAR</v>
          </cell>
          <cell r="E53" t="str">
            <v xml:space="preserve">INSPEKTUR JUNIOR II </v>
          </cell>
          <cell r="F53" t="str">
            <v>irfan@bki.co.id</v>
          </cell>
          <cell r="G53" t="str">
            <v>085242112823</v>
          </cell>
          <cell r="H53" t="str">
            <v>4C</v>
          </cell>
          <cell r="I53">
            <v>0</v>
          </cell>
        </row>
        <row r="54">
          <cell r="B54" t="str">
            <v>GUNAWAN SUNRE</v>
          </cell>
          <cell r="C54" t="str">
            <v>CABANG MADYA KOMERSIL MAKASSAR</v>
          </cell>
          <cell r="D54" t="str">
            <v>CABANG MADYA KOMERSIL MAKASSAR</v>
          </cell>
          <cell r="E54" t="str">
            <v>ADMINISTRATOR SENIOR</v>
          </cell>
          <cell r="F54" t="str">
            <v>gunawan.sunre@bki.co.id</v>
          </cell>
          <cell r="G54" t="str">
            <v>081245807039</v>
          </cell>
          <cell r="H54" t="str">
            <v>3B</v>
          </cell>
          <cell r="I54">
            <v>0</v>
          </cell>
        </row>
        <row r="55">
          <cell r="B55" t="str">
            <v>IRWAN</v>
          </cell>
          <cell r="C55" t="str">
            <v>CABANG MADYA KOMERSIL MAKASSAR</v>
          </cell>
          <cell r="D55" t="str">
            <v>CABANG MADYA KOMERSIL MAKASSAR</v>
          </cell>
          <cell r="E55" t="str">
            <v>KEPALA CABANG MADYA KOMERSIL MAKASSAR</v>
          </cell>
          <cell r="F55" t="str">
            <v>irwan@bki.co.id</v>
          </cell>
          <cell r="G55" t="str">
            <v>08125887407</v>
          </cell>
          <cell r="H55" t="str">
            <v>7C</v>
          </cell>
          <cell r="I55">
            <v>0</v>
          </cell>
        </row>
        <row r="56">
          <cell r="B56" t="str">
            <v>ANDI ARDI ABDULLAH</v>
          </cell>
          <cell r="C56" t="str">
            <v>CABANG MADYA KOMERSIL MAKASSAR</v>
          </cell>
          <cell r="D56" t="str">
            <v>CABANG MADYA KOMERSIL MAKASSAR</v>
          </cell>
          <cell r="E56" t="str">
            <v>INSPEKTUR</v>
          </cell>
          <cell r="F56" t="str">
            <v>a.ardi@bki.co.id</v>
          </cell>
          <cell r="G56" t="str">
            <v>0813 5551 3555</v>
          </cell>
          <cell r="H56" t="str">
            <v>5C</v>
          </cell>
          <cell r="I56">
            <v>150000</v>
          </cell>
        </row>
        <row r="57">
          <cell r="B57" t="str">
            <v>HAZAIRIN</v>
          </cell>
          <cell r="C57" t="str">
            <v>CABANG MADYA KOMERSIL MAKASSAR</v>
          </cell>
          <cell r="D57" t="str">
            <v>CABANG MADYA KOMERSIL MAKASSAR</v>
          </cell>
          <cell r="E57" t="str">
            <v xml:space="preserve">INSPEKTUR JUNIOR I  </v>
          </cell>
          <cell r="F57" t="str">
            <v>hazairin@bki.co.id</v>
          </cell>
          <cell r="G57" t="str">
            <v>085398570100</v>
          </cell>
          <cell r="H57" t="str">
            <v>3C</v>
          </cell>
          <cell r="I57">
            <v>0</v>
          </cell>
        </row>
        <row r="58">
          <cell r="B58" t="str">
            <v>FERI ANTONI</v>
          </cell>
          <cell r="C58" t="str">
            <v>CABANG MADYA KOMERSIL MAKASSAR</v>
          </cell>
          <cell r="D58" t="str">
            <v>CABANG MADYA KOMERSIL MAKASSAR</v>
          </cell>
          <cell r="E58" t="str">
            <v xml:space="preserve">INSPEKTUR JUNIOR II </v>
          </cell>
          <cell r="F58" t="str">
            <v>feri.antoni@bki.co.id</v>
          </cell>
          <cell r="G58" t="str">
            <v/>
          </cell>
          <cell r="H58" t="str">
            <v>4C</v>
          </cell>
          <cell r="I58">
            <v>0</v>
          </cell>
        </row>
        <row r="59">
          <cell r="B59" t="str">
            <v>RAFIUDDIN HAFID</v>
          </cell>
          <cell r="C59" t="str">
            <v>CABANG MADYA KOMERSIL MAKASSAR</v>
          </cell>
          <cell r="D59" t="str">
            <v>CABANG MADYA KOMERSIL MAKASSAR</v>
          </cell>
          <cell r="E59" t="str">
            <v xml:space="preserve">INSPEKTUR JUNIOR I  </v>
          </cell>
          <cell r="F59" t="str">
            <v>rafiuddin.hafid@bki.co.id</v>
          </cell>
          <cell r="G59" t="str">
            <v/>
          </cell>
          <cell r="H59" t="str">
            <v>3C</v>
          </cell>
          <cell r="I59">
            <v>0</v>
          </cell>
        </row>
        <row r="60">
          <cell r="B60" t="str">
            <v>ARDIYAN EKA SAPUTRA</v>
          </cell>
          <cell r="C60" t="str">
            <v>CABANG MADYA KOMERSIL MAKASSAR</v>
          </cell>
          <cell r="D60" t="str">
            <v>CABANG MADYA KOMERSIL MAKASSAR</v>
          </cell>
          <cell r="E60" t="str">
            <v xml:space="preserve">INSPEKTUR JUNIOR I  </v>
          </cell>
          <cell r="F60" t="str">
            <v>ardiyan.es@bki.co.id</v>
          </cell>
          <cell r="G60" t="str">
            <v>085255516615</v>
          </cell>
          <cell r="H60" t="str">
            <v>3C</v>
          </cell>
          <cell r="I60">
            <v>0</v>
          </cell>
        </row>
        <row r="61">
          <cell r="B61" t="str">
            <v>MUTTAQIN</v>
          </cell>
          <cell r="C61" t="str">
            <v>CABANG MADYA KOMERSIL PEKANBARU</v>
          </cell>
          <cell r="D61" t="str">
            <v>CABANG MADYA KOMERSIL PEKANBARU</v>
          </cell>
          <cell r="E61" t="str">
            <v>KEPALA CABANG MADYA KOMERSIL PEKANBARU</v>
          </cell>
          <cell r="F61" t="str">
            <v>muttaqin@bki.co.id</v>
          </cell>
          <cell r="G61" t="str">
            <v>081319754614</v>
          </cell>
          <cell r="H61" t="str">
            <v>7C</v>
          </cell>
          <cell r="I61">
            <v>0</v>
          </cell>
        </row>
        <row r="62">
          <cell r="B62" t="str">
            <v>M. HATTA BACO B</v>
          </cell>
          <cell r="C62" t="str">
            <v>CABANG MADYA KOMERSIL PEKANBARU</v>
          </cell>
          <cell r="D62" t="str">
            <v>CABANG MADYA KOMERSIL PEKANBARU</v>
          </cell>
          <cell r="E62" t="str">
            <v xml:space="preserve">INSPEKTUR JUNIOR II </v>
          </cell>
          <cell r="F62" t="str">
            <v>m.hatta@bki.co.id</v>
          </cell>
          <cell r="G62" t="str">
            <v/>
          </cell>
          <cell r="H62" t="str">
            <v>4C</v>
          </cell>
          <cell r="I62">
            <v>150000</v>
          </cell>
        </row>
        <row r="63">
          <cell r="B63" t="str">
            <v>RAHMAT S</v>
          </cell>
          <cell r="C63" t="str">
            <v>CABANG MADYA KOMERSIL PEKANBARU</v>
          </cell>
          <cell r="D63" t="str">
            <v>CABANG MADYA KOMERSIL PEKANBARU</v>
          </cell>
          <cell r="E63" t="str">
            <v xml:space="preserve">INSPEKTUR JUNIOR II </v>
          </cell>
          <cell r="F63" t="str">
            <v>rahmat.s@bki.co.id</v>
          </cell>
          <cell r="G63" t="str">
            <v>085364610661</v>
          </cell>
          <cell r="H63" t="str">
            <v>4C</v>
          </cell>
          <cell r="I63">
            <v>150000</v>
          </cell>
        </row>
        <row r="64">
          <cell r="B64" t="str">
            <v>EKONDRO</v>
          </cell>
          <cell r="C64" t="str">
            <v>CABANG MADYA KOMERSIL PEKANBARU</v>
          </cell>
          <cell r="D64" t="str">
            <v>CABANG MADYA KOMERSIL PEKANBARU</v>
          </cell>
          <cell r="E64" t="str">
            <v>OPERATOR PENGUJIAN</v>
          </cell>
          <cell r="F64" t="str">
            <v>ekondro@bki.co.id</v>
          </cell>
          <cell r="G64" t="str">
            <v>081270226202</v>
          </cell>
          <cell r="H64" t="str">
            <v>3A</v>
          </cell>
          <cell r="I64">
            <v>150000</v>
          </cell>
        </row>
        <row r="65">
          <cell r="B65" t="str">
            <v>INDAH PETRICIA SARI</v>
          </cell>
          <cell r="C65" t="str">
            <v>CABANG MADYA KOMERSIL PEKANBARU</v>
          </cell>
          <cell r="D65" t="str">
            <v>CABANG MADYA KOMERSIL PEKANBARU</v>
          </cell>
          <cell r="E65" t="str">
            <v>ADMINISTRATOR SENIOR</v>
          </cell>
          <cell r="F65" t="str">
            <v>indah.ps@bki.co.id</v>
          </cell>
          <cell r="G65" t="str">
            <v>081275591801</v>
          </cell>
          <cell r="H65" t="str">
            <v>3B</v>
          </cell>
          <cell r="I65">
            <v>150000</v>
          </cell>
        </row>
        <row r="66">
          <cell r="B66" t="str">
            <v>ROZI DELFEMI IRAWATI</v>
          </cell>
          <cell r="C66" t="str">
            <v>CABANG MADYA KOMERSIL PEKANBARU</v>
          </cell>
          <cell r="D66" t="str">
            <v>CABANG MADYA KOMERSIL PEKANBARU</v>
          </cell>
          <cell r="E66" t="str">
            <v>ADMINISTRATOR SENIOR</v>
          </cell>
          <cell r="F66" t="str">
            <v>rozi.di@bki.co.id</v>
          </cell>
          <cell r="G66" t="str">
            <v>08126725126</v>
          </cell>
          <cell r="H66" t="str">
            <v>3B</v>
          </cell>
          <cell r="I66">
            <v>150000</v>
          </cell>
        </row>
        <row r="67">
          <cell r="B67" t="str">
            <v>ZULFAENI</v>
          </cell>
          <cell r="C67" t="str">
            <v>CABANG MADYA KOMERSIL PEKANBARU</v>
          </cell>
          <cell r="D67" t="str">
            <v>CABANG MADYA KOMERSIL PEKANBARU</v>
          </cell>
          <cell r="E67" t="str">
            <v>ADMINISTRATOR</v>
          </cell>
          <cell r="F67" t="str">
            <v>zulfaeni@bki.co.id</v>
          </cell>
          <cell r="G67" t="str">
            <v>08127625796</v>
          </cell>
          <cell r="H67" t="str">
            <v>2A</v>
          </cell>
          <cell r="I67">
            <v>150000</v>
          </cell>
        </row>
        <row r="68">
          <cell r="B68" t="str">
            <v>ABDILAH</v>
          </cell>
          <cell r="C68" t="str">
            <v>CABANG MADYA KOMERSIL PEKANBARU</v>
          </cell>
          <cell r="D68" t="str">
            <v>CABANG MADYA KOMERSIL PEKANBARU</v>
          </cell>
          <cell r="E68" t="str">
            <v xml:space="preserve">INSPEKTUR JUNIOR I  </v>
          </cell>
          <cell r="F68" t="str">
            <v>abdilah@bki.co.id</v>
          </cell>
          <cell r="G68" t="str">
            <v>081268365964</v>
          </cell>
          <cell r="H68" t="str">
            <v>3C</v>
          </cell>
          <cell r="I68">
            <v>150000</v>
          </cell>
        </row>
        <row r="69">
          <cell r="B69" t="str">
            <v>ADI ISMANTO</v>
          </cell>
          <cell r="C69" t="str">
            <v>CABANG MADYA KOMERSIL PEKANBARU</v>
          </cell>
          <cell r="D69" t="str">
            <v>CABANG MADYA KOMERSIL PEKANBARU</v>
          </cell>
          <cell r="E69" t="str">
            <v xml:space="preserve">INSPEKTUR JUNIOR I  </v>
          </cell>
          <cell r="F69" t="str">
            <v>adi.ismanto@bki.co.id</v>
          </cell>
          <cell r="G69" t="str">
            <v>081371475688</v>
          </cell>
          <cell r="H69" t="str">
            <v>3C</v>
          </cell>
          <cell r="I69">
            <v>150000</v>
          </cell>
        </row>
        <row r="70">
          <cell r="B70" t="str">
            <v>BARI</v>
          </cell>
          <cell r="C70" t="str">
            <v>CABANG MADYA KOMERSIL PEKANBARU</v>
          </cell>
          <cell r="D70" t="str">
            <v>CABANG MADYA KOMERSIL PEKANBARU</v>
          </cell>
          <cell r="E70" t="str">
            <v xml:space="preserve">INSPEKTUR JUNIOR I  </v>
          </cell>
          <cell r="F70" t="str">
            <v>bari@bki.co.id</v>
          </cell>
          <cell r="G70" t="str">
            <v>08127621059</v>
          </cell>
          <cell r="H70" t="str">
            <v>3C</v>
          </cell>
          <cell r="I70">
            <v>150000</v>
          </cell>
        </row>
        <row r="71">
          <cell r="B71" t="str">
            <v>KAMARUDDIN</v>
          </cell>
          <cell r="C71" t="str">
            <v>CABANG MADYA KOMERSIL PEKANBARU</v>
          </cell>
          <cell r="D71" t="str">
            <v>CABANG MADYA KOMERSIL PEKANBARU</v>
          </cell>
          <cell r="E71" t="str">
            <v xml:space="preserve">INSPEKTUR JUNIOR I  </v>
          </cell>
          <cell r="F71" t="str">
            <v>kamaruddin@bki.co.id</v>
          </cell>
          <cell r="G71" t="str">
            <v>08127675474</v>
          </cell>
          <cell r="H71" t="str">
            <v>3C</v>
          </cell>
          <cell r="I71">
            <v>150000</v>
          </cell>
        </row>
        <row r="72">
          <cell r="B72" t="str">
            <v>SAID TAUFIQ</v>
          </cell>
          <cell r="C72" t="str">
            <v>CABANG MADYA KOMERSIL PEKANBARU</v>
          </cell>
          <cell r="D72" t="str">
            <v>CABANG MADYA KOMERSIL PEKANBARU</v>
          </cell>
          <cell r="E72" t="str">
            <v>INSPEKTUR</v>
          </cell>
          <cell r="F72" t="str">
            <v>said.taufik@bki.co.id</v>
          </cell>
          <cell r="G72" t="str">
            <v>081378425868</v>
          </cell>
          <cell r="H72" t="str">
            <v>5C</v>
          </cell>
          <cell r="I72">
            <v>250000</v>
          </cell>
        </row>
        <row r="73">
          <cell r="B73" t="str">
            <v>MUH ALI HASAN</v>
          </cell>
          <cell r="C73" t="str">
            <v>CABANG MADYA KOMERSIL PEKANBARU</v>
          </cell>
          <cell r="D73" t="str">
            <v>CABANG MADYA KOMERSIL PEKANBARU</v>
          </cell>
          <cell r="E73" t="str">
            <v xml:space="preserve">INSPEKTUR JUNIOR I  </v>
          </cell>
          <cell r="F73" t="str">
            <v>ali.hasan@bki.co.id</v>
          </cell>
          <cell r="G73" t="str">
            <v>081275657517</v>
          </cell>
          <cell r="H73" t="str">
            <v>3C</v>
          </cell>
          <cell r="I73">
            <v>150000</v>
          </cell>
        </row>
        <row r="74">
          <cell r="B74" t="str">
            <v>IRMA ESMERALDA</v>
          </cell>
          <cell r="C74" t="str">
            <v>CABANG MADYA KOMERSIL PEKANBARU</v>
          </cell>
          <cell r="D74" t="str">
            <v>CABANG MADYA KOMERSIL PEKANBARU</v>
          </cell>
          <cell r="E74" t="str">
            <v xml:space="preserve">INSPEKTUR JUNIOR I  </v>
          </cell>
          <cell r="F74" t="str">
            <v>irma.esmeralda@bki.co.id</v>
          </cell>
          <cell r="G74" t="str">
            <v>085272291221</v>
          </cell>
          <cell r="H74" t="str">
            <v>3C</v>
          </cell>
          <cell r="I74">
            <v>0</v>
          </cell>
        </row>
        <row r="75">
          <cell r="B75" t="str">
            <v>RAHMADANI</v>
          </cell>
          <cell r="C75" t="str">
            <v>DIVISI KEUANGAN DAN AKUNTANSI</v>
          </cell>
          <cell r="D75" t="str">
            <v>CABANG MADYA KOMERSIL PEKANBARU</v>
          </cell>
          <cell r="E75" t="str">
            <v>ANALIS KEUANGAN YANG DITEMPATKAN DI CAB. MADYA KOMERSIL PEKAN BARU</v>
          </cell>
          <cell r="F75" t="str">
            <v>rahmadani@bki.co.id</v>
          </cell>
          <cell r="G75" t="str">
            <v>08114197474</v>
          </cell>
          <cell r="H75" t="str">
            <v>5A</v>
          </cell>
          <cell r="I75">
            <v>0</v>
          </cell>
        </row>
        <row r="76">
          <cell r="B76" t="str">
            <v>GUNTUR CAHYO NUGROHO</v>
          </cell>
          <cell r="C76" t="str">
            <v>CABANG MADYA KOMERSIL SURABAYA</v>
          </cell>
          <cell r="D76" t="str">
            <v>CABANG MADYA KOMERSIL SURABAYA</v>
          </cell>
          <cell r="E76" t="str">
            <v xml:space="preserve">INSPEKTUR JUNIOR II </v>
          </cell>
          <cell r="F76" t="str">
            <v>guntur.cahyo@bki.co.id</v>
          </cell>
          <cell r="G76" t="str">
            <v>0852 3024 1208</v>
          </cell>
          <cell r="H76" t="str">
            <v>4C</v>
          </cell>
          <cell r="I76">
            <v>0</v>
          </cell>
        </row>
        <row r="77">
          <cell r="B77" t="str">
            <v>KHOIRUL ASNAWI</v>
          </cell>
          <cell r="C77" t="str">
            <v>CABANG MADYA KOMERSIL SURABAYA</v>
          </cell>
          <cell r="D77" t="str">
            <v>CABANG MADYA KOMERSIL SURABAYA</v>
          </cell>
          <cell r="E77" t="str">
            <v xml:space="preserve">INSPEKTUR JUNIOR I  </v>
          </cell>
          <cell r="F77" t="str">
            <v>khoirul.asnawi@bki.co.id</v>
          </cell>
          <cell r="G77" t="str">
            <v>0813 5834 0669</v>
          </cell>
          <cell r="H77" t="str">
            <v>3C</v>
          </cell>
          <cell r="I77">
            <v>0</v>
          </cell>
        </row>
        <row r="78">
          <cell r="B78" t="str">
            <v>RISKITA NOVITA SARI</v>
          </cell>
          <cell r="C78" t="str">
            <v>CABANG MADYA KOMERSIL SURABAYA</v>
          </cell>
          <cell r="D78" t="str">
            <v>CABANG MADYA KOMERSIL SURABAYA</v>
          </cell>
          <cell r="E78" t="str">
            <v>ADMINISTRATOR SENIOR</v>
          </cell>
          <cell r="F78" t="str">
            <v>riskita.sari@bki.co.id</v>
          </cell>
          <cell r="G78" t="str">
            <v>0812 5956 8424</v>
          </cell>
          <cell r="H78" t="str">
            <v>3B</v>
          </cell>
          <cell r="I78">
            <v>0</v>
          </cell>
        </row>
        <row r="79">
          <cell r="B79" t="str">
            <v>NOVAN ARDYANSYAH</v>
          </cell>
          <cell r="C79" t="str">
            <v>CABANG MADYA KOMERSIL SURABAYA</v>
          </cell>
          <cell r="D79" t="str">
            <v>CABANG MADYA KOMERSIL SURABAYA</v>
          </cell>
          <cell r="E79" t="str">
            <v xml:space="preserve">INSPEKTUR JUNIOR II </v>
          </cell>
          <cell r="F79" t="str">
            <v>novan@bki.co.id</v>
          </cell>
          <cell r="G79" t="str">
            <v>085257964021</v>
          </cell>
          <cell r="H79" t="str">
            <v>4C</v>
          </cell>
          <cell r="I79">
            <v>0</v>
          </cell>
        </row>
        <row r="80">
          <cell r="B80" t="str">
            <v>A'AN AGUS FIRMANSYAH</v>
          </cell>
          <cell r="C80" t="str">
            <v>CABANG MADYA KOMERSIL SURABAYA</v>
          </cell>
          <cell r="D80" t="str">
            <v>CABANG MADYA KOMERSIL SURABAYA</v>
          </cell>
          <cell r="E80" t="str">
            <v>INSPEKTUR</v>
          </cell>
          <cell r="F80" t="str">
            <v>aan@bki.co.id</v>
          </cell>
          <cell r="G80" t="str">
            <v>08123081472</v>
          </cell>
          <cell r="H80" t="str">
            <v>5C</v>
          </cell>
          <cell r="I80">
            <v>150000</v>
          </cell>
        </row>
        <row r="81">
          <cell r="B81" t="str">
            <v>MUH. NASIR</v>
          </cell>
          <cell r="C81" t="str">
            <v>CABANG MADYA KOMERSIL SURABAYA</v>
          </cell>
          <cell r="D81" t="str">
            <v>CABANG MADYA KOMERSIL SURABAYA</v>
          </cell>
          <cell r="E81" t="str">
            <v>INSPEKTUR</v>
          </cell>
          <cell r="F81" t="str">
            <v>nasir@bki.co.id</v>
          </cell>
          <cell r="G81" t="str">
            <v>081357114475</v>
          </cell>
          <cell r="H81" t="str">
            <v>5C</v>
          </cell>
          <cell r="I81">
            <v>150000</v>
          </cell>
        </row>
        <row r="82">
          <cell r="B82" t="str">
            <v>RUDOLF EDWARD DUPUY</v>
          </cell>
          <cell r="C82" t="str">
            <v>CABANG MADYA KOMERSIL SURABAYA</v>
          </cell>
          <cell r="D82" t="str">
            <v>CABANG MADYA KOMERSIL SURABAYA</v>
          </cell>
          <cell r="E82" t="str">
            <v>ADMINISTRATOR</v>
          </cell>
          <cell r="F82" t="str">
            <v>rudolf.ed@bki.co.id</v>
          </cell>
          <cell r="G82" t="str">
            <v>0812 7764 0741</v>
          </cell>
          <cell r="H82" t="str">
            <v>2A</v>
          </cell>
          <cell r="I82">
            <v>0</v>
          </cell>
        </row>
        <row r="83">
          <cell r="B83" t="str">
            <v>SUDIBYO</v>
          </cell>
          <cell r="C83" t="str">
            <v>CABANG MADYA KOMERSIL SURABAYA</v>
          </cell>
          <cell r="D83" t="str">
            <v>CABANG MADYA KOMERSIL SURABAYA</v>
          </cell>
          <cell r="E83" t="str">
            <v>KEPALA CABANG MADYA KOMERSIL SURABAYA</v>
          </cell>
          <cell r="F83" t="str">
            <v>sudibyo@bki.co.id</v>
          </cell>
          <cell r="G83" t="str">
            <v>082138271431</v>
          </cell>
          <cell r="H83" t="str">
            <v>7C</v>
          </cell>
          <cell r="I83">
            <v>0</v>
          </cell>
        </row>
        <row r="84">
          <cell r="B84" t="str">
            <v>BOBBY RAMADHAN</v>
          </cell>
          <cell r="C84" t="str">
            <v>CABANG MADYA KOMERSIL SURABAYA</v>
          </cell>
          <cell r="D84" t="str">
            <v>CABANG MADYA KOMERSIL SURABAYA</v>
          </cell>
          <cell r="E84" t="str">
            <v xml:space="preserve">INSPEKTUR JUNIOR I  </v>
          </cell>
          <cell r="F84" t="str">
            <v>bobby.ramadhan@bki.co.id</v>
          </cell>
          <cell r="G84" t="str">
            <v>081234608932</v>
          </cell>
          <cell r="H84" t="str">
            <v>3C</v>
          </cell>
          <cell r="I84">
            <v>0</v>
          </cell>
        </row>
        <row r="85">
          <cell r="B85" t="str">
            <v>ADIL ASMARA YUDHA</v>
          </cell>
          <cell r="C85" t="str">
            <v>CABANG MADYA KOMERSIL SURABAYA</v>
          </cell>
          <cell r="D85" t="str">
            <v>CABANG MADYA KOMERSIL SURABAYA</v>
          </cell>
          <cell r="E85" t="str">
            <v xml:space="preserve">INSPEKTUR JUNIOR I  </v>
          </cell>
          <cell r="F85" t="str">
            <v>adil.asmara@bki.co.id</v>
          </cell>
          <cell r="G85" t="str">
            <v>082234078634</v>
          </cell>
          <cell r="H85" t="str">
            <v>3C</v>
          </cell>
          <cell r="I85">
            <v>0</v>
          </cell>
        </row>
        <row r="86">
          <cell r="B86" t="str">
            <v>MUSTAKIM</v>
          </cell>
          <cell r="C86" t="str">
            <v>CABANG PRATAMA KLAS AMBON</v>
          </cell>
          <cell r="D86" t="str">
            <v>CABANG PRATAMA KLAS AMBON</v>
          </cell>
          <cell r="E86" t="str">
            <v>SURVEYOR SENIOR I A</v>
          </cell>
          <cell r="F86" t="str">
            <v>mustakim@bki.co.id</v>
          </cell>
          <cell r="G86" t="str">
            <v>082187324634</v>
          </cell>
          <cell r="H86" t="str">
            <v>6A</v>
          </cell>
          <cell r="I86">
            <v>250000</v>
          </cell>
        </row>
        <row r="87">
          <cell r="B87" t="str">
            <v>PETRUS TIPAWAEL</v>
          </cell>
          <cell r="C87" t="str">
            <v>CABANG PRATAMA KLAS AMBON</v>
          </cell>
          <cell r="D87" t="str">
            <v>CABANG PRATAMA KLAS AMBON</v>
          </cell>
          <cell r="E87" t="str">
            <v>ADMINISTRATOR SENIOR</v>
          </cell>
          <cell r="F87" t="str">
            <v>petrus.tipawel@bki.co.id</v>
          </cell>
          <cell r="G87" t="str">
            <v>081247608681</v>
          </cell>
          <cell r="H87" t="str">
            <v>3B</v>
          </cell>
          <cell r="I87">
            <v>0</v>
          </cell>
        </row>
        <row r="88">
          <cell r="B88" t="str">
            <v>MUHAMMAD FAJRIN M. SAID</v>
          </cell>
          <cell r="C88" t="str">
            <v>CABANG PRATAMA KLAS AMBON</v>
          </cell>
          <cell r="D88" t="str">
            <v>CABANG PRATAMA KLAS AMBON</v>
          </cell>
          <cell r="E88" t="str">
            <v>KEPALA CABANG PRATAMA KLAS AMBON</v>
          </cell>
          <cell r="F88" t="str">
            <v>fajrinsaid@bki.co.id</v>
          </cell>
          <cell r="G88" t="str">
            <v>0812241000074</v>
          </cell>
          <cell r="H88" t="str">
            <v>6C</v>
          </cell>
          <cell r="I88">
            <v>250000</v>
          </cell>
        </row>
        <row r="89">
          <cell r="B89" t="str">
            <v>YEHESKIEL HUBERT PARLUHUTAN</v>
          </cell>
          <cell r="C89" t="str">
            <v>CABANG PRATAMA KLAS AMBON</v>
          </cell>
          <cell r="D89" t="str">
            <v>CABANG PRATAMA KLAS AMBON</v>
          </cell>
          <cell r="E89" t="str">
            <v>SURVEYOR JUNIOR</v>
          </cell>
          <cell r="F89" t="str">
            <v>yeheskiel.hp@bki.co.id</v>
          </cell>
          <cell r="H89" t="str">
            <v>4C</v>
          </cell>
          <cell r="I89">
            <v>0</v>
          </cell>
        </row>
        <row r="90">
          <cell r="B90" t="str">
            <v>HARIS HENDRATMOKO</v>
          </cell>
          <cell r="C90" t="str">
            <v>CABANG PRATAMA KLAS BELAWAN</v>
          </cell>
          <cell r="D90" t="str">
            <v>CABANG PRATAMA KLAS BELAWAN</v>
          </cell>
          <cell r="E90" t="str">
            <v>SURVEYOR</v>
          </cell>
          <cell r="F90" t="str">
            <v>haris.hendratmoko@bki.co.id</v>
          </cell>
          <cell r="G90" t="str">
            <v>082166200750</v>
          </cell>
          <cell r="H90" t="str">
            <v>5C</v>
          </cell>
          <cell r="I90">
            <v>0</v>
          </cell>
        </row>
        <row r="91">
          <cell r="B91" t="str">
            <v>ADI KURNIAWAN</v>
          </cell>
          <cell r="C91" t="str">
            <v>CABANG PRATAMA KLAS BELAWAN</v>
          </cell>
          <cell r="D91" t="str">
            <v>CABANG PRATAMA KLAS BELAWAN</v>
          </cell>
          <cell r="E91" t="str">
            <v>KEPALA CABANG PRATAMA KLAS BELAWAN</v>
          </cell>
          <cell r="F91" t="str">
            <v>adi.kurniawan@bki.co.id</v>
          </cell>
          <cell r="G91" t="str">
            <v>0811 7104 046</v>
          </cell>
          <cell r="H91" t="str">
            <v>6C</v>
          </cell>
          <cell r="I91">
            <v>0</v>
          </cell>
        </row>
        <row r="92">
          <cell r="B92" t="str">
            <v>ANDI P. SIAGIAN</v>
          </cell>
          <cell r="C92" t="str">
            <v>DIVISI OPERASI BISNIS KLASIFIKASI</v>
          </cell>
          <cell r="D92" t="str">
            <v>CABANG PRATAMA KLAS BELAWAN</v>
          </cell>
          <cell r="E92" t="str">
            <v>SURVEYOR SENIOR II A KENDALI OPERASI YANG DITEMPATKAN DI CABANG PRATAMA KLAS BELAWAN</v>
          </cell>
          <cell r="F92" t="str">
            <v>andi@bki.co.id</v>
          </cell>
          <cell r="G92" t="str">
            <v>08114707890</v>
          </cell>
          <cell r="H92" t="str">
            <v>7A</v>
          </cell>
          <cell r="I92">
            <v>250000</v>
          </cell>
        </row>
        <row r="93">
          <cell r="B93" t="str">
            <v>FAUZI AKBAR NASUTION</v>
          </cell>
          <cell r="C93" t="str">
            <v>CABANG PRATAMA KLAS BELAWAN</v>
          </cell>
          <cell r="D93" t="str">
            <v>CABANG PRATAMA KLAS BELAWAN</v>
          </cell>
          <cell r="E93" t="str">
            <v>SURVEYOR SENIOR I A</v>
          </cell>
          <cell r="F93" t="str">
            <v>fauzi.an@bki.co.id</v>
          </cell>
          <cell r="G93" t="str">
            <v>081330225570</v>
          </cell>
          <cell r="H93" t="str">
            <v>6A</v>
          </cell>
          <cell r="I93">
            <v>0</v>
          </cell>
        </row>
        <row r="94">
          <cell r="B94" t="str">
            <v>RURI APRIDAH</v>
          </cell>
          <cell r="C94" t="str">
            <v>CABANG PRATAMA KLAS BELAWAN</v>
          </cell>
          <cell r="D94" t="str">
            <v>CABANG PRATAMA KLAS BELAWAN</v>
          </cell>
          <cell r="E94" t="str">
            <v>ADMINISTRATOR SENIOR</v>
          </cell>
          <cell r="F94" t="str">
            <v>ruri.apridah@bki.co.id</v>
          </cell>
          <cell r="G94" t="str">
            <v>0811603284</v>
          </cell>
          <cell r="H94" t="str">
            <v>3B</v>
          </cell>
          <cell r="I94">
            <v>0</v>
          </cell>
        </row>
        <row r="95">
          <cell r="B95" t="str">
            <v>YOSEP PUTERA MARULAM</v>
          </cell>
          <cell r="C95" t="str">
            <v>CABANG PRATAMA KLAS BELAWAN</v>
          </cell>
          <cell r="D95" t="str">
            <v>CABANG PRATAMA KLAS BELAWAN</v>
          </cell>
          <cell r="E95" t="str">
            <v xml:space="preserve">SURVEYOR JUNIOR </v>
          </cell>
          <cell r="F95" t="str">
            <v>yosep.putera@bki.co.id</v>
          </cell>
          <cell r="G95" t="str">
            <v>081262536592</v>
          </cell>
          <cell r="H95" t="str">
            <v>4C</v>
          </cell>
          <cell r="I95">
            <v>0</v>
          </cell>
        </row>
        <row r="96">
          <cell r="B96" t="str">
            <v>RUDI ARFIANSYAH</v>
          </cell>
          <cell r="C96" t="str">
            <v>CABANG PRATAMA KLAS BELAWAN</v>
          </cell>
          <cell r="D96" t="str">
            <v>CABANG PRATAMA KLAS BELAWAN</v>
          </cell>
          <cell r="E96" t="str">
            <v>STAF DUKUNGAN BISNIS</v>
          </cell>
          <cell r="F96" t="str">
            <v>rudi.arfiansyah@bki.co.id</v>
          </cell>
          <cell r="G96" t="str">
            <v>0811 6641 641</v>
          </cell>
          <cell r="H96" t="str">
            <v>-</v>
          </cell>
          <cell r="I96">
            <v>0</v>
          </cell>
        </row>
        <row r="97">
          <cell r="B97" t="str">
            <v>MARIHAT RIDHO SINAGA</v>
          </cell>
          <cell r="C97" t="str">
            <v>CABANG PRATAMA KLAS BELAWAN</v>
          </cell>
          <cell r="D97" t="str">
            <v>CABANG PRATAMA KLAS BELAWAN</v>
          </cell>
          <cell r="E97" t="str">
            <v>STAF DUKUNGAN BISNIS</v>
          </cell>
          <cell r="F97" t="str">
            <v>marihat.rs@bki.co.id</v>
          </cell>
          <cell r="G97" t="str">
            <v>082253379820</v>
          </cell>
          <cell r="H97" t="str">
            <v>-</v>
          </cell>
          <cell r="I97">
            <v>0</v>
          </cell>
        </row>
        <row r="98">
          <cell r="B98" t="str">
            <v>SITI IQLIMA</v>
          </cell>
          <cell r="C98" t="str">
            <v>CABANG PRATAMA KLAS BELAWAN</v>
          </cell>
          <cell r="D98" t="str">
            <v>CABANG PRATAMA KLAS BELAWAN</v>
          </cell>
          <cell r="E98" t="str">
            <v>STAF DUKUNGAN BISNIS</v>
          </cell>
          <cell r="F98" t="str">
            <v>siti.iqlima@bki.co.id</v>
          </cell>
          <cell r="G98" t="str">
            <v>082261271714</v>
          </cell>
          <cell r="H98" t="str">
            <v>-</v>
          </cell>
          <cell r="I98">
            <v>0</v>
          </cell>
        </row>
        <row r="99">
          <cell r="B99" t="str">
            <v>HASIDHIAN PRAYUDHI</v>
          </cell>
          <cell r="C99" t="str">
            <v>CABANG PRATAMA KLAS BITUNG</v>
          </cell>
          <cell r="D99" t="str">
            <v>CABANG PRATAMA KLAS BITUNG</v>
          </cell>
          <cell r="E99" t="str">
            <v>KEPALA CABANG PRATAMA KLAS BITUNG</v>
          </cell>
          <cell r="F99" t="str">
            <v>hprayudhi@bki.co.id</v>
          </cell>
          <cell r="G99" t="str">
            <v>085246377799</v>
          </cell>
          <cell r="H99" t="str">
            <v>6C</v>
          </cell>
          <cell r="I99">
            <v>0</v>
          </cell>
        </row>
        <row r="100">
          <cell r="B100" t="str">
            <v>AGRIS SETYAWAN</v>
          </cell>
          <cell r="C100" t="str">
            <v>CABANG PRATAMA KLAS BITUNG</v>
          </cell>
          <cell r="D100" t="str">
            <v>CABANG PRATAMA KLAS BITUNG</v>
          </cell>
          <cell r="E100" t="str">
            <v>SURVEYOR SENIOR I A</v>
          </cell>
          <cell r="F100" t="str">
            <v>agris@bki.co.id</v>
          </cell>
          <cell r="G100" t="str">
            <v>081380964649</v>
          </cell>
          <cell r="H100" t="str">
            <v>6A</v>
          </cell>
          <cell r="I100">
            <v>250000</v>
          </cell>
        </row>
        <row r="101">
          <cell r="B101" t="str">
            <v>ZUL FAJRIN AZDIN</v>
          </cell>
          <cell r="C101" t="str">
            <v>CABANG PRATAMA KLAS BITUNG</v>
          </cell>
          <cell r="D101" t="str">
            <v>CABANG PRATAMA KLAS BITUNG</v>
          </cell>
          <cell r="E101" t="str">
            <v>ADMINISTRATOR</v>
          </cell>
          <cell r="F101" t="str">
            <v>zul@bki.co.id</v>
          </cell>
          <cell r="G101" t="str">
            <v>085256283519</v>
          </cell>
          <cell r="H101" t="str">
            <v>2A</v>
          </cell>
          <cell r="I101">
            <v>150000</v>
          </cell>
        </row>
        <row r="102">
          <cell r="B102" t="str">
            <v>ARYO SINGGIH</v>
          </cell>
          <cell r="C102" t="str">
            <v>CABANG PRATAMA KLAS BITUNG</v>
          </cell>
          <cell r="D102" t="str">
            <v>CABANG PRATAMA KLAS BITUNG</v>
          </cell>
          <cell r="E102" t="str">
            <v>SURVEYOR SENIOR I</v>
          </cell>
          <cell r="F102" t="str">
            <v>aryo@bki.co.id</v>
          </cell>
          <cell r="G102" t="str">
            <v>08122990883</v>
          </cell>
          <cell r="H102" t="str">
            <v>6C</v>
          </cell>
          <cell r="I102">
            <v>250000</v>
          </cell>
        </row>
        <row r="103">
          <cell r="B103" t="str">
            <v>DARMA TODING</v>
          </cell>
          <cell r="C103" t="str">
            <v>CABANG PRATAMA KLAS BITUNG</v>
          </cell>
          <cell r="D103" t="str">
            <v>CABANG PRATAMA KLAS BITUNG</v>
          </cell>
          <cell r="E103" t="str">
            <v>INSPEKTUR</v>
          </cell>
          <cell r="F103" t="str">
            <v>darma.toding@bki.co.id</v>
          </cell>
          <cell r="G103" t="str">
            <v>08124303195</v>
          </cell>
          <cell r="H103" t="str">
            <v>5C</v>
          </cell>
          <cell r="I103">
            <v>0</v>
          </cell>
        </row>
        <row r="104">
          <cell r="B104" t="str">
            <v>EDY SANTOSO SARIALLO M</v>
          </cell>
          <cell r="C104" t="str">
            <v>CABANG PRATAMA KLAS BITUNG</v>
          </cell>
          <cell r="D104" t="str">
            <v>CABANG PRATAMA KLAS BITUNG</v>
          </cell>
          <cell r="E104" t="str">
            <v xml:space="preserve">INSPEKTUR JUNIOR II </v>
          </cell>
          <cell r="F104" t="str">
            <v>edy.sariallo@bki.co.id</v>
          </cell>
          <cell r="G104">
            <v>0</v>
          </cell>
          <cell r="H104" t="str">
            <v>4C</v>
          </cell>
          <cell r="I104">
            <v>0</v>
          </cell>
        </row>
        <row r="105">
          <cell r="B105" t="str">
            <v>AKHMAD WAHYUDI</v>
          </cell>
          <cell r="C105" t="str">
            <v>CABANG PRATAMA KLAS CIREBON</v>
          </cell>
          <cell r="D105" t="str">
            <v>CABANG PRATAMA KLAS CIREBON</v>
          </cell>
          <cell r="E105" t="str">
            <v>KEPALA CABANG PRATAMA KLAS CIREBON</v>
          </cell>
          <cell r="F105" t="str">
            <v>wahyudi@bki.co.id</v>
          </cell>
          <cell r="G105" t="str">
            <v>08121008904</v>
          </cell>
          <cell r="H105" t="str">
            <v>6C</v>
          </cell>
          <cell r="I105">
            <v>0</v>
          </cell>
        </row>
        <row r="106">
          <cell r="B106" t="str">
            <v>DWI ARYANTO</v>
          </cell>
          <cell r="C106" t="str">
            <v>CABANG PRATAMA KLAS CIREBON</v>
          </cell>
          <cell r="D106" t="str">
            <v>CABANG PRATAMA KLAS CIREBON</v>
          </cell>
          <cell r="E106" t="str">
            <v>SURVEYOR</v>
          </cell>
          <cell r="F106" t="str">
            <v>dwi.aryanto@bki.co.id</v>
          </cell>
          <cell r="G106" t="str">
            <v>0857 0768 9695</v>
          </cell>
          <cell r="H106" t="str">
            <v>5C</v>
          </cell>
          <cell r="I106">
            <v>0</v>
          </cell>
        </row>
        <row r="107">
          <cell r="B107" t="str">
            <v>RICKY YULIANTO</v>
          </cell>
          <cell r="C107" t="str">
            <v>CABANG PRATAMA KLAS CIREBON</v>
          </cell>
          <cell r="D107" t="str">
            <v>CABANG PRATAMA KLAS CIREBON</v>
          </cell>
          <cell r="E107" t="str">
            <v>ADMINISTRATOR SENIOR</v>
          </cell>
          <cell r="F107" t="str">
            <v>ricky@bki.co.id</v>
          </cell>
          <cell r="G107" t="str">
            <v>0812 3167 291</v>
          </cell>
          <cell r="H107" t="str">
            <v>3B</v>
          </cell>
          <cell r="I107">
            <v>0</v>
          </cell>
        </row>
        <row r="108">
          <cell r="B108" t="str">
            <v>CHOIRUN CAHYOABDI</v>
          </cell>
          <cell r="C108" t="str">
            <v>CABANG PRATAMA KLAS CIREBON</v>
          </cell>
          <cell r="D108" t="str">
            <v>CABANG PRATAMA KLAS CIREBON</v>
          </cell>
          <cell r="E108" t="str">
            <v>SURVEYOR</v>
          </cell>
          <cell r="F108" t="str">
            <v>choironcahyo@bki.co.id</v>
          </cell>
          <cell r="G108" t="str">
            <v>0857 1171 1841</v>
          </cell>
          <cell r="H108" t="str">
            <v>5C</v>
          </cell>
          <cell r="I108">
            <v>150000</v>
          </cell>
        </row>
        <row r="109">
          <cell r="B109" t="str">
            <v>ANDI FIRMANSYAH</v>
          </cell>
          <cell r="C109" t="str">
            <v>CABANG PRATAMA KLAS CIREBON</v>
          </cell>
          <cell r="D109" t="str">
            <v>CABANG PRATAMA KLAS CIREBON</v>
          </cell>
          <cell r="E109" t="str">
            <v xml:space="preserve">INSPEKTUR JUNIOR I  </v>
          </cell>
          <cell r="F109" t="str">
            <v>andi.firmansyah@bki.co.id</v>
          </cell>
          <cell r="G109" t="str">
            <v>081242899222</v>
          </cell>
          <cell r="H109" t="str">
            <v>3C</v>
          </cell>
          <cell r="I109">
            <v>0</v>
          </cell>
        </row>
        <row r="110">
          <cell r="B110" t="str">
            <v>IKHSAN ISMAIL</v>
          </cell>
          <cell r="C110" t="str">
            <v>CABANG PRATAMA KLAS CIREBON</v>
          </cell>
          <cell r="D110" t="str">
            <v>CABANG PRATAMA KLAS CIREBON</v>
          </cell>
          <cell r="E110" t="str">
            <v xml:space="preserve">INSPEKTUR JUNIOR II </v>
          </cell>
          <cell r="F110" t="str">
            <v>ikhsan@bki.co.id</v>
          </cell>
          <cell r="G110" t="str">
            <v>0812 2167 6711</v>
          </cell>
          <cell r="H110" t="str">
            <v>4C</v>
          </cell>
          <cell r="I110">
            <v>0</v>
          </cell>
        </row>
        <row r="111">
          <cell r="B111" t="str">
            <v>BERNADUS BAYUAJI WIRABUANA</v>
          </cell>
          <cell r="C111" t="str">
            <v>CABANG PRATAMA KLAS CIREBON</v>
          </cell>
          <cell r="D111" t="str">
            <v>CABANG PRATAMA KLAS CIREBON</v>
          </cell>
          <cell r="E111" t="str">
            <v xml:space="preserve">INSPEKTUR JUNIOR I  </v>
          </cell>
          <cell r="F111" t="str">
            <v>bayu.aw@bki.co.id</v>
          </cell>
          <cell r="G111" t="str">
            <v/>
          </cell>
          <cell r="H111" t="str">
            <v>3C</v>
          </cell>
          <cell r="I111">
            <v>0</v>
          </cell>
        </row>
        <row r="112">
          <cell r="B112" t="str">
            <v>LADY AGUSTINE AMALIYA</v>
          </cell>
          <cell r="C112" t="str">
            <v>CABANG PRATAMA KLAS CIREBON</v>
          </cell>
          <cell r="D112" t="str">
            <v>CABANG PRATAMA KLAS CIREBON</v>
          </cell>
          <cell r="E112" t="str">
            <v>STAF DUKUNGAN BISNIS</v>
          </cell>
          <cell r="F112" t="str">
            <v>lady.agustine@bki.co.id</v>
          </cell>
          <cell r="G112" t="str">
            <v>08128392434</v>
          </cell>
          <cell r="H112" t="str">
            <v>-</v>
          </cell>
          <cell r="I112">
            <v>0</v>
          </cell>
        </row>
        <row r="113">
          <cell r="B113" t="str">
            <v>IZZUDIN AKBAR AL FARABI</v>
          </cell>
          <cell r="C113" t="str">
            <v>CABANG PRATAMA KLAS CIREBON</v>
          </cell>
          <cell r="D113" t="str">
            <v>CABANG PRATAMA KLAS CIREBON</v>
          </cell>
          <cell r="E113" t="str">
            <v xml:space="preserve">Staf Administrasi Operasional </v>
          </cell>
          <cell r="F113" t="str">
            <v>izzuddin.akbar@bki.co.id</v>
          </cell>
          <cell r="G113" t="str">
            <v>085156015638</v>
          </cell>
          <cell r="H113" t="str">
            <v>-</v>
          </cell>
          <cell r="I113">
            <v>0</v>
          </cell>
        </row>
        <row r="114">
          <cell r="B114" t="str">
            <v>RISKY HARI PRASETYO</v>
          </cell>
          <cell r="C114" t="str">
            <v>CABANG PRATAMA KLAS JAMBI</v>
          </cell>
          <cell r="D114" t="str">
            <v>CABANG PRATAMA KLAS JAMBI</v>
          </cell>
          <cell r="E114" t="str">
            <v>SURVEYOR</v>
          </cell>
          <cell r="F114" t="str">
            <v>risky.hp@bki.co.id</v>
          </cell>
          <cell r="G114" t="str">
            <v>0821 1133 3366</v>
          </cell>
          <cell r="H114" t="str">
            <v>5C</v>
          </cell>
          <cell r="I114">
            <v>0</v>
          </cell>
        </row>
        <row r="115">
          <cell r="B115" t="str">
            <v>YULIAN ARPIANTO</v>
          </cell>
          <cell r="C115" t="str">
            <v>CABANG PRATAMA KLAS JAMBI</v>
          </cell>
          <cell r="D115" t="str">
            <v>CABANG PRATAMA KLAS JAMBI</v>
          </cell>
          <cell r="E115" t="str">
            <v>KEPALA CABANG PRATAMA KLAS JAMBI</v>
          </cell>
          <cell r="F115" t="str">
            <v>yulian@bki.co.id</v>
          </cell>
          <cell r="G115" t="str">
            <v>085217089917</v>
          </cell>
          <cell r="H115" t="str">
            <v>6C</v>
          </cell>
          <cell r="I115">
            <v>350000</v>
          </cell>
        </row>
        <row r="116">
          <cell r="B116" t="str">
            <v>SULTAN ABBAS DANGKENG</v>
          </cell>
          <cell r="C116" t="str">
            <v>CABANG PRATAMA KLAS JAMBI</v>
          </cell>
          <cell r="D116" t="str">
            <v>CABANG PRATAMA KLAS JAMBI</v>
          </cell>
          <cell r="E116" t="str">
            <v xml:space="preserve">INSPEKTUR JUNIOR II </v>
          </cell>
          <cell r="F116" t="str">
            <v>sultan@bki.co.id</v>
          </cell>
          <cell r="G116" t="str">
            <v>082392184081</v>
          </cell>
          <cell r="H116" t="str">
            <v>4C</v>
          </cell>
          <cell r="I116">
            <v>0</v>
          </cell>
        </row>
        <row r="117">
          <cell r="B117" t="str">
            <v>EDI ZULKARNAIN</v>
          </cell>
          <cell r="C117" t="str">
            <v>CABANG PRATAMA KLAS JAMBI</v>
          </cell>
          <cell r="D117" t="str">
            <v>CABANG PRATAMA KLAS JAMBI</v>
          </cell>
          <cell r="E117" t="str">
            <v xml:space="preserve">INSPEKTUR JUNIOR II </v>
          </cell>
          <cell r="F117" t="str">
            <v>edi.zulkarnain@bki.co.id</v>
          </cell>
          <cell r="G117" t="str">
            <v>081277778775</v>
          </cell>
          <cell r="H117" t="str">
            <v>4C</v>
          </cell>
          <cell r="I117">
            <v>0</v>
          </cell>
        </row>
        <row r="118">
          <cell r="B118" t="str">
            <v>M IBNU ROHIM</v>
          </cell>
          <cell r="C118" t="str">
            <v>CABANG PRATAMA KLAS JAMBI</v>
          </cell>
          <cell r="D118" t="str">
            <v>CABANG PRATAMA KLAS JAMBI</v>
          </cell>
          <cell r="E118" t="str">
            <v>STAF OPERASIONAL &amp; UMUM</v>
          </cell>
          <cell r="F118" t="str">
            <v>Ibnu.Rohim@bki.co.id</v>
          </cell>
          <cell r="G118">
            <v>0</v>
          </cell>
          <cell r="H118" t="str">
            <v>-</v>
          </cell>
          <cell r="I118">
            <v>0</v>
          </cell>
        </row>
        <row r="119">
          <cell r="B119" t="str">
            <v>NORA OKTAVIA</v>
          </cell>
          <cell r="C119" t="str">
            <v>CABANG PRATAMA KLAS JAMBI</v>
          </cell>
          <cell r="D119" t="str">
            <v>CABANG PRATAMA KLAS JAMBI</v>
          </cell>
          <cell r="E119" t="str">
            <v>STAF DUKUNGAN BISNIS</v>
          </cell>
          <cell r="F119" t="str">
            <v>nora.oktavia@bki.co.id</v>
          </cell>
          <cell r="G119" t="str">
            <v>082280641426</v>
          </cell>
          <cell r="H119" t="str">
            <v>-</v>
          </cell>
          <cell r="I119">
            <v>0</v>
          </cell>
        </row>
        <row r="120">
          <cell r="B120" t="str">
            <v>SULASMAN</v>
          </cell>
          <cell r="C120" t="str">
            <v>CABANG PRATAMA KLAS MAKASSAR</v>
          </cell>
          <cell r="D120" t="str">
            <v>CABANG PRATAMA KLAS MAKASSAR</v>
          </cell>
          <cell r="E120" t="str">
            <v>KEPALA CABANG PRATAMA KLAS MAKASSAR</v>
          </cell>
          <cell r="F120" t="str">
            <v>sulasman@bki.co.id</v>
          </cell>
          <cell r="G120" t="str">
            <v>081231800046</v>
          </cell>
          <cell r="H120" t="str">
            <v>6C</v>
          </cell>
          <cell r="I120">
            <v>250000</v>
          </cell>
        </row>
        <row r="121">
          <cell r="B121" t="str">
            <v>MUH. ASQAR</v>
          </cell>
          <cell r="C121" t="str">
            <v>CABANG PRATAMA KLAS MAKASSAR</v>
          </cell>
          <cell r="D121" t="str">
            <v>CABANG PRATAMA KLAS MAKASSAR</v>
          </cell>
          <cell r="E121" t="str">
            <v>SURVEYOR SENIOR I A</v>
          </cell>
          <cell r="F121" t="str">
            <v>asqar@bki.co.id</v>
          </cell>
          <cell r="G121" t="str">
            <v>085255663280</v>
          </cell>
          <cell r="H121" t="str">
            <v>6A</v>
          </cell>
          <cell r="I121">
            <v>150000</v>
          </cell>
        </row>
        <row r="122">
          <cell r="B122" t="str">
            <v>ARDIANSYAH DAHLAN</v>
          </cell>
          <cell r="C122" t="str">
            <v>CABANG PRATAMA KLAS MAKASSAR</v>
          </cell>
          <cell r="D122" t="str">
            <v>CABANG PRATAMA KLAS MAKASSAR</v>
          </cell>
          <cell r="E122" t="str">
            <v>SURVEYOR CABANG PRATAMA KLAS MAKASSAR YANG DITEMPATKAN DI KENDARI</v>
          </cell>
          <cell r="F122" t="str">
            <v>ardiansyah.dahlan@bki.co.id</v>
          </cell>
          <cell r="G122" t="str">
            <v>0812 8546 8390</v>
          </cell>
          <cell r="H122" t="str">
            <v>5C</v>
          </cell>
          <cell r="I122">
            <v>0</v>
          </cell>
        </row>
        <row r="123">
          <cell r="B123" t="str">
            <v>HAMSAH</v>
          </cell>
          <cell r="C123" t="str">
            <v>CABANG PRATAMA KLAS MAKASSAR</v>
          </cell>
          <cell r="D123" t="str">
            <v>CABANG PRATAMA KLAS MAKASSAR</v>
          </cell>
          <cell r="E123" t="str">
            <v>ADMINISTRATOR</v>
          </cell>
          <cell r="F123" t="str">
            <v>hamsah@bki.co.id</v>
          </cell>
          <cell r="G123" t="str">
            <v>081342735471</v>
          </cell>
          <cell r="H123" t="str">
            <v>2A</v>
          </cell>
          <cell r="I123">
            <v>0</v>
          </cell>
        </row>
        <row r="124">
          <cell r="B124" t="str">
            <v>ILHAM SYAHRIR</v>
          </cell>
          <cell r="C124" t="str">
            <v>CABANG PRATAMA KLAS MAKASSAR</v>
          </cell>
          <cell r="D124" t="str">
            <v>CABANG PRATAMA KLAS MAKASSAR</v>
          </cell>
          <cell r="E124" t="str">
            <v>SURVEYOR SENIOR I A CABANG PRATAMA KLAS MAKASSAR YANG DITEMPATKAN DI KENDARI</v>
          </cell>
          <cell r="F124" t="str">
            <v>ilham@bki.co.id</v>
          </cell>
          <cell r="G124" t="str">
            <v>081316678567</v>
          </cell>
          <cell r="H124" t="str">
            <v>6A</v>
          </cell>
          <cell r="I124">
            <v>250000</v>
          </cell>
        </row>
        <row r="125">
          <cell r="B125" t="str">
            <v>MUHIBBUDDIN</v>
          </cell>
          <cell r="C125" t="str">
            <v>CABANG PRATAMA KLAS MAKASSAR</v>
          </cell>
          <cell r="D125" t="str">
            <v>CABANG PRATAMA KLAS MAKASSAR</v>
          </cell>
          <cell r="E125" t="str">
            <v>SURVEYOR SENIOR I A</v>
          </cell>
          <cell r="F125" t="str">
            <v>muhibuddin@bki.co.id</v>
          </cell>
          <cell r="G125" t="str">
            <v>081364908269</v>
          </cell>
          <cell r="H125" t="str">
            <v>6A</v>
          </cell>
          <cell r="I125">
            <v>0</v>
          </cell>
        </row>
        <row r="126">
          <cell r="B126" t="str">
            <v>MIFTAH FARIDY</v>
          </cell>
          <cell r="C126" t="str">
            <v>CABANG PRATAMA KLAS MAKASSAR</v>
          </cell>
          <cell r="D126" t="str">
            <v>CABANG PRATAMA KLAS MAKASSAR</v>
          </cell>
          <cell r="E126" t="str">
            <v>SURVEYOR SENIOR I B</v>
          </cell>
          <cell r="F126" t="str">
            <v>miftah.faridy@bki.co.id</v>
          </cell>
          <cell r="G126" t="str">
            <v>081268191001</v>
          </cell>
          <cell r="H126" t="str">
            <v>6B</v>
          </cell>
          <cell r="I126">
            <v>250000</v>
          </cell>
        </row>
        <row r="127">
          <cell r="B127" t="str">
            <v>ANGGRAENI DWI RIYANTI</v>
          </cell>
          <cell r="C127" t="str">
            <v>CABANG PRATAMA KLAS MAKASSAR</v>
          </cell>
          <cell r="D127" t="str">
            <v>CABANG PRATAMA KLAS MAKASSAR</v>
          </cell>
          <cell r="E127" t="str">
            <v>STAF DUKUNGAN BISNIS</v>
          </cell>
          <cell r="F127" t="str">
            <v>anggraeni.dr@bki.co.id</v>
          </cell>
          <cell r="G127">
            <v>0</v>
          </cell>
          <cell r="H127" t="str">
            <v>-</v>
          </cell>
          <cell r="I127">
            <v>0</v>
          </cell>
        </row>
        <row r="128">
          <cell r="B128" t="str">
            <v>FAJAR NUGRAHA</v>
          </cell>
          <cell r="C128" t="str">
            <v>CABANG PRATAMA KLAS SEMARANG</v>
          </cell>
          <cell r="D128" t="str">
            <v>CABANG PRATAMA KLAS SEMARANG</v>
          </cell>
          <cell r="E128" t="str">
            <v>SURVEYOR</v>
          </cell>
          <cell r="F128" t="str">
            <v>fajar.np@bki.co.id</v>
          </cell>
          <cell r="G128" t="str">
            <v>0812 8849 8757</v>
          </cell>
          <cell r="H128" t="str">
            <v>5C</v>
          </cell>
          <cell r="I128">
            <v>250000</v>
          </cell>
        </row>
        <row r="129">
          <cell r="B129" t="str">
            <v>ANDREW CRISTIANT PRAMUSINTA</v>
          </cell>
          <cell r="C129" t="str">
            <v>CABANG PRATAMA KLAS SEMARANG</v>
          </cell>
          <cell r="D129" t="str">
            <v>CABANG PRATAMA KLAS SEMARANG</v>
          </cell>
          <cell r="E129" t="str">
            <v>SURVEYOR</v>
          </cell>
          <cell r="F129" t="str">
            <v>andrew.cp@bki.co.id</v>
          </cell>
          <cell r="G129" t="str">
            <v>0812 3057 6267</v>
          </cell>
          <cell r="H129" t="str">
            <v>5C</v>
          </cell>
          <cell r="I129">
            <v>0</v>
          </cell>
        </row>
        <row r="130">
          <cell r="B130" t="str">
            <v>RINTO YANUAR WIJANARKO</v>
          </cell>
          <cell r="C130" t="str">
            <v>CABANG PRATAMA KLAS SEMARANG</v>
          </cell>
          <cell r="D130" t="str">
            <v>CABANG PRATAMA KLAS SEMARANG</v>
          </cell>
          <cell r="E130" t="str">
            <v>ADMINISTRATOR</v>
          </cell>
          <cell r="F130" t="str">
            <v>rinto@bki.co.id</v>
          </cell>
          <cell r="G130" t="str">
            <v>081225382328</v>
          </cell>
          <cell r="H130" t="str">
            <v>2A</v>
          </cell>
          <cell r="I130">
            <v>0</v>
          </cell>
        </row>
        <row r="131">
          <cell r="B131" t="str">
            <v>SUPRIYANTO</v>
          </cell>
          <cell r="C131" t="str">
            <v>CABANG PRATAMA KLAS SEMARANG</v>
          </cell>
          <cell r="D131" t="str">
            <v>CABANG PRATAMA KLAS SEMARANG</v>
          </cell>
          <cell r="E131" t="str">
            <v>SUPIR</v>
          </cell>
          <cell r="F131" t="str">
            <v>supriyanto@bki.co.id</v>
          </cell>
          <cell r="G131" t="str">
            <v>081326147808</v>
          </cell>
          <cell r="H131" t="str">
            <v>1A</v>
          </cell>
          <cell r="I131">
            <v>0</v>
          </cell>
        </row>
        <row r="132">
          <cell r="B132" t="str">
            <v>REVIOLITA</v>
          </cell>
          <cell r="C132" t="str">
            <v>CABANG PRATAMA KLAS SEMARANG</v>
          </cell>
          <cell r="D132" t="str">
            <v>CABANG PRATAMA KLAS SEMARANG</v>
          </cell>
          <cell r="E132" t="str">
            <v>ADMINISTRATOR SENIOR</v>
          </cell>
          <cell r="F132" t="str">
            <v>reviolita@bki.co.id</v>
          </cell>
          <cell r="G132" t="str">
            <v>081225279466</v>
          </cell>
          <cell r="H132" t="str">
            <v>3B</v>
          </cell>
          <cell r="I132">
            <v>0</v>
          </cell>
        </row>
        <row r="133">
          <cell r="B133" t="str">
            <v>HANIEF RIDHWAN ALMASSAWA</v>
          </cell>
          <cell r="C133" t="str">
            <v>CABANG PRATAMA KLAS SEMARANG</v>
          </cell>
          <cell r="D133" t="str">
            <v>CABANG PRATAMA KLAS SEMARANG</v>
          </cell>
          <cell r="E133" t="str">
            <v>KEPALA CABANG PRATAMA KLAS SEMARANG</v>
          </cell>
          <cell r="F133" t="str">
            <v>hanief@bki.co.id</v>
          </cell>
          <cell r="G133" t="str">
            <v>0811 1776 525</v>
          </cell>
          <cell r="H133" t="str">
            <v>6C</v>
          </cell>
          <cell r="I133">
            <v>0</v>
          </cell>
        </row>
        <row r="134">
          <cell r="B134" t="str">
            <v>BAMBANG SAPRIANTO</v>
          </cell>
          <cell r="C134" t="str">
            <v>CABANG PRATAMA KLAS SORONG</v>
          </cell>
          <cell r="D134" t="str">
            <v>CABANG PRATAMA KLAS SORONG</v>
          </cell>
          <cell r="E134" t="str">
            <v>OPERATOR PENGUJIAN</v>
          </cell>
          <cell r="F134" t="str">
            <v>bambang.saprianto@bki.co.id</v>
          </cell>
          <cell r="G134" t="str">
            <v>081347704414</v>
          </cell>
          <cell r="H134" t="str">
            <v>3A</v>
          </cell>
          <cell r="I134">
            <v>0</v>
          </cell>
        </row>
        <row r="135">
          <cell r="B135" t="str">
            <v>MUHAMMAD YUSUF</v>
          </cell>
          <cell r="C135" t="str">
            <v>CABANG PRATAMA KLAS SORONG</v>
          </cell>
          <cell r="D135" t="str">
            <v>CABANG PRATAMA KLAS SORONG</v>
          </cell>
          <cell r="E135" t="str">
            <v>ADMINISTRATOR SENIOR</v>
          </cell>
          <cell r="F135" t="str">
            <v>muhammad.yusuf@bki.co.id</v>
          </cell>
          <cell r="G135" t="str">
            <v>0811483454</v>
          </cell>
          <cell r="H135" t="str">
            <v>3B</v>
          </cell>
          <cell r="I135">
            <v>0</v>
          </cell>
        </row>
        <row r="136">
          <cell r="B136" t="str">
            <v>MUHAMMAD HATTA</v>
          </cell>
          <cell r="C136" t="str">
            <v>CABANG PRATAMA KLAS SORONG</v>
          </cell>
          <cell r="D136" t="str">
            <v>CABANG PRATAMA KLAS SORONG</v>
          </cell>
          <cell r="E136" t="str">
            <v>SUPIR</v>
          </cell>
          <cell r="F136" t="str">
            <v>hatta@bki.co.id</v>
          </cell>
          <cell r="G136">
            <v>0</v>
          </cell>
          <cell r="H136" t="str">
            <v>1A</v>
          </cell>
          <cell r="I136">
            <v>0</v>
          </cell>
        </row>
        <row r="137">
          <cell r="B137" t="str">
            <v>MUHAMMAD ICHSAN</v>
          </cell>
          <cell r="C137" t="str">
            <v>CABANG PRATAMA KLAS SORONG</v>
          </cell>
          <cell r="D137" t="str">
            <v>CABANG PRATAMA KLAS SORONG</v>
          </cell>
          <cell r="E137" t="str">
            <v>KEPALA CABANG PRATAMA KLAS SORONG</v>
          </cell>
          <cell r="F137" t="str">
            <v>ichsan@bki.co.id</v>
          </cell>
          <cell r="G137" t="str">
            <v>0813 5530 3501</v>
          </cell>
          <cell r="H137" t="str">
            <v>6C</v>
          </cell>
          <cell r="I137">
            <v>0</v>
          </cell>
        </row>
        <row r="138">
          <cell r="B138" t="str">
            <v>IWAN KARUNIA SIRINGORINGO</v>
          </cell>
          <cell r="C138" t="str">
            <v>CABANG PRATAMA KLAS SORONG</v>
          </cell>
          <cell r="D138" t="str">
            <v>CABANG PRATAMA KLAS SORONG</v>
          </cell>
          <cell r="E138" t="str">
            <v>SURVEYOR SENIOR I A</v>
          </cell>
          <cell r="F138" t="str">
            <v>ringgo@bki.co.id</v>
          </cell>
          <cell r="G138" t="str">
            <v>081332301979</v>
          </cell>
          <cell r="H138" t="str">
            <v>6A</v>
          </cell>
          <cell r="I138">
            <v>0</v>
          </cell>
        </row>
        <row r="139">
          <cell r="B139" t="str">
            <v>MUH. MUSYFINUL AKRAAM</v>
          </cell>
          <cell r="C139" t="str">
            <v>CABANG PRATAMA KLAS SORONG</v>
          </cell>
          <cell r="D139" t="str">
            <v>CABANG PRATAMA KLAS SORONG</v>
          </cell>
          <cell r="E139" t="str">
            <v xml:space="preserve">INSPEKTUR JUNIOR I  </v>
          </cell>
          <cell r="F139" t="str">
            <v>musyfinul.akraam@bki.co.id</v>
          </cell>
          <cell r="G139" t="str">
            <v/>
          </cell>
          <cell r="H139" t="str">
            <v>3C</v>
          </cell>
          <cell r="I139">
            <v>0</v>
          </cell>
        </row>
        <row r="140">
          <cell r="B140" t="str">
            <v>PAOJI PATRIA</v>
          </cell>
          <cell r="C140" t="str">
            <v>CABANG PRATAMA KLAS SORONG</v>
          </cell>
          <cell r="D140" t="str">
            <v>CABANG PRATAMA KLAS SORONG</v>
          </cell>
          <cell r="E140" t="str">
            <v>SURVEYOR JUNIOR</v>
          </cell>
          <cell r="F140" t="str">
            <v>paoji.pa@bki.co.id</v>
          </cell>
          <cell r="H140" t="str">
            <v>4C</v>
          </cell>
          <cell r="I140">
            <v>0</v>
          </cell>
        </row>
        <row r="141">
          <cell r="B141" t="str">
            <v>ARINDA DWI KUSUMASTUTI</v>
          </cell>
          <cell r="C141" t="str">
            <v>CABANG PRATAMA KLAS SORONG</v>
          </cell>
          <cell r="D141" t="str">
            <v>CABANG PRATAMA KLAS SORONG</v>
          </cell>
          <cell r="E141" t="str">
            <v>STAF ADMINISTRASI</v>
          </cell>
          <cell r="F141" t="str">
            <v>arinda.dk@bki.co.id</v>
          </cell>
          <cell r="G141" t="str">
            <v>085743659984</v>
          </cell>
          <cell r="H141" t="str">
            <v>-</v>
          </cell>
          <cell r="I141">
            <v>0</v>
          </cell>
        </row>
        <row r="142">
          <cell r="B142" t="str">
            <v>ANANDA NURAFIFAH ANGRAENI</v>
          </cell>
          <cell r="C142" t="str">
            <v>CABANG PRATAMA KLAS SORONG</v>
          </cell>
          <cell r="D142" t="str">
            <v>CABANG PRATAMA KLAS SORONG</v>
          </cell>
          <cell r="E142" t="str">
            <v>STAF OPERASIONAL</v>
          </cell>
          <cell r="F142" t="str">
            <v>anandanurafifah@bki.co.id</v>
          </cell>
          <cell r="H142" t="str">
            <v>-</v>
          </cell>
          <cell r="I142">
            <v>0</v>
          </cell>
        </row>
        <row r="143">
          <cell r="B143" t="str">
            <v>RYAN HANGGA SRI WIJIHARTO</v>
          </cell>
          <cell r="C143" t="str">
            <v>CABANG PRATAMA KOMERSIL BANJARMASIN</v>
          </cell>
          <cell r="D143" t="str">
            <v>CABANG PRATAMA KOMERSIL BANJARMASIN</v>
          </cell>
          <cell r="E143" t="str">
            <v>KEPALA CABANG PRATAMA KOMERSIL BANJARMASIN</v>
          </cell>
          <cell r="F143" t="str">
            <v>ryan.hangga@bki.co.id</v>
          </cell>
          <cell r="G143" t="str">
            <v>082111044424</v>
          </cell>
          <cell r="H143" t="str">
            <v>6C</v>
          </cell>
          <cell r="I143">
            <v>100000</v>
          </cell>
        </row>
        <row r="144">
          <cell r="B144" t="str">
            <v>MUHAMMAD ADAM FUDHOLI</v>
          </cell>
          <cell r="C144" t="str">
            <v>CABANG PRATAMA KOMERSIL BANJARMASIN</v>
          </cell>
          <cell r="D144" t="str">
            <v>CABANG PRATAMA KOMERSIL BANJARMASIN</v>
          </cell>
          <cell r="E144" t="str">
            <v xml:space="preserve">INSPEKTUR JUNIOR I  </v>
          </cell>
          <cell r="F144" t="str">
            <v>muhammad.fudholi@bki.co.id</v>
          </cell>
          <cell r="G144" t="str">
            <v>0821 5771 9970</v>
          </cell>
          <cell r="H144" t="str">
            <v>3C</v>
          </cell>
          <cell r="I144">
            <v>0</v>
          </cell>
        </row>
        <row r="145">
          <cell r="B145" t="str">
            <v>MOH. QOMARUZ ZAMAN</v>
          </cell>
          <cell r="C145" t="str">
            <v>CABANG PRATAMA KOMERSIL BANJARMASIN</v>
          </cell>
          <cell r="D145" t="str">
            <v>CABANG PRATAMA KOMERSIL BANJARMASIN</v>
          </cell>
          <cell r="E145" t="str">
            <v>INSPEKTUR</v>
          </cell>
          <cell r="F145" t="str">
            <v>qomaruz@bki.co.id</v>
          </cell>
          <cell r="G145">
            <v>0</v>
          </cell>
          <cell r="H145" t="str">
            <v>5C</v>
          </cell>
          <cell r="I145">
            <v>0</v>
          </cell>
        </row>
        <row r="146">
          <cell r="B146" t="str">
            <v>BAMBANG TRI NUGROHO</v>
          </cell>
          <cell r="C146" t="str">
            <v>CABANG PRATAMA KOMERSIL BANJARMASIN</v>
          </cell>
          <cell r="D146" t="str">
            <v>CABANG PRATAMA KOMERSIL BANJARMASIN</v>
          </cell>
          <cell r="E146" t="str">
            <v xml:space="preserve">INSPEKTUR JUNIOR I  </v>
          </cell>
          <cell r="F146" t="str">
            <v>bambang.tn@bki.co.id</v>
          </cell>
          <cell r="G146" t="str">
            <v>082311541504</v>
          </cell>
          <cell r="H146" t="str">
            <v>3C</v>
          </cell>
          <cell r="I146">
            <v>150000</v>
          </cell>
        </row>
        <row r="147">
          <cell r="B147" t="str">
            <v>NANCY OCTAVIA L. TORUAN</v>
          </cell>
          <cell r="C147" t="str">
            <v>CABANG PRATAMA KOMERSIL BANJARMASIN</v>
          </cell>
          <cell r="D147" t="str">
            <v>CABANG PRATAMA KOMERSIL BANJARMASIN</v>
          </cell>
          <cell r="E147" t="str">
            <v>ADMINISTRATOR</v>
          </cell>
          <cell r="F147" t="str">
            <v>nancy.toruan@bki.co.id</v>
          </cell>
          <cell r="G147" t="str">
            <v>081256860088</v>
          </cell>
          <cell r="H147" t="str">
            <v>2A</v>
          </cell>
          <cell r="I147">
            <v>0</v>
          </cell>
        </row>
        <row r="148">
          <cell r="B148" t="str">
            <v>BOYNI FITHALOKA</v>
          </cell>
          <cell r="C148" t="str">
            <v>CABANG PRATAMA KOMERSIL BANTEN</v>
          </cell>
          <cell r="D148" t="str">
            <v>CABANG PRATAMA KOMERSIL BANTEN</v>
          </cell>
          <cell r="E148" t="str">
            <v xml:space="preserve">INSPEKTUR JUNIOR I  </v>
          </cell>
          <cell r="F148" t="str">
            <v>Boyni.Fithaloka@bki.co.id</v>
          </cell>
          <cell r="G148" t="str">
            <v>081360088007</v>
          </cell>
          <cell r="H148" t="str">
            <v>3C</v>
          </cell>
          <cell r="I148">
            <v>0</v>
          </cell>
        </row>
        <row r="149">
          <cell r="B149" t="str">
            <v>MOH. NOOR KHOLIS</v>
          </cell>
          <cell r="C149" t="str">
            <v>CABANG PRATAMA KOMERSIL BANTEN</v>
          </cell>
          <cell r="D149" t="str">
            <v>CABANG PRATAMA KOMERSIL BANTEN</v>
          </cell>
          <cell r="E149" t="str">
            <v xml:space="preserve">INSPEKTUR JUNIOR II </v>
          </cell>
          <cell r="F149" t="str">
            <v>noor.kholis@bki.co.id</v>
          </cell>
          <cell r="G149" t="str">
            <v>085212431477</v>
          </cell>
          <cell r="H149" t="str">
            <v>4C</v>
          </cell>
          <cell r="I149">
            <v>150000</v>
          </cell>
        </row>
        <row r="150">
          <cell r="B150" t="str">
            <v>MUHAMMAD ARAFAH</v>
          </cell>
          <cell r="C150" t="str">
            <v>CABANG PRATAMA KOMERSIL BANTEN</v>
          </cell>
          <cell r="D150" t="str">
            <v>CABANG PRATAMA KOMERSIL BANTEN</v>
          </cell>
          <cell r="E150" t="str">
            <v>KEPALA CABANG PRATAMA KOMERSIL BANTEN</v>
          </cell>
          <cell r="F150" t="str">
            <v>arafah@bki.co.id</v>
          </cell>
          <cell r="G150" t="str">
            <v>08125434385</v>
          </cell>
          <cell r="H150" t="str">
            <v>6C</v>
          </cell>
          <cell r="I150">
            <v>450000</v>
          </cell>
        </row>
        <row r="151">
          <cell r="B151" t="str">
            <v>OKI DWI ANGGORO</v>
          </cell>
          <cell r="C151" t="str">
            <v>CABANG PRATAMA KOMERSIL BELAWAN</v>
          </cell>
          <cell r="D151" t="str">
            <v>CABANG PRATAMA KOMERSIL BELAWAN</v>
          </cell>
          <cell r="E151" t="str">
            <v xml:space="preserve">INSPEKTUR JUNIOR I  </v>
          </cell>
          <cell r="F151" t="str">
            <v>oki@bki.co.id</v>
          </cell>
          <cell r="G151" t="str">
            <v>0813 7442 6809</v>
          </cell>
          <cell r="H151" t="str">
            <v>3C</v>
          </cell>
          <cell r="I151">
            <v>150000</v>
          </cell>
        </row>
        <row r="152">
          <cell r="B152" t="str">
            <v>YUSRI TOMBANG</v>
          </cell>
          <cell r="C152" t="str">
            <v>CABANG PRATAMA KOMERSIL BELAWAN</v>
          </cell>
          <cell r="D152" t="str">
            <v>CABANG PRATAMA KOMERSIL BELAWAN</v>
          </cell>
          <cell r="E152" t="str">
            <v>KEPALA CABANG PRATAMA KOMERSIL BELAWAN</v>
          </cell>
          <cell r="F152" t="str">
            <v>yusri@bki.co.id</v>
          </cell>
          <cell r="G152" t="str">
            <v>081222953456</v>
          </cell>
          <cell r="H152" t="str">
            <v>6C</v>
          </cell>
          <cell r="I152">
            <v>0</v>
          </cell>
        </row>
        <row r="153">
          <cell r="B153" t="str">
            <v>HERI WIRAWAN</v>
          </cell>
          <cell r="C153" t="str">
            <v>CABANG PRATAMA KOMERSIL BELAWAN</v>
          </cell>
          <cell r="D153" t="str">
            <v>CABANG PRATAMA KOMERSIL BELAWAN</v>
          </cell>
          <cell r="E153" t="str">
            <v>INSPEKTUR</v>
          </cell>
          <cell r="F153" t="str">
            <v>heri.wirawan@bki.co.id</v>
          </cell>
          <cell r="G153" t="str">
            <v>081396563563</v>
          </cell>
          <cell r="H153" t="str">
            <v>5C</v>
          </cell>
          <cell r="I153">
            <v>150000</v>
          </cell>
        </row>
        <row r="154">
          <cell r="B154" t="str">
            <v>SYARI DODI AHMAD YANI</v>
          </cell>
          <cell r="C154" t="str">
            <v>CABANG PRATAMA KOMERSIL BELAWAN</v>
          </cell>
          <cell r="D154" t="str">
            <v>CABANG PRATAMA KOMERSIL BELAWAN</v>
          </cell>
          <cell r="E154" t="str">
            <v xml:space="preserve">INSPEKTUR JUNIOR I  </v>
          </cell>
          <cell r="F154" t="str">
            <v>syari@bki.co.id</v>
          </cell>
          <cell r="G154" t="str">
            <v>081263026504</v>
          </cell>
          <cell r="H154" t="str">
            <v>3C</v>
          </cell>
          <cell r="I154">
            <v>0</v>
          </cell>
        </row>
        <row r="155">
          <cell r="B155" t="str">
            <v>SUDARMA EDY SARAGIH JAWAK</v>
          </cell>
          <cell r="C155" t="str">
            <v>CABANG PRATAMA KOMERSIL BELAWAN</v>
          </cell>
          <cell r="D155" t="str">
            <v>CABANG PRATAMA KOMERSIL BELAWAN</v>
          </cell>
          <cell r="E155" t="str">
            <v>ADMINISTRATOR</v>
          </cell>
          <cell r="F155" t="str">
            <v>sudarma@bki.co.id</v>
          </cell>
          <cell r="G155" t="str">
            <v>081375959669</v>
          </cell>
          <cell r="H155" t="str">
            <v>2A</v>
          </cell>
          <cell r="I155">
            <v>150000</v>
          </cell>
        </row>
        <row r="156">
          <cell r="B156" t="str">
            <v>GANDA TUA LEONARDUS LUMBAN GAOL</v>
          </cell>
          <cell r="C156" t="str">
            <v>CABANG PRATAMA KOMERSIL BELAWAN</v>
          </cell>
          <cell r="D156" t="str">
            <v>CABANG PRATAMA KOMERSIL BELAWAN</v>
          </cell>
          <cell r="E156" t="str">
            <v xml:space="preserve">INSPEKTUR JUNIOR I  </v>
          </cell>
          <cell r="F156" t="str">
            <v>ganda.tua@bki.co.id</v>
          </cell>
          <cell r="G156">
            <v>0</v>
          </cell>
          <cell r="H156" t="str">
            <v>3C</v>
          </cell>
          <cell r="I156">
            <v>0</v>
          </cell>
        </row>
        <row r="157">
          <cell r="B157" t="str">
            <v>MUHAMMAD RIZKI</v>
          </cell>
          <cell r="C157" t="str">
            <v>CABANG PRATAMA KOMERSIL BELAWAN</v>
          </cell>
          <cell r="D157" t="str">
            <v>CABANG PRATAMA KOMERSIL BELAWAN</v>
          </cell>
          <cell r="E157" t="str">
            <v xml:space="preserve">INSPEKTUR JUNIOR I  </v>
          </cell>
          <cell r="F157" t="str">
            <v>muhrizky@bki.co.id</v>
          </cell>
          <cell r="G157" t="str">
            <v>081269080656</v>
          </cell>
          <cell r="H157" t="str">
            <v>3C</v>
          </cell>
          <cell r="I157">
            <v>0</v>
          </cell>
        </row>
        <row r="158">
          <cell r="B158" t="str">
            <v>MARZUKI DG LALLO</v>
          </cell>
          <cell r="C158" t="str">
            <v>CABANG PRATAMA KOMERSIL PALEMBANG</v>
          </cell>
          <cell r="D158" t="str">
            <v>CABANG PRATAMA KOMERSIL PALEMBANG</v>
          </cell>
          <cell r="E158" t="str">
            <v>KEPALA CABANG PRATAMA KOMERSIL PALEMBANG</v>
          </cell>
          <cell r="F158" t="str">
            <v>marzuki@bki.co.id</v>
          </cell>
          <cell r="G158" t="str">
            <v/>
          </cell>
          <cell r="H158" t="str">
            <v>6C</v>
          </cell>
          <cell r="I158">
            <v>0</v>
          </cell>
        </row>
        <row r="159">
          <cell r="B159" t="str">
            <v>WIDODO</v>
          </cell>
          <cell r="C159" t="str">
            <v>CABANG PRATAMA KOMERSIL PALEMBANG</v>
          </cell>
          <cell r="D159" t="str">
            <v>CABANG PRATAMA KOMERSIL PALEMBANG</v>
          </cell>
          <cell r="E159" t="str">
            <v>ADMINISTRATOR SENIOR</v>
          </cell>
          <cell r="F159" t="str">
            <v>widodo@bki.co.id</v>
          </cell>
          <cell r="G159" t="str">
            <v>085273767744</v>
          </cell>
          <cell r="H159" t="str">
            <v>3B</v>
          </cell>
          <cell r="I159">
            <v>150000</v>
          </cell>
        </row>
        <row r="160">
          <cell r="B160" t="str">
            <v>AKHMAD MULIADDIN</v>
          </cell>
          <cell r="C160" t="str">
            <v>CABANG PRATAMA KOMERSIL PALEMBANG</v>
          </cell>
          <cell r="D160" t="str">
            <v>CABANG PRATAMA KOMERSIL PALEMBANG</v>
          </cell>
          <cell r="E160" t="str">
            <v xml:space="preserve">INSPEKTUR JUNIOR II </v>
          </cell>
          <cell r="F160" t="str">
            <v>muliaddin@bki.co.id</v>
          </cell>
          <cell r="G160" t="str">
            <v>0852 5565 0080</v>
          </cell>
          <cell r="H160" t="str">
            <v>4C</v>
          </cell>
          <cell r="I160">
            <v>150000</v>
          </cell>
        </row>
        <row r="161">
          <cell r="B161" t="str">
            <v>ZAINAL</v>
          </cell>
          <cell r="C161" t="str">
            <v>CABANG PRATAMA KOMERSIL PALEMBANG</v>
          </cell>
          <cell r="D161" t="str">
            <v>CABANG PRATAMA KOMERSIL PALEMBANG</v>
          </cell>
          <cell r="E161" t="str">
            <v xml:space="preserve">INSPEKTUR JUNIOR II </v>
          </cell>
          <cell r="F161" t="str">
            <v>zainalstnaval@bki.co.id</v>
          </cell>
          <cell r="G161" t="str">
            <v>085267790318</v>
          </cell>
          <cell r="H161" t="str">
            <v>4C</v>
          </cell>
          <cell r="I161">
            <v>150000</v>
          </cell>
        </row>
        <row r="162">
          <cell r="B162" t="str">
            <v>KHAERUL AKBAR</v>
          </cell>
          <cell r="C162" t="str">
            <v>CABANG PRATAMA KOMERSIL PALEMBANG</v>
          </cell>
          <cell r="D162" t="str">
            <v>CABANG PRATAMA KOMERSIL PALEMBANG</v>
          </cell>
          <cell r="E162" t="str">
            <v xml:space="preserve">INSPEKTUR JUNIOR II </v>
          </cell>
          <cell r="F162" t="str">
            <v>khaerul.akbar@bki.co.id</v>
          </cell>
          <cell r="G162" t="str">
            <v>082377773303</v>
          </cell>
          <cell r="H162" t="str">
            <v>4C</v>
          </cell>
          <cell r="I162">
            <v>150000</v>
          </cell>
        </row>
        <row r="163">
          <cell r="B163" t="str">
            <v>MOKHAMMAD YUFIAN RIDHANANDA</v>
          </cell>
          <cell r="C163" t="str">
            <v>CABANG PRATAMA KOMERSIL PONTIANAK</v>
          </cell>
          <cell r="D163" t="str">
            <v>CABANG PRATAMA KOMERSIL PONTIANAK</v>
          </cell>
          <cell r="E163" t="str">
            <v>KEPALA CABANG PRATAMA KOMERSIL PONTIANAK</v>
          </cell>
          <cell r="F163" t="str">
            <v>yufian.ridhananda@bki.co.id</v>
          </cell>
          <cell r="G163" t="str">
            <v>082213816511</v>
          </cell>
          <cell r="H163" t="str">
            <v>6C</v>
          </cell>
          <cell r="I163">
            <v>100000</v>
          </cell>
        </row>
        <row r="164">
          <cell r="B164" t="str">
            <v>M. AZWAR</v>
          </cell>
          <cell r="C164" t="str">
            <v>CABANG PRATAMA KOMERSIL PONTIANAK</v>
          </cell>
          <cell r="D164" t="str">
            <v>CABANG PRATAMA KOMERSIL PONTIANAK</v>
          </cell>
          <cell r="E164" t="str">
            <v xml:space="preserve">INSPEKTUR JUNIOR I  </v>
          </cell>
          <cell r="F164" t="str">
            <v>m.azwar@bki.co.id</v>
          </cell>
          <cell r="G164" t="str">
            <v>082187076261</v>
          </cell>
          <cell r="H164" t="str">
            <v>3C</v>
          </cell>
          <cell r="I164">
            <v>0</v>
          </cell>
        </row>
        <row r="165">
          <cell r="B165" t="str">
            <v>AZIB MUZANI</v>
          </cell>
          <cell r="C165" t="str">
            <v>CABANG PRATAMA KOMERSIL PONTIANAK</v>
          </cell>
          <cell r="D165" t="str">
            <v>CABANG PRATAMA KOMERSIL PONTIANAK</v>
          </cell>
          <cell r="E165" t="str">
            <v xml:space="preserve">INSPEKTUR JUNIOR I  </v>
          </cell>
          <cell r="F165" t="str">
            <v>azib.muzani@bki.co.id</v>
          </cell>
          <cell r="G165" t="str">
            <v/>
          </cell>
          <cell r="H165" t="str">
            <v>3C</v>
          </cell>
          <cell r="I165">
            <v>0</v>
          </cell>
        </row>
        <row r="166">
          <cell r="B166" t="str">
            <v>RIAN ARISTIANTO</v>
          </cell>
          <cell r="C166" t="str">
            <v>CABANG PRATAMA KOMERSIL PONTIANAK</v>
          </cell>
          <cell r="D166" t="str">
            <v>CABANG PRATAMA KOMERSIL PONTIANAK</v>
          </cell>
          <cell r="E166" t="str">
            <v xml:space="preserve">INSPEKTUR JUNIOR I  </v>
          </cell>
          <cell r="F166" t="str">
            <v>rian.aristianto@bki.co.id</v>
          </cell>
          <cell r="G166" t="str">
            <v/>
          </cell>
          <cell r="H166" t="str">
            <v>3C</v>
          </cell>
          <cell r="I166">
            <v>0</v>
          </cell>
        </row>
        <row r="167">
          <cell r="B167" t="str">
            <v>MUHAMMAD RIZKY PURNAMA</v>
          </cell>
          <cell r="C167" t="str">
            <v>CABANG PRATAMA KOMERSIL SEMARANG</v>
          </cell>
          <cell r="D167" t="str">
            <v>CABANG PRATAMA KOMERSIL SEMARANG</v>
          </cell>
          <cell r="E167" t="str">
            <v>KEPALA CABANG PRATAMA KOMERSIL SEMARANG</v>
          </cell>
          <cell r="F167" t="str">
            <v>rizky@bki.co.id</v>
          </cell>
          <cell r="G167" t="str">
            <v>081257919990</v>
          </cell>
          <cell r="H167" t="str">
            <v>6C</v>
          </cell>
          <cell r="I167">
            <v>350000</v>
          </cell>
        </row>
        <row r="168">
          <cell r="B168" t="str">
            <v>MIFTAKHUL QOMAR</v>
          </cell>
          <cell r="C168" t="str">
            <v>CABANG PRATAMA KOMERSIL SEMARANG</v>
          </cell>
          <cell r="D168" t="str">
            <v>CABANG PRATAMA KOMERSIL SEMARANG</v>
          </cell>
          <cell r="E168" t="str">
            <v xml:space="preserve">INSPEKTUR JUNIOR II </v>
          </cell>
          <cell r="F168" t="str">
            <v>miftakhul.qomar@bki.co.id</v>
          </cell>
          <cell r="G168" t="str">
            <v>0812 2719 1292</v>
          </cell>
          <cell r="H168" t="str">
            <v>4C</v>
          </cell>
          <cell r="I168">
            <v>0</v>
          </cell>
        </row>
        <row r="169">
          <cell r="B169" t="str">
            <v>ISKANDAR PURNOMO SIDI</v>
          </cell>
          <cell r="C169" t="str">
            <v>CABANG PRATAMA KOMERSIL SEMARANG</v>
          </cell>
          <cell r="D169" t="str">
            <v>CABANG PRATAMA KOMERSIL SEMARANG</v>
          </cell>
          <cell r="E169" t="str">
            <v xml:space="preserve">INSPEKTUR JUNIOR II </v>
          </cell>
          <cell r="F169" t="str">
            <v>iskandar.ps@bki.co.id</v>
          </cell>
          <cell r="G169" t="str">
            <v>08122530598</v>
          </cell>
          <cell r="H169" t="str">
            <v>4C</v>
          </cell>
          <cell r="I169">
            <v>0</v>
          </cell>
        </row>
        <row r="170">
          <cell r="B170" t="str">
            <v>TEGUH TRIWIYADI</v>
          </cell>
          <cell r="C170" t="str">
            <v>CABANG PRATAMA KOMERSIL SEMARANG</v>
          </cell>
          <cell r="D170" t="str">
            <v>CABANG PRATAMA KOMERSIL SEMARANG</v>
          </cell>
          <cell r="E170" t="str">
            <v xml:space="preserve">INSPEKTUR JUNIOR II </v>
          </cell>
          <cell r="F170" t="str">
            <v>teguh.triwiyadi@bki.co.id</v>
          </cell>
          <cell r="G170" t="str">
            <v>0813 3031 4354</v>
          </cell>
          <cell r="H170" t="str">
            <v>4C</v>
          </cell>
          <cell r="I170">
            <v>0</v>
          </cell>
        </row>
        <row r="171">
          <cell r="B171" t="str">
            <v>SUCIBTA JABELSIR P</v>
          </cell>
          <cell r="C171" t="str">
            <v>CABANG PRATAMA KOMERSIL SEMARANG</v>
          </cell>
          <cell r="D171" t="str">
            <v>CABANG PRATAMA KOMERSIL SEMARANG</v>
          </cell>
          <cell r="E171" t="str">
            <v>ADMINISTRATOR SENIOR</v>
          </cell>
          <cell r="F171" t="str">
            <v>sucibta@bki.co.id</v>
          </cell>
          <cell r="G171" t="str">
            <v>081215555258</v>
          </cell>
          <cell r="H171" t="str">
            <v>3B</v>
          </cell>
          <cell r="I171">
            <v>0</v>
          </cell>
        </row>
        <row r="172">
          <cell r="B172" t="str">
            <v>TRI KUNCORO RIYADI</v>
          </cell>
          <cell r="C172" t="str">
            <v>CABANG PRATAMA KOMERSIL SEMARANG</v>
          </cell>
          <cell r="D172" t="str">
            <v>CABANG PRATAMA KOMERSIL SEMARANG</v>
          </cell>
          <cell r="E172" t="str">
            <v xml:space="preserve">INSPEKTUR JUNIOR I  </v>
          </cell>
          <cell r="F172" t="str">
            <v>tri.kr@bki.co.id</v>
          </cell>
          <cell r="G172" t="str">
            <v>085225472975</v>
          </cell>
          <cell r="H172" t="str">
            <v>3C</v>
          </cell>
          <cell r="I172">
            <v>0</v>
          </cell>
        </row>
        <row r="173">
          <cell r="B173" t="str">
            <v>YOHANIS</v>
          </cell>
          <cell r="C173" t="str">
            <v>CABANG PRATAMA KOMERSIL SEMARANG</v>
          </cell>
          <cell r="D173" t="str">
            <v>CABANG PRATAMA KOMERSIL SEMARANG</v>
          </cell>
          <cell r="E173" t="str">
            <v>ADMINISTRATOR</v>
          </cell>
          <cell r="F173" t="str">
            <v>yohanis@bki.co.id</v>
          </cell>
          <cell r="G173" t="str">
            <v>0812 2546 1127</v>
          </cell>
          <cell r="H173" t="str">
            <v>2A</v>
          </cell>
          <cell r="I173">
            <v>0</v>
          </cell>
        </row>
        <row r="174">
          <cell r="B174" t="str">
            <v>MISBAHUDIN AIDY</v>
          </cell>
          <cell r="C174" t="str">
            <v>CABANG SINGAPURA</v>
          </cell>
          <cell r="D174" t="str">
            <v>CABANG SINGAPURA</v>
          </cell>
          <cell r="E174" t="str">
            <v>KEPALA CABANG UTAMA KLAS SINGAPORE</v>
          </cell>
          <cell r="F174" t="str">
            <v>aidy@bki.co.id</v>
          </cell>
          <cell r="G174" t="str">
            <v>081234111079</v>
          </cell>
          <cell r="H174" t="str">
            <v>8A</v>
          </cell>
        </row>
        <row r="175">
          <cell r="B175" t="str">
            <v>SUWANDY</v>
          </cell>
          <cell r="C175" t="str">
            <v>CABANG SINGAPURA</v>
          </cell>
          <cell r="D175" t="str">
            <v>CABANG SINGAPURA</v>
          </cell>
          <cell r="E175" t="str">
            <v>SURVEYOR SENIOR I B</v>
          </cell>
          <cell r="F175" t="str">
            <v>suwandy@bki.co.id</v>
          </cell>
          <cell r="G175" t="str">
            <v>085299969336</v>
          </cell>
          <cell r="H175" t="str">
            <v>6B</v>
          </cell>
        </row>
        <row r="176">
          <cell r="B176" t="str">
            <v>MOHAMED FAZLI BIN MAHABUT</v>
          </cell>
          <cell r="C176" t="str">
            <v>CABANG SINGAPURA</v>
          </cell>
          <cell r="D176" t="str">
            <v>CABANG SINGAPURA</v>
          </cell>
          <cell r="E176" t="str">
            <v>STAF DUKUNGAN BISNIS</v>
          </cell>
          <cell r="F176" t="str">
            <v>fazli@bki.co.id</v>
          </cell>
          <cell r="G176" t="str">
            <v/>
          </cell>
          <cell r="H176" t="str">
            <v>-</v>
          </cell>
        </row>
        <row r="177">
          <cell r="B177" t="str">
            <v>RITA TIO</v>
          </cell>
          <cell r="C177" t="str">
            <v>CABANG SINGAPURA</v>
          </cell>
          <cell r="D177" t="str">
            <v>CABANG SINGAPURA</v>
          </cell>
          <cell r="E177" t="str">
            <v>STAF DUKUNGAN BISNIS</v>
          </cell>
          <cell r="F177" t="str">
            <v>rita.tio@bki.co.id</v>
          </cell>
          <cell r="G177" t="str">
            <v/>
          </cell>
          <cell r="H177" t="str">
            <v>-</v>
          </cell>
        </row>
        <row r="178">
          <cell r="B178" t="str">
            <v>SUWATI BUN</v>
          </cell>
          <cell r="C178" t="str">
            <v>CABANG SINGAPURA</v>
          </cell>
          <cell r="D178" t="str">
            <v>CABANG SINGAPURA</v>
          </cell>
          <cell r="E178" t="str">
            <v>STAF DUKUNGAN BISNIS</v>
          </cell>
          <cell r="F178" t="str">
            <v>suwati.bun@bki.co.id</v>
          </cell>
          <cell r="G178" t="str">
            <v/>
          </cell>
          <cell r="H178" t="str">
            <v>-</v>
          </cell>
        </row>
        <row r="179">
          <cell r="B179" t="str">
            <v>SYED MOHAMED ISMAIL</v>
          </cell>
          <cell r="C179" t="str">
            <v>CABANG SINGAPURA</v>
          </cell>
          <cell r="D179" t="str">
            <v>CABANG SINGAPURA</v>
          </cell>
          <cell r="E179" t="str">
            <v>STAF DUKUNGAN BISNIS</v>
          </cell>
          <cell r="F179" t="str">
            <v>ismail.alattas@bki.co.id</v>
          </cell>
          <cell r="G179" t="str">
            <v/>
          </cell>
          <cell r="H179" t="str">
            <v>-</v>
          </cell>
        </row>
        <row r="180">
          <cell r="B180" t="str">
            <v>PURWOKO WIDHYANTO WIRAWAN</v>
          </cell>
          <cell r="C180" t="str">
            <v>CABANG UTAMA KLAS BANTEN</v>
          </cell>
          <cell r="D180" t="str">
            <v>CABANG UTAMA KLAS BANTEN</v>
          </cell>
          <cell r="E180" t="str">
            <v>SURVEYOR</v>
          </cell>
          <cell r="F180" t="str">
            <v>purwoko.ww@bki.co.id</v>
          </cell>
          <cell r="G180" t="str">
            <v>0822 4477 3545</v>
          </cell>
          <cell r="H180" t="str">
            <v>5C</v>
          </cell>
          <cell r="I180">
            <v>250000</v>
          </cell>
        </row>
        <row r="181">
          <cell r="B181" t="str">
            <v>DJOKO WAHYUDI</v>
          </cell>
          <cell r="C181" t="str">
            <v>CABANG UTAMA KLAS BANTEN</v>
          </cell>
          <cell r="D181" t="str">
            <v>CABANG UTAMA KLAS BANTEN</v>
          </cell>
          <cell r="E181" t="str">
            <v>SENIOR MANAGER OPERASI KLAS BANTEN</v>
          </cell>
          <cell r="F181" t="str">
            <v>djoko@bki.co.id</v>
          </cell>
          <cell r="G181" t="str">
            <v>081210124499</v>
          </cell>
          <cell r="H181" t="str">
            <v>7B</v>
          </cell>
          <cell r="I181">
            <v>0</v>
          </cell>
        </row>
        <row r="182">
          <cell r="B182" t="str">
            <v>WISNU WAHYU WARDHINI</v>
          </cell>
          <cell r="C182" t="str">
            <v>CABANG UTAMA KLAS BANTEN</v>
          </cell>
          <cell r="D182" t="str">
            <v>CABANG UTAMA KLAS BANTEN</v>
          </cell>
          <cell r="E182" t="str">
            <v>ADMINISTRATOR SENIOR</v>
          </cell>
          <cell r="F182" t="str">
            <v>wisnu.wahyu@bki.co.id</v>
          </cell>
          <cell r="G182" t="str">
            <v>0857 1050 8878</v>
          </cell>
          <cell r="H182" t="str">
            <v>3B</v>
          </cell>
          <cell r="I182">
            <v>0</v>
          </cell>
        </row>
        <row r="183">
          <cell r="B183" t="str">
            <v>SUWANDI</v>
          </cell>
          <cell r="C183" t="str">
            <v>CABANG UTAMA KLAS BANTEN</v>
          </cell>
          <cell r="D183" t="str">
            <v>CABANG UTAMA KLAS BANTEN</v>
          </cell>
          <cell r="E183" t="str">
            <v>KEPALA CABANG UTAMA KLAS BANTEN</v>
          </cell>
          <cell r="F183" t="str">
            <v>suwandi@bki.co.id</v>
          </cell>
          <cell r="G183" t="str">
            <v>085265782998</v>
          </cell>
          <cell r="H183" t="str">
            <v>8A</v>
          </cell>
          <cell r="I183">
            <v>0</v>
          </cell>
        </row>
        <row r="184">
          <cell r="B184" t="str">
            <v>INDRA KUSUMA MUHAMMAD</v>
          </cell>
          <cell r="C184" t="str">
            <v>CABANG UTAMA KLAS BANTEN</v>
          </cell>
          <cell r="D184" t="str">
            <v>CABANG UTAMA KLAS BANTEN</v>
          </cell>
          <cell r="E184" t="str">
            <v>ADMINISTRATOR SENIOR</v>
          </cell>
          <cell r="F184" t="str">
            <v>indra.km@bki.co.id</v>
          </cell>
          <cell r="G184">
            <v>0</v>
          </cell>
          <cell r="H184" t="str">
            <v>3B</v>
          </cell>
          <cell r="I184">
            <v>150000</v>
          </cell>
        </row>
        <row r="185">
          <cell r="B185" t="str">
            <v>BAWA PRASETYO</v>
          </cell>
          <cell r="C185" t="str">
            <v>CABANG UTAMA KLAS BANTEN</v>
          </cell>
          <cell r="D185" t="str">
            <v>CABANG UTAMA KLAS BANTEN</v>
          </cell>
          <cell r="E185" t="str">
            <v>SURVEYOR SENIOR I A</v>
          </cell>
          <cell r="F185" t="str">
            <v>bawa@bki.co.id</v>
          </cell>
          <cell r="G185" t="str">
            <v>08565260600</v>
          </cell>
          <cell r="H185" t="str">
            <v>6A</v>
          </cell>
          <cell r="I185">
            <v>0</v>
          </cell>
        </row>
        <row r="186">
          <cell r="B186" t="str">
            <v>FERRY FADLI</v>
          </cell>
          <cell r="C186" t="str">
            <v>CABANG UTAMA KLAS BANTEN</v>
          </cell>
          <cell r="D186" t="str">
            <v>CABANG UTAMA KLAS BANTEN</v>
          </cell>
          <cell r="E186" t="str">
            <v>SURVEYOR SENIOR I A</v>
          </cell>
          <cell r="F186" t="str">
            <v>ferry.fadli@bki.co.id</v>
          </cell>
          <cell r="G186" t="str">
            <v>081230565676</v>
          </cell>
          <cell r="H186" t="str">
            <v>6A</v>
          </cell>
          <cell r="I186">
            <v>0</v>
          </cell>
        </row>
        <row r="187">
          <cell r="B187" t="str">
            <v>EDWIN OLAF JULIAN DAMANIK</v>
          </cell>
          <cell r="C187" t="str">
            <v>CABANG UTAMA KLAS BANTEN</v>
          </cell>
          <cell r="D187" t="str">
            <v>CABANG UTAMA KLAS BANTEN</v>
          </cell>
          <cell r="E187" t="str">
            <v>SURVEYOR SENIOR I A</v>
          </cell>
          <cell r="F187" t="str">
            <v>edwin@bki.co.id</v>
          </cell>
          <cell r="G187" t="str">
            <v>081297241192</v>
          </cell>
          <cell r="H187" t="str">
            <v>6A</v>
          </cell>
          <cell r="I187">
            <v>250000</v>
          </cell>
        </row>
        <row r="188">
          <cell r="B188" t="str">
            <v>EKO HARYANTO</v>
          </cell>
          <cell r="C188" t="str">
            <v>CABANG UTAMA KLAS BANTEN</v>
          </cell>
          <cell r="D188" t="str">
            <v>CABANG UTAMA KLAS BANTEN</v>
          </cell>
          <cell r="E188" t="str">
            <v>SURVEYOR</v>
          </cell>
          <cell r="F188" t="str">
            <v>eko.haryanto@bki.co.id</v>
          </cell>
          <cell r="G188" t="str">
            <v>081294773100</v>
          </cell>
          <cell r="H188" t="str">
            <v>5C</v>
          </cell>
          <cell r="I188">
            <v>0</v>
          </cell>
        </row>
        <row r="189">
          <cell r="B189" t="str">
            <v>IBNUL QAYYIM</v>
          </cell>
          <cell r="C189" t="str">
            <v>CABANG UTAMA KLAS BANTEN</v>
          </cell>
          <cell r="D189" t="str">
            <v>CABANG UTAMA KLAS BANTEN</v>
          </cell>
          <cell r="E189" t="str">
            <v xml:space="preserve">SURVEYOR JUNIOR </v>
          </cell>
          <cell r="F189" t="str">
            <v>ibnul.qayyim@bki.co.id</v>
          </cell>
          <cell r="G189" t="str">
            <v>081284684713</v>
          </cell>
          <cell r="H189" t="str">
            <v>4C</v>
          </cell>
          <cell r="I189">
            <v>100000</v>
          </cell>
        </row>
        <row r="190">
          <cell r="B190" t="str">
            <v>FIRMANSYAH PUTRA AGUNG MA'ARIF</v>
          </cell>
          <cell r="C190" t="str">
            <v>DIVISI SURVEY</v>
          </cell>
          <cell r="D190" t="str">
            <v>CABANG UTAMA KLAS BANTEN</v>
          </cell>
          <cell r="E190" t="str">
            <v>SURVEYOR SENIOR I A MEMPERTAHANKAN KLAS DIVISI SURVEY YANG DITEMPATKAN DI CABANG UTAMA KLAS BANTEN</v>
          </cell>
          <cell r="F190" t="str">
            <v>firmansyah.pam@bki.co.id</v>
          </cell>
          <cell r="G190" t="str">
            <v>081333255500</v>
          </cell>
          <cell r="H190" t="str">
            <v>6A</v>
          </cell>
          <cell r="I190">
            <v>0</v>
          </cell>
        </row>
        <row r="191">
          <cell r="B191" t="str">
            <v>ARIFUDDIN</v>
          </cell>
          <cell r="C191" t="str">
            <v>DIVISI SURVEY</v>
          </cell>
          <cell r="D191" t="str">
            <v>CABANG UTAMA KLAS BANTEN</v>
          </cell>
          <cell r="E191" t="str">
            <v>SURVEYOR SENIOR I A MEMPERTAHANKAN KLAS DIVISI SURVEY YANG DITEMPATKAN DI CABANG UTAMA KLAS BANTEN</v>
          </cell>
          <cell r="F191" t="str">
            <v>arifuddin@bki.co.id</v>
          </cell>
          <cell r="G191" t="str">
            <v>081387200046</v>
          </cell>
          <cell r="H191" t="str">
            <v>6A</v>
          </cell>
          <cell r="I191">
            <v>150000</v>
          </cell>
        </row>
        <row r="192">
          <cell r="B192" t="str">
            <v>CATUR ACHIRYANTO ANWARUDIN</v>
          </cell>
          <cell r="C192" t="str">
            <v>DIVISI OPERASI BISNIS KLASIFIKASI</v>
          </cell>
          <cell r="D192" t="str">
            <v>CABANG UTAMA KLAS BANTEN</v>
          </cell>
          <cell r="E192" t="str">
            <v>SURVEYOR SENIOR II B KENDALI OPERASI YANG DITEMPATKAN DI CABANG UTAMA KLAS BANTEN</v>
          </cell>
          <cell r="F192" t="str">
            <v>catur@bki.co.id</v>
          </cell>
          <cell r="G192" t="str">
            <v>081213119685</v>
          </cell>
          <cell r="H192" t="str">
            <v>7B</v>
          </cell>
          <cell r="I192">
            <v>0</v>
          </cell>
        </row>
        <row r="193">
          <cell r="B193" t="str">
            <v>SUHAR CHANDRA KURNIAWAN</v>
          </cell>
          <cell r="C193" t="str">
            <v>DIVISI OPERASI BISNIS KLASIFIKASI</v>
          </cell>
          <cell r="D193" t="str">
            <v>CABANG UTAMA KLAS BANTEN</v>
          </cell>
          <cell r="E193" t="str">
            <v>SURVEYOR SENIOR I A KENDALI OPERASI YANG DITEMPATKAN DI CABANG UTAMA KLAS BANTEN</v>
          </cell>
          <cell r="F193" t="str">
            <v>suhar@bki.co.id</v>
          </cell>
          <cell r="G193" t="str">
            <v>0852 4703 8553</v>
          </cell>
          <cell r="H193" t="str">
            <v>6A</v>
          </cell>
          <cell r="I193">
            <v>0</v>
          </cell>
        </row>
        <row r="194">
          <cell r="B194" t="str">
            <v>IBNU NAFIS</v>
          </cell>
          <cell r="C194" t="str">
            <v>CABANG UTAMA KLAS BATAM</v>
          </cell>
          <cell r="D194" t="str">
            <v>CABANG UTAMA KLAS BATAM</v>
          </cell>
          <cell r="E194" t="str">
            <v>SURVEYOR</v>
          </cell>
          <cell r="F194" t="str">
            <v>ibnu.nafis@bki.co.id</v>
          </cell>
          <cell r="G194" t="str">
            <v>081234710117</v>
          </cell>
          <cell r="H194" t="str">
            <v>5C</v>
          </cell>
          <cell r="I194">
            <v>0</v>
          </cell>
        </row>
        <row r="195">
          <cell r="B195" t="str">
            <v>MUHAMMAD IDAM YON ARIF</v>
          </cell>
          <cell r="C195" t="str">
            <v>CABANG UTAMA KLAS BATAM</v>
          </cell>
          <cell r="D195" t="str">
            <v>CABANG UTAMA KLAS BATAM</v>
          </cell>
          <cell r="E195" t="str">
            <v>SURVEYOR</v>
          </cell>
          <cell r="F195" t="str">
            <v>idam@bki.co.id</v>
          </cell>
          <cell r="G195" t="str">
            <v>081218537861</v>
          </cell>
          <cell r="H195" t="str">
            <v>5C</v>
          </cell>
          <cell r="I195">
            <v>0</v>
          </cell>
        </row>
        <row r="196">
          <cell r="B196" t="str">
            <v>MOH. BASARUDIN ASFAHANI</v>
          </cell>
          <cell r="C196" t="str">
            <v>CABANG UTAMA KLAS BATAM</v>
          </cell>
          <cell r="D196" t="str">
            <v>CABANG UTAMA KLAS BATAM</v>
          </cell>
          <cell r="E196" t="str">
            <v>SENIOR MANAGER PEMASARAN DAN DUKUNGAN BISNIS KLAS BATAM</v>
          </cell>
          <cell r="F196" t="str">
            <v>basarudin@bki.co.id</v>
          </cell>
          <cell r="G196" t="str">
            <v>081335588269</v>
          </cell>
          <cell r="H196" t="str">
            <v>7A</v>
          </cell>
          <cell r="I196">
            <v>0</v>
          </cell>
        </row>
        <row r="197">
          <cell r="B197" t="str">
            <v>ANTONG GOLI</v>
          </cell>
          <cell r="C197" t="str">
            <v>DIVISI OPERASI BISNIS KLASIFIKASI</v>
          </cell>
          <cell r="D197" t="str">
            <v>CABANG UTAMA KLAS BATAM</v>
          </cell>
          <cell r="E197" t="str">
            <v>SURVEYOR SENIOR I A KENDALI OPERASI YANG DITEMPATKAN DI CABANG UTAMA KLAS BATAM</v>
          </cell>
          <cell r="F197" t="str">
            <v>goli@bki.co.id</v>
          </cell>
          <cell r="G197" t="str">
            <v>081347758402</v>
          </cell>
          <cell r="H197" t="str">
            <v>6A</v>
          </cell>
          <cell r="I197">
            <v>0</v>
          </cell>
        </row>
        <row r="198">
          <cell r="B198" t="str">
            <v>YHOGA SUSILA WARDANU</v>
          </cell>
          <cell r="C198" t="str">
            <v>DIVISI SURVEY</v>
          </cell>
          <cell r="D198" t="str">
            <v>CABANG UTAMA KLAS BATAM</v>
          </cell>
          <cell r="E198" t="str">
            <v>SURVEYOR MEMPERTAHANKAN KLAS DIVISI SURVEY YANG DITEMPATKAN DI CABANG UTAMA KLAS BATAM</v>
          </cell>
          <cell r="F198" t="str">
            <v>yswardanu@bki.co.id</v>
          </cell>
          <cell r="G198" t="str">
            <v>0812 3567 8613</v>
          </cell>
          <cell r="H198" t="str">
            <v>5C</v>
          </cell>
          <cell r="I198">
            <v>0</v>
          </cell>
        </row>
        <row r="199">
          <cell r="B199" t="str">
            <v>LINDA MURNI</v>
          </cell>
          <cell r="C199" t="str">
            <v>CABANG UTAMA KLAS BATAM</v>
          </cell>
          <cell r="D199" t="str">
            <v>CABANG UTAMA KLAS BATAM</v>
          </cell>
          <cell r="E199" t="str">
            <v>OFFICER ADMINISTRASI UMUM</v>
          </cell>
          <cell r="F199" t="str">
            <v>linda.murni@bki.co.id</v>
          </cell>
          <cell r="G199" t="str">
            <v>0812 7773 858</v>
          </cell>
          <cell r="H199" t="str">
            <v>4A</v>
          </cell>
          <cell r="I199">
            <v>0</v>
          </cell>
        </row>
        <row r="200">
          <cell r="B200" t="str">
            <v>BOGI AKHMAD SUENDAR</v>
          </cell>
          <cell r="C200" t="str">
            <v>DIVISI OPERASI BISNIS KLASIFIKASI</v>
          </cell>
          <cell r="D200" t="str">
            <v>CABANG UTAMA KLAS BATAM</v>
          </cell>
          <cell r="E200" t="str">
            <v>SURVEYOR SENIOR II B OPERASI KLASIFIKASI YANG DITEMPATKAN DI CABANG UTAMA KLAS BATAM</v>
          </cell>
          <cell r="F200" t="str">
            <v>bogi@bki.co.id</v>
          </cell>
          <cell r="G200" t="str">
            <v>081359333739</v>
          </cell>
          <cell r="H200" t="str">
            <v>7B</v>
          </cell>
          <cell r="I200">
            <v>0</v>
          </cell>
        </row>
        <row r="201">
          <cell r="B201" t="str">
            <v>LUKMAN HAKIM</v>
          </cell>
          <cell r="C201" t="str">
            <v>CABANG UTAMA KLAS BATAM</v>
          </cell>
          <cell r="D201" t="str">
            <v>CABANG UTAMA KLAS BATAM</v>
          </cell>
          <cell r="E201" t="str">
            <v>SENIOR MANAGER OPERASI KLAS BATAM</v>
          </cell>
          <cell r="F201" t="str">
            <v>lukman@bki.co.id</v>
          </cell>
          <cell r="G201" t="str">
            <v>081361008817</v>
          </cell>
          <cell r="H201" t="str">
            <v>7B</v>
          </cell>
          <cell r="I201">
            <v>0</v>
          </cell>
        </row>
        <row r="202">
          <cell r="B202" t="str">
            <v>I GUSTI NGURAH WIRA PRATAMA</v>
          </cell>
          <cell r="C202" t="str">
            <v>CABANG UTAMA KLAS BATAM</v>
          </cell>
          <cell r="D202" t="str">
            <v>CABANG UTAMA KLAS BATAM</v>
          </cell>
          <cell r="E202" t="str">
            <v>SURVEYOR SENIOR I A</v>
          </cell>
          <cell r="F202" t="str">
            <v>wirapratama@bki.co.id</v>
          </cell>
          <cell r="G202" t="str">
            <v>081553800220</v>
          </cell>
          <cell r="H202" t="str">
            <v>6A</v>
          </cell>
          <cell r="I202">
            <v>0</v>
          </cell>
        </row>
        <row r="203">
          <cell r="B203" t="str">
            <v>WULANDARI</v>
          </cell>
          <cell r="C203" t="str">
            <v>CABANG UTAMA KLAS BATAM</v>
          </cell>
          <cell r="D203" t="str">
            <v>CABANG UTAMA KLAS BATAM</v>
          </cell>
          <cell r="E203" t="str">
            <v>ADMINISTRATOR SENIOR</v>
          </cell>
          <cell r="F203" t="str">
            <v>wulandari@bki.co.id</v>
          </cell>
          <cell r="G203" t="str">
            <v>0811 696 769</v>
          </cell>
          <cell r="H203" t="str">
            <v>3B</v>
          </cell>
          <cell r="I203">
            <v>0</v>
          </cell>
        </row>
        <row r="204">
          <cell r="B204" t="str">
            <v>MONAF MASSE</v>
          </cell>
          <cell r="C204" t="str">
            <v>CABANG UTAMA KLAS BATAM</v>
          </cell>
          <cell r="D204" t="str">
            <v>CABANG UTAMA KLAS BATAM</v>
          </cell>
          <cell r="E204" t="str">
            <v>MANAGER ADMINISTRASI UMUM &amp; KEUANGAN KLAS BATAM</v>
          </cell>
          <cell r="F204" t="str">
            <v>monaf@bki.co.id</v>
          </cell>
          <cell r="G204" t="str">
            <v>081342624321</v>
          </cell>
          <cell r="H204" t="str">
            <v>5C</v>
          </cell>
          <cell r="I204">
            <v>0</v>
          </cell>
        </row>
        <row r="205">
          <cell r="B205" t="str">
            <v>ARDIANSYAH</v>
          </cell>
          <cell r="C205" t="str">
            <v>CABANG UTAMA KLAS BATAM</v>
          </cell>
          <cell r="D205" t="str">
            <v>CABANG UTAMA KLAS BATAM</v>
          </cell>
          <cell r="E205" t="str">
            <v>ADMINISTRATOR</v>
          </cell>
          <cell r="F205" t="str">
            <v>ardi.ardiansyah@bki.co.id</v>
          </cell>
          <cell r="G205" t="str">
            <v>08117787774</v>
          </cell>
          <cell r="H205" t="str">
            <v>2A</v>
          </cell>
          <cell r="I205">
            <v>0</v>
          </cell>
        </row>
        <row r="206">
          <cell r="B206" t="str">
            <v>ISHAK NOERPARA</v>
          </cell>
          <cell r="C206" t="str">
            <v>CABANG UTAMA KLAS BATAM</v>
          </cell>
          <cell r="D206" t="str">
            <v>CABANG UTAMA KLAS BATAM</v>
          </cell>
          <cell r="E206" t="str">
            <v>ADMINISTRATOR SENIOR</v>
          </cell>
          <cell r="F206" t="str">
            <v>ishak.noerpara@bki.co.id</v>
          </cell>
          <cell r="G206" t="str">
            <v>0812 1999 2727</v>
          </cell>
          <cell r="H206" t="str">
            <v>3B</v>
          </cell>
          <cell r="I206">
            <v>0</v>
          </cell>
        </row>
        <row r="207">
          <cell r="B207" t="str">
            <v>HENI LESTARI</v>
          </cell>
          <cell r="C207" t="str">
            <v>CABANG UTAMA KLAS BATAM</v>
          </cell>
          <cell r="D207" t="str">
            <v>CABANG UTAMA KLAS BATAM</v>
          </cell>
          <cell r="E207" t="str">
            <v>OFFICER ADMINISTRASI KEUANGAN</v>
          </cell>
          <cell r="F207" t="str">
            <v>heni.lestari@bki.co.id</v>
          </cell>
          <cell r="G207" t="str">
            <v>083191299089</v>
          </cell>
          <cell r="H207" t="str">
            <v>4B</v>
          </cell>
          <cell r="I207">
            <v>0</v>
          </cell>
        </row>
        <row r="208">
          <cell r="B208" t="str">
            <v>DWI MARYANTI PITER PATALO</v>
          </cell>
          <cell r="C208" t="str">
            <v>CABANG UTAMA KLAS BATAM</v>
          </cell>
          <cell r="D208" t="str">
            <v>CABANG UTAMA KLAS BATAM</v>
          </cell>
          <cell r="E208" t="str">
            <v>ADMINISTRATOR</v>
          </cell>
          <cell r="F208" t="str">
            <v>dwi.maryanti@bki.co.id</v>
          </cell>
          <cell r="G208" t="str">
            <v>08117775995</v>
          </cell>
          <cell r="H208" t="str">
            <v>2A</v>
          </cell>
          <cell r="I208">
            <v>0</v>
          </cell>
        </row>
        <row r="209">
          <cell r="B209" t="str">
            <v>MUSTAQIM</v>
          </cell>
          <cell r="C209" t="str">
            <v>CABANG UTAMA KLAS BATAM</v>
          </cell>
          <cell r="D209" t="str">
            <v>CABANG UTAMA KLAS BATAM</v>
          </cell>
          <cell r="E209" t="str">
            <v>ADMINISTRATOR</v>
          </cell>
          <cell r="F209" t="str">
            <v>mustaqim@bki.co.id</v>
          </cell>
          <cell r="G209" t="str">
            <v/>
          </cell>
          <cell r="H209" t="str">
            <v>2A</v>
          </cell>
          <cell r="I209">
            <v>0</v>
          </cell>
        </row>
        <row r="210">
          <cell r="B210" t="str">
            <v>BUDI ISROFI</v>
          </cell>
          <cell r="C210" t="str">
            <v>CABANG UTAMA KLAS BATAM</v>
          </cell>
          <cell r="D210" t="str">
            <v>CABANG UTAMA KLAS BATAM</v>
          </cell>
          <cell r="E210" t="str">
            <v>KEPALA CABANG UTAMA KLAS BATAM</v>
          </cell>
          <cell r="F210" t="str">
            <v>bisrofi@bki.co.id</v>
          </cell>
          <cell r="G210" t="str">
            <v>08127030110</v>
          </cell>
          <cell r="H210" t="str">
            <v>8A</v>
          </cell>
          <cell r="I210">
            <v>350000</v>
          </cell>
        </row>
        <row r="211">
          <cell r="B211" t="str">
            <v>M. BAGUS PRIMA SETIAWAN</v>
          </cell>
          <cell r="C211" t="str">
            <v>CABANG UTAMA KLAS BATAM</v>
          </cell>
          <cell r="D211" t="str">
            <v>CABANG UTAMA KLAS BATAM</v>
          </cell>
          <cell r="E211" t="str">
            <v>SURVEYOR</v>
          </cell>
          <cell r="F211" t="str">
            <v>bagus.setiawan@bki.co.id</v>
          </cell>
          <cell r="G211" t="str">
            <v>085731460824</v>
          </cell>
          <cell r="H211" t="str">
            <v>5C</v>
          </cell>
          <cell r="I211">
            <v>0</v>
          </cell>
        </row>
        <row r="212">
          <cell r="B212" t="str">
            <v>JIADAN</v>
          </cell>
          <cell r="C212" t="str">
            <v>CABANG UTAMA KLAS BATAM</v>
          </cell>
          <cell r="D212" t="str">
            <v>CABANG UTAMA KLAS BATAM</v>
          </cell>
          <cell r="E212" t="str">
            <v>SURVEYOR</v>
          </cell>
          <cell r="F212" t="str">
            <v>jiadan@bki.co.id</v>
          </cell>
          <cell r="G212" t="str">
            <v>085211555909</v>
          </cell>
          <cell r="H212" t="str">
            <v>5C</v>
          </cell>
          <cell r="I212">
            <v>250000</v>
          </cell>
        </row>
        <row r="213">
          <cell r="B213" t="str">
            <v>YULID ANJI FIRMANSYAH</v>
          </cell>
          <cell r="C213" t="str">
            <v>CABANG UTAMA KLAS BATAM</v>
          </cell>
          <cell r="D213" t="str">
            <v>CABANG UTAMA KLAS BATAM</v>
          </cell>
          <cell r="E213" t="str">
            <v>SURVEYOR</v>
          </cell>
          <cell r="F213" t="str">
            <v>yulid@bki.co.id</v>
          </cell>
          <cell r="G213" t="str">
            <v>0898 2404 883</v>
          </cell>
          <cell r="H213" t="str">
            <v>5C</v>
          </cell>
          <cell r="I213">
            <v>250000</v>
          </cell>
        </row>
        <row r="214">
          <cell r="B214" t="str">
            <v>TRIYONO SEMUEL</v>
          </cell>
          <cell r="C214" t="str">
            <v>DIVISI OPERASI BISNIS KLASIFIKASI</v>
          </cell>
          <cell r="D214" t="str">
            <v>CABANG UTAMA KLAS BATAM</v>
          </cell>
          <cell r="E214" t="str">
            <v>SURVEYOR SENIOR II B KENDALI OPERASI YANG DITEMPATKAN DI CABANG UTAMA KLAS BATAM</v>
          </cell>
          <cell r="F214" t="str">
            <v>triyono@bki.co.id</v>
          </cell>
          <cell r="G214" t="str">
            <v>085374286118</v>
          </cell>
          <cell r="H214" t="str">
            <v>7B</v>
          </cell>
          <cell r="I214">
            <v>0</v>
          </cell>
        </row>
        <row r="215">
          <cell r="B215" t="str">
            <v>MUHAMMAD RIZQI ADITYA VEVA</v>
          </cell>
          <cell r="C215" t="str">
            <v>CABANG UTAMA KLAS BATAM</v>
          </cell>
          <cell r="D215" t="str">
            <v>CABANG UTAMA KLAS BATAM</v>
          </cell>
          <cell r="E215" t="str">
            <v xml:space="preserve">SURVEYOR JUNIOR </v>
          </cell>
          <cell r="F215" t="str">
            <v>muhammad.rizqi@bki.co.id</v>
          </cell>
          <cell r="G215" t="str">
            <v>081217430221</v>
          </cell>
          <cell r="H215" t="str">
            <v>4C</v>
          </cell>
          <cell r="I215">
            <v>0</v>
          </cell>
        </row>
        <row r="216">
          <cell r="B216" t="str">
            <v>HARAL LINTANG MEDIKA</v>
          </cell>
          <cell r="C216" t="str">
            <v>CABANG UTAMA KLAS BATAM</v>
          </cell>
          <cell r="D216" t="str">
            <v>CABANG UTAMA KLAS BATAM</v>
          </cell>
          <cell r="E216" t="str">
            <v xml:space="preserve">SURVEYOR JUNIOR  </v>
          </cell>
          <cell r="F216" t="str">
            <v>haral.lintang@bki.co.id</v>
          </cell>
          <cell r="G216" t="str">
            <v>082132153960</v>
          </cell>
          <cell r="H216" t="str">
            <v>4C</v>
          </cell>
          <cell r="I216">
            <v>0</v>
          </cell>
        </row>
        <row r="217">
          <cell r="B217" t="str">
            <v>FARIZ RACHMAN DANIYAL</v>
          </cell>
          <cell r="C217" t="str">
            <v>CABANG UTAMA KLAS BATAM</v>
          </cell>
          <cell r="D217" t="str">
            <v>CABANG UTAMA KLAS BATAM</v>
          </cell>
          <cell r="E217" t="str">
            <v xml:space="preserve">SURVEYOR JUNIOR </v>
          </cell>
          <cell r="F217" t="str">
            <v>fariz.rahman@bki.co.id</v>
          </cell>
          <cell r="G217" t="str">
            <v>089517013988</v>
          </cell>
          <cell r="H217" t="str">
            <v>4C</v>
          </cell>
          <cell r="I217">
            <v>0</v>
          </cell>
        </row>
        <row r="218">
          <cell r="B218" t="str">
            <v>ADE KHANTARI</v>
          </cell>
          <cell r="C218" t="str">
            <v>CABANG UTAMA KLAS BATAM</v>
          </cell>
          <cell r="D218" t="str">
            <v>CABANG UTAMA KLAS BATAM</v>
          </cell>
          <cell r="E218" t="str">
            <v xml:space="preserve">SURVEYOR JUNIOR  </v>
          </cell>
          <cell r="F218" t="str">
            <v>ade.khantari@bki.co.id</v>
          </cell>
          <cell r="G218" t="str">
            <v>082341391174</v>
          </cell>
          <cell r="H218" t="str">
            <v>4C</v>
          </cell>
          <cell r="I218">
            <v>0</v>
          </cell>
        </row>
        <row r="219">
          <cell r="B219" t="str">
            <v>MUHAMMAD SADDAM HUSSEIN</v>
          </cell>
          <cell r="C219" t="str">
            <v>CABANG UTAMA KLAS BATAM</v>
          </cell>
          <cell r="D219" t="str">
            <v>CABANG UTAMA KLAS BATAM</v>
          </cell>
          <cell r="E219" t="str">
            <v xml:space="preserve">SURVEYOR JUNIOR  </v>
          </cell>
          <cell r="F219" t="str">
            <v>muhammad.saddam@bki.co.id</v>
          </cell>
          <cell r="G219" t="str">
            <v>081292123252</v>
          </cell>
          <cell r="H219" t="str">
            <v>4C</v>
          </cell>
          <cell r="I219">
            <v>0</v>
          </cell>
        </row>
        <row r="220">
          <cell r="B220" t="str">
            <v>FAUZI</v>
          </cell>
          <cell r="C220" t="str">
            <v>CABANG UTAMA KLAS BATAM</v>
          </cell>
          <cell r="D220" t="str">
            <v>CABANG UTAMA KLAS BATAM</v>
          </cell>
          <cell r="E220" t="str">
            <v>SURVEYOR</v>
          </cell>
          <cell r="F220" t="str">
            <v>fauzi@bki.co.id</v>
          </cell>
          <cell r="G220" t="str">
            <v>0813 4700 5260</v>
          </cell>
          <cell r="H220" t="str">
            <v>5C</v>
          </cell>
          <cell r="I220">
            <v>250000</v>
          </cell>
        </row>
        <row r="221">
          <cell r="B221" t="str">
            <v>FATHONI KUSUMAHADI</v>
          </cell>
          <cell r="C221" t="str">
            <v>DIVISI PERSETUJUAN RANCANG BANGUN NUSANTARA</v>
          </cell>
          <cell r="D221" t="str">
            <v>CABANG UTAMA KLAS BATAM</v>
          </cell>
          <cell r="E221" t="str">
            <v>SENIOR MANAGER PRB BATAM</v>
          </cell>
          <cell r="F221" t="str">
            <v>fathoni@bki.co.id</v>
          </cell>
          <cell r="G221" t="str">
            <v>0813 3224 4632</v>
          </cell>
          <cell r="H221" t="str">
            <v>7A</v>
          </cell>
          <cell r="I221">
            <v>0</v>
          </cell>
        </row>
        <row r="222">
          <cell r="B222" t="str">
            <v>ANGGA YUSTIAWAN</v>
          </cell>
          <cell r="C222" t="str">
            <v>DIVISI PERSETUJUAN RANCANG BANGUN NUSANTARA</v>
          </cell>
          <cell r="D222" t="str">
            <v>CABANG UTAMA KLAS BATAM</v>
          </cell>
          <cell r="E222" t="str">
            <v>ENGINEER STRUKTUR BAG. PRB BATAM</v>
          </cell>
          <cell r="F222" t="str">
            <v>angga.yustiawan@bki.co.id</v>
          </cell>
          <cell r="G222" t="str">
            <v>0856 312 1208</v>
          </cell>
          <cell r="H222" t="str">
            <v>5C</v>
          </cell>
          <cell r="I222">
            <v>0</v>
          </cell>
        </row>
        <row r="223">
          <cell r="B223" t="str">
            <v>I GUSTI PUTU SUANTARA</v>
          </cell>
          <cell r="C223" t="str">
            <v>DIVISI PERSETUJUAN RANCANG BANGUN NUSANTARA</v>
          </cell>
          <cell r="D223" t="str">
            <v>CABANG UTAMA KLAS BATAM</v>
          </cell>
          <cell r="E223" t="str">
            <v>ENGINEER STRUKTUR BAG. PRB BATAM</v>
          </cell>
          <cell r="F223" t="str">
            <v>putu.suantara@bki.co.id</v>
          </cell>
          <cell r="G223" t="str">
            <v>081353828080</v>
          </cell>
          <cell r="H223" t="str">
            <v>5C</v>
          </cell>
          <cell r="I223">
            <v>0</v>
          </cell>
        </row>
        <row r="224">
          <cell r="B224" t="str">
            <v>BUDI SANTOSO</v>
          </cell>
          <cell r="C224" t="str">
            <v>DIVISI PERSETUJUAN RANCANG BANGUN NUSANTARA</v>
          </cell>
          <cell r="D224" t="str">
            <v>CABANG UTAMA KLAS BATAM</v>
          </cell>
          <cell r="E224" t="str">
            <v>ADMINISTRATOR MADYA BAG. PRB BATAM</v>
          </cell>
          <cell r="F224" t="str">
            <v>santoso.budi@bki.co.id</v>
          </cell>
          <cell r="G224" t="str">
            <v>0813 6454 4336</v>
          </cell>
          <cell r="H224" t="str">
            <v>3A</v>
          </cell>
          <cell r="I224">
            <v>0</v>
          </cell>
        </row>
        <row r="225">
          <cell r="B225" t="str">
            <v>KOKO ANDY SAPUTRO</v>
          </cell>
          <cell r="C225" t="str">
            <v>DIVISI SURVEY</v>
          </cell>
          <cell r="D225" t="str">
            <v>CABANG UTAMA KLAS BATAM</v>
          </cell>
          <cell r="E225" t="str">
            <v>SURVEYOR SENIOR I A MEMPERTAHANKAN KLAS DIVISI SURVEY YANG DITEMPATKAN DI CABANG UTAMA KLAS BATAM</v>
          </cell>
          <cell r="F225" t="str">
            <v>koko.as@bki.co.id</v>
          </cell>
          <cell r="G225">
            <v>0</v>
          </cell>
          <cell r="H225" t="str">
            <v>6A</v>
          </cell>
          <cell r="I225">
            <v>0</v>
          </cell>
        </row>
        <row r="226">
          <cell r="B226" t="str">
            <v>ARIFIN GUSTIAN PRAMOKO</v>
          </cell>
          <cell r="C226" t="str">
            <v>DIVISI SURVEY</v>
          </cell>
          <cell r="D226" t="str">
            <v>CABANG UTAMA KLAS BATAM</v>
          </cell>
          <cell r="E226" t="str">
            <v>SURVEYOR SENIOR I B MEMPERTAHANKAN KLAS DIVISI SURVEY YANG DITEMPATKAN DI CABANG UTAMA KLAS BATAM</v>
          </cell>
          <cell r="F226" t="str">
            <v>arifin.gustian@bki.co.id</v>
          </cell>
          <cell r="G226" t="str">
            <v>081232243708</v>
          </cell>
          <cell r="H226" t="str">
            <v>6A</v>
          </cell>
          <cell r="I226">
            <v>250000</v>
          </cell>
        </row>
        <row r="227">
          <cell r="B227" t="str">
            <v>SYARIFUDDIN YAMIN</v>
          </cell>
          <cell r="C227" t="str">
            <v>CABANG UTAMA KLAS BATAM</v>
          </cell>
          <cell r="D227" t="str">
            <v>CABANG UTAMA KLAS BATAM</v>
          </cell>
          <cell r="E227" t="str">
            <v xml:space="preserve">SURVEYOR </v>
          </cell>
          <cell r="F227" t="str">
            <v>syarifuddin.yamin@bki.co.id</v>
          </cell>
          <cell r="G227" t="str">
            <v>08114499912</v>
          </cell>
          <cell r="H227" t="str">
            <v>5C</v>
          </cell>
          <cell r="I227">
            <v>250000</v>
          </cell>
        </row>
        <row r="228">
          <cell r="B228" t="str">
            <v xml:space="preserve">EDITYA ANGGAWIJAYA </v>
          </cell>
          <cell r="C228" t="str">
            <v>DIVISI SURVEY</v>
          </cell>
          <cell r="D228" t="str">
            <v>CABANG UTAMA KLAS BATAM</v>
          </cell>
          <cell r="E228" t="str">
            <v xml:space="preserve">SURVEYOR JUNIOR DIVISI SURVEY YANG DITEMPATKAN DI CABANG UTAMA KLAS BATAM </v>
          </cell>
          <cell r="F228" t="str">
            <v>editya.an@bki.co.id</v>
          </cell>
          <cell r="H228" t="str">
            <v>4C</v>
          </cell>
          <cell r="I228">
            <v>0</v>
          </cell>
        </row>
        <row r="229">
          <cell r="B229" t="str">
            <v>JERI AGERISTA SEMBIRING</v>
          </cell>
          <cell r="C229" t="str">
            <v>DIVISI SURVEY</v>
          </cell>
          <cell r="D229" t="str">
            <v>CABANG UTAMA KLAS BATAM</v>
          </cell>
          <cell r="E229" t="str">
            <v>SURVEYOR JUNIOR DIVISI SURVEY YANG DITEMPATKAN DI CABANG UTAMA KLAS BATAM</v>
          </cell>
          <cell r="F229" t="str">
            <v>jeri.as@bki.co.id</v>
          </cell>
          <cell r="H229" t="str">
            <v>4C</v>
          </cell>
          <cell r="I229">
            <v>0</v>
          </cell>
        </row>
        <row r="230">
          <cell r="B230" t="str">
            <v>AJI PRABOWO</v>
          </cell>
          <cell r="C230" t="str">
            <v>DIVISI OPERASI BISNIS KLASIFIKASI</v>
          </cell>
          <cell r="D230" t="str">
            <v>CABANG UTAMA KLAS BATAM</v>
          </cell>
          <cell r="E230" t="str">
            <v>SURVEYOR SENIOR II C KENDALI OPERASI YANG DITEMPATKAN DI CABANG UTAMA KLAS BATAM</v>
          </cell>
          <cell r="F230" t="str">
            <v>aji.prabowo@bki.co.id</v>
          </cell>
          <cell r="G230" t="str">
            <v>081703290234</v>
          </cell>
          <cell r="H230" t="str">
            <v>7C</v>
          </cell>
          <cell r="I230">
            <v>0</v>
          </cell>
        </row>
        <row r="231">
          <cell r="B231" t="str">
            <v>DANI MAULANA</v>
          </cell>
          <cell r="C231" t="str">
            <v>DIVISI OPERASI BISNIS KLASIFIKASI</v>
          </cell>
          <cell r="D231" t="str">
            <v>CABANG UTAMA KLAS BATAM</v>
          </cell>
          <cell r="E231" t="str">
            <v>SURVEYOR SENIOR II A KENDALI OPERASI YANG DITEMPATKAN DI CABANG UTAMA KLAS BATAM</v>
          </cell>
          <cell r="F231" t="str">
            <v>dani@bki.co.id</v>
          </cell>
          <cell r="G231" t="str">
            <v>081266000243</v>
          </cell>
          <cell r="H231" t="str">
            <v>7A</v>
          </cell>
          <cell r="I231">
            <v>0</v>
          </cell>
        </row>
        <row r="232">
          <cell r="B232" t="str">
            <v>AGUS SALIM</v>
          </cell>
          <cell r="C232" t="str">
            <v>CABANG UTAMA KLAS BATAM</v>
          </cell>
          <cell r="D232" t="str">
            <v>CABANG UTAMA KLAS BATAM</v>
          </cell>
          <cell r="E232" t="str">
            <v>STAF DUKUNGAN BISNIS</v>
          </cell>
          <cell r="F232" t="str">
            <v>agusalim@bki.co.id</v>
          </cell>
          <cell r="G232">
            <v>0</v>
          </cell>
          <cell r="H232" t="str">
            <v>-</v>
          </cell>
          <cell r="I232">
            <v>0</v>
          </cell>
        </row>
        <row r="233">
          <cell r="B233" t="str">
            <v>MUHAMAD RAMA ALFANDI</v>
          </cell>
          <cell r="C233" t="str">
            <v>DIVISI PERSETUJUAN RANCANG BANGUN</v>
          </cell>
          <cell r="D233" t="str">
            <v>CABANG UTAMA KLAS BATAM</v>
          </cell>
          <cell r="E233" t="str">
            <v>STAF ADMINISTRASI PEMINDAH GAMBAR</v>
          </cell>
          <cell r="F233" t="str">
            <v>muhamad.alfandi@bki.co.id</v>
          </cell>
          <cell r="G233" t="str">
            <v>081334592305</v>
          </cell>
          <cell r="H233" t="str">
            <v>-</v>
          </cell>
          <cell r="I233">
            <v>0</v>
          </cell>
        </row>
        <row r="234">
          <cell r="B234" t="str">
            <v>BENNI HERMAWAN</v>
          </cell>
          <cell r="C234" t="str">
            <v>CABANG UTAMA KLAS SAMARINDA</v>
          </cell>
          <cell r="D234" t="str">
            <v>CABANG UTAMA KLAS SAMARINDA</v>
          </cell>
          <cell r="E234" t="str">
            <v>KEPALA CABANG UTAMA KLAS SAMARINDA</v>
          </cell>
          <cell r="F234" t="str">
            <v>benni.hermawan@bki.co.id</v>
          </cell>
          <cell r="G234" t="str">
            <v>082245118789</v>
          </cell>
          <cell r="H234" t="str">
            <v>8A</v>
          </cell>
          <cell r="I234">
            <v>500000</v>
          </cell>
        </row>
        <row r="235">
          <cell r="B235" t="str">
            <v>DAVID NOER SYUHADA</v>
          </cell>
          <cell r="C235" t="str">
            <v>CABANG UTAMA KLAS SAMARINDA</v>
          </cell>
          <cell r="D235" t="str">
            <v>CABANG UTAMA KLAS SAMARINDA</v>
          </cell>
          <cell r="E235" t="str">
            <v>SENIOR MANAGER OPERASI KLAS SAMARINDA</v>
          </cell>
          <cell r="F235" t="str">
            <v>davidnoers@bki.co.id</v>
          </cell>
          <cell r="G235" t="str">
            <v>081258724374</v>
          </cell>
          <cell r="H235" t="str">
            <v>7B</v>
          </cell>
          <cell r="I235">
            <v>350000</v>
          </cell>
        </row>
        <row r="236">
          <cell r="B236" t="str">
            <v>STEFFY HERMAN</v>
          </cell>
          <cell r="C236" t="str">
            <v>CABANG UTAMA KLAS SAMARINDA</v>
          </cell>
          <cell r="D236" t="str">
            <v>CABANG UTAMA KLAS SAMARINDA</v>
          </cell>
          <cell r="E236" t="str">
            <v>SURVEYOR</v>
          </cell>
          <cell r="F236" t="str">
            <v>steffy.herman@bki.co.id</v>
          </cell>
          <cell r="G236" t="str">
            <v>0812 4130 6058</v>
          </cell>
          <cell r="H236" t="str">
            <v>5C</v>
          </cell>
          <cell r="I236">
            <v>0</v>
          </cell>
        </row>
        <row r="237">
          <cell r="B237" t="str">
            <v>RIZKA PRASETYA</v>
          </cell>
          <cell r="C237" t="str">
            <v>CABANG UTAMA KLAS SAMARINDA</v>
          </cell>
          <cell r="D237" t="str">
            <v>CABANG UTAMA KLAS SAMARINDA</v>
          </cell>
          <cell r="E237" t="str">
            <v>ADMINISTRATOR SENIOR</v>
          </cell>
          <cell r="F237" t="str">
            <v>rizka.prasetya@bki.co.id</v>
          </cell>
          <cell r="G237" t="str">
            <v>0821 5956 0024</v>
          </cell>
          <cell r="H237" t="str">
            <v>3B</v>
          </cell>
          <cell r="I237">
            <v>0</v>
          </cell>
        </row>
        <row r="238">
          <cell r="B238" t="str">
            <v>SYARIF NUHUNG</v>
          </cell>
          <cell r="C238" t="str">
            <v>CABANG UTAMA KLAS SAMARINDA</v>
          </cell>
          <cell r="D238" t="str">
            <v>CABANG UTAMA KLAS SAMARINDA</v>
          </cell>
          <cell r="E238" t="str">
            <v>SENIOR MANAGER PEMASARAN DAN DUKUNGAN BISNIS KLAS SAMARINDA</v>
          </cell>
          <cell r="F238" t="str">
            <v>syarif@bki.co.id</v>
          </cell>
          <cell r="G238" t="str">
            <v>081330351887</v>
          </cell>
          <cell r="H238" t="str">
            <v>7A</v>
          </cell>
          <cell r="I238">
            <v>0</v>
          </cell>
        </row>
        <row r="239">
          <cell r="B239" t="str">
            <v>AGUSTINI</v>
          </cell>
          <cell r="C239" t="str">
            <v>CABANG UTAMA KLAS SAMARINDA</v>
          </cell>
          <cell r="D239" t="str">
            <v>CABANG UTAMA KLAS SAMARINDA</v>
          </cell>
          <cell r="E239" t="str">
            <v>ADMINISTRATOR SENIOR</v>
          </cell>
          <cell r="F239" t="str">
            <v>agustini@bki.co.id</v>
          </cell>
          <cell r="G239" t="str">
            <v>082242222260</v>
          </cell>
          <cell r="H239" t="str">
            <v>3B</v>
          </cell>
          <cell r="I239">
            <v>0</v>
          </cell>
        </row>
        <row r="240">
          <cell r="B240" t="str">
            <v>DANI ISKANDAR</v>
          </cell>
          <cell r="C240" t="str">
            <v>CABANG UTAMA KLAS SAMARINDA</v>
          </cell>
          <cell r="D240" t="str">
            <v>CABANG UTAMA KLAS SAMARINDA</v>
          </cell>
          <cell r="E240" t="str">
            <v>OFFICER ADMINISTRASI UMUM</v>
          </cell>
          <cell r="F240" t="str">
            <v>dani.iskandar@bki.co.id</v>
          </cell>
          <cell r="G240" t="str">
            <v>0811543375</v>
          </cell>
          <cell r="H240" t="str">
            <v>4A</v>
          </cell>
          <cell r="I240">
            <v>0</v>
          </cell>
        </row>
        <row r="241">
          <cell r="B241" t="str">
            <v>RANGSANG KUSUMADILAGA</v>
          </cell>
          <cell r="C241" t="str">
            <v>CABANG UTAMA KLAS SAMARINDA</v>
          </cell>
          <cell r="D241" t="str">
            <v>CABANG UTAMA KLAS SAMARINDA</v>
          </cell>
          <cell r="E241" t="str">
            <v>SURVEYOR</v>
          </cell>
          <cell r="F241" t="str">
            <v>rangsang.kusumadilaga@bki.co.id</v>
          </cell>
          <cell r="G241" t="str">
            <v>085877954649</v>
          </cell>
          <cell r="H241" t="str">
            <v>5C</v>
          </cell>
          <cell r="I241">
            <v>250000</v>
          </cell>
        </row>
        <row r="242">
          <cell r="B242" t="str">
            <v>LA ODE ABDUL RAHMAN FIRU</v>
          </cell>
          <cell r="C242" t="str">
            <v>CABANG UTAMA KLAS SAMARINDA</v>
          </cell>
          <cell r="D242" t="str">
            <v>CABANG UTAMA KLAS SAMARINDA</v>
          </cell>
          <cell r="E242" t="str">
            <v>SURVEYOR SENIOR I A</v>
          </cell>
          <cell r="F242" t="str">
            <v>laode.arf@bki.co.id</v>
          </cell>
          <cell r="G242" t="str">
            <v>085255987950</v>
          </cell>
          <cell r="H242" t="str">
            <v>6A</v>
          </cell>
          <cell r="I242">
            <v>250000</v>
          </cell>
        </row>
        <row r="243">
          <cell r="B243" t="str">
            <v>ABDUL KHOLICK</v>
          </cell>
          <cell r="C243" t="str">
            <v>CABANG UTAMA KLAS SAMARINDA</v>
          </cell>
          <cell r="D243" t="str">
            <v>CABANG UTAMA KLAS SAMARINDA</v>
          </cell>
          <cell r="E243" t="str">
            <v>SURVEYOR SENIOR I A</v>
          </cell>
          <cell r="F243" t="str">
            <v>abdul.kholick@bki.co.id</v>
          </cell>
          <cell r="G243" t="str">
            <v>0856 4808 6841</v>
          </cell>
          <cell r="H243" t="str">
            <v>6A</v>
          </cell>
          <cell r="I243">
            <v>250000</v>
          </cell>
        </row>
        <row r="244">
          <cell r="B244" t="str">
            <v>AGUS ERICSON SIANIPAR</v>
          </cell>
          <cell r="C244" t="str">
            <v>CABANG UTAMA KLAS SAMARINDA</v>
          </cell>
          <cell r="D244" t="str">
            <v>CABANG UTAMA KLAS SAMARINDA</v>
          </cell>
          <cell r="E244" t="str">
            <v>SURVEYOR SENIOR I A</v>
          </cell>
          <cell r="F244" t="str">
            <v>agus.sianipar@bki.co.id</v>
          </cell>
          <cell r="G244" t="str">
            <v>0852 3005 1463</v>
          </cell>
          <cell r="H244" t="str">
            <v>6A</v>
          </cell>
          <cell r="I244">
            <v>250000</v>
          </cell>
        </row>
        <row r="245">
          <cell r="B245" t="str">
            <v>RIDWAN</v>
          </cell>
          <cell r="C245" t="str">
            <v>CABANG UTAMA KLAS SAMARINDA</v>
          </cell>
          <cell r="D245" t="str">
            <v>CABANG UTAMA KLAS SAMARINDA</v>
          </cell>
          <cell r="E245" t="str">
            <v>ANALIS ADMINISTRASI UMUM &amp; KEUANGAN</v>
          </cell>
          <cell r="F245" t="str">
            <v>ridwan@bki.co.id</v>
          </cell>
          <cell r="G245" t="str">
            <v>081346234886</v>
          </cell>
          <cell r="H245" t="str">
            <v>5A</v>
          </cell>
          <cell r="I245">
            <v>0</v>
          </cell>
        </row>
        <row r="246">
          <cell r="B246" t="str">
            <v>ANA RAHMAWATI</v>
          </cell>
          <cell r="C246" t="str">
            <v>CABANG UTAMA KLAS SAMARINDA</v>
          </cell>
          <cell r="D246" t="str">
            <v>CABANG UTAMA KLAS SAMARINDA</v>
          </cell>
          <cell r="E246" t="str">
            <v>MANAGER ADMINISTRASI UMUM &amp; KEUANGAN KLAS SAMARINDA</v>
          </cell>
          <cell r="F246" t="str">
            <v>ana@bki.co.id</v>
          </cell>
          <cell r="G246" t="str">
            <v>085247446300</v>
          </cell>
          <cell r="H246" t="str">
            <v>5C</v>
          </cell>
          <cell r="I246">
            <v>0</v>
          </cell>
        </row>
        <row r="247">
          <cell r="B247" t="str">
            <v>DARMAWAN</v>
          </cell>
          <cell r="C247" t="str">
            <v>CABANG UTAMA KLAS SAMARINDA</v>
          </cell>
          <cell r="D247" t="str">
            <v>CABANG UTAMA KLAS SAMARINDA</v>
          </cell>
          <cell r="E247" t="str">
            <v>ADMINISTRATOR</v>
          </cell>
          <cell r="F247" t="str">
            <v>darmawan@bki.co.id</v>
          </cell>
          <cell r="G247" t="str">
            <v>081314193562</v>
          </cell>
          <cell r="H247" t="str">
            <v>2A</v>
          </cell>
          <cell r="I247">
            <v>0</v>
          </cell>
        </row>
        <row r="248">
          <cell r="B248" t="str">
            <v>HANIF KURNIAWAN</v>
          </cell>
          <cell r="C248" t="str">
            <v>CABANG UTAMA KLAS SAMARINDA</v>
          </cell>
          <cell r="D248" t="str">
            <v>CABANG UTAMA KLAS SAMARINDA</v>
          </cell>
          <cell r="E248" t="str">
            <v xml:space="preserve">SURVEYOR JUNIOR </v>
          </cell>
          <cell r="F248" t="str">
            <v>hanif.kurniawan@bki.co.id</v>
          </cell>
          <cell r="G248" t="str">
            <v>085336351858</v>
          </cell>
          <cell r="H248" t="str">
            <v>4C</v>
          </cell>
          <cell r="I248">
            <v>0</v>
          </cell>
        </row>
        <row r="249">
          <cell r="B249" t="str">
            <v>TIO ANTONI</v>
          </cell>
          <cell r="C249" t="str">
            <v>DIVISI SURVEY</v>
          </cell>
          <cell r="D249" t="str">
            <v>CABANG UTAMA KLAS SAMARINDA</v>
          </cell>
          <cell r="E249" t="str">
            <v>SURVEYOR PENERIMAAN KLAS DIVISI SURVEY YANG DITEMPATKAN DI CABANG UTAMA KLAS SAMARINDA</v>
          </cell>
          <cell r="F249" t="str">
            <v>tio.antoni@bki.co.id</v>
          </cell>
          <cell r="G249" t="str">
            <v>085278708477</v>
          </cell>
          <cell r="H249" t="str">
            <v>5C</v>
          </cell>
          <cell r="I249">
            <v>0</v>
          </cell>
        </row>
        <row r="250">
          <cell r="B250" t="str">
            <v>BACHTIAR YUSUF HABIBI</v>
          </cell>
          <cell r="C250" t="str">
            <v>DIVISI SURVEY</v>
          </cell>
          <cell r="D250" t="str">
            <v>CABANG UTAMA KLAS SAMARINDA</v>
          </cell>
          <cell r="E250" t="str">
            <v>SURVEYOR MEMPERTAHANKAN KLAS DIVISI SURVEY YANG DITEMPATKAN DI CABANG UTAMA KLAS SAMARINDA</v>
          </cell>
          <cell r="F250" t="str">
            <v>by.habibi@bki.co.id</v>
          </cell>
          <cell r="G250" t="str">
            <v>085735074466</v>
          </cell>
          <cell r="H250" t="str">
            <v>5C</v>
          </cell>
          <cell r="I250">
            <v>0</v>
          </cell>
        </row>
        <row r="251">
          <cell r="B251" t="str">
            <v>JOUSTRA BILLY</v>
          </cell>
          <cell r="C251" t="str">
            <v>DIVISI OPERASI BISNIS KLASIFIKASI</v>
          </cell>
          <cell r="D251" t="str">
            <v>CABANG UTAMA KLAS SAMARINDA</v>
          </cell>
          <cell r="E251" t="str">
            <v>SURVEYOR SENIOR I C KENDALI OPERASI YANG DITEMPATKAN DI CABANG UTAMA KLAS SAMARINDA</v>
          </cell>
          <cell r="F251" t="str">
            <v>joustra@bki.co.id</v>
          </cell>
          <cell r="G251" t="str">
            <v>081241404696</v>
          </cell>
          <cell r="H251" t="str">
            <v>6C</v>
          </cell>
          <cell r="I251">
            <v>0</v>
          </cell>
        </row>
        <row r="252">
          <cell r="B252" t="str">
            <v>AWALUDDIN PAINGNGI</v>
          </cell>
          <cell r="C252" t="str">
            <v>DIVISI OPERASI BISNIS KLASIFIKASI</v>
          </cell>
          <cell r="D252" t="str">
            <v>CABANG UTAMA KLAS SAMARINDA</v>
          </cell>
          <cell r="E252" t="str">
            <v>SURVEYOR SENIOR I B KENDALI OPERASI YANG DITEMPATKAN DI CABANG UTAMA KLAS SAMARINDA</v>
          </cell>
          <cell r="F252" t="str">
            <v>awaluddin@bki.co.id</v>
          </cell>
          <cell r="G252" t="str">
            <v>0818805342</v>
          </cell>
          <cell r="H252" t="str">
            <v>6B</v>
          </cell>
          <cell r="I252">
            <v>250000</v>
          </cell>
        </row>
        <row r="253">
          <cell r="B253" t="str">
            <v>MUSHAWWIR RAZAK</v>
          </cell>
          <cell r="C253" t="str">
            <v>DIVISI OPERASI BISNIS KLASIFIKASI</v>
          </cell>
          <cell r="D253" t="str">
            <v>CABANG UTAMA KLAS SAMARINDA</v>
          </cell>
          <cell r="E253" t="str">
            <v>SURVEYOR SENIOR I C KENDALI OPERASI YANG DITEMPATKAN DI CABANG UTAMA KLAS SAMARINDA</v>
          </cell>
          <cell r="F253" t="str">
            <v>mushawwir@bki.co.id</v>
          </cell>
          <cell r="G253" t="str">
            <v>0811915320</v>
          </cell>
          <cell r="H253" t="str">
            <v>6C</v>
          </cell>
          <cell r="I253">
            <v>250000</v>
          </cell>
        </row>
        <row r="254">
          <cell r="B254" t="str">
            <v>TINA AKSARANI</v>
          </cell>
          <cell r="C254" t="str">
            <v>CABANG UTAMA KLAS SAMARINDA</v>
          </cell>
          <cell r="D254" t="str">
            <v>CABANG UTAMA KLAS SAMARINDA</v>
          </cell>
          <cell r="E254" t="str">
            <v>STAF DUKUNGAN BISNIS</v>
          </cell>
          <cell r="F254" t="str">
            <v>tina.aksarani@bki.co.id</v>
          </cell>
          <cell r="G254">
            <v>0</v>
          </cell>
          <cell r="H254" t="str">
            <v>-</v>
          </cell>
          <cell r="I254">
            <v>0</v>
          </cell>
        </row>
        <row r="255">
          <cell r="B255" t="str">
            <v>AJENG KURNIA IMANSARI</v>
          </cell>
          <cell r="C255" t="str">
            <v>CABANG UTAMA KLAS SAMARINDA</v>
          </cell>
          <cell r="D255" t="str">
            <v>CABANG UTAMA KLAS SAMARINDA</v>
          </cell>
          <cell r="E255" t="str">
            <v>STAF DUKUNGAN BISNIS</v>
          </cell>
          <cell r="F255" t="str">
            <v>ajeng.kurnia@bki.co.id</v>
          </cell>
          <cell r="G255">
            <v>0</v>
          </cell>
          <cell r="H255" t="str">
            <v>-</v>
          </cell>
          <cell r="I255">
            <v>0</v>
          </cell>
        </row>
        <row r="256">
          <cell r="B256" t="str">
            <v>MUHAMMAD FADLI AMIR</v>
          </cell>
          <cell r="C256" t="str">
            <v>CABANG UTAMA KLAS SAMARINDA</v>
          </cell>
          <cell r="D256" t="str">
            <v>CABANG UTAMA KLAS SAMARINDA</v>
          </cell>
          <cell r="E256" t="str">
            <v>STAF DUKUNGAN BISNIS</v>
          </cell>
          <cell r="F256" t="str">
            <v>muhammad.fadli@bki.co.id</v>
          </cell>
          <cell r="G256" t="str">
            <v>0813 5076 7776</v>
          </cell>
          <cell r="H256" t="str">
            <v>-</v>
          </cell>
          <cell r="I256">
            <v>0</v>
          </cell>
        </row>
        <row r="257">
          <cell r="B257" t="str">
            <v>TOMMY NUR ADITYA</v>
          </cell>
          <cell r="C257" t="str">
            <v>CABANG UTAMA KLAS SAMARINDA</v>
          </cell>
          <cell r="D257" t="str">
            <v>CABANG UTAMA KLAS SAMARINDA</v>
          </cell>
          <cell r="E257" t="str">
            <v>STAF DUKUNGAN BISNIS</v>
          </cell>
          <cell r="F257" t="str">
            <v>tommy.nur@bki.co.id</v>
          </cell>
          <cell r="G257" t="str">
            <v>0852 5030 3099</v>
          </cell>
          <cell r="H257" t="str">
            <v>-</v>
          </cell>
          <cell r="I257">
            <v>0</v>
          </cell>
        </row>
        <row r="258">
          <cell r="B258" t="str">
            <v>TAMZIL FADILLAH HARDONO</v>
          </cell>
          <cell r="C258" t="str">
            <v>CABANG UTAMA KLAS SAMARINDA</v>
          </cell>
          <cell r="D258" t="str">
            <v>CABANG UTAMA KLAS SAMARINDA</v>
          </cell>
          <cell r="E258" t="str">
            <v>STAF DUKUNGAN BISNIS</v>
          </cell>
          <cell r="F258" t="str">
            <v>tamzil.fadillah@bki.co.id</v>
          </cell>
          <cell r="G258" t="str">
            <v>0812 1721 0250</v>
          </cell>
          <cell r="H258" t="str">
            <v>-</v>
          </cell>
          <cell r="I258">
            <v>0</v>
          </cell>
        </row>
        <row r="259">
          <cell r="B259" t="str">
            <v>IRZAN AZIS</v>
          </cell>
          <cell r="C259" t="str">
            <v>CABANG UTAMA KLAS SURABAYA</v>
          </cell>
          <cell r="D259" t="str">
            <v>CABANG UTAMA KLAS SURABAYA</v>
          </cell>
          <cell r="E259" t="str">
            <v>SURVEYOR SENIOR I A</v>
          </cell>
          <cell r="F259" t="str">
            <v>irzan.azis@bki.co.id</v>
          </cell>
          <cell r="G259" t="str">
            <v>082220431983</v>
          </cell>
          <cell r="H259" t="str">
            <v>6A</v>
          </cell>
          <cell r="I259">
            <v>0</v>
          </cell>
        </row>
        <row r="260">
          <cell r="B260" t="str">
            <v>ALFAN FADHLI</v>
          </cell>
          <cell r="C260" t="str">
            <v>CABANG UTAMA KLAS SURABAYA</v>
          </cell>
          <cell r="D260" t="str">
            <v>CABANG UTAMA KLAS SURABAYA</v>
          </cell>
          <cell r="E260" t="str">
            <v>SURVEYOR SENIOR I A</v>
          </cell>
          <cell r="F260" t="str">
            <v>alfan.fadhli@bki.co.id</v>
          </cell>
          <cell r="G260" t="str">
            <v>085735630613</v>
          </cell>
          <cell r="H260" t="str">
            <v>6A</v>
          </cell>
          <cell r="I260">
            <v>0</v>
          </cell>
        </row>
        <row r="261">
          <cell r="B261" t="str">
            <v>ANUGRAH EKO BUDI SUSANTO</v>
          </cell>
          <cell r="C261" t="str">
            <v>CABANG UTAMA KLAS SURABAYA</v>
          </cell>
          <cell r="D261" t="str">
            <v>CABANG UTAMA KLAS SURABAYA</v>
          </cell>
          <cell r="E261" t="str">
            <v>SURVEYOR SENIOR I A</v>
          </cell>
          <cell r="F261" t="str">
            <v>anugrah.eko@bki.co.id</v>
          </cell>
          <cell r="G261" t="str">
            <v>085645192207</v>
          </cell>
          <cell r="H261" t="str">
            <v>6A</v>
          </cell>
          <cell r="I261">
            <v>0</v>
          </cell>
        </row>
        <row r="262">
          <cell r="B262" t="str">
            <v>BAMBANG RIYANTO</v>
          </cell>
          <cell r="C262" t="str">
            <v>CABANG UTAMA KLAS SURABAYA</v>
          </cell>
          <cell r="D262" t="str">
            <v>CABANG UTAMA KLAS SURABAYA</v>
          </cell>
          <cell r="E262" t="str">
            <v>KEPALA CABANG UTAMA KLAS SURABAYA</v>
          </cell>
          <cell r="F262" t="str">
            <v>bambang.riyanto@bki.co.id</v>
          </cell>
          <cell r="G262" t="str">
            <v>08123562306</v>
          </cell>
          <cell r="H262" t="str">
            <v>8A</v>
          </cell>
          <cell r="I262">
            <v>350000</v>
          </cell>
        </row>
        <row r="263">
          <cell r="B263" t="str">
            <v>BAKTI NUGROHO DWI KUSHADIANTO</v>
          </cell>
          <cell r="C263" t="str">
            <v>CABANG UTAMA KLAS SURABAYA</v>
          </cell>
          <cell r="D263" t="str">
            <v>CABANG UTAMA KLAS SURABAYA</v>
          </cell>
          <cell r="E263" t="str">
            <v>SENIOR MANAGER PEMASARAN &amp; DUKUNGAN BISNIS KLAS SURABAYA</v>
          </cell>
          <cell r="F263" t="str">
            <v>bakti.nugroho@bki.co.id</v>
          </cell>
          <cell r="G263" t="str">
            <v>081219555444</v>
          </cell>
          <cell r="H263" t="str">
            <v>7A</v>
          </cell>
          <cell r="I263">
            <v>250000</v>
          </cell>
        </row>
        <row r="264">
          <cell r="B264" t="str">
            <v>AGUNG WICAKSONO</v>
          </cell>
          <cell r="C264" t="str">
            <v>CABANG UTAMA KLAS SURABAYA</v>
          </cell>
          <cell r="D264" t="str">
            <v>CABANG UTAMA KLAS SURABAYA</v>
          </cell>
          <cell r="E264" t="str">
            <v>SENIOR MANAGER OPERASI KLAS SURABAYA</v>
          </cell>
          <cell r="F264" t="str">
            <v>agung.wicaksono@bki.co.id</v>
          </cell>
          <cell r="G264" t="str">
            <v>0811971970</v>
          </cell>
          <cell r="H264" t="str">
            <v>7B</v>
          </cell>
          <cell r="I264">
            <v>0</v>
          </cell>
        </row>
        <row r="265">
          <cell r="B265" t="str">
            <v>TAMUJI HARI WARTONO</v>
          </cell>
          <cell r="C265" t="str">
            <v>CABANG UTAMA KLAS SURABAYA</v>
          </cell>
          <cell r="D265" t="str">
            <v>CABANG UTAMA KLAS SURABAYA</v>
          </cell>
          <cell r="E265" t="str">
            <v>MANAGER ADMINISTRASI UMUM &amp; KEUANGAN KLAS SURABAYA</v>
          </cell>
          <cell r="F265" t="str">
            <v>tamuji@bki.co.id</v>
          </cell>
          <cell r="G265" t="str">
            <v>081346591400</v>
          </cell>
          <cell r="H265" t="str">
            <v>5C</v>
          </cell>
          <cell r="I265">
            <v>0</v>
          </cell>
        </row>
        <row r="266">
          <cell r="B266" t="str">
            <v>IKA DIAN ARIANY</v>
          </cell>
          <cell r="C266" t="str">
            <v>CABANG UTAMA KLAS SURABAYA</v>
          </cell>
          <cell r="D266" t="str">
            <v>CABANG UTAMA KLAS SURABAYA</v>
          </cell>
          <cell r="E266" t="str">
            <v>ADMINISTRATOR SENIOR</v>
          </cell>
          <cell r="F266" t="str">
            <v>ika.da@bki.co.id</v>
          </cell>
          <cell r="G266" t="str">
            <v>081331278631</v>
          </cell>
          <cell r="H266" t="str">
            <v>3B</v>
          </cell>
          <cell r="I266">
            <v>0</v>
          </cell>
        </row>
        <row r="267">
          <cell r="B267" t="str">
            <v>FITRIA</v>
          </cell>
          <cell r="C267" t="str">
            <v>CABANG UTAMA KLAS SURABAYA</v>
          </cell>
          <cell r="D267" t="str">
            <v>CABANG UTAMA KLAS SURABAYA</v>
          </cell>
          <cell r="E267" t="str">
            <v>OFFICER ADMINISTRASI UMUM</v>
          </cell>
          <cell r="F267" t="str">
            <v>fitria@bki.co.id</v>
          </cell>
          <cell r="G267" t="str">
            <v>085748339599</v>
          </cell>
          <cell r="H267" t="str">
            <v>4A</v>
          </cell>
          <cell r="I267">
            <v>0</v>
          </cell>
        </row>
        <row r="268">
          <cell r="B268" t="str">
            <v>ABUKASIM USMAN</v>
          </cell>
          <cell r="C268" t="str">
            <v>CABANG UTAMA KLAS SURABAYA</v>
          </cell>
          <cell r="D268" t="str">
            <v>CABANG UTAMA KLAS SURABAYA</v>
          </cell>
          <cell r="E268" t="str">
            <v>SUPIR</v>
          </cell>
          <cell r="F268" t="str">
            <v>abukasim@bki.co.id</v>
          </cell>
          <cell r="G268" t="str">
            <v>081357235990</v>
          </cell>
          <cell r="H268" t="str">
            <v>1A</v>
          </cell>
          <cell r="I268">
            <v>150000</v>
          </cell>
        </row>
        <row r="269">
          <cell r="B269" t="str">
            <v>SILVIA KARULITA</v>
          </cell>
          <cell r="C269" t="str">
            <v>CABANG UTAMA KLAS SURABAYA</v>
          </cell>
          <cell r="D269" t="str">
            <v>CABANG UTAMA KLAS SURABAYA</v>
          </cell>
          <cell r="E269" t="str">
            <v>ADMINISTRATOR</v>
          </cell>
          <cell r="F269" t="str">
            <v>silvia@bki.co.id</v>
          </cell>
          <cell r="G269" t="str">
            <v>089682785449</v>
          </cell>
          <cell r="H269" t="str">
            <v>2A</v>
          </cell>
          <cell r="I269">
            <v>0</v>
          </cell>
        </row>
        <row r="270">
          <cell r="B270" t="str">
            <v>NURUL HUDA</v>
          </cell>
          <cell r="C270" t="str">
            <v>CABANG UTAMA KLAS SURABAYA</v>
          </cell>
          <cell r="D270" t="str">
            <v>CABANG UTAMA KLAS SURABAYA</v>
          </cell>
          <cell r="E270" t="str">
            <v>ADMINISTRATOR</v>
          </cell>
          <cell r="F270" t="str">
            <v>nurul.huda@bki.co.id</v>
          </cell>
          <cell r="G270" t="str">
            <v>081357054921</v>
          </cell>
          <cell r="H270" t="str">
            <v>2A</v>
          </cell>
          <cell r="I270">
            <v>150000</v>
          </cell>
        </row>
        <row r="271">
          <cell r="B271" t="str">
            <v>TEGUH BUDI SANTOSO</v>
          </cell>
          <cell r="C271" t="str">
            <v>DIVISI OPERASI BISNIS KLASIFIKASI</v>
          </cell>
          <cell r="D271" t="str">
            <v>CABANG UTAMA KLAS SURABAYA</v>
          </cell>
          <cell r="E271" t="str">
            <v>SURVEYOR SENIOR II B KENDALI OPERASI YANG DITEMPATKAN DI CABANG UTAMA KLAS SURABAYA</v>
          </cell>
          <cell r="F271" t="str">
            <v>teguh@bki.co.id</v>
          </cell>
          <cell r="G271" t="str">
            <v>081332223764</v>
          </cell>
          <cell r="H271" t="str">
            <v>7B</v>
          </cell>
          <cell r="I271">
            <v>250000</v>
          </cell>
        </row>
        <row r="272">
          <cell r="B272" t="str">
            <v>RIDWAN AHMAD FAUZI</v>
          </cell>
          <cell r="C272" t="str">
            <v>CABANG UTAMA KLAS SURABAYA</v>
          </cell>
          <cell r="D272" t="str">
            <v>CABANG UTAMA KLAS SURABAYA</v>
          </cell>
          <cell r="E272" t="str">
            <v>SURVEYOR SENIOR I A</v>
          </cell>
          <cell r="F272" t="str">
            <v>ridwan.af@bki.co.id</v>
          </cell>
          <cell r="G272" t="str">
            <v>081283576001</v>
          </cell>
          <cell r="H272" t="str">
            <v>6A</v>
          </cell>
          <cell r="I272">
            <v>150000</v>
          </cell>
        </row>
        <row r="273">
          <cell r="B273" t="str">
            <v>YOGIA RIVALDHI</v>
          </cell>
          <cell r="C273" t="str">
            <v>CABANG UTAMA KLAS SURABAYA</v>
          </cell>
          <cell r="D273" t="str">
            <v>CABANG UTAMA KLAS SURABAYA</v>
          </cell>
          <cell r="E273" t="str">
            <v>SURVEYOR SENIOR I A CABANG UTAMA KLAS SURABAYA YANG DITEMPATKAN DI LEMBAR</v>
          </cell>
          <cell r="F273" t="str">
            <v>yogia.rivaldhi@bki.co.id</v>
          </cell>
          <cell r="G273" t="str">
            <v>081284546066</v>
          </cell>
          <cell r="H273" t="str">
            <v>6A</v>
          </cell>
          <cell r="I273">
            <v>0</v>
          </cell>
        </row>
        <row r="274">
          <cell r="B274" t="str">
            <v>AHMAD SAIFULLOH</v>
          </cell>
          <cell r="C274" t="str">
            <v>CABANG UTAMA KLAS SURABAYA</v>
          </cell>
          <cell r="D274" t="str">
            <v>CABANG UTAMA KLAS SURABAYA</v>
          </cell>
          <cell r="E274" t="str">
            <v>ANALIS ADMINISTRASI UMUM &amp; KEUANGAN</v>
          </cell>
          <cell r="F274" t="str">
            <v>ahmad.saifulloh@bki.co.id</v>
          </cell>
          <cell r="G274" t="str">
            <v>082139958425</v>
          </cell>
          <cell r="H274" t="str">
            <v>5A</v>
          </cell>
          <cell r="I274">
            <v>0</v>
          </cell>
        </row>
        <row r="275">
          <cell r="B275" t="str">
            <v>SAMSUL ARIF</v>
          </cell>
          <cell r="C275" t="str">
            <v>CABANG UTAMA KLAS SURABAYA</v>
          </cell>
          <cell r="D275" t="str">
            <v>CABANG UTAMA KLAS SURABAYA</v>
          </cell>
          <cell r="E275" t="str">
            <v>SURVEYOR SENIOR I A CABANG UTAMA KLAS SURABAYA YANG DITEMPATKAN DI LEMBAR</v>
          </cell>
          <cell r="F275" t="str">
            <v>samsul.arif@bki.co.id</v>
          </cell>
          <cell r="G275" t="str">
            <v>081284357777</v>
          </cell>
          <cell r="H275" t="str">
            <v>6A</v>
          </cell>
          <cell r="I275">
            <v>0</v>
          </cell>
        </row>
        <row r="276">
          <cell r="B276" t="str">
            <v>ABDUL HAKIM LILLAH</v>
          </cell>
          <cell r="C276" t="str">
            <v>CABANG UTAMA KLAS SURABAYA</v>
          </cell>
          <cell r="D276" t="str">
            <v>CABANG UTAMA KLAS SURABAYA</v>
          </cell>
          <cell r="E276" t="str">
            <v xml:space="preserve">SURVEYOR JUNIOR </v>
          </cell>
          <cell r="F276" t="str">
            <v>abdul.hakim@bki.co.id</v>
          </cell>
          <cell r="G276" t="str">
            <v>081215077665</v>
          </cell>
          <cell r="H276" t="str">
            <v>4C</v>
          </cell>
          <cell r="I276">
            <v>0</v>
          </cell>
        </row>
        <row r="277">
          <cell r="B277" t="str">
            <v>ADITYA ARIAWAN</v>
          </cell>
          <cell r="C277" t="str">
            <v>CABANG UTAMA KLAS SURABAYA</v>
          </cell>
          <cell r="D277" t="str">
            <v>CABANG UTAMA KLAS SURABAYA</v>
          </cell>
          <cell r="E277" t="str">
            <v xml:space="preserve">SURVEYOR JUNIOR  </v>
          </cell>
          <cell r="F277" t="str">
            <v>aditya.ariawan@bki.co.id</v>
          </cell>
          <cell r="G277" t="str">
            <v>085156882906</v>
          </cell>
          <cell r="H277" t="str">
            <v>4C</v>
          </cell>
          <cell r="I277">
            <v>0</v>
          </cell>
        </row>
        <row r="278">
          <cell r="B278" t="str">
            <v>ALIF YUDHA ASHARI</v>
          </cell>
          <cell r="C278" t="str">
            <v>CABANG UTAMA KLAS SURABAYA</v>
          </cell>
          <cell r="D278" t="str">
            <v>CABANG UTAMA KLAS SURABAYA</v>
          </cell>
          <cell r="E278" t="str">
            <v xml:space="preserve">SURVEYOR JUNIOR  </v>
          </cell>
          <cell r="F278" t="str">
            <v>alif.yudha@bki.co.id</v>
          </cell>
          <cell r="G278" t="str">
            <v>083831110483</v>
          </cell>
          <cell r="H278" t="str">
            <v>4C</v>
          </cell>
          <cell r="I278">
            <v>0</v>
          </cell>
        </row>
        <row r="279">
          <cell r="B279" t="str">
            <v>LINTANG BODRORINI KUSUMANINGRUM</v>
          </cell>
          <cell r="C279" t="str">
            <v>CABANG UTAMA KLAS SURABAYA</v>
          </cell>
          <cell r="D279" t="str">
            <v>CABANG UTAMA KLAS SURABAYA</v>
          </cell>
          <cell r="E279" t="str">
            <v>ADMINISTRATOR SENIOR</v>
          </cell>
          <cell r="F279" t="str">
            <v>lintang.kusuma@bki.co.id</v>
          </cell>
          <cell r="G279" t="str">
            <v>085648362006</v>
          </cell>
          <cell r="H279" t="str">
            <v>3B</v>
          </cell>
          <cell r="I279">
            <v>0</v>
          </cell>
        </row>
        <row r="280">
          <cell r="B280" t="str">
            <v>MAHESA SAGA</v>
          </cell>
          <cell r="C280" t="str">
            <v>DIVISI SURVEY</v>
          </cell>
          <cell r="D280" t="str">
            <v>CABANG UTAMA KLAS SURABAYA</v>
          </cell>
          <cell r="E280" t="str">
            <v>SURVEYOR PENERIMAAN KLAS YANG DITEMPATKAN DI CABANG UTAMA KLAS SURABAYA</v>
          </cell>
          <cell r="F280" t="str">
            <v>mahesa@bki.co.id</v>
          </cell>
          <cell r="G280" t="str">
            <v>081335849930</v>
          </cell>
          <cell r="H280" t="str">
            <v>5C</v>
          </cell>
          <cell r="I280">
            <v>250000</v>
          </cell>
        </row>
        <row r="281">
          <cell r="B281" t="str">
            <v>HAFIDS DICKY KHARISMA</v>
          </cell>
          <cell r="C281" t="str">
            <v>DIVISI SURVEY</v>
          </cell>
          <cell r="D281" t="str">
            <v>CABANG UTAMA KLAS SURABAYA</v>
          </cell>
          <cell r="E281" t="str">
            <v>SURVEYOR PENERIMAAN KLAS DIVISI SURVEY YANG DITEMPATKAN DI CABANG UTAMA KLAS SURABAYA</v>
          </cell>
          <cell r="F281" t="str">
            <v>hafids.kharisma@bki.co.id</v>
          </cell>
          <cell r="G281" t="str">
            <v>085730384844</v>
          </cell>
          <cell r="H281" t="str">
            <v>5C</v>
          </cell>
          <cell r="I281">
            <v>0</v>
          </cell>
        </row>
        <row r="282">
          <cell r="B282" t="str">
            <v>MUHAMMAD AZMI NAUFAL MUNIF</v>
          </cell>
          <cell r="C282" t="str">
            <v>DIVISI SURVEY</v>
          </cell>
          <cell r="D282" t="str">
            <v>CABANG UTAMA KLAS SURABAYA</v>
          </cell>
          <cell r="E282" t="str">
            <v xml:space="preserve">SURVEYOR JUNIOR DIVISI SURVEY YANG DITEMPATKAN DI CABANG UTAMA KLAS SURABAYA </v>
          </cell>
          <cell r="F282" t="str">
            <v>m.azmi@bki.co.id</v>
          </cell>
          <cell r="H282" t="str">
            <v>4C</v>
          </cell>
          <cell r="I282">
            <v>0</v>
          </cell>
        </row>
        <row r="283">
          <cell r="B283" t="str">
            <v>MUHAMMAD FADHILAL MURSYID</v>
          </cell>
          <cell r="C283" t="str">
            <v>DIVISI SURVEY</v>
          </cell>
          <cell r="D283" t="str">
            <v>CABANG UTAMA KLAS SURABAYA</v>
          </cell>
          <cell r="E283" t="str">
            <v xml:space="preserve">SURVEYOR JUNIOR DIVISI SURVEY YANG DITEMPATKAN DI CABANG UTAMA KLAS SURABAYA </v>
          </cell>
          <cell r="F283" t="str">
            <v>m.fadhilal@bki.co.id</v>
          </cell>
          <cell r="H283" t="str">
            <v>4C</v>
          </cell>
          <cell r="I283">
            <v>0</v>
          </cell>
        </row>
        <row r="284">
          <cell r="B284" t="str">
            <v>AGUSTANG</v>
          </cell>
          <cell r="C284" t="str">
            <v>CABANG UTAMA KLAS TG.PRIOK</v>
          </cell>
          <cell r="D284" t="str">
            <v>CABANG UTAMA KLAS TG.PRIOK</v>
          </cell>
          <cell r="E284" t="str">
            <v>SURVEYOR SENIOR I A</v>
          </cell>
          <cell r="F284" t="str">
            <v>agustang@bki.co.id</v>
          </cell>
          <cell r="G284" t="str">
            <v/>
          </cell>
          <cell r="H284" t="str">
            <v>6A</v>
          </cell>
          <cell r="I284">
            <v>0</v>
          </cell>
        </row>
        <row r="285">
          <cell r="B285" t="str">
            <v>ARIF KURNIAWAN</v>
          </cell>
          <cell r="C285" t="str">
            <v>DIVISI OPERASI BISNIS KLASIFIKASI</v>
          </cell>
          <cell r="D285" t="str">
            <v>CABANG UTAMA KLAS TG.PRIOK</v>
          </cell>
          <cell r="E285" t="str">
            <v>SURVEYOR SENIOR I C KENDALI OPERASI YANG DITEMPATKAN DI CABANG UTAMA KLAS TG. PRIOK</v>
          </cell>
          <cell r="F285" t="str">
            <v>ariefkurniawan@bki.co.id</v>
          </cell>
          <cell r="G285" t="str">
            <v>081222225772</v>
          </cell>
          <cell r="H285" t="str">
            <v>6C</v>
          </cell>
          <cell r="I285">
            <v>0</v>
          </cell>
        </row>
        <row r="286">
          <cell r="B286" t="str">
            <v>JANU HARI MURTITAKA</v>
          </cell>
          <cell r="C286" t="str">
            <v>CABANG UTAMA KLAS TG.PRIOK</v>
          </cell>
          <cell r="D286" t="str">
            <v>CABANG UTAMA KLAS TG.PRIOK</v>
          </cell>
          <cell r="E286" t="str">
            <v>SURVEYOR</v>
          </cell>
          <cell r="F286" t="str">
            <v>janutaka@bki.co.id</v>
          </cell>
          <cell r="G286" t="str">
            <v>0856 5566 0574</v>
          </cell>
          <cell r="H286" t="str">
            <v>5C</v>
          </cell>
          <cell r="I286">
            <v>0</v>
          </cell>
        </row>
        <row r="287">
          <cell r="B287" t="str">
            <v>MUHAMAD BAQI</v>
          </cell>
          <cell r="C287" t="str">
            <v>CABANG UTAMA KLAS TG.PRIOK</v>
          </cell>
          <cell r="D287" t="str">
            <v>CABANG UTAMA KLAS TG.PRIOK</v>
          </cell>
          <cell r="E287" t="str">
            <v>SURVEYOR</v>
          </cell>
          <cell r="F287" t="str">
            <v>muhamad.baqi@bki.co.id</v>
          </cell>
          <cell r="G287" t="str">
            <v>081285824343</v>
          </cell>
          <cell r="H287" t="str">
            <v>5C</v>
          </cell>
          <cell r="I287">
            <v>250000</v>
          </cell>
        </row>
        <row r="288">
          <cell r="B288" t="str">
            <v>AKBAR RAKANDA PRAKASA</v>
          </cell>
          <cell r="C288" t="str">
            <v>CABANG UTAMA KLAS TG.PRIOK</v>
          </cell>
          <cell r="D288" t="str">
            <v>CABANG UTAMA KLAS TG.PRIOK</v>
          </cell>
          <cell r="E288" t="str">
            <v>ANALIS TEKNIK</v>
          </cell>
          <cell r="F288" t="str">
            <v>akbar.rp@bki.co.id</v>
          </cell>
          <cell r="G288" t="str">
            <v>0856 768 0798</v>
          </cell>
          <cell r="H288" t="str">
            <v>5C</v>
          </cell>
          <cell r="I288">
            <v>0</v>
          </cell>
        </row>
        <row r="289">
          <cell r="B289" t="str">
            <v>SOLEH ABIDIN</v>
          </cell>
          <cell r="C289" t="str">
            <v>CABANG UTAMA KLAS TG.PRIOK</v>
          </cell>
          <cell r="D289" t="str">
            <v>CABANG UTAMA KLAS TG.PRIOK</v>
          </cell>
          <cell r="E289" t="str">
            <v>ADMINISTRATOR SENIOR</v>
          </cell>
          <cell r="F289" t="str">
            <v>soleh.abidin@bki.co.id</v>
          </cell>
          <cell r="G289" t="str">
            <v>081218022729</v>
          </cell>
          <cell r="H289" t="str">
            <v>3B</v>
          </cell>
          <cell r="I289">
            <v>150000</v>
          </cell>
        </row>
        <row r="290">
          <cell r="B290" t="str">
            <v>KARMILA</v>
          </cell>
          <cell r="C290" t="str">
            <v>CABANG UTAMA KLAS TG.PRIOK</v>
          </cell>
          <cell r="D290" t="str">
            <v>CABANG UTAMA KLAS TG.PRIOK</v>
          </cell>
          <cell r="E290" t="str">
            <v>ANALIS ADMINISTRASI UMUM &amp; KEUANGAN</v>
          </cell>
          <cell r="F290" t="str">
            <v>karmila@bki.co.id</v>
          </cell>
          <cell r="G290" t="str">
            <v>08129601868</v>
          </cell>
          <cell r="H290" t="str">
            <v>5A</v>
          </cell>
          <cell r="I290">
            <v>0</v>
          </cell>
        </row>
        <row r="291">
          <cell r="B291" t="str">
            <v>RM KURNAEFI</v>
          </cell>
          <cell r="C291" t="str">
            <v>CABANG UTAMA KLAS TG.PRIOK</v>
          </cell>
          <cell r="D291" t="str">
            <v>CABANG UTAMA KLAS TG.PRIOK</v>
          </cell>
          <cell r="E291" t="str">
            <v>ADMINISTRATOR SENIOR</v>
          </cell>
          <cell r="F291" t="str">
            <v>kurnaefi@bki.co.id</v>
          </cell>
          <cell r="G291">
            <v>0</v>
          </cell>
          <cell r="H291" t="str">
            <v>3B</v>
          </cell>
          <cell r="I291">
            <v>150000</v>
          </cell>
        </row>
        <row r="292">
          <cell r="B292" t="str">
            <v>TONI SYARIF HIDAYAH</v>
          </cell>
          <cell r="C292" t="str">
            <v>CABANG UTAMA KLAS TG.PRIOK</v>
          </cell>
          <cell r="D292" t="str">
            <v>CABANG UTAMA KLAS TG.PRIOK</v>
          </cell>
          <cell r="E292" t="str">
            <v>OFFICER ADMINISTRASI UMUM</v>
          </cell>
          <cell r="F292" t="str">
            <v>toni@bki.co.id</v>
          </cell>
          <cell r="G292" t="str">
            <v>081233028870</v>
          </cell>
          <cell r="H292" t="str">
            <v>4A</v>
          </cell>
          <cell r="I292">
            <v>150000</v>
          </cell>
        </row>
        <row r="293">
          <cell r="B293" t="str">
            <v>HARDI E. P. SIAGIAN</v>
          </cell>
          <cell r="C293" t="str">
            <v>CABANG UTAMA KLAS TG.PRIOK</v>
          </cell>
          <cell r="D293" t="str">
            <v>CABANG UTAMA KLAS TG.PRIOK</v>
          </cell>
          <cell r="E293" t="str">
            <v>SURVEYOR SENIOR I A</v>
          </cell>
          <cell r="F293" t="str">
            <v>hardi@bki.co.id</v>
          </cell>
          <cell r="G293" t="str">
            <v>081330340003</v>
          </cell>
          <cell r="H293" t="str">
            <v>6A</v>
          </cell>
          <cell r="I293">
            <v>150000</v>
          </cell>
        </row>
        <row r="294">
          <cell r="B294" t="str">
            <v>TAUFIK ARIE WIJAYA</v>
          </cell>
          <cell r="C294" t="str">
            <v>CABANG UTAMA KLAS TG.PRIOK</v>
          </cell>
          <cell r="D294" t="str">
            <v>CABANG UTAMA KLAS TG.PRIOK</v>
          </cell>
          <cell r="E294" t="str">
            <v>STAF UTAMA I</v>
          </cell>
          <cell r="F294" t="str">
            <v>taufikaw@bki.co.id</v>
          </cell>
          <cell r="G294" t="str">
            <v>08128221910</v>
          </cell>
          <cell r="H294" t="str">
            <v>7A</v>
          </cell>
          <cell r="I294">
            <v>0</v>
          </cell>
        </row>
        <row r="295">
          <cell r="B295" t="str">
            <v>INDRA PERMANA</v>
          </cell>
          <cell r="C295" t="str">
            <v>CABANG UTAMA KLAS TG.PRIOK</v>
          </cell>
          <cell r="D295" t="str">
            <v>CABANG UTAMA KLAS TG.PRIOK</v>
          </cell>
          <cell r="E295" t="str">
            <v>ADMINISTRATOR SENIOR</v>
          </cell>
          <cell r="F295" t="str">
            <v>indra.permana@bki.co.id</v>
          </cell>
          <cell r="G295" t="str">
            <v>087871762211</v>
          </cell>
          <cell r="H295" t="str">
            <v>3B</v>
          </cell>
          <cell r="I295">
            <v>150000</v>
          </cell>
        </row>
        <row r="296">
          <cell r="B296" t="str">
            <v>RONY WIRANTO SETIAWAN</v>
          </cell>
          <cell r="C296" t="str">
            <v>CABANG UTAMA KLAS TG.PRIOK</v>
          </cell>
          <cell r="D296" t="str">
            <v>CABANG UTAMA KLAS TG.PRIOK</v>
          </cell>
          <cell r="E296" t="str">
            <v>MANAGER ADMINISTRASI UMUM &amp; KEUANGAN KLAS TG. PRIOK</v>
          </cell>
          <cell r="F296" t="str">
            <v>roni.ws@bki.co.id</v>
          </cell>
          <cell r="G296" t="str">
            <v>081231170988</v>
          </cell>
          <cell r="H296" t="str">
            <v>5C</v>
          </cell>
          <cell r="I296">
            <v>150000</v>
          </cell>
        </row>
        <row r="297">
          <cell r="B297" t="str">
            <v>MUHAMMAD IDI</v>
          </cell>
          <cell r="C297" t="str">
            <v>CABANG UTAMA KLAS TG.PRIOK</v>
          </cell>
          <cell r="D297" t="str">
            <v>CABANG UTAMA KLAS TG.PRIOK</v>
          </cell>
          <cell r="E297" t="str">
            <v>KEPALA CABANG UTAMA KLAS TG. PRIOK</v>
          </cell>
          <cell r="F297" t="str">
            <v>idi@bki.co.id</v>
          </cell>
          <cell r="G297" t="str">
            <v>081346603330</v>
          </cell>
          <cell r="H297" t="str">
            <v>8A</v>
          </cell>
          <cell r="I297">
            <v>500000</v>
          </cell>
        </row>
        <row r="298">
          <cell r="B298" t="str">
            <v>DIDI KURNIADI</v>
          </cell>
          <cell r="C298" t="str">
            <v>CABANG UTAMA KLAS TG.PRIOK</v>
          </cell>
          <cell r="D298" t="str">
            <v>CABANG UTAMA KLAS TG.PRIOK</v>
          </cell>
          <cell r="E298" t="str">
            <v>SENIOR MANAGER OPERASI KLAS TG.PRIOK</v>
          </cell>
          <cell r="F298" t="str">
            <v>didi@bki.co.id</v>
          </cell>
          <cell r="G298" t="str">
            <v>0813 3006 7317</v>
          </cell>
          <cell r="H298" t="str">
            <v>7B</v>
          </cell>
          <cell r="I298">
            <v>0</v>
          </cell>
        </row>
        <row r="299">
          <cell r="B299" t="str">
            <v>EKO MAJA PRIYANTO</v>
          </cell>
          <cell r="C299" t="str">
            <v>CABANG UTAMA KLAS TG.PRIOK</v>
          </cell>
          <cell r="D299" t="str">
            <v>CABANG UTAMA KLAS TG.PRIOK</v>
          </cell>
          <cell r="E299" t="str">
            <v>SENIOR MANAGER PEMASARAN OFFSHORE KLAS</v>
          </cell>
          <cell r="F299" t="str">
            <v>eko.maja@bki.co.id</v>
          </cell>
          <cell r="G299" t="str">
            <v>081256599533</v>
          </cell>
          <cell r="H299" t="str">
            <v>7C</v>
          </cell>
          <cell r="I299">
            <v>0</v>
          </cell>
        </row>
        <row r="300">
          <cell r="B300" t="str">
            <v>SHINDU PURWANTO</v>
          </cell>
          <cell r="C300" t="str">
            <v>CABANG UTAMA KLAS TG.PRIOK</v>
          </cell>
          <cell r="D300" t="str">
            <v>CABANG UTAMA KLAS TG.PRIOK</v>
          </cell>
          <cell r="E300" t="str">
            <v>SURVEYOR SENIOR II B</v>
          </cell>
          <cell r="F300" t="str">
            <v>shindu@bki.co.id</v>
          </cell>
          <cell r="G300" t="str">
            <v>081280269612</v>
          </cell>
          <cell r="H300" t="str">
            <v>7B</v>
          </cell>
          <cell r="I300">
            <v>0</v>
          </cell>
        </row>
        <row r="301">
          <cell r="B301" t="str">
            <v>NARSO</v>
          </cell>
          <cell r="C301" t="str">
            <v>CABANG UTAMA KLAS TG.PRIOK</v>
          </cell>
          <cell r="D301" t="str">
            <v>CABANG UTAMA KLAS TG.PRIOK</v>
          </cell>
          <cell r="E301" t="str">
            <v>SURVEYOR SENIOR I A</v>
          </cell>
          <cell r="F301" t="str">
            <v>narso@bki.co.id</v>
          </cell>
          <cell r="G301" t="str">
            <v>081350014469</v>
          </cell>
          <cell r="H301" t="str">
            <v>6A</v>
          </cell>
          <cell r="I301">
            <v>250000</v>
          </cell>
        </row>
        <row r="302">
          <cell r="B302" t="str">
            <v>WILDANIS MIFTAHUL ABROR</v>
          </cell>
          <cell r="C302" t="str">
            <v>CABANG UTAMA KLAS TG.PRIOK</v>
          </cell>
          <cell r="D302" t="str">
            <v>CABANG UTAMA KLAS TG.PRIOK</v>
          </cell>
          <cell r="E302" t="str">
            <v xml:space="preserve">SURVEYOR JUNIOR </v>
          </cell>
          <cell r="F302" t="str">
            <v>wildanis.abror@bki.co.id</v>
          </cell>
          <cell r="G302" t="str">
            <v>081211709932</v>
          </cell>
          <cell r="H302" t="str">
            <v>4C</v>
          </cell>
          <cell r="I302">
            <v>150000</v>
          </cell>
        </row>
        <row r="303">
          <cell r="B303" t="str">
            <v>ADI YUDHO WIJAYANTO</v>
          </cell>
          <cell r="C303" t="str">
            <v>DIVISI OPERASI BISNIS KLASIFIKASI</v>
          </cell>
          <cell r="D303" t="str">
            <v>CABANG UTAMA KLAS TG.PRIOK</v>
          </cell>
          <cell r="E303" t="str">
            <v>SURVEYOR SENIOR I B KENDALI OPERASI YANG DITEMPATKAN DI CABANG UTAMA KLAS TG. PRIOK (OFFSHORE)</v>
          </cell>
          <cell r="F303" t="str">
            <v>adi.yw@bki.co.id</v>
          </cell>
          <cell r="G303" t="str">
            <v>081230754445</v>
          </cell>
          <cell r="H303" t="str">
            <v>6B</v>
          </cell>
          <cell r="I303">
            <v>0</v>
          </cell>
        </row>
        <row r="304">
          <cell r="B304" t="str">
            <v>DEDE NANDA SETYADIN</v>
          </cell>
          <cell r="C304" t="str">
            <v>DIVISI OPERASI BISNIS KLASIFIKASI</v>
          </cell>
          <cell r="D304" t="str">
            <v>CABANG UTAMA KLAS TG.PRIOK</v>
          </cell>
          <cell r="E304" t="str">
            <v>SURVEYOR SENIOR I B KENDALI OPERASI YANG DITEMPATKAN DI CABANG UTAMA KLAS TG. PRIOK</v>
          </cell>
          <cell r="F304" t="str">
            <v>dede.ns@bki.co.id</v>
          </cell>
          <cell r="G304" t="str">
            <v>081230811740</v>
          </cell>
          <cell r="H304" t="str">
            <v>6B</v>
          </cell>
          <cell r="I304">
            <v>0</v>
          </cell>
        </row>
        <row r="305">
          <cell r="B305" t="str">
            <v>YASIN BESARI MUSTOFA</v>
          </cell>
          <cell r="C305" t="str">
            <v>CABANG UTAMA KLAS TG.PRIOK</v>
          </cell>
          <cell r="D305" t="str">
            <v>CABANG UTAMA KLAS TG.PRIOK</v>
          </cell>
          <cell r="E305" t="str">
            <v>SURVEYOR</v>
          </cell>
          <cell r="F305" t="str">
            <v>besari@bki.co.id</v>
          </cell>
          <cell r="G305" t="str">
            <v/>
          </cell>
          <cell r="H305" t="str">
            <v>5C</v>
          </cell>
          <cell r="I305">
            <v>0</v>
          </cell>
        </row>
        <row r="306">
          <cell r="B306" t="str">
            <v>IRWAN EKO SANTOSO</v>
          </cell>
          <cell r="C306" t="str">
            <v>CABANG UTAMA KLAS TG.PRIOK</v>
          </cell>
          <cell r="D306" t="str">
            <v>CABANG UTAMA KLAS TG.PRIOK</v>
          </cell>
          <cell r="E306" t="str">
            <v>SURVEYOR SENIOR I A</v>
          </cell>
          <cell r="F306" t="str">
            <v>irwan.es@bki.co.id</v>
          </cell>
          <cell r="G306" t="str">
            <v>081331036880</v>
          </cell>
          <cell r="H306" t="str">
            <v>6A</v>
          </cell>
          <cell r="I306">
            <v>250000</v>
          </cell>
        </row>
        <row r="307">
          <cell r="B307" t="str">
            <v>EFI LISTIA YUNI</v>
          </cell>
          <cell r="C307" t="str">
            <v>CABANG UTAMA KLAS TG.PRIOK</v>
          </cell>
          <cell r="D307" t="str">
            <v>CABANG UTAMA KLAS TG.PRIOK</v>
          </cell>
          <cell r="E307" t="str">
            <v>STAF DUKUNGAN BISNIS</v>
          </cell>
          <cell r="F307" t="str">
            <v>efi.yuni@bki.co.id</v>
          </cell>
          <cell r="G307" t="str">
            <v>085777484817</v>
          </cell>
          <cell r="H307" t="str">
            <v>-</v>
          </cell>
          <cell r="I307">
            <v>0</v>
          </cell>
        </row>
        <row r="308">
          <cell r="B308" t="str">
            <v>HAFIZH MUHAMMAD NAUFAL SHIDQI</v>
          </cell>
          <cell r="C308" t="str">
            <v>CABANG UTAMA KLAS TG.PRIOK</v>
          </cell>
          <cell r="D308" t="str">
            <v>CABANG UTAMA KLAS TG.PRIOK</v>
          </cell>
          <cell r="E308" t="str">
            <v>STAF DUKUNGAN BISNIS</v>
          </cell>
          <cell r="F308" t="str">
            <v>hafizh.muhammad@bki.co.id</v>
          </cell>
          <cell r="G308" t="str">
            <v>082140788482</v>
          </cell>
          <cell r="H308" t="str">
            <v>-</v>
          </cell>
          <cell r="I308">
            <v>0</v>
          </cell>
        </row>
        <row r="309">
          <cell r="B309" t="str">
            <v>MIRZA OTTOSENNA SYAILENDRA</v>
          </cell>
          <cell r="C309" t="str">
            <v>CABANG UTAMA KLAS TG.PRIOK</v>
          </cell>
          <cell r="D309" t="str">
            <v>CABANG UTAMA KLAS TG.PRIOK</v>
          </cell>
          <cell r="E309" t="str">
            <v>STAF DUKUNGAN BISNIS</v>
          </cell>
          <cell r="F309" t="str">
            <v>mirza.otto@bki.co.id</v>
          </cell>
          <cell r="G309">
            <v>0</v>
          </cell>
          <cell r="H309" t="str">
            <v>-</v>
          </cell>
          <cell r="I309">
            <v>0</v>
          </cell>
        </row>
        <row r="310">
          <cell r="B310" t="str">
            <v>AYU PADMASANTI</v>
          </cell>
          <cell r="C310" t="str">
            <v>CABANG UTAMA KLAS TG.PRIOK</v>
          </cell>
          <cell r="D310" t="str">
            <v>CABANG UTAMA KLAS TG.PRIOK</v>
          </cell>
          <cell r="E310" t="str">
            <v>STAF DUKUNGAN BISNIS</v>
          </cell>
          <cell r="F310" t="str">
            <v>ayu.Padmasanti@bki.co.id</v>
          </cell>
          <cell r="G310" t="str">
            <v>082296753006</v>
          </cell>
          <cell r="H310" t="str">
            <v>-</v>
          </cell>
          <cell r="I310">
            <v>0</v>
          </cell>
        </row>
        <row r="311">
          <cell r="B311" t="str">
            <v>DHIA ADLINA FAJARIN GHAISANI</v>
          </cell>
          <cell r="C311" t="str">
            <v>CABANG UTAMA KLAS TG.PRIOK</v>
          </cell>
          <cell r="D311" t="str">
            <v>CABANG UTAMA KLAS TG.PRIOK</v>
          </cell>
          <cell r="E311" t="str">
            <v>STAF DUKUNGAN BISNIS</v>
          </cell>
          <cell r="F311" t="str">
            <v>dhia.adlina@bki.co.id</v>
          </cell>
          <cell r="G311" t="str">
            <v>081336711670</v>
          </cell>
          <cell r="H311" t="str">
            <v>-</v>
          </cell>
          <cell r="I311">
            <v>0</v>
          </cell>
        </row>
        <row r="312">
          <cell r="B312" t="str">
            <v>FAHMI ALDY</v>
          </cell>
          <cell r="C312" t="str">
            <v>CABANG UTAMA KLAS TG.PRIOK</v>
          </cell>
          <cell r="D312" t="str">
            <v>CABANG UTAMA KLAS TG.PRIOK</v>
          </cell>
          <cell r="E312" t="str">
            <v>STAF DUKUNGAN BISNIS</v>
          </cell>
          <cell r="F312" t="str">
            <v>fahmi.aldy@bki.co.id</v>
          </cell>
          <cell r="G312" t="str">
            <v>081289220828</v>
          </cell>
          <cell r="H312" t="str">
            <v>-</v>
          </cell>
          <cell r="I312">
            <v>0</v>
          </cell>
        </row>
        <row r="313">
          <cell r="B313" t="str">
            <v>NADA NISRINA MARAHAINI</v>
          </cell>
          <cell r="C313" t="str">
            <v>CABANG UTAMA KLAS TG.PRIOK</v>
          </cell>
          <cell r="D313" t="str">
            <v>CABANG UTAMA KLAS TG.PRIOK</v>
          </cell>
          <cell r="E313" t="str">
            <v>STAF DUKUNGAN BISNIS</v>
          </cell>
          <cell r="F313" t="str">
            <v>nada.nisrina@bki.co.id</v>
          </cell>
          <cell r="G313" t="str">
            <v>081296402266</v>
          </cell>
          <cell r="H313" t="str">
            <v>-</v>
          </cell>
          <cell r="I313">
            <v>0</v>
          </cell>
        </row>
        <row r="314">
          <cell r="B314" t="str">
            <v>HANDARBENI DWI PRASETYO</v>
          </cell>
          <cell r="C314" t="str">
            <v>CABANG UTAMA KLAS TG.PRIOK</v>
          </cell>
          <cell r="D314" t="str">
            <v>CABANG UTAMA KLAS TG.PRIOK</v>
          </cell>
          <cell r="E314" t="str">
            <v>STAF OPERASIONAL</v>
          </cell>
          <cell r="F314" t="str">
            <v>handarbeni.dp@bki.co.id</v>
          </cell>
          <cell r="H314" t="str">
            <v>-</v>
          </cell>
          <cell r="I314">
            <v>0</v>
          </cell>
        </row>
        <row r="315">
          <cell r="B315" t="str">
            <v>WAWAN PRIYA WIDYANTA</v>
          </cell>
          <cell r="C315" t="str">
            <v>CABANG UTAMA KOMERSIAL JAKARTA</v>
          </cell>
          <cell r="D315" t="str">
            <v>CABANG UTAMA KOMERSIAL JAKARTA</v>
          </cell>
          <cell r="E315" t="str">
            <v>SPESIALIS VERIFIKASI &amp; VALIDASI</v>
          </cell>
          <cell r="F315" t="str">
            <v>wawan@bki.co.id</v>
          </cell>
          <cell r="G315" t="str">
            <v>082113037170</v>
          </cell>
          <cell r="H315" t="str">
            <v>6A</v>
          </cell>
          <cell r="I315">
            <v>250000</v>
          </cell>
        </row>
        <row r="316">
          <cell r="B316" t="str">
            <v>BUDIMAN JOHANSYAH</v>
          </cell>
          <cell r="C316" t="str">
            <v>CABANG UTAMA KOMERSIAL JAKARTA</v>
          </cell>
          <cell r="D316" t="str">
            <v>CABANG UTAMA KOMERSIAL JAKARTA</v>
          </cell>
          <cell r="E316" t="str">
            <v>KEPALA CABANG UTAMA KOMERSIAL JAKARTA</v>
          </cell>
          <cell r="F316" t="str">
            <v>budiman@bki.co.id</v>
          </cell>
          <cell r="G316" t="str">
            <v>08117713450</v>
          </cell>
          <cell r="H316" t="str">
            <v>8B</v>
          </cell>
          <cell r="I316">
            <v>350000</v>
          </cell>
        </row>
        <row r="317">
          <cell r="B317" t="str">
            <v>HARRYS PAHALA MANALU</v>
          </cell>
          <cell r="C317" t="str">
            <v>CABANG UTAMA KOMERSIAL JAKARTA</v>
          </cell>
          <cell r="D317" t="str">
            <v>CABANG UTAMA KOMERSIAL JAKARTA</v>
          </cell>
          <cell r="E317" t="str">
            <v>PJ. SENIOR MANAGER OPERASI TRANSPORT &amp; LOGISTIC</v>
          </cell>
          <cell r="F317" t="str">
            <v>harrys.pm@bki.co.id</v>
          </cell>
          <cell r="G317" t="str">
            <v>082117700986</v>
          </cell>
          <cell r="H317" t="str">
            <v>5C</v>
          </cell>
          <cell r="I317">
            <v>150000</v>
          </cell>
        </row>
        <row r="318">
          <cell r="B318" t="str">
            <v>ELVA MOCHAMAD RAMDHANI</v>
          </cell>
          <cell r="C318" t="str">
            <v>CABANG UTAMA KOMERSIAL JAKARTA</v>
          </cell>
          <cell r="D318" t="str">
            <v>CABANG UTAMA KOMERSIAL JAKARTA</v>
          </cell>
          <cell r="E318" t="str">
            <v>SENIOR MANAGER TKDN &amp; PEMERINTAHAN</v>
          </cell>
          <cell r="F318" t="str">
            <v>elva@bki.co.id</v>
          </cell>
          <cell r="G318" t="str">
            <v>082123452060</v>
          </cell>
          <cell r="H318" t="str">
            <v>7B</v>
          </cell>
          <cell r="I318">
            <v>350000</v>
          </cell>
        </row>
        <row r="319">
          <cell r="B319" t="str">
            <v>MUH. ASPAR</v>
          </cell>
          <cell r="C319" t="str">
            <v>CABANG UTAMA KOMERSIAL JAKARTA</v>
          </cell>
          <cell r="D319" t="str">
            <v>CABANG UTAMA KOMERSIAL JAKARTA</v>
          </cell>
          <cell r="E319" t="str">
            <v>SENIOR MANAGER PENJUALAN DAN DUKUNGAN BISNIS KOMERSIAL JAKARTA</v>
          </cell>
          <cell r="F319" t="str">
            <v>aspar@bki.co.id</v>
          </cell>
          <cell r="G319" t="str">
            <v>0811772877</v>
          </cell>
          <cell r="H319" t="str">
            <v>7A</v>
          </cell>
          <cell r="I319">
            <v>250000</v>
          </cell>
        </row>
        <row r="320">
          <cell r="B320" t="str">
            <v>DANIEL MAHARDHIKA</v>
          </cell>
          <cell r="C320" t="str">
            <v>CABANG UTAMA KOMERSIAL JAKARTA</v>
          </cell>
          <cell r="D320" t="str">
            <v>CABANG UTAMA KOMERSIAL JAKARTA</v>
          </cell>
          <cell r="E320" t="str">
            <v>MANAGER BISNIS HIJAU</v>
          </cell>
          <cell r="F320" t="str">
            <v>daniel.mahardhika@bki.co.id</v>
          </cell>
          <cell r="G320" t="str">
            <v>085746095515</v>
          </cell>
          <cell r="H320" t="str">
            <v>5C</v>
          </cell>
          <cell r="I320">
            <v>250000</v>
          </cell>
        </row>
        <row r="321">
          <cell r="B321" t="str">
            <v>BAMBANG WIJANARKO</v>
          </cell>
          <cell r="C321" t="str">
            <v>CABANG UTAMA KOMERSIAL JAKARTA</v>
          </cell>
          <cell r="D321" t="str">
            <v>CABANG UTAMA KOMERSIAL JAKARTA</v>
          </cell>
          <cell r="E321" t="str">
            <v>MANAGER LABORATORIUM</v>
          </cell>
          <cell r="F321" t="str">
            <v>wijanarko@bki.co.id</v>
          </cell>
          <cell r="G321" t="str">
            <v>081385270105</v>
          </cell>
          <cell r="H321" t="str">
            <v>5C</v>
          </cell>
          <cell r="I321">
            <v>150000</v>
          </cell>
        </row>
        <row r="322">
          <cell r="B322" t="str">
            <v>FERNANDO S</v>
          </cell>
          <cell r="C322" t="str">
            <v>CABANG UTAMA KOMERSIAL JAKARTA</v>
          </cell>
          <cell r="D322" t="str">
            <v>CABANG UTAMA KOMERSIAL JAKARTA</v>
          </cell>
          <cell r="E322" t="str">
            <v>MANAGER PENJUALAN KOMERSIAL JAKARTA</v>
          </cell>
          <cell r="F322" t="str">
            <v>fernando@bki.co.id</v>
          </cell>
          <cell r="G322">
            <v>0</v>
          </cell>
          <cell r="H322" t="str">
            <v>5B</v>
          </cell>
          <cell r="I322">
            <v>150000</v>
          </cell>
        </row>
        <row r="323">
          <cell r="B323" t="str">
            <v>MERDIANSAH</v>
          </cell>
          <cell r="C323" t="str">
            <v>CABANG UTAMA KOMERSIAL JAKARTA</v>
          </cell>
          <cell r="D323" t="str">
            <v>CABANG UTAMA KOMERSIAL JAKARTA</v>
          </cell>
          <cell r="E323" t="str">
            <v>MANAGER ADMINISTRASI UMUM DAN KEUANGAN</v>
          </cell>
          <cell r="F323" t="str">
            <v>merdiansah@bki.co.id</v>
          </cell>
          <cell r="G323" t="str">
            <v>0822 3352 1552</v>
          </cell>
          <cell r="H323" t="str">
            <v>5C</v>
          </cell>
          <cell r="I323">
            <v>250000</v>
          </cell>
        </row>
        <row r="324">
          <cell r="B324" t="str">
            <v>SUSETYO WIJANARKO BUDIARDHI</v>
          </cell>
          <cell r="C324" t="str">
            <v>CABANG UTAMA KOMERSIAL JAKARTA</v>
          </cell>
          <cell r="D324" t="str">
            <v>CABANG UTAMA KOMERSIAL JAKARTA</v>
          </cell>
          <cell r="E324" t="str">
            <v>INSPEKTUR OPERASI ENERGI</v>
          </cell>
          <cell r="F324" t="str">
            <v>sesetyo@bki.co.id</v>
          </cell>
          <cell r="G324" t="str">
            <v>081384331111</v>
          </cell>
          <cell r="H324" t="str">
            <v>5C</v>
          </cell>
          <cell r="I324">
            <v>150000</v>
          </cell>
        </row>
        <row r="325">
          <cell r="B325" t="str">
            <v>AZHAR GHIPARI</v>
          </cell>
          <cell r="C325" t="str">
            <v>CABANG UTAMA KOMERSIAL JAKARTA</v>
          </cell>
          <cell r="D325" t="str">
            <v>CABANG UTAMA KOMERSIAL JAKARTA</v>
          </cell>
          <cell r="E325" t="str">
            <v>INSPEKTUR OPERASI ENERGI</v>
          </cell>
          <cell r="F325" t="str">
            <v>azhar.ghipari@bki.co.id</v>
          </cell>
          <cell r="G325" t="str">
            <v>081295224728</v>
          </cell>
          <cell r="H325" t="str">
            <v>5C</v>
          </cell>
          <cell r="I325">
            <v>100000</v>
          </cell>
        </row>
        <row r="326">
          <cell r="B326" t="str">
            <v>CATUR WIBOWO</v>
          </cell>
          <cell r="C326" t="str">
            <v>CABANG UTAMA KOMERSIAL JAKARTA</v>
          </cell>
          <cell r="D326" t="str">
            <v>CABANG UTAMA KOMERSIAL JAKARTA</v>
          </cell>
          <cell r="E326" t="str">
            <v>INSPEKTUR OPERASI ENERGI</v>
          </cell>
          <cell r="F326" t="str">
            <v>catur.wibowo@bki.co.id</v>
          </cell>
          <cell r="G326" t="str">
            <v>081212048118</v>
          </cell>
          <cell r="H326" t="str">
            <v>5C</v>
          </cell>
          <cell r="I326">
            <v>0</v>
          </cell>
        </row>
        <row r="327">
          <cell r="B327" t="str">
            <v>EDIT HASTA PRIHANTIKA</v>
          </cell>
          <cell r="C327" t="str">
            <v>CABANG UTAMA KOMERSIAL JAKARTA</v>
          </cell>
          <cell r="D327" t="str">
            <v>CABANG UTAMA KOMERSIAL JAKARTA</v>
          </cell>
          <cell r="E327" t="str">
            <v>INSPEKTUR OPERASI ENERGI</v>
          </cell>
          <cell r="F327" t="str">
            <v>hasta@bki.co.id</v>
          </cell>
          <cell r="G327" t="str">
            <v>082244272242</v>
          </cell>
          <cell r="H327" t="str">
            <v>5C</v>
          </cell>
          <cell r="I327">
            <v>100000</v>
          </cell>
        </row>
        <row r="328">
          <cell r="B328" t="str">
            <v>SUDIRO</v>
          </cell>
          <cell r="C328" t="str">
            <v>CABANG UTAMA KOMERSIAL JAKARTA</v>
          </cell>
          <cell r="D328" t="str">
            <v>CABANG UTAMA KOMERSIAL JAKARTA</v>
          </cell>
          <cell r="E328" t="str">
            <v>ANALIS TEKNIK VERIFIKASI &amp; VALIDASI</v>
          </cell>
          <cell r="F328" t="str">
            <v>sudiro@bki.co.id</v>
          </cell>
          <cell r="G328" t="str">
            <v>085640056444</v>
          </cell>
          <cell r="H328" t="str">
            <v>5A</v>
          </cell>
          <cell r="I328">
            <v>250000</v>
          </cell>
        </row>
        <row r="329">
          <cell r="B329" t="str">
            <v>ARIF RAHMAN HAKIM</v>
          </cell>
          <cell r="C329" t="str">
            <v>CABANG UTAMA KOMERSIAL JAKARTA</v>
          </cell>
          <cell r="D329" t="str">
            <v>CABANG UTAMA KOMERSIAL JAKARTA</v>
          </cell>
          <cell r="E329" t="str">
            <v>INSPEKTUR JUNIOR II OPERASI ENERGI</v>
          </cell>
          <cell r="F329" t="str">
            <v>arif.hakim@bki.co.id</v>
          </cell>
          <cell r="G329" t="str">
            <v/>
          </cell>
          <cell r="H329" t="str">
            <v>4C</v>
          </cell>
          <cell r="I329">
            <v>0</v>
          </cell>
        </row>
        <row r="330">
          <cell r="B330" t="str">
            <v>DIMAS PUTRA PRASETYO</v>
          </cell>
          <cell r="C330" t="str">
            <v>CABANG UTAMA KOMERSIAL JAKARTA</v>
          </cell>
          <cell r="D330" t="str">
            <v>CABANG UTAMA KOMERSIAL JAKARTA</v>
          </cell>
          <cell r="E330" t="str">
            <v>INSPEKTUR JUNIOR II OPERASI ENERGI</v>
          </cell>
          <cell r="F330" t="str">
            <v>dimas.pp@bki.co.id</v>
          </cell>
          <cell r="G330">
            <v>0</v>
          </cell>
          <cell r="H330" t="str">
            <v>4C</v>
          </cell>
          <cell r="I330">
            <v>100000</v>
          </cell>
        </row>
        <row r="331">
          <cell r="B331" t="str">
            <v>FATKHURROHMAN</v>
          </cell>
          <cell r="C331" t="str">
            <v>CABANG UTAMA KOMERSIAL JAKARTA</v>
          </cell>
          <cell r="D331" t="str">
            <v>CABANG UTAMA KOMERSIAL JAKARTA</v>
          </cell>
          <cell r="E331" t="str">
            <v>INSPEKTUR JUNIOR II OPERASI ENERGI</v>
          </cell>
          <cell r="F331" t="str">
            <v>fatkhurrohman@bki.co.id</v>
          </cell>
          <cell r="G331" t="str">
            <v>081212036175</v>
          </cell>
          <cell r="H331" t="str">
            <v>4C</v>
          </cell>
          <cell r="I331">
            <v>100000</v>
          </cell>
        </row>
        <row r="332">
          <cell r="B332" t="str">
            <v>KENNEDI PANGARIBUAN</v>
          </cell>
          <cell r="C332" t="str">
            <v>CABANG UTAMA KOMERSIAL JAKARTA</v>
          </cell>
          <cell r="D332" t="str">
            <v>CABANG UTAMA KOMERSIAL JAKARTA</v>
          </cell>
          <cell r="E332" t="str">
            <v>INSPEKTUR JUNIOR  II OPERASI ENERGI</v>
          </cell>
          <cell r="F332" t="str">
            <v>kenedi.pangaribuan@bki.co.id</v>
          </cell>
          <cell r="G332">
            <v>0</v>
          </cell>
          <cell r="H332" t="str">
            <v>4C</v>
          </cell>
          <cell r="I332">
            <v>150000</v>
          </cell>
        </row>
        <row r="333">
          <cell r="B333" t="str">
            <v>NOVELLA MUSYA</v>
          </cell>
          <cell r="C333" t="str">
            <v>CABANG UTAMA KOMERSIAL JAKARTA</v>
          </cell>
          <cell r="D333" t="str">
            <v>CABANG UTAMA KOMERSIAL JAKARTA</v>
          </cell>
          <cell r="E333" t="str">
            <v>INSPEKTUR JUNIOR II OPERASI ENERGI</v>
          </cell>
          <cell r="F333" t="str">
            <v>novella.musya@bki.co.id</v>
          </cell>
          <cell r="G333" t="str">
            <v>081212789977</v>
          </cell>
          <cell r="H333" t="str">
            <v>4C</v>
          </cell>
          <cell r="I333">
            <v>150000</v>
          </cell>
        </row>
        <row r="334">
          <cell r="B334" t="str">
            <v>RAHADI SIGIT WICAKSONO</v>
          </cell>
          <cell r="C334" t="str">
            <v>CABANG UTAMA KOMERSIAL JAKARTA</v>
          </cell>
          <cell r="D334" t="str">
            <v>CABANG UTAMA KOMERSIAL JAKARTA</v>
          </cell>
          <cell r="E334" t="str">
            <v>INSPEKTUR JUNIOR II OPERASI ENERGI</v>
          </cell>
          <cell r="F334" t="str">
            <v>rahadi@bki.co.id</v>
          </cell>
          <cell r="G334" t="str">
            <v>081288275856</v>
          </cell>
          <cell r="H334" t="str">
            <v>4C</v>
          </cell>
          <cell r="I334">
            <v>150000</v>
          </cell>
        </row>
        <row r="335">
          <cell r="B335" t="str">
            <v>RIZKI ALDILLA TAMTURA</v>
          </cell>
          <cell r="C335" t="str">
            <v>CABANG UTAMA KOMERSIAL JAKARTA</v>
          </cell>
          <cell r="D335" t="str">
            <v>CABANG UTAMA KOMERSIAL JAKARTA</v>
          </cell>
          <cell r="E335" t="str">
            <v>INSPEKTUR JUNIOR II OPERASI ENERGI</v>
          </cell>
          <cell r="F335" t="str">
            <v>rizki.tamtura@bki.co.id</v>
          </cell>
          <cell r="G335" t="str">
            <v>0812 8679 0804</v>
          </cell>
          <cell r="H335" t="str">
            <v>4C</v>
          </cell>
          <cell r="I335">
            <v>150000</v>
          </cell>
        </row>
        <row r="336">
          <cell r="B336" t="str">
            <v>SATRIA ADI SUKMA NEGARA</v>
          </cell>
          <cell r="C336" t="str">
            <v>CABANG UTAMA KOMERSIAL JAKARTA</v>
          </cell>
          <cell r="D336" t="str">
            <v>CABANG UTAMA KOMERSIAL JAKARTA</v>
          </cell>
          <cell r="E336" t="str">
            <v>INSPEKTUR JUNIOR II OPERASI ENERGI</v>
          </cell>
          <cell r="F336" t="str">
            <v>satria.adi@bki.co.id</v>
          </cell>
          <cell r="G336" t="str">
            <v>085205608937</v>
          </cell>
          <cell r="H336" t="str">
            <v>4C</v>
          </cell>
          <cell r="I336">
            <v>100000</v>
          </cell>
        </row>
        <row r="337">
          <cell r="B337" t="str">
            <v>DIMAS ALIF YUNAS</v>
          </cell>
          <cell r="C337" t="str">
            <v>CABANG UTAMA KOMERSIAL JAKARTA</v>
          </cell>
          <cell r="D337" t="str">
            <v>CABANG UTAMA KOMERSIAL JAKARTA</v>
          </cell>
          <cell r="E337" t="str">
            <v>INSPEKTUR JUNIOR I OPERASI ENERGI</v>
          </cell>
          <cell r="F337" t="str">
            <v>dimas.ay@bki.co.id</v>
          </cell>
          <cell r="G337" t="str">
            <v>081249990656</v>
          </cell>
          <cell r="H337" t="str">
            <v>3C</v>
          </cell>
          <cell r="I337">
            <v>0</v>
          </cell>
        </row>
        <row r="338">
          <cell r="B338" t="str">
            <v>DINO VITA LARASANTO</v>
          </cell>
          <cell r="C338" t="str">
            <v>CABANG UTAMA KOMERSIAL JAKARTA</v>
          </cell>
          <cell r="D338" t="str">
            <v>CABANG UTAMA KOMERSIAL JAKARTA</v>
          </cell>
          <cell r="E338" t="str">
            <v>INSPEKTUR JUNIOR I OPERASI ENERGI</v>
          </cell>
          <cell r="F338" t="str">
            <v>dino.vl@bki.co.id</v>
          </cell>
          <cell r="G338" t="str">
            <v>081380487787</v>
          </cell>
          <cell r="H338" t="str">
            <v>3C</v>
          </cell>
          <cell r="I338">
            <v>150000</v>
          </cell>
        </row>
        <row r="339">
          <cell r="B339" t="str">
            <v>MUGHNI COKROBASWORO</v>
          </cell>
          <cell r="C339" t="str">
            <v>CABANG UTAMA KOMERSIAL JAKARTA</v>
          </cell>
          <cell r="D339" t="str">
            <v>CABANG UTAMA KOMERSIAL JAKARTA</v>
          </cell>
          <cell r="E339" t="str">
            <v>INSPEKTUR JUNIOR I OPERASI ENERGI</v>
          </cell>
          <cell r="F339" t="str">
            <v>mughni@bki.co.id</v>
          </cell>
          <cell r="G339">
            <v>0</v>
          </cell>
          <cell r="H339" t="str">
            <v>3C</v>
          </cell>
          <cell r="I339">
            <v>0</v>
          </cell>
        </row>
        <row r="340">
          <cell r="B340" t="str">
            <v>SIGIT SUHAKSO</v>
          </cell>
          <cell r="C340" t="str">
            <v>CABANG UTAMA KOMERSIAL JAKARTA</v>
          </cell>
          <cell r="D340" t="str">
            <v>CABANG UTAMA KOMERSIAL JAKARTA</v>
          </cell>
          <cell r="E340" t="str">
            <v>INSPEKTUR JUNIOR I OPERASI ENERGI</v>
          </cell>
          <cell r="F340" t="str">
            <v>sigit.suhakso@bki.co.id</v>
          </cell>
          <cell r="G340" t="str">
            <v>081283700066</v>
          </cell>
          <cell r="H340" t="str">
            <v>3C</v>
          </cell>
          <cell r="I340">
            <v>0</v>
          </cell>
        </row>
        <row r="341">
          <cell r="B341" t="str">
            <v>SYAFRIL</v>
          </cell>
          <cell r="C341" t="str">
            <v>CABANG UTAMA KOMERSIAL JAKARTA</v>
          </cell>
          <cell r="D341" t="str">
            <v>CABANG UTAMA KOMERSIAL JAKARTA</v>
          </cell>
          <cell r="E341" t="str">
            <v>INSPEKTUR JUNIOR I OPERASI ENERGI</v>
          </cell>
          <cell r="F341" t="str">
            <v>syafril@bki.co.id</v>
          </cell>
          <cell r="G341" t="str">
            <v>08780022888</v>
          </cell>
          <cell r="H341" t="str">
            <v>3C</v>
          </cell>
          <cell r="I341">
            <v>150000</v>
          </cell>
        </row>
        <row r="342">
          <cell r="B342" t="str">
            <v>HENDI ZULFAN</v>
          </cell>
          <cell r="C342" t="str">
            <v>CABANG UTAMA KOMERSIAL JAKARTA</v>
          </cell>
          <cell r="D342" t="str">
            <v>CABANG UTAMA KOMERSIAL JAKARTA</v>
          </cell>
          <cell r="E342" t="str">
            <v>OPERATOR PENGUJIAN</v>
          </cell>
          <cell r="F342" t="str">
            <v>hendy.zulfan@bki.co.id</v>
          </cell>
          <cell r="G342" t="str">
            <v>082284892744</v>
          </cell>
          <cell r="H342" t="str">
            <v>3C</v>
          </cell>
          <cell r="I342">
            <v>150000</v>
          </cell>
        </row>
        <row r="343">
          <cell r="B343" t="str">
            <v>MUHAMMAD SOFIAN</v>
          </cell>
          <cell r="C343" t="str">
            <v>CABANG UTAMA KOMERSIAL JAKARTA</v>
          </cell>
          <cell r="D343" t="str">
            <v>CABANG UTAMA KOMERSIAL JAKARTA</v>
          </cell>
          <cell r="E343" t="str">
            <v>ADMINISTRATOR KEUANGAN</v>
          </cell>
          <cell r="F343" t="str">
            <v>sofian@bki.co.id</v>
          </cell>
          <cell r="G343">
            <v>0</v>
          </cell>
          <cell r="H343" t="str">
            <v>2A</v>
          </cell>
          <cell r="I343">
            <v>100000</v>
          </cell>
        </row>
        <row r="344">
          <cell r="B344" t="str">
            <v>FEBRIANSYAH</v>
          </cell>
          <cell r="C344" t="str">
            <v>CABANG UTAMA KOMERSIAL JAKARTA</v>
          </cell>
          <cell r="D344" t="str">
            <v>CABANG UTAMA KOMERSIAL JAKARTA</v>
          </cell>
          <cell r="E344" t="str">
            <v>PJ. SENIOR MANAGER ENERGY</v>
          </cell>
          <cell r="F344" t="str">
            <v>febriansyah@bki.co.id</v>
          </cell>
          <cell r="G344" t="str">
            <v>081220157726</v>
          </cell>
          <cell r="H344" t="str">
            <v>5C</v>
          </cell>
          <cell r="I344">
            <v>0</v>
          </cell>
        </row>
        <row r="345">
          <cell r="B345" t="str">
            <v>ABD. RAHMAN</v>
          </cell>
          <cell r="C345" t="str">
            <v>CABANG UTAMA KOMERSIAL JAKARTA</v>
          </cell>
          <cell r="D345" t="str">
            <v>CABANG UTAMA KOMERSIAL JAKARTA</v>
          </cell>
          <cell r="E345" t="str">
            <v>INSPEKTUR SENIOR I OPERASI TRANSPORT &amp; LOGISTIC</v>
          </cell>
          <cell r="F345" t="str">
            <v>abd.rahman@bki.co.id</v>
          </cell>
          <cell r="G345" t="str">
            <v>0811 429 250</v>
          </cell>
          <cell r="H345" t="str">
            <v>6C</v>
          </cell>
          <cell r="I345">
            <v>150000</v>
          </cell>
        </row>
        <row r="346">
          <cell r="B346" t="str">
            <v>ISMAIL</v>
          </cell>
          <cell r="C346" t="str">
            <v>CABANG UTAMA KOMERSIAL JAKARTA</v>
          </cell>
          <cell r="D346" t="str">
            <v>CABANG UTAMA KOMERSIAL JAKARTA</v>
          </cell>
          <cell r="E346" t="str">
            <v>INSPEKTUR SENIOR I OPERASI TRANSPORT &amp; LOGISTIC</v>
          </cell>
          <cell r="F346" t="str">
            <v>ismail@bki.co.id</v>
          </cell>
          <cell r="G346" t="str">
            <v>087818253766</v>
          </cell>
          <cell r="H346" t="str">
            <v>6C</v>
          </cell>
          <cell r="I346">
            <v>350000</v>
          </cell>
        </row>
        <row r="347">
          <cell r="B347" t="str">
            <v>NERLAN PASARIBU</v>
          </cell>
          <cell r="C347" t="str">
            <v>CABANG UTAMA KOMERSIAL JAKARTA</v>
          </cell>
          <cell r="D347" t="str">
            <v>CABANG UTAMA KOMERSIAL JAKARTA</v>
          </cell>
          <cell r="E347" t="str">
            <v>INSPEKTUR OPERASI TRANSPORT &amp; LOGISTIC</v>
          </cell>
          <cell r="F347" t="str">
            <v>nerlan@bki.co.id</v>
          </cell>
          <cell r="G347" t="str">
            <v>081384234865</v>
          </cell>
          <cell r="H347" t="str">
            <v>5C</v>
          </cell>
          <cell r="I347">
            <v>250000</v>
          </cell>
        </row>
        <row r="348">
          <cell r="B348" t="str">
            <v>R. ADE WARDOYO WINOTO PUTRO</v>
          </cell>
          <cell r="C348" t="str">
            <v>CABANG UTAMA KOMERSIAL JAKARTA</v>
          </cell>
          <cell r="D348" t="str">
            <v>CABANG UTAMA KOMERSIAL JAKARTA</v>
          </cell>
          <cell r="E348" t="str">
            <v>INSPEKTUR JUNIOR II OPERASI TRANSPORT &amp; LOGISTIC</v>
          </cell>
          <cell r="F348" t="str">
            <v>ade.wardoyo@bki.co.id</v>
          </cell>
          <cell r="G348" t="str">
            <v>081311046490</v>
          </cell>
          <cell r="H348" t="str">
            <v>4C</v>
          </cell>
          <cell r="I348">
            <v>150000</v>
          </cell>
        </row>
        <row r="349">
          <cell r="B349" t="str">
            <v>ARY FIRMANSYAH FIRLI</v>
          </cell>
          <cell r="C349" t="str">
            <v>CABANG UTAMA KOMERSIAL JAKARTA</v>
          </cell>
          <cell r="D349" t="str">
            <v>CABANG UTAMA KOMERSIAL JAKARTA</v>
          </cell>
          <cell r="E349" t="str">
            <v>INSPEKTUR JUNIOR II OPERASI TRANSPORT &amp; LOGISTIC</v>
          </cell>
          <cell r="F349" t="str">
            <v>ary.firmansyah@bki.co.id</v>
          </cell>
          <cell r="G349" t="str">
            <v>0813 5520 0590</v>
          </cell>
          <cell r="H349" t="str">
            <v>4C</v>
          </cell>
          <cell r="I349">
            <v>150000</v>
          </cell>
        </row>
        <row r="350">
          <cell r="B350" t="str">
            <v>HEDIAR HAPRI BANGABUA</v>
          </cell>
          <cell r="C350" t="str">
            <v>CABANG UTAMA KOMERSIAL JAKARTA</v>
          </cell>
          <cell r="D350" t="str">
            <v>CABANG UTAMA KOMERSIAL JAKARTA</v>
          </cell>
          <cell r="E350" t="str">
            <v>INSPEKTUR JUNIOR  II OPERASI TRANSPORT &amp; LOGISTIC</v>
          </cell>
          <cell r="F350" t="str">
            <v>hediar.hb@bki.co.id</v>
          </cell>
          <cell r="G350" t="str">
            <v/>
          </cell>
          <cell r="H350" t="str">
            <v>4C</v>
          </cell>
          <cell r="I350">
            <v>150000</v>
          </cell>
        </row>
        <row r="351">
          <cell r="B351" t="str">
            <v>FERRY HARFIANTO EFFENDY</v>
          </cell>
          <cell r="C351" t="str">
            <v>CABANG UTAMA KOMERSIAL JAKARTA</v>
          </cell>
          <cell r="D351" t="str">
            <v>CABANG UTAMA KOMERSIAL JAKARTA</v>
          </cell>
          <cell r="E351" t="str">
            <v>SPESIALIS TEKNIK TKDN &amp; PEMERINTAH</v>
          </cell>
          <cell r="F351" t="str">
            <v>ferry.harfianto@bki.co.id</v>
          </cell>
          <cell r="G351" t="str">
            <v>081293536185</v>
          </cell>
          <cell r="H351" t="str">
            <v>6C</v>
          </cell>
          <cell r="I351">
            <v>350000</v>
          </cell>
        </row>
        <row r="352">
          <cell r="B352" t="str">
            <v>MUHDAR</v>
          </cell>
          <cell r="C352" t="str">
            <v>CABANG UTAMA KOMERSIAL JAKARTA</v>
          </cell>
          <cell r="D352" t="str">
            <v>CABANG UTAMA KOMERSIAL JAKARTA</v>
          </cell>
          <cell r="E352" t="str">
            <v>SENIOR MANAGER BKI ACADEMY</v>
          </cell>
          <cell r="F352" t="str">
            <v>muhdar@bki.co.id</v>
          </cell>
          <cell r="G352" t="str">
            <v>08124201277</v>
          </cell>
          <cell r="H352" t="str">
            <v>7B</v>
          </cell>
          <cell r="I352">
            <v>0</v>
          </cell>
        </row>
        <row r="353">
          <cell r="B353" t="str">
            <v>BOBBY ADI NOVPRIANTO</v>
          </cell>
          <cell r="C353" t="str">
            <v>CABANG UTAMA KOMERSIAL JAKARTA</v>
          </cell>
          <cell r="D353" t="str">
            <v>CABANG UTAMA KOMERSIAL JAKARTA</v>
          </cell>
          <cell r="E353" t="str">
            <v>ANALIS TEKNIK BKI ACADEMY</v>
          </cell>
          <cell r="F353" t="str">
            <v>bobby.an@bki.co.id</v>
          </cell>
          <cell r="G353" t="str">
            <v>081390083891</v>
          </cell>
          <cell r="H353" t="str">
            <v>5C</v>
          </cell>
          <cell r="I353">
            <v>0</v>
          </cell>
        </row>
        <row r="354">
          <cell r="B354" t="str">
            <v>DANDY RUKMANA</v>
          </cell>
          <cell r="C354" t="str">
            <v>CABANG UTAMA KOMERSIAL JAKARTA</v>
          </cell>
          <cell r="D354" t="str">
            <v>CABANG UTAMA KOMERSIAL JAKARTA</v>
          </cell>
          <cell r="E354" t="str">
            <v>OFFICER PENJUALAN</v>
          </cell>
          <cell r="F354" t="str">
            <v>dandy@bki.co.id</v>
          </cell>
          <cell r="G354" t="str">
            <v>0811159599</v>
          </cell>
          <cell r="H354" t="str">
            <v>4B</v>
          </cell>
          <cell r="I354">
            <v>150000</v>
          </cell>
        </row>
        <row r="355">
          <cell r="B355" t="str">
            <v>MUHAMAD YUSRAN ALOAHIIT</v>
          </cell>
          <cell r="C355" t="str">
            <v>CABANG UTAMA KOMERSIAL JAKARTA</v>
          </cell>
          <cell r="D355" t="str">
            <v>CABANG UTAMA KOMERSIAL JAKARTA</v>
          </cell>
          <cell r="E355" t="str">
            <v>INSPEKTUR SENIOR II OPERASI ENERGI</v>
          </cell>
          <cell r="F355" t="str">
            <v>m.yusran@bki.co.id</v>
          </cell>
          <cell r="G355" t="str">
            <v>0812 9884 1976</v>
          </cell>
          <cell r="H355" t="str">
            <v>7B</v>
          </cell>
          <cell r="I355">
            <v>0</v>
          </cell>
        </row>
        <row r="356">
          <cell r="B356" t="str">
            <v>EFRY TALLAMMA</v>
          </cell>
          <cell r="C356" t="str">
            <v>CABANG UTAMA KOMERSIAL JAKARTA</v>
          </cell>
          <cell r="D356" t="str">
            <v>CABANG UTAMA KOMERSIAL JAKARTA</v>
          </cell>
          <cell r="E356" t="str">
            <v xml:space="preserve">ADMINISTRATOR SENIOR </v>
          </cell>
          <cell r="F356" t="str">
            <v>efry.t@bki.co.id</v>
          </cell>
          <cell r="G356" t="str">
            <v/>
          </cell>
          <cell r="H356" t="str">
            <v>3B</v>
          </cell>
          <cell r="I356">
            <v>150000</v>
          </cell>
        </row>
        <row r="357">
          <cell r="B357" t="str">
            <v>WAHJOE ARIO TEDJO</v>
          </cell>
          <cell r="C357" t="str">
            <v>CABANG UTAMA KOMERSIAL JAKARTA</v>
          </cell>
          <cell r="D357" t="str">
            <v>CABANG UTAMA KOMERSIAL JAKARTA</v>
          </cell>
          <cell r="E357" t="str">
            <v>SPESIALIS SENIOR VERIFIKASI &amp; VALIDASI</v>
          </cell>
          <cell r="F357" t="str">
            <v>tedjo@bki.co.id</v>
          </cell>
          <cell r="G357" t="str">
            <v>0811136934</v>
          </cell>
          <cell r="H357" t="str">
            <v>7A</v>
          </cell>
          <cell r="I357">
            <v>350000</v>
          </cell>
        </row>
        <row r="358">
          <cell r="B358" t="str">
            <v>ARIF RACHMAN</v>
          </cell>
          <cell r="C358" t="str">
            <v>CABANG UTAMA KOMERSIAL JAKARTA</v>
          </cell>
          <cell r="D358" t="str">
            <v>CABANG UTAMA KOMERSIAL JAKARTA</v>
          </cell>
          <cell r="E358" t="str">
            <v>INSPEKTUR OPERASI ENERGI</v>
          </cell>
          <cell r="F358" t="str">
            <v>arachman@bki.co.id</v>
          </cell>
          <cell r="G358" t="str">
            <v>081311263223</v>
          </cell>
          <cell r="H358" t="str">
            <v>5C</v>
          </cell>
          <cell r="I358">
            <v>150000</v>
          </cell>
        </row>
        <row r="359">
          <cell r="B359" t="str">
            <v>A. RASYID ALIMUDDIN</v>
          </cell>
          <cell r="C359" t="str">
            <v>CABANG UTAMA KOMERSIL BALIKPAPAN</v>
          </cell>
          <cell r="D359" t="str">
            <v>CABANG UTAMA KOMERSIL BALIKPAPAN</v>
          </cell>
          <cell r="E359" t="str">
            <v>PJ. KEPALA CABANG UTAMA KOMERSIL BALIKPAPAN</v>
          </cell>
          <cell r="F359" t="str">
            <v>rasyid.alimuddin@bki.co.id</v>
          </cell>
          <cell r="G359" t="str">
            <v>08125434369</v>
          </cell>
          <cell r="H359" t="str">
            <v>7A</v>
          </cell>
          <cell r="I359">
            <v>250000</v>
          </cell>
        </row>
        <row r="360">
          <cell r="B360" t="str">
            <v>JOKO UTOMO</v>
          </cell>
          <cell r="C360" t="str">
            <v>CABANG UTAMA KOMERSIL BALIKPAPAN</v>
          </cell>
          <cell r="D360" t="str">
            <v>CABANG UTAMA KOMERSIL BALIKPAPAN</v>
          </cell>
          <cell r="E360" t="str">
            <v>MANAGER PENJUALAN KOMERSIAL JAKARTA</v>
          </cell>
          <cell r="F360" t="str">
            <v>joko.utomo@bki.co.id</v>
          </cell>
          <cell r="G360" t="str">
            <v>081316932891</v>
          </cell>
          <cell r="H360" t="str">
            <v>5B</v>
          </cell>
          <cell r="I360">
            <v>250000</v>
          </cell>
        </row>
        <row r="361">
          <cell r="B361" t="str">
            <v>SULIADI ARI</v>
          </cell>
          <cell r="C361" t="str">
            <v>CABANG UTAMA KOMERSIL BALIKPAPAN</v>
          </cell>
          <cell r="D361" t="str">
            <v>CABANG UTAMA KOMERSIL BALIKPAPAN</v>
          </cell>
          <cell r="E361" t="str">
            <v xml:space="preserve">INSPEKTUR JUNIOR I  </v>
          </cell>
          <cell r="F361" t="str">
            <v>suliadi@bki.co.id</v>
          </cell>
          <cell r="G361" t="str">
            <v>082352131991</v>
          </cell>
          <cell r="H361" t="str">
            <v>3C</v>
          </cell>
          <cell r="I361">
            <v>0</v>
          </cell>
        </row>
        <row r="362">
          <cell r="B362" t="str">
            <v>LOESTHPEDI PARORRONGAN</v>
          </cell>
          <cell r="C362" t="str">
            <v>CABANG UTAMA KOMERSIL BALIKPAPAN</v>
          </cell>
          <cell r="D362" t="str">
            <v>CABANG UTAMA KOMERSIL BALIKPAPAN</v>
          </cell>
          <cell r="E362" t="str">
            <v xml:space="preserve">INSPEKTUR JUNIOR II  </v>
          </cell>
          <cell r="F362" t="str">
            <v>loesthpedi@bki.co.id</v>
          </cell>
          <cell r="G362" t="str">
            <v>0813 2585 3333</v>
          </cell>
          <cell r="H362" t="str">
            <v>4C</v>
          </cell>
          <cell r="I362">
            <v>0</v>
          </cell>
        </row>
        <row r="363">
          <cell r="B363" t="str">
            <v>MUHAMMAD ALIYAS</v>
          </cell>
          <cell r="C363" t="str">
            <v>CABANG UTAMA KOMERSIL BALIKPAPAN</v>
          </cell>
          <cell r="D363" t="str">
            <v>CABANG UTAMA KOMERSIL BALIKPAPAN</v>
          </cell>
          <cell r="E363" t="str">
            <v xml:space="preserve">INSPEKTUR JUNIOR II   </v>
          </cell>
          <cell r="F363" t="str">
            <v>aliyas@bki.co.id</v>
          </cell>
          <cell r="G363" t="str">
            <v/>
          </cell>
          <cell r="H363" t="str">
            <v>4C</v>
          </cell>
          <cell r="I363">
            <v>0</v>
          </cell>
        </row>
        <row r="364">
          <cell r="B364" t="str">
            <v>FANDI AKBAR</v>
          </cell>
          <cell r="C364" t="str">
            <v>CABANG UTAMA KOMERSIL BALIKPAPAN</v>
          </cell>
          <cell r="D364" t="str">
            <v>CABANG UTAMA KOMERSIL BALIKPAPAN</v>
          </cell>
          <cell r="E364" t="str">
            <v>ADMINISTRATOR</v>
          </cell>
          <cell r="F364" t="str">
            <v>fandi.akbar@bki.co.id</v>
          </cell>
          <cell r="G364" t="str">
            <v>08115999617</v>
          </cell>
          <cell r="H364" t="str">
            <v>2A</v>
          </cell>
          <cell r="I364">
            <v>0</v>
          </cell>
        </row>
        <row r="365">
          <cell r="B365" t="str">
            <v>ZAINAL ABIDIN</v>
          </cell>
          <cell r="C365" t="str">
            <v>CABANG UTAMA KOMERSIL BALIKPAPAN</v>
          </cell>
          <cell r="D365" t="str">
            <v>CABANG UTAMA KOMERSIL BALIKPAPAN</v>
          </cell>
          <cell r="E365" t="str">
            <v xml:space="preserve">INSPEKTUR JUNIOR II </v>
          </cell>
          <cell r="F365" t="str">
            <v>zainal.abidin@bki.co.id</v>
          </cell>
          <cell r="G365" t="str">
            <v>0852 4280 4446</v>
          </cell>
          <cell r="H365" t="str">
            <v>4C</v>
          </cell>
          <cell r="I365">
            <v>0</v>
          </cell>
        </row>
        <row r="366">
          <cell r="B366" t="str">
            <v>HARIMULYO</v>
          </cell>
          <cell r="C366" t="str">
            <v>CABANG UTAMA KOMERSIL BALIKPAPAN</v>
          </cell>
          <cell r="D366" t="str">
            <v>CABANG UTAMA KOMERSIL BALIKPAPAN</v>
          </cell>
          <cell r="E366" t="str">
            <v xml:space="preserve">INSPEKTUR JUNIOR II  </v>
          </cell>
          <cell r="F366" t="str">
            <v>hari.mulyo@bki.co.id</v>
          </cell>
          <cell r="G366" t="str">
            <v>081355100342</v>
          </cell>
          <cell r="H366" t="str">
            <v>4C</v>
          </cell>
          <cell r="I366">
            <v>0</v>
          </cell>
        </row>
        <row r="367">
          <cell r="B367" t="str">
            <v>SAMUEL JOHAN SOSELISA</v>
          </cell>
          <cell r="C367" t="str">
            <v>CABANG UTAMA KOMERSIL BALIKPAPAN</v>
          </cell>
          <cell r="D367" t="str">
            <v>CABANG UTAMA KOMERSIL BALIKPAPAN</v>
          </cell>
          <cell r="E367" t="str">
            <v>OPERATOR PENGUJIAN</v>
          </cell>
          <cell r="F367" t="str">
            <v>samuel@bki.co.id</v>
          </cell>
          <cell r="G367" t="str">
            <v>085226883380</v>
          </cell>
          <cell r="H367" t="str">
            <v>3A</v>
          </cell>
          <cell r="I367">
            <v>0</v>
          </cell>
        </row>
        <row r="368">
          <cell r="B368" t="str">
            <v>SAUR ELI TUA SIRAIT</v>
          </cell>
          <cell r="C368" t="str">
            <v>CABANG UTAMA KOMERSIL BALIKPAPAN</v>
          </cell>
          <cell r="D368" t="str">
            <v>CABANG UTAMA KOMERSIL BALIKPAPAN</v>
          </cell>
          <cell r="E368" t="str">
            <v>OPERATOR PENGUJIAN</v>
          </cell>
          <cell r="F368" t="str">
            <v>saur@bki.co.id</v>
          </cell>
          <cell r="G368">
            <v>0</v>
          </cell>
          <cell r="H368" t="str">
            <v>3A</v>
          </cell>
          <cell r="I368">
            <v>0</v>
          </cell>
        </row>
        <row r="369">
          <cell r="B369" t="str">
            <v>ABDUL SARPAN</v>
          </cell>
          <cell r="C369" t="str">
            <v>CABANG UTAMA KOMERSIL BALIKPAPAN</v>
          </cell>
          <cell r="D369" t="str">
            <v>CABANG UTAMA KOMERSIL BALIKPAPAN</v>
          </cell>
          <cell r="E369" t="str">
            <v>OPERATOR PENGUJIAN</v>
          </cell>
          <cell r="F369" t="str">
            <v>sarpan@bki.co.id</v>
          </cell>
          <cell r="G369" t="str">
            <v>081346557873</v>
          </cell>
          <cell r="H369" t="str">
            <v>3A</v>
          </cell>
          <cell r="I369">
            <v>0</v>
          </cell>
        </row>
        <row r="370">
          <cell r="B370" t="str">
            <v>YAURI LINGKAR PARAENG</v>
          </cell>
          <cell r="C370" t="str">
            <v>CABANG UTAMA KOMERSIL BALIKPAPAN</v>
          </cell>
          <cell r="D370" t="str">
            <v>CABANG UTAMA KOMERSIL BALIKPAPAN</v>
          </cell>
          <cell r="E370" t="str">
            <v xml:space="preserve">INSPEKTUR JUNIOR II  </v>
          </cell>
          <cell r="F370" t="str">
            <v>yauri@bki.co.id</v>
          </cell>
          <cell r="G370" t="str">
            <v>081355386000</v>
          </cell>
          <cell r="H370" t="str">
            <v>4C</v>
          </cell>
          <cell r="I370">
            <v>0</v>
          </cell>
        </row>
        <row r="371">
          <cell r="B371" t="str">
            <v>SUBARI</v>
          </cell>
          <cell r="C371" t="str">
            <v>CABANG UTAMA KOMERSIL BALIKPAPAN</v>
          </cell>
          <cell r="D371" t="str">
            <v>CABANG UTAMA KOMERSIL BALIKPAPAN</v>
          </cell>
          <cell r="E371" t="str">
            <v xml:space="preserve">INSPEKTUR JUNIOR II </v>
          </cell>
          <cell r="F371" t="str">
            <v>subari@bki.co.id</v>
          </cell>
          <cell r="G371" t="str">
            <v/>
          </cell>
          <cell r="H371" t="str">
            <v>4C</v>
          </cell>
          <cell r="I371">
            <v>0</v>
          </cell>
        </row>
        <row r="372">
          <cell r="B372" t="str">
            <v>MUHAMMAD ALI MURTADHO</v>
          </cell>
          <cell r="C372" t="str">
            <v>CABANG UTAMA KOMERSIL BALIKPAPAN</v>
          </cell>
          <cell r="D372" t="str">
            <v>CABANG UTAMA KOMERSIL BALIKPAPAN</v>
          </cell>
          <cell r="E372" t="str">
            <v xml:space="preserve">INSPEKTUR JUNIOR II   </v>
          </cell>
          <cell r="F372" t="str">
            <v>ali.murtadho@bki.co.id</v>
          </cell>
          <cell r="G372" t="str">
            <v>081254268886</v>
          </cell>
          <cell r="H372" t="str">
            <v>4C</v>
          </cell>
          <cell r="I372">
            <v>0</v>
          </cell>
        </row>
        <row r="373">
          <cell r="B373" t="str">
            <v>YOPPY SURYANTO</v>
          </cell>
          <cell r="C373" t="str">
            <v>CABANG UTAMA KOMERSIL BALIKPAPAN</v>
          </cell>
          <cell r="D373" t="str">
            <v>CABANG UTAMA KOMERSIL BALIKPAPAN</v>
          </cell>
          <cell r="E373" t="str">
            <v xml:space="preserve">INSPEKTUR JUNIOR I </v>
          </cell>
          <cell r="F373" t="str">
            <v>yoppy@bki.co.id</v>
          </cell>
          <cell r="G373" t="str">
            <v>081350250880</v>
          </cell>
          <cell r="H373" t="str">
            <v>3C</v>
          </cell>
          <cell r="I373">
            <v>0</v>
          </cell>
        </row>
        <row r="374">
          <cell r="B374" t="str">
            <v>RATNA DAMAYANTI</v>
          </cell>
          <cell r="C374" t="str">
            <v>CABANG UTAMA KOMERSIL BALIKPAPAN</v>
          </cell>
          <cell r="D374" t="str">
            <v>CABANG UTAMA KOMERSIL BALIKPAPAN</v>
          </cell>
          <cell r="E374" t="str">
            <v>ANALIS ADMINISTRASI UMUM &amp; KEUANGAN</v>
          </cell>
          <cell r="F374" t="str">
            <v>ratna.damayanti@bki.co.id</v>
          </cell>
          <cell r="G374" t="str">
            <v>085389302699</v>
          </cell>
          <cell r="H374" t="str">
            <v>5B</v>
          </cell>
          <cell r="I374">
            <v>250000</v>
          </cell>
        </row>
        <row r="375">
          <cell r="B375" t="str">
            <v>TRI WAHYUNI</v>
          </cell>
          <cell r="C375" t="str">
            <v>CABANG UTAMA KOMERSIL BALIKPAPAN</v>
          </cell>
          <cell r="D375" t="str">
            <v>CABANG UTAMA KOMERSIL BALIKPAPAN</v>
          </cell>
          <cell r="E375" t="str">
            <v>OFFICER ADMINISTRASI UMUM</v>
          </cell>
          <cell r="F375" t="str">
            <v>wahyuni@bki.co.id</v>
          </cell>
          <cell r="G375" t="str">
            <v>0812 5170 0408</v>
          </cell>
          <cell r="H375" t="str">
            <v>4A</v>
          </cell>
          <cell r="I375">
            <v>0</v>
          </cell>
        </row>
        <row r="376">
          <cell r="B376" t="str">
            <v>SUDARYONO</v>
          </cell>
          <cell r="C376" t="str">
            <v>CABANG UTAMA KOMERSIL BALIKPAPAN</v>
          </cell>
          <cell r="D376" t="str">
            <v>CABANG UTAMA KOMERSIL BALIKPAPAN</v>
          </cell>
          <cell r="E376" t="str">
            <v>INSPEKTUR</v>
          </cell>
          <cell r="F376" t="str">
            <v>sudaryono@bki.co.id</v>
          </cell>
          <cell r="G376" t="str">
            <v>085246007793</v>
          </cell>
          <cell r="H376" t="str">
            <v>5C</v>
          </cell>
          <cell r="I376">
            <v>150000</v>
          </cell>
        </row>
        <row r="377">
          <cell r="B377" t="str">
            <v>ADNAN</v>
          </cell>
          <cell r="C377" t="str">
            <v>CABANG UTAMA KOMERSIL BALIKPAPAN</v>
          </cell>
          <cell r="D377" t="str">
            <v>CABANG UTAMA KOMERSIL BALIKPAPAN</v>
          </cell>
          <cell r="E377" t="str">
            <v>PJ. SENIOR MANAGER PENJUALAN DAN DUKUNGAN BISNIS KOMERSIAL BALIKPAPAN</v>
          </cell>
          <cell r="F377" t="str">
            <v>adnan@bki.co.id</v>
          </cell>
          <cell r="G377" t="str">
            <v>081347777003</v>
          </cell>
          <cell r="H377" t="str">
            <v>5B</v>
          </cell>
          <cell r="I377">
            <v>150000</v>
          </cell>
        </row>
        <row r="378">
          <cell r="B378" t="str">
            <v>IKBAL KADIR</v>
          </cell>
          <cell r="C378" t="str">
            <v>CABANG UTAMA KOMERSIL BALIKPAPAN</v>
          </cell>
          <cell r="D378" t="str">
            <v>CABANG UTAMA KOMERSIL BALIKPAPAN</v>
          </cell>
          <cell r="E378" t="str">
            <v>PJ. MANAGER ADMINISTRASI UMUM DAN KEUANGAN KOMERSIAL BALIKPAPAN</v>
          </cell>
          <cell r="F378" t="str">
            <v>ikbal.kadir@bki.co.id</v>
          </cell>
          <cell r="G378" t="str">
            <v>081211221245</v>
          </cell>
          <cell r="H378" t="str">
            <v>3B</v>
          </cell>
          <cell r="I378">
            <v>0</v>
          </cell>
        </row>
        <row r="379">
          <cell r="B379" t="str">
            <v>ANDI AGUNG MAPPANGILE</v>
          </cell>
          <cell r="C379" t="str">
            <v>CABANG UTAMA KOMERSIL BALIKPAPAN</v>
          </cell>
          <cell r="D379" t="str">
            <v>CABANG UTAMA KOMERSIL BALIKPAPAN</v>
          </cell>
          <cell r="E379" t="str">
            <v xml:space="preserve">INSPEKTUR JUNIOR II  </v>
          </cell>
          <cell r="F379" t="str">
            <v>mappangile@bki.co.id</v>
          </cell>
          <cell r="G379" t="str">
            <v>0813 4243 5758</v>
          </cell>
          <cell r="H379" t="str">
            <v>4C</v>
          </cell>
          <cell r="I379">
            <v>0</v>
          </cell>
        </row>
        <row r="380">
          <cell r="B380" t="str">
            <v>SYAHRANI SUMAILA</v>
          </cell>
          <cell r="C380" t="str">
            <v>CABANG UTAMA KOMERSIL BALIKPAPAN</v>
          </cell>
          <cell r="D380" t="str">
            <v>CABANG UTAMA KOMERSIL BALIKPAPAN</v>
          </cell>
          <cell r="E380" t="str">
            <v>INSPEKTUR</v>
          </cell>
          <cell r="F380" t="str">
            <v>syahrani@bki.co.id</v>
          </cell>
          <cell r="G380" t="str">
            <v>0852 4326 6209</v>
          </cell>
          <cell r="H380" t="str">
            <v>5C</v>
          </cell>
          <cell r="I380">
            <v>0</v>
          </cell>
        </row>
        <row r="381">
          <cell r="B381" t="str">
            <v>BASORI</v>
          </cell>
          <cell r="C381" t="str">
            <v>CABANG UTAMA KOMERSIL BALIKPAPAN</v>
          </cell>
          <cell r="D381" t="str">
            <v>CABANG UTAMA KOMERSIL BALIKPAPAN</v>
          </cell>
          <cell r="E381" t="str">
            <v>OPERATOR PENGUJIAN</v>
          </cell>
          <cell r="F381" t="str">
            <v>basori@bki.co.id</v>
          </cell>
          <cell r="G381" t="str">
            <v>0813 5051 0072</v>
          </cell>
          <cell r="H381" t="str">
            <v>3A</v>
          </cell>
          <cell r="I381">
            <v>0</v>
          </cell>
        </row>
        <row r="382">
          <cell r="B382" t="str">
            <v>AKBAR EDY</v>
          </cell>
          <cell r="C382" t="str">
            <v>CABANG UTAMA KOMERSIL BALIKPAPAN</v>
          </cell>
          <cell r="D382" t="str">
            <v>CABANG UTAMA KOMERSIL BALIKPAPAN</v>
          </cell>
          <cell r="E382" t="str">
            <v>INSPEKTUR</v>
          </cell>
          <cell r="F382" t="str">
            <v>akbar.edy@bki.co.id</v>
          </cell>
          <cell r="G382" t="str">
            <v>085242152339</v>
          </cell>
          <cell r="H382" t="str">
            <v>5C</v>
          </cell>
          <cell r="I382">
            <v>0</v>
          </cell>
        </row>
        <row r="383">
          <cell r="B383" t="str">
            <v>ROHMAN NAHDIANTO</v>
          </cell>
          <cell r="C383" t="str">
            <v>CABANG UTAMA KOMERSIL BALIKPAPAN</v>
          </cell>
          <cell r="D383" t="str">
            <v>CABANG UTAMA KOMERSIL BALIKPAPAN</v>
          </cell>
          <cell r="E383" t="str">
            <v xml:space="preserve">INSPEKTUR JUNIOR I </v>
          </cell>
          <cell r="F383" t="str">
            <v>nahdianto@bki.co.id</v>
          </cell>
          <cell r="G383" t="str">
            <v>082157105535</v>
          </cell>
          <cell r="H383" t="str">
            <v>3C</v>
          </cell>
          <cell r="I383">
            <v>0</v>
          </cell>
        </row>
        <row r="384">
          <cell r="B384" t="str">
            <v>UMI MAISYAROH</v>
          </cell>
          <cell r="C384" t="str">
            <v>CABANG UTAMA KOMERSIL BALIKPAPAN</v>
          </cell>
          <cell r="D384" t="str">
            <v>CABANG UTAMA KOMERSIL BALIKPAPAN</v>
          </cell>
          <cell r="E384" t="str">
            <v>ADMINISTRATOR SENIOR</v>
          </cell>
          <cell r="F384" t="str">
            <v>umi@bki.co.id</v>
          </cell>
          <cell r="G384" t="str">
            <v>085252004673</v>
          </cell>
          <cell r="H384" t="str">
            <v>3B</v>
          </cell>
          <cell r="I384">
            <v>0</v>
          </cell>
        </row>
        <row r="385">
          <cell r="B385" t="str">
            <v>BRAMANTI PRAMAWEDHA SATRIANTO PUTRA</v>
          </cell>
          <cell r="C385" t="str">
            <v>CABANG UTAMA KOMERSIL BALIKPAPAN</v>
          </cell>
          <cell r="D385" t="str">
            <v>CABANG UTAMA KOMERSIL BALIKPAPAN</v>
          </cell>
          <cell r="E385" t="str">
            <v>PJ. SENIOR MANAGER OPERASI KOMERSIL BALIKPAPAN</v>
          </cell>
          <cell r="F385" t="str">
            <v>bramanti.psp@bki.co.id</v>
          </cell>
          <cell r="G385" t="str">
            <v>081321226869</v>
          </cell>
          <cell r="H385" t="str">
            <v>6B</v>
          </cell>
          <cell r="I385">
            <v>100000</v>
          </cell>
        </row>
        <row r="386">
          <cell r="B386" t="str">
            <v>NUR FAUZAN AZIM</v>
          </cell>
          <cell r="C386" t="str">
            <v>CABANG UTAMA KOMERSIL BALIKPAPAN</v>
          </cell>
          <cell r="D386" t="str">
            <v>CABANG UTAMA KOMERSIL BALIKPAPAN</v>
          </cell>
          <cell r="E386" t="str">
            <v xml:space="preserve">INSPEKTUR JUNIOR I  </v>
          </cell>
          <cell r="F386" t="str">
            <v>fauzan.azim@bki.co.id</v>
          </cell>
          <cell r="G386" t="str">
            <v>082250094467</v>
          </cell>
          <cell r="H386" t="str">
            <v>3C</v>
          </cell>
          <cell r="I386">
            <v>0</v>
          </cell>
        </row>
        <row r="387">
          <cell r="B387" t="str">
            <v>LA ODE ABDUL SAHID MUNIFA</v>
          </cell>
          <cell r="C387" t="str">
            <v>CABANG UTAMA KOMERSIL BALIKPAPAN</v>
          </cell>
          <cell r="D387" t="str">
            <v>CABANG UTAMA KOMERSIL BALIKPAPAN</v>
          </cell>
          <cell r="E387" t="str">
            <v xml:space="preserve">INSPEKTUR JUNIOR I  </v>
          </cell>
          <cell r="F387" t="str">
            <v>laode.sahid@bki.co.id</v>
          </cell>
          <cell r="G387" t="str">
            <v>082131844418</v>
          </cell>
          <cell r="H387" t="str">
            <v>3C</v>
          </cell>
          <cell r="I387">
            <v>0</v>
          </cell>
        </row>
        <row r="388">
          <cell r="B388" t="str">
            <v>YUSRIADY BOROALLO RUGA</v>
          </cell>
          <cell r="C388" t="str">
            <v>CoE ENERGY</v>
          </cell>
          <cell r="D388" t="str">
            <v>CoE ENERGY</v>
          </cell>
          <cell r="E388" t="str">
            <v>ANALIS TEKNIK</v>
          </cell>
          <cell r="F388" t="str">
            <v>yusriadi.br@bki.co.id</v>
          </cell>
          <cell r="G388" t="str">
            <v>081318481114</v>
          </cell>
          <cell r="H388" t="str">
            <v>5C</v>
          </cell>
          <cell r="I388">
            <v>150000</v>
          </cell>
        </row>
        <row r="389">
          <cell r="B389" t="str">
            <v>EVAN EGA RIZKIARSA</v>
          </cell>
          <cell r="C389" t="str">
            <v>CoE ENERGY</v>
          </cell>
          <cell r="D389" t="str">
            <v>CoE ENERGY</v>
          </cell>
          <cell r="E389" t="str">
            <v>OFFICER JUNIOR TEKNIK</v>
          </cell>
          <cell r="F389" t="str">
            <v>evan.ega@bki.co.id</v>
          </cell>
          <cell r="G389" t="str">
            <v/>
          </cell>
          <cell r="H389" t="str">
            <v>3C</v>
          </cell>
          <cell r="I389">
            <v>0</v>
          </cell>
        </row>
        <row r="390">
          <cell r="B390" t="str">
            <v>R. SAPTO AGUNG PRAMUSINTO</v>
          </cell>
          <cell r="C390" t="str">
            <v>CoE ENERGY</v>
          </cell>
          <cell r="D390" t="str">
            <v>CoE ENERGY</v>
          </cell>
          <cell r="E390" t="str">
            <v>VP CoE ENERGY</v>
          </cell>
          <cell r="F390" t="str">
            <v>sapto.ap@bki.co.id</v>
          </cell>
          <cell r="G390" t="str">
            <v/>
          </cell>
          <cell r="H390" t="str">
            <v>8B</v>
          </cell>
          <cell r="I390">
            <v>350000</v>
          </cell>
        </row>
        <row r="391">
          <cell r="B391" t="str">
            <v>AGAH DIRGAPATRIA DJAJASUDARMA</v>
          </cell>
          <cell r="C391" t="str">
            <v>CoE ENERGY</v>
          </cell>
          <cell r="D391" t="str">
            <v>CoE ENERGY</v>
          </cell>
          <cell r="E391" t="str">
            <v>SENIOR MANAGER RISET, PENGEMBANGAN BISNIS DAN PEMASARAN ENERGI</v>
          </cell>
          <cell r="F391" t="str">
            <v>agah.dd@bki.co.id</v>
          </cell>
          <cell r="G391" t="str">
            <v>0811548005</v>
          </cell>
          <cell r="H391" t="str">
            <v>7B</v>
          </cell>
          <cell r="I391">
            <v>0</v>
          </cell>
        </row>
        <row r="392">
          <cell r="B392" t="str">
            <v>YUDI PRAWOTO</v>
          </cell>
          <cell r="C392" t="str">
            <v>CoE ENERGY</v>
          </cell>
          <cell r="D392" t="str">
            <v>CoE ENERGY</v>
          </cell>
          <cell r="E392" t="str">
            <v>SENIOR MANAGER  DUKUNGAN TEKNIS DAN SUMBER DAYA ENERGI</v>
          </cell>
          <cell r="F392" t="str">
            <v>yudi.prawoto@bki.co.id</v>
          </cell>
          <cell r="G392" t="str">
            <v>082135940794</v>
          </cell>
          <cell r="H392" t="str">
            <v>7A</v>
          </cell>
          <cell r="I392">
            <v>350000</v>
          </cell>
        </row>
        <row r="393">
          <cell r="B393" t="str">
            <v>AGUS SUNARTO</v>
          </cell>
          <cell r="C393" t="str">
            <v>CoE ENERGY</v>
          </cell>
          <cell r="D393" t="str">
            <v>CoE ENERGY</v>
          </cell>
          <cell r="E393" t="str">
            <v xml:space="preserve">SPESIALIS SENIOR TEKNIK </v>
          </cell>
          <cell r="F393" t="str">
            <v>agus.sunarto@bki.co.id</v>
          </cell>
          <cell r="G393" t="str">
            <v>08125433771</v>
          </cell>
          <cell r="H393" t="str">
            <v>7B</v>
          </cell>
          <cell r="I393">
            <v>150000</v>
          </cell>
        </row>
        <row r="394">
          <cell r="B394" t="str">
            <v>RUDY SUNARYADI</v>
          </cell>
          <cell r="C394" t="str">
            <v>CoE ENERGY</v>
          </cell>
          <cell r="D394" t="str">
            <v>CoE ENERGY</v>
          </cell>
          <cell r="E394" t="str">
            <v xml:space="preserve">SPESIALIS SENIOR TEKNIK </v>
          </cell>
          <cell r="F394" t="str">
            <v>rudy.sunaryadi@bki.co.id</v>
          </cell>
          <cell r="G394" t="str">
            <v>081350931703</v>
          </cell>
          <cell r="H394" t="str">
            <v>7B</v>
          </cell>
          <cell r="I394">
            <v>0</v>
          </cell>
        </row>
        <row r="395">
          <cell r="B395" t="str">
            <v>AFANI ROMA ARISA</v>
          </cell>
          <cell r="C395" t="str">
            <v>CoE ENERGY</v>
          </cell>
          <cell r="D395" t="str">
            <v>CoE ENERGY</v>
          </cell>
          <cell r="E395" t="str">
            <v>OFFICER JUNIOR TEKNIK</v>
          </cell>
          <cell r="F395" t="str">
            <v>afani.ra@bki.co.id</v>
          </cell>
          <cell r="G395" t="str">
            <v/>
          </cell>
          <cell r="H395" t="str">
            <v>3C</v>
          </cell>
          <cell r="I395">
            <v>0</v>
          </cell>
        </row>
        <row r="396">
          <cell r="B396" t="str">
            <v>BURHANUDDIN</v>
          </cell>
          <cell r="C396" t="str">
            <v>CoE ENERGY</v>
          </cell>
          <cell r="D396" t="str">
            <v>CoE ENERGY</v>
          </cell>
          <cell r="E396" t="str">
            <v xml:space="preserve">ADMINISTRATOR SENIOR </v>
          </cell>
          <cell r="F396" t="str">
            <v>burhanuddin@bki.co.id</v>
          </cell>
          <cell r="G396" t="str">
            <v/>
          </cell>
          <cell r="H396" t="str">
            <v>3B</v>
          </cell>
          <cell r="I396">
            <v>100000</v>
          </cell>
        </row>
        <row r="397">
          <cell r="B397" t="str">
            <v>ELVINO YUSKA PUTRA</v>
          </cell>
          <cell r="C397" t="str">
            <v>CoE ENERGY</v>
          </cell>
          <cell r="D397" t="str">
            <v>CoE ENERGY</v>
          </cell>
          <cell r="E397" t="str">
            <v xml:space="preserve">ADMINISTRATOR SENIOR </v>
          </cell>
          <cell r="F397" t="str">
            <v>elvino.yusca@bki.co.id</v>
          </cell>
          <cell r="G397" t="str">
            <v>082112763607</v>
          </cell>
          <cell r="H397" t="str">
            <v>3B</v>
          </cell>
          <cell r="I397">
            <v>100000</v>
          </cell>
        </row>
        <row r="398">
          <cell r="B398" t="str">
            <v>HELDA YULISTIANI</v>
          </cell>
          <cell r="C398" t="str">
            <v>CoE ENERGY</v>
          </cell>
          <cell r="D398" t="str">
            <v>CoE ENERGY</v>
          </cell>
          <cell r="E398" t="str">
            <v xml:space="preserve">ADMINISTRATOR SENIOR </v>
          </cell>
          <cell r="F398" t="str">
            <v>helda.yulistiani@bki.co.id</v>
          </cell>
          <cell r="G398">
            <v>0</v>
          </cell>
          <cell r="H398" t="str">
            <v>3B</v>
          </cell>
          <cell r="I398">
            <v>100000</v>
          </cell>
        </row>
        <row r="399">
          <cell r="B399" t="str">
            <v>WINARTO</v>
          </cell>
          <cell r="C399" t="str">
            <v>CoE ENERGY</v>
          </cell>
          <cell r="D399" t="str">
            <v>CoE ENERGY</v>
          </cell>
          <cell r="E399" t="str">
            <v xml:space="preserve">SPESIALIS SENIOR TEKNIK </v>
          </cell>
          <cell r="F399" t="str">
            <v>winarto@bki.co.id</v>
          </cell>
          <cell r="G399" t="str">
            <v>081282280509</v>
          </cell>
          <cell r="H399" t="str">
            <v>7A</v>
          </cell>
          <cell r="I399">
            <v>350000</v>
          </cell>
        </row>
        <row r="400">
          <cell r="B400" t="str">
            <v>JOKO SUSILO</v>
          </cell>
          <cell r="C400" t="str">
            <v>CoE ENERGY</v>
          </cell>
          <cell r="D400" t="str">
            <v>CoE ENERGY</v>
          </cell>
          <cell r="E400" t="str">
            <v xml:space="preserve">ANALIS TEKNIK </v>
          </cell>
          <cell r="F400" t="str">
            <v>joko.susilo@bki.co.id</v>
          </cell>
          <cell r="G400" t="str">
            <v>081215171599</v>
          </cell>
          <cell r="H400" t="str">
            <v>5C</v>
          </cell>
          <cell r="I400">
            <v>100000</v>
          </cell>
        </row>
        <row r="401">
          <cell r="B401" t="str">
            <v>WAHYU PRIAMBODO</v>
          </cell>
          <cell r="C401" t="str">
            <v>CoE ENERGY</v>
          </cell>
          <cell r="D401" t="str">
            <v>CoE ENERGY</v>
          </cell>
          <cell r="E401" t="str">
            <v xml:space="preserve">SPESIALIS TEKNIK  </v>
          </cell>
          <cell r="F401" t="str">
            <v>wahyu.priambodo@bki.co.id</v>
          </cell>
          <cell r="G401" t="str">
            <v>08155034245</v>
          </cell>
          <cell r="H401" t="str">
            <v>6C</v>
          </cell>
          <cell r="I401">
            <v>350000</v>
          </cell>
        </row>
        <row r="402">
          <cell r="B402" t="str">
            <v>WAHYU RAHMA PUTRI</v>
          </cell>
          <cell r="C402" t="str">
            <v>CoE ENERGY</v>
          </cell>
          <cell r="D402" t="str">
            <v>CoE ENERGY</v>
          </cell>
          <cell r="E402" t="str">
            <v xml:space="preserve">OFFICER JUNIOR TEKNIK </v>
          </cell>
          <cell r="F402" t="str">
            <v>wahyu.rp@bki.co.id</v>
          </cell>
          <cell r="G402" t="str">
            <v>089690617077</v>
          </cell>
          <cell r="H402" t="str">
            <v>3C</v>
          </cell>
          <cell r="I402">
            <v>0</v>
          </cell>
        </row>
        <row r="403">
          <cell r="B403" t="str">
            <v>TANTRY OCTAVIANI</v>
          </cell>
          <cell r="C403" t="str">
            <v>CoE ENERGY</v>
          </cell>
          <cell r="D403" t="str">
            <v>CoE ENERGY</v>
          </cell>
          <cell r="E403" t="str">
            <v xml:space="preserve">ADMINISTRATOR SENIOR </v>
          </cell>
          <cell r="F403" t="str">
            <v>tantry.octa@bki.co.id</v>
          </cell>
          <cell r="G403" t="str">
            <v>087809705285</v>
          </cell>
          <cell r="H403" t="str">
            <v>3B</v>
          </cell>
          <cell r="I403">
            <v>100000</v>
          </cell>
        </row>
        <row r="404">
          <cell r="B404" t="str">
            <v>DR  KARTIKA KUS HENDRATNA</v>
          </cell>
          <cell r="C404" t="str">
            <v>CoE TRANSPORT &amp; LOGISTIC</v>
          </cell>
          <cell r="D404" t="str">
            <v>CoE TRANSPORT &amp; LOGISTIC</v>
          </cell>
          <cell r="E404" t="str">
            <v>VP CoE TRANSPORT &amp; LOGISTIC</v>
          </cell>
          <cell r="F404" t="str">
            <v>kartika.khendratna@bki.co.id</v>
          </cell>
          <cell r="G404">
            <v>0</v>
          </cell>
          <cell r="H404" t="str">
            <v>8B</v>
          </cell>
          <cell r="I404">
            <v>500000</v>
          </cell>
        </row>
        <row r="405">
          <cell r="B405" t="str">
            <v>ARDHIAN BUDI SULISTIYO</v>
          </cell>
          <cell r="C405" t="str">
            <v>CoE TRANSPORT &amp; LOGISTIC</v>
          </cell>
          <cell r="D405" t="str">
            <v>CoE TRANSPORT &amp; LOGISTIC</v>
          </cell>
          <cell r="E405" t="str">
            <v>SENIOR MANAGER DUKUNGAN TEKNIS DAN SUMBER DAYA TRANSPORT &amp; LOGISTIC</v>
          </cell>
          <cell r="F405" t="str">
            <v>ardhian.bs@bki.co.id</v>
          </cell>
          <cell r="G405" t="str">
            <v>0812 543 4378</v>
          </cell>
          <cell r="H405" t="str">
            <v>7A</v>
          </cell>
          <cell r="I405">
            <v>350000</v>
          </cell>
        </row>
        <row r="406">
          <cell r="B406" t="str">
            <v>ARIF PURWONO</v>
          </cell>
          <cell r="C406" t="str">
            <v>CoE TRANSPORT &amp; LOGISTIC</v>
          </cell>
          <cell r="D406" t="str">
            <v>CoE TRANSPORT &amp; LOGISTIC</v>
          </cell>
          <cell r="E406" t="str">
            <v xml:space="preserve">SPESIALIS SENIOR TEKNIK </v>
          </cell>
          <cell r="F406" t="str">
            <v>arifpurwono@bki.co.id</v>
          </cell>
          <cell r="G406" t="str">
            <v>085645028208</v>
          </cell>
          <cell r="H406" t="str">
            <v>7B</v>
          </cell>
          <cell r="I406">
            <v>350000</v>
          </cell>
        </row>
        <row r="407">
          <cell r="B407" t="str">
            <v>MUHAMMAD TEGUH WIDODO</v>
          </cell>
          <cell r="C407" t="str">
            <v>CoE TRANSPORT &amp; LOGISTIC</v>
          </cell>
          <cell r="D407" t="str">
            <v>CoE TRANSPORT &amp; LOGISTIC</v>
          </cell>
          <cell r="E407" t="str">
            <v xml:space="preserve">ANALIS TEKNIK </v>
          </cell>
          <cell r="F407" t="str">
            <v>teguh.widodo@bki.co.id</v>
          </cell>
          <cell r="G407" t="str">
            <v>081338125071</v>
          </cell>
          <cell r="H407" t="str">
            <v>5C</v>
          </cell>
          <cell r="I407">
            <v>100000</v>
          </cell>
        </row>
        <row r="408">
          <cell r="B408" t="str">
            <v>NEVI EKO YULIANANTO</v>
          </cell>
          <cell r="C408" t="str">
            <v>CoE TRANSPORT &amp; LOGISTIC</v>
          </cell>
          <cell r="D408" t="str">
            <v>CoE TRANSPORT &amp; LOGISTIC</v>
          </cell>
          <cell r="E408" t="str">
            <v xml:space="preserve">ANALIS TEKNIK </v>
          </cell>
          <cell r="F408" t="str">
            <v>nevi@bki.co.id</v>
          </cell>
          <cell r="G408" t="str">
            <v>0856 4860 5511</v>
          </cell>
          <cell r="H408" t="str">
            <v>5C</v>
          </cell>
          <cell r="I408">
            <v>250000</v>
          </cell>
        </row>
        <row r="409">
          <cell r="B409" t="str">
            <v>FARIED</v>
          </cell>
          <cell r="C409" t="str">
            <v>CoE TRANSPORT &amp; LOGISTIC</v>
          </cell>
          <cell r="D409" t="str">
            <v>CoE TRANSPORT &amp; LOGISTIC</v>
          </cell>
          <cell r="E409" t="str">
            <v xml:space="preserve">ANALIS TEKNIK </v>
          </cell>
          <cell r="F409" t="str">
            <v>faried@bki.co.id</v>
          </cell>
          <cell r="G409" t="str">
            <v>082139926702</v>
          </cell>
          <cell r="H409" t="str">
            <v>5C</v>
          </cell>
          <cell r="I409">
            <v>350000</v>
          </cell>
        </row>
        <row r="410">
          <cell r="B410" t="str">
            <v>HERY ALWIS</v>
          </cell>
          <cell r="C410" t="str">
            <v>CoE TRANSPORT &amp; LOGISTIC</v>
          </cell>
          <cell r="D410" t="str">
            <v>CoE TRANSPORT &amp; LOGISTIC</v>
          </cell>
          <cell r="E410" t="str">
            <v xml:space="preserve">ANALIS TEKNIK </v>
          </cell>
          <cell r="F410" t="str">
            <v>hery.alwis@bki.co.id</v>
          </cell>
          <cell r="G410" t="str">
            <v>08118668760</v>
          </cell>
          <cell r="H410" t="str">
            <v>5C</v>
          </cell>
          <cell r="I410">
            <v>100000</v>
          </cell>
        </row>
        <row r="411">
          <cell r="B411" t="str">
            <v>SATRIA ALDI PERMANA</v>
          </cell>
          <cell r="C411" t="str">
            <v>CoE TRANSPORT &amp; LOGISTIC</v>
          </cell>
          <cell r="D411" t="str">
            <v>CoE TRANSPORT &amp; LOGISTIC</v>
          </cell>
          <cell r="E411" t="str">
            <v xml:space="preserve">ANALIS TEKNIK </v>
          </cell>
          <cell r="F411" t="str">
            <v>satria.permana@bki.co.id</v>
          </cell>
          <cell r="G411" t="str">
            <v>081212116830</v>
          </cell>
          <cell r="H411" t="str">
            <v>5C</v>
          </cell>
          <cell r="I411">
            <v>100000</v>
          </cell>
        </row>
        <row r="412">
          <cell r="B412" t="str">
            <v>M. ARDWIANSYAH</v>
          </cell>
          <cell r="C412" t="str">
            <v>CoE TRANSPORT &amp; LOGISTIC</v>
          </cell>
          <cell r="D412" t="str">
            <v>CoE TRANSPORT &amp; LOGISTIC</v>
          </cell>
          <cell r="E412" t="str">
            <v xml:space="preserve">OFFICER JUNIOR TEKNIK </v>
          </cell>
          <cell r="F412" t="str">
            <v>ardwiansyah@bki.co.id</v>
          </cell>
          <cell r="G412" t="str">
            <v/>
          </cell>
          <cell r="H412" t="str">
            <v>3C</v>
          </cell>
          <cell r="I412">
            <v>0</v>
          </cell>
        </row>
        <row r="413">
          <cell r="B413" t="str">
            <v>RANDY YOLANDA ANNOFCI PRATAMA</v>
          </cell>
          <cell r="C413" t="str">
            <v>CoE TRANSPORT &amp; LOGISTIC</v>
          </cell>
          <cell r="D413" t="str">
            <v>CoE TRANSPORT &amp; LOGISTIC</v>
          </cell>
          <cell r="E413" t="str">
            <v xml:space="preserve">ADMINISTRATOR SENIOR </v>
          </cell>
          <cell r="F413" t="str">
            <v>randy.yap@bki.co.id</v>
          </cell>
          <cell r="G413" t="str">
            <v>081291094104</v>
          </cell>
          <cell r="H413" t="str">
            <v>3B</v>
          </cell>
          <cell r="I413">
            <v>150000</v>
          </cell>
        </row>
        <row r="414">
          <cell r="B414" t="str">
            <v>DAVID HARYANTO</v>
          </cell>
          <cell r="C414" t="str">
            <v>DEPARTEMEN MANAJEMEN PORTOFOLIO</v>
          </cell>
          <cell r="D414" t="str">
            <v>DEPARTEMEN MANAJEMEN PORTOFOLIO</v>
          </cell>
          <cell r="E414" t="str">
            <v>SVP MANAJEMEN PORTOFOLIO</v>
          </cell>
          <cell r="F414" t="str">
            <v>david.haryanto@bki.co.id</v>
          </cell>
          <cell r="G414" t="str">
            <v>08121091390</v>
          </cell>
          <cell r="H414" t="str">
            <v>8C</v>
          </cell>
          <cell r="I414">
            <v>0</v>
          </cell>
        </row>
        <row r="415">
          <cell r="B415" t="str">
            <v>ALDICIO WILLIAM SCHUURMAN</v>
          </cell>
          <cell r="C415" t="str">
            <v>DEPARTEMEN MANAJEMEN PORTOFOLIO</v>
          </cell>
          <cell r="D415" t="str">
            <v>DEPARTEMEN MANAJEMEN PORTOFOLIO</v>
          </cell>
          <cell r="E415" t="str">
            <v>SPESIALIS MANAJEMEN PORTOFOLIO</v>
          </cell>
          <cell r="F415" t="str">
            <v>aldicio.ws@bki.co.id</v>
          </cell>
          <cell r="G415" t="str">
            <v>085710573352</v>
          </cell>
          <cell r="H415" t="str">
            <v>6A</v>
          </cell>
          <cell r="I415">
            <v>150000</v>
          </cell>
        </row>
        <row r="416">
          <cell r="B416" t="str">
            <v>MUHAMMAD RIZKY FAUZY FERNANDA</v>
          </cell>
          <cell r="C416" t="str">
            <v>DEPARTEMEN MANAJEMEN PORTOFOLIO</v>
          </cell>
          <cell r="D416" t="str">
            <v>DEPARTEMEN MANAJEMEN PORTOFOLIO</v>
          </cell>
          <cell r="E416" t="str">
            <v>STAF MANAJEMEN KEWILAYAHAN</v>
          </cell>
          <cell r="F416" t="str">
            <v>fauzy.fernanda@bki.co.id</v>
          </cell>
          <cell r="G416" t="str">
            <v/>
          </cell>
          <cell r="H416">
            <v>0</v>
          </cell>
          <cell r="I416">
            <v>0</v>
          </cell>
        </row>
        <row r="417">
          <cell r="B417" t="str">
            <v>ABDUL RIFANI PRAJA NURRAHMAN</v>
          </cell>
          <cell r="C417" t="str">
            <v>DIVISI AKUNTANSI KEUANGAN DAN PAJAK</v>
          </cell>
          <cell r="D417" t="str">
            <v>DIVISI AKUNTANSI KEUANGAN DAN PAJAK</v>
          </cell>
          <cell r="E417" t="str">
            <v>VP AKUNTANSI KEUANGAN DAN PAJAK</v>
          </cell>
          <cell r="F417" t="str">
            <v>arifani@bki.co.id</v>
          </cell>
          <cell r="G417" t="str">
            <v>085692444223</v>
          </cell>
          <cell r="H417" t="str">
            <v>8A</v>
          </cell>
          <cell r="I417">
            <v>500000</v>
          </cell>
        </row>
        <row r="418">
          <cell r="B418" t="str">
            <v>ADESTA MUNAS LATIEF</v>
          </cell>
          <cell r="C418" t="str">
            <v>DIVISI AKUNTANSI KEUANGAN DAN PAJAK</v>
          </cell>
          <cell r="D418" t="str">
            <v>DIVISI AKUNTANSI KEUANGAN DAN PAJAK</v>
          </cell>
          <cell r="E418" t="str">
            <v>SENIOR MANAGER BISNIS DAN SISTEM KEUANGAN</v>
          </cell>
          <cell r="F418" t="str">
            <v>adesta.latief@bki.co.id</v>
          </cell>
          <cell r="G418" t="str">
            <v>087885669200</v>
          </cell>
          <cell r="H418" t="str">
            <v>7A</v>
          </cell>
          <cell r="I418">
            <v>150000</v>
          </cell>
        </row>
        <row r="419">
          <cell r="B419" t="str">
            <v>RATIH TRI HARTANTI</v>
          </cell>
          <cell r="C419" t="str">
            <v>DIVISI AKUNTANSI KEUANGAN DAN PAJAK</v>
          </cell>
          <cell r="D419" t="str">
            <v>DIVISI AKUNTANSI KEUANGAN DAN PAJAK</v>
          </cell>
          <cell r="E419" t="str">
            <v>PJ. SENIOR MANAGER AKUNTANSI</v>
          </cell>
          <cell r="F419" t="str">
            <v>ratih.th@bki.co.id</v>
          </cell>
          <cell r="G419" t="str">
            <v>082119574024</v>
          </cell>
          <cell r="H419" t="str">
            <v>5B</v>
          </cell>
          <cell r="I419">
            <v>0</v>
          </cell>
        </row>
        <row r="420">
          <cell r="B420" t="str">
            <v>ANNISYAH FAZRIN</v>
          </cell>
          <cell r="C420" t="str">
            <v>DIVISI AKUNTANSI KEUANGAN DAN PAJAK</v>
          </cell>
          <cell r="D420" t="str">
            <v>DIVISI AKUNTANSI KEUANGAN DAN PAJAK</v>
          </cell>
          <cell r="E420" t="str">
            <v>ANALIS QA &amp; KEBIJAKAN AKUNTANSI KEUANGAN &amp; PAJAK</v>
          </cell>
          <cell r="F420" t="str">
            <v>annisyah.fazrin@bki.co.id</v>
          </cell>
          <cell r="G420" t="str">
            <v>082232009945</v>
          </cell>
          <cell r="H420" t="str">
            <v>5A</v>
          </cell>
          <cell r="I420">
            <v>150000</v>
          </cell>
        </row>
        <row r="421">
          <cell r="B421" t="str">
            <v>AGIYANI PERMANA PUTRA</v>
          </cell>
          <cell r="C421" t="str">
            <v>DIVISI AKUNTANSI KEUANGAN DAN PAJAK</v>
          </cell>
          <cell r="D421" t="str">
            <v>DIVISI AKUNTANSI KEUANGAN DAN PAJAK</v>
          </cell>
          <cell r="E421" t="str">
            <v>ANALIS PAJAK</v>
          </cell>
          <cell r="F421" t="str">
            <v>agi@bki.co.id</v>
          </cell>
          <cell r="G421" t="str">
            <v>087881752499</v>
          </cell>
          <cell r="H421" t="str">
            <v>5A</v>
          </cell>
          <cell r="I421">
            <v>0</v>
          </cell>
        </row>
        <row r="422">
          <cell r="B422" t="str">
            <v>MOHAMMAD RIZKI SATRIO</v>
          </cell>
          <cell r="C422" t="str">
            <v>DIVISI HUMAN CAPITAL</v>
          </cell>
          <cell r="D422" t="str">
            <v>DIVISI HUMAN CAPITAL</v>
          </cell>
          <cell r="E422" t="str">
            <v>PJ. ANALIS PENGEMBANGAN BUDAYA</v>
          </cell>
          <cell r="F422" t="str">
            <v>rizki.satrio@bki.co.id</v>
          </cell>
          <cell r="G422" t="str">
            <v>081280309635</v>
          </cell>
          <cell r="H422" t="str">
            <v>4A</v>
          </cell>
          <cell r="I422">
            <v>150000</v>
          </cell>
        </row>
        <row r="423">
          <cell r="B423" t="str">
            <v>FIKRAH WATHANI</v>
          </cell>
          <cell r="C423" t="str">
            <v>DIVISI HUMAN CAPITAL</v>
          </cell>
          <cell r="D423" t="str">
            <v>DIVISI HUMAN CAPITAL</v>
          </cell>
          <cell r="E423" t="str">
            <v>PJ. ANALIS PENGEMBANGAN TALENTA</v>
          </cell>
          <cell r="F423" t="str">
            <v>fikrah.wathani@bki.co.id</v>
          </cell>
          <cell r="G423" t="str">
            <v>08119848444</v>
          </cell>
          <cell r="H423" t="str">
            <v>4B</v>
          </cell>
          <cell r="I423">
            <v>150000</v>
          </cell>
        </row>
        <row r="424">
          <cell r="B424" t="str">
            <v>IRMARINDA SHEYNA CHANDRASAFIRA</v>
          </cell>
          <cell r="C424" t="str">
            <v>DIVISI HUMAN CAPITAL</v>
          </cell>
          <cell r="D424" t="str">
            <v>DIVISI HUMAN CAPITAL</v>
          </cell>
          <cell r="E424" t="str">
            <v>ANALIS MANAJEMEN PEMBELAJARAN DAN PELATIHAN</v>
          </cell>
          <cell r="F424" t="str">
            <v>irmarinda.sheyna@bki.co.id</v>
          </cell>
          <cell r="G424" t="str">
            <v>083867027135</v>
          </cell>
          <cell r="H424" t="str">
            <v>5B</v>
          </cell>
          <cell r="I424">
            <v>0</v>
          </cell>
        </row>
        <row r="425">
          <cell r="B425" t="str">
            <v>DIANA PINASTHIKA</v>
          </cell>
          <cell r="C425" t="str">
            <v>DIVISI HUMAN CAPITAL</v>
          </cell>
          <cell r="D425" t="str">
            <v>DIVISI HUMAN CAPITAL</v>
          </cell>
          <cell r="E425" t="str">
            <v>OFFICER MANAJEMEN REWARD DAN REMUNERASI</v>
          </cell>
          <cell r="F425" t="str">
            <v>diana.p@bki.co.id</v>
          </cell>
          <cell r="G425" t="str">
            <v>08567031085</v>
          </cell>
          <cell r="H425" t="str">
            <v>4B</v>
          </cell>
          <cell r="I425">
            <v>0</v>
          </cell>
        </row>
        <row r="426">
          <cell r="B426" t="str">
            <v>AJI ABDUL AZIZ</v>
          </cell>
          <cell r="C426" t="str">
            <v>DIVISI HUMAN CAPITAL DAN TEKNOLOGI INFORMASI</v>
          </cell>
          <cell r="D426" t="str">
            <v>DIVISI HUMAN CAPITAL DAN TEKNOLOGI INFORMASI</v>
          </cell>
          <cell r="E426" t="str">
            <v>ADMINISTRATOR SENIOR</v>
          </cell>
          <cell r="F426" t="str">
            <v>aji.abdulaziz@bki.co.id</v>
          </cell>
          <cell r="G426" t="str">
            <v>081916071982</v>
          </cell>
          <cell r="H426" t="str">
            <v>3B</v>
          </cell>
          <cell r="I426">
            <v>0</v>
          </cell>
        </row>
        <row r="427">
          <cell r="B427" t="str">
            <v>PANDU WIJANARKO</v>
          </cell>
          <cell r="C427" t="str">
            <v>DIVISI HUMAN CAPITAL DAN TEKNOLOGI INFORMASI</v>
          </cell>
          <cell r="D427" t="str">
            <v>DIVISI HUMAN CAPITAL DAN TEKNOLOGI INFORMASI</v>
          </cell>
          <cell r="E427" t="str">
            <v>ADMINISTRATOR SENIOR</v>
          </cell>
          <cell r="F427" t="str">
            <v>pandu@bki.co.id</v>
          </cell>
          <cell r="G427" t="str">
            <v>08122801412</v>
          </cell>
          <cell r="H427" t="str">
            <v>3B</v>
          </cell>
          <cell r="I427">
            <v>0</v>
          </cell>
        </row>
        <row r="428">
          <cell r="B428" t="str">
            <v>SAMSUL MUSLIM</v>
          </cell>
          <cell r="C428" t="str">
            <v>DIVISI HUMAN CAPITAL DAN TEKNOLOGI INFORMASI</v>
          </cell>
          <cell r="D428" t="str">
            <v>DIVISI HUMAN CAPITAL DAN TEKNOLOGI INFORMASI</v>
          </cell>
          <cell r="E428" t="str">
            <v>ANALIS INFRASTRUKTUR TI</v>
          </cell>
          <cell r="F428" t="str">
            <v>samsul.muslim@bki.co.id</v>
          </cell>
          <cell r="G428" t="str">
            <v>08561806366</v>
          </cell>
          <cell r="H428" t="str">
            <v>5B</v>
          </cell>
          <cell r="I428">
            <v>150000</v>
          </cell>
        </row>
        <row r="429">
          <cell r="B429" t="str">
            <v>ROMILLO LIBRA SETIADI</v>
          </cell>
          <cell r="C429" t="str">
            <v>DIVISI HUMAN CAPITAL DAN TEKNOLOGI INFORMASI</v>
          </cell>
          <cell r="D429" t="str">
            <v>DIVISI HUMAN CAPITAL DAN TEKNOLOGI INFORMASI</v>
          </cell>
          <cell r="E429" t="str">
            <v>MANAGER INFRASTRUKTUR TI</v>
          </cell>
          <cell r="F429" t="str">
            <v>romillo@bki.co.id</v>
          </cell>
          <cell r="G429" t="str">
            <v>081310991059</v>
          </cell>
          <cell r="H429" t="str">
            <v>5B</v>
          </cell>
          <cell r="I429">
            <v>250000</v>
          </cell>
        </row>
        <row r="430">
          <cell r="B430" t="str">
            <v>BAYU MAHARDIKA WICAKSONO</v>
          </cell>
          <cell r="C430" t="str">
            <v>DIVISI HUMAN CAPITAL DAN TEKNOLOGI INFORMASI</v>
          </cell>
          <cell r="D430" t="str">
            <v>DIVISI HUMAN CAPITAL DAN TEKNOLOGI INFORMASI</v>
          </cell>
          <cell r="E430" t="str">
            <v>PJ. SENIOR MANAGER TEKNOLOGI INFORMASI</v>
          </cell>
          <cell r="F430" t="str">
            <v>bayu.mahardika@bki.co.id</v>
          </cell>
          <cell r="G430" t="str">
            <v>0812 8988 8084</v>
          </cell>
          <cell r="H430" t="str">
            <v>6A</v>
          </cell>
          <cell r="I430">
            <v>250000</v>
          </cell>
        </row>
        <row r="431">
          <cell r="B431" t="str">
            <v>MUCHLIS RACHMAN</v>
          </cell>
          <cell r="C431" t="str">
            <v>DIVISI HUMAN CAPITAL DAN TEKNOLOGI INFORMASI</v>
          </cell>
          <cell r="D431" t="str">
            <v>DIVISI HUMAN CAPITAL DAN TEKNOLOGI INFORMASI</v>
          </cell>
          <cell r="E431" t="str">
            <v>ANALIS INFRASTRUKTUR TI</v>
          </cell>
          <cell r="F431" t="str">
            <v>muchlis.rachman@bki.co.id</v>
          </cell>
          <cell r="G431" t="str">
            <v>081288304345</v>
          </cell>
          <cell r="H431" t="str">
            <v>5B</v>
          </cell>
          <cell r="I431">
            <v>150000</v>
          </cell>
        </row>
        <row r="432">
          <cell r="B432" t="str">
            <v>DIDING SUWANDI</v>
          </cell>
          <cell r="C432" t="str">
            <v>DIVISI HUMAN CAPITAL DAN TEKNOLOGI INFORMASI</v>
          </cell>
          <cell r="D432" t="str">
            <v>DIVISI HUMAN CAPITAL DAN TEKNOLOGI INFORMASI</v>
          </cell>
          <cell r="E432" t="str">
            <v>SPESIALIS SENIOR TEKNOLOGI INFORMASI</v>
          </cell>
          <cell r="F432" t="str">
            <v>diding@bki.co.id</v>
          </cell>
          <cell r="G432" t="str">
            <v>08129127646</v>
          </cell>
          <cell r="H432" t="str">
            <v>7B</v>
          </cell>
          <cell r="I432">
            <v>0</v>
          </cell>
        </row>
        <row r="433">
          <cell r="B433" t="str">
            <v>MARINA ARIFIANTI</v>
          </cell>
          <cell r="C433" t="str">
            <v>DIVISI HUMAN CAPITAL DAN TEKNOLOGI INFORMASI</v>
          </cell>
          <cell r="D433" t="str">
            <v>DIVISI HUMAN CAPITAL DAN TEKNOLOGI INFORMASI</v>
          </cell>
          <cell r="E433" t="str">
            <v>ANALIS REKRUTMEN &amp; HUBUNGAN INDUSTRIAL</v>
          </cell>
          <cell r="F433" t="str">
            <v>marina@bki.co.id</v>
          </cell>
          <cell r="G433" t="str">
            <v>08129976023</v>
          </cell>
          <cell r="H433" t="str">
            <v>5B</v>
          </cell>
          <cell r="I433">
            <v>250000</v>
          </cell>
        </row>
        <row r="434">
          <cell r="B434" t="str">
            <v>NURKUMALA SAKTI</v>
          </cell>
          <cell r="C434" t="str">
            <v>DIVISI HUMAN CAPITAL DAN TEKNOLOGI INFORMASI</v>
          </cell>
          <cell r="D434" t="str">
            <v>DIVISI HUMAN CAPITAL DAN TEKNOLOGI INFORMASI</v>
          </cell>
          <cell r="E434" t="str">
            <v>MANAGER PENGEMBANGAN SDM</v>
          </cell>
          <cell r="F434" t="str">
            <v>nurkumala.sakti@bki.co.id</v>
          </cell>
          <cell r="G434" t="str">
            <v>085640040762</v>
          </cell>
          <cell r="H434" t="str">
            <v>5C</v>
          </cell>
          <cell r="I434">
            <v>100000</v>
          </cell>
        </row>
        <row r="435">
          <cell r="B435" t="str">
            <v>KOMARIAH</v>
          </cell>
          <cell r="C435" t="str">
            <v>DIVISI HUMAN CAPITAL DAN TEKNOLOGI INFORMASI</v>
          </cell>
          <cell r="D435" t="str">
            <v>DIVISI HUMAN CAPITAL DAN TEKNOLOGI INFORMASI</v>
          </cell>
          <cell r="E435" t="str">
            <v>ANALIS PENGEMBANGAN ORGANISASI</v>
          </cell>
          <cell r="F435" t="str">
            <v>komariah@bki.co.id</v>
          </cell>
          <cell r="G435" t="str">
            <v>0811814859</v>
          </cell>
          <cell r="H435" t="str">
            <v>5B</v>
          </cell>
          <cell r="I435">
            <v>0</v>
          </cell>
        </row>
        <row r="436">
          <cell r="B436" t="str">
            <v>YULIA DIAN ANGGRAINI</v>
          </cell>
          <cell r="C436" t="str">
            <v>DIVISI HUMAN CAPITAL DAN TEKNOLOGI INFORMASI</v>
          </cell>
          <cell r="D436" t="str">
            <v>DIVISI HUMAN CAPITAL DAN TEKNOLOGI INFORMASI</v>
          </cell>
          <cell r="E436" t="str">
            <v>PJ. SENIOR MANAGER LAYANAN HC &amp; HUBUNGAN INDUSTRIAL</v>
          </cell>
          <cell r="F436" t="str">
            <v>yulia.da@bki.co.id</v>
          </cell>
          <cell r="G436" t="str">
            <v>087873064016</v>
          </cell>
          <cell r="H436" t="str">
            <v>5C</v>
          </cell>
          <cell r="I436">
            <v>250000</v>
          </cell>
        </row>
        <row r="437">
          <cell r="B437" t="str">
            <v>MIA MARTINA INDAH</v>
          </cell>
          <cell r="C437" t="str">
            <v>DIVISI HUMAN CAPITAL DAN TEKNOLOGI INFORMASI</v>
          </cell>
          <cell r="D437" t="str">
            <v>DIVISI HUMAN CAPITAL DAN TEKNOLOGI INFORMASI</v>
          </cell>
          <cell r="E437" t="str">
            <v>OFFICER REMUNERASI &amp; HCIS</v>
          </cell>
          <cell r="F437" t="str">
            <v>mia.mi@bki.co.id</v>
          </cell>
          <cell r="G437" t="str">
            <v>087781550626</v>
          </cell>
          <cell r="H437" t="str">
            <v>4B</v>
          </cell>
          <cell r="I437">
            <v>150000</v>
          </cell>
        </row>
        <row r="438">
          <cell r="B438" t="str">
            <v>SALVINUS PATANGKE</v>
          </cell>
          <cell r="C438" t="str">
            <v>DIVISI HUMAN CAPITAL DAN TEKNOLOGI INFORMASI</v>
          </cell>
          <cell r="D438" t="str">
            <v>DIVISI HUMAN CAPITAL DAN TEKNOLOGI INFORMASI</v>
          </cell>
          <cell r="E438" t="str">
            <v>STAF UTAMA II</v>
          </cell>
          <cell r="F438" t="str">
            <v>salvinus@bki.co.id</v>
          </cell>
          <cell r="G438" t="str">
            <v>081232588321</v>
          </cell>
          <cell r="H438" t="str">
            <v>8A</v>
          </cell>
          <cell r="I438">
            <v>0</v>
          </cell>
        </row>
        <row r="439">
          <cell r="B439" t="str">
            <v>MARDINI EMBUN SARI</v>
          </cell>
          <cell r="C439" t="str">
            <v>DIVISI HUMAN CAPITAL DAN TEKNOLOGI INFORMASI</v>
          </cell>
          <cell r="D439" t="str">
            <v>DIVISI HUMAN CAPITAL DAN TEKNOLOGI INFORMASI</v>
          </cell>
          <cell r="E439" t="str">
            <v>MANAGER REKRUTMEN DAN HUBUNGAN INDUSTRIAL</v>
          </cell>
          <cell r="F439" t="str">
            <v>sari@bki.co.id</v>
          </cell>
          <cell r="G439" t="str">
            <v>081286281505</v>
          </cell>
          <cell r="H439" t="str">
            <v>5C</v>
          </cell>
          <cell r="I439">
            <v>250000</v>
          </cell>
        </row>
        <row r="440">
          <cell r="B440" t="str">
            <v>DESI HARDIANAWATI</v>
          </cell>
          <cell r="C440" t="str">
            <v>DIVISI HUMAN CAPITAL DAN TEKNOLOGI INFORMASI</v>
          </cell>
          <cell r="D440" t="str">
            <v>DIVISI HUMAN CAPITAL DAN TEKNOLOGI INFORMASI</v>
          </cell>
          <cell r="E440" t="str">
            <v>OFFICER PENGEMBANGAN ORGANISASI</v>
          </cell>
          <cell r="F440" t="str">
            <v>desi.hardianawati@bki.co.id</v>
          </cell>
          <cell r="G440" t="str">
            <v>081398851781</v>
          </cell>
          <cell r="H440" t="str">
            <v>4B</v>
          </cell>
          <cell r="I440">
            <v>150000</v>
          </cell>
        </row>
        <row r="441">
          <cell r="B441" t="str">
            <v>RIDWAN ARIFIN</v>
          </cell>
          <cell r="C441" t="str">
            <v>DIVISI HUMAN CAPITAL DAN TEKNOLOGI INFORMASI</v>
          </cell>
          <cell r="D441" t="str">
            <v>DIVISI HUMAN CAPITAL DAN TEKNOLOGI INFORMASI</v>
          </cell>
          <cell r="E441" t="str">
            <v>SENIOR MANAGER PERENCANAAN DAN PENGEMBANGAN SDM</v>
          </cell>
          <cell r="F441" t="str">
            <v>ridwan.arifin@bki.co.id</v>
          </cell>
          <cell r="G441" t="str">
            <v>081332430406</v>
          </cell>
          <cell r="H441" t="str">
            <v>7B</v>
          </cell>
          <cell r="I441">
            <v>350000</v>
          </cell>
        </row>
        <row r="442">
          <cell r="B442" t="str">
            <v>EVA SINTAULI SARAGIH</v>
          </cell>
          <cell r="C442" t="str">
            <v>DIVISI HUMAN CAPITAL DAN TEKNOLOGI INFORMASI</v>
          </cell>
          <cell r="D442" t="str">
            <v>DIVISI HUMAN CAPITAL DAN TEKNOLOGI INFORMASI</v>
          </cell>
          <cell r="E442" t="str">
            <v>STAF UTAMA I</v>
          </cell>
          <cell r="F442" t="str">
            <v>eva.ss@bki.co.id</v>
          </cell>
          <cell r="G442" t="str">
            <v>081312315861</v>
          </cell>
          <cell r="H442" t="str">
            <v>7A</v>
          </cell>
          <cell r="I442">
            <v>350000</v>
          </cell>
        </row>
        <row r="443">
          <cell r="B443" t="str">
            <v>APRIANSYAH</v>
          </cell>
          <cell r="C443" t="str">
            <v>DIVISI HUMAN CAPITAL DAN TEKNOLOGI INFORMASI</v>
          </cell>
          <cell r="D443" t="str">
            <v>DIVISI HUMAN CAPITAL DAN TEKNOLOGI INFORMASI</v>
          </cell>
          <cell r="E443" t="str">
            <v>MANAGER REMUNERASI DAN HCIS</v>
          </cell>
          <cell r="F443" t="str">
            <v>apriansyah@bki.co.id</v>
          </cell>
          <cell r="G443" t="str">
            <v>085880894843</v>
          </cell>
          <cell r="H443" t="str">
            <v>5C</v>
          </cell>
          <cell r="I443">
            <v>100000</v>
          </cell>
        </row>
        <row r="444">
          <cell r="B444" t="str">
            <v>RATIH PUTRI ARIFIANTI</v>
          </cell>
          <cell r="C444" t="str">
            <v>DIVISI HUMAN CAPITAL DAN TEKNOLOGI INFORMASI</v>
          </cell>
          <cell r="D444" t="str">
            <v>DIVISI HUMAN CAPITAL DAN TEKNOLOGI INFORMASI</v>
          </cell>
          <cell r="E444" t="str">
            <v>ANALIS PENGEMBANGAN SDM</v>
          </cell>
          <cell r="F444" t="str">
            <v>ratih.pa@bki.co.id</v>
          </cell>
          <cell r="G444" t="str">
            <v>081297814276</v>
          </cell>
          <cell r="H444" t="str">
            <v>5A</v>
          </cell>
          <cell r="I444">
            <v>0</v>
          </cell>
        </row>
        <row r="445">
          <cell r="B445" t="str">
            <v>RACHMAD KURNIAWAN</v>
          </cell>
          <cell r="C445" t="str">
            <v>DIVISI HUMAN CAPITAL DAN TEKNOLOGI INFORMASI</v>
          </cell>
          <cell r="D445" t="str">
            <v>DIVISI HUMAN CAPITAL DAN TEKNOLOGI INFORMASI</v>
          </cell>
          <cell r="E445" t="str">
            <v>ADMINISTRATOR SENIOR</v>
          </cell>
          <cell r="F445" t="str">
            <v>rachmad.kurniawan@bki.co.id</v>
          </cell>
          <cell r="G445" t="str">
            <v>08119880074</v>
          </cell>
          <cell r="H445" t="str">
            <v>3B</v>
          </cell>
          <cell r="I445">
            <v>150000</v>
          </cell>
        </row>
        <row r="446">
          <cell r="B446" t="str">
            <v>MANIAH</v>
          </cell>
          <cell r="C446" t="str">
            <v>DIVISI HUMAN CAPITAL DAN TEKNOLOGI INFORMASI</v>
          </cell>
          <cell r="D446" t="str">
            <v>DIVISI HUMAN CAPITAL DAN TEKNOLOGI INFORMASI</v>
          </cell>
          <cell r="E446" t="str">
            <v>ANALIS REKRUTMEN &amp; HUBUNGAN INDUSTRIAL</v>
          </cell>
          <cell r="F446" t="str">
            <v>maniah@bki.co.id</v>
          </cell>
          <cell r="G446" t="str">
            <v>0811778004</v>
          </cell>
          <cell r="H446" t="str">
            <v>5A</v>
          </cell>
          <cell r="I446">
            <v>0</v>
          </cell>
        </row>
        <row r="447">
          <cell r="B447" t="str">
            <v>ROSALINA AMRAN</v>
          </cell>
          <cell r="C447" t="str">
            <v>DIVISI HUMAN CAPITAL DAN TEKNOLOGI INFORMASI</v>
          </cell>
          <cell r="D447" t="str">
            <v>DIVISI HUMAN CAPITAL DAN TEKNOLOGI INFORMASI</v>
          </cell>
          <cell r="E447" t="str">
            <v>STAF UTAMA I</v>
          </cell>
          <cell r="F447" t="str">
            <v>rosalina@bki.co.id</v>
          </cell>
          <cell r="G447" t="str">
            <v>081314950095</v>
          </cell>
          <cell r="H447" t="str">
            <v>7A</v>
          </cell>
          <cell r="I447">
            <v>350000</v>
          </cell>
        </row>
        <row r="448">
          <cell r="B448" t="str">
            <v>MUHAMAD SODIK</v>
          </cell>
          <cell r="C448" t="str">
            <v>DIVISI HUMAN CAPITAL DAN TEKNOLOGI INFORMASI</v>
          </cell>
          <cell r="D448" t="str">
            <v>DIVISI HUMAN CAPITAL DAN TEKNOLOGI INFORMASI</v>
          </cell>
          <cell r="E448" t="str">
            <v xml:space="preserve">VP HUMAN CAPITAL DAN TEKNOLOGI INFORMASI </v>
          </cell>
          <cell r="F448" t="str">
            <v>sodik@bki.co.id</v>
          </cell>
          <cell r="G448" t="str">
            <v>081380001771</v>
          </cell>
          <cell r="H448" t="str">
            <v>8A</v>
          </cell>
          <cell r="I448">
            <v>500000</v>
          </cell>
        </row>
        <row r="449">
          <cell r="B449" t="str">
            <v>YUSFI NOER ARYANI</v>
          </cell>
          <cell r="C449" t="str">
            <v>DIVISI HUMAN CAPITAL DAN TEKNOLOGI INFORMASI</v>
          </cell>
          <cell r="D449" t="str">
            <v>DIVISI HUMAN CAPITAL DAN TEKNOLOGI INFORMASI</v>
          </cell>
          <cell r="E449" t="str">
            <v>SPESIALIS REMUNERASI &amp; HCIS</v>
          </cell>
          <cell r="F449" t="str">
            <v>yusfi@bki.co.id</v>
          </cell>
          <cell r="G449" t="str">
            <v>081319773241</v>
          </cell>
          <cell r="H449" t="str">
            <v>6C</v>
          </cell>
          <cell r="I449">
            <v>250000</v>
          </cell>
        </row>
        <row r="450">
          <cell r="B450" t="str">
            <v>SAHDAT FAMA RIDHO</v>
          </cell>
          <cell r="C450" t="str">
            <v>DIVISI HUMAN CAPITAL DAN TEKNOLOGI INFORMASI</v>
          </cell>
          <cell r="D450" t="str">
            <v>DIVISI HUMAN CAPITAL DAN TEKNOLOGI INFORMASI</v>
          </cell>
          <cell r="E450" t="str">
            <v>ANALIS REMUNERASI &amp; HCIS</v>
          </cell>
          <cell r="F450" t="str">
            <v>sahdat@bki.co.id</v>
          </cell>
          <cell r="G450" t="str">
            <v>081915030396</v>
          </cell>
          <cell r="H450" t="str">
            <v>5B</v>
          </cell>
          <cell r="I450">
            <v>100000</v>
          </cell>
        </row>
        <row r="451">
          <cell r="B451" t="str">
            <v>FREDY NURMAN SALEH</v>
          </cell>
          <cell r="C451" t="str">
            <v>DIVISI HUMAN CAPITAL DAN TEKNOLOGI INFORMASI</v>
          </cell>
          <cell r="D451" t="str">
            <v>DIVISI HUMAN CAPITAL DAN TEKNOLOGI INFORMASI</v>
          </cell>
          <cell r="E451" t="str">
            <v>OFFICER PENGEMBANGAN PIRANTI LUNAK</v>
          </cell>
          <cell r="F451" t="str">
            <v>fredy.ns@bki.co.id</v>
          </cell>
          <cell r="G451" t="str">
            <v>08112644120</v>
          </cell>
          <cell r="H451" t="str">
            <v>4B</v>
          </cell>
          <cell r="I451">
            <v>0</v>
          </cell>
        </row>
        <row r="452">
          <cell r="B452" t="str">
            <v>ELMY MUFIDAH</v>
          </cell>
          <cell r="C452" t="str">
            <v>DIVISI HUMAN CAPITAL DAN TEKNOLOGI INFORMASI</v>
          </cell>
          <cell r="D452" t="str">
            <v>DIVISI HUMAN CAPITAL DAN TEKNOLOGI INFORMASI</v>
          </cell>
          <cell r="E452" t="str">
            <v>OFFICER PENGEMBANGAN SDM</v>
          </cell>
          <cell r="F452" t="str">
            <v>elmy.m@bki.co.id</v>
          </cell>
          <cell r="H452" t="str">
            <v>4B</v>
          </cell>
          <cell r="I452">
            <v>100000</v>
          </cell>
        </row>
        <row r="453">
          <cell r="B453" t="str">
            <v>RATNA TRI HARDINI</v>
          </cell>
          <cell r="C453" t="str">
            <v>DIVISI HUMAN CAPITAL DAN TEKNOLOGI INFORMASI</v>
          </cell>
          <cell r="D453" t="str">
            <v>DIVISI HUMAN CAPITAL DAN TEKNOLOGI INFORMASI</v>
          </cell>
          <cell r="E453" t="str">
            <v>STAF DUKUNGAN BISNIS</v>
          </cell>
          <cell r="F453" t="str">
            <v>ratna.th@bki.co.id</v>
          </cell>
          <cell r="G453" t="str">
            <v>087784047756</v>
          </cell>
          <cell r="H453" t="str">
            <v>-</v>
          </cell>
          <cell r="I453">
            <v>0</v>
          </cell>
        </row>
        <row r="454">
          <cell r="B454" t="str">
            <v>PERY RINANDAR</v>
          </cell>
          <cell r="C454" t="str">
            <v>DIVISI HUMAN CAPITAL DAN TEKNOLOGI INFORMASI</v>
          </cell>
          <cell r="D454" t="str">
            <v>DIVISI HUMAN CAPITAL DAN TEKNOLOGI INFORMASI</v>
          </cell>
          <cell r="E454" t="str">
            <v>STAF PMO PIUTANG KP</v>
          </cell>
          <cell r="F454" t="str">
            <v>pery.rinandar@bki.co.id</v>
          </cell>
          <cell r="G454" t="str">
            <v>08119933343</v>
          </cell>
          <cell r="H454" t="str">
            <v>-</v>
          </cell>
          <cell r="I454">
            <v>0</v>
          </cell>
        </row>
        <row r="455">
          <cell r="B455" t="str">
            <v>RIZKI DAMAR SATRIA</v>
          </cell>
          <cell r="C455" t="str">
            <v>DIVISI HUMAN CAPITAL DAN TEKNOLOGI INFORMASI</v>
          </cell>
          <cell r="D455" t="str">
            <v>DIVISI HUMAN CAPITAL DAN TEKNOLOGI INFORMASI</v>
          </cell>
          <cell r="E455" t="str">
            <v>STAF PMO PIUTANG KP</v>
          </cell>
          <cell r="F455" t="str">
            <v>rizki.damar@bki.co.id</v>
          </cell>
          <cell r="G455" t="str">
            <v>081314675825</v>
          </cell>
          <cell r="H455" t="str">
            <v>-</v>
          </cell>
          <cell r="I455">
            <v>0</v>
          </cell>
        </row>
        <row r="456">
          <cell r="B456" t="str">
            <v>MUHTAR</v>
          </cell>
          <cell r="C456" t="str">
            <v>DIVISI HUMAN CAPITAL DAN TEKNOLOGI INFORMASI</v>
          </cell>
          <cell r="D456" t="str">
            <v>DIVISI HUMAN CAPITAL DAN TEKNOLOGI INFORMASI</v>
          </cell>
          <cell r="E456" t="str">
            <v>STAF DUKUNGAN BISNIS</v>
          </cell>
          <cell r="F456" t="str">
            <v>muhtar@bki.co.id</v>
          </cell>
          <cell r="G456" t="str">
            <v>087723751723</v>
          </cell>
          <cell r="H456" t="str">
            <v>-</v>
          </cell>
          <cell r="I456">
            <v>100000</v>
          </cell>
        </row>
        <row r="457">
          <cell r="B457" t="str">
            <v>ELVINO ADI PUTRA</v>
          </cell>
          <cell r="C457" t="str">
            <v>DIVISI HUMAN CAPITAL DAN TEKNOLOGI INFORMASI</v>
          </cell>
          <cell r="D457" t="str">
            <v>DIVISI HUMAN CAPITAL DAN TEKNOLOGI INFORMASI</v>
          </cell>
          <cell r="E457" t="str">
            <v>PROJECT MANAGER PMO ERP</v>
          </cell>
          <cell r="F457" t="str">
            <v>elvino.putra@bki.co.id</v>
          </cell>
          <cell r="G457" t="str">
            <v>087780852555</v>
          </cell>
          <cell r="H457">
            <v>3</v>
          </cell>
          <cell r="I457">
            <v>0</v>
          </cell>
        </row>
        <row r="458">
          <cell r="B458" t="str">
            <v>ARIEF SYAFTRIAN</v>
          </cell>
          <cell r="C458" t="str">
            <v>DIVISI HUMAN CAPITAL DAN TEKNOLOGI INFORMASI</v>
          </cell>
          <cell r="D458" t="str">
            <v>DIVISI HUMAN CAPITAL DAN TEKNOLOGI INFORMASI</v>
          </cell>
          <cell r="E458" t="str">
            <v>STAF ABAP</v>
          </cell>
          <cell r="F458" t="str">
            <v>arief.syaftrian@bki.co.id</v>
          </cell>
          <cell r="G458" t="str">
            <v>085692360956</v>
          </cell>
          <cell r="H458" t="str">
            <v>-</v>
          </cell>
          <cell r="I458">
            <v>0</v>
          </cell>
        </row>
        <row r="459">
          <cell r="B459" t="str">
            <v>KHOLID ANAS AMRULLOH</v>
          </cell>
          <cell r="C459" t="str">
            <v>DIVISI HUMAN CAPITAL DAN TEKNOLOGI INFORMASI</v>
          </cell>
          <cell r="D459" t="str">
            <v>DIVISI HUMAN CAPITAL DAN TEKNOLOGI INFORMASI</v>
          </cell>
          <cell r="E459" t="str">
            <v>STAF DUKUNGAN BISNIS</v>
          </cell>
          <cell r="F459" t="str">
            <v>kholidanas@bki.co.id</v>
          </cell>
          <cell r="G459" t="str">
            <v>0895801003657</v>
          </cell>
          <cell r="H459" t="str">
            <v>-</v>
          </cell>
          <cell r="I459">
            <v>0</v>
          </cell>
        </row>
        <row r="460">
          <cell r="B460" t="str">
            <v>MUHAMMAD FACHRI RAMADHAN</v>
          </cell>
          <cell r="C460" t="str">
            <v>DIVISI HUMAN CAPITAL DAN TEKNOLOGI INFORMASI</v>
          </cell>
          <cell r="D460" t="str">
            <v>DIVISI HUMAN CAPITAL DAN TEKNOLOGI INFORMASI</v>
          </cell>
          <cell r="E460" t="str">
            <v xml:space="preserve">STAF PROGRAMMER IT </v>
          </cell>
          <cell r="F460" t="str">
            <v>mfachri.ramadhan@bki.co.id</v>
          </cell>
          <cell r="G460" t="str">
            <v>089629674351</v>
          </cell>
          <cell r="H460" t="str">
            <v>-</v>
          </cell>
          <cell r="I460">
            <v>0</v>
          </cell>
        </row>
        <row r="461">
          <cell r="B461" t="str">
            <v>ARIEF ADHITYA PERDANA</v>
          </cell>
          <cell r="C461" t="str">
            <v>DIVISI HUMAN CAPITAL DAN TEKNOLOGI INFORMASI</v>
          </cell>
          <cell r="D461" t="str">
            <v>DIVISI HUMAN CAPITAL DAN TEKNOLOGI INFORMASI</v>
          </cell>
          <cell r="E461" t="str">
            <v>STAF PERENCANAAN DAN PENGEMBANGAN SUMBER DAYA MANUSIA</v>
          </cell>
          <cell r="F461" t="str">
            <v>arief.adhitya@bki.co.id</v>
          </cell>
          <cell r="G461" t="str">
            <v>085892222273</v>
          </cell>
          <cell r="H461" t="str">
            <v>-</v>
          </cell>
          <cell r="I461">
            <v>0</v>
          </cell>
        </row>
        <row r="462">
          <cell r="B462" t="str">
            <v>KHANSA DAFFA ZUL HAZMI</v>
          </cell>
          <cell r="C462" t="str">
            <v>DIVISI HUMAN CAPITAL DAN TEKNOLOGI INFORMASI</v>
          </cell>
          <cell r="D462" t="str">
            <v>DIVISI HUMAN CAPITAL DAN TEKNOLOGI INFORMASI</v>
          </cell>
          <cell r="E462" t="str">
            <v xml:space="preserve">Staf Infrastruktur Teknologi Informasi </v>
          </cell>
          <cell r="F462" t="str">
            <v>daffa.zulhazmi@bki.co.id</v>
          </cell>
          <cell r="H462" t="str">
            <v>-</v>
          </cell>
          <cell r="I462">
            <v>0</v>
          </cell>
        </row>
        <row r="463">
          <cell r="B463" t="str">
            <v>CHELSYA MANIK</v>
          </cell>
          <cell r="C463" t="str">
            <v>DIVISI HUMAN CAPITAL DAN TEKNOLOGI INFORMASI</v>
          </cell>
          <cell r="D463" t="str">
            <v>DIVISI HUMAN CAPITAL DAN TEKNOLOGI INFORMASI</v>
          </cell>
          <cell r="E463" t="str">
            <v>STAF HUBUNGAN INDUSTRIAL</v>
          </cell>
          <cell r="F463" t="str">
            <v>chelsya.m@bki.co.id</v>
          </cell>
          <cell r="H463" t="str">
            <v>-</v>
          </cell>
          <cell r="I463">
            <v>0</v>
          </cell>
        </row>
        <row r="464">
          <cell r="B464" t="str">
            <v>IFAN SYAHPUTRA</v>
          </cell>
          <cell r="C464" t="str">
            <v>DIVISI HUMAN CAPITAL DAN TEKNOLOGI INFORMASI</v>
          </cell>
          <cell r="D464" t="str">
            <v>DIVISI HUMAN CAPITAL DAN TEKNOLOGI INFORMASI</v>
          </cell>
          <cell r="E464" t="str">
            <v>STAF ANALIS MANAJEMEN &amp; TATA KELOLA TI</v>
          </cell>
          <cell r="F464" t="str">
            <v>Ifan.syahputra@bki.co.id</v>
          </cell>
          <cell r="G464" t="str">
            <v>085691596627</v>
          </cell>
          <cell r="H464">
            <v>4</v>
          </cell>
          <cell r="I464">
            <v>0</v>
          </cell>
        </row>
        <row r="465">
          <cell r="B465" t="str">
            <v>AWANG SYUKRIANSAH DIRGANTORO</v>
          </cell>
          <cell r="C465" t="str">
            <v>DIVISI HUMAN CAPITAL DAN TEKNOLOGI INFORMASI</v>
          </cell>
          <cell r="D465" t="str">
            <v>DIVISI HUMAN CAPITAL DAN TEKNOLOGI INFORMASI</v>
          </cell>
          <cell r="E465" t="str">
            <v xml:space="preserve">STAF PROGRAMMER IT </v>
          </cell>
          <cell r="F465" t="str">
            <v>awang.sd@bki.co.id</v>
          </cell>
          <cell r="H465">
            <v>0</v>
          </cell>
          <cell r="I465">
            <v>0</v>
          </cell>
        </row>
        <row r="466">
          <cell r="B466" t="str">
            <v>FAJAR NUGRAHA</v>
          </cell>
          <cell r="C466" t="str">
            <v>DIVISI INTEGRASI SISTEM DAN PROSES BISNIS</v>
          </cell>
          <cell r="D466" t="str">
            <v>DIVISI INTEGRASI SISTEM DAN PROSES BISNIS</v>
          </cell>
          <cell r="E466" t="str">
            <v>VP INTEGRASI SISTEM DAN PROSES BISNIS</v>
          </cell>
          <cell r="F466" t="str">
            <v>fnugraha@bki.co.id</v>
          </cell>
          <cell r="G466" t="str">
            <v>0812 8849 8757</v>
          </cell>
          <cell r="H466" t="str">
            <v>8A</v>
          </cell>
          <cell r="I466">
            <v>500000</v>
          </cell>
        </row>
        <row r="467">
          <cell r="B467" t="str">
            <v>AGUS SYARIF MAOLANA</v>
          </cell>
          <cell r="C467" t="str">
            <v>DIVISI INTEGRASI SISTEM DAN PROSES BISNIS</v>
          </cell>
          <cell r="D467" t="str">
            <v>DIVISI INTEGRASI SISTEM DAN PROSES BISNIS</v>
          </cell>
          <cell r="E467" t="str">
            <v>SENIOR MANAGER PROSES BISNIS DAN MANAJEMEN SISTEM TERINTEGRASI</v>
          </cell>
          <cell r="F467" t="str">
            <v>agus.syarif@bki.co.id</v>
          </cell>
          <cell r="G467" t="str">
            <v>087874534352</v>
          </cell>
          <cell r="H467" t="str">
            <v>7B</v>
          </cell>
          <cell r="I467">
            <v>350000</v>
          </cell>
        </row>
        <row r="468">
          <cell r="B468" t="str">
            <v>IRMA YUNIATI</v>
          </cell>
          <cell r="C468" t="str">
            <v>DIVISI INTEGRASI SISTEM DAN PROSES BISNIS</v>
          </cell>
          <cell r="D468" t="str">
            <v>DIVISI INTEGRASI SISTEM DAN PROSES BISNIS</v>
          </cell>
          <cell r="E468" t="str">
            <v>JUNIOR OFFICER PENUGASKARYAAN</v>
          </cell>
          <cell r="F468" t="str">
            <v>irma.yuniati@bki.co.id</v>
          </cell>
          <cell r="G468" t="str">
            <v/>
          </cell>
          <cell r="H468" t="str">
            <v>3C</v>
          </cell>
          <cell r="I468">
            <v>100000</v>
          </cell>
        </row>
        <row r="469">
          <cell r="B469" t="str">
            <v>ICHSAN AHRIL AUZAN</v>
          </cell>
          <cell r="C469" t="str">
            <v>DIVISI INTEGRASI SISTEM DAN PROSES BISNIS</v>
          </cell>
          <cell r="D469" t="str">
            <v>DIVISI INTEGRASI SISTEM DAN PROSES BISNIS</v>
          </cell>
          <cell r="E469" t="str">
            <v>STAF DUKUNGAN BISNIS</v>
          </cell>
          <cell r="F469" t="str">
            <v>ichsan.ahril@bki.co.id</v>
          </cell>
          <cell r="G469" t="str">
            <v>081511388854</v>
          </cell>
          <cell r="H469" t="str">
            <v>-</v>
          </cell>
          <cell r="I469">
            <v>0</v>
          </cell>
        </row>
        <row r="470">
          <cell r="B470" t="str">
            <v>RIZKY GUSTI ANDIKA</v>
          </cell>
          <cell r="C470" t="str">
            <v>DIVISI INTEGRASI SISTEM DAN PROSES BISNIS</v>
          </cell>
          <cell r="D470" t="str">
            <v>DIVISI INTEGRASI SISTEM DAN PROSES BISNIS</v>
          </cell>
          <cell r="E470" t="str">
            <v>STAF DUKUNGAN BISNIS</v>
          </cell>
          <cell r="F470" t="str">
            <v>rizky.andika@bki.co.id</v>
          </cell>
          <cell r="G470" t="str">
            <v>082335567954</v>
          </cell>
          <cell r="H470" t="str">
            <v>-</v>
          </cell>
          <cell r="I470">
            <v>0</v>
          </cell>
        </row>
        <row r="471">
          <cell r="B471" t="str">
            <v>RIZA ZAKARIA HELMI</v>
          </cell>
          <cell r="C471" t="str">
            <v>DIVISI INTEGRASI SISTEM DAN PROSES BISNIS</v>
          </cell>
          <cell r="D471" t="str">
            <v>DIVISI INTEGRASI SISTEM DAN PROSES BISNIS</v>
          </cell>
          <cell r="E471" t="str">
            <v>ANALISA PROSES BISNIS TERINTEGRASI</v>
          </cell>
          <cell r="F471" t="str">
            <v>riza.zakaria@bki.co.id</v>
          </cell>
          <cell r="G471" t="str">
            <v>081804960551</v>
          </cell>
          <cell r="H471" t="str">
            <v>-</v>
          </cell>
          <cell r="I471">
            <v>0</v>
          </cell>
        </row>
        <row r="472">
          <cell r="B472" t="str">
            <v>RINO YAN CAHYONO</v>
          </cell>
          <cell r="C472" t="str">
            <v>DIVISI KEUANGAN DAN AKUNTANSI</v>
          </cell>
          <cell r="D472" t="str">
            <v>DIVISI KEUANGAN DAN AKUNTANSI</v>
          </cell>
          <cell r="E472" t="str">
            <v>VP KEUANGAN DAN AKUNTANSI</v>
          </cell>
          <cell r="F472" t="str">
            <v>rino@bki.co.id</v>
          </cell>
          <cell r="G472" t="str">
            <v>081286889062</v>
          </cell>
          <cell r="H472" t="str">
            <v>8A</v>
          </cell>
          <cell r="I472">
            <v>0</v>
          </cell>
        </row>
        <row r="473">
          <cell r="B473" t="str">
            <v>SUMARTINI</v>
          </cell>
          <cell r="C473" t="str">
            <v>DIVISI KEUANGAN DAN AKUNTANSI</v>
          </cell>
          <cell r="D473" t="str">
            <v>DIVISI KEUANGAN DAN AKUNTANSI</v>
          </cell>
          <cell r="E473" t="str">
            <v>ANALIS AKUNTANSI</v>
          </cell>
          <cell r="F473" t="str">
            <v>sumartini@bki.co.id</v>
          </cell>
          <cell r="G473" t="str">
            <v>08121002622</v>
          </cell>
          <cell r="H473" t="str">
            <v>5B</v>
          </cell>
          <cell r="I473">
            <v>250000</v>
          </cell>
        </row>
        <row r="474">
          <cell r="B474" t="str">
            <v>LILY PANDANSARI</v>
          </cell>
          <cell r="C474" t="str">
            <v>DIVISI KEUANGAN DAN AKUNTANSI</v>
          </cell>
          <cell r="D474" t="str">
            <v>DIVISI KEUANGAN DAN AKUNTANSI</v>
          </cell>
          <cell r="E474" t="str">
            <v>ANALIS VERIFIKASI KEUANGAN</v>
          </cell>
          <cell r="F474" t="str">
            <v>lily.pandansari@bki.co.id</v>
          </cell>
          <cell r="G474" t="str">
            <v>082310166000</v>
          </cell>
          <cell r="H474" t="str">
            <v>5B</v>
          </cell>
          <cell r="I474">
            <v>250000</v>
          </cell>
        </row>
        <row r="475">
          <cell r="B475" t="str">
            <v>RISKA TRI HANDINI</v>
          </cell>
          <cell r="C475" t="str">
            <v>DIVISI KEUANGAN DAN AKUNTANSI</v>
          </cell>
          <cell r="D475" t="str">
            <v>DIVISI KEUANGAN DAN AKUNTANSI</v>
          </cell>
          <cell r="E475" t="str">
            <v>OFFICER VERIFIKASI KEUANGAN</v>
          </cell>
          <cell r="F475" t="str">
            <v>riska.th@bki.co.id</v>
          </cell>
          <cell r="G475" t="str">
            <v>081310438068</v>
          </cell>
          <cell r="H475" t="str">
            <v>4A</v>
          </cell>
          <cell r="I475">
            <v>100000</v>
          </cell>
        </row>
        <row r="476">
          <cell r="B476" t="str">
            <v>RATNA DEWI</v>
          </cell>
          <cell r="C476" t="str">
            <v>DIVISI KEUANGAN DAN AKUNTANSI</v>
          </cell>
          <cell r="D476" t="str">
            <v>DIVISI KEUANGAN DAN AKUNTANSI</v>
          </cell>
          <cell r="E476" t="str">
            <v>OFFICER VERIFIKASI KEUANGAN</v>
          </cell>
          <cell r="F476" t="str">
            <v>ratna.dewi@bki.co.id</v>
          </cell>
          <cell r="G476" t="str">
            <v>081289286158</v>
          </cell>
          <cell r="H476" t="str">
            <v>4A</v>
          </cell>
          <cell r="I476">
            <v>150000</v>
          </cell>
        </row>
        <row r="477">
          <cell r="B477" t="str">
            <v>PUTRI NUR LAKSMI</v>
          </cell>
          <cell r="C477" t="str">
            <v>DIVISI KEUANGAN DAN AKUNTANSI</v>
          </cell>
          <cell r="D477" t="str">
            <v>DIVISI KEUANGAN DAN AKUNTANSI</v>
          </cell>
          <cell r="E477" t="str">
            <v>OFFICER VERIFIKASI KEUANGAN</v>
          </cell>
          <cell r="F477" t="str">
            <v>putri.nl@bki.co.id</v>
          </cell>
          <cell r="G477" t="str">
            <v>087782073747</v>
          </cell>
          <cell r="H477" t="str">
            <v>4A</v>
          </cell>
          <cell r="I477">
            <v>150000</v>
          </cell>
        </row>
        <row r="478">
          <cell r="B478" t="str">
            <v>NENNY YUNIARTI</v>
          </cell>
          <cell r="C478" t="str">
            <v>DIVISI KEUANGAN DAN AKUNTANSI</v>
          </cell>
          <cell r="D478" t="str">
            <v>DIVISI KEUANGAN DAN AKUNTANSI</v>
          </cell>
          <cell r="E478" t="str">
            <v>OFFICER VERIFIKASI KEUANGAN</v>
          </cell>
          <cell r="F478" t="str">
            <v>nenny@bki.co.id</v>
          </cell>
          <cell r="G478" t="str">
            <v>087888812809</v>
          </cell>
          <cell r="H478" t="str">
            <v>4A</v>
          </cell>
          <cell r="I478">
            <v>150000</v>
          </cell>
        </row>
        <row r="479">
          <cell r="B479" t="str">
            <v>TRI JANUAR PRATAMA</v>
          </cell>
          <cell r="C479" t="str">
            <v>DIVISI KEUANGAN DAN AKUNTANSI</v>
          </cell>
          <cell r="D479" t="str">
            <v>DIVISI KEUANGAN DAN AKUNTANSI</v>
          </cell>
          <cell r="E479" t="str">
            <v>OFFICER VERIFIKASI KEUANGAN</v>
          </cell>
          <cell r="F479" t="str">
            <v>januar@bki.co.id</v>
          </cell>
          <cell r="G479" t="str">
            <v>085810026013</v>
          </cell>
          <cell r="H479" t="str">
            <v>4A</v>
          </cell>
          <cell r="I479">
            <v>150000</v>
          </cell>
        </row>
        <row r="480">
          <cell r="B480" t="str">
            <v>AZIZA</v>
          </cell>
          <cell r="C480" t="str">
            <v>DIVISI KEUANGAN DAN AKUNTANSI</v>
          </cell>
          <cell r="D480" t="str">
            <v>DIVISI KEUANGAN DAN AKUNTANSI</v>
          </cell>
          <cell r="E480" t="str">
            <v>ANALIS VERIFIKASI KEUANGAN</v>
          </cell>
          <cell r="F480" t="str">
            <v>aziza@bki.co.id</v>
          </cell>
          <cell r="G480" t="str">
            <v>081318014533</v>
          </cell>
          <cell r="H480" t="str">
            <v>5B</v>
          </cell>
          <cell r="I480">
            <v>250000</v>
          </cell>
        </row>
        <row r="481">
          <cell r="B481" t="str">
            <v>ELISHA MUTHIA</v>
          </cell>
          <cell r="C481" t="str">
            <v>DIVISI KEUANGAN DAN AKUNTANSI</v>
          </cell>
          <cell r="D481" t="str">
            <v>DIVISI KEUANGAN DAN AKUNTANSI</v>
          </cell>
          <cell r="E481" t="str">
            <v>PJ. SENIOR MANAGER AKUNTANSI DAN SISTEM KEUANGAN</v>
          </cell>
          <cell r="F481" t="str">
            <v>Elisha.Muthia@bki.co.id</v>
          </cell>
          <cell r="G481" t="str">
            <v>085363271815</v>
          </cell>
          <cell r="H481" t="str">
            <v>5B</v>
          </cell>
          <cell r="I481">
            <v>0</v>
          </cell>
        </row>
        <row r="482">
          <cell r="B482" t="str">
            <v>KURNIA FIRMANSYAH</v>
          </cell>
          <cell r="C482" t="str">
            <v>DIVISI KEUANGAN DAN AKUNTANSI</v>
          </cell>
          <cell r="D482" t="str">
            <v>DIVISI KEUANGAN DAN AKUNTANSI</v>
          </cell>
          <cell r="E482" t="str">
            <v>SENIOR MANAGER TREASURY</v>
          </cell>
          <cell r="F482" t="str">
            <v>kurnia.firmansyah@bki.co.id</v>
          </cell>
          <cell r="G482" t="str">
            <v>0813 1109 9952</v>
          </cell>
          <cell r="H482" t="str">
            <v>7A</v>
          </cell>
          <cell r="I482">
            <v>350000</v>
          </cell>
        </row>
        <row r="483">
          <cell r="B483" t="str">
            <v>YULIA FAJRI KINANTI</v>
          </cell>
          <cell r="C483" t="str">
            <v>DIVISI KEUANGAN DAN AKUNTANSI</v>
          </cell>
          <cell r="D483" t="str">
            <v>DIVISI KEUANGAN DAN AKUNTANSI</v>
          </cell>
          <cell r="E483" t="str">
            <v>OFFICER PEMBAYARAN</v>
          </cell>
          <cell r="F483" t="str">
            <v>yulia.fk@bki.co.id</v>
          </cell>
          <cell r="G483" t="str">
            <v>0896 5913 6249</v>
          </cell>
          <cell r="H483" t="str">
            <v>4A</v>
          </cell>
          <cell r="I483">
            <v>100000</v>
          </cell>
        </row>
        <row r="484">
          <cell r="B484" t="str">
            <v>MUHAMMAD ABDURRAHMAN ALI</v>
          </cell>
          <cell r="C484" t="str">
            <v>DIVISI KEUANGAN DAN AKUNTANSI</v>
          </cell>
          <cell r="D484" t="str">
            <v>DIVISI KEUANGAN DAN AKUNTANSI</v>
          </cell>
          <cell r="E484" t="str">
            <v>OFFICER AKUNTANSI</v>
          </cell>
          <cell r="F484" t="str">
            <v>m.ali@bki.co.id</v>
          </cell>
          <cell r="G484" t="str">
            <v>083892505039</v>
          </cell>
          <cell r="H484" t="str">
            <v>4B</v>
          </cell>
          <cell r="I484">
            <v>0</v>
          </cell>
        </row>
        <row r="485">
          <cell r="B485" t="str">
            <v>MARITSA HADANA</v>
          </cell>
          <cell r="C485" t="str">
            <v>DIVISI KEUANGAN DAN AKUNTANSI</v>
          </cell>
          <cell r="D485" t="str">
            <v>DIVISI KEUANGAN DAN AKUNTANSI</v>
          </cell>
          <cell r="E485" t="str">
            <v>OFFICER AKUNTANSI</v>
          </cell>
          <cell r="F485" t="str">
            <v>maritsa.ha@bki.co.id</v>
          </cell>
          <cell r="H485" t="str">
            <v>4B</v>
          </cell>
          <cell r="I485">
            <v>0</v>
          </cell>
        </row>
        <row r="486">
          <cell r="B486" t="str">
            <v xml:space="preserve">ANNISA FITRI AMALIA </v>
          </cell>
          <cell r="C486" t="str">
            <v>DIVISI KEUANGAN DAN AKUNTANSI</v>
          </cell>
          <cell r="D486" t="str">
            <v>DIVISI KEUANGAN DAN AKUNTANSI</v>
          </cell>
          <cell r="E486" t="str">
            <v>OFFICER PEMBAYARAN</v>
          </cell>
          <cell r="F486" t="str">
            <v>annisa.fa@bki.co.id</v>
          </cell>
          <cell r="H486" t="str">
            <v>4A</v>
          </cell>
          <cell r="I486">
            <v>0</v>
          </cell>
        </row>
        <row r="487">
          <cell r="B487" t="str">
            <v>IRWANTO</v>
          </cell>
          <cell r="C487" t="str">
            <v>DIVISI KEUANGAN DAN AKUNTANSI</v>
          </cell>
          <cell r="D487" t="str">
            <v>DIVISI KEUANGAN DAN AKUNTANSI</v>
          </cell>
          <cell r="E487" t="str">
            <v>SENIOR MANAGER PIUTANG</v>
          </cell>
          <cell r="F487" t="str">
            <v>irwanto@bki.co.id</v>
          </cell>
          <cell r="G487" t="str">
            <v>081388026275</v>
          </cell>
          <cell r="H487" t="str">
            <v>7A</v>
          </cell>
          <cell r="I487">
            <v>350000</v>
          </cell>
        </row>
        <row r="488">
          <cell r="B488" t="str">
            <v>IBRAHIM AD'HA</v>
          </cell>
          <cell r="C488" t="str">
            <v>DIVISI KEUANGAN DAN AKUNTANSI</v>
          </cell>
          <cell r="D488" t="str">
            <v>DIVISI KEUANGAN DAN AKUNTANSI</v>
          </cell>
          <cell r="E488" t="str">
            <v>TENAGA AHLI</v>
          </cell>
          <cell r="F488" t="str">
            <v>ibrahim.ad@bki.co.id</v>
          </cell>
          <cell r="G488" t="str">
            <v>081296690410</v>
          </cell>
          <cell r="H488" t="str">
            <v>-</v>
          </cell>
          <cell r="I488">
            <v>0</v>
          </cell>
        </row>
        <row r="489">
          <cell r="B489" t="str">
            <v>RAHMAT SIREGAR</v>
          </cell>
          <cell r="C489" t="str">
            <v>DIVISI KEUANGAN DAN AKUNTANSI</v>
          </cell>
          <cell r="D489" t="str">
            <v>DIVISI KEUANGAN DAN AKUNTANSI</v>
          </cell>
          <cell r="E489" t="str">
            <v>STAF DUKUNGAN BISNIS</v>
          </cell>
          <cell r="F489" t="str">
            <v>rahmat.sr@bki.co.id</v>
          </cell>
          <cell r="G489" t="str">
            <v>082275316919</v>
          </cell>
          <cell r="H489" t="str">
            <v>-</v>
          </cell>
          <cell r="I489">
            <v>0</v>
          </cell>
        </row>
        <row r="490">
          <cell r="B490" t="str">
            <v>RAMADHINA DEA ANANDA</v>
          </cell>
          <cell r="C490" t="str">
            <v>DIVISI KEUANGAN DAN AKUNTANSI</v>
          </cell>
          <cell r="D490" t="str">
            <v>DIVISI KEUANGAN DAN AKUNTANSI</v>
          </cell>
          <cell r="E490" t="str">
            <v>STAF SENTRALISASI KEUANGAN</v>
          </cell>
          <cell r="F490" t="str">
            <v>ramadhina.dea@bki.co.id</v>
          </cell>
          <cell r="G490" t="str">
            <v>081229386891</v>
          </cell>
          <cell r="H490" t="str">
            <v>-</v>
          </cell>
          <cell r="I490">
            <v>0</v>
          </cell>
        </row>
        <row r="491">
          <cell r="B491" t="str">
            <v>CHAIRANI MAULINA UTAMI</v>
          </cell>
          <cell r="C491" t="str">
            <v>DIVISI KEUANGAN DAN AKUNTANSI</v>
          </cell>
          <cell r="D491" t="str">
            <v>DIVISI KEUANGAN DAN AKUNTANSI</v>
          </cell>
          <cell r="E491" t="str">
            <v>STAF SENTRALISASI KEUANGAN</v>
          </cell>
          <cell r="F491" t="str">
            <v>chairani.maulina@bki.co.id</v>
          </cell>
          <cell r="G491" t="str">
            <v>081211156279</v>
          </cell>
          <cell r="H491" t="str">
            <v>-</v>
          </cell>
          <cell r="I491">
            <v>0</v>
          </cell>
        </row>
        <row r="492">
          <cell r="B492" t="str">
            <v>ARUM CAHAYA SARI</v>
          </cell>
          <cell r="C492" t="str">
            <v>DIVISI KEUANGAN DAN AKUNTANSI</v>
          </cell>
          <cell r="D492" t="str">
            <v>DIVISI KEUANGAN DAN AKUNTANSI</v>
          </cell>
          <cell r="E492" t="str">
            <v>STAF SENTRALISASI KEUANGAN</v>
          </cell>
          <cell r="F492" t="str">
            <v>arum.cs@bki.co.id</v>
          </cell>
          <cell r="G492" t="str">
            <v>087857100760</v>
          </cell>
          <cell r="H492" t="str">
            <v>-</v>
          </cell>
          <cell r="I492">
            <v>0</v>
          </cell>
        </row>
        <row r="493">
          <cell r="B493" t="str">
            <v>DINA NUR AULIANA</v>
          </cell>
          <cell r="C493" t="str">
            <v>DIVISI KEUANGAN DAN AKUNTANSI</v>
          </cell>
          <cell r="D493" t="str">
            <v>DIVISI KEUANGAN DAN AKUNTANSI</v>
          </cell>
          <cell r="E493" t="str">
            <v>STAF SISTEM SENTRALISASI KEUANGAN</v>
          </cell>
          <cell r="F493" t="str">
            <v>dina.na@bki.co.id</v>
          </cell>
          <cell r="H493" t="str">
            <v>-</v>
          </cell>
          <cell r="I493">
            <v>0</v>
          </cell>
        </row>
        <row r="494">
          <cell r="B494" t="str">
            <v>RUTH ALFONSINA WORABAY</v>
          </cell>
          <cell r="C494" t="str">
            <v>DIVISI KEUANGAN DAN AKUNTANSI</v>
          </cell>
          <cell r="D494" t="str">
            <v>DIVISI KEUANGAN DAN AKUNTANSI</v>
          </cell>
          <cell r="E494" t="str">
            <v>STAF TREASURY</v>
          </cell>
          <cell r="F494" t="str">
            <v>ruth.aw@bki.co.id</v>
          </cell>
          <cell r="H494" t="str">
            <v>-</v>
          </cell>
          <cell r="I494">
            <v>0</v>
          </cell>
        </row>
        <row r="495">
          <cell r="B495" t="str">
            <v>BRIAN FIRMANSYAH PUTRA SULMI</v>
          </cell>
          <cell r="C495" t="str">
            <v>DIVISI KEUANGAN DAN AKUNTANSI</v>
          </cell>
          <cell r="D495" t="str">
            <v>DIVISI KEUANGAN DAN AKUNTANSI</v>
          </cell>
          <cell r="E495" t="str">
            <v>STAF ADMINISTRASI KEUANGAN</v>
          </cell>
          <cell r="F495" t="str">
            <v>brian.firmansyah@bki.co.id</v>
          </cell>
          <cell r="G495" t="str">
            <v>082233306392</v>
          </cell>
          <cell r="H495" t="str">
            <v>-</v>
          </cell>
          <cell r="I495">
            <v>0</v>
          </cell>
        </row>
        <row r="496">
          <cell r="B496" t="str">
            <v>I MADE ANDHIKA DARMA PERKASA</v>
          </cell>
          <cell r="C496" t="str">
            <v>DIVISI LEGAL COUNSEL</v>
          </cell>
          <cell r="D496" t="str">
            <v>DIVISI LEGAL COUNSEL</v>
          </cell>
          <cell r="E496" t="str">
            <v>VP LEGAL COUNSEL</v>
          </cell>
          <cell r="F496" t="str">
            <v>made.andhika@bki.co.id</v>
          </cell>
          <cell r="G496" t="str">
            <v>085929991946</v>
          </cell>
          <cell r="H496" t="str">
            <v>8B</v>
          </cell>
          <cell r="I496">
            <v>0</v>
          </cell>
        </row>
        <row r="497">
          <cell r="B497" t="str">
            <v>RICARDO SANTOS</v>
          </cell>
          <cell r="C497" t="str">
            <v>DIVISI LEGAL COUNSEL</v>
          </cell>
          <cell r="D497" t="str">
            <v>DIVISI LEGAL COUNSEL</v>
          </cell>
          <cell r="E497" t="str">
            <v>STAF ANALISA KEPATUHAN ATAU LICENSE TO OPERATE</v>
          </cell>
          <cell r="F497" t="str">
            <v>ricardo.santos@bki.co.id</v>
          </cell>
          <cell r="G497" t="str">
            <v>08997514686</v>
          </cell>
          <cell r="H497" t="str">
            <v>-</v>
          </cell>
          <cell r="I497">
            <v>0</v>
          </cell>
        </row>
        <row r="498">
          <cell r="B498" t="str">
            <v>NURSYIFA RAMADHANI</v>
          </cell>
          <cell r="C498" t="str">
            <v>DIVISI LEGAL COUNSEL</v>
          </cell>
          <cell r="D498" t="str">
            <v>DIVISI LEGAL COUNSEL</v>
          </cell>
          <cell r="E498" t="str">
            <v>STAF LEGAL</v>
          </cell>
          <cell r="F498" t="str">
            <v>nursyifa@idsurvey.co.id</v>
          </cell>
          <cell r="G498" t="str">
            <v>085820072906</v>
          </cell>
          <cell r="H498" t="str">
            <v>-</v>
          </cell>
          <cell r="I498">
            <v>0</v>
          </cell>
        </row>
        <row r="499">
          <cell r="B499" t="str">
            <v>ROYNALD MATAHELUMUAL</v>
          </cell>
          <cell r="C499" t="str">
            <v>DIVISI MANAJEMEN CABANG KOMERSIAL</v>
          </cell>
          <cell r="D499" t="str">
            <v>DIVISI MANAJEMEN CABANG KOMERSIAL</v>
          </cell>
          <cell r="E499" t="str">
            <v>SENIOR MANAGER DUKUNGAN BISNIS KOMERSIL</v>
          </cell>
          <cell r="F499" t="str">
            <v>roynald@bki.co.id</v>
          </cell>
          <cell r="G499" t="str">
            <v>081314930100</v>
          </cell>
          <cell r="H499" t="str">
            <v>7B</v>
          </cell>
          <cell r="I499">
            <v>0</v>
          </cell>
        </row>
        <row r="500">
          <cell r="B500" t="str">
            <v>TOGAP HIDAYAT SIAGIAN</v>
          </cell>
          <cell r="C500" t="str">
            <v>DIVISI MANAJEMEN CABANG KOMERSIAL</v>
          </cell>
          <cell r="D500" t="str">
            <v>DIVISI MANAJEMEN CABANG KOMERSIAL</v>
          </cell>
          <cell r="E500" t="str">
            <v>ANALIS DUKUNGAN BISNIS</v>
          </cell>
          <cell r="F500" t="str">
            <v>togap@bki.co.id</v>
          </cell>
          <cell r="G500" t="str">
            <v>081296022052</v>
          </cell>
          <cell r="H500" t="str">
            <v>5A</v>
          </cell>
          <cell r="I500">
            <v>250000</v>
          </cell>
        </row>
        <row r="501">
          <cell r="B501" t="str">
            <v>ROCHMANSYAH</v>
          </cell>
          <cell r="C501" t="str">
            <v>DIVISI MANAJEMEN CABANG KOMERSIAL</v>
          </cell>
          <cell r="D501" t="str">
            <v>DIVISI MANAJEMEN CABANG KOMERSIAL</v>
          </cell>
          <cell r="E501" t="str">
            <v>ANALIS DUKUNGAN BISNIS</v>
          </cell>
          <cell r="F501" t="str">
            <v>rochmansyah@bki.co.id</v>
          </cell>
          <cell r="G501" t="str">
            <v>087888385192</v>
          </cell>
          <cell r="H501" t="str">
            <v>5A</v>
          </cell>
          <cell r="I501">
            <v>0</v>
          </cell>
        </row>
        <row r="502">
          <cell r="B502" t="str">
            <v>N. HERAWATI MELDA S</v>
          </cell>
          <cell r="C502" t="str">
            <v>DIVISI MANAJEMEN CABANG KOMERSIAL</v>
          </cell>
          <cell r="D502" t="str">
            <v>DIVISI MANAJEMEN CABANG KOMERSIAL</v>
          </cell>
          <cell r="E502" t="str">
            <v>ANALIS DUKUNGAN BISNIS</v>
          </cell>
          <cell r="F502" t="str">
            <v>verra@bki.co.id</v>
          </cell>
          <cell r="G502" t="str">
            <v>087878782105</v>
          </cell>
          <cell r="H502" t="str">
            <v>5A</v>
          </cell>
          <cell r="I502">
            <v>0</v>
          </cell>
        </row>
        <row r="503">
          <cell r="B503" t="str">
            <v>MAMIN RIFFIA KUSNANDAR</v>
          </cell>
          <cell r="C503" t="str">
            <v>DIVISI MANAJEMEN CABANG KOMERSIAL</v>
          </cell>
          <cell r="D503" t="str">
            <v>DIVISI MANAJEMEN CABANG KOMERSIAL</v>
          </cell>
          <cell r="E503" t="str">
            <v>SENIOR MANAGER DUKUNGAN OPERASI KOMERSIAL</v>
          </cell>
          <cell r="F503" t="str">
            <v>mamin@bki.co.id</v>
          </cell>
          <cell r="G503" t="str">
            <v>081326202624</v>
          </cell>
          <cell r="H503" t="str">
            <v>7B</v>
          </cell>
          <cell r="I503">
            <v>250000</v>
          </cell>
        </row>
        <row r="504">
          <cell r="B504" t="str">
            <v>ACHMAD TAWAKKAL RAMPA</v>
          </cell>
          <cell r="C504" t="str">
            <v>DIVISI MANAJEMEN CABANG KOMERSIAL</v>
          </cell>
          <cell r="D504" t="str">
            <v>DIVISI MANAJEMEN CABANG KOMERSIAL</v>
          </cell>
          <cell r="E504" t="str">
            <v>SPESIALIS SENIOR DUKUNGAN OPERASI</v>
          </cell>
          <cell r="F504" t="str">
            <v>tawakkal@bki.co.id</v>
          </cell>
          <cell r="G504" t="str">
            <v>081275385085</v>
          </cell>
          <cell r="H504" t="str">
            <v>7C</v>
          </cell>
          <cell r="I504">
            <v>250000</v>
          </cell>
        </row>
        <row r="505">
          <cell r="B505" t="str">
            <v>LILAH KURNIA SARI</v>
          </cell>
          <cell r="C505" t="str">
            <v>DIVISI MANAJEMEN CABANG KOMERSIAL</v>
          </cell>
          <cell r="D505" t="str">
            <v>DIVISI MANAJEMEN CABANG KOMERSIAL</v>
          </cell>
          <cell r="E505" t="str">
            <v>SPESIALIS DUKUNGAN OPERASI</v>
          </cell>
          <cell r="F505" t="str">
            <v>lilah@bki.co.id</v>
          </cell>
          <cell r="G505" t="str">
            <v>082112789403</v>
          </cell>
          <cell r="H505" t="str">
            <v>6C</v>
          </cell>
          <cell r="I505">
            <v>0</v>
          </cell>
        </row>
        <row r="506">
          <cell r="B506" t="str">
            <v>MUHAMMAD DAFA'ANH MURYA TSANI</v>
          </cell>
          <cell r="C506" t="str">
            <v>DIVISI MANAJEMEN CABANG KOMERSIAL</v>
          </cell>
          <cell r="D506" t="str">
            <v>DIVISI MANAJEMEN CABANG KOMERSIAL</v>
          </cell>
          <cell r="E506" t="str">
            <v>OFFICER KENDALI OPERASI</v>
          </cell>
          <cell r="F506" t="str">
            <v>m.dafa@bki.co.id</v>
          </cell>
          <cell r="H506" t="str">
            <v>4B</v>
          </cell>
          <cell r="I506">
            <v>100000</v>
          </cell>
        </row>
        <row r="507">
          <cell r="B507" t="str">
            <v>CHRISANTYA DIAN EKA WIHARTI</v>
          </cell>
          <cell r="C507" t="str">
            <v>DIVISI MANAJEMEN RISIKO DAN KEBERLANJUTAN</v>
          </cell>
          <cell r="D507" t="str">
            <v>DIVISI MANAJEMEN RISIKO DAN KEBERLANJUTAN</v>
          </cell>
          <cell r="E507" t="str">
            <v>SPESIALIS MANAJEMEN RISIKO</v>
          </cell>
          <cell r="F507" t="str">
            <v>chrisantya.wiharti@bki.co.id</v>
          </cell>
          <cell r="G507" t="str">
            <v>08119844032</v>
          </cell>
          <cell r="H507" t="str">
            <v>6A</v>
          </cell>
          <cell r="I507">
            <v>150000</v>
          </cell>
        </row>
        <row r="508">
          <cell r="B508" t="str">
            <v>SURIATY PARAMINTA PUTRI</v>
          </cell>
          <cell r="C508" t="str">
            <v>DIVISI MANAJEMEN RISIKO DAN KEBERLANJUTAN</v>
          </cell>
          <cell r="D508" t="str">
            <v>DIVISI MANAJEMEN RISIKO DAN KEBERLANJUTAN</v>
          </cell>
          <cell r="E508" t="str">
            <v>SENIOR MANAGER MANAJEMEN RISIKO</v>
          </cell>
          <cell r="F508" t="str">
            <v>putri@bki.co.id</v>
          </cell>
          <cell r="G508" t="str">
            <v>081296098766</v>
          </cell>
          <cell r="H508" t="str">
            <v>7B</v>
          </cell>
          <cell r="I508">
            <v>350000</v>
          </cell>
        </row>
        <row r="509">
          <cell r="B509" t="str">
            <v>WAWAN WIDIATMOKO</v>
          </cell>
          <cell r="C509" t="str">
            <v>DIVISI MANAJEMEN RISIKO DAN KEBERLANJUTAN</v>
          </cell>
          <cell r="D509" t="str">
            <v>DIVISI MANAJEMEN RISIKO DAN KEBERLANJUTAN</v>
          </cell>
          <cell r="E509" t="str">
            <v>PJ. SENIOR MANAGER BERKELANJUTAN</v>
          </cell>
          <cell r="F509" t="str">
            <v>wawan.widiatmoko@bki.co.id</v>
          </cell>
          <cell r="G509" t="str">
            <v>081380532060</v>
          </cell>
          <cell r="H509" t="str">
            <v>5C</v>
          </cell>
          <cell r="I509">
            <v>0</v>
          </cell>
        </row>
        <row r="510">
          <cell r="B510" t="str">
            <v>ALWI</v>
          </cell>
          <cell r="C510" t="str">
            <v>DIVISI OPERASI BISNIS KLASIFIKASI</v>
          </cell>
          <cell r="D510" t="str">
            <v>DIVISI OPERASI BISNIS KLASIFIKASI</v>
          </cell>
          <cell r="E510" t="str">
            <v>MANAGER MONITORING KAPAL</v>
          </cell>
          <cell r="F510" t="str">
            <v>alwi@bki.co.id</v>
          </cell>
          <cell r="G510" t="str">
            <v>081297484019</v>
          </cell>
          <cell r="H510" t="str">
            <v>5C</v>
          </cell>
          <cell r="I510">
            <v>0</v>
          </cell>
        </row>
        <row r="511">
          <cell r="B511" t="str">
            <v>FAISHAL ABDURRAHMAN LABIB</v>
          </cell>
          <cell r="C511" t="str">
            <v>DIVISI OPERASI BISNIS KLASIFIKASI</v>
          </cell>
          <cell r="D511" t="str">
            <v>DIVISI OPERASI BISNIS KLASIFIKASI</v>
          </cell>
          <cell r="E511" t="str">
            <v>MANAGER DATA KLASIFIKASI</v>
          </cell>
          <cell r="F511" t="str">
            <v>faishal.labib@bki.co.id</v>
          </cell>
          <cell r="G511" t="str">
            <v>081283446262</v>
          </cell>
          <cell r="H511" t="str">
            <v>5B</v>
          </cell>
          <cell r="I511">
            <v>150000</v>
          </cell>
        </row>
        <row r="512">
          <cell r="B512" t="str">
            <v>HENRY KURNIAWAN</v>
          </cell>
          <cell r="C512" t="str">
            <v>DIVISI OPERASI BISNIS KLASIFIKASI</v>
          </cell>
          <cell r="D512" t="str">
            <v>DIVISI OPERASI BISNIS KLASIFIKASI</v>
          </cell>
          <cell r="E512" t="str">
            <v>SENIOR MANAGER PEMASARAN DAN PUSAT LAYANAN PELANGGAN</v>
          </cell>
          <cell r="F512" t="str">
            <v>henry.kurniawan@bki.co.id</v>
          </cell>
          <cell r="G512" t="str">
            <v>081358400126</v>
          </cell>
          <cell r="H512" t="str">
            <v>7B</v>
          </cell>
          <cell r="I512">
            <v>0</v>
          </cell>
        </row>
        <row r="513">
          <cell r="B513" t="str">
            <v>HARDIKA RATDITYA ARDYANTO</v>
          </cell>
          <cell r="C513" t="str">
            <v>DIVISI OPERASI BISNIS KLASIFIKASI</v>
          </cell>
          <cell r="D513" t="str">
            <v>DIVISI OPERASI BISNIS KLASIFIKASI</v>
          </cell>
          <cell r="E513" t="str">
            <v>SENIOR MANAGER MANAJEMEN PUSAT KENDALI OPERASI</v>
          </cell>
          <cell r="F513" t="str">
            <v>hardika.ra@bki.co.id</v>
          </cell>
          <cell r="G513" t="str">
            <v>081319869847</v>
          </cell>
          <cell r="H513" t="str">
            <v>7B</v>
          </cell>
          <cell r="I513">
            <v>450000</v>
          </cell>
        </row>
        <row r="514">
          <cell r="B514" t="str">
            <v>PUJATMANTO BASTRIADI</v>
          </cell>
          <cell r="C514" t="str">
            <v>DIVISI OPERASI BISNIS KLASIFIKASI</v>
          </cell>
          <cell r="D514" t="str">
            <v>DIVISI OPERASI BISNIS KLASIFIKASI</v>
          </cell>
          <cell r="E514" t="str">
            <v>ANALIS ADMINISTRASI UMUM &amp; KEUANGAN</v>
          </cell>
          <cell r="F514" t="str">
            <v>pujatmanto@bki.co.id</v>
          </cell>
          <cell r="G514" t="str">
            <v>08124126565</v>
          </cell>
          <cell r="H514" t="str">
            <v>5A</v>
          </cell>
          <cell r="I514">
            <v>250000</v>
          </cell>
        </row>
        <row r="515">
          <cell r="B515" t="str">
            <v>BAMBANG SUTOMO</v>
          </cell>
          <cell r="C515" t="str">
            <v>DIVISI OPERASI BISNIS KLASIFIKASI</v>
          </cell>
          <cell r="D515" t="str">
            <v>DIVISI OPERASI BISNIS KLASIFIKASI</v>
          </cell>
          <cell r="E515" t="str">
            <v>SPESIALIS SENIOR MANAJEMEN PUSAT KENDALI OPERASI</v>
          </cell>
          <cell r="F515" t="str">
            <v>bambangs@bki.co.id</v>
          </cell>
          <cell r="G515" t="str">
            <v>0811326740</v>
          </cell>
          <cell r="H515" t="str">
            <v>7B</v>
          </cell>
          <cell r="I515">
            <v>350000</v>
          </cell>
        </row>
        <row r="516">
          <cell r="B516" t="str">
            <v>HERDIMAN MUSTARI</v>
          </cell>
          <cell r="C516" t="str">
            <v>DIVISI OPERASI BISNIS KLASIFIKASI</v>
          </cell>
          <cell r="D516" t="str">
            <v>DIVISI OPERASI BISNIS KLASIFIKASI</v>
          </cell>
          <cell r="E516" t="str">
            <v>SPESIALIS MANAJEMEN PUSAT KENDALI OPERASI</v>
          </cell>
          <cell r="F516" t="str">
            <v>herdiman@bki.co.id</v>
          </cell>
          <cell r="G516" t="str">
            <v>085242192447</v>
          </cell>
          <cell r="H516" t="str">
            <v>6A</v>
          </cell>
          <cell r="I516">
            <v>0</v>
          </cell>
        </row>
        <row r="517">
          <cell r="B517" t="str">
            <v>FAJAR LUTFIALAYUBI</v>
          </cell>
          <cell r="C517" t="str">
            <v>DIVISI OPERASI BISNIS KLASIFIKASI</v>
          </cell>
          <cell r="D517" t="str">
            <v>DIVISI OPERASI BISNIS KLASIFIKASI</v>
          </cell>
          <cell r="E517" t="str">
            <v>ENGINEER OPERASI MATERIAL &amp; KOMPONEN</v>
          </cell>
          <cell r="F517" t="str">
            <v>fajarluth@bki.co.id</v>
          </cell>
          <cell r="G517" t="str">
            <v>081290830052</v>
          </cell>
          <cell r="H517" t="str">
            <v>5C</v>
          </cell>
          <cell r="I517">
            <v>0</v>
          </cell>
        </row>
        <row r="518">
          <cell r="B518" t="str">
            <v>HERBERT SIMON HUTAJULU</v>
          </cell>
          <cell r="C518" t="str">
            <v>DIVISI OPERASI BISNIS KLASIFIKASI</v>
          </cell>
          <cell r="D518" t="str">
            <v>DIVISI OPERASI BISNIS KLASIFIKASI</v>
          </cell>
          <cell r="E518" t="str">
            <v>SENIOR MANAGER OPERASI MATERIAL DAN KOMPONEN</v>
          </cell>
          <cell r="F518" t="str">
            <v>herbert@bki.co.id</v>
          </cell>
          <cell r="G518">
            <v>0</v>
          </cell>
          <cell r="H518" t="str">
            <v>7B</v>
          </cell>
          <cell r="I518">
            <v>350000</v>
          </cell>
        </row>
        <row r="519">
          <cell r="B519" t="str">
            <v>HIMAWAN</v>
          </cell>
          <cell r="C519" t="str">
            <v>DIVISI OPERASI BISNIS KLASIFIKASI</v>
          </cell>
          <cell r="D519" t="str">
            <v>DIVISI OPERASI BISNIS KLASIFIKASI</v>
          </cell>
          <cell r="E519" t="str">
            <v>ADMINISTRATOR SENIOR</v>
          </cell>
          <cell r="F519" t="str">
            <v>himawan@bki.co.id</v>
          </cell>
          <cell r="G519" t="str">
            <v>0853 131 7079</v>
          </cell>
          <cell r="H519" t="str">
            <v>3B</v>
          </cell>
          <cell r="I519">
            <v>150000</v>
          </cell>
        </row>
        <row r="520">
          <cell r="B520" t="str">
            <v>MUNIR MURADI</v>
          </cell>
          <cell r="C520" t="str">
            <v>DIVISI OPERASI BISNIS KLASIFIKASI</v>
          </cell>
          <cell r="D520" t="str">
            <v>DIVISI OPERASI BISNIS KLASIFIKASI</v>
          </cell>
          <cell r="E520" t="str">
            <v>VP OPERASI BISNIS KLASIFIKASI</v>
          </cell>
          <cell r="F520" t="str">
            <v>munir.m@bki.co.id</v>
          </cell>
          <cell r="G520" t="str">
            <v>081319055319</v>
          </cell>
          <cell r="H520" t="str">
            <v>8B</v>
          </cell>
          <cell r="I520">
            <v>350000</v>
          </cell>
        </row>
        <row r="521">
          <cell r="B521" t="str">
            <v>EDO DODY HANDRADI</v>
          </cell>
          <cell r="C521" t="str">
            <v>DIVISI OPERASI BISNIS KLASIFIKASI</v>
          </cell>
          <cell r="D521" t="str">
            <v>DIVISI OPERASI BISNIS KLASIFIKASI</v>
          </cell>
          <cell r="E521" t="str">
            <v>ENGINEER OPERASI MATERIAL &amp; KOMPONEN</v>
          </cell>
          <cell r="F521" t="str">
            <v>edo.dh@bki.co.id</v>
          </cell>
          <cell r="G521" t="str">
            <v>082170433635</v>
          </cell>
          <cell r="H521" t="str">
            <v>5C</v>
          </cell>
          <cell r="I521">
            <v>0</v>
          </cell>
        </row>
        <row r="522">
          <cell r="B522" t="str">
            <v>NUR RAHMAD HIDAYAT</v>
          </cell>
          <cell r="C522" t="str">
            <v>DIVISI OPERASI BISNIS KLASIFIKASI</v>
          </cell>
          <cell r="D522" t="str">
            <v>DIVISI OPERASI BISNIS KLASIFIKASI</v>
          </cell>
          <cell r="E522" t="str">
            <v>SURVEYOR SENIOR I B OPERASI KLASIFIKASI</v>
          </cell>
          <cell r="F522" t="str">
            <v>nur.ra@bki.co.id</v>
          </cell>
          <cell r="G522" t="str">
            <v>085645364297</v>
          </cell>
          <cell r="H522" t="str">
            <v>6B</v>
          </cell>
          <cell r="I522">
            <v>250000</v>
          </cell>
        </row>
        <row r="523">
          <cell r="B523" t="str">
            <v>TANTYO PRAJOGO</v>
          </cell>
          <cell r="C523" t="str">
            <v>DIVISI OPERASI BISNIS KLASIFIKASI</v>
          </cell>
          <cell r="D523" t="str">
            <v>DIVISI OPERASI BISNIS KLASIFIKASI</v>
          </cell>
          <cell r="E523" t="str">
            <v>SURVEYOR UTAMA</v>
          </cell>
          <cell r="F523" t="str">
            <v>tantyo.prajogo@bki.co.id</v>
          </cell>
          <cell r="G523" t="str">
            <v>08111004390</v>
          </cell>
          <cell r="H523" t="str">
            <v>8A</v>
          </cell>
          <cell r="I523">
            <v>350000</v>
          </cell>
        </row>
        <row r="524">
          <cell r="B524" t="str">
            <v>APRIANTO HANI WIBOWO</v>
          </cell>
          <cell r="C524" t="str">
            <v>DIVISI OPERASI BISNIS KLASIFIKASI</v>
          </cell>
          <cell r="D524" t="str">
            <v>DIVISI OPERASI BISNIS KLASIFIKASI</v>
          </cell>
          <cell r="E524" t="str">
            <v>SENIOR MANAGER OPERASI KLASIFIKASI</v>
          </cell>
          <cell r="F524" t="str">
            <v>aprianto@bki.co.id</v>
          </cell>
          <cell r="G524" t="str">
            <v>08562657988</v>
          </cell>
          <cell r="H524" t="str">
            <v>7C</v>
          </cell>
          <cell r="I524">
            <v>0</v>
          </cell>
        </row>
        <row r="525">
          <cell r="B525" t="str">
            <v>SANG LANANG SADDAMULLAH</v>
          </cell>
          <cell r="C525" t="str">
            <v>DIVISI OPERASI BISNIS KLASIFIKASI</v>
          </cell>
          <cell r="D525" t="str">
            <v>DIVISI OPERASI BISNIS KLASIFIKASI</v>
          </cell>
          <cell r="E525" t="str">
            <v>SENIOR MANAGER MANAJEMEN KLASIFIKASI</v>
          </cell>
          <cell r="F525" t="str">
            <v>sang.saddam@bki.co.id</v>
          </cell>
          <cell r="G525" t="str">
            <v>085335095817</v>
          </cell>
          <cell r="H525" t="str">
            <v>7B</v>
          </cell>
          <cell r="I525">
            <v>250000</v>
          </cell>
        </row>
        <row r="526">
          <cell r="B526" t="str">
            <v>MUHAMMAD AULIA</v>
          </cell>
          <cell r="C526" t="str">
            <v>DIVISI OPERASI BISNIS KLASIFIKASI</v>
          </cell>
          <cell r="D526" t="str">
            <v>DIVISI OPERASI BISNIS KLASIFIKASI</v>
          </cell>
          <cell r="E526" t="str">
            <v>ENGINEER MANAJEMEN KLASIFIKASI</v>
          </cell>
          <cell r="F526" t="str">
            <v>m.aulia@bki.co.id</v>
          </cell>
          <cell r="G526" t="str">
            <v>0812 9874 4402</v>
          </cell>
          <cell r="H526" t="str">
            <v>5C</v>
          </cell>
          <cell r="I526">
            <v>0</v>
          </cell>
        </row>
        <row r="527">
          <cell r="B527" t="str">
            <v>MUHAMMAD ARIS SULTAN</v>
          </cell>
          <cell r="C527" t="str">
            <v>DIVISI OPERASI BISNIS KLASIFIKASI</v>
          </cell>
          <cell r="D527" t="str">
            <v>DIVISI OPERASI BISNIS KLASIFIKASI</v>
          </cell>
          <cell r="E527" t="str">
            <v>ENGINEER OPERASI MATERIAL &amp; KOMPONEN</v>
          </cell>
          <cell r="F527" t="str">
            <v>aris.sultan@bki.co.id</v>
          </cell>
          <cell r="G527" t="str">
            <v>085396012000</v>
          </cell>
          <cell r="H527" t="str">
            <v>5C</v>
          </cell>
          <cell r="I527">
            <v>0</v>
          </cell>
        </row>
        <row r="528">
          <cell r="B528" t="str">
            <v>RAKADITYA PANDU WASKITO</v>
          </cell>
          <cell r="C528" t="str">
            <v>DIVISI OPERASI BISNIS KLASIFIKASI</v>
          </cell>
          <cell r="D528" t="str">
            <v>DIVISI OPERASI BISNIS KLASIFIKASI</v>
          </cell>
          <cell r="E528" t="str">
            <v>OFFICER HUBUNGAN PELANGGAN</v>
          </cell>
          <cell r="F528" t="str">
            <v>rakaditya.pw@bki.co.id</v>
          </cell>
          <cell r="H528" t="str">
            <v>4A</v>
          </cell>
          <cell r="I528">
            <v>0</v>
          </cell>
        </row>
        <row r="529">
          <cell r="B529" t="str">
            <v>JASMINE PRATIWI</v>
          </cell>
          <cell r="C529" t="str">
            <v>DIVISI OPERASI BISNIS KLASIFIKASI</v>
          </cell>
          <cell r="D529" t="str">
            <v>DIVISI OPERASI BISNIS KLASIFIKASI</v>
          </cell>
          <cell r="E529" t="str">
            <v>OFFICER PEMASARAN DAN PENJUALAN</v>
          </cell>
          <cell r="F529" t="str">
            <v>jasmine.pr@bki.co.id</v>
          </cell>
          <cell r="H529" t="str">
            <v>4B</v>
          </cell>
          <cell r="I529">
            <v>100000</v>
          </cell>
        </row>
        <row r="530">
          <cell r="B530" t="str">
            <v>SEPTIANTI LAILI SOFIANA</v>
          </cell>
          <cell r="C530" t="str">
            <v>DIVISI OPERASI BISNIS KLASIFIKASI</v>
          </cell>
          <cell r="D530" t="str">
            <v>DIVISI OPERASI BISNIS KLASIFIKASI</v>
          </cell>
          <cell r="E530" t="str">
            <v>STAF DUKUNGAN BISNIS</v>
          </cell>
          <cell r="F530" t="str">
            <v>septianti.laili@bki.co.id</v>
          </cell>
          <cell r="G530" t="str">
            <v>085859550624</v>
          </cell>
          <cell r="H530" t="str">
            <v>-</v>
          </cell>
          <cell r="I530">
            <v>0</v>
          </cell>
        </row>
        <row r="531">
          <cell r="B531" t="str">
            <v>ILHAM HANAMI</v>
          </cell>
          <cell r="C531" t="str">
            <v>DIVISI OPERASI BISNIS KLASIFIKASI</v>
          </cell>
          <cell r="D531" t="str">
            <v>DIVISI OPERASI BISNIS KLASIFIKASI</v>
          </cell>
          <cell r="E531" t="str">
            <v>STAF DUKUNGAN BISNIS</v>
          </cell>
          <cell r="F531" t="str">
            <v>ilham.hanami@bki.co.id</v>
          </cell>
          <cell r="H531" t="str">
            <v>-</v>
          </cell>
          <cell r="I531">
            <v>0</v>
          </cell>
        </row>
        <row r="532">
          <cell r="B532" t="str">
            <v>VINCENTIUS ARDEN AVIANDA PRADITA</v>
          </cell>
          <cell r="C532" t="str">
            <v>DIVISI OPERASI BISNIS KLASIFIKASI</v>
          </cell>
          <cell r="D532" t="str">
            <v>DIVISI OPERASI BISNIS KLASIFIKASI</v>
          </cell>
          <cell r="E532" t="str">
            <v>STAF EXTERNAL RELATION</v>
          </cell>
          <cell r="F532" t="str">
            <v>vicentius.aap@idsurvey.co.id</v>
          </cell>
          <cell r="G532" t="str">
            <v>081297320366</v>
          </cell>
          <cell r="H532" t="str">
            <v>-</v>
          </cell>
          <cell r="I532">
            <v>0</v>
          </cell>
        </row>
        <row r="533">
          <cell r="B533" t="str">
            <v>BUDI PRAKOSO</v>
          </cell>
          <cell r="C533" t="str">
            <v>DIVISI OPERASI DIGITAL TIC</v>
          </cell>
          <cell r="D533" t="str">
            <v>DIVISI OPERASI DIGITAL TIC</v>
          </cell>
          <cell r="E533" t="str">
            <v>VP OPERASI DIGITAL TIC</v>
          </cell>
          <cell r="F533" t="str">
            <v>budi.prakoso@bki.co.id</v>
          </cell>
          <cell r="G533" t="str">
            <v>08127390156</v>
          </cell>
          <cell r="H533" t="str">
            <v>8B</v>
          </cell>
          <cell r="I533">
            <v>500000</v>
          </cell>
        </row>
        <row r="534">
          <cell r="B534" t="str">
            <v>TRIYAN INDRAWAN</v>
          </cell>
          <cell r="C534" t="str">
            <v>DIVISI OPERASI DIGITAL TIC</v>
          </cell>
          <cell r="D534" t="str">
            <v>DIVISI OPERASI DIGITAL TIC</v>
          </cell>
          <cell r="E534" t="str">
            <v>SENIOR MANAGER RISET DAN PENGEMBANGAN BISNIS</v>
          </cell>
          <cell r="F534" t="str">
            <v>triyan@bki.co.id</v>
          </cell>
          <cell r="G534" t="str">
            <v>081703520278</v>
          </cell>
          <cell r="H534" t="str">
            <v>7B</v>
          </cell>
          <cell r="I534">
            <v>0</v>
          </cell>
        </row>
        <row r="535">
          <cell r="B535" t="str">
            <v>MAT HASAN</v>
          </cell>
          <cell r="C535" t="str">
            <v>DIVISI OPERASI DIGITAL TIC</v>
          </cell>
          <cell r="D535" t="str">
            <v>DIVISI OPERASI DIGITAL TIC</v>
          </cell>
          <cell r="E535" t="str">
            <v>SPESIALIS PEMASARAN &amp; PENJUALAN</v>
          </cell>
          <cell r="F535" t="str">
            <v>mat.hasan@bki.co.id</v>
          </cell>
          <cell r="G535" t="str">
            <v>081294181127</v>
          </cell>
          <cell r="H535" t="str">
            <v>6A</v>
          </cell>
          <cell r="I535">
            <v>350000</v>
          </cell>
        </row>
        <row r="536">
          <cell r="B536" t="str">
            <v>M. FAUZAN FIKRI</v>
          </cell>
          <cell r="C536" t="str">
            <v>DIVISI OPERASI DIGITAL TIC</v>
          </cell>
          <cell r="D536" t="str">
            <v>DIVISI OPERASI DIGITAL TIC</v>
          </cell>
          <cell r="E536" t="str">
            <v>STAF OPERASI DIGITAL MARITIM</v>
          </cell>
          <cell r="F536" t="str">
            <v>m.fauzan@bki.co.id</v>
          </cell>
          <cell r="G536" t="str">
            <v/>
          </cell>
          <cell r="H536" t="str">
            <v>-</v>
          </cell>
          <cell r="I536">
            <v>0</v>
          </cell>
        </row>
        <row r="537">
          <cell r="B537" t="str">
            <v>RAGIL WICAKSONO PUTRA PAMUNGKAS</v>
          </cell>
          <cell r="C537" t="str">
            <v>DIVISI OPERASI DIGITAL TIC</v>
          </cell>
          <cell r="D537" t="str">
            <v>DIVISI OPERASI DIGITAL TIC</v>
          </cell>
          <cell r="E537" t="str">
            <v>STAF ADMINISTRASI</v>
          </cell>
          <cell r="F537" t="str">
            <v>ragil.pp@bki.co.id</v>
          </cell>
          <cell r="G537" t="str">
            <v>085859500048</v>
          </cell>
          <cell r="H537" t="str">
            <v>-</v>
          </cell>
          <cell r="I537">
            <v>0</v>
          </cell>
        </row>
        <row r="538">
          <cell r="B538" t="str">
            <v>NAZWA AHSYANI FAATIHA</v>
          </cell>
          <cell r="C538" t="str">
            <v>DIVISI OPERASI DIGITAL TIC</v>
          </cell>
          <cell r="D538" t="str">
            <v>DIVISI OPERASI DIGITAL TIC</v>
          </cell>
          <cell r="E538" t="str">
            <v>STAF PEMASARAN</v>
          </cell>
          <cell r="F538" t="str">
            <v>nazwa.af@bki.co.id</v>
          </cell>
          <cell r="H538" t="str">
            <v>-</v>
          </cell>
          <cell r="I538">
            <v>0</v>
          </cell>
        </row>
        <row r="539">
          <cell r="B539" t="str">
            <v>ABDIL HAFIIZH ZHAFRAN</v>
          </cell>
          <cell r="C539" t="str">
            <v>DIVISI PEMASARAN KORPORAT</v>
          </cell>
          <cell r="D539" t="str">
            <v>DIVISI PEMASARAN KORPORAT</v>
          </cell>
          <cell r="E539" t="str">
            <v>PJ. SENIOR MANAGER RISET DAN STRATEGI PASAR KORPORAT</v>
          </cell>
          <cell r="F539" t="str">
            <v>abdil.hz@bki.co.id</v>
          </cell>
          <cell r="G539" t="str">
            <v>081230239947</v>
          </cell>
          <cell r="H539" t="str">
            <v>6A</v>
          </cell>
          <cell r="I539">
            <v>150000</v>
          </cell>
        </row>
        <row r="540">
          <cell r="B540" t="str">
            <v>BUSROL KARIM</v>
          </cell>
          <cell r="C540" t="str">
            <v>DIVISI PENGADAAN, UMUM DAN MANAJEMEN ASET</v>
          </cell>
          <cell r="D540" t="str">
            <v>DIVISI PENGADAAN, UMUM DAN MANAJEMEN ASET</v>
          </cell>
          <cell r="E540" t="str">
            <v>SENIOR MANAGER PENGADAAN</v>
          </cell>
          <cell r="F540" t="str">
            <v>busrol.karim@bki.co.id</v>
          </cell>
          <cell r="G540" t="str">
            <v>085640139847</v>
          </cell>
          <cell r="H540" t="str">
            <v>7A</v>
          </cell>
          <cell r="I540">
            <v>250000</v>
          </cell>
        </row>
        <row r="541">
          <cell r="B541" t="str">
            <v>MARISA THERESIA SIHOMBING</v>
          </cell>
          <cell r="C541" t="str">
            <v>DIVISI PENGADAAN, UMUM DAN MANAJEMEN ASET</v>
          </cell>
          <cell r="D541" t="str">
            <v>DIVISI PENGADAAN, UMUM DAN MANAJEMEN ASET</v>
          </cell>
          <cell r="E541" t="str">
            <v>ANALIS MANAJEMEN ASET NON PROPERTI</v>
          </cell>
          <cell r="F541" t="str">
            <v>marisa.ts@bki.co.id</v>
          </cell>
          <cell r="G541" t="str">
            <v>0813 8849 7910</v>
          </cell>
          <cell r="H541" t="str">
            <v>5B</v>
          </cell>
          <cell r="I541">
            <v>250000</v>
          </cell>
        </row>
        <row r="542">
          <cell r="B542" t="str">
            <v>RATNA NURCAHYA</v>
          </cell>
          <cell r="C542" t="str">
            <v>DIVISI PENGADAAN, UMUM DAN MANAJEMEN ASET</v>
          </cell>
          <cell r="D542" t="str">
            <v>DIVISI PENGADAAN, UMUM DAN MANAJEMEN ASET</v>
          </cell>
          <cell r="E542" t="str">
            <v>ANALIS MANAJEMEN ASET PROPERTI DAN KOMERSIALISASI</v>
          </cell>
          <cell r="F542" t="str">
            <v>ratna.nurcahya@bki.co.id</v>
          </cell>
          <cell r="G542" t="str">
            <v>081513299259</v>
          </cell>
          <cell r="H542" t="str">
            <v>5B</v>
          </cell>
          <cell r="I542">
            <v>0</v>
          </cell>
        </row>
        <row r="543">
          <cell r="B543" t="str">
            <v>ILYAS</v>
          </cell>
          <cell r="C543" t="str">
            <v>DIVISI PENGADAAN, UMUM DAN MANAJEMEN ASET</v>
          </cell>
          <cell r="D543" t="str">
            <v>DIVISI PENGADAAN, UMUM DAN MANAJEMEN ASET</v>
          </cell>
          <cell r="E543" t="str">
            <v>SUPIR</v>
          </cell>
          <cell r="F543" t="str">
            <v>ilyas@bki.co.id</v>
          </cell>
          <cell r="G543" t="str">
            <v>0812 9828 839</v>
          </cell>
          <cell r="H543" t="str">
            <v>1A</v>
          </cell>
          <cell r="I543">
            <v>150000</v>
          </cell>
        </row>
        <row r="544">
          <cell r="B544" t="str">
            <v>BAMBANG IRWAN</v>
          </cell>
          <cell r="C544" t="str">
            <v>DIVISI PENGADAAN, UMUM DAN MANAJEMEN ASET</v>
          </cell>
          <cell r="D544" t="str">
            <v>DIVISI PENGADAAN, UMUM DAN MANAJEMEN ASET</v>
          </cell>
          <cell r="E544" t="str">
            <v>PJ. SENIOR MANAGER LAYANAN UMUM DAN MANAJEMEN ASET</v>
          </cell>
          <cell r="F544" t="str">
            <v>bambang.irwan@bki.co.id</v>
          </cell>
          <cell r="G544" t="str">
            <v>08118198123</v>
          </cell>
          <cell r="H544" t="str">
            <v>5C</v>
          </cell>
          <cell r="I544">
            <v>250000</v>
          </cell>
        </row>
        <row r="545">
          <cell r="B545" t="str">
            <v>SRI MULYANTI</v>
          </cell>
          <cell r="C545" t="str">
            <v>DIVISI PENGADAAN, UMUM DAN MANAJEMEN ASET</v>
          </cell>
          <cell r="D545" t="str">
            <v>DIVISI PENGADAAN, UMUM DAN MANAJEMEN ASET</v>
          </cell>
          <cell r="E545" t="str">
            <v>OFFICER LAYANAN UMUM</v>
          </cell>
          <cell r="F545" t="str">
            <v>sri.mulyanti@bki.co.id</v>
          </cell>
          <cell r="G545" t="str">
            <v>08129885312</v>
          </cell>
          <cell r="H545" t="str">
            <v>4A</v>
          </cell>
          <cell r="I545">
            <v>150000</v>
          </cell>
        </row>
        <row r="546">
          <cell r="B546" t="str">
            <v>KOSIM BIN MARI</v>
          </cell>
          <cell r="C546" t="str">
            <v>DIVISI PENGADAAN, UMUM DAN MANAJEMEN ASET</v>
          </cell>
          <cell r="D546" t="str">
            <v>DIVISI PENGADAAN, UMUM DAN MANAJEMEN ASET</v>
          </cell>
          <cell r="E546" t="str">
            <v>SUPIR</v>
          </cell>
          <cell r="F546" t="str">
            <v>Kosim.BinMari@bki.co.id</v>
          </cell>
          <cell r="G546" t="str">
            <v>0812 9920 7020</v>
          </cell>
          <cell r="H546" t="str">
            <v>1A</v>
          </cell>
          <cell r="I546">
            <v>150000</v>
          </cell>
        </row>
        <row r="547">
          <cell r="B547" t="str">
            <v>SARIDI</v>
          </cell>
          <cell r="C547" t="str">
            <v>DIVISI PENGADAAN, UMUM DAN MANAJEMEN ASET</v>
          </cell>
          <cell r="D547" t="str">
            <v>DIVISI PENGADAAN, UMUM DAN MANAJEMEN ASET</v>
          </cell>
          <cell r="E547" t="str">
            <v>SUPIR</v>
          </cell>
          <cell r="F547" t="str">
            <v>Saridi@bki.co.id</v>
          </cell>
          <cell r="G547" t="str">
            <v>081218782002</v>
          </cell>
          <cell r="H547" t="str">
            <v>1A</v>
          </cell>
          <cell r="I547">
            <v>150000</v>
          </cell>
        </row>
        <row r="548">
          <cell r="B548" t="str">
            <v>UNTUNG PRASETYO</v>
          </cell>
          <cell r="C548" t="str">
            <v>DIVISI PENGADAAN, UMUM DAN MANAJEMEN ASET</v>
          </cell>
          <cell r="D548" t="str">
            <v>DIVISI PENGADAAN, UMUM DAN MANAJEMEN ASET</v>
          </cell>
          <cell r="E548" t="str">
            <v>PJ. SENIOR SPESIALIS PERENCANAAN STRATEGI PENGADAAN &amp; PENGENDALIAN</v>
          </cell>
          <cell r="F548" t="str">
            <v>untung@bki.co.id</v>
          </cell>
          <cell r="G548" t="str">
            <v>085220016300</v>
          </cell>
          <cell r="H548" t="str">
            <v>6A</v>
          </cell>
          <cell r="I548">
            <v>250000</v>
          </cell>
        </row>
        <row r="549">
          <cell r="B549" t="str">
            <v>NASARUDDIN</v>
          </cell>
          <cell r="C549" t="str">
            <v>DIVISI PENGADAAN, UMUM DAN MANAJEMEN ASET</v>
          </cell>
          <cell r="D549" t="str">
            <v>DIVISI PENGADAAN, UMUM DAN MANAJEMEN ASET</v>
          </cell>
          <cell r="E549" t="str">
            <v>VP PENGADAAN UMUM DAN MANAJEMEN ASET</v>
          </cell>
          <cell r="F549" t="str">
            <v>nasaruddin@bki.co.id</v>
          </cell>
          <cell r="G549" t="str">
            <v>081317760669</v>
          </cell>
          <cell r="H549" t="str">
            <v>8A</v>
          </cell>
          <cell r="I549">
            <v>500000</v>
          </cell>
        </row>
        <row r="550">
          <cell r="B550" t="str">
            <v>MUSLIM DERMAWAN BARUS</v>
          </cell>
          <cell r="C550" t="str">
            <v>DIVISI PENGADAAN, UMUM DAN MANAJEMEN ASET</v>
          </cell>
          <cell r="D550" t="str">
            <v>DIVISI PENGADAAN, UMUM DAN MANAJEMEN ASET</v>
          </cell>
          <cell r="E550" t="str">
            <v>ADMINISTRATOR SENIOR</v>
          </cell>
          <cell r="F550" t="str">
            <v>muslim.dermawan@bki.co.id</v>
          </cell>
          <cell r="G550" t="str">
            <v>081289558316</v>
          </cell>
          <cell r="H550" t="str">
            <v>3B</v>
          </cell>
          <cell r="I550">
            <v>100000</v>
          </cell>
        </row>
        <row r="551">
          <cell r="B551" t="str">
            <v>RIAN EKA SAPUTRA</v>
          </cell>
          <cell r="C551" t="str">
            <v>DIVISI PENGADAAN, UMUM DAN MANAJEMEN ASET</v>
          </cell>
          <cell r="D551" t="str">
            <v>DIVISI PENGADAAN, UMUM DAN MANAJEMEN ASET</v>
          </cell>
          <cell r="E551" t="str">
            <v>OFFICER MANAJEMEN ASET PROPERTI DAN KOMERSIALISASI</v>
          </cell>
          <cell r="F551" t="str">
            <v>rian.es@bki.co.id</v>
          </cell>
          <cell r="G551" t="str">
            <v>085772551946</v>
          </cell>
          <cell r="H551" t="str">
            <v>4A</v>
          </cell>
          <cell r="I551">
            <v>100000</v>
          </cell>
        </row>
        <row r="552">
          <cell r="B552" t="str">
            <v>RAFIF BINTANG RAMADHAN</v>
          </cell>
          <cell r="C552" t="str">
            <v>DIVISI PENGADAAN, UMUM DAN MANAJEMEN ASET</v>
          </cell>
          <cell r="D552" t="str">
            <v>DIVISI PENGADAAN, UMUM DAN MANAJEMEN ASET</v>
          </cell>
          <cell r="E552" t="str">
            <v>OFFICER MANAJEMEN ASET PROPERTI DAN KOMERSIALISASI</v>
          </cell>
          <cell r="F552" t="str">
            <v>rafif.br@bki.co.id</v>
          </cell>
          <cell r="H552" t="str">
            <v>4A</v>
          </cell>
          <cell r="I552">
            <v>0</v>
          </cell>
        </row>
        <row r="553">
          <cell r="B553" t="str">
            <v>SUKADI REDJI</v>
          </cell>
          <cell r="C553" t="str">
            <v>DIVISI PENGADAAN, UMUM DAN MANAJEMEN ASET</v>
          </cell>
          <cell r="D553" t="str">
            <v>DIVISI PENGADAAN, UMUM DAN MANAJEMEN ASET</v>
          </cell>
          <cell r="E553" t="str">
            <v xml:space="preserve">ADMINISTRASI SENIOR </v>
          </cell>
          <cell r="F553" t="str">
            <v>sukadi.redji@bki.co.id</v>
          </cell>
          <cell r="G553" t="str">
            <v>0818701760</v>
          </cell>
          <cell r="H553" t="str">
            <v>3B</v>
          </cell>
          <cell r="I553">
            <v>150000</v>
          </cell>
        </row>
        <row r="554">
          <cell r="B554" t="str">
            <v>AHMAD YUNUS</v>
          </cell>
          <cell r="C554" t="str">
            <v>DIVISI PENGADAAN, UMUM DAN MANAJEMEN ASET</v>
          </cell>
          <cell r="D554" t="str">
            <v>DIVISI PENGADAAN, UMUM DAN MANAJEMEN ASET</v>
          </cell>
          <cell r="E554" t="str">
            <v>STAF DUKUNGAN BISNIS</v>
          </cell>
          <cell r="F554" t="str">
            <v>ahmad.yunus@bki.co.id</v>
          </cell>
          <cell r="G554" t="str">
            <v>081546035147</v>
          </cell>
          <cell r="H554" t="str">
            <v>-</v>
          </cell>
          <cell r="I554">
            <v>100000</v>
          </cell>
        </row>
        <row r="555">
          <cell r="B555" t="str">
            <v>NAILA IZNA DZAKIA</v>
          </cell>
          <cell r="C555" t="str">
            <v>DIVISI PENGADAAN, UMUM DAN MANAJEMEN ASET</v>
          </cell>
          <cell r="D555" t="str">
            <v>DIVISI PENGADAAN, UMUM DAN MANAJEMEN ASET</v>
          </cell>
          <cell r="E555" t="str">
            <v>STAF DUKUNGAN BISNIS</v>
          </cell>
          <cell r="F555" t="str">
            <v>naila.izna@bki.co.id</v>
          </cell>
          <cell r="G555" t="str">
            <v>081294482759</v>
          </cell>
          <cell r="H555" t="str">
            <v>-</v>
          </cell>
          <cell r="I555">
            <v>0</v>
          </cell>
        </row>
        <row r="556">
          <cell r="B556" t="str">
            <v>PUTRI KANA TAQIYYA</v>
          </cell>
          <cell r="C556" t="str">
            <v>DIVISI PENGADAAN, UMUM DAN MANAJEMEN ASET</v>
          </cell>
          <cell r="D556" t="str">
            <v>DIVISI PENGADAAN, UMUM DAN MANAJEMEN ASET</v>
          </cell>
          <cell r="E556" t="str">
            <v>STAF DUKUNGAN BISNIS</v>
          </cell>
          <cell r="F556" t="str">
            <v>putri.kana@bki.co.id</v>
          </cell>
          <cell r="G556" t="str">
            <v>087782205957</v>
          </cell>
          <cell r="H556" t="str">
            <v>-</v>
          </cell>
          <cell r="I556">
            <v>0</v>
          </cell>
        </row>
        <row r="557">
          <cell r="B557" t="str">
            <v>THAZA FEBRIANTI</v>
          </cell>
          <cell r="C557" t="str">
            <v>DIVISI PENGADAAN, UMUM DAN MANAJEMEN ASET</v>
          </cell>
          <cell r="D557" t="str">
            <v>DIVISI PENGADAAN, UMUM DAN MANAJEMEN ASET</v>
          </cell>
          <cell r="E557" t="str">
            <v>STAF K3L</v>
          </cell>
          <cell r="F557" t="str">
            <v>thaza.febrianti@bki.co.id</v>
          </cell>
          <cell r="G557" t="str">
            <v>085770180233</v>
          </cell>
          <cell r="H557" t="str">
            <v>-</v>
          </cell>
          <cell r="I557">
            <v>0</v>
          </cell>
        </row>
        <row r="558">
          <cell r="B558" t="str">
            <v>ZULFIKAR MA'RIFATULLAH</v>
          </cell>
          <cell r="C558" t="str">
            <v>DIVISI PENGADAAN, UMUM DAN MANAJEMEN ASET</v>
          </cell>
          <cell r="D558" t="str">
            <v>DIVISI PENGADAAN, UMUM DAN MANAJEMEN ASET IDS</v>
          </cell>
          <cell r="E558" t="str">
            <v>ANALIS MANAJEMEN ASET</v>
          </cell>
          <cell r="F558" t="str">
            <v>zulfikar@bki.co.id</v>
          </cell>
          <cell r="G558" t="str">
            <v>085780368471</v>
          </cell>
          <cell r="H558" t="str">
            <v>5A</v>
          </cell>
          <cell r="I558">
            <v>0</v>
          </cell>
        </row>
        <row r="559">
          <cell r="B559" t="str">
            <v>TEGUH ANDANI</v>
          </cell>
          <cell r="C559" t="str">
            <v>DIVISI PENGADAAN, UMUM DAN MANAJEMEN ASET</v>
          </cell>
          <cell r="D559" t="str">
            <v>DIVISI PENGADAAN, UMUM DAN MANAJEMEN ASET IDS</v>
          </cell>
          <cell r="E559" t="str">
            <v>ANALIS MANAJEMEN VENDOR</v>
          </cell>
          <cell r="F559" t="str">
            <v>teguh.andani@bki.co.id</v>
          </cell>
          <cell r="G559" t="str">
            <v>0899 9717 333</v>
          </cell>
          <cell r="H559" t="str">
            <v>5A</v>
          </cell>
          <cell r="I559">
            <v>250000</v>
          </cell>
        </row>
        <row r="560">
          <cell r="B560" t="str">
            <v>MOHAMMAD HASAN</v>
          </cell>
          <cell r="C560" t="str">
            <v>DIVISI PENGADAAN, UMUM DAN MANAJEMEN ASET</v>
          </cell>
          <cell r="D560" t="str">
            <v>DIVISI PENGADAAN, UMUM DAN MANAJEMEN ASET IDS</v>
          </cell>
          <cell r="E560" t="str">
            <v>SENIOR MANAGER PENGADAAN</v>
          </cell>
          <cell r="F560" t="str">
            <v>mohammad.hasan@bki.co.id</v>
          </cell>
          <cell r="G560" t="str">
            <v>081318923011</v>
          </cell>
          <cell r="H560" t="str">
            <v>7A</v>
          </cell>
          <cell r="I560">
            <v>150000</v>
          </cell>
        </row>
        <row r="561">
          <cell r="B561" t="str">
            <v>ADITYA PUTRI ANGGRAINI</v>
          </cell>
          <cell r="C561" t="str">
            <v>DIVISI PENGADAAN, UMUM DAN MANAJEMEN ASET</v>
          </cell>
          <cell r="D561" t="str">
            <v>DIVISI PENGADAAN, UMUM DAN MANAJEMEN ASET IDS</v>
          </cell>
          <cell r="E561" t="str">
            <v>SENIOR MANAGER MANAJEMEN ASET</v>
          </cell>
          <cell r="F561" t="str">
            <v>aditya.putri@bki.co.id</v>
          </cell>
          <cell r="G561" t="str">
            <v>085956733395</v>
          </cell>
          <cell r="H561" t="str">
            <v>7A</v>
          </cell>
          <cell r="I561">
            <v>150000</v>
          </cell>
        </row>
        <row r="562">
          <cell r="B562" t="str">
            <v>ANDRI SURYAWAN</v>
          </cell>
          <cell r="C562" t="str">
            <v>DIVISI PENGADAAN, UMUM DAN MANAJEMEN ASET</v>
          </cell>
          <cell r="D562" t="str">
            <v>DIVISI PENGADAAN, UMUM DAN MANAJEMEN ASET IDS</v>
          </cell>
          <cell r="E562" t="str">
            <v>VP PENGADAAN UMUM DAN MANAJEMEN ASET</v>
          </cell>
          <cell r="F562" t="str">
            <v>andri.suryawan@bki.co.id</v>
          </cell>
          <cell r="G562" t="str">
            <v>081230471475</v>
          </cell>
          <cell r="H562" t="str">
            <v>8A</v>
          </cell>
          <cell r="I562">
            <v>350000</v>
          </cell>
        </row>
        <row r="563">
          <cell r="B563" t="str">
            <v>NADIA LISTIYANI</v>
          </cell>
          <cell r="C563" t="str">
            <v>DIVISI PENGEMBANGAN KORPORAT</v>
          </cell>
          <cell r="D563" t="str">
            <v>DIVISI PENGEMBANGAN KORPORAT</v>
          </cell>
          <cell r="E563" t="str">
            <v>VP PENGEMBANGAN KORPORAT</v>
          </cell>
          <cell r="F563" t="str">
            <v>nadia.listiyani@bki.co.id</v>
          </cell>
          <cell r="G563" t="str">
            <v>083804387774</v>
          </cell>
          <cell r="H563" t="str">
            <v>8A</v>
          </cell>
          <cell r="I563">
            <v>350000</v>
          </cell>
        </row>
        <row r="564">
          <cell r="B564" t="str">
            <v>SALMA FADHILAH WIDITYANI</v>
          </cell>
          <cell r="C564" t="str">
            <v>DIVISI PENGEMBANGAN KORPORAT</v>
          </cell>
          <cell r="D564" t="str">
            <v>DIVISI PENGEMBANGAN KORPORAT</v>
          </cell>
          <cell r="E564" t="str">
            <v>SPESIALIS PENGEMBANGAN KORPORAT</v>
          </cell>
          <cell r="F564" t="str">
            <v>salma.widityani@bki.co.id</v>
          </cell>
          <cell r="G564" t="str">
            <v>082219424908</v>
          </cell>
          <cell r="H564" t="str">
            <v>6A</v>
          </cell>
          <cell r="I564">
            <v>150000</v>
          </cell>
        </row>
        <row r="565">
          <cell r="B565" t="str">
            <v>BUDI FITRIAWAN</v>
          </cell>
          <cell r="C565" t="str">
            <v>DIVISI PERENCANAAN DAN KEUANGAN KORPORAT</v>
          </cell>
          <cell r="D565" t="str">
            <v>DIVISI PERENCANAAN DAN KEUANGAN KORPORAT</v>
          </cell>
          <cell r="E565" t="str">
            <v>SENIOR MANAGER PERENCANAAN KORPORAT</v>
          </cell>
          <cell r="F565" t="str">
            <v>budi.fitriawan@bki.co.id</v>
          </cell>
          <cell r="G565" t="str">
            <v>081330119611</v>
          </cell>
          <cell r="H565" t="str">
            <v>7A</v>
          </cell>
          <cell r="I565">
            <v>250000</v>
          </cell>
        </row>
        <row r="566">
          <cell r="B566" t="str">
            <v>SYAHLIR</v>
          </cell>
          <cell r="C566" t="str">
            <v>DIVISI PERENCANAAN DAN KEUANGAN KORPORAT</v>
          </cell>
          <cell r="D566" t="str">
            <v>DIVISI PERENCANAAN DAN KEUANGAN KORPORAT</v>
          </cell>
          <cell r="E566" t="str">
            <v>ANALIS KENDALI KEUANGAN</v>
          </cell>
          <cell r="F566" t="str">
            <v>syahril@bki.co.id</v>
          </cell>
          <cell r="G566" t="str">
            <v>0813 1142 0213</v>
          </cell>
          <cell r="H566" t="str">
            <v>5B</v>
          </cell>
          <cell r="I566">
            <v>250000</v>
          </cell>
        </row>
        <row r="567">
          <cell r="B567" t="str">
            <v>THOMAS MAHENDRA</v>
          </cell>
          <cell r="C567" t="str">
            <v>DIVISI PERENCANAAN DAN KEUANGAN KORPORAT</v>
          </cell>
          <cell r="D567" t="str">
            <v>DIVISI PERENCANAAN DAN KEUANGAN KORPORAT</v>
          </cell>
          <cell r="E567" t="str">
            <v>OFFICER MANAJEMEN PROGRAM DAN KINERJA KORPORAT</v>
          </cell>
          <cell r="F567" t="str">
            <v>thomas.m@bki.co.id</v>
          </cell>
          <cell r="G567" t="str">
            <v>081288938107</v>
          </cell>
          <cell r="H567" t="str">
            <v>4B</v>
          </cell>
          <cell r="I567">
            <v>100000</v>
          </cell>
        </row>
        <row r="568">
          <cell r="B568" t="str">
            <v>AGUNG PRASETYO</v>
          </cell>
          <cell r="C568" t="str">
            <v>DIVISI PERENCANAAN DAN KEUANGAN KORPORAT</v>
          </cell>
          <cell r="D568" t="str">
            <v>DIVISI PERENCANAAN DAN KEUANGAN KORPORAT</v>
          </cell>
          <cell r="E568" t="str">
            <v>OFFICER PERENCANAAN KORPORAT DAN KEUANGAN</v>
          </cell>
          <cell r="F568" t="str">
            <v>agung.prasetyo@bki.co.id</v>
          </cell>
          <cell r="G568" t="str">
            <v>081513393644</v>
          </cell>
          <cell r="H568" t="str">
            <v>4B</v>
          </cell>
          <cell r="I568">
            <v>100000</v>
          </cell>
        </row>
        <row r="569">
          <cell r="B569" t="str">
            <v>DENY HARDIANSYAH</v>
          </cell>
          <cell r="C569" t="str">
            <v>DIVISI PERENCANAAN DAN KEUANGAN KORPORAT</v>
          </cell>
          <cell r="D569" t="str">
            <v>DIVISI PERENCANAAN DAN KEUANGAN KORPORAT</v>
          </cell>
          <cell r="E569" t="str">
            <v>SPESIALIS PERENCANAAN DAN KEUANGAN KORPORAT</v>
          </cell>
          <cell r="F569" t="str">
            <v>deny.hardiansyah@bki.co.id</v>
          </cell>
          <cell r="G569" t="str">
            <v>08563003646</v>
          </cell>
          <cell r="H569" t="str">
            <v>6A</v>
          </cell>
          <cell r="I569">
            <v>150000</v>
          </cell>
        </row>
        <row r="570">
          <cell r="B570" t="str">
            <v>RIMA NOVEDIA BANGUN</v>
          </cell>
          <cell r="C570" t="str">
            <v>DIVISI PERENCANAAN KORPORAT DAN MANAJEMEN RISIKO</v>
          </cell>
          <cell r="D570" t="str">
            <v>DIVISI PERENCANAAN KORPORAT DAN MANAJEMEN RISIKO</v>
          </cell>
          <cell r="E570" t="str">
            <v>VP PERENCANAAN KORPORAT DAN MANAJEMEN RISIKO</v>
          </cell>
          <cell r="F570" t="str">
            <v>rima@bki.co.id</v>
          </cell>
          <cell r="G570">
            <v>0</v>
          </cell>
          <cell r="H570" t="str">
            <v>8A</v>
          </cell>
          <cell r="I570">
            <v>500000</v>
          </cell>
        </row>
        <row r="571">
          <cell r="B571" t="str">
            <v>WARINI</v>
          </cell>
          <cell r="C571" t="str">
            <v>DIVISI PERENCANAAN KORPORAT DAN MANAJEMEN RISIKO</v>
          </cell>
          <cell r="D571" t="str">
            <v>DIVISI PERENCANAAN KORPORAT DAN MANAJEMEN RISIKO</v>
          </cell>
          <cell r="E571" t="str">
            <v>ANALIS MANAJEMEN RISIKO</v>
          </cell>
          <cell r="F571" t="str">
            <v>warini@bki.co.id</v>
          </cell>
          <cell r="G571" t="str">
            <v>081286000896</v>
          </cell>
          <cell r="H571" t="str">
            <v>5B</v>
          </cell>
          <cell r="I571">
            <v>150000</v>
          </cell>
        </row>
        <row r="572">
          <cell r="B572" t="str">
            <v>ANOGI AKBAR ALI</v>
          </cell>
          <cell r="C572" t="str">
            <v>DIVISI PERENCANAAN KORPORAT DAN MANAJEMEN RISIKO</v>
          </cell>
          <cell r="D572" t="str">
            <v>DIVISI PERENCANAAN KORPORAT DAN MANAJEMEN RISIKO</v>
          </cell>
          <cell r="E572" t="str">
            <v>SPESIALIS SENIOR PERENCANAAN</v>
          </cell>
          <cell r="F572" t="str">
            <v>anogi@bki.co.id</v>
          </cell>
          <cell r="G572" t="str">
            <v>08881955514</v>
          </cell>
          <cell r="H572" t="str">
            <v>7B</v>
          </cell>
          <cell r="I572">
            <v>350000</v>
          </cell>
        </row>
        <row r="573">
          <cell r="B573" t="str">
            <v>MOKHAMMAD FAKHRUR RIZAL</v>
          </cell>
          <cell r="C573" t="str">
            <v>DIVISI PERENCANAAN KORPORAT DAN MANAJEMEN RISIKO</v>
          </cell>
          <cell r="D573" t="str">
            <v>DIVISI PERENCANAAN KORPORAT DAN MANAJEMEN RISIKO</v>
          </cell>
          <cell r="E573" t="str">
            <v>SENIOR MANAGER PERENCANAAN KORPORAT</v>
          </cell>
          <cell r="F573" t="str">
            <v>m.fakhrur@bki.co.id</v>
          </cell>
          <cell r="G573" t="str">
            <v>0812 7889 0138</v>
          </cell>
          <cell r="H573" t="str">
            <v>7B</v>
          </cell>
          <cell r="I573">
            <v>0</v>
          </cell>
        </row>
        <row r="574">
          <cell r="B574" t="str">
            <v>MUHAMMAD ADITYO NUGROHO</v>
          </cell>
          <cell r="C574" t="str">
            <v>DIVISI PERENCANAAN KORPORAT DAN MANAJEMEN RISIKO</v>
          </cell>
          <cell r="D574" t="str">
            <v>DIVISI PERENCANAAN KORPORAT DAN MANAJEMEN RISIKO</v>
          </cell>
          <cell r="E574" t="str">
            <v>SENIOR MANAGER MANAJEMEN RISIKO DAN KEBERLANJUTAN</v>
          </cell>
          <cell r="F574" t="str">
            <v>m.adityo@bki.co.id</v>
          </cell>
          <cell r="G574" t="str">
            <v>081257363863</v>
          </cell>
          <cell r="H574" t="str">
            <v>7A</v>
          </cell>
          <cell r="I574">
            <v>150000</v>
          </cell>
        </row>
        <row r="575">
          <cell r="B575" t="str">
            <v>DWI CAHYA KURNIAWANI</v>
          </cell>
          <cell r="C575" t="str">
            <v>DIVISI PERENCANAAN KORPORAT DAN MANAJEMEN RISIKO</v>
          </cell>
          <cell r="D575" t="str">
            <v>DIVISI PERENCANAAN KORPORAT DAN MANAJEMEN RISIKO</v>
          </cell>
          <cell r="E575" t="str">
            <v>SPESIALIS MANAJEMEN RISIKO</v>
          </cell>
          <cell r="F575" t="str">
            <v>dwi.ck@bki.co.id</v>
          </cell>
          <cell r="G575" t="str">
            <v>08561866589</v>
          </cell>
          <cell r="H575" t="str">
            <v>6A</v>
          </cell>
          <cell r="I575">
            <v>150000</v>
          </cell>
        </row>
        <row r="576">
          <cell r="B576" t="str">
            <v>DEDE MA'MUN SUMANTRI</v>
          </cell>
          <cell r="C576" t="str">
            <v>DIVISI PERENCANAAN KORPORAT DAN MANAJEMEN RISIKO</v>
          </cell>
          <cell r="D576" t="str">
            <v>DIVISI PERENCANAAN KORPORAT DAN MANAJEMEN RISIKO</v>
          </cell>
          <cell r="E576" t="str">
            <v>ANALIS PERENCANAAN</v>
          </cell>
          <cell r="F576" t="str">
            <v>dede@bki.co.id</v>
          </cell>
          <cell r="G576" t="str">
            <v>081285857958</v>
          </cell>
          <cell r="H576" t="str">
            <v>5C</v>
          </cell>
          <cell r="I576">
            <v>250000</v>
          </cell>
        </row>
        <row r="577">
          <cell r="B577" t="str">
            <v>REGIYAN DRININ KAWASUGI</v>
          </cell>
          <cell r="C577" t="str">
            <v>DIVISI PERENCANAAN KORPORAT DAN MANAJEMEN RISIKO</v>
          </cell>
          <cell r="D577" t="str">
            <v>DIVISI PERENCANAAN KORPORAT DAN MANAJEMEN RISIKO</v>
          </cell>
          <cell r="E577" t="str">
            <v>OFFICER PERENCANAAN</v>
          </cell>
          <cell r="F577" t="str">
            <v>regiyan.dk@bki.co.id</v>
          </cell>
          <cell r="G577" t="str">
            <v>082231155448</v>
          </cell>
          <cell r="H577" t="str">
            <v>4B</v>
          </cell>
          <cell r="I577">
            <v>100000</v>
          </cell>
        </row>
        <row r="578">
          <cell r="B578" t="str">
            <v>MUHAMMAD RAFI AMRULLAH</v>
          </cell>
          <cell r="C578" t="str">
            <v>DIVISI PERENCANAAN KORPORAT DAN MANAJEMEN RISIKO</v>
          </cell>
          <cell r="D578" t="str">
            <v>DIVISI PERENCANAAN KORPORAT DAN MANAJEMEN RISIKO</v>
          </cell>
          <cell r="E578" t="str">
            <v>OFFICER PERENCANAAN</v>
          </cell>
          <cell r="F578" t="str">
            <v>m.rafi@bki.co.id</v>
          </cell>
          <cell r="H578" t="str">
            <v>4B</v>
          </cell>
          <cell r="I578">
            <v>100000</v>
          </cell>
        </row>
        <row r="579">
          <cell r="B579" t="str">
            <v>ELVIRA ANGGRAINI KUSUMAPUTRI</v>
          </cell>
          <cell r="C579" t="str">
            <v>DIVISI PERENCANAAN KORPORAT DAN MANAJEMEN RISIKO</v>
          </cell>
          <cell r="D579" t="str">
            <v>DIVISI PERENCANAAN KORPORAT DAN MANAJEMEN RISIKO</v>
          </cell>
          <cell r="E579" t="str">
            <v>OFFICER MANAJEMEN RISIKO</v>
          </cell>
          <cell r="F579" t="str">
            <v>elvira.ak@bki.co.id</v>
          </cell>
          <cell r="H579" t="str">
            <v>4A</v>
          </cell>
          <cell r="I579">
            <v>100000</v>
          </cell>
        </row>
        <row r="580">
          <cell r="B580" t="str">
            <v>MARIYANA ASTRI FANDANI</v>
          </cell>
          <cell r="C580" t="str">
            <v>DIVISI PERENCANAAN KORPORAT DAN MANAJEMEN RISIKO</v>
          </cell>
          <cell r="D580" t="str">
            <v>DIVISI PERENCANAAN KORPORAT DAN MANAJEMEN RISIKO</v>
          </cell>
          <cell r="E580" t="str">
            <v>STAF DUKUNGAN BISNIS</v>
          </cell>
          <cell r="F580" t="str">
            <v>mariyana.af@bki.co.id</v>
          </cell>
          <cell r="G580" t="str">
            <v>083849522432</v>
          </cell>
          <cell r="H580" t="str">
            <v>-</v>
          </cell>
          <cell r="I580">
            <v>100000</v>
          </cell>
        </row>
        <row r="581">
          <cell r="B581" t="str">
            <v>ARDHIANTI NOVIANDITA</v>
          </cell>
          <cell r="C581" t="str">
            <v>DIVISI PERENCANAAN KORPORAT DAN MANAJEMEN RISIKO</v>
          </cell>
          <cell r="D581" t="str">
            <v>DIVISI PERENCANAAN KORPORAT DAN MANAJEMEN RISIKO</v>
          </cell>
          <cell r="E581" t="str">
            <v>STAF DUKUNGAN BISNIS</v>
          </cell>
          <cell r="F581" t="str">
            <v>ardhianti.n@bki.co.id</v>
          </cell>
          <cell r="G581" t="str">
            <v>087727138487</v>
          </cell>
          <cell r="H581" t="str">
            <v>-</v>
          </cell>
          <cell r="I581">
            <v>100000</v>
          </cell>
        </row>
        <row r="582">
          <cell r="B582" t="str">
            <v>GOFUR SIDDIQ RINO HADI</v>
          </cell>
          <cell r="C582" t="str">
            <v>DIVISI PERENCANAAN KORPORAT DAN MANAJEMEN RISIKO</v>
          </cell>
          <cell r="D582" t="str">
            <v>DIVISI PERENCANAAN KORPORAT DAN MANAJEMEN RISIKO</v>
          </cell>
          <cell r="E582" t="str">
            <v>STAF DUKUNGAN BISNIS</v>
          </cell>
          <cell r="F582" t="str">
            <v>gofur.siddiq@bki.co.id</v>
          </cell>
          <cell r="G582" t="str">
            <v>085774259663</v>
          </cell>
          <cell r="H582" t="str">
            <v>-</v>
          </cell>
          <cell r="I582">
            <v>0</v>
          </cell>
        </row>
        <row r="583">
          <cell r="B583" t="str">
            <v>MOCHAMMAD ZAKY</v>
          </cell>
          <cell r="C583" t="str">
            <v>DIVISI PERSETUJUAN RANCANG BANGUN</v>
          </cell>
          <cell r="D583" t="str">
            <v>DIVISI PERSETUJUAN RANCANG BANGUN</v>
          </cell>
          <cell r="E583" t="str">
            <v>SENIOR MANAGER STATUTORIA</v>
          </cell>
          <cell r="F583" t="str">
            <v>zaky@bki.co.id</v>
          </cell>
          <cell r="G583" t="str">
            <v>082147338829</v>
          </cell>
          <cell r="H583" t="str">
            <v>7B</v>
          </cell>
          <cell r="I583">
            <v>350000</v>
          </cell>
        </row>
        <row r="584">
          <cell r="B584" t="str">
            <v>RIZAL FEBRIANTO</v>
          </cell>
          <cell r="C584" t="str">
            <v>DIVISI PERSETUJUAN RANCANG BANGUN</v>
          </cell>
          <cell r="D584" t="str">
            <v>DIVISI PERSETUJUAN RANCANG BANGUN</v>
          </cell>
          <cell r="E584" t="str">
            <v>ADMINISTRATOR</v>
          </cell>
          <cell r="F584" t="str">
            <v>rizal.febrianto@bki.co.id</v>
          </cell>
          <cell r="G584" t="str">
            <v>0812 1803 1501</v>
          </cell>
          <cell r="H584" t="str">
            <v>2A</v>
          </cell>
          <cell r="I584">
            <v>0</v>
          </cell>
        </row>
        <row r="585">
          <cell r="B585" t="str">
            <v>FIVID RIVANTORO</v>
          </cell>
          <cell r="C585" t="str">
            <v>DIVISI PERSETUJUAN RANCANG BANGUN</v>
          </cell>
          <cell r="D585" t="str">
            <v>DIVISI PERSETUJUAN RANCANG BANGUN</v>
          </cell>
          <cell r="E585" t="str">
            <v>ENGINEER PERMESINAN</v>
          </cell>
          <cell r="F585" t="str">
            <v>fivid.rivantoro@bki.co.id</v>
          </cell>
          <cell r="G585" t="str">
            <v>0857 3611 1447</v>
          </cell>
          <cell r="H585" t="str">
            <v>5C</v>
          </cell>
          <cell r="I585">
            <v>0</v>
          </cell>
        </row>
        <row r="586">
          <cell r="B586" t="str">
            <v>ADAM PERDANA PUTERA</v>
          </cell>
          <cell r="C586" t="str">
            <v>DIVISI PERSETUJUAN RANCANG BANGUN</v>
          </cell>
          <cell r="D586" t="str">
            <v>DIVISI PERSETUJUAN RANCANG BANGUN</v>
          </cell>
          <cell r="E586" t="str">
            <v>ENGINEER STATUTORIA</v>
          </cell>
          <cell r="F586" t="str">
            <v>adam@bki.co.id</v>
          </cell>
          <cell r="G586" t="str">
            <v>0856 4851 9575</v>
          </cell>
          <cell r="H586" t="str">
            <v>5C</v>
          </cell>
          <cell r="I586">
            <v>0</v>
          </cell>
        </row>
        <row r="587">
          <cell r="B587" t="str">
            <v>BAMBANG FIRDIANSYAH HADI KUSUMA</v>
          </cell>
          <cell r="C587" t="str">
            <v>DIVISI PERSETUJUAN RANCANG BANGUN</v>
          </cell>
          <cell r="D587" t="str">
            <v>DIVISI PERSETUJUAN RANCANG BANGUN</v>
          </cell>
          <cell r="E587" t="str">
            <v>ENGINEER STRUKTUR</v>
          </cell>
          <cell r="F587" t="str">
            <v>bambangfhk@bki.co.id</v>
          </cell>
          <cell r="G587" t="str">
            <v>082298394795</v>
          </cell>
          <cell r="H587" t="str">
            <v>5C</v>
          </cell>
          <cell r="I587">
            <v>0</v>
          </cell>
        </row>
        <row r="588">
          <cell r="B588" t="str">
            <v>KRISHNA WIJAYADI</v>
          </cell>
          <cell r="C588" t="str">
            <v>DIVISI PERSETUJUAN RANCANG BANGUN</v>
          </cell>
          <cell r="D588" t="str">
            <v>DIVISI PERSETUJUAN RANCANG BANGUN</v>
          </cell>
          <cell r="E588" t="str">
            <v>ENGINEER SENIOR II B KELISTRIKAN</v>
          </cell>
          <cell r="F588" t="str">
            <v>krishna@bki.co.id</v>
          </cell>
          <cell r="G588" t="str">
            <v>0811903524</v>
          </cell>
          <cell r="H588" t="str">
            <v>7B</v>
          </cell>
          <cell r="I588">
            <v>250000</v>
          </cell>
        </row>
        <row r="589">
          <cell r="B589" t="str">
            <v>HIJRAWATI MUHTAR</v>
          </cell>
          <cell r="C589" t="str">
            <v>DIVISI PERSETUJUAN RANCANG BANGUN</v>
          </cell>
          <cell r="D589" t="str">
            <v>DIVISI PERSETUJUAN RANCANG BANGUN</v>
          </cell>
          <cell r="E589" t="str">
            <v>ENGINEER SENIOR I B PERMESINAN</v>
          </cell>
          <cell r="F589" t="str">
            <v>hijrawati@bki.co.id</v>
          </cell>
          <cell r="G589" t="str">
            <v>081213142925</v>
          </cell>
          <cell r="H589" t="str">
            <v>6B</v>
          </cell>
          <cell r="I589">
            <v>250000</v>
          </cell>
        </row>
        <row r="590">
          <cell r="B590" t="str">
            <v>DWIANA GALUH LISTIYARINI</v>
          </cell>
          <cell r="C590" t="str">
            <v>DIVISI PERSETUJUAN RANCANG BANGUN</v>
          </cell>
          <cell r="D590" t="str">
            <v>DIVISI PERSETUJUAN RANCANG BANGUN</v>
          </cell>
          <cell r="E590" t="str">
            <v>ENGINEER SENIOR I C STRUKTUR</v>
          </cell>
          <cell r="F590" t="str">
            <v>dwiana@bki.co.id</v>
          </cell>
          <cell r="G590" t="str">
            <v>085645468365</v>
          </cell>
          <cell r="H590" t="str">
            <v>6C</v>
          </cell>
          <cell r="I590">
            <v>250000</v>
          </cell>
        </row>
        <row r="591">
          <cell r="B591" t="str">
            <v>LIDYA SALIM</v>
          </cell>
          <cell r="C591" t="str">
            <v>DIVISI PERSETUJUAN RANCANG BANGUN</v>
          </cell>
          <cell r="D591" t="str">
            <v>DIVISI PERSETUJUAN RANCANG BANGUN</v>
          </cell>
          <cell r="E591" t="str">
            <v>ENGINEER SENIOR I B STATUTORIA</v>
          </cell>
          <cell r="F591" t="str">
            <v>lidsalim@bki.co.id</v>
          </cell>
          <cell r="G591" t="str">
            <v>081911002040</v>
          </cell>
          <cell r="H591" t="str">
            <v>6B</v>
          </cell>
          <cell r="I591">
            <v>0</v>
          </cell>
        </row>
        <row r="592">
          <cell r="B592" t="str">
            <v>AKHMAD SYARIFUL ANWAR</v>
          </cell>
          <cell r="C592" t="str">
            <v>DIVISI PERSETUJUAN RANCANG BANGUN</v>
          </cell>
          <cell r="D592" t="str">
            <v>DIVISI PERSETUJUAN RANCANG BANGUN</v>
          </cell>
          <cell r="E592" t="str">
            <v>ENGINEER SENIOR I B STATUTORIA</v>
          </cell>
          <cell r="F592" t="str">
            <v>akhmad@bki.co.id</v>
          </cell>
          <cell r="G592" t="str">
            <v>081212429955</v>
          </cell>
          <cell r="H592" t="str">
            <v>6B</v>
          </cell>
          <cell r="I592">
            <v>0</v>
          </cell>
        </row>
        <row r="593">
          <cell r="B593" t="str">
            <v>FAULINCIA</v>
          </cell>
          <cell r="C593" t="str">
            <v>DIVISI PERSETUJUAN RANCANG BANGUN</v>
          </cell>
          <cell r="D593" t="str">
            <v>DIVISI PERSETUJUAN RANCANG BANGUN</v>
          </cell>
          <cell r="E593" t="str">
            <v>ENGINEER KELISTRIKAN</v>
          </cell>
          <cell r="F593" t="str">
            <v>faulincia@bki.co.id</v>
          </cell>
          <cell r="G593" t="str">
            <v>082215497510</v>
          </cell>
          <cell r="H593" t="str">
            <v>5C</v>
          </cell>
          <cell r="I593">
            <v>250000</v>
          </cell>
        </row>
        <row r="594">
          <cell r="B594" t="str">
            <v>DIAN FEBRIAN</v>
          </cell>
          <cell r="C594" t="str">
            <v>DIVISI PERSETUJUAN RANCANG BANGUN</v>
          </cell>
          <cell r="D594" t="str">
            <v>DIVISI PERSETUJUAN RANCANG BANGUN</v>
          </cell>
          <cell r="E594" t="str">
            <v>ENGINEER STATUTORIA</v>
          </cell>
          <cell r="F594" t="str">
            <v>dian.febrian@bki.co.id</v>
          </cell>
          <cell r="G594" t="str">
            <v>085236584487</v>
          </cell>
          <cell r="H594" t="str">
            <v>5C</v>
          </cell>
          <cell r="I594">
            <v>250000</v>
          </cell>
        </row>
        <row r="595">
          <cell r="B595" t="str">
            <v>BAMBANG SUGIONO</v>
          </cell>
          <cell r="C595" t="str">
            <v>DIVISI PERSETUJUAN RANCANG BANGUN</v>
          </cell>
          <cell r="D595" t="str">
            <v>DIVISI PERSETUJUAN RANCANG BANGUN</v>
          </cell>
          <cell r="E595" t="str">
            <v>SENIOR MANAGER LAMBUNG DAN MATERIAL</v>
          </cell>
          <cell r="F595" t="str">
            <v>b.sugiono@bki.co.id</v>
          </cell>
          <cell r="G595" t="str">
            <v>08129485285</v>
          </cell>
          <cell r="H595" t="str">
            <v>7C</v>
          </cell>
          <cell r="I595">
            <v>0</v>
          </cell>
        </row>
        <row r="596">
          <cell r="B596" t="str">
            <v>ANDI NURALIM KAMAL</v>
          </cell>
          <cell r="C596" t="str">
            <v>DIVISI PERSETUJUAN RANCANG BANGUN</v>
          </cell>
          <cell r="D596" t="str">
            <v>DIVISI PERSETUJUAN RANCANG BANGUN</v>
          </cell>
          <cell r="E596" t="str">
            <v>VP PERSETUJUAN RANCANG BANGUN</v>
          </cell>
          <cell r="F596" t="str">
            <v>andi.nuralim@bki.co.id</v>
          </cell>
          <cell r="G596" t="str">
            <v>0813 4264 7979</v>
          </cell>
          <cell r="H596" t="str">
            <v>8B</v>
          </cell>
          <cell r="I596">
            <v>350000</v>
          </cell>
        </row>
        <row r="597">
          <cell r="B597" t="str">
            <v>HERI SISWANTO</v>
          </cell>
          <cell r="C597" t="str">
            <v>DIVISI PERSETUJUAN RANCANG BANGUN</v>
          </cell>
          <cell r="D597" t="str">
            <v>DIVISI PERSETUJUAN RANCANG BANGUN</v>
          </cell>
          <cell r="E597" t="str">
            <v>ENGINEER SENIOR I STRUKTUR</v>
          </cell>
          <cell r="F597" t="str">
            <v>heri.siswanto@bki.co.id</v>
          </cell>
          <cell r="G597" t="str">
            <v>082126022448</v>
          </cell>
          <cell r="H597" t="str">
            <v>6C</v>
          </cell>
          <cell r="I597">
            <v>0</v>
          </cell>
        </row>
        <row r="598">
          <cell r="B598" t="str">
            <v>FAHMI</v>
          </cell>
          <cell r="C598" t="str">
            <v>DIVISI PERSETUJUAN RANCANG BANGUN</v>
          </cell>
          <cell r="D598" t="str">
            <v>DIVISI PERSETUJUAN RANCANG BANGUN</v>
          </cell>
          <cell r="E598" t="str">
            <v>ENGINEER SENIOR II B STATUTORIA</v>
          </cell>
          <cell r="F598" t="str">
            <v>fahmi@bki.co.id</v>
          </cell>
          <cell r="G598" t="str">
            <v>081341111966</v>
          </cell>
          <cell r="H598" t="str">
            <v>7B</v>
          </cell>
          <cell r="I598">
            <v>250000</v>
          </cell>
        </row>
        <row r="599">
          <cell r="B599" t="str">
            <v>SONY ANGGARA</v>
          </cell>
          <cell r="C599" t="str">
            <v>DIVISI PERSETUJUAN RANCANG BANGUN</v>
          </cell>
          <cell r="D599" t="str">
            <v>DIVISI PERSETUJUAN RANCANG BANGUN</v>
          </cell>
          <cell r="E599" t="str">
            <v>ENGINEER STATUTORIA</v>
          </cell>
          <cell r="F599" t="str">
            <v>sony.anggara@bki.co.id</v>
          </cell>
          <cell r="G599" t="str">
            <v>083831283260</v>
          </cell>
          <cell r="H599" t="str">
            <v>5C</v>
          </cell>
          <cell r="I599">
            <v>0</v>
          </cell>
        </row>
        <row r="600">
          <cell r="B600" t="str">
            <v>WAHIDIN</v>
          </cell>
          <cell r="C600" t="str">
            <v>DIVISI PERSETUJUAN RANCANG BANGUN</v>
          </cell>
          <cell r="D600" t="str">
            <v>DIVISI PERSETUJUAN RANCANG BANGUN</v>
          </cell>
          <cell r="E600" t="str">
            <v>ADMINISTRATOR SENIOR</v>
          </cell>
          <cell r="F600" t="str">
            <v>wahidin@bki.co.id</v>
          </cell>
          <cell r="G600" t="str">
            <v>081381145600</v>
          </cell>
          <cell r="H600" t="str">
            <v>3B</v>
          </cell>
          <cell r="I600">
            <v>150000</v>
          </cell>
        </row>
        <row r="601">
          <cell r="B601" t="str">
            <v>TAUFIK AKBAR</v>
          </cell>
          <cell r="C601" t="str">
            <v>DIVISI PERSETUJUAN RANCANG BANGUN</v>
          </cell>
          <cell r="D601" t="str">
            <v>DIVISI PERSETUJUAN RANCANG BANGUN</v>
          </cell>
          <cell r="E601" t="str">
            <v>SENIOR MANAGER MESIN, LISTRIK, KOMPONEN DAN PENYEDIA JASA</v>
          </cell>
          <cell r="F601" t="str">
            <v>taufik.akbar@bki.co.id</v>
          </cell>
          <cell r="G601" t="str">
            <v>083857304689</v>
          </cell>
          <cell r="H601" t="str">
            <v>7B</v>
          </cell>
          <cell r="I601">
            <v>250000</v>
          </cell>
        </row>
        <row r="602">
          <cell r="B602" t="str">
            <v>ADE NURSAL</v>
          </cell>
          <cell r="C602" t="str">
            <v>DIVISI PERSETUJUAN RANCANG BANGUN</v>
          </cell>
          <cell r="D602" t="str">
            <v>DIVISI PERSETUJUAN RANCANG BANGUN</v>
          </cell>
          <cell r="E602" t="str">
            <v>ENGINEER MATERIAL</v>
          </cell>
          <cell r="F602" t="str">
            <v>ade.nursal@bki.co.id</v>
          </cell>
          <cell r="G602" t="str">
            <v>0812 9133 0022</v>
          </cell>
          <cell r="H602" t="str">
            <v>5C</v>
          </cell>
          <cell r="I602">
            <v>0</v>
          </cell>
        </row>
        <row r="603">
          <cell r="B603" t="str">
            <v>TULUS SETIYAWAN WASI KUNTORO</v>
          </cell>
          <cell r="C603" t="str">
            <v>DIVISI PERSETUJUAN RANCANG BANGUN</v>
          </cell>
          <cell r="D603" t="str">
            <v>DIVISI PERSETUJUAN RANCANG BANGUN</v>
          </cell>
          <cell r="E603" t="str">
            <v>ENGINEER STATUTORIA</v>
          </cell>
          <cell r="F603" t="str">
            <v>tulus.setia@bki.co.id</v>
          </cell>
          <cell r="G603">
            <v>0</v>
          </cell>
          <cell r="H603" t="str">
            <v>5C</v>
          </cell>
          <cell r="I603">
            <v>0</v>
          </cell>
        </row>
        <row r="604">
          <cell r="B604" t="str">
            <v>NOMO PRIHASTA</v>
          </cell>
          <cell r="C604" t="str">
            <v>DIVISI PERSETUJUAN RANCANG BANGUN</v>
          </cell>
          <cell r="D604" t="str">
            <v>DIVISI PERSETUJUAN RANCANG BANGUN</v>
          </cell>
          <cell r="E604" t="str">
            <v>ENGINEER STATUTORIA</v>
          </cell>
          <cell r="F604" t="str">
            <v>nomo.prihasta@bki.co.id</v>
          </cell>
          <cell r="G604" t="str">
            <v>0857 3280 0744</v>
          </cell>
          <cell r="H604" t="str">
            <v>5C</v>
          </cell>
          <cell r="I604">
            <v>250000</v>
          </cell>
        </row>
        <row r="605">
          <cell r="B605" t="str">
            <v>MUHAMMAD RIKY ADHITAMA NUGRAHA</v>
          </cell>
          <cell r="C605" t="str">
            <v>DIVISI PERSETUJUAN RANCANG BANGUN</v>
          </cell>
          <cell r="D605" t="str">
            <v>DIVISI PERSETUJUAN RANCANG BANGUN</v>
          </cell>
          <cell r="E605" t="str">
            <v xml:space="preserve">ENGINEER JUNIOR STATUTORIA </v>
          </cell>
          <cell r="F605" t="str">
            <v>m.riky@bki.co.id</v>
          </cell>
          <cell r="H605" t="str">
            <v>4C</v>
          </cell>
          <cell r="I605">
            <v>0</v>
          </cell>
        </row>
        <row r="606">
          <cell r="B606" t="str">
            <v>AFDHAL ALFENDRY</v>
          </cell>
          <cell r="C606" t="str">
            <v>DIVISI PERSETUJUAN RANCANG BANGUN</v>
          </cell>
          <cell r="D606" t="str">
            <v>DIVISI PERSETUJUAN RANCANG BANGUN</v>
          </cell>
          <cell r="E606" t="str">
            <v xml:space="preserve">ENGINEER JUNIOR STATUTORIA </v>
          </cell>
          <cell r="F606" t="str">
            <v>afdhal.al@bki.co.id</v>
          </cell>
          <cell r="H606" t="str">
            <v>4C</v>
          </cell>
          <cell r="I606">
            <v>0</v>
          </cell>
        </row>
        <row r="607">
          <cell r="B607" t="str">
            <v>FARHAND ALLY FAHMI</v>
          </cell>
          <cell r="C607" t="str">
            <v>DIVISI PERSETUJUAN RANCANG BANGUN</v>
          </cell>
          <cell r="D607" t="str">
            <v>DIVISI PERSETUJUAN RANCANG BANGUN</v>
          </cell>
          <cell r="E607" t="str">
            <v xml:space="preserve">STAF ENGINEER </v>
          </cell>
          <cell r="F607" t="str">
            <v>farhand.af@bki.co.id</v>
          </cell>
          <cell r="G607" t="str">
            <v>088227005964</v>
          </cell>
          <cell r="H607" t="str">
            <v>-</v>
          </cell>
          <cell r="I607">
            <v>0</v>
          </cell>
        </row>
        <row r="608">
          <cell r="B608" t="str">
            <v>DINAR RASTA FARA</v>
          </cell>
          <cell r="C608" t="str">
            <v>DIVISI PERSETUJUAN RANCANG BANGUN</v>
          </cell>
          <cell r="D608" t="str">
            <v>DIVISI PERSETUJUAN RANCANG BANGUN</v>
          </cell>
          <cell r="E608" t="str">
            <v>STAF PEMERIKSA PERSETUJUAN DOKUMEN LAMBUNG</v>
          </cell>
          <cell r="F608" t="str">
            <v>dinar.rf@bki.co.id</v>
          </cell>
          <cell r="H608" t="str">
            <v>-</v>
          </cell>
          <cell r="I608">
            <v>0</v>
          </cell>
        </row>
        <row r="609">
          <cell r="B609" t="str">
            <v>DYAH ANGGRAENI AYUNINGTYAS</v>
          </cell>
          <cell r="C609" t="str">
            <v>DIVISI PERSETUJUAN RANCANG BANGUN</v>
          </cell>
          <cell r="D609" t="str">
            <v>DIVISI PERSETUJUAN RANCANG BANGUN</v>
          </cell>
          <cell r="E609" t="str">
            <v>STAF DUKUNGAN BISNIS</v>
          </cell>
          <cell r="F609" t="str">
            <v>dyah.anggraeni@bki.co.id</v>
          </cell>
          <cell r="G609" t="str">
            <v>082170111999</v>
          </cell>
          <cell r="H609" t="str">
            <v>-</v>
          </cell>
          <cell r="I609">
            <v>0</v>
          </cell>
        </row>
        <row r="610">
          <cell r="B610" t="str">
            <v>SYAHRUL IRMANSYAH</v>
          </cell>
          <cell r="C610" t="str">
            <v>DIVISI PERSETUJUAN RANCANG BANGUN</v>
          </cell>
          <cell r="D610" t="str">
            <v>DIVISI PERSETUJUAN RANCANG BANGUN</v>
          </cell>
          <cell r="E610" t="str">
            <v>STAF PEMERIKSA PERSETUJUAN DOKUMEN LAMBUNG</v>
          </cell>
          <cell r="F610" t="str">
            <v>syahrul.irmansyah@bki.co.id</v>
          </cell>
          <cell r="H610" t="str">
            <v>-</v>
          </cell>
          <cell r="I610">
            <v>0</v>
          </cell>
        </row>
        <row r="611">
          <cell r="B611" t="str">
            <v>LUTHFI AFRIZAL</v>
          </cell>
          <cell r="C611" t="str">
            <v>DIVISI PERSETUJUAN RANCANG BANGUN</v>
          </cell>
          <cell r="D611" t="str">
            <v>DIVISI PERSETUJUAN RANCANG BANGUN</v>
          </cell>
          <cell r="E611" t="str">
            <v>STAF ADMIN GAMBAR</v>
          </cell>
          <cell r="F611" t="str">
            <v>luthfi.afrizal@bki.co.id</v>
          </cell>
          <cell r="G611" t="str">
            <v>081215996378</v>
          </cell>
          <cell r="H611" t="str">
            <v>-</v>
          </cell>
          <cell r="I611">
            <v>0</v>
          </cell>
        </row>
        <row r="612">
          <cell r="B612" t="str">
            <v>JUSAK SONANG FERRARI SIAHAAN</v>
          </cell>
          <cell r="C612" t="str">
            <v>DIVISI PERSETUJUAN RANCANG BANGUN</v>
          </cell>
          <cell r="D612" t="str">
            <v>DIVISI PERSETUJUAN RANCANG BANGUN</v>
          </cell>
          <cell r="E612" t="str">
            <v xml:space="preserve">STAF PEMERIKSA PERSETUJUAN DOKUMEN PERMESINAN </v>
          </cell>
          <cell r="F612" t="str">
            <v>jusak.sfs@bki.co.id</v>
          </cell>
          <cell r="H612">
            <v>0</v>
          </cell>
          <cell r="I612">
            <v>0</v>
          </cell>
        </row>
        <row r="613">
          <cell r="B613" t="str">
            <v>PENNI DIAN</v>
          </cell>
          <cell r="C613" t="str">
            <v>DIVISI PERSETUJUAN RANCANG BANGUN</v>
          </cell>
          <cell r="D613" t="str">
            <v>DIVISI PERSETUJUAN RANCANG BANGUN</v>
          </cell>
          <cell r="E613" t="str">
            <v>STAF PEMERIKSA PERSETUJUAN DOKUMEN LAMBUNG TIMBUL &amp; STABILITAS</v>
          </cell>
          <cell r="F613" t="str">
            <v>Penni.Dian@bki.co.id</v>
          </cell>
          <cell r="H613">
            <v>0</v>
          </cell>
          <cell r="I613">
            <v>0</v>
          </cell>
        </row>
        <row r="614">
          <cell r="B614" t="str">
            <v>RAMRAY ANANDA AMIR</v>
          </cell>
          <cell r="C614" t="str">
            <v>DIVISI PERSETUJUAN RANCANG BANGUN</v>
          </cell>
          <cell r="D614" t="str">
            <v>DIVISI PERSETUJUAN RANCANG BANGUN</v>
          </cell>
          <cell r="E614" t="str">
            <v>STAF PEMERIKSA PERSETUJUAN DOKUMEN LOAD LINE &amp; STABILITAS</v>
          </cell>
          <cell r="F614" t="str">
            <v>Ramray.aa@bki.co.id</v>
          </cell>
          <cell r="H614">
            <v>0</v>
          </cell>
          <cell r="I614">
            <v>0</v>
          </cell>
        </row>
        <row r="615">
          <cell r="B615" t="str">
            <v>YOGA ARY LEKSONO</v>
          </cell>
          <cell r="C615" t="str">
            <v>DIVISI PERSETUJUAN RANCANG BANGUN</v>
          </cell>
          <cell r="D615" t="str">
            <v>DIVISI PERSETUJUAN RANCANG BANGUN</v>
          </cell>
          <cell r="E615" t="str">
            <v>Staf Pemeriksa Persetujuan Dokumen Mesin</v>
          </cell>
          <cell r="F615" t="str">
            <v>yoga.ary@bki.co.id</v>
          </cell>
          <cell r="H615" t="str">
            <v>-</v>
          </cell>
          <cell r="I615">
            <v>0</v>
          </cell>
        </row>
        <row r="616">
          <cell r="B616" t="str">
            <v>AHMAD ZAKKY</v>
          </cell>
          <cell r="C616" t="str">
            <v>DIVISI PERSETUJUAN RANCANG BANGUN NUSANTARA</v>
          </cell>
          <cell r="D616" t="str">
            <v>DIVISI PERSETUJUAN RANCANG BANGUN NUSANTARA</v>
          </cell>
          <cell r="E616" t="str">
            <v>ENGINEER SENIOR I C STRUKTUR</v>
          </cell>
          <cell r="F616" t="str">
            <v>ahmad.zakky@bki.co.id</v>
          </cell>
          <cell r="G616" t="str">
            <v>085230183554</v>
          </cell>
          <cell r="H616" t="str">
            <v>6B</v>
          </cell>
          <cell r="I616">
            <v>0</v>
          </cell>
        </row>
        <row r="617">
          <cell r="B617" t="str">
            <v>DENY CAHYO NUGROHO</v>
          </cell>
          <cell r="C617" t="str">
            <v>DIVISI PERSETUJUAN RANCANG BANGUN NUSANTARA</v>
          </cell>
          <cell r="D617" t="str">
            <v>DIVISI PERSETUJUAN RANCANG BANGUN NUSANTARA</v>
          </cell>
          <cell r="E617" t="str">
            <v>ENGINEER KELISTRIKAN</v>
          </cell>
          <cell r="F617" t="str">
            <v>deny.cn@bki.co.id</v>
          </cell>
          <cell r="G617" t="str">
            <v>0857 3000 0425</v>
          </cell>
          <cell r="H617" t="str">
            <v>5C</v>
          </cell>
          <cell r="I617">
            <v>250000</v>
          </cell>
        </row>
        <row r="618">
          <cell r="B618" t="str">
            <v>FAHRUL NUR HIDAYAT</v>
          </cell>
          <cell r="C618" t="str">
            <v>DIVISI PERSETUJUAN RANCANG BANGUN NUSANTARA</v>
          </cell>
          <cell r="D618" t="str">
            <v>DIVISI PERSETUJUAN RANCANG BANGUN NUSANTARA</v>
          </cell>
          <cell r="E618" t="str">
            <v>ENGINEER PERMESINAN</v>
          </cell>
          <cell r="F618" t="str">
            <v>fahrulnurhidayat@bki.co.id</v>
          </cell>
          <cell r="G618" t="str">
            <v/>
          </cell>
          <cell r="H618" t="str">
            <v>5C</v>
          </cell>
          <cell r="I618">
            <v>250000</v>
          </cell>
        </row>
        <row r="619">
          <cell r="B619" t="str">
            <v>NUR HASAN SIDIQ</v>
          </cell>
          <cell r="C619" t="str">
            <v>DIVISI PERSETUJUAN RANCANG BANGUN NUSANTARA</v>
          </cell>
          <cell r="D619" t="str">
            <v>DIVISI PERSETUJUAN RANCANG BANGUN NUSANTARA</v>
          </cell>
          <cell r="E619" t="str">
            <v>ENGINEER STRUKTUR</v>
          </cell>
          <cell r="F619" t="str">
            <v>nur.hs@bki.co.id</v>
          </cell>
          <cell r="G619" t="str">
            <v>081350843985</v>
          </cell>
          <cell r="H619" t="str">
            <v>5C</v>
          </cell>
          <cell r="I619">
            <v>0</v>
          </cell>
        </row>
        <row r="620">
          <cell r="B620" t="str">
            <v>HATRI NINRA DAUD</v>
          </cell>
          <cell r="C620" t="str">
            <v>DIVISI PERSETUJUAN RANCANG BANGUN NUSANTARA</v>
          </cell>
          <cell r="D620" t="str">
            <v>DIVISI PERSETUJUAN RANCANG BANGUN NUSANTARA</v>
          </cell>
          <cell r="E620" t="str">
            <v>ENGINEER PERMESINAN</v>
          </cell>
          <cell r="F620" t="str">
            <v>hatri.nd@bki.co.id</v>
          </cell>
          <cell r="G620" t="str">
            <v>082154508033</v>
          </cell>
          <cell r="H620" t="str">
            <v>5C</v>
          </cell>
          <cell r="I620">
            <v>0</v>
          </cell>
        </row>
        <row r="621">
          <cell r="B621" t="str">
            <v>HERU SUSILO BUDIMAN</v>
          </cell>
          <cell r="C621" t="str">
            <v>DIVISI PERSETUJUAN RANCANG BANGUN NUSANTARA</v>
          </cell>
          <cell r="D621" t="str">
            <v>DIVISI PERSETUJUAN RANCANG BANGUN NUSANTARA</v>
          </cell>
          <cell r="E621" t="str">
            <v>SENIOR MANAGER MESIN DAN LISTRIK NUSANTARA</v>
          </cell>
          <cell r="F621" t="str">
            <v>heru.sb@bki.co.id</v>
          </cell>
          <cell r="G621" t="str">
            <v>081282420046</v>
          </cell>
          <cell r="H621" t="str">
            <v>7B</v>
          </cell>
          <cell r="I621">
            <v>350000</v>
          </cell>
        </row>
        <row r="622">
          <cell r="B622" t="str">
            <v>SEFIA HELMINA</v>
          </cell>
          <cell r="C622" t="str">
            <v>DIVISI PERSETUJUAN RANCANG BANGUN NUSANTARA</v>
          </cell>
          <cell r="D622" t="str">
            <v>DIVISI PERSETUJUAN RANCANG BANGUN NUSANTARA</v>
          </cell>
          <cell r="E622" t="str">
            <v>ENGINEER STRUKTUR</v>
          </cell>
          <cell r="F622" t="str">
            <v>sefia@bki.co.id</v>
          </cell>
          <cell r="G622" t="str">
            <v>082114021642</v>
          </cell>
          <cell r="H622" t="str">
            <v>5C</v>
          </cell>
          <cell r="I622">
            <v>250000</v>
          </cell>
        </row>
        <row r="623">
          <cell r="B623" t="str">
            <v>RIYANTO</v>
          </cell>
          <cell r="C623" t="str">
            <v>DIVISI PERSETUJUAN RANCANG BANGUN NUSANTARA</v>
          </cell>
          <cell r="D623" t="str">
            <v>DIVISI PERSETUJUAN RANCANG BANGUN NUSANTARA</v>
          </cell>
          <cell r="E623" t="str">
            <v>ADMINISTRATOR SENIOR</v>
          </cell>
          <cell r="F623" t="str">
            <v>riyanto@bki.co.id</v>
          </cell>
          <cell r="G623" t="str">
            <v>081996311855</v>
          </cell>
          <cell r="H623" t="str">
            <v>3B</v>
          </cell>
          <cell r="I623">
            <v>150000</v>
          </cell>
        </row>
        <row r="624">
          <cell r="B624" t="str">
            <v>ARMINDARY ARIEF</v>
          </cell>
          <cell r="C624" t="str">
            <v>DIVISI PERSETUJUAN RANCANG BANGUN NUSANTARA</v>
          </cell>
          <cell r="D624" t="str">
            <v>DIVISI PERSETUJUAN RANCANG BANGUN NUSANTARA</v>
          </cell>
          <cell r="E624" t="str">
            <v>ENGINEER STRUKTUR</v>
          </cell>
          <cell r="F624" t="str">
            <v>armindary@bki.co.id</v>
          </cell>
          <cell r="G624" t="str">
            <v>08124155205</v>
          </cell>
          <cell r="H624" t="str">
            <v>5C</v>
          </cell>
          <cell r="I624">
            <v>250000</v>
          </cell>
        </row>
        <row r="625">
          <cell r="B625" t="str">
            <v>FACHRUDDIN</v>
          </cell>
          <cell r="C625" t="str">
            <v>DIVISI PERSETUJUAN RANCANG BANGUN NUSANTARA</v>
          </cell>
          <cell r="D625" t="str">
            <v>DIVISI PERSETUJUAN RANCANG BANGUN NUSANTARA</v>
          </cell>
          <cell r="E625" t="str">
            <v>ENGINEER STRUKTUR</v>
          </cell>
          <cell r="F625" t="str">
            <v>fachruddin@bki.co.id</v>
          </cell>
          <cell r="G625" t="str">
            <v>081342990998</v>
          </cell>
          <cell r="H625" t="str">
            <v>5C</v>
          </cell>
          <cell r="I625">
            <v>250000</v>
          </cell>
        </row>
        <row r="626">
          <cell r="B626" t="str">
            <v>SISWANTO</v>
          </cell>
          <cell r="C626" t="str">
            <v>DIVISI PERSETUJUAN RANCANG BANGUN NUSANTARA</v>
          </cell>
          <cell r="D626" t="str">
            <v>DIVISI PERSETUJUAN RANCANG BANGUN NUSANTARA</v>
          </cell>
          <cell r="E626" t="str">
            <v>SENIOR MANAGER LAMBUNG NUSANTARA</v>
          </cell>
          <cell r="F626" t="str">
            <v>siswanto@bki.co.id</v>
          </cell>
          <cell r="G626" t="str">
            <v>081261449951</v>
          </cell>
          <cell r="H626" t="str">
            <v>7B</v>
          </cell>
          <cell r="I626">
            <v>0</v>
          </cell>
        </row>
        <row r="627">
          <cell r="B627" t="str">
            <v>WASITO ABDUL MUKIT</v>
          </cell>
          <cell r="C627" t="str">
            <v>DIVISI PERSETUJUAN RANCANG BANGUN NUSANTARA</v>
          </cell>
          <cell r="D627" t="str">
            <v>DIVISI PERSETUJUAN RANCANG BANGUN NUSANTARA</v>
          </cell>
          <cell r="E627" t="str">
            <v>VP PERSETUJUAN RANCANG BANGUN NUSANTARA</v>
          </cell>
          <cell r="F627" t="str">
            <v>wasito@bki.co.id</v>
          </cell>
          <cell r="G627" t="str">
            <v>08129004021</v>
          </cell>
          <cell r="H627" t="str">
            <v>8B</v>
          </cell>
          <cell r="I627">
            <v>350000</v>
          </cell>
        </row>
        <row r="628">
          <cell r="B628" t="str">
            <v>ARIF SYARIFUDIN</v>
          </cell>
          <cell r="C628" t="str">
            <v>DIVISI PERSETUJUAN RANCANG BANGUN NUSANTARA</v>
          </cell>
          <cell r="D628" t="str">
            <v>DIVISI PERSETUJUAN RANCANG BANGUN NUSANTARA</v>
          </cell>
          <cell r="E628" t="str">
            <v xml:space="preserve">ADMINISTRATOR SENIOR </v>
          </cell>
          <cell r="F628" t="str">
            <v>arif.syarifudin@bki.co.id</v>
          </cell>
          <cell r="G628" t="str">
            <v>085710061963</v>
          </cell>
          <cell r="H628" t="str">
            <v>3B</v>
          </cell>
          <cell r="I628">
            <v>0</v>
          </cell>
        </row>
        <row r="629">
          <cell r="B629" t="str">
            <v>ZULFIKAR BISMA WICAKSANA</v>
          </cell>
          <cell r="C629" t="str">
            <v>DIVISI PERSETUJUAN RANCANG BANGUN NUSANTARA</v>
          </cell>
          <cell r="D629" t="str">
            <v>DIVISI PERSETUJUAN RANCANG BANGUN NUSANTARA</v>
          </cell>
          <cell r="E629" t="str">
            <v>ENGINEER JUNIOR STRUKTUR</v>
          </cell>
          <cell r="F629" t="str">
            <v>zulfikar.bw@bki.co.id</v>
          </cell>
          <cell r="H629" t="str">
            <v>4C</v>
          </cell>
          <cell r="I629">
            <v>0</v>
          </cell>
        </row>
        <row r="630">
          <cell r="B630" t="str">
            <v>M FAHMI AULIARAHMAN</v>
          </cell>
          <cell r="C630" t="str">
            <v>DIVISI PERSETUJUAN RANCANG BANGUN NUSANTARA</v>
          </cell>
          <cell r="D630" t="str">
            <v>DIVISI PERSETUJUAN RANCANG BANGUN NUSANTARA</v>
          </cell>
          <cell r="E630" t="str">
            <v xml:space="preserve">ENGINEER JUNIOR PERMESINAN </v>
          </cell>
          <cell r="F630" t="str">
            <v>m.fahmi@bki.co.id</v>
          </cell>
          <cell r="H630" t="str">
            <v>4C</v>
          </cell>
          <cell r="I630">
            <v>0</v>
          </cell>
        </row>
        <row r="631">
          <cell r="B631" t="str">
            <v>MUHAMMAD IQRA RAMADHAN</v>
          </cell>
          <cell r="C631" t="str">
            <v>DIVISI PERSETUJUAN RANCANG BANGUN NUSANTARA</v>
          </cell>
          <cell r="D631" t="str">
            <v>DIVISI PERSETUJUAN RANCANG BANGUN NUSANTARA</v>
          </cell>
          <cell r="E631" t="str">
            <v>ENGINEER JUNIOR STRUKTUR</v>
          </cell>
          <cell r="F631" t="str">
            <v>m.iqra@bki.co.id</v>
          </cell>
          <cell r="H631" t="str">
            <v>4C</v>
          </cell>
          <cell r="I631">
            <v>0</v>
          </cell>
        </row>
        <row r="632">
          <cell r="B632" t="str">
            <v>TOPAN FIRMANDHA</v>
          </cell>
          <cell r="C632" t="str">
            <v>DIVISI RISET DAN PENGEMBANGAN BISNIS KLASIFIKASI &amp; STATUTORIA</v>
          </cell>
          <cell r="D632" t="str">
            <v>DIVISI RISET DAN PENGEMBANGAN BISNIS KLASIFIKASI &amp; STATUTORIA</v>
          </cell>
          <cell r="E632" t="str">
            <v>PENGKAJI SENIOR II A MATERIAL &amp; STRUKTUR (PERATURAN  INTERNASIONAL)</v>
          </cell>
          <cell r="F632" t="str">
            <v>topan@bki.co.id</v>
          </cell>
          <cell r="G632" t="str">
            <v>081553005751</v>
          </cell>
          <cell r="H632" t="str">
            <v>7A</v>
          </cell>
          <cell r="I632">
            <v>0</v>
          </cell>
        </row>
        <row r="633">
          <cell r="B633" t="str">
            <v>FREDHI AGUNG PRASETYO</v>
          </cell>
          <cell r="C633" t="str">
            <v>DIVISI RISET DAN PENGEMBANGAN BISNIS KLASIFIKASI &amp; STATUTORIA</v>
          </cell>
          <cell r="D633" t="str">
            <v>DIVISI RISET DAN PENGEMBANGAN BISNIS KLASIFIKASI &amp; STATUTORIA</v>
          </cell>
          <cell r="E633" t="str">
            <v>VP RISET DAN PENGEMBANGAN BISNIS KLAS &amp; STATUTORIA</v>
          </cell>
          <cell r="F633" t="str">
            <v>fredhiagung@bki.co.id</v>
          </cell>
          <cell r="G633" t="str">
            <v>0812 848 6530</v>
          </cell>
          <cell r="H633" t="str">
            <v>8B</v>
          </cell>
          <cell r="I633">
            <v>0</v>
          </cell>
        </row>
        <row r="634">
          <cell r="B634" t="str">
            <v>MOHAMMAD ARIF KURNIAWAN</v>
          </cell>
          <cell r="C634" t="str">
            <v>DIVISI RISET DAN PENGEMBANGAN BISNIS KLASIFIKASI &amp; STATUTORIA</v>
          </cell>
          <cell r="D634" t="str">
            <v>DIVISI RISET DAN PENGEMBANGAN BISNIS KLASIFIKASI &amp; STATUTORIA</v>
          </cell>
          <cell r="E634" t="str">
            <v>SENIOR MANAGER RISET DAN PENGEMBANGAN BISNIS</v>
          </cell>
          <cell r="F634" t="str">
            <v>arif.kurniawan@bki.co.id</v>
          </cell>
          <cell r="G634" t="str">
            <v>082113538332</v>
          </cell>
          <cell r="H634" t="str">
            <v>7C</v>
          </cell>
          <cell r="I634">
            <v>0</v>
          </cell>
        </row>
        <row r="635">
          <cell r="B635" t="str">
            <v>DEFI RIZKI MAULIANI</v>
          </cell>
          <cell r="C635" t="str">
            <v>DIVISI RISET DAN PENGEMBANGAN BISNIS KLASIFIKASI &amp; STATUTORIA</v>
          </cell>
          <cell r="D635" t="str">
            <v>DIVISI RISET DAN PENGEMBANGAN BISNIS KLASIFIKASI &amp; STATUTORIA</v>
          </cell>
          <cell r="E635" t="str">
            <v>PENELITI BISNIS</v>
          </cell>
          <cell r="F635" t="str">
            <v>defi.rm@bki.co.id</v>
          </cell>
          <cell r="G635" t="str">
            <v>0856 5539 2988</v>
          </cell>
          <cell r="H635" t="str">
            <v>5C</v>
          </cell>
          <cell r="I635">
            <v>0</v>
          </cell>
        </row>
        <row r="636">
          <cell r="B636" t="str">
            <v>SITI KOMARIYAH</v>
          </cell>
          <cell r="C636" t="str">
            <v>DIVISI RISET DAN PENGEMBANGAN BISNIS KLASIFIKASI &amp; STATUTORIA</v>
          </cell>
          <cell r="D636" t="str">
            <v>DIVISI RISET DAN PENGEMBANGAN BISNIS KLASIFIKASI &amp; STATUTORIA</v>
          </cell>
          <cell r="E636" t="str">
            <v>SENIOR MANAGER PENGEMBANGAN PERATURAN INTERNASIONAL &amp; APLIKASI</v>
          </cell>
          <cell r="F636" t="str">
            <v>siti.komariyah@bki.co.id</v>
          </cell>
          <cell r="G636" t="str">
            <v>087877840964</v>
          </cell>
          <cell r="H636" t="str">
            <v>7B</v>
          </cell>
          <cell r="I636">
            <v>0</v>
          </cell>
        </row>
        <row r="637">
          <cell r="B637" t="str">
            <v>SUKRON MAKMUN</v>
          </cell>
          <cell r="C637" t="str">
            <v>DIVISI RISET DAN PENGEMBANGAN BISNIS KLASIFIKASI &amp; STATUTORIA</v>
          </cell>
          <cell r="D637" t="str">
            <v>DIVISI RISET DAN PENGEMBANGAN BISNIS KLASIFIKASI &amp; STATUTORIA</v>
          </cell>
          <cell r="E637" t="str">
            <v>SENIOR MANAGER PENGEMBANGAN PERATURAN NASIONAL DAN APLIKASI</v>
          </cell>
          <cell r="F637" t="str">
            <v>sukron@bki.co.id</v>
          </cell>
          <cell r="G637" t="str">
            <v>081330928598</v>
          </cell>
          <cell r="H637" t="str">
            <v>7B</v>
          </cell>
          <cell r="I637">
            <v>0</v>
          </cell>
        </row>
        <row r="638">
          <cell r="B638" t="str">
            <v>MOHAMMAD ABDUL MALIK</v>
          </cell>
          <cell r="C638" t="str">
            <v>DIVISI RISET DAN PENGEMBANGAN BISNIS KLASIFIKASI &amp; STATUTORIA</v>
          </cell>
          <cell r="D638" t="str">
            <v>DIVISI RISET DAN PENGEMBANGAN BISNIS KLASIFIKASI &amp; STATUTORIA</v>
          </cell>
          <cell r="E638" t="str">
            <v>PENGKAJI SENIOR I B STATUTORIA  (PERATURAN  NASIONAL)</v>
          </cell>
          <cell r="F638" t="str">
            <v>abdulmalik@bki.co.id</v>
          </cell>
          <cell r="G638" t="str">
            <v>085 6489 85075</v>
          </cell>
          <cell r="H638" t="str">
            <v>6B</v>
          </cell>
          <cell r="I638">
            <v>250000</v>
          </cell>
        </row>
        <row r="639">
          <cell r="B639" t="str">
            <v>ANGJUANG ADI PANJI PRATAMA</v>
          </cell>
          <cell r="C639" t="str">
            <v>DIVISI RISET DAN PENGEMBANGAN BISNIS KLASIFIKASI &amp; STATUTORIA</v>
          </cell>
          <cell r="D639" t="str">
            <v>DIVISI RISET DAN PENGEMBANGAN BISNIS KLASIFIKASI &amp; STATUTORIA</v>
          </cell>
          <cell r="E639" t="str">
            <v>PENGKAJI SENIOR I B KELISTRIKAN (PERATURAN INTERNASIONAL)</v>
          </cell>
          <cell r="F639" t="str">
            <v>angjuang@bki.co.id</v>
          </cell>
          <cell r="G639" t="str">
            <v>081219289349</v>
          </cell>
          <cell r="H639" t="str">
            <v>6B</v>
          </cell>
          <cell r="I639">
            <v>0</v>
          </cell>
        </row>
        <row r="640">
          <cell r="B640" t="str">
            <v>WANGININGASTUTI MUTMAINNAH</v>
          </cell>
          <cell r="C640" t="str">
            <v>DIVISI RISET DAN PENGEMBANGAN BISNIS KLASIFIKASI &amp; STATUTORIA</v>
          </cell>
          <cell r="D640" t="str">
            <v>DIVISI RISET DAN PENGEMBANGAN BISNIS KLASIFIKASI &amp; STATUTORIA</v>
          </cell>
          <cell r="E640" t="str">
            <v>PENELITI MATERIAL &amp; STRUKTUR</v>
          </cell>
          <cell r="F640" t="str">
            <v>wanginingastuti@bki.co.id</v>
          </cell>
          <cell r="G640" t="str">
            <v>087786372558</v>
          </cell>
          <cell r="H640" t="str">
            <v>5C</v>
          </cell>
          <cell r="I640">
            <v>0</v>
          </cell>
        </row>
        <row r="641">
          <cell r="B641" t="str">
            <v>RISKA DERIANI MASKAR</v>
          </cell>
          <cell r="C641" t="str">
            <v>DIVISI RISET DAN PENGEMBANGAN BISNIS KLASIFIKASI &amp; STATUTORIA</v>
          </cell>
          <cell r="D641" t="str">
            <v>DIVISI RISET DAN PENGEMBANGAN BISNIS KLASIFIKASI &amp; STATUTORIA</v>
          </cell>
          <cell r="E641" t="str">
            <v>PENGKAJI STATUTORIA (PERATURAN  NASIONAL)</v>
          </cell>
          <cell r="F641" t="str">
            <v>riska@bki.co.id</v>
          </cell>
          <cell r="G641" t="str">
            <v>085240409393</v>
          </cell>
          <cell r="H641" t="str">
            <v>5C</v>
          </cell>
          <cell r="I641">
            <v>250000</v>
          </cell>
        </row>
        <row r="642">
          <cell r="B642" t="str">
            <v>MUHAMAD RIZQI FITRA HARIADI</v>
          </cell>
          <cell r="C642" t="str">
            <v>DIVISI RISET DAN PENGEMBANGAN BISNIS KLASIFIKASI &amp; STATUTORIA</v>
          </cell>
          <cell r="D642" t="str">
            <v>DIVISI RISET DAN PENGEMBANGAN BISNIS KLASIFIKASI &amp; STATUTORIA</v>
          </cell>
          <cell r="E642" t="str">
            <v>PENELITI PERMESINAN</v>
          </cell>
          <cell r="F642" t="str">
            <v>m.rizqi@bki.co.id</v>
          </cell>
          <cell r="G642" t="str">
            <v>081292824339</v>
          </cell>
          <cell r="H642" t="str">
            <v>5C</v>
          </cell>
          <cell r="I642">
            <v>0</v>
          </cell>
        </row>
        <row r="643">
          <cell r="B643" t="str">
            <v>MUHAMMAD IRFAN</v>
          </cell>
          <cell r="C643" t="str">
            <v>DIVISI RISET DAN PENGEMBANGAN BISNIS KLASIFIKASI &amp; STATUTORIA</v>
          </cell>
          <cell r="D643" t="str">
            <v>DIVISI RISET DAN PENGEMBANGAN BISNIS KLASIFIKASI &amp; STATUTORIA</v>
          </cell>
          <cell r="E643" t="str">
            <v>PENGKAJI SENIOR I B MATERIAL &amp; STRUKTUR (PERATURAN  INTERNASIONAL)</v>
          </cell>
          <cell r="F643" t="str">
            <v>muhammad.irfan@bki.co.id</v>
          </cell>
          <cell r="G643" t="str">
            <v>087751671225</v>
          </cell>
          <cell r="H643" t="str">
            <v>6B</v>
          </cell>
          <cell r="I643">
            <v>0</v>
          </cell>
        </row>
        <row r="644">
          <cell r="B644" t="str">
            <v>DEFRI SUMARWAN</v>
          </cell>
          <cell r="C644" t="str">
            <v>DIVISI RISET DAN PENGEMBANGAN BISNIS KLASIFIKASI &amp; STATUTORIA</v>
          </cell>
          <cell r="D644" t="str">
            <v>DIVISI RISET DAN PENGEMBANGAN BISNIS KLASIFIKASI &amp; STATUTORIA</v>
          </cell>
          <cell r="E644" t="str">
            <v>PENGKAJI SENIOR I B MATERIAL &amp; STRUKTUR (PERATURAN  NASIONAL)</v>
          </cell>
          <cell r="F644" t="str">
            <v>defri@bki.co.id</v>
          </cell>
          <cell r="G644" t="str">
            <v>085891029080</v>
          </cell>
          <cell r="H644" t="str">
            <v>6B</v>
          </cell>
          <cell r="I644">
            <v>0</v>
          </cell>
        </row>
        <row r="645">
          <cell r="B645" t="str">
            <v>MUHAMMAD YUDI OKTOVIANTO</v>
          </cell>
          <cell r="C645" t="str">
            <v>DIVISI RISET DAN PENGEMBANGAN BISNIS KLASIFIKASI &amp; STATUTORIA</v>
          </cell>
          <cell r="D645" t="str">
            <v>DIVISI RISET DAN PENGEMBANGAN BISNIS KLASIFIKASI &amp; STATUTORIA</v>
          </cell>
          <cell r="E645" t="str">
            <v>PENGKAJI SENIOR I B MATERIAL &amp; STRUKTUR (PERATURAN  NASIONAL)</v>
          </cell>
          <cell r="F645" t="str">
            <v>yudi.oktovianto@bki.co.id</v>
          </cell>
          <cell r="G645" t="str">
            <v>085648222771</v>
          </cell>
          <cell r="H645" t="str">
            <v>6B</v>
          </cell>
          <cell r="I645">
            <v>250000</v>
          </cell>
        </row>
        <row r="646">
          <cell r="B646" t="str">
            <v>ROLAS YOGA MANIK</v>
          </cell>
          <cell r="C646" t="str">
            <v>DIVISI RISET DAN PENGEMBANGAN BISNIS KLASIFIKASI &amp; STATUTORIA</v>
          </cell>
          <cell r="D646" t="str">
            <v>DIVISI RISET DAN PENGEMBANGAN BISNIS KLASIFIKASI &amp; STATUTORIA</v>
          </cell>
          <cell r="E646" t="str">
            <v>PENGKAJI JUNIOR SURVEY NASIONAL</v>
          </cell>
          <cell r="F646" t="str">
            <v>rolas.ym@bki.co.id</v>
          </cell>
          <cell r="H646" t="str">
            <v>4C</v>
          </cell>
          <cell r="I646">
            <v>0</v>
          </cell>
        </row>
        <row r="647">
          <cell r="B647" t="str">
            <v>MUHAMMAD FUAD RASYAD</v>
          </cell>
          <cell r="C647" t="str">
            <v>DIVISI RISET DAN PENGEMBANGAN BISNIS KLASIFIKASI &amp; STATUTORIA</v>
          </cell>
          <cell r="D647" t="str">
            <v>DIVISI RISET DAN PENGEMBANGAN BISNIS KLASIFIKASI &amp; STATUTORIA</v>
          </cell>
          <cell r="E647" t="str">
            <v xml:space="preserve">PENGKAJI JUNIOR SURVEY INTERNASIONAL </v>
          </cell>
          <cell r="F647" t="str">
            <v>m.fuad@bki.co.id</v>
          </cell>
          <cell r="H647" t="str">
            <v>4C</v>
          </cell>
          <cell r="I647">
            <v>0</v>
          </cell>
        </row>
        <row r="648">
          <cell r="B648" t="str">
            <v>AYUMI PUTRI VARADITA</v>
          </cell>
          <cell r="C648" t="str">
            <v>DIVISI RISET DAN PENGEMBANGAN BISNIS KLASIFIKASI &amp; STATUTORIA</v>
          </cell>
          <cell r="D648" t="str">
            <v>DIVISI RISET DAN PENGEMBANGAN BISNIS KLASIFIKASI &amp; STATUTORIA</v>
          </cell>
          <cell r="E648" t="str">
            <v>STAF TEKNIK</v>
          </cell>
          <cell r="F648" t="str">
            <v>ayumi.putri@bki.co.id</v>
          </cell>
          <cell r="G648" t="str">
            <v>081315760098</v>
          </cell>
          <cell r="H648" t="str">
            <v>-</v>
          </cell>
          <cell r="I648">
            <v>0</v>
          </cell>
        </row>
        <row r="649">
          <cell r="B649" t="str">
            <v>VICKY JULIAN PRAYOGA</v>
          </cell>
          <cell r="C649" t="str">
            <v>DIVISI RISET DAN PENGEMBANGAN BISNIS KLASIFIKASI &amp; STATUTORIA</v>
          </cell>
          <cell r="D649" t="str">
            <v>DIVISI RISET DAN PENGEMBANGAN BISNIS KLASIFIKASI &amp; STATUTORIA</v>
          </cell>
          <cell r="E649" t="str">
            <v>STAF DUKUNGAN BISNIS</v>
          </cell>
          <cell r="F649" t="str">
            <v>vicky.julian@bki.co.id</v>
          </cell>
          <cell r="G649" t="str">
            <v>083806412285</v>
          </cell>
          <cell r="H649" t="str">
            <v>-</v>
          </cell>
          <cell r="I649">
            <v>0</v>
          </cell>
        </row>
        <row r="650">
          <cell r="B650" t="str">
            <v>ENDAH NOVITA</v>
          </cell>
          <cell r="C650" t="str">
            <v>DIVISI RISET DAN PENGEMBANGAN BISNIS KLASIFIKASI &amp; STATUTORIA</v>
          </cell>
          <cell r="D650" t="str">
            <v>DIVISI RISET DAN PENGEMBANGAN BISNIS KLASIFIKASI &amp; STATUTORIA</v>
          </cell>
          <cell r="E650" t="str">
            <v>STAF RISET</v>
          </cell>
          <cell r="F650" t="str">
            <v>endah.novita@bki.co.id</v>
          </cell>
          <cell r="G650" t="str">
            <v>082219728690</v>
          </cell>
          <cell r="H650" t="str">
            <v>-</v>
          </cell>
          <cell r="I650">
            <v>0</v>
          </cell>
        </row>
        <row r="651">
          <cell r="B651" t="str">
            <v>ANGGA RAMADHANI SAPUTRA</v>
          </cell>
          <cell r="C651" t="str">
            <v>DIVISI RISET DAN PENGEMBANGAN BISNIS KLASIFIKASI &amp; STATUTORIA</v>
          </cell>
          <cell r="D651" t="str">
            <v>DIVISI RISET DAN PENGEMBANGAN BISNIS KLASIFIKASI &amp; STATUTORIA</v>
          </cell>
          <cell r="E651" t="str">
            <v>STAF RISET BISNIS</v>
          </cell>
          <cell r="F651" t="str">
            <v>angga.rs@bki.co.id</v>
          </cell>
          <cell r="H651" t="str">
            <v>-</v>
          </cell>
          <cell r="I651">
            <v>0</v>
          </cell>
        </row>
        <row r="652">
          <cell r="B652" t="str">
            <v>FARRAH MUTIA NURFADILAH</v>
          </cell>
          <cell r="C652" t="str">
            <v>DIVISI RISET DAN PENGEMBANGAN PRODUK</v>
          </cell>
          <cell r="D652" t="str">
            <v>DIVISI RISET DAN PENGEMBANGAN PRODUK</v>
          </cell>
          <cell r="E652" t="str">
            <v>ADMINISTRATOR SENIOR</v>
          </cell>
          <cell r="F652" t="str">
            <v>farrah.mn@bki.co.id</v>
          </cell>
          <cell r="G652" t="str">
            <v>08128946370</v>
          </cell>
          <cell r="H652" t="str">
            <v>3B</v>
          </cell>
          <cell r="I652">
            <v>150000</v>
          </cell>
        </row>
        <row r="653">
          <cell r="B653" t="str">
            <v>NOVIANSYAH PAMUNGKAS</v>
          </cell>
          <cell r="C653" t="str">
            <v>DIVISI SEKRETARIS PERUSAHAAN</v>
          </cell>
          <cell r="D653" t="str">
            <v>DIVISI SEKRETARIS PERUSAHAAN</v>
          </cell>
          <cell r="E653" t="str">
            <v>ANALIS EXECUTIVE SUPPORT</v>
          </cell>
          <cell r="F653" t="str">
            <v>noviansyah@bki.co.id</v>
          </cell>
          <cell r="G653" t="str">
            <v>085715145677</v>
          </cell>
          <cell r="H653" t="str">
            <v>5B</v>
          </cell>
          <cell r="I653">
            <v>150000</v>
          </cell>
        </row>
        <row r="654">
          <cell r="B654" t="str">
            <v>WILLEM GERRIT PIETER REHATTA</v>
          </cell>
          <cell r="C654" t="str">
            <v>DIVISI SEKRETARIS PERUSAHAAN</v>
          </cell>
          <cell r="D654" t="str">
            <v>DIVISI SEKRETARIS PERUSAHAAN</v>
          </cell>
          <cell r="E654" t="str">
            <v>JUNIOR PROTOKOLER</v>
          </cell>
          <cell r="F654" t="str">
            <v>gerrit.rehatta@bki.co.id</v>
          </cell>
          <cell r="G654">
            <v>0</v>
          </cell>
          <cell r="H654" t="str">
            <v>3B</v>
          </cell>
          <cell r="I654">
            <v>150000</v>
          </cell>
        </row>
        <row r="655">
          <cell r="B655" t="str">
            <v>MICHELLE CHANTAL MUSTAMU</v>
          </cell>
          <cell r="C655" t="str">
            <v>DIVISI SEKRETARIS PERUSAHAAN</v>
          </cell>
          <cell r="D655" t="str">
            <v>DIVISI SEKRETARIS PERUSAHAAN</v>
          </cell>
          <cell r="E655" t="str">
            <v>ADMINISTRATOR</v>
          </cell>
          <cell r="F655" t="str">
            <v>michelle.mustamu@bki.co.id</v>
          </cell>
          <cell r="G655" t="str">
            <v>082110212169</v>
          </cell>
          <cell r="H655" t="str">
            <v>2A</v>
          </cell>
          <cell r="I655">
            <v>150000</v>
          </cell>
        </row>
        <row r="656">
          <cell r="B656" t="str">
            <v>LINDA KURNIATY</v>
          </cell>
          <cell r="C656" t="str">
            <v>DIVISI SEKRETARIS PERUSAHAAN</v>
          </cell>
          <cell r="D656" t="str">
            <v>DIVISI SEKRETARIS PERUSAHAAN</v>
          </cell>
          <cell r="E656" t="str">
            <v>ANALIS ADMISNISTRASI KORPORASI</v>
          </cell>
          <cell r="F656" t="str">
            <v>linda.kurniaty@bki.co.id</v>
          </cell>
          <cell r="G656" t="str">
            <v>081286100266</v>
          </cell>
          <cell r="H656" t="str">
            <v>5A</v>
          </cell>
          <cell r="I656">
            <v>250000</v>
          </cell>
        </row>
        <row r="657">
          <cell r="B657" t="str">
            <v>HAERUDIN</v>
          </cell>
          <cell r="C657" t="str">
            <v>DIVISI SEKRETARIS PERUSAHAAN</v>
          </cell>
          <cell r="D657" t="str">
            <v>DIVISI SEKRETARIS PERUSAHAAN</v>
          </cell>
          <cell r="E657" t="str">
            <v>ADMINISTRATOR</v>
          </cell>
          <cell r="F657" t="str">
            <v>haerudin@bki.co.id</v>
          </cell>
          <cell r="G657" t="str">
            <v>085781100705</v>
          </cell>
          <cell r="H657" t="str">
            <v>2A</v>
          </cell>
          <cell r="I657">
            <v>150000</v>
          </cell>
        </row>
        <row r="658">
          <cell r="B658" t="str">
            <v>DEBORAH NINDYA PAWESTRI</v>
          </cell>
          <cell r="C658" t="str">
            <v>DIVISI SEKRETARIS PERUSAHAAN</v>
          </cell>
          <cell r="D658" t="str">
            <v>DIVISI SEKRETARIS PERUSAHAAN</v>
          </cell>
          <cell r="E658" t="str">
            <v>OFFICER LEGAL DAN KEPATUHAN</v>
          </cell>
          <cell r="F658" t="str">
            <v>deborah.np@bki.co.id</v>
          </cell>
          <cell r="G658" t="str">
            <v>081218903584</v>
          </cell>
          <cell r="H658" t="str">
            <v>4B</v>
          </cell>
          <cell r="I658">
            <v>150000</v>
          </cell>
        </row>
        <row r="659">
          <cell r="B659" t="str">
            <v>ERRY SANJAYA DJAYUS</v>
          </cell>
          <cell r="C659" t="str">
            <v>DIVISI SEKRETARIS PERUSAHAAN</v>
          </cell>
          <cell r="D659" t="str">
            <v>DIVISI SEKRETARIS PERUSAHAAN</v>
          </cell>
          <cell r="E659" t="str">
            <v>STAF UTAMA I A</v>
          </cell>
          <cell r="F659" t="str">
            <v>erry@bki.co.id</v>
          </cell>
          <cell r="G659" t="str">
            <v>081332555251</v>
          </cell>
          <cell r="H659" t="str">
            <v>7A</v>
          </cell>
          <cell r="I659">
            <v>350000</v>
          </cell>
        </row>
        <row r="660">
          <cell r="B660" t="str">
            <v>WILLY ADI NUGROHO</v>
          </cell>
          <cell r="C660" t="str">
            <v>DIVISI SEKRETARIS PERUSAHAAN</v>
          </cell>
          <cell r="D660" t="str">
            <v>DIVISI SEKRETARIS PERUSAHAAN</v>
          </cell>
          <cell r="E660" t="str">
            <v>SENIOR MANAGER KOMUNIKASI KORPORAT DAN TATA KELOLA</v>
          </cell>
          <cell r="F660" t="str">
            <v>willy.an@bki.co.id</v>
          </cell>
          <cell r="G660" t="str">
            <v>081284973144</v>
          </cell>
          <cell r="H660" t="str">
            <v>7A</v>
          </cell>
          <cell r="I660">
            <v>250000</v>
          </cell>
        </row>
        <row r="661">
          <cell r="B661" t="str">
            <v>KEVIN IQBAL RIZALDI</v>
          </cell>
          <cell r="C661" t="str">
            <v>DIVISI SEKRETARIS PERUSAHAAN</v>
          </cell>
          <cell r="D661" t="str">
            <v>DIVISI SEKRETARIS PERUSAHAAN</v>
          </cell>
          <cell r="E661" t="str">
            <v>PJ. SENIOR MANAGER LEGAL DAN KEPATUHAN</v>
          </cell>
          <cell r="F661" t="str">
            <v>kevin.ir@bki.co.id</v>
          </cell>
          <cell r="G661" t="str">
            <v>081334261386</v>
          </cell>
          <cell r="H661" t="str">
            <v>6A</v>
          </cell>
          <cell r="I661">
            <v>150000</v>
          </cell>
        </row>
        <row r="662">
          <cell r="B662" t="str">
            <v>IBNU AL MUAFI</v>
          </cell>
          <cell r="C662" t="str">
            <v>DIVISI SEKRETARIS PERUSAHAAN</v>
          </cell>
          <cell r="D662" t="str">
            <v>DIVISI SEKRETARIS PERUSAHAAN</v>
          </cell>
          <cell r="E662" t="str">
            <v>OFFICER DESIGN KOMUNIKASI</v>
          </cell>
          <cell r="F662" t="str">
            <v>ibnu.am@bki.co.id</v>
          </cell>
          <cell r="H662" t="str">
            <v>4B</v>
          </cell>
          <cell r="I662">
            <v>0</v>
          </cell>
        </row>
        <row r="663">
          <cell r="B663" t="str">
            <v>FEIRUZ RACHMITA ALAMSYAH</v>
          </cell>
          <cell r="C663" t="str">
            <v>DIVISI SEKRETARIS PERUSAHAAN</v>
          </cell>
          <cell r="D663" t="str">
            <v>DIVISI SEKRETARIS PERUSAHAAN</v>
          </cell>
          <cell r="E663" t="str">
            <v>STAF ADMINISTRASI LEGAL</v>
          </cell>
          <cell r="F663" t="str">
            <v>feiruz.rachmita@bki.co.id</v>
          </cell>
          <cell r="G663" t="str">
            <v>087825126719</v>
          </cell>
          <cell r="H663" t="str">
            <v>-</v>
          </cell>
          <cell r="I663">
            <v>0</v>
          </cell>
        </row>
        <row r="664">
          <cell r="B664" t="str">
            <v>ADE SINTYA KUSUMAWARDANI</v>
          </cell>
          <cell r="C664" t="str">
            <v>DIVISI SEKRETARIS PERUSAHAAN</v>
          </cell>
          <cell r="D664" t="str">
            <v>DIVISI SEKRETARIS PERUSAHAAN</v>
          </cell>
          <cell r="E664" t="str">
            <v>STAF DUKUNGAN BISNIS</v>
          </cell>
          <cell r="F664" t="str">
            <v>ade.sintya@bki.co.id</v>
          </cell>
          <cell r="G664" t="str">
            <v>085717557109</v>
          </cell>
          <cell r="H664" t="str">
            <v>-</v>
          </cell>
          <cell r="I664">
            <v>100000</v>
          </cell>
        </row>
        <row r="665">
          <cell r="B665" t="str">
            <v>NAUFAL FARRAS BASUKI</v>
          </cell>
          <cell r="C665" t="str">
            <v>DIVISI SEKRETARIS PERUSAHAAN</v>
          </cell>
          <cell r="D665" t="str">
            <v>DIVISI SEKRETARIS PERUSAHAAN</v>
          </cell>
          <cell r="E665" t="str">
            <v>STAF DUKUNGAN BISNIS</v>
          </cell>
          <cell r="F665" t="str">
            <v>naufal.farras@bki.co.id</v>
          </cell>
          <cell r="G665" t="str">
            <v>087804131975</v>
          </cell>
          <cell r="H665" t="str">
            <v>-</v>
          </cell>
          <cell r="I665">
            <v>0</v>
          </cell>
        </row>
        <row r="666">
          <cell r="B666" t="str">
            <v>NIRMALA LUTHFIYA ATYANTA</v>
          </cell>
          <cell r="C666" t="str">
            <v>DIVISI SEKRETARIS PERUSAHAAN</v>
          </cell>
          <cell r="D666" t="str">
            <v>DIVISI SEKRETARIS PERUSAHAAN</v>
          </cell>
          <cell r="E666" t="str">
            <v>STAF DUKUNGAN BISNIS</v>
          </cell>
          <cell r="F666" t="str">
            <v>nirmala.la@bki.co.id</v>
          </cell>
          <cell r="G666" t="str">
            <v>085876683530</v>
          </cell>
          <cell r="H666" t="str">
            <v>-</v>
          </cell>
          <cell r="I666">
            <v>100000</v>
          </cell>
        </row>
        <row r="667">
          <cell r="B667" t="str">
            <v>AURA AZZAHRA</v>
          </cell>
          <cell r="C667" t="str">
            <v>DIVISI SEKRETARIS PERUSAHAAN</v>
          </cell>
          <cell r="D667" t="str">
            <v>DIVISI SEKRETARIS PERUSAHAAN</v>
          </cell>
          <cell r="E667" t="str">
            <v>STAF DUKUNGAN BISNIS</v>
          </cell>
          <cell r="F667" t="str">
            <v>aura.azzahra@bki.co.id</v>
          </cell>
          <cell r="G667" t="str">
            <v>088233183044</v>
          </cell>
          <cell r="H667" t="str">
            <v>-</v>
          </cell>
          <cell r="I667">
            <v>0</v>
          </cell>
        </row>
        <row r="668">
          <cell r="B668" t="str">
            <v>MUHAMMAD RAHUL</v>
          </cell>
          <cell r="C668" t="str">
            <v>DIVISI SEKRETARIS PERUSAHAAN</v>
          </cell>
          <cell r="D668" t="str">
            <v>DIVISI SEKRETARIS PERUSAHAAN</v>
          </cell>
          <cell r="E668" t="str">
            <v>STAF DUKUNGAN BISNIS</v>
          </cell>
          <cell r="F668" t="str">
            <v>m.rahul@bki.co.id</v>
          </cell>
          <cell r="G668" t="str">
            <v>085778171388</v>
          </cell>
          <cell r="H668" t="str">
            <v>-</v>
          </cell>
          <cell r="I668">
            <v>100000</v>
          </cell>
        </row>
        <row r="669">
          <cell r="B669" t="str">
            <v>JEIHAN FAJAR KUSAENI</v>
          </cell>
          <cell r="C669" t="str">
            <v>DIVISI SEKRETARIS PERUSAHAAN</v>
          </cell>
          <cell r="D669" t="str">
            <v>DIVISI SEKRETARIS PERUSAHAAN</v>
          </cell>
          <cell r="E669" t="str">
            <v>STAF DUKUNGAN BISNIS</v>
          </cell>
          <cell r="F669" t="str">
            <v>jeihan.fajar@bki.co.id</v>
          </cell>
          <cell r="G669" t="str">
            <v>089518789698</v>
          </cell>
          <cell r="H669" t="str">
            <v>-</v>
          </cell>
          <cell r="I669">
            <v>0</v>
          </cell>
        </row>
        <row r="670">
          <cell r="B670" t="str">
            <v>ELLIZARTAMA TAUFIK HADIMULYO</v>
          </cell>
          <cell r="C670" t="str">
            <v>DIVISI SEKRETARIS PERUSAHAAN</v>
          </cell>
          <cell r="D670" t="str">
            <v>DIVISI SEKRETARIS PERUSAHAAN</v>
          </cell>
          <cell r="E670" t="str">
            <v>STAF KOMUNIKASI KORPORAT</v>
          </cell>
          <cell r="F670" t="str">
            <v>Ellizartama.th@bki.co.id</v>
          </cell>
          <cell r="G670" t="str">
            <v>081282553700</v>
          </cell>
          <cell r="H670" t="str">
            <v>-</v>
          </cell>
          <cell r="I670">
            <v>0</v>
          </cell>
        </row>
        <row r="671">
          <cell r="B671" t="str">
            <v>MUHAMMAD HANIF IRSYAD</v>
          </cell>
          <cell r="C671" t="str">
            <v>DIVISI SEKRETARIS PERUSAHAAN</v>
          </cell>
          <cell r="D671" t="str">
            <v>DIVISI SEKRETARIS PERUSAHAAN</v>
          </cell>
          <cell r="E671" t="str">
            <v>STAF KOMUNIKASI KORPORAT</v>
          </cell>
          <cell r="F671" t="str">
            <v>hanif.irsyad@bki.co.id</v>
          </cell>
          <cell r="H671" t="str">
            <v>-</v>
          </cell>
          <cell r="I671">
            <v>0</v>
          </cell>
        </row>
        <row r="672">
          <cell r="B672" t="str">
            <v>KUSUMA WARDANA BAGUS DWI KUNCORO</v>
          </cell>
          <cell r="C672" t="str">
            <v>DIVISI SEKRETARIS PERUSAHAAN</v>
          </cell>
          <cell r="D672" t="str">
            <v>DIVISI SEKRETARIS PERUSAHAAN</v>
          </cell>
          <cell r="E672" t="str">
            <v>STAF OOTB DIREKTUR OPERASI BISNIS KLASIFIKASI</v>
          </cell>
          <cell r="F672" t="str">
            <v>bagus.kuncoro@bki.co.id</v>
          </cell>
          <cell r="H672" t="str">
            <v>-</v>
          </cell>
          <cell r="I672">
            <v>0</v>
          </cell>
        </row>
        <row r="673">
          <cell r="B673" t="str">
            <v>I MADE VIDYA PRAWIRA SATRIO</v>
          </cell>
          <cell r="C673" t="str">
            <v>DIVISI SEKRETARIS PERUSAHAAN</v>
          </cell>
          <cell r="D673" t="str">
            <v>DIVISI SEKRETARIS PERUSAHAAN</v>
          </cell>
          <cell r="E673" t="str">
            <v>STAF OFFICE OF THE BOARD</v>
          </cell>
          <cell r="F673" t="str">
            <v>made.vidya@bki.co.id</v>
          </cell>
          <cell r="G673" t="str">
            <v>082126401744</v>
          </cell>
          <cell r="H673" t="str">
            <v>-</v>
          </cell>
          <cell r="I673">
            <v>0</v>
          </cell>
        </row>
        <row r="674">
          <cell r="B674" t="str">
            <v>TANRI SYAHREZA DIARSA</v>
          </cell>
          <cell r="C674" t="str">
            <v>DIVISI SEKRETARIS PERUSAHAAN</v>
          </cell>
          <cell r="D674" t="str">
            <v>DIVISI SEKRETARIS PERUSAHAAN</v>
          </cell>
          <cell r="E674" t="str">
            <v>STAF LEGAL DAN KEPATUHAN</v>
          </cell>
          <cell r="H674" t="str">
            <v>-</v>
          </cell>
          <cell r="I674">
            <v>0</v>
          </cell>
        </row>
        <row r="675">
          <cell r="B675" t="str">
            <v>N. KARINDITA EKIBDWI PUTRI</v>
          </cell>
          <cell r="C675" t="str">
            <v>DIVISI SEKRETARIS PERUSAHAAN</v>
          </cell>
          <cell r="D675" t="str">
            <v>DIVISI SEKRETARIS PERUSAHAAN IDS</v>
          </cell>
          <cell r="E675" t="str">
            <v>SPESIALIS EXECUTIVE SUPPORT</v>
          </cell>
          <cell r="F675" t="str">
            <v>karindita.ep@bki.co.id</v>
          </cell>
          <cell r="G675" t="str">
            <v>081295481237</v>
          </cell>
          <cell r="H675" t="str">
            <v>6A</v>
          </cell>
          <cell r="I675">
            <v>0</v>
          </cell>
        </row>
        <row r="676">
          <cell r="B676" t="str">
            <v>BONOR SAMUEL CHARLES</v>
          </cell>
          <cell r="C676" t="str">
            <v>DIVISI SEKRETARIS PERUSAHAAN</v>
          </cell>
          <cell r="D676" t="str">
            <v>DIVISI SEKRETARIS PERUSAHAAN IDS</v>
          </cell>
          <cell r="E676" t="str">
            <v>SENIOR MANAGER KOMUNIKASI KORPORAT</v>
          </cell>
          <cell r="F676" t="str">
            <v>bonor.sc@bki.co.id</v>
          </cell>
          <cell r="G676" t="str">
            <v>081383788508</v>
          </cell>
          <cell r="H676" t="str">
            <v>7A</v>
          </cell>
          <cell r="I676">
            <v>250000</v>
          </cell>
        </row>
        <row r="677">
          <cell r="B677" t="str">
            <v>RAGA DICKLIES PURWANTO</v>
          </cell>
          <cell r="C677" t="str">
            <v>DIVISI SEKRETARIS PERUSAHAAN</v>
          </cell>
          <cell r="D677" t="str">
            <v>DIVISI SEKRETARIS PERUSAHAAN IDS</v>
          </cell>
          <cell r="E677" t="str">
            <v>SENIOR MANAGER CHIEF OF STAFF</v>
          </cell>
          <cell r="F677" t="str">
            <v>raga@bki.co.id</v>
          </cell>
          <cell r="G677" t="str">
            <v>0856 5516 8253</v>
          </cell>
          <cell r="H677" t="str">
            <v>7A</v>
          </cell>
          <cell r="I677">
            <v>0</v>
          </cell>
        </row>
        <row r="678">
          <cell r="B678" t="str">
            <v>GDE SANDHYANA PRADHITA</v>
          </cell>
          <cell r="C678" t="str">
            <v>DIVISI SEKRETARIS PERUSAHAAN</v>
          </cell>
          <cell r="D678" t="str">
            <v>DIVISI SEKRETARIS PERUSAHAAN IDS</v>
          </cell>
          <cell r="E678" t="str">
            <v>PROTOKOLER</v>
          </cell>
          <cell r="F678" t="str">
            <v>gde.sandhyana@bki.co.id</v>
          </cell>
          <cell r="G678" t="str">
            <v>081388481914</v>
          </cell>
          <cell r="H678" t="str">
            <v>4B</v>
          </cell>
          <cell r="I678">
            <v>150000</v>
          </cell>
        </row>
        <row r="679">
          <cell r="B679" t="str">
            <v>FARIZ ABDILLAH</v>
          </cell>
          <cell r="C679" t="str">
            <v>DIVISI SEKRETARIS PERUSAHAAN</v>
          </cell>
          <cell r="D679" t="str">
            <v>DIVISI SEKRETARIS PERUSAHAAN IDS</v>
          </cell>
          <cell r="E679" t="str">
            <v>JUNIOR EXECUTIVE SUPPORT</v>
          </cell>
          <cell r="F679" t="str">
            <v>fariz.abdillah@bki.co.id</v>
          </cell>
          <cell r="G679" t="str">
            <v>081210339436</v>
          </cell>
          <cell r="H679" t="str">
            <v>3A</v>
          </cell>
          <cell r="I679">
            <v>0</v>
          </cell>
        </row>
        <row r="680">
          <cell r="B680" t="str">
            <v>ARY DEWANTO</v>
          </cell>
          <cell r="C680" t="str">
            <v>DIVISI SEKRETARIS PERUSAHAAN</v>
          </cell>
          <cell r="D680" t="str">
            <v>DIVISI SEKRETARIS PERUSAHAAN IDS</v>
          </cell>
          <cell r="E680" t="str">
            <v>STAF DUKUNGAN BISNIS</v>
          </cell>
          <cell r="F680" t="str">
            <v>ary.dewanto@bki.co.id</v>
          </cell>
          <cell r="G680" t="str">
            <v>089658963554</v>
          </cell>
          <cell r="H680" t="str">
            <v>-</v>
          </cell>
          <cell r="I680">
            <v>0</v>
          </cell>
        </row>
        <row r="681">
          <cell r="B681" t="str">
            <v>DHITYA PUTRA RAMADHAN</v>
          </cell>
          <cell r="C681" t="str">
            <v>DIVISI SEKRETARIS PERUSAHAAN</v>
          </cell>
          <cell r="D681" t="str">
            <v>DIVISI SEKRETARIS PERUSAHAAN IDS</v>
          </cell>
          <cell r="E681" t="str">
            <v>STAF DUKUNGAN BISNIS</v>
          </cell>
          <cell r="F681" t="str">
            <v>dhitya.putra@bki.co.id</v>
          </cell>
          <cell r="G681" t="str">
            <v>085156460512</v>
          </cell>
          <cell r="H681" t="str">
            <v>-</v>
          </cell>
          <cell r="I681">
            <v>100000</v>
          </cell>
        </row>
        <row r="682">
          <cell r="B682" t="str">
            <v>VERONICA TJINTHIA</v>
          </cell>
          <cell r="C682" t="str">
            <v>DIVISI SEKRETARIS PERUSAHAAN</v>
          </cell>
          <cell r="D682" t="str">
            <v>DIVISI SEKRETARIS PERUSAHAAN IDS</v>
          </cell>
          <cell r="E682" t="str">
            <v>STAF DUKUNGAN BISNIS</v>
          </cell>
          <cell r="F682" t="str">
            <v>veronica.t@bki.co.id</v>
          </cell>
          <cell r="G682">
            <v>0</v>
          </cell>
          <cell r="H682" t="str">
            <v>-</v>
          </cell>
          <cell r="I682">
            <v>0</v>
          </cell>
        </row>
        <row r="683">
          <cell r="B683" t="str">
            <v>ALLARIC AVICENNA RENANDA</v>
          </cell>
          <cell r="C683" t="str">
            <v>DIVISI SEKRETARIS PERUSAHAAN</v>
          </cell>
          <cell r="D683" t="str">
            <v>DIVISI SEKRETARIS PERUSAHAAN IDS</v>
          </cell>
          <cell r="E683" t="str">
            <v>STAF DUKUNGAN BISNIS</v>
          </cell>
          <cell r="F683" t="str">
            <v>allaric@bki.co.id</v>
          </cell>
          <cell r="G683" t="str">
            <v>081381375736</v>
          </cell>
          <cell r="H683" t="str">
            <v>-</v>
          </cell>
          <cell r="I683">
            <v>0</v>
          </cell>
        </row>
        <row r="684">
          <cell r="B684" t="str">
            <v>ADHI KHOLIDDIN</v>
          </cell>
          <cell r="C684" t="str">
            <v>DIVISI SISTEM MANAJEMEN DAN AUDIT</v>
          </cell>
          <cell r="D684" t="str">
            <v>DIVISI SISTEM MANAJEMEN DAN AUDIT</v>
          </cell>
          <cell r="E684" t="str">
            <v>VP MANAJEMEN SISTEM DAN MUTU</v>
          </cell>
          <cell r="F684" t="str">
            <v>adhi@bki.co.id</v>
          </cell>
          <cell r="G684" t="str">
            <v>085769969929</v>
          </cell>
          <cell r="H684" t="str">
            <v>8A</v>
          </cell>
          <cell r="I684">
            <v>0</v>
          </cell>
        </row>
        <row r="685">
          <cell r="B685" t="str">
            <v>LYZA YUNI SETIAWATI</v>
          </cell>
          <cell r="C685" t="str">
            <v>DIVISI SISTEM MANAJEMEN DAN AUDIT</v>
          </cell>
          <cell r="D685" t="str">
            <v>DIVISI SISTEM MANAJEMEN DAN AUDIT</v>
          </cell>
          <cell r="E685" t="str">
            <v>SENIOR MANAGER SISTEM AUDIT DAN MANAJEMEN MUTU KOMERSIL</v>
          </cell>
          <cell r="F685" t="str">
            <v>lyzays@bki.co.id</v>
          </cell>
          <cell r="G685" t="str">
            <v>081213342474</v>
          </cell>
          <cell r="H685" t="str">
            <v>7B</v>
          </cell>
          <cell r="I685">
            <v>250000</v>
          </cell>
        </row>
        <row r="686">
          <cell r="B686" t="str">
            <v>SYAFIUDDIN</v>
          </cell>
          <cell r="C686" t="str">
            <v>DIVISI SISTEM MANAJEMEN DAN AUDIT</v>
          </cell>
          <cell r="D686" t="str">
            <v>DIVISI SISTEM MANAJEMEN DAN AUDIT</v>
          </cell>
          <cell r="E686" t="str">
            <v>SENIOR MANAGER SISTEM AUDIT DAN MANAJEMEN MUTU KLASIFIKASI</v>
          </cell>
          <cell r="F686" t="str">
            <v>syafiuddin@bki.co.id</v>
          </cell>
          <cell r="G686" t="str">
            <v>081586626621</v>
          </cell>
          <cell r="H686" t="str">
            <v>7B</v>
          </cell>
          <cell r="I686">
            <v>0</v>
          </cell>
        </row>
        <row r="687">
          <cell r="B687" t="str">
            <v>SIGIT PAMUNGKAS</v>
          </cell>
          <cell r="C687" t="str">
            <v>DIVISI SISTEM MANAJEMEN DAN AUDIT</v>
          </cell>
          <cell r="D687" t="str">
            <v>DIVISI SISTEM MANAJEMEN DAN AUDIT</v>
          </cell>
          <cell r="E687" t="str">
            <v>AUDITOR SENIOR I A MANAJEMEN MUTU KLASIFIKASI</v>
          </cell>
          <cell r="F687" t="str">
            <v>sigit.pamungkas@bki.co.id</v>
          </cell>
          <cell r="G687" t="str">
            <v>081283286269</v>
          </cell>
          <cell r="H687" t="str">
            <v>6A</v>
          </cell>
          <cell r="I687">
            <v>0</v>
          </cell>
        </row>
        <row r="688">
          <cell r="B688" t="str">
            <v>KARTIKA WIJAYANTI KUSUMAWARDHANI</v>
          </cell>
          <cell r="C688" t="str">
            <v>DIVISI SISTEM MANAJEMEN DAN AUDIT</v>
          </cell>
          <cell r="D688" t="str">
            <v>DIVISI SISTEM MANAJEMEN DAN AUDIT</v>
          </cell>
          <cell r="E688" t="str">
            <v>ADMINISTRATOR SENIOR</v>
          </cell>
          <cell r="F688" t="str">
            <v>kartika.wijayanti@bki.co.id</v>
          </cell>
          <cell r="G688" t="str">
            <v>08161430684</v>
          </cell>
          <cell r="H688" t="str">
            <v>3B</v>
          </cell>
          <cell r="I688">
            <v>150000</v>
          </cell>
        </row>
        <row r="689">
          <cell r="B689" t="str">
            <v>MUKTI BRAVITA</v>
          </cell>
          <cell r="C689" t="str">
            <v>DIVISI SISTEM MANAJEMEN DAN AUDIT</v>
          </cell>
          <cell r="D689" t="str">
            <v>DIVISI SISTEM MANAJEMEN DAN AUDIT</v>
          </cell>
          <cell r="E689" t="str">
            <v>AUDITOR MANAJEMEN MUTU KOMERSIAL</v>
          </cell>
          <cell r="F689" t="str">
            <v>mukti@bki.co.id</v>
          </cell>
          <cell r="G689" t="str">
            <v>081318115181</v>
          </cell>
          <cell r="H689" t="str">
            <v>5C</v>
          </cell>
          <cell r="I689">
            <v>0</v>
          </cell>
        </row>
        <row r="690">
          <cell r="B690" t="str">
            <v>ANDI LAMAPPASESSU</v>
          </cell>
          <cell r="C690" t="str">
            <v>DIVISI SISTEM MANAJEMEN DAN AUDIT</v>
          </cell>
          <cell r="D690" t="str">
            <v>DIVISI SISTEM MANAJEMEN DAN AUDIT</v>
          </cell>
          <cell r="E690" t="str">
            <v>AUDITOR SENIOR I MANAJEMEN MUTU KOMERSIAL</v>
          </cell>
          <cell r="F690" t="str">
            <v>mappasessu@bki.co.id</v>
          </cell>
          <cell r="G690" t="str">
            <v>02186886455</v>
          </cell>
          <cell r="H690" t="str">
            <v>6B</v>
          </cell>
          <cell r="I690">
            <v>350000</v>
          </cell>
        </row>
        <row r="691">
          <cell r="B691" t="str">
            <v>TUNJUNG WIDYATMO HANDOYO</v>
          </cell>
          <cell r="C691" t="str">
            <v>DIVISI SISTEM MANAJEMEN DAN AUDIT</v>
          </cell>
          <cell r="D691" t="str">
            <v>DIVISI SISTEM MANAJEMEN DAN AUDIT</v>
          </cell>
          <cell r="E691" t="str">
            <v>AUDITOR MANAJEMEN MUTU KOMERSIAL</v>
          </cell>
          <cell r="F691" t="str">
            <v>tunjung.wh@bki.co.id</v>
          </cell>
          <cell r="G691" t="str">
            <v>085229530830</v>
          </cell>
          <cell r="H691" t="str">
            <v>5C</v>
          </cell>
          <cell r="I691">
            <v>100000</v>
          </cell>
        </row>
        <row r="692">
          <cell r="B692" t="str">
            <v>ANGGA SANTOSO</v>
          </cell>
          <cell r="C692" t="str">
            <v>DIVISI SISTEM MANAJEMEN DAN AUDIT</v>
          </cell>
          <cell r="D692" t="str">
            <v>DIVISI SISTEM MANAJEMEN DAN AUDIT</v>
          </cell>
          <cell r="E692" t="str">
            <v>AUDITOR SENIOR 1A MANAJEMEN MUTU KOMERSIL</v>
          </cell>
          <cell r="F692" t="str">
            <v>angga.santoso@bki.co.id</v>
          </cell>
          <cell r="G692" t="str">
            <v>082151629265</v>
          </cell>
          <cell r="H692" t="str">
            <v>6A</v>
          </cell>
          <cell r="I692">
            <v>0</v>
          </cell>
        </row>
        <row r="693">
          <cell r="B693" t="str">
            <v>AHMAD RIADUS SHOLIHIN</v>
          </cell>
          <cell r="C693" t="str">
            <v>DIVISI SISTEM MANAJEMEN DAN AUDIT</v>
          </cell>
          <cell r="D693" t="str">
            <v>DIVISI SISTEM MANAJEMEN DAN AUDIT</v>
          </cell>
          <cell r="E693" t="str">
            <v>AUDITOR MANAJEMEN MUTU KLASIFIKASI</v>
          </cell>
          <cell r="F693" t="str">
            <v>ahmadriadus@bki.co.id</v>
          </cell>
          <cell r="G693" t="str">
            <v>0817 5721 964</v>
          </cell>
          <cell r="H693" t="str">
            <v>5C</v>
          </cell>
          <cell r="I693">
            <v>0</v>
          </cell>
        </row>
        <row r="694">
          <cell r="B694" t="str">
            <v>ROMY LESMANA</v>
          </cell>
          <cell r="C694" t="str">
            <v>DIVISI SISTEM MANAJEMEN DAN AUDIT</v>
          </cell>
          <cell r="D694" t="str">
            <v>DIVISI SISTEM MANAJEMEN DAN AUDIT</v>
          </cell>
          <cell r="E694" t="str">
            <v>AUDITOR SENIOR II MANAJEMEN MUTU KLASIFIKASI</v>
          </cell>
          <cell r="F694" t="str">
            <v>romy@bki.co.id</v>
          </cell>
          <cell r="G694" t="str">
            <v>08129937685</v>
          </cell>
          <cell r="H694" t="str">
            <v>7B</v>
          </cell>
          <cell r="I694">
            <v>0</v>
          </cell>
        </row>
        <row r="695">
          <cell r="B695" t="str">
            <v>SITI UKHFIYA</v>
          </cell>
          <cell r="C695" t="str">
            <v>DIVISI SISTEM MANAJEMEN DAN AUDIT</v>
          </cell>
          <cell r="D695" t="str">
            <v>DIVISI SISTEM MANAJEMEN DAN AUDIT</v>
          </cell>
          <cell r="E695" t="str">
            <v>STAF ADMINISTRASI</v>
          </cell>
          <cell r="F695" t="str">
            <v>Siti.Ukhfiya@bki.co.id</v>
          </cell>
          <cell r="H695">
            <v>0</v>
          </cell>
          <cell r="I695">
            <v>0</v>
          </cell>
        </row>
        <row r="696">
          <cell r="B696" t="str">
            <v>TRI LAKSONO JOENIAWAN</v>
          </cell>
          <cell r="C696" t="str">
            <v>DIVISI STATUTORIA</v>
          </cell>
          <cell r="D696" t="str">
            <v>DIVISI STATUTORIA</v>
          </cell>
          <cell r="E696" t="str">
            <v>SURVEYOR SENIOR II B OPERASI STATUTORIA KONVENSI</v>
          </cell>
          <cell r="F696" t="str">
            <v>tri@bki.co.id</v>
          </cell>
          <cell r="G696" t="str">
            <v>08111886369</v>
          </cell>
          <cell r="H696" t="str">
            <v>7B</v>
          </cell>
          <cell r="I696">
            <v>350000</v>
          </cell>
        </row>
        <row r="697">
          <cell r="B697" t="str">
            <v>EFA ROSIDA DWI ADITIRTA</v>
          </cell>
          <cell r="C697" t="str">
            <v>DIVISI STATUTORIA</v>
          </cell>
          <cell r="D697" t="str">
            <v>DIVISI STATUTORIA</v>
          </cell>
          <cell r="E697" t="str">
            <v>SPESIALIS RELASI EKSTERNAL STATUTORIA</v>
          </cell>
          <cell r="F697" t="str">
            <v>efa.rosida@bki.co.id</v>
          </cell>
          <cell r="G697" t="str">
            <v/>
          </cell>
          <cell r="H697" t="str">
            <v>6B</v>
          </cell>
          <cell r="I697">
            <v>0</v>
          </cell>
        </row>
        <row r="698">
          <cell r="B698" t="str">
            <v>DOAN OSCAR DEWANDARU</v>
          </cell>
          <cell r="C698" t="str">
            <v>DIVISI STATUTORIA</v>
          </cell>
          <cell r="D698" t="str">
            <v>DIVISI STATUTORIA</v>
          </cell>
          <cell r="E698" t="str">
            <v>SURVEYOR SENIOR II B OPERASI STATUTORIA KONVENSI</v>
          </cell>
          <cell r="F698" t="str">
            <v>doan.oscar@bki.co.id</v>
          </cell>
          <cell r="G698" t="str">
            <v>08568030060</v>
          </cell>
          <cell r="H698" t="str">
            <v>7B</v>
          </cell>
          <cell r="I698">
            <v>250000</v>
          </cell>
        </row>
        <row r="699">
          <cell r="B699" t="str">
            <v>TRI BUANA GALAXY</v>
          </cell>
          <cell r="C699" t="str">
            <v>DIVISI STATUTORIA</v>
          </cell>
          <cell r="D699" t="str">
            <v>DIVISI STATUTORIA</v>
          </cell>
          <cell r="E699" t="str">
            <v>SENIOR MANAGER RELASI EKSTERNAL STATUTORIA</v>
          </cell>
          <cell r="F699" t="str">
            <v>galaxy@bki.co.id</v>
          </cell>
          <cell r="G699" t="str">
            <v>087865000090</v>
          </cell>
          <cell r="H699" t="str">
            <v>7B</v>
          </cell>
          <cell r="I699">
            <v>350000</v>
          </cell>
        </row>
        <row r="700">
          <cell r="B700" t="str">
            <v>BRAMS FIRNANDES</v>
          </cell>
          <cell r="C700" t="str">
            <v>DIVISI STATUTORIA</v>
          </cell>
          <cell r="D700" t="str">
            <v>DIVISI STATUTORIA</v>
          </cell>
          <cell r="E700" t="str">
            <v>ANALIS RELASI EKSTERNAL STATUTORIA</v>
          </cell>
          <cell r="F700" t="str">
            <v>brams.gultom@bki.co.id</v>
          </cell>
          <cell r="G700" t="str">
            <v>081290761209</v>
          </cell>
          <cell r="H700" t="str">
            <v>5B</v>
          </cell>
          <cell r="I700">
            <v>0</v>
          </cell>
        </row>
        <row r="701">
          <cell r="B701" t="str">
            <v>LA ODE MUHAMMAD ICHSAN</v>
          </cell>
          <cell r="C701" t="str">
            <v>DIVISI STATUTORIA</v>
          </cell>
          <cell r="D701" t="str">
            <v>DIVISI STATUTORIA</v>
          </cell>
          <cell r="E701" t="str">
            <v>SURVEYOR OPERASI STATUTORIA NON KONVENSI</v>
          </cell>
          <cell r="F701" t="str">
            <v>laode.ichsan@bki.co.id</v>
          </cell>
          <cell r="G701" t="str">
            <v>085241678197</v>
          </cell>
          <cell r="H701" t="str">
            <v>5C</v>
          </cell>
          <cell r="I701">
            <v>0</v>
          </cell>
        </row>
        <row r="702">
          <cell r="B702" t="str">
            <v>JAKARIA</v>
          </cell>
          <cell r="C702" t="str">
            <v>DIVISI STATUTORIA</v>
          </cell>
          <cell r="D702" t="str">
            <v>DIVISI STATUTORIA</v>
          </cell>
          <cell r="E702" t="str">
            <v>ADMINISTRATOR</v>
          </cell>
          <cell r="F702" t="str">
            <v>jakaria@bki.co.id</v>
          </cell>
          <cell r="G702" t="str">
            <v>081910779144</v>
          </cell>
          <cell r="H702" t="str">
            <v>2A</v>
          </cell>
          <cell r="I702">
            <v>0</v>
          </cell>
        </row>
        <row r="703">
          <cell r="B703" t="str">
            <v>ASEP SUPRIATNA</v>
          </cell>
          <cell r="C703" t="str">
            <v>DIVISI STATUTORIA</v>
          </cell>
          <cell r="D703" t="str">
            <v>DIVISI STATUTORIA</v>
          </cell>
          <cell r="E703" t="str">
            <v>ADMINISTRATOR SENIOR</v>
          </cell>
          <cell r="F703" t="str">
            <v>asep.supriatna@bki.co.id</v>
          </cell>
          <cell r="G703" t="str">
            <v>085810217933</v>
          </cell>
          <cell r="H703" t="str">
            <v>3B</v>
          </cell>
          <cell r="I703">
            <v>0</v>
          </cell>
        </row>
        <row r="704">
          <cell r="B704" t="str">
            <v>SOFYAN HADI</v>
          </cell>
          <cell r="C704" t="str">
            <v>DIVISI STATUTORIA</v>
          </cell>
          <cell r="D704" t="str">
            <v>DIVISI STATUTORIA</v>
          </cell>
          <cell r="E704" t="str">
            <v>SENIOR MANAGER OPERASI STATUTORIA KONVENSI</v>
          </cell>
          <cell r="F704" t="str">
            <v>sofyan.hadi@bki.co.id</v>
          </cell>
          <cell r="G704" t="str">
            <v>081293594946</v>
          </cell>
          <cell r="H704" t="str">
            <v>7C</v>
          </cell>
          <cell r="I704">
            <v>0</v>
          </cell>
        </row>
        <row r="705">
          <cell r="B705" t="str">
            <v>ADITYA TRISANDHYA PRAMANA</v>
          </cell>
          <cell r="C705" t="str">
            <v>DIVISI STATUTORIA</v>
          </cell>
          <cell r="D705" t="str">
            <v>DIVISI STATUTORIA</v>
          </cell>
          <cell r="E705" t="str">
            <v>VP STATUTORIA</v>
          </cell>
          <cell r="F705" t="str">
            <v>aditya@bki.co.id</v>
          </cell>
          <cell r="G705" t="str">
            <v>087888644345</v>
          </cell>
          <cell r="H705" t="str">
            <v>8B</v>
          </cell>
          <cell r="I705">
            <v>350000</v>
          </cell>
        </row>
        <row r="706">
          <cell r="B706" t="str">
            <v>PURWANTYA</v>
          </cell>
          <cell r="C706" t="str">
            <v>DIVISI STATUTORIA</v>
          </cell>
          <cell r="D706" t="str">
            <v>DIVISI STATUTORIA</v>
          </cell>
          <cell r="E706" t="str">
            <v>ADMINISTRATOR SENIOR</v>
          </cell>
          <cell r="F706" t="str">
            <v>purwantya@bki.co.id</v>
          </cell>
          <cell r="G706" t="str">
            <v>081291960123</v>
          </cell>
          <cell r="H706" t="str">
            <v>3B</v>
          </cell>
          <cell r="I706">
            <v>0</v>
          </cell>
        </row>
        <row r="707">
          <cell r="B707" t="str">
            <v>ANDIK EKO SAPUTRO</v>
          </cell>
          <cell r="C707" t="str">
            <v>DIVISI STATUTORIA</v>
          </cell>
          <cell r="D707" t="str">
            <v>DIVISI STATUTORIA</v>
          </cell>
          <cell r="E707" t="str">
            <v>ENGINEER RELASI EKSTERNAL STATUTORIA</v>
          </cell>
          <cell r="F707" t="str">
            <v>andik.saputro@bki.co.id</v>
          </cell>
          <cell r="G707" t="str">
            <v>085735163732</v>
          </cell>
          <cell r="H707" t="str">
            <v>5B</v>
          </cell>
          <cell r="I707">
            <v>0</v>
          </cell>
        </row>
        <row r="708">
          <cell r="B708" t="str">
            <v>RAHMAT KURNIAWAN</v>
          </cell>
          <cell r="C708" t="str">
            <v>DIVISI STATUTORIA</v>
          </cell>
          <cell r="D708" t="str">
            <v>DIVISI STATUTORIA</v>
          </cell>
          <cell r="E708" t="str">
            <v>SURVEYOR SENIOR II C OPERASI STATUTORIA NON KONVENSI</v>
          </cell>
          <cell r="F708" t="str">
            <v>rahmat.kurniawan@bki.co.id</v>
          </cell>
          <cell r="G708" t="str">
            <v>0818416175</v>
          </cell>
          <cell r="H708" t="str">
            <v>7C</v>
          </cell>
          <cell r="I708">
            <v>0</v>
          </cell>
        </row>
        <row r="709">
          <cell r="B709" t="str">
            <v>FIRMANSYAH</v>
          </cell>
          <cell r="C709" t="str">
            <v>DIVISI STATUTORIA</v>
          </cell>
          <cell r="D709" t="str">
            <v>DIVISI STATUTORIA</v>
          </cell>
          <cell r="E709" t="str">
            <v>ADMINISTRATOR SENIOR</v>
          </cell>
          <cell r="F709" t="str">
            <v>firmansyah@bki.co.id</v>
          </cell>
          <cell r="G709" t="str">
            <v>081315912242</v>
          </cell>
          <cell r="H709" t="str">
            <v>3B</v>
          </cell>
          <cell r="I709">
            <v>150000</v>
          </cell>
        </row>
        <row r="710">
          <cell r="B710" t="str">
            <v>AFIF AMRULLAH</v>
          </cell>
          <cell r="C710" t="str">
            <v>DIVISI STATUTORIA</v>
          </cell>
          <cell r="D710" t="str">
            <v>DIVISI STATUTORIA</v>
          </cell>
          <cell r="E710" t="str">
            <v>SURVEYOR SENIOR I C OPERASI STATUTORIA KONVENSI</v>
          </cell>
          <cell r="F710" t="str">
            <v>afif.amrullah@bki.co.id</v>
          </cell>
          <cell r="G710" t="str">
            <v>085731122280</v>
          </cell>
          <cell r="H710" t="str">
            <v>6C</v>
          </cell>
          <cell r="I710">
            <v>0</v>
          </cell>
        </row>
        <row r="711">
          <cell r="B711" t="str">
            <v>BAYU WINDA ANANTAKA</v>
          </cell>
          <cell r="C711" t="str">
            <v>DIVISI STATUTORIA</v>
          </cell>
          <cell r="D711" t="str">
            <v>DIVISI STATUTORIA</v>
          </cell>
          <cell r="E711" t="str">
            <v>SURVEYOR SENIOR I A OPERASI STATUTORIA NON KONVENSI</v>
          </cell>
          <cell r="F711" t="str">
            <v>bayuwindaa@bki.co.id</v>
          </cell>
          <cell r="G711" t="str">
            <v>0812 8816 2018</v>
          </cell>
          <cell r="H711" t="str">
            <v>6A</v>
          </cell>
          <cell r="I711">
            <v>0</v>
          </cell>
        </row>
        <row r="712">
          <cell r="B712" t="str">
            <v>SALSABILLA AULIA FITRI</v>
          </cell>
          <cell r="C712" t="str">
            <v>DIVISI STATUTORIA</v>
          </cell>
          <cell r="D712" t="str">
            <v>DIVISI STATUTORIA</v>
          </cell>
          <cell r="E712" t="str">
            <v>OFFICER RELASI EKSTERNAL</v>
          </cell>
          <cell r="F712" t="str">
            <v>salsabilla.af@bki.co.id</v>
          </cell>
          <cell r="H712" t="str">
            <v>4C</v>
          </cell>
          <cell r="I712">
            <v>0</v>
          </cell>
        </row>
        <row r="713">
          <cell r="B713" t="str">
            <v>HAFEZ AHMAD TAURY</v>
          </cell>
          <cell r="C713" t="str">
            <v>DIVISI STATUTORIA</v>
          </cell>
          <cell r="D713" t="str">
            <v>DIVISI STATUTORIA</v>
          </cell>
          <cell r="E713" t="str">
            <v xml:space="preserve">STAF ENGINEER </v>
          </cell>
          <cell r="F713" t="str">
            <v>hafez.ah@bki.co.id</v>
          </cell>
          <cell r="G713" t="str">
            <v>081381186619</v>
          </cell>
          <cell r="H713" t="str">
            <v>-</v>
          </cell>
          <cell r="I713">
            <v>0</v>
          </cell>
        </row>
        <row r="714">
          <cell r="B714" t="str">
            <v>NOAH CAHYASASMITA</v>
          </cell>
          <cell r="C714" t="str">
            <v>DIVISI SURVEY</v>
          </cell>
          <cell r="D714" t="str">
            <v>DIVISI SURVEY</v>
          </cell>
          <cell r="E714" t="str">
            <v xml:space="preserve">SURVEYOR SENIOR I A MEMPERTAHANKAN KLAS </v>
          </cell>
          <cell r="F714" t="str">
            <v>noah@bki.co.id</v>
          </cell>
          <cell r="G714" t="str">
            <v>081332556622</v>
          </cell>
          <cell r="H714" t="str">
            <v>6A</v>
          </cell>
          <cell r="I714">
            <v>250000</v>
          </cell>
        </row>
        <row r="715">
          <cell r="B715" t="str">
            <v>FARHAN ABDUL KARIM</v>
          </cell>
          <cell r="C715" t="str">
            <v>DIVISI SURVEY</v>
          </cell>
          <cell r="D715" t="str">
            <v>DIVISI SURVEY</v>
          </cell>
          <cell r="E715" t="str">
            <v>SURVEYOR JUNIOR MEMPERTAHANKAN KLAS</v>
          </cell>
          <cell r="F715" t="str">
            <v>farhan.abdul@bki.co.id</v>
          </cell>
          <cell r="G715" t="str">
            <v>082127057631</v>
          </cell>
          <cell r="H715" t="str">
            <v>4C</v>
          </cell>
          <cell r="I715">
            <v>100000</v>
          </cell>
        </row>
        <row r="716">
          <cell r="B716" t="str">
            <v>SUTRISNO</v>
          </cell>
          <cell r="C716" t="str">
            <v>DIVISI SURVEY</v>
          </cell>
          <cell r="D716" t="str">
            <v>DIVISI SURVEY</v>
          </cell>
          <cell r="E716" t="str">
            <v>SURVEYOR MEMPERTAHANKAN KLAS</v>
          </cell>
          <cell r="F716" t="str">
            <v>sutrisno@bki.co.id</v>
          </cell>
          <cell r="G716" t="str">
            <v>0852 7833 9237</v>
          </cell>
          <cell r="H716" t="str">
            <v>5C</v>
          </cell>
          <cell r="I716">
            <v>150000</v>
          </cell>
        </row>
        <row r="717">
          <cell r="B717" t="str">
            <v>DIDIK PURWOSUSILO</v>
          </cell>
          <cell r="C717" t="str">
            <v>DIVISI SURVEY</v>
          </cell>
          <cell r="D717" t="str">
            <v>DIVISI SURVEY</v>
          </cell>
          <cell r="E717" t="str">
            <v>SENIOR MANAGER MEMPERTAHANKAN KLAS NUSANTARA</v>
          </cell>
          <cell r="F717" t="str">
            <v>didik@bki.co.id</v>
          </cell>
          <cell r="G717" t="str">
            <v>081251299440</v>
          </cell>
          <cell r="H717" t="str">
            <v>7A</v>
          </cell>
          <cell r="I717">
            <v>0</v>
          </cell>
        </row>
        <row r="718">
          <cell r="B718" t="str">
            <v>ARIF YUNAEDI</v>
          </cell>
          <cell r="C718" t="str">
            <v>DIVISI SURVEY</v>
          </cell>
          <cell r="D718" t="str">
            <v>DIVISI SURVEY</v>
          </cell>
          <cell r="E718" t="str">
            <v>SENIOR MANAGER MANAJEMEN KLASIFIKASI NUSANTARA</v>
          </cell>
          <cell r="F718" t="str">
            <v>arif.yunaedi@bki.co.id</v>
          </cell>
          <cell r="G718" t="str">
            <v>081234072072</v>
          </cell>
          <cell r="H718" t="str">
            <v>7B</v>
          </cell>
          <cell r="I718">
            <v>350000</v>
          </cell>
        </row>
        <row r="719">
          <cell r="B719" t="str">
            <v>SIGIT PRASTOWO</v>
          </cell>
          <cell r="C719" t="str">
            <v>DIVISI SURVEY</v>
          </cell>
          <cell r="D719" t="str">
            <v>DIVISI SURVEY</v>
          </cell>
          <cell r="E719" t="str">
            <v>SURVEYOR SENIOR I C MEMPERTAHANKAN KLAS NUSANTARA</v>
          </cell>
          <cell r="F719" t="str">
            <v>sigit.prastowo@bki.co.id</v>
          </cell>
          <cell r="G719" t="str">
            <v>08111917870</v>
          </cell>
          <cell r="H719" t="str">
            <v>6C</v>
          </cell>
          <cell r="I719">
            <v>350000</v>
          </cell>
        </row>
        <row r="720">
          <cell r="B720" t="str">
            <v>SYARIFUL MAHSYAR</v>
          </cell>
          <cell r="C720" t="str">
            <v>DIVISI SURVEY</v>
          </cell>
          <cell r="D720" t="str">
            <v>DIVISI SURVEY</v>
          </cell>
          <cell r="E720" t="str">
            <v>ENGINEER SENIOR I A MANAJEMEN KLASIFIKASI</v>
          </cell>
          <cell r="F720" t="str">
            <v>syariful.mahsyar@bki.co.id</v>
          </cell>
          <cell r="G720" t="str">
            <v>081314135158</v>
          </cell>
          <cell r="H720" t="str">
            <v>6A</v>
          </cell>
          <cell r="I720">
            <v>150000</v>
          </cell>
        </row>
        <row r="721">
          <cell r="B721" t="str">
            <v>ALI AKBAR BASO</v>
          </cell>
          <cell r="C721" t="str">
            <v>DIVISI SURVEY</v>
          </cell>
          <cell r="D721" t="str">
            <v>DIVISI SURVEY</v>
          </cell>
          <cell r="E721" t="str">
            <v>SENIOR MANAGER PENERIMAAN KLAS NUSANTARA</v>
          </cell>
          <cell r="F721" t="str">
            <v>ali.akbarbaso@bki.co.id</v>
          </cell>
          <cell r="G721" t="str">
            <v>081261459165</v>
          </cell>
          <cell r="H721" t="str">
            <v>7C</v>
          </cell>
          <cell r="I721">
            <v>350000</v>
          </cell>
        </row>
        <row r="722">
          <cell r="B722" t="str">
            <v>LUTFI PALIAM PARAYA</v>
          </cell>
          <cell r="C722" t="str">
            <v>DIVISI SURVEY</v>
          </cell>
          <cell r="D722" t="str">
            <v>DIVISI SURVEY</v>
          </cell>
          <cell r="E722" t="str">
            <v>SURVEYOR MEMPERTAHANKAN KLAS NUSANTARA</v>
          </cell>
          <cell r="F722" t="str">
            <v>lutfi.paraya@bki.co.id</v>
          </cell>
          <cell r="G722" t="str">
            <v>081235128004</v>
          </cell>
          <cell r="H722" t="str">
            <v>5C</v>
          </cell>
          <cell r="I722">
            <v>250000</v>
          </cell>
        </row>
        <row r="723">
          <cell r="B723" t="str">
            <v>SETIONO PRABOWO</v>
          </cell>
          <cell r="C723" t="str">
            <v>DIVISI SURVEY</v>
          </cell>
          <cell r="D723" t="str">
            <v>DIVISI SURVEY</v>
          </cell>
          <cell r="E723" t="str">
            <v>SURVEYOR MEMPERTAHANKAN KLAS NUSANTARA</v>
          </cell>
          <cell r="F723" t="str">
            <v>setiono.prabowo@bki.co.id</v>
          </cell>
          <cell r="G723" t="str">
            <v>081288123586</v>
          </cell>
          <cell r="H723" t="str">
            <v>5C</v>
          </cell>
          <cell r="I723">
            <v>250000</v>
          </cell>
        </row>
        <row r="724">
          <cell r="B724" t="str">
            <v>KOKOK YUDHA CAHYONO</v>
          </cell>
          <cell r="C724" t="str">
            <v>DIVISI SURVEY</v>
          </cell>
          <cell r="D724" t="str">
            <v>DIVISI SURVEY</v>
          </cell>
          <cell r="E724" t="str">
            <v>SURVEYOR SENIOR I A PENERIMAAN KLAS NUSANTARA</v>
          </cell>
          <cell r="F724" t="str">
            <v>kokok.yc@bki.co.id</v>
          </cell>
          <cell r="G724" t="str">
            <v>081357910921</v>
          </cell>
          <cell r="H724" t="str">
            <v>6A</v>
          </cell>
          <cell r="I724">
            <v>0</v>
          </cell>
        </row>
        <row r="725">
          <cell r="B725" t="str">
            <v>M. ARIEF MAULANA WIRANEGARA</v>
          </cell>
          <cell r="C725" t="str">
            <v>DIVISI SURVEY</v>
          </cell>
          <cell r="D725" t="str">
            <v>DIVISI SURVEY</v>
          </cell>
          <cell r="E725" t="str">
            <v>SURVEYOR SENIOR I A MEMPERTAHANKAN KLAS NUSANTARA</v>
          </cell>
          <cell r="F725" t="str">
            <v>arief.mw@bki.co.id</v>
          </cell>
          <cell r="G725" t="str">
            <v>082233009911</v>
          </cell>
          <cell r="H725" t="str">
            <v>6A</v>
          </cell>
          <cell r="I725">
            <v>0</v>
          </cell>
        </row>
        <row r="726">
          <cell r="B726" t="str">
            <v>WIYONO</v>
          </cell>
          <cell r="C726" t="str">
            <v>DIVISI SURVEY</v>
          </cell>
          <cell r="D726" t="str">
            <v>DIVISI SURVEY</v>
          </cell>
          <cell r="E726" t="str">
            <v>VP SURVEY</v>
          </cell>
          <cell r="F726" t="str">
            <v>wiyono@bki.co.id</v>
          </cell>
          <cell r="G726" t="str">
            <v>0811805026</v>
          </cell>
          <cell r="H726" t="str">
            <v>8B</v>
          </cell>
          <cell r="I726">
            <v>0</v>
          </cell>
        </row>
        <row r="727">
          <cell r="B727" t="str">
            <v>HAMBALI WAHID</v>
          </cell>
          <cell r="C727" t="str">
            <v>DIVISI SURVEY</v>
          </cell>
          <cell r="D727" t="str">
            <v>DIVISI SURVEY</v>
          </cell>
          <cell r="E727" t="str">
            <v>ADMINISTRATOR SENIOR</v>
          </cell>
          <cell r="F727" t="str">
            <v>hambali.wahid@bki.co.id</v>
          </cell>
          <cell r="G727" t="str">
            <v>085110381105</v>
          </cell>
          <cell r="H727" t="str">
            <v>3B</v>
          </cell>
          <cell r="I727">
            <v>150000</v>
          </cell>
        </row>
        <row r="728">
          <cell r="B728" t="str">
            <v>YUSUF</v>
          </cell>
          <cell r="C728" t="str">
            <v>DIVISI SURVEY</v>
          </cell>
          <cell r="D728" t="str">
            <v>DIVISI SURVEY</v>
          </cell>
          <cell r="E728" t="str">
            <v>ADMINISTRATOR SENIOR</v>
          </cell>
          <cell r="F728" t="str">
            <v>yusuf@bki.co.id</v>
          </cell>
          <cell r="G728" t="str">
            <v>0813 1414 6008</v>
          </cell>
          <cell r="H728" t="str">
            <v>3B</v>
          </cell>
          <cell r="I728">
            <v>0</v>
          </cell>
        </row>
        <row r="729">
          <cell r="B729" t="str">
            <v>ADHITAMA RAMA M</v>
          </cell>
          <cell r="C729" t="str">
            <v>DIVISI SURVEY</v>
          </cell>
          <cell r="D729" t="str">
            <v>DIVISI SURVEY</v>
          </cell>
          <cell r="E729" t="str">
            <v>SURVEYOR MEMPERTAHANKAN KLAS NUSANTARA</v>
          </cell>
          <cell r="F729" t="str">
            <v>adhitama.rama@bki.co.id</v>
          </cell>
          <cell r="G729" t="str">
            <v>081290298732</v>
          </cell>
          <cell r="H729" t="str">
            <v>5C</v>
          </cell>
          <cell r="I729">
            <v>0</v>
          </cell>
        </row>
        <row r="730">
          <cell r="B730" t="str">
            <v>MUHAMMAD ARFAH</v>
          </cell>
          <cell r="C730" t="str">
            <v>DIVISI SURVEY</v>
          </cell>
          <cell r="D730" t="str">
            <v>DIVISI SURVEY</v>
          </cell>
          <cell r="E730" t="str">
            <v>SURVEYOR SENIOR II C MEMPERTAHANKAN KLAS NUSANTARA</v>
          </cell>
          <cell r="F730" t="str">
            <v>arfah@bki.co.id</v>
          </cell>
          <cell r="G730" t="str">
            <v>081288844625</v>
          </cell>
          <cell r="H730" t="str">
            <v>7C</v>
          </cell>
          <cell r="I730">
            <v>350000</v>
          </cell>
        </row>
        <row r="731">
          <cell r="B731" t="str">
            <v>YUDI WASIANTO</v>
          </cell>
          <cell r="C731" t="str">
            <v>DIVISI SURVEY</v>
          </cell>
          <cell r="D731" t="str">
            <v>DIVISI SURVEY</v>
          </cell>
          <cell r="E731" t="str">
            <v>SURVEYOR SENIOR I C MEMPERTAHANKAN KLAS NUSANTARA</v>
          </cell>
          <cell r="F731" t="str">
            <v>yudi.wasianto@bki.co.id</v>
          </cell>
          <cell r="G731" t="str">
            <v>0811 270 2942</v>
          </cell>
          <cell r="H731" t="str">
            <v>6C</v>
          </cell>
          <cell r="I731">
            <v>0</v>
          </cell>
        </row>
        <row r="732">
          <cell r="B732" t="str">
            <v>GARY SIMON</v>
          </cell>
          <cell r="C732" t="str">
            <v>DIVISI SURVEY</v>
          </cell>
          <cell r="D732" t="str">
            <v>DIVISI SURVEY</v>
          </cell>
          <cell r="E732" t="str">
            <v>SURVEYOR SENIOR I B PENERIMAAN KLAS NUSANTARA</v>
          </cell>
          <cell r="F732" t="str">
            <v>gary.simon@bki.co.id</v>
          </cell>
          <cell r="G732" t="str">
            <v>082169967749</v>
          </cell>
          <cell r="H732" t="str">
            <v>6B</v>
          </cell>
          <cell r="I732">
            <v>250000</v>
          </cell>
        </row>
        <row r="733">
          <cell r="B733" t="str">
            <v xml:space="preserve">TRI ASTUTI SUDARMINTO </v>
          </cell>
          <cell r="C733" t="str">
            <v>DIVISI SURVEY</v>
          </cell>
          <cell r="D733" t="str">
            <v>DIVISI SURVEY</v>
          </cell>
          <cell r="E733" t="str">
            <v>SURVEYOR JUNIOR MENAJEMEN KLAS</v>
          </cell>
          <cell r="F733" t="str">
            <v>tri.as@bki.co.id</v>
          </cell>
          <cell r="H733" t="str">
            <v>4C</v>
          </cell>
          <cell r="I733">
            <v>0</v>
          </cell>
        </row>
        <row r="734">
          <cell r="B734" t="str">
            <v>PRASETYO</v>
          </cell>
          <cell r="C734" t="str">
            <v>DIVISI TEKNOLOGI INFORMASI</v>
          </cell>
          <cell r="D734" t="str">
            <v>DIVISI TEKNOLOGI INFORMASI</v>
          </cell>
          <cell r="E734" t="str">
            <v>SENIOR MANAGER PENGEMBANGAN DAN OPERASI TI</v>
          </cell>
          <cell r="F734" t="str">
            <v>prasetyo@bki.co.id</v>
          </cell>
          <cell r="G734" t="str">
            <v>082192733363</v>
          </cell>
          <cell r="H734" t="str">
            <v>7B</v>
          </cell>
          <cell r="I734">
            <v>350000</v>
          </cell>
        </row>
        <row r="735">
          <cell r="B735" t="str">
            <v>DICKY ALDOKO</v>
          </cell>
          <cell r="C735" t="str">
            <v>DIVISI TEKNOLOGI INFORMASI</v>
          </cell>
          <cell r="D735" t="str">
            <v>DIVISI TEKNOLOGI INFORMASI</v>
          </cell>
          <cell r="E735" t="str">
            <v>ANALIS MANAJEMEN PROYEK TEKNOLOGI INFORMASI</v>
          </cell>
          <cell r="F735" t="str">
            <v>dicky.aldoko@bki.co.id</v>
          </cell>
          <cell r="G735" t="str">
            <v>087859294665</v>
          </cell>
          <cell r="H735" t="str">
            <v>5C</v>
          </cell>
          <cell r="I735">
            <v>150000</v>
          </cell>
        </row>
        <row r="736">
          <cell r="B736" t="str">
            <v>RIZKY PRASETYA ADE N</v>
          </cell>
          <cell r="C736" t="str">
            <v>DIVISI TEKNOLOGI INFORMASI</v>
          </cell>
          <cell r="D736" t="str">
            <v>DIVISI TEKNOLOGI INFORMASI</v>
          </cell>
          <cell r="E736" t="str">
            <v>SPESIALIS PENGAMANAN TEKNOLOGI INFORMASI</v>
          </cell>
          <cell r="F736" t="str">
            <v>rizky.pan@bki.co.id</v>
          </cell>
          <cell r="G736">
            <v>0</v>
          </cell>
          <cell r="H736" t="str">
            <v>6A</v>
          </cell>
          <cell r="I736">
            <v>0</v>
          </cell>
        </row>
        <row r="737">
          <cell r="B737" t="str">
            <v>M RAHMAT AKBAR RAMADHAN</v>
          </cell>
          <cell r="C737" t="str">
            <v>DIVISI TEKNOLOGI INFORMASI</v>
          </cell>
          <cell r="D737" t="str">
            <v>DIVISI TEKNOLOGI INFORMASI</v>
          </cell>
          <cell r="E737" t="str">
            <v>ANALIS PENGEMBANGAN DAN OPERASI TEKNOLOGI INFORMASI</v>
          </cell>
          <cell r="F737" t="str">
            <v>rahmat.akbar@bki.co.id</v>
          </cell>
          <cell r="G737">
            <v>0</v>
          </cell>
          <cell r="H737" t="str">
            <v>5C</v>
          </cell>
          <cell r="I737">
            <v>250000</v>
          </cell>
        </row>
        <row r="738">
          <cell r="B738" t="str">
            <v>FACHRUDIN NUR</v>
          </cell>
          <cell r="C738" t="str">
            <v>DIVISI TEKNOLOGI INFORMASI</v>
          </cell>
          <cell r="D738" t="str">
            <v>DIVISI TEKNOLOGI INFORMASI</v>
          </cell>
          <cell r="E738" t="str">
            <v>PJ. SENIOR MANAGER PERENCANAAN STRATEGIS DAN TATA KELOLA IT</v>
          </cell>
          <cell r="F738" t="str">
            <v>f.nur@bki.co.id</v>
          </cell>
          <cell r="G738" t="str">
            <v>082125774400</v>
          </cell>
          <cell r="H738" t="str">
            <v>6A</v>
          </cell>
          <cell r="I738">
            <v>0</v>
          </cell>
        </row>
        <row r="739">
          <cell r="B739" t="str">
            <v>HARDIAN</v>
          </cell>
          <cell r="C739" t="str">
            <v>DIVISI TEKNOLOGI INFORMASI</v>
          </cell>
          <cell r="D739" t="str">
            <v>DIVISI TEKNOLOGI INFORMASI</v>
          </cell>
          <cell r="E739" t="str">
            <v>SPESIALIS MANAJEMEN PROYEK TEKNOLOGI INFORMASI</v>
          </cell>
          <cell r="F739" t="str">
            <v>hardian@bki.co.id</v>
          </cell>
          <cell r="G739" t="str">
            <v>08881111010</v>
          </cell>
          <cell r="H739" t="str">
            <v>6A</v>
          </cell>
          <cell r="I739">
            <v>250000</v>
          </cell>
        </row>
        <row r="740">
          <cell r="B740" t="str">
            <v>MUHAMAD HASYIM RASIDI</v>
          </cell>
          <cell r="C740" t="str">
            <v>DIVISI TEKNOLOGI INFORMASI</v>
          </cell>
          <cell r="D740" t="str">
            <v>DIVISI TEKNOLOGI INFORMASI</v>
          </cell>
          <cell r="E740" t="str">
            <v>STAF FUNCTION</v>
          </cell>
          <cell r="F740" t="str">
            <v>hasyim.rashidi@bki.co.id</v>
          </cell>
          <cell r="G740">
            <v>0</v>
          </cell>
          <cell r="H740">
            <v>4</v>
          </cell>
          <cell r="I740">
            <v>0</v>
          </cell>
        </row>
        <row r="741">
          <cell r="B741" t="str">
            <v>ARIEF NURTJAHJO</v>
          </cell>
          <cell r="C741" t="str">
            <v>GROUP BISNIS KLASIFIKASI NUSANTARA</v>
          </cell>
          <cell r="D741" t="str">
            <v>GROUP BISNIS KLASIFIKASI NUSANTARA</v>
          </cell>
          <cell r="E741" t="str">
            <v>DEPUTI DIREKTUR BISNIS KLASIFIKASI NUSANTARA</v>
          </cell>
          <cell r="F741" t="str">
            <v>ariefn@bki.co.id</v>
          </cell>
          <cell r="G741" t="str">
            <v>0818905340</v>
          </cell>
          <cell r="H741">
            <v>9</v>
          </cell>
          <cell r="I741">
            <v>0</v>
          </cell>
        </row>
        <row r="742">
          <cell r="B742" t="str">
            <v>RIANA PATRICIA</v>
          </cell>
          <cell r="C742" t="str">
            <v>GROUP STRATEGI DAN TRANSFORMASI KORPORAT</v>
          </cell>
          <cell r="D742" t="str">
            <v>GROUP STRATEGI DAN TRANSFORMASI KORPORAT</v>
          </cell>
          <cell r="E742" t="str">
            <v>SPESIALIS TRANSFORMATION OFFICE CHAMPION</v>
          </cell>
          <cell r="F742" t="str">
            <v>riana.patricia@bki.co.id</v>
          </cell>
          <cell r="G742" t="str">
            <v>087722192699</v>
          </cell>
          <cell r="H742" t="str">
            <v>6A</v>
          </cell>
          <cell r="I742">
            <v>150000</v>
          </cell>
        </row>
        <row r="743">
          <cell r="B743" t="str">
            <v>MEGAWATI ROSALIO PUTRI</v>
          </cell>
          <cell r="C743" t="str">
            <v>GROUP STRATEGI DAN TRANSFORMASI KORPORAT</v>
          </cell>
          <cell r="D743" t="str">
            <v>GROUP STRATEGI DAN TRANSFORMASI KORPORAT</v>
          </cell>
          <cell r="E743" t="str">
            <v>SPESIALIS TRANSFORMATION OFFICE CHAMPION</v>
          </cell>
          <cell r="F743" t="str">
            <v>megawati.rp@bki.co.id</v>
          </cell>
          <cell r="G743" t="str">
            <v>081373364078</v>
          </cell>
          <cell r="H743" t="str">
            <v>6A</v>
          </cell>
          <cell r="I743">
            <v>150000</v>
          </cell>
        </row>
        <row r="744">
          <cell r="B744" t="str">
            <v>IRAWATI</v>
          </cell>
          <cell r="C744" t="str">
            <v>GROUP STRATEGI DAN TRANSFORMASI KORPORAT</v>
          </cell>
          <cell r="D744" t="str">
            <v>GROUP STRATEGI DAN TRANSFORMASI KORPORAT</v>
          </cell>
          <cell r="E744" t="str">
            <v>SPESIALIS TRANSFORMATION OFFICE CHAMPION</v>
          </cell>
          <cell r="F744" t="str">
            <v>irawati@bki.co.id</v>
          </cell>
          <cell r="G744" t="str">
            <v>085649714979</v>
          </cell>
          <cell r="H744" t="str">
            <v>6A</v>
          </cell>
          <cell r="I744">
            <v>250000</v>
          </cell>
        </row>
        <row r="745">
          <cell r="B745" t="str">
            <v>RAHMAN SUSILO</v>
          </cell>
          <cell r="C745" t="str">
            <v>SATUAN PENGAWASAN INTERN</v>
          </cell>
          <cell r="D745" t="str">
            <v>SATUAN PENGAWASAN INTERN</v>
          </cell>
          <cell r="E745" t="str">
            <v>SENIOR MANAGER AUDIT SEGMEN KOMERSIAL</v>
          </cell>
          <cell r="F745" t="str">
            <v>susilo@bki.co.id</v>
          </cell>
          <cell r="G745" t="str">
            <v>08129495233</v>
          </cell>
          <cell r="H745" t="str">
            <v>7C</v>
          </cell>
          <cell r="I745">
            <v>250000</v>
          </cell>
        </row>
        <row r="746">
          <cell r="B746" t="str">
            <v>ABDUR RAHMAN</v>
          </cell>
          <cell r="C746" t="str">
            <v>SATUAN PENGAWASAN INTERN</v>
          </cell>
          <cell r="D746" t="str">
            <v>SATUAN PENGAWASAN INTERN</v>
          </cell>
          <cell r="E746" t="str">
            <v>VP PENGAWASAN INTERN</v>
          </cell>
          <cell r="F746" t="str">
            <v>rahman@bki.co.id</v>
          </cell>
          <cell r="G746" t="str">
            <v>085811583555</v>
          </cell>
          <cell r="H746" t="str">
            <v>8B</v>
          </cell>
          <cell r="I746">
            <v>350000</v>
          </cell>
        </row>
        <row r="747">
          <cell r="B747" t="str">
            <v>SARI GITA TANTINIS</v>
          </cell>
          <cell r="C747" t="str">
            <v>SATUAN PENGAWASAN INTERN</v>
          </cell>
          <cell r="D747" t="str">
            <v>SATUAN PENGAWASAN INTERN</v>
          </cell>
          <cell r="E747" t="str">
            <v>AUDITOR SENIOR</v>
          </cell>
          <cell r="F747" t="str">
            <v>gita@bki.co.id</v>
          </cell>
          <cell r="G747" t="str">
            <v>087880847033</v>
          </cell>
          <cell r="H747" t="str">
            <v>5C</v>
          </cell>
          <cell r="I747">
            <v>150000</v>
          </cell>
        </row>
        <row r="748">
          <cell r="B748" t="str">
            <v>ARIEF HENDRO RUKMINTO</v>
          </cell>
          <cell r="C748" t="str">
            <v>SATUAN PENGAWASAN INTERN</v>
          </cell>
          <cell r="D748" t="str">
            <v>SATUAN PENGAWASAN INTERN</v>
          </cell>
          <cell r="E748" t="str">
            <v>SENIOR LEAD AUDITOR</v>
          </cell>
          <cell r="F748" t="str">
            <v>rukminto@bki.co.id</v>
          </cell>
          <cell r="G748" t="str">
            <v>08128299471</v>
          </cell>
          <cell r="H748" t="str">
            <v>7C</v>
          </cell>
          <cell r="I748">
            <v>0</v>
          </cell>
        </row>
        <row r="749">
          <cell r="B749" t="str">
            <v>IZZAFAJRI SYAFIRA</v>
          </cell>
          <cell r="C749" t="str">
            <v>SATUAN PENGAWASAN INTERN</v>
          </cell>
          <cell r="D749" t="str">
            <v>SATUAN PENGAWASAN INTERN</v>
          </cell>
          <cell r="E749" t="str">
            <v>STAF ANALIS</v>
          </cell>
          <cell r="F749" t="str">
            <v>izzafajri.sy@bki.co.id</v>
          </cell>
          <cell r="G749" t="str">
            <v>082114091022</v>
          </cell>
          <cell r="H749" t="str">
            <v>-</v>
          </cell>
          <cell r="I749">
            <v>100000</v>
          </cell>
        </row>
        <row r="750">
          <cell r="B750" t="str">
            <v>MUTIARA PUTRI AMELIA</v>
          </cell>
          <cell r="C750" t="str">
            <v>SATUAN PENGAWASAN INTERN</v>
          </cell>
          <cell r="D750" t="str">
            <v>SATUAN PENGAWASAN INTERN</v>
          </cell>
          <cell r="E750" t="str">
            <v>STAF DUKUNGAN BISNIS</v>
          </cell>
          <cell r="F750" t="str">
            <v>mutiara.putri@bki.co.id</v>
          </cell>
          <cell r="G750" t="str">
            <v>085894042758</v>
          </cell>
          <cell r="H750" t="str">
            <v>-</v>
          </cell>
          <cell r="I750">
            <v>0</v>
          </cell>
        </row>
        <row r="751">
          <cell r="B751" t="str">
            <v>MUHAMMAD IRVAN WIDYA</v>
          </cell>
          <cell r="C751" t="str">
            <v>SATUAN PENGAWASAN INTERN</v>
          </cell>
          <cell r="D751" t="str">
            <v>SATUAN PENGAWASAN INTERN IDS</v>
          </cell>
          <cell r="E751" t="str">
            <v>SENIOR AUDITOR SEGMEN KOMERSIAL</v>
          </cell>
          <cell r="F751" t="str">
            <v>muhammad.iw@bki.co.id</v>
          </cell>
          <cell r="G751" t="str">
            <v>082194720847</v>
          </cell>
          <cell r="H751" t="str">
            <v>5C</v>
          </cell>
          <cell r="I751">
            <v>150000</v>
          </cell>
        </row>
        <row r="752">
          <cell r="B752" t="str">
            <v>ANITA MAGDALENA</v>
          </cell>
          <cell r="C752" t="str">
            <v>SATUAN PENGAWASAN INTERN</v>
          </cell>
          <cell r="D752" t="str">
            <v>SATUAN PENGAWASAN INTERN IDS</v>
          </cell>
          <cell r="E752" t="str">
            <v>SENIOR MANAGER AUDIT SEGMEN KLASIFIKASI</v>
          </cell>
          <cell r="F752" t="str">
            <v>anitamp@bki.co.id</v>
          </cell>
          <cell r="G752" t="str">
            <v>08128185481</v>
          </cell>
          <cell r="H752" t="str">
            <v>7C</v>
          </cell>
        </row>
        <row r="753">
          <cell r="B753" t="str">
            <v>LUTHFI SETIA MARDANI</v>
          </cell>
          <cell r="C753" t="str">
            <v>SATUAN PENGAWASAN INTERN</v>
          </cell>
          <cell r="D753" t="str">
            <v>SATUAN PENGAWASAN INTERN IDS</v>
          </cell>
          <cell r="E753" t="str">
            <v>ANALIS PERENCANAAN &amp; AUDIT SEGMEN KLASIFIKASI</v>
          </cell>
          <cell r="F753" t="str">
            <v>luthfi.mardani@bki.co.id</v>
          </cell>
          <cell r="G753" t="str">
            <v>089520418838</v>
          </cell>
          <cell r="H753" t="str">
            <v>5C</v>
          </cell>
          <cell r="I753">
            <v>150000</v>
          </cell>
        </row>
        <row r="754">
          <cell r="B754" t="str">
            <v>DIDIET EDITHIA FIRMAN</v>
          </cell>
          <cell r="C754" t="str">
            <v>UNIT HSE</v>
          </cell>
          <cell r="D754" t="str">
            <v>UNIT HSE</v>
          </cell>
          <cell r="E754" t="str">
            <v>ANALIS OPERASI HSE</v>
          </cell>
          <cell r="F754" t="str">
            <v>didiet.ef@bki.co.id</v>
          </cell>
          <cell r="G754" t="str">
            <v>08129371120</v>
          </cell>
          <cell r="H754" t="str">
            <v>5B</v>
          </cell>
          <cell r="I754">
            <v>250000</v>
          </cell>
        </row>
        <row r="755">
          <cell r="B755" t="str">
            <v>AGUNG BUDI ARNANTO</v>
          </cell>
          <cell r="C755" t="str">
            <v>UNIT HSE</v>
          </cell>
          <cell r="D755" t="str">
            <v>UNIT HSE</v>
          </cell>
          <cell r="E755" t="str">
            <v>SPESIALIS SENIOR HSE</v>
          </cell>
          <cell r="F755" t="str">
            <v>agungba@bki.co.id</v>
          </cell>
          <cell r="G755" t="str">
            <v>08111140999</v>
          </cell>
          <cell r="H755" t="str">
            <v>7A</v>
          </cell>
          <cell r="I755">
            <v>0</v>
          </cell>
        </row>
        <row r="756">
          <cell r="B756" t="str">
            <v>TARIZA BRILIANTI</v>
          </cell>
          <cell r="C756" t="str">
            <v>UNIT HSE</v>
          </cell>
          <cell r="D756" t="str">
            <v>UNIT HSE</v>
          </cell>
          <cell r="E756" t="str">
            <v>STAF DUKUNGAN BISNIS</v>
          </cell>
          <cell r="F756" t="str">
            <v>tariza.b@bki.co.id</v>
          </cell>
          <cell r="G756" t="str">
            <v>085334939230</v>
          </cell>
          <cell r="H756" t="str">
            <v>-</v>
          </cell>
          <cell r="I756">
            <v>0</v>
          </cell>
        </row>
        <row r="757">
          <cell r="B757" t="str">
            <v>SUKMA MAHARANI</v>
          </cell>
          <cell r="C757" t="str">
            <v>UNIT PEMASARAN DAN LAYANAN PELANGGAN NUSANTARA</v>
          </cell>
          <cell r="D757" t="str">
            <v>UNIT PEMASARAN DAN LAYANAN PELANGGAN NUSANTARA</v>
          </cell>
          <cell r="E757" t="str">
            <v>SENIOR MANAGER PEMASARAN DAN LAYANAN PELANGGAN NUSANTARA</v>
          </cell>
          <cell r="F757" t="str">
            <v>rani@bki.co.id</v>
          </cell>
          <cell r="G757" t="str">
            <v>085732555187</v>
          </cell>
          <cell r="H757" t="str">
            <v>7B</v>
          </cell>
          <cell r="I757">
            <v>350000</v>
          </cell>
        </row>
        <row r="758">
          <cell r="B758" t="str">
            <v>DWIYANA</v>
          </cell>
          <cell r="C758" t="str">
            <v>UNIT PEMASARAN DAN LAYANAN PELANGGAN NUSANTARA</v>
          </cell>
          <cell r="D758" t="str">
            <v>UNIT PEMASARAN DAN LAYANAN PELANGGAN NUSANTARA</v>
          </cell>
          <cell r="E758" t="str">
            <v>ANALIS PEMASARAN DAN PENJUALAN</v>
          </cell>
          <cell r="F758" t="str">
            <v>dwiyana@bki.co.id</v>
          </cell>
          <cell r="G758" t="str">
            <v>0811912463</v>
          </cell>
          <cell r="H758" t="str">
            <v>5A</v>
          </cell>
          <cell r="I758">
            <v>0</v>
          </cell>
        </row>
        <row r="759">
          <cell r="B759" t="str">
            <v>RAKA DWITA SETYANEGARA</v>
          </cell>
          <cell r="C759" t="str">
            <v>UNIT PEMASARAN DAN LAYANAN PELANGGAN NUSANTARA</v>
          </cell>
          <cell r="D759" t="str">
            <v>UNIT PEMASARAN DAN LAYANAN PELANGGAN NUSANTARA</v>
          </cell>
          <cell r="E759" t="str">
            <v>OFFICER PEMASARAN DAN PENJUALAN</v>
          </cell>
          <cell r="F759" t="str">
            <v>raka.dwita@bki.co.id</v>
          </cell>
          <cell r="G759" t="str">
            <v>085233076997</v>
          </cell>
          <cell r="H759" t="str">
            <v>4A</v>
          </cell>
          <cell r="I759">
            <v>100000</v>
          </cell>
        </row>
        <row r="760">
          <cell r="B760" t="str">
            <v>ADITYA ILHAM SAPTIAWAN</v>
          </cell>
          <cell r="C760" t="str">
            <v>UNIT PEMASARAN DAN LAYANAN PELANGGAN NUSANTARA</v>
          </cell>
          <cell r="D760" t="str">
            <v>UNIT PEMASARAN DAN LAYANAN PELANGGAN NUSANTARA</v>
          </cell>
          <cell r="E760" t="str">
            <v xml:space="preserve">STAF ADMINISTRASI </v>
          </cell>
          <cell r="F760" t="str">
            <v>aditya.is@bki.co.id</v>
          </cell>
          <cell r="G760" t="str">
            <v>082132153960</v>
          </cell>
          <cell r="H760" t="str">
            <v>-</v>
          </cell>
          <cell r="I760">
            <v>100000</v>
          </cell>
        </row>
        <row r="761">
          <cell r="B761" t="str">
            <v>AGNES RENITA OKTAVIANI</v>
          </cell>
          <cell r="C761" t="str">
            <v>UNIT PEMASARAN DAN LAYANAN PELANGGAN NUSANTARA</v>
          </cell>
          <cell r="D761" t="str">
            <v>UNIT PEMASARAN DAN LAYANAN PELANGGAN NUSANTARA</v>
          </cell>
          <cell r="E761" t="str">
            <v>CUSTOMER SERVICES</v>
          </cell>
          <cell r="F761" t="str">
            <v>agnes.renita@bki.co.id</v>
          </cell>
          <cell r="G761" t="str">
            <v>081906671482</v>
          </cell>
          <cell r="H761" t="str">
            <v>-</v>
          </cell>
          <cell r="I761">
            <v>0</v>
          </cell>
        </row>
        <row r="762">
          <cell r="B762" t="str">
            <v>MOCHAMAD FAUZY</v>
          </cell>
          <cell r="C762" t="str">
            <v>UNIT PEMASARAN DAN LAYANAN PELANGGAN NUSANTARA</v>
          </cell>
          <cell r="D762" t="str">
            <v>UNIT PEMASARAN DAN LAYANAN PELANGGAN NUSANTARA</v>
          </cell>
          <cell r="E762" t="str">
            <v>STAF DUKUNGAN BISNIS</v>
          </cell>
          <cell r="F762" t="str">
            <v>mochamad.fauzy@bki.co.id</v>
          </cell>
          <cell r="G762" t="str">
            <v>081219274319</v>
          </cell>
          <cell r="H762" t="str">
            <v>-</v>
          </cell>
          <cell r="I762">
            <v>0</v>
          </cell>
        </row>
        <row r="763">
          <cell r="B763" t="str">
            <v>WITA KUSUMA WARDANI</v>
          </cell>
          <cell r="C763" t="str">
            <v>UNIT PEMASARAN DAN LAYANAN PELANGGAN NUSANTARA</v>
          </cell>
          <cell r="D763" t="str">
            <v>UNIT PEMASARAN DAN LAYANAN PELANGGAN NUSANTARA</v>
          </cell>
          <cell r="E763" t="str">
            <v>STAF DUKUNGAN BISNIS</v>
          </cell>
          <cell r="F763" t="str">
            <v>wita.kusuma@bki.co.id</v>
          </cell>
          <cell r="G763" t="str">
            <v>082229197520</v>
          </cell>
          <cell r="H763" t="str">
            <v>-</v>
          </cell>
          <cell r="I763">
            <v>0</v>
          </cell>
        </row>
        <row r="764">
          <cell r="B764" t="str">
            <v>SYAHRIZAL NUR ARFANI</v>
          </cell>
          <cell r="C764" t="str">
            <v>UNIT PEMASARAN DAN LAYANAN PELANGGAN NUSANTARA</v>
          </cell>
          <cell r="D764" t="str">
            <v>UNIT PEMASARAN DAN LAYANAN PELANGGAN NUSANTARA</v>
          </cell>
          <cell r="E764" t="str">
            <v>STAF CUSTOMER ADVISORY</v>
          </cell>
          <cell r="F764" t="str">
            <v>syahrizalnur@bki.co.id</v>
          </cell>
          <cell r="H764" t="str">
            <v>-</v>
          </cell>
          <cell r="I764">
            <v>0</v>
          </cell>
        </row>
        <row r="765">
          <cell r="B765" t="str">
            <v>DEVI RAHMA FAUZIA</v>
          </cell>
          <cell r="C765" t="str">
            <v>UNIT PEMASARAN DAN LAYANAN PELANGGAN NUSANTARA</v>
          </cell>
          <cell r="D765" t="str">
            <v>UNIT PEMASARAN DAN LAYANAN PELANGGAN NUSANTARA</v>
          </cell>
          <cell r="E765" t="str">
            <v>STAF CUSTOMER ADVISORY</v>
          </cell>
          <cell r="F765" t="str">
            <v>devirahma@bki.co.id</v>
          </cell>
          <cell r="H765" t="str">
            <v>-</v>
          </cell>
          <cell r="I765">
            <v>0</v>
          </cell>
        </row>
        <row r="766">
          <cell r="B766" t="str">
            <v>ENDAH MUSTIKA NINGTIAS</v>
          </cell>
          <cell r="C766" t="str">
            <v>UNIT TANGGUNG JAWAB SOSIAL DAN LINGKUNGAN</v>
          </cell>
          <cell r="D766" t="str">
            <v>UNIT TANGGUNG JAWAB SOSIAL DAN LINGKUNGAN</v>
          </cell>
          <cell r="E766" t="str">
            <v>ANALIS TANGGUNG JAWAB SOSIAL DAN LINGKUNGAN</v>
          </cell>
          <cell r="F766" t="str">
            <v>endah.mn@bki.co.id</v>
          </cell>
          <cell r="G766" t="str">
            <v>0812 8329 9946</v>
          </cell>
          <cell r="H766" t="str">
            <v>5C</v>
          </cell>
          <cell r="I766">
            <v>250000</v>
          </cell>
        </row>
        <row r="767">
          <cell r="B767" t="str">
            <v>ALWIN RIDWAN</v>
          </cell>
          <cell r="C767" t="str">
            <v>UNIT TANGGUNG JAWAB SOSIAL DAN LINGKUNGAN</v>
          </cell>
          <cell r="D767" t="str">
            <v>UNIT TANGGUNG JAWAB SOSIAL DAN LINGKUNGAN</v>
          </cell>
          <cell r="E767" t="str">
            <v>ADMINISTRATOR SENIOR</v>
          </cell>
          <cell r="F767" t="str">
            <v>alwin.ridwan@bki.co.id</v>
          </cell>
          <cell r="G767" t="str">
            <v>081387812624</v>
          </cell>
          <cell r="H767" t="str">
            <v>3B</v>
          </cell>
          <cell r="I767">
            <v>150000</v>
          </cell>
        </row>
        <row r="768">
          <cell r="B768" t="str">
            <v>ARIF BIJAKSANA PRAWIRA NEGARA</v>
          </cell>
          <cell r="C768" t="str">
            <v>UNIT TANGGUNG JAWAB SOSIAL DAN LINGKUNGAN</v>
          </cell>
          <cell r="D768" t="str">
            <v>UNIT TANGGUNG JAWAB SOSIAL DAN LINGKUNGAN</v>
          </cell>
          <cell r="E768" t="str">
            <v>KEPALA UNIT TANGGUNG JAWAB SOSIAL LINGKUNGAN</v>
          </cell>
          <cell r="F768" t="str">
            <v>arif@bki.co.id</v>
          </cell>
          <cell r="G768" t="str">
            <v>08127032211</v>
          </cell>
          <cell r="H768" t="str">
            <v>7C</v>
          </cell>
          <cell r="I768">
            <v>0</v>
          </cell>
        </row>
        <row r="769">
          <cell r="B769" t="str">
            <v>DINDA PRATIWI</v>
          </cell>
          <cell r="C769" t="str">
            <v>UNIT TANGGUNG JAWAB SOSIAL DAN LINGKUNGAN</v>
          </cell>
          <cell r="D769" t="str">
            <v>UNIT TANGGUNG JAWAB SOSIAL DAN LINGKUNGAN</v>
          </cell>
          <cell r="E769" t="str">
            <v>STAF DUKUNGAN BISNIS</v>
          </cell>
          <cell r="F769" t="str">
            <v>dinda.p@bki.co.id</v>
          </cell>
          <cell r="G769" t="str">
            <v>08567448009</v>
          </cell>
          <cell r="H769" t="str">
            <v>-</v>
          </cell>
          <cell r="I769">
            <v>0</v>
          </cell>
        </row>
        <row r="770">
          <cell r="B770" t="str">
            <v>MOCHAMAD FASHA FIRDAUS</v>
          </cell>
          <cell r="C770" t="str">
            <v>UNIT TANGGUNG JAWAB SOSIAL DAN LINGKUNGAN</v>
          </cell>
          <cell r="D770" t="str">
            <v>UNIT TANGGUNG JAWAB SOSIAL DAN LINGKUNGAN IDS</v>
          </cell>
          <cell r="E770" t="str">
            <v>STAF DUKUNGAN BISNIS</v>
          </cell>
          <cell r="F770" t="str">
            <v>mochamad.fasha@bki.co.id</v>
          </cell>
          <cell r="G770" t="str">
            <v>089647726467</v>
          </cell>
          <cell r="H770" t="str">
            <v>-</v>
          </cell>
          <cell r="I770">
            <v>0</v>
          </cell>
        </row>
        <row r="771">
          <cell r="B771" t="str">
            <v>ARIEF BUDI PERMANA</v>
          </cell>
          <cell r="D771" t="str">
            <v>DIREKSI</v>
          </cell>
          <cell r="I771">
            <v>500000</v>
          </cell>
        </row>
        <row r="772">
          <cell r="B772" t="str">
            <v>R. AGUS DODDY DWISAGITA</v>
          </cell>
          <cell r="D772" t="str">
            <v>DIREKSI</v>
          </cell>
          <cell r="I772">
            <v>500000</v>
          </cell>
        </row>
        <row r="773">
          <cell r="B773" t="str">
            <v>BENNY SUSANTO</v>
          </cell>
          <cell r="D773" t="str">
            <v>DIREKSI</v>
          </cell>
          <cell r="G773" t="str">
            <v>x</v>
          </cell>
          <cell r="H773" t="str">
            <v>x</v>
          </cell>
          <cell r="I773">
            <v>500000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NDA TERIMA"/>
      <sheetName val="LUNAS"/>
      <sheetName val="DAFTAR (2)"/>
      <sheetName val="REKAP"/>
      <sheetName val="DAFTAR ALL"/>
      <sheetName val="BREAKDOWN DAFTAR"/>
      <sheetName val="Reguler &amp; Khusus"/>
      <sheetName val="DKI 2011"/>
      <sheetName val="DKI 2012"/>
      <sheetName val="BRIS I"/>
      <sheetName val="BRIS II-V"/>
      <sheetName val="BRIS VI-VII"/>
      <sheetName val="BRIS I 2015"/>
      <sheetName val="BRIS II 2015"/>
      <sheetName val="BRIS III 2015"/>
      <sheetName val="BRIS IV 2015"/>
      <sheetName val="BRIS V 2015 "/>
      <sheetName val="BRIS VI 2015"/>
      <sheetName val="BRIS II 2016 "/>
      <sheetName val="BRIS III 2016"/>
      <sheetName val="BRIS I 2016"/>
      <sheetName val="BJB"/>
      <sheetName val="BJB FASILITAS 2"/>
      <sheetName val="DKI 2008"/>
      <sheetName val="BJB FASILITAS 3"/>
      <sheetName val="PINJAMAN PT SYS"/>
      <sheetName val="BANK MANDIRI"/>
      <sheetName val="BANK SYARIAH INDONESIA"/>
      <sheetName val="TAB.QUR"/>
      <sheetName val="Sheet1"/>
      <sheetName val="SIMPANAN SUKARELA"/>
      <sheetName val="KENDARAAN"/>
      <sheetName val="PINJ STNK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ABDUR RAHMAN</v>
          </cell>
          <cell r="C8">
            <v>1500000</v>
          </cell>
          <cell r="D8">
            <v>1500000</v>
          </cell>
        </row>
        <row r="9">
          <cell r="B9" t="str">
            <v>AHMAD YUNUS</v>
          </cell>
          <cell r="C9">
            <v>1020833</v>
          </cell>
          <cell r="D9">
            <v>1020833</v>
          </cell>
        </row>
        <row r="10">
          <cell r="B10" t="str">
            <v>ANDI LAMAPPASESSU</v>
          </cell>
          <cell r="C10">
            <v>7609848</v>
          </cell>
          <cell r="D10">
            <v>7609848</v>
          </cell>
        </row>
        <row r="11">
          <cell r="B11" t="str">
            <v>ANDRI SURYAWAN</v>
          </cell>
          <cell r="C11">
            <v>4708150</v>
          </cell>
          <cell r="D11">
            <v>4708150</v>
          </cell>
        </row>
        <row r="12">
          <cell r="B12" t="str">
            <v>BAYU MAHARDIKA WICAKSONO</v>
          </cell>
          <cell r="C12">
            <v>7801667</v>
          </cell>
          <cell r="D12">
            <v>7801667</v>
          </cell>
        </row>
        <row r="13">
          <cell r="B13" t="str">
            <v>DEDE MA'MUN SUMANTRI</v>
          </cell>
          <cell r="C13">
            <v>18366992</v>
          </cell>
          <cell r="D13">
            <v>18366992</v>
          </cell>
        </row>
        <row r="14">
          <cell r="B14" t="str">
            <v>DIDIET EDITHIA FIRMAN</v>
          </cell>
          <cell r="C14">
            <v>2871528</v>
          </cell>
          <cell r="D14">
            <v>2871528</v>
          </cell>
        </row>
        <row r="15">
          <cell r="B15" t="str">
            <v>ENDAH MUSTIKA NINGTIAS</v>
          </cell>
          <cell r="C15">
            <v>6053100</v>
          </cell>
          <cell r="D15">
            <v>6053100</v>
          </cell>
        </row>
        <row r="16">
          <cell r="B16" t="str">
            <v>ERRY SANJAYA DJAYUS</v>
          </cell>
          <cell r="C16">
            <v>11006944</v>
          </cell>
          <cell r="D16">
            <v>11006944</v>
          </cell>
        </row>
        <row r="17">
          <cell r="B17" t="str">
            <v>EVA SINTAULI SARAGIH</v>
          </cell>
          <cell r="C17">
            <v>17623786</v>
          </cell>
          <cell r="D17">
            <v>17623786</v>
          </cell>
        </row>
        <row r="18">
          <cell r="B18" t="str">
            <v>GDE SANDHYANA PRADHITA</v>
          </cell>
          <cell r="C18">
            <v>3650000</v>
          </cell>
          <cell r="D18">
            <v>3650000</v>
          </cell>
        </row>
        <row r="19">
          <cell r="B19" t="str">
            <v>HAERUDIN</v>
          </cell>
          <cell r="C19">
            <v>5767335</v>
          </cell>
          <cell r="D19">
            <v>5767335</v>
          </cell>
        </row>
        <row r="20">
          <cell r="B20" t="str">
            <v>HARDIAN</v>
          </cell>
          <cell r="C20">
            <v>3563351</v>
          </cell>
          <cell r="D20">
            <v>3563351</v>
          </cell>
        </row>
        <row r="21">
          <cell r="B21" t="str">
            <v>HIMAWAN</v>
          </cell>
          <cell r="C21">
            <v>850694</v>
          </cell>
          <cell r="D21">
            <v>850694</v>
          </cell>
        </row>
        <row r="22">
          <cell r="B22" t="str">
            <v>IRAWATI</v>
          </cell>
          <cell r="C22">
            <v>9525267</v>
          </cell>
          <cell r="D22">
            <v>9525267</v>
          </cell>
        </row>
        <row r="23">
          <cell r="B23" t="str">
            <v>IRWANTO</v>
          </cell>
          <cell r="C23">
            <v>5832511</v>
          </cell>
          <cell r="D23">
            <v>5832511</v>
          </cell>
        </row>
        <row r="24">
          <cell r="B24" t="str">
            <v>KOSIM BIN MARI</v>
          </cell>
          <cell r="C24">
            <v>3450042</v>
          </cell>
          <cell r="D24">
            <v>3450042</v>
          </cell>
        </row>
        <row r="25">
          <cell r="B25" t="str">
            <v>LINDA KURNIATY</v>
          </cell>
          <cell r="C25">
            <v>2395833</v>
          </cell>
          <cell r="D25">
            <v>2395833</v>
          </cell>
        </row>
        <row r="26">
          <cell r="B26" t="str">
            <v>MARINA ARIFIANTI</v>
          </cell>
          <cell r="C26">
            <v>3562500</v>
          </cell>
          <cell r="D26">
            <v>3562500</v>
          </cell>
        </row>
        <row r="27">
          <cell r="B27" t="str">
            <v>MARISA THERESIA SIHOMBING</v>
          </cell>
          <cell r="C27">
            <v>2291667</v>
          </cell>
          <cell r="D27">
            <v>2291667</v>
          </cell>
        </row>
        <row r="28">
          <cell r="B28" t="str">
            <v>MEGAWATI ROSALIO PUTRI</v>
          </cell>
          <cell r="C28">
            <v>1354167</v>
          </cell>
          <cell r="D28">
            <v>1354167</v>
          </cell>
        </row>
        <row r="29">
          <cell r="B29" t="str">
            <v>MOCHAMMAD ZAKY</v>
          </cell>
          <cell r="C29">
            <v>5510000</v>
          </cell>
          <cell r="D29">
            <v>5510000</v>
          </cell>
        </row>
        <row r="30">
          <cell r="B30" t="str">
            <v>NASARUDDIN</v>
          </cell>
          <cell r="C30">
            <v>3402778</v>
          </cell>
          <cell r="D30">
            <v>3402778</v>
          </cell>
        </row>
        <row r="31">
          <cell r="B31" t="str">
            <v>NENNY YUNIARTI</v>
          </cell>
          <cell r="C31">
            <v>5638526</v>
          </cell>
          <cell r="D31">
            <v>5638526</v>
          </cell>
        </row>
        <row r="32">
          <cell r="B32" t="str">
            <v>PRASETYO</v>
          </cell>
          <cell r="C32">
            <v>1733796</v>
          </cell>
          <cell r="D32">
            <v>1733796</v>
          </cell>
        </row>
        <row r="33">
          <cell r="B33" t="str">
            <v>PUJATMANTO BASTRIADI</v>
          </cell>
          <cell r="C33">
            <v>2500000</v>
          </cell>
          <cell r="D33">
            <v>2500000</v>
          </cell>
        </row>
        <row r="34">
          <cell r="B34" t="str">
            <v>RACHMAD KURNIAWAN</v>
          </cell>
          <cell r="C34">
            <v>6629441</v>
          </cell>
          <cell r="D34">
            <v>6629441</v>
          </cell>
        </row>
        <row r="35">
          <cell r="B35" t="str">
            <v>RATNA DEWI</v>
          </cell>
          <cell r="C35">
            <v>1200000</v>
          </cell>
          <cell r="D35">
            <v>1200000</v>
          </cell>
        </row>
        <row r="36">
          <cell r="B36" t="str">
            <v>RISKA TRI HANDINI</v>
          </cell>
          <cell r="C36">
            <v>1665000</v>
          </cell>
          <cell r="D36">
            <v>1665000</v>
          </cell>
        </row>
        <row r="37">
          <cell r="B37" t="str">
            <v>SAMSUL MUSLIM</v>
          </cell>
          <cell r="C37">
            <v>2395833</v>
          </cell>
          <cell r="D37">
            <v>2395833</v>
          </cell>
        </row>
        <row r="38">
          <cell r="B38" t="str">
            <v>SARI GITA TANTINIS</v>
          </cell>
          <cell r="C38">
            <v>2395833</v>
          </cell>
          <cell r="D38">
            <v>2395833</v>
          </cell>
        </row>
        <row r="39">
          <cell r="B39" t="str">
            <v>SARIDI</v>
          </cell>
          <cell r="C39">
            <v>4697816</v>
          </cell>
          <cell r="D39">
            <v>4697816</v>
          </cell>
        </row>
        <row r="40">
          <cell r="B40" t="str">
            <v>SUKADI REDJI</v>
          </cell>
          <cell r="C40">
            <v>12486708</v>
          </cell>
          <cell r="D40">
            <v>12486708</v>
          </cell>
        </row>
        <row r="41">
          <cell r="B41" t="str">
            <v>SUMARTINI</v>
          </cell>
          <cell r="C41">
            <v>17584050</v>
          </cell>
          <cell r="D41">
            <v>17584050</v>
          </cell>
        </row>
        <row r="42">
          <cell r="B42" t="str">
            <v>SYAHLIR</v>
          </cell>
          <cell r="C42">
            <v>2822700</v>
          </cell>
          <cell r="D42">
            <v>2822700</v>
          </cell>
        </row>
        <row r="43">
          <cell r="B43" t="str">
            <v>TEGUH ANDANI</v>
          </cell>
          <cell r="C43">
            <v>9019189</v>
          </cell>
          <cell r="D43">
            <v>9019189</v>
          </cell>
        </row>
        <row r="44">
          <cell r="B44" t="str">
            <v>UNTUNG PRASETYO</v>
          </cell>
          <cell r="C44">
            <v>1190972</v>
          </cell>
          <cell r="D44">
            <v>1190972</v>
          </cell>
        </row>
        <row r="45">
          <cell r="B45" t="str">
            <v>WAHIDIN</v>
          </cell>
          <cell r="C45">
            <v>6939841</v>
          </cell>
          <cell r="D45">
            <v>6939841</v>
          </cell>
        </row>
        <row r="46">
          <cell r="B46" t="str">
            <v>WILLY ADI NUGROHO</v>
          </cell>
          <cell r="C46">
            <v>4125351</v>
          </cell>
          <cell r="D46">
            <v>4125351</v>
          </cell>
        </row>
        <row r="47">
          <cell r="B47" t="str">
            <v>YULIA FAJRI KINANTI</v>
          </cell>
          <cell r="C47">
            <v>1000000</v>
          </cell>
          <cell r="D47">
            <v>1000000</v>
          </cell>
        </row>
        <row r="48">
          <cell r="B48" t="str">
            <v>PUTRI NUR LAKSMI</v>
          </cell>
          <cell r="C48">
            <v>2500000</v>
          </cell>
          <cell r="D48">
            <v>2500000</v>
          </cell>
        </row>
        <row r="49">
          <cell r="B49" t="str">
            <v>ACHMAD TAWAKKAL RAMPA</v>
          </cell>
          <cell r="C49">
            <v>6887500</v>
          </cell>
          <cell r="D49">
            <v>6887500</v>
          </cell>
        </row>
        <row r="50">
          <cell r="B50" t="str">
            <v>MIA MARTINA INDAH</v>
          </cell>
          <cell r="C50">
            <v>1500000</v>
          </cell>
          <cell r="D50">
            <v>1500000</v>
          </cell>
        </row>
        <row r="51">
          <cell r="B51" t="str">
            <v>MUHAMMAD IRVAN WIDYA</v>
          </cell>
          <cell r="C51">
            <v>2500000</v>
          </cell>
          <cell r="D51">
            <v>2500000</v>
          </cell>
        </row>
        <row r="52">
          <cell r="B52" t="str">
            <v>TOGAP HIDAYAT SIAGIAN</v>
          </cell>
          <cell r="C52">
            <v>6154617</v>
          </cell>
          <cell r="D52">
            <v>6154617</v>
          </cell>
        </row>
        <row r="53">
          <cell r="B53" t="str">
            <v>ALDICIO WILLIAM SCHUURMAN</v>
          </cell>
          <cell r="C53">
            <v>1531250</v>
          </cell>
          <cell r="D53">
            <v>1531250</v>
          </cell>
        </row>
        <row r="54">
          <cell r="B54" t="str">
            <v>R. AGUS DODDY DWISAGITA</v>
          </cell>
          <cell r="C54">
            <v>6746750</v>
          </cell>
          <cell r="D54">
            <v>6746750</v>
          </cell>
        </row>
        <row r="55">
          <cell r="B55" t="str">
            <v>BUSROL KARIM</v>
          </cell>
          <cell r="C55">
            <v>1000000</v>
          </cell>
          <cell r="D55">
            <v>1000000</v>
          </cell>
        </row>
        <row r="56">
          <cell r="B56" t="str">
            <v>ADESTA MUNAS LATIEF</v>
          </cell>
          <cell r="C56">
            <v>7522865</v>
          </cell>
          <cell r="D56">
            <v>7522865</v>
          </cell>
        </row>
        <row r="57">
          <cell r="B57" t="str">
            <v>MAT HASAN</v>
          </cell>
          <cell r="C57">
            <v>10608334</v>
          </cell>
          <cell r="D57">
            <v>10608334</v>
          </cell>
        </row>
        <row r="58">
          <cell r="B58" t="str">
            <v>TRI LAKSONO JOENIAWAN</v>
          </cell>
          <cell r="C58">
            <v>7560692</v>
          </cell>
          <cell r="D58">
            <v>7560692</v>
          </cell>
        </row>
        <row r="59">
          <cell r="B59" t="str">
            <v>NUR RAHMAD HIDAYAT</v>
          </cell>
          <cell r="C59">
            <v>2702244</v>
          </cell>
          <cell r="D59">
            <v>2702244</v>
          </cell>
        </row>
        <row r="60">
          <cell r="B60" t="str">
            <v>DWI CAHYA KURNIAWANI</v>
          </cell>
          <cell r="C60">
            <v>3510416</v>
          </cell>
          <cell r="D60">
            <v>3510416</v>
          </cell>
        </row>
        <row r="61">
          <cell r="B61" t="str">
            <v>DHITYA PUTRA RAMADHAN</v>
          </cell>
          <cell r="C61">
            <v>1500000</v>
          </cell>
          <cell r="D61">
            <v>1500000</v>
          </cell>
        </row>
        <row r="62">
          <cell r="B62" t="str">
            <v>MOHAMMAD HASAN</v>
          </cell>
          <cell r="C62">
            <v>13910000</v>
          </cell>
          <cell r="D62">
            <v>13910000</v>
          </cell>
        </row>
        <row r="63">
          <cell r="B63" t="str">
            <v>NOAH CAHYASASMITA</v>
          </cell>
          <cell r="C63">
            <v>5510001</v>
          </cell>
          <cell r="D63">
            <v>5510001</v>
          </cell>
        </row>
        <row r="64">
          <cell r="B64" t="str">
            <v>KARTIKA WIJAYANTI KUSUMAWARDHANI</v>
          </cell>
          <cell r="C64">
            <v>1000000</v>
          </cell>
          <cell r="D64">
            <v>1000000</v>
          </cell>
        </row>
        <row r="65">
          <cell r="B65" t="str">
            <v>TUNJUNG WIDYATMO HANDOYO</v>
          </cell>
          <cell r="C65">
            <v>1000000</v>
          </cell>
          <cell r="D65">
            <v>1000000</v>
          </cell>
        </row>
        <row r="66">
          <cell r="B66" t="str">
            <v>KURNIA FIRMANSYAH</v>
          </cell>
          <cell r="C66">
            <v>500000</v>
          </cell>
          <cell r="D66">
            <v>500000</v>
          </cell>
        </row>
        <row r="67">
          <cell r="B67" t="str">
            <v>ILYAS</v>
          </cell>
          <cell r="C67">
            <v>500000</v>
          </cell>
          <cell r="D67">
            <v>500000</v>
          </cell>
        </row>
        <row r="68">
          <cell r="B68" t="str">
            <v>HARDIKA RATDITYA ARDYANTO</v>
          </cell>
          <cell r="C68">
            <v>1889063</v>
          </cell>
          <cell r="D68">
            <v>1889063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D5">
            <v>500000</v>
          </cell>
        </row>
        <row r="6">
          <cell r="D6">
            <v>400000</v>
          </cell>
        </row>
      </sheetData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FTAR (2)"/>
      <sheetName val="REKAP"/>
      <sheetName val="DAFTAR (No Tittle)"/>
      <sheetName val="KHUSUS&amp;REG"/>
      <sheetName val="BANK MANDIRI"/>
      <sheetName val="BSI"/>
    </sheetNames>
    <sheetDataSet>
      <sheetData sheetId="0" refreshError="1"/>
      <sheetData sheetId="1" refreshError="1"/>
      <sheetData sheetId="2">
        <row r="8">
          <cell r="B8" t="str">
            <v>INDRA PERMANA</v>
          </cell>
          <cell r="C8">
            <v>150000</v>
          </cell>
          <cell r="D8">
            <v>8671513</v>
          </cell>
        </row>
        <row r="9">
          <cell r="B9" t="str">
            <v>RM KURNAEFI</v>
          </cell>
          <cell r="C9">
            <v>150000</v>
          </cell>
          <cell r="D9">
            <v>0</v>
          </cell>
        </row>
        <row r="10">
          <cell r="B10" t="str">
            <v>RONY WIRANTO SETIAWAN</v>
          </cell>
          <cell r="C10">
            <v>150000</v>
          </cell>
          <cell r="D10">
            <v>0</v>
          </cell>
        </row>
        <row r="11">
          <cell r="B11" t="str">
            <v>SOLEH ABIDIN</v>
          </cell>
          <cell r="C11">
            <v>150000</v>
          </cell>
          <cell r="D11">
            <v>7597381</v>
          </cell>
        </row>
        <row r="12">
          <cell r="B12" t="str">
            <v>TONI SYARIF HIDAYAH</v>
          </cell>
          <cell r="C12">
            <v>150000</v>
          </cell>
          <cell r="D12">
            <v>0</v>
          </cell>
        </row>
        <row r="13">
          <cell r="B13" t="str">
            <v>NARSO</v>
          </cell>
          <cell r="C13">
            <v>250000</v>
          </cell>
          <cell r="D13">
            <v>0</v>
          </cell>
        </row>
        <row r="14">
          <cell r="B14" t="str">
            <v>MUHAMMAD IDI</v>
          </cell>
          <cell r="C14">
            <v>500000</v>
          </cell>
          <cell r="D14">
            <v>0</v>
          </cell>
        </row>
        <row r="15">
          <cell r="B15" t="str">
            <v>HARDI E. P. SIAGIAN</v>
          </cell>
          <cell r="C15">
            <v>150000</v>
          </cell>
          <cell r="D15">
            <v>0</v>
          </cell>
        </row>
        <row r="16">
          <cell r="B16" t="str">
            <v>WILDANIS MIFTAHUL ABROR</v>
          </cell>
          <cell r="C16">
            <v>150000</v>
          </cell>
          <cell r="D16">
            <v>0</v>
          </cell>
        </row>
        <row r="17">
          <cell r="B17" t="str">
            <v>MUHAMAD BAQI</v>
          </cell>
          <cell r="C17">
            <v>250000</v>
          </cell>
          <cell r="D17">
            <v>0</v>
          </cell>
        </row>
        <row r="18">
          <cell r="B18" t="str">
            <v>IRWAN EKO SANTOSO</v>
          </cell>
          <cell r="C18">
            <v>250000</v>
          </cell>
          <cell r="D18">
            <v>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NDA TERIMA"/>
      <sheetName val="DAFTAR (2)"/>
      <sheetName val="REKAP"/>
      <sheetName val="DAFTAR"/>
      <sheetName val="Khusus &amp; reguler"/>
      <sheetName val="BSI"/>
      <sheetName val="BANK MANDIRI"/>
      <sheetName val="DKI (2)"/>
      <sheetName val="BRIS"/>
      <sheetName val="BRIS (2)"/>
      <sheetName val="BJB"/>
      <sheetName val="MANDIRI"/>
    </sheetNames>
    <sheetDataSet>
      <sheetData sheetId="0" refreshError="1"/>
      <sheetData sheetId="1" refreshError="1"/>
      <sheetData sheetId="2" refreshError="1"/>
      <sheetData sheetId="3">
        <row r="8">
          <cell r="B8" t="str">
            <v>BUDIMAN JOHANSYAH</v>
          </cell>
          <cell r="C8">
            <v>350000</v>
          </cell>
          <cell r="D8">
            <v>0</v>
          </cell>
          <cell r="E8">
            <v>0</v>
          </cell>
        </row>
        <row r="9">
          <cell r="B9" t="str">
            <v>BAMBANG WIJANARKO</v>
          </cell>
          <cell r="C9">
            <v>150000</v>
          </cell>
          <cell r="D9">
            <v>0</v>
          </cell>
          <cell r="E9">
            <v>2500000</v>
          </cell>
        </row>
        <row r="10">
          <cell r="B10" t="str">
            <v>DINO VITA LARASANTO</v>
          </cell>
          <cell r="C10">
            <v>150000</v>
          </cell>
          <cell r="D10">
            <v>0</v>
          </cell>
          <cell r="E10">
            <v>2041667</v>
          </cell>
        </row>
        <row r="11">
          <cell r="B11" t="str">
            <v>DIMAS PUTRA PRASETYO</v>
          </cell>
          <cell r="C11">
            <v>100000</v>
          </cell>
          <cell r="D11">
            <v>0</v>
          </cell>
          <cell r="E11">
            <v>2500000</v>
          </cell>
        </row>
        <row r="12">
          <cell r="B12" t="str">
            <v>HARRYS PAHALA MANALU</v>
          </cell>
          <cell r="C12">
            <v>150000</v>
          </cell>
          <cell r="D12">
            <v>0</v>
          </cell>
          <cell r="E12">
            <v>1890628</v>
          </cell>
        </row>
        <row r="13">
          <cell r="B13" t="str">
            <v>FATKHURROHMAN</v>
          </cell>
          <cell r="C13">
            <v>100000</v>
          </cell>
          <cell r="D13">
            <v>0</v>
          </cell>
          <cell r="E13">
            <v>0</v>
          </cell>
        </row>
        <row r="14">
          <cell r="B14" t="str">
            <v>ELVA MOCHAMAD RAMDHANI</v>
          </cell>
          <cell r="C14">
            <v>350000</v>
          </cell>
          <cell r="D14">
            <v>0</v>
          </cell>
          <cell r="E14">
            <v>0</v>
          </cell>
        </row>
        <row r="15">
          <cell r="B15" t="str">
            <v>RAHADI SIGIT WICAKSONO</v>
          </cell>
          <cell r="C15">
            <v>150000</v>
          </cell>
          <cell r="D15">
            <v>0</v>
          </cell>
          <cell r="E15">
            <v>0</v>
          </cell>
        </row>
        <row r="16">
          <cell r="B16" t="str">
            <v>SYAFRIL</v>
          </cell>
          <cell r="C16">
            <v>150000</v>
          </cell>
          <cell r="D16">
            <v>0</v>
          </cell>
          <cell r="E16">
            <v>2500000</v>
          </cell>
        </row>
        <row r="17">
          <cell r="B17" t="str">
            <v>SUDIRO</v>
          </cell>
          <cell r="C17">
            <v>250000</v>
          </cell>
          <cell r="D17">
            <v>0</v>
          </cell>
          <cell r="E17">
            <v>0</v>
          </cell>
        </row>
        <row r="18">
          <cell r="B18" t="str">
            <v>SUSETYO WIJANARKO BUDIARDHI</v>
          </cell>
          <cell r="C18">
            <v>150000</v>
          </cell>
          <cell r="D18">
            <v>0</v>
          </cell>
          <cell r="E18">
            <v>958333</v>
          </cell>
        </row>
        <row r="19">
          <cell r="B19" t="str">
            <v>MUH. ASPAR</v>
          </cell>
          <cell r="C19">
            <v>250000</v>
          </cell>
          <cell r="D19">
            <v>0</v>
          </cell>
          <cell r="E19">
            <v>3075835</v>
          </cell>
        </row>
        <row r="20">
          <cell r="B20" t="str">
            <v>KENNEDI PANGARIBUAN</v>
          </cell>
          <cell r="C20">
            <v>150000</v>
          </cell>
          <cell r="D20">
            <v>0</v>
          </cell>
          <cell r="E20">
            <v>0</v>
          </cell>
        </row>
        <row r="21">
          <cell r="B21" t="str">
            <v>DANIEL MAHARDHIKA</v>
          </cell>
          <cell r="C21">
            <v>250000</v>
          </cell>
          <cell r="D21">
            <v>0</v>
          </cell>
          <cell r="E21">
            <v>0</v>
          </cell>
        </row>
        <row r="22">
          <cell r="B22" t="str">
            <v>HENDI ZULFAN</v>
          </cell>
          <cell r="C22">
            <v>150000</v>
          </cell>
          <cell r="D22">
            <v>0</v>
          </cell>
          <cell r="E22">
            <v>0</v>
          </cell>
        </row>
        <row r="23">
          <cell r="B23" t="str">
            <v>FERNANDO S</v>
          </cell>
          <cell r="C23">
            <v>150000</v>
          </cell>
          <cell r="D23">
            <v>0</v>
          </cell>
          <cell r="E23">
            <v>0</v>
          </cell>
        </row>
        <row r="24">
          <cell r="B24" t="str">
            <v>MERDIANSAH</v>
          </cell>
          <cell r="C24">
            <v>250000</v>
          </cell>
          <cell r="D24">
            <v>0</v>
          </cell>
          <cell r="E24">
            <v>0</v>
          </cell>
        </row>
        <row r="25">
          <cell r="B25" t="str">
            <v>AZHAR GHIPARI</v>
          </cell>
          <cell r="C25">
            <v>100000</v>
          </cell>
          <cell r="D25">
            <v>0</v>
          </cell>
          <cell r="E25">
            <v>1700000</v>
          </cell>
        </row>
        <row r="26">
          <cell r="B26" t="str">
            <v>EDIT HASTA PRIHANTIKA</v>
          </cell>
          <cell r="C26">
            <v>100000</v>
          </cell>
          <cell r="D26">
            <v>0</v>
          </cell>
          <cell r="E26">
            <v>2400000</v>
          </cell>
        </row>
        <row r="27">
          <cell r="B27" t="str">
            <v>NOVELLA MUSYA</v>
          </cell>
          <cell r="C27">
            <v>150000</v>
          </cell>
          <cell r="D27">
            <v>0</v>
          </cell>
          <cell r="E27">
            <v>0</v>
          </cell>
        </row>
        <row r="28">
          <cell r="B28" t="str">
            <v>RIZKI ALDILLA TAMTURA</v>
          </cell>
          <cell r="C28">
            <v>150000</v>
          </cell>
          <cell r="D28">
            <v>0</v>
          </cell>
          <cell r="E28">
            <v>985417</v>
          </cell>
        </row>
        <row r="29">
          <cell r="B29" t="str">
            <v>SATRIA ADI SUKMA NEGARA</v>
          </cell>
          <cell r="C29">
            <v>100000</v>
          </cell>
          <cell r="D29">
            <v>0</v>
          </cell>
          <cell r="E29">
            <v>2500000</v>
          </cell>
        </row>
        <row r="30">
          <cell r="B30" t="str">
            <v>MUHAMMAD SOFIAN</v>
          </cell>
          <cell r="C30">
            <v>100000</v>
          </cell>
          <cell r="D30">
            <v>0</v>
          </cell>
          <cell r="E30">
            <v>5075758</v>
          </cell>
        </row>
        <row r="31">
          <cell r="B31" t="str">
            <v>ABD. RAHMAN</v>
          </cell>
          <cell r="C31">
            <v>150000</v>
          </cell>
          <cell r="D31">
            <v>0</v>
          </cell>
          <cell r="E31">
            <v>3408467</v>
          </cell>
        </row>
        <row r="32">
          <cell r="B32" t="str">
            <v>ISMAIL</v>
          </cell>
          <cell r="C32">
            <v>350000</v>
          </cell>
          <cell r="D32">
            <v>0</v>
          </cell>
          <cell r="E32">
            <v>0</v>
          </cell>
        </row>
        <row r="33">
          <cell r="B33" t="str">
            <v>NERLAN PASARIBU</v>
          </cell>
          <cell r="C33">
            <v>250000</v>
          </cell>
          <cell r="D33">
            <v>0</v>
          </cell>
          <cell r="E33">
            <v>0</v>
          </cell>
        </row>
        <row r="34">
          <cell r="B34" t="str">
            <v>R. ADE WARDOYO WINOTO PUTRO</v>
          </cell>
          <cell r="C34">
            <v>150000</v>
          </cell>
          <cell r="D34">
            <v>0</v>
          </cell>
          <cell r="E34">
            <v>4863285</v>
          </cell>
        </row>
        <row r="35">
          <cell r="B35" t="str">
            <v>ARY FIRMANSYAH FIRLI</v>
          </cell>
          <cell r="C35">
            <v>150000</v>
          </cell>
          <cell r="D35">
            <v>0</v>
          </cell>
          <cell r="E35">
            <v>2500000</v>
          </cell>
        </row>
        <row r="36">
          <cell r="B36" t="str">
            <v>HEDIAR HAPRI BANGABUA</v>
          </cell>
          <cell r="C36">
            <v>150000</v>
          </cell>
          <cell r="D36">
            <v>0</v>
          </cell>
          <cell r="E36">
            <v>1625122</v>
          </cell>
        </row>
        <row r="37">
          <cell r="B37" t="str">
            <v>FERRY HARFIANTO EFFENDY</v>
          </cell>
          <cell r="C37">
            <v>350000</v>
          </cell>
          <cell r="D37">
            <v>0</v>
          </cell>
          <cell r="E37">
            <v>2500000</v>
          </cell>
        </row>
        <row r="38">
          <cell r="B38" t="str">
            <v>DANDY RUKMANA</v>
          </cell>
          <cell r="C38">
            <v>150000</v>
          </cell>
          <cell r="D38">
            <v>0</v>
          </cell>
          <cell r="E38">
            <v>2125000</v>
          </cell>
        </row>
        <row r="39">
          <cell r="B39" t="str">
            <v>ARIF RACHMAN</v>
          </cell>
          <cell r="C39">
            <v>150000</v>
          </cell>
          <cell r="D39">
            <v>0</v>
          </cell>
          <cell r="E39">
            <v>1000000</v>
          </cell>
        </row>
        <row r="40">
          <cell r="B40" t="str">
            <v>EFRY TALLAMMA</v>
          </cell>
          <cell r="C40">
            <v>150000</v>
          </cell>
          <cell r="D40">
            <v>0</v>
          </cell>
          <cell r="E40">
            <v>0</v>
          </cell>
        </row>
        <row r="41">
          <cell r="B41" t="str">
            <v>WAHJOE ARIO TEDJO</v>
          </cell>
          <cell r="C41">
            <v>350000</v>
          </cell>
          <cell r="D41">
            <v>0</v>
          </cell>
          <cell r="E41">
            <v>11907733</v>
          </cell>
        </row>
        <row r="42">
          <cell r="B42" t="str">
            <v>WAWAN PRIYA WIDYANTA</v>
          </cell>
          <cell r="C42">
            <v>250000</v>
          </cell>
          <cell r="D42">
            <v>0</v>
          </cell>
          <cell r="E42">
            <v>9373356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NDA TERIMA"/>
      <sheetName val="DAFTAR (2)"/>
      <sheetName val="REKAP (2)"/>
      <sheetName val="REKAP (3)"/>
      <sheetName val="REKAP"/>
      <sheetName val="DAFTAR"/>
      <sheetName val="Khusus &amp; reguler"/>
      <sheetName val="BSI"/>
      <sheetName val="DKI (2)"/>
      <sheetName val="DKI(LUNAS)"/>
      <sheetName val="BRIS"/>
      <sheetName val="BJ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B7" t="str">
            <v>AGUS SUNARTO</v>
          </cell>
          <cell r="C7">
            <v>150000</v>
          </cell>
          <cell r="D7">
            <v>0</v>
          </cell>
          <cell r="E7">
            <v>0</v>
          </cell>
        </row>
        <row r="8">
          <cell r="B8" t="str">
            <v>BURHANUDDIN</v>
          </cell>
          <cell r="C8">
            <v>100000</v>
          </cell>
          <cell r="D8">
            <v>0</v>
          </cell>
          <cell r="E8">
            <v>1000000</v>
          </cell>
        </row>
        <row r="9">
          <cell r="B9" t="str">
            <v>ELVINO YUSKA PUTRA</v>
          </cell>
          <cell r="C9">
            <v>100000</v>
          </cell>
          <cell r="D9">
            <v>0</v>
          </cell>
          <cell r="E9">
            <v>1000000</v>
          </cell>
        </row>
        <row r="10">
          <cell r="B10" t="str">
            <v>WINARTO</v>
          </cell>
          <cell r="C10">
            <v>350000</v>
          </cell>
          <cell r="D10">
            <v>0</v>
          </cell>
          <cell r="E10">
            <v>0</v>
          </cell>
        </row>
        <row r="11">
          <cell r="B11" t="str">
            <v>JOKO SUSILO</v>
          </cell>
          <cell r="C11">
            <v>100000</v>
          </cell>
          <cell r="D11">
            <v>0</v>
          </cell>
          <cell r="E11">
            <v>0</v>
          </cell>
        </row>
        <row r="12">
          <cell r="B12" t="str">
            <v>WAHYU PRIAMBODO</v>
          </cell>
          <cell r="C12">
            <v>350000</v>
          </cell>
          <cell r="D12">
            <v>0</v>
          </cell>
          <cell r="E12">
            <v>0</v>
          </cell>
        </row>
        <row r="13">
          <cell r="B13" t="str">
            <v>R. SAPTO AGUNG PRAMUSINTO</v>
          </cell>
          <cell r="C13">
            <v>350000</v>
          </cell>
          <cell r="D13">
            <v>0</v>
          </cell>
          <cell r="E13">
            <v>0</v>
          </cell>
        </row>
        <row r="14">
          <cell r="B14" t="str">
            <v>YUDI PRAWOTO</v>
          </cell>
          <cell r="C14">
            <v>350000</v>
          </cell>
          <cell r="D14">
            <v>0</v>
          </cell>
          <cell r="E14">
            <v>0</v>
          </cell>
        </row>
        <row r="15">
          <cell r="B15" t="str">
            <v>TANTRY OCTAVIANI</v>
          </cell>
          <cell r="C15">
            <v>100000</v>
          </cell>
          <cell r="D15">
            <v>0</v>
          </cell>
          <cell r="E15">
            <v>0</v>
          </cell>
        </row>
        <row r="16">
          <cell r="B16" t="str">
            <v>HELDA YULISTIANI</v>
          </cell>
          <cell r="C16">
            <v>100000</v>
          </cell>
          <cell r="D16">
            <v>0</v>
          </cell>
          <cell r="E16">
            <v>0</v>
          </cell>
        </row>
        <row r="17">
          <cell r="B17" t="str">
            <v>YUSRIADY BOROALLO RUGA</v>
          </cell>
          <cell r="C17">
            <v>150000</v>
          </cell>
          <cell r="D17">
            <v>0</v>
          </cell>
          <cell r="E17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NDA TERIMA"/>
      <sheetName val="DAFTAR "/>
      <sheetName val="REKAP"/>
      <sheetName val="KHUSUS &amp; REGULER ORGANIK"/>
      <sheetName val="BJB ORGANIK"/>
      <sheetName val="BANK MANDIRI"/>
      <sheetName val="DAFTAR ORGANIK"/>
      <sheetName val="KHUSUS &amp; REGULER"/>
      <sheetName val="BSI"/>
      <sheetName val="KHUSUS &amp; REGULER KONTRAK KERJA"/>
      <sheetName val="DKI 1&amp; 2 (LUNAS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B8" t="str">
            <v>ARDHIAN BUDI SULISTIYO</v>
          </cell>
          <cell r="C8">
            <v>350000</v>
          </cell>
          <cell r="D8">
            <v>0</v>
          </cell>
          <cell r="E8">
            <v>0</v>
          </cell>
        </row>
        <row r="9">
          <cell r="B9" t="str">
            <v>HERY ALWIS</v>
          </cell>
          <cell r="C9">
            <v>100000</v>
          </cell>
          <cell r="D9">
            <v>0</v>
          </cell>
          <cell r="E9">
            <v>0</v>
          </cell>
        </row>
        <row r="10">
          <cell r="B10" t="str">
            <v>MUHAMMAD TEGUH WIDODO</v>
          </cell>
          <cell r="C10">
            <v>100000</v>
          </cell>
          <cell r="D10">
            <v>0</v>
          </cell>
          <cell r="E10">
            <v>0</v>
          </cell>
        </row>
        <row r="11">
          <cell r="B11" t="str">
            <v>SATRIA ALDI PERMANA</v>
          </cell>
          <cell r="C11">
            <v>100000</v>
          </cell>
          <cell r="D11">
            <v>0</v>
          </cell>
          <cell r="E11">
            <v>0</v>
          </cell>
        </row>
        <row r="12">
          <cell r="B12" t="str">
            <v>DR  KARTIKA KUS HENDRATNA</v>
          </cell>
          <cell r="C12">
            <v>500000</v>
          </cell>
          <cell r="D12">
            <v>0</v>
          </cell>
          <cell r="E12">
            <v>0</v>
          </cell>
        </row>
        <row r="13">
          <cell r="B13" t="str">
            <v>FARIED</v>
          </cell>
          <cell r="C13">
            <v>350000</v>
          </cell>
          <cell r="D13">
            <v>0</v>
          </cell>
          <cell r="E13">
            <v>4722725</v>
          </cell>
        </row>
        <row r="14">
          <cell r="B14" t="str">
            <v>RANDY YOLANDA ANNOFCI PRATAMA</v>
          </cell>
          <cell r="C14">
            <v>150000</v>
          </cell>
          <cell r="D14">
            <v>0</v>
          </cell>
          <cell r="E14">
            <v>0</v>
          </cell>
        </row>
        <row r="15">
          <cell r="B15" t="str">
            <v>ARIF PURWONO</v>
          </cell>
          <cell r="C15">
            <v>350000</v>
          </cell>
          <cell r="D15">
            <v>0</v>
          </cell>
          <cell r="E15">
            <v>0</v>
          </cell>
        </row>
        <row r="16">
          <cell r="B16" t="str">
            <v>NEVI EKO YULIANANTO</v>
          </cell>
          <cell r="C16">
            <v>250000</v>
          </cell>
          <cell r="D16">
            <v>0</v>
          </cell>
          <cell r="E16">
            <v>0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yuni.indrawati@idsurvey.co.id" TargetMode="External"/><Relationship Id="rId1" Type="http://schemas.openxmlformats.org/officeDocument/2006/relationships/hyperlink" Target="mailto:Akhmad.Zulfikri@idsurvey.co.id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205C-C04D-4E59-B77A-49B17F6C5907}">
  <sheetPr filterMode="1"/>
  <dimension ref="A1:N970"/>
  <sheetViews>
    <sheetView tabSelected="1" zoomScaleNormal="100" workbookViewId="0">
      <pane xSplit="2" ySplit="1" topLeftCell="C132" activePane="bottomRight" state="frozen"/>
      <selection pane="topRight" activeCell="C1" sqref="C1"/>
      <selection pane="bottomLeft" activeCell="A2" sqref="A2"/>
      <selection pane="bottomRight" activeCell="G178" sqref="G178"/>
    </sheetView>
  </sheetViews>
  <sheetFormatPr defaultRowHeight="14.5" x14ac:dyDescent="0.35"/>
  <cols>
    <col min="1" max="1" width="7" style="1" bestFit="1" customWidth="1"/>
    <col min="2" max="2" width="28.08984375" style="1" customWidth="1"/>
    <col min="3" max="3" width="7.81640625" style="1" customWidth="1"/>
    <col min="4" max="4" width="33.90625" style="1" customWidth="1"/>
    <col min="5" max="5" width="36.6328125" style="1" customWidth="1"/>
    <col min="6" max="6" width="53.81640625" style="1" hidden="1" customWidth="1"/>
    <col min="7" max="7" width="30.90625" style="97" customWidth="1"/>
    <col min="8" max="8" width="13.7265625" style="97" customWidth="1"/>
    <col min="9" max="9" width="12.90625" style="2" hidden="1" customWidth="1"/>
    <col min="10" max="10" width="13.7265625" style="2" hidden="1" customWidth="1"/>
    <col min="11" max="11" width="12.26953125" customWidth="1"/>
    <col min="12" max="12" width="77.54296875" bestFit="1" customWidth="1"/>
    <col min="13" max="14" width="12.1796875" bestFit="1" customWidth="1"/>
  </cols>
  <sheetData>
    <row r="1" spans="1:11" x14ac:dyDescent="0.35">
      <c r="A1" s="1" t="s">
        <v>0</v>
      </c>
      <c r="B1" s="1" t="s">
        <v>1</v>
      </c>
      <c r="C1" s="1" t="s">
        <v>1218</v>
      </c>
      <c r="D1" s="1" t="s">
        <v>2</v>
      </c>
      <c r="E1" s="1" t="s">
        <v>3</v>
      </c>
      <c r="F1" s="1" t="s">
        <v>890</v>
      </c>
      <c r="G1" s="98" t="s">
        <v>1189</v>
      </c>
      <c r="H1" s="98" t="s">
        <v>1190</v>
      </c>
      <c r="I1" s="2" t="s">
        <v>915</v>
      </c>
      <c r="J1" s="2" t="s">
        <v>916</v>
      </c>
    </row>
    <row r="2" spans="1:11" x14ac:dyDescent="0.35">
      <c r="A2" s="1" t="s">
        <v>5</v>
      </c>
      <c r="B2" s="1" t="s">
        <v>6</v>
      </c>
      <c r="C2" s="1" t="s">
        <v>1219</v>
      </c>
      <c r="D2" s="1" t="s">
        <v>7</v>
      </c>
      <c r="E2" s="1" t="s">
        <v>7</v>
      </c>
      <c r="F2" s="1" t="s">
        <v>697</v>
      </c>
      <c r="G2" s="97" t="str">
        <f>VLOOKUP(B2,'[1]Data Email Anggota'!C$2:F$366,4,FALSE)</f>
        <v>arief.sulistiyono@bki.co.id</v>
      </c>
      <c r="H2" s="97" t="s">
        <v>1206</v>
      </c>
      <c r="I2" s="2">
        <f>VLOOKUP(B2,'[2]REKAP POTONGAN'!B$6:D$93,3,FALSE)</f>
        <v>350000</v>
      </c>
      <c r="J2" s="2">
        <f>VLOOKUP(B2,'[2]REKAP POTONGAN'!B$6:C$93,2,FALSE)</f>
        <v>0</v>
      </c>
      <c r="K2" s="25"/>
    </row>
    <row r="3" spans="1:11" x14ac:dyDescent="0.35">
      <c r="A3" s="1" t="s">
        <v>8</v>
      </c>
      <c r="B3" s="1" t="s">
        <v>9</v>
      </c>
      <c r="C3" s="1" t="s">
        <v>1219</v>
      </c>
      <c r="D3" s="1" t="s">
        <v>7</v>
      </c>
      <c r="E3" s="1" t="s">
        <v>7</v>
      </c>
      <c r="F3" s="1" t="s">
        <v>698</v>
      </c>
      <c r="G3" s="97" t="str">
        <f>VLOOKUP(B3,'[1]Data Email Anggota'!C$2:F$366,4,FALSE)</f>
        <v>bambang.wardojo@bki.co.id</v>
      </c>
      <c r="H3" s="97" t="s">
        <v>1206</v>
      </c>
      <c r="I3" s="2">
        <f>VLOOKUP(B3,'[2]REKAP POTONGAN'!B$6:D$93,3,FALSE)</f>
        <v>150000</v>
      </c>
      <c r="J3" s="2">
        <f>VLOOKUP(B3,'[2]REKAP POTONGAN'!B$6:C$93,2,FALSE)</f>
        <v>0</v>
      </c>
      <c r="K3" s="25"/>
    </row>
    <row r="4" spans="1:11" x14ac:dyDescent="0.35">
      <c r="A4" s="1" t="s">
        <v>10</v>
      </c>
      <c r="B4" s="1" t="s">
        <v>11</v>
      </c>
      <c r="C4" s="1" t="s">
        <v>1219</v>
      </c>
      <c r="D4" s="1" t="s">
        <v>7</v>
      </c>
      <c r="E4" s="1" t="s">
        <v>7</v>
      </c>
      <c r="F4" s="1" t="s">
        <v>699</v>
      </c>
      <c r="G4" s="97" t="str">
        <f>VLOOKUP(B4,'[1]Data Email Anggota'!C$2:F$366,4,FALSE)</f>
        <v>eka.pratama@bki.co.id</v>
      </c>
      <c r="H4" s="97" t="s">
        <v>1206</v>
      </c>
      <c r="I4" s="2">
        <f>VLOOKUP(B4,'[2]REKAP POTONGAN'!B$6:D$93,3,FALSE)</f>
        <v>250000</v>
      </c>
      <c r="J4" s="2">
        <f>VLOOKUP(B4,'[2]REKAP POTONGAN'!B$6:C$93,2,FALSE)</f>
        <v>6272588</v>
      </c>
      <c r="K4" s="25"/>
    </row>
    <row r="5" spans="1:11" x14ac:dyDescent="0.35">
      <c r="A5" s="1" t="s">
        <v>13</v>
      </c>
      <c r="B5" s="1" t="s">
        <v>14</v>
      </c>
      <c r="C5" s="1" t="s">
        <v>1219</v>
      </c>
      <c r="D5" s="1" t="s">
        <v>7</v>
      </c>
      <c r="E5" s="1" t="s">
        <v>7</v>
      </c>
      <c r="F5" s="1" t="s">
        <v>698</v>
      </c>
      <c r="G5" s="97" t="str">
        <f>VLOOKUP(B5,'[1]Data Email Anggota'!C$2:F$366,4,FALSE)</f>
        <v>nina@bki.co.id</v>
      </c>
      <c r="H5" s="97" t="str">
        <f>VLOOKUP(B5,[3]SHU!C$8:L$377,10,FALSE)</f>
        <v>AKTIF</v>
      </c>
      <c r="I5" s="2">
        <f>VLOOKUP(B5,'[2]REKAP POTONGAN'!B$6:D$93,3,FALSE)</f>
        <v>150000</v>
      </c>
      <c r="J5" s="2">
        <f>VLOOKUP(B5,'[2]REKAP POTONGAN'!B$6:C$93,2,FALSE)</f>
        <v>0</v>
      </c>
      <c r="K5" s="25"/>
    </row>
    <row r="6" spans="1:11" x14ac:dyDescent="0.35">
      <c r="A6" s="1" t="s">
        <v>17</v>
      </c>
      <c r="B6" s="1" t="s">
        <v>18</v>
      </c>
      <c r="C6" s="1" t="s">
        <v>1219</v>
      </c>
      <c r="D6" s="1" t="s">
        <v>19</v>
      </c>
      <c r="E6" s="1" t="s">
        <v>19</v>
      </c>
      <c r="F6" s="1" t="s">
        <v>696</v>
      </c>
      <c r="G6" s="97" t="str">
        <f>VLOOKUP(B6,'[1]Data Email Anggota'!C$2:F$366,4,FALSE)</f>
        <v>purwoko.ww@bki.co.id</v>
      </c>
      <c r="H6" s="97" t="str">
        <f>VLOOKUP(B6,[3]SHU!C$8:L$377,10,FALSE)</f>
        <v>AKTIF</v>
      </c>
      <c r="I6" s="2">
        <f>VLOOKUP(B6,'[2]REKAP POTONGAN'!B$6:D$93,3,FALSE)</f>
        <v>250000</v>
      </c>
      <c r="J6" s="2">
        <f>VLOOKUP(B6,'[2]REKAP POTONGAN'!B$6:C$93,2,FALSE)</f>
        <v>0</v>
      </c>
      <c r="K6" s="25"/>
    </row>
    <row r="7" spans="1:11" x14ac:dyDescent="0.35">
      <c r="A7" s="1" t="s">
        <v>20</v>
      </c>
      <c r="B7" s="1" t="s">
        <v>21</v>
      </c>
      <c r="C7" s="1" t="s">
        <v>1219</v>
      </c>
      <c r="D7" s="1" t="s">
        <v>22</v>
      </c>
      <c r="E7" s="1" t="s">
        <v>22</v>
      </c>
      <c r="F7" s="1" t="s">
        <v>702</v>
      </c>
      <c r="G7" s="97" t="str">
        <f>VLOOKUP(B7,'[1]Data Email Anggota'!C$2:F$366,4,FALSE)</f>
        <v>feriza.yusfi@bki.co.id</v>
      </c>
      <c r="H7" s="97" t="str">
        <f>VLOOKUP(B7,[3]SHU!C$8:L$377,10,FALSE)</f>
        <v>AKTIF</v>
      </c>
      <c r="I7" s="2">
        <f>VLOOKUP(B7,'[2]REKAP POTONGAN'!B$6:D$93,3,FALSE)</f>
        <v>150000</v>
      </c>
      <c r="J7" s="2">
        <f>VLOOKUP(B7,'[2]REKAP POTONGAN'!B$6:C$93,2,FALSE)</f>
        <v>0</v>
      </c>
      <c r="K7" s="25"/>
    </row>
    <row r="8" spans="1:11" x14ac:dyDescent="0.35">
      <c r="A8" s="1" t="s">
        <v>23</v>
      </c>
      <c r="B8" s="1" t="s">
        <v>24</v>
      </c>
      <c r="C8" s="1" t="s">
        <v>1219</v>
      </c>
      <c r="D8" s="1" t="s">
        <v>22</v>
      </c>
      <c r="E8" s="1" t="s">
        <v>22</v>
      </c>
      <c r="F8" s="1" t="s">
        <v>698</v>
      </c>
      <c r="G8" s="97" t="str">
        <f>VLOOKUP(B8,'[1]Data Email Anggota'!C$2:F$366,4,FALSE)</f>
        <v>lisa@bki.co.id</v>
      </c>
      <c r="H8" s="97" t="str">
        <f>VLOOKUP(B8,[3]SHU!C$8:L$377,10,FALSE)</f>
        <v>AKTIF</v>
      </c>
      <c r="I8" s="2">
        <f>VLOOKUP(B8,'[2]REKAP POTONGAN'!B$6:D$93,3,FALSE)</f>
        <v>150000</v>
      </c>
      <c r="J8" s="2">
        <f>VLOOKUP(B8,'[2]REKAP POTONGAN'!B$6:C$93,2,FALSE)</f>
        <v>0</v>
      </c>
      <c r="K8" s="25"/>
    </row>
    <row r="9" spans="1:11" x14ac:dyDescent="0.35">
      <c r="A9" s="1" t="s">
        <v>25</v>
      </c>
      <c r="B9" s="1" t="s">
        <v>26</v>
      </c>
      <c r="C9" s="1" t="s">
        <v>1219</v>
      </c>
      <c r="D9" s="1" t="s">
        <v>22</v>
      </c>
      <c r="E9" s="1" t="s">
        <v>22</v>
      </c>
      <c r="F9" s="1" t="s">
        <v>703</v>
      </c>
      <c r="G9" s="97" t="str">
        <f>VLOOKUP(B9,'[1]Data Email Anggota'!C$2:F$366,4,FALSE)</f>
        <v>dony@bki.co.id</v>
      </c>
      <c r="H9" s="97" t="s">
        <v>1206</v>
      </c>
      <c r="I9" s="2">
        <f>VLOOKUP(B9,'[2]REKAP POTONGAN'!B$6:D$93,3,FALSE)</f>
        <v>350000</v>
      </c>
      <c r="J9" s="2">
        <f>VLOOKUP(B9,'[2]REKAP POTONGAN'!B$6:C$93,2,FALSE)</f>
        <v>0</v>
      </c>
      <c r="K9" s="25"/>
    </row>
    <row r="10" spans="1:11" x14ac:dyDescent="0.35">
      <c r="A10" s="1" t="s">
        <v>28</v>
      </c>
      <c r="B10" s="1" t="s">
        <v>29</v>
      </c>
      <c r="C10" s="1" t="s">
        <v>1219</v>
      </c>
      <c r="D10" s="1" t="s">
        <v>30</v>
      </c>
      <c r="E10" s="1" t="s">
        <v>30</v>
      </c>
      <c r="F10" s="1" t="s">
        <v>698</v>
      </c>
      <c r="G10" s="97" t="str">
        <f>VLOOKUP(B10,'[1]Data Email Anggota'!C$2:F$366,4,FALSE)</f>
        <v>fitriani@bki.co.id</v>
      </c>
      <c r="H10" s="97" t="s">
        <v>1206</v>
      </c>
      <c r="I10" s="2">
        <f>VLOOKUP(B10,'[2]REKAP POTONGAN'!B$6:D$93,3,FALSE)</f>
        <v>150000</v>
      </c>
      <c r="J10" s="2">
        <f>VLOOKUP(B10,'[2]REKAP POTONGAN'!B$6:C$93,2,FALSE)</f>
        <v>0</v>
      </c>
      <c r="K10" s="25"/>
    </row>
    <row r="11" spans="1:11" x14ac:dyDescent="0.35">
      <c r="A11" s="1" t="s">
        <v>31</v>
      </c>
      <c r="B11" s="1" t="s">
        <v>32</v>
      </c>
      <c r="C11" s="1" t="s">
        <v>1219</v>
      </c>
      <c r="D11" s="1" t="s">
        <v>30</v>
      </c>
      <c r="E11" s="1" t="s">
        <v>30</v>
      </c>
      <c r="F11" s="1" t="s">
        <v>696</v>
      </c>
      <c r="G11" s="97" t="str">
        <f>VLOOKUP(B11,'[1]Data Email Anggota'!C$2:F$366,4,FALSE)</f>
        <v>septian.dewangkara@bki.co.id</v>
      </c>
      <c r="H11" s="97" t="str">
        <f>VLOOKUP(B11,[3]SHU!C$8:L$377,10,FALSE)</f>
        <v>AKTIF</v>
      </c>
      <c r="I11" s="2">
        <f>VLOOKUP(B11,'[2]REKAP POTONGAN'!B$6:D$93,3,FALSE)</f>
        <v>250000</v>
      </c>
      <c r="J11" s="2">
        <f>VLOOKUP(B11,'[2]REKAP POTONGAN'!B$6:C$93,2,FALSE)</f>
        <v>0</v>
      </c>
      <c r="K11" s="25"/>
    </row>
    <row r="12" spans="1:11" x14ac:dyDescent="0.35">
      <c r="A12" s="1" t="s">
        <v>34</v>
      </c>
      <c r="B12" s="1" t="s">
        <v>35</v>
      </c>
      <c r="C12" s="1" t="s">
        <v>1219</v>
      </c>
      <c r="D12" s="1" t="s">
        <v>33</v>
      </c>
      <c r="E12" s="1" t="s">
        <v>33</v>
      </c>
      <c r="F12" s="1" t="s">
        <v>708</v>
      </c>
      <c r="G12" s="97" t="str">
        <f>VLOOKUP(B12,'[1]Data Email Anggota'!C$2:F$366,4,FALSE)</f>
        <v>berman.saragih@bki.co.id</v>
      </c>
      <c r="H12" s="97" t="s">
        <v>1206</v>
      </c>
      <c r="I12" s="2">
        <f>VLOOKUP(B12,'[2]REKAP POTONGAN'!B$6:D$93,3,FALSE)</f>
        <v>150000</v>
      </c>
      <c r="J12" s="2">
        <f>VLOOKUP(B12,'[2]REKAP POTONGAN'!B$6:C$93,2,FALSE)</f>
        <v>0</v>
      </c>
      <c r="K12" s="25"/>
    </row>
    <row r="13" spans="1:11" x14ac:dyDescent="0.35">
      <c r="A13" s="1" t="s">
        <v>36</v>
      </c>
      <c r="B13" s="1" t="s">
        <v>37</v>
      </c>
      <c r="C13" s="1" t="s">
        <v>1219</v>
      </c>
      <c r="D13" s="1" t="s">
        <v>33</v>
      </c>
      <c r="E13" s="1" t="s">
        <v>33</v>
      </c>
      <c r="F13" s="1" t="s">
        <v>702</v>
      </c>
      <c r="G13" s="97" t="str">
        <f>VLOOKUP(B13,'[1]Data Email Anggota'!C$2:F$366,4,FALSE)</f>
        <v>rusdy.wangsa@bki.co.id</v>
      </c>
      <c r="H13" s="97" t="s">
        <v>1206</v>
      </c>
      <c r="I13" s="2">
        <f>VLOOKUP(B13,'[2]REKAP POTONGAN'!B$6:D$93,3,FALSE)</f>
        <v>150000</v>
      </c>
      <c r="J13" s="2">
        <f>VLOOKUP(B13,'[2]REKAP POTONGAN'!B$6:C$93,2,FALSE)</f>
        <v>2500000</v>
      </c>
      <c r="K13" s="25"/>
    </row>
    <row r="14" spans="1:11" x14ac:dyDescent="0.35">
      <c r="A14" s="1" t="s">
        <v>38</v>
      </c>
      <c r="B14" s="1" t="s">
        <v>39</v>
      </c>
      <c r="C14" s="1" t="s">
        <v>1219</v>
      </c>
      <c r="D14" s="1" t="s">
        <v>33</v>
      </c>
      <c r="E14" s="1" t="s">
        <v>33</v>
      </c>
      <c r="F14" s="1" t="s">
        <v>709</v>
      </c>
      <c r="G14" s="97" t="str">
        <f>VLOOKUP(B14,'[1]Data Email Anggota'!C$2:F$366,4,FALSE)</f>
        <v>satria@bki.co.id</v>
      </c>
      <c r="H14" s="97" t="s">
        <v>1206</v>
      </c>
      <c r="I14" s="2">
        <f>VLOOKUP(B14,'[2]REKAP POTONGAN'!B$6:D$93,3,FALSE)</f>
        <v>250000</v>
      </c>
      <c r="J14" s="2">
        <f>VLOOKUP(B14,'[2]REKAP POTONGAN'!B$6:C$93,2,FALSE)</f>
        <v>0</v>
      </c>
      <c r="K14" s="25"/>
    </row>
    <row r="15" spans="1:11" x14ac:dyDescent="0.35">
      <c r="A15" s="1" t="s">
        <v>41</v>
      </c>
      <c r="B15" s="1" t="s">
        <v>42</v>
      </c>
      <c r="C15" s="1" t="s">
        <v>1219</v>
      </c>
      <c r="D15" s="1" t="s">
        <v>40</v>
      </c>
      <c r="E15" s="1" t="s">
        <v>40</v>
      </c>
      <c r="F15" s="1" t="s">
        <v>707</v>
      </c>
      <c r="G15" s="97" t="str">
        <f>VLOOKUP(B15,'[1]Data Email Anggota'!C$2:F$366,4,FALSE)</f>
        <v>a.ardi@bki.co.id</v>
      </c>
      <c r="H15" s="97" t="s">
        <v>1206</v>
      </c>
      <c r="I15" s="2">
        <f>VLOOKUP(B15,'[2]REKAP POTONGAN'!B$6:D$93,3,FALSE)</f>
        <v>150000</v>
      </c>
      <c r="J15" s="2">
        <f>VLOOKUP(B15,'[2]REKAP POTONGAN'!B$6:C$93,2,FALSE)</f>
        <v>0</v>
      </c>
      <c r="K15" s="25"/>
    </row>
    <row r="16" spans="1:11" x14ac:dyDescent="0.35">
      <c r="A16" s="1" t="s">
        <v>44</v>
      </c>
      <c r="B16" s="1" t="s">
        <v>45</v>
      </c>
      <c r="C16" s="1" t="s">
        <v>1219</v>
      </c>
      <c r="D16" s="1" t="s">
        <v>43</v>
      </c>
      <c r="E16" s="1" t="s">
        <v>43</v>
      </c>
      <c r="F16" s="1" t="s">
        <v>705</v>
      </c>
      <c r="G16" s="97" t="str">
        <f>VLOOKUP(B16,'[1]Data Email Anggota'!C$2:F$366,4,FALSE)</f>
        <v>m.hatta@bki.co.id</v>
      </c>
      <c r="H16" s="97" t="str">
        <f>VLOOKUP(B16,[3]SHU!C$8:L$377,10,FALSE)</f>
        <v>AKTIF</v>
      </c>
      <c r="I16" s="2">
        <f>VLOOKUP(B16,'[2]REKAP POTONGAN'!B$6:D$93,3,FALSE)</f>
        <v>150000</v>
      </c>
      <c r="J16" s="2">
        <f>VLOOKUP(B16,'[2]REKAP POTONGAN'!B$6:C$93,2,FALSE)</f>
        <v>0</v>
      </c>
      <c r="K16" s="25"/>
    </row>
    <row r="17" spans="1:11" x14ac:dyDescent="0.35">
      <c r="A17" s="1" t="s">
        <v>46</v>
      </c>
      <c r="B17" s="1" t="s">
        <v>47</v>
      </c>
      <c r="C17" s="1" t="s">
        <v>1219</v>
      </c>
      <c r="D17" s="1" t="s">
        <v>43</v>
      </c>
      <c r="E17" s="1" t="s">
        <v>43</v>
      </c>
      <c r="F17" s="1" t="s">
        <v>705</v>
      </c>
      <c r="G17" s="97" t="str">
        <f>VLOOKUP(B17,'[1]Data Email Anggota'!C$2:F$366,4,FALSE)</f>
        <v>rahmat.s@bki.co.id</v>
      </c>
      <c r="H17" s="97" t="str">
        <f>VLOOKUP(B17,[3]SHU!C$8:L$377,10,FALSE)</f>
        <v>AKTIF</v>
      </c>
      <c r="I17" s="2">
        <f>VLOOKUP(B17,'[2]REKAP POTONGAN'!B$6:D$93,3,FALSE)</f>
        <v>150000</v>
      </c>
      <c r="J17" s="2">
        <f>VLOOKUP(B17,'[2]REKAP POTONGAN'!B$6:C$93,2,FALSE)</f>
        <v>0</v>
      </c>
      <c r="K17" s="25"/>
    </row>
    <row r="18" spans="1:11" x14ac:dyDescent="0.35">
      <c r="A18" s="1" t="s">
        <v>48</v>
      </c>
      <c r="B18" s="1" t="s">
        <v>49</v>
      </c>
      <c r="C18" s="1" t="s">
        <v>1219</v>
      </c>
      <c r="D18" s="1" t="s">
        <v>43</v>
      </c>
      <c r="E18" s="1" t="s">
        <v>43</v>
      </c>
      <c r="F18" s="1" t="s">
        <v>706</v>
      </c>
      <c r="G18" s="97" t="str">
        <f>VLOOKUP(B18,'[1]Data Email Anggota'!C$2:F$366,4,FALSE)</f>
        <v>ekondro@bki.co.id</v>
      </c>
      <c r="H18" s="97" t="str">
        <f>VLOOKUP(B18,[3]SHU!C$8:L$377,10,FALSE)</f>
        <v>AKTIF</v>
      </c>
      <c r="I18" s="2">
        <f>VLOOKUP(B18,'[2]REKAP POTONGAN'!B$6:D$93,3,FALSE)</f>
        <v>150000</v>
      </c>
      <c r="J18" s="2">
        <f>VLOOKUP(B18,'[2]REKAP POTONGAN'!B$6:C$93,2,FALSE)</f>
        <v>0</v>
      </c>
      <c r="K18" s="25"/>
    </row>
    <row r="19" spans="1:11" x14ac:dyDescent="0.35">
      <c r="A19" s="1" t="s">
        <v>50</v>
      </c>
      <c r="B19" s="1" t="s">
        <v>51</v>
      </c>
      <c r="C19" s="1" t="s">
        <v>1219</v>
      </c>
      <c r="D19" s="1" t="s">
        <v>43</v>
      </c>
      <c r="E19" s="1" t="s">
        <v>43</v>
      </c>
      <c r="F19" s="1" t="s">
        <v>698</v>
      </c>
      <c r="H19" s="97" t="s">
        <v>1206</v>
      </c>
      <c r="I19" s="2">
        <f>VLOOKUP(B19,'[2]REKAP POTONGAN'!B$6:D$93,3,FALSE)</f>
        <v>150000</v>
      </c>
      <c r="J19" s="2">
        <f>VLOOKUP(B19,'[2]REKAP POTONGAN'!B$6:C$93,2,FALSE)</f>
        <v>0</v>
      </c>
      <c r="K19" s="25"/>
    </row>
    <row r="20" spans="1:11" x14ac:dyDescent="0.35">
      <c r="A20" s="1" t="s">
        <v>52</v>
      </c>
      <c r="B20" s="1" t="s">
        <v>53</v>
      </c>
      <c r="C20" s="1" t="s">
        <v>1219</v>
      </c>
      <c r="D20" s="1" t="s">
        <v>43</v>
      </c>
      <c r="E20" s="1" t="s">
        <v>43</v>
      </c>
      <c r="F20" s="1" t="s">
        <v>698</v>
      </c>
      <c r="G20" s="97" t="str">
        <f>VLOOKUP(B20,'[1]Data Email Anggota'!C$2:F$366,4,FALSE)</f>
        <v>rozi.di@bki.co.id</v>
      </c>
      <c r="H20" s="97" t="str">
        <f>VLOOKUP(B20,[3]SHU!C$8:L$377,10,FALSE)</f>
        <v>AKTIF</v>
      </c>
      <c r="I20" s="2">
        <f>VLOOKUP(B20,'[2]REKAP POTONGAN'!B$6:D$93,3,FALSE)</f>
        <v>150000</v>
      </c>
      <c r="J20" s="2">
        <f>VLOOKUP(B20,'[2]REKAP POTONGAN'!B$6:C$93,2,FALSE)</f>
        <v>0</v>
      </c>
      <c r="K20" s="25"/>
    </row>
    <row r="21" spans="1:11" x14ac:dyDescent="0.35">
      <c r="A21" s="1" t="s">
        <v>54</v>
      </c>
      <c r="B21" s="1" t="s">
        <v>55</v>
      </c>
      <c r="C21" s="1" t="s">
        <v>1219</v>
      </c>
      <c r="D21" s="1" t="s">
        <v>43</v>
      </c>
      <c r="E21" s="1" t="s">
        <v>43</v>
      </c>
      <c r="F21" s="1" t="s">
        <v>702</v>
      </c>
      <c r="G21" s="97" t="str">
        <f>VLOOKUP(B21,'[1]Data Email Anggota'!C$2:F$366,4,FALSE)</f>
        <v>zulfaeni@bki.co.id</v>
      </c>
      <c r="H21" s="97" t="str">
        <f>VLOOKUP(B21,[3]SHU!C$8:L$377,10,FALSE)</f>
        <v>AKTIF</v>
      </c>
      <c r="I21" s="2">
        <f>VLOOKUP(B21,'[2]REKAP POTONGAN'!B$6:D$93,3,FALSE)</f>
        <v>150000</v>
      </c>
      <c r="J21" s="2">
        <f>VLOOKUP(B21,'[2]REKAP POTONGAN'!B$6:C$93,2,FALSE)</f>
        <v>0</v>
      </c>
      <c r="K21" s="25"/>
    </row>
    <row r="22" spans="1:11" x14ac:dyDescent="0.35">
      <c r="A22" s="1" t="s">
        <v>56</v>
      </c>
      <c r="B22" s="1" t="s">
        <v>57</v>
      </c>
      <c r="C22" s="1" t="s">
        <v>1219</v>
      </c>
      <c r="D22" s="1" t="s">
        <v>43</v>
      </c>
      <c r="E22" s="1" t="s">
        <v>43</v>
      </c>
      <c r="F22" s="1" t="s">
        <v>708</v>
      </c>
      <c r="G22" s="97" t="str">
        <f>VLOOKUP(B22,'[1]Data Email Anggota'!C$2:F$366,4,FALSE)</f>
        <v>abdilah@bki.co.id</v>
      </c>
      <c r="H22" s="97" t="s">
        <v>1206</v>
      </c>
      <c r="I22" s="2">
        <f>VLOOKUP(B22,'[2]REKAP POTONGAN'!B$6:D$93,3,FALSE)</f>
        <v>150000</v>
      </c>
      <c r="J22" s="2">
        <f>VLOOKUP(B22,'[2]REKAP POTONGAN'!B$6:C$93,2,FALSE)</f>
        <v>0</v>
      </c>
      <c r="K22" s="25"/>
    </row>
    <row r="23" spans="1:11" x14ac:dyDescent="0.35">
      <c r="A23" s="1" t="s">
        <v>58</v>
      </c>
      <c r="B23" s="1" t="s">
        <v>59</v>
      </c>
      <c r="C23" s="1" t="s">
        <v>1219</v>
      </c>
      <c r="D23" s="1" t="s">
        <v>43</v>
      </c>
      <c r="E23" s="1" t="s">
        <v>43</v>
      </c>
      <c r="F23" s="1" t="s">
        <v>708</v>
      </c>
      <c r="G23" s="97" t="str">
        <f>VLOOKUP(B23,'[1]Data Email Anggota'!C$2:F$366,4,FALSE)</f>
        <v>adi.ismanto@bki.co.id</v>
      </c>
      <c r="H23" s="97" t="str">
        <f>VLOOKUP(B23,[3]SHU!C$8:L$377,10,FALSE)</f>
        <v>AKTIF</v>
      </c>
      <c r="I23" s="2">
        <f>VLOOKUP(B23,'[2]REKAP POTONGAN'!B$6:D$93,3,FALSE)</f>
        <v>150000</v>
      </c>
      <c r="J23" s="2">
        <f>VLOOKUP(B23,'[2]REKAP POTONGAN'!B$6:C$93,2,FALSE)</f>
        <v>0</v>
      </c>
      <c r="K23" s="25"/>
    </row>
    <row r="24" spans="1:11" x14ac:dyDescent="0.35">
      <c r="A24" s="1" t="s">
        <v>60</v>
      </c>
      <c r="B24" s="1" t="s">
        <v>61</v>
      </c>
      <c r="C24" s="1" t="s">
        <v>1219</v>
      </c>
      <c r="D24" s="1" t="s">
        <v>43</v>
      </c>
      <c r="E24" s="1" t="s">
        <v>43</v>
      </c>
      <c r="F24" s="1" t="s">
        <v>708</v>
      </c>
      <c r="G24" s="97" t="str">
        <f>VLOOKUP(B24,'[1]Data Email Anggota'!C$2:F$366,4,FALSE)</f>
        <v>bari@bki.co.id</v>
      </c>
      <c r="H24" s="97" t="str">
        <f>VLOOKUP(B24,[3]SHU!C$8:L$377,10,FALSE)</f>
        <v>AKTIF</v>
      </c>
      <c r="I24" s="2">
        <f>VLOOKUP(B24,'[2]REKAP POTONGAN'!B$6:D$93,3,FALSE)</f>
        <v>150000</v>
      </c>
      <c r="J24" s="2">
        <f>VLOOKUP(B24,'[2]REKAP POTONGAN'!B$6:C$93,2,FALSE)</f>
        <v>0</v>
      </c>
      <c r="K24" s="25"/>
    </row>
    <row r="25" spans="1:11" x14ac:dyDescent="0.35">
      <c r="A25" s="1" t="s">
        <v>62</v>
      </c>
      <c r="B25" s="1" t="s">
        <v>63</v>
      </c>
      <c r="C25" s="1" t="s">
        <v>1219</v>
      </c>
      <c r="D25" s="1" t="s">
        <v>43</v>
      </c>
      <c r="E25" s="1" t="s">
        <v>43</v>
      </c>
      <c r="F25" s="1" t="s">
        <v>708</v>
      </c>
      <c r="G25" s="97" t="str">
        <f>VLOOKUP(B25,'[1]Data Email Anggota'!C$2:F$366,4,FALSE)</f>
        <v>kamaruddin@bki.co.id</v>
      </c>
      <c r="H25" s="97" t="str">
        <f>VLOOKUP(B25,[3]SHU!C$8:L$377,10,FALSE)</f>
        <v>AKTIF</v>
      </c>
      <c r="I25" s="2">
        <f>VLOOKUP(B25,'[2]REKAP POTONGAN'!B$6:D$93,3,FALSE)</f>
        <v>150000</v>
      </c>
      <c r="J25" s="2">
        <f>VLOOKUP(B25,'[2]REKAP POTONGAN'!B$6:C$93,2,FALSE)</f>
        <v>0</v>
      </c>
      <c r="K25" s="25"/>
    </row>
    <row r="26" spans="1:11" x14ac:dyDescent="0.35">
      <c r="A26" s="1" t="s">
        <v>64</v>
      </c>
      <c r="B26" s="1" t="s">
        <v>65</v>
      </c>
      <c r="C26" s="1" t="s">
        <v>1219</v>
      </c>
      <c r="D26" s="1" t="s">
        <v>43</v>
      </c>
      <c r="E26" s="1" t="s">
        <v>43</v>
      </c>
      <c r="F26" s="1" t="s">
        <v>707</v>
      </c>
      <c r="G26" s="97" t="str">
        <f>VLOOKUP(B26,'[1]Data Email Anggota'!C$2:F$366,4,FALSE)</f>
        <v>said.taufik@bki.co.id</v>
      </c>
      <c r="H26" s="97" t="s">
        <v>1206</v>
      </c>
      <c r="I26" s="2">
        <f>VLOOKUP(B26,'[2]REKAP POTONGAN'!B$6:D$93,3,FALSE)</f>
        <v>250000</v>
      </c>
      <c r="J26" s="2">
        <f>VLOOKUP(B26,'[2]REKAP POTONGAN'!B$6:C$93,2,FALSE)</f>
        <v>0</v>
      </c>
      <c r="K26" s="25"/>
    </row>
    <row r="27" spans="1:11" x14ac:dyDescent="0.35">
      <c r="A27" s="1" t="s">
        <v>66</v>
      </c>
      <c r="B27" s="1" t="s">
        <v>67</v>
      </c>
      <c r="C27" s="1" t="s">
        <v>1219</v>
      </c>
      <c r="D27" s="1" t="s">
        <v>43</v>
      </c>
      <c r="E27" s="1" t="s">
        <v>43</v>
      </c>
      <c r="F27" s="1" t="s">
        <v>708</v>
      </c>
      <c r="G27" s="97" t="str">
        <f>VLOOKUP(B27,'[1]Data Email Anggota'!C$2:F$366,4,FALSE)</f>
        <v>ali.hasan@bki.co.id</v>
      </c>
      <c r="H27" s="97" t="str">
        <f>VLOOKUP(B27,[3]SHU!C$8:L$377,10,FALSE)</f>
        <v>AKTIF</v>
      </c>
      <c r="I27" s="2">
        <f>VLOOKUP(B27,'[2]REKAP POTONGAN'!B$6:D$93,3,FALSE)</f>
        <v>150000</v>
      </c>
      <c r="J27" s="2">
        <f>VLOOKUP(B27,'[2]REKAP POTONGAN'!B$6:C$93,2,FALSE)</f>
        <v>0</v>
      </c>
      <c r="K27" s="25"/>
    </row>
    <row r="28" spans="1:11" x14ac:dyDescent="0.35">
      <c r="A28" s="1" t="s">
        <v>69</v>
      </c>
      <c r="B28" s="1" t="s">
        <v>70</v>
      </c>
      <c r="C28" s="1" t="s">
        <v>1219</v>
      </c>
      <c r="D28" s="1" t="s">
        <v>68</v>
      </c>
      <c r="E28" s="1" t="s">
        <v>68</v>
      </c>
      <c r="F28" s="1" t="s">
        <v>707</v>
      </c>
      <c r="G28" s="97" t="str">
        <f>VLOOKUP(B28,'[1]Data Email Anggota'!C$2:F$366,4,FALSE)</f>
        <v>aan@bki.co.id</v>
      </c>
      <c r="H28" s="97" t="s">
        <v>1206</v>
      </c>
      <c r="I28" s="2">
        <f>VLOOKUP(B28,'[2]REKAP POTONGAN'!B$6:D$93,3,FALSE)</f>
        <v>150000</v>
      </c>
      <c r="J28" s="2">
        <f>VLOOKUP(B28,'[2]REKAP POTONGAN'!B$6:C$93,2,FALSE)</f>
        <v>0</v>
      </c>
      <c r="K28" s="25"/>
    </row>
    <row r="29" spans="1:11" x14ac:dyDescent="0.35">
      <c r="A29" s="1" t="s">
        <v>71</v>
      </c>
      <c r="B29" s="1" t="s">
        <v>72</v>
      </c>
      <c r="C29" s="1" t="s">
        <v>1219</v>
      </c>
      <c r="D29" s="1" t="s">
        <v>68</v>
      </c>
      <c r="E29" s="1" t="s">
        <v>68</v>
      </c>
      <c r="F29" s="1" t="s">
        <v>707</v>
      </c>
      <c r="G29" s="97" t="str">
        <f>VLOOKUP(B29,'[1]Data Email Anggota'!C$2:F$366,4,FALSE)</f>
        <v>nasir@bki.co.id</v>
      </c>
      <c r="H29" s="97" t="s">
        <v>1206</v>
      </c>
      <c r="I29" s="2">
        <f>VLOOKUP(B29,'[2]REKAP POTONGAN'!B$6:D$93,3,FALSE)</f>
        <v>150000</v>
      </c>
      <c r="J29" s="2">
        <f>VLOOKUP(B29,'[2]REKAP POTONGAN'!B$6:C$93,2,FALSE)</f>
        <v>0</v>
      </c>
      <c r="K29" s="25"/>
    </row>
    <row r="30" spans="1:11" x14ac:dyDescent="0.35">
      <c r="A30" s="1" t="s">
        <v>73</v>
      </c>
      <c r="B30" s="1" t="s">
        <v>74</v>
      </c>
      <c r="C30" s="1" t="s">
        <v>1219</v>
      </c>
      <c r="D30" s="1" t="s">
        <v>7</v>
      </c>
      <c r="E30" s="1" t="s">
        <v>7</v>
      </c>
      <c r="F30" s="1" t="s">
        <v>696</v>
      </c>
      <c r="G30" s="97" t="str">
        <f>VLOOKUP(B30,'[1]Data Email Anggota'!C$2:F$366,4,FALSE)</f>
        <v>yohanes.an@bki.co.id</v>
      </c>
      <c r="H30" s="97" t="str">
        <f>VLOOKUP(B30,[3]SHU!C$8:L$377,10,FALSE)</f>
        <v>AKTIF</v>
      </c>
      <c r="I30" s="2">
        <f>VLOOKUP(B30,'[2]REKAP POTONGAN'!B$6:D$93,3,FALSE)</f>
        <v>250000</v>
      </c>
      <c r="J30" s="2">
        <f>VLOOKUP(B30,'[2]REKAP POTONGAN'!B$6:C$93,2,FALSE)</f>
        <v>0</v>
      </c>
      <c r="K30" s="25"/>
    </row>
    <row r="31" spans="1:11" x14ac:dyDescent="0.35">
      <c r="A31" s="1" t="s">
        <v>75</v>
      </c>
      <c r="B31" s="1" t="s">
        <v>76</v>
      </c>
      <c r="C31" s="1" t="s">
        <v>1219</v>
      </c>
      <c r="D31" s="1" t="s">
        <v>77</v>
      </c>
      <c r="E31" s="1" t="s">
        <v>77</v>
      </c>
      <c r="F31" s="1" t="s">
        <v>700</v>
      </c>
      <c r="G31" s="97" t="str">
        <f>VLOOKUP(B31,'[1]Data Email Anggota'!C$2:F$366,4,FALSE)</f>
        <v>mustakim@bki.co.id</v>
      </c>
      <c r="H31" s="97" t="s">
        <v>1206</v>
      </c>
      <c r="I31" s="2">
        <f>VLOOKUP(B31,'[2]REKAP POTONGAN'!B$6:D$93,3,FALSE)</f>
        <v>250000</v>
      </c>
      <c r="J31" s="2">
        <f>VLOOKUP(B31,'[2]REKAP POTONGAN'!B$6:C$93,2,FALSE)</f>
        <v>0</v>
      </c>
      <c r="K31" s="25"/>
    </row>
    <row r="32" spans="1:11" x14ac:dyDescent="0.35">
      <c r="A32" s="1" t="s">
        <v>78</v>
      </c>
      <c r="B32" s="1" t="s">
        <v>79</v>
      </c>
      <c r="C32" s="1" t="s">
        <v>1219</v>
      </c>
      <c r="D32" s="1" t="s">
        <v>77</v>
      </c>
      <c r="E32" s="1" t="s">
        <v>77</v>
      </c>
      <c r="F32" s="1" t="s">
        <v>710</v>
      </c>
      <c r="G32" s="97" t="str">
        <f>VLOOKUP(B32,'[1]Data Email Anggota'!C$2:F$366,4,FALSE)</f>
        <v>fajrinsaid@bki.co.id</v>
      </c>
      <c r="H32" s="97" t="s">
        <v>1206</v>
      </c>
      <c r="I32" s="2">
        <f>VLOOKUP(B32,'[2]REKAP POTONGAN'!B$6:D$93,3,FALSE)</f>
        <v>250000</v>
      </c>
      <c r="J32" s="2">
        <f>VLOOKUP(B32,'[2]REKAP POTONGAN'!B$6:C$93,2,FALSE)</f>
        <v>0</v>
      </c>
      <c r="K32" s="25"/>
    </row>
    <row r="33" spans="1:11" x14ac:dyDescent="0.35">
      <c r="A33" s="1" t="s">
        <v>81</v>
      </c>
      <c r="B33" s="1" t="s">
        <v>82</v>
      </c>
      <c r="C33" s="1" t="s">
        <v>1219</v>
      </c>
      <c r="D33" s="1" t="s">
        <v>12</v>
      </c>
      <c r="E33" s="1" t="s">
        <v>80</v>
      </c>
      <c r="F33" s="1" t="s">
        <v>711</v>
      </c>
      <c r="G33" s="97" t="str">
        <f>VLOOKUP(B33,'[1]Data Email Anggota'!C$2:F$366,4,FALSE)</f>
        <v>andi@bki.co.id</v>
      </c>
      <c r="H33" s="97" t="s">
        <v>1206</v>
      </c>
      <c r="I33" s="2">
        <f>VLOOKUP(B33,'[2]REKAP POTONGAN'!B$6:D$93,3,FALSE)</f>
        <v>250000</v>
      </c>
      <c r="J33" s="2">
        <f>VLOOKUP(B33,'[2]REKAP POTONGAN'!B$6:C$93,2,FALSE)</f>
        <v>0</v>
      </c>
      <c r="K33" s="25"/>
    </row>
    <row r="34" spans="1:11" x14ac:dyDescent="0.35">
      <c r="A34" s="1" t="s">
        <v>84</v>
      </c>
      <c r="B34" s="1" t="s">
        <v>85</v>
      </c>
      <c r="C34" s="1" t="s">
        <v>1219</v>
      </c>
      <c r="D34" s="1" t="s">
        <v>83</v>
      </c>
      <c r="E34" s="1" t="s">
        <v>83</v>
      </c>
      <c r="F34" s="1" t="s">
        <v>700</v>
      </c>
      <c r="G34" s="97" t="str">
        <f>VLOOKUP(B34,'[1]Data Email Anggota'!C$2:F$366,4,FALSE)</f>
        <v>agris@bki.co.id</v>
      </c>
      <c r="H34" s="97" t="s">
        <v>1206</v>
      </c>
      <c r="I34" s="2">
        <f>VLOOKUP(B34,'[2]REKAP POTONGAN'!B$6:D$93,3,FALSE)</f>
        <v>250000</v>
      </c>
      <c r="J34" s="2">
        <f>VLOOKUP(B34,'[2]REKAP POTONGAN'!B$6:C$93,2,FALSE)</f>
        <v>1699127</v>
      </c>
      <c r="K34" s="25"/>
    </row>
    <row r="35" spans="1:11" x14ac:dyDescent="0.35">
      <c r="A35" s="1" t="s">
        <v>86</v>
      </c>
      <c r="B35" s="1" t="s">
        <v>87</v>
      </c>
      <c r="C35" s="1" t="s">
        <v>1219</v>
      </c>
      <c r="D35" s="1" t="s">
        <v>83</v>
      </c>
      <c r="E35" s="1" t="s">
        <v>83</v>
      </c>
      <c r="F35" s="1" t="s">
        <v>702</v>
      </c>
      <c r="G35" s="97" t="str">
        <f>VLOOKUP(B35,'[1]Data Email Anggota'!C$2:F$366,4,FALSE)</f>
        <v>zul@bki.co.id</v>
      </c>
      <c r="H35" s="97" t="str">
        <f>VLOOKUP(B35,[3]SHU!C$8:L$377,10,FALSE)</f>
        <v>AKTIF</v>
      </c>
      <c r="I35" s="2">
        <f>VLOOKUP(B35,'[2]REKAP POTONGAN'!B$6:D$93,3,FALSE)</f>
        <v>150000</v>
      </c>
      <c r="J35" s="2">
        <f>VLOOKUP(B35,'[2]REKAP POTONGAN'!B$6:C$93,2,FALSE)</f>
        <v>2310813</v>
      </c>
      <c r="K35" s="25"/>
    </row>
    <row r="36" spans="1:11" x14ac:dyDescent="0.35">
      <c r="A36" s="1" t="s">
        <v>88</v>
      </c>
      <c r="B36" s="1" t="s">
        <v>89</v>
      </c>
      <c r="C36" s="1" t="s">
        <v>1219</v>
      </c>
      <c r="D36" s="1" t="s">
        <v>83</v>
      </c>
      <c r="E36" s="1" t="s">
        <v>83</v>
      </c>
      <c r="F36" s="1" t="s">
        <v>699</v>
      </c>
      <c r="G36" s="97" t="str">
        <f>VLOOKUP(B36,'[1]Data Email Anggota'!C$2:F$366,4,FALSE)</f>
        <v>aryo@bki.co.id</v>
      </c>
      <c r="H36" s="97" t="s">
        <v>1206</v>
      </c>
      <c r="I36" s="2">
        <f>VLOOKUP(B36,'[2]REKAP POTONGAN'!B$6:D$93,3,FALSE)</f>
        <v>250000</v>
      </c>
      <c r="J36" s="2">
        <f>VLOOKUP(B36,'[2]REKAP POTONGAN'!B$6:C$93,2,FALSE)</f>
        <v>0</v>
      </c>
      <c r="K36" s="25"/>
    </row>
    <row r="37" spans="1:11" x14ac:dyDescent="0.35">
      <c r="A37" s="1" t="s">
        <v>91</v>
      </c>
      <c r="B37" s="1" t="s">
        <v>92</v>
      </c>
      <c r="C37" s="1" t="s">
        <v>1219</v>
      </c>
      <c r="D37" s="1" t="s">
        <v>90</v>
      </c>
      <c r="E37" s="1" t="s">
        <v>90</v>
      </c>
      <c r="F37" s="1" t="s">
        <v>696</v>
      </c>
      <c r="G37" s="97" t="str">
        <f>VLOOKUP(B37,'[1]Data Email Anggota'!C$2:F$366,4,FALSE)</f>
        <v>choironcahyo@bki.co.id</v>
      </c>
      <c r="H37" s="97" t="s">
        <v>1206</v>
      </c>
      <c r="I37" s="2">
        <f>VLOOKUP(B37,'[2]REKAP POTONGAN'!B$6:D$93,3,FALSE)</f>
        <v>150000</v>
      </c>
      <c r="J37" s="2">
        <f>VLOOKUP(B37,'[2]REKAP POTONGAN'!B$6:C$93,2,FALSE)</f>
        <v>0</v>
      </c>
      <c r="K37" s="25"/>
    </row>
    <row r="38" spans="1:11" x14ac:dyDescent="0.35">
      <c r="A38" s="1" t="s">
        <v>93</v>
      </c>
      <c r="B38" s="1" t="s">
        <v>94</v>
      </c>
      <c r="C38" s="1" t="s">
        <v>1219</v>
      </c>
      <c r="D38" s="1" t="s">
        <v>27</v>
      </c>
      <c r="E38" s="1" t="s">
        <v>27</v>
      </c>
      <c r="F38" s="1" t="s">
        <v>712</v>
      </c>
      <c r="G38" s="97" t="str">
        <f>VLOOKUP(B38,'[1]Data Email Anggota'!C$2:F$366,4,FALSE)</f>
        <v>yulian@bki.co.id</v>
      </c>
      <c r="H38" s="97" t="s">
        <v>1206</v>
      </c>
      <c r="I38" s="2">
        <f>VLOOKUP(B38,'[2]REKAP POTONGAN'!B$6:D$93,3,FALSE)</f>
        <v>350000</v>
      </c>
      <c r="J38" s="2">
        <f>VLOOKUP(B38,'[2]REKAP POTONGAN'!B$6:C$93,2,FALSE)</f>
        <v>0</v>
      </c>
      <c r="K38" s="25"/>
    </row>
    <row r="39" spans="1:11" x14ac:dyDescent="0.35">
      <c r="A39" s="1" t="s">
        <v>95</v>
      </c>
      <c r="B39" s="1" t="s">
        <v>96</v>
      </c>
      <c r="C39" s="1" t="s">
        <v>1219</v>
      </c>
      <c r="D39" s="1" t="s">
        <v>97</v>
      </c>
      <c r="E39" s="1" t="s">
        <v>97</v>
      </c>
      <c r="F39" s="1" t="s">
        <v>713</v>
      </c>
      <c r="G39" s="97" t="str">
        <f>VLOOKUP(B39,'[1]Data Email Anggota'!C$2:F$366,4,FALSE)</f>
        <v>sulasman@bki.co.id</v>
      </c>
      <c r="H39" s="97" t="s">
        <v>1206</v>
      </c>
      <c r="I39" s="2">
        <f>VLOOKUP(B39,'[2]REKAP POTONGAN'!B$6:D$93,3,FALSE)</f>
        <v>250000</v>
      </c>
      <c r="J39" s="2">
        <f>VLOOKUP(B39,'[2]REKAP POTONGAN'!B$6:C$93,2,FALSE)</f>
        <v>0</v>
      </c>
      <c r="K39" s="25"/>
    </row>
    <row r="40" spans="1:11" x14ac:dyDescent="0.35">
      <c r="A40" s="1" t="s">
        <v>98</v>
      </c>
      <c r="B40" s="1" t="s">
        <v>99</v>
      </c>
      <c r="C40" s="1" t="s">
        <v>1219</v>
      </c>
      <c r="D40" s="1" t="s">
        <v>97</v>
      </c>
      <c r="E40" s="1" t="s">
        <v>97</v>
      </c>
      <c r="F40" s="1" t="s">
        <v>700</v>
      </c>
      <c r="G40" s="97" t="str">
        <f>VLOOKUP(B40,'[1]Data Email Anggota'!C$2:F$366,4,FALSE)</f>
        <v>asqar@bki.co.id</v>
      </c>
      <c r="H40" s="97" t="s">
        <v>1206</v>
      </c>
      <c r="I40" s="2">
        <f>VLOOKUP(B40,'[2]REKAP POTONGAN'!B$6:D$93,3,FALSE)</f>
        <v>150000</v>
      </c>
      <c r="J40" s="2">
        <f>VLOOKUP(B40,'[2]REKAP POTONGAN'!B$6:C$93,2,FALSE)</f>
        <v>0</v>
      </c>
      <c r="K40" s="25"/>
    </row>
    <row r="41" spans="1:11" x14ac:dyDescent="0.35">
      <c r="A41" s="1" t="s">
        <v>100</v>
      </c>
      <c r="B41" s="1" t="s">
        <v>101</v>
      </c>
      <c r="C41" s="1" t="s">
        <v>1219</v>
      </c>
      <c r="D41" s="1" t="s">
        <v>97</v>
      </c>
      <c r="E41" s="1" t="s">
        <v>97</v>
      </c>
      <c r="F41" s="1" t="s">
        <v>714</v>
      </c>
      <c r="G41" s="97" t="str">
        <f>VLOOKUP(B41,'[1]Data Email Anggota'!C$2:F$366,4,FALSE)</f>
        <v>ilham@bki.co.id</v>
      </c>
      <c r="H41" s="97" t="s">
        <v>1206</v>
      </c>
      <c r="I41" s="2">
        <f>VLOOKUP(B41,'[2]REKAP POTONGAN'!B$6:D$93,3,FALSE)</f>
        <v>250000</v>
      </c>
      <c r="J41" s="2">
        <f>VLOOKUP(B41,'[2]REKAP POTONGAN'!B$6:C$93,2,FALSE)</f>
        <v>0</v>
      </c>
      <c r="K41" s="25"/>
    </row>
    <row r="42" spans="1:11" x14ac:dyDescent="0.35">
      <c r="A42" s="1" t="s">
        <v>102</v>
      </c>
      <c r="B42" s="1" t="s">
        <v>103</v>
      </c>
      <c r="C42" s="1" t="s">
        <v>950</v>
      </c>
      <c r="D42" s="1" t="s">
        <v>104</v>
      </c>
      <c r="E42" s="1" t="s">
        <v>104</v>
      </c>
      <c r="F42" s="1" t="s">
        <v>696</v>
      </c>
      <c r="G42" s="97" t="str">
        <f>VLOOKUP(B42,'[1]Data Email Anggota'!C$2:F$366,4,FALSE)</f>
        <v>fajar.np@bki.co.id</v>
      </c>
      <c r="H42" s="97" t="s">
        <v>1206</v>
      </c>
      <c r="I42" s="2">
        <f>VLOOKUP(B42,'[2]REKAP POTONGAN'!B$6:D$93,3,FALSE)</f>
        <v>250000</v>
      </c>
      <c r="J42" s="2">
        <f>VLOOKUP(B42,'[2]REKAP POTONGAN'!B$6:C$93,2,FALSE)</f>
        <v>0</v>
      </c>
      <c r="K42" s="25"/>
    </row>
    <row r="43" spans="1:11" x14ac:dyDescent="0.35">
      <c r="A43" s="1" t="s">
        <v>105</v>
      </c>
      <c r="B43" s="1" t="s">
        <v>106</v>
      </c>
      <c r="C43" s="1" t="s">
        <v>1219</v>
      </c>
      <c r="D43" s="1" t="s">
        <v>107</v>
      </c>
      <c r="E43" s="1" t="s">
        <v>107</v>
      </c>
      <c r="F43" s="1" t="s">
        <v>715</v>
      </c>
      <c r="G43" s="97" t="str">
        <f>VLOOKUP(B43,'[1]Data Email Anggota'!C$2:F$366,4,FALSE)</f>
        <v>noah@bki.co.id</v>
      </c>
      <c r="H43" s="97" t="s">
        <v>1206</v>
      </c>
      <c r="I43" s="2">
        <f>VLOOKUP(B43,[4]Sheet1!B$2:I$773,8,FALSE)</f>
        <v>250000</v>
      </c>
      <c r="J43" s="2">
        <f>VLOOKUP(B43,'[5]DAFTAR ALL'!B$8:D$68,3,FALSE)</f>
        <v>5510001</v>
      </c>
      <c r="K43" s="25"/>
    </row>
    <row r="44" spans="1:11" x14ac:dyDescent="0.35">
      <c r="A44" s="1" t="s">
        <v>108</v>
      </c>
      <c r="B44" s="1" t="s">
        <v>109</v>
      </c>
      <c r="C44" s="1" t="s">
        <v>1219</v>
      </c>
      <c r="D44" s="1" t="s">
        <v>110</v>
      </c>
      <c r="E44" s="1" t="s">
        <v>110</v>
      </c>
      <c r="F44" s="1" t="s">
        <v>716</v>
      </c>
      <c r="G44" s="97" t="str">
        <f>VLOOKUP(B44,'[1]Data Email Anggota'!C$2:F$366,4,FALSE)</f>
        <v>ryan.hangga@bki.co.id</v>
      </c>
      <c r="H44" s="97" t="str">
        <f>VLOOKUP(B44,[3]SHU!C$8:L$377,10,FALSE)</f>
        <v>AKTIF</v>
      </c>
      <c r="I44" s="2">
        <f>VLOOKUP(B44,'[2]REKAP POTONGAN'!B$6:D$93,3,FALSE)</f>
        <v>100000</v>
      </c>
      <c r="J44" s="2">
        <f>VLOOKUP(B44,'[2]REKAP POTONGAN'!B$6:C$93,2,FALSE)</f>
        <v>0</v>
      </c>
      <c r="K44" s="25"/>
    </row>
    <row r="45" spans="1:11" x14ac:dyDescent="0.35">
      <c r="A45" s="1" t="s">
        <v>111</v>
      </c>
      <c r="B45" s="1" t="s">
        <v>112</v>
      </c>
      <c r="C45" s="1" t="s">
        <v>1219</v>
      </c>
      <c r="D45" s="1" t="s">
        <v>110</v>
      </c>
      <c r="E45" s="1" t="s">
        <v>110</v>
      </c>
      <c r="F45" s="1" t="s">
        <v>708</v>
      </c>
      <c r="G45" s="97" t="str">
        <f>VLOOKUP(B45,'[1]Data Email Anggota'!C$2:F$366,4,FALSE)</f>
        <v>bambang.tn@bki.co.id</v>
      </c>
      <c r="H45" s="97" t="str">
        <f>VLOOKUP(B45,[3]SHU!C$8:L$377,10,FALSE)</f>
        <v>AKTIF</v>
      </c>
      <c r="I45" s="2">
        <f>VLOOKUP(B45,'[2]REKAP POTONGAN'!B$6:D$93,3,FALSE)</f>
        <v>150000</v>
      </c>
      <c r="J45" s="2">
        <f>VLOOKUP(B45,'[2]REKAP POTONGAN'!B$6:C$93,2,FALSE)</f>
        <v>0</v>
      </c>
      <c r="K45" s="25"/>
    </row>
    <row r="46" spans="1:11" x14ac:dyDescent="0.35">
      <c r="A46" s="1" t="s">
        <v>114</v>
      </c>
      <c r="B46" s="1" t="s">
        <v>115</v>
      </c>
      <c r="C46" s="1" t="s">
        <v>1219</v>
      </c>
      <c r="D46" s="1" t="s">
        <v>113</v>
      </c>
      <c r="E46" s="1" t="s">
        <v>113</v>
      </c>
      <c r="F46" s="1" t="s">
        <v>705</v>
      </c>
      <c r="G46" s="97" t="str">
        <f>VLOOKUP(B46,'[1]Data Email Anggota'!C$2:F$366,4,FALSE)</f>
        <v>noor.kholis@bki.co.id</v>
      </c>
      <c r="H46" s="97" t="s">
        <v>1206</v>
      </c>
      <c r="I46" s="2">
        <f>VLOOKUP(B46,'[2]REKAP POTONGAN'!B$6:D$93,3,FALSE)</f>
        <v>150000</v>
      </c>
      <c r="J46" s="2">
        <f>VLOOKUP(B46,'[2]REKAP POTONGAN'!B$6:C$93,2,FALSE)</f>
        <v>0</v>
      </c>
      <c r="K46" s="25"/>
    </row>
    <row r="47" spans="1:11" x14ac:dyDescent="0.35">
      <c r="A47" s="1" t="s">
        <v>116</v>
      </c>
      <c r="B47" s="1" t="s">
        <v>117</v>
      </c>
      <c r="C47" s="1" t="s">
        <v>1219</v>
      </c>
      <c r="D47" s="1" t="s">
        <v>113</v>
      </c>
      <c r="E47" s="1" t="s">
        <v>113</v>
      </c>
      <c r="F47" s="1" t="s">
        <v>717</v>
      </c>
      <c r="G47" s="97" t="str">
        <f>VLOOKUP(B47,'[1]Data Email Anggota'!C$2:F$366,4,FALSE)</f>
        <v>arafah@bki.co.id</v>
      </c>
      <c r="H47" s="97" t="s">
        <v>1206</v>
      </c>
      <c r="I47" s="2">
        <f>VLOOKUP(B47,'[2]REKAP POTONGAN'!B$6:D$93,3,FALSE)</f>
        <v>450000</v>
      </c>
      <c r="J47" s="2">
        <f>VLOOKUP(B47,'[2]REKAP POTONGAN'!B$6:C$93,2,FALSE)</f>
        <v>0</v>
      </c>
      <c r="K47" s="25"/>
    </row>
    <row r="48" spans="1:11" x14ac:dyDescent="0.35">
      <c r="A48" s="1" t="s">
        <v>118</v>
      </c>
      <c r="B48" s="1" t="s">
        <v>119</v>
      </c>
      <c r="C48" s="1" t="s">
        <v>1219</v>
      </c>
      <c r="D48" s="1" t="s">
        <v>120</v>
      </c>
      <c r="E48" s="1" t="s">
        <v>120</v>
      </c>
      <c r="F48" s="1" t="s">
        <v>708</v>
      </c>
      <c r="G48" s="97" t="str">
        <f>VLOOKUP(B48,'[1]Data Email Anggota'!C$2:F$366,4,FALSE)</f>
        <v>oki@bki.co.id</v>
      </c>
      <c r="H48" s="97" t="str">
        <f>VLOOKUP(B48,[3]SHU!C$8:L$377,10,FALSE)</f>
        <v>AKTIF</v>
      </c>
      <c r="I48" s="2">
        <f>VLOOKUP(B48,'[2]REKAP POTONGAN'!B$6:D$93,3,FALSE)</f>
        <v>150000</v>
      </c>
      <c r="J48" s="2">
        <f>VLOOKUP(B48,'[2]REKAP POTONGAN'!B$6:C$93,2,FALSE)</f>
        <v>0</v>
      </c>
      <c r="K48" s="25"/>
    </row>
    <row r="49" spans="1:11" x14ac:dyDescent="0.35">
      <c r="A49" s="1" t="s">
        <v>121</v>
      </c>
      <c r="B49" s="1" t="s">
        <v>122</v>
      </c>
      <c r="C49" s="1" t="s">
        <v>1219</v>
      </c>
      <c r="D49" s="1" t="s">
        <v>120</v>
      </c>
      <c r="E49" s="1" t="s">
        <v>120</v>
      </c>
      <c r="F49" s="1" t="s">
        <v>707</v>
      </c>
      <c r="G49" s="97" t="str">
        <f>VLOOKUP(B49,'[1]Data Email Anggota'!C$2:F$366,4,FALSE)</f>
        <v>heri.wirawan@bki.co.id</v>
      </c>
      <c r="H49" s="97" t="s">
        <v>1206</v>
      </c>
      <c r="I49" s="2">
        <f>VLOOKUP(B49,'[2]REKAP POTONGAN'!B$6:D$93,3,FALSE)</f>
        <v>150000</v>
      </c>
      <c r="J49" s="2">
        <f>VLOOKUP(B49,'[2]REKAP POTONGAN'!B$6:C$93,2,FALSE)</f>
        <v>1701389</v>
      </c>
      <c r="K49" s="25"/>
    </row>
    <row r="50" spans="1:11" x14ac:dyDescent="0.35">
      <c r="A50" s="1" t="s">
        <v>123</v>
      </c>
      <c r="B50" s="1" t="s">
        <v>124</v>
      </c>
      <c r="C50" s="1" t="s">
        <v>1219</v>
      </c>
      <c r="D50" s="1" t="s">
        <v>120</v>
      </c>
      <c r="E50" s="1" t="s">
        <v>120</v>
      </c>
      <c r="F50" s="1" t="s">
        <v>702</v>
      </c>
      <c r="G50" s="97" t="str">
        <f>VLOOKUP(B50,'[1]Data Email Anggota'!C$2:F$366,4,FALSE)</f>
        <v>sudarma@bki.co.id</v>
      </c>
      <c r="H50" s="97" t="s">
        <v>1206</v>
      </c>
      <c r="I50" s="2">
        <f>VLOOKUP(B50,'[2]REKAP POTONGAN'!B$6:D$93,3,FALSE)</f>
        <v>150000</v>
      </c>
      <c r="J50" s="2">
        <f>VLOOKUP(B50,'[2]REKAP POTONGAN'!B$6:C$93,2,FALSE)</f>
        <v>0</v>
      </c>
      <c r="K50" s="25"/>
    </row>
    <row r="51" spans="1:11" x14ac:dyDescent="0.35">
      <c r="A51" s="1" t="s">
        <v>126</v>
      </c>
      <c r="B51" s="1" t="s">
        <v>127</v>
      </c>
      <c r="C51" s="1" t="s">
        <v>1219</v>
      </c>
      <c r="D51" s="1" t="s">
        <v>125</v>
      </c>
      <c r="E51" s="1" t="s">
        <v>125</v>
      </c>
      <c r="F51" s="1" t="s">
        <v>698</v>
      </c>
      <c r="G51" s="97" t="str">
        <f>VLOOKUP(B51,'[1]Data Email Anggota'!C$2:F$366,4,FALSE)</f>
        <v>widodo@bki.co.id</v>
      </c>
      <c r="H51" s="97" t="str">
        <f>VLOOKUP(B51,[3]SHU!C$8:L$377,10,FALSE)</f>
        <v>AKTIF</v>
      </c>
      <c r="I51" s="2">
        <f>VLOOKUP(B51,'[2]REKAP POTONGAN'!B$6:D$93,3,FALSE)</f>
        <v>150000</v>
      </c>
      <c r="J51" s="2">
        <f>VLOOKUP(B51,'[2]REKAP POTONGAN'!B$6:C$93,2,FALSE)</f>
        <v>0</v>
      </c>
      <c r="K51" s="25"/>
    </row>
    <row r="52" spans="1:11" x14ac:dyDescent="0.35">
      <c r="A52" s="1" t="s">
        <v>128</v>
      </c>
      <c r="B52" s="1" t="s">
        <v>129</v>
      </c>
      <c r="C52" s="1" t="s">
        <v>1219</v>
      </c>
      <c r="D52" s="1" t="s">
        <v>125</v>
      </c>
      <c r="E52" s="1" t="s">
        <v>125</v>
      </c>
      <c r="F52" s="1" t="s">
        <v>705</v>
      </c>
      <c r="G52" s="97" t="str">
        <f>VLOOKUP(B52,'[1]Data Email Anggota'!C$2:F$366,4,FALSE)</f>
        <v>muliaddin@bki.co.id</v>
      </c>
      <c r="H52" s="97" t="str">
        <f>VLOOKUP(B52,[3]SHU!C$8:L$377,10,FALSE)</f>
        <v>AKTIF</v>
      </c>
      <c r="I52" s="2">
        <f>VLOOKUP(B52,'[2]REKAP POTONGAN'!B$6:D$93,3,FALSE)</f>
        <v>150000</v>
      </c>
      <c r="J52" s="2">
        <f>VLOOKUP(B52,'[2]REKAP POTONGAN'!B$6:C$93,2,FALSE)</f>
        <v>0</v>
      </c>
      <c r="K52" s="25"/>
    </row>
    <row r="53" spans="1:11" x14ac:dyDescent="0.35">
      <c r="A53" s="1" t="s">
        <v>130</v>
      </c>
      <c r="B53" s="1" t="s">
        <v>131</v>
      </c>
      <c r="C53" s="1" t="s">
        <v>1219</v>
      </c>
      <c r="D53" s="1" t="s">
        <v>125</v>
      </c>
      <c r="E53" s="1" t="s">
        <v>125</v>
      </c>
      <c r="F53" s="1" t="s">
        <v>705</v>
      </c>
      <c r="G53" s="97" t="str">
        <f>VLOOKUP(B53,'[1]Data Email Anggota'!C$2:F$366,4,FALSE)</f>
        <v>zainalstnaval@bki.co.id</v>
      </c>
      <c r="H53" s="97" t="s">
        <v>1206</v>
      </c>
      <c r="I53" s="2">
        <f>VLOOKUP(B53,'[2]REKAP POTONGAN'!B$6:D$93,3,FALSE)</f>
        <v>150000</v>
      </c>
      <c r="J53" s="2">
        <f>VLOOKUP(B53,'[2]REKAP POTONGAN'!B$6:C$93,2,FALSE)</f>
        <v>0</v>
      </c>
      <c r="K53" s="25"/>
    </row>
    <row r="54" spans="1:11" x14ac:dyDescent="0.35">
      <c r="A54" s="1" t="s">
        <v>132</v>
      </c>
      <c r="B54" s="1" t="s">
        <v>133</v>
      </c>
      <c r="C54" s="1" t="s">
        <v>1219</v>
      </c>
      <c r="D54" s="1" t="s">
        <v>125</v>
      </c>
      <c r="E54" s="1" t="s">
        <v>125</v>
      </c>
      <c r="F54" s="1" t="s">
        <v>705</v>
      </c>
      <c r="G54" s="97" t="str">
        <f>VLOOKUP(B54,'[1]Data Email Anggota'!C$2:F$366,4,FALSE)</f>
        <v>khaerul.akbar@bki.co.id</v>
      </c>
      <c r="H54" s="97" t="s">
        <v>1206</v>
      </c>
      <c r="I54" s="2">
        <f>VLOOKUP(B54,'[2]REKAP POTONGAN'!B$6:D$93,3,FALSE)</f>
        <v>150000</v>
      </c>
      <c r="J54" s="2">
        <f>VLOOKUP(B54,'[2]REKAP POTONGAN'!B$6:C$93,2,FALSE)</f>
        <v>0</v>
      </c>
      <c r="K54" s="25"/>
    </row>
    <row r="55" spans="1:11" x14ac:dyDescent="0.35">
      <c r="A55" s="1" t="s">
        <v>134</v>
      </c>
      <c r="B55" s="1" t="s">
        <v>135</v>
      </c>
      <c r="C55" s="1" t="s">
        <v>1219</v>
      </c>
      <c r="D55" s="1" t="s">
        <v>136</v>
      </c>
      <c r="E55" s="1" t="s">
        <v>136</v>
      </c>
      <c r="F55" s="1" t="s">
        <v>718</v>
      </c>
      <c r="G55" s="97" t="str">
        <f>VLOOKUP(B55,'[1]Data Email Anggota'!C$2:F$366,4,FALSE)</f>
        <v>yufian.ridhananda@bki.co.id</v>
      </c>
      <c r="H55" s="97" t="s">
        <v>1206</v>
      </c>
      <c r="I55" s="2">
        <f>VLOOKUP(B55,'[2]REKAP POTONGAN'!B$6:D$93,3,FALSE)</f>
        <v>100000</v>
      </c>
      <c r="J55" s="2">
        <f>VLOOKUP(B55,'[2]REKAP POTONGAN'!B$6:C$93,2,FALSE)</f>
        <v>0</v>
      </c>
      <c r="K55" s="25"/>
    </row>
    <row r="56" spans="1:11" x14ac:dyDescent="0.35">
      <c r="A56" s="1" t="s">
        <v>137</v>
      </c>
      <c r="B56" s="1" t="s">
        <v>138</v>
      </c>
      <c r="C56" s="1" t="s">
        <v>1219</v>
      </c>
      <c r="D56" s="1" t="s">
        <v>139</v>
      </c>
      <c r="E56" s="1" t="s">
        <v>139</v>
      </c>
      <c r="F56" s="1" t="s">
        <v>719</v>
      </c>
      <c r="G56" s="97" t="str">
        <f>VLOOKUP(B56,'[1]Data Email Anggota'!C$2:F$366,4,FALSE)</f>
        <v>rizky@bki.co.id</v>
      </c>
      <c r="H56" s="97" t="s">
        <v>1206</v>
      </c>
      <c r="I56" s="2">
        <f>VLOOKUP(B56,'[2]REKAP POTONGAN'!B$6:D$93,3,FALSE)</f>
        <v>350000</v>
      </c>
      <c r="J56" s="2">
        <f>VLOOKUP(B56,'[2]REKAP POTONGAN'!B$6:C$93,2,FALSE)</f>
        <v>0</v>
      </c>
      <c r="K56" s="25"/>
    </row>
    <row r="57" spans="1:11" x14ac:dyDescent="0.35">
      <c r="A57" s="1" t="s">
        <v>140</v>
      </c>
      <c r="B57" s="1" t="s">
        <v>141</v>
      </c>
      <c r="C57" s="1" t="s">
        <v>1219</v>
      </c>
      <c r="D57" s="1" t="s">
        <v>19</v>
      </c>
      <c r="E57" s="1" t="s">
        <v>19</v>
      </c>
      <c r="F57" s="1" t="s">
        <v>698</v>
      </c>
      <c r="G57" s="97" t="str">
        <f>VLOOKUP(B57,'[1]Data Email Anggota'!C$2:F$366,4,FALSE)</f>
        <v>indra.km@bki.co.id</v>
      </c>
      <c r="H57" s="97" t="s">
        <v>1206</v>
      </c>
      <c r="I57" s="2">
        <f>VLOOKUP(B57,'[2]REKAP POTONGAN'!B$6:D$93,3,FALSE)</f>
        <v>150000</v>
      </c>
      <c r="J57" s="2">
        <f>VLOOKUP(B57,'[2]REKAP POTONGAN'!B$6:C$93,2,FALSE)</f>
        <v>2876137</v>
      </c>
      <c r="K57" s="25"/>
    </row>
    <row r="58" spans="1:11" x14ac:dyDescent="0.35">
      <c r="A58" s="1" t="s">
        <v>142</v>
      </c>
      <c r="B58" s="1" t="s">
        <v>143</v>
      </c>
      <c r="C58" s="1" t="s">
        <v>1219</v>
      </c>
      <c r="D58" s="1" t="s">
        <v>19</v>
      </c>
      <c r="E58" s="1" t="s">
        <v>19</v>
      </c>
      <c r="F58" s="1" t="s">
        <v>700</v>
      </c>
      <c r="G58" s="97" t="str">
        <f>VLOOKUP(B58,'[1]Data Email Anggota'!C$2:F$366,4,FALSE)</f>
        <v>edwin@bki.co.id</v>
      </c>
      <c r="H58" s="97" t="s">
        <v>1206</v>
      </c>
      <c r="I58" s="2">
        <f>VLOOKUP(B58,'[2]REKAP POTONGAN'!B$6:D$93,3,FALSE)</f>
        <v>250000</v>
      </c>
      <c r="J58" s="2">
        <f>VLOOKUP(B58,'[2]REKAP POTONGAN'!B$6:C$93,2,FALSE)</f>
        <v>0</v>
      </c>
      <c r="K58" s="25"/>
    </row>
    <row r="59" spans="1:11" x14ac:dyDescent="0.35">
      <c r="A59" s="1" t="s">
        <v>144</v>
      </c>
      <c r="B59" s="1" t="s">
        <v>145</v>
      </c>
      <c r="C59" s="1" t="s">
        <v>1219</v>
      </c>
      <c r="D59" s="1" t="s">
        <v>19</v>
      </c>
      <c r="E59" s="1" t="s">
        <v>19</v>
      </c>
      <c r="F59" s="1" t="s">
        <v>701</v>
      </c>
      <c r="G59" s="97" t="str">
        <f>VLOOKUP(B59,'[1]Data Email Anggota'!C$2:F$366,4,FALSE)</f>
        <v>ibnul.qayyim@bki.co.id</v>
      </c>
      <c r="H59" s="97" t="str">
        <f>VLOOKUP(B59,[3]SHU!C$8:L$377,10,FALSE)</f>
        <v>AKTIF</v>
      </c>
      <c r="I59" s="2">
        <f>VLOOKUP(B59,'[2]REKAP POTONGAN'!B$6:D$93,3,FALSE)</f>
        <v>100000</v>
      </c>
      <c r="J59" s="2">
        <f>VLOOKUP(B59,'[2]REKAP POTONGAN'!B$6:C$93,2,FALSE)</f>
        <v>0</v>
      </c>
      <c r="K59" s="25"/>
    </row>
    <row r="60" spans="1:11" x14ac:dyDescent="0.35">
      <c r="A60" s="1" t="s">
        <v>146</v>
      </c>
      <c r="B60" s="1" t="s">
        <v>147</v>
      </c>
      <c r="C60" s="1" t="s">
        <v>1219</v>
      </c>
      <c r="D60" s="1" t="s">
        <v>22</v>
      </c>
      <c r="E60" s="1" t="s">
        <v>22</v>
      </c>
      <c r="F60" s="1" t="s">
        <v>696</v>
      </c>
      <c r="G60" s="97" t="str">
        <f>VLOOKUP(B60,'[1]Data Email Anggota'!C$2:F$366,4,FALSE)</f>
        <v>m.asrul@bki.co.id</v>
      </c>
      <c r="H60" s="97" t="s">
        <v>1206</v>
      </c>
      <c r="I60" s="2">
        <f>VLOOKUP(B60,'[2]REKAP POTONGAN'!B$6:D$93,3,FALSE)</f>
        <v>150000</v>
      </c>
      <c r="J60" s="2">
        <f>VLOOKUP(B60,'[2]REKAP POTONGAN'!B$6:C$93,2,FALSE)</f>
        <v>0</v>
      </c>
      <c r="K60" s="25"/>
    </row>
    <row r="61" spans="1:11" hidden="1" x14ac:dyDescent="0.35">
      <c r="G61" s="1"/>
      <c r="H61" s="1"/>
    </row>
    <row r="62" spans="1:11" hidden="1" x14ac:dyDescent="0.35">
      <c r="G62" s="1"/>
      <c r="H62" s="1"/>
    </row>
    <row r="63" spans="1:11" hidden="1" x14ac:dyDescent="0.35">
      <c r="G63" s="1"/>
      <c r="H63" s="1"/>
    </row>
    <row r="64" spans="1:11" hidden="1" x14ac:dyDescent="0.35">
      <c r="G64" s="1"/>
      <c r="H64" s="1"/>
    </row>
    <row r="65" spans="1:11" hidden="1" x14ac:dyDescent="0.35">
      <c r="G65" s="1"/>
      <c r="H65" s="1"/>
    </row>
    <row r="66" spans="1:11" hidden="1" x14ac:dyDescent="0.35">
      <c r="G66" s="1"/>
      <c r="H66" s="1"/>
    </row>
    <row r="67" spans="1:11" hidden="1" x14ac:dyDescent="0.35">
      <c r="G67" s="1"/>
      <c r="H67" s="1"/>
    </row>
    <row r="68" spans="1:11" hidden="1" x14ac:dyDescent="0.35">
      <c r="G68" s="1"/>
      <c r="H68" s="1"/>
    </row>
    <row r="69" spans="1:11" hidden="1" x14ac:dyDescent="0.35">
      <c r="G69" s="1"/>
      <c r="H69" s="1"/>
    </row>
    <row r="70" spans="1:11" hidden="1" x14ac:dyDescent="0.35">
      <c r="G70" s="1"/>
      <c r="H70" s="1"/>
    </row>
    <row r="71" spans="1:11" hidden="1" x14ac:dyDescent="0.35">
      <c r="G71" s="1"/>
      <c r="H71" s="1"/>
    </row>
    <row r="72" spans="1:11" x14ac:dyDescent="0.35">
      <c r="A72" s="1" t="s">
        <v>149</v>
      </c>
      <c r="B72" s="1" t="s">
        <v>150</v>
      </c>
      <c r="C72" s="1" t="s">
        <v>1219</v>
      </c>
      <c r="D72" s="1" t="s">
        <v>4</v>
      </c>
      <c r="E72" s="1" t="s">
        <v>4</v>
      </c>
      <c r="F72" s="1" t="s">
        <v>721</v>
      </c>
      <c r="G72" s="97" t="str">
        <f>VLOOKUP(B72,'[1]Data Email Anggota'!C$2:F$366,4,FALSE)</f>
        <v>bisrofi@bki.co.id</v>
      </c>
      <c r="H72" s="97" t="s">
        <v>1206</v>
      </c>
      <c r="I72" s="2">
        <f>VLOOKUP(B72,'[2]REKAP POTONGAN'!B$6:D$93,3,FALSE)</f>
        <v>350000</v>
      </c>
      <c r="J72" s="2">
        <f>VLOOKUP(B72,'[2]REKAP POTONGAN'!B$6:C$93,2,FALSE)</f>
        <v>0</v>
      </c>
      <c r="K72" s="25"/>
    </row>
    <row r="73" spans="1:11" hidden="1" x14ac:dyDescent="0.35">
      <c r="G73" s="1"/>
      <c r="H73" s="1"/>
    </row>
    <row r="74" spans="1:11" x14ac:dyDescent="0.35">
      <c r="A74" s="1" t="s">
        <v>151</v>
      </c>
      <c r="B74" s="1" t="s">
        <v>152</v>
      </c>
      <c r="C74" s="1" t="s">
        <v>1219</v>
      </c>
      <c r="D74" s="1" t="s">
        <v>4</v>
      </c>
      <c r="E74" s="1" t="s">
        <v>4</v>
      </c>
      <c r="F74" s="1" t="s">
        <v>696</v>
      </c>
      <c r="G74" s="97" t="str">
        <f>VLOOKUP(B74,'[1]Data Email Anggota'!C$2:F$366,4,FALSE)</f>
        <v>jiadan@bki.co.id</v>
      </c>
      <c r="H74" s="97" t="s">
        <v>1206</v>
      </c>
      <c r="I74" s="2">
        <f>VLOOKUP(B74,'[2]REKAP POTONGAN'!B$6:D$93,3,FALSE)</f>
        <v>250000</v>
      </c>
      <c r="J74" s="2">
        <f>VLOOKUP(B74,'[2]REKAP POTONGAN'!B$6:C$93,2,FALSE)</f>
        <v>0</v>
      </c>
      <c r="K74" s="25"/>
    </row>
    <row r="75" spans="1:11" x14ac:dyDescent="0.35">
      <c r="A75" s="1" t="s">
        <v>153</v>
      </c>
      <c r="B75" s="1" t="s">
        <v>154</v>
      </c>
      <c r="C75" s="1" t="s">
        <v>1219</v>
      </c>
      <c r="D75" s="1" t="s">
        <v>4</v>
      </c>
      <c r="E75" s="1" t="s">
        <v>4</v>
      </c>
      <c r="F75" s="1" t="s">
        <v>696</v>
      </c>
      <c r="G75" s="97" t="str">
        <f>VLOOKUP(B75,'[1]Data Email Anggota'!C$2:F$366,4,FALSE)</f>
        <v>yulid@bki.co.id</v>
      </c>
      <c r="H75" s="97" t="s">
        <v>1206</v>
      </c>
      <c r="I75" s="2">
        <f>VLOOKUP(B75,'[2]REKAP POTONGAN'!B$6:D$93,3,FALSE)</f>
        <v>250000</v>
      </c>
      <c r="J75" s="2">
        <f>VLOOKUP(B75,'[2]REKAP POTONGAN'!B$6:C$93,2,FALSE)</f>
        <v>0</v>
      </c>
      <c r="K75" s="25"/>
    </row>
    <row r="76" spans="1:11" hidden="1" x14ac:dyDescent="0.35">
      <c r="G76" s="1"/>
      <c r="H76" s="1"/>
    </row>
    <row r="77" spans="1:11" hidden="1" x14ac:dyDescent="0.35">
      <c r="G77" s="1"/>
      <c r="H77" s="1"/>
    </row>
    <row r="78" spans="1:11" hidden="1" x14ac:dyDescent="0.35">
      <c r="G78" s="1"/>
      <c r="H78" s="1"/>
    </row>
    <row r="79" spans="1:11" hidden="1" x14ac:dyDescent="0.35">
      <c r="G79" s="1"/>
      <c r="H79" s="1"/>
    </row>
    <row r="80" spans="1:11" hidden="1" x14ac:dyDescent="0.35">
      <c r="G80" s="1"/>
      <c r="H80" s="1"/>
    </row>
    <row r="81" spans="1:11" hidden="1" x14ac:dyDescent="0.35">
      <c r="G81" s="1"/>
      <c r="H81" s="1"/>
    </row>
    <row r="82" spans="1:11" x14ac:dyDescent="0.35">
      <c r="A82" s="1" t="s">
        <v>155</v>
      </c>
      <c r="B82" s="1" t="s">
        <v>156</v>
      </c>
      <c r="C82" s="1" t="s">
        <v>1219</v>
      </c>
      <c r="D82" s="1" t="s">
        <v>157</v>
      </c>
      <c r="E82" s="1" t="s">
        <v>157</v>
      </c>
      <c r="F82" s="1" t="s">
        <v>722</v>
      </c>
      <c r="G82" s="97" t="str">
        <f>VLOOKUP(B82,'[1]Data Email Anggota'!C$2:F$366,4,FALSE)</f>
        <v>benni.hermawan@bki.co.id</v>
      </c>
      <c r="H82" s="97" t="s">
        <v>1206</v>
      </c>
      <c r="I82" s="2">
        <f>VLOOKUP(B82,'[2]REKAP POTONGAN'!B$6:D$93,3,FALSE)</f>
        <v>500000</v>
      </c>
      <c r="J82" s="2">
        <f>VLOOKUP(B82,'[2]REKAP POTONGAN'!B$6:C$93,2,FALSE)</f>
        <v>0</v>
      </c>
      <c r="K82" s="25"/>
    </row>
    <row r="83" spans="1:11" x14ac:dyDescent="0.35">
      <c r="A83" s="1" t="s">
        <v>158</v>
      </c>
      <c r="B83" s="1" t="s">
        <v>159</v>
      </c>
      <c r="C83" s="1" t="s">
        <v>1219</v>
      </c>
      <c r="D83" s="1" t="s">
        <v>157</v>
      </c>
      <c r="E83" s="1" t="s">
        <v>157</v>
      </c>
      <c r="F83" s="1" t="s">
        <v>723</v>
      </c>
      <c r="H83" s="97" t="s">
        <v>1206</v>
      </c>
      <c r="I83" s="2">
        <f>VLOOKUP(B83,'[2]REKAP POTONGAN'!B$6:D$93,3,FALSE)</f>
        <v>350000</v>
      </c>
      <c r="J83" s="2">
        <f>VLOOKUP(B83,'[2]REKAP POTONGAN'!B$6:C$93,2,FALSE)</f>
        <v>0</v>
      </c>
      <c r="K83" s="25"/>
    </row>
    <row r="84" spans="1:11" hidden="1" x14ac:dyDescent="0.35">
      <c r="G84" s="1"/>
      <c r="H84" s="1"/>
    </row>
    <row r="85" spans="1:11" hidden="1" x14ac:dyDescent="0.35">
      <c r="G85" s="1"/>
      <c r="H85" s="1"/>
    </row>
    <row r="86" spans="1:11" hidden="1" x14ac:dyDescent="0.35">
      <c r="G86" s="1"/>
      <c r="H86" s="1"/>
    </row>
    <row r="87" spans="1:11" hidden="1" x14ac:dyDescent="0.35">
      <c r="G87" s="1"/>
      <c r="H87" s="1"/>
    </row>
    <row r="88" spans="1:11" hidden="1" x14ac:dyDescent="0.35">
      <c r="G88" s="1"/>
      <c r="H88" s="1"/>
    </row>
    <row r="89" spans="1:11" x14ac:dyDescent="0.35">
      <c r="A89" s="1" t="s">
        <v>160</v>
      </c>
      <c r="B89" s="1" t="s">
        <v>161</v>
      </c>
      <c r="C89" s="1" t="s">
        <v>1219</v>
      </c>
      <c r="D89" s="1" t="s">
        <v>157</v>
      </c>
      <c r="E89" s="1" t="s">
        <v>157</v>
      </c>
      <c r="F89" s="1" t="s">
        <v>696</v>
      </c>
      <c r="G89" s="97" t="str">
        <f>VLOOKUP(B89,'[1]Data Email Anggota'!C$2:F$366,4,FALSE)</f>
        <v>rangsang.kusumadilaga@bki.co.id</v>
      </c>
      <c r="H89" s="97" t="s">
        <v>1206</v>
      </c>
      <c r="I89" s="2">
        <f>VLOOKUP(B89,'[2]REKAP POTONGAN'!B$6:D$93,3,FALSE)</f>
        <v>250000</v>
      </c>
      <c r="J89" s="2">
        <f>VLOOKUP(B89,'[2]REKAP POTONGAN'!B$6:C$93,2,FALSE)</f>
        <v>0</v>
      </c>
      <c r="K89" s="25"/>
    </row>
    <row r="90" spans="1:11" x14ac:dyDescent="0.35">
      <c r="A90" s="1" t="s">
        <v>162</v>
      </c>
      <c r="B90" s="1" t="s">
        <v>163</v>
      </c>
      <c r="C90" s="1" t="s">
        <v>1219</v>
      </c>
      <c r="D90" s="1" t="s">
        <v>157</v>
      </c>
      <c r="E90" s="1" t="s">
        <v>157</v>
      </c>
      <c r="F90" s="1" t="s">
        <v>700</v>
      </c>
      <c r="G90" s="97" t="str">
        <f>VLOOKUP(B90,'[1]Data Email Anggota'!C$2:F$366,4,FALSE)</f>
        <v>laode.arf@bki.co.id</v>
      </c>
      <c r="H90" s="97" t="s">
        <v>1206</v>
      </c>
      <c r="I90" s="2">
        <f>VLOOKUP(B90,'[2]REKAP POTONGAN'!B$6:D$93,3,FALSE)</f>
        <v>250000</v>
      </c>
      <c r="J90" s="2">
        <f>VLOOKUP(B90,'[2]REKAP POTONGAN'!B$6:C$93,2,FALSE)</f>
        <v>0</v>
      </c>
      <c r="K90" s="25"/>
    </row>
    <row r="91" spans="1:11" x14ac:dyDescent="0.35">
      <c r="A91" s="1" t="s">
        <v>164</v>
      </c>
      <c r="B91" s="1" t="s">
        <v>165</v>
      </c>
      <c r="C91" s="1" t="s">
        <v>1219</v>
      </c>
      <c r="D91" s="1" t="s">
        <v>157</v>
      </c>
      <c r="E91" s="1" t="s">
        <v>157</v>
      </c>
      <c r="F91" s="1" t="s">
        <v>700</v>
      </c>
      <c r="G91" s="97" t="str">
        <f>VLOOKUP(B91,'[1]Data Email Anggota'!C$2:F$366,4,FALSE)</f>
        <v>abdul.kholick@bki.co.id</v>
      </c>
      <c r="H91" s="97" t="s">
        <v>1206</v>
      </c>
      <c r="I91" s="2">
        <f>VLOOKUP(B91,'[2]REKAP POTONGAN'!B$6:D$93,3,FALSE)</f>
        <v>250000</v>
      </c>
      <c r="J91" s="2">
        <f>VLOOKUP(B91,'[2]REKAP POTONGAN'!B$6:C$93,2,FALSE)</f>
        <v>0</v>
      </c>
      <c r="K91" s="25"/>
    </row>
    <row r="92" spans="1:11" x14ac:dyDescent="0.35">
      <c r="A92" s="1" t="s">
        <v>166</v>
      </c>
      <c r="B92" s="1" t="s">
        <v>167</v>
      </c>
      <c r="C92" s="1" t="s">
        <v>1219</v>
      </c>
      <c r="D92" s="1" t="s">
        <v>157</v>
      </c>
      <c r="E92" s="1" t="s">
        <v>157</v>
      </c>
      <c r="F92" s="1" t="s">
        <v>700</v>
      </c>
      <c r="G92" s="97" t="str">
        <f>VLOOKUP(B92,'[1]Data Email Anggota'!C$2:F$366,4,FALSE)</f>
        <v>agus.sianipar@bki.co.id</v>
      </c>
      <c r="H92" s="97" t="s">
        <v>1206</v>
      </c>
      <c r="I92" s="2">
        <f>VLOOKUP(B92,'[2]REKAP POTONGAN'!B$6:D$93,3,FALSE)</f>
        <v>250000</v>
      </c>
      <c r="J92" s="2">
        <f>VLOOKUP(B92,'[2]REKAP POTONGAN'!B$6:C$93,2,FALSE)</f>
        <v>0</v>
      </c>
      <c r="K92" s="25"/>
    </row>
    <row r="93" spans="1:11" hidden="1" x14ac:dyDescent="0.35">
      <c r="G93" s="1"/>
      <c r="H93" s="1"/>
    </row>
    <row r="94" spans="1:11" hidden="1" x14ac:dyDescent="0.35">
      <c r="G94" s="1"/>
      <c r="H94" s="1"/>
    </row>
    <row r="95" spans="1:11" hidden="1" x14ac:dyDescent="0.35">
      <c r="G95" s="1"/>
      <c r="H95" s="1"/>
    </row>
    <row r="96" spans="1:11" hidden="1" x14ac:dyDescent="0.35">
      <c r="G96" s="1"/>
      <c r="H96" s="1"/>
    </row>
    <row r="97" spans="1:11" hidden="1" x14ac:dyDescent="0.35">
      <c r="G97" s="1"/>
      <c r="H97" s="1"/>
    </row>
    <row r="98" spans="1:11" hidden="1" x14ac:dyDescent="0.35">
      <c r="G98" s="1"/>
      <c r="H98" s="1"/>
    </row>
    <row r="99" spans="1:11" hidden="1" x14ac:dyDescent="0.35">
      <c r="G99" s="1"/>
      <c r="H99" s="1"/>
    </row>
    <row r="100" spans="1:11" x14ac:dyDescent="0.35">
      <c r="A100" s="1" t="s">
        <v>168</v>
      </c>
      <c r="B100" s="1" t="s">
        <v>169</v>
      </c>
      <c r="C100" s="1" t="s">
        <v>1219</v>
      </c>
      <c r="D100" s="1" t="s">
        <v>16</v>
      </c>
      <c r="E100" s="1" t="s">
        <v>16</v>
      </c>
      <c r="F100" s="1" t="s">
        <v>726</v>
      </c>
      <c r="G100" s="97" t="str">
        <f>VLOOKUP(B100,'[1]Data Email Anggota'!C$2:F$366,4,FALSE)</f>
        <v>bambang.riyanto@bki.co.id</v>
      </c>
      <c r="H100" s="97" t="s">
        <v>1206</v>
      </c>
      <c r="I100" s="2">
        <f>VLOOKUP(B100,'[2]REKAP POTONGAN'!B$6:D$93,3,FALSE)</f>
        <v>350000</v>
      </c>
      <c r="J100" s="2">
        <f>VLOOKUP(B100,'[2]REKAP POTONGAN'!B$6:C$93,2,FALSE)</f>
        <v>0</v>
      </c>
      <c r="K100" s="25"/>
    </row>
    <row r="101" spans="1:11" x14ac:dyDescent="0.35">
      <c r="A101" s="1" t="s">
        <v>170</v>
      </c>
      <c r="B101" s="1" t="s">
        <v>171</v>
      </c>
      <c r="C101" s="1" t="s">
        <v>1219</v>
      </c>
      <c r="D101" s="1" t="s">
        <v>16</v>
      </c>
      <c r="E101" s="1" t="s">
        <v>16</v>
      </c>
      <c r="F101" s="1" t="s">
        <v>727</v>
      </c>
      <c r="G101" s="97" t="str">
        <f>VLOOKUP(B101,'[1]Data Email Anggota'!C$2:F$366,4,FALSE)</f>
        <v>bakti.nugroho@bki.co.id</v>
      </c>
      <c r="H101" s="97" t="s">
        <v>1206</v>
      </c>
      <c r="I101" s="2">
        <f>VLOOKUP(B101,'[2]REKAP POTONGAN'!B$6:D$93,3,FALSE)</f>
        <v>250000</v>
      </c>
      <c r="J101" s="2">
        <f>VLOOKUP(B101,'[2]REKAP POTONGAN'!B$6:C$93,2,FALSE)</f>
        <v>0</v>
      </c>
      <c r="K101" s="25"/>
    </row>
    <row r="102" spans="1:11" hidden="1" x14ac:dyDescent="0.35">
      <c r="G102" s="1"/>
      <c r="H102" s="1"/>
    </row>
    <row r="103" spans="1:11" hidden="1" x14ac:dyDescent="0.35">
      <c r="G103" s="1"/>
      <c r="H103" s="1"/>
    </row>
    <row r="104" spans="1:11" hidden="1" x14ac:dyDescent="0.35">
      <c r="G104" s="1"/>
      <c r="H104" s="1"/>
    </row>
    <row r="105" spans="1:11" hidden="1" x14ac:dyDescent="0.35">
      <c r="G105" s="1"/>
      <c r="H105" s="1"/>
    </row>
    <row r="106" spans="1:11" x14ac:dyDescent="0.35">
      <c r="A106" s="1" t="s">
        <v>172</v>
      </c>
      <c r="B106" s="1" t="s">
        <v>173</v>
      </c>
      <c r="C106" s="1" t="s">
        <v>1219</v>
      </c>
      <c r="D106" s="1" t="s">
        <v>16</v>
      </c>
      <c r="E106" s="1" t="s">
        <v>16</v>
      </c>
      <c r="F106" s="1" t="s">
        <v>704</v>
      </c>
      <c r="H106" s="97" t="s">
        <v>1206</v>
      </c>
      <c r="I106" s="2">
        <f>VLOOKUP(B106,'[2]REKAP POTONGAN'!B$6:D$93,3,FALSE)</f>
        <v>150000</v>
      </c>
      <c r="J106" s="2">
        <f>VLOOKUP(B106,'[2]REKAP POTONGAN'!B$6:C$93,2,FALSE)</f>
        <v>0</v>
      </c>
      <c r="K106" s="25"/>
    </row>
    <row r="107" spans="1:11" hidden="1" x14ac:dyDescent="0.35">
      <c r="G107" s="1"/>
      <c r="H107" s="1"/>
    </row>
    <row r="108" spans="1:11" x14ac:dyDescent="0.35">
      <c r="A108" s="1" t="s">
        <v>174</v>
      </c>
      <c r="B108" s="1" t="s">
        <v>175</v>
      </c>
      <c r="C108" s="1" t="s">
        <v>1219</v>
      </c>
      <c r="D108" s="1" t="s">
        <v>16</v>
      </c>
      <c r="E108" s="1" t="s">
        <v>16</v>
      </c>
      <c r="F108" s="1" t="s">
        <v>702</v>
      </c>
      <c r="G108" s="97" t="str">
        <f>VLOOKUP(B108,'[1]Data Email Anggota'!C$2:F$366,4,FALSE)</f>
        <v>nurul.huda@bki.co.id</v>
      </c>
      <c r="H108" s="97" t="s">
        <v>1206</v>
      </c>
      <c r="I108" s="2">
        <f>VLOOKUP(B108,'[2]REKAP POTONGAN'!B$6:D$93,3,FALSE)</f>
        <v>150000</v>
      </c>
      <c r="J108" s="2">
        <f>VLOOKUP(B108,'[2]REKAP POTONGAN'!B$6:C$93,2,FALSE)</f>
        <v>0</v>
      </c>
      <c r="K108" s="25"/>
    </row>
    <row r="109" spans="1:11" x14ac:dyDescent="0.35">
      <c r="A109" s="1" t="s">
        <v>176</v>
      </c>
      <c r="B109" s="1" t="s">
        <v>177</v>
      </c>
      <c r="C109" s="1" t="s">
        <v>1219</v>
      </c>
      <c r="D109" s="1" t="s">
        <v>12</v>
      </c>
      <c r="E109" s="1" t="s">
        <v>16</v>
      </c>
      <c r="F109" s="1" t="s">
        <v>728</v>
      </c>
      <c r="G109" s="97" t="str">
        <f>VLOOKUP(B109,'[1]Data Email Anggota'!C$2:F$366,4,FALSE)</f>
        <v>teguh@bki.co.id</v>
      </c>
      <c r="H109" s="97" t="s">
        <v>1206</v>
      </c>
      <c r="I109" s="2">
        <f>VLOOKUP(B109,'[2]REKAP POTONGAN'!B$6:D$93,3,FALSE)</f>
        <v>250000</v>
      </c>
      <c r="J109" s="2">
        <f>VLOOKUP(B109,'[2]REKAP POTONGAN'!B$6:C$93,2,FALSE)</f>
        <v>0</v>
      </c>
      <c r="K109" s="25"/>
    </row>
    <row r="110" spans="1:11" hidden="1" x14ac:dyDescent="0.35">
      <c r="G110" s="1"/>
      <c r="H110" s="1"/>
    </row>
    <row r="111" spans="1:11" x14ac:dyDescent="0.35">
      <c r="A111" s="1" t="s">
        <v>178</v>
      </c>
      <c r="B111" s="1" t="s">
        <v>179</v>
      </c>
      <c r="C111" s="1" t="s">
        <v>1219</v>
      </c>
      <c r="D111" s="1" t="s">
        <v>16</v>
      </c>
      <c r="E111" s="1" t="s">
        <v>16</v>
      </c>
      <c r="F111" s="1" t="s">
        <v>700</v>
      </c>
      <c r="G111" s="97" t="str">
        <f>VLOOKUP(B111,'[1]Data Email Anggota'!C$2:F$366,4,FALSE)</f>
        <v>ridwan.af@bki.co.id</v>
      </c>
      <c r="H111" s="97" t="s">
        <v>1206</v>
      </c>
      <c r="I111" s="2">
        <f>VLOOKUP(B111,'[2]REKAP POTONGAN'!B$6:D$93,3,FALSE)</f>
        <v>150000</v>
      </c>
      <c r="J111" s="2">
        <f>VLOOKUP(B111,'[2]REKAP POTONGAN'!B$6:C$93,2,FALSE)</f>
        <v>0</v>
      </c>
      <c r="K111" s="25"/>
    </row>
    <row r="112" spans="1:11" x14ac:dyDescent="0.35">
      <c r="A112" s="1" t="s">
        <v>180</v>
      </c>
      <c r="B112" s="1" t="s">
        <v>181</v>
      </c>
      <c r="C112" s="1" t="s">
        <v>1219</v>
      </c>
      <c r="D112" s="1" t="s">
        <v>15</v>
      </c>
      <c r="E112" s="1" t="s">
        <v>15</v>
      </c>
      <c r="F112" s="1" t="s">
        <v>696</v>
      </c>
      <c r="G112" s="97" t="str">
        <f>VLOOKUP(B112,'[1]Data Email Anggota'!C$2:F$366,4,FALSE)</f>
        <v>bayu.rista@bki.co.id</v>
      </c>
      <c r="H112" s="97" t="s">
        <v>1206</v>
      </c>
      <c r="I112" s="2">
        <f>VLOOKUP(B112,'[2]REKAP POTONGAN'!B$6:D$93,3,FALSE)</f>
        <v>150000</v>
      </c>
      <c r="J112" s="2">
        <f>VLOOKUP(B112,'[2]REKAP POTONGAN'!B$6:C$93,2,FALSE)</f>
        <v>0</v>
      </c>
      <c r="K112" s="25"/>
    </row>
    <row r="113" spans="1:11" hidden="1" x14ac:dyDescent="0.35">
      <c r="G113" s="1"/>
      <c r="H113" s="1"/>
    </row>
    <row r="114" spans="1:11" hidden="1" x14ac:dyDescent="0.35">
      <c r="G114" s="1"/>
      <c r="H114" s="1"/>
    </row>
    <row r="115" spans="1:11" hidden="1" x14ac:dyDescent="0.35">
      <c r="G115" s="1"/>
      <c r="H115" s="1"/>
    </row>
    <row r="116" spans="1:11" hidden="1" x14ac:dyDescent="0.35">
      <c r="G116" s="1"/>
      <c r="H116" s="1"/>
    </row>
    <row r="117" spans="1:11" hidden="1" x14ac:dyDescent="0.35">
      <c r="G117" s="1"/>
      <c r="H117" s="1"/>
    </row>
    <row r="118" spans="1:11" hidden="1" x14ac:dyDescent="0.35">
      <c r="G118" s="1"/>
      <c r="H118" s="1"/>
    </row>
    <row r="119" spans="1:11" hidden="1" x14ac:dyDescent="0.35">
      <c r="G119" s="1"/>
      <c r="H119" s="1"/>
    </row>
    <row r="120" spans="1:11" hidden="1" x14ac:dyDescent="0.35">
      <c r="G120" s="1"/>
      <c r="H120" s="1"/>
    </row>
    <row r="121" spans="1:11" x14ac:dyDescent="0.35">
      <c r="A121" s="1" t="s">
        <v>182</v>
      </c>
      <c r="B121" s="1" t="s">
        <v>183</v>
      </c>
      <c r="C121" s="1" t="s">
        <v>1219</v>
      </c>
      <c r="D121" s="1" t="s">
        <v>148</v>
      </c>
      <c r="E121" s="1" t="s">
        <v>148</v>
      </c>
      <c r="F121" s="1" t="s">
        <v>696</v>
      </c>
      <c r="G121" s="97" t="str">
        <f>VLOOKUP(B121,'[1]Data Email Anggota'!C$2:F$366,4,FALSE)</f>
        <v>muhamad.baqi@bki.co.id</v>
      </c>
      <c r="H121" s="97" t="s">
        <v>1206</v>
      </c>
      <c r="I121" s="2">
        <f>VLOOKUP(B121,'[6]DAFTAR (No Tittle)'!B$8:C$18,2,FALSE)</f>
        <v>250000</v>
      </c>
      <c r="J121" s="2">
        <f>VLOOKUP(B121,'[6]DAFTAR (No Tittle)'!B$8:D$18,3,FALSE)</f>
        <v>0</v>
      </c>
      <c r="K121" s="25"/>
    </row>
    <row r="122" spans="1:11" x14ac:dyDescent="0.35">
      <c r="A122" s="1" t="s">
        <v>184</v>
      </c>
      <c r="B122" s="1" t="s">
        <v>185</v>
      </c>
      <c r="C122" s="1" t="s">
        <v>1219</v>
      </c>
      <c r="D122" s="1" t="s">
        <v>4</v>
      </c>
      <c r="E122" s="1" t="s">
        <v>4</v>
      </c>
      <c r="F122" s="1" t="s">
        <v>696</v>
      </c>
      <c r="G122" s="97" t="str">
        <f>VLOOKUP(B122,'[1]Data Email Anggota'!C$2:F$366,4,FALSE)</f>
        <v>fauzi@bki.co.id</v>
      </c>
      <c r="H122" s="97" t="s">
        <v>1206</v>
      </c>
      <c r="I122" s="2">
        <f>VLOOKUP(B122,'[2]REKAP POTONGAN'!B$6:D$93,3,FALSE)</f>
        <v>250000</v>
      </c>
      <c r="J122" s="2">
        <f>VLOOKUP(B122,'[2]REKAP POTONGAN'!B$6:C$93,2,FALSE)</f>
        <v>5373476</v>
      </c>
      <c r="K122" s="25"/>
    </row>
    <row r="123" spans="1:11" hidden="1" x14ac:dyDescent="0.35">
      <c r="G123" s="1"/>
      <c r="H123" s="1"/>
    </row>
    <row r="124" spans="1:11" x14ac:dyDescent="0.35">
      <c r="A124" s="1" t="s">
        <v>186</v>
      </c>
      <c r="B124" s="1" t="s">
        <v>187</v>
      </c>
      <c r="C124" s="1" t="s">
        <v>1219</v>
      </c>
      <c r="D124" s="1" t="s">
        <v>148</v>
      </c>
      <c r="E124" s="1" t="s">
        <v>148</v>
      </c>
      <c r="F124" s="1" t="s">
        <v>698</v>
      </c>
      <c r="G124" s="97" t="str">
        <f>VLOOKUP(B124,'[1]Data Email Anggota'!C$2:F$366,4,FALSE)</f>
        <v>soleh.abidin@bki.co.id</v>
      </c>
      <c r="H124" s="97" t="str">
        <f>VLOOKUP(B124,[3]SHU!C$8:L$377,10,FALSE)</f>
        <v>AKTIF</v>
      </c>
      <c r="I124" s="2">
        <f>VLOOKUP(B124,'[6]DAFTAR (No Tittle)'!B$8:C$18,2,FALSE)</f>
        <v>150000</v>
      </c>
      <c r="J124" s="2">
        <f>VLOOKUP(B124,'[6]DAFTAR (No Tittle)'!B$8:D$18,3,FALSE)</f>
        <v>7597381</v>
      </c>
      <c r="K124" s="25"/>
    </row>
    <row r="125" spans="1:11" hidden="1" x14ac:dyDescent="0.35">
      <c r="G125" s="1"/>
      <c r="H125" s="1"/>
    </row>
    <row r="126" spans="1:11" x14ac:dyDescent="0.35">
      <c r="A126" s="1" t="s">
        <v>188</v>
      </c>
      <c r="B126" s="1" t="s">
        <v>189</v>
      </c>
      <c r="C126" s="1" t="s">
        <v>1219</v>
      </c>
      <c r="D126" s="1" t="s">
        <v>148</v>
      </c>
      <c r="E126" s="1" t="s">
        <v>148</v>
      </c>
      <c r="F126" s="1" t="s">
        <v>698</v>
      </c>
      <c r="G126" s="97" t="str">
        <f>VLOOKUP(B126,'[1]Data Email Anggota'!C$2:F$366,4,FALSE)</f>
        <v>kurnaefi@bki.co.id</v>
      </c>
      <c r="H126" s="97" t="s">
        <v>1206</v>
      </c>
      <c r="I126" s="2">
        <f>VLOOKUP(B126,'[6]DAFTAR (No Tittle)'!B$8:C$18,2,FALSE)</f>
        <v>150000</v>
      </c>
      <c r="J126" s="2">
        <f>VLOOKUP(B126,'[6]DAFTAR (No Tittle)'!B$8:D$18,3,FALSE)</f>
        <v>0</v>
      </c>
      <c r="K126" s="25"/>
    </row>
    <row r="127" spans="1:11" x14ac:dyDescent="0.35">
      <c r="A127" s="1" t="s">
        <v>190</v>
      </c>
      <c r="B127" s="1" t="s">
        <v>191</v>
      </c>
      <c r="C127" s="1" t="s">
        <v>1219</v>
      </c>
      <c r="D127" s="1" t="s">
        <v>148</v>
      </c>
      <c r="E127" s="1" t="s">
        <v>148</v>
      </c>
      <c r="F127" s="1" t="s">
        <v>720</v>
      </c>
      <c r="G127" s="97" t="str">
        <f>VLOOKUP(B127,'[1]Data Email Anggota'!C$2:F$366,4,FALSE)</f>
        <v>toni@bki.co.id</v>
      </c>
      <c r="H127" s="97" t="s">
        <v>1206</v>
      </c>
      <c r="I127" s="2">
        <f>VLOOKUP(B127,'[6]DAFTAR (No Tittle)'!B$8:C$18,2,FALSE)</f>
        <v>150000</v>
      </c>
      <c r="J127" s="2">
        <f>VLOOKUP(B127,'[6]DAFTAR (No Tittle)'!B$8:D$18,3,FALSE)</f>
        <v>0</v>
      </c>
      <c r="K127" s="25"/>
    </row>
    <row r="128" spans="1:11" x14ac:dyDescent="0.35">
      <c r="A128" s="1" t="s">
        <v>192</v>
      </c>
      <c r="B128" s="1" t="s">
        <v>193</v>
      </c>
      <c r="C128" s="1" t="s">
        <v>1219</v>
      </c>
      <c r="D128" s="1" t="s">
        <v>148</v>
      </c>
      <c r="E128" s="1" t="s">
        <v>148</v>
      </c>
      <c r="F128" s="1" t="s">
        <v>700</v>
      </c>
      <c r="G128" s="97" t="str">
        <f>VLOOKUP(B128,'[1]Data Email Anggota'!C$2:F$366,4,FALSE)</f>
        <v>hardi@bki.co.id</v>
      </c>
      <c r="H128" s="97" t="s">
        <v>1206</v>
      </c>
      <c r="I128" s="2">
        <f>VLOOKUP(B128,'[6]DAFTAR (No Tittle)'!B$8:C$18,2,FALSE)</f>
        <v>150000</v>
      </c>
      <c r="J128" s="2">
        <f>VLOOKUP(B128,'[6]DAFTAR (No Tittle)'!B$8:D$18,3,FALSE)</f>
        <v>0</v>
      </c>
      <c r="K128" s="25"/>
    </row>
    <row r="129" spans="1:12" hidden="1" x14ac:dyDescent="0.35">
      <c r="G129" s="1"/>
      <c r="H129" s="1"/>
    </row>
    <row r="130" spans="1:12" x14ac:dyDescent="0.35">
      <c r="A130" s="1" t="s">
        <v>194</v>
      </c>
      <c r="B130" s="1" t="s">
        <v>195</v>
      </c>
      <c r="C130" s="1" t="s">
        <v>1219</v>
      </c>
      <c r="D130" s="1" t="s">
        <v>148</v>
      </c>
      <c r="E130" s="1" t="s">
        <v>148</v>
      </c>
      <c r="F130" s="1" t="s">
        <v>698</v>
      </c>
      <c r="G130" s="97" t="str">
        <f>VLOOKUP(B130,'[1]Data Email Anggota'!C$2:F$366,4,FALSE)</f>
        <v>indra.permana@bki.co.id</v>
      </c>
      <c r="H130" s="97" t="str">
        <f>VLOOKUP(B130,[3]SHU!C$8:L$377,10,FALSE)</f>
        <v>AKTIF</v>
      </c>
      <c r="I130" s="2">
        <f>VLOOKUP(B130,'[6]DAFTAR (No Tittle)'!B$8:C$18,2,FALSE)</f>
        <v>150000</v>
      </c>
      <c r="J130" s="2">
        <f>VLOOKUP(B130,'[6]DAFTAR (No Tittle)'!B$8:D$18,3,FALSE)</f>
        <v>8671513</v>
      </c>
      <c r="K130" s="25"/>
    </row>
    <row r="131" spans="1:12" x14ac:dyDescent="0.35">
      <c r="A131" s="1" t="s">
        <v>196</v>
      </c>
      <c r="B131" s="1" t="s">
        <v>197</v>
      </c>
      <c r="C131" s="1" t="s">
        <v>1219</v>
      </c>
      <c r="D131" s="1" t="s">
        <v>148</v>
      </c>
      <c r="E131" s="1" t="s">
        <v>148</v>
      </c>
      <c r="F131" s="1" t="s">
        <v>730</v>
      </c>
      <c r="G131" s="97" t="str">
        <f>VLOOKUP(B131,'[1]Data Email Anggota'!C$2:F$366,4,FALSE)</f>
        <v>roni.ws@bki.co.id</v>
      </c>
      <c r="H131" s="97" t="s">
        <v>1206</v>
      </c>
      <c r="I131" s="2">
        <f>VLOOKUP(B131,'[6]DAFTAR (No Tittle)'!B$8:C$18,2,FALSE)</f>
        <v>150000</v>
      </c>
      <c r="J131" s="2">
        <f>VLOOKUP(B131,'[6]DAFTAR (No Tittle)'!B$8:D$18,3,FALSE)</f>
        <v>0</v>
      </c>
      <c r="K131" s="25"/>
    </row>
    <row r="132" spans="1:12" x14ac:dyDescent="0.35">
      <c r="A132" s="1" t="s">
        <v>198</v>
      </c>
      <c r="B132" s="1" t="s">
        <v>199</v>
      </c>
      <c r="C132" s="1" t="s">
        <v>1219</v>
      </c>
      <c r="D132" s="1" t="s">
        <v>148</v>
      </c>
      <c r="E132" s="1" t="s">
        <v>148</v>
      </c>
      <c r="F132" s="1" t="s">
        <v>731</v>
      </c>
      <c r="G132" s="97" t="str">
        <f>VLOOKUP(B132,'[1]Data Email Anggota'!C$2:F$366,4,FALSE)</f>
        <v>idi@bki.co.id</v>
      </c>
      <c r="H132" s="97" t="s">
        <v>1206</v>
      </c>
      <c r="I132" s="2">
        <f>VLOOKUP(B132,'[6]DAFTAR (No Tittle)'!B$8:C$18,2,FALSE)</f>
        <v>500000</v>
      </c>
      <c r="J132" s="2">
        <f>VLOOKUP(B132,'[6]DAFTAR (No Tittle)'!B$8:D$18,3,FALSE)</f>
        <v>0</v>
      </c>
      <c r="K132" s="25"/>
    </row>
    <row r="133" spans="1:12" hidden="1" x14ac:dyDescent="0.35">
      <c r="G133" s="1"/>
      <c r="H133" s="1"/>
    </row>
    <row r="134" spans="1:12" hidden="1" x14ac:dyDescent="0.35">
      <c r="G134" s="1"/>
      <c r="H134" s="1"/>
    </row>
    <row r="135" spans="1:12" hidden="1" x14ac:dyDescent="0.35">
      <c r="G135" s="1"/>
      <c r="H135" s="1"/>
    </row>
    <row r="136" spans="1:12" x14ac:dyDescent="0.35">
      <c r="A136" s="1" t="s">
        <v>200</v>
      </c>
      <c r="B136" s="1" t="s">
        <v>201</v>
      </c>
      <c r="C136" s="1" t="s">
        <v>1219</v>
      </c>
      <c r="D136" s="1" t="s">
        <v>148</v>
      </c>
      <c r="E136" s="1" t="s">
        <v>148</v>
      </c>
      <c r="F136" s="1" t="s">
        <v>700</v>
      </c>
      <c r="G136" s="97" t="str">
        <f>VLOOKUP(B136,'[1]Data Email Anggota'!C$2:F$366,4,FALSE)</f>
        <v>narso@bki.co.id</v>
      </c>
      <c r="H136" s="97" t="s">
        <v>1206</v>
      </c>
      <c r="I136" s="2">
        <f>VLOOKUP(B136,'[6]DAFTAR (No Tittle)'!B$8:C$18,2,FALSE)</f>
        <v>250000</v>
      </c>
      <c r="J136" s="2">
        <f>VLOOKUP(B136,'[6]DAFTAR (No Tittle)'!B$8:D$18,3,FALSE)</f>
        <v>0</v>
      </c>
      <c r="K136" s="25"/>
    </row>
    <row r="137" spans="1:12" x14ac:dyDescent="0.35">
      <c r="A137" s="1" t="s">
        <v>202</v>
      </c>
      <c r="B137" s="1" t="s">
        <v>203</v>
      </c>
      <c r="C137" s="1" t="s">
        <v>1219</v>
      </c>
      <c r="D137" s="1" t="s">
        <v>148</v>
      </c>
      <c r="E137" s="1" t="s">
        <v>148</v>
      </c>
      <c r="F137" s="1" t="s">
        <v>701</v>
      </c>
      <c r="G137" s="97" t="str">
        <f>VLOOKUP(B137,'[1]Data Email Anggota'!C$2:F$366,4,FALSE)</f>
        <v>wildanis.abror@bki.co.id</v>
      </c>
      <c r="H137" s="97" t="s">
        <v>1206</v>
      </c>
      <c r="I137" s="2">
        <f>VLOOKUP(B137,'[6]DAFTAR (No Tittle)'!B$8:C$18,2,FALSE)</f>
        <v>150000</v>
      </c>
      <c r="J137" s="2">
        <f>VLOOKUP(B137,'[6]DAFTAR (No Tittle)'!B$8:D$18,3,FALSE)</f>
        <v>0</v>
      </c>
      <c r="K137" s="25"/>
    </row>
    <row r="138" spans="1:12" x14ac:dyDescent="0.35">
      <c r="A138" s="1" t="s">
        <v>204</v>
      </c>
      <c r="B138" s="1" t="s">
        <v>205</v>
      </c>
      <c r="C138" s="1" t="s">
        <v>1219</v>
      </c>
      <c r="D138" s="1" t="s">
        <v>107</v>
      </c>
      <c r="E138" s="1" t="s">
        <v>107</v>
      </c>
      <c r="F138" s="1" t="s">
        <v>732</v>
      </c>
      <c r="G138" s="97" t="str">
        <f>VLOOKUP(B138,'[1]Data Email Anggota'!C$2:F$366,4,FALSE)</f>
        <v>farhan.abdul@bki.co.id</v>
      </c>
      <c r="H138" s="97" t="str">
        <f>VLOOKUP(B138,[3]SHU!C$8:L$377,10,FALSE)</f>
        <v>AKTIF</v>
      </c>
      <c r="I138" s="2">
        <f>VLOOKUP(B138,[4]Sheet1!B$2:I$773,8,FALSE)</f>
        <v>100000</v>
      </c>
      <c r="J138" s="2">
        <v>0</v>
      </c>
      <c r="K138" s="25"/>
      <c r="L138">
        <v>0</v>
      </c>
    </row>
    <row r="139" spans="1:12" hidden="1" x14ac:dyDescent="0.35">
      <c r="G139" s="1"/>
      <c r="H139" s="1"/>
    </row>
    <row r="140" spans="1:12" x14ac:dyDescent="0.35">
      <c r="A140" s="1" t="s">
        <v>206</v>
      </c>
      <c r="B140" s="1" t="s">
        <v>207</v>
      </c>
      <c r="C140" s="1" t="s">
        <v>1219</v>
      </c>
      <c r="D140" s="1" t="s">
        <v>107</v>
      </c>
      <c r="E140" s="1" t="s">
        <v>107</v>
      </c>
      <c r="F140" s="1" t="s">
        <v>734</v>
      </c>
      <c r="G140" s="97" t="str">
        <f>VLOOKUP(B140,'[1]Data Email Anggota'!C$2:F$366,4,FALSE)</f>
        <v>sutrisno@bki.co.id</v>
      </c>
      <c r="H140" s="97" t="str">
        <f>VLOOKUP(B140,[3]SHU!C$8:L$377,10,FALSE)</f>
        <v>AKTIF</v>
      </c>
      <c r="I140" s="2">
        <f>VLOOKUP(B140,[4]Sheet1!B$2:I$773,8,FALSE)</f>
        <v>150000</v>
      </c>
      <c r="J140" s="2">
        <v>0</v>
      </c>
      <c r="K140" s="25"/>
    </row>
    <row r="141" spans="1:12" hidden="1" x14ac:dyDescent="0.35">
      <c r="G141" s="1"/>
      <c r="H141" s="1"/>
    </row>
    <row r="142" spans="1:12" x14ac:dyDescent="0.35">
      <c r="A142" s="1" t="s">
        <v>208</v>
      </c>
      <c r="B142" s="1" t="s">
        <v>209</v>
      </c>
      <c r="C142" s="1" t="s">
        <v>1219</v>
      </c>
      <c r="D142" s="1" t="s">
        <v>210</v>
      </c>
      <c r="E142" s="1" t="s">
        <v>210</v>
      </c>
      <c r="F142" s="1" t="s">
        <v>735</v>
      </c>
      <c r="G142" s="97" t="str">
        <f>VLOOKUP(B142,'[1]Data Email Anggota'!C$2:F$366,4,FALSE)</f>
        <v>rasyid.alimuddin@bki.co.id</v>
      </c>
      <c r="H142" s="97" t="str">
        <f>VLOOKUP(B142,[3]SHU!C$8:L$377,10,FALSE)</f>
        <v>AKTIF</v>
      </c>
      <c r="I142" s="2">
        <f>VLOOKUP(B142,'[2]REKAP POTONGAN'!B$6:D$93,3,FALSE)</f>
        <v>250000</v>
      </c>
      <c r="J142" s="2">
        <f>VLOOKUP(B142,'[2]REKAP POTONGAN'!B$6:C$93,2,FALSE)</f>
        <v>0</v>
      </c>
      <c r="K142" s="25"/>
    </row>
    <row r="143" spans="1:12" x14ac:dyDescent="0.35">
      <c r="A143" s="1" t="s">
        <v>211</v>
      </c>
      <c r="B143" s="1" t="s">
        <v>212</v>
      </c>
      <c r="C143" s="1" t="s">
        <v>1219</v>
      </c>
      <c r="D143" s="1" t="s">
        <v>210</v>
      </c>
      <c r="E143" s="1" t="s">
        <v>210</v>
      </c>
      <c r="F143" s="1" t="s">
        <v>736</v>
      </c>
      <c r="G143" s="97" t="str">
        <f>VLOOKUP(B143,'[1]Data Email Anggota'!C$2:F$366,4,FALSE)</f>
        <v>joko.utomo@bki.co.id</v>
      </c>
      <c r="H143" s="97" t="s">
        <v>1206</v>
      </c>
      <c r="I143" s="2">
        <f>VLOOKUP(B143,'[2]REKAP POTONGAN'!B$6:D$93,3,FALSE)</f>
        <v>250000</v>
      </c>
      <c r="J143" s="2">
        <f>VLOOKUP(B143,'[2]REKAP POTONGAN'!B$6:C$93,2,FALSE)</f>
        <v>4895833</v>
      </c>
      <c r="K143" s="25"/>
    </row>
    <row r="144" spans="1:12" hidden="1" x14ac:dyDescent="0.35">
      <c r="G144" s="1"/>
      <c r="H144" s="1"/>
    </row>
    <row r="145" spans="1:11" hidden="1" x14ac:dyDescent="0.35">
      <c r="G145" s="1"/>
      <c r="H145" s="1"/>
    </row>
    <row r="146" spans="1:11" hidden="1" x14ac:dyDescent="0.35">
      <c r="G146" s="1"/>
      <c r="H146" s="1"/>
    </row>
    <row r="147" spans="1:11" hidden="1" x14ac:dyDescent="0.35">
      <c r="G147" s="1"/>
      <c r="H147" s="1"/>
    </row>
    <row r="148" spans="1:11" hidden="1" x14ac:dyDescent="0.35">
      <c r="G148" s="1"/>
      <c r="H148" s="1"/>
    </row>
    <row r="149" spans="1:11" hidden="1" x14ac:dyDescent="0.35">
      <c r="G149" s="1"/>
      <c r="H149" s="1"/>
    </row>
    <row r="150" spans="1:11" hidden="1" x14ac:dyDescent="0.35">
      <c r="G150" s="1"/>
      <c r="H150" s="1"/>
    </row>
    <row r="151" spans="1:11" hidden="1" x14ac:dyDescent="0.35">
      <c r="G151" s="1"/>
      <c r="H151" s="1"/>
    </row>
    <row r="152" spans="1:11" hidden="1" x14ac:dyDescent="0.35">
      <c r="G152" s="1"/>
      <c r="H152" s="1"/>
    </row>
    <row r="153" spans="1:11" hidden="1" x14ac:dyDescent="0.35">
      <c r="G153" s="1"/>
      <c r="H153" s="1"/>
    </row>
    <row r="154" spans="1:11" hidden="1" x14ac:dyDescent="0.35">
      <c r="G154" s="1"/>
      <c r="H154" s="1"/>
    </row>
    <row r="155" spans="1:11" hidden="1" x14ac:dyDescent="0.35">
      <c r="G155" s="1"/>
      <c r="H155" s="1"/>
    </row>
    <row r="156" spans="1:11" hidden="1" x14ac:dyDescent="0.35">
      <c r="G156" s="1"/>
      <c r="H156" s="1"/>
    </row>
    <row r="157" spans="1:11" x14ac:dyDescent="0.35">
      <c r="A157" s="1" t="s">
        <v>213</v>
      </c>
      <c r="B157" s="1" t="s">
        <v>214</v>
      </c>
      <c r="C157" s="1" t="s">
        <v>1219</v>
      </c>
      <c r="D157" s="1" t="s">
        <v>210</v>
      </c>
      <c r="E157" s="1" t="s">
        <v>210</v>
      </c>
      <c r="F157" s="1" t="s">
        <v>724</v>
      </c>
      <c r="G157" s="97" t="str">
        <f>VLOOKUP(B157,'[1]Data Email Anggota'!C$2:F$366,4,FALSE)</f>
        <v>ratna.damayanti@bki.co.id</v>
      </c>
      <c r="H157" s="97" t="str">
        <f>VLOOKUP(B157,[3]SHU!C$8:L$377,10,FALSE)</f>
        <v>AKTIF</v>
      </c>
      <c r="I157" s="2">
        <f>VLOOKUP(B157,'[2]REKAP POTONGAN'!B$6:D$93,3,FALSE)</f>
        <v>250000</v>
      </c>
      <c r="J157" s="2">
        <f>VLOOKUP(B157,'[2]REKAP POTONGAN'!B$6:C$93,2,FALSE)</f>
        <v>0</v>
      </c>
      <c r="K157" s="25"/>
    </row>
    <row r="158" spans="1:11" hidden="1" x14ac:dyDescent="0.35">
      <c r="G158" s="1"/>
      <c r="H158" s="1"/>
    </row>
    <row r="159" spans="1:11" x14ac:dyDescent="0.35">
      <c r="A159" s="1" t="s">
        <v>215</v>
      </c>
      <c r="B159" s="1" t="s">
        <v>216</v>
      </c>
      <c r="C159" s="1" t="s">
        <v>1219</v>
      </c>
      <c r="D159" s="1" t="s">
        <v>210</v>
      </c>
      <c r="E159" s="1" t="s">
        <v>210</v>
      </c>
      <c r="F159" s="1" t="s">
        <v>707</v>
      </c>
      <c r="G159" s="97" t="str">
        <f>VLOOKUP(B159,'[1]Data Email Anggota'!C$2:F$366,4,FALSE)</f>
        <v>sudaryono@bki.co.id</v>
      </c>
      <c r="H159" s="97" t="str">
        <f>VLOOKUP(B159,[3]SHU!C$8:L$377,10,FALSE)</f>
        <v>AKTIF</v>
      </c>
      <c r="I159" s="2">
        <f>VLOOKUP(B159,'[2]REKAP POTONGAN'!B$6:D$93,3,FALSE)</f>
        <v>150000</v>
      </c>
      <c r="J159" s="2">
        <f>VLOOKUP(B159,'[2]REKAP POTONGAN'!B$6:C$93,2,FALSE)</f>
        <v>0</v>
      </c>
      <c r="K159" s="25"/>
    </row>
    <row r="160" spans="1:11" x14ac:dyDescent="0.35">
      <c r="A160" s="1" t="s">
        <v>217</v>
      </c>
      <c r="B160" s="1" t="s">
        <v>218</v>
      </c>
      <c r="C160" s="1" t="s">
        <v>1219</v>
      </c>
      <c r="D160" s="1" t="s">
        <v>210</v>
      </c>
      <c r="E160" s="1" t="s">
        <v>210</v>
      </c>
      <c r="F160" s="1" t="s">
        <v>737</v>
      </c>
      <c r="G160" s="97" t="str">
        <f>VLOOKUP(B160,'[1]Data Email Anggota'!C$2:F$366,4,FALSE)</f>
        <v>adnan@bki.co.id</v>
      </c>
      <c r="H160" s="97" t="str">
        <f>VLOOKUP(B160,[3]SHU!C$8:L$377,10,FALSE)</f>
        <v>AKTIF</v>
      </c>
      <c r="I160" s="2">
        <f>VLOOKUP(B160,'[2]REKAP POTONGAN'!B$6:D$93,3,FALSE)</f>
        <v>150000</v>
      </c>
      <c r="J160" s="2">
        <f>VLOOKUP(B160,'[2]REKAP POTONGAN'!B$6:C$93,2,FALSE)</f>
        <v>0</v>
      </c>
      <c r="K160" s="25"/>
    </row>
    <row r="161" spans="1:11" hidden="1" x14ac:dyDescent="0.35">
      <c r="G161" s="1"/>
      <c r="H161" s="1"/>
    </row>
    <row r="162" spans="1:11" hidden="1" x14ac:dyDescent="0.35">
      <c r="G162" s="1"/>
      <c r="H162" s="1"/>
    </row>
    <row r="163" spans="1:11" hidden="1" x14ac:dyDescent="0.35">
      <c r="G163" s="1"/>
      <c r="H163" s="1"/>
    </row>
    <row r="164" spans="1:11" hidden="1" x14ac:dyDescent="0.35">
      <c r="G164" s="1"/>
      <c r="H164" s="1"/>
    </row>
    <row r="165" spans="1:11" hidden="1" x14ac:dyDescent="0.35">
      <c r="G165" s="1"/>
      <c r="H165" s="1"/>
    </row>
    <row r="166" spans="1:11" hidden="1" x14ac:dyDescent="0.35">
      <c r="G166" s="1"/>
      <c r="H166" s="1"/>
    </row>
    <row r="167" spans="1:11" hidden="1" x14ac:dyDescent="0.35">
      <c r="G167" s="1"/>
      <c r="H167" s="1"/>
    </row>
    <row r="168" spans="1:11" x14ac:dyDescent="0.35">
      <c r="A168" s="1" t="s">
        <v>219</v>
      </c>
      <c r="B168" s="1" t="s">
        <v>220</v>
      </c>
      <c r="C168" s="1" t="s">
        <v>1219</v>
      </c>
      <c r="D168" s="1" t="s">
        <v>210</v>
      </c>
      <c r="E168" s="1" t="s">
        <v>210</v>
      </c>
      <c r="F168" s="1" t="s">
        <v>738</v>
      </c>
      <c r="G168" s="97" t="str">
        <f>VLOOKUP(B168,'[1]Data Email Anggota'!C$2:F$366,4,FALSE)</f>
        <v>bramanti.psp@bki.co.id</v>
      </c>
      <c r="H168" s="97" t="s">
        <v>1206</v>
      </c>
      <c r="I168" s="2">
        <f>VLOOKUP(B168,'[2]REKAP POTONGAN'!B$6:D$93,3,FALSE)</f>
        <v>100000</v>
      </c>
      <c r="J168" s="2">
        <f>VLOOKUP(B168,'[2]REKAP POTONGAN'!B$6:C$93,2,FALSE)</f>
        <v>0</v>
      </c>
      <c r="K168" s="25"/>
    </row>
    <row r="169" spans="1:11" hidden="1" x14ac:dyDescent="0.35">
      <c r="G169" s="1"/>
      <c r="H169" s="1"/>
    </row>
    <row r="170" spans="1:11" hidden="1" x14ac:dyDescent="0.35">
      <c r="G170" s="1"/>
      <c r="H170" s="1"/>
    </row>
    <row r="171" spans="1:11" hidden="1" x14ac:dyDescent="0.35">
      <c r="G171" s="1"/>
      <c r="H171" s="1"/>
    </row>
    <row r="172" spans="1:11" x14ac:dyDescent="0.35">
      <c r="A172" s="1" t="s">
        <v>222</v>
      </c>
      <c r="B172" s="1" t="s">
        <v>223</v>
      </c>
      <c r="C172" s="1" t="s">
        <v>950</v>
      </c>
      <c r="D172" s="1" t="s">
        <v>221</v>
      </c>
      <c r="E172" s="1" t="s">
        <v>221</v>
      </c>
      <c r="F172" s="1" t="s">
        <v>739</v>
      </c>
      <c r="G172" s="97" t="str">
        <f>VLOOKUP(B172,'[1]Data Email Anggota'!C$2:F$366,4,FALSE)</f>
        <v>aldicio.ws@bki.co.id</v>
      </c>
      <c r="H172" s="97" t="str">
        <f>VLOOKUP(B172,[3]SHU!C$8:L$377,10,FALSE)</f>
        <v>AKTIF</v>
      </c>
      <c r="I172" s="2">
        <f>VLOOKUP(B172,[4]Sheet1!B$2:I$773,8,FALSE)</f>
        <v>150000</v>
      </c>
      <c r="J172" s="2">
        <f>VLOOKUP(B172,'[5]DAFTAR ALL'!B$8:D$68,3,FALSE)</f>
        <v>1531250</v>
      </c>
      <c r="K172" s="25"/>
    </row>
    <row r="173" spans="1:11" hidden="1" x14ac:dyDescent="0.35">
      <c r="G173" s="1"/>
      <c r="H173" s="1"/>
    </row>
    <row r="174" spans="1:11" x14ac:dyDescent="0.35">
      <c r="A174" s="1" t="s">
        <v>224</v>
      </c>
      <c r="B174" s="1" t="s">
        <v>225</v>
      </c>
      <c r="C174" s="1" t="s">
        <v>1219</v>
      </c>
      <c r="D174" s="1" t="s">
        <v>12</v>
      </c>
      <c r="E174" s="1" t="s">
        <v>12</v>
      </c>
      <c r="F174" s="1" t="s">
        <v>740</v>
      </c>
      <c r="G174" s="97" t="str">
        <f>VLOOKUP(B174,'[1]Data Email Anggota'!C$2:F$366,4,FALSE)</f>
        <v>faishal.labib@bki.co.id</v>
      </c>
      <c r="H174" s="97" t="str">
        <f>VLOOKUP(B174,[3]SHU!C$8:L$377,10,FALSE)</f>
        <v>AKTIF</v>
      </c>
      <c r="I174" s="2">
        <f>VLOOKUP(B174,[4]Sheet1!B$2:I$773,8,FALSE)</f>
        <v>150000</v>
      </c>
      <c r="J174" s="2">
        <v>0</v>
      </c>
      <c r="K174" s="25"/>
    </row>
    <row r="175" spans="1:11" hidden="1" x14ac:dyDescent="0.35">
      <c r="G175" s="1"/>
      <c r="H175" s="1"/>
    </row>
    <row r="176" spans="1:11" x14ac:dyDescent="0.35">
      <c r="A176" s="21" t="s">
        <v>226</v>
      </c>
      <c r="B176" s="21" t="s">
        <v>227</v>
      </c>
      <c r="C176" s="1" t="s">
        <v>1219</v>
      </c>
      <c r="D176" s="21" t="s">
        <v>12</v>
      </c>
      <c r="E176" s="21" t="s">
        <v>12</v>
      </c>
      <c r="F176" s="21" t="s">
        <v>741</v>
      </c>
      <c r="H176" s="97" t="s">
        <v>1206</v>
      </c>
      <c r="I176" s="22">
        <f>VLOOKUP(B176,[4]Sheet1!B$2:I$773,8,FALSE)</f>
        <v>450000</v>
      </c>
      <c r="J176" s="22">
        <f>VLOOKUP(B176,'[5]DAFTAR ALL'!B$8:D$68,3,FALSE)</f>
        <v>1889063</v>
      </c>
      <c r="K176" s="93" t="s">
        <v>1188</v>
      </c>
    </row>
    <row r="177" spans="1:11" x14ac:dyDescent="0.35">
      <c r="A177" s="1" t="s">
        <v>228</v>
      </c>
      <c r="B177" s="1" t="s">
        <v>229</v>
      </c>
      <c r="C177" s="1" t="s">
        <v>1219</v>
      </c>
      <c r="D177" s="1" t="s">
        <v>12</v>
      </c>
      <c r="E177" s="1" t="s">
        <v>12</v>
      </c>
      <c r="F177" s="1" t="s">
        <v>724</v>
      </c>
      <c r="G177" s="97" t="str">
        <f>VLOOKUP(B177,'[1]Data Email Anggota'!C$2:F$366,4,FALSE)</f>
        <v>pujatmanto@bki.co.id</v>
      </c>
      <c r="H177" s="97" t="s">
        <v>1206</v>
      </c>
      <c r="I177" s="2">
        <f>VLOOKUP(B177,[4]Sheet1!B$2:I$773,8,FALSE)</f>
        <v>250000</v>
      </c>
      <c r="J177" s="2">
        <f>VLOOKUP(B177,'[5]DAFTAR ALL'!B$8:D$68,3,FALSE)</f>
        <v>2500000</v>
      </c>
      <c r="K177" s="25"/>
    </row>
    <row r="178" spans="1:11" x14ac:dyDescent="0.35">
      <c r="A178" s="1" t="s">
        <v>230</v>
      </c>
      <c r="B178" s="1" t="s">
        <v>231</v>
      </c>
      <c r="C178" s="1" t="s">
        <v>1219</v>
      </c>
      <c r="D178" s="1" t="s">
        <v>12</v>
      </c>
      <c r="E178" s="1" t="s">
        <v>12</v>
      </c>
      <c r="F178" s="1" t="s">
        <v>742</v>
      </c>
      <c r="G178" s="97" t="str">
        <f>VLOOKUP(B178,'[1]Data Email Anggota'!C$2:F$366,4,FALSE)</f>
        <v>bambangs@bki.co.id</v>
      </c>
      <c r="H178" s="97" t="s">
        <v>1206</v>
      </c>
      <c r="I178" s="2">
        <f>VLOOKUP(B178,[4]Sheet1!B$2:I$773,8,FALSE)</f>
        <v>350000</v>
      </c>
      <c r="J178" s="2">
        <v>0</v>
      </c>
      <c r="K178" s="25"/>
    </row>
    <row r="179" spans="1:11" hidden="1" x14ac:dyDescent="0.35">
      <c r="G179" s="1"/>
      <c r="H179" s="1"/>
    </row>
    <row r="180" spans="1:11" hidden="1" x14ac:dyDescent="0.35">
      <c r="G180" s="1"/>
      <c r="H180" s="1"/>
    </row>
    <row r="181" spans="1:11" hidden="1" x14ac:dyDescent="0.35">
      <c r="G181" s="1"/>
      <c r="H181" s="1"/>
    </row>
    <row r="182" spans="1:11" x14ac:dyDescent="0.35">
      <c r="A182" s="1" t="s">
        <v>232</v>
      </c>
      <c r="B182" s="1" t="s">
        <v>233</v>
      </c>
      <c r="C182" s="1" t="s">
        <v>1219</v>
      </c>
      <c r="D182" s="1" t="s">
        <v>12</v>
      </c>
      <c r="E182" s="1" t="s">
        <v>12</v>
      </c>
      <c r="F182" s="1" t="s">
        <v>743</v>
      </c>
      <c r="H182" s="97" t="s">
        <v>1206</v>
      </c>
      <c r="I182" s="2">
        <f>VLOOKUP(B182,[4]Sheet1!B$2:I$773,8,FALSE)</f>
        <v>350000</v>
      </c>
      <c r="J182" s="2">
        <v>0</v>
      </c>
      <c r="K182" s="25"/>
    </row>
    <row r="183" spans="1:11" x14ac:dyDescent="0.35">
      <c r="A183" s="1" t="s">
        <v>234</v>
      </c>
      <c r="B183" s="1" t="s">
        <v>235</v>
      </c>
      <c r="C183" s="1" t="s">
        <v>1219</v>
      </c>
      <c r="D183" s="1" t="s">
        <v>12</v>
      </c>
      <c r="E183" s="1" t="s">
        <v>12</v>
      </c>
      <c r="F183" s="1" t="s">
        <v>698</v>
      </c>
      <c r="G183" s="97" t="str">
        <f>VLOOKUP(B183,'[1]Data Email Anggota'!C$2:F$366,4,FALSE)</f>
        <v>himawan@bki.co.id</v>
      </c>
      <c r="H183" s="97" t="str">
        <f>VLOOKUP(B183,[3]SHU!C$8:L$377,10,FALSE)</f>
        <v>AKTIF</v>
      </c>
      <c r="I183" s="2">
        <f>VLOOKUP(B183,[4]Sheet1!B$2:I$773,8,FALSE)</f>
        <v>150000</v>
      </c>
      <c r="J183" s="2">
        <f>VLOOKUP(B183,'[5]DAFTAR ALL'!B$8:D$68,3,FALSE)</f>
        <v>850694</v>
      </c>
      <c r="K183" s="25"/>
    </row>
    <row r="184" spans="1:11" x14ac:dyDescent="0.35">
      <c r="A184" s="1" t="s">
        <v>236</v>
      </c>
      <c r="B184" s="1" t="s">
        <v>237</v>
      </c>
      <c r="C184" s="1" t="s">
        <v>1219</v>
      </c>
      <c r="D184" s="1" t="s">
        <v>12</v>
      </c>
      <c r="E184" s="1" t="s">
        <v>12</v>
      </c>
      <c r="F184" s="1" t="s">
        <v>744</v>
      </c>
      <c r="H184" s="97" t="s">
        <v>1206</v>
      </c>
      <c r="I184" s="2">
        <f>VLOOKUP(B184,[4]Sheet1!B$2:I$773,8,FALSE)</f>
        <v>350000</v>
      </c>
      <c r="J184" s="2">
        <v>0</v>
      </c>
      <c r="K184" s="25"/>
    </row>
    <row r="185" spans="1:11" hidden="1" x14ac:dyDescent="0.35">
      <c r="G185" s="1"/>
      <c r="H185" s="1"/>
    </row>
    <row r="186" spans="1:11" hidden="1" x14ac:dyDescent="0.35">
      <c r="G186" s="1"/>
      <c r="H186" s="1"/>
    </row>
    <row r="187" spans="1:11" hidden="1" x14ac:dyDescent="0.35">
      <c r="G187" s="1"/>
      <c r="H187" s="1"/>
    </row>
    <row r="188" spans="1:11" x14ac:dyDescent="0.35">
      <c r="A188" s="1" t="s">
        <v>239</v>
      </c>
      <c r="B188" s="1" t="s">
        <v>240</v>
      </c>
      <c r="C188" s="1" t="s">
        <v>1219</v>
      </c>
      <c r="D188" s="1" t="s">
        <v>238</v>
      </c>
      <c r="E188" s="1" t="s">
        <v>238</v>
      </c>
      <c r="F188" s="1" t="s">
        <v>745</v>
      </c>
      <c r="G188" s="97" t="str">
        <f>VLOOKUP(B188,'[1]Data Email Anggota'!C$2:F$366,4,FALSE)</f>
        <v>togap@bki.co.id</v>
      </c>
      <c r="H188" s="97" t="s">
        <v>1206</v>
      </c>
      <c r="I188" s="2">
        <f>VLOOKUP(B188,[4]Sheet1!B$2:I$773,8,FALSE)</f>
        <v>250000</v>
      </c>
      <c r="J188" s="2">
        <f>VLOOKUP(B188,'[5]DAFTAR ALL'!B$8:D$68,3,FALSE)</f>
        <v>6154617</v>
      </c>
      <c r="K188" s="25"/>
    </row>
    <row r="189" spans="1:11" hidden="1" x14ac:dyDescent="0.35">
      <c r="G189" s="1"/>
      <c r="H189" s="1"/>
    </row>
    <row r="190" spans="1:11" hidden="1" x14ac:dyDescent="0.35">
      <c r="G190" s="1"/>
      <c r="H190" s="1"/>
    </row>
    <row r="191" spans="1:11" x14ac:dyDescent="0.35">
      <c r="A191" s="1" t="s">
        <v>241</v>
      </c>
      <c r="B191" s="92" t="s">
        <v>242</v>
      </c>
      <c r="C191" s="1" t="s">
        <v>1219</v>
      </c>
      <c r="D191" s="1" t="s">
        <v>238</v>
      </c>
      <c r="E191" s="1" t="s">
        <v>238</v>
      </c>
      <c r="F191" s="1" t="s">
        <v>746</v>
      </c>
      <c r="G191" s="97" t="str">
        <f>VLOOKUP(B191,'[1]Data Email Anggota'!C$2:F$366,4,FALSE)</f>
        <v>mamin@bki.co.id</v>
      </c>
      <c r="H191" s="97" t="s">
        <v>1206</v>
      </c>
      <c r="I191" s="2">
        <f>VLOOKUP(B191,[4]Sheet1!B$2:I$773,8,FALSE)</f>
        <v>250000</v>
      </c>
      <c r="J191" s="2">
        <v>0</v>
      </c>
      <c r="K191" s="25"/>
    </row>
    <row r="192" spans="1:11" x14ac:dyDescent="0.35">
      <c r="A192" s="1" t="s">
        <v>243</v>
      </c>
      <c r="B192" s="1" t="s">
        <v>244</v>
      </c>
      <c r="C192" s="1" t="s">
        <v>1219</v>
      </c>
      <c r="D192" s="1" t="s">
        <v>238</v>
      </c>
      <c r="E192" s="1" t="s">
        <v>238</v>
      </c>
      <c r="F192" s="1" t="s">
        <v>747</v>
      </c>
      <c r="G192" s="97" t="str">
        <f>VLOOKUP(B192,'[1]Data Email Anggota'!C$2:F$366,4,FALSE)</f>
        <v>tawakkal@bki.co.id</v>
      </c>
      <c r="H192" s="97" t="s">
        <v>1206</v>
      </c>
      <c r="I192" s="2">
        <f>VLOOKUP(B192,[4]Sheet1!B$2:I$773,8,FALSE)</f>
        <v>250000</v>
      </c>
      <c r="J192" s="2">
        <f>VLOOKUP(B192,'[5]DAFTAR ALL'!B$8:D$68,3,FALSE)</f>
        <v>6887500</v>
      </c>
      <c r="K192" s="25"/>
    </row>
    <row r="193" spans="1:11" hidden="1" x14ac:dyDescent="0.35">
      <c r="G193" s="1"/>
      <c r="H193" s="1"/>
    </row>
    <row r="194" spans="1:11" x14ac:dyDescent="0.35">
      <c r="A194" s="1" t="s">
        <v>245</v>
      </c>
      <c r="B194" s="1" t="s">
        <v>246</v>
      </c>
      <c r="C194" s="1" t="s">
        <v>1219</v>
      </c>
      <c r="D194" s="1" t="s">
        <v>238</v>
      </c>
      <c r="E194" s="1" t="s">
        <v>238</v>
      </c>
      <c r="F194" s="1" t="s">
        <v>748</v>
      </c>
      <c r="G194" s="97" t="str">
        <f>VLOOKUP(B194,'[1]Data Email Anggota'!C$2:F$366,4,FALSE)</f>
        <v>m.dafa@bki.co.id</v>
      </c>
      <c r="H194" s="97" t="str">
        <f>VLOOKUP(B194,[3]SHU!C$8:L$377,10,FALSE)</f>
        <v>AKTIF</v>
      </c>
      <c r="I194" s="2">
        <f>VLOOKUP(B194,[4]Sheet1!B$2:I$773,8,FALSE)</f>
        <v>100000</v>
      </c>
      <c r="J194" s="2">
        <v>0</v>
      </c>
      <c r="K194" s="25"/>
    </row>
    <row r="195" spans="1:11" x14ac:dyDescent="0.35">
      <c r="A195" s="1" t="s">
        <v>247</v>
      </c>
      <c r="B195" s="1" t="s">
        <v>248</v>
      </c>
      <c r="C195" s="1" t="s">
        <v>1219</v>
      </c>
      <c r="D195" s="1" t="s">
        <v>249</v>
      </c>
      <c r="E195" s="1" t="s">
        <v>249</v>
      </c>
      <c r="F195" s="1" t="s">
        <v>749</v>
      </c>
      <c r="G195" s="97" t="str">
        <f>VLOOKUP(B195,'[1]Data Email Anggota'!C$2:F$366,4,FALSE)</f>
        <v>budi.prakoso@bki.co.id</v>
      </c>
      <c r="H195" s="97" t="s">
        <v>1206</v>
      </c>
      <c r="I195" s="2">
        <f>VLOOKUP(B195,[4]Sheet1!B$2:I$773,8,FALSE)</f>
        <v>500000</v>
      </c>
      <c r="J195" s="2">
        <v>0</v>
      </c>
      <c r="K195" s="25"/>
    </row>
    <row r="196" spans="1:11" hidden="1" x14ac:dyDescent="0.35">
      <c r="G196" s="1"/>
      <c r="H196" s="1"/>
    </row>
    <row r="197" spans="1:11" x14ac:dyDescent="0.35">
      <c r="A197" s="1" t="s">
        <v>250</v>
      </c>
      <c r="B197" s="1" t="s">
        <v>251</v>
      </c>
      <c r="C197" s="1" t="s">
        <v>1219</v>
      </c>
      <c r="D197" s="1" t="s">
        <v>249</v>
      </c>
      <c r="E197" s="1" t="s">
        <v>249</v>
      </c>
      <c r="F197" s="1" t="s">
        <v>750</v>
      </c>
      <c r="G197" s="97" t="str">
        <f>VLOOKUP(B197,'[1]Data Email Anggota'!C$2:F$366,4,FALSE)</f>
        <v>mat.hasan@bki.co.id</v>
      </c>
      <c r="H197" s="97" t="str">
        <f>VLOOKUP(B197,[3]SHU!C$8:L$377,10,FALSE)</f>
        <v>AKTIF</v>
      </c>
      <c r="I197" s="2">
        <f>VLOOKUP(B197,[4]Sheet1!B$2:I$773,8,FALSE)</f>
        <v>350000</v>
      </c>
      <c r="J197" s="2">
        <f>VLOOKUP(B197,'[5]DAFTAR ALL'!B$8:D$68,3,FALSE)</f>
        <v>10608334</v>
      </c>
      <c r="K197" s="25"/>
    </row>
    <row r="198" spans="1:11" x14ac:dyDescent="0.35">
      <c r="A198" s="1" t="s">
        <v>252</v>
      </c>
      <c r="B198" s="1" t="s">
        <v>253</v>
      </c>
      <c r="C198" s="1" t="s">
        <v>950</v>
      </c>
      <c r="D198" s="1" t="s">
        <v>254</v>
      </c>
      <c r="E198" s="1" t="s">
        <v>254</v>
      </c>
      <c r="F198" s="1" t="s">
        <v>751</v>
      </c>
      <c r="G198" s="97" t="str">
        <f>VLOOKUP(B198,'[1]Data Email Anggota'!C$2:F$366,4,FALSE)</f>
        <v>riana.patricia@bki.co.id</v>
      </c>
      <c r="H198" s="97" t="str">
        <f>VLOOKUP(B198,[3]SHU!C$8:L$377,10,FALSE)</f>
        <v>AKTIF</v>
      </c>
      <c r="I198" s="2">
        <f>VLOOKUP(B198,[4]Sheet1!B$2:I$773,8,FALSE)</f>
        <v>150000</v>
      </c>
      <c r="J198" s="2">
        <v>0</v>
      </c>
      <c r="K198" s="25"/>
    </row>
    <row r="199" spans="1:11" x14ac:dyDescent="0.35">
      <c r="A199" s="1" t="s">
        <v>255</v>
      </c>
      <c r="B199" s="1" t="s">
        <v>256</v>
      </c>
      <c r="C199" s="1" t="s">
        <v>950</v>
      </c>
      <c r="D199" s="1" t="s">
        <v>254</v>
      </c>
      <c r="E199" s="1" t="s">
        <v>254</v>
      </c>
      <c r="F199" s="1" t="s">
        <v>751</v>
      </c>
      <c r="G199" s="97" t="str">
        <f>VLOOKUP(B199,'[1]Data Email Anggota'!C$2:F$366,4,FALSE)</f>
        <v>megawati.rp@bki.co.id</v>
      </c>
      <c r="H199" s="97" t="str">
        <f>VLOOKUP(B199,[3]SHU!C$8:L$377,10,FALSE)</f>
        <v>AKTIF</v>
      </c>
      <c r="I199" s="2">
        <f>VLOOKUP(B199,[4]Sheet1!B$2:I$773,8,FALSE)</f>
        <v>150000</v>
      </c>
      <c r="J199" s="2">
        <f>VLOOKUP(B199,'[5]DAFTAR ALL'!B$8:D$68,3,FALSE)</f>
        <v>1354167</v>
      </c>
      <c r="K199" s="25"/>
    </row>
    <row r="200" spans="1:11" x14ac:dyDescent="0.35">
      <c r="A200" s="1" t="s">
        <v>257</v>
      </c>
      <c r="B200" s="1" t="s">
        <v>258</v>
      </c>
      <c r="C200" s="1" t="s">
        <v>950</v>
      </c>
      <c r="D200" s="1" t="s">
        <v>254</v>
      </c>
      <c r="E200" s="1" t="s">
        <v>254</v>
      </c>
      <c r="F200" s="1" t="s">
        <v>751</v>
      </c>
      <c r="G200" s="97" t="str">
        <f>VLOOKUP(B200,'[1]Data Email Anggota'!C$2:F$366,4,FALSE)</f>
        <v>irawati@bki.co.id</v>
      </c>
      <c r="H200" s="97" t="s">
        <v>1206</v>
      </c>
      <c r="I200" s="2">
        <f>VLOOKUP(B200,[4]Sheet1!B$2:I$773,8,FALSE)</f>
        <v>250000</v>
      </c>
      <c r="J200" s="2">
        <f>VLOOKUP(B200,'[5]DAFTAR ALL'!B$8:D$68,3,FALSE)</f>
        <v>9525267</v>
      </c>
      <c r="K200" s="25"/>
    </row>
    <row r="201" spans="1:11" x14ac:dyDescent="0.35">
      <c r="A201" s="1" t="s">
        <v>259</v>
      </c>
      <c r="B201" s="1" t="s">
        <v>260</v>
      </c>
      <c r="C201" s="1" t="s">
        <v>950</v>
      </c>
      <c r="D201" s="1" t="s">
        <v>261</v>
      </c>
      <c r="E201" s="1" t="s">
        <v>261</v>
      </c>
      <c r="F201" s="1" t="s">
        <v>752</v>
      </c>
      <c r="G201" s="97" t="str">
        <f>VLOOKUP(B201,'[1]Data Email Anggota'!C$2:F$366,4,FALSE)</f>
        <v>arifani@bki.co.id</v>
      </c>
      <c r="H201" s="97" t="str">
        <f>VLOOKUP(B201,[3]SHU!C$8:L$377,10,FALSE)</f>
        <v>AKTIF</v>
      </c>
      <c r="I201" s="2">
        <f>VLOOKUP(B201,[4]Sheet1!B$2:I$773,8,FALSE)</f>
        <v>500000</v>
      </c>
      <c r="J201" s="2">
        <v>0</v>
      </c>
      <c r="K201" s="25"/>
    </row>
    <row r="202" spans="1:11" x14ac:dyDescent="0.35">
      <c r="A202" s="1" t="s">
        <v>262</v>
      </c>
      <c r="B202" s="1" t="s">
        <v>263</v>
      </c>
      <c r="C202" s="1" t="s">
        <v>950</v>
      </c>
      <c r="D202" s="1" t="s">
        <v>261</v>
      </c>
      <c r="E202" s="1" t="s">
        <v>261</v>
      </c>
      <c r="F202" s="1" t="s">
        <v>753</v>
      </c>
      <c r="G202" s="97" t="str">
        <f>VLOOKUP(B202,'[1]Data Email Anggota'!C$2:F$366,4,FALSE)</f>
        <v>adesta.latief@bki.co.id</v>
      </c>
      <c r="H202" s="97" t="str">
        <f>VLOOKUP(B202,[3]SHU!C$8:L$377,10,FALSE)</f>
        <v>AKTIF</v>
      </c>
      <c r="I202" s="2">
        <f>VLOOKUP(B202,[4]Sheet1!B$2:I$773,8,FALSE)</f>
        <v>150000</v>
      </c>
      <c r="J202" s="2">
        <f>VLOOKUP(B202,'[5]DAFTAR ALL'!B$8:D$68,3,FALSE)</f>
        <v>7522865</v>
      </c>
      <c r="K202" s="25"/>
    </row>
    <row r="203" spans="1:11" hidden="1" x14ac:dyDescent="0.35">
      <c r="G203" s="1"/>
      <c r="H203" s="1"/>
    </row>
    <row r="204" spans="1:11" x14ac:dyDescent="0.35">
      <c r="A204" s="1" t="s">
        <v>264</v>
      </c>
      <c r="B204" s="1" t="s">
        <v>265</v>
      </c>
      <c r="C204" s="1" t="s">
        <v>950</v>
      </c>
      <c r="D204" s="1" t="s">
        <v>261</v>
      </c>
      <c r="E204" s="1" t="s">
        <v>261</v>
      </c>
      <c r="F204" s="1" t="s">
        <v>754</v>
      </c>
      <c r="G204" s="97" t="str">
        <f>VLOOKUP(B204,'[1]Data Email Anggota'!C$2:F$366,4,FALSE)</f>
        <v>annisyah.fazrin@bki.co.id</v>
      </c>
      <c r="H204" s="97" t="str">
        <f>VLOOKUP(B204,[3]SHU!C$8:L$377,10,FALSE)</f>
        <v>AKTIF</v>
      </c>
      <c r="I204" s="2">
        <f>VLOOKUP(B204,[4]Sheet1!B$2:I$773,8,FALSE)</f>
        <v>150000</v>
      </c>
      <c r="J204" s="2">
        <v>0</v>
      </c>
      <c r="K204" s="25"/>
    </row>
    <row r="205" spans="1:11" hidden="1" x14ac:dyDescent="0.35">
      <c r="G205" s="1"/>
      <c r="H205" s="1"/>
    </row>
    <row r="206" spans="1:11" hidden="1" x14ac:dyDescent="0.35">
      <c r="G206" s="1"/>
      <c r="H206" s="1"/>
    </row>
    <row r="207" spans="1:11" x14ac:dyDescent="0.35">
      <c r="A207" s="1" t="s">
        <v>267</v>
      </c>
      <c r="B207" s="1" t="s">
        <v>268</v>
      </c>
      <c r="C207" s="1" t="s">
        <v>1219</v>
      </c>
      <c r="D207" s="1" t="s">
        <v>266</v>
      </c>
      <c r="E207" s="1" t="s">
        <v>266</v>
      </c>
      <c r="F207" s="1" t="s">
        <v>755</v>
      </c>
      <c r="G207" s="97" t="str">
        <f>VLOOKUP(B207,'[1]Data Email Anggota'!C$2:F$366,4,FALSE)</f>
        <v>sumartini@bki.co.id</v>
      </c>
      <c r="H207" s="97" t="str">
        <f>VLOOKUP(B207,[3]SHU!C$8:L$377,10,FALSE)</f>
        <v>AKTIF</v>
      </c>
      <c r="I207" s="2">
        <f>VLOOKUP(B207,[4]Sheet1!B$2:I$773,8,FALSE)</f>
        <v>250000</v>
      </c>
      <c r="J207" s="2">
        <f>VLOOKUP(B207,'[5]DAFTAR ALL'!B$8:D$68,3,FALSE)</f>
        <v>17584050</v>
      </c>
      <c r="K207" s="25"/>
    </row>
    <row r="208" spans="1:11" x14ac:dyDescent="0.35">
      <c r="A208" s="1" t="s">
        <v>269</v>
      </c>
      <c r="B208" s="1" t="s">
        <v>270</v>
      </c>
      <c r="C208" s="1" t="s">
        <v>1219</v>
      </c>
      <c r="D208" s="1" t="s">
        <v>266</v>
      </c>
      <c r="E208" s="1" t="s">
        <v>266</v>
      </c>
      <c r="F208" s="1" t="s">
        <v>756</v>
      </c>
      <c r="G208" s="97" t="str">
        <f>VLOOKUP(B208,'[1]Data Email Anggota'!C$2:F$366,4,FALSE)</f>
        <v>lily.pandansari@bki.co.id</v>
      </c>
      <c r="H208" s="97" t="str">
        <f>VLOOKUP(B208,[3]SHU!C$8:L$377,10,FALSE)</f>
        <v>AKTIF</v>
      </c>
      <c r="I208" s="2">
        <f>VLOOKUP(B208,[4]Sheet1!B$2:I$773,8,FALSE)</f>
        <v>250000</v>
      </c>
      <c r="J208" s="2">
        <v>0</v>
      </c>
      <c r="K208" s="25"/>
    </row>
    <row r="209" spans="1:11" x14ac:dyDescent="0.35">
      <c r="A209" s="1" t="s">
        <v>271</v>
      </c>
      <c r="B209" s="1" t="s">
        <v>272</v>
      </c>
      <c r="C209" s="1" t="s">
        <v>1219</v>
      </c>
      <c r="D209" s="1" t="s">
        <v>266</v>
      </c>
      <c r="E209" s="1" t="s">
        <v>266</v>
      </c>
      <c r="F209" s="1" t="s">
        <v>757</v>
      </c>
      <c r="G209" s="97" t="str">
        <f>VLOOKUP(B209,'[1]Data Email Anggota'!C$2:F$366,4,FALSE)</f>
        <v>riska.th@bki.co.id</v>
      </c>
      <c r="H209" s="97" t="s">
        <v>1206</v>
      </c>
      <c r="I209" s="2">
        <f>VLOOKUP(B209,[4]Sheet1!B$2:I$773,8,FALSE)</f>
        <v>100000</v>
      </c>
      <c r="J209" s="2">
        <f>VLOOKUP(B209,'[5]DAFTAR ALL'!B$8:D$68,3,FALSE)</f>
        <v>1665000</v>
      </c>
      <c r="K209" s="25"/>
    </row>
    <row r="210" spans="1:11" x14ac:dyDescent="0.35">
      <c r="A210" s="1" t="s">
        <v>273</v>
      </c>
      <c r="B210" s="1" t="s">
        <v>274</v>
      </c>
      <c r="C210" s="1" t="s">
        <v>1219</v>
      </c>
      <c r="D210" s="1" t="s">
        <v>266</v>
      </c>
      <c r="E210" s="1" t="s">
        <v>266</v>
      </c>
      <c r="F210" s="1" t="s">
        <v>757</v>
      </c>
      <c r="G210" s="97" t="str">
        <f>VLOOKUP(B210,'[1]Data Email Anggota'!C$2:F$366,4,FALSE)</f>
        <v>ratna.dewi@bki.co.id</v>
      </c>
      <c r="H210" s="97" t="str">
        <f>VLOOKUP(B210,[3]SHU!C$8:L$377,10,FALSE)</f>
        <v>AKTIF</v>
      </c>
      <c r="I210" s="2">
        <f>VLOOKUP(B210,[4]Sheet1!B$2:I$773,8,FALSE)</f>
        <v>150000</v>
      </c>
      <c r="J210" s="2">
        <f>VLOOKUP(B210,'[5]DAFTAR ALL'!B$8:D$68,3,FALSE)</f>
        <v>1200000</v>
      </c>
      <c r="K210" s="25"/>
    </row>
    <row r="211" spans="1:11" x14ac:dyDescent="0.35">
      <c r="A211" s="1" t="s">
        <v>275</v>
      </c>
      <c r="B211" s="1" t="s">
        <v>276</v>
      </c>
      <c r="C211" s="1" t="s">
        <v>1219</v>
      </c>
      <c r="D211" s="1" t="s">
        <v>266</v>
      </c>
      <c r="E211" s="1" t="s">
        <v>266</v>
      </c>
      <c r="F211" s="1" t="s">
        <v>757</v>
      </c>
      <c r="G211" s="97" t="str">
        <f>VLOOKUP(B211,'[1]Data Email Anggota'!C$2:F$366,4,FALSE)</f>
        <v>putri.nl@bki.co.id</v>
      </c>
      <c r="H211" s="97" t="s">
        <v>1206</v>
      </c>
      <c r="I211" s="2">
        <f>VLOOKUP(B211,[4]Sheet1!B$2:I$773,8,FALSE)</f>
        <v>150000</v>
      </c>
      <c r="J211" s="2">
        <f>VLOOKUP(B211,'[5]DAFTAR ALL'!B$8:D$68,3,FALSE)</f>
        <v>2500000</v>
      </c>
      <c r="K211" s="25"/>
    </row>
    <row r="212" spans="1:11" x14ac:dyDescent="0.35">
      <c r="A212" s="1" t="s">
        <v>277</v>
      </c>
      <c r="B212" s="1" t="s">
        <v>278</v>
      </c>
      <c r="C212" s="1" t="s">
        <v>1219</v>
      </c>
      <c r="D212" s="1" t="s">
        <v>266</v>
      </c>
      <c r="E212" s="1" t="s">
        <v>266</v>
      </c>
      <c r="F212" s="1" t="s">
        <v>757</v>
      </c>
      <c r="G212" s="97" t="str">
        <f>VLOOKUP(B212,'[1]Data Email Anggota'!C$2:F$366,4,FALSE)</f>
        <v>nenny@bki.co.id</v>
      </c>
      <c r="H212" s="97" t="s">
        <v>1206</v>
      </c>
      <c r="I212" s="2">
        <f>VLOOKUP(B212,[4]Sheet1!B$2:I$773,8,FALSE)</f>
        <v>150000</v>
      </c>
      <c r="J212" s="2">
        <f>VLOOKUP(B212,'[5]DAFTAR ALL'!B$8:D$68,3,FALSE)</f>
        <v>5638526</v>
      </c>
      <c r="K212" s="25"/>
    </row>
    <row r="213" spans="1:11" x14ac:dyDescent="0.35">
      <c r="A213" s="1" t="s">
        <v>279</v>
      </c>
      <c r="B213" s="1" t="s">
        <v>280</v>
      </c>
      <c r="C213" s="1" t="s">
        <v>1219</v>
      </c>
      <c r="D213" s="1" t="s">
        <v>266</v>
      </c>
      <c r="E213" s="1" t="s">
        <v>266</v>
      </c>
      <c r="F213" s="1" t="s">
        <v>757</v>
      </c>
      <c r="G213" s="97" t="str">
        <f>VLOOKUP(B213,'[1]Data Email Anggota'!C$2:F$366,4,FALSE)</f>
        <v>januar@bki.co.id</v>
      </c>
      <c r="H213" s="97" t="str">
        <f>VLOOKUP(B213,[3]SHU!C$8:L$377,10,FALSE)</f>
        <v>AKTIF</v>
      </c>
      <c r="I213" s="2">
        <f>VLOOKUP(B213,[4]Sheet1!B$2:I$773,8,FALSE)</f>
        <v>150000</v>
      </c>
      <c r="J213" s="2">
        <v>0</v>
      </c>
      <c r="K213" s="25"/>
    </row>
    <row r="214" spans="1:11" x14ac:dyDescent="0.35">
      <c r="A214" s="1" t="s">
        <v>281</v>
      </c>
      <c r="B214" s="1" t="s">
        <v>282</v>
      </c>
      <c r="C214" s="1" t="s">
        <v>1219</v>
      </c>
      <c r="D214" s="1" t="s">
        <v>266</v>
      </c>
      <c r="E214" s="1" t="s">
        <v>266</v>
      </c>
      <c r="F214" s="1" t="s">
        <v>756</v>
      </c>
      <c r="G214" s="97" t="str">
        <f>VLOOKUP(B214,'[1]Data Email Anggota'!C$2:F$366,4,FALSE)</f>
        <v>aziza@bki.co.id</v>
      </c>
      <c r="H214" s="97" t="str">
        <f>VLOOKUP(B214,[3]SHU!C$8:L$377,10,FALSE)</f>
        <v>AKTIF</v>
      </c>
      <c r="I214" s="2">
        <f>VLOOKUP(B214,[4]Sheet1!B$2:I$773,8,FALSE)</f>
        <v>250000</v>
      </c>
      <c r="J214" s="2">
        <v>0</v>
      </c>
      <c r="K214" s="25"/>
    </row>
    <row r="215" spans="1:11" hidden="1" x14ac:dyDescent="0.35">
      <c r="G215" s="1"/>
      <c r="H215" s="1"/>
    </row>
    <row r="216" spans="1:11" hidden="1" x14ac:dyDescent="0.35">
      <c r="G216" s="1"/>
      <c r="H216" s="1"/>
    </row>
    <row r="217" spans="1:11" x14ac:dyDescent="0.35">
      <c r="A217" s="1" t="s">
        <v>283</v>
      </c>
      <c r="B217" s="1" t="s">
        <v>284</v>
      </c>
      <c r="C217" s="1" t="s">
        <v>1219</v>
      </c>
      <c r="D217" s="1" t="s">
        <v>266</v>
      </c>
      <c r="E217" s="1" t="s">
        <v>266</v>
      </c>
      <c r="F217" s="1" t="s">
        <v>758</v>
      </c>
      <c r="H217" s="97" t="s">
        <v>1206</v>
      </c>
      <c r="I217" s="2">
        <f>VLOOKUP(B217,[4]Sheet1!B$2:I$773,8,FALSE)</f>
        <v>350000</v>
      </c>
      <c r="J217" s="2">
        <f>VLOOKUP(B217,'[5]DAFTAR ALL'!B$8:D$68,3,FALSE)</f>
        <v>500000</v>
      </c>
      <c r="K217" s="25"/>
    </row>
    <row r="218" spans="1:11" x14ac:dyDescent="0.35">
      <c r="A218" s="1" t="s">
        <v>285</v>
      </c>
      <c r="B218" s="1" t="s">
        <v>286</v>
      </c>
      <c r="C218" s="1" t="s">
        <v>1219</v>
      </c>
      <c r="D218" s="1" t="s">
        <v>266</v>
      </c>
      <c r="E218" s="1" t="s">
        <v>266</v>
      </c>
      <c r="F218" s="1" t="s">
        <v>759</v>
      </c>
      <c r="G218" s="97" t="str">
        <f>VLOOKUP(B218,'[1]Data Email Anggota'!C$2:F$366,4,FALSE)</f>
        <v>yulia.fk@bki.co.id</v>
      </c>
      <c r="H218" s="97" t="str">
        <f>VLOOKUP(B218,[3]SHU!C$8:L$377,10,FALSE)</f>
        <v>AKTIF</v>
      </c>
      <c r="I218" s="2">
        <f>VLOOKUP(B218,[4]Sheet1!B$2:I$773,8,FALSE)</f>
        <v>100000</v>
      </c>
      <c r="J218" s="2">
        <f>VLOOKUP(B218,'[5]DAFTAR ALL'!B$8:D$68,3,FALSE)</f>
        <v>1000000</v>
      </c>
      <c r="K218" s="25"/>
    </row>
    <row r="219" spans="1:11" hidden="1" x14ac:dyDescent="0.35">
      <c r="G219" s="1"/>
      <c r="H219" s="1"/>
    </row>
    <row r="220" spans="1:11" hidden="1" x14ac:dyDescent="0.35">
      <c r="G220" s="1"/>
      <c r="H220" s="1"/>
    </row>
    <row r="221" spans="1:11" hidden="1" x14ac:dyDescent="0.35">
      <c r="G221" s="1"/>
      <c r="H221" s="1"/>
    </row>
    <row r="222" spans="1:11" hidden="1" x14ac:dyDescent="0.35">
      <c r="G222" s="1"/>
      <c r="H222" s="1"/>
    </row>
    <row r="223" spans="1:11" hidden="1" x14ac:dyDescent="0.35">
      <c r="G223" s="1"/>
      <c r="H223" s="1"/>
    </row>
    <row r="224" spans="1:11" x14ac:dyDescent="0.35">
      <c r="A224" s="1" t="s">
        <v>288</v>
      </c>
      <c r="B224" s="1" t="s">
        <v>289</v>
      </c>
      <c r="C224" s="1" t="s">
        <v>1219</v>
      </c>
      <c r="D224" s="1" t="s">
        <v>287</v>
      </c>
      <c r="E224" s="1" t="s">
        <v>287</v>
      </c>
      <c r="F224" s="1" t="s">
        <v>760</v>
      </c>
      <c r="G224" s="97" t="str">
        <f>VLOOKUP(B224,'[1]Data Email Anggota'!C$2:F$366,4,FALSE)</f>
        <v>samsul.muslim@bki.co.id</v>
      </c>
      <c r="H224" s="97" t="str">
        <f>VLOOKUP(B224,[3]SHU!C$8:L$377,10,FALSE)</f>
        <v>AKTIF</v>
      </c>
      <c r="I224" s="2">
        <f>VLOOKUP(B224,[4]Sheet1!B$2:I$773,8,FALSE)</f>
        <v>150000</v>
      </c>
      <c r="J224" s="2">
        <f>VLOOKUP(B224,'[5]DAFTAR ALL'!B$8:D$68,3,FALSE)</f>
        <v>2395833</v>
      </c>
      <c r="K224" s="25"/>
    </row>
    <row r="225" spans="1:11" x14ac:dyDescent="0.35">
      <c r="A225" s="1" t="s">
        <v>290</v>
      </c>
      <c r="B225" s="1" t="s">
        <v>291</v>
      </c>
      <c r="C225" s="1" t="s">
        <v>1219</v>
      </c>
      <c r="D225" s="1" t="s">
        <v>287</v>
      </c>
      <c r="E225" s="1" t="s">
        <v>287</v>
      </c>
      <c r="F225" s="1" t="s">
        <v>761</v>
      </c>
      <c r="G225" s="97" t="str">
        <f>VLOOKUP(B225,'[1]Data Email Anggota'!C$2:F$366,4,FALSE)</f>
        <v>romillo@bki.co.id</v>
      </c>
      <c r="H225" s="97" t="s">
        <v>1206</v>
      </c>
      <c r="I225" s="2">
        <f>VLOOKUP(B225,[4]Sheet1!B$2:I$773,8,FALSE)</f>
        <v>250000</v>
      </c>
      <c r="J225" s="2">
        <v>0</v>
      </c>
      <c r="K225" s="25"/>
    </row>
    <row r="226" spans="1:11" x14ac:dyDescent="0.35">
      <c r="A226" s="1" t="s">
        <v>292</v>
      </c>
      <c r="B226" s="1" t="s">
        <v>293</v>
      </c>
      <c r="C226" s="1" t="s">
        <v>1219</v>
      </c>
      <c r="D226" s="1" t="s">
        <v>287</v>
      </c>
      <c r="E226" s="1" t="s">
        <v>287</v>
      </c>
      <c r="F226" s="1" t="s">
        <v>762</v>
      </c>
      <c r="G226" s="97" t="str">
        <f>VLOOKUP(B226,'[1]Data Email Anggota'!C$2:F$366,4,FALSE)</f>
        <v>bayu.mahardika@bki.co.id</v>
      </c>
      <c r="H226" s="97" t="s">
        <v>1206</v>
      </c>
      <c r="I226" s="2">
        <f>VLOOKUP(B226,[4]Sheet1!B$2:I$773,8,FALSE)</f>
        <v>250000</v>
      </c>
      <c r="J226" s="2">
        <f>VLOOKUP(B226,'[5]DAFTAR ALL'!B$8:D$68,3,FALSE)</f>
        <v>7801667</v>
      </c>
      <c r="K226" s="25"/>
    </row>
    <row r="227" spans="1:11" x14ac:dyDescent="0.35">
      <c r="A227" s="1" t="s">
        <v>294</v>
      </c>
      <c r="B227" s="1" t="s">
        <v>295</v>
      </c>
      <c r="C227" s="1" t="s">
        <v>1219</v>
      </c>
      <c r="D227" s="1" t="s">
        <v>287</v>
      </c>
      <c r="E227" s="1" t="s">
        <v>287</v>
      </c>
      <c r="F227" s="1" t="s">
        <v>760</v>
      </c>
      <c r="G227" s="97" t="str">
        <f>VLOOKUP(B227,'[1]Data Email Anggota'!C$2:F$366,4,FALSE)</f>
        <v>muchlis.rachman@bki.co.id</v>
      </c>
      <c r="H227" s="97" t="s">
        <v>1206</v>
      </c>
      <c r="I227" s="2">
        <f>VLOOKUP(B227,[4]Sheet1!B$2:I$773,8,FALSE)</f>
        <v>150000</v>
      </c>
      <c r="J227" s="2">
        <v>0</v>
      </c>
      <c r="K227" s="25"/>
    </row>
    <row r="228" spans="1:11" hidden="1" x14ac:dyDescent="0.35">
      <c r="G228" s="1"/>
      <c r="H228" s="1"/>
    </row>
    <row r="229" spans="1:11" x14ac:dyDescent="0.35">
      <c r="A229" s="1" t="s">
        <v>296</v>
      </c>
      <c r="B229" s="1" t="s">
        <v>297</v>
      </c>
      <c r="C229" s="1" t="s">
        <v>1219</v>
      </c>
      <c r="D229" s="1" t="s">
        <v>287</v>
      </c>
      <c r="E229" s="1" t="s">
        <v>287</v>
      </c>
      <c r="F229" s="1" t="s">
        <v>763</v>
      </c>
      <c r="G229" s="97" t="str">
        <f>VLOOKUP(B229,'[1]Data Email Anggota'!C$2:F$366,4,FALSE)</f>
        <v>marina@bki.co.id</v>
      </c>
      <c r="H229" s="97" t="str">
        <f>VLOOKUP(B229,[3]SHU!C$8:L$377,10,FALSE)</f>
        <v>AKTIF</v>
      </c>
      <c r="I229" s="2">
        <f>VLOOKUP(B229,[4]Sheet1!B$2:I$773,8,FALSE)</f>
        <v>250000</v>
      </c>
      <c r="J229" s="2">
        <f>VLOOKUP(B229,'[5]DAFTAR ALL'!B$8:D$68,3,FALSE)</f>
        <v>3562500</v>
      </c>
      <c r="K229" s="25"/>
    </row>
    <row r="230" spans="1:11" x14ac:dyDescent="0.35">
      <c r="A230" s="1" t="s">
        <v>298</v>
      </c>
      <c r="B230" s="1" t="s">
        <v>299</v>
      </c>
      <c r="C230" s="1" t="s">
        <v>1219</v>
      </c>
      <c r="D230" s="1" t="s">
        <v>287</v>
      </c>
      <c r="E230" s="1" t="s">
        <v>287</v>
      </c>
      <c r="F230" s="1" t="s">
        <v>764</v>
      </c>
      <c r="G230" s="97" t="str">
        <f>VLOOKUP(B230,'[1]Data Email Anggota'!C$2:F$366,4,FALSE)</f>
        <v>nurkumala.sakti@bki.co.id</v>
      </c>
      <c r="H230" s="97" t="s">
        <v>1206</v>
      </c>
      <c r="I230" s="2">
        <f>VLOOKUP(B230,[4]Sheet1!B$2:I$773,8,FALSE)</f>
        <v>100000</v>
      </c>
      <c r="J230" s="2">
        <v>0</v>
      </c>
      <c r="K230" s="25"/>
    </row>
    <row r="231" spans="1:11" hidden="1" x14ac:dyDescent="0.35">
      <c r="G231" s="1"/>
      <c r="H231" s="1"/>
    </row>
    <row r="232" spans="1:11" x14ac:dyDescent="0.35">
      <c r="A232" s="1" t="s">
        <v>300</v>
      </c>
      <c r="B232" s="1" t="s">
        <v>301</v>
      </c>
      <c r="C232" s="1" t="s">
        <v>1219</v>
      </c>
      <c r="D232" s="1" t="s">
        <v>287</v>
      </c>
      <c r="E232" s="1" t="s">
        <v>287</v>
      </c>
      <c r="F232" s="1" t="s">
        <v>765</v>
      </c>
      <c r="G232" s="97" t="str">
        <f>VLOOKUP(B232,'[1]Data Email Anggota'!C$2:F$366,4,FALSE)</f>
        <v>yulia.da@bki.co.id</v>
      </c>
      <c r="H232" s="97" t="str">
        <f>VLOOKUP(B232,[3]SHU!C$8:L$377,10,FALSE)</f>
        <v>AKTIF</v>
      </c>
      <c r="I232" s="2">
        <f>VLOOKUP(B232,[4]Sheet1!B$2:I$773,8,FALSE)</f>
        <v>250000</v>
      </c>
      <c r="J232" s="2">
        <v>0</v>
      </c>
      <c r="K232" s="25"/>
    </row>
    <row r="233" spans="1:11" x14ac:dyDescent="0.35">
      <c r="A233" s="1" t="s">
        <v>302</v>
      </c>
      <c r="B233" s="1" t="s">
        <v>303</v>
      </c>
      <c r="C233" s="1" t="s">
        <v>1219</v>
      </c>
      <c r="D233" s="1" t="s">
        <v>287</v>
      </c>
      <c r="E233" s="1" t="s">
        <v>287</v>
      </c>
      <c r="F233" s="1" t="s">
        <v>766</v>
      </c>
      <c r="G233" s="97" t="str">
        <f>VLOOKUP(B233,'[1]Data Email Anggota'!C$2:F$366,4,FALSE)</f>
        <v>mia.mi@bki.co.id</v>
      </c>
      <c r="H233" s="97" t="str">
        <f>VLOOKUP(B233,[3]SHU!C$8:L$377,10,FALSE)</f>
        <v>AKTIF</v>
      </c>
      <c r="I233" s="2">
        <f>VLOOKUP(B233,[4]Sheet1!B$2:I$773,8,FALSE)</f>
        <v>150000</v>
      </c>
      <c r="J233" s="2">
        <f>VLOOKUP(B233,'[5]DAFTAR ALL'!B$8:D$68,3,FALSE)</f>
        <v>1500000</v>
      </c>
      <c r="K233" s="25"/>
    </row>
    <row r="234" spans="1:11" hidden="1" x14ac:dyDescent="0.35">
      <c r="G234" s="1"/>
      <c r="H234" s="1"/>
    </row>
    <row r="235" spans="1:11" x14ac:dyDescent="0.35">
      <c r="A235" s="1" t="s">
        <v>304</v>
      </c>
      <c r="B235" s="1" t="s">
        <v>305</v>
      </c>
      <c r="C235" s="1" t="s">
        <v>1219</v>
      </c>
      <c r="D235" s="1" t="s">
        <v>287</v>
      </c>
      <c r="E235" s="1" t="s">
        <v>287</v>
      </c>
      <c r="F235" s="1" t="s">
        <v>767</v>
      </c>
      <c r="G235" s="97" t="str">
        <f>VLOOKUP(B235,'[1]Data Email Anggota'!C$2:F$366,4,FALSE)</f>
        <v>sari@bki.co.id</v>
      </c>
      <c r="H235" s="97" t="str">
        <f>VLOOKUP(B235,[3]SHU!C$8:L$377,10,FALSE)</f>
        <v>AKTIF</v>
      </c>
      <c r="I235" s="2">
        <f>VLOOKUP(B235,[4]Sheet1!B$2:I$773,8,FALSE)</f>
        <v>250000</v>
      </c>
      <c r="J235" s="2">
        <v>0</v>
      </c>
      <c r="K235" s="25"/>
    </row>
    <row r="236" spans="1:11" x14ac:dyDescent="0.35">
      <c r="A236" s="1" t="s">
        <v>306</v>
      </c>
      <c r="B236" s="1" t="s">
        <v>307</v>
      </c>
      <c r="C236" s="1" t="s">
        <v>1219</v>
      </c>
      <c r="D236" s="1" t="s">
        <v>287</v>
      </c>
      <c r="E236" s="1" t="s">
        <v>287</v>
      </c>
      <c r="F236" s="1" t="s">
        <v>768</v>
      </c>
      <c r="G236" s="97" t="str">
        <f>VLOOKUP(B236,'[1]Data Email Anggota'!C$2:F$366,4,FALSE)</f>
        <v>desi.hardianawati@bki.co.id</v>
      </c>
      <c r="H236" s="97" t="str">
        <f>VLOOKUP(B236,[3]SHU!C$8:L$377,10,FALSE)</f>
        <v>AKTIF</v>
      </c>
      <c r="I236" s="2">
        <f>VLOOKUP(B236,[4]Sheet1!B$2:I$773,8,FALSE)</f>
        <v>150000</v>
      </c>
      <c r="J236" s="2">
        <v>0</v>
      </c>
      <c r="K236" s="25"/>
    </row>
    <row r="237" spans="1:11" x14ac:dyDescent="0.35">
      <c r="A237" s="1" t="s">
        <v>308</v>
      </c>
      <c r="B237" s="1" t="s">
        <v>309</v>
      </c>
      <c r="C237" s="1" t="s">
        <v>1219</v>
      </c>
      <c r="D237" s="1" t="s">
        <v>287</v>
      </c>
      <c r="E237" s="1" t="s">
        <v>287</v>
      </c>
      <c r="F237" s="1" t="s">
        <v>769</v>
      </c>
      <c r="G237" s="97" t="str">
        <f>VLOOKUP(B237,'[1]Data Email Anggota'!C$2:F$366,4,FALSE)</f>
        <v>ridwan.arifin@bki.co.id</v>
      </c>
      <c r="H237" s="97" t="s">
        <v>1206</v>
      </c>
      <c r="I237" s="2">
        <f>VLOOKUP(B237,[4]Sheet1!B$2:I$773,8,FALSE)</f>
        <v>350000</v>
      </c>
      <c r="J237" s="2">
        <v>0</v>
      </c>
      <c r="K237" s="25"/>
    </row>
    <row r="238" spans="1:11" x14ac:dyDescent="0.35">
      <c r="A238" s="1" t="s">
        <v>310</v>
      </c>
      <c r="B238" s="1" t="s">
        <v>311</v>
      </c>
      <c r="C238" s="1" t="s">
        <v>1219</v>
      </c>
      <c r="D238" s="1" t="s">
        <v>287</v>
      </c>
      <c r="E238" s="1" t="s">
        <v>287</v>
      </c>
      <c r="F238" s="1" t="s">
        <v>729</v>
      </c>
      <c r="G238" s="97" t="str">
        <f>VLOOKUP(B238,'[1]Data Email Anggota'!C$2:F$366,4,FALSE)</f>
        <v>eva.ss@bki.co.id</v>
      </c>
      <c r="H238" s="97" t="s">
        <v>1206</v>
      </c>
      <c r="I238" s="2">
        <f>VLOOKUP(B238,[4]Sheet1!B$2:I$773,8,FALSE)</f>
        <v>350000</v>
      </c>
      <c r="J238" s="2">
        <f>VLOOKUP(B238,'[5]DAFTAR ALL'!B$8:D$68,3,FALSE)</f>
        <v>17623786</v>
      </c>
      <c r="K238" s="25"/>
    </row>
    <row r="239" spans="1:11" x14ac:dyDescent="0.35">
      <c r="A239" s="1" t="s">
        <v>312</v>
      </c>
      <c r="B239" s="1" t="s">
        <v>313</v>
      </c>
      <c r="C239" s="1" t="s">
        <v>1219</v>
      </c>
      <c r="D239" s="1" t="s">
        <v>287</v>
      </c>
      <c r="E239" s="1" t="s">
        <v>287</v>
      </c>
      <c r="F239" s="1" t="s">
        <v>770</v>
      </c>
      <c r="G239" s="97" t="str">
        <f>VLOOKUP(B239,'[1]Data Email Anggota'!C$2:F$366,4,FALSE)</f>
        <v>apriansyah@bki.co.id</v>
      </c>
      <c r="H239" s="97" t="str">
        <f>VLOOKUP(B239,[3]SHU!C$8:L$377,10,FALSE)</f>
        <v>AKTIF</v>
      </c>
      <c r="I239" s="2">
        <f>VLOOKUP(B239,[4]Sheet1!B$2:I$773,8,FALSE)</f>
        <v>100000</v>
      </c>
      <c r="J239" s="2">
        <v>0</v>
      </c>
      <c r="K239" s="25"/>
    </row>
    <row r="240" spans="1:11" hidden="1" x14ac:dyDescent="0.35">
      <c r="G240" s="1"/>
      <c r="H240" s="1"/>
    </row>
    <row r="241" spans="1:11" x14ac:dyDescent="0.35">
      <c r="A241" s="1" t="s">
        <v>314</v>
      </c>
      <c r="B241" s="1" t="s">
        <v>315</v>
      </c>
      <c r="C241" s="1" t="s">
        <v>1219</v>
      </c>
      <c r="D241" s="1" t="s">
        <v>287</v>
      </c>
      <c r="E241" s="1" t="s">
        <v>287</v>
      </c>
      <c r="F241" s="1" t="s">
        <v>698</v>
      </c>
      <c r="G241" s="97" t="str">
        <f>VLOOKUP(B241,'[1]Data Email Anggota'!C$2:F$366,4,FALSE)</f>
        <v>rachmad.kurniawan@bki.co.id</v>
      </c>
      <c r="H241" s="97" t="s">
        <v>1206</v>
      </c>
      <c r="I241" s="2">
        <f>VLOOKUP(B241,[4]Sheet1!B$2:I$773,8,FALSE)</f>
        <v>150000</v>
      </c>
      <c r="J241" s="2">
        <f>VLOOKUP(B241,'[5]DAFTAR ALL'!B$8:D$68,3,FALSE)</f>
        <v>6629441</v>
      </c>
      <c r="K241" s="25"/>
    </row>
    <row r="242" spans="1:11" x14ac:dyDescent="0.35">
      <c r="A242" s="1" t="s">
        <v>316</v>
      </c>
      <c r="B242" s="92" t="s">
        <v>317</v>
      </c>
      <c r="C242" s="1" t="s">
        <v>1219</v>
      </c>
      <c r="D242" s="1" t="s">
        <v>266</v>
      </c>
      <c r="E242" s="1" t="s">
        <v>266</v>
      </c>
      <c r="F242" s="1" t="s">
        <v>1185</v>
      </c>
      <c r="G242" s="97" t="str">
        <f>VLOOKUP(B242,'[1]Data Email Anggota'!C$2:F$366,4,FALSE)</f>
        <v>irwanto@bki.co.id</v>
      </c>
      <c r="H242" s="97" t="s">
        <v>1206</v>
      </c>
      <c r="I242" s="2">
        <f>VLOOKUP(B242,[4]Sheet1!B$2:I$773,8,FALSE)</f>
        <v>350000</v>
      </c>
      <c r="J242" s="2">
        <f>VLOOKUP(B242,'[5]DAFTAR ALL'!B$8:D$68,3,FALSE)</f>
        <v>5832511</v>
      </c>
      <c r="K242" s="25"/>
    </row>
    <row r="243" spans="1:11" x14ac:dyDescent="0.35">
      <c r="A243" s="1" t="s">
        <v>318</v>
      </c>
      <c r="B243" s="92" t="s">
        <v>319</v>
      </c>
      <c r="C243" s="1" t="s">
        <v>1219</v>
      </c>
      <c r="D243" s="1" t="s">
        <v>582</v>
      </c>
      <c r="E243" s="1" t="s">
        <v>582</v>
      </c>
      <c r="F243" s="1" t="s">
        <v>1187</v>
      </c>
      <c r="G243" s="97" t="str">
        <f>VLOOKUP(B243,'[1]Data Email Anggota'!C$2:F$366,4,FALSE)</f>
        <v>wawan@bki.co.id</v>
      </c>
      <c r="H243" s="97" t="s">
        <v>1206</v>
      </c>
      <c r="I243" s="2">
        <f>VLOOKUP(B243,[7]DAFTAR!B$8:C$42,2,FALSE)</f>
        <v>250000</v>
      </c>
      <c r="J243" s="2">
        <f>VLOOKUP(B243,[7]DAFTAR!B$8:E$42,4,FALSE)</f>
        <v>9373356</v>
      </c>
      <c r="K243" s="25"/>
    </row>
    <row r="244" spans="1:11" hidden="1" x14ac:dyDescent="0.35">
      <c r="G244" s="1"/>
      <c r="H244" s="1"/>
    </row>
    <row r="245" spans="1:11" x14ac:dyDescent="0.35">
      <c r="A245" s="1" t="s">
        <v>320</v>
      </c>
      <c r="B245" s="1" t="s">
        <v>321</v>
      </c>
      <c r="C245" s="1" t="s">
        <v>1219</v>
      </c>
      <c r="D245" s="1" t="s">
        <v>287</v>
      </c>
      <c r="E245" s="1" t="s">
        <v>287</v>
      </c>
      <c r="F245" s="1" t="s">
        <v>729</v>
      </c>
      <c r="G245" s="97" t="str">
        <f>VLOOKUP(B245,'[1]Data Email Anggota'!C$2:F$366,4,FALSE)</f>
        <v>rosalina@bki.co.id</v>
      </c>
      <c r="H245" s="97" t="s">
        <v>1206</v>
      </c>
      <c r="I245" s="2">
        <f>VLOOKUP(B245,[4]Sheet1!B$2:I$773,8,FALSE)</f>
        <v>350000</v>
      </c>
      <c r="J245" s="2">
        <v>0</v>
      </c>
      <c r="K245" s="25"/>
    </row>
    <row r="246" spans="1:11" x14ac:dyDescent="0.35">
      <c r="A246" s="1" t="s">
        <v>322</v>
      </c>
      <c r="B246" s="1" t="s">
        <v>323</v>
      </c>
      <c r="C246" s="1" t="s">
        <v>1219</v>
      </c>
      <c r="D246" s="1" t="s">
        <v>287</v>
      </c>
      <c r="E246" s="1" t="s">
        <v>287</v>
      </c>
      <c r="F246" s="1" t="s">
        <v>771</v>
      </c>
      <c r="G246" s="97" t="str">
        <f>VLOOKUP(B246,'[1]Data Email Anggota'!C$2:F$366,4,FALSE)</f>
        <v>sodik@bki.co.id</v>
      </c>
      <c r="H246" s="97" t="s">
        <v>1206</v>
      </c>
      <c r="I246" s="2">
        <f>VLOOKUP(B246,[4]Sheet1!B$2:I$773,8,FALSE)</f>
        <v>500000</v>
      </c>
      <c r="J246" s="2">
        <v>0</v>
      </c>
      <c r="K246" s="25"/>
    </row>
    <row r="247" spans="1:11" x14ac:dyDescent="0.35">
      <c r="A247" s="1" t="s">
        <v>324</v>
      </c>
      <c r="B247" s="1" t="s">
        <v>325</v>
      </c>
      <c r="C247" s="1" t="s">
        <v>1219</v>
      </c>
      <c r="D247" s="1" t="s">
        <v>287</v>
      </c>
      <c r="E247" s="1" t="s">
        <v>287</v>
      </c>
      <c r="F247" s="1" t="s">
        <v>772</v>
      </c>
      <c r="G247" s="97" t="str">
        <f>VLOOKUP(B247,'[1]Data Email Anggota'!C$2:F$366,4,FALSE)</f>
        <v>yusfi@bki.co.id</v>
      </c>
      <c r="H247" s="97" t="str">
        <f>VLOOKUP(B247,[3]SHU!C$8:L$377,10,FALSE)</f>
        <v>AKTIF</v>
      </c>
      <c r="I247" s="2">
        <f>VLOOKUP(B247,[4]Sheet1!B$2:I$773,8,FALSE)</f>
        <v>250000</v>
      </c>
      <c r="J247" s="2">
        <v>0</v>
      </c>
      <c r="K247" s="25"/>
    </row>
    <row r="248" spans="1:11" x14ac:dyDescent="0.35">
      <c r="A248" s="1" t="s">
        <v>326</v>
      </c>
      <c r="B248" s="1" t="s">
        <v>327</v>
      </c>
      <c r="C248" s="1" t="s">
        <v>1219</v>
      </c>
      <c r="D248" s="1" t="s">
        <v>287</v>
      </c>
      <c r="E248" s="1" t="s">
        <v>287</v>
      </c>
      <c r="F248" s="1" t="s">
        <v>773</v>
      </c>
      <c r="G248" s="97" t="str">
        <f>VLOOKUP(B248,'[1]Data Email Anggota'!C$2:F$366,4,FALSE)</f>
        <v>sahdat@bki.co.id</v>
      </c>
      <c r="H248" s="97" t="s">
        <v>1206</v>
      </c>
      <c r="I248" s="2">
        <f>VLOOKUP(B248,[4]Sheet1!B$2:I$773,8,FALSE)</f>
        <v>100000</v>
      </c>
      <c r="J248" s="2">
        <v>0</v>
      </c>
      <c r="K248" s="25"/>
    </row>
    <row r="249" spans="1:11" hidden="1" x14ac:dyDescent="0.35">
      <c r="G249" s="1"/>
      <c r="H249" s="1"/>
    </row>
    <row r="250" spans="1:11" x14ac:dyDescent="0.35">
      <c r="A250" s="1" t="s">
        <v>328</v>
      </c>
      <c r="B250" s="1" t="s">
        <v>329</v>
      </c>
      <c r="C250" s="1" t="s">
        <v>1219</v>
      </c>
      <c r="D250" s="1" t="s">
        <v>287</v>
      </c>
      <c r="E250" s="1" t="s">
        <v>287</v>
      </c>
      <c r="F250" s="1" t="s">
        <v>774</v>
      </c>
      <c r="G250" s="97" t="str">
        <f>VLOOKUP(B250,'[1]Data Email Anggota'!C$2:F$366,4,FALSE)</f>
        <v>elmy.m@bki.co.id</v>
      </c>
      <c r="H250" s="97" t="str">
        <f>VLOOKUP(B250,[3]SHU!C$8:L$377,10,FALSE)</f>
        <v>AKTIF</v>
      </c>
      <c r="I250" s="2">
        <f>VLOOKUP(B250,[4]Sheet1!B$2:I$773,8,FALSE)</f>
        <v>100000</v>
      </c>
      <c r="J250" s="2">
        <v>0</v>
      </c>
      <c r="K250" s="25"/>
    </row>
    <row r="251" spans="1:11" x14ac:dyDescent="0.35">
      <c r="A251" s="1" t="s">
        <v>330</v>
      </c>
      <c r="B251" s="1" t="s">
        <v>331</v>
      </c>
      <c r="C251" s="1" t="s">
        <v>950</v>
      </c>
      <c r="D251" s="1" t="s">
        <v>332</v>
      </c>
      <c r="E251" s="1" t="s">
        <v>332</v>
      </c>
      <c r="F251" s="1" t="s">
        <v>775</v>
      </c>
      <c r="G251" s="97" t="str">
        <f>VLOOKUP(B251,'[1]Data Email Anggota'!C$2:F$366,4,FALSE)</f>
        <v>rizki.satrio@bki.co.id</v>
      </c>
      <c r="H251" s="97" t="s">
        <v>1206</v>
      </c>
      <c r="I251" s="2">
        <f>VLOOKUP(B251,[4]Sheet1!B$2:I$773,8,FALSE)</f>
        <v>150000</v>
      </c>
      <c r="J251" s="2">
        <v>0</v>
      </c>
      <c r="K251" s="25"/>
    </row>
    <row r="252" spans="1:11" x14ac:dyDescent="0.35">
      <c r="A252" s="1" t="s">
        <v>333</v>
      </c>
      <c r="B252" s="1" t="s">
        <v>334</v>
      </c>
      <c r="C252" s="1" t="s">
        <v>950</v>
      </c>
      <c r="D252" s="1" t="s">
        <v>332</v>
      </c>
      <c r="E252" s="1" t="s">
        <v>332</v>
      </c>
      <c r="F252" s="1" t="s">
        <v>776</v>
      </c>
      <c r="G252" s="97" t="str">
        <f>VLOOKUP(B252,'[1]Data Email Anggota'!C$2:F$366,4,FALSE)</f>
        <v>fikrah.wathani@bki.co.id</v>
      </c>
      <c r="H252" s="97" t="str">
        <f>VLOOKUP(B252,[3]SHU!C$8:L$377,10,FALSE)</f>
        <v>AKTIF</v>
      </c>
      <c r="I252" s="2">
        <f>VLOOKUP(B252,[4]Sheet1!B$2:I$773,8,FALSE)</f>
        <v>150000</v>
      </c>
      <c r="J252" s="2">
        <v>0</v>
      </c>
      <c r="K252" s="25"/>
    </row>
    <row r="253" spans="1:11" hidden="1" x14ac:dyDescent="0.35">
      <c r="G253" s="1"/>
      <c r="H253" s="1"/>
    </row>
    <row r="254" spans="1:11" hidden="1" x14ac:dyDescent="0.35">
      <c r="G254" s="1"/>
      <c r="H254" s="1"/>
    </row>
    <row r="255" spans="1:11" x14ac:dyDescent="0.35">
      <c r="A255" s="1" t="s">
        <v>335</v>
      </c>
      <c r="B255" s="1" t="s">
        <v>103</v>
      </c>
      <c r="C255" s="1" t="s">
        <v>950</v>
      </c>
      <c r="D255" s="1" t="s">
        <v>336</v>
      </c>
      <c r="E255" s="1" t="s">
        <v>336</v>
      </c>
      <c r="F255" s="1" t="s">
        <v>777</v>
      </c>
      <c r="G255" s="97" t="str">
        <f>VLOOKUP(B255,'[1]Data Email Anggota'!C$2:F$366,4,FALSE)</f>
        <v>fajar.np@bki.co.id</v>
      </c>
      <c r="H255" s="97" t="s">
        <v>1206</v>
      </c>
      <c r="I255" s="2">
        <v>500000</v>
      </c>
      <c r="J255" s="2">
        <v>0</v>
      </c>
      <c r="K255" s="25"/>
    </row>
    <row r="256" spans="1:11" x14ac:dyDescent="0.35">
      <c r="A256" s="1" t="s">
        <v>337</v>
      </c>
      <c r="B256" s="1" t="s">
        <v>338</v>
      </c>
      <c r="C256" s="1" t="s">
        <v>950</v>
      </c>
      <c r="D256" s="1" t="s">
        <v>336</v>
      </c>
      <c r="E256" s="1" t="s">
        <v>336</v>
      </c>
      <c r="F256" s="1" t="s">
        <v>778</v>
      </c>
      <c r="G256" s="97" t="str">
        <f>VLOOKUP(B256,'[1]Data Email Anggota'!C$2:F$366,4,FALSE)</f>
        <v>agus.syarif@bki.co.id</v>
      </c>
      <c r="H256" s="97" t="str">
        <f>VLOOKUP(B256,[3]SHU!C$8:L$377,10,FALSE)</f>
        <v>AKTIF</v>
      </c>
      <c r="I256" s="2">
        <f>VLOOKUP(B256,[4]Sheet1!B$2:I$773,8,FALSE)</f>
        <v>350000</v>
      </c>
      <c r="J256" s="2">
        <v>0</v>
      </c>
      <c r="K256" s="25"/>
    </row>
    <row r="257" spans="1:11" x14ac:dyDescent="0.35">
      <c r="A257" s="1" t="s">
        <v>339</v>
      </c>
      <c r="B257" s="1" t="s">
        <v>340</v>
      </c>
      <c r="C257" s="1" t="s">
        <v>950</v>
      </c>
      <c r="D257" s="1" t="s">
        <v>336</v>
      </c>
      <c r="E257" s="1" t="s">
        <v>336</v>
      </c>
      <c r="F257" s="1" t="s">
        <v>779</v>
      </c>
      <c r="G257" s="97" t="str">
        <f>VLOOKUP(B257,'[1]Data Email Anggota'!C$2:F$366,4,FALSE)</f>
        <v>irma.yuniati@bki.co.id</v>
      </c>
      <c r="H257" s="97" t="str">
        <f>VLOOKUP(B257,[3]SHU!C$8:L$377,10,FALSE)</f>
        <v>AKTIF</v>
      </c>
      <c r="I257" s="2">
        <f>VLOOKUP(B257,[4]Sheet1!B$2:I$773,8,FALSE)</f>
        <v>100000</v>
      </c>
      <c r="J257" s="2">
        <v>0</v>
      </c>
      <c r="K257" s="25"/>
    </row>
    <row r="258" spans="1:11" x14ac:dyDescent="0.35">
      <c r="A258" s="1" t="s">
        <v>341</v>
      </c>
      <c r="B258" s="92" t="s">
        <v>342</v>
      </c>
      <c r="C258" s="1" t="s">
        <v>1219</v>
      </c>
      <c r="D258" s="1" t="s">
        <v>380</v>
      </c>
      <c r="E258" s="1" t="s">
        <v>380</v>
      </c>
      <c r="F258" s="1" t="s">
        <v>798</v>
      </c>
      <c r="G258" s="97" t="str">
        <f>VLOOKUP(B258,'[1]Data Email Anggota'!C$2:F$366,4,FALSE)</f>
        <v>busrol.karim@bki.co.id</v>
      </c>
      <c r="H258" s="97" t="s">
        <v>1206</v>
      </c>
      <c r="I258" s="2">
        <f>VLOOKUP(B258,[4]Sheet1!B$2:I$773,8,FALSE)</f>
        <v>250000</v>
      </c>
      <c r="J258" s="2">
        <f>VLOOKUP(B258,'[5]DAFTAR ALL'!B$8:D$68,3,FALSE)</f>
        <v>1000000</v>
      </c>
      <c r="K258" s="25"/>
    </row>
    <row r="259" spans="1:11" x14ac:dyDescent="0.35">
      <c r="A259" s="1" t="s">
        <v>344</v>
      </c>
      <c r="B259" s="1" t="s">
        <v>345</v>
      </c>
      <c r="C259" s="1" t="s">
        <v>1219</v>
      </c>
      <c r="D259" s="1" t="s">
        <v>343</v>
      </c>
      <c r="E259" s="1" t="s">
        <v>343</v>
      </c>
      <c r="F259" s="1" t="s">
        <v>780</v>
      </c>
      <c r="G259" s="97" t="str">
        <f>VLOOKUP(B259,'[1]Data Email Anggota'!C$2:F$366,4,FALSE)</f>
        <v>didiet.ef@bki.co.id</v>
      </c>
      <c r="H259" s="97" t="s">
        <v>1206</v>
      </c>
      <c r="I259" s="2">
        <f>VLOOKUP(B259,[4]Sheet1!B$2:I$773,8,FALSE)</f>
        <v>250000</v>
      </c>
      <c r="J259" s="2">
        <f>VLOOKUP(B259,'[5]DAFTAR ALL'!B$8:D$68,3,FALSE)</f>
        <v>2871528</v>
      </c>
      <c r="K259" s="25"/>
    </row>
    <row r="260" spans="1:11" hidden="1" x14ac:dyDescent="0.35">
      <c r="G260" s="1"/>
      <c r="H260" s="1"/>
    </row>
    <row r="261" spans="1:11" x14ac:dyDescent="0.35">
      <c r="A261" s="1" t="s">
        <v>346</v>
      </c>
      <c r="B261" s="1" t="s">
        <v>347</v>
      </c>
      <c r="C261" s="1" t="s">
        <v>1219</v>
      </c>
      <c r="D261" s="1" t="s">
        <v>348</v>
      </c>
      <c r="E261" s="1" t="s">
        <v>348</v>
      </c>
      <c r="F261" s="1" t="s">
        <v>781</v>
      </c>
      <c r="G261" s="97" t="str">
        <f>VLOOKUP(B261,'[1]Data Email Anggota'!C$2:F$366,4,FALSE)</f>
        <v>rima@bki.co.id</v>
      </c>
      <c r="H261" s="97" t="s">
        <v>1206</v>
      </c>
      <c r="I261" s="2">
        <f>VLOOKUP(B261,[4]Sheet1!B$2:I$773,8,FALSE)</f>
        <v>500000</v>
      </c>
      <c r="J261" s="2">
        <v>0</v>
      </c>
      <c r="K261" s="25"/>
    </row>
    <row r="262" spans="1:11" x14ac:dyDescent="0.35">
      <c r="A262" s="1" t="s">
        <v>349</v>
      </c>
      <c r="B262" s="1" t="s">
        <v>350</v>
      </c>
      <c r="C262" s="1" t="s">
        <v>1219</v>
      </c>
      <c r="D262" s="1" t="s">
        <v>348</v>
      </c>
      <c r="E262" s="1" t="s">
        <v>348</v>
      </c>
      <c r="F262" s="1" t="s">
        <v>782</v>
      </c>
      <c r="G262" s="97" t="str">
        <f>VLOOKUP(B262,'[1]Data Email Anggota'!C$2:F$366,4,FALSE)</f>
        <v>warini@bki.co.id</v>
      </c>
      <c r="H262" s="97" t="str">
        <f>VLOOKUP(B262,[3]SHU!C$8:L$377,10,FALSE)</f>
        <v>AKTIF</v>
      </c>
      <c r="I262" s="2">
        <f>VLOOKUP(B262,[4]Sheet1!B$2:I$773,8,FALSE)</f>
        <v>150000</v>
      </c>
      <c r="J262" s="2">
        <v>0</v>
      </c>
      <c r="K262" s="25"/>
    </row>
    <row r="263" spans="1:11" x14ac:dyDescent="0.35">
      <c r="A263" s="1" t="s">
        <v>351</v>
      </c>
      <c r="B263" s="1" t="s">
        <v>352</v>
      </c>
      <c r="C263" s="1" t="s">
        <v>1219</v>
      </c>
      <c r="D263" s="1" t="s">
        <v>348</v>
      </c>
      <c r="E263" s="1" t="s">
        <v>348</v>
      </c>
      <c r="F263" s="1" t="s">
        <v>783</v>
      </c>
      <c r="G263" s="97" t="str">
        <f>VLOOKUP(B263,'[1]Data Email Anggota'!C$2:F$366,4,FALSE)</f>
        <v>anogi@bki.co.id</v>
      </c>
      <c r="H263" s="97" t="s">
        <v>1206</v>
      </c>
      <c r="I263" s="2">
        <f>VLOOKUP(B263,[4]Sheet1!B$2:I$773,8,FALSE)</f>
        <v>350000</v>
      </c>
      <c r="J263" s="2">
        <v>0</v>
      </c>
      <c r="K263" s="25"/>
    </row>
    <row r="264" spans="1:11" hidden="1" x14ac:dyDescent="0.35">
      <c r="G264" s="1"/>
      <c r="H264" s="1"/>
    </row>
    <row r="265" spans="1:11" x14ac:dyDescent="0.35">
      <c r="A265" s="1" t="s">
        <v>353</v>
      </c>
      <c r="B265" s="1" t="s">
        <v>354</v>
      </c>
      <c r="C265" s="1" t="s">
        <v>1219</v>
      </c>
      <c r="D265" s="1" t="s">
        <v>348</v>
      </c>
      <c r="E265" s="1" t="s">
        <v>348</v>
      </c>
      <c r="F265" s="1" t="s">
        <v>785</v>
      </c>
      <c r="G265" s="97" t="str">
        <f>VLOOKUP(B265,'[1]Data Email Anggota'!C$2:F$366,4,FALSE)</f>
        <v>m.adityo@bki.co.id</v>
      </c>
      <c r="H265" s="97" t="s">
        <v>1206</v>
      </c>
      <c r="I265" s="2">
        <f>VLOOKUP(B265,[4]Sheet1!B$2:I$773,8,FALSE)</f>
        <v>150000</v>
      </c>
      <c r="J265" s="2">
        <v>0</v>
      </c>
      <c r="K265" s="25"/>
    </row>
    <row r="266" spans="1:11" x14ac:dyDescent="0.35">
      <c r="A266" s="1" t="s">
        <v>355</v>
      </c>
      <c r="B266" s="1" t="s">
        <v>356</v>
      </c>
      <c r="C266" s="1" t="s">
        <v>1219</v>
      </c>
      <c r="D266" s="1" t="s">
        <v>348</v>
      </c>
      <c r="E266" s="1" t="s">
        <v>348</v>
      </c>
      <c r="F266" s="1" t="s">
        <v>786</v>
      </c>
      <c r="G266" s="97" t="str">
        <f>VLOOKUP(B266,'[1]Data Email Anggota'!C$2:F$366,4,FALSE)</f>
        <v>dwi.ck@bki.co.id</v>
      </c>
      <c r="H266" s="97" t="s">
        <v>1206</v>
      </c>
      <c r="I266" s="2">
        <f>VLOOKUP(B266,[4]Sheet1!B$2:I$773,8,FALSE)</f>
        <v>150000</v>
      </c>
      <c r="J266" s="2">
        <f>VLOOKUP(B266,'[5]DAFTAR ALL'!B$8:D$68,3,FALSE)</f>
        <v>3510416</v>
      </c>
      <c r="K266" s="25"/>
    </row>
    <row r="267" spans="1:11" x14ac:dyDescent="0.35">
      <c r="A267" s="1" t="s">
        <v>357</v>
      </c>
      <c r="B267" s="1" t="s">
        <v>358</v>
      </c>
      <c r="C267" s="1" t="s">
        <v>1219</v>
      </c>
      <c r="D267" s="1" t="s">
        <v>348</v>
      </c>
      <c r="E267" s="1" t="s">
        <v>348</v>
      </c>
      <c r="F267" s="1" t="s">
        <v>787</v>
      </c>
      <c r="G267" s="97" t="str">
        <f>VLOOKUP(B267,'[1]Data Email Anggota'!C$2:F$366,4,FALSE)</f>
        <v>dede@bki.co.id</v>
      </c>
      <c r="H267" s="97" t="s">
        <v>1206</v>
      </c>
      <c r="I267" s="2">
        <f>VLOOKUP(B267,[4]Sheet1!B$2:I$773,8,FALSE)</f>
        <v>250000</v>
      </c>
      <c r="J267" s="2">
        <f>VLOOKUP(B267,'[5]DAFTAR ALL'!B$8:D$68,3,FALSE)</f>
        <v>18366992</v>
      </c>
      <c r="K267" s="25"/>
    </row>
    <row r="268" spans="1:11" x14ac:dyDescent="0.35">
      <c r="A268" s="1" t="s">
        <v>359</v>
      </c>
      <c r="B268" s="1" t="s">
        <v>360</v>
      </c>
      <c r="C268" s="1" t="s">
        <v>1219</v>
      </c>
      <c r="D268" s="1" t="s">
        <v>348</v>
      </c>
      <c r="E268" s="1" t="s">
        <v>348</v>
      </c>
      <c r="F268" s="1" t="s">
        <v>788</v>
      </c>
      <c r="G268" s="97" t="str">
        <f>VLOOKUP(B268,'[1]Data Email Anggota'!C$2:F$366,4,FALSE)</f>
        <v>regiyan.dk@bki.co.id</v>
      </c>
      <c r="H268" s="97" t="s">
        <v>1206</v>
      </c>
      <c r="I268" s="2">
        <f>VLOOKUP(B268,[4]Sheet1!B$2:I$773,8,FALSE)</f>
        <v>100000</v>
      </c>
      <c r="J268" s="2">
        <v>0</v>
      </c>
      <c r="K268" s="25"/>
    </row>
    <row r="269" spans="1:11" x14ac:dyDescent="0.35">
      <c r="A269" s="1" t="s">
        <v>361</v>
      </c>
      <c r="B269" s="1" t="s">
        <v>362</v>
      </c>
      <c r="C269" s="1" t="s">
        <v>1219</v>
      </c>
      <c r="D269" s="1" t="s">
        <v>348</v>
      </c>
      <c r="E269" s="1" t="s">
        <v>348</v>
      </c>
      <c r="F269" s="1" t="s">
        <v>788</v>
      </c>
      <c r="G269" s="97" t="str">
        <f>VLOOKUP(B269,'[1]Data Email Anggota'!C$2:F$366,4,FALSE)</f>
        <v>m.rafi@bki.co.id</v>
      </c>
      <c r="H269" s="97" t="s">
        <v>1206</v>
      </c>
      <c r="I269" s="2">
        <f>VLOOKUP(B269,[4]Sheet1!B$2:I$773,8,FALSE)</f>
        <v>100000</v>
      </c>
      <c r="J269" s="2">
        <v>0</v>
      </c>
      <c r="K269" s="25"/>
    </row>
    <row r="270" spans="1:11" x14ac:dyDescent="0.35">
      <c r="A270" s="1" t="s">
        <v>363</v>
      </c>
      <c r="B270" s="1" t="s">
        <v>364</v>
      </c>
      <c r="C270" s="1" t="s">
        <v>1219</v>
      </c>
      <c r="D270" s="1" t="s">
        <v>348</v>
      </c>
      <c r="E270" s="1" t="s">
        <v>348</v>
      </c>
      <c r="F270" s="1" t="s">
        <v>789</v>
      </c>
      <c r="H270" s="97" t="s">
        <v>1206</v>
      </c>
      <c r="I270" s="2">
        <f>VLOOKUP(B270,[4]Sheet1!B$2:I$773,8,FALSE)</f>
        <v>100000</v>
      </c>
      <c r="J270" s="2">
        <v>0</v>
      </c>
      <c r="K270" s="25"/>
    </row>
    <row r="271" spans="1:11" x14ac:dyDescent="0.35">
      <c r="A271" s="1" t="s">
        <v>365</v>
      </c>
      <c r="B271" s="1" t="s">
        <v>366</v>
      </c>
      <c r="C271" s="1" t="s">
        <v>950</v>
      </c>
      <c r="D271" s="1" t="s">
        <v>367</v>
      </c>
      <c r="E271" s="1" t="s">
        <v>367</v>
      </c>
      <c r="F271" s="1" t="s">
        <v>790</v>
      </c>
      <c r="G271" s="97" t="str">
        <f>VLOOKUP(B271,'[1]Data Email Anggota'!C$2:F$366,4,FALSE)</f>
        <v>chrisantya.wiharti@bki.co.id</v>
      </c>
      <c r="H271" s="97" t="s">
        <v>1206</v>
      </c>
      <c r="I271" s="2">
        <f>VLOOKUP(B271,[4]Sheet1!B$2:I$773,8,FALSE)</f>
        <v>150000</v>
      </c>
      <c r="J271" s="2">
        <v>0</v>
      </c>
      <c r="K271" s="25"/>
    </row>
    <row r="272" spans="1:11" x14ac:dyDescent="0.35">
      <c r="A272" s="1" t="s">
        <v>368</v>
      </c>
      <c r="B272" s="1" t="s">
        <v>369</v>
      </c>
      <c r="C272" s="1" t="s">
        <v>950</v>
      </c>
      <c r="D272" s="1" t="s">
        <v>367</v>
      </c>
      <c r="E272" s="1" t="s">
        <v>367</v>
      </c>
      <c r="F272" s="1" t="s">
        <v>791</v>
      </c>
      <c r="G272" s="97" t="str">
        <f>VLOOKUP(B272,'[1]Data Email Anggota'!C$2:F$366,4,FALSE)</f>
        <v>putri@bki.co.id</v>
      </c>
      <c r="H272" s="97" t="s">
        <v>1206</v>
      </c>
      <c r="I272" s="2">
        <f>VLOOKUP(B272,[4]Sheet1!B$2:I$773,8,FALSE)</f>
        <v>350000</v>
      </c>
      <c r="J272" s="2">
        <v>0</v>
      </c>
      <c r="K272" s="25"/>
    </row>
    <row r="273" spans="1:11" x14ac:dyDescent="0.35">
      <c r="A273" s="1" t="s">
        <v>370</v>
      </c>
      <c r="B273" s="1" t="s">
        <v>371</v>
      </c>
      <c r="C273" s="1" t="s">
        <v>950</v>
      </c>
      <c r="D273" s="1" t="s">
        <v>372</v>
      </c>
      <c r="E273" s="1" t="s">
        <v>372</v>
      </c>
      <c r="F273" s="1" t="s">
        <v>792</v>
      </c>
      <c r="G273" s="97" t="str">
        <f>VLOOKUP(B273,'[1]Data Email Anggota'!C$2:F$366,4,FALSE)</f>
        <v>abdil.hz@bki.co.id</v>
      </c>
      <c r="H273" s="97" t="s">
        <v>1206</v>
      </c>
      <c r="I273" s="2">
        <f>VLOOKUP(B273,[4]Sheet1!B$2:I$773,8,FALSE)</f>
        <v>150000</v>
      </c>
      <c r="J273" s="2">
        <v>0</v>
      </c>
      <c r="K273" s="25"/>
    </row>
    <row r="274" spans="1:11" x14ac:dyDescent="0.35">
      <c r="A274" s="1" t="s">
        <v>373</v>
      </c>
      <c r="B274" s="1" t="s">
        <v>374</v>
      </c>
      <c r="C274" s="1" t="s">
        <v>1219</v>
      </c>
      <c r="D274" s="1" t="s">
        <v>375</v>
      </c>
      <c r="E274" s="1" t="s">
        <v>375</v>
      </c>
      <c r="F274" s="1" t="s">
        <v>793</v>
      </c>
      <c r="G274" s="97" t="str">
        <f>VLOOKUP(B274,'[1]Data Email Anggota'!C$2:F$366,4,FALSE)</f>
        <v>rani@bki.co.id</v>
      </c>
      <c r="H274" s="97" t="s">
        <v>1206</v>
      </c>
      <c r="I274" s="2">
        <f>VLOOKUP(B274,[4]Sheet1!B$2:I$773,8,FALSE)</f>
        <v>350000</v>
      </c>
      <c r="J274" s="2">
        <v>0</v>
      </c>
      <c r="K274" s="25"/>
    </row>
    <row r="275" spans="1:11" hidden="1" x14ac:dyDescent="0.35">
      <c r="G275" s="1"/>
      <c r="H275" s="1"/>
    </row>
    <row r="276" spans="1:11" x14ac:dyDescent="0.35">
      <c r="A276" s="1" t="s">
        <v>376</v>
      </c>
      <c r="B276" s="1" t="s">
        <v>377</v>
      </c>
      <c r="C276" s="1" t="s">
        <v>1219</v>
      </c>
      <c r="D276" s="1" t="s">
        <v>375</v>
      </c>
      <c r="E276" s="1" t="s">
        <v>375</v>
      </c>
      <c r="F276" s="1" t="s">
        <v>794</v>
      </c>
      <c r="G276" s="97" t="str">
        <f>VLOOKUP(B276,'[1]Data Email Anggota'!C$2:F$366,4,FALSE)</f>
        <v>raka.dwita@bki.co.id</v>
      </c>
      <c r="H276" s="97" t="str">
        <f>VLOOKUP(B276,[3]SHU!C$8:L$377,10,FALSE)</f>
        <v>AKTIF</v>
      </c>
      <c r="I276" s="2">
        <f>VLOOKUP(B276,[4]Sheet1!B$2:I$773,8,FALSE)</f>
        <v>100000</v>
      </c>
      <c r="J276" s="2">
        <v>0</v>
      </c>
      <c r="K276" s="25"/>
    </row>
    <row r="277" spans="1:11" x14ac:dyDescent="0.35">
      <c r="A277" s="1" t="s">
        <v>378</v>
      </c>
      <c r="B277" s="1" t="s">
        <v>379</v>
      </c>
      <c r="C277" s="1" t="s">
        <v>1219</v>
      </c>
      <c r="D277" s="1" t="s">
        <v>380</v>
      </c>
      <c r="E277" s="1" t="s">
        <v>380</v>
      </c>
      <c r="F277" s="1" t="s">
        <v>795</v>
      </c>
      <c r="G277" s="97" t="str">
        <f>VLOOKUP(B277,'[1]Data Email Anggota'!C$2:F$366,4,FALSE)</f>
        <v>marisa.ts@bki.co.id</v>
      </c>
      <c r="H277" s="97" t="s">
        <v>1206</v>
      </c>
      <c r="I277" s="2">
        <f>VLOOKUP(B277,[4]Sheet1!B$2:I$773,8,FALSE)</f>
        <v>250000</v>
      </c>
      <c r="J277" s="2">
        <f>VLOOKUP(B277,'[5]DAFTAR ALL'!B$8:D$68,3,FALSE)</f>
        <v>2291667</v>
      </c>
      <c r="K277" s="25"/>
    </row>
    <row r="278" spans="1:11" hidden="1" x14ac:dyDescent="0.35">
      <c r="G278" s="1"/>
      <c r="H278" s="1"/>
    </row>
    <row r="279" spans="1:11" x14ac:dyDescent="0.35">
      <c r="A279" s="1" t="s">
        <v>381</v>
      </c>
      <c r="B279" s="1" t="s">
        <v>382</v>
      </c>
      <c r="C279" s="1" t="s">
        <v>1219</v>
      </c>
      <c r="D279" s="1" t="s">
        <v>380</v>
      </c>
      <c r="E279" s="1" t="s">
        <v>380</v>
      </c>
      <c r="F279" s="1" t="s">
        <v>704</v>
      </c>
      <c r="H279" s="97" t="str">
        <f>VLOOKUP(B279,[3]SHU!C$8:L$377,10,FALSE)</f>
        <v>AKTIF</v>
      </c>
      <c r="I279" s="2">
        <f>VLOOKUP(B279,[4]Sheet1!B$2:I$773,8,FALSE)</f>
        <v>150000</v>
      </c>
      <c r="J279" s="2">
        <f>VLOOKUP(B279,'[5]DAFTAR ALL'!B$8:D$68,3,FALSE)</f>
        <v>500000</v>
      </c>
      <c r="K279" s="25"/>
    </row>
    <row r="280" spans="1:11" x14ac:dyDescent="0.35">
      <c r="A280" s="1" t="s">
        <v>383</v>
      </c>
      <c r="B280" s="1" t="s">
        <v>384</v>
      </c>
      <c r="C280" s="1" t="s">
        <v>1219</v>
      </c>
      <c r="D280" s="1" t="s">
        <v>380</v>
      </c>
      <c r="E280" s="1" t="s">
        <v>380</v>
      </c>
      <c r="F280" s="1" t="s">
        <v>796</v>
      </c>
      <c r="G280" s="97" t="str">
        <f>VLOOKUP(B280,'[1]Data Email Anggota'!C$2:F$366,4,FALSE)</f>
        <v>bambang.irwan@bki.co.id</v>
      </c>
      <c r="H280" s="97" t="str">
        <f>VLOOKUP(B280,[3]SHU!C$8:L$377,10,FALSE)</f>
        <v>AKTIF</v>
      </c>
      <c r="I280" s="2">
        <f>VLOOKUP(B280,[4]Sheet1!B$2:I$773,8,FALSE)</f>
        <v>250000</v>
      </c>
      <c r="J280" s="2">
        <v>0</v>
      </c>
      <c r="K280" s="25"/>
    </row>
    <row r="281" spans="1:11" x14ac:dyDescent="0.35">
      <c r="A281" s="1" t="s">
        <v>385</v>
      </c>
      <c r="B281" s="1" t="s">
        <v>386</v>
      </c>
      <c r="C281" s="1" t="s">
        <v>950</v>
      </c>
      <c r="D281" s="1" t="s">
        <v>380</v>
      </c>
      <c r="E281" s="1" t="s">
        <v>380</v>
      </c>
      <c r="F281" s="1" t="s">
        <v>797</v>
      </c>
      <c r="G281" s="97" t="str">
        <f>VLOOKUP(B281,'[1]Data Email Anggota'!C$2:F$366,4,FALSE)</f>
        <v>teguh.andani@bki.co.id</v>
      </c>
      <c r="H281" s="97" t="s">
        <v>1206</v>
      </c>
      <c r="I281" s="2">
        <f>VLOOKUP(B281,[4]Sheet1!B$2:I$773,8,FALSE)</f>
        <v>250000</v>
      </c>
      <c r="J281" s="2">
        <f>VLOOKUP(B281,'[5]DAFTAR ALL'!B$8:D$68,3,FALSE)</f>
        <v>9019189</v>
      </c>
      <c r="K281" s="25"/>
    </row>
    <row r="282" spans="1:11" x14ac:dyDescent="0.35">
      <c r="A282" s="1" t="s">
        <v>387</v>
      </c>
      <c r="B282" s="1" t="s">
        <v>388</v>
      </c>
      <c r="C282" s="1" t="s">
        <v>950</v>
      </c>
      <c r="D282" s="1" t="s">
        <v>380</v>
      </c>
      <c r="E282" s="1" t="s">
        <v>380</v>
      </c>
      <c r="F282" s="1" t="s">
        <v>798</v>
      </c>
      <c r="H282" s="97" t="s">
        <v>1206</v>
      </c>
      <c r="I282" s="2">
        <f>VLOOKUP(B282,[4]Sheet1!B$2:I$773,8,FALSE)</f>
        <v>150000</v>
      </c>
      <c r="J282" s="2">
        <f>VLOOKUP(B282,'[5]DAFTAR ALL'!B$8:D$68,3,FALSE)</f>
        <v>13910000</v>
      </c>
      <c r="K282" s="25"/>
    </row>
    <row r="283" spans="1:11" x14ac:dyDescent="0.35">
      <c r="A283" s="1" t="s">
        <v>389</v>
      </c>
      <c r="B283" s="1" t="s">
        <v>390</v>
      </c>
      <c r="C283" s="1" t="s">
        <v>1219</v>
      </c>
      <c r="D283" s="1" t="s">
        <v>380</v>
      </c>
      <c r="E283" s="1" t="s">
        <v>380</v>
      </c>
      <c r="F283" s="1" t="s">
        <v>799</v>
      </c>
      <c r="G283" s="97" t="str">
        <f>VLOOKUP(B283,'[1]Data Email Anggota'!C$2:F$366,4,FALSE)</f>
        <v>sri.mulyanti@bki.co.id</v>
      </c>
      <c r="H283" s="97" t="str">
        <f>VLOOKUP(B283,[3]SHU!C$8:L$377,10,FALSE)</f>
        <v>AKTIF</v>
      </c>
      <c r="I283" s="2">
        <f>VLOOKUP(B283,[4]Sheet1!B$2:I$773,8,FALSE)</f>
        <v>150000</v>
      </c>
      <c r="J283" s="2">
        <v>0</v>
      </c>
      <c r="K283" s="25"/>
    </row>
    <row r="284" spans="1:11" x14ac:dyDescent="0.35">
      <c r="A284" s="1" t="s">
        <v>391</v>
      </c>
      <c r="B284" s="1" t="s">
        <v>392</v>
      </c>
      <c r="C284" s="1" t="s">
        <v>1219</v>
      </c>
      <c r="D284" s="1" t="s">
        <v>380</v>
      </c>
      <c r="E284" s="1" t="s">
        <v>380</v>
      </c>
      <c r="F284" s="1" t="s">
        <v>704</v>
      </c>
      <c r="H284" s="97" t="str">
        <f>VLOOKUP(B284,[3]SHU!C$8:L$377,10,FALSE)</f>
        <v>AKTIF</v>
      </c>
      <c r="I284" s="2">
        <f>VLOOKUP(B284,[4]Sheet1!B$2:I$773,8,FALSE)</f>
        <v>150000</v>
      </c>
      <c r="J284" s="2">
        <f>VLOOKUP(B284,'[5]DAFTAR ALL'!B$8:D$68,3,FALSE)</f>
        <v>3450042</v>
      </c>
      <c r="K284" s="25"/>
    </row>
    <row r="285" spans="1:11" x14ac:dyDescent="0.35">
      <c r="A285" s="1" t="s">
        <v>393</v>
      </c>
      <c r="B285" s="1" t="s">
        <v>394</v>
      </c>
      <c r="C285" s="1" t="s">
        <v>1219</v>
      </c>
      <c r="D285" s="1" t="s">
        <v>380</v>
      </c>
      <c r="E285" s="1" t="s">
        <v>380</v>
      </c>
      <c r="F285" s="1" t="s">
        <v>704</v>
      </c>
      <c r="H285" s="97" t="str">
        <f>VLOOKUP(B285,[3]SHU!C$8:L$377,10,FALSE)</f>
        <v>AKTIF</v>
      </c>
      <c r="I285" s="2">
        <f>VLOOKUP(B285,[4]Sheet1!B$2:I$773,8,FALSE)</f>
        <v>150000</v>
      </c>
      <c r="J285" s="2">
        <f>VLOOKUP(B285,'[5]DAFTAR ALL'!B$8:D$68,3,FALSE)</f>
        <v>4697816</v>
      </c>
      <c r="K285" s="25"/>
    </row>
    <row r="286" spans="1:11" x14ac:dyDescent="0.35">
      <c r="A286" s="1" t="s">
        <v>395</v>
      </c>
      <c r="B286" s="1" t="s">
        <v>396</v>
      </c>
      <c r="C286" s="1" t="s">
        <v>950</v>
      </c>
      <c r="D286" s="1" t="s">
        <v>380</v>
      </c>
      <c r="E286" s="1" t="s">
        <v>380</v>
      </c>
      <c r="F286" s="1" t="s">
        <v>800</v>
      </c>
      <c r="G286" s="97" t="str">
        <f>VLOOKUP(B286,'[1]Data Email Anggota'!C$2:F$366,4,FALSE)</f>
        <v>aditya.putri@bki.co.id</v>
      </c>
      <c r="H286" s="97" t="str">
        <f>VLOOKUP(B286,[3]SHU!C$8:L$377,10,FALSE)</f>
        <v>AKTIF</v>
      </c>
      <c r="I286" s="2">
        <f>VLOOKUP(B286,[4]Sheet1!B$2:I$773,8,FALSE)</f>
        <v>150000</v>
      </c>
      <c r="J286" s="2">
        <v>0</v>
      </c>
      <c r="K286" s="25"/>
    </row>
    <row r="287" spans="1:11" x14ac:dyDescent="0.35">
      <c r="A287" s="1" t="s">
        <v>397</v>
      </c>
      <c r="B287" s="1" t="s">
        <v>398</v>
      </c>
      <c r="C287" s="1" t="s">
        <v>1219</v>
      </c>
      <c r="D287" s="1" t="s">
        <v>380</v>
      </c>
      <c r="E287" s="1" t="s">
        <v>380</v>
      </c>
      <c r="F287" s="1" t="s">
        <v>801</v>
      </c>
      <c r="G287" s="97" t="str">
        <f>VLOOKUP(B287,'[1]Data Email Anggota'!C$2:F$366,4,FALSE)</f>
        <v>untung@bki.co.id</v>
      </c>
      <c r="H287" s="97" t="str">
        <f>VLOOKUP(B287,[3]SHU!C$8:L$377,10,FALSE)</f>
        <v>AKTIF</v>
      </c>
      <c r="I287" s="2">
        <f>VLOOKUP(B287,[4]Sheet1!B$2:I$773,8,FALSE)</f>
        <v>250000</v>
      </c>
      <c r="J287" s="2">
        <f>VLOOKUP(B287,'[5]DAFTAR ALL'!B$8:D$68,3,FALSE)+[5]TAB.QUR!$D$6</f>
        <v>1590972</v>
      </c>
      <c r="K287" s="25"/>
    </row>
    <row r="288" spans="1:11" x14ac:dyDescent="0.35">
      <c r="A288" s="1" t="s">
        <v>399</v>
      </c>
      <c r="B288" s="1" t="s">
        <v>400</v>
      </c>
      <c r="C288" s="1" t="s">
        <v>1219</v>
      </c>
      <c r="D288" s="1" t="s">
        <v>380</v>
      </c>
      <c r="E288" s="1" t="s">
        <v>380</v>
      </c>
      <c r="F288" s="1" t="s">
        <v>802</v>
      </c>
      <c r="G288" s="97" t="str">
        <f>VLOOKUP(B288,'[1]Data Email Anggota'!C$2:F$366,4,FALSE)</f>
        <v>nasaruddin@bki.co.id</v>
      </c>
      <c r="H288" s="97" t="s">
        <v>1206</v>
      </c>
      <c r="I288" s="2">
        <f>VLOOKUP(B288,[4]Sheet1!B$2:I$773,8,FALSE)</f>
        <v>500000</v>
      </c>
      <c r="J288" s="2">
        <f>VLOOKUP(B288,'[5]DAFTAR ALL'!B$8:D$68,3,FALSE)</f>
        <v>3402778</v>
      </c>
      <c r="K288" s="25"/>
    </row>
    <row r="289" spans="1:11" x14ac:dyDescent="0.35">
      <c r="A289" s="1" t="s">
        <v>401</v>
      </c>
      <c r="B289" s="1" t="s">
        <v>402</v>
      </c>
      <c r="C289" s="1" t="s">
        <v>1219</v>
      </c>
      <c r="D289" s="1" t="s">
        <v>380</v>
      </c>
      <c r="E289" s="1" t="s">
        <v>380</v>
      </c>
      <c r="F289" s="1" t="s">
        <v>698</v>
      </c>
      <c r="G289" s="97" t="str">
        <f>VLOOKUP(B289,'[1]Data Email Anggota'!C$2:F$366,4,FALSE)</f>
        <v>muslim.dermawan@bki.co.id</v>
      </c>
      <c r="H289" s="97" t="s">
        <v>1206</v>
      </c>
      <c r="I289" s="2">
        <f>VLOOKUP(B289,[4]Sheet1!B$2:I$773,8,FALSE)</f>
        <v>100000</v>
      </c>
      <c r="J289" s="2">
        <v>0</v>
      </c>
      <c r="K289" s="25"/>
    </row>
    <row r="290" spans="1:11" x14ac:dyDescent="0.35">
      <c r="A290" s="1" t="s">
        <v>403</v>
      </c>
      <c r="B290" s="1" t="s">
        <v>404</v>
      </c>
      <c r="C290" s="1" t="s">
        <v>1219</v>
      </c>
      <c r="D290" s="1" t="s">
        <v>380</v>
      </c>
      <c r="E290" s="1" t="s">
        <v>380</v>
      </c>
      <c r="F290" s="1" t="s">
        <v>803</v>
      </c>
      <c r="G290" s="97" t="str">
        <f>VLOOKUP(B290,'[1]Data Email Anggota'!C$2:F$366,4,FALSE)</f>
        <v>rian.es@bki.co.id</v>
      </c>
      <c r="H290" s="97" t="str">
        <f>VLOOKUP(B290,[3]SHU!C$8:L$377,10,FALSE)</f>
        <v>AKTIF</v>
      </c>
      <c r="I290" s="2">
        <f>VLOOKUP(B290,[4]Sheet1!B$2:I$773,8,FALSE)</f>
        <v>100000</v>
      </c>
      <c r="J290" s="2">
        <v>0</v>
      </c>
      <c r="K290" s="25"/>
    </row>
    <row r="291" spans="1:11" hidden="1" x14ac:dyDescent="0.35">
      <c r="G291" s="1"/>
      <c r="H291" s="1"/>
    </row>
    <row r="292" spans="1:11" x14ac:dyDescent="0.35">
      <c r="A292" s="1" t="s">
        <v>405</v>
      </c>
      <c r="B292" s="1" t="s">
        <v>406</v>
      </c>
      <c r="C292" s="1" t="s">
        <v>1219</v>
      </c>
      <c r="D292" s="1" t="s">
        <v>380</v>
      </c>
      <c r="E292" s="1" t="s">
        <v>380</v>
      </c>
      <c r="F292" s="1" t="s">
        <v>698</v>
      </c>
      <c r="G292" s="97" t="str">
        <f>VLOOKUP(B292,'[1]Data Email Anggota'!C$2:F$366,4,FALSE)</f>
        <v>sukadi.redji@bki.co.id</v>
      </c>
      <c r="H292" s="97" t="s">
        <v>1206</v>
      </c>
      <c r="I292" s="2">
        <f>VLOOKUP(B292,[4]Sheet1!B$2:I$773,8,FALSE)</f>
        <v>150000</v>
      </c>
      <c r="J292" s="2">
        <f>VLOOKUP(B292,'[5]DAFTAR ALL'!B$8:D$68,3,FALSE)</f>
        <v>12486708</v>
      </c>
      <c r="K292" s="25"/>
    </row>
    <row r="293" spans="1:11" x14ac:dyDescent="0.35">
      <c r="A293" s="1" t="s">
        <v>407</v>
      </c>
      <c r="B293" s="1" t="s">
        <v>408</v>
      </c>
      <c r="C293" s="1" t="s">
        <v>950</v>
      </c>
      <c r="D293" s="1" t="s">
        <v>409</v>
      </c>
      <c r="E293" s="1" t="s">
        <v>409</v>
      </c>
      <c r="F293" s="1" t="s">
        <v>804</v>
      </c>
      <c r="G293" s="97" t="str">
        <f>VLOOKUP(B293,'[1]Data Email Anggota'!C$2:F$366,4,FALSE)</f>
        <v>nadia.listiyani@bki.co.id</v>
      </c>
      <c r="H293" s="97" t="str">
        <f>VLOOKUP(B293,[3]SHU!C$8:L$377,10,FALSE)</f>
        <v>AKTIF</v>
      </c>
      <c r="I293" s="2">
        <f>VLOOKUP(B293,[4]Sheet1!B$2:I$773,8,FALSE)</f>
        <v>350000</v>
      </c>
      <c r="J293" s="2">
        <v>0</v>
      </c>
      <c r="K293" s="25"/>
    </row>
    <row r="294" spans="1:11" x14ac:dyDescent="0.35">
      <c r="A294" s="1" t="s">
        <v>410</v>
      </c>
      <c r="B294" s="1" t="s">
        <v>411</v>
      </c>
      <c r="C294" s="1" t="s">
        <v>950</v>
      </c>
      <c r="D294" s="1" t="s">
        <v>409</v>
      </c>
      <c r="E294" s="1" t="s">
        <v>409</v>
      </c>
      <c r="F294" s="1" t="s">
        <v>805</v>
      </c>
      <c r="G294" s="97" t="str">
        <f>VLOOKUP(B294,'[1]Data Email Anggota'!C$2:F$366,4,FALSE)</f>
        <v>salma.widityani@bki.co.id</v>
      </c>
      <c r="H294" s="97" t="str">
        <f>VLOOKUP(B294,[3]SHU!C$8:L$377,10,FALSE)</f>
        <v>AKTIF</v>
      </c>
      <c r="I294" s="2">
        <f>VLOOKUP(B294,[4]Sheet1!B$2:I$773,8,FALSE)</f>
        <v>150000</v>
      </c>
      <c r="J294" s="2">
        <v>0</v>
      </c>
      <c r="K294" s="25"/>
    </row>
    <row r="295" spans="1:11" hidden="1" x14ac:dyDescent="0.35">
      <c r="G295" s="1"/>
      <c r="H295" s="1"/>
    </row>
    <row r="296" spans="1:11" x14ac:dyDescent="0.35">
      <c r="A296" s="1" t="s">
        <v>412</v>
      </c>
      <c r="B296" s="1" t="s">
        <v>413</v>
      </c>
      <c r="C296" s="1" t="s">
        <v>950</v>
      </c>
      <c r="D296" s="1" t="s">
        <v>266</v>
      </c>
      <c r="E296" s="1" t="s">
        <v>414</v>
      </c>
      <c r="F296" s="1" t="s">
        <v>784</v>
      </c>
      <c r="G296" s="97" t="str">
        <f>VLOOKUP(B296,'[1]Data Email Anggota'!C$2:F$366,4,FALSE)</f>
        <v>budi.fitriawan@bki.co.id</v>
      </c>
      <c r="H296" s="97" t="s">
        <v>1206</v>
      </c>
      <c r="I296" s="2">
        <f>VLOOKUP(B296,[4]Sheet1!B$2:I$773,8,FALSE)</f>
        <v>250000</v>
      </c>
      <c r="J296" s="2">
        <v>0</v>
      </c>
      <c r="K296" s="25"/>
    </row>
    <row r="297" spans="1:11" x14ac:dyDescent="0.35">
      <c r="A297" s="1" t="s">
        <v>415</v>
      </c>
      <c r="B297" s="1" t="s">
        <v>416</v>
      </c>
      <c r="C297" s="1" t="s">
        <v>950</v>
      </c>
      <c r="D297" s="1" t="s">
        <v>266</v>
      </c>
      <c r="E297" s="1" t="s">
        <v>414</v>
      </c>
      <c r="F297" s="1" t="s">
        <v>806</v>
      </c>
      <c r="G297" s="97" t="str">
        <f>VLOOKUP(B297,'[1]Data Email Anggota'!C$2:F$366,4,FALSE)</f>
        <v>syahril@bki.co.id</v>
      </c>
      <c r="H297" s="97" t="str">
        <f>VLOOKUP(B297,[3]SHU!C$8:L$377,10,FALSE)</f>
        <v>AKTIF</v>
      </c>
      <c r="I297" s="2">
        <f>VLOOKUP(B297,[4]Sheet1!B$2:I$773,8,FALSE)</f>
        <v>250000</v>
      </c>
      <c r="J297" s="2">
        <f>VLOOKUP(B297,'[5]DAFTAR ALL'!B$8:D$68,3,FALSE)</f>
        <v>2822700</v>
      </c>
      <c r="K297" s="25"/>
    </row>
    <row r="298" spans="1:11" x14ac:dyDescent="0.35">
      <c r="A298" s="1" t="s">
        <v>417</v>
      </c>
      <c r="B298" s="1" t="s">
        <v>418</v>
      </c>
      <c r="C298" s="1" t="s">
        <v>950</v>
      </c>
      <c r="D298" s="1" t="s">
        <v>266</v>
      </c>
      <c r="E298" s="1" t="s">
        <v>414</v>
      </c>
      <c r="F298" s="1" t="s">
        <v>807</v>
      </c>
      <c r="H298" s="97" t="str">
        <f>VLOOKUP(B298,[3]SHU!C$8:L$377,10,FALSE)</f>
        <v>AKTIF</v>
      </c>
      <c r="I298" s="2">
        <f>VLOOKUP(B298,[4]Sheet1!B$2:I$773,8,FALSE)</f>
        <v>100000</v>
      </c>
      <c r="J298" s="2">
        <v>0</v>
      </c>
      <c r="K298" s="25"/>
    </row>
    <row r="299" spans="1:11" x14ac:dyDescent="0.35">
      <c r="A299" s="1" t="s">
        <v>419</v>
      </c>
      <c r="B299" s="1" t="s">
        <v>420</v>
      </c>
      <c r="C299" s="1" t="s">
        <v>950</v>
      </c>
      <c r="D299" s="1" t="s">
        <v>266</v>
      </c>
      <c r="E299" s="1" t="s">
        <v>414</v>
      </c>
      <c r="F299" s="1" t="s">
        <v>808</v>
      </c>
      <c r="G299" s="97" t="str">
        <f>VLOOKUP(B299,'[1]Data Email Anggota'!C$2:F$366,4,FALSE)</f>
        <v>agung.prasetyo@bki.co.id</v>
      </c>
      <c r="H299" s="97" t="str">
        <f>VLOOKUP(B299,[3]SHU!C$8:L$377,10,FALSE)</f>
        <v>AKTIF</v>
      </c>
      <c r="I299" s="2">
        <f>VLOOKUP(B299,[4]Sheet1!B$2:I$773,8,FALSE)</f>
        <v>100000</v>
      </c>
      <c r="J299" s="2">
        <v>0</v>
      </c>
      <c r="K299" s="25"/>
    </row>
    <row r="300" spans="1:11" x14ac:dyDescent="0.35">
      <c r="A300" s="1" t="s">
        <v>421</v>
      </c>
      <c r="B300" s="1" t="s">
        <v>422</v>
      </c>
      <c r="C300" s="1" t="s">
        <v>950</v>
      </c>
      <c r="D300" s="1" t="s">
        <v>266</v>
      </c>
      <c r="E300" s="1" t="s">
        <v>414</v>
      </c>
      <c r="F300" s="1" t="s">
        <v>809</v>
      </c>
      <c r="G300" s="97" t="str">
        <f>VLOOKUP(B300,'[1]Data Email Anggota'!C$2:F$366,4,FALSE)</f>
        <v>deny.hardiansyah@bki.co.id</v>
      </c>
      <c r="H300" s="97" t="s">
        <v>1206</v>
      </c>
      <c r="I300" s="2">
        <f>VLOOKUP(B300,[4]Sheet1!B$2:I$773,8,FALSE)</f>
        <v>150000</v>
      </c>
      <c r="J300" s="2">
        <v>0</v>
      </c>
      <c r="K300" s="25"/>
    </row>
    <row r="301" spans="1:11" hidden="1" x14ac:dyDescent="0.35">
      <c r="G301" s="1"/>
      <c r="H301" s="1"/>
    </row>
    <row r="302" spans="1:11" x14ac:dyDescent="0.35">
      <c r="A302" s="1" t="s">
        <v>424</v>
      </c>
      <c r="B302" s="1" t="s">
        <v>425</v>
      </c>
      <c r="C302" s="1" t="s">
        <v>1219</v>
      </c>
      <c r="D302" s="1" t="s">
        <v>423</v>
      </c>
      <c r="E302" s="1" t="s">
        <v>423</v>
      </c>
      <c r="F302" s="1" t="s">
        <v>810</v>
      </c>
      <c r="G302" s="97" t="str">
        <f>VLOOKUP(B302,'[1]Data Email Anggota'!C$2:F$366,4,FALSE)</f>
        <v>lyzays@bki.co.id</v>
      </c>
      <c r="H302" s="97" t="s">
        <v>1206</v>
      </c>
      <c r="I302" s="2">
        <f>VLOOKUP(B302,[4]Sheet1!B$2:I$773,8,FALSE)</f>
        <v>250000</v>
      </c>
      <c r="J302" s="2">
        <v>0</v>
      </c>
      <c r="K302" s="25"/>
    </row>
    <row r="303" spans="1:11" hidden="1" x14ac:dyDescent="0.35">
      <c r="G303" s="1"/>
      <c r="H303" s="1"/>
    </row>
    <row r="304" spans="1:11" hidden="1" x14ac:dyDescent="0.35">
      <c r="G304" s="1"/>
      <c r="H304" s="1"/>
    </row>
    <row r="305" spans="1:11" x14ac:dyDescent="0.35">
      <c r="A305" s="1" t="s">
        <v>426</v>
      </c>
      <c r="B305" s="1" t="s">
        <v>427</v>
      </c>
      <c r="C305" s="1" t="s">
        <v>1219</v>
      </c>
      <c r="D305" s="1" t="s">
        <v>423</v>
      </c>
      <c r="E305" s="1" t="s">
        <v>423</v>
      </c>
      <c r="F305" s="1" t="s">
        <v>698</v>
      </c>
      <c r="H305" s="97" t="s">
        <v>1206</v>
      </c>
      <c r="I305" s="2">
        <f>VLOOKUP(B305,[4]Sheet1!B$2:I$773,8,FALSE)</f>
        <v>150000</v>
      </c>
      <c r="J305" s="2">
        <f>VLOOKUP(B305,'[5]DAFTAR ALL'!B$8:D$68,3,FALSE)</f>
        <v>1000000</v>
      </c>
      <c r="K305" s="25"/>
    </row>
    <row r="306" spans="1:11" hidden="1" x14ac:dyDescent="0.35">
      <c r="G306" s="1"/>
      <c r="H306" s="1"/>
    </row>
    <row r="307" spans="1:11" x14ac:dyDescent="0.35">
      <c r="A307" s="1" t="s">
        <v>428</v>
      </c>
      <c r="B307" s="1" t="s">
        <v>429</v>
      </c>
      <c r="C307" s="1" t="s">
        <v>1219</v>
      </c>
      <c r="D307" s="1" t="s">
        <v>423</v>
      </c>
      <c r="E307" s="1" t="s">
        <v>423</v>
      </c>
      <c r="F307" s="1" t="s">
        <v>812</v>
      </c>
      <c r="G307" s="97" t="str">
        <f>VLOOKUP(B307,'[1]Data Email Anggota'!C$2:F$366,4,FALSE)</f>
        <v>mappasessu@bki.co.id</v>
      </c>
      <c r="H307" s="97" t="s">
        <v>1206</v>
      </c>
      <c r="I307" s="2">
        <f>VLOOKUP(B307,[4]Sheet1!B$2:I$773,8,FALSE)</f>
        <v>350000</v>
      </c>
      <c r="J307" s="2">
        <f>VLOOKUP(B307,'[5]DAFTAR ALL'!B$8:D$68,3,FALSE)</f>
        <v>7609848</v>
      </c>
      <c r="K307" s="25"/>
    </row>
    <row r="308" spans="1:11" x14ac:dyDescent="0.35">
      <c r="A308" s="1" t="s">
        <v>430</v>
      </c>
      <c r="B308" s="1" t="s">
        <v>431</v>
      </c>
      <c r="C308" s="1" t="s">
        <v>1219</v>
      </c>
      <c r="D308" s="1" t="s">
        <v>423</v>
      </c>
      <c r="E308" s="1" t="s">
        <v>423</v>
      </c>
      <c r="F308" s="1" t="s">
        <v>811</v>
      </c>
      <c r="H308" s="97" t="s">
        <v>1206</v>
      </c>
      <c r="I308" s="2">
        <f>VLOOKUP(B308,[4]Sheet1!B$2:I$773,8,FALSE)</f>
        <v>100000</v>
      </c>
      <c r="J308" s="2">
        <f>VLOOKUP(B308,'[5]DAFTAR ALL'!B$8:D$68,3,FALSE)</f>
        <v>1000000</v>
      </c>
      <c r="K308" s="25"/>
    </row>
    <row r="309" spans="1:11" hidden="1" x14ac:dyDescent="0.35">
      <c r="G309" s="1"/>
      <c r="H309" s="1"/>
    </row>
    <row r="310" spans="1:11" hidden="1" x14ac:dyDescent="0.35">
      <c r="G310" s="1"/>
      <c r="H310" s="1"/>
    </row>
    <row r="311" spans="1:11" hidden="1" x14ac:dyDescent="0.35">
      <c r="G311" s="1"/>
      <c r="H311" s="1"/>
    </row>
    <row r="312" spans="1:11" hidden="1" x14ac:dyDescent="0.35">
      <c r="G312" s="1"/>
      <c r="H312" s="1"/>
    </row>
    <row r="313" spans="1:11" hidden="1" x14ac:dyDescent="0.35">
      <c r="G313" s="1"/>
      <c r="H313" s="1"/>
    </row>
    <row r="314" spans="1:11" hidden="1" x14ac:dyDescent="0.35">
      <c r="G314" s="1"/>
      <c r="H314" s="1"/>
    </row>
    <row r="315" spans="1:11" hidden="1" x14ac:dyDescent="0.35">
      <c r="G315" s="1"/>
      <c r="H315" s="1"/>
    </row>
    <row r="316" spans="1:11" x14ac:dyDescent="0.35">
      <c r="A316" s="1" t="s">
        <v>433</v>
      </c>
      <c r="B316" s="1" t="s">
        <v>434</v>
      </c>
      <c r="C316" s="1" t="s">
        <v>1219</v>
      </c>
      <c r="D316" s="1" t="s">
        <v>432</v>
      </c>
      <c r="E316" s="1" t="s">
        <v>432</v>
      </c>
      <c r="F316" s="1" t="s">
        <v>814</v>
      </c>
      <c r="G316" s="97" t="str">
        <f>VLOOKUP(B316,'[1]Data Email Anggota'!C$2:F$366,4,FALSE)</f>
        <v>deny.cn@bki.co.id</v>
      </c>
      <c r="H316" s="97" t="s">
        <v>1206</v>
      </c>
      <c r="I316" s="2">
        <f>VLOOKUP(B316,[4]Sheet1!B$2:I$773,8,FALSE)</f>
        <v>250000</v>
      </c>
      <c r="J316" s="2">
        <v>0</v>
      </c>
      <c r="K316" s="25"/>
    </row>
    <row r="317" spans="1:11" x14ac:dyDescent="0.35">
      <c r="A317" s="1" t="s">
        <v>435</v>
      </c>
      <c r="B317" s="1" t="s">
        <v>436</v>
      </c>
      <c r="C317" s="1" t="s">
        <v>1219</v>
      </c>
      <c r="D317" s="1" t="s">
        <v>432</v>
      </c>
      <c r="E317" s="1" t="s">
        <v>432</v>
      </c>
      <c r="F317" s="1" t="s">
        <v>815</v>
      </c>
      <c r="G317" s="97" t="str">
        <f>VLOOKUP(B317,'[1]Data Email Anggota'!C$2:F$366,4,FALSE)</f>
        <v>fahrulnurhidayat@bki.co.id</v>
      </c>
      <c r="H317" s="97" t="str">
        <f>VLOOKUP(B317,[3]SHU!C$8:L$377,10,FALSE)</f>
        <v>AKTIF</v>
      </c>
      <c r="I317" s="2">
        <f>VLOOKUP(B317,[4]Sheet1!B$2:I$773,8,FALSE)</f>
        <v>250000</v>
      </c>
      <c r="J317" s="2">
        <v>0</v>
      </c>
      <c r="K317" s="25"/>
    </row>
    <row r="318" spans="1:11" hidden="1" x14ac:dyDescent="0.35">
      <c r="G318" s="1"/>
      <c r="H318" s="1"/>
    </row>
    <row r="319" spans="1:11" hidden="1" x14ac:dyDescent="0.35">
      <c r="G319" s="1"/>
      <c r="H319" s="1"/>
    </row>
    <row r="320" spans="1:11" x14ac:dyDescent="0.35">
      <c r="A320" s="1" t="s">
        <v>437</v>
      </c>
      <c r="B320" s="1" t="s">
        <v>438</v>
      </c>
      <c r="C320" s="1" t="s">
        <v>1219</v>
      </c>
      <c r="D320" s="1" t="s">
        <v>432</v>
      </c>
      <c r="E320" s="1" t="s">
        <v>432</v>
      </c>
      <c r="F320" s="1" t="s">
        <v>817</v>
      </c>
      <c r="G320" s="97" t="str">
        <f>VLOOKUP(B320,'[1]Data Email Anggota'!C$2:F$366,4,FALSE)</f>
        <v>heru.sb@bki.co.id</v>
      </c>
      <c r="H320" s="97" t="s">
        <v>1206</v>
      </c>
      <c r="I320" s="2">
        <f>VLOOKUP(B320,[4]Sheet1!B$2:I$773,8,FALSE)</f>
        <v>350000</v>
      </c>
      <c r="J320" s="2">
        <v>0</v>
      </c>
      <c r="K320" s="25"/>
    </row>
    <row r="321" spans="1:11" x14ac:dyDescent="0.35">
      <c r="A321" s="1" t="s">
        <v>439</v>
      </c>
      <c r="B321" s="1" t="s">
        <v>440</v>
      </c>
      <c r="C321" s="1" t="s">
        <v>1219</v>
      </c>
      <c r="D321" s="1" t="s">
        <v>432</v>
      </c>
      <c r="E321" s="1" t="s">
        <v>432</v>
      </c>
      <c r="F321" s="1" t="s">
        <v>816</v>
      </c>
      <c r="G321" s="97" t="str">
        <f>VLOOKUP(B321,'[1]Data Email Anggota'!C$2:F$366,4,FALSE)</f>
        <v>sefia@bki.co.id</v>
      </c>
      <c r="H321" s="97" t="s">
        <v>1206</v>
      </c>
      <c r="I321" s="2">
        <f>VLOOKUP(B321,[4]Sheet1!B$2:I$773,8,FALSE)</f>
        <v>250000</v>
      </c>
      <c r="J321" s="2">
        <v>0</v>
      </c>
      <c r="K321" s="25"/>
    </row>
    <row r="322" spans="1:11" x14ac:dyDescent="0.35">
      <c r="A322" s="1" t="s">
        <v>441</v>
      </c>
      <c r="B322" s="1" t="s">
        <v>442</v>
      </c>
      <c r="C322" s="1" t="s">
        <v>1219</v>
      </c>
      <c r="D322" s="1" t="s">
        <v>432</v>
      </c>
      <c r="E322" s="1" t="s">
        <v>432</v>
      </c>
      <c r="F322" s="1" t="s">
        <v>698</v>
      </c>
      <c r="G322" s="97" t="str">
        <f>VLOOKUP(B322,'[1]Data Email Anggota'!C$2:F$366,4,FALSE)</f>
        <v>riyanto@bki.co.id</v>
      </c>
      <c r="H322" s="97" t="str">
        <f>VLOOKUP(B322,[3]SHU!C$8:L$377,10,FALSE)</f>
        <v>AKTIF</v>
      </c>
      <c r="I322" s="2">
        <f>VLOOKUP(B322,[4]Sheet1!B$2:I$773,8,FALSE)</f>
        <v>150000</v>
      </c>
      <c r="J322" s="2">
        <v>0</v>
      </c>
      <c r="K322" s="25"/>
    </row>
    <row r="323" spans="1:11" x14ac:dyDescent="0.35">
      <c r="A323" s="1" t="s">
        <v>443</v>
      </c>
      <c r="B323" s="1" t="s">
        <v>444</v>
      </c>
      <c r="C323" s="1" t="s">
        <v>1219</v>
      </c>
      <c r="D323" s="1" t="s">
        <v>432</v>
      </c>
      <c r="E323" s="1" t="s">
        <v>432</v>
      </c>
      <c r="F323" s="1" t="s">
        <v>816</v>
      </c>
      <c r="G323" s="97" t="str">
        <f>VLOOKUP(B323,'[1]Data Email Anggota'!C$2:F$366,4,FALSE)</f>
        <v>armindary@bki.co.id</v>
      </c>
      <c r="H323" s="97" t="s">
        <v>1206</v>
      </c>
      <c r="I323" s="2">
        <f>VLOOKUP(B323,[4]Sheet1!B$2:I$773,8,FALSE)</f>
        <v>250000</v>
      </c>
      <c r="J323" s="2">
        <v>0</v>
      </c>
      <c r="K323" s="25"/>
    </row>
    <row r="324" spans="1:11" x14ac:dyDescent="0.35">
      <c r="A324" s="1" t="s">
        <v>445</v>
      </c>
      <c r="B324" s="1" t="s">
        <v>446</v>
      </c>
      <c r="C324" s="1" t="s">
        <v>1219</v>
      </c>
      <c r="D324" s="1" t="s">
        <v>432</v>
      </c>
      <c r="E324" s="1" t="s">
        <v>432</v>
      </c>
      <c r="F324" s="1" t="s">
        <v>816</v>
      </c>
      <c r="G324" s="97" t="str">
        <f>VLOOKUP(B324,'[1]Data Email Anggota'!C$2:F$366,4,FALSE)</f>
        <v>fachruddin@bki.co.id</v>
      </c>
      <c r="H324" s="97" t="s">
        <v>1206</v>
      </c>
      <c r="I324" s="2">
        <f>VLOOKUP(B324,[4]Sheet1!B$2:I$773,8,FALSE)</f>
        <v>250000</v>
      </c>
      <c r="J324" s="2">
        <v>0</v>
      </c>
      <c r="K324" s="25"/>
    </row>
    <row r="325" spans="1:11" hidden="1" x14ac:dyDescent="0.35">
      <c r="G325" s="1"/>
      <c r="H325" s="1"/>
    </row>
    <row r="326" spans="1:11" hidden="1" x14ac:dyDescent="0.35">
      <c r="G326" s="1"/>
      <c r="H326" s="1"/>
    </row>
    <row r="327" spans="1:11" x14ac:dyDescent="0.35">
      <c r="A327" s="1" t="s">
        <v>447</v>
      </c>
      <c r="B327" s="1" t="s">
        <v>448</v>
      </c>
      <c r="C327" s="1" t="s">
        <v>1219</v>
      </c>
      <c r="D327" s="1" t="s">
        <v>432</v>
      </c>
      <c r="E327" s="1" t="s">
        <v>432</v>
      </c>
      <c r="F327" s="1" t="s">
        <v>818</v>
      </c>
      <c r="G327" s="97" t="str">
        <f>VLOOKUP(B327,'[1]Data Email Anggota'!C$2:F$366,4,FALSE)</f>
        <v>wasito@bki.co.id</v>
      </c>
      <c r="H327" s="97" t="s">
        <v>1206</v>
      </c>
      <c r="I327" s="2">
        <f>VLOOKUP(B327,[4]Sheet1!B$2:I$773,8,FALSE)</f>
        <v>350000</v>
      </c>
      <c r="J327" s="2">
        <v>0</v>
      </c>
      <c r="K327" s="25"/>
    </row>
    <row r="328" spans="1:11" hidden="1" x14ac:dyDescent="0.35">
      <c r="G328" s="1"/>
      <c r="H328" s="1"/>
    </row>
    <row r="329" spans="1:11" hidden="1" x14ac:dyDescent="0.35">
      <c r="G329" s="1"/>
      <c r="H329" s="1"/>
    </row>
    <row r="330" spans="1:11" hidden="1" x14ac:dyDescent="0.35">
      <c r="G330" s="1"/>
      <c r="H330" s="1"/>
    </row>
    <row r="331" spans="1:11" hidden="1" x14ac:dyDescent="0.35">
      <c r="G331" s="1"/>
      <c r="H331" s="1"/>
    </row>
    <row r="332" spans="1:11" x14ac:dyDescent="0.35">
      <c r="A332" s="1" t="s">
        <v>449</v>
      </c>
      <c r="B332" s="1" t="s">
        <v>450</v>
      </c>
      <c r="C332" s="1" t="s">
        <v>1219</v>
      </c>
      <c r="D332" s="1" t="s">
        <v>451</v>
      </c>
      <c r="E332" s="1" t="s">
        <v>451</v>
      </c>
      <c r="F332" s="1" t="s">
        <v>819</v>
      </c>
      <c r="G332" s="97" t="str">
        <f>VLOOKUP(B332,'[1]Data Email Anggota'!C$2:F$366,4,FALSE)</f>
        <v>zaky@bki.co.id</v>
      </c>
      <c r="H332" s="97" t="s">
        <v>1206</v>
      </c>
      <c r="I332" s="2">
        <f>VLOOKUP(B332,[4]Sheet1!B$2:I$773,8,FALSE)</f>
        <v>350000</v>
      </c>
      <c r="J332" s="2">
        <f>VLOOKUP(B332,'[5]DAFTAR ALL'!B$8:D$68,3,FALSE)</f>
        <v>5510000</v>
      </c>
      <c r="K332" s="25"/>
    </row>
    <row r="333" spans="1:11" hidden="1" x14ac:dyDescent="0.35">
      <c r="G333" s="1"/>
      <c r="H333" s="1"/>
    </row>
    <row r="334" spans="1:11" hidden="1" x14ac:dyDescent="0.35">
      <c r="G334" s="1"/>
      <c r="H334" s="1"/>
    </row>
    <row r="335" spans="1:11" hidden="1" x14ac:dyDescent="0.35">
      <c r="G335" s="1"/>
      <c r="H335" s="1"/>
    </row>
    <row r="336" spans="1:11" hidden="1" x14ac:dyDescent="0.35">
      <c r="G336" s="1"/>
      <c r="H336" s="1"/>
    </row>
    <row r="337" spans="1:11" x14ac:dyDescent="0.35">
      <c r="A337" s="1" t="s">
        <v>452</v>
      </c>
      <c r="B337" s="1" t="s">
        <v>453</v>
      </c>
      <c r="C337" s="1" t="s">
        <v>1219</v>
      </c>
      <c r="D337" s="1" t="s">
        <v>451</v>
      </c>
      <c r="E337" s="1" t="s">
        <v>451</v>
      </c>
      <c r="F337" s="1" t="s">
        <v>821</v>
      </c>
      <c r="G337" s="97" t="str">
        <f>VLOOKUP(B337,'[1]Data Email Anggota'!C$2:F$366,4,FALSE)</f>
        <v>krishna@bki.co.id</v>
      </c>
      <c r="H337" s="97" t="str">
        <f>VLOOKUP(B337,[3]SHU!C$8:L$377,10,FALSE)</f>
        <v>AKTIF</v>
      </c>
      <c r="I337" s="2">
        <f>VLOOKUP(B337,[4]Sheet1!B$2:I$773,8,FALSE)</f>
        <v>250000</v>
      </c>
      <c r="J337" s="2">
        <v>0</v>
      </c>
      <c r="K337" s="25"/>
    </row>
    <row r="338" spans="1:11" x14ac:dyDescent="0.35">
      <c r="A338" s="1" t="s">
        <v>454</v>
      </c>
      <c r="B338" s="1" t="s">
        <v>455</v>
      </c>
      <c r="C338" s="1" t="s">
        <v>1219</v>
      </c>
      <c r="D338" s="1" t="s">
        <v>451</v>
      </c>
      <c r="E338" s="1" t="s">
        <v>451</v>
      </c>
      <c r="F338" s="1" t="s">
        <v>822</v>
      </c>
      <c r="G338" s="97" t="str">
        <f>VLOOKUP(B338,'[1]Data Email Anggota'!C$2:F$366,4,FALSE)</f>
        <v>hijrawati@bki.co.id</v>
      </c>
      <c r="H338" s="97" t="s">
        <v>1206</v>
      </c>
      <c r="I338" s="2">
        <f>VLOOKUP(B338,[4]Sheet1!B$2:I$773,8,FALSE)</f>
        <v>250000</v>
      </c>
      <c r="J338" s="2">
        <v>0</v>
      </c>
      <c r="K338" s="25"/>
    </row>
    <row r="339" spans="1:11" x14ac:dyDescent="0.35">
      <c r="A339" s="1" t="s">
        <v>456</v>
      </c>
      <c r="B339" s="1" t="s">
        <v>457</v>
      </c>
      <c r="C339" s="1" t="s">
        <v>1219</v>
      </c>
      <c r="D339" s="1" t="s">
        <v>451</v>
      </c>
      <c r="E339" s="1" t="s">
        <v>451</v>
      </c>
      <c r="F339" s="1" t="s">
        <v>813</v>
      </c>
      <c r="G339" s="97" t="str">
        <f>VLOOKUP(B339,'[1]Data Email Anggota'!C$2:F$366,4,FALSE)</f>
        <v>dwiana@bki.co.id</v>
      </c>
      <c r="H339" s="97" t="s">
        <v>1206</v>
      </c>
      <c r="I339" s="2">
        <f>VLOOKUP(B339,[4]Sheet1!B$2:I$773,8,FALSE)</f>
        <v>250000</v>
      </c>
      <c r="J339" s="2">
        <v>0</v>
      </c>
      <c r="K339" s="25"/>
    </row>
    <row r="340" spans="1:11" hidden="1" x14ac:dyDescent="0.35">
      <c r="G340" s="1"/>
      <c r="H340" s="1"/>
    </row>
    <row r="341" spans="1:11" hidden="1" x14ac:dyDescent="0.35">
      <c r="G341" s="1"/>
      <c r="H341" s="1"/>
    </row>
    <row r="342" spans="1:11" x14ac:dyDescent="0.35">
      <c r="A342" s="1" t="s">
        <v>458</v>
      </c>
      <c r="B342" s="1" t="s">
        <v>459</v>
      </c>
      <c r="C342" s="1" t="s">
        <v>1219</v>
      </c>
      <c r="D342" s="1" t="s">
        <v>451</v>
      </c>
      <c r="E342" s="1" t="s">
        <v>451</v>
      </c>
      <c r="F342" s="1" t="s">
        <v>814</v>
      </c>
      <c r="G342" s="97" t="str">
        <f>VLOOKUP(B342,'[1]Data Email Anggota'!C$2:F$366,4,FALSE)</f>
        <v>faulincia@bki.co.id</v>
      </c>
      <c r="H342" s="97" t="s">
        <v>1206</v>
      </c>
      <c r="I342" s="2">
        <f>VLOOKUP(B342,[4]Sheet1!B$2:I$773,8,FALSE)</f>
        <v>250000</v>
      </c>
      <c r="J342" s="2">
        <v>0</v>
      </c>
      <c r="K342" s="25"/>
    </row>
    <row r="343" spans="1:11" x14ac:dyDescent="0.35">
      <c r="A343" s="1" t="s">
        <v>460</v>
      </c>
      <c r="B343" s="1" t="s">
        <v>461</v>
      </c>
      <c r="C343" s="1" t="s">
        <v>1219</v>
      </c>
      <c r="D343" s="1" t="s">
        <v>451</v>
      </c>
      <c r="E343" s="1" t="s">
        <v>451</v>
      </c>
      <c r="F343" s="1" t="s">
        <v>820</v>
      </c>
      <c r="G343" s="97" t="str">
        <f>VLOOKUP(B343,'[1]Data Email Anggota'!C$2:F$366,4,FALSE)</f>
        <v>dian.febrian@bki.co.id</v>
      </c>
      <c r="H343" s="97" t="s">
        <v>1206</v>
      </c>
      <c r="I343" s="2">
        <f>VLOOKUP(B343,[4]Sheet1!B$2:I$773,8,FALSE)</f>
        <v>250000</v>
      </c>
      <c r="J343" s="2">
        <v>0</v>
      </c>
      <c r="K343" s="25"/>
    </row>
    <row r="344" spans="1:11" hidden="1" x14ac:dyDescent="0.35">
      <c r="G344" s="1"/>
      <c r="H344" s="1"/>
    </row>
    <row r="345" spans="1:11" x14ac:dyDescent="0.35">
      <c r="A345" s="1" t="s">
        <v>462</v>
      </c>
      <c r="B345" s="1" t="s">
        <v>463</v>
      </c>
      <c r="C345" s="1" t="s">
        <v>1219</v>
      </c>
      <c r="D345" s="1" t="s">
        <v>451</v>
      </c>
      <c r="E345" s="1" t="s">
        <v>451</v>
      </c>
      <c r="F345" s="1" t="s">
        <v>823</v>
      </c>
      <c r="G345" s="97" t="str">
        <f>VLOOKUP(B345,'[1]Data Email Anggota'!C$2:F$366,4,FALSE)</f>
        <v>andi.nuralim@bki.co.id</v>
      </c>
      <c r="H345" s="97" t="s">
        <v>1206</v>
      </c>
      <c r="I345" s="2">
        <f>VLOOKUP(B345,[4]Sheet1!B$2:I$773,8,FALSE)</f>
        <v>350000</v>
      </c>
      <c r="J345" s="2">
        <v>0</v>
      </c>
      <c r="K345" s="25"/>
    </row>
    <row r="346" spans="1:11" hidden="1" x14ac:dyDescent="0.35">
      <c r="G346" s="1"/>
      <c r="H346" s="1"/>
    </row>
    <row r="347" spans="1:11" x14ac:dyDescent="0.35">
      <c r="A347" s="1" t="s">
        <v>464</v>
      </c>
      <c r="B347" s="1" t="s">
        <v>465</v>
      </c>
      <c r="C347" s="1" t="s">
        <v>1219</v>
      </c>
      <c r="D347" s="1" t="s">
        <v>451</v>
      </c>
      <c r="E347" s="1" t="s">
        <v>451</v>
      </c>
      <c r="F347" s="1" t="s">
        <v>824</v>
      </c>
      <c r="G347" s="97" t="str">
        <f>VLOOKUP(B347,'[1]Data Email Anggota'!C$2:F$366,4,FALSE)</f>
        <v>fahmi@bki.co.id</v>
      </c>
      <c r="H347" s="97" t="s">
        <v>1206</v>
      </c>
      <c r="I347" s="2">
        <f>VLOOKUP(B347,[4]Sheet1!B$2:I$773,8,FALSE)</f>
        <v>250000</v>
      </c>
      <c r="J347" s="2">
        <v>0</v>
      </c>
      <c r="K347" s="25"/>
    </row>
    <row r="348" spans="1:11" hidden="1" x14ac:dyDescent="0.35">
      <c r="G348" s="1"/>
      <c r="H348" s="1"/>
    </row>
    <row r="349" spans="1:11" x14ac:dyDescent="0.35">
      <c r="A349" s="1" t="s">
        <v>466</v>
      </c>
      <c r="B349" s="1" t="s">
        <v>467</v>
      </c>
      <c r="C349" s="1" t="s">
        <v>1219</v>
      </c>
      <c r="D349" s="1" t="s">
        <v>451</v>
      </c>
      <c r="E349" s="1" t="s">
        <v>451</v>
      </c>
      <c r="F349" s="1" t="s">
        <v>698</v>
      </c>
      <c r="G349" s="97" t="str">
        <f>VLOOKUP(B349,'[1]Data Email Anggota'!C$2:F$366,4,FALSE)</f>
        <v>wahidin@bki.co.id</v>
      </c>
      <c r="H349" s="97" t="str">
        <f>VLOOKUP(B349,[3]SHU!C$8:L$377,10,FALSE)</f>
        <v>AKTIF</v>
      </c>
      <c r="I349" s="2">
        <f>VLOOKUP(B349,[4]Sheet1!B$2:I$773,8,FALSE)</f>
        <v>150000</v>
      </c>
      <c r="J349" s="2">
        <f>VLOOKUP(B349,'[5]DAFTAR ALL'!B$8:D$68,3,FALSE)</f>
        <v>6939841</v>
      </c>
      <c r="K349" s="25"/>
    </row>
    <row r="350" spans="1:11" x14ac:dyDescent="0.35">
      <c r="A350" s="1" t="s">
        <v>468</v>
      </c>
      <c r="B350" s="1" t="s">
        <v>469</v>
      </c>
      <c r="C350" s="1" t="s">
        <v>1219</v>
      </c>
      <c r="D350" s="1" t="s">
        <v>451</v>
      </c>
      <c r="E350" s="1" t="s">
        <v>451</v>
      </c>
      <c r="F350" s="1" t="s">
        <v>825</v>
      </c>
      <c r="G350" s="97" t="str">
        <f>VLOOKUP(B350,'[1]Data Email Anggota'!C$2:F$366,4,FALSE)</f>
        <v>taufik.akbar@bki.co.id</v>
      </c>
      <c r="H350" s="97" t="s">
        <v>1206</v>
      </c>
      <c r="I350" s="2">
        <f>VLOOKUP(B350,[4]Sheet1!B$2:I$773,8,FALSE)</f>
        <v>250000</v>
      </c>
      <c r="J350" s="2">
        <v>0</v>
      </c>
      <c r="K350" s="25"/>
    </row>
    <row r="351" spans="1:11" hidden="1" x14ac:dyDescent="0.35">
      <c r="G351" s="1"/>
      <c r="H351" s="1"/>
    </row>
    <row r="352" spans="1:11" hidden="1" x14ac:dyDescent="0.35">
      <c r="G352" s="1"/>
      <c r="H352" s="1"/>
    </row>
    <row r="353" spans="1:11" x14ac:dyDescent="0.35">
      <c r="A353" s="1" t="s">
        <v>470</v>
      </c>
      <c r="B353" s="1" t="s">
        <v>471</v>
      </c>
      <c r="C353" s="1" t="s">
        <v>1219</v>
      </c>
      <c r="D353" s="1" t="s">
        <v>451</v>
      </c>
      <c r="E353" s="1" t="s">
        <v>451</v>
      </c>
      <c r="F353" s="1" t="s">
        <v>820</v>
      </c>
      <c r="G353" s="97" t="str">
        <f>VLOOKUP(B353,'[1]Data Email Anggota'!C$2:F$366,4,FALSE)</f>
        <v>nomo.prihasta@bki.co.id</v>
      </c>
      <c r="H353" s="97" t="s">
        <v>1206</v>
      </c>
      <c r="I353" s="2">
        <f>VLOOKUP(B353,[4]Sheet1!B$2:I$773,8,FALSE)</f>
        <v>250000</v>
      </c>
      <c r="J353" s="2">
        <v>0</v>
      </c>
      <c r="K353" s="25"/>
    </row>
    <row r="354" spans="1:11" hidden="1" x14ac:dyDescent="0.35">
      <c r="G354" s="1"/>
      <c r="H354" s="1"/>
    </row>
    <row r="355" spans="1:11" hidden="1" x14ac:dyDescent="0.35">
      <c r="G355" s="1"/>
      <c r="H355" s="1"/>
    </row>
    <row r="356" spans="1:11" x14ac:dyDescent="0.35">
      <c r="A356" s="1" t="s">
        <v>472</v>
      </c>
      <c r="B356" s="1" t="s">
        <v>473</v>
      </c>
      <c r="C356" s="1" t="s">
        <v>950</v>
      </c>
      <c r="D356" s="1" t="s">
        <v>474</v>
      </c>
      <c r="E356" s="1" t="s">
        <v>474</v>
      </c>
      <c r="F356" s="1" t="s">
        <v>698</v>
      </c>
      <c r="G356" s="97" t="str">
        <f>VLOOKUP(B356,'[1]Data Email Anggota'!C$2:F$366,4,FALSE)</f>
        <v>farrah.mn@bki.co.id</v>
      </c>
      <c r="H356" s="97" t="s">
        <v>1206</v>
      </c>
      <c r="I356" s="2">
        <f>VLOOKUP(B356,[4]Sheet1!B$2:I$773,8,FALSE)</f>
        <v>150000</v>
      </c>
      <c r="J356" s="2">
        <v>0</v>
      </c>
      <c r="K356" s="25"/>
    </row>
    <row r="357" spans="1:11" hidden="1" x14ac:dyDescent="0.35">
      <c r="G357" s="1"/>
      <c r="H357" s="1"/>
    </row>
    <row r="358" spans="1:11" hidden="1" x14ac:dyDescent="0.35">
      <c r="G358" s="1"/>
      <c r="H358" s="1"/>
    </row>
    <row r="359" spans="1:11" hidden="1" x14ac:dyDescent="0.35">
      <c r="G359" s="1"/>
      <c r="H359" s="1"/>
    </row>
    <row r="360" spans="1:11" hidden="1" x14ac:dyDescent="0.35">
      <c r="G360" s="1"/>
      <c r="H360" s="1"/>
    </row>
    <row r="361" spans="1:11" hidden="1" x14ac:dyDescent="0.35">
      <c r="G361" s="1"/>
      <c r="H361" s="1"/>
    </row>
    <row r="362" spans="1:11" hidden="1" x14ac:dyDescent="0.35">
      <c r="G362" s="1"/>
      <c r="H362" s="1"/>
    </row>
    <row r="363" spans="1:11" x14ac:dyDescent="0.35">
      <c r="A363" s="1" t="s">
        <v>476</v>
      </c>
      <c r="B363" s="1" t="s">
        <v>477</v>
      </c>
      <c r="C363" s="1" t="s">
        <v>1219</v>
      </c>
      <c r="D363" s="1" t="s">
        <v>475</v>
      </c>
      <c r="E363" s="1" t="s">
        <v>475</v>
      </c>
      <c r="F363" s="1" t="s">
        <v>826</v>
      </c>
      <c r="G363" s="97" t="str">
        <f>VLOOKUP(B363,'[1]Data Email Anggota'!C$2:F$366,4,FALSE)</f>
        <v>abdulmalik@bki.co.id</v>
      </c>
      <c r="H363" s="97" t="s">
        <v>1206</v>
      </c>
      <c r="I363" s="2">
        <f>VLOOKUP(B363,[4]Sheet1!B$2:I$773,8,FALSE)</f>
        <v>250000</v>
      </c>
      <c r="J363" s="2">
        <v>0</v>
      </c>
      <c r="K363" s="25"/>
    </row>
    <row r="364" spans="1:11" hidden="1" x14ac:dyDescent="0.35">
      <c r="G364" s="1"/>
      <c r="H364" s="1"/>
    </row>
    <row r="365" spans="1:11" hidden="1" x14ac:dyDescent="0.35">
      <c r="G365" s="1"/>
      <c r="H365" s="1"/>
    </row>
    <row r="366" spans="1:11" x14ac:dyDescent="0.35">
      <c r="A366" s="1" t="s">
        <v>478</v>
      </c>
      <c r="B366" s="1" t="s">
        <v>479</v>
      </c>
      <c r="C366" s="1" t="s">
        <v>1219</v>
      </c>
      <c r="D366" s="1" t="s">
        <v>475</v>
      </c>
      <c r="E366" s="1" t="s">
        <v>475</v>
      </c>
      <c r="F366" s="1" t="s">
        <v>827</v>
      </c>
      <c r="G366" s="97" t="str">
        <f>VLOOKUP(B366,'[1]Data Email Anggota'!C$2:F$366,4,FALSE)</f>
        <v>riska@bki.co.id</v>
      </c>
      <c r="H366" s="97" t="s">
        <v>1206</v>
      </c>
      <c r="I366" s="2">
        <f>VLOOKUP(B366,[4]Sheet1!B$2:I$773,8,FALSE)</f>
        <v>250000</v>
      </c>
      <c r="J366" s="2">
        <v>0</v>
      </c>
      <c r="K366" s="25"/>
    </row>
    <row r="367" spans="1:11" hidden="1" x14ac:dyDescent="0.35">
      <c r="G367" s="1"/>
      <c r="H367" s="1"/>
    </row>
    <row r="368" spans="1:11" hidden="1" x14ac:dyDescent="0.35">
      <c r="G368" s="1"/>
      <c r="H368" s="1"/>
    </row>
    <row r="369" spans="1:11" hidden="1" x14ac:dyDescent="0.35">
      <c r="G369" s="1"/>
      <c r="H369" s="1"/>
    </row>
    <row r="370" spans="1:11" x14ac:dyDescent="0.35">
      <c r="A370" s="1" t="s">
        <v>480</v>
      </c>
      <c r="B370" s="1" t="s">
        <v>481</v>
      </c>
      <c r="C370" s="1" t="s">
        <v>1219</v>
      </c>
      <c r="D370" s="1" t="s">
        <v>475</v>
      </c>
      <c r="E370" s="1" t="s">
        <v>475</v>
      </c>
      <c r="F370" s="1" t="s">
        <v>828</v>
      </c>
      <c r="G370" s="97" t="str">
        <f>VLOOKUP(B370,'[1]Data Email Anggota'!C$2:F$366,4,FALSE)</f>
        <v>yudi.oktovianto@bki.co.id</v>
      </c>
      <c r="H370" s="97" t="s">
        <v>1206</v>
      </c>
      <c r="I370" s="2">
        <f>VLOOKUP(B370,[4]Sheet1!B$2:I$773,8,FALSE)</f>
        <v>250000</v>
      </c>
      <c r="J370" s="2">
        <v>0</v>
      </c>
      <c r="K370" s="25"/>
    </row>
    <row r="371" spans="1:11" hidden="1" x14ac:dyDescent="0.35">
      <c r="G371" s="1"/>
      <c r="H371" s="1"/>
    </row>
    <row r="372" spans="1:11" hidden="1" x14ac:dyDescent="0.35">
      <c r="G372" s="1"/>
      <c r="H372" s="1"/>
    </row>
    <row r="373" spans="1:11" hidden="1" x14ac:dyDescent="0.35">
      <c r="G373" s="1"/>
      <c r="H373" s="1"/>
    </row>
    <row r="374" spans="1:11" x14ac:dyDescent="0.35">
      <c r="A374" s="1" t="s">
        <v>482</v>
      </c>
      <c r="B374" s="1" t="s">
        <v>483</v>
      </c>
      <c r="C374" s="1" t="s">
        <v>1219</v>
      </c>
      <c r="D374" s="1" t="s">
        <v>484</v>
      </c>
      <c r="E374" s="1" t="s">
        <v>484</v>
      </c>
      <c r="F374" s="1" t="s">
        <v>829</v>
      </c>
      <c r="G374" s="97" t="str">
        <f>VLOOKUP(B374,'[1]Data Email Anggota'!C$2:F$366,4,FALSE)</f>
        <v>noviansyah@bki.co.id</v>
      </c>
      <c r="H374" s="97" t="str">
        <f>VLOOKUP(B374,[3]SHU!C$8:L$377,10,FALSE)</f>
        <v>AKTIF</v>
      </c>
      <c r="I374" s="2">
        <f>VLOOKUP(B374,[4]Sheet1!B$2:I$773,8,FALSE)</f>
        <v>150000</v>
      </c>
      <c r="J374" s="2">
        <v>0</v>
      </c>
      <c r="K374" s="25"/>
    </row>
    <row r="375" spans="1:11" hidden="1" x14ac:dyDescent="0.35">
      <c r="G375" s="1"/>
      <c r="H375" s="1"/>
    </row>
    <row r="376" spans="1:11" x14ac:dyDescent="0.35">
      <c r="A376" s="1" t="s">
        <v>485</v>
      </c>
      <c r="B376" s="1" t="s">
        <v>486</v>
      </c>
      <c r="C376" s="1" t="s">
        <v>1219</v>
      </c>
      <c r="D376" s="1" t="s">
        <v>484</v>
      </c>
      <c r="E376" s="1" t="s">
        <v>484</v>
      </c>
      <c r="F376" s="1" t="s">
        <v>830</v>
      </c>
      <c r="H376" s="97" t="s">
        <v>1206</v>
      </c>
      <c r="I376" s="2">
        <f>VLOOKUP(B376,[4]Sheet1!B$2:I$773,8,FALSE)</f>
        <v>150000</v>
      </c>
      <c r="J376" s="2">
        <v>0</v>
      </c>
      <c r="K376" s="25"/>
    </row>
    <row r="377" spans="1:11" x14ac:dyDescent="0.35">
      <c r="A377" s="1" t="s">
        <v>487</v>
      </c>
      <c r="B377" s="1" t="s">
        <v>488</v>
      </c>
      <c r="C377" s="1" t="s">
        <v>1219</v>
      </c>
      <c r="D377" s="1" t="s">
        <v>484</v>
      </c>
      <c r="E377" s="1" t="s">
        <v>484</v>
      </c>
      <c r="F377" s="1" t="s">
        <v>702</v>
      </c>
      <c r="G377" s="97" t="str">
        <f>VLOOKUP(B377,'[1]Data Email Anggota'!C$2:F$366,4,FALSE)</f>
        <v>michelle.mustamu@bki.co.id</v>
      </c>
      <c r="H377" s="97" t="str">
        <f>VLOOKUP(B377,[3]SHU!C$8:L$377,10,FALSE)</f>
        <v>AKTIF</v>
      </c>
      <c r="I377" s="2">
        <f>VLOOKUP(B377,[4]Sheet1!B$2:I$773,8,FALSE)</f>
        <v>150000</v>
      </c>
      <c r="J377" s="2">
        <v>0</v>
      </c>
      <c r="K377" s="25"/>
    </row>
    <row r="378" spans="1:11" x14ac:dyDescent="0.35">
      <c r="A378" s="1" t="s">
        <v>489</v>
      </c>
      <c r="B378" s="1" t="s">
        <v>490</v>
      </c>
      <c r="C378" s="1" t="s">
        <v>950</v>
      </c>
      <c r="D378" s="1" t="s">
        <v>484</v>
      </c>
      <c r="E378" s="1" t="s">
        <v>484</v>
      </c>
      <c r="F378" s="1" t="s">
        <v>831</v>
      </c>
      <c r="G378" s="97" t="str">
        <f>VLOOKUP(B378,'[1]Data Email Anggota'!C$2:F$366,4,FALSE)</f>
        <v>bonor.sc@bki.co.id</v>
      </c>
      <c r="H378" s="97" t="str">
        <f>VLOOKUP(B378,[3]SHU!C$8:L$377,10,FALSE)</f>
        <v>AKTIF</v>
      </c>
      <c r="I378" s="2">
        <f>VLOOKUP(B378,[4]Sheet1!B$2:I$773,8,FALSE)</f>
        <v>250000</v>
      </c>
      <c r="J378" s="2">
        <v>0</v>
      </c>
      <c r="K378" s="25"/>
    </row>
    <row r="379" spans="1:11" hidden="1" x14ac:dyDescent="0.35">
      <c r="G379" s="1"/>
      <c r="H379" s="1"/>
    </row>
    <row r="380" spans="1:11" x14ac:dyDescent="0.35">
      <c r="A380" s="1" t="s">
        <v>491</v>
      </c>
      <c r="B380" s="1" t="s">
        <v>492</v>
      </c>
      <c r="C380" s="1" t="s">
        <v>1219</v>
      </c>
      <c r="D380" s="1" t="s">
        <v>484</v>
      </c>
      <c r="E380" s="1" t="s">
        <v>484</v>
      </c>
      <c r="F380" s="1" t="s">
        <v>832</v>
      </c>
      <c r="G380" s="97" t="str">
        <f>VLOOKUP(B380,'[1]Data Email Anggota'!C$2:F$366,4,FALSE)</f>
        <v>linda.kurniaty@bki.co.id</v>
      </c>
      <c r="H380" s="97" t="str">
        <f>VLOOKUP(B380,[3]SHU!C$8:L$377,10,FALSE)</f>
        <v>AKTIF</v>
      </c>
      <c r="I380" s="2">
        <f>VLOOKUP(B380,[4]Sheet1!B$2:I$773,8,FALSE)</f>
        <v>250000</v>
      </c>
      <c r="J380" s="2">
        <f>VLOOKUP(B380,'[5]DAFTAR ALL'!B$8:D$68,3,FALSE)+[5]TAB.QUR!$D$5</f>
        <v>2895833</v>
      </c>
      <c r="K380" s="25"/>
    </row>
    <row r="381" spans="1:11" x14ac:dyDescent="0.35">
      <c r="A381" s="1" t="s">
        <v>493</v>
      </c>
      <c r="B381" s="1" t="s">
        <v>494</v>
      </c>
      <c r="C381" s="1" t="s">
        <v>1219</v>
      </c>
      <c r="D381" s="1" t="s">
        <v>484</v>
      </c>
      <c r="E381" s="1" t="s">
        <v>484</v>
      </c>
      <c r="F381" s="1" t="s">
        <v>702</v>
      </c>
      <c r="G381" s="97" t="str">
        <f>VLOOKUP(B381,'[1]Data Email Anggota'!C$2:F$366,4,FALSE)</f>
        <v>haerudin@bki.co.id</v>
      </c>
      <c r="H381" s="97" t="s">
        <v>1206</v>
      </c>
      <c r="I381" s="2">
        <f>VLOOKUP(B381,[4]Sheet1!B$2:I$773,8,FALSE)</f>
        <v>150000</v>
      </c>
      <c r="J381" s="2">
        <f>VLOOKUP(B381,'[5]DAFTAR ALL'!B$8:D$68,3,FALSE)</f>
        <v>5767335</v>
      </c>
      <c r="K381" s="25"/>
    </row>
    <row r="382" spans="1:11" x14ac:dyDescent="0.35">
      <c r="A382" s="1" t="s">
        <v>495</v>
      </c>
      <c r="B382" s="1" t="s">
        <v>496</v>
      </c>
      <c r="C382" s="1" t="s">
        <v>950</v>
      </c>
      <c r="D382" s="1" t="s">
        <v>484</v>
      </c>
      <c r="E382" s="1" t="s">
        <v>484</v>
      </c>
      <c r="F382" s="1" t="s">
        <v>833</v>
      </c>
      <c r="G382" s="97" t="str">
        <f>VLOOKUP(B382,'[1]Data Email Anggota'!C$2:F$366,4,FALSE)</f>
        <v>gde.sandhyana@bki.co.id</v>
      </c>
      <c r="H382" s="97" t="s">
        <v>1206</v>
      </c>
      <c r="I382" s="2">
        <f>VLOOKUP(B382,[4]Sheet1!B$2:I$773,8,FALSE)</f>
        <v>150000</v>
      </c>
      <c r="J382" s="2">
        <f>VLOOKUP(B382,'[5]DAFTAR ALL'!B$8:D$68,3,FALSE)</f>
        <v>3650000</v>
      </c>
      <c r="K382" s="25"/>
    </row>
    <row r="383" spans="1:11" x14ac:dyDescent="0.35">
      <c r="A383" s="1" t="s">
        <v>497</v>
      </c>
      <c r="B383" s="1" t="s">
        <v>498</v>
      </c>
      <c r="C383" s="1" t="s">
        <v>1219</v>
      </c>
      <c r="D383" s="1" t="s">
        <v>484</v>
      </c>
      <c r="E383" s="1" t="s">
        <v>484</v>
      </c>
      <c r="F383" s="1" t="s">
        <v>834</v>
      </c>
      <c r="G383" s="97" t="str">
        <f>VLOOKUP(B383,'[1]Data Email Anggota'!C$2:F$366,4,FALSE)</f>
        <v>deborah.np@bki.co.id</v>
      </c>
      <c r="H383" s="97" t="s">
        <v>1206</v>
      </c>
      <c r="I383" s="2">
        <f>VLOOKUP(B383,[4]Sheet1!B$2:I$773,8,FALSE)</f>
        <v>150000</v>
      </c>
      <c r="J383" s="2">
        <v>0</v>
      </c>
      <c r="K383" s="25"/>
    </row>
    <row r="384" spans="1:11" x14ac:dyDescent="0.35">
      <c r="A384" s="1" t="s">
        <v>499</v>
      </c>
      <c r="B384" s="1" t="s">
        <v>500</v>
      </c>
      <c r="C384" s="1" t="s">
        <v>1219</v>
      </c>
      <c r="D384" s="1" t="s">
        <v>484</v>
      </c>
      <c r="E384" s="1" t="s">
        <v>484</v>
      </c>
      <c r="F384" s="1" t="s">
        <v>835</v>
      </c>
      <c r="G384" s="97" t="str">
        <f>VLOOKUP(B384,'[1]Data Email Anggota'!C$2:F$366,4,FALSE)</f>
        <v>erry@bki.co.id</v>
      </c>
      <c r="H384" s="97" t="s">
        <v>1206</v>
      </c>
      <c r="I384" s="2">
        <f>VLOOKUP(B384,[4]Sheet1!B$2:I$773,8,FALSE)</f>
        <v>350000</v>
      </c>
      <c r="J384" s="2">
        <f>VLOOKUP(B384,'[5]DAFTAR ALL'!B$8:D$68,3,FALSE)</f>
        <v>11006944</v>
      </c>
      <c r="K384" s="25"/>
    </row>
    <row r="385" spans="1:11" x14ac:dyDescent="0.35">
      <c r="A385" s="1" t="s">
        <v>501</v>
      </c>
      <c r="B385" s="1" t="s">
        <v>502</v>
      </c>
      <c r="C385" s="1" t="s">
        <v>1219</v>
      </c>
      <c r="D385" s="1" t="s">
        <v>484</v>
      </c>
      <c r="E385" s="1" t="s">
        <v>484</v>
      </c>
      <c r="F385" s="1" t="s">
        <v>836</v>
      </c>
      <c r="G385" s="97" t="str">
        <f>VLOOKUP(B385,'[1]Data Email Anggota'!C$2:F$366,4,FALSE)</f>
        <v>willy.an@bki.co.id</v>
      </c>
      <c r="H385" s="97" t="s">
        <v>1206</v>
      </c>
      <c r="I385" s="2">
        <f>VLOOKUP(B385,[4]Sheet1!B$2:I$773,8,FALSE)</f>
        <v>250000</v>
      </c>
      <c r="J385" s="2">
        <f>VLOOKUP(B385,'[5]DAFTAR ALL'!B$8:D$68,3,FALSE)</f>
        <v>4125351</v>
      </c>
      <c r="K385" s="25"/>
    </row>
    <row r="386" spans="1:11" x14ac:dyDescent="0.35">
      <c r="A386" s="1" t="s">
        <v>503</v>
      </c>
      <c r="B386" s="1" t="s">
        <v>504</v>
      </c>
      <c r="C386" s="1" t="s">
        <v>1219</v>
      </c>
      <c r="D386" s="1" t="s">
        <v>484</v>
      </c>
      <c r="E386" s="1" t="s">
        <v>484</v>
      </c>
      <c r="F386" s="1" t="s">
        <v>837</v>
      </c>
      <c r="G386" s="97" t="str">
        <f>VLOOKUP(B386,'[1]Data Email Anggota'!C$2:F$366,4,FALSE)</f>
        <v>kevin.ir@bki.co.id</v>
      </c>
      <c r="H386" s="97" t="str">
        <f>VLOOKUP(B386,[3]SHU!C$8:L$377,10,FALSE)</f>
        <v>AKTIF</v>
      </c>
      <c r="I386" s="2">
        <f>VLOOKUP(B386,[4]Sheet1!B$2:I$773,8,FALSE)</f>
        <v>150000</v>
      </c>
      <c r="J386" s="2">
        <v>0</v>
      </c>
      <c r="K386" s="25"/>
    </row>
    <row r="387" spans="1:11" hidden="1" x14ac:dyDescent="0.35">
      <c r="G387" s="1"/>
      <c r="H387" s="1"/>
    </row>
    <row r="388" spans="1:11" hidden="1" x14ac:dyDescent="0.35">
      <c r="G388" s="1"/>
      <c r="H388" s="1"/>
    </row>
    <row r="389" spans="1:11" x14ac:dyDescent="0.35">
      <c r="A389" s="1" t="s">
        <v>505</v>
      </c>
      <c r="B389" s="1" t="s">
        <v>506</v>
      </c>
      <c r="C389" s="1" t="s">
        <v>1219</v>
      </c>
      <c r="D389" s="1" t="s">
        <v>507</v>
      </c>
      <c r="E389" s="1" t="s">
        <v>507</v>
      </c>
      <c r="F389" s="1" t="s">
        <v>838</v>
      </c>
      <c r="G389" s="97" t="str">
        <f>VLOOKUP(B389,'[1]Data Email Anggota'!C$2:F$366,4,FALSE)</f>
        <v>tri@bki.co.id</v>
      </c>
      <c r="H389" s="97" t="s">
        <v>1206</v>
      </c>
      <c r="I389" s="2">
        <f>VLOOKUP(B389,[4]Sheet1!B$2:I$773,8,FALSE)</f>
        <v>350000</v>
      </c>
      <c r="J389" s="2">
        <f>VLOOKUP(B389,'[5]DAFTAR ALL'!B$8:D$68,3,FALSE)</f>
        <v>7560692</v>
      </c>
      <c r="K389" s="25"/>
    </row>
    <row r="390" spans="1:11" hidden="1" x14ac:dyDescent="0.35">
      <c r="G390" s="1"/>
      <c r="H390" s="1"/>
    </row>
    <row r="391" spans="1:11" x14ac:dyDescent="0.35">
      <c r="A391" s="1" t="s">
        <v>508</v>
      </c>
      <c r="B391" s="1" t="s">
        <v>509</v>
      </c>
      <c r="C391" s="1" t="s">
        <v>1219</v>
      </c>
      <c r="D391" s="1" t="s">
        <v>507</v>
      </c>
      <c r="E391" s="1" t="s">
        <v>507</v>
      </c>
      <c r="F391" s="1" t="s">
        <v>838</v>
      </c>
      <c r="G391" s="97" t="str">
        <f>VLOOKUP(B391,'[1]Data Email Anggota'!C$2:F$366,4,FALSE)</f>
        <v>doan.oscar@bki.co.id</v>
      </c>
      <c r="H391" s="97" t="s">
        <v>1206</v>
      </c>
      <c r="I391" s="2">
        <f>VLOOKUP(B391,[4]Sheet1!B$2:I$773,8,FALSE)</f>
        <v>250000</v>
      </c>
      <c r="J391" s="2">
        <v>0</v>
      </c>
      <c r="K391" s="25"/>
    </row>
    <row r="392" spans="1:11" x14ac:dyDescent="0.35">
      <c r="A392" s="1" t="s">
        <v>510</v>
      </c>
      <c r="B392" s="1" t="s">
        <v>511</v>
      </c>
      <c r="C392" s="1" t="s">
        <v>1219</v>
      </c>
      <c r="D392" s="1" t="s">
        <v>507</v>
      </c>
      <c r="E392" s="1" t="s">
        <v>507</v>
      </c>
      <c r="F392" s="1" t="s">
        <v>839</v>
      </c>
      <c r="G392" s="97" t="str">
        <f>VLOOKUP(B392,'[1]Data Email Anggota'!C$2:F$366,4,FALSE)</f>
        <v>galaxy@bki.co.id</v>
      </c>
      <c r="H392" s="97" t="s">
        <v>1206</v>
      </c>
      <c r="I392" s="2">
        <f>VLOOKUP(B392,[4]Sheet1!B$2:I$773,8,FALSE)</f>
        <v>350000</v>
      </c>
      <c r="J392" s="2">
        <v>0</v>
      </c>
      <c r="K392" s="25"/>
    </row>
    <row r="393" spans="1:11" hidden="1" x14ac:dyDescent="0.35">
      <c r="G393" s="1"/>
      <c r="H393" s="1"/>
    </row>
    <row r="394" spans="1:11" hidden="1" x14ac:dyDescent="0.35">
      <c r="G394" s="1"/>
      <c r="H394" s="1"/>
    </row>
    <row r="395" spans="1:11" hidden="1" x14ac:dyDescent="0.35">
      <c r="G395" s="1"/>
      <c r="H395" s="1"/>
    </row>
    <row r="396" spans="1:11" hidden="1" x14ac:dyDescent="0.35">
      <c r="G396" s="1"/>
      <c r="H396" s="1"/>
    </row>
    <row r="397" spans="1:11" hidden="1" x14ac:dyDescent="0.35">
      <c r="G397" s="1"/>
      <c r="H397" s="1"/>
    </row>
    <row r="398" spans="1:11" x14ac:dyDescent="0.35">
      <c r="A398" s="1" t="s">
        <v>512</v>
      </c>
      <c r="B398" s="1" t="s">
        <v>513</v>
      </c>
      <c r="C398" s="1" t="s">
        <v>1219</v>
      </c>
      <c r="D398" s="1" t="s">
        <v>507</v>
      </c>
      <c r="E398" s="1" t="s">
        <v>507</v>
      </c>
      <c r="F398" s="1" t="s">
        <v>840</v>
      </c>
      <c r="G398" s="97" t="str">
        <f>VLOOKUP(B398,'[1]Data Email Anggota'!C$2:F$366,4,FALSE)</f>
        <v>aditya@bki.co.id</v>
      </c>
      <c r="H398" s="97" t="s">
        <v>1206</v>
      </c>
      <c r="I398" s="2">
        <f>VLOOKUP(B398,[4]Sheet1!B$2:I$773,8,FALSE)</f>
        <v>350000</v>
      </c>
      <c r="J398" s="2">
        <v>0</v>
      </c>
      <c r="K398" s="25"/>
    </row>
    <row r="399" spans="1:11" hidden="1" x14ac:dyDescent="0.35">
      <c r="G399" s="1"/>
      <c r="H399" s="1"/>
    </row>
    <row r="400" spans="1:11" hidden="1" x14ac:dyDescent="0.35">
      <c r="G400" s="1"/>
      <c r="H400" s="1"/>
    </row>
    <row r="401" spans="1:11" hidden="1" x14ac:dyDescent="0.35">
      <c r="G401" s="1"/>
      <c r="H401" s="1"/>
    </row>
    <row r="402" spans="1:11" x14ac:dyDescent="0.35">
      <c r="A402" s="1" t="s">
        <v>514</v>
      </c>
      <c r="B402" s="1" t="s">
        <v>515</v>
      </c>
      <c r="C402" s="1" t="s">
        <v>1219</v>
      </c>
      <c r="D402" s="1" t="s">
        <v>507</v>
      </c>
      <c r="E402" s="1" t="s">
        <v>507</v>
      </c>
      <c r="F402" s="1" t="s">
        <v>698</v>
      </c>
      <c r="G402" s="97" t="str">
        <f>VLOOKUP(B402,'[1]Data Email Anggota'!C$2:F$366,4,FALSE)</f>
        <v>firmansyah@bki.co.id</v>
      </c>
      <c r="H402" s="97" t="str">
        <f>VLOOKUP(B402,[3]SHU!C$8:L$377,10,FALSE)</f>
        <v>AKTIF</v>
      </c>
      <c r="I402" s="2">
        <f>VLOOKUP(B402,[4]Sheet1!B$2:I$773,8,FALSE)</f>
        <v>150000</v>
      </c>
      <c r="J402" s="2">
        <v>0</v>
      </c>
      <c r="K402" s="25"/>
    </row>
    <row r="403" spans="1:11" hidden="1" x14ac:dyDescent="0.35">
      <c r="G403" s="1"/>
      <c r="H403" s="1"/>
    </row>
    <row r="404" spans="1:11" hidden="1" x14ac:dyDescent="0.35">
      <c r="G404" s="1"/>
      <c r="H404" s="1"/>
    </row>
    <row r="405" spans="1:11" hidden="1" x14ac:dyDescent="0.35">
      <c r="G405" s="1"/>
      <c r="H405" s="1"/>
    </row>
    <row r="406" spans="1:11" hidden="1" x14ac:dyDescent="0.35">
      <c r="G406" s="1"/>
      <c r="H406" s="1"/>
    </row>
    <row r="407" spans="1:11" x14ac:dyDescent="0.35">
      <c r="A407" s="1" t="s">
        <v>516</v>
      </c>
      <c r="B407" s="1" t="s">
        <v>517</v>
      </c>
      <c r="C407" s="1" t="s">
        <v>1219</v>
      </c>
      <c r="D407" s="1" t="s">
        <v>107</v>
      </c>
      <c r="E407" s="1" t="s">
        <v>107</v>
      </c>
      <c r="F407" s="1" t="s">
        <v>841</v>
      </c>
      <c r="G407" s="97" t="str">
        <f>VLOOKUP(B407,'[1]Data Email Anggota'!C$2:F$366,4,FALSE)</f>
        <v>arif.yunaedi@bki.co.id</v>
      </c>
      <c r="H407" s="97" t="s">
        <v>1206</v>
      </c>
      <c r="I407" s="2">
        <f>VLOOKUP(B407,[4]Sheet1!B$2:I$773,8,FALSE)</f>
        <v>350000</v>
      </c>
      <c r="J407" s="2">
        <v>0</v>
      </c>
      <c r="K407" s="25"/>
    </row>
    <row r="408" spans="1:11" x14ac:dyDescent="0.35">
      <c r="A408" s="1" t="s">
        <v>518</v>
      </c>
      <c r="B408" s="1" t="s">
        <v>519</v>
      </c>
      <c r="C408" s="1" t="s">
        <v>1219</v>
      </c>
      <c r="D408" s="1" t="s">
        <v>107</v>
      </c>
      <c r="E408" s="1" t="s">
        <v>107</v>
      </c>
      <c r="F408" s="1" t="s">
        <v>842</v>
      </c>
      <c r="G408" s="97" t="str">
        <f>VLOOKUP(B408,'[1]Data Email Anggota'!C$2:F$366,4,FALSE)</f>
        <v>sigit.prastowo@bki.co.id</v>
      </c>
      <c r="H408" s="97" t="s">
        <v>1206</v>
      </c>
      <c r="I408" s="2">
        <f>VLOOKUP(B408,[4]Sheet1!B$2:I$773,8,FALSE)</f>
        <v>350000</v>
      </c>
      <c r="J408" s="2">
        <v>0</v>
      </c>
      <c r="K408" s="25"/>
    </row>
    <row r="409" spans="1:11" x14ac:dyDescent="0.35">
      <c r="A409" s="1" t="s">
        <v>520</v>
      </c>
      <c r="B409" s="1" t="s">
        <v>521</v>
      </c>
      <c r="C409" s="1" t="s">
        <v>1219</v>
      </c>
      <c r="D409" s="1" t="s">
        <v>107</v>
      </c>
      <c r="E409" s="1" t="s">
        <v>107</v>
      </c>
      <c r="F409" s="1" t="s">
        <v>843</v>
      </c>
      <c r="G409" s="97" t="str">
        <f>VLOOKUP(B409,'[1]Data Email Anggota'!C$2:F$366,4,FALSE)</f>
        <v>syariful.mahsyar@bki.co.id</v>
      </c>
      <c r="H409" s="97" t="s">
        <v>1206</v>
      </c>
      <c r="I409" s="2">
        <f>VLOOKUP(B409,[4]Sheet1!B$2:I$773,8,FALSE)</f>
        <v>150000</v>
      </c>
      <c r="J409" s="2">
        <v>0</v>
      </c>
      <c r="K409" s="25"/>
    </row>
    <row r="410" spans="1:11" x14ac:dyDescent="0.35">
      <c r="A410" s="1" t="s">
        <v>522</v>
      </c>
      <c r="B410" s="1" t="s">
        <v>523</v>
      </c>
      <c r="C410" s="1" t="s">
        <v>1219</v>
      </c>
      <c r="D410" s="1" t="s">
        <v>107</v>
      </c>
      <c r="E410" s="1" t="s">
        <v>107</v>
      </c>
      <c r="F410" s="1" t="s">
        <v>844</v>
      </c>
      <c r="H410" s="97" t="s">
        <v>1206</v>
      </c>
      <c r="I410" s="2">
        <f>VLOOKUP(B410,[4]Sheet1!B$2:I$773,8,FALSE)</f>
        <v>350000</v>
      </c>
      <c r="J410" s="2">
        <v>0</v>
      </c>
      <c r="K410" s="25"/>
    </row>
    <row r="411" spans="1:11" x14ac:dyDescent="0.35">
      <c r="A411" s="1" t="s">
        <v>524</v>
      </c>
      <c r="B411" s="1" t="s">
        <v>525</v>
      </c>
      <c r="C411" s="1" t="s">
        <v>1219</v>
      </c>
      <c r="D411" s="1" t="s">
        <v>107</v>
      </c>
      <c r="E411" s="1" t="s">
        <v>107</v>
      </c>
      <c r="F411" s="1" t="s">
        <v>845</v>
      </c>
      <c r="G411" s="97" t="str">
        <f>VLOOKUP(B411,'[1]Data Email Anggota'!C$2:F$366,4,FALSE)</f>
        <v>lutfi.paraya@bki.co.id</v>
      </c>
      <c r="H411" s="97" t="s">
        <v>1206</v>
      </c>
      <c r="I411" s="2">
        <f>VLOOKUP(B411,[4]Sheet1!B$2:I$773,8,FALSE)</f>
        <v>250000</v>
      </c>
      <c r="J411" s="2">
        <v>0</v>
      </c>
      <c r="K411" s="25"/>
    </row>
    <row r="412" spans="1:11" x14ac:dyDescent="0.35">
      <c r="A412" s="1" t="s">
        <v>526</v>
      </c>
      <c r="B412" s="1" t="s">
        <v>527</v>
      </c>
      <c r="C412" s="1" t="s">
        <v>1219</v>
      </c>
      <c r="D412" s="1" t="s">
        <v>107</v>
      </c>
      <c r="E412" s="1" t="s">
        <v>107</v>
      </c>
      <c r="F412" s="1" t="s">
        <v>845</v>
      </c>
      <c r="G412" s="97" t="str">
        <f>VLOOKUP(B412,'[1]Data Email Anggota'!C$2:F$366,4,FALSE)</f>
        <v>setiono.prabowo@bki.co.id</v>
      </c>
      <c r="H412" s="97" t="s">
        <v>1206</v>
      </c>
      <c r="I412" s="2">
        <f>VLOOKUP(B412,[4]Sheet1!B$2:I$773,8,FALSE)</f>
        <v>250000</v>
      </c>
      <c r="J412" s="2">
        <v>0</v>
      </c>
      <c r="K412" s="25"/>
    </row>
    <row r="413" spans="1:11" hidden="1" x14ac:dyDescent="0.35">
      <c r="G413" s="1"/>
      <c r="H413" s="1"/>
    </row>
    <row r="414" spans="1:11" x14ac:dyDescent="0.35">
      <c r="A414" s="1" t="s">
        <v>528</v>
      </c>
      <c r="B414" s="1" t="s">
        <v>529</v>
      </c>
      <c r="C414" s="1" t="s">
        <v>1219</v>
      </c>
      <c r="D414" s="1" t="s">
        <v>107</v>
      </c>
      <c r="E414" s="1" t="s">
        <v>19</v>
      </c>
      <c r="F414" s="1" t="s">
        <v>846</v>
      </c>
      <c r="G414" s="97" t="str">
        <f>VLOOKUP(B414,'[1]Data Email Anggota'!C$2:F$366,4,FALSE)</f>
        <v>arifuddin@bki.co.id</v>
      </c>
      <c r="H414" s="97" t="s">
        <v>1206</v>
      </c>
      <c r="I414" s="2">
        <f>VLOOKUP(B414,'[2]REKAP POTONGAN'!B$6:D$93,3,FALSE)</f>
        <v>150000</v>
      </c>
      <c r="J414" s="2">
        <f>VLOOKUP(B414,'[2]REKAP POTONGAN'!B$6:C$93,2,FALSE)</f>
        <v>0</v>
      </c>
      <c r="K414" s="25"/>
    </row>
    <row r="415" spans="1:11" hidden="1" x14ac:dyDescent="0.35">
      <c r="G415" s="1"/>
      <c r="H415" s="1"/>
    </row>
    <row r="416" spans="1:11" hidden="1" x14ac:dyDescent="0.35">
      <c r="G416" s="1"/>
      <c r="H416" s="1"/>
    </row>
    <row r="417" spans="1:11" x14ac:dyDescent="0.35">
      <c r="A417" s="1" t="s">
        <v>530</v>
      </c>
      <c r="B417" s="1" t="s">
        <v>531</v>
      </c>
      <c r="C417" s="1" t="s">
        <v>1219</v>
      </c>
      <c r="D417" s="1" t="s">
        <v>107</v>
      </c>
      <c r="E417" s="1" t="s">
        <v>4</v>
      </c>
      <c r="F417" s="1" t="s">
        <v>847</v>
      </c>
      <c r="G417" s="97" t="str">
        <f>VLOOKUP(B417,'[1]Data Email Anggota'!C$2:F$366,4,FALSE)</f>
        <v>arifin.gustian@bki.co.id</v>
      </c>
      <c r="H417" s="97" t="s">
        <v>1206</v>
      </c>
      <c r="I417" s="2">
        <f>VLOOKUP(B417,'[2]REKAP POTONGAN'!B$6:D$93,3,FALSE)</f>
        <v>250000</v>
      </c>
      <c r="J417" s="2">
        <f>VLOOKUP(B417,'[2]REKAP POTONGAN'!B$6:C$93,2,FALSE)</f>
        <v>0</v>
      </c>
      <c r="K417" s="25"/>
    </row>
    <row r="418" spans="1:11" hidden="1" x14ac:dyDescent="0.35">
      <c r="G418" s="1"/>
      <c r="H418" s="1"/>
    </row>
    <row r="419" spans="1:11" hidden="1" x14ac:dyDescent="0.35">
      <c r="G419" s="1"/>
      <c r="H419" s="1"/>
    </row>
    <row r="420" spans="1:11" hidden="1" x14ac:dyDescent="0.35">
      <c r="G420" s="1"/>
      <c r="H420" s="1"/>
    </row>
    <row r="421" spans="1:11" x14ac:dyDescent="0.35">
      <c r="A421" s="1" t="s">
        <v>532</v>
      </c>
      <c r="B421" s="1" t="s">
        <v>533</v>
      </c>
      <c r="C421" s="1" t="s">
        <v>1219</v>
      </c>
      <c r="D421" s="1" t="s">
        <v>107</v>
      </c>
      <c r="E421" s="1" t="s">
        <v>16</v>
      </c>
      <c r="F421" s="1" t="s">
        <v>848</v>
      </c>
      <c r="G421" s="97" t="str">
        <f>VLOOKUP(B421,'[1]Data Email Anggota'!C$2:F$366,4,FALSE)</f>
        <v>mahesa@bki.co.id</v>
      </c>
      <c r="H421" s="97" t="s">
        <v>1206</v>
      </c>
      <c r="I421" s="2">
        <f>VLOOKUP(B421,'[2]REKAP POTONGAN'!B$6:D$93,3,FALSE)</f>
        <v>250000</v>
      </c>
      <c r="J421" s="2">
        <f>VLOOKUP(B421,'[2]REKAP POTONGAN'!B$6:C$93,2,FALSE)</f>
        <v>0</v>
      </c>
      <c r="K421" s="25"/>
    </row>
    <row r="422" spans="1:11" hidden="1" x14ac:dyDescent="0.35">
      <c r="G422" s="1"/>
      <c r="H422" s="1"/>
    </row>
    <row r="423" spans="1:11" hidden="1" x14ac:dyDescent="0.35">
      <c r="G423" s="1"/>
      <c r="H423" s="1"/>
    </row>
    <row r="424" spans="1:11" x14ac:dyDescent="0.35">
      <c r="A424" s="1" t="s">
        <v>534</v>
      </c>
      <c r="B424" s="1" t="s">
        <v>535</v>
      </c>
      <c r="C424" s="1" t="s">
        <v>1219</v>
      </c>
      <c r="D424" s="1" t="s">
        <v>4</v>
      </c>
      <c r="E424" s="1" t="s">
        <v>4</v>
      </c>
      <c r="F424" s="1" t="s">
        <v>696</v>
      </c>
      <c r="G424" s="97" t="str">
        <f>VLOOKUP(B424,'[1]Data Email Anggota'!C$2:F$366,4,FALSE)</f>
        <v>syarifuddin.yamin@bki.co.id</v>
      </c>
      <c r="H424" s="97" t="s">
        <v>1206</v>
      </c>
      <c r="I424" s="2">
        <f>VLOOKUP(B424,'[2]REKAP POTONGAN'!B$6:D$93,3,FALSE)</f>
        <v>250000</v>
      </c>
      <c r="J424" s="2">
        <f>VLOOKUP(B424,'[2]REKAP POTONGAN'!B$6:C$93,2,FALSE)</f>
        <v>0</v>
      </c>
      <c r="K424" s="25"/>
    </row>
    <row r="425" spans="1:11" hidden="1" x14ac:dyDescent="0.35">
      <c r="G425" s="1"/>
      <c r="H425" s="1"/>
    </row>
    <row r="426" spans="1:11" x14ac:dyDescent="0.35">
      <c r="A426" s="1" t="s">
        <v>536</v>
      </c>
      <c r="B426" s="1" t="s">
        <v>537</v>
      </c>
      <c r="C426" s="1" t="s">
        <v>1219</v>
      </c>
      <c r="D426" s="1" t="s">
        <v>107</v>
      </c>
      <c r="E426" s="1" t="s">
        <v>107</v>
      </c>
      <c r="F426" s="1" t="s">
        <v>698</v>
      </c>
      <c r="G426" s="97" t="str">
        <f>VLOOKUP(B426,'[1]Data Email Anggota'!C$2:F$366,4,FALSE)</f>
        <v>hambali.wahid@bki.co.id</v>
      </c>
      <c r="H426" s="97" t="str">
        <f>VLOOKUP(B426,[3]SHU!C$8:L$377,10,FALSE)</f>
        <v>AKTIF</v>
      </c>
      <c r="I426" s="2">
        <f>VLOOKUP(B426,[4]Sheet1!B$2:I$773,8,FALSE)</f>
        <v>150000</v>
      </c>
      <c r="J426" s="2">
        <v>0</v>
      </c>
      <c r="K426" s="25"/>
    </row>
    <row r="427" spans="1:11" hidden="1" x14ac:dyDescent="0.35">
      <c r="G427" s="1"/>
      <c r="H427" s="1"/>
    </row>
    <row r="428" spans="1:11" hidden="1" x14ac:dyDescent="0.35">
      <c r="G428" s="1"/>
      <c r="H428" s="1"/>
    </row>
    <row r="429" spans="1:11" x14ac:dyDescent="0.35">
      <c r="B429" s="1" t="s">
        <v>538</v>
      </c>
      <c r="C429" s="1" t="s">
        <v>1219</v>
      </c>
      <c r="D429" s="1" t="s">
        <v>97</v>
      </c>
      <c r="E429" s="1" t="s">
        <v>97</v>
      </c>
      <c r="F429" s="1" t="s">
        <v>725</v>
      </c>
      <c r="G429" s="97" t="str">
        <f>VLOOKUP(B429,'[1]Data Email Anggota'!C$2:F$366,4,FALSE)</f>
        <v>miftah.faridy@bki.co.id</v>
      </c>
      <c r="H429" s="97" t="s">
        <v>1206</v>
      </c>
      <c r="I429" s="2">
        <f>VLOOKUP(B429,'[2]REKAP POTONGAN'!B$6:D$93,3,FALSE)</f>
        <v>250000</v>
      </c>
      <c r="J429" s="2">
        <f>VLOOKUP(B429,'[2]REKAP POTONGAN'!B$6:C$93,2,FALSE)</f>
        <v>0</v>
      </c>
      <c r="K429" s="25"/>
    </row>
    <row r="430" spans="1:11" hidden="1" x14ac:dyDescent="0.35">
      <c r="G430" s="1"/>
      <c r="H430" s="1"/>
    </row>
    <row r="431" spans="1:11" x14ac:dyDescent="0.35">
      <c r="A431" s="1" t="s">
        <v>539</v>
      </c>
      <c r="B431" s="1" t="s">
        <v>540</v>
      </c>
      <c r="C431" s="1" t="s">
        <v>1219</v>
      </c>
      <c r="D431" s="1" t="s">
        <v>107</v>
      </c>
      <c r="E431" s="1" t="s">
        <v>107</v>
      </c>
      <c r="F431" s="1" t="s">
        <v>849</v>
      </c>
      <c r="G431" s="97" t="str">
        <f>VLOOKUP(B431,'[1]Data Email Anggota'!C$2:F$366,4,FALSE)</f>
        <v>arfah@bki.co.id</v>
      </c>
      <c r="H431" s="97" t="s">
        <v>1206</v>
      </c>
      <c r="I431" s="2">
        <f>VLOOKUP(B431,[4]Sheet1!B$2:I$773,8,FALSE)</f>
        <v>350000</v>
      </c>
      <c r="J431" s="2">
        <v>0</v>
      </c>
      <c r="K431" s="25"/>
    </row>
    <row r="432" spans="1:11" hidden="1" x14ac:dyDescent="0.35">
      <c r="G432" s="1"/>
      <c r="H432" s="1"/>
    </row>
    <row r="433" spans="1:11" x14ac:dyDescent="0.35">
      <c r="A433" s="1" t="s">
        <v>541</v>
      </c>
      <c r="B433" s="1" t="s">
        <v>542</v>
      </c>
      <c r="C433" s="1" t="s">
        <v>1219</v>
      </c>
      <c r="D433" s="1" t="s">
        <v>107</v>
      </c>
      <c r="E433" s="1" t="s">
        <v>107</v>
      </c>
      <c r="F433" s="1" t="s">
        <v>850</v>
      </c>
      <c r="H433" s="97" t="s">
        <v>1206</v>
      </c>
      <c r="I433" s="2">
        <f>VLOOKUP(B433,[4]Sheet1!B$2:I$773,8,FALSE)</f>
        <v>250000</v>
      </c>
      <c r="J433" s="2">
        <v>0</v>
      </c>
      <c r="K433" s="25"/>
    </row>
    <row r="434" spans="1:11" x14ac:dyDescent="0.35">
      <c r="A434" s="1" t="s">
        <v>543</v>
      </c>
      <c r="B434" s="1" t="s">
        <v>544</v>
      </c>
      <c r="C434" s="1" t="s">
        <v>1219</v>
      </c>
      <c r="D434" s="1" t="s">
        <v>148</v>
      </c>
      <c r="E434" s="1" t="s">
        <v>148</v>
      </c>
      <c r="F434" s="1" t="s">
        <v>700</v>
      </c>
      <c r="G434" s="97" t="str">
        <f>VLOOKUP(B434,'[1]Data Email Anggota'!C$2:F$366,4,FALSE)</f>
        <v>irwan.es@bki.co.id</v>
      </c>
      <c r="H434" s="97" t="s">
        <v>1206</v>
      </c>
      <c r="I434" s="2">
        <f>VLOOKUP(B434,'[6]DAFTAR (No Tittle)'!B$8:C$18,2,FALSE)</f>
        <v>250000</v>
      </c>
      <c r="J434" s="2">
        <f>VLOOKUP(B434,'[6]DAFTAR (No Tittle)'!B$8:D$18,3,FALSE)</f>
        <v>0</v>
      </c>
      <c r="K434" s="25"/>
    </row>
    <row r="435" spans="1:11" hidden="1" x14ac:dyDescent="0.35">
      <c r="G435" s="1"/>
      <c r="H435" s="1"/>
    </row>
    <row r="436" spans="1:11" hidden="1" x14ac:dyDescent="0.35">
      <c r="G436" s="1"/>
      <c r="H436" s="1"/>
    </row>
    <row r="437" spans="1:11" hidden="1" x14ac:dyDescent="0.35">
      <c r="G437" s="1"/>
      <c r="H437" s="1"/>
    </row>
    <row r="438" spans="1:11" hidden="1" x14ac:dyDescent="0.35">
      <c r="G438" s="1"/>
      <c r="H438" s="1"/>
    </row>
    <row r="439" spans="1:11" hidden="1" x14ac:dyDescent="0.35">
      <c r="G439" s="1"/>
      <c r="H439" s="1"/>
    </row>
    <row r="440" spans="1:11" hidden="1" x14ac:dyDescent="0.35">
      <c r="G440" s="1"/>
      <c r="H440" s="1"/>
    </row>
    <row r="441" spans="1:11" hidden="1" x14ac:dyDescent="0.35">
      <c r="G441" s="1"/>
      <c r="H441" s="1"/>
    </row>
    <row r="442" spans="1:11" x14ac:dyDescent="0.35">
      <c r="A442" s="1" t="s">
        <v>545</v>
      </c>
      <c r="B442" s="1" t="s">
        <v>546</v>
      </c>
      <c r="C442" s="1" t="s">
        <v>1219</v>
      </c>
      <c r="D442" s="1" t="s">
        <v>12</v>
      </c>
      <c r="E442" s="1" t="s">
        <v>12</v>
      </c>
      <c r="F442" s="1" t="s">
        <v>851</v>
      </c>
      <c r="G442" s="97" t="str">
        <f>VLOOKUP(B442,'[1]Data Email Anggota'!C$2:F$366,4,FALSE)</f>
        <v>nur.ra@bki.co.id</v>
      </c>
      <c r="H442" s="97" t="s">
        <v>1206</v>
      </c>
      <c r="I442" s="2">
        <f>VLOOKUP(B442,[4]Sheet1!B$2:I$773,8,FALSE)</f>
        <v>250000</v>
      </c>
      <c r="J442" s="2">
        <f>VLOOKUP(B442,'[5]DAFTAR ALL'!B$8:D$68,3,FALSE)</f>
        <v>2702244</v>
      </c>
      <c r="K442" s="25"/>
    </row>
    <row r="443" spans="1:11" hidden="1" x14ac:dyDescent="0.35">
      <c r="G443" s="1"/>
      <c r="H443" s="1"/>
    </row>
    <row r="444" spans="1:11" hidden="1" x14ac:dyDescent="0.35">
      <c r="G444" s="1"/>
      <c r="H444" s="1"/>
    </row>
    <row r="445" spans="1:11" hidden="1" x14ac:dyDescent="0.35">
      <c r="G445" s="1"/>
      <c r="H445" s="1"/>
    </row>
    <row r="446" spans="1:11" hidden="1" x14ac:dyDescent="0.35">
      <c r="G446" s="1"/>
      <c r="H446" s="1"/>
    </row>
    <row r="447" spans="1:11" hidden="1" x14ac:dyDescent="0.35">
      <c r="G447" s="1"/>
      <c r="H447" s="1"/>
    </row>
    <row r="448" spans="1:11" x14ac:dyDescent="0.35">
      <c r="A448" s="1" t="s">
        <v>547</v>
      </c>
      <c r="B448" s="1" t="s">
        <v>548</v>
      </c>
      <c r="C448" s="1" t="s">
        <v>1219</v>
      </c>
      <c r="D448" s="1" t="s">
        <v>12</v>
      </c>
      <c r="E448" s="1" t="s">
        <v>12</v>
      </c>
      <c r="F448" s="1" t="s">
        <v>853</v>
      </c>
      <c r="G448" s="97" t="str">
        <f>VLOOKUP(B448,'[1]Data Email Anggota'!C$2:F$366,4,FALSE)</f>
        <v>tantyo.prajogo@bki.co.id</v>
      </c>
      <c r="H448" s="97" t="s">
        <v>1206</v>
      </c>
      <c r="I448" s="2">
        <f>VLOOKUP(B448,[4]Sheet1!B$2:I$773,8,FALSE)</f>
        <v>350000</v>
      </c>
      <c r="J448" s="2">
        <v>0</v>
      </c>
      <c r="K448" s="25"/>
    </row>
    <row r="449" spans="1:11" hidden="1" x14ac:dyDescent="0.35">
      <c r="G449" s="1"/>
      <c r="H449" s="1"/>
    </row>
    <row r="450" spans="1:11" x14ac:dyDescent="0.35">
      <c r="A450" s="1" t="s">
        <v>549</v>
      </c>
      <c r="B450" s="1" t="s">
        <v>550</v>
      </c>
      <c r="C450" s="1" t="s">
        <v>1219</v>
      </c>
      <c r="D450" s="1" t="s">
        <v>12</v>
      </c>
      <c r="E450" s="1" t="s">
        <v>157</v>
      </c>
      <c r="F450" s="1" t="s">
        <v>854</v>
      </c>
      <c r="G450" s="97" t="str">
        <f>VLOOKUP(B450,'[1]Data Email Anggota'!C$2:F$366,4,FALSE)</f>
        <v>awaluddin@bki.co.id</v>
      </c>
      <c r="H450" s="97" t="s">
        <v>1206</v>
      </c>
      <c r="I450" s="2">
        <f>VLOOKUP(B450,'[2]REKAP POTONGAN'!B$6:D$93,3,FALSE)</f>
        <v>250000</v>
      </c>
      <c r="J450" s="2">
        <f>VLOOKUP(B450,'[2]REKAP POTONGAN'!B$6:C$93,2,FALSE)</f>
        <v>3402778</v>
      </c>
      <c r="K450" s="25"/>
    </row>
    <row r="451" spans="1:11" x14ac:dyDescent="0.35">
      <c r="A451" s="1" t="s">
        <v>551</v>
      </c>
      <c r="B451" s="1" t="s">
        <v>552</v>
      </c>
      <c r="C451" s="1" t="s">
        <v>1219</v>
      </c>
      <c r="D451" s="1" t="s">
        <v>12</v>
      </c>
      <c r="E451" s="1" t="s">
        <v>157</v>
      </c>
      <c r="F451" s="1" t="s">
        <v>852</v>
      </c>
      <c r="G451" s="97" t="str">
        <f>VLOOKUP(B451,'[1]Data Email Anggota'!C$2:F$366,4,FALSE)</f>
        <v>mushawwir@bki.co.id</v>
      </c>
      <c r="H451" s="97" t="str">
        <f>VLOOKUP(B451,[3]SHU!C$8:L$377,10,FALSE)</f>
        <v>AKTIF</v>
      </c>
      <c r="I451" s="2">
        <f>VLOOKUP(B451,'[2]REKAP POTONGAN'!B$6:D$93,3,FALSE)</f>
        <v>250000</v>
      </c>
      <c r="J451" s="2">
        <f>VLOOKUP(B451,'[2]REKAP POTONGAN'!B$6:C$93,2,FALSE)</f>
        <v>0</v>
      </c>
      <c r="K451" s="25"/>
    </row>
    <row r="452" spans="1:11" x14ac:dyDescent="0.35">
      <c r="A452" s="1" t="s">
        <v>553</v>
      </c>
      <c r="B452" s="1" t="s">
        <v>554</v>
      </c>
      <c r="C452" s="1" t="s">
        <v>1219</v>
      </c>
      <c r="D452" s="1" t="s">
        <v>12</v>
      </c>
      <c r="E452" s="1" t="s">
        <v>12</v>
      </c>
      <c r="F452" s="1" t="s">
        <v>855</v>
      </c>
      <c r="G452" s="97" t="str">
        <f>VLOOKUP(B452,'[1]Data Email Anggota'!C$2:F$366,4,FALSE)</f>
        <v>sang.saddam@bki.co.id</v>
      </c>
      <c r="H452" s="97" t="s">
        <v>1206</v>
      </c>
      <c r="I452" s="2">
        <f>VLOOKUP(B452,[4]Sheet1!B$2:I$773,8,FALSE)</f>
        <v>250000</v>
      </c>
      <c r="J452" s="2">
        <v>0</v>
      </c>
      <c r="K452" s="25"/>
    </row>
    <row r="453" spans="1:11" hidden="1" x14ac:dyDescent="0.35">
      <c r="G453" s="1"/>
      <c r="H453" s="1"/>
    </row>
    <row r="454" spans="1:11" hidden="1" x14ac:dyDescent="0.35">
      <c r="G454" s="1"/>
      <c r="H454" s="1"/>
    </row>
    <row r="455" spans="1:11" hidden="1" x14ac:dyDescent="0.35">
      <c r="G455" s="1"/>
      <c r="H455" s="1"/>
    </row>
    <row r="456" spans="1:11" x14ac:dyDescent="0.35">
      <c r="A456" s="1" t="s">
        <v>555</v>
      </c>
      <c r="B456" s="1" t="s">
        <v>556</v>
      </c>
      <c r="C456" s="1" t="s">
        <v>1219</v>
      </c>
      <c r="D456" s="1" t="s">
        <v>12</v>
      </c>
      <c r="E456" s="1" t="s">
        <v>12</v>
      </c>
      <c r="F456" s="1" t="s">
        <v>794</v>
      </c>
      <c r="G456" s="97" t="str">
        <f>VLOOKUP(B456,'[1]Data Email Anggota'!C$2:F$366,4,FALSE)</f>
        <v>jasmine.pr@bki.co.id</v>
      </c>
      <c r="H456" s="97" t="str">
        <f>VLOOKUP(B456,[3]SHU!C$8:L$377,10,FALSE)</f>
        <v>AKTIF</v>
      </c>
      <c r="I456" s="2">
        <f>VLOOKUP(B456,[4]Sheet1!B$2:I$773,8,FALSE)</f>
        <v>100000</v>
      </c>
      <c r="J456" s="2">
        <v>0</v>
      </c>
      <c r="K456" s="25"/>
    </row>
    <row r="457" spans="1:11" x14ac:dyDescent="0.35">
      <c r="A457" s="1" t="s">
        <v>557</v>
      </c>
      <c r="B457" s="1" t="s">
        <v>558</v>
      </c>
      <c r="C457" s="1" t="s">
        <v>950</v>
      </c>
      <c r="D457" s="1" t="s">
        <v>559</v>
      </c>
      <c r="E457" s="1" t="s">
        <v>559</v>
      </c>
      <c r="F457" s="1" t="s">
        <v>856</v>
      </c>
      <c r="G457" s="97" t="str">
        <f>VLOOKUP(B457,'[1]Data Email Anggota'!C$2:F$366,4,FALSE)</f>
        <v>prasetyo@bki.co.id</v>
      </c>
      <c r="H457" s="97" t="s">
        <v>1206</v>
      </c>
      <c r="I457" s="2">
        <f>VLOOKUP(B457,[4]Sheet1!B$2:I$773,8,FALSE)</f>
        <v>350000</v>
      </c>
      <c r="J457" s="2">
        <f>VLOOKUP(B457,'[5]DAFTAR ALL'!B$8:D$68,3,FALSE)</f>
        <v>1733796</v>
      </c>
      <c r="K457" s="25"/>
    </row>
    <row r="458" spans="1:11" x14ac:dyDescent="0.35">
      <c r="A458" s="1" t="s">
        <v>560</v>
      </c>
      <c r="B458" s="1" t="s">
        <v>561</v>
      </c>
      <c r="C458" s="1" t="s">
        <v>950</v>
      </c>
      <c r="D458" s="1" t="s">
        <v>559</v>
      </c>
      <c r="E458" s="1" t="s">
        <v>559</v>
      </c>
      <c r="F458" s="1" t="s">
        <v>857</v>
      </c>
      <c r="G458" s="97" t="str">
        <f>VLOOKUP(B458,'[1]Data Email Anggota'!C$2:F$366,4,FALSE)</f>
        <v>dicky.aldoko@bki.co.id</v>
      </c>
      <c r="H458" s="97" t="str">
        <f>VLOOKUP(B458,[3]SHU!C$8:L$377,10,FALSE)</f>
        <v>AKTIF</v>
      </c>
      <c r="I458" s="2">
        <f>VLOOKUP(B458,[4]Sheet1!B$2:I$773,8,FALSE)</f>
        <v>150000</v>
      </c>
      <c r="J458" s="2">
        <v>0</v>
      </c>
      <c r="K458" s="25"/>
    </row>
    <row r="459" spans="1:11" hidden="1" x14ac:dyDescent="0.35">
      <c r="G459" s="1"/>
      <c r="H459" s="1"/>
    </row>
    <row r="460" spans="1:11" x14ac:dyDescent="0.35">
      <c r="A460" s="1" t="s">
        <v>562</v>
      </c>
      <c r="B460" s="1" t="s">
        <v>563</v>
      </c>
      <c r="C460" s="1" t="s">
        <v>950</v>
      </c>
      <c r="D460" s="1" t="s">
        <v>559</v>
      </c>
      <c r="E460" s="1" t="s">
        <v>559</v>
      </c>
      <c r="F460" s="1" t="s">
        <v>858</v>
      </c>
      <c r="G460" s="97" t="str">
        <f>VLOOKUP(B460,'[1]Data Email Anggota'!C$2:F$366,4,FALSE)</f>
        <v>rahmat.akbar@bki.co.id</v>
      </c>
      <c r="H460" s="97" t="s">
        <v>1206</v>
      </c>
      <c r="I460" s="2">
        <f>VLOOKUP(B460,[4]Sheet1!B$2:I$773,8,FALSE)</f>
        <v>250000</v>
      </c>
      <c r="J460" s="2">
        <v>0</v>
      </c>
      <c r="K460" s="25"/>
    </row>
    <row r="461" spans="1:11" hidden="1" x14ac:dyDescent="0.35">
      <c r="G461" s="1"/>
      <c r="H461" s="1"/>
    </row>
    <row r="462" spans="1:11" x14ac:dyDescent="0.35">
      <c r="A462" s="1" t="s">
        <v>564</v>
      </c>
      <c r="B462" s="1" t="s">
        <v>565</v>
      </c>
      <c r="C462" s="1" t="s">
        <v>950</v>
      </c>
      <c r="D462" s="1" t="s">
        <v>559</v>
      </c>
      <c r="E462" s="1" t="s">
        <v>559</v>
      </c>
      <c r="F462" s="1" t="s">
        <v>859</v>
      </c>
      <c r="G462" s="97" t="str">
        <f>VLOOKUP(B462,'[1]Data Email Anggota'!C$2:F$366,4,FALSE)</f>
        <v>hardian@bki.co.id</v>
      </c>
      <c r="H462" s="97" t="s">
        <v>1206</v>
      </c>
      <c r="I462" s="2">
        <f>VLOOKUP(B462,[4]Sheet1!B$2:I$773,8,FALSE)</f>
        <v>250000</v>
      </c>
      <c r="J462" s="2">
        <f>VLOOKUP(B462,'[5]DAFTAR ALL'!B$8:D$68,3,FALSE)</f>
        <v>3563351</v>
      </c>
      <c r="K462" s="25"/>
    </row>
    <row r="463" spans="1:11" hidden="1" x14ac:dyDescent="0.35">
      <c r="G463" s="1"/>
      <c r="H463" s="1"/>
    </row>
    <row r="464" spans="1:11" x14ac:dyDescent="0.35">
      <c r="A464" s="1" t="s">
        <v>566</v>
      </c>
      <c r="B464" s="1" t="s">
        <v>567</v>
      </c>
      <c r="C464" s="1" t="s">
        <v>950</v>
      </c>
      <c r="D464" s="1" t="s">
        <v>380</v>
      </c>
      <c r="E464" s="1" t="s">
        <v>380</v>
      </c>
      <c r="F464" s="1" t="s">
        <v>860</v>
      </c>
      <c r="G464" s="97" t="str">
        <f>VLOOKUP(B464,'[1]Data Email Anggota'!C$2:F$366,4,FALSE)</f>
        <v>andri.suryawan@bki.co.id</v>
      </c>
      <c r="H464" s="97" t="s">
        <v>1206</v>
      </c>
      <c r="I464" s="2">
        <f>VLOOKUP(B464,[4]Sheet1!B$2:I$773,8,FALSE)</f>
        <v>350000</v>
      </c>
      <c r="J464" s="2">
        <f>VLOOKUP(B464,'[5]DAFTAR ALL'!B$8:D$68,3,FALSE)</f>
        <v>4708150</v>
      </c>
      <c r="K464" s="25"/>
    </row>
    <row r="465" spans="1:11" x14ac:dyDescent="0.35">
      <c r="A465" s="1" t="s">
        <v>568</v>
      </c>
      <c r="B465" s="1" t="s">
        <v>569</v>
      </c>
      <c r="C465" s="1" t="s">
        <v>950</v>
      </c>
      <c r="D465" s="1" t="s">
        <v>570</v>
      </c>
      <c r="E465" s="1" t="s">
        <v>570</v>
      </c>
      <c r="F465" s="1" t="s">
        <v>861</v>
      </c>
      <c r="G465" s="97" t="str">
        <f>VLOOKUP(B465,'[1]Data Email Anggota'!C$2:F$366,4,FALSE)</f>
        <v>muhammad.iw@bki.co.id</v>
      </c>
      <c r="H465" s="97" t="str">
        <f>VLOOKUP(B465,[3]SHU!C$8:L$377,10,FALSE)</f>
        <v>AKTIF</v>
      </c>
      <c r="I465" s="2">
        <f>VLOOKUP(B465,[4]Sheet1!B$2:I$773,8,FALSE)</f>
        <v>150000</v>
      </c>
      <c r="J465" s="2">
        <f>VLOOKUP(B465,'[5]DAFTAR ALL'!B$8:D$68,3,FALSE)</f>
        <v>2500000</v>
      </c>
      <c r="K465" s="25"/>
    </row>
    <row r="466" spans="1:11" x14ac:dyDescent="0.35">
      <c r="A466" s="1" t="s">
        <v>571</v>
      </c>
      <c r="B466" s="1" t="s">
        <v>572</v>
      </c>
      <c r="C466" s="1" t="s">
        <v>1219</v>
      </c>
      <c r="D466" s="1" t="s">
        <v>570</v>
      </c>
      <c r="E466" s="1" t="s">
        <v>570</v>
      </c>
      <c r="F466" s="1" t="s">
        <v>862</v>
      </c>
      <c r="G466" s="97" t="str">
        <f>VLOOKUP(B466,'[1]Data Email Anggota'!C$2:F$366,4,FALSE)</f>
        <v>susilo@bki.co.id</v>
      </c>
      <c r="H466" s="97" t="str">
        <f>VLOOKUP(B466,[3]SHU!C$8:L$377,10,FALSE)</f>
        <v>AKTIF</v>
      </c>
      <c r="I466" s="2">
        <f>VLOOKUP(B466,[4]Sheet1!B$2:I$773,8,FALSE)</f>
        <v>250000</v>
      </c>
      <c r="J466" s="2">
        <v>0</v>
      </c>
      <c r="K466" s="25"/>
    </row>
    <row r="467" spans="1:11" hidden="1" x14ac:dyDescent="0.35">
      <c r="G467" s="1"/>
      <c r="H467" s="1"/>
      <c r="I467" s="51"/>
      <c r="J467" s="51"/>
      <c r="K467" s="96"/>
    </row>
    <row r="468" spans="1:11" x14ac:dyDescent="0.35">
      <c r="A468" s="1" t="s">
        <v>574</v>
      </c>
      <c r="B468" s="1" t="s">
        <v>575</v>
      </c>
      <c r="C468" s="1" t="s">
        <v>950</v>
      </c>
      <c r="D468" s="1" t="s">
        <v>570</v>
      </c>
      <c r="E468" s="1" t="s">
        <v>570</v>
      </c>
      <c r="F468" s="1" t="s">
        <v>863</v>
      </c>
      <c r="G468" s="97" t="str">
        <f>VLOOKUP(B468,'[1]Data Email Anggota'!C$2:F$366,4,FALSE)</f>
        <v>luthfi.mardani@bki.co.id</v>
      </c>
      <c r="H468" s="97" t="str">
        <f>VLOOKUP(B468,[3]SHU!C$8:L$377,10,FALSE)</f>
        <v>AKTIF</v>
      </c>
      <c r="I468" s="2">
        <f>VLOOKUP(B468,[4]Sheet1!B$2:I$773,8,FALSE)</f>
        <v>150000</v>
      </c>
      <c r="J468" s="2">
        <v>0</v>
      </c>
      <c r="K468" s="25"/>
    </row>
    <row r="469" spans="1:11" x14ac:dyDescent="0.35">
      <c r="A469" s="1" t="s">
        <v>576</v>
      </c>
      <c r="B469" s="1" t="s">
        <v>577</v>
      </c>
      <c r="C469" s="1" t="s">
        <v>1219</v>
      </c>
      <c r="D469" s="1" t="s">
        <v>570</v>
      </c>
      <c r="E469" s="1" t="s">
        <v>570</v>
      </c>
      <c r="F469" s="1" t="s">
        <v>864</v>
      </c>
      <c r="G469" s="97" t="str">
        <f>VLOOKUP(B469,'[1]Data Email Anggota'!C$2:F$366,4,FALSE)</f>
        <v>rahman@bki.co.id</v>
      </c>
      <c r="H469" s="97" t="s">
        <v>1206</v>
      </c>
      <c r="I469" s="2">
        <f>VLOOKUP(B469,[4]Sheet1!B$2:I$773,8,FALSE)</f>
        <v>350000</v>
      </c>
      <c r="J469" s="2">
        <f>VLOOKUP(B469,'[5]DAFTAR ALL'!B$8:D$68,3,FALSE)</f>
        <v>1500000</v>
      </c>
      <c r="K469" s="25"/>
    </row>
    <row r="470" spans="1:11" x14ac:dyDescent="0.35">
      <c r="A470" s="1" t="s">
        <v>578</v>
      </c>
      <c r="B470" s="1" t="s">
        <v>579</v>
      </c>
      <c r="C470" s="1" t="s">
        <v>1219</v>
      </c>
      <c r="D470" s="1" t="s">
        <v>570</v>
      </c>
      <c r="E470" s="1" t="s">
        <v>570</v>
      </c>
      <c r="F470" s="1" t="s">
        <v>865</v>
      </c>
      <c r="G470" s="97" t="str">
        <f>VLOOKUP(B470,'[1]Data Email Anggota'!C$2:F$366,4,FALSE)</f>
        <v>gita@bki.co.id</v>
      </c>
      <c r="H470" s="97" t="s">
        <v>1206</v>
      </c>
      <c r="I470" s="2">
        <f>VLOOKUP(B470,[4]Sheet1!B$2:I$773,8,FALSE)</f>
        <v>150000</v>
      </c>
      <c r="J470" s="2">
        <f>VLOOKUP(B470,'[5]DAFTAR ALL'!B$8:D$68,3,FALSE)</f>
        <v>2395833</v>
      </c>
      <c r="K470" s="25"/>
    </row>
    <row r="471" spans="1:11" hidden="1" x14ac:dyDescent="0.35">
      <c r="G471" s="1"/>
      <c r="H471" s="1"/>
    </row>
    <row r="472" spans="1:11" x14ac:dyDescent="0.35">
      <c r="A472" s="1" t="s">
        <v>580</v>
      </c>
      <c r="B472" s="1" t="s">
        <v>581</v>
      </c>
      <c r="C472" s="1" t="s">
        <v>1219</v>
      </c>
      <c r="D472" s="1" t="s">
        <v>582</v>
      </c>
      <c r="E472" s="1" t="s">
        <v>582</v>
      </c>
      <c r="F472" s="1" t="s">
        <v>866</v>
      </c>
      <c r="G472" s="97" t="str">
        <f>VLOOKUP(B472,'[1]Data Email Anggota'!C$2:F$366,4,FALSE)</f>
        <v>budiman@bki.co.id</v>
      </c>
      <c r="H472" s="97" t="s">
        <v>1206</v>
      </c>
      <c r="I472" s="2">
        <f>VLOOKUP(B472,[7]DAFTAR!B$8:C$42,2,FALSE)</f>
        <v>350000</v>
      </c>
      <c r="J472" s="2">
        <f>VLOOKUP(B472,[7]DAFTAR!B$8:E$42,4,FALSE)</f>
        <v>0</v>
      </c>
      <c r="K472" s="25"/>
    </row>
    <row r="473" spans="1:11" x14ac:dyDescent="0.35">
      <c r="A473" s="1" t="s">
        <v>583</v>
      </c>
      <c r="B473" s="1" t="s">
        <v>584</v>
      </c>
      <c r="C473" s="1" t="s">
        <v>1219</v>
      </c>
      <c r="D473" s="1" t="s">
        <v>582</v>
      </c>
      <c r="E473" s="1" t="s">
        <v>582</v>
      </c>
      <c r="F473" s="1" t="s">
        <v>867</v>
      </c>
      <c r="G473" s="97" t="str">
        <f>VLOOKUP(B473,'[1]Data Email Anggota'!C$2:F$366,4,FALSE)</f>
        <v>harrys.pm@bki.co.id</v>
      </c>
      <c r="H473" s="97" t="s">
        <v>1206</v>
      </c>
      <c r="I473" s="2">
        <f>VLOOKUP(B473,[7]DAFTAR!B$8:C$42,2,FALSE)</f>
        <v>150000</v>
      </c>
      <c r="J473" s="2">
        <f>VLOOKUP(B473,[7]DAFTAR!B$8:E$42,4,FALSE)</f>
        <v>1890628</v>
      </c>
      <c r="K473" s="25"/>
    </row>
    <row r="474" spans="1:11" x14ac:dyDescent="0.35">
      <c r="A474" s="1" t="s">
        <v>585</v>
      </c>
      <c r="B474" s="1" t="s">
        <v>586</v>
      </c>
      <c r="C474" s="1" t="s">
        <v>1219</v>
      </c>
      <c r="D474" s="1" t="s">
        <v>582</v>
      </c>
      <c r="E474" s="1" t="s">
        <v>582</v>
      </c>
      <c r="F474" s="1" t="s">
        <v>868</v>
      </c>
      <c r="G474" s="97" t="str">
        <f>VLOOKUP(B474,'[1]Data Email Anggota'!C$2:F$366,4,FALSE)</f>
        <v>elva@bki.co.id</v>
      </c>
      <c r="H474" s="97" t="s">
        <v>1206</v>
      </c>
      <c r="I474" s="2">
        <f>VLOOKUP(B474,[7]DAFTAR!B$8:C$42,2,FALSE)</f>
        <v>350000</v>
      </c>
      <c r="J474" s="2">
        <f>VLOOKUP(B474,[7]DAFTAR!B$8:E$42,4,FALSE)</f>
        <v>0</v>
      </c>
      <c r="K474" s="25"/>
    </row>
    <row r="475" spans="1:11" x14ac:dyDescent="0.35">
      <c r="A475" s="1" t="s">
        <v>587</v>
      </c>
      <c r="B475" s="1" t="s">
        <v>588</v>
      </c>
      <c r="C475" s="1" t="s">
        <v>1219</v>
      </c>
      <c r="D475" s="1" t="s">
        <v>582</v>
      </c>
      <c r="E475" s="1" t="s">
        <v>582</v>
      </c>
      <c r="F475" s="1" t="s">
        <v>869</v>
      </c>
      <c r="G475" s="97" t="str">
        <f>VLOOKUP(B475,'[1]Data Email Anggota'!C$2:F$366,4,FALSE)</f>
        <v>aspar@bki.co.id</v>
      </c>
      <c r="H475" s="97" t="s">
        <v>1206</v>
      </c>
      <c r="I475" s="2">
        <f>VLOOKUP(B475,[7]DAFTAR!B$8:C$42,2,FALSE)</f>
        <v>250000</v>
      </c>
      <c r="J475" s="2">
        <f>VLOOKUP(B475,[7]DAFTAR!B$8:E$42,4,FALSE)</f>
        <v>3075835</v>
      </c>
      <c r="K475" s="25"/>
    </row>
    <row r="476" spans="1:11" x14ac:dyDescent="0.35">
      <c r="A476" s="1" t="s">
        <v>589</v>
      </c>
      <c r="B476" s="1" t="s">
        <v>590</v>
      </c>
      <c r="C476" s="1" t="s">
        <v>1219</v>
      </c>
      <c r="D476" s="1" t="s">
        <v>582</v>
      </c>
      <c r="E476" s="1" t="s">
        <v>582</v>
      </c>
      <c r="F476" s="1" t="s">
        <v>870</v>
      </c>
      <c r="G476" s="97" t="str">
        <f>VLOOKUP(B476,'[1]Data Email Anggota'!C$2:F$366,4,FALSE)</f>
        <v>daniel.mahardhika@bki.co.id</v>
      </c>
      <c r="H476" s="97" t="s">
        <v>1206</v>
      </c>
      <c r="I476" s="2">
        <f>VLOOKUP(B476,[7]DAFTAR!B$8:C$42,2,FALSE)</f>
        <v>250000</v>
      </c>
      <c r="J476" s="2">
        <f>VLOOKUP(B476,[7]DAFTAR!B$8:E$42,4,FALSE)</f>
        <v>0</v>
      </c>
      <c r="K476" s="25"/>
    </row>
    <row r="477" spans="1:11" x14ac:dyDescent="0.35">
      <c r="A477" s="1" t="s">
        <v>591</v>
      </c>
      <c r="B477" s="1" t="s">
        <v>592</v>
      </c>
      <c r="C477" s="1" t="s">
        <v>1219</v>
      </c>
      <c r="D477" s="1" t="s">
        <v>582</v>
      </c>
      <c r="E477" s="1" t="s">
        <v>582</v>
      </c>
      <c r="F477" s="1" t="s">
        <v>871</v>
      </c>
      <c r="G477" s="97" t="str">
        <f>VLOOKUP(B477,'[1]Data Email Anggota'!C$2:F$366,4,FALSE)</f>
        <v>wijanarko@bki.co.id</v>
      </c>
      <c r="H477" s="97" t="s">
        <v>1206</v>
      </c>
      <c r="I477" s="2">
        <f>VLOOKUP(B477,[7]DAFTAR!B$8:C$42,2,FALSE)</f>
        <v>150000</v>
      </c>
      <c r="J477" s="2">
        <f>VLOOKUP(B477,[7]DAFTAR!B$8:E$42,4,FALSE)</f>
        <v>2500000</v>
      </c>
      <c r="K477" s="25"/>
    </row>
    <row r="478" spans="1:11" x14ac:dyDescent="0.35">
      <c r="A478" s="1" t="s">
        <v>593</v>
      </c>
      <c r="B478" s="1" t="s">
        <v>594</v>
      </c>
      <c r="C478" s="1" t="s">
        <v>1219</v>
      </c>
      <c r="D478" s="1" t="s">
        <v>582</v>
      </c>
      <c r="E478" s="1" t="s">
        <v>582</v>
      </c>
      <c r="F478" s="1" t="s">
        <v>872</v>
      </c>
      <c r="G478" s="97" t="str">
        <f>VLOOKUP(B478,'[1]Data Email Anggota'!C$2:F$366,4,FALSE)</f>
        <v>fernando@bki.co.id</v>
      </c>
      <c r="H478" s="97" t="s">
        <v>1206</v>
      </c>
      <c r="I478" s="2">
        <f>VLOOKUP(B478,[7]DAFTAR!B$8:C$42,2,FALSE)</f>
        <v>150000</v>
      </c>
      <c r="J478" s="2">
        <f>VLOOKUP(B478,[7]DAFTAR!B$8:E$42,4,FALSE)</f>
        <v>0</v>
      </c>
      <c r="K478" s="25"/>
    </row>
    <row r="479" spans="1:11" x14ac:dyDescent="0.35">
      <c r="A479" s="1" t="s">
        <v>595</v>
      </c>
      <c r="B479" s="1" t="s">
        <v>596</v>
      </c>
      <c r="C479" s="1" t="s">
        <v>1219</v>
      </c>
      <c r="D479" s="1" t="s">
        <v>582</v>
      </c>
      <c r="E479" s="1" t="s">
        <v>582</v>
      </c>
      <c r="F479" s="1" t="s">
        <v>873</v>
      </c>
      <c r="G479" s="97" t="str">
        <f>VLOOKUP(B479,'[1]Data Email Anggota'!C$2:F$366,4,FALSE)</f>
        <v>merdiansah@bki.co.id</v>
      </c>
      <c r="H479" s="97" t="str">
        <f>VLOOKUP(B479,[3]SHU!C$8:L$377,10,FALSE)</f>
        <v>AKTIF</v>
      </c>
      <c r="I479" s="2">
        <f>VLOOKUP(B479,[7]DAFTAR!B$8:C$42,2,FALSE)</f>
        <v>250000</v>
      </c>
      <c r="J479" s="2">
        <f>VLOOKUP(B479,[7]DAFTAR!B$8:E$42,4,FALSE)</f>
        <v>0</v>
      </c>
      <c r="K479" s="25"/>
    </row>
    <row r="480" spans="1:11" x14ac:dyDescent="0.35">
      <c r="A480" s="1" t="s">
        <v>597</v>
      </c>
      <c r="B480" s="1" t="s">
        <v>598</v>
      </c>
      <c r="C480" s="1" t="s">
        <v>1219</v>
      </c>
      <c r="D480" s="1" t="s">
        <v>582</v>
      </c>
      <c r="E480" s="1" t="s">
        <v>582</v>
      </c>
      <c r="F480" s="1" t="s">
        <v>874</v>
      </c>
      <c r="G480" s="97" t="str">
        <f>VLOOKUP(B480,'[1]Data Email Anggota'!C$2:F$366,4,FALSE)</f>
        <v>sesetyo@bki.co.id</v>
      </c>
      <c r="H480" s="97" t="s">
        <v>1206</v>
      </c>
      <c r="I480" s="2">
        <f>VLOOKUP(B480,[7]DAFTAR!B$8:C$42,2,FALSE)</f>
        <v>150000</v>
      </c>
      <c r="J480" s="2">
        <f>VLOOKUP(B480,[7]DAFTAR!B$8:E$42,4,FALSE)</f>
        <v>958333</v>
      </c>
      <c r="K480" s="25"/>
    </row>
    <row r="481" spans="1:11" x14ac:dyDescent="0.35">
      <c r="A481" s="1" t="s">
        <v>599</v>
      </c>
      <c r="B481" s="1" t="s">
        <v>600</v>
      </c>
      <c r="C481" s="1" t="s">
        <v>1219</v>
      </c>
      <c r="D481" s="1" t="s">
        <v>582</v>
      </c>
      <c r="E481" s="1" t="s">
        <v>582</v>
      </c>
      <c r="F481" s="1" t="s">
        <v>874</v>
      </c>
      <c r="G481" s="97" t="str">
        <f>VLOOKUP(B481,'[1]Data Email Anggota'!C$2:F$366,4,FALSE)</f>
        <v>azhar.ghipari@bki.co.id</v>
      </c>
      <c r="H481" s="97" t="s">
        <v>1206</v>
      </c>
      <c r="I481" s="2">
        <f>VLOOKUP(B481,[7]DAFTAR!B$8:C$42,2,FALSE)</f>
        <v>100000</v>
      </c>
      <c r="J481" s="2">
        <f>VLOOKUP(B481,[7]DAFTAR!B$8:E$42,4,FALSE)</f>
        <v>1700000</v>
      </c>
      <c r="K481" s="25"/>
    </row>
    <row r="482" spans="1:11" hidden="1" x14ac:dyDescent="0.35">
      <c r="G482" s="1"/>
      <c r="H482" s="1"/>
    </row>
    <row r="483" spans="1:11" x14ac:dyDescent="0.35">
      <c r="A483" s="1" t="s">
        <v>601</v>
      </c>
      <c r="B483" s="1" t="s">
        <v>602</v>
      </c>
      <c r="C483" s="1" t="s">
        <v>1219</v>
      </c>
      <c r="D483" s="1" t="s">
        <v>582</v>
      </c>
      <c r="E483" s="1" t="s">
        <v>582</v>
      </c>
      <c r="F483" s="1" t="s">
        <v>874</v>
      </c>
      <c r="G483" s="97" t="str">
        <f>VLOOKUP(B483,'[1]Data Email Anggota'!C$2:F$366,4,FALSE)</f>
        <v>hasta@bki.co.id</v>
      </c>
      <c r="H483" s="97" t="str">
        <f>VLOOKUP(B483,[3]SHU!C$8:L$377,10,FALSE)</f>
        <v>AKTIF</v>
      </c>
      <c r="I483" s="2">
        <f>VLOOKUP(B483,[7]DAFTAR!B$8:C$42,2,FALSE)</f>
        <v>100000</v>
      </c>
      <c r="J483" s="2">
        <f>VLOOKUP(B483,[7]DAFTAR!B$8:E$42,4,FALSE)</f>
        <v>2400000</v>
      </c>
      <c r="K483" s="25"/>
    </row>
    <row r="484" spans="1:11" x14ac:dyDescent="0.35">
      <c r="A484" s="1" t="s">
        <v>603</v>
      </c>
      <c r="B484" s="92" t="s">
        <v>604</v>
      </c>
      <c r="C484" s="1" t="s">
        <v>1219</v>
      </c>
      <c r="D484" s="1" t="s">
        <v>647</v>
      </c>
      <c r="E484" s="1" t="s">
        <v>647</v>
      </c>
      <c r="F484" s="1" t="s">
        <v>886</v>
      </c>
      <c r="G484" s="97" t="str">
        <f>VLOOKUP(B484,'[1]Data Email Anggota'!C$2:F$366,4,FALSE)</f>
        <v>yusriadi.br@bki.co.id</v>
      </c>
      <c r="H484" s="97" t="s">
        <v>1206</v>
      </c>
      <c r="I484" s="2">
        <f>VLOOKUP(B484,[8]DAFTAR!B$7:C$17,2,FALSE)</f>
        <v>150000</v>
      </c>
      <c r="J484" s="2">
        <f>VLOOKUP(B484,[8]DAFTAR!B$7:E$17,4,FALSE)</f>
        <v>0</v>
      </c>
      <c r="K484" s="25"/>
    </row>
    <row r="485" spans="1:11" x14ac:dyDescent="0.35">
      <c r="A485" s="1" t="s">
        <v>605</v>
      </c>
      <c r="B485" s="1" t="s">
        <v>606</v>
      </c>
      <c r="C485" s="1" t="s">
        <v>1219</v>
      </c>
      <c r="D485" s="1" t="s">
        <v>582</v>
      </c>
      <c r="E485" s="1" t="s">
        <v>582</v>
      </c>
      <c r="F485" s="1" t="s">
        <v>874</v>
      </c>
      <c r="G485" s="97" t="str">
        <f>VLOOKUP(B485,'[1]Data Email Anggota'!C$2:F$366,4,FALSE)</f>
        <v>sudiro@bki.co.id</v>
      </c>
      <c r="H485" s="97" t="s">
        <v>1206</v>
      </c>
      <c r="I485" s="2">
        <f>VLOOKUP(B485,[7]DAFTAR!B$8:C$42,2,FALSE)</f>
        <v>250000</v>
      </c>
      <c r="J485" s="2">
        <f>VLOOKUP(B485,[7]DAFTAR!B$8:E$42,4,FALSE)</f>
        <v>0</v>
      </c>
      <c r="K485" s="25"/>
    </row>
    <row r="486" spans="1:11" hidden="1" x14ac:dyDescent="0.35">
      <c r="G486" s="1"/>
      <c r="H486" s="1"/>
    </row>
    <row r="487" spans="1:11" x14ac:dyDescent="0.35">
      <c r="A487" s="1" t="s">
        <v>607</v>
      </c>
      <c r="B487" s="1" t="s">
        <v>608</v>
      </c>
      <c r="C487" s="1" t="s">
        <v>1219</v>
      </c>
      <c r="D487" s="1" t="s">
        <v>582</v>
      </c>
      <c r="E487" s="1" t="s">
        <v>582</v>
      </c>
      <c r="F487" s="1" t="s">
        <v>875</v>
      </c>
      <c r="G487" s="97" t="str">
        <f>VLOOKUP(B487,'[1]Data Email Anggota'!C$2:F$366,4,FALSE)</f>
        <v>dimas.pp@bki.co.id</v>
      </c>
      <c r="H487" s="97" t="str">
        <f>VLOOKUP(B487,[3]SHU!C$8:L$377,10,FALSE)</f>
        <v>AKTIF</v>
      </c>
      <c r="I487" s="2">
        <f>VLOOKUP(B487,[7]DAFTAR!B$8:C$42,2,FALSE)</f>
        <v>100000</v>
      </c>
      <c r="J487" s="2">
        <f>VLOOKUP(B487,[7]DAFTAR!B$8:E$42,4,FALSE)</f>
        <v>2500000</v>
      </c>
      <c r="K487" s="25"/>
    </row>
    <row r="488" spans="1:11" x14ac:dyDescent="0.35">
      <c r="A488" s="1" t="s">
        <v>609</v>
      </c>
      <c r="B488" s="1" t="s">
        <v>610</v>
      </c>
      <c r="C488" s="1" t="s">
        <v>1219</v>
      </c>
      <c r="D488" s="1" t="s">
        <v>582</v>
      </c>
      <c r="E488" s="1" t="s">
        <v>582</v>
      </c>
      <c r="F488" s="1" t="s">
        <v>875</v>
      </c>
      <c r="G488" s="97" t="str">
        <f>VLOOKUP(B488,'[1]Data Email Anggota'!C$2:F$366,4,FALSE)</f>
        <v>fatkhurrohman@bki.co.id</v>
      </c>
      <c r="H488" s="97" t="str">
        <f>VLOOKUP(B488,[3]SHU!C$8:L$377,10,FALSE)</f>
        <v>AKTIF</v>
      </c>
      <c r="I488" s="2">
        <f>VLOOKUP(B488,[7]DAFTAR!B$8:C$42,2,FALSE)</f>
        <v>100000</v>
      </c>
      <c r="J488" s="2">
        <f>VLOOKUP(B488,[7]DAFTAR!B$8:E$42,4,FALSE)</f>
        <v>0</v>
      </c>
      <c r="K488" s="25"/>
    </row>
    <row r="489" spans="1:11" x14ac:dyDescent="0.35">
      <c r="A489" s="1" t="s">
        <v>611</v>
      </c>
      <c r="B489" s="1" t="s">
        <v>612</v>
      </c>
      <c r="C489" s="1" t="s">
        <v>1219</v>
      </c>
      <c r="D489" s="1" t="s">
        <v>582</v>
      </c>
      <c r="E489" s="1" t="s">
        <v>582</v>
      </c>
      <c r="F489" s="1" t="s">
        <v>875</v>
      </c>
      <c r="H489" s="97" t="str">
        <f>VLOOKUP(B489,[3]SHU!C$8:L$377,10,FALSE)</f>
        <v>AKTIF</v>
      </c>
      <c r="I489" s="2">
        <f>VLOOKUP(B489,[7]DAFTAR!B$8:C$42,2,FALSE)</f>
        <v>150000</v>
      </c>
      <c r="J489" s="2">
        <f>VLOOKUP(B489,[7]DAFTAR!B$8:E$42,4,FALSE)</f>
        <v>0</v>
      </c>
      <c r="K489" s="25"/>
    </row>
    <row r="490" spans="1:11" x14ac:dyDescent="0.35">
      <c r="A490" s="1" t="s">
        <v>613</v>
      </c>
      <c r="B490" s="1" t="s">
        <v>614</v>
      </c>
      <c r="C490" s="1" t="s">
        <v>1219</v>
      </c>
      <c r="D490" s="1" t="s">
        <v>582</v>
      </c>
      <c r="E490" s="1" t="s">
        <v>582</v>
      </c>
      <c r="F490" s="1" t="s">
        <v>875</v>
      </c>
      <c r="G490" s="97" t="str">
        <f>VLOOKUP(B490,'[1]Data Email Anggota'!C$2:F$366,4,FALSE)</f>
        <v>novella.musya@bki.co.id</v>
      </c>
      <c r="H490" s="97" t="str">
        <f>VLOOKUP(B490,[3]SHU!C$8:L$377,10,FALSE)</f>
        <v>AKTIF</v>
      </c>
      <c r="I490" s="2">
        <f>VLOOKUP(B490,[7]DAFTAR!B$8:C$42,2,FALSE)</f>
        <v>150000</v>
      </c>
      <c r="J490" s="2">
        <f>VLOOKUP(B490,[7]DAFTAR!B$8:E$42,4,FALSE)</f>
        <v>0</v>
      </c>
      <c r="K490" s="25"/>
    </row>
    <row r="491" spans="1:11" x14ac:dyDescent="0.35">
      <c r="A491" s="1" t="s">
        <v>615</v>
      </c>
      <c r="B491" s="1" t="s">
        <v>616</v>
      </c>
      <c r="C491" s="1" t="s">
        <v>1219</v>
      </c>
      <c r="D491" s="1" t="s">
        <v>582</v>
      </c>
      <c r="E491" s="1" t="s">
        <v>582</v>
      </c>
      <c r="F491" s="1" t="s">
        <v>875</v>
      </c>
      <c r="G491" s="97" t="str">
        <f>VLOOKUP(B491,'[1]Data Email Anggota'!C$2:F$366,4,FALSE)</f>
        <v>rahadi@bki.co.id</v>
      </c>
      <c r="H491" s="97" t="s">
        <v>1206</v>
      </c>
      <c r="I491" s="2">
        <f>VLOOKUP(B491,[7]DAFTAR!B$8:C$42,2,FALSE)</f>
        <v>150000</v>
      </c>
      <c r="J491" s="2">
        <f>VLOOKUP(B491,[7]DAFTAR!B$8:E$42,4,FALSE)</f>
        <v>0</v>
      </c>
      <c r="K491" s="25"/>
    </row>
    <row r="492" spans="1:11" x14ac:dyDescent="0.35">
      <c r="A492" s="1" t="s">
        <v>617</v>
      </c>
      <c r="B492" s="1" t="s">
        <v>618</v>
      </c>
      <c r="C492" s="1" t="s">
        <v>1219</v>
      </c>
      <c r="D492" s="1" t="s">
        <v>582</v>
      </c>
      <c r="E492" s="1" t="s">
        <v>582</v>
      </c>
      <c r="F492" s="1" t="s">
        <v>875</v>
      </c>
      <c r="G492" s="97" t="str">
        <f>VLOOKUP(B492,'[1]Data Email Anggota'!C$2:F$366,4,FALSE)</f>
        <v>rizki.tamtura@bki.co.id</v>
      </c>
      <c r="H492" s="97" t="s">
        <v>1206</v>
      </c>
      <c r="I492" s="2">
        <f>VLOOKUP(B492,[7]DAFTAR!B$8:C$42,2,FALSE)</f>
        <v>150000</v>
      </c>
      <c r="J492" s="2">
        <f>VLOOKUP(B492,[7]DAFTAR!B$8:E$42,4,FALSE)</f>
        <v>985417</v>
      </c>
      <c r="K492" s="25"/>
    </row>
    <row r="493" spans="1:11" x14ac:dyDescent="0.35">
      <c r="A493" s="1" t="s">
        <v>619</v>
      </c>
      <c r="B493" s="1" t="s">
        <v>620</v>
      </c>
      <c r="C493" s="1" t="s">
        <v>1219</v>
      </c>
      <c r="D493" s="1" t="s">
        <v>582</v>
      </c>
      <c r="E493" s="1" t="s">
        <v>582</v>
      </c>
      <c r="F493" s="1" t="s">
        <v>875</v>
      </c>
      <c r="G493" s="97" t="str">
        <f>VLOOKUP(B493,'[1]Data Email Anggota'!C$2:F$366,4,FALSE)</f>
        <v>satria.adi@bki.co.id</v>
      </c>
      <c r="H493" s="97" t="s">
        <v>1206</v>
      </c>
      <c r="I493" s="2">
        <f>VLOOKUP(B493,[7]DAFTAR!B$8:C$42,2,FALSE)</f>
        <v>100000</v>
      </c>
      <c r="J493" s="2">
        <f>VLOOKUP(B493,[7]DAFTAR!B$8:E$42,4,FALSE)</f>
        <v>2500000</v>
      </c>
      <c r="K493" s="25"/>
    </row>
    <row r="494" spans="1:11" hidden="1" x14ac:dyDescent="0.35">
      <c r="G494" s="1"/>
      <c r="H494" s="1"/>
    </row>
    <row r="495" spans="1:11" x14ac:dyDescent="0.35">
      <c r="A495" s="1" t="s">
        <v>621</v>
      </c>
      <c r="B495" s="1" t="s">
        <v>622</v>
      </c>
      <c r="C495" s="1" t="s">
        <v>1219</v>
      </c>
      <c r="D495" s="1" t="s">
        <v>582</v>
      </c>
      <c r="E495" s="1" t="s">
        <v>582</v>
      </c>
      <c r="F495" s="1" t="s">
        <v>876</v>
      </c>
      <c r="G495" s="97" t="str">
        <f>VLOOKUP(B495,'[1]Data Email Anggota'!C$2:F$366,4,FALSE)</f>
        <v>dino.vl@bki.co.id</v>
      </c>
      <c r="H495" s="97" t="s">
        <v>1206</v>
      </c>
      <c r="I495" s="2">
        <f>VLOOKUP(B495,[7]DAFTAR!B$8:C$42,2,FALSE)</f>
        <v>150000</v>
      </c>
      <c r="J495" s="2">
        <f>VLOOKUP(B495,[7]DAFTAR!B$8:E$42,4,FALSE)</f>
        <v>2041667</v>
      </c>
      <c r="K495" s="25"/>
    </row>
    <row r="496" spans="1:11" hidden="1" x14ac:dyDescent="0.35">
      <c r="G496" s="1"/>
      <c r="H496" s="1"/>
    </row>
    <row r="497" spans="1:11" hidden="1" x14ac:dyDescent="0.35">
      <c r="G497" s="1"/>
      <c r="H497" s="1"/>
    </row>
    <row r="498" spans="1:11" hidden="1" x14ac:dyDescent="0.35">
      <c r="G498" s="1"/>
      <c r="H498" s="1"/>
    </row>
    <row r="499" spans="1:11" x14ac:dyDescent="0.35">
      <c r="A499" s="1" t="s">
        <v>623</v>
      </c>
      <c r="B499" s="1" t="s">
        <v>624</v>
      </c>
      <c r="C499" s="1" t="s">
        <v>1219</v>
      </c>
      <c r="D499" s="1" t="s">
        <v>582</v>
      </c>
      <c r="E499" s="1" t="s">
        <v>582</v>
      </c>
      <c r="F499" s="1" t="s">
        <v>876</v>
      </c>
      <c r="G499" s="97" t="str">
        <f>VLOOKUP(B499,'[1]Data Email Anggota'!C$2:F$366,4,FALSE)</f>
        <v>syafril@bki.co.id</v>
      </c>
      <c r="H499" s="97" t="s">
        <v>1206</v>
      </c>
      <c r="I499" s="2">
        <f>VLOOKUP(B499,[7]DAFTAR!B$8:C$42,2,FALSE)</f>
        <v>150000</v>
      </c>
      <c r="J499" s="2">
        <f>VLOOKUP(B499,[7]DAFTAR!B$8:E$42,4,FALSE)</f>
        <v>2500000</v>
      </c>
      <c r="K499" s="25"/>
    </row>
    <row r="500" spans="1:11" x14ac:dyDescent="0.35">
      <c r="A500" s="1" t="s">
        <v>625</v>
      </c>
      <c r="B500" s="1" t="s">
        <v>626</v>
      </c>
      <c r="C500" s="1" t="s">
        <v>1219</v>
      </c>
      <c r="D500" s="1" t="s">
        <v>582</v>
      </c>
      <c r="E500" s="1" t="s">
        <v>582</v>
      </c>
      <c r="F500" s="1" t="s">
        <v>706</v>
      </c>
      <c r="G500" s="97" t="str">
        <f>VLOOKUP(B500,'[1]Data Email Anggota'!C$2:F$366,4,FALSE)</f>
        <v>hendy.zulfan@bki.co.id</v>
      </c>
      <c r="H500" s="97" t="s">
        <v>1206</v>
      </c>
      <c r="I500" s="2">
        <f>VLOOKUP(B500,[7]DAFTAR!B$8:C$42,2,FALSE)</f>
        <v>150000</v>
      </c>
      <c r="J500" s="2">
        <f>VLOOKUP(B500,[7]DAFTAR!B$8:E$42,4,FALSE)</f>
        <v>0</v>
      </c>
      <c r="K500" s="25"/>
    </row>
    <row r="501" spans="1:11" x14ac:dyDescent="0.35">
      <c r="A501" s="1" t="s">
        <v>627</v>
      </c>
      <c r="B501" s="1" t="s">
        <v>628</v>
      </c>
      <c r="C501" s="1" t="s">
        <v>1219</v>
      </c>
      <c r="D501" s="1" t="s">
        <v>582</v>
      </c>
      <c r="E501" s="1" t="s">
        <v>582</v>
      </c>
      <c r="F501" s="1" t="s">
        <v>877</v>
      </c>
      <c r="G501" s="97" t="str">
        <f>VLOOKUP(B501,'[1]Data Email Anggota'!C$2:F$366,4,FALSE)</f>
        <v>sofian@bki.co.id</v>
      </c>
      <c r="H501" s="97" t="s">
        <v>1206</v>
      </c>
      <c r="I501" s="2">
        <f>VLOOKUP(B501,[7]DAFTAR!B$8:C$42,2,FALSE)</f>
        <v>100000</v>
      </c>
      <c r="J501" s="2">
        <f>VLOOKUP(B501,[7]DAFTAR!B$8:E$42,4,FALSE)</f>
        <v>5075758</v>
      </c>
      <c r="K501" s="25"/>
    </row>
    <row r="502" spans="1:11" hidden="1" x14ac:dyDescent="0.35">
      <c r="G502" s="1"/>
      <c r="H502" s="1"/>
    </row>
    <row r="503" spans="1:11" x14ac:dyDescent="0.35">
      <c r="A503" s="1" t="s">
        <v>629</v>
      </c>
      <c r="B503" s="1" t="s">
        <v>630</v>
      </c>
      <c r="C503" s="1" t="s">
        <v>1219</v>
      </c>
      <c r="D503" s="1" t="s">
        <v>582</v>
      </c>
      <c r="E503" s="1" t="s">
        <v>582</v>
      </c>
      <c r="F503" s="1" t="s">
        <v>878</v>
      </c>
      <c r="G503" s="97" t="str">
        <f>VLOOKUP(B503,'[1]Data Email Anggota'!C$2:F$366,4,FALSE)</f>
        <v>abd.rahman@bki.co.id</v>
      </c>
      <c r="H503" s="97" t="s">
        <v>1206</v>
      </c>
      <c r="I503" s="2">
        <f>VLOOKUP(B503,[7]DAFTAR!B$8:C$42,2,FALSE)</f>
        <v>150000</v>
      </c>
      <c r="J503" s="2">
        <f>VLOOKUP(B503,[7]DAFTAR!B$8:E$42,4,FALSE)</f>
        <v>3408467</v>
      </c>
      <c r="K503" s="25"/>
    </row>
    <row r="504" spans="1:11" x14ac:dyDescent="0.35">
      <c r="A504" s="1" t="s">
        <v>631</v>
      </c>
      <c r="B504" s="1" t="s">
        <v>632</v>
      </c>
      <c r="C504" s="1" t="s">
        <v>1219</v>
      </c>
      <c r="D504" s="1" t="s">
        <v>582</v>
      </c>
      <c r="E504" s="1" t="s">
        <v>582</v>
      </c>
      <c r="F504" s="1" t="s">
        <v>878</v>
      </c>
      <c r="G504" s="97" t="str">
        <f>VLOOKUP(B504,'[1]Data Email Anggota'!C$2:F$366,4,FALSE)</f>
        <v>ismail@bki.co.id</v>
      </c>
      <c r="H504" s="97" t="str">
        <f>VLOOKUP(B504,[3]SHU!C$8:L$377,10,FALSE)</f>
        <v>AKTIF</v>
      </c>
      <c r="I504" s="2">
        <f>VLOOKUP(B504,[7]DAFTAR!B$8:C$42,2,FALSE)</f>
        <v>350000</v>
      </c>
      <c r="J504" s="2">
        <f>VLOOKUP(B504,[7]DAFTAR!B$8:E$42,4,FALSE)</f>
        <v>0</v>
      </c>
      <c r="K504" s="25"/>
    </row>
    <row r="505" spans="1:11" x14ac:dyDescent="0.35">
      <c r="A505" s="1" t="s">
        <v>633</v>
      </c>
      <c r="B505" s="1" t="s">
        <v>634</v>
      </c>
      <c r="C505" s="1" t="s">
        <v>1219</v>
      </c>
      <c r="D505" s="1" t="s">
        <v>582</v>
      </c>
      <c r="E505" s="1" t="s">
        <v>582</v>
      </c>
      <c r="F505" s="1" t="s">
        <v>879</v>
      </c>
      <c r="G505" s="97" t="str">
        <f>VLOOKUP(B505,'[1]Data Email Anggota'!C$2:F$366,4,FALSE)</f>
        <v>nerlan@bki.co.id</v>
      </c>
      <c r="H505" s="97" t="s">
        <v>1206</v>
      </c>
      <c r="I505" s="2">
        <f>VLOOKUP(B505,[7]DAFTAR!B$8:C$42,2,FALSE)</f>
        <v>250000</v>
      </c>
      <c r="J505" s="2">
        <f>VLOOKUP(B505,[7]DAFTAR!B$8:E$42,4,FALSE)</f>
        <v>0</v>
      </c>
      <c r="K505" s="25"/>
    </row>
    <row r="506" spans="1:11" x14ac:dyDescent="0.35">
      <c r="A506" s="1" t="s">
        <v>635</v>
      </c>
      <c r="B506" s="1" t="s">
        <v>636</v>
      </c>
      <c r="C506" s="1" t="s">
        <v>1219</v>
      </c>
      <c r="D506" s="1" t="s">
        <v>582</v>
      </c>
      <c r="E506" s="1" t="s">
        <v>582</v>
      </c>
      <c r="F506" s="1" t="s">
        <v>880</v>
      </c>
      <c r="G506" s="97" t="str">
        <f>VLOOKUP(B506,'[1]Data Email Anggota'!C$2:F$366,4,FALSE)</f>
        <v>ade.wardoyo@bki.co.id</v>
      </c>
      <c r="H506" s="97" t="s">
        <v>1206</v>
      </c>
      <c r="I506" s="2">
        <f>VLOOKUP(B506,[7]DAFTAR!B$8:C$42,2,FALSE)</f>
        <v>150000</v>
      </c>
      <c r="J506" s="2">
        <f>VLOOKUP(B506,[7]DAFTAR!B$8:E$42,4,FALSE)</f>
        <v>4863285</v>
      </c>
      <c r="K506" s="25"/>
    </row>
    <row r="507" spans="1:11" x14ac:dyDescent="0.35">
      <c r="A507" s="1" t="s">
        <v>637</v>
      </c>
      <c r="B507" s="1" t="s">
        <v>638</v>
      </c>
      <c r="C507" s="1" t="s">
        <v>1219</v>
      </c>
      <c r="D507" s="1" t="s">
        <v>582</v>
      </c>
      <c r="E507" s="1" t="s">
        <v>582</v>
      </c>
      <c r="F507" s="1" t="s">
        <v>880</v>
      </c>
      <c r="G507" s="97" t="str">
        <f>VLOOKUP(B507,'[1]Data Email Anggota'!C$2:F$366,4,FALSE)</f>
        <v>ary.firmansyah@bki.co.id</v>
      </c>
      <c r="H507" s="97" t="s">
        <v>1206</v>
      </c>
      <c r="I507" s="2">
        <f>VLOOKUP(B507,[7]DAFTAR!B$8:C$42,2,FALSE)</f>
        <v>150000</v>
      </c>
      <c r="J507" s="2">
        <f>VLOOKUP(B507,[7]DAFTAR!B$8:E$42,4,FALSE)</f>
        <v>2500000</v>
      </c>
      <c r="K507" s="25"/>
    </row>
    <row r="508" spans="1:11" x14ac:dyDescent="0.35">
      <c r="A508" s="1" t="s">
        <v>639</v>
      </c>
      <c r="B508" s="1" t="s">
        <v>640</v>
      </c>
      <c r="C508" s="1" t="s">
        <v>1219</v>
      </c>
      <c r="D508" s="1" t="s">
        <v>582</v>
      </c>
      <c r="E508" s="1" t="s">
        <v>582</v>
      </c>
      <c r="F508" s="1" t="s">
        <v>880</v>
      </c>
      <c r="G508" s="97" t="str">
        <f>VLOOKUP(B508,'[1]Data Email Anggota'!C$2:F$366,4,FALSE)</f>
        <v>hediar.hb@bki.co.id</v>
      </c>
      <c r="H508" s="97" t="str">
        <f>VLOOKUP(B508,[3]SHU!C$8:L$377,10,FALSE)</f>
        <v>AKTIF</v>
      </c>
      <c r="I508" s="2">
        <f>VLOOKUP(B508,[7]DAFTAR!B$8:C$42,2,FALSE)</f>
        <v>150000</v>
      </c>
      <c r="J508" s="2">
        <f>VLOOKUP(B508,[7]DAFTAR!B$8:E$42,4,FALSE)</f>
        <v>1625122</v>
      </c>
      <c r="K508" s="25"/>
    </row>
    <row r="509" spans="1:11" x14ac:dyDescent="0.35">
      <c r="A509" s="1" t="s">
        <v>641</v>
      </c>
      <c r="B509" s="1" t="s">
        <v>642</v>
      </c>
      <c r="C509" s="1" t="s">
        <v>1219</v>
      </c>
      <c r="D509" s="1" t="s">
        <v>582</v>
      </c>
      <c r="E509" s="1" t="s">
        <v>582</v>
      </c>
      <c r="F509" s="1" t="s">
        <v>881</v>
      </c>
      <c r="G509" s="97" t="str">
        <f>VLOOKUP(B509,'[1]Data Email Anggota'!C$2:F$366,4,FALSE)</f>
        <v>ferry.harfianto@bki.co.id</v>
      </c>
      <c r="H509" s="97" t="s">
        <v>1206</v>
      </c>
      <c r="I509" s="2">
        <f>VLOOKUP(B509,[7]DAFTAR!B$8:C$42,2,FALSE)</f>
        <v>350000</v>
      </c>
      <c r="J509" s="2">
        <f>VLOOKUP(B509,[7]DAFTAR!B$8:E$42,4,FALSE)</f>
        <v>2500000</v>
      </c>
      <c r="K509" s="25"/>
    </row>
    <row r="510" spans="1:11" hidden="1" x14ac:dyDescent="0.35">
      <c r="G510" s="1"/>
      <c r="H510" s="1"/>
    </row>
    <row r="511" spans="1:11" hidden="1" x14ac:dyDescent="0.35">
      <c r="G511" s="1"/>
      <c r="H511" s="1"/>
    </row>
    <row r="512" spans="1:11" x14ac:dyDescent="0.35">
      <c r="A512" s="1" t="s">
        <v>643</v>
      </c>
      <c r="B512" s="1" t="s">
        <v>644</v>
      </c>
      <c r="C512" s="1" t="s">
        <v>1219</v>
      </c>
      <c r="D512" s="1" t="s">
        <v>582</v>
      </c>
      <c r="E512" s="1" t="s">
        <v>582</v>
      </c>
      <c r="F512" s="1" t="s">
        <v>882</v>
      </c>
      <c r="G512" s="97" t="str">
        <f>VLOOKUP(B512,'[1]Data Email Anggota'!C$2:F$366,4,FALSE)</f>
        <v>dandy@bki.co.id</v>
      </c>
      <c r="H512" s="97" t="s">
        <v>1206</v>
      </c>
      <c r="I512" s="2">
        <f>VLOOKUP(B512,[7]DAFTAR!B$8:C$42,2,FALSE)</f>
        <v>150000</v>
      </c>
      <c r="J512" s="2">
        <f>VLOOKUP(B512,[7]DAFTAR!B$8:E$42,4,FALSE)</f>
        <v>2125000</v>
      </c>
      <c r="K512" s="25"/>
    </row>
    <row r="513" spans="1:11" x14ac:dyDescent="0.35">
      <c r="A513" s="1" t="s">
        <v>645</v>
      </c>
      <c r="B513" s="1" t="s">
        <v>646</v>
      </c>
      <c r="C513" s="1" t="s">
        <v>1219</v>
      </c>
      <c r="D513" s="1" t="s">
        <v>647</v>
      </c>
      <c r="E513" s="1" t="s">
        <v>647</v>
      </c>
      <c r="F513" s="1" t="s">
        <v>883</v>
      </c>
      <c r="G513" s="97" t="str">
        <f>VLOOKUP(B513,'[1]Data Email Anggota'!C$2:F$366,4,FALSE)</f>
        <v>sapto.ap@bki.co.id</v>
      </c>
      <c r="H513" s="97" t="s">
        <v>1206</v>
      </c>
      <c r="I513" s="2">
        <f>VLOOKUP(B513,[8]DAFTAR!B$7:C$17,2,FALSE)</f>
        <v>350000</v>
      </c>
      <c r="J513" s="2">
        <f>VLOOKUP(B513,[8]DAFTAR!B$7:E$17,4,FALSE)</f>
        <v>0</v>
      </c>
      <c r="K513" s="25"/>
    </row>
    <row r="514" spans="1:11" hidden="1" x14ac:dyDescent="0.35">
      <c r="G514" s="1"/>
      <c r="H514" s="1"/>
    </row>
    <row r="515" spans="1:11" x14ac:dyDescent="0.35">
      <c r="A515" s="1" t="s">
        <v>648</v>
      </c>
      <c r="B515" s="1" t="s">
        <v>649</v>
      </c>
      <c r="C515" s="1" t="s">
        <v>1219</v>
      </c>
      <c r="D515" s="1" t="s">
        <v>647</v>
      </c>
      <c r="E515" s="1" t="s">
        <v>647</v>
      </c>
      <c r="F515" s="1" t="s">
        <v>884</v>
      </c>
      <c r="G515" s="97" t="str">
        <f>VLOOKUP(B515,'[1]Data Email Anggota'!C$2:F$366,4,FALSE)</f>
        <v>yudi.prawoto@bki.co.id</v>
      </c>
      <c r="H515" s="97" t="s">
        <v>1206</v>
      </c>
      <c r="I515" s="2">
        <f>VLOOKUP(B515,[8]DAFTAR!B$7:C$17,2,FALSE)</f>
        <v>350000</v>
      </c>
      <c r="J515" s="2">
        <f>VLOOKUP(B515,[8]DAFTAR!B$7:E$17,4,FALSE)</f>
        <v>0</v>
      </c>
      <c r="K515" s="25"/>
    </row>
    <row r="516" spans="1:11" hidden="1" x14ac:dyDescent="0.35">
      <c r="G516" s="1"/>
      <c r="H516" s="1"/>
    </row>
    <row r="517" spans="1:11" x14ac:dyDescent="0.35">
      <c r="A517" s="1" t="s">
        <v>650</v>
      </c>
      <c r="B517" s="1" t="s">
        <v>651</v>
      </c>
      <c r="C517" s="1" t="s">
        <v>1219</v>
      </c>
      <c r="D517" s="1" t="s">
        <v>647</v>
      </c>
      <c r="E517" s="1" t="s">
        <v>647</v>
      </c>
      <c r="F517" s="1" t="s">
        <v>885</v>
      </c>
      <c r="G517" s="97" t="str">
        <f>VLOOKUP(B517,'[1]Data Email Anggota'!C$2:F$366,4,FALSE)</f>
        <v>agus.sunarto@bki.co.id</v>
      </c>
      <c r="H517" s="97" t="str">
        <f>VLOOKUP(B517,[3]SHU!C$8:L$377,10,FALSE)</f>
        <v>AKTIF</v>
      </c>
      <c r="I517" s="2">
        <f>VLOOKUP(B517,[8]DAFTAR!B$7:C$17,2,FALSE)</f>
        <v>150000</v>
      </c>
      <c r="J517" s="2">
        <f>VLOOKUP(B517,[8]DAFTAR!B$7:E$17,4,FALSE)</f>
        <v>0</v>
      </c>
      <c r="K517" s="25"/>
    </row>
    <row r="518" spans="1:11" hidden="1" x14ac:dyDescent="0.35">
      <c r="G518" s="1"/>
      <c r="H518" s="1"/>
    </row>
    <row r="519" spans="1:11" hidden="1" x14ac:dyDescent="0.35">
      <c r="G519" s="1"/>
      <c r="H519" s="1"/>
    </row>
    <row r="520" spans="1:11" x14ac:dyDescent="0.35">
      <c r="A520" s="1" t="s">
        <v>652</v>
      </c>
      <c r="B520" s="1" t="s">
        <v>653</v>
      </c>
      <c r="C520" s="1" t="s">
        <v>1219</v>
      </c>
      <c r="D520" s="1" t="s">
        <v>647</v>
      </c>
      <c r="E520" s="1" t="s">
        <v>647</v>
      </c>
      <c r="F520" s="1" t="s">
        <v>698</v>
      </c>
      <c r="G520" s="97" t="str">
        <f>VLOOKUP(B520,'[1]Data Email Anggota'!C$2:F$366,4,FALSE)</f>
        <v>burhanuddin@bki.co.id</v>
      </c>
      <c r="H520" s="97" t="str">
        <f>VLOOKUP(B520,[3]SHU!C$8:L$377,10,FALSE)</f>
        <v>AKTIF</v>
      </c>
      <c r="I520" s="2">
        <f>VLOOKUP(B520,[8]DAFTAR!B$7:C$17,2,FALSE)</f>
        <v>100000</v>
      </c>
      <c r="J520" s="2">
        <f>VLOOKUP(B520,[8]DAFTAR!B$7:E$17,4,FALSE)</f>
        <v>1000000</v>
      </c>
      <c r="K520" s="25"/>
    </row>
    <row r="521" spans="1:11" x14ac:dyDescent="0.35">
      <c r="A521" s="1" t="s">
        <v>654</v>
      </c>
      <c r="B521" s="92" t="s">
        <v>655</v>
      </c>
      <c r="C521" s="1" t="s">
        <v>1219</v>
      </c>
      <c r="D521" s="1" t="s">
        <v>582</v>
      </c>
      <c r="E521" s="1" t="s">
        <v>582</v>
      </c>
      <c r="F521" s="1" t="s">
        <v>698</v>
      </c>
      <c r="G521" s="97" t="str">
        <f>VLOOKUP(B521,'[1]Data Email Anggota'!C$2:F$366,4,FALSE)</f>
        <v>efry.t@bki.co.id</v>
      </c>
      <c r="H521" s="97" t="str">
        <f>VLOOKUP(B521,[3]SHU!C$8:L$377,10,FALSE)</f>
        <v>AKTIF</v>
      </c>
      <c r="I521" s="2">
        <f>VLOOKUP(B521,[7]DAFTAR!B$8:C$42,2,FALSE)</f>
        <v>150000</v>
      </c>
      <c r="J521" s="2">
        <f>VLOOKUP(B521,[7]DAFTAR!B$8:E$42,4,FALSE)</f>
        <v>0</v>
      </c>
      <c r="K521" s="25"/>
    </row>
    <row r="522" spans="1:11" x14ac:dyDescent="0.35">
      <c r="A522" s="1" t="s">
        <v>656</v>
      </c>
      <c r="B522" s="1" t="s">
        <v>657</v>
      </c>
      <c r="C522" s="1" t="s">
        <v>1219</v>
      </c>
      <c r="D522" s="1" t="s">
        <v>647</v>
      </c>
      <c r="E522" s="1" t="s">
        <v>647</v>
      </c>
      <c r="F522" s="1" t="s">
        <v>698</v>
      </c>
      <c r="G522" s="97" t="str">
        <f>VLOOKUP(B522,'[1]Data Email Anggota'!C$2:F$366,4,FALSE)</f>
        <v>elvino.yusca@bki.co.id</v>
      </c>
      <c r="H522" s="97" t="s">
        <v>1206</v>
      </c>
      <c r="I522" s="2">
        <f>VLOOKUP(B522,[8]DAFTAR!B$7:C$17,2,FALSE)</f>
        <v>100000</v>
      </c>
      <c r="J522" s="2">
        <f>VLOOKUP(B522,[8]DAFTAR!B$7:E$17,4,FALSE)</f>
        <v>1000000</v>
      </c>
      <c r="K522" s="25"/>
    </row>
    <row r="523" spans="1:11" x14ac:dyDescent="0.35">
      <c r="A523" s="1" t="s">
        <v>658</v>
      </c>
      <c r="B523" s="1" t="s">
        <v>659</v>
      </c>
      <c r="C523" s="1" t="s">
        <v>1219</v>
      </c>
      <c r="D523" s="1" t="s">
        <v>647</v>
      </c>
      <c r="E523" s="1" t="s">
        <v>647</v>
      </c>
      <c r="F523" s="1" t="s">
        <v>698</v>
      </c>
      <c r="G523" s="97" t="str">
        <f>VLOOKUP(B523,'[1]Data Email Anggota'!C$2:F$366,4,FALSE)</f>
        <v>helda.yulistiani@bki.co.id</v>
      </c>
      <c r="H523" s="97" t="s">
        <v>1206</v>
      </c>
      <c r="I523" s="2">
        <f>VLOOKUP(B523,[8]DAFTAR!B$7:C$17,2,FALSE)</f>
        <v>100000</v>
      </c>
      <c r="J523" s="2">
        <f>VLOOKUP(B523,[8]DAFTAR!B$7:E$17,4,FALSE)</f>
        <v>0</v>
      </c>
      <c r="K523" s="25"/>
    </row>
    <row r="524" spans="1:11" x14ac:dyDescent="0.35">
      <c r="A524" s="1" t="s">
        <v>660</v>
      </c>
      <c r="B524" s="92" t="s">
        <v>661</v>
      </c>
      <c r="C524" s="1" t="s">
        <v>1219</v>
      </c>
      <c r="D524" s="1" t="s">
        <v>582</v>
      </c>
      <c r="E524" s="1" t="s">
        <v>582</v>
      </c>
      <c r="F524" s="1" t="s">
        <v>1186</v>
      </c>
      <c r="G524" s="97" t="str">
        <f>VLOOKUP(B524,'[1]Data Email Anggota'!C$2:F$366,4,FALSE)</f>
        <v>tedjo@bki.co.id</v>
      </c>
      <c r="H524" s="97" t="s">
        <v>1206</v>
      </c>
      <c r="I524" s="2">
        <f>VLOOKUP(B524,[7]DAFTAR!B$8:C$42,2,FALSE)</f>
        <v>350000</v>
      </c>
      <c r="J524" s="2">
        <f>VLOOKUP(B524,[7]DAFTAR!B$8:E$42,4,FALSE)</f>
        <v>11907733</v>
      </c>
      <c r="K524" s="25"/>
    </row>
    <row r="525" spans="1:11" x14ac:dyDescent="0.35">
      <c r="A525" s="1" t="s">
        <v>662</v>
      </c>
      <c r="B525" s="1" t="s">
        <v>663</v>
      </c>
      <c r="C525" s="1" t="s">
        <v>1219</v>
      </c>
      <c r="D525" s="1" t="s">
        <v>647</v>
      </c>
      <c r="E525" s="1" t="s">
        <v>647</v>
      </c>
      <c r="F525" s="1" t="s">
        <v>885</v>
      </c>
      <c r="G525" s="97" t="str">
        <f>VLOOKUP(B525,'[1]Data Email Anggota'!C$2:F$366,4,FALSE)</f>
        <v>winarto@bki.co.id</v>
      </c>
      <c r="H525" s="97" t="str">
        <f>VLOOKUP(B525,[3]SHU!C$8:L$377,10,FALSE)</f>
        <v>AKTIF</v>
      </c>
      <c r="I525" s="2">
        <f>VLOOKUP(B525,[8]DAFTAR!B$7:C$17,2,FALSE)</f>
        <v>350000</v>
      </c>
      <c r="J525" s="2">
        <f>VLOOKUP(B525,[8]DAFTAR!B$7:E$17,4,FALSE)</f>
        <v>0</v>
      </c>
      <c r="K525" s="25"/>
    </row>
    <row r="526" spans="1:11" x14ac:dyDescent="0.35">
      <c r="A526" s="1" t="s">
        <v>664</v>
      </c>
      <c r="B526" s="1" t="s">
        <v>665</v>
      </c>
      <c r="C526" s="1" t="s">
        <v>1219</v>
      </c>
      <c r="D526" s="1" t="s">
        <v>647</v>
      </c>
      <c r="E526" s="1" t="s">
        <v>647</v>
      </c>
      <c r="F526" s="1" t="s">
        <v>886</v>
      </c>
      <c r="G526" s="97" t="str">
        <f>VLOOKUP(B526,'[1]Data Email Anggota'!C$2:F$366,4,FALSE)</f>
        <v>joko.susilo@bki.co.id</v>
      </c>
      <c r="H526" s="97" t="str">
        <f>VLOOKUP(B526,[3]SHU!C$8:L$377,10,FALSE)</f>
        <v>AKTIF</v>
      </c>
      <c r="I526" s="2">
        <f>VLOOKUP(B526,[8]DAFTAR!B$7:C$17,2,FALSE)</f>
        <v>100000</v>
      </c>
      <c r="J526" s="2">
        <f>VLOOKUP(B526,[8]DAFTAR!B$7:E$17,4,FALSE)</f>
        <v>0</v>
      </c>
      <c r="K526" s="25"/>
    </row>
    <row r="527" spans="1:11" x14ac:dyDescent="0.35">
      <c r="A527" s="1" t="s">
        <v>666</v>
      </c>
      <c r="B527" s="1" t="s">
        <v>667</v>
      </c>
      <c r="C527" s="1" t="s">
        <v>1219</v>
      </c>
      <c r="D527" s="1" t="s">
        <v>647</v>
      </c>
      <c r="E527" s="1" t="s">
        <v>647</v>
      </c>
      <c r="F527" s="1" t="s">
        <v>733</v>
      </c>
      <c r="G527" s="97" t="str">
        <f>VLOOKUP(B527,'[1]Data Email Anggota'!C$2:F$366,4,FALSE)</f>
        <v>wahyu.priambodo@bki.co.id</v>
      </c>
      <c r="H527" s="97" t="s">
        <v>1206</v>
      </c>
      <c r="I527" s="2">
        <f>VLOOKUP(B527,[8]DAFTAR!B$7:C$17,2,FALSE)</f>
        <v>350000</v>
      </c>
      <c r="J527" s="2">
        <f>VLOOKUP(B527,[8]DAFTAR!B$7:E$17,4,FALSE)</f>
        <v>0</v>
      </c>
      <c r="K527" s="25"/>
    </row>
    <row r="528" spans="1:11" x14ac:dyDescent="0.35">
      <c r="A528" s="1" t="s">
        <v>668</v>
      </c>
      <c r="B528" s="92" t="s">
        <v>669</v>
      </c>
      <c r="C528" s="1" t="s">
        <v>1219</v>
      </c>
      <c r="D528" s="1" t="s">
        <v>582</v>
      </c>
      <c r="E528" s="1" t="s">
        <v>582</v>
      </c>
      <c r="F528" s="1" t="s">
        <v>874</v>
      </c>
      <c r="G528" s="97" t="str">
        <f>VLOOKUP(B528,'[1]Data Email Anggota'!C$2:F$366,4,FALSE)</f>
        <v>arachman@bki.co.id</v>
      </c>
      <c r="H528" s="97" t="s">
        <v>1206</v>
      </c>
      <c r="I528" s="2">
        <f>VLOOKUP(B528,[7]DAFTAR!B$8:C$42,2,FALSE)</f>
        <v>150000</v>
      </c>
      <c r="J528" s="2">
        <f>VLOOKUP(B528,[7]DAFTAR!B$8:E$42,4,FALSE)</f>
        <v>1000000</v>
      </c>
      <c r="K528" s="25"/>
    </row>
    <row r="529" spans="1:11" hidden="1" x14ac:dyDescent="0.35">
      <c r="G529" s="1"/>
      <c r="H529" s="1"/>
    </row>
    <row r="530" spans="1:11" x14ac:dyDescent="0.35">
      <c r="A530" s="1" t="s">
        <v>670</v>
      </c>
      <c r="B530" s="1" t="s">
        <v>671</v>
      </c>
      <c r="C530" s="1" t="s">
        <v>1219</v>
      </c>
      <c r="D530" s="1" t="s">
        <v>647</v>
      </c>
      <c r="E530" s="1" t="s">
        <v>647</v>
      </c>
      <c r="F530" s="1" t="s">
        <v>698</v>
      </c>
      <c r="G530" s="97" t="str">
        <f>VLOOKUP(B530,'[1]Data Email Anggota'!C$2:F$366,4,FALSE)</f>
        <v>tantry.octa@bki.co.id</v>
      </c>
      <c r="H530" s="97" t="str">
        <f>VLOOKUP(B530,[3]SHU!C$8:L$377,10,FALSE)</f>
        <v>AKTIF</v>
      </c>
      <c r="I530" s="2">
        <f>VLOOKUP(B530,[8]DAFTAR!B$7:C$17,2,FALSE)</f>
        <v>100000</v>
      </c>
      <c r="J530" s="2">
        <f>VLOOKUP(B530,[8]DAFTAR!B$7:E$17,4,FALSE)</f>
        <v>0</v>
      </c>
      <c r="K530" s="25"/>
    </row>
    <row r="531" spans="1:11" x14ac:dyDescent="0.35">
      <c r="A531" s="1" t="s">
        <v>672</v>
      </c>
      <c r="B531" s="1" t="s">
        <v>673</v>
      </c>
      <c r="C531" s="1" t="s">
        <v>1219</v>
      </c>
      <c r="D531" s="1" t="s">
        <v>674</v>
      </c>
      <c r="E531" s="1" t="s">
        <v>674</v>
      </c>
      <c r="F531" s="1" t="s">
        <v>887</v>
      </c>
      <c r="G531" s="97" t="str">
        <f>VLOOKUP(B531,'[1]Data Email Anggota'!C$2:F$366,4,FALSE)</f>
        <v>kartika.khendratna@bki.co.id</v>
      </c>
      <c r="H531" s="97" t="s">
        <v>1206</v>
      </c>
      <c r="I531" s="2">
        <v>500000</v>
      </c>
      <c r="J531" s="2">
        <v>0</v>
      </c>
      <c r="K531" s="25"/>
    </row>
    <row r="532" spans="1:11" x14ac:dyDescent="0.35">
      <c r="A532" s="1" t="s">
        <v>675</v>
      </c>
      <c r="B532" s="1" t="s">
        <v>676</v>
      </c>
      <c r="C532" s="1" t="s">
        <v>1219</v>
      </c>
      <c r="D532" s="1" t="s">
        <v>674</v>
      </c>
      <c r="E532" s="1" t="s">
        <v>674</v>
      </c>
      <c r="F532" s="1" t="s">
        <v>888</v>
      </c>
      <c r="G532" s="97" t="str">
        <f>VLOOKUP(B532,'[1]Data Email Anggota'!C$2:F$366,4,FALSE)</f>
        <v>ardhian.bs@bki.co.id</v>
      </c>
      <c r="H532" s="97" t="s">
        <v>1206</v>
      </c>
      <c r="I532" s="2">
        <f>VLOOKUP(B532,'[9]DAFTAR ORGANIK'!B$8:C$16,2,FALSE)</f>
        <v>350000</v>
      </c>
      <c r="J532" s="2">
        <f>VLOOKUP(B532,'[9]DAFTAR ORGANIK'!B$8:E$16,4,FALSE)</f>
        <v>0</v>
      </c>
      <c r="K532" s="25"/>
    </row>
    <row r="533" spans="1:11" x14ac:dyDescent="0.35">
      <c r="A533" s="1" t="s">
        <v>677</v>
      </c>
      <c r="B533" s="1" t="s">
        <v>678</v>
      </c>
      <c r="C533" s="1" t="s">
        <v>1219</v>
      </c>
      <c r="D533" s="1" t="s">
        <v>674</v>
      </c>
      <c r="E533" s="1" t="s">
        <v>674</v>
      </c>
      <c r="F533" s="1" t="s">
        <v>885</v>
      </c>
      <c r="G533" s="97" t="str">
        <f>VLOOKUP(B533,'[1]Data Email Anggota'!C$2:F$366,4,FALSE)</f>
        <v>arifpurwono@bki.co.id</v>
      </c>
      <c r="H533" s="97" t="s">
        <v>1206</v>
      </c>
      <c r="I533" s="2">
        <f>VLOOKUP(B533,'[9]DAFTAR ORGANIK'!B$8:C$16,2,FALSE)</f>
        <v>350000</v>
      </c>
      <c r="J533" s="2">
        <f>VLOOKUP(B533,'[9]DAFTAR ORGANIK'!B$8:E$16,4,FALSE)</f>
        <v>0</v>
      </c>
      <c r="K533" s="25"/>
    </row>
    <row r="534" spans="1:11" x14ac:dyDescent="0.35">
      <c r="A534" s="1" t="s">
        <v>679</v>
      </c>
      <c r="B534" s="1" t="s">
        <v>680</v>
      </c>
      <c r="C534" s="1" t="s">
        <v>1219</v>
      </c>
      <c r="D534" s="1" t="s">
        <v>674</v>
      </c>
      <c r="E534" s="1" t="s">
        <v>674</v>
      </c>
      <c r="F534" s="1" t="s">
        <v>886</v>
      </c>
      <c r="G534" s="97" t="str">
        <f>VLOOKUP(B534,'[1]Data Email Anggota'!C$2:F$366,4,FALSE)</f>
        <v>teguh.widodo@bki.co.id</v>
      </c>
      <c r="H534" s="97" t="s">
        <v>1206</v>
      </c>
      <c r="I534" s="2">
        <f>VLOOKUP(B534,'[9]DAFTAR ORGANIK'!B$8:C$16,2,FALSE)</f>
        <v>100000</v>
      </c>
      <c r="J534" s="2">
        <f>VLOOKUP(B534,'[9]DAFTAR ORGANIK'!B$8:E$16,4,FALSE)</f>
        <v>0</v>
      </c>
      <c r="K534" s="25"/>
    </row>
    <row r="535" spans="1:11" x14ac:dyDescent="0.35">
      <c r="A535" s="1" t="s">
        <v>681</v>
      </c>
      <c r="B535" s="1" t="s">
        <v>682</v>
      </c>
      <c r="C535" s="1" t="s">
        <v>1219</v>
      </c>
      <c r="D535" s="1" t="s">
        <v>674</v>
      </c>
      <c r="E535" s="1" t="s">
        <v>674</v>
      </c>
      <c r="F535" s="1" t="s">
        <v>886</v>
      </c>
      <c r="H535" s="97" t="s">
        <v>1206</v>
      </c>
      <c r="I535" s="2">
        <f>VLOOKUP(B535,'[9]DAFTAR ORGANIK'!B$8:C$16,2,FALSE)</f>
        <v>250000</v>
      </c>
      <c r="J535" s="2">
        <f>VLOOKUP(B535,'[9]DAFTAR ORGANIK'!B$8:E$16,4,FALSE)</f>
        <v>0</v>
      </c>
      <c r="K535" s="25"/>
    </row>
    <row r="536" spans="1:11" x14ac:dyDescent="0.35">
      <c r="A536" s="1" t="s">
        <v>683</v>
      </c>
      <c r="B536" s="1" t="s">
        <v>684</v>
      </c>
      <c r="C536" s="1" t="s">
        <v>1219</v>
      </c>
      <c r="D536" s="1" t="s">
        <v>674</v>
      </c>
      <c r="E536" s="1" t="s">
        <v>674</v>
      </c>
      <c r="F536" s="1" t="s">
        <v>886</v>
      </c>
      <c r="G536" s="97" t="str">
        <f>VLOOKUP(B536,'[1]Data Email Anggota'!C$2:F$366,4,FALSE)</f>
        <v>faried@bki.co.id</v>
      </c>
      <c r="H536" s="97" t="str">
        <f>VLOOKUP(B536,[3]SHU!C$8:L$377,10,FALSE)</f>
        <v>AKTIF</v>
      </c>
      <c r="I536" s="2">
        <f>VLOOKUP(B536,'[9]DAFTAR ORGANIK'!B$8:C$16,2,FALSE)</f>
        <v>350000</v>
      </c>
      <c r="J536" s="2">
        <f>VLOOKUP(B536,'[9]DAFTAR ORGANIK'!B$8:E$16,4,FALSE)</f>
        <v>4722725</v>
      </c>
      <c r="K536" s="25"/>
    </row>
    <row r="537" spans="1:11" x14ac:dyDescent="0.35">
      <c r="A537" s="1" t="s">
        <v>685</v>
      </c>
      <c r="B537" s="1" t="s">
        <v>686</v>
      </c>
      <c r="C537" s="1" t="s">
        <v>1219</v>
      </c>
      <c r="D537" s="1" t="s">
        <v>674</v>
      </c>
      <c r="E537" s="1" t="s">
        <v>674</v>
      </c>
      <c r="F537" s="1" t="s">
        <v>886</v>
      </c>
      <c r="G537" s="97" t="str">
        <f>VLOOKUP(B537,'[1]Data Email Anggota'!C$2:F$366,4,FALSE)</f>
        <v>hery.alwis@bki.co.id</v>
      </c>
      <c r="H537" s="97" t="str">
        <f>VLOOKUP(B537,[3]SHU!C$8:L$377,10,FALSE)</f>
        <v>AKTIF</v>
      </c>
      <c r="I537" s="2">
        <f>VLOOKUP(B537,'[9]DAFTAR ORGANIK'!B$8:C$16,2,FALSE)</f>
        <v>100000</v>
      </c>
      <c r="J537" s="2">
        <f>VLOOKUP(B537,'[9]DAFTAR ORGANIK'!B$8:E$16,4,FALSE)</f>
        <v>0</v>
      </c>
      <c r="K537" s="25"/>
    </row>
    <row r="538" spans="1:11" x14ac:dyDescent="0.35">
      <c r="A538" s="1" t="s">
        <v>687</v>
      </c>
      <c r="B538" s="1" t="s">
        <v>688</v>
      </c>
      <c r="C538" s="1" t="s">
        <v>1219</v>
      </c>
      <c r="D538" s="1" t="s">
        <v>674</v>
      </c>
      <c r="E538" s="1" t="s">
        <v>674</v>
      </c>
      <c r="F538" s="1" t="s">
        <v>886</v>
      </c>
      <c r="G538" s="97" t="str">
        <f>VLOOKUP(B538,'[1]Data Email Anggota'!C$2:F$366,4,FALSE)</f>
        <v>satria.permana@bki.co.id</v>
      </c>
      <c r="H538" s="97" t="str">
        <f>VLOOKUP(B538,[3]SHU!C$8:L$377,10,FALSE)</f>
        <v>AKTIF</v>
      </c>
      <c r="I538" s="2">
        <f>VLOOKUP(B538,'[9]DAFTAR ORGANIK'!B$8:C$16,2,FALSE)</f>
        <v>100000</v>
      </c>
      <c r="J538" s="2">
        <f>VLOOKUP(B538,'[9]DAFTAR ORGANIK'!B$8:E$16,4,FALSE)</f>
        <v>0</v>
      </c>
      <c r="K538" s="25"/>
    </row>
    <row r="539" spans="1:11" hidden="1" x14ac:dyDescent="0.35">
      <c r="G539" s="1"/>
      <c r="H539" s="1"/>
    </row>
    <row r="540" spans="1:11" x14ac:dyDescent="0.35">
      <c r="A540" s="1" t="s">
        <v>689</v>
      </c>
      <c r="B540" s="1" t="s">
        <v>690</v>
      </c>
      <c r="C540" s="1" t="s">
        <v>1219</v>
      </c>
      <c r="D540" s="1" t="s">
        <v>674</v>
      </c>
      <c r="E540" s="1" t="s">
        <v>674</v>
      </c>
      <c r="F540" s="1" t="s">
        <v>698</v>
      </c>
      <c r="G540" s="97" t="str">
        <f>VLOOKUP(B540,'[1]Data Email Anggota'!C$2:F$366,4,FALSE)</f>
        <v>randy.yap@bki.co.id</v>
      </c>
      <c r="H540" s="97" t="s">
        <v>1206</v>
      </c>
      <c r="I540" s="2">
        <f>VLOOKUP(B540,'[9]DAFTAR ORGANIK'!B$8:C$16,2,FALSE)</f>
        <v>150000</v>
      </c>
      <c r="J540" s="2">
        <f>VLOOKUP(B540,'[9]DAFTAR ORGANIK'!B$8:E$16,4,FALSE)</f>
        <v>0</v>
      </c>
      <c r="K540" s="25"/>
    </row>
    <row r="541" spans="1:11" x14ac:dyDescent="0.35">
      <c r="A541" s="1" t="s">
        <v>691</v>
      </c>
      <c r="B541" s="1" t="s">
        <v>692</v>
      </c>
      <c r="C541" s="1" t="s">
        <v>1219</v>
      </c>
      <c r="D541" s="1" t="s">
        <v>693</v>
      </c>
      <c r="E541" s="1" t="s">
        <v>693</v>
      </c>
      <c r="F541" s="1" t="s">
        <v>889</v>
      </c>
      <c r="G541" s="97" t="str">
        <f>VLOOKUP(B541,'[1]Data Email Anggota'!C$2:F$366,4,FALSE)</f>
        <v>endah.mn@bki.co.id</v>
      </c>
      <c r="H541" s="97" t="s">
        <v>1206</v>
      </c>
      <c r="I541" s="2">
        <f>VLOOKUP(B541,[4]Sheet1!B$2:I$773,8,FALSE)</f>
        <v>250000</v>
      </c>
      <c r="J541" s="2">
        <f>VLOOKUP(B541,'[5]DAFTAR ALL'!B$8:D$68,3,FALSE)</f>
        <v>6053100</v>
      </c>
      <c r="K541" s="25"/>
    </row>
    <row r="542" spans="1:11" x14ac:dyDescent="0.35">
      <c r="A542" s="1" t="s">
        <v>694</v>
      </c>
      <c r="B542" s="1" t="s">
        <v>695</v>
      </c>
      <c r="C542" s="1" t="s">
        <v>1219</v>
      </c>
      <c r="D542" s="1" t="s">
        <v>693</v>
      </c>
      <c r="E542" s="1" t="s">
        <v>693</v>
      </c>
      <c r="F542" s="1" t="s">
        <v>698</v>
      </c>
      <c r="G542" s="97" t="str">
        <f>VLOOKUP(B542,'[1]Data Email Anggota'!C$2:F$366,4,FALSE)</f>
        <v>alwin.ridwan@bki.co.id</v>
      </c>
      <c r="H542" s="97" t="s">
        <v>1206</v>
      </c>
      <c r="I542" s="2">
        <f>VLOOKUP(B542,[4]Sheet1!B$2:I$773,8,FALSE)</f>
        <v>150000</v>
      </c>
      <c r="J542" s="2">
        <v>0</v>
      </c>
      <c r="K542" s="25"/>
    </row>
    <row r="543" spans="1:11" hidden="1" x14ac:dyDescent="0.35">
      <c r="G543" s="1"/>
      <c r="H543" s="1"/>
    </row>
    <row r="544" spans="1:11" hidden="1" x14ac:dyDescent="0.35">
      <c r="G544" s="1"/>
      <c r="H544" s="1"/>
    </row>
    <row r="545" spans="7:8" hidden="1" x14ac:dyDescent="0.35">
      <c r="G545" s="1"/>
      <c r="H545" s="1"/>
    </row>
    <row r="546" spans="7:8" hidden="1" x14ac:dyDescent="0.35">
      <c r="G546" s="1"/>
      <c r="H546" s="1"/>
    </row>
    <row r="547" spans="7:8" hidden="1" x14ac:dyDescent="0.35">
      <c r="G547" s="1"/>
      <c r="H547" s="1"/>
    </row>
    <row r="548" spans="7:8" hidden="1" x14ac:dyDescent="0.35">
      <c r="G548" s="1"/>
      <c r="H548" s="1"/>
    </row>
    <row r="549" spans="7:8" hidden="1" x14ac:dyDescent="0.35">
      <c r="G549" s="1"/>
      <c r="H549" s="1"/>
    </row>
    <row r="550" spans="7:8" hidden="1" x14ac:dyDescent="0.35">
      <c r="G550" s="1"/>
      <c r="H550" s="1"/>
    </row>
    <row r="551" spans="7:8" hidden="1" x14ac:dyDescent="0.35">
      <c r="G551" s="1"/>
      <c r="H551" s="1"/>
    </row>
    <row r="552" spans="7:8" hidden="1" x14ac:dyDescent="0.35">
      <c r="G552" s="1"/>
      <c r="H552" s="1"/>
    </row>
    <row r="553" spans="7:8" hidden="1" x14ac:dyDescent="0.35">
      <c r="G553" s="1"/>
      <c r="H553" s="1"/>
    </row>
    <row r="554" spans="7:8" hidden="1" x14ac:dyDescent="0.35">
      <c r="G554" s="1"/>
      <c r="H554" s="1"/>
    </row>
    <row r="555" spans="7:8" hidden="1" x14ac:dyDescent="0.35">
      <c r="G555" s="1"/>
      <c r="H555" s="1"/>
    </row>
    <row r="556" spans="7:8" hidden="1" x14ac:dyDescent="0.35">
      <c r="G556" s="1"/>
      <c r="H556" s="1"/>
    </row>
    <row r="557" spans="7:8" hidden="1" x14ac:dyDescent="0.35">
      <c r="G557" s="1"/>
      <c r="H557" s="1"/>
    </row>
    <row r="558" spans="7:8" hidden="1" x14ac:dyDescent="0.35">
      <c r="G558" s="1"/>
      <c r="H558" s="1"/>
    </row>
    <row r="559" spans="7:8" hidden="1" x14ac:dyDescent="0.35">
      <c r="G559" s="1"/>
      <c r="H559" s="1"/>
    </row>
    <row r="560" spans="7:8" hidden="1" x14ac:dyDescent="0.35">
      <c r="G560" s="1"/>
      <c r="H560" s="1"/>
    </row>
    <row r="561" spans="7:8" hidden="1" x14ac:dyDescent="0.35">
      <c r="G561" s="1"/>
      <c r="H561" s="1"/>
    </row>
    <row r="562" spans="7:8" hidden="1" x14ac:dyDescent="0.35">
      <c r="G562" s="1"/>
      <c r="H562" s="1"/>
    </row>
    <row r="563" spans="7:8" hidden="1" x14ac:dyDescent="0.35">
      <c r="G563" s="1"/>
      <c r="H563" s="1"/>
    </row>
    <row r="564" spans="7:8" hidden="1" x14ac:dyDescent="0.35">
      <c r="G564" s="1"/>
      <c r="H564" s="1"/>
    </row>
    <row r="565" spans="7:8" hidden="1" x14ac:dyDescent="0.35">
      <c r="G565" s="1"/>
      <c r="H565" s="1"/>
    </row>
    <row r="566" spans="7:8" hidden="1" x14ac:dyDescent="0.35">
      <c r="G566" s="1"/>
      <c r="H566" s="1"/>
    </row>
    <row r="567" spans="7:8" hidden="1" x14ac:dyDescent="0.35">
      <c r="G567" s="1"/>
      <c r="H567" s="1"/>
    </row>
    <row r="568" spans="7:8" hidden="1" x14ac:dyDescent="0.35">
      <c r="G568" s="1"/>
      <c r="H568" s="1"/>
    </row>
    <row r="569" spans="7:8" hidden="1" x14ac:dyDescent="0.35">
      <c r="G569" s="1"/>
      <c r="H569" s="1"/>
    </row>
    <row r="570" spans="7:8" hidden="1" x14ac:dyDescent="0.35">
      <c r="G570" s="1"/>
      <c r="H570" s="1"/>
    </row>
    <row r="571" spans="7:8" hidden="1" x14ac:dyDescent="0.35">
      <c r="G571" s="1"/>
      <c r="H571" s="1"/>
    </row>
    <row r="572" spans="7:8" hidden="1" x14ac:dyDescent="0.35">
      <c r="G572" s="1"/>
      <c r="H572" s="1"/>
    </row>
    <row r="573" spans="7:8" hidden="1" x14ac:dyDescent="0.35">
      <c r="G573" s="1"/>
      <c r="H573" s="1"/>
    </row>
    <row r="574" spans="7:8" hidden="1" x14ac:dyDescent="0.35">
      <c r="G574" s="1"/>
      <c r="H574" s="1"/>
    </row>
    <row r="575" spans="7:8" hidden="1" x14ac:dyDescent="0.35">
      <c r="G575" s="1"/>
      <c r="H575" s="1"/>
    </row>
    <row r="576" spans="7:8" hidden="1" x14ac:dyDescent="0.35">
      <c r="G576" s="1"/>
      <c r="H576" s="1"/>
    </row>
    <row r="577" spans="1:11" hidden="1" x14ac:dyDescent="0.35">
      <c r="G577" s="1"/>
      <c r="H577" s="1"/>
    </row>
    <row r="578" spans="1:11" hidden="1" x14ac:dyDescent="0.35">
      <c r="G578" s="1"/>
      <c r="H578" s="1"/>
    </row>
    <row r="579" spans="1:11" hidden="1" x14ac:dyDescent="0.35">
      <c r="G579" s="1"/>
      <c r="H579" s="1"/>
    </row>
    <row r="580" spans="1:11" hidden="1" x14ac:dyDescent="0.35">
      <c r="G580" s="1"/>
      <c r="H580" s="1"/>
    </row>
    <row r="581" spans="1:11" hidden="1" x14ac:dyDescent="0.35">
      <c r="G581" s="1"/>
      <c r="H581" s="1"/>
    </row>
    <row r="582" spans="1:11" hidden="1" x14ac:dyDescent="0.35">
      <c r="G582" s="1"/>
      <c r="H582" s="1"/>
    </row>
    <row r="583" spans="1:11" x14ac:dyDescent="0.35">
      <c r="A583" s="1" t="s">
        <v>891</v>
      </c>
      <c r="B583" s="1" t="s">
        <v>892</v>
      </c>
      <c r="C583" s="1" t="s">
        <v>1219</v>
      </c>
      <c r="D583" s="1" t="s">
        <v>287</v>
      </c>
      <c r="E583" s="1" t="s">
        <v>287</v>
      </c>
      <c r="F583" s="1" t="s">
        <v>911</v>
      </c>
      <c r="G583" s="97" t="str">
        <f>VLOOKUP(B583,'[1]Data Email Anggota'!C$2:F$366,4,FALSE)</f>
        <v>muhtar@bki.co.id</v>
      </c>
      <c r="H583" s="97" t="str">
        <f>VLOOKUP(B583,[3]SHU!C$8:L$377,10,FALSE)</f>
        <v>AKTIF</v>
      </c>
      <c r="I583" s="2">
        <f>VLOOKUP(B583,[4]Sheet1!B$2:I$773,8,FALSE)</f>
        <v>100000</v>
      </c>
      <c r="J583" s="2">
        <v>0</v>
      </c>
      <c r="K583" s="25"/>
    </row>
    <row r="584" spans="1:11" hidden="1" x14ac:dyDescent="0.35">
      <c r="G584" s="1"/>
      <c r="H584" s="1"/>
    </row>
    <row r="585" spans="1:11" hidden="1" x14ac:dyDescent="0.35">
      <c r="G585" s="1"/>
      <c r="H585" s="1"/>
    </row>
    <row r="586" spans="1:11" hidden="1" x14ac:dyDescent="0.35">
      <c r="G586" s="1"/>
      <c r="H586" s="1"/>
    </row>
    <row r="587" spans="1:11" hidden="1" x14ac:dyDescent="0.35">
      <c r="G587" s="1"/>
      <c r="H587" s="1"/>
    </row>
    <row r="588" spans="1:11" hidden="1" x14ac:dyDescent="0.35">
      <c r="G588" s="1"/>
      <c r="H588" s="1"/>
    </row>
    <row r="589" spans="1:11" hidden="1" x14ac:dyDescent="0.35">
      <c r="G589" s="1"/>
      <c r="H589" s="1"/>
    </row>
    <row r="590" spans="1:11" hidden="1" x14ac:dyDescent="0.35">
      <c r="G590" s="1"/>
      <c r="H590" s="1"/>
    </row>
    <row r="591" spans="1:11" hidden="1" x14ac:dyDescent="0.35">
      <c r="G591" s="1"/>
      <c r="H591" s="1"/>
    </row>
    <row r="592" spans="1:11" hidden="1" x14ac:dyDescent="0.35">
      <c r="G592" s="1"/>
      <c r="H592" s="1"/>
    </row>
    <row r="593" spans="7:8" hidden="1" x14ac:dyDescent="0.35">
      <c r="G593" s="1"/>
      <c r="H593" s="1"/>
    </row>
    <row r="594" spans="7:8" hidden="1" x14ac:dyDescent="0.35">
      <c r="G594" s="1"/>
      <c r="H594" s="1"/>
    </row>
    <row r="595" spans="7:8" hidden="1" x14ac:dyDescent="0.35">
      <c r="G595" s="1"/>
      <c r="H595" s="1"/>
    </row>
    <row r="596" spans="7:8" hidden="1" x14ac:dyDescent="0.35">
      <c r="G596" s="1"/>
      <c r="H596" s="1"/>
    </row>
    <row r="597" spans="7:8" hidden="1" x14ac:dyDescent="0.35">
      <c r="G597" s="1"/>
      <c r="H597" s="1"/>
    </row>
    <row r="598" spans="7:8" hidden="1" x14ac:dyDescent="0.35">
      <c r="G598" s="1"/>
      <c r="H598" s="1"/>
    </row>
    <row r="599" spans="7:8" hidden="1" x14ac:dyDescent="0.35">
      <c r="G599" s="1"/>
      <c r="H599" s="1"/>
    </row>
    <row r="600" spans="7:8" hidden="1" x14ac:dyDescent="0.35">
      <c r="G600" s="1"/>
      <c r="H600" s="1"/>
    </row>
    <row r="601" spans="7:8" hidden="1" x14ac:dyDescent="0.35">
      <c r="G601" s="1"/>
      <c r="H601" s="1"/>
    </row>
    <row r="602" spans="7:8" hidden="1" x14ac:dyDescent="0.35">
      <c r="G602" s="1"/>
      <c r="H602" s="1"/>
    </row>
    <row r="603" spans="7:8" hidden="1" x14ac:dyDescent="0.35">
      <c r="G603" s="1"/>
      <c r="H603" s="1"/>
    </row>
    <row r="604" spans="7:8" hidden="1" x14ac:dyDescent="0.35">
      <c r="G604" s="1"/>
      <c r="H604" s="1"/>
    </row>
    <row r="605" spans="7:8" hidden="1" x14ac:dyDescent="0.35">
      <c r="G605" s="1"/>
      <c r="H605" s="1"/>
    </row>
    <row r="606" spans="7:8" hidden="1" x14ac:dyDescent="0.35">
      <c r="G606" s="1"/>
      <c r="H606" s="1"/>
    </row>
    <row r="607" spans="7:8" hidden="1" x14ac:dyDescent="0.35">
      <c r="G607" s="1"/>
      <c r="H607" s="1"/>
    </row>
    <row r="608" spans="7:8" hidden="1" x14ac:dyDescent="0.35">
      <c r="G608" s="1"/>
      <c r="H608" s="1"/>
    </row>
    <row r="609" spans="1:11" hidden="1" x14ac:dyDescent="0.35">
      <c r="G609" s="1"/>
      <c r="H609" s="1"/>
    </row>
    <row r="610" spans="1:11" hidden="1" x14ac:dyDescent="0.35">
      <c r="G610" s="1"/>
      <c r="H610" s="1"/>
    </row>
    <row r="611" spans="1:11" hidden="1" x14ac:dyDescent="0.35">
      <c r="G611" s="1"/>
      <c r="H611" s="1"/>
    </row>
    <row r="612" spans="1:11" x14ac:dyDescent="0.35">
      <c r="A612" s="1" t="s">
        <v>893</v>
      </c>
      <c r="B612" s="1" t="s">
        <v>894</v>
      </c>
      <c r="C612" s="1" t="s">
        <v>1219</v>
      </c>
      <c r="D612" s="1" t="s">
        <v>380</v>
      </c>
      <c r="E612" s="1" t="s">
        <v>380</v>
      </c>
      <c r="F612" s="1" t="s">
        <v>911</v>
      </c>
      <c r="G612" s="97" t="str">
        <f>VLOOKUP(B612,'[1]Data Email Anggota'!C$2:F$366,4,FALSE)</f>
        <v>ahmad.yunus@bki.co.id</v>
      </c>
      <c r="H612" s="97" t="str">
        <f>VLOOKUP(B612,[3]SHU!C$8:L$377,10,FALSE)</f>
        <v>AKTIF</v>
      </c>
      <c r="I612" s="2">
        <f>VLOOKUP(B612,[4]Sheet1!B$2:I$773,8,FALSE)</f>
        <v>100000</v>
      </c>
      <c r="J612" s="2">
        <f>VLOOKUP(B612,'[5]DAFTAR ALL'!B$8:D$68,3,FALSE)</f>
        <v>1020833</v>
      </c>
      <c r="K612" s="25"/>
    </row>
    <row r="613" spans="1:11" hidden="1" x14ac:dyDescent="0.35">
      <c r="G613" s="1"/>
      <c r="H613" s="1"/>
    </row>
    <row r="614" spans="1:11" hidden="1" x14ac:dyDescent="0.35">
      <c r="G614" s="1"/>
      <c r="H614" s="1"/>
    </row>
    <row r="615" spans="1:11" hidden="1" x14ac:dyDescent="0.35">
      <c r="G615" s="1"/>
      <c r="H615" s="1"/>
    </row>
    <row r="616" spans="1:11" x14ac:dyDescent="0.35">
      <c r="A616" s="1" t="s">
        <v>895</v>
      </c>
      <c r="B616" s="1" t="s">
        <v>896</v>
      </c>
      <c r="C616" s="1" t="s">
        <v>1219</v>
      </c>
      <c r="D616" s="1" t="s">
        <v>348</v>
      </c>
      <c r="E616" s="1" t="s">
        <v>348</v>
      </c>
      <c r="F616" s="1" t="s">
        <v>911</v>
      </c>
      <c r="G616" s="97" t="str">
        <f>VLOOKUP(B616,'[1]Data Email Anggota'!C$2:F$366,4,FALSE)</f>
        <v>mariyana.af@bki.co.id</v>
      </c>
      <c r="H616" s="97" t="str">
        <f>VLOOKUP(B616,[3]SHU!C$8:L$377,10,FALSE)</f>
        <v>AKTIF</v>
      </c>
      <c r="I616" s="2">
        <f>VLOOKUP(B616,[4]Sheet1!B$2:I$773,8,FALSE)</f>
        <v>100000</v>
      </c>
      <c r="J616" s="2">
        <v>0</v>
      </c>
      <c r="K616" s="25"/>
    </row>
    <row r="617" spans="1:11" x14ac:dyDescent="0.35">
      <c r="A617" s="1" t="s">
        <v>897</v>
      </c>
      <c r="B617" s="1" t="s">
        <v>898</v>
      </c>
      <c r="C617" s="1" t="s">
        <v>1219</v>
      </c>
      <c r="D617" s="1" t="s">
        <v>348</v>
      </c>
      <c r="E617" s="1" t="s">
        <v>348</v>
      </c>
      <c r="F617" s="1" t="s">
        <v>911</v>
      </c>
      <c r="G617" s="97" t="str">
        <f>VLOOKUP(B617,'[1]Data Email Anggota'!C$2:F$366,4,FALSE)</f>
        <v>ardhianti.n@bki.co.id</v>
      </c>
      <c r="H617" s="97" t="str">
        <f>VLOOKUP(B617,[3]SHU!C$8:L$377,10,FALSE)</f>
        <v>AKTIF</v>
      </c>
      <c r="I617" s="2">
        <f>VLOOKUP(B617,[4]Sheet1!B$2:I$773,8,FALSE)</f>
        <v>100000</v>
      </c>
      <c r="J617" s="2">
        <v>0</v>
      </c>
      <c r="K617" s="25"/>
    </row>
    <row r="618" spans="1:11" hidden="1" x14ac:dyDescent="0.35">
      <c r="G618" s="1"/>
      <c r="H618" s="1"/>
    </row>
    <row r="619" spans="1:11" hidden="1" x14ac:dyDescent="0.35">
      <c r="G619" s="1"/>
      <c r="H619" s="1"/>
    </row>
    <row r="620" spans="1:11" hidden="1" x14ac:dyDescent="0.35">
      <c r="G620" s="1"/>
      <c r="H620" s="1"/>
    </row>
    <row r="621" spans="1:11" hidden="1" x14ac:dyDescent="0.35">
      <c r="G621" s="1"/>
      <c r="H621" s="1"/>
    </row>
    <row r="622" spans="1:11" hidden="1" x14ac:dyDescent="0.35">
      <c r="G622" s="1"/>
      <c r="H622" s="1"/>
    </row>
    <row r="623" spans="1:11" hidden="1" x14ac:dyDescent="0.35">
      <c r="G623" s="1"/>
      <c r="H623" s="1"/>
    </row>
    <row r="624" spans="1:11" hidden="1" x14ac:dyDescent="0.35">
      <c r="G624" s="1"/>
      <c r="H624" s="1"/>
    </row>
    <row r="625" spans="1:11" hidden="1" x14ac:dyDescent="0.35">
      <c r="G625" s="1"/>
      <c r="H625" s="1"/>
    </row>
    <row r="626" spans="1:11" hidden="1" x14ac:dyDescent="0.35">
      <c r="G626" s="1"/>
      <c r="H626" s="1"/>
    </row>
    <row r="627" spans="1:11" hidden="1" x14ac:dyDescent="0.35">
      <c r="G627" s="1"/>
      <c r="H627" s="1"/>
    </row>
    <row r="628" spans="1:11" hidden="1" x14ac:dyDescent="0.35">
      <c r="G628" s="1"/>
      <c r="H628" s="1"/>
    </row>
    <row r="629" spans="1:11" hidden="1" x14ac:dyDescent="0.35">
      <c r="G629" s="1"/>
      <c r="H629" s="1"/>
    </row>
    <row r="630" spans="1:11" hidden="1" x14ac:dyDescent="0.35">
      <c r="G630" s="1"/>
      <c r="H630" s="1"/>
    </row>
    <row r="631" spans="1:11" hidden="1" x14ac:dyDescent="0.35">
      <c r="G631" s="1"/>
      <c r="H631" s="1"/>
    </row>
    <row r="632" spans="1:11" hidden="1" x14ac:dyDescent="0.35">
      <c r="G632" s="1"/>
      <c r="H632" s="1"/>
    </row>
    <row r="633" spans="1:11" x14ac:dyDescent="0.35">
      <c r="A633" s="1" t="s">
        <v>899</v>
      </c>
      <c r="B633" s="1" t="s">
        <v>900</v>
      </c>
      <c r="C633" s="1" t="s">
        <v>1219</v>
      </c>
      <c r="D633" s="1" t="s">
        <v>484</v>
      </c>
      <c r="E633" s="1" t="s">
        <v>484</v>
      </c>
      <c r="F633" s="1" t="s">
        <v>911</v>
      </c>
      <c r="G633" s="97" t="str">
        <f>VLOOKUP(B633,'[1]Data Email Anggota'!C$2:F$366,4,FALSE)</f>
        <v>ade.sintya@bki.co.id</v>
      </c>
      <c r="H633" s="97" t="str">
        <f>VLOOKUP(B633,[3]SHU!C$8:L$377,10,FALSE)</f>
        <v>AKTIF</v>
      </c>
      <c r="I633" s="2">
        <f>VLOOKUP(B633,[4]Sheet1!B$2:I$773,8,FALSE)</f>
        <v>100000</v>
      </c>
      <c r="J633" s="2">
        <v>0</v>
      </c>
      <c r="K633" s="25"/>
    </row>
    <row r="634" spans="1:11" hidden="1" x14ac:dyDescent="0.35">
      <c r="G634" s="1"/>
      <c r="H634" s="1"/>
    </row>
    <row r="635" spans="1:11" x14ac:dyDescent="0.35">
      <c r="A635" s="1" t="s">
        <v>901</v>
      </c>
      <c r="B635" s="1" t="s">
        <v>902</v>
      </c>
      <c r="C635" s="1" t="s">
        <v>1219</v>
      </c>
      <c r="D635" s="1" t="s">
        <v>484</v>
      </c>
      <c r="E635" s="1" t="s">
        <v>484</v>
      </c>
      <c r="F635" s="1" t="s">
        <v>911</v>
      </c>
      <c r="H635" s="97" t="s">
        <v>1206</v>
      </c>
      <c r="I635" s="2">
        <f>VLOOKUP(B635,[4]Sheet1!B$2:I$773,8,FALSE)</f>
        <v>100000</v>
      </c>
      <c r="J635" s="2">
        <v>0</v>
      </c>
      <c r="K635" s="25"/>
    </row>
    <row r="636" spans="1:11" hidden="1" x14ac:dyDescent="0.35">
      <c r="G636" s="1"/>
      <c r="H636" s="1"/>
    </row>
    <row r="637" spans="1:11" x14ac:dyDescent="0.35">
      <c r="A637" s="1" t="s">
        <v>903</v>
      </c>
      <c r="B637" s="1" t="s">
        <v>904</v>
      </c>
      <c r="C637" s="1" t="s">
        <v>1219</v>
      </c>
      <c r="D637" s="1" t="s">
        <v>484</v>
      </c>
      <c r="E637" s="1" t="s">
        <v>484</v>
      </c>
      <c r="F637" s="1" t="s">
        <v>911</v>
      </c>
      <c r="H637" s="97" t="s">
        <v>1206</v>
      </c>
      <c r="I637" s="2">
        <f>VLOOKUP(B637,[4]Sheet1!B$2:I$773,8,FALSE)</f>
        <v>100000</v>
      </c>
      <c r="J637" s="2">
        <v>0</v>
      </c>
      <c r="K637" s="25"/>
    </row>
    <row r="638" spans="1:11" hidden="1" x14ac:dyDescent="0.35">
      <c r="G638" s="1"/>
      <c r="H638" s="1"/>
    </row>
    <row r="639" spans="1:11" hidden="1" x14ac:dyDescent="0.35">
      <c r="G639" s="1"/>
      <c r="H639" s="1"/>
    </row>
    <row r="640" spans="1:11" hidden="1" x14ac:dyDescent="0.35">
      <c r="G640" s="1"/>
      <c r="H640" s="1"/>
    </row>
    <row r="641" spans="1:11" hidden="1" x14ac:dyDescent="0.35">
      <c r="G641" s="1"/>
      <c r="H641" s="1"/>
    </row>
    <row r="642" spans="1:11" hidden="1" x14ac:dyDescent="0.35">
      <c r="G642" s="1"/>
      <c r="H642" s="1"/>
    </row>
    <row r="643" spans="1:11" hidden="1" x14ac:dyDescent="0.35">
      <c r="G643" s="1"/>
      <c r="H643" s="1"/>
    </row>
    <row r="644" spans="1:11" x14ac:dyDescent="0.35">
      <c r="A644" s="1" t="s">
        <v>905</v>
      </c>
      <c r="B644" s="1" t="s">
        <v>906</v>
      </c>
      <c r="C644" s="1" t="s">
        <v>950</v>
      </c>
      <c r="D644" s="1" t="s">
        <v>484</v>
      </c>
      <c r="E644" s="1" t="s">
        <v>912</v>
      </c>
      <c r="F644" s="1" t="s">
        <v>911</v>
      </c>
      <c r="G644" s="97" t="str">
        <f>VLOOKUP(B644,'[1]Data Email Anggota'!C$2:F$366,4,FALSE)</f>
        <v>dhitya.putra@bki.co.id</v>
      </c>
      <c r="H644" s="97" t="s">
        <v>1206</v>
      </c>
      <c r="I644" s="2">
        <f>VLOOKUP(B644,[4]Sheet1!B$2:I$773,8,FALSE)</f>
        <v>100000</v>
      </c>
      <c r="J644" s="2">
        <f>VLOOKUP(B644,'[5]DAFTAR ALL'!B$8:D$68,3,FALSE)</f>
        <v>1500000</v>
      </c>
      <c r="K644" s="25"/>
    </row>
    <row r="645" spans="1:11" hidden="1" x14ac:dyDescent="0.35">
      <c r="G645" s="1"/>
      <c r="H645" s="1"/>
    </row>
    <row r="646" spans="1:11" hidden="1" x14ac:dyDescent="0.35">
      <c r="G646" s="1"/>
      <c r="H646" s="1"/>
    </row>
    <row r="647" spans="1:11" hidden="1" x14ac:dyDescent="0.35">
      <c r="G647" s="1"/>
      <c r="H647" s="1"/>
    </row>
    <row r="648" spans="1:11" hidden="1" x14ac:dyDescent="0.35">
      <c r="G648" s="1"/>
      <c r="H648" s="1"/>
    </row>
    <row r="649" spans="1:11" hidden="1" x14ac:dyDescent="0.35">
      <c r="G649" s="1"/>
      <c r="H649" s="1"/>
    </row>
    <row r="650" spans="1:11" x14ac:dyDescent="0.35">
      <c r="A650" s="1" t="s">
        <v>907</v>
      </c>
      <c r="B650" s="1" t="s">
        <v>908</v>
      </c>
      <c r="C650" s="1" t="s">
        <v>1219</v>
      </c>
      <c r="D650" s="1" t="s">
        <v>570</v>
      </c>
      <c r="E650" s="1" t="s">
        <v>570</v>
      </c>
      <c r="F650" s="1" t="s">
        <v>913</v>
      </c>
      <c r="G650" s="97" t="str">
        <f>VLOOKUP(B650,'[1]Data Email Anggota'!C$2:F$366,4,FALSE)</f>
        <v>izzafajri.sy@bki.co.id</v>
      </c>
      <c r="H650" s="97" t="str">
        <f>VLOOKUP(B650,[3]SHU!C$8:L$377,10,FALSE)</f>
        <v>AKTIF</v>
      </c>
      <c r="I650" s="2">
        <f>VLOOKUP(B650,[4]Sheet1!B$2:I$773,8,FALSE)</f>
        <v>100000</v>
      </c>
      <c r="J650" s="2">
        <v>0</v>
      </c>
      <c r="K650" s="25"/>
    </row>
    <row r="651" spans="1:11" hidden="1" x14ac:dyDescent="0.35">
      <c r="G651" s="1"/>
      <c r="H651" s="1"/>
    </row>
    <row r="652" spans="1:11" hidden="1" x14ac:dyDescent="0.35">
      <c r="G652" s="1"/>
      <c r="H652" s="1"/>
    </row>
    <row r="653" spans="1:11" x14ac:dyDescent="0.35">
      <c r="A653" s="1" t="s">
        <v>909</v>
      </c>
      <c r="B653" s="1" t="s">
        <v>910</v>
      </c>
      <c r="C653" s="1" t="s">
        <v>1219</v>
      </c>
      <c r="D653" s="1" t="s">
        <v>375</v>
      </c>
      <c r="E653" s="1" t="s">
        <v>375</v>
      </c>
      <c r="F653" s="1" t="s">
        <v>914</v>
      </c>
      <c r="G653" s="97" t="str">
        <f>VLOOKUP(B653,'[1]Data Email Anggota'!C$2:F$366,4,FALSE)</f>
        <v>aditya.is@bki.co.id</v>
      </c>
      <c r="H653" s="97" t="str">
        <f>VLOOKUP(B653,[3]SHU!C$8:L$377,10,FALSE)</f>
        <v>AKTIF</v>
      </c>
      <c r="I653" s="2">
        <f>VLOOKUP(B653,[4]Sheet1!B$2:I$773,8,FALSE)</f>
        <v>100000</v>
      </c>
      <c r="J653" s="2">
        <v>0</v>
      </c>
      <c r="K653" s="25"/>
    </row>
    <row r="654" spans="1:11" hidden="1" x14ac:dyDescent="0.35">
      <c r="G654" s="1"/>
      <c r="H654" s="1"/>
    </row>
    <row r="655" spans="1:11" hidden="1" x14ac:dyDescent="0.35">
      <c r="G655" s="1"/>
      <c r="H655" s="1"/>
    </row>
    <row r="656" spans="1:11" hidden="1" x14ac:dyDescent="0.35">
      <c r="G656" s="1"/>
      <c r="H656" s="1"/>
    </row>
    <row r="657" spans="2:14" hidden="1" x14ac:dyDescent="0.35">
      <c r="G657" s="1"/>
      <c r="H657" s="1"/>
    </row>
    <row r="658" spans="2:14" hidden="1" x14ac:dyDescent="0.35">
      <c r="G658" s="1"/>
      <c r="H658" s="1"/>
    </row>
    <row r="659" spans="2:14" hidden="1" x14ac:dyDescent="0.35">
      <c r="G659" s="1"/>
      <c r="H659" s="1"/>
    </row>
    <row r="660" spans="2:14" x14ac:dyDescent="0.35">
      <c r="B660" s="4" t="s">
        <v>917</v>
      </c>
      <c r="C660" s="1" t="s">
        <v>1219</v>
      </c>
      <c r="D660" s="1" t="s">
        <v>920</v>
      </c>
      <c r="E660" s="1" t="s">
        <v>920</v>
      </c>
      <c r="F660" s="4" t="s">
        <v>920</v>
      </c>
      <c r="G660" s="97" t="str">
        <f>VLOOKUP(B660,'[1]Data Email Anggota'!C$2:F$366,4,FALSE)</f>
        <v>ariefbp@bki.co.id</v>
      </c>
      <c r="H660" s="97" t="s">
        <v>1206</v>
      </c>
      <c r="I660" s="2">
        <f>VLOOKUP(B660,[4]Sheet1!B$2:I$773,8,FALSE)</f>
        <v>500000</v>
      </c>
      <c r="J660" s="2">
        <v>0</v>
      </c>
      <c r="K660" s="25"/>
    </row>
    <row r="661" spans="2:14" x14ac:dyDescent="0.35">
      <c r="B661" s="4" t="s">
        <v>918</v>
      </c>
      <c r="C661" s="1" t="s">
        <v>1219</v>
      </c>
      <c r="D661" s="1" t="s">
        <v>920</v>
      </c>
      <c r="E661" s="1" t="s">
        <v>920</v>
      </c>
      <c r="F661" s="4" t="s">
        <v>920</v>
      </c>
      <c r="G661" s="97" t="str">
        <f>VLOOKUP(B661,'[1]Data Email Anggota'!C$2:F$366,4,FALSE)</f>
        <v>dody@bki.co.id</v>
      </c>
      <c r="H661" s="97" t="s">
        <v>1206</v>
      </c>
      <c r="I661" s="2">
        <f>VLOOKUP(B661,[4]Sheet1!B$2:I$773,8,FALSE)</f>
        <v>500000</v>
      </c>
      <c r="J661" s="2">
        <f>VLOOKUP(B661,'[5]DAFTAR ALL'!B$8:D$68,3,FALSE)</f>
        <v>6746750</v>
      </c>
      <c r="K661" s="25"/>
    </row>
    <row r="662" spans="2:14" x14ac:dyDescent="0.35">
      <c r="B662" s="4" t="s">
        <v>919</v>
      </c>
      <c r="C662" s="1" t="s">
        <v>1219</v>
      </c>
      <c r="D662" s="1" t="s">
        <v>920</v>
      </c>
      <c r="E662" s="1" t="s">
        <v>920</v>
      </c>
      <c r="F662" s="4" t="s">
        <v>920</v>
      </c>
      <c r="H662" s="97" t="str">
        <f>VLOOKUP(B662,[3]SHU!C$8:L$377,10,FALSE)</f>
        <v>AKTIF</v>
      </c>
      <c r="I662" s="2">
        <f>VLOOKUP(B662,[4]Sheet1!B$2:I$773,8,FALSE)</f>
        <v>500000</v>
      </c>
      <c r="J662" s="2">
        <v>0</v>
      </c>
      <c r="K662" s="25"/>
    </row>
    <row r="663" spans="2:14" hidden="1" x14ac:dyDescent="0.35">
      <c r="B663" s="6" t="s">
        <v>1191</v>
      </c>
      <c r="C663" s="6"/>
      <c r="D663" s="6" t="s">
        <v>1200</v>
      </c>
      <c r="E663" s="6"/>
      <c r="F663" s="6"/>
      <c r="G663" s="97" t="str">
        <f>VLOOKUP(B663,'[1]Data Email Anggota'!C$2:F$366,4,FALSE)</f>
        <v>aldim.bki@gmail.com</v>
      </c>
      <c r="H663" s="97" t="str">
        <f>VLOOKUP(B663,[3]SHU!C$8:L$377,10,FALSE)</f>
        <v>AKTIF</v>
      </c>
    </row>
    <row r="664" spans="2:14" hidden="1" x14ac:dyDescent="0.35">
      <c r="B664" s="1" t="s">
        <v>1192</v>
      </c>
      <c r="D664" s="6" t="s">
        <v>1200</v>
      </c>
      <c r="G664" s="97" t="str">
        <f>VLOOKUP(B664,'[1]Data Email Anggota'!C$2:F$366,4,FALSE)</f>
        <v>Aldiwahyuprasetyo98@gmail.com</v>
      </c>
      <c r="H664" s="97" t="str">
        <f>VLOOKUP(B664,[3]SHU!C$8:L$377,10,FALSE)</f>
        <v>AKTIF</v>
      </c>
      <c r="L664" s="17" t="s">
        <v>923</v>
      </c>
      <c r="M664" s="2">
        <v>38500000</v>
      </c>
      <c r="N664" s="18"/>
    </row>
    <row r="665" spans="2:14" hidden="1" x14ac:dyDescent="0.35">
      <c r="B665" s="1" t="s">
        <v>1193</v>
      </c>
      <c r="D665" s="6" t="s">
        <v>1200</v>
      </c>
      <c r="H665" s="97" t="e">
        <f>VLOOKUP(B665,[3]SHU!C$8:L$377,10,FALSE)</f>
        <v>#N/A</v>
      </c>
      <c r="L665" s="17" t="s">
        <v>924</v>
      </c>
      <c r="M665" s="2">
        <v>1500000</v>
      </c>
      <c r="N665" s="18"/>
    </row>
    <row r="666" spans="2:14" hidden="1" x14ac:dyDescent="0.35">
      <c r="B666" s="1" t="s">
        <v>1194</v>
      </c>
      <c r="D666" s="6" t="s">
        <v>1200</v>
      </c>
      <c r="G666" s="97" t="str">
        <f>VLOOKUP(B666,'[1]Data Email Anggota'!C$2:F$366,4,FALSE)</f>
        <v>ardian.bki01@gmail.com</v>
      </c>
      <c r="H666" s="97" t="e">
        <f>VLOOKUP(B666,[3]SHU!C$8:L$377,10,FALSE)</f>
        <v>#N/A</v>
      </c>
      <c r="L666" s="19" t="s">
        <v>925</v>
      </c>
      <c r="M666" s="20">
        <f>M664+M665</f>
        <v>40000000</v>
      </c>
      <c r="N666" s="18"/>
    </row>
    <row r="667" spans="2:14" hidden="1" x14ac:dyDescent="0.35">
      <c r="B667" s="1" t="s">
        <v>1195</v>
      </c>
      <c r="D667" s="6" t="s">
        <v>1200</v>
      </c>
      <c r="G667" s="97" t="str">
        <f>VLOOKUP(B667,'[1]Data Email Anggota'!C$2:F$366,4,FALSE)</f>
        <v>muhammadrio2010@gmail.com</v>
      </c>
      <c r="H667" s="97" t="str">
        <f>VLOOKUP(B667,[3]SHU!C$8:L$377,10,FALSE)</f>
        <v>AKTIF</v>
      </c>
      <c r="M667" s="18"/>
      <c r="N667" s="18"/>
    </row>
    <row r="668" spans="2:14" hidden="1" x14ac:dyDescent="0.35">
      <c r="B668" s="1" t="s">
        <v>1196</v>
      </c>
      <c r="D668" s="6" t="s">
        <v>1200</v>
      </c>
      <c r="H668" s="97" t="str">
        <f>VLOOKUP(B668,[3]SHU!C$8:L$377,10,FALSE)</f>
        <v>AKTIF</v>
      </c>
      <c r="L668" s="21" t="s">
        <v>937</v>
      </c>
      <c r="M668" s="22"/>
      <c r="N668" s="22">
        <f>300277781+900000</f>
        <v>301177781</v>
      </c>
    </row>
    <row r="669" spans="2:14" hidden="1" x14ac:dyDescent="0.35">
      <c r="B669" s="1" t="s">
        <v>1197</v>
      </c>
      <c r="D669" s="6" t="s">
        <v>1200</v>
      </c>
      <c r="H669" s="97" t="str">
        <f>VLOOKUP(B669,[3]SHU!C$8:L$377,10,FALSE)</f>
        <v>AKTIF</v>
      </c>
      <c r="L669" s="23" t="s">
        <v>928</v>
      </c>
      <c r="M669" s="22"/>
      <c r="N669" s="24">
        <f>N668</f>
        <v>301177781</v>
      </c>
    </row>
    <row r="670" spans="2:14" hidden="1" x14ac:dyDescent="0.35">
      <c r="B670" s="1" t="s">
        <v>1198</v>
      </c>
      <c r="D670" s="6" t="s">
        <v>1200</v>
      </c>
      <c r="G670" s="97" t="str">
        <f>VLOOKUP(B670,'[1]Data Email Anggota'!C$2:F$366,4,FALSE)</f>
        <v>saepulsheen538@gmail.com</v>
      </c>
      <c r="H670" s="97" t="str">
        <f>VLOOKUP(B670,[3]SHU!C$8:L$377,10,FALSE)</f>
        <v>AKTIF</v>
      </c>
      <c r="M670" s="18"/>
      <c r="N670" s="18"/>
    </row>
    <row r="671" spans="2:14" hidden="1" x14ac:dyDescent="0.35">
      <c r="B671" s="1" t="s">
        <v>1199</v>
      </c>
      <c r="D671" s="6" t="s">
        <v>1200</v>
      </c>
      <c r="H671" s="97" t="e">
        <f>VLOOKUP(B671,[3]SHU!C$8:L$377,10,FALSE)</f>
        <v>#N/A</v>
      </c>
      <c r="L671" s="94" t="s">
        <v>929</v>
      </c>
      <c r="M671" s="95">
        <f>N669+M666</f>
        <v>341177781</v>
      </c>
      <c r="N671" s="18"/>
    </row>
    <row r="672" spans="2:14" hidden="1" x14ac:dyDescent="0.35">
      <c r="B672" s="1" t="s">
        <v>1201</v>
      </c>
      <c r="D672" s="1" t="s">
        <v>1205</v>
      </c>
      <c r="H672" s="97" t="e">
        <f>VLOOKUP(B672,[3]SHU!C$8:L$377,10,FALSE)</f>
        <v>#N/A</v>
      </c>
    </row>
    <row r="673" spans="2:8" hidden="1" x14ac:dyDescent="0.35">
      <c r="B673" s="1" t="s">
        <v>1202</v>
      </c>
      <c r="D673" s="1" t="s">
        <v>1205</v>
      </c>
      <c r="H673" s="97" t="e">
        <f>VLOOKUP(B673,[3]SHU!C$8:L$377,10,FALSE)</f>
        <v>#N/A</v>
      </c>
    </row>
    <row r="674" spans="2:8" hidden="1" x14ac:dyDescent="0.35">
      <c r="B674" s="1" t="s">
        <v>1203</v>
      </c>
      <c r="D674" s="1" t="s">
        <v>1205</v>
      </c>
      <c r="H674" s="97" t="e">
        <f>VLOOKUP(B674,[3]SHU!C$8:L$377,10,FALSE)</f>
        <v>#N/A</v>
      </c>
    </row>
    <row r="675" spans="2:8" hidden="1" x14ac:dyDescent="0.35">
      <c r="B675" s="1" t="s">
        <v>1204</v>
      </c>
      <c r="D675" s="1" t="s">
        <v>1205</v>
      </c>
      <c r="H675" s="97" t="e">
        <f>VLOOKUP(B675,[3]SHU!C$8:L$377,10,FALSE)</f>
        <v>#N/A</v>
      </c>
    </row>
    <row r="676" spans="2:8" x14ac:dyDescent="0.35">
      <c r="B676" s="1" t="s">
        <v>1216</v>
      </c>
      <c r="C676" s="1" t="s">
        <v>950</v>
      </c>
      <c r="D676" s="1" t="s">
        <v>484</v>
      </c>
      <c r="E676" s="1" t="s">
        <v>484</v>
      </c>
      <c r="G676" s="99" t="s">
        <v>1222</v>
      </c>
      <c r="H676" s="97" t="s">
        <v>1206</v>
      </c>
    </row>
    <row r="677" spans="2:8" x14ac:dyDescent="0.35">
      <c r="B677" s="1" t="s">
        <v>1217</v>
      </c>
      <c r="C677" s="1" t="s">
        <v>950</v>
      </c>
      <c r="D677" s="1" t="s">
        <v>484</v>
      </c>
      <c r="E677" s="1" t="s">
        <v>912</v>
      </c>
      <c r="G677" s="100" t="s">
        <v>1223</v>
      </c>
      <c r="H677" s="97" t="s">
        <v>1206</v>
      </c>
    </row>
    <row r="678" spans="2:8" x14ac:dyDescent="0.35">
      <c r="B678" s="1" t="s">
        <v>1207</v>
      </c>
      <c r="C678" s="1" t="s">
        <v>1220</v>
      </c>
      <c r="D678" s="1" t="s">
        <v>1220</v>
      </c>
      <c r="E678" s="1" t="s">
        <v>1221</v>
      </c>
      <c r="H678" s="97" t="s">
        <v>1206</v>
      </c>
    </row>
    <row r="679" spans="2:8" x14ac:dyDescent="0.35">
      <c r="B679" s="1" t="s">
        <v>1208</v>
      </c>
      <c r="C679" s="1" t="s">
        <v>1220</v>
      </c>
      <c r="D679" s="1" t="s">
        <v>1220</v>
      </c>
      <c r="E679" s="1" t="s">
        <v>1221</v>
      </c>
      <c r="H679" s="97" t="s">
        <v>1206</v>
      </c>
    </row>
    <row r="680" spans="2:8" x14ac:dyDescent="0.35">
      <c r="B680" s="1" t="s">
        <v>1209</v>
      </c>
      <c r="C680" s="1" t="s">
        <v>1220</v>
      </c>
      <c r="D680" s="1" t="s">
        <v>1220</v>
      </c>
      <c r="E680" s="1" t="s">
        <v>1221</v>
      </c>
      <c r="H680" s="97" t="str">
        <f>VLOOKUP(B680,[3]SHU!C$8:L$377,10,FALSE)</f>
        <v>AKTIF</v>
      </c>
    </row>
    <row r="681" spans="2:8" x14ac:dyDescent="0.35">
      <c r="B681" s="1" t="s">
        <v>1210</v>
      </c>
      <c r="C681" s="1" t="s">
        <v>1220</v>
      </c>
      <c r="D681" s="1" t="s">
        <v>1220</v>
      </c>
      <c r="E681" s="1" t="s">
        <v>1221</v>
      </c>
      <c r="H681" s="97" t="str">
        <f>VLOOKUP(B681,[3]SHU!C$8:L$377,10,FALSE)</f>
        <v>AKTIF</v>
      </c>
    </row>
    <row r="682" spans="2:8" x14ac:dyDescent="0.35">
      <c r="B682" s="1" t="s">
        <v>1211</v>
      </c>
      <c r="C682" s="1" t="s">
        <v>1220</v>
      </c>
      <c r="D682" s="1" t="s">
        <v>1220</v>
      </c>
      <c r="E682" s="1" t="s">
        <v>1221</v>
      </c>
      <c r="H682" s="97" t="s">
        <v>1206</v>
      </c>
    </row>
    <row r="683" spans="2:8" x14ac:dyDescent="0.35">
      <c r="B683" s="1" t="s">
        <v>1212</v>
      </c>
      <c r="C683" s="1" t="s">
        <v>1220</v>
      </c>
      <c r="D683" s="1" t="s">
        <v>1220</v>
      </c>
      <c r="E683" s="1" t="s">
        <v>1221</v>
      </c>
      <c r="H683" s="97" t="s">
        <v>1206</v>
      </c>
    </row>
    <row r="684" spans="2:8" x14ac:dyDescent="0.35">
      <c r="B684" s="1" t="s">
        <v>1213</v>
      </c>
      <c r="C684" s="1" t="s">
        <v>1220</v>
      </c>
      <c r="D684" s="1" t="s">
        <v>1220</v>
      </c>
      <c r="E684" s="1" t="s">
        <v>1221</v>
      </c>
      <c r="H684" s="97" t="s">
        <v>1206</v>
      </c>
    </row>
    <row r="685" spans="2:8" x14ac:dyDescent="0.35">
      <c r="B685" s="1" t="s">
        <v>1215</v>
      </c>
      <c r="C685" s="1" t="s">
        <v>1220</v>
      </c>
      <c r="D685" s="1" t="s">
        <v>1220</v>
      </c>
      <c r="E685" s="1" t="s">
        <v>1221</v>
      </c>
      <c r="H685" s="97" t="s">
        <v>1206</v>
      </c>
    </row>
    <row r="686" spans="2:8" x14ac:dyDescent="0.35">
      <c r="B686" s="1" t="s">
        <v>1214</v>
      </c>
      <c r="C686" s="1" t="s">
        <v>1220</v>
      </c>
      <c r="D686" s="1" t="s">
        <v>1220</v>
      </c>
      <c r="E686" s="1" t="s">
        <v>1221</v>
      </c>
      <c r="H686" s="97" t="s">
        <v>1206</v>
      </c>
    </row>
    <row r="687" spans="2:8" x14ac:dyDescent="0.35">
      <c r="B687" s="1" t="s">
        <v>1224</v>
      </c>
      <c r="C687" s="1" t="s">
        <v>1219</v>
      </c>
      <c r="D687" s="1" t="s">
        <v>1219</v>
      </c>
      <c r="E687" s="1" t="s">
        <v>1508</v>
      </c>
      <c r="H687" s="97" t="s">
        <v>1557</v>
      </c>
    </row>
    <row r="688" spans="2:8" x14ac:dyDescent="0.35">
      <c r="B688" s="1" t="s">
        <v>1225</v>
      </c>
      <c r="C688" s="1" t="s">
        <v>1219</v>
      </c>
      <c r="D688" s="1" t="s">
        <v>1219</v>
      </c>
      <c r="E688" s="1" t="s">
        <v>1509</v>
      </c>
      <c r="H688" s="97" t="s">
        <v>1557</v>
      </c>
    </row>
    <row r="689" spans="2:8" x14ac:dyDescent="0.35">
      <c r="B689" s="1" t="s">
        <v>1226</v>
      </c>
      <c r="C689" s="1" t="s">
        <v>1219</v>
      </c>
      <c r="D689" s="1" t="s">
        <v>1219</v>
      </c>
      <c r="E689" s="1" t="s">
        <v>1510</v>
      </c>
      <c r="H689" s="97" t="s">
        <v>1557</v>
      </c>
    </row>
    <row r="690" spans="2:8" x14ac:dyDescent="0.35">
      <c r="B690" s="1" t="s">
        <v>1227</v>
      </c>
      <c r="C690" s="1" t="s">
        <v>1219</v>
      </c>
      <c r="D690" s="1" t="s">
        <v>1219</v>
      </c>
      <c r="E690" s="1" t="s">
        <v>1511</v>
      </c>
      <c r="H690" s="97" t="s">
        <v>1557</v>
      </c>
    </row>
    <row r="691" spans="2:8" x14ac:dyDescent="0.35">
      <c r="B691" s="1" t="s">
        <v>1228</v>
      </c>
      <c r="C691" s="1" t="s">
        <v>1219</v>
      </c>
      <c r="D691" s="1" t="s">
        <v>1219</v>
      </c>
      <c r="E691" s="1" t="s">
        <v>1510</v>
      </c>
      <c r="H691" s="97" t="s">
        <v>1557</v>
      </c>
    </row>
    <row r="692" spans="2:8" x14ac:dyDescent="0.35">
      <c r="B692" s="1" t="s">
        <v>1229</v>
      </c>
      <c r="C692" s="1" t="s">
        <v>1219</v>
      </c>
      <c r="D692" s="1" t="s">
        <v>1219</v>
      </c>
      <c r="E692" s="1" t="s">
        <v>1510</v>
      </c>
      <c r="H692" s="97" t="s">
        <v>1557</v>
      </c>
    </row>
    <row r="693" spans="2:8" x14ac:dyDescent="0.35">
      <c r="B693" s="1" t="s">
        <v>1230</v>
      </c>
      <c r="C693" s="1" t="s">
        <v>1219</v>
      </c>
      <c r="D693" s="1" t="s">
        <v>1219</v>
      </c>
      <c r="E693" s="1" t="s">
        <v>1512</v>
      </c>
      <c r="H693" s="97" t="s">
        <v>1557</v>
      </c>
    </row>
    <row r="694" spans="2:8" x14ac:dyDescent="0.35">
      <c r="B694" s="1" t="s">
        <v>1231</v>
      </c>
      <c r="C694" s="1" t="s">
        <v>1219</v>
      </c>
      <c r="D694" s="1" t="s">
        <v>1219</v>
      </c>
      <c r="E694" s="1" t="s">
        <v>1512</v>
      </c>
      <c r="H694" s="97" t="s">
        <v>1557</v>
      </c>
    </row>
    <row r="695" spans="2:8" x14ac:dyDescent="0.35">
      <c r="B695" s="1" t="s">
        <v>1232</v>
      </c>
      <c r="C695" s="1" t="s">
        <v>1219</v>
      </c>
      <c r="D695" s="1" t="s">
        <v>1219</v>
      </c>
      <c r="E695" s="1" t="s">
        <v>1513</v>
      </c>
      <c r="H695" s="97" t="s">
        <v>1557</v>
      </c>
    </row>
    <row r="696" spans="2:8" x14ac:dyDescent="0.35">
      <c r="B696" s="1" t="s">
        <v>1233</v>
      </c>
      <c r="C696" s="1" t="s">
        <v>1219</v>
      </c>
      <c r="D696" s="1" t="s">
        <v>1219</v>
      </c>
      <c r="E696" s="1" t="s">
        <v>1512</v>
      </c>
      <c r="H696" s="97" t="s">
        <v>1557</v>
      </c>
    </row>
    <row r="697" spans="2:8" x14ac:dyDescent="0.35">
      <c r="B697" s="1" t="s">
        <v>1234</v>
      </c>
      <c r="C697" s="1" t="s">
        <v>1219</v>
      </c>
      <c r="D697" s="1" t="s">
        <v>1219</v>
      </c>
      <c r="E697" s="1" t="s">
        <v>1514</v>
      </c>
      <c r="H697" s="97" t="s">
        <v>1557</v>
      </c>
    </row>
    <row r="698" spans="2:8" x14ac:dyDescent="0.35">
      <c r="B698" s="1" t="s">
        <v>1235</v>
      </c>
      <c r="C698" s="1" t="s">
        <v>1219</v>
      </c>
      <c r="D698" s="1" t="s">
        <v>1219</v>
      </c>
      <c r="E698" s="1" t="s">
        <v>1515</v>
      </c>
      <c r="H698" s="97" t="s">
        <v>1557</v>
      </c>
    </row>
    <row r="699" spans="2:8" x14ac:dyDescent="0.35">
      <c r="B699" s="1" t="s">
        <v>1236</v>
      </c>
      <c r="C699" s="1" t="s">
        <v>1219</v>
      </c>
      <c r="D699" s="1" t="s">
        <v>1219</v>
      </c>
      <c r="E699" s="1" t="s">
        <v>1516</v>
      </c>
      <c r="H699" s="97" t="s">
        <v>1557</v>
      </c>
    </row>
    <row r="700" spans="2:8" x14ac:dyDescent="0.35">
      <c r="B700" s="1" t="s">
        <v>1237</v>
      </c>
      <c r="C700" s="1" t="s">
        <v>1219</v>
      </c>
      <c r="D700" s="1" t="s">
        <v>1219</v>
      </c>
      <c r="E700" s="1" t="s">
        <v>1517</v>
      </c>
      <c r="H700" s="97" t="s">
        <v>1557</v>
      </c>
    </row>
    <row r="701" spans="2:8" x14ac:dyDescent="0.35">
      <c r="B701" s="1" t="s">
        <v>1238</v>
      </c>
      <c r="C701" s="1" t="s">
        <v>1219</v>
      </c>
      <c r="D701" s="1" t="s">
        <v>1219</v>
      </c>
      <c r="E701" s="1" t="s">
        <v>1513</v>
      </c>
      <c r="H701" s="97" t="s">
        <v>1557</v>
      </c>
    </row>
    <row r="702" spans="2:8" x14ac:dyDescent="0.35">
      <c r="B702" s="1" t="s">
        <v>1239</v>
      </c>
      <c r="C702" s="1" t="s">
        <v>1219</v>
      </c>
      <c r="D702" s="1" t="s">
        <v>1219</v>
      </c>
      <c r="E702" s="1" t="s">
        <v>1510</v>
      </c>
      <c r="H702" s="97" t="s">
        <v>1557</v>
      </c>
    </row>
    <row r="703" spans="2:8" x14ac:dyDescent="0.35">
      <c r="B703" s="1" t="s">
        <v>1240</v>
      </c>
      <c r="C703" s="1" t="s">
        <v>1219</v>
      </c>
      <c r="D703" s="1" t="s">
        <v>1219</v>
      </c>
      <c r="E703" s="1" t="s">
        <v>1513</v>
      </c>
      <c r="H703" s="97" t="s">
        <v>1557</v>
      </c>
    </row>
    <row r="704" spans="2:8" x14ac:dyDescent="0.35">
      <c r="B704" s="1" t="s">
        <v>1241</v>
      </c>
      <c r="C704" s="1" t="s">
        <v>1219</v>
      </c>
      <c r="D704" s="1" t="s">
        <v>1219</v>
      </c>
      <c r="E704" s="1" t="s">
        <v>1510</v>
      </c>
      <c r="H704" s="97" t="s">
        <v>1557</v>
      </c>
    </row>
    <row r="705" spans="2:8" x14ac:dyDescent="0.35">
      <c r="B705" s="1" t="s">
        <v>1242</v>
      </c>
      <c r="C705" s="1" t="s">
        <v>1219</v>
      </c>
      <c r="D705" s="1" t="s">
        <v>1219</v>
      </c>
      <c r="E705" s="1" t="s">
        <v>1510</v>
      </c>
      <c r="H705" s="97" t="s">
        <v>1557</v>
      </c>
    </row>
    <row r="706" spans="2:8" x14ac:dyDescent="0.35">
      <c r="B706" s="1" t="s">
        <v>1243</v>
      </c>
      <c r="C706" s="1" t="s">
        <v>1219</v>
      </c>
      <c r="D706" s="1" t="s">
        <v>1219</v>
      </c>
      <c r="E706" s="1" t="s">
        <v>1515</v>
      </c>
      <c r="H706" s="97" t="s">
        <v>1557</v>
      </c>
    </row>
    <row r="707" spans="2:8" x14ac:dyDescent="0.35">
      <c r="B707" s="1" t="s">
        <v>1244</v>
      </c>
      <c r="C707" s="1" t="s">
        <v>1219</v>
      </c>
      <c r="D707" s="1" t="s">
        <v>1219</v>
      </c>
      <c r="E707" s="1" t="s">
        <v>1510</v>
      </c>
      <c r="H707" s="97" t="s">
        <v>1557</v>
      </c>
    </row>
    <row r="708" spans="2:8" x14ac:dyDescent="0.35">
      <c r="B708" s="1" t="s">
        <v>1245</v>
      </c>
      <c r="C708" s="1" t="s">
        <v>1219</v>
      </c>
      <c r="D708" s="1" t="s">
        <v>1219</v>
      </c>
      <c r="E708" s="1" t="s">
        <v>1518</v>
      </c>
      <c r="H708" s="97" t="s">
        <v>1557</v>
      </c>
    </row>
    <row r="709" spans="2:8" x14ac:dyDescent="0.35">
      <c r="B709" s="1" t="s">
        <v>1246</v>
      </c>
      <c r="C709" s="1" t="s">
        <v>1219</v>
      </c>
      <c r="D709" s="1" t="s">
        <v>1219</v>
      </c>
      <c r="E709" s="1" t="s">
        <v>1510</v>
      </c>
      <c r="H709" s="97" t="s">
        <v>1557</v>
      </c>
    </row>
    <row r="710" spans="2:8" x14ac:dyDescent="0.35">
      <c r="B710" s="1" t="s">
        <v>1247</v>
      </c>
      <c r="C710" s="1" t="s">
        <v>1219</v>
      </c>
      <c r="D710" s="1" t="s">
        <v>1219</v>
      </c>
      <c r="E710" s="1" t="s">
        <v>1519</v>
      </c>
      <c r="H710" s="97" t="s">
        <v>1557</v>
      </c>
    </row>
    <row r="711" spans="2:8" x14ac:dyDescent="0.35">
      <c r="B711" s="1" t="s">
        <v>1248</v>
      </c>
      <c r="C711" s="1" t="s">
        <v>1219</v>
      </c>
      <c r="D711" s="1" t="s">
        <v>1219</v>
      </c>
      <c r="E711" s="1" t="s">
        <v>1520</v>
      </c>
      <c r="H711" s="97" t="s">
        <v>1557</v>
      </c>
    </row>
    <row r="712" spans="2:8" x14ac:dyDescent="0.35">
      <c r="B712" s="1" t="s">
        <v>1249</v>
      </c>
      <c r="C712" s="1" t="s">
        <v>1219</v>
      </c>
      <c r="D712" s="1" t="s">
        <v>1219</v>
      </c>
      <c r="E712" s="1" t="s">
        <v>1510</v>
      </c>
      <c r="H712" s="97" t="s">
        <v>1557</v>
      </c>
    </row>
    <row r="713" spans="2:8" x14ac:dyDescent="0.35">
      <c r="B713" s="1" t="s">
        <v>1250</v>
      </c>
      <c r="C713" s="1" t="s">
        <v>1219</v>
      </c>
      <c r="D713" s="1" t="s">
        <v>1219</v>
      </c>
      <c r="E713" s="1" t="s">
        <v>1512</v>
      </c>
      <c r="H713" s="97" t="s">
        <v>1557</v>
      </c>
    </row>
    <row r="714" spans="2:8" x14ac:dyDescent="0.35">
      <c r="B714" s="1" t="s">
        <v>1251</v>
      </c>
      <c r="C714" s="1" t="s">
        <v>1219</v>
      </c>
      <c r="D714" s="1" t="s">
        <v>1219</v>
      </c>
      <c r="E714" s="1" t="s">
        <v>1510</v>
      </c>
      <c r="H714" s="97" t="s">
        <v>1557</v>
      </c>
    </row>
    <row r="715" spans="2:8" x14ac:dyDescent="0.35">
      <c r="B715" s="1" t="s">
        <v>1252</v>
      </c>
      <c r="C715" s="1" t="s">
        <v>1219</v>
      </c>
      <c r="D715" s="1" t="s">
        <v>1219</v>
      </c>
      <c r="E715" s="1" t="s">
        <v>1517</v>
      </c>
      <c r="H715" s="97" t="s">
        <v>1557</v>
      </c>
    </row>
    <row r="716" spans="2:8" x14ac:dyDescent="0.35">
      <c r="B716" s="1" t="s">
        <v>1253</v>
      </c>
      <c r="C716" s="1" t="s">
        <v>1219</v>
      </c>
      <c r="D716" s="1" t="s">
        <v>1219</v>
      </c>
      <c r="E716" s="1" t="s">
        <v>1521</v>
      </c>
      <c r="H716" s="97" t="s">
        <v>1557</v>
      </c>
    </row>
    <row r="717" spans="2:8" x14ac:dyDescent="0.35">
      <c r="B717" s="1" t="s">
        <v>1254</v>
      </c>
      <c r="C717" s="1" t="s">
        <v>1219</v>
      </c>
      <c r="D717" s="1" t="s">
        <v>1219</v>
      </c>
      <c r="E717" s="1" t="s">
        <v>1513</v>
      </c>
      <c r="H717" s="97" t="s">
        <v>1557</v>
      </c>
    </row>
    <row r="718" spans="2:8" x14ac:dyDescent="0.35">
      <c r="B718" s="1" t="s">
        <v>1255</v>
      </c>
      <c r="C718" s="1" t="s">
        <v>1219</v>
      </c>
      <c r="D718" s="1" t="s">
        <v>1219</v>
      </c>
      <c r="E718" s="1" t="s">
        <v>1522</v>
      </c>
      <c r="H718" s="97" t="s">
        <v>1557</v>
      </c>
    </row>
    <row r="719" spans="2:8" x14ac:dyDescent="0.35">
      <c r="B719" s="1" t="s">
        <v>1256</v>
      </c>
      <c r="C719" s="1" t="s">
        <v>1219</v>
      </c>
      <c r="D719" s="1" t="s">
        <v>1219</v>
      </c>
      <c r="E719" s="1" t="s">
        <v>1514</v>
      </c>
      <c r="H719" s="97" t="s">
        <v>1557</v>
      </c>
    </row>
    <row r="720" spans="2:8" x14ac:dyDescent="0.35">
      <c r="B720" s="1" t="s">
        <v>1257</v>
      </c>
      <c r="C720" s="1" t="s">
        <v>1219</v>
      </c>
      <c r="D720" s="1" t="s">
        <v>1219</v>
      </c>
      <c r="E720" s="1" t="s">
        <v>1518</v>
      </c>
      <c r="H720" s="97" t="s">
        <v>1557</v>
      </c>
    </row>
    <row r="721" spans="2:8" x14ac:dyDescent="0.35">
      <c r="B721" s="1" t="s">
        <v>1258</v>
      </c>
      <c r="C721" s="1" t="s">
        <v>1219</v>
      </c>
      <c r="D721" s="1" t="s">
        <v>1219</v>
      </c>
      <c r="E721" s="1" t="s">
        <v>1510</v>
      </c>
      <c r="H721" s="97" t="s">
        <v>1557</v>
      </c>
    </row>
    <row r="722" spans="2:8" x14ac:dyDescent="0.35">
      <c r="B722" s="1" t="s">
        <v>1259</v>
      </c>
      <c r="C722" s="1" t="s">
        <v>1219</v>
      </c>
      <c r="D722" s="1" t="s">
        <v>1219</v>
      </c>
      <c r="E722" s="1" t="s">
        <v>1523</v>
      </c>
      <c r="H722" s="97" t="s">
        <v>1557</v>
      </c>
    </row>
    <row r="723" spans="2:8" x14ac:dyDescent="0.35">
      <c r="B723" s="1" t="s">
        <v>1260</v>
      </c>
      <c r="C723" s="1" t="s">
        <v>1219</v>
      </c>
      <c r="D723" s="1" t="s">
        <v>1219</v>
      </c>
      <c r="E723" s="1" t="s">
        <v>1524</v>
      </c>
      <c r="H723" s="97" t="s">
        <v>1557</v>
      </c>
    </row>
    <row r="724" spans="2:8" x14ac:dyDescent="0.35">
      <c r="B724" s="1" t="s">
        <v>1261</v>
      </c>
      <c r="C724" s="1" t="s">
        <v>1219</v>
      </c>
      <c r="D724" s="1" t="s">
        <v>1219</v>
      </c>
      <c r="E724" s="1" t="s">
        <v>1525</v>
      </c>
      <c r="H724" s="97" t="s">
        <v>1557</v>
      </c>
    </row>
    <row r="725" spans="2:8" x14ac:dyDescent="0.35">
      <c r="B725" s="1" t="s">
        <v>1262</v>
      </c>
      <c r="C725" s="1" t="s">
        <v>1219</v>
      </c>
      <c r="D725" s="1" t="s">
        <v>1219</v>
      </c>
      <c r="E725" s="1" t="s">
        <v>1517</v>
      </c>
      <c r="H725" s="97" t="s">
        <v>1557</v>
      </c>
    </row>
    <row r="726" spans="2:8" x14ac:dyDescent="0.35">
      <c r="B726" s="1" t="s">
        <v>1263</v>
      </c>
      <c r="C726" s="1" t="s">
        <v>1219</v>
      </c>
      <c r="D726" s="1" t="s">
        <v>1219</v>
      </c>
      <c r="E726" s="1" t="s">
        <v>1508</v>
      </c>
      <c r="H726" s="97" t="s">
        <v>1557</v>
      </c>
    </row>
    <row r="727" spans="2:8" x14ac:dyDescent="0.35">
      <c r="B727" s="1" t="s">
        <v>1264</v>
      </c>
      <c r="C727" s="1" t="s">
        <v>1219</v>
      </c>
      <c r="D727" s="1" t="s">
        <v>1219</v>
      </c>
      <c r="E727" s="1" t="s">
        <v>1517</v>
      </c>
      <c r="H727" s="97" t="s">
        <v>1557</v>
      </c>
    </row>
    <row r="728" spans="2:8" x14ac:dyDescent="0.35">
      <c r="B728" s="1" t="s">
        <v>1265</v>
      </c>
      <c r="C728" s="1" t="s">
        <v>1219</v>
      </c>
      <c r="D728" s="1" t="s">
        <v>1219</v>
      </c>
      <c r="E728" s="1" t="s">
        <v>1510</v>
      </c>
      <c r="H728" s="97" t="s">
        <v>1557</v>
      </c>
    </row>
    <row r="729" spans="2:8" x14ac:dyDescent="0.35">
      <c r="B729" s="1" t="s">
        <v>1266</v>
      </c>
      <c r="C729" s="1" t="s">
        <v>1219</v>
      </c>
      <c r="D729" s="1" t="s">
        <v>1219</v>
      </c>
      <c r="E729" s="1" t="s">
        <v>1526</v>
      </c>
      <c r="H729" s="97" t="s">
        <v>1557</v>
      </c>
    </row>
    <row r="730" spans="2:8" x14ac:dyDescent="0.35">
      <c r="B730" s="1" t="s">
        <v>1267</v>
      </c>
      <c r="C730" s="1" t="s">
        <v>1219</v>
      </c>
      <c r="D730" s="1" t="s">
        <v>1219</v>
      </c>
      <c r="E730" s="1" t="s">
        <v>1509</v>
      </c>
      <c r="H730" s="97" t="s">
        <v>1557</v>
      </c>
    </row>
    <row r="731" spans="2:8" x14ac:dyDescent="0.35">
      <c r="B731" s="1" t="s">
        <v>1268</v>
      </c>
      <c r="C731" s="1" t="s">
        <v>1219</v>
      </c>
      <c r="D731" s="1" t="s">
        <v>1219</v>
      </c>
      <c r="E731" s="1" t="s">
        <v>1518</v>
      </c>
      <c r="H731" s="97" t="s">
        <v>1557</v>
      </c>
    </row>
    <row r="732" spans="2:8" x14ac:dyDescent="0.35">
      <c r="B732" s="1" t="s">
        <v>1269</v>
      </c>
      <c r="C732" s="1" t="s">
        <v>1219</v>
      </c>
      <c r="D732" s="1" t="s">
        <v>1219</v>
      </c>
      <c r="E732" s="1" t="s">
        <v>1512</v>
      </c>
      <c r="H732" s="97" t="s">
        <v>1557</v>
      </c>
    </row>
    <row r="733" spans="2:8" x14ac:dyDescent="0.35">
      <c r="B733" s="1" t="s">
        <v>1270</v>
      </c>
      <c r="C733" s="1" t="s">
        <v>1219</v>
      </c>
      <c r="D733" s="1" t="s">
        <v>1219</v>
      </c>
      <c r="E733" s="1" t="s">
        <v>1527</v>
      </c>
      <c r="H733" s="97" t="s">
        <v>1557</v>
      </c>
    </row>
    <row r="734" spans="2:8" x14ac:dyDescent="0.35">
      <c r="B734" s="1" t="s">
        <v>1271</v>
      </c>
      <c r="C734" s="1" t="s">
        <v>1219</v>
      </c>
      <c r="D734" s="1" t="s">
        <v>1219</v>
      </c>
      <c r="E734" s="1" t="s">
        <v>1528</v>
      </c>
      <c r="H734" s="97" t="s">
        <v>1557</v>
      </c>
    </row>
    <row r="735" spans="2:8" x14ac:dyDescent="0.35">
      <c r="B735" s="1" t="s">
        <v>1272</v>
      </c>
      <c r="C735" s="1" t="s">
        <v>1219</v>
      </c>
      <c r="D735" s="1" t="s">
        <v>1219</v>
      </c>
      <c r="E735" s="1" t="s">
        <v>1510</v>
      </c>
      <c r="H735" s="97" t="s">
        <v>1557</v>
      </c>
    </row>
    <row r="736" spans="2:8" x14ac:dyDescent="0.35">
      <c r="B736" s="1" t="s">
        <v>1273</v>
      </c>
      <c r="C736" s="1" t="s">
        <v>1219</v>
      </c>
      <c r="D736" s="1" t="s">
        <v>1219</v>
      </c>
      <c r="E736" s="1" t="s">
        <v>1529</v>
      </c>
      <c r="H736" s="97" t="s">
        <v>1557</v>
      </c>
    </row>
    <row r="737" spans="2:8" x14ac:dyDescent="0.35">
      <c r="B737" s="1" t="s">
        <v>1274</v>
      </c>
      <c r="C737" s="1" t="s">
        <v>1219</v>
      </c>
      <c r="D737" s="1" t="s">
        <v>1219</v>
      </c>
      <c r="E737" s="1" t="s">
        <v>1520</v>
      </c>
      <c r="H737" s="97" t="s">
        <v>1557</v>
      </c>
    </row>
    <row r="738" spans="2:8" x14ac:dyDescent="0.35">
      <c r="B738" s="1" t="s">
        <v>1275</v>
      </c>
      <c r="C738" s="1" t="s">
        <v>1219</v>
      </c>
      <c r="D738" s="1" t="s">
        <v>1219</v>
      </c>
      <c r="E738" s="1" t="s">
        <v>1530</v>
      </c>
      <c r="H738" s="97" t="s">
        <v>1557</v>
      </c>
    </row>
    <row r="739" spans="2:8" x14ac:dyDescent="0.35">
      <c r="B739" s="1" t="s">
        <v>1276</v>
      </c>
      <c r="C739" s="1" t="s">
        <v>1219</v>
      </c>
      <c r="D739" s="1" t="s">
        <v>1219</v>
      </c>
      <c r="E739" s="1" t="s">
        <v>1531</v>
      </c>
      <c r="H739" s="97" t="s">
        <v>1557</v>
      </c>
    </row>
    <row r="740" spans="2:8" x14ac:dyDescent="0.35">
      <c r="B740" s="1" t="s">
        <v>1277</v>
      </c>
      <c r="C740" s="1" t="s">
        <v>1219</v>
      </c>
      <c r="D740" s="1" t="s">
        <v>1219</v>
      </c>
      <c r="E740" s="1" t="s">
        <v>1532</v>
      </c>
      <c r="H740" s="97" t="s">
        <v>1557</v>
      </c>
    </row>
    <row r="741" spans="2:8" x14ac:dyDescent="0.35">
      <c r="B741" s="1" t="s">
        <v>1278</v>
      </c>
      <c r="C741" s="1" t="s">
        <v>1219</v>
      </c>
      <c r="D741" s="1" t="s">
        <v>1219</v>
      </c>
      <c r="E741" s="1" t="s">
        <v>1508</v>
      </c>
      <c r="H741" s="97" t="s">
        <v>1557</v>
      </c>
    </row>
    <row r="742" spans="2:8" x14ac:dyDescent="0.35">
      <c r="B742" s="1" t="s">
        <v>1279</v>
      </c>
      <c r="C742" s="1" t="s">
        <v>1219</v>
      </c>
      <c r="D742" s="1" t="s">
        <v>1219</v>
      </c>
      <c r="E742" s="1" t="s">
        <v>1510</v>
      </c>
      <c r="H742" s="97" t="s">
        <v>1557</v>
      </c>
    </row>
    <row r="743" spans="2:8" x14ac:dyDescent="0.35">
      <c r="B743" s="1" t="s">
        <v>1280</v>
      </c>
      <c r="C743" s="1" t="s">
        <v>1219</v>
      </c>
      <c r="D743" s="1" t="s">
        <v>1219</v>
      </c>
      <c r="E743" s="1" t="s">
        <v>1533</v>
      </c>
      <c r="H743" s="97" t="s">
        <v>1557</v>
      </c>
    </row>
    <row r="744" spans="2:8" x14ac:dyDescent="0.35">
      <c r="B744" s="1" t="s">
        <v>1281</v>
      </c>
      <c r="C744" s="1" t="s">
        <v>1219</v>
      </c>
      <c r="D744" s="1" t="s">
        <v>1219</v>
      </c>
      <c r="E744" s="1" t="s">
        <v>1518</v>
      </c>
      <c r="H744" s="97" t="s">
        <v>1557</v>
      </c>
    </row>
    <row r="745" spans="2:8" x14ac:dyDescent="0.35">
      <c r="B745" s="1" t="s">
        <v>1282</v>
      </c>
      <c r="C745" s="1" t="s">
        <v>1219</v>
      </c>
      <c r="D745" s="1" t="s">
        <v>1219</v>
      </c>
      <c r="E745" s="1" t="s">
        <v>1519</v>
      </c>
      <c r="H745" s="97" t="s">
        <v>1557</v>
      </c>
    </row>
    <row r="746" spans="2:8" x14ac:dyDescent="0.35">
      <c r="B746" s="1" t="s">
        <v>1283</v>
      </c>
      <c r="C746" s="1" t="s">
        <v>1219</v>
      </c>
      <c r="D746" s="1" t="s">
        <v>1219</v>
      </c>
      <c r="E746" s="1" t="s">
        <v>1512</v>
      </c>
      <c r="H746" s="97" t="s">
        <v>1557</v>
      </c>
    </row>
    <row r="747" spans="2:8" x14ac:dyDescent="0.35">
      <c r="B747" s="1" t="s">
        <v>1284</v>
      </c>
      <c r="C747" s="1" t="s">
        <v>1219</v>
      </c>
      <c r="D747" s="1" t="s">
        <v>1219</v>
      </c>
      <c r="E747" s="1" t="s">
        <v>1534</v>
      </c>
      <c r="H747" s="97" t="s">
        <v>1557</v>
      </c>
    </row>
    <row r="748" spans="2:8" x14ac:dyDescent="0.35">
      <c r="B748" s="1" t="s">
        <v>1285</v>
      </c>
      <c r="C748" s="1" t="s">
        <v>1219</v>
      </c>
      <c r="D748" s="1" t="s">
        <v>1219</v>
      </c>
      <c r="E748" s="1" t="s">
        <v>1512</v>
      </c>
      <c r="H748" s="97" t="s">
        <v>1557</v>
      </c>
    </row>
    <row r="749" spans="2:8" x14ac:dyDescent="0.35">
      <c r="B749" s="1" t="s">
        <v>1286</v>
      </c>
      <c r="C749" s="1" t="s">
        <v>1219</v>
      </c>
      <c r="D749" s="1" t="s">
        <v>1219</v>
      </c>
      <c r="E749" s="1" t="s">
        <v>1535</v>
      </c>
      <c r="H749" s="97" t="s">
        <v>1557</v>
      </c>
    </row>
    <row r="750" spans="2:8" x14ac:dyDescent="0.35">
      <c r="B750" s="1" t="s">
        <v>1287</v>
      </c>
      <c r="C750" s="1" t="s">
        <v>1219</v>
      </c>
      <c r="D750" s="1" t="s">
        <v>1219</v>
      </c>
      <c r="E750" s="1" t="s">
        <v>1513</v>
      </c>
      <c r="H750" s="97" t="s">
        <v>1557</v>
      </c>
    </row>
    <row r="751" spans="2:8" x14ac:dyDescent="0.35">
      <c r="B751" s="1" t="s">
        <v>1288</v>
      </c>
      <c r="C751" s="1" t="s">
        <v>1219</v>
      </c>
      <c r="D751" s="1" t="s">
        <v>1219</v>
      </c>
      <c r="E751" s="1" t="s">
        <v>1518</v>
      </c>
      <c r="H751" s="97" t="s">
        <v>1557</v>
      </c>
    </row>
    <row r="752" spans="2:8" x14ac:dyDescent="0.35">
      <c r="B752" s="1" t="s">
        <v>1289</v>
      </c>
      <c r="C752" s="1" t="s">
        <v>1219</v>
      </c>
      <c r="D752" s="1" t="s">
        <v>1219</v>
      </c>
      <c r="E752" s="1" t="s">
        <v>1526</v>
      </c>
      <c r="H752" s="97" t="s">
        <v>1557</v>
      </c>
    </row>
    <row r="753" spans="2:8" x14ac:dyDescent="0.35">
      <c r="B753" s="1" t="s">
        <v>1290</v>
      </c>
      <c r="C753" s="1" t="s">
        <v>1219</v>
      </c>
      <c r="D753" s="1" t="s">
        <v>1219</v>
      </c>
      <c r="E753" s="1" t="s">
        <v>1508</v>
      </c>
      <c r="H753" s="97" t="s">
        <v>1557</v>
      </c>
    </row>
    <row r="754" spans="2:8" x14ac:dyDescent="0.35">
      <c r="B754" s="1" t="s">
        <v>1291</v>
      </c>
      <c r="C754" s="1" t="s">
        <v>1219</v>
      </c>
      <c r="D754" s="1" t="s">
        <v>1219</v>
      </c>
      <c r="E754" s="1" t="s">
        <v>1536</v>
      </c>
      <c r="H754" s="97" t="s">
        <v>1557</v>
      </c>
    </row>
    <row r="755" spans="2:8" x14ac:dyDescent="0.35">
      <c r="B755" s="1" t="s">
        <v>1292</v>
      </c>
      <c r="C755" s="1" t="s">
        <v>1219</v>
      </c>
      <c r="D755" s="1" t="s">
        <v>1219</v>
      </c>
      <c r="E755" s="1" t="s">
        <v>1513</v>
      </c>
      <c r="H755" s="97" t="s">
        <v>1557</v>
      </c>
    </row>
    <row r="756" spans="2:8" x14ac:dyDescent="0.35">
      <c r="B756" s="1" t="s">
        <v>1293</v>
      </c>
      <c r="C756" s="1" t="s">
        <v>1219</v>
      </c>
      <c r="D756" s="1" t="s">
        <v>1219</v>
      </c>
      <c r="E756" s="1" t="s">
        <v>1521</v>
      </c>
      <c r="H756" s="97" t="s">
        <v>1557</v>
      </c>
    </row>
    <row r="757" spans="2:8" x14ac:dyDescent="0.35">
      <c r="B757" s="1" t="s">
        <v>1294</v>
      </c>
      <c r="C757" s="1" t="s">
        <v>1219</v>
      </c>
      <c r="D757" s="1" t="s">
        <v>1219</v>
      </c>
      <c r="E757" s="1" t="s">
        <v>1537</v>
      </c>
      <c r="H757" s="97" t="s">
        <v>1557</v>
      </c>
    </row>
    <row r="758" spans="2:8" x14ac:dyDescent="0.35">
      <c r="B758" s="1" t="s">
        <v>1295</v>
      </c>
      <c r="C758" s="1" t="s">
        <v>1219</v>
      </c>
      <c r="D758" s="1" t="s">
        <v>1219</v>
      </c>
      <c r="E758" s="1" t="s">
        <v>1538</v>
      </c>
      <c r="H758" s="97" t="s">
        <v>1557</v>
      </c>
    </row>
    <row r="759" spans="2:8" x14ac:dyDescent="0.35">
      <c r="B759" s="1" t="s">
        <v>1296</v>
      </c>
      <c r="C759" s="1" t="s">
        <v>1219</v>
      </c>
      <c r="D759" s="1" t="s">
        <v>1219</v>
      </c>
      <c r="E759" s="1" t="s">
        <v>1520</v>
      </c>
      <c r="H759" s="97" t="s">
        <v>1557</v>
      </c>
    </row>
    <row r="760" spans="2:8" x14ac:dyDescent="0.35">
      <c r="B760" s="1" t="s">
        <v>1297</v>
      </c>
      <c r="C760" s="1" t="s">
        <v>1219</v>
      </c>
      <c r="D760" s="1" t="s">
        <v>1219</v>
      </c>
      <c r="E760" s="1" t="s">
        <v>1526</v>
      </c>
      <c r="H760" s="97" t="s">
        <v>1557</v>
      </c>
    </row>
    <row r="761" spans="2:8" x14ac:dyDescent="0.35">
      <c r="B761" s="1" t="s">
        <v>1298</v>
      </c>
      <c r="C761" s="1" t="s">
        <v>1219</v>
      </c>
      <c r="D761" s="1" t="s">
        <v>1219</v>
      </c>
      <c r="E761" s="1" t="s">
        <v>1539</v>
      </c>
      <c r="H761" s="97" t="s">
        <v>1557</v>
      </c>
    </row>
    <row r="762" spans="2:8" x14ac:dyDescent="0.35">
      <c r="B762" s="1" t="s">
        <v>1299</v>
      </c>
      <c r="C762" s="1" t="s">
        <v>1219</v>
      </c>
      <c r="D762" s="1" t="s">
        <v>1219</v>
      </c>
      <c r="E762" s="1" t="s">
        <v>1513</v>
      </c>
      <c r="H762" s="97" t="s">
        <v>1557</v>
      </c>
    </row>
    <row r="763" spans="2:8" x14ac:dyDescent="0.35">
      <c r="B763" s="1" t="s">
        <v>1300</v>
      </c>
      <c r="C763" s="1" t="s">
        <v>1219</v>
      </c>
      <c r="D763" s="1" t="s">
        <v>1219</v>
      </c>
      <c r="E763" s="1" t="s">
        <v>1525</v>
      </c>
      <c r="H763" s="97" t="s">
        <v>1557</v>
      </c>
    </row>
    <row r="764" spans="2:8" x14ac:dyDescent="0.35">
      <c r="B764" s="1" t="s">
        <v>1301</v>
      </c>
      <c r="C764" s="1" t="s">
        <v>1219</v>
      </c>
      <c r="D764" s="1" t="s">
        <v>1219</v>
      </c>
      <c r="E764" s="1" t="s">
        <v>1520</v>
      </c>
      <c r="H764" s="97" t="s">
        <v>1557</v>
      </c>
    </row>
    <row r="765" spans="2:8" x14ac:dyDescent="0.35">
      <c r="B765" s="1" t="s">
        <v>1302</v>
      </c>
      <c r="C765" s="1" t="s">
        <v>1219</v>
      </c>
      <c r="D765" s="1" t="s">
        <v>1219</v>
      </c>
      <c r="E765" s="1" t="s">
        <v>1508</v>
      </c>
      <c r="H765" s="97" t="s">
        <v>1557</v>
      </c>
    </row>
    <row r="766" spans="2:8" x14ac:dyDescent="0.35">
      <c r="B766" s="1" t="s">
        <v>1303</v>
      </c>
      <c r="C766" s="1" t="s">
        <v>1219</v>
      </c>
      <c r="D766" s="1" t="s">
        <v>1219</v>
      </c>
      <c r="E766" s="1" t="s">
        <v>1539</v>
      </c>
      <c r="H766" s="97" t="s">
        <v>1557</v>
      </c>
    </row>
    <row r="767" spans="2:8" x14ac:dyDescent="0.35">
      <c r="B767" s="1" t="s">
        <v>1304</v>
      </c>
      <c r="C767" s="1" t="s">
        <v>1219</v>
      </c>
      <c r="D767" s="1" t="s">
        <v>1219</v>
      </c>
      <c r="E767" s="1" t="s">
        <v>1540</v>
      </c>
      <c r="H767" s="97" t="s">
        <v>1557</v>
      </c>
    </row>
    <row r="768" spans="2:8" x14ac:dyDescent="0.35">
      <c r="B768" s="1" t="s">
        <v>1305</v>
      </c>
      <c r="C768" s="1" t="s">
        <v>1219</v>
      </c>
      <c r="D768" s="1" t="s">
        <v>1219</v>
      </c>
      <c r="E768" s="1" t="s">
        <v>1530</v>
      </c>
      <c r="H768" s="97" t="s">
        <v>1557</v>
      </c>
    </row>
    <row r="769" spans="2:8" x14ac:dyDescent="0.35">
      <c r="B769" s="1" t="s">
        <v>1306</v>
      </c>
      <c r="C769" s="1" t="s">
        <v>1219</v>
      </c>
      <c r="D769" s="1" t="s">
        <v>1219</v>
      </c>
      <c r="E769" s="1" t="s">
        <v>1510</v>
      </c>
      <c r="H769" s="97" t="s">
        <v>1557</v>
      </c>
    </row>
    <row r="770" spans="2:8" x14ac:dyDescent="0.35">
      <c r="B770" s="1" t="s">
        <v>1307</v>
      </c>
      <c r="C770" s="1" t="s">
        <v>1219</v>
      </c>
      <c r="D770" s="1" t="s">
        <v>1219</v>
      </c>
      <c r="E770" s="1" t="s">
        <v>1541</v>
      </c>
      <c r="H770" s="97" t="s">
        <v>1557</v>
      </c>
    </row>
    <row r="771" spans="2:8" x14ac:dyDescent="0.35">
      <c r="B771" s="1" t="s">
        <v>1308</v>
      </c>
      <c r="C771" s="1" t="s">
        <v>1219</v>
      </c>
      <c r="D771" s="1" t="s">
        <v>1219</v>
      </c>
      <c r="E771" s="1" t="s">
        <v>1519</v>
      </c>
      <c r="H771" s="97" t="s">
        <v>1557</v>
      </c>
    </row>
    <row r="772" spans="2:8" x14ac:dyDescent="0.35">
      <c r="B772" s="1" t="s">
        <v>1309</v>
      </c>
      <c r="C772" s="1" t="s">
        <v>1219</v>
      </c>
      <c r="D772" s="1" t="s">
        <v>1219</v>
      </c>
      <c r="E772" s="1" t="s">
        <v>1515</v>
      </c>
      <c r="H772" s="97" t="s">
        <v>1557</v>
      </c>
    </row>
    <row r="773" spans="2:8" x14ac:dyDescent="0.35">
      <c r="B773" s="1" t="s">
        <v>1310</v>
      </c>
      <c r="C773" s="1" t="s">
        <v>1219</v>
      </c>
      <c r="D773" s="1" t="s">
        <v>1219</v>
      </c>
      <c r="E773" s="1" t="s">
        <v>1524</v>
      </c>
      <c r="H773" s="97" t="s">
        <v>1557</v>
      </c>
    </row>
    <row r="774" spans="2:8" x14ac:dyDescent="0.35">
      <c r="B774" s="1" t="s">
        <v>1311</v>
      </c>
      <c r="C774" s="1" t="s">
        <v>1219</v>
      </c>
      <c r="D774" s="1" t="s">
        <v>1219</v>
      </c>
      <c r="E774" s="1" t="s">
        <v>1510</v>
      </c>
      <c r="H774" s="97" t="s">
        <v>1557</v>
      </c>
    </row>
    <row r="775" spans="2:8" x14ac:dyDescent="0.35">
      <c r="B775" s="1" t="s">
        <v>1312</v>
      </c>
      <c r="C775" s="1" t="s">
        <v>1219</v>
      </c>
      <c r="D775" s="1" t="s">
        <v>1219</v>
      </c>
      <c r="E775" s="1" t="s">
        <v>1536</v>
      </c>
      <c r="H775" s="97" t="s">
        <v>1557</v>
      </c>
    </row>
    <row r="776" spans="2:8" x14ac:dyDescent="0.35">
      <c r="B776" s="1" t="s">
        <v>1313</v>
      </c>
      <c r="C776" s="1" t="s">
        <v>1219</v>
      </c>
      <c r="D776" s="1" t="s">
        <v>1219</v>
      </c>
      <c r="E776" s="1" t="s">
        <v>1542</v>
      </c>
      <c r="H776" s="97" t="s">
        <v>1557</v>
      </c>
    </row>
    <row r="777" spans="2:8" x14ac:dyDescent="0.35">
      <c r="B777" s="1" t="s">
        <v>1314</v>
      </c>
      <c r="C777" s="1" t="s">
        <v>1219</v>
      </c>
      <c r="D777" s="1" t="s">
        <v>1219</v>
      </c>
      <c r="E777" s="1" t="s">
        <v>1543</v>
      </c>
      <c r="H777" s="97" t="s">
        <v>1557</v>
      </c>
    </row>
    <row r="778" spans="2:8" x14ac:dyDescent="0.35">
      <c r="B778" s="1" t="s">
        <v>1315</v>
      </c>
      <c r="C778" s="1" t="s">
        <v>1219</v>
      </c>
      <c r="D778" s="1" t="s">
        <v>1219</v>
      </c>
      <c r="E778" s="1" t="s">
        <v>1518</v>
      </c>
      <c r="H778" s="97" t="s">
        <v>1557</v>
      </c>
    </row>
    <row r="779" spans="2:8" x14ac:dyDescent="0.35">
      <c r="B779" s="1" t="s">
        <v>1316</v>
      </c>
      <c r="C779" s="1" t="s">
        <v>1219</v>
      </c>
      <c r="D779" s="1" t="s">
        <v>1219</v>
      </c>
      <c r="E779" s="1" t="s">
        <v>1510</v>
      </c>
      <c r="H779" s="97" t="s">
        <v>1557</v>
      </c>
    </row>
    <row r="780" spans="2:8" x14ac:dyDescent="0.35">
      <c r="B780" s="1" t="s">
        <v>1317</v>
      </c>
      <c r="C780" s="1" t="s">
        <v>1219</v>
      </c>
      <c r="D780" s="1" t="s">
        <v>1219</v>
      </c>
      <c r="E780" s="1" t="s">
        <v>1509</v>
      </c>
      <c r="H780" s="97" t="s">
        <v>1557</v>
      </c>
    </row>
    <row r="781" spans="2:8" x14ac:dyDescent="0.35">
      <c r="B781" s="1" t="s">
        <v>1318</v>
      </c>
      <c r="C781" s="1" t="s">
        <v>1219</v>
      </c>
      <c r="D781" s="1" t="s">
        <v>1219</v>
      </c>
      <c r="E781" s="1" t="s">
        <v>1513</v>
      </c>
      <c r="H781" s="97" t="s">
        <v>1557</v>
      </c>
    </row>
    <row r="782" spans="2:8" x14ac:dyDescent="0.35">
      <c r="B782" s="1" t="s">
        <v>1319</v>
      </c>
      <c r="C782" s="1" t="s">
        <v>1219</v>
      </c>
      <c r="D782" s="1" t="s">
        <v>1219</v>
      </c>
      <c r="E782" s="1" t="s">
        <v>1517</v>
      </c>
      <c r="H782" s="97" t="s">
        <v>1557</v>
      </c>
    </row>
    <row r="783" spans="2:8" x14ac:dyDescent="0.35">
      <c r="B783" s="1" t="s">
        <v>1320</v>
      </c>
      <c r="C783" s="1" t="s">
        <v>1219</v>
      </c>
      <c r="D783" s="1" t="s">
        <v>1219</v>
      </c>
      <c r="E783" s="1" t="s">
        <v>1544</v>
      </c>
      <c r="H783" s="97" t="s">
        <v>1557</v>
      </c>
    </row>
    <row r="784" spans="2:8" x14ac:dyDescent="0.35">
      <c r="B784" s="1" t="s">
        <v>1321</v>
      </c>
      <c r="C784" s="1" t="s">
        <v>1219</v>
      </c>
      <c r="D784" s="1" t="s">
        <v>1219</v>
      </c>
      <c r="E784" s="1" t="s">
        <v>1509</v>
      </c>
      <c r="H784" s="97" t="s">
        <v>1557</v>
      </c>
    </row>
    <row r="785" spans="2:8" x14ac:dyDescent="0.35">
      <c r="B785" s="1" t="s">
        <v>1322</v>
      </c>
      <c r="C785" s="1" t="s">
        <v>1219</v>
      </c>
      <c r="D785" s="1" t="s">
        <v>1219</v>
      </c>
      <c r="E785" s="1" t="s">
        <v>1510</v>
      </c>
      <c r="H785" s="97" t="s">
        <v>1557</v>
      </c>
    </row>
    <row r="786" spans="2:8" x14ac:dyDescent="0.35">
      <c r="B786" s="1" t="s">
        <v>1323</v>
      </c>
      <c r="C786" s="1" t="s">
        <v>1219</v>
      </c>
      <c r="D786" s="1" t="s">
        <v>1219</v>
      </c>
      <c r="E786" s="1" t="s">
        <v>1519</v>
      </c>
      <c r="H786" s="97" t="s">
        <v>1557</v>
      </c>
    </row>
    <row r="787" spans="2:8" x14ac:dyDescent="0.35">
      <c r="B787" s="1" t="s">
        <v>1324</v>
      </c>
      <c r="C787" s="1" t="s">
        <v>1219</v>
      </c>
      <c r="D787" s="1" t="s">
        <v>1219</v>
      </c>
      <c r="E787" s="1" t="s">
        <v>1525</v>
      </c>
      <c r="H787" s="97" t="s">
        <v>1557</v>
      </c>
    </row>
    <row r="788" spans="2:8" x14ac:dyDescent="0.35">
      <c r="B788" s="1" t="s">
        <v>1325</v>
      </c>
      <c r="C788" s="1" t="s">
        <v>1219</v>
      </c>
      <c r="D788" s="1" t="s">
        <v>1219</v>
      </c>
      <c r="E788" s="1" t="s">
        <v>1510</v>
      </c>
      <c r="H788" s="97" t="s">
        <v>1557</v>
      </c>
    </row>
    <row r="789" spans="2:8" x14ac:dyDescent="0.35">
      <c r="B789" s="1" t="s">
        <v>1326</v>
      </c>
      <c r="C789" s="1" t="s">
        <v>1219</v>
      </c>
      <c r="D789" s="1" t="s">
        <v>1219</v>
      </c>
      <c r="E789" s="1" t="s">
        <v>1519</v>
      </c>
      <c r="H789" s="97" t="s">
        <v>1557</v>
      </c>
    </row>
    <row r="790" spans="2:8" x14ac:dyDescent="0.35">
      <c r="B790" s="1" t="s">
        <v>1327</v>
      </c>
      <c r="C790" s="1" t="s">
        <v>1219</v>
      </c>
      <c r="D790" s="1" t="s">
        <v>1219</v>
      </c>
      <c r="E790" s="1" t="s">
        <v>1545</v>
      </c>
      <c r="H790" s="97" t="s">
        <v>1557</v>
      </c>
    </row>
    <row r="791" spans="2:8" x14ac:dyDescent="0.35">
      <c r="B791" s="1" t="s">
        <v>1328</v>
      </c>
      <c r="C791" s="1" t="s">
        <v>1219</v>
      </c>
      <c r="D791" s="1" t="s">
        <v>1219</v>
      </c>
      <c r="E791" s="1" t="s">
        <v>1521</v>
      </c>
      <c r="H791" s="97" t="s">
        <v>1557</v>
      </c>
    </row>
    <row r="792" spans="2:8" x14ac:dyDescent="0.35">
      <c r="B792" s="1" t="s">
        <v>1329</v>
      </c>
      <c r="C792" s="1" t="s">
        <v>1219</v>
      </c>
      <c r="D792" s="1" t="s">
        <v>1219</v>
      </c>
      <c r="E792" s="1" t="s">
        <v>1516</v>
      </c>
      <c r="H792" s="97" t="s">
        <v>1557</v>
      </c>
    </row>
    <row r="793" spans="2:8" x14ac:dyDescent="0.35">
      <c r="B793" s="1" t="s">
        <v>1330</v>
      </c>
      <c r="C793" s="1" t="s">
        <v>1219</v>
      </c>
      <c r="D793" s="1" t="s">
        <v>1219</v>
      </c>
      <c r="E793" s="1" t="s">
        <v>1516</v>
      </c>
      <c r="H793" s="97" t="s">
        <v>1557</v>
      </c>
    </row>
    <row r="794" spans="2:8" x14ac:dyDescent="0.35">
      <c r="B794" s="1" t="s">
        <v>1331</v>
      </c>
      <c r="C794" s="1" t="s">
        <v>1219</v>
      </c>
      <c r="D794" s="1" t="s">
        <v>1219</v>
      </c>
      <c r="E794" s="1" t="s">
        <v>1530</v>
      </c>
      <c r="H794" s="97" t="s">
        <v>1557</v>
      </c>
    </row>
    <row r="795" spans="2:8" x14ac:dyDescent="0.35">
      <c r="B795" s="1" t="s">
        <v>1332</v>
      </c>
      <c r="C795" s="1" t="s">
        <v>1219</v>
      </c>
      <c r="D795" s="1" t="s">
        <v>1219</v>
      </c>
      <c r="E795" s="1" t="s">
        <v>1518</v>
      </c>
      <c r="H795" s="97" t="s">
        <v>1557</v>
      </c>
    </row>
    <row r="796" spans="2:8" x14ac:dyDescent="0.35">
      <c r="B796" s="1" t="s">
        <v>1333</v>
      </c>
      <c r="C796" s="1" t="s">
        <v>1219</v>
      </c>
      <c r="D796" s="1" t="s">
        <v>1219</v>
      </c>
      <c r="E796" s="1" t="s">
        <v>1539</v>
      </c>
      <c r="H796" s="97" t="s">
        <v>1557</v>
      </c>
    </row>
    <row r="797" spans="2:8" x14ac:dyDescent="0.35">
      <c r="B797" s="1" t="s">
        <v>1334</v>
      </c>
      <c r="C797" s="1" t="s">
        <v>1219</v>
      </c>
      <c r="D797" s="1" t="s">
        <v>1219</v>
      </c>
      <c r="E797" s="1" t="s">
        <v>1520</v>
      </c>
      <c r="H797" s="97" t="s">
        <v>1557</v>
      </c>
    </row>
    <row r="798" spans="2:8" x14ac:dyDescent="0.35">
      <c r="B798" s="1" t="s">
        <v>1335</v>
      </c>
      <c r="C798" s="1" t="s">
        <v>1219</v>
      </c>
      <c r="D798" s="1" t="s">
        <v>1219</v>
      </c>
      <c r="E798" s="1" t="s">
        <v>1510</v>
      </c>
      <c r="H798" s="97" t="s">
        <v>1557</v>
      </c>
    </row>
    <row r="799" spans="2:8" x14ac:dyDescent="0.35">
      <c r="B799" s="1" t="s">
        <v>1336</v>
      </c>
      <c r="C799" s="1" t="s">
        <v>1219</v>
      </c>
      <c r="D799" s="1" t="s">
        <v>1219</v>
      </c>
      <c r="E799" s="1" t="s">
        <v>1529</v>
      </c>
      <c r="H799" s="97" t="s">
        <v>1557</v>
      </c>
    </row>
    <row r="800" spans="2:8" x14ac:dyDescent="0.35">
      <c r="B800" s="1" t="s">
        <v>1337</v>
      </c>
      <c r="C800" s="1" t="s">
        <v>1219</v>
      </c>
      <c r="D800" s="1" t="s">
        <v>1219</v>
      </c>
      <c r="E800" s="1" t="s">
        <v>1520</v>
      </c>
      <c r="H800" s="97" t="s">
        <v>1557</v>
      </c>
    </row>
    <row r="801" spans="2:8" x14ac:dyDescent="0.35">
      <c r="B801" s="1" t="s">
        <v>1338</v>
      </c>
      <c r="C801" s="1" t="s">
        <v>1219</v>
      </c>
      <c r="D801" s="1" t="s">
        <v>1219</v>
      </c>
      <c r="E801" s="1" t="s">
        <v>1542</v>
      </c>
      <c r="H801" s="97" t="s">
        <v>1557</v>
      </c>
    </row>
    <row r="802" spans="2:8" x14ac:dyDescent="0.35">
      <c r="B802" s="1" t="s">
        <v>1339</v>
      </c>
      <c r="C802" s="1" t="s">
        <v>1219</v>
      </c>
      <c r="D802" s="1" t="s">
        <v>1219</v>
      </c>
      <c r="E802" s="1" t="s">
        <v>1510</v>
      </c>
      <c r="H802" s="97" t="s">
        <v>1557</v>
      </c>
    </row>
    <row r="803" spans="2:8" x14ac:dyDescent="0.35">
      <c r="B803" s="1" t="s">
        <v>1340</v>
      </c>
      <c r="C803" s="1" t="s">
        <v>1219</v>
      </c>
      <c r="D803" s="1" t="s">
        <v>1219</v>
      </c>
      <c r="E803" s="1" t="s">
        <v>1531</v>
      </c>
      <c r="H803" s="97" t="s">
        <v>1557</v>
      </c>
    </row>
    <row r="804" spans="2:8" x14ac:dyDescent="0.35">
      <c r="B804" s="1" t="s">
        <v>1341</v>
      </c>
      <c r="C804" s="1" t="s">
        <v>1219</v>
      </c>
      <c r="D804" s="1" t="s">
        <v>1219</v>
      </c>
      <c r="E804" s="1" t="s">
        <v>1515</v>
      </c>
      <c r="H804" s="97" t="s">
        <v>1557</v>
      </c>
    </row>
    <row r="805" spans="2:8" x14ac:dyDescent="0.35">
      <c r="B805" s="1" t="s">
        <v>1342</v>
      </c>
      <c r="C805" s="1" t="s">
        <v>1219</v>
      </c>
      <c r="D805" s="1" t="s">
        <v>1219</v>
      </c>
      <c r="E805" s="1" t="s">
        <v>1518</v>
      </c>
      <c r="H805" s="97" t="s">
        <v>1557</v>
      </c>
    </row>
    <row r="806" spans="2:8" x14ac:dyDescent="0.35">
      <c r="B806" s="1" t="s">
        <v>1343</v>
      </c>
      <c r="C806" s="1" t="s">
        <v>1219</v>
      </c>
      <c r="D806" s="1" t="s">
        <v>1219</v>
      </c>
      <c r="E806" s="1" t="s">
        <v>920</v>
      </c>
      <c r="H806" s="97" t="s">
        <v>1557</v>
      </c>
    </row>
    <row r="807" spans="2:8" x14ac:dyDescent="0.35">
      <c r="B807" s="1" t="s">
        <v>1344</v>
      </c>
      <c r="C807" s="1" t="s">
        <v>1219</v>
      </c>
      <c r="D807" s="1" t="s">
        <v>1219</v>
      </c>
      <c r="E807" s="1" t="s">
        <v>1546</v>
      </c>
      <c r="H807" s="97" t="s">
        <v>1557</v>
      </c>
    </row>
    <row r="808" spans="2:8" x14ac:dyDescent="0.35">
      <c r="B808" s="1" t="s">
        <v>1345</v>
      </c>
      <c r="C808" s="1" t="s">
        <v>1219</v>
      </c>
      <c r="D808" s="1" t="s">
        <v>1219</v>
      </c>
      <c r="E808" s="1" t="s">
        <v>1547</v>
      </c>
      <c r="H808" s="97" t="s">
        <v>1557</v>
      </c>
    </row>
    <row r="809" spans="2:8" x14ac:dyDescent="0.35">
      <c r="B809" s="1" t="s">
        <v>1346</v>
      </c>
      <c r="C809" s="1" t="s">
        <v>1219</v>
      </c>
      <c r="D809" s="1" t="s">
        <v>1219</v>
      </c>
      <c r="E809" s="1" t="s">
        <v>1548</v>
      </c>
      <c r="H809" s="97" t="s">
        <v>1557</v>
      </c>
    </row>
    <row r="810" spans="2:8" x14ac:dyDescent="0.35">
      <c r="B810" s="1" t="s">
        <v>1347</v>
      </c>
      <c r="C810" s="1" t="s">
        <v>1219</v>
      </c>
      <c r="D810" s="1" t="s">
        <v>1219</v>
      </c>
      <c r="E810" s="1" t="s">
        <v>1511</v>
      </c>
      <c r="H810" s="97" t="s">
        <v>1557</v>
      </c>
    </row>
    <row r="811" spans="2:8" x14ac:dyDescent="0.35">
      <c r="B811" s="1" t="s">
        <v>1348</v>
      </c>
      <c r="C811" s="1" t="s">
        <v>1219</v>
      </c>
      <c r="D811" s="1" t="s">
        <v>1219</v>
      </c>
      <c r="E811" s="1" t="s">
        <v>1549</v>
      </c>
      <c r="H811" s="97" t="s">
        <v>1557</v>
      </c>
    </row>
    <row r="812" spans="2:8" x14ac:dyDescent="0.35">
      <c r="B812" s="1" t="s">
        <v>1349</v>
      </c>
      <c r="C812" s="1" t="s">
        <v>1219</v>
      </c>
      <c r="D812" s="1" t="s">
        <v>1219</v>
      </c>
      <c r="E812" s="1" t="s">
        <v>1508</v>
      </c>
      <c r="H812" s="97" t="s">
        <v>1557</v>
      </c>
    </row>
    <row r="813" spans="2:8" x14ac:dyDescent="0.35">
      <c r="B813" s="1" t="s">
        <v>1350</v>
      </c>
      <c r="C813" s="1" t="s">
        <v>1219</v>
      </c>
      <c r="D813" s="1" t="s">
        <v>1219</v>
      </c>
      <c r="E813" s="1" t="s">
        <v>1508</v>
      </c>
      <c r="H813" s="97" t="s">
        <v>1557</v>
      </c>
    </row>
    <row r="814" spans="2:8" x14ac:dyDescent="0.35">
      <c r="B814" s="1" t="s">
        <v>1351</v>
      </c>
      <c r="C814" s="1" t="s">
        <v>1219</v>
      </c>
      <c r="D814" s="1" t="s">
        <v>1219</v>
      </c>
      <c r="E814" s="1" t="s">
        <v>1531</v>
      </c>
      <c r="H814" s="97" t="s">
        <v>1557</v>
      </c>
    </row>
    <row r="815" spans="2:8" x14ac:dyDescent="0.35">
      <c r="B815" s="1" t="s">
        <v>1352</v>
      </c>
      <c r="C815" s="1" t="s">
        <v>1219</v>
      </c>
      <c r="D815" s="1" t="s">
        <v>1219</v>
      </c>
      <c r="E815" s="1" t="s">
        <v>1510</v>
      </c>
      <c r="H815" s="97" t="s">
        <v>1557</v>
      </c>
    </row>
    <row r="816" spans="2:8" x14ac:dyDescent="0.35">
      <c r="B816" s="1" t="s">
        <v>1353</v>
      </c>
      <c r="C816" s="1" t="s">
        <v>1219</v>
      </c>
      <c r="D816" s="1" t="s">
        <v>1219</v>
      </c>
      <c r="E816" s="1" t="s">
        <v>1511</v>
      </c>
      <c r="H816" s="97" t="s">
        <v>1557</v>
      </c>
    </row>
    <row r="817" spans="2:8" x14ac:dyDescent="0.35">
      <c r="B817" s="1" t="s">
        <v>1354</v>
      </c>
      <c r="C817" s="1" t="s">
        <v>1219</v>
      </c>
      <c r="D817" s="1" t="s">
        <v>1219</v>
      </c>
      <c r="E817" s="1" t="s">
        <v>1510</v>
      </c>
      <c r="H817" s="97" t="s">
        <v>1557</v>
      </c>
    </row>
    <row r="818" spans="2:8" x14ac:dyDescent="0.35">
      <c r="B818" s="1" t="s">
        <v>1355</v>
      </c>
      <c r="C818" s="1" t="s">
        <v>1219</v>
      </c>
      <c r="D818" s="1" t="s">
        <v>1219</v>
      </c>
      <c r="E818" s="1" t="s">
        <v>1513</v>
      </c>
      <c r="H818" s="97" t="s">
        <v>1557</v>
      </c>
    </row>
    <row r="819" spans="2:8" x14ac:dyDescent="0.35">
      <c r="B819" s="1" t="s">
        <v>1356</v>
      </c>
      <c r="C819" s="1" t="s">
        <v>1219</v>
      </c>
      <c r="D819" s="1" t="s">
        <v>1219</v>
      </c>
      <c r="E819" s="1" t="s">
        <v>1518</v>
      </c>
      <c r="H819" s="97" t="s">
        <v>1557</v>
      </c>
    </row>
    <row r="820" spans="2:8" x14ac:dyDescent="0.35">
      <c r="B820" s="1" t="s">
        <v>1357</v>
      </c>
      <c r="C820" s="1" t="s">
        <v>1219</v>
      </c>
      <c r="D820" s="1" t="s">
        <v>1219</v>
      </c>
      <c r="E820" s="1" t="s">
        <v>1512</v>
      </c>
      <c r="H820" s="97" t="s">
        <v>1557</v>
      </c>
    </row>
    <row r="821" spans="2:8" x14ac:dyDescent="0.35">
      <c r="B821" s="1" t="s">
        <v>1358</v>
      </c>
      <c r="C821" s="1" t="s">
        <v>1219</v>
      </c>
      <c r="D821" s="1" t="s">
        <v>1219</v>
      </c>
      <c r="E821" s="1" t="s">
        <v>1544</v>
      </c>
      <c r="H821" s="97" t="s">
        <v>1557</v>
      </c>
    </row>
    <row r="822" spans="2:8" x14ac:dyDescent="0.35">
      <c r="B822" s="1" t="s">
        <v>1359</v>
      </c>
      <c r="C822" s="1" t="s">
        <v>1219</v>
      </c>
      <c r="D822" s="1" t="s">
        <v>1219</v>
      </c>
      <c r="E822" s="1" t="s">
        <v>1525</v>
      </c>
      <c r="H822" s="97" t="s">
        <v>1557</v>
      </c>
    </row>
    <row r="823" spans="2:8" x14ac:dyDescent="0.35">
      <c r="B823" s="1" t="s">
        <v>1360</v>
      </c>
      <c r="C823" s="1" t="s">
        <v>1219</v>
      </c>
      <c r="D823" s="1" t="s">
        <v>1219</v>
      </c>
      <c r="E823" s="1" t="s">
        <v>1510</v>
      </c>
      <c r="H823" s="97" t="s">
        <v>1557</v>
      </c>
    </row>
    <row r="824" spans="2:8" x14ac:dyDescent="0.35">
      <c r="B824" s="1" t="s">
        <v>1361</v>
      </c>
      <c r="C824" s="1" t="s">
        <v>1219</v>
      </c>
      <c r="D824" s="1" t="s">
        <v>1219</v>
      </c>
      <c r="E824" s="1" t="s">
        <v>1550</v>
      </c>
      <c r="H824" s="97" t="s">
        <v>1557</v>
      </c>
    </row>
    <row r="825" spans="2:8" x14ac:dyDescent="0.35">
      <c r="B825" s="1" t="s">
        <v>1362</v>
      </c>
      <c r="C825" s="1" t="s">
        <v>1219</v>
      </c>
      <c r="D825" s="1" t="s">
        <v>1219</v>
      </c>
      <c r="E825" s="1" t="s">
        <v>1518</v>
      </c>
      <c r="H825" s="97" t="s">
        <v>1557</v>
      </c>
    </row>
    <row r="826" spans="2:8" x14ac:dyDescent="0.35">
      <c r="B826" s="1" t="s">
        <v>1363</v>
      </c>
      <c r="C826" s="1" t="s">
        <v>1219</v>
      </c>
      <c r="D826" s="1" t="s">
        <v>1219</v>
      </c>
      <c r="E826" s="1" t="s">
        <v>1511</v>
      </c>
      <c r="H826" s="97" t="s">
        <v>1557</v>
      </c>
    </row>
    <row r="827" spans="2:8" x14ac:dyDescent="0.35">
      <c r="B827" s="1" t="s">
        <v>1364</v>
      </c>
      <c r="C827" s="1" t="s">
        <v>1219</v>
      </c>
      <c r="D827" s="1" t="s">
        <v>1219</v>
      </c>
      <c r="E827" s="1" t="s">
        <v>1510</v>
      </c>
      <c r="H827" s="97" t="s">
        <v>1557</v>
      </c>
    </row>
    <row r="828" spans="2:8" x14ac:dyDescent="0.35">
      <c r="B828" s="1" t="s">
        <v>1365</v>
      </c>
      <c r="C828" s="1" t="s">
        <v>1219</v>
      </c>
      <c r="D828" s="1" t="s">
        <v>1219</v>
      </c>
      <c r="E828" s="1" t="s">
        <v>1508</v>
      </c>
      <c r="H828" s="97" t="s">
        <v>1557</v>
      </c>
    </row>
    <row r="829" spans="2:8" x14ac:dyDescent="0.35">
      <c r="B829" s="1" t="s">
        <v>1366</v>
      </c>
      <c r="C829" s="1" t="s">
        <v>1219</v>
      </c>
      <c r="D829" s="1" t="s">
        <v>1219</v>
      </c>
      <c r="E829" s="1" t="s">
        <v>1518</v>
      </c>
      <c r="H829" s="97" t="s">
        <v>1557</v>
      </c>
    </row>
    <row r="830" spans="2:8" x14ac:dyDescent="0.35">
      <c r="B830" s="1" t="s">
        <v>1367</v>
      </c>
      <c r="C830" s="1" t="s">
        <v>1219</v>
      </c>
      <c r="D830" s="1" t="s">
        <v>1219</v>
      </c>
      <c r="E830" s="1" t="s">
        <v>1521</v>
      </c>
      <c r="H830" s="97" t="s">
        <v>1557</v>
      </c>
    </row>
    <row r="831" spans="2:8" x14ac:dyDescent="0.35">
      <c r="B831" s="1" t="s">
        <v>1368</v>
      </c>
      <c r="C831" s="1" t="s">
        <v>1219</v>
      </c>
      <c r="D831" s="1" t="s">
        <v>1219</v>
      </c>
      <c r="E831" s="1" t="s">
        <v>1541</v>
      </c>
      <c r="H831" s="97" t="s">
        <v>1557</v>
      </c>
    </row>
    <row r="832" spans="2:8" x14ac:dyDescent="0.35">
      <c r="B832" s="1" t="s">
        <v>1369</v>
      </c>
      <c r="C832" s="1" t="s">
        <v>1219</v>
      </c>
      <c r="D832" s="1" t="s">
        <v>1219</v>
      </c>
      <c r="E832" s="1" t="s">
        <v>1520</v>
      </c>
      <c r="H832" s="97" t="s">
        <v>1557</v>
      </c>
    </row>
    <row r="833" spans="2:8" x14ac:dyDescent="0.35">
      <c r="B833" s="1" t="s">
        <v>1370</v>
      </c>
      <c r="C833" s="1" t="s">
        <v>1219</v>
      </c>
      <c r="D833" s="1" t="s">
        <v>1219</v>
      </c>
      <c r="E833" s="1" t="s">
        <v>1547</v>
      </c>
      <c r="H833" s="97" t="s">
        <v>1557</v>
      </c>
    </row>
    <row r="834" spans="2:8" x14ac:dyDescent="0.35">
      <c r="B834" s="1" t="s">
        <v>1371</v>
      </c>
      <c r="C834" s="1" t="s">
        <v>1219</v>
      </c>
      <c r="D834" s="1" t="s">
        <v>1219</v>
      </c>
      <c r="E834" s="1" t="s">
        <v>1508</v>
      </c>
      <c r="H834" s="97" t="s">
        <v>1557</v>
      </c>
    </row>
    <row r="835" spans="2:8" x14ac:dyDescent="0.35">
      <c r="B835" s="1" t="s">
        <v>1372</v>
      </c>
      <c r="C835" s="1" t="s">
        <v>1219</v>
      </c>
      <c r="D835" s="1" t="s">
        <v>1219</v>
      </c>
      <c r="E835" s="1" t="s">
        <v>1513</v>
      </c>
      <c r="H835" s="97" t="s">
        <v>1557</v>
      </c>
    </row>
    <row r="836" spans="2:8" x14ac:dyDescent="0.35">
      <c r="B836" s="1" t="s">
        <v>1373</v>
      </c>
      <c r="C836" s="1" t="s">
        <v>1219</v>
      </c>
      <c r="D836" s="1" t="s">
        <v>1219</v>
      </c>
      <c r="E836" s="1" t="s">
        <v>1544</v>
      </c>
      <c r="H836" s="97" t="s">
        <v>1557</v>
      </c>
    </row>
    <row r="837" spans="2:8" x14ac:dyDescent="0.35">
      <c r="B837" s="1" t="s">
        <v>1374</v>
      </c>
      <c r="C837" s="1" t="s">
        <v>1219</v>
      </c>
      <c r="D837" s="1" t="s">
        <v>1219</v>
      </c>
      <c r="E837" s="1" t="s">
        <v>1530</v>
      </c>
      <c r="H837" s="97" t="s">
        <v>1557</v>
      </c>
    </row>
    <row r="838" spans="2:8" x14ac:dyDescent="0.35">
      <c r="B838" s="1" t="s">
        <v>1375</v>
      </c>
      <c r="C838" s="1" t="s">
        <v>1219</v>
      </c>
      <c r="D838" s="1" t="s">
        <v>1219</v>
      </c>
      <c r="E838" s="1" t="s">
        <v>1550</v>
      </c>
      <c r="H838" s="97" t="s">
        <v>1557</v>
      </c>
    </row>
    <row r="839" spans="2:8" x14ac:dyDescent="0.35">
      <c r="B839" s="1" t="s">
        <v>1376</v>
      </c>
      <c r="C839" s="1" t="s">
        <v>1219</v>
      </c>
      <c r="D839" s="1" t="s">
        <v>1219</v>
      </c>
      <c r="E839" s="1" t="s">
        <v>1518</v>
      </c>
      <c r="H839" s="97" t="s">
        <v>1557</v>
      </c>
    </row>
    <row r="840" spans="2:8" x14ac:dyDescent="0.35">
      <c r="B840" s="1" t="s">
        <v>1377</v>
      </c>
      <c r="C840" s="1" t="s">
        <v>1219</v>
      </c>
      <c r="D840" s="1" t="s">
        <v>1219</v>
      </c>
      <c r="E840" s="1" t="s">
        <v>1516</v>
      </c>
      <c r="H840" s="97" t="s">
        <v>1557</v>
      </c>
    </row>
    <row r="841" spans="2:8" x14ac:dyDescent="0.35">
      <c r="B841" s="1" t="s">
        <v>1378</v>
      </c>
      <c r="C841" s="1" t="s">
        <v>1219</v>
      </c>
      <c r="D841" s="1" t="s">
        <v>1219</v>
      </c>
      <c r="E841" s="1" t="s">
        <v>1511</v>
      </c>
      <c r="H841" s="97" t="s">
        <v>1557</v>
      </c>
    </row>
    <row r="842" spans="2:8" x14ac:dyDescent="0.35">
      <c r="B842" s="1" t="s">
        <v>1379</v>
      </c>
      <c r="C842" s="1" t="s">
        <v>1219</v>
      </c>
      <c r="D842" s="1" t="s">
        <v>1219</v>
      </c>
      <c r="E842" s="1" t="s">
        <v>1551</v>
      </c>
      <c r="H842" s="97" t="s">
        <v>1557</v>
      </c>
    </row>
    <row r="843" spans="2:8" x14ac:dyDescent="0.35">
      <c r="B843" s="1" t="s">
        <v>1380</v>
      </c>
      <c r="C843" s="1" t="s">
        <v>1219</v>
      </c>
      <c r="D843" s="1" t="s">
        <v>1219</v>
      </c>
      <c r="E843" s="1" t="s">
        <v>1519</v>
      </c>
      <c r="H843" s="97" t="s">
        <v>1557</v>
      </c>
    </row>
    <row r="844" spans="2:8" x14ac:dyDescent="0.35">
      <c r="B844" s="1" t="s">
        <v>1381</v>
      </c>
      <c r="C844" s="1" t="s">
        <v>1219</v>
      </c>
      <c r="D844" s="1" t="s">
        <v>1219</v>
      </c>
      <c r="E844" s="1" t="s">
        <v>1515</v>
      </c>
      <c r="H844" s="97" t="s">
        <v>1557</v>
      </c>
    </row>
    <row r="845" spans="2:8" x14ac:dyDescent="0.35">
      <c r="B845" s="1" t="s">
        <v>1382</v>
      </c>
      <c r="C845" s="1" t="s">
        <v>1219</v>
      </c>
      <c r="D845" s="1" t="s">
        <v>1219</v>
      </c>
      <c r="E845" s="1" t="s">
        <v>1510</v>
      </c>
      <c r="H845" s="97" t="s">
        <v>1557</v>
      </c>
    </row>
    <row r="846" spans="2:8" x14ac:dyDescent="0.35">
      <c r="B846" s="1" t="s">
        <v>1383</v>
      </c>
      <c r="C846" s="1" t="s">
        <v>1219</v>
      </c>
      <c r="D846" s="1" t="s">
        <v>1219</v>
      </c>
      <c r="E846" s="1" t="s">
        <v>1548</v>
      </c>
      <c r="H846" s="97" t="s">
        <v>1557</v>
      </c>
    </row>
    <row r="847" spans="2:8" x14ac:dyDescent="0.35">
      <c r="B847" s="1" t="s">
        <v>1384</v>
      </c>
      <c r="C847" s="1" t="s">
        <v>1219</v>
      </c>
      <c r="D847" s="1" t="s">
        <v>1219</v>
      </c>
      <c r="E847" s="1" t="s">
        <v>1533</v>
      </c>
      <c r="H847" s="97" t="s">
        <v>1557</v>
      </c>
    </row>
    <row r="848" spans="2:8" x14ac:dyDescent="0.35">
      <c r="B848" s="1" t="s">
        <v>1385</v>
      </c>
      <c r="C848" s="1" t="s">
        <v>1219</v>
      </c>
      <c r="D848" s="1" t="s">
        <v>1219</v>
      </c>
      <c r="E848" s="1" t="s">
        <v>1523</v>
      </c>
      <c r="H848" s="97" t="s">
        <v>1557</v>
      </c>
    </row>
    <row r="849" spans="2:8" x14ac:dyDescent="0.35">
      <c r="B849" s="1" t="s">
        <v>1386</v>
      </c>
      <c r="C849" s="1" t="s">
        <v>1219</v>
      </c>
      <c r="D849" s="1" t="s">
        <v>1219</v>
      </c>
      <c r="E849" s="1" t="s">
        <v>1517</v>
      </c>
      <c r="H849" s="97" t="s">
        <v>1557</v>
      </c>
    </row>
    <row r="850" spans="2:8" x14ac:dyDescent="0.35">
      <c r="B850" s="1" t="s">
        <v>1387</v>
      </c>
      <c r="C850" s="1" t="s">
        <v>1219</v>
      </c>
      <c r="D850" s="1" t="s">
        <v>1219</v>
      </c>
      <c r="E850" s="1" t="s">
        <v>1544</v>
      </c>
      <c r="H850" s="97" t="s">
        <v>1557</v>
      </c>
    </row>
    <row r="851" spans="2:8" x14ac:dyDescent="0.35">
      <c r="B851" s="1" t="s">
        <v>1388</v>
      </c>
      <c r="C851" s="1" t="s">
        <v>1219</v>
      </c>
      <c r="D851" s="1" t="s">
        <v>1219</v>
      </c>
      <c r="E851" s="1" t="s">
        <v>1515</v>
      </c>
      <c r="H851" s="97" t="s">
        <v>1557</v>
      </c>
    </row>
    <row r="852" spans="2:8" x14ac:dyDescent="0.35">
      <c r="B852" s="1" t="s">
        <v>1389</v>
      </c>
      <c r="C852" s="1" t="s">
        <v>1219</v>
      </c>
      <c r="D852" s="1" t="s">
        <v>1219</v>
      </c>
      <c r="E852" s="1" t="s">
        <v>1542</v>
      </c>
      <c r="H852" s="97" t="s">
        <v>1557</v>
      </c>
    </row>
    <row r="853" spans="2:8" x14ac:dyDescent="0.35">
      <c r="B853" s="1" t="s">
        <v>1390</v>
      </c>
      <c r="C853" s="1" t="s">
        <v>1219</v>
      </c>
      <c r="D853" s="1" t="s">
        <v>1219</v>
      </c>
      <c r="H853" s="97" t="s">
        <v>1557</v>
      </c>
    </row>
    <row r="854" spans="2:8" x14ac:dyDescent="0.35">
      <c r="B854" s="1" t="s">
        <v>1391</v>
      </c>
      <c r="C854" s="1" t="s">
        <v>1219</v>
      </c>
      <c r="D854" s="1" t="s">
        <v>1219</v>
      </c>
      <c r="E854" s="1" t="s">
        <v>1513</v>
      </c>
      <c r="H854" s="97" t="s">
        <v>1557</v>
      </c>
    </row>
    <row r="855" spans="2:8" x14ac:dyDescent="0.35">
      <c r="B855" s="1" t="s">
        <v>1392</v>
      </c>
      <c r="C855" s="1" t="s">
        <v>1219</v>
      </c>
      <c r="D855" s="1" t="s">
        <v>1219</v>
      </c>
      <c r="E855" s="1" t="s">
        <v>1552</v>
      </c>
      <c r="H855" s="97" t="s">
        <v>1557</v>
      </c>
    </row>
    <row r="856" spans="2:8" x14ac:dyDescent="0.35">
      <c r="B856" s="1" t="s">
        <v>1393</v>
      </c>
      <c r="C856" s="1" t="s">
        <v>1219</v>
      </c>
      <c r="D856" s="1" t="s">
        <v>1219</v>
      </c>
      <c r="E856" s="1" t="s">
        <v>1509</v>
      </c>
      <c r="H856" s="97" t="s">
        <v>1557</v>
      </c>
    </row>
    <row r="857" spans="2:8" x14ac:dyDescent="0.35">
      <c r="B857" s="1" t="s">
        <v>1394</v>
      </c>
      <c r="C857" s="1" t="s">
        <v>1219</v>
      </c>
      <c r="D857" s="1" t="s">
        <v>1219</v>
      </c>
      <c r="E857" s="1" t="s">
        <v>1553</v>
      </c>
      <c r="H857" s="97" t="s">
        <v>1557</v>
      </c>
    </row>
    <row r="858" spans="2:8" x14ac:dyDescent="0.35">
      <c r="B858" s="1" t="s">
        <v>1395</v>
      </c>
      <c r="C858" s="1" t="s">
        <v>1219</v>
      </c>
      <c r="D858" s="1" t="s">
        <v>1219</v>
      </c>
      <c r="E858" s="1" t="s">
        <v>1508</v>
      </c>
      <c r="H858" s="97" t="s">
        <v>1557</v>
      </c>
    </row>
    <row r="859" spans="2:8" x14ac:dyDescent="0.35">
      <c r="B859" s="1" t="s">
        <v>1396</v>
      </c>
      <c r="C859" s="1" t="s">
        <v>1219</v>
      </c>
      <c r="D859" s="1" t="s">
        <v>1219</v>
      </c>
      <c r="E859" s="1" t="s">
        <v>1547</v>
      </c>
      <c r="H859" s="97" t="s">
        <v>1557</v>
      </c>
    </row>
    <row r="860" spans="2:8" x14ac:dyDescent="0.35">
      <c r="B860" s="1" t="s">
        <v>1397</v>
      </c>
      <c r="C860" s="1" t="s">
        <v>1219</v>
      </c>
      <c r="D860" s="1" t="s">
        <v>1219</v>
      </c>
      <c r="E860" s="1" t="s">
        <v>1513</v>
      </c>
      <c r="H860" s="97" t="s">
        <v>1557</v>
      </c>
    </row>
    <row r="861" spans="2:8" x14ac:dyDescent="0.35">
      <c r="B861" s="1" t="s">
        <v>1398</v>
      </c>
      <c r="C861" s="1" t="s">
        <v>1219</v>
      </c>
      <c r="D861" s="1" t="s">
        <v>1219</v>
      </c>
      <c r="H861" s="97" t="s">
        <v>1557</v>
      </c>
    </row>
    <row r="862" spans="2:8" x14ac:dyDescent="0.35">
      <c r="B862" s="1" t="s">
        <v>1399</v>
      </c>
      <c r="C862" s="1" t="s">
        <v>1219</v>
      </c>
      <c r="D862" s="1" t="s">
        <v>1219</v>
      </c>
      <c r="E862" s="1" t="s">
        <v>1554</v>
      </c>
      <c r="H862" s="97" t="s">
        <v>1557</v>
      </c>
    </row>
    <row r="863" spans="2:8" x14ac:dyDescent="0.35">
      <c r="B863" s="1" t="s">
        <v>1400</v>
      </c>
      <c r="C863" s="1" t="s">
        <v>1219</v>
      </c>
      <c r="D863" s="1" t="s">
        <v>1219</v>
      </c>
      <c r="E863" s="1" t="s">
        <v>1552</v>
      </c>
      <c r="H863" s="97" t="s">
        <v>1557</v>
      </c>
    </row>
    <row r="864" spans="2:8" x14ac:dyDescent="0.35">
      <c r="B864" s="1" t="s">
        <v>1401</v>
      </c>
      <c r="C864" s="1" t="s">
        <v>1219</v>
      </c>
      <c r="D864" s="1" t="s">
        <v>1219</v>
      </c>
      <c r="E864" s="1" t="s">
        <v>1508</v>
      </c>
      <c r="H864" s="97" t="s">
        <v>1557</v>
      </c>
    </row>
    <row r="865" spans="2:8" x14ac:dyDescent="0.35">
      <c r="B865" s="1" t="s">
        <v>1402</v>
      </c>
      <c r="C865" s="1" t="s">
        <v>1219</v>
      </c>
      <c r="D865" s="1" t="s">
        <v>1219</v>
      </c>
      <c r="E865" s="1" t="s">
        <v>1555</v>
      </c>
      <c r="H865" s="97" t="s">
        <v>1557</v>
      </c>
    </row>
    <row r="866" spans="2:8" x14ac:dyDescent="0.35">
      <c r="B866" s="1" t="s">
        <v>1403</v>
      </c>
      <c r="C866" s="1" t="s">
        <v>1219</v>
      </c>
      <c r="D866" s="1" t="s">
        <v>1219</v>
      </c>
      <c r="E866" s="1" t="s">
        <v>1520</v>
      </c>
      <c r="H866" s="97" t="s">
        <v>1557</v>
      </c>
    </row>
    <row r="867" spans="2:8" x14ac:dyDescent="0.35">
      <c r="B867" s="1" t="s">
        <v>1404</v>
      </c>
      <c r="C867" s="1" t="s">
        <v>1219</v>
      </c>
      <c r="D867" s="1" t="s">
        <v>1219</v>
      </c>
      <c r="E867" s="1" t="s">
        <v>1513</v>
      </c>
      <c r="H867" s="97" t="s">
        <v>1557</v>
      </c>
    </row>
    <row r="868" spans="2:8" x14ac:dyDescent="0.35">
      <c r="B868" s="1" t="s">
        <v>1405</v>
      </c>
      <c r="C868" s="1" t="s">
        <v>1219</v>
      </c>
      <c r="D868" s="1" t="s">
        <v>1219</v>
      </c>
      <c r="E868" s="1" t="s">
        <v>1555</v>
      </c>
      <c r="H868" s="97" t="s">
        <v>1557</v>
      </c>
    </row>
    <row r="869" spans="2:8" x14ac:dyDescent="0.35">
      <c r="B869" s="1" t="s">
        <v>1406</v>
      </c>
      <c r="C869" s="1" t="s">
        <v>1219</v>
      </c>
      <c r="D869" s="1" t="s">
        <v>1219</v>
      </c>
      <c r="E869" s="1" t="s">
        <v>1534</v>
      </c>
      <c r="H869" s="97" t="s">
        <v>1557</v>
      </c>
    </row>
    <row r="870" spans="2:8" x14ac:dyDescent="0.35">
      <c r="B870" s="1" t="s">
        <v>1407</v>
      </c>
      <c r="C870" s="1" t="s">
        <v>1219</v>
      </c>
      <c r="D870" s="1" t="s">
        <v>1219</v>
      </c>
      <c r="E870" s="1" t="s">
        <v>1530</v>
      </c>
      <c r="H870" s="97" t="s">
        <v>1557</v>
      </c>
    </row>
    <row r="871" spans="2:8" x14ac:dyDescent="0.35">
      <c r="B871" s="1" t="s">
        <v>1408</v>
      </c>
      <c r="C871" s="1" t="s">
        <v>1219</v>
      </c>
      <c r="D871" s="1" t="s">
        <v>1219</v>
      </c>
      <c r="E871" s="1" t="s">
        <v>1552</v>
      </c>
      <c r="H871" s="97" t="s">
        <v>1557</v>
      </c>
    </row>
    <row r="872" spans="2:8" x14ac:dyDescent="0.35">
      <c r="B872" s="1" t="s">
        <v>1409</v>
      </c>
      <c r="C872" s="1" t="s">
        <v>1219</v>
      </c>
      <c r="D872" s="1" t="s">
        <v>1219</v>
      </c>
      <c r="E872" s="1" t="s">
        <v>1556</v>
      </c>
      <c r="H872" s="97" t="s">
        <v>1557</v>
      </c>
    </row>
    <row r="873" spans="2:8" x14ac:dyDescent="0.35">
      <c r="B873" s="1" t="s">
        <v>1410</v>
      </c>
      <c r="C873" s="1" t="s">
        <v>1219</v>
      </c>
      <c r="D873" s="1" t="s">
        <v>1219</v>
      </c>
      <c r="E873" s="1" t="s">
        <v>1530</v>
      </c>
      <c r="H873" s="97" t="s">
        <v>1557</v>
      </c>
    </row>
    <row r="874" spans="2:8" x14ac:dyDescent="0.35">
      <c r="B874" s="1" t="s">
        <v>1411</v>
      </c>
      <c r="C874" s="1" t="s">
        <v>1219</v>
      </c>
      <c r="D874" s="1" t="s">
        <v>1219</v>
      </c>
      <c r="E874" s="1" t="s">
        <v>1510</v>
      </c>
      <c r="H874" s="97" t="s">
        <v>1557</v>
      </c>
    </row>
    <row r="875" spans="2:8" x14ac:dyDescent="0.35">
      <c r="B875" s="1" t="s">
        <v>1412</v>
      </c>
      <c r="C875" s="1" t="s">
        <v>1219</v>
      </c>
      <c r="D875" s="1" t="s">
        <v>1219</v>
      </c>
      <c r="E875" s="1" t="s">
        <v>1529</v>
      </c>
      <c r="H875" s="97" t="s">
        <v>1557</v>
      </c>
    </row>
    <row r="876" spans="2:8" x14ac:dyDescent="0.35">
      <c r="B876" s="1" t="s">
        <v>1413</v>
      </c>
      <c r="C876" s="1" t="s">
        <v>1219</v>
      </c>
      <c r="D876" s="1" t="s">
        <v>1219</v>
      </c>
      <c r="E876" s="1" t="s">
        <v>1510</v>
      </c>
      <c r="H876" s="97" t="s">
        <v>1557</v>
      </c>
    </row>
    <row r="877" spans="2:8" x14ac:dyDescent="0.35">
      <c r="B877" s="1" t="s">
        <v>1414</v>
      </c>
      <c r="C877" s="1" t="s">
        <v>1219</v>
      </c>
      <c r="D877" s="1" t="s">
        <v>1219</v>
      </c>
      <c r="E877" s="1" t="s">
        <v>1548</v>
      </c>
      <c r="H877" s="97" t="s">
        <v>1557</v>
      </c>
    </row>
    <row r="878" spans="2:8" x14ac:dyDescent="0.35">
      <c r="B878" s="1" t="s">
        <v>1415</v>
      </c>
      <c r="C878" s="1" t="s">
        <v>1219</v>
      </c>
      <c r="D878" s="1" t="s">
        <v>1219</v>
      </c>
      <c r="E878" s="1" t="s">
        <v>1530</v>
      </c>
      <c r="H878" s="97" t="s">
        <v>1557</v>
      </c>
    </row>
    <row r="879" spans="2:8" x14ac:dyDescent="0.35">
      <c r="B879" s="1" t="s">
        <v>1416</v>
      </c>
      <c r="C879" s="1" t="s">
        <v>1219</v>
      </c>
      <c r="D879" s="1" t="s">
        <v>1219</v>
      </c>
      <c r="E879" s="1" t="s">
        <v>1530</v>
      </c>
      <c r="H879" s="97" t="s">
        <v>1557</v>
      </c>
    </row>
    <row r="880" spans="2:8" x14ac:dyDescent="0.35">
      <c r="B880" s="1" t="s">
        <v>1417</v>
      </c>
      <c r="C880" s="1" t="s">
        <v>1219</v>
      </c>
      <c r="D880" s="1" t="s">
        <v>1219</v>
      </c>
      <c r="E880" s="1" t="s">
        <v>1510</v>
      </c>
      <c r="H880" s="97" t="s">
        <v>1557</v>
      </c>
    </row>
    <row r="881" spans="2:8" x14ac:dyDescent="0.35">
      <c r="B881" s="1" t="s">
        <v>1418</v>
      </c>
      <c r="C881" s="1" t="s">
        <v>1219</v>
      </c>
      <c r="D881" s="1" t="s">
        <v>1219</v>
      </c>
      <c r="E881" s="1" t="s">
        <v>1517</v>
      </c>
      <c r="H881" s="97" t="s">
        <v>1557</v>
      </c>
    </row>
    <row r="882" spans="2:8" x14ac:dyDescent="0.35">
      <c r="B882" s="1" t="s">
        <v>1419</v>
      </c>
      <c r="C882" s="1" t="s">
        <v>1219</v>
      </c>
      <c r="D882" s="1" t="s">
        <v>1219</v>
      </c>
      <c r="E882" s="1" t="s">
        <v>1547</v>
      </c>
      <c r="H882" s="97" t="s">
        <v>1557</v>
      </c>
    </row>
    <row r="883" spans="2:8" x14ac:dyDescent="0.35">
      <c r="B883" s="1" t="s">
        <v>1420</v>
      </c>
      <c r="C883" s="1" t="s">
        <v>1219</v>
      </c>
      <c r="D883" s="1" t="s">
        <v>1219</v>
      </c>
      <c r="E883" s="1" t="s">
        <v>1531</v>
      </c>
      <c r="H883" s="97" t="s">
        <v>1557</v>
      </c>
    </row>
    <row r="884" spans="2:8" x14ac:dyDescent="0.35">
      <c r="B884" s="1" t="s">
        <v>1421</v>
      </c>
      <c r="C884" s="1" t="s">
        <v>1219</v>
      </c>
      <c r="D884" s="1" t="s">
        <v>1219</v>
      </c>
      <c r="E884" s="1" t="s">
        <v>1509</v>
      </c>
      <c r="H884" s="97" t="s">
        <v>1557</v>
      </c>
    </row>
    <row r="885" spans="2:8" x14ac:dyDescent="0.35">
      <c r="B885" s="1" t="s">
        <v>1422</v>
      </c>
      <c r="C885" s="1" t="s">
        <v>1219</v>
      </c>
      <c r="D885" s="1" t="s">
        <v>1219</v>
      </c>
      <c r="E885" s="1" t="s">
        <v>1542</v>
      </c>
      <c r="H885" s="97" t="s">
        <v>1557</v>
      </c>
    </row>
    <row r="886" spans="2:8" x14ac:dyDescent="0.35">
      <c r="B886" s="1" t="s">
        <v>1423</v>
      </c>
      <c r="C886" s="1" t="s">
        <v>1219</v>
      </c>
      <c r="D886" s="1" t="s">
        <v>1219</v>
      </c>
      <c r="E886" s="1" t="s">
        <v>1547</v>
      </c>
      <c r="H886" s="97" t="s">
        <v>1557</v>
      </c>
    </row>
    <row r="887" spans="2:8" x14ac:dyDescent="0.35">
      <c r="B887" s="1" t="s">
        <v>1424</v>
      </c>
      <c r="C887" s="1" t="s">
        <v>1219</v>
      </c>
      <c r="D887" s="1" t="s">
        <v>1219</v>
      </c>
      <c r="E887" s="1" t="s">
        <v>1517</v>
      </c>
      <c r="H887" s="97" t="s">
        <v>1557</v>
      </c>
    </row>
    <row r="888" spans="2:8" x14ac:dyDescent="0.35">
      <c r="B888" s="1" t="s">
        <v>1425</v>
      </c>
      <c r="C888" s="1" t="s">
        <v>1219</v>
      </c>
      <c r="D888" s="1" t="s">
        <v>1219</v>
      </c>
      <c r="E888" s="1" t="s">
        <v>1521</v>
      </c>
      <c r="H888" s="97" t="s">
        <v>1557</v>
      </c>
    </row>
    <row r="889" spans="2:8" x14ac:dyDescent="0.35">
      <c r="B889" s="1" t="s">
        <v>1426</v>
      </c>
      <c r="C889" s="1" t="s">
        <v>1219</v>
      </c>
      <c r="D889" s="1" t="s">
        <v>1219</v>
      </c>
      <c r="E889" s="1" t="s">
        <v>1510</v>
      </c>
      <c r="H889" s="97" t="s">
        <v>1557</v>
      </c>
    </row>
    <row r="890" spans="2:8" x14ac:dyDescent="0.35">
      <c r="B890" s="1" t="s">
        <v>1427</v>
      </c>
      <c r="C890" s="1" t="s">
        <v>1219</v>
      </c>
      <c r="D890" s="1" t="s">
        <v>1219</v>
      </c>
      <c r="E890" s="1" t="s">
        <v>1529</v>
      </c>
      <c r="H890" s="97" t="s">
        <v>1557</v>
      </c>
    </row>
    <row r="891" spans="2:8" x14ac:dyDescent="0.35">
      <c r="B891" s="1" t="s">
        <v>1428</v>
      </c>
      <c r="C891" s="1" t="s">
        <v>1219</v>
      </c>
      <c r="D891" s="1" t="s">
        <v>1219</v>
      </c>
      <c r="E891" s="1" t="s">
        <v>1538</v>
      </c>
      <c r="H891" s="97" t="s">
        <v>1557</v>
      </c>
    </row>
    <row r="892" spans="2:8" x14ac:dyDescent="0.35">
      <c r="B892" s="1" t="s">
        <v>1429</v>
      </c>
      <c r="C892" s="1" t="s">
        <v>1219</v>
      </c>
      <c r="D892" s="1" t="s">
        <v>1219</v>
      </c>
      <c r="E892" s="1" t="s">
        <v>1529</v>
      </c>
      <c r="H892" s="97" t="s">
        <v>1557</v>
      </c>
    </row>
    <row r="893" spans="2:8" x14ac:dyDescent="0.35">
      <c r="B893" s="1" t="s">
        <v>1430</v>
      </c>
      <c r="C893" s="1" t="s">
        <v>1219</v>
      </c>
      <c r="D893" s="1" t="s">
        <v>1219</v>
      </c>
      <c r="E893" s="1" t="s">
        <v>1529</v>
      </c>
      <c r="H893" s="97" t="s">
        <v>1557</v>
      </c>
    </row>
    <row r="894" spans="2:8" x14ac:dyDescent="0.35">
      <c r="B894" s="1" t="s">
        <v>1431</v>
      </c>
      <c r="C894" s="1" t="s">
        <v>1219</v>
      </c>
      <c r="D894" s="1" t="s">
        <v>1219</v>
      </c>
      <c r="E894" s="1" t="s">
        <v>1537</v>
      </c>
      <c r="H894" s="97" t="s">
        <v>1557</v>
      </c>
    </row>
    <row r="895" spans="2:8" x14ac:dyDescent="0.35">
      <c r="B895" s="1" t="s">
        <v>1432</v>
      </c>
      <c r="C895" s="1" t="s">
        <v>1219</v>
      </c>
      <c r="D895" s="1" t="s">
        <v>1219</v>
      </c>
      <c r="E895" s="1" t="s">
        <v>1537</v>
      </c>
      <c r="H895" s="97" t="s">
        <v>1557</v>
      </c>
    </row>
    <row r="896" spans="2:8" x14ac:dyDescent="0.35">
      <c r="B896" s="1" t="s">
        <v>1433</v>
      </c>
      <c r="C896" s="1" t="s">
        <v>1219</v>
      </c>
      <c r="D896" s="1" t="s">
        <v>1219</v>
      </c>
      <c r="E896" s="1" t="s">
        <v>1537</v>
      </c>
      <c r="H896" s="97" t="s">
        <v>1557</v>
      </c>
    </row>
    <row r="897" spans="2:8" x14ac:dyDescent="0.35">
      <c r="B897" s="1" t="s">
        <v>1434</v>
      </c>
      <c r="C897" s="1" t="s">
        <v>1219</v>
      </c>
      <c r="D897" s="1" t="s">
        <v>1219</v>
      </c>
      <c r="E897" s="1" t="s">
        <v>1510</v>
      </c>
      <c r="H897" s="97" t="s">
        <v>1557</v>
      </c>
    </row>
    <row r="898" spans="2:8" x14ac:dyDescent="0.35">
      <c r="B898" s="1" t="s">
        <v>1435</v>
      </c>
      <c r="C898" s="1" t="s">
        <v>1219</v>
      </c>
      <c r="D898" s="1" t="s">
        <v>1219</v>
      </c>
      <c r="E898" s="1" t="s">
        <v>1538</v>
      </c>
      <c r="H898" s="97" t="s">
        <v>1557</v>
      </c>
    </row>
    <row r="899" spans="2:8" x14ac:dyDescent="0.35">
      <c r="B899" s="1" t="s">
        <v>1436</v>
      </c>
      <c r="C899" s="1" t="s">
        <v>1219</v>
      </c>
      <c r="D899" s="1" t="s">
        <v>1219</v>
      </c>
      <c r="E899" s="1" t="s">
        <v>1538</v>
      </c>
      <c r="H899" s="97" t="s">
        <v>1557</v>
      </c>
    </row>
    <row r="900" spans="2:8" x14ac:dyDescent="0.35">
      <c r="B900" s="1" t="s">
        <v>1437</v>
      </c>
      <c r="C900" s="1" t="s">
        <v>1219</v>
      </c>
      <c r="D900" s="1" t="s">
        <v>1219</v>
      </c>
      <c r="E900" s="1" t="s">
        <v>920</v>
      </c>
      <c r="H900" s="97" t="s">
        <v>1557</v>
      </c>
    </row>
    <row r="901" spans="2:8" x14ac:dyDescent="0.35">
      <c r="B901" s="1" t="s">
        <v>1438</v>
      </c>
      <c r="C901" s="1" t="s">
        <v>1219</v>
      </c>
      <c r="D901" s="1" t="s">
        <v>1219</v>
      </c>
      <c r="E901" s="1" t="s">
        <v>1510</v>
      </c>
      <c r="H901" s="97" t="s">
        <v>1557</v>
      </c>
    </row>
    <row r="902" spans="2:8" x14ac:dyDescent="0.35">
      <c r="B902" s="1" t="s">
        <v>1439</v>
      </c>
      <c r="C902" s="1" t="s">
        <v>1219</v>
      </c>
      <c r="D902" s="1" t="s">
        <v>1219</v>
      </c>
      <c r="E902" s="1" t="s">
        <v>1510</v>
      </c>
      <c r="H902" s="97" t="s">
        <v>1557</v>
      </c>
    </row>
    <row r="903" spans="2:8" x14ac:dyDescent="0.35">
      <c r="B903" s="1" t="s">
        <v>1440</v>
      </c>
      <c r="C903" s="1" t="s">
        <v>1219</v>
      </c>
      <c r="D903" s="1" t="s">
        <v>1219</v>
      </c>
      <c r="E903" s="1" t="s">
        <v>1510</v>
      </c>
      <c r="H903" s="97" t="s">
        <v>1557</v>
      </c>
    </row>
    <row r="904" spans="2:8" x14ac:dyDescent="0.35">
      <c r="B904" s="1" t="s">
        <v>1441</v>
      </c>
      <c r="C904" s="1" t="s">
        <v>1219</v>
      </c>
      <c r="D904" s="1" t="s">
        <v>1219</v>
      </c>
      <c r="E904" s="1" t="s">
        <v>1510</v>
      </c>
      <c r="H904" s="97" t="s">
        <v>1557</v>
      </c>
    </row>
    <row r="905" spans="2:8" x14ac:dyDescent="0.35">
      <c r="B905" s="1" t="s">
        <v>1442</v>
      </c>
      <c r="C905" s="1" t="s">
        <v>1219</v>
      </c>
      <c r="D905" s="1" t="s">
        <v>1219</v>
      </c>
      <c r="E905" s="1" t="s">
        <v>1536</v>
      </c>
      <c r="H905" s="97" t="s">
        <v>1557</v>
      </c>
    </row>
    <row r="906" spans="2:8" x14ac:dyDescent="0.35">
      <c r="B906" s="1" t="s">
        <v>1443</v>
      </c>
      <c r="C906" s="1" t="s">
        <v>1219</v>
      </c>
      <c r="D906" s="1" t="s">
        <v>1219</v>
      </c>
      <c r="E906" s="1" t="s">
        <v>1549</v>
      </c>
      <c r="H906" s="97" t="s">
        <v>1557</v>
      </c>
    </row>
    <row r="907" spans="2:8" x14ac:dyDescent="0.35">
      <c r="B907" s="1" t="s">
        <v>1444</v>
      </c>
      <c r="C907" s="1" t="s">
        <v>1219</v>
      </c>
      <c r="D907" s="1" t="s">
        <v>1219</v>
      </c>
      <c r="E907" s="1" t="s">
        <v>1530</v>
      </c>
      <c r="H907" s="97" t="s">
        <v>1557</v>
      </c>
    </row>
    <row r="908" spans="2:8" x14ac:dyDescent="0.35">
      <c r="B908" s="1" t="s">
        <v>1445</v>
      </c>
      <c r="C908" s="1" t="s">
        <v>1219</v>
      </c>
      <c r="D908" s="1" t="s">
        <v>1219</v>
      </c>
      <c r="E908" s="1" t="s">
        <v>1529</v>
      </c>
      <c r="H908" s="97" t="s">
        <v>1557</v>
      </c>
    </row>
    <row r="909" spans="2:8" x14ac:dyDescent="0.35">
      <c r="B909" s="1" t="s">
        <v>1446</v>
      </c>
      <c r="C909" s="1" t="s">
        <v>1219</v>
      </c>
      <c r="D909" s="1" t="s">
        <v>1219</v>
      </c>
      <c r="E909" s="1" t="s">
        <v>1537</v>
      </c>
      <c r="H909" s="97" t="s">
        <v>1557</v>
      </c>
    </row>
    <row r="910" spans="2:8" x14ac:dyDescent="0.35">
      <c r="B910" s="1" t="s">
        <v>1447</v>
      </c>
      <c r="C910" s="1" t="s">
        <v>1219</v>
      </c>
      <c r="D910" s="1" t="s">
        <v>1219</v>
      </c>
      <c r="E910" s="1" t="s">
        <v>1528</v>
      </c>
      <c r="H910" s="97" t="s">
        <v>1557</v>
      </c>
    </row>
    <row r="911" spans="2:8" x14ac:dyDescent="0.35">
      <c r="B911" s="1" t="s">
        <v>1448</v>
      </c>
      <c r="C911" s="1" t="s">
        <v>1219</v>
      </c>
      <c r="D911" s="1" t="s">
        <v>1219</v>
      </c>
      <c r="E911" s="1" t="s">
        <v>1520</v>
      </c>
      <c r="H911" s="97" t="s">
        <v>1557</v>
      </c>
    </row>
    <row r="912" spans="2:8" x14ac:dyDescent="0.35">
      <c r="B912" s="1" t="s">
        <v>1449</v>
      </c>
      <c r="C912" s="1" t="s">
        <v>1219</v>
      </c>
      <c r="D912" s="1" t="s">
        <v>1219</v>
      </c>
      <c r="E912" s="1" t="s">
        <v>1520</v>
      </c>
      <c r="H912" s="97" t="s">
        <v>1557</v>
      </c>
    </row>
    <row r="913" spans="2:8" x14ac:dyDescent="0.35">
      <c r="B913" s="1" t="s">
        <v>1450</v>
      </c>
      <c r="C913" s="1" t="s">
        <v>1219</v>
      </c>
      <c r="D913" s="1" t="s">
        <v>1219</v>
      </c>
      <c r="E913" s="1" t="s">
        <v>1520</v>
      </c>
      <c r="H913" s="97" t="s">
        <v>1557</v>
      </c>
    </row>
    <row r="914" spans="2:8" x14ac:dyDescent="0.35">
      <c r="B914" s="1" t="s">
        <v>1451</v>
      </c>
      <c r="C914" s="1" t="s">
        <v>1219</v>
      </c>
      <c r="D914" s="1" t="s">
        <v>1219</v>
      </c>
      <c r="E914" s="1" t="s">
        <v>1520</v>
      </c>
      <c r="H914" s="97" t="s">
        <v>1557</v>
      </c>
    </row>
    <row r="915" spans="2:8" x14ac:dyDescent="0.35">
      <c r="B915" s="1" t="s">
        <v>1452</v>
      </c>
      <c r="C915" s="1" t="s">
        <v>1219</v>
      </c>
      <c r="D915" s="1" t="s">
        <v>1219</v>
      </c>
      <c r="E915" s="1" t="s">
        <v>1520</v>
      </c>
      <c r="H915" s="97" t="s">
        <v>1557</v>
      </c>
    </row>
    <row r="916" spans="2:8" x14ac:dyDescent="0.35">
      <c r="B916" s="1" t="s">
        <v>1453</v>
      </c>
      <c r="C916" s="1" t="s">
        <v>1219</v>
      </c>
      <c r="D916" s="1" t="s">
        <v>1219</v>
      </c>
      <c r="E916" s="1" t="s">
        <v>1547</v>
      </c>
      <c r="H916" s="97" t="s">
        <v>1557</v>
      </c>
    </row>
    <row r="917" spans="2:8" x14ac:dyDescent="0.35">
      <c r="B917" s="1" t="s">
        <v>1454</v>
      </c>
      <c r="C917" s="1" t="s">
        <v>1219</v>
      </c>
      <c r="D917" s="1" t="s">
        <v>1219</v>
      </c>
      <c r="E917" s="1" t="s">
        <v>1510</v>
      </c>
      <c r="H917" s="97" t="s">
        <v>1557</v>
      </c>
    </row>
    <row r="918" spans="2:8" x14ac:dyDescent="0.35">
      <c r="B918" s="1" t="s">
        <v>1455</v>
      </c>
      <c r="C918" s="1" t="s">
        <v>1219</v>
      </c>
      <c r="D918" s="1" t="s">
        <v>1219</v>
      </c>
      <c r="E918" s="1" t="s">
        <v>1510</v>
      </c>
      <c r="H918" s="97" t="s">
        <v>1557</v>
      </c>
    </row>
    <row r="919" spans="2:8" x14ac:dyDescent="0.35">
      <c r="B919" s="1" t="s">
        <v>1456</v>
      </c>
      <c r="C919" s="1" t="s">
        <v>1219</v>
      </c>
      <c r="D919" s="1" t="s">
        <v>1219</v>
      </c>
      <c r="E919" s="1" t="s">
        <v>1553</v>
      </c>
      <c r="H919" s="97" t="s">
        <v>1557</v>
      </c>
    </row>
    <row r="920" spans="2:8" x14ac:dyDescent="0.35">
      <c r="B920" s="1" t="s">
        <v>1457</v>
      </c>
      <c r="C920" s="1" t="s">
        <v>1219</v>
      </c>
      <c r="D920" s="1" t="s">
        <v>1219</v>
      </c>
      <c r="E920" s="1" t="s">
        <v>1510</v>
      </c>
      <c r="H920" s="97" t="s">
        <v>1557</v>
      </c>
    </row>
    <row r="921" spans="2:8" x14ac:dyDescent="0.35">
      <c r="B921" s="1" t="s">
        <v>1458</v>
      </c>
      <c r="C921" s="1" t="s">
        <v>1219</v>
      </c>
      <c r="D921" s="1" t="s">
        <v>1219</v>
      </c>
      <c r="E921" s="1" t="s">
        <v>1510</v>
      </c>
      <c r="H921" s="97" t="s">
        <v>1557</v>
      </c>
    </row>
    <row r="922" spans="2:8" x14ac:dyDescent="0.35">
      <c r="B922" s="1" t="s">
        <v>1459</v>
      </c>
      <c r="C922" s="1" t="s">
        <v>1219</v>
      </c>
      <c r="D922" s="1" t="s">
        <v>1219</v>
      </c>
      <c r="E922" s="1" t="s">
        <v>1510</v>
      </c>
      <c r="H922" s="97" t="s">
        <v>1557</v>
      </c>
    </row>
    <row r="923" spans="2:8" x14ac:dyDescent="0.35">
      <c r="B923" s="1" t="s">
        <v>1460</v>
      </c>
      <c r="C923" s="1" t="s">
        <v>1219</v>
      </c>
      <c r="D923" s="1" t="s">
        <v>1219</v>
      </c>
      <c r="E923" s="1" t="s">
        <v>1510</v>
      </c>
      <c r="H923" s="97" t="s">
        <v>1557</v>
      </c>
    </row>
    <row r="924" spans="2:8" x14ac:dyDescent="0.35">
      <c r="B924" s="1" t="s">
        <v>1461</v>
      </c>
      <c r="C924" s="1" t="s">
        <v>1219</v>
      </c>
      <c r="D924" s="1" t="s">
        <v>1219</v>
      </c>
      <c r="E924" s="1" t="s">
        <v>1510</v>
      </c>
      <c r="H924" s="97" t="s">
        <v>1557</v>
      </c>
    </row>
    <row r="925" spans="2:8" x14ac:dyDescent="0.35">
      <c r="B925" s="1" t="s">
        <v>1462</v>
      </c>
      <c r="C925" s="1" t="s">
        <v>1219</v>
      </c>
      <c r="D925" s="1" t="s">
        <v>1219</v>
      </c>
      <c r="E925" s="1" t="s">
        <v>1549</v>
      </c>
      <c r="H925" s="97" t="s">
        <v>1557</v>
      </c>
    </row>
    <row r="926" spans="2:8" x14ac:dyDescent="0.35">
      <c r="B926" s="1" t="s">
        <v>1463</v>
      </c>
      <c r="C926" s="1" t="s">
        <v>1219</v>
      </c>
      <c r="D926" s="1" t="s">
        <v>1219</v>
      </c>
      <c r="E926" s="1" t="s">
        <v>1512</v>
      </c>
      <c r="H926" s="97" t="s">
        <v>1557</v>
      </c>
    </row>
    <row r="927" spans="2:8" x14ac:dyDescent="0.35">
      <c r="B927" s="1" t="s">
        <v>1464</v>
      </c>
      <c r="C927" s="1" t="s">
        <v>1219</v>
      </c>
      <c r="D927" s="1" t="s">
        <v>1219</v>
      </c>
      <c r="E927" s="1" t="s">
        <v>1509</v>
      </c>
      <c r="H927" s="97" t="s">
        <v>1557</v>
      </c>
    </row>
    <row r="928" spans="2:8" x14ac:dyDescent="0.35">
      <c r="B928" s="1" t="s">
        <v>1465</v>
      </c>
      <c r="C928" s="1" t="s">
        <v>1219</v>
      </c>
      <c r="D928" s="1" t="s">
        <v>1219</v>
      </c>
      <c r="E928" s="1" t="s">
        <v>1515</v>
      </c>
      <c r="H928" s="97" t="s">
        <v>1557</v>
      </c>
    </row>
    <row r="929" spans="2:8" x14ac:dyDescent="0.35">
      <c r="B929" s="1" t="s">
        <v>1466</v>
      </c>
      <c r="C929" s="1" t="s">
        <v>1219</v>
      </c>
      <c r="D929" s="1" t="s">
        <v>1219</v>
      </c>
      <c r="E929" s="1" t="s">
        <v>1513</v>
      </c>
      <c r="H929" s="97" t="s">
        <v>1557</v>
      </c>
    </row>
    <row r="930" spans="2:8" x14ac:dyDescent="0.35">
      <c r="B930" s="1" t="s">
        <v>1467</v>
      </c>
      <c r="C930" s="1" t="s">
        <v>1219</v>
      </c>
      <c r="D930" s="1" t="s">
        <v>1219</v>
      </c>
      <c r="E930" s="1" t="s">
        <v>1510</v>
      </c>
      <c r="H930" s="97" t="s">
        <v>1557</v>
      </c>
    </row>
    <row r="931" spans="2:8" x14ac:dyDescent="0.35">
      <c r="B931" s="1" t="s">
        <v>1468</v>
      </c>
      <c r="C931" s="1" t="s">
        <v>1219</v>
      </c>
      <c r="D931" s="1" t="s">
        <v>1219</v>
      </c>
      <c r="E931" s="1" t="s">
        <v>1513</v>
      </c>
      <c r="H931" s="97" t="s">
        <v>1557</v>
      </c>
    </row>
    <row r="932" spans="2:8" x14ac:dyDescent="0.35">
      <c r="B932" s="1" t="s">
        <v>1469</v>
      </c>
      <c r="C932" s="1" t="s">
        <v>1219</v>
      </c>
      <c r="D932" s="1" t="s">
        <v>1219</v>
      </c>
      <c r="E932" s="1" t="s">
        <v>1530</v>
      </c>
      <c r="H932" s="97" t="s">
        <v>1557</v>
      </c>
    </row>
    <row r="933" spans="2:8" x14ac:dyDescent="0.35">
      <c r="B933" s="1" t="s">
        <v>1470</v>
      </c>
      <c r="C933" s="1" t="s">
        <v>1219</v>
      </c>
      <c r="D933" s="1" t="s">
        <v>1219</v>
      </c>
      <c r="E933" s="1" t="s">
        <v>1517</v>
      </c>
      <c r="H933" s="97" t="s">
        <v>1557</v>
      </c>
    </row>
    <row r="934" spans="2:8" x14ac:dyDescent="0.35">
      <c r="B934" s="1" t="s">
        <v>1471</v>
      </c>
      <c r="C934" s="1" t="s">
        <v>1219</v>
      </c>
      <c r="D934" s="1" t="s">
        <v>1219</v>
      </c>
      <c r="E934" s="1" t="s">
        <v>1512</v>
      </c>
      <c r="H934" s="97" t="s">
        <v>1557</v>
      </c>
    </row>
    <row r="935" spans="2:8" x14ac:dyDescent="0.35">
      <c r="B935" s="1" t="s">
        <v>1472</v>
      </c>
      <c r="C935" s="1" t="s">
        <v>1219</v>
      </c>
      <c r="D935" s="1" t="s">
        <v>1219</v>
      </c>
      <c r="E935" s="1" t="s">
        <v>1530</v>
      </c>
      <c r="H935" s="97" t="s">
        <v>1557</v>
      </c>
    </row>
    <row r="936" spans="2:8" x14ac:dyDescent="0.35">
      <c r="B936" s="1" t="s">
        <v>1473</v>
      </c>
      <c r="C936" s="1" t="s">
        <v>1219</v>
      </c>
      <c r="D936" s="1" t="s">
        <v>1219</v>
      </c>
      <c r="E936" s="1" t="s">
        <v>1510</v>
      </c>
      <c r="H936" s="97" t="s">
        <v>1557</v>
      </c>
    </row>
    <row r="937" spans="2:8" x14ac:dyDescent="0.35">
      <c r="B937" s="1" t="s">
        <v>1474</v>
      </c>
      <c r="C937" s="1" t="s">
        <v>1219</v>
      </c>
      <c r="D937" s="1" t="s">
        <v>1219</v>
      </c>
      <c r="E937" s="1" t="s">
        <v>1509</v>
      </c>
      <c r="H937" s="97" t="s">
        <v>1557</v>
      </c>
    </row>
    <row r="938" spans="2:8" x14ac:dyDescent="0.35">
      <c r="B938" s="1" t="s">
        <v>1475</v>
      </c>
      <c r="C938" s="1" t="s">
        <v>1219</v>
      </c>
      <c r="D938" s="1" t="s">
        <v>1219</v>
      </c>
      <c r="E938" s="1" t="s">
        <v>1553</v>
      </c>
      <c r="H938" s="97" t="s">
        <v>1557</v>
      </c>
    </row>
    <row r="939" spans="2:8" x14ac:dyDescent="0.35">
      <c r="B939" s="1" t="s">
        <v>1476</v>
      </c>
      <c r="C939" s="1" t="s">
        <v>1219</v>
      </c>
      <c r="D939" s="1" t="s">
        <v>1219</v>
      </c>
      <c r="E939" s="1" t="s">
        <v>1508</v>
      </c>
      <c r="H939" s="97" t="s">
        <v>1557</v>
      </c>
    </row>
    <row r="940" spans="2:8" x14ac:dyDescent="0.35">
      <c r="B940" s="1" t="s">
        <v>1477</v>
      </c>
      <c r="C940" s="1" t="s">
        <v>1219</v>
      </c>
      <c r="D940" s="1" t="s">
        <v>1219</v>
      </c>
      <c r="E940" s="1" t="s">
        <v>1530</v>
      </c>
      <c r="H940" s="97" t="s">
        <v>1557</v>
      </c>
    </row>
    <row r="941" spans="2:8" x14ac:dyDescent="0.35">
      <c r="B941" s="1" t="s">
        <v>1478</v>
      </c>
      <c r="C941" s="1" t="s">
        <v>1219</v>
      </c>
      <c r="D941" s="1" t="s">
        <v>1219</v>
      </c>
      <c r="E941" s="1" t="s">
        <v>1510</v>
      </c>
      <c r="H941" s="97" t="s">
        <v>1557</v>
      </c>
    </row>
    <row r="942" spans="2:8" x14ac:dyDescent="0.35">
      <c r="B942" s="1" t="s">
        <v>1479</v>
      </c>
      <c r="C942" s="1" t="s">
        <v>1219</v>
      </c>
      <c r="D942" s="1" t="s">
        <v>1219</v>
      </c>
      <c r="E942" s="1" t="s">
        <v>1520</v>
      </c>
      <c r="H942" s="97" t="s">
        <v>1557</v>
      </c>
    </row>
    <row r="943" spans="2:8" x14ac:dyDescent="0.35">
      <c r="B943" s="1" t="s">
        <v>1480</v>
      </c>
      <c r="C943" s="1" t="s">
        <v>1219</v>
      </c>
      <c r="D943" s="1" t="s">
        <v>1219</v>
      </c>
      <c r="E943" s="1" t="s">
        <v>1520</v>
      </c>
      <c r="H943" s="97" t="s">
        <v>1557</v>
      </c>
    </row>
    <row r="944" spans="2:8" x14ac:dyDescent="0.35">
      <c r="B944" s="1" t="s">
        <v>1481</v>
      </c>
      <c r="C944" s="1" t="s">
        <v>1219</v>
      </c>
      <c r="D944" s="1" t="s">
        <v>1219</v>
      </c>
      <c r="E944" s="1" t="s">
        <v>1520</v>
      </c>
      <c r="H944" s="97" t="s">
        <v>1557</v>
      </c>
    </row>
    <row r="945" spans="2:8" x14ac:dyDescent="0.35">
      <c r="B945" s="1" t="s">
        <v>1482</v>
      </c>
      <c r="C945" s="1" t="s">
        <v>1219</v>
      </c>
      <c r="D945" s="1" t="s">
        <v>1219</v>
      </c>
      <c r="E945" s="1" t="s">
        <v>1508</v>
      </c>
      <c r="H945" s="97" t="s">
        <v>1557</v>
      </c>
    </row>
    <row r="946" spans="2:8" x14ac:dyDescent="0.35">
      <c r="B946" s="1" t="s">
        <v>1483</v>
      </c>
      <c r="C946" s="1" t="s">
        <v>1219</v>
      </c>
      <c r="D946" s="1" t="s">
        <v>1219</v>
      </c>
      <c r="E946" s="1" t="s">
        <v>1531</v>
      </c>
      <c r="H946" s="97" t="s">
        <v>1557</v>
      </c>
    </row>
    <row r="947" spans="2:8" x14ac:dyDescent="0.35">
      <c r="B947" s="1" t="s">
        <v>1484</v>
      </c>
      <c r="C947" s="1" t="s">
        <v>1219</v>
      </c>
      <c r="D947" s="1" t="s">
        <v>1219</v>
      </c>
      <c r="E947" s="1" t="s">
        <v>1510</v>
      </c>
      <c r="H947" s="97" t="s">
        <v>1557</v>
      </c>
    </row>
    <row r="948" spans="2:8" x14ac:dyDescent="0.35">
      <c r="B948" s="1" t="s">
        <v>1485</v>
      </c>
      <c r="C948" s="1" t="s">
        <v>1219</v>
      </c>
      <c r="D948" s="1" t="s">
        <v>1219</v>
      </c>
      <c r="E948" s="1" t="s">
        <v>1510</v>
      </c>
      <c r="H948" s="97" t="s">
        <v>1557</v>
      </c>
    </row>
    <row r="949" spans="2:8" x14ac:dyDescent="0.35">
      <c r="B949" s="1" t="s">
        <v>1486</v>
      </c>
      <c r="C949" s="1" t="s">
        <v>1219</v>
      </c>
      <c r="D949" s="1" t="s">
        <v>1219</v>
      </c>
      <c r="E949" s="1" t="s">
        <v>1510</v>
      </c>
      <c r="H949" s="97" t="s">
        <v>1557</v>
      </c>
    </row>
    <row r="950" spans="2:8" x14ac:dyDescent="0.35">
      <c r="B950" s="1" t="s">
        <v>1487</v>
      </c>
      <c r="C950" s="1" t="s">
        <v>1219</v>
      </c>
      <c r="D950" s="1" t="s">
        <v>1219</v>
      </c>
      <c r="E950" s="1" t="s">
        <v>1528</v>
      </c>
      <c r="H950" s="97" t="s">
        <v>1557</v>
      </c>
    </row>
    <row r="951" spans="2:8" x14ac:dyDescent="0.35">
      <c r="B951" s="1" t="s">
        <v>1488</v>
      </c>
      <c r="C951" s="1" t="s">
        <v>1219</v>
      </c>
      <c r="D951" s="1" t="s">
        <v>1219</v>
      </c>
      <c r="E951" s="1" t="s">
        <v>1520</v>
      </c>
      <c r="H951" s="97" t="s">
        <v>1557</v>
      </c>
    </row>
    <row r="952" spans="2:8" x14ac:dyDescent="0.35">
      <c r="B952" s="1" t="s">
        <v>1489</v>
      </c>
      <c r="C952" s="1" t="s">
        <v>1219</v>
      </c>
      <c r="D952" s="1" t="s">
        <v>1219</v>
      </c>
      <c r="E952" s="1" t="s">
        <v>1550</v>
      </c>
      <c r="H952" s="97" t="s">
        <v>1557</v>
      </c>
    </row>
    <row r="953" spans="2:8" x14ac:dyDescent="0.35">
      <c r="B953" s="1" t="s">
        <v>1490</v>
      </c>
      <c r="C953" s="1" t="s">
        <v>1219</v>
      </c>
      <c r="D953" s="1" t="s">
        <v>1219</v>
      </c>
      <c r="E953" s="1" t="s">
        <v>1550</v>
      </c>
      <c r="H953" s="97" t="s">
        <v>1557</v>
      </c>
    </row>
    <row r="954" spans="2:8" x14ac:dyDescent="0.35">
      <c r="B954" s="1" t="s">
        <v>1491</v>
      </c>
      <c r="C954" s="1" t="s">
        <v>1219</v>
      </c>
      <c r="D954" s="1" t="s">
        <v>1219</v>
      </c>
      <c r="E954" s="1" t="s">
        <v>1550</v>
      </c>
      <c r="H954" s="97" t="s">
        <v>1557</v>
      </c>
    </row>
    <row r="955" spans="2:8" x14ac:dyDescent="0.35">
      <c r="B955" s="1" t="s">
        <v>1492</v>
      </c>
      <c r="C955" s="1" t="s">
        <v>1219</v>
      </c>
      <c r="D955" s="1" t="s">
        <v>1219</v>
      </c>
      <c r="E955" s="1" t="s">
        <v>1550</v>
      </c>
      <c r="H955" s="97" t="s">
        <v>1557</v>
      </c>
    </row>
    <row r="956" spans="2:8" x14ac:dyDescent="0.35">
      <c r="B956" s="1" t="s">
        <v>1493</v>
      </c>
      <c r="C956" s="1" t="s">
        <v>1219</v>
      </c>
      <c r="D956" s="1" t="s">
        <v>1219</v>
      </c>
      <c r="E956" s="1" t="s">
        <v>1536</v>
      </c>
      <c r="H956" s="97" t="s">
        <v>1557</v>
      </c>
    </row>
    <row r="957" spans="2:8" x14ac:dyDescent="0.35">
      <c r="B957" s="1" t="s">
        <v>1494</v>
      </c>
      <c r="C957" s="1" t="s">
        <v>1219</v>
      </c>
      <c r="D957" s="1" t="s">
        <v>1219</v>
      </c>
      <c r="E957" s="1" t="s">
        <v>1510</v>
      </c>
      <c r="H957" s="97" t="s">
        <v>1557</v>
      </c>
    </row>
    <row r="958" spans="2:8" x14ac:dyDescent="0.35">
      <c r="B958" s="1" t="s">
        <v>1495</v>
      </c>
      <c r="C958" s="1" t="s">
        <v>1219</v>
      </c>
      <c r="D958" s="1" t="s">
        <v>1219</v>
      </c>
      <c r="E958" s="1" t="s">
        <v>1510</v>
      </c>
      <c r="H958" s="97" t="s">
        <v>1557</v>
      </c>
    </row>
    <row r="959" spans="2:8" x14ac:dyDescent="0.35">
      <c r="B959" s="1" t="s">
        <v>1496</v>
      </c>
      <c r="C959" s="1" t="s">
        <v>1219</v>
      </c>
      <c r="D959" s="1" t="s">
        <v>1219</v>
      </c>
      <c r="E959" s="1" t="s">
        <v>1553</v>
      </c>
      <c r="H959" s="97" t="s">
        <v>1557</v>
      </c>
    </row>
    <row r="960" spans="2:8" x14ac:dyDescent="0.35">
      <c r="B960" s="1" t="s">
        <v>1497</v>
      </c>
      <c r="C960" s="1" t="s">
        <v>1219</v>
      </c>
      <c r="D960" s="1" t="s">
        <v>1219</v>
      </c>
      <c r="E960" s="1" t="s">
        <v>1553</v>
      </c>
      <c r="H960" s="97" t="s">
        <v>1557</v>
      </c>
    </row>
    <row r="961" spans="2:8" x14ac:dyDescent="0.35">
      <c r="B961" s="1" t="s">
        <v>1498</v>
      </c>
      <c r="C961" s="1" t="s">
        <v>1219</v>
      </c>
      <c r="D961" s="1" t="s">
        <v>1219</v>
      </c>
      <c r="E961" s="1" t="s">
        <v>1510</v>
      </c>
      <c r="H961" s="97" t="s">
        <v>1557</v>
      </c>
    </row>
    <row r="962" spans="2:8" x14ac:dyDescent="0.35">
      <c r="B962" s="1" t="s">
        <v>1499</v>
      </c>
      <c r="C962" s="1" t="s">
        <v>1219</v>
      </c>
      <c r="D962" s="1" t="s">
        <v>1219</v>
      </c>
      <c r="E962" s="1" t="s">
        <v>1510</v>
      </c>
      <c r="H962" s="97" t="s">
        <v>1557</v>
      </c>
    </row>
    <row r="963" spans="2:8" x14ac:dyDescent="0.35">
      <c r="B963" s="1" t="s">
        <v>1500</v>
      </c>
      <c r="C963" s="1" t="s">
        <v>1219</v>
      </c>
      <c r="D963" s="1" t="s">
        <v>1219</v>
      </c>
      <c r="E963" s="1" t="s">
        <v>1508</v>
      </c>
      <c r="H963" s="97" t="s">
        <v>1557</v>
      </c>
    </row>
    <row r="964" spans="2:8" x14ac:dyDescent="0.35">
      <c r="B964" s="1" t="s">
        <v>1501</v>
      </c>
      <c r="C964" s="1" t="s">
        <v>1219</v>
      </c>
      <c r="D964" s="1" t="s">
        <v>1219</v>
      </c>
      <c r="E964" s="1" t="s">
        <v>1510</v>
      </c>
      <c r="H964" s="97" t="s">
        <v>1557</v>
      </c>
    </row>
    <row r="965" spans="2:8" x14ac:dyDescent="0.35">
      <c r="B965" s="1" t="s">
        <v>1502</v>
      </c>
      <c r="C965" s="1" t="s">
        <v>1219</v>
      </c>
      <c r="D965" s="1" t="s">
        <v>1219</v>
      </c>
      <c r="H965" s="97" t="s">
        <v>1557</v>
      </c>
    </row>
    <row r="966" spans="2:8" x14ac:dyDescent="0.35">
      <c r="B966" s="1" t="s">
        <v>1503</v>
      </c>
      <c r="C966" s="1" t="s">
        <v>1219</v>
      </c>
      <c r="D966" s="1" t="s">
        <v>1219</v>
      </c>
      <c r="E966" s="1" t="s">
        <v>1511</v>
      </c>
      <c r="H966" s="97" t="s">
        <v>1557</v>
      </c>
    </row>
    <row r="967" spans="2:8" x14ac:dyDescent="0.35">
      <c r="B967" s="1" t="s">
        <v>1504</v>
      </c>
      <c r="C967" s="1" t="s">
        <v>1219</v>
      </c>
      <c r="D967" s="1" t="s">
        <v>1219</v>
      </c>
      <c r="E967" s="1" t="s">
        <v>1514</v>
      </c>
      <c r="H967" s="97" t="s">
        <v>1557</v>
      </c>
    </row>
    <row r="968" spans="2:8" x14ac:dyDescent="0.35">
      <c r="B968" s="1" t="s">
        <v>1505</v>
      </c>
      <c r="C968" s="1" t="s">
        <v>1219</v>
      </c>
      <c r="D968" s="1" t="s">
        <v>1219</v>
      </c>
      <c r="E968" s="1" t="s">
        <v>1544</v>
      </c>
      <c r="H968" s="97" t="s">
        <v>1557</v>
      </c>
    </row>
    <row r="969" spans="2:8" x14ac:dyDescent="0.35">
      <c r="B969" s="1" t="s">
        <v>1506</v>
      </c>
      <c r="C969" s="1" t="s">
        <v>1219</v>
      </c>
      <c r="D969" s="1" t="s">
        <v>1219</v>
      </c>
      <c r="E969" s="1" t="s">
        <v>1534</v>
      </c>
      <c r="H969" s="97" t="s">
        <v>1557</v>
      </c>
    </row>
    <row r="970" spans="2:8" x14ac:dyDescent="0.35">
      <c r="B970" s="1" t="s">
        <v>1507</v>
      </c>
      <c r="C970" s="1" t="s">
        <v>1219</v>
      </c>
      <c r="D970" s="1" t="s">
        <v>1219</v>
      </c>
      <c r="H970" s="97" t="s">
        <v>1557</v>
      </c>
    </row>
  </sheetData>
  <autoFilter ref="A1:J675" xr:uid="{7865205C-C04D-4E59-B77A-49B17F6C5907}">
    <filterColumn colId="8">
      <customFilters>
        <customFilter operator="notEqual" val=" "/>
      </customFilters>
    </filterColumn>
  </autoFilter>
  <hyperlinks>
    <hyperlink ref="G676" r:id="rId1" xr:uid="{E4FEC5BB-08FB-4996-98F8-37AD1DC252A1}"/>
    <hyperlink ref="G677" r:id="rId2" xr:uid="{26530BA4-FAA7-4E7B-8907-9141985B5D54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4DB8-EAC7-44B0-8C88-5CB4CF6D33D8}">
  <dimension ref="A2:S208"/>
  <sheetViews>
    <sheetView topLeftCell="G1" zoomScale="55" zoomScaleNormal="55" workbookViewId="0">
      <selection activeCell="O10" sqref="O10"/>
    </sheetView>
  </sheetViews>
  <sheetFormatPr defaultRowHeight="14.5" x14ac:dyDescent="0.35"/>
  <cols>
    <col min="1" max="1" width="19.453125" customWidth="1"/>
    <col min="2" max="3" width="10.81640625" customWidth="1"/>
    <col min="4" max="4" width="4.54296875" customWidth="1"/>
    <col min="5" max="5" width="21.54296875" customWidth="1"/>
    <col min="6" max="6" width="11.81640625" customWidth="1"/>
    <col min="7" max="7" width="12.26953125" customWidth="1"/>
    <col min="8" max="8" width="8.7265625" customWidth="1"/>
    <col min="9" max="9" width="24.1796875" customWidth="1"/>
    <col min="10" max="10" width="12.54296875" customWidth="1"/>
    <col min="11" max="11" width="12.7265625" customWidth="1"/>
    <col min="12" max="12" width="5.90625" customWidth="1"/>
    <col min="13" max="13" width="12.1796875" customWidth="1"/>
    <col min="14" max="14" width="13.453125" style="18" bestFit="1" customWidth="1"/>
    <col min="15" max="15" width="11.81640625" style="18" bestFit="1" customWidth="1"/>
    <col min="17" max="17" width="13.453125" style="18" bestFit="1" customWidth="1"/>
    <col min="18" max="18" width="12.90625" style="18" bestFit="1" customWidth="1"/>
    <col min="19" max="19" width="12.81640625" bestFit="1" customWidth="1"/>
  </cols>
  <sheetData>
    <row r="2" spans="1:18" x14ac:dyDescent="0.35">
      <c r="A2" t="s">
        <v>1174</v>
      </c>
      <c r="E2" s="88" t="s">
        <v>1173</v>
      </c>
      <c r="F2" s="88"/>
      <c r="G2" s="88"/>
      <c r="I2" t="s">
        <v>1175</v>
      </c>
      <c r="J2" t="s">
        <v>1176</v>
      </c>
      <c r="K2" t="s">
        <v>1177</v>
      </c>
      <c r="N2" s="18" t="s">
        <v>1167</v>
      </c>
      <c r="O2" s="18" t="s">
        <v>1168</v>
      </c>
    </row>
    <row r="3" spans="1:18" x14ac:dyDescent="0.35">
      <c r="A3" t="s">
        <v>209</v>
      </c>
      <c r="B3" s="25">
        <v>250000</v>
      </c>
      <c r="C3" s="25">
        <v>0</v>
      </c>
      <c r="E3" s="88"/>
      <c r="F3" s="88"/>
      <c r="G3" s="88"/>
      <c r="I3" t="s">
        <v>209</v>
      </c>
      <c r="J3" s="25">
        <f>B3-F3</f>
        <v>250000</v>
      </c>
      <c r="K3" s="25">
        <f>C3-G3</f>
        <v>0</v>
      </c>
      <c r="N3"/>
      <c r="O3"/>
      <c r="Q3"/>
      <c r="R3"/>
    </row>
    <row r="4" spans="1:18" x14ac:dyDescent="0.35">
      <c r="A4" t="s">
        <v>70</v>
      </c>
      <c r="B4" s="25">
        <v>150000</v>
      </c>
      <c r="C4" s="25">
        <v>0</v>
      </c>
      <c r="E4" s="88"/>
      <c r="F4" s="88"/>
      <c r="G4" s="88"/>
      <c r="I4" t="s">
        <v>70</v>
      </c>
      <c r="J4" s="25">
        <f t="shared" ref="J4:J67" si="0">B4-F4</f>
        <v>150000</v>
      </c>
      <c r="K4" s="25">
        <f t="shared" ref="K4:K67" si="1">C4-G4</f>
        <v>0</v>
      </c>
      <c r="N4"/>
      <c r="O4"/>
      <c r="Q4"/>
      <c r="R4"/>
    </row>
    <row r="5" spans="1:18" x14ac:dyDescent="0.35">
      <c r="A5" t="s">
        <v>630</v>
      </c>
      <c r="B5" s="25">
        <v>150000</v>
      </c>
      <c r="C5" s="25">
        <v>3408467</v>
      </c>
      <c r="E5" s="88" t="s">
        <v>630</v>
      </c>
      <c r="F5" s="89">
        <v>150000</v>
      </c>
      <c r="G5" s="89">
        <v>3408467</v>
      </c>
      <c r="I5" t="s">
        <v>630</v>
      </c>
      <c r="J5" s="25">
        <f t="shared" si="0"/>
        <v>0</v>
      </c>
      <c r="K5" s="25">
        <f t="shared" si="1"/>
        <v>0</v>
      </c>
      <c r="N5"/>
      <c r="O5"/>
      <c r="Q5"/>
      <c r="R5"/>
    </row>
    <row r="6" spans="1:18" x14ac:dyDescent="0.35">
      <c r="A6" t="s">
        <v>57</v>
      </c>
      <c r="B6" s="25">
        <v>150000</v>
      </c>
      <c r="C6" s="25">
        <v>0</v>
      </c>
      <c r="E6" s="88"/>
      <c r="F6" s="89"/>
      <c r="G6" s="89"/>
      <c r="I6" t="s">
        <v>57</v>
      </c>
      <c r="J6" s="25">
        <f t="shared" si="0"/>
        <v>150000</v>
      </c>
      <c r="K6" s="25">
        <f t="shared" si="1"/>
        <v>0</v>
      </c>
      <c r="N6"/>
      <c r="O6"/>
      <c r="Q6"/>
      <c r="R6"/>
    </row>
    <row r="7" spans="1:18" x14ac:dyDescent="0.35">
      <c r="A7" t="s">
        <v>165</v>
      </c>
      <c r="B7" s="25">
        <v>250000</v>
      </c>
      <c r="C7" s="25">
        <v>0</v>
      </c>
      <c r="E7" s="88"/>
      <c r="F7" s="89"/>
      <c r="G7" s="89"/>
      <c r="I7" t="s">
        <v>165</v>
      </c>
      <c r="J7" s="25">
        <f t="shared" si="0"/>
        <v>250000</v>
      </c>
      <c r="K7" s="25">
        <f t="shared" si="1"/>
        <v>0</v>
      </c>
      <c r="N7"/>
      <c r="O7"/>
      <c r="Q7"/>
      <c r="R7"/>
    </row>
    <row r="8" spans="1:18" x14ac:dyDescent="0.35">
      <c r="A8" t="s">
        <v>173</v>
      </c>
      <c r="B8" s="25">
        <v>150000</v>
      </c>
      <c r="C8" s="25">
        <v>0</v>
      </c>
      <c r="E8" s="88"/>
      <c r="F8" s="89"/>
      <c r="G8" s="89"/>
      <c r="I8" t="s">
        <v>173</v>
      </c>
      <c r="J8" s="25">
        <f t="shared" si="0"/>
        <v>150000</v>
      </c>
      <c r="K8" s="25">
        <f t="shared" si="1"/>
        <v>0</v>
      </c>
      <c r="N8"/>
      <c r="O8"/>
      <c r="Q8"/>
      <c r="R8"/>
    </row>
    <row r="9" spans="1:18" x14ac:dyDescent="0.35">
      <c r="A9" t="s">
        <v>59</v>
      </c>
      <c r="B9" s="25">
        <v>150000</v>
      </c>
      <c r="C9" s="25">
        <v>0</v>
      </c>
      <c r="E9" s="88"/>
      <c r="F9" s="89"/>
      <c r="G9" s="89"/>
      <c r="I9" t="s">
        <v>59</v>
      </c>
      <c r="J9" s="25">
        <f t="shared" si="0"/>
        <v>150000</v>
      </c>
      <c r="K9" s="25">
        <f t="shared" si="1"/>
        <v>0</v>
      </c>
      <c r="N9"/>
      <c r="O9"/>
      <c r="Q9"/>
      <c r="R9"/>
    </row>
    <row r="10" spans="1:18" x14ac:dyDescent="0.35">
      <c r="A10" t="s">
        <v>218</v>
      </c>
      <c r="B10" s="25">
        <v>150000</v>
      </c>
      <c r="C10" s="25">
        <v>0</v>
      </c>
      <c r="E10" s="88"/>
      <c r="F10" s="89"/>
      <c r="G10" s="89"/>
      <c r="I10" t="s">
        <v>218</v>
      </c>
      <c r="J10" s="25">
        <f t="shared" si="0"/>
        <v>150000</v>
      </c>
      <c r="K10" s="25">
        <f t="shared" si="1"/>
        <v>0</v>
      </c>
      <c r="N10"/>
      <c r="O10"/>
      <c r="Q10"/>
      <c r="R10"/>
    </row>
    <row r="11" spans="1:18" x14ac:dyDescent="0.35">
      <c r="A11" t="s">
        <v>85</v>
      </c>
      <c r="B11" s="25">
        <v>250000</v>
      </c>
      <c r="C11" s="25">
        <v>1699127</v>
      </c>
      <c r="E11" s="88"/>
      <c r="F11" s="89"/>
      <c r="G11" s="89"/>
      <c r="I11" t="s">
        <v>85</v>
      </c>
      <c r="J11" s="25">
        <f t="shared" si="0"/>
        <v>250000</v>
      </c>
      <c r="K11" s="25">
        <f t="shared" si="1"/>
        <v>1699127</v>
      </c>
      <c r="M11" t="s">
        <v>1170</v>
      </c>
      <c r="N11" s="18">
        <v>1003934</v>
      </c>
      <c r="O11" s="18">
        <v>695193</v>
      </c>
    </row>
    <row r="12" spans="1:18" x14ac:dyDescent="0.35">
      <c r="A12" t="s">
        <v>167</v>
      </c>
      <c r="B12" s="25">
        <v>250000</v>
      </c>
      <c r="C12" s="25">
        <v>0</v>
      </c>
      <c r="E12" s="88"/>
      <c r="F12" s="89"/>
      <c r="G12" s="89"/>
      <c r="I12" t="s">
        <v>167</v>
      </c>
      <c r="J12" s="25">
        <f t="shared" si="0"/>
        <v>250000</v>
      </c>
      <c r="K12" s="25">
        <f t="shared" si="1"/>
        <v>0</v>
      </c>
      <c r="N12"/>
      <c r="O12"/>
      <c r="Q12"/>
      <c r="R12"/>
    </row>
    <row r="13" spans="1:18" x14ac:dyDescent="0.35">
      <c r="A13" t="s">
        <v>129</v>
      </c>
      <c r="B13" s="25">
        <v>150000</v>
      </c>
      <c r="C13" s="25">
        <v>0</v>
      </c>
      <c r="E13" s="88"/>
      <c r="F13" s="89"/>
      <c r="G13" s="89"/>
      <c r="I13" t="s">
        <v>129</v>
      </c>
      <c r="J13" s="25">
        <f t="shared" si="0"/>
        <v>150000</v>
      </c>
      <c r="K13" s="25">
        <f t="shared" si="1"/>
        <v>0</v>
      </c>
      <c r="N13"/>
      <c r="O13"/>
      <c r="Q13"/>
      <c r="R13"/>
    </row>
    <row r="14" spans="1:18" x14ac:dyDescent="0.35">
      <c r="A14" t="s">
        <v>42</v>
      </c>
      <c r="B14" s="25">
        <v>150000</v>
      </c>
      <c r="C14" s="25">
        <v>0</v>
      </c>
      <c r="E14" s="88"/>
      <c r="F14" s="89"/>
      <c r="G14" s="89"/>
      <c r="I14" t="s">
        <v>42</v>
      </c>
      <c r="J14" s="25">
        <f t="shared" si="0"/>
        <v>150000</v>
      </c>
      <c r="K14" s="25">
        <f t="shared" si="1"/>
        <v>0</v>
      </c>
      <c r="N14"/>
      <c r="O14"/>
      <c r="Q14"/>
      <c r="R14"/>
    </row>
    <row r="15" spans="1:18" x14ac:dyDescent="0.35">
      <c r="A15" t="s">
        <v>82</v>
      </c>
      <c r="B15" s="25">
        <v>250000</v>
      </c>
      <c r="C15" s="25">
        <v>0</v>
      </c>
      <c r="E15" s="88"/>
      <c r="F15" s="89"/>
      <c r="G15" s="89"/>
      <c r="I15" t="s">
        <v>82</v>
      </c>
      <c r="J15" s="25">
        <f t="shared" si="0"/>
        <v>250000</v>
      </c>
      <c r="K15" s="25">
        <f t="shared" si="1"/>
        <v>0</v>
      </c>
      <c r="N15"/>
      <c r="O15"/>
      <c r="Q15"/>
      <c r="R15"/>
    </row>
    <row r="16" spans="1:18" x14ac:dyDescent="0.35">
      <c r="A16" t="s">
        <v>676</v>
      </c>
      <c r="B16" s="25">
        <v>350000</v>
      </c>
      <c r="C16" s="25">
        <v>0</v>
      </c>
      <c r="E16" s="88"/>
      <c r="F16" s="88"/>
      <c r="G16" s="88"/>
      <c r="I16" t="s">
        <v>676</v>
      </c>
      <c r="J16" s="25">
        <f t="shared" si="0"/>
        <v>350000</v>
      </c>
      <c r="K16" s="25">
        <f t="shared" si="1"/>
        <v>0</v>
      </c>
      <c r="N16"/>
      <c r="O16"/>
      <c r="Q16"/>
      <c r="R16"/>
    </row>
    <row r="17" spans="1:19" x14ac:dyDescent="0.35">
      <c r="A17" t="s">
        <v>6</v>
      </c>
      <c r="B17" s="25">
        <v>350000</v>
      </c>
      <c r="C17" s="25">
        <v>0</v>
      </c>
      <c r="E17" s="88" t="s">
        <v>676</v>
      </c>
      <c r="F17" s="89">
        <v>350000</v>
      </c>
      <c r="G17" s="89">
        <v>0</v>
      </c>
      <c r="I17" t="s">
        <v>6</v>
      </c>
      <c r="J17" s="25">
        <f t="shared" si="0"/>
        <v>0</v>
      </c>
      <c r="K17" s="25">
        <f t="shared" si="1"/>
        <v>0</v>
      </c>
      <c r="N17"/>
      <c r="O17"/>
      <c r="Q17"/>
      <c r="R17"/>
    </row>
    <row r="18" spans="1:19" x14ac:dyDescent="0.35">
      <c r="A18" t="s">
        <v>39</v>
      </c>
      <c r="B18" s="25">
        <v>250000</v>
      </c>
      <c r="C18" s="25">
        <v>0</v>
      </c>
      <c r="E18" s="88"/>
      <c r="F18" s="89"/>
      <c r="G18" s="89"/>
      <c r="I18" t="s">
        <v>39</v>
      </c>
      <c r="J18" s="25">
        <f t="shared" si="0"/>
        <v>250000</v>
      </c>
      <c r="K18" s="25">
        <f t="shared" si="1"/>
        <v>0</v>
      </c>
      <c r="N18"/>
      <c r="O18"/>
      <c r="Q18"/>
      <c r="R18"/>
    </row>
    <row r="19" spans="1:19" x14ac:dyDescent="0.35">
      <c r="A19" t="s">
        <v>678</v>
      </c>
      <c r="B19" s="25">
        <v>350000</v>
      </c>
      <c r="C19" s="25">
        <v>0</v>
      </c>
      <c r="E19" s="88" t="s">
        <v>678</v>
      </c>
      <c r="F19" s="89">
        <v>350000</v>
      </c>
      <c r="G19" s="89">
        <v>0</v>
      </c>
      <c r="I19" t="s">
        <v>678</v>
      </c>
      <c r="J19" s="25">
        <f t="shared" si="0"/>
        <v>0</v>
      </c>
      <c r="K19" s="25">
        <f t="shared" si="1"/>
        <v>0</v>
      </c>
      <c r="N19"/>
      <c r="O19"/>
      <c r="Q19"/>
      <c r="R19"/>
    </row>
    <row r="20" spans="1:19" x14ac:dyDescent="0.35">
      <c r="A20" t="s">
        <v>669</v>
      </c>
      <c r="B20" s="25">
        <v>150000</v>
      </c>
      <c r="C20" s="25">
        <v>1000000</v>
      </c>
      <c r="E20" s="88" t="s">
        <v>669</v>
      </c>
      <c r="F20" s="89">
        <v>150000</v>
      </c>
      <c r="G20" s="89">
        <v>1000000</v>
      </c>
      <c r="I20" t="s">
        <v>669</v>
      </c>
      <c r="J20" s="25">
        <f t="shared" si="0"/>
        <v>0</v>
      </c>
      <c r="K20" s="25">
        <f t="shared" si="1"/>
        <v>0</v>
      </c>
      <c r="N20"/>
      <c r="O20"/>
      <c r="Q20"/>
      <c r="R20"/>
    </row>
    <row r="21" spans="1:19" x14ac:dyDescent="0.35">
      <c r="A21" t="s">
        <v>531</v>
      </c>
      <c r="B21" s="25">
        <v>250000</v>
      </c>
      <c r="C21" s="25">
        <v>0</v>
      </c>
      <c r="E21" s="88"/>
      <c r="F21" s="89"/>
      <c r="G21" s="89"/>
      <c r="I21" t="s">
        <v>531</v>
      </c>
      <c r="J21" s="25">
        <f t="shared" si="0"/>
        <v>250000</v>
      </c>
      <c r="K21" s="25">
        <f t="shared" si="1"/>
        <v>0</v>
      </c>
      <c r="N21"/>
      <c r="O21"/>
      <c r="Q21"/>
      <c r="R21"/>
    </row>
    <row r="22" spans="1:19" x14ac:dyDescent="0.35">
      <c r="A22" t="s">
        <v>529</v>
      </c>
      <c r="B22" s="25">
        <v>150000</v>
      </c>
      <c r="C22" s="25">
        <v>0</v>
      </c>
      <c r="E22" s="88"/>
      <c r="F22" s="89"/>
      <c r="G22" s="89"/>
      <c r="I22" t="s">
        <v>529</v>
      </c>
      <c r="J22" s="25">
        <f t="shared" si="0"/>
        <v>150000</v>
      </c>
      <c r="K22" s="25">
        <f t="shared" si="1"/>
        <v>0</v>
      </c>
      <c r="N22"/>
      <c r="O22"/>
      <c r="Q22"/>
      <c r="R22"/>
    </row>
    <row r="23" spans="1:19" x14ac:dyDescent="0.35">
      <c r="A23" t="s">
        <v>638</v>
      </c>
      <c r="B23" s="25">
        <v>150000</v>
      </c>
      <c r="C23" s="25">
        <v>2500000</v>
      </c>
      <c r="E23" s="88" t="s">
        <v>638</v>
      </c>
      <c r="F23" s="89">
        <v>150000</v>
      </c>
      <c r="G23" s="89">
        <v>2500000</v>
      </c>
      <c r="I23" t="s">
        <v>638</v>
      </c>
      <c r="J23" s="25">
        <f t="shared" si="0"/>
        <v>0</v>
      </c>
      <c r="K23" s="25">
        <f t="shared" si="1"/>
        <v>0</v>
      </c>
      <c r="N23"/>
      <c r="O23"/>
      <c r="Q23" t="s">
        <v>1183</v>
      </c>
      <c r="R23"/>
    </row>
    <row r="24" spans="1:19" x14ac:dyDescent="0.35">
      <c r="A24" t="s">
        <v>89</v>
      </c>
      <c r="B24" s="25">
        <v>250000</v>
      </c>
      <c r="C24" s="25">
        <v>0</v>
      </c>
      <c r="E24" s="88"/>
      <c r="F24" s="89"/>
      <c r="G24" s="89"/>
      <c r="I24" t="s">
        <v>89</v>
      </c>
      <c r="J24" s="25">
        <f t="shared" si="0"/>
        <v>250000</v>
      </c>
      <c r="K24" s="25">
        <f t="shared" si="1"/>
        <v>0</v>
      </c>
      <c r="N24"/>
      <c r="O24"/>
      <c r="Q24"/>
      <c r="R24" t="s">
        <v>1167</v>
      </c>
      <c r="S24" t="s">
        <v>1168</v>
      </c>
    </row>
    <row r="25" spans="1:19" x14ac:dyDescent="0.35">
      <c r="A25" t="s">
        <v>550</v>
      </c>
      <c r="B25" s="25">
        <v>250000</v>
      </c>
      <c r="C25" s="25">
        <v>3402778</v>
      </c>
      <c r="E25" s="88"/>
      <c r="F25" s="89"/>
      <c r="G25" s="89"/>
      <c r="I25" t="s">
        <v>550</v>
      </c>
      <c r="J25" s="25">
        <f t="shared" si="0"/>
        <v>250000</v>
      </c>
      <c r="K25" s="25">
        <f t="shared" si="1"/>
        <v>3402778</v>
      </c>
      <c r="M25" t="s">
        <v>1178</v>
      </c>
      <c r="N25" s="18">
        <v>2777778</v>
      </c>
      <c r="O25" s="18">
        <v>625000</v>
      </c>
      <c r="Q25" s="18" t="s">
        <v>1179</v>
      </c>
      <c r="R25" s="18">
        <f>5000000</f>
        <v>5000000</v>
      </c>
      <c r="S25" s="18"/>
    </row>
    <row r="26" spans="1:19" x14ac:dyDescent="0.35">
      <c r="A26" t="s">
        <v>600</v>
      </c>
      <c r="B26" s="25">
        <v>100000</v>
      </c>
      <c r="C26" s="25">
        <v>100000</v>
      </c>
      <c r="E26" s="88" t="s">
        <v>600</v>
      </c>
      <c r="F26" s="89">
        <v>100000</v>
      </c>
      <c r="G26" s="89">
        <v>1800000</v>
      </c>
      <c r="I26" t="s">
        <v>600</v>
      </c>
      <c r="J26" s="25">
        <f t="shared" si="0"/>
        <v>0</v>
      </c>
      <c r="K26" s="25">
        <f t="shared" si="1"/>
        <v>-1700000</v>
      </c>
      <c r="M26" t="s">
        <v>1178</v>
      </c>
      <c r="Q26" s="18" t="s">
        <v>1178</v>
      </c>
      <c r="R26" s="18">
        <f>2777778+1388889+1041667</f>
        <v>5208334</v>
      </c>
      <c r="S26" s="18">
        <f>625000+312500+312500</f>
        <v>1250000</v>
      </c>
    </row>
    <row r="27" spans="1:19" x14ac:dyDescent="0.35">
      <c r="A27" t="s">
        <v>171</v>
      </c>
      <c r="B27" s="25">
        <v>250000</v>
      </c>
      <c r="C27" s="25">
        <v>0</v>
      </c>
      <c r="E27" s="88"/>
      <c r="F27" s="89"/>
      <c r="G27" s="89">
        <v>0</v>
      </c>
      <c r="I27" t="s">
        <v>171</v>
      </c>
      <c r="J27" s="25">
        <f t="shared" si="0"/>
        <v>250000</v>
      </c>
      <c r="K27" s="25">
        <f t="shared" si="1"/>
        <v>0</v>
      </c>
      <c r="N27"/>
      <c r="O27"/>
      <c r="Q27" t="s">
        <v>1170</v>
      </c>
      <c r="R27" s="18">
        <f>1003934+3213852+1279708+1402374</f>
        <v>6899868</v>
      </c>
      <c r="S27" s="18">
        <f>695193+2159623+242261+908439</f>
        <v>4005516</v>
      </c>
    </row>
    <row r="28" spans="1:19" x14ac:dyDescent="0.35">
      <c r="A28" t="s">
        <v>169</v>
      </c>
      <c r="B28" s="25">
        <v>350000</v>
      </c>
      <c r="C28" s="25">
        <v>0</v>
      </c>
      <c r="E28" s="88"/>
      <c r="F28" s="89"/>
      <c r="G28" s="89"/>
      <c r="I28" t="s">
        <v>169</v>
      </c>
      <c r="J28" s="25">
        <f t="shared" si="0"/>
        <v>350000</v>
      </c>
      <c r="K28" s="25">
        <f t="shared" si="1"/>
        <v>0</v>
      </c>
      <c r="N28"/>
      <c r="O28"/>
      <c r="Q28" t="s">
        <v>1184</v>
      </c>
      <c r="R28" s="18">
        <v>5089939</v>
      </c>
      <c r="S28" s="18">
        <v>1182649</v>
      </c>
    </row>
    <row r="29" spans="1:19" x14ac:dyDescent="0.35">
      <c r="A29" t="s">
        <v>112</v>
      </c>
      <c r="B29" s="25">
        <v>150000</v>
      </c>
      <c r="C29" s="25">
        <v>0</v>
      </c>
      <c r="E29" s="88"/>
      <c r="F29" s="89"/>
      <c r="G29" s="89"/>
      <c r="I29" t="s">
        <v>112</v>
      </c>
      <c r="J29" s="25">
        <f t="shared" si="0"/>
        <v>150000</v>
      </c>
      <c r="K29" s="25">
        <f t="shared" si="1"/>
        <v>0</v>
      </c>
      <c r="N29"/>
      <c r="O29"/>
      <c r="Q29"/>
      <c r="R29"/>
    </row>
    <row r="30" spans="1:19" x14ac:dyDescent="0.35">
      <c r="A30" t="s">
        <v>9</v>
      </c>
      <c r="B30" s="25">
        <v>150000</v>
      </c>
      <c r="C30" s="25">
        <v>0</v>
      </c>
      <c r="E30" s="88"/>
      <c r="F30" s="89"/>
      <c r="G30" s="89"/>
      <c r="I30" t="s">
        <v>9</v>
      </c>
      <c r="J30" s="25">
        <f t="shared" si="0"/>
        <v>150000</v>
      </c>
      <c r="K30" s="25">
        <f t="shared" si="1"/>
        <v>0</v>
      </c>
      <c r="N30"/>
      <c r="O30"/>
      <c r="Q30"/>
      <c r="R30"/>
    </row>
    <row r="31" spans="1:19" x14ac:dyDescent="0.35">
      <c r="A31" t="s">
        <v>592</v>
      </c>
      <c r="B31" s="25">
        <v>150000</v>
      </c>
      <c r="C31" s="25">
        <v>2500000</v>
      </c>
      <c r="E31" s="88" t="s">
        <v>592</v>
      </c>
      <c r="F31" s="89">
        <v>150000</v>
      </c>
      <c r="G31" s="89">
        <v>2500000</v>
      </c>
      <c r="I31" t="s">
        <v>592</v>
      </c>
      <c r="J31" s="25">
        <f t="shared" si="0"/>
        <v>0</v>
      </c>
      <c r="K31" s="25">
        <f t="shared" si="1"/>
        <v>0</v>
      </c>
      <c r="N31"/>
      <c r="O31"/>
      <c r="Q31"/>
      <c r="R31"/>
    </row>
    <row r="32" spans="1:19" x14ac:dyDescent="0.35">
      <c r="A32" t="s">
        <v>61</v>
      </c>
      <c r="B32" s="25">
        <v>150000</v>
      </c>
      <c r="C32" s="25">
        <v>0</v>
      </c>
      <c r="I32" t="s">
        <v>61</v>
      </c>
      <c r="J32" s="25">
        <f t="shared" si="0"/>
        <v>150000</v>
      </c>
      <c r="K32" s="25">
        <f t="shared" si="1"/>
        <v>0</v>
      </c>
      <c r="N32"/>
      <c r="O32"/>
      <c r="Q32"/>
      <c r="R32"/>
    </row>
    <row r="33" spans="1:18" x14ac:dyDescent="0.35">
      <c r="A33" t="s">
        <v>181</v>
      </c>
      <c r="B33" s="25">
        <v>150000</v>
      </c>
      <c r="C33" s="25">
        <v>0</v>
      </c>
      <c r="I33" t="s">
        <v>181</v>
      </c>
      <c r="J33" s="25">
        <f t="shared" si="0"/>
        <v>150000</v>
      </c>
      <c r="K33" s="25">
        <f t="shared" si="1"/>
        <v>0</v>
      </c>
      <c r="N33"/>
      <c r="O33"/>
      <c r="Q33"/>
      <c r="R33"/>
    </row>
    <row r="34" spans="1:18" x14ac:dyDescent="0.35">
      <c r="A34" t="s">
        <v>156</v>
      </c>
      <c r="B34" s="25">
        <v>500000</v>
      </c>
      <c r="C34" s="25">
        <v>0</v>
      </c>
      <c r="I34" t="s">
        <v>156</v>
      </c>
      <c r="J34" s="25">
        <f t="shared" si="0"/>
        <v>500000</v>
      </c>
      <c r="K34" s="25">
        <f t="shared" si="1"/>
        <v>0</v>
      </c>
      <c r="N34"/>
      <c r="O34"/>
      <c r="Q34"/>
      <c r="R34"/>
    </row>
    <row r="35" spans="1:18" x14ac:dyDescent="0.35">
      <c r="A35" t="s">
        <v>35</v>
      </c>
      <c r="B35" s="25">
        <v>150000</v>
      </c>
      <c r="C35" s="25">
        <v>0</v>
      </c>
      <c r="I35" t="s">
        <v>35</v>
      </c>
      <c r="J35" s="25">
        <f t="shared" si="0"/>
        <v>150000</v>
      </c>
      <c r="K35" s="25">
        <f t="shared" si="1"/>
        <v>0</v>
      </c>
      <c r="N35"/>
      <c r="O35"/>
      <c r="Q35"/>
      <c r="R35"/>
    </row>
    <row r="36" spans="1:18" x14ac:dyDescent="0.35">
      <c r="A36" t="s">
        <v>220</v>
      </c>
      <c r="B36" s="25">
        <v>100000</v>
      </c>
      <c r="C36" s="25">
        <v>0</v>
      </c>
      <c r="I36" t="s">
        <v>220</v>
      </c>
      <c r="J36" s="25">
        <f t="shared" si="0"/>
        <v>100000</v>
      </c>
      <c r="K36" s="25">
        <f t="shared" si="1"/>
        <v>0</v>
      </c>
      <c r="N36"/>
      <c r="O36"/>
      <c r="Q36"/>
      <c r="R36"/>
    </row>
    <row r="37" spans="1:18" x14ac:dyDescent="0.35">
      <c r="A37" t="s">
        <v>150</v>
      </c>
      <c r="B37" s="25">
        <v>350000</v>
      </c>
      <c r="C37" s="25">
        <v>0</v>
      </c>
      <c r="I37" t="s">
        <v>150</v>
      </c>
      <c r="J37" s="25">
        <f t="shared" si="0"/>
        <v>350000</v>
      </c>
      <c r="K37" s="25">
        <f t="shared" si="1"/>
        <v>0</v>
      </c>
      <c r="N37"/>
      <c r="O37"/>
      <c r="Q37"/>
      <c r="R37"/>
    </row>
    <row r="38" spans="1:18" x14ac:dyDescent="0.35">
      <c r="A38" t="s">
        <v>653</v>
      </c>
      <c r="B38" s="25">
        <v>100000</v>
      </c>
      <c r="C38" s="25"/>
      <c r="E38" s="88" t="s">
        <v>653</v>
      </c>
      <c r="F38" s="89">
        <v>100000</v>
      </c>
      <c r="G38" s="89">
        <v>1000000</v>
      </c>
      <c r="I38" t="s">
        <v>653</v>
      </c>
      <c r="J38" s="25">
        <f t="shared" si="0"/>
        <v>0</v>
      </c>
      <c r="K38" s="25">
        <f t="shared" si="1"/>
        <v>-1000000</v>
      </c>
      <c r="M38" t="s">
        <v>1179</v>
      </c>
      <c r="N38" s="18">
        <v>0</v>
      </c>
      <c r="O38" s="18">
        <v>0</v>
      </c>
    </row>
    <row r="39" spans="1:18" x14ac:dyDescent="0.35">
      <c r="A39" t="s">
        <v>92</v>
      </c>
      <c r="B39" s="25">
        <v>150000</v>
      </c>
      <c r="C39" s="25">
        <v>0</v>
      </c>
      <c r="E39" s="88"/>
      <c r="F39" s="89"/>
      <c r="G39" s="89"/>
      <c r="I39" t="s">
        <v>92</v>
      </c>
      <c r="J39" s="25">
        <f t="shared" si="0"/>
        <v>150000</v>
      </c>
      <c r="K39" s="25">
        <f t="shared" si="1"/>
        <v>0</v>
      </c>
      <c r="N39"/>
      <c r="O39"/>
      <c r="Q39"/>
      <c r="R39"/>
    </row>
    <row r="40" spans="1:18" x14ac:dyDescent="0.35">
      <c r="A40" t="s">
        <v>644</v>
      </c>
      <c r="B40" s="25">
        <v>150000</v>
      </c>
      <c r="C40" s="25">
        <v>2125000</v>
      </c>
      <c r="E40" s="88" t="s">
        <v>644</v>
      </c>
      <c r="F40" s="89">
        <v>150000</v>
      </c>
      <c r="G40" s="89">
        <v>2125000</v>
      </c>
      <c r="I40" t="s">
        <v>644</v>
      </c>
      <c r="J40" s="25">
        <f t="shared" si="0"/>
        <v>0</v>
      </c>
      <c r="K40" s="25">
        <f t="shared" si="1"/>
        <v>0</v>
      </c>
      <c r="N40"/>
      <c r="O40"/>
      <c r="Q40"/>
      <c r="R40"/>
    </row>
    <row r="41" spans="1:18" x14ac:dyDescent="0.35">
      <c r="A41" t="s">
        <v>590</v>
      </c>
      <c r="B41" s="25">
        <v>250000</v>
      </c>
      <c r="C41" s="25">
        <v>0</v>
      </c>
      <c r="E41" s="88" t="s">
        <v>590</v>
      </c>
      <c r="F41" s="89">
        <v>250000</v>
      </c>
      <c r="G41" s="89">
        <v>0</v>
      </c>
      <c r="I41" t="s">
        <v>590</v>
      </c>
      <c r="J41" s="25">
        <f t="shared" si="0"/>
        <v>0</v>
      </c>
      <c r="K41" s="25">
        <f t="shared" si="1"/>
        <v>0</v>
      </c>
      <c r="N41"/>
      <c r="O41"/>
      <c r="Q41"/>
      <c r="R41"/>
    </row>
    <row r="42" spans="1:18" x14ac:dyDescent="0.35">
      <c r="A42" t="s">
        <v>159</v>
      </c>
      <c r="B42" s="25">
        <v>350000</v>
      </c>
      <c r="C42" s="25">
        <v>0</v>
      </c>
      <c r="E42" s="88"/>
      <c r="F42" s="89"/>
      <c r="G42" s="89"/>
      <c r="I42" t="s">
        <v>159</v>
      </c>
      <c r="J42" s="25">
        <f t="shared" si="0"/>
        <v>350000</v>
      </c>
      <c r="K42" s="25">
        <f t="shared" si="1"/>
        <v>0</v>
      </c>
      <c r="N42"/>
      <c r="O42"/>
      <c r="Q42"/>
      <c r="R42"/>
    </row>
    <row r="43" spans="1:18" x14ac:dyDescent="0.35">
      <c r="A43" t="s">
        <v>608</v>
      </c>
      <c r="B43" s="25">
        <v>100000</v>
      </c>
      <c r="C43" s="25">
        <v>2500000</v>
      </c>
      <c r="E43" s="88" t="s">
        <v>608</v>
      </c>
      <c r="F43" s="89">
        <v>100000</v>
      </c>
      <c r="G43" s="89">
        <v>2500000</v>
      </c>
      <c r="I43" t="s">
        <v>608</v>
      </c>
      <c r="J43" s="25">
        <f t="shared" si="0"/>
        <v>0</v>
      </c>
      <c r="K43" s="25">
        <f t="shared" si="1"/>
        <v>0</v>
      </c>
      <c r="N43"/>
      <c r="O43"/>
      <c r="Q43"/>
      <c r="R43"/>
    </row>
    <row r="44" spans="1:18" x14ac:dyDescent="0.35">
      <c r="A44" t="s">
        <v>622</v>
      </c>
      <c r="B44" s="25">
        <v>150000</v>
      </c>
      <c r="C44" s="25">
        <v>2041667</v>
      </c>
      <c r="E44" s="88" t="s">
        <v>622</v>
      </c>
      <c r="F44" s="89">
        <v>150000</v>
      </c>
      <c r="G44" s="89">
        <v>2041667</v>
      </c>
      <c r="I44" t="s">
        <v>622</v>
      </c>
      <c r="J44" s="25">
        <f t="shared" si="0"/>
        <v>0</v>
      </c>
      <c r="K44" s="25">
        <f t="shared" si="1"/>
        <v>0</v>
      </c>
      <c r="N44"/>
      <c r="O44"/>
      <c r="Q44"/>
      <c r="R44"/>
    </row>
    <row r="45" spans="1:18" x14ac:dyDescent="0.35">
      <c r="A45" t="s">
        <v>26</v>
      </c>
      <c r="B45" s="25">
        <v>350000</v>
      </c>
      <c r="C45" s="25">
        <v>0</v>
      </c>
      <c r="E45" s="88"/>
      <c r="F45" s="89"/>
      <c r="G45" s="89"/>
      <c r="I45" t="s">
        <v>26</v>
      </c>
      <c r="J45" s="25">
        <f t="shared" si="0"/>
        <v>350000</v>
      </c>
      <c r="K45" s="25">
        <f t="shared" si="1"/>
        <v>0</v>
      </c>
      <c r="N45"/>
      <c r="O45"/>
      <c r="Q45"/>
      <c r="R45"/>
    </row>
    <row r="46" spans="1:18" x14ac:dyDescent="0.35">
      <c r="A46" t="s">
        <v>673</v>
      </c>
      <c r="B46" s="25">
        <v>500000</v>
      </c>
      <c r="C46" s="25">
        <v>0</v>
      </c>
      <c r="E46" s="88" t="s">
        <v>673</v>
      </c>
      <c r="F46" s="89">
        <v>500000</v>
      </c>
      <c r="G46" s="89">
        <v>0</v>
      </c>
      <c r="I46" t="s">
        <v>673</v>
      </c>
      <c r="J46" s="25">
        <f t="shared" si="0"/>
        <v>0</v>
      </c>
      <c r="K46" s="25">
        <f t="shared" si="1"/>
        <v>0</v>
      </c>
      <c r="N46"/>
      <c r="O46"/>
      <c r="Q46"/>
      <c r="R46"/>
    </row>
    <row r="47" spans="1:18" x14ac:dyDescent="0.35">
      <c r="A47" t="s">
        <v>602</v>
      </c>
      <c r="B47" s="25">
        <v>100000</v>
      </c>
      <c r="C47" s="25">
        <v>100000</v>
      </c>
      <c r="E47" s="88" t="s">
        <v>602</v>
      </c>
      <c r="F47" s="89">
        <v>100000</v>
      </c>
      <c r="G47" s="89">
        <v>0</v>
      </c>
      <c r="I47" t="s">
        <v>602</v>
      </c>
      <c r="J47" s="25">
        <f t="shared" si="0"/>
        <v>0</v>
      </c>
      <c r="K47" s="25">
        <f t="shared" si="1"/>
        <v>100000</v>
      </c>
      <c r="M47" t="s">
        <v>1169</v>
      </c>
      <c r="N47" s="18">
        <v>100000</v>
      </c>
    </row>
    <row r="48" spans="1:18" x14ac:dyDescent="0.35">
      <c r="A48" t="s">
        <v>143</v>
      </c>
      <c r="B48" s="25">
        <v>250000</v>
      </c>
      <c r="C48" s="25">
        <v>0</v>
      </c>
      <c r="E48" s="88"/>
      <c r="F48" s="89"/>
      <c r="G48" s="89"/>
      <c r="I48" t="s">
        <v>143</v>
      </c>
      <c r="J48" s="25">
        <f t="shared" si="0"/>
        <v>250000</v>
      </c>
      <c r="K48" s="25">
        <f t="shared" si="1"/>
        <v>0</v>
      </c>
      <c r="N48"/>
      <c r="O48"/>
      <c r="Q48"/>
      <c r="R48"/>
    </row>
    <row r="49" spans="1:18" x14ac:dyDescent="0.35">
      <c r="A49" t="s">
        <v>655</v>
      </c>
      <c r="B49" s="25">
        <v>150000</v>
      </c>
      <c r="C49" s="25">
        <v>0</v>
      </c>
      <c r="E49" s="88" t="s">
        <v>655</v>
      </c>
      <c r="F49" s="89">
        <v>150000</v>
      </c>
      <c r="G49" s="89">
        <v>0</v>
      </c>
      <c r="I49" t="s">
        <v>655</v>
      </c>
      <c r="J49" s="25">
        <f t="shared" si="0"/>
        <v>0</v>
      </c>
      <c r="K49" s="25">
        <f t="shared" si="1"/>
        <v>0</v>
      </c>
      <c r="N49"/>
      <c r="O49"/>
      <c r="Q49"/>
      <c r="R49"/>
    </row>
    <row r="50" spans="1:18" x14ac:dyDescent="0.35">
      <c r="A50" t="s">
        <v>11</v>
      </c>
      <c r="B50" s="25">
        <v>250000</v>
      </c>
      <c r="C50" s="25">
        <v>6272588</v>
      </c>
      <c r="E50" s="88"/>
      <c r="F50" s="89"/>
      <c r="G50" s="89"/>
      <c r="I50" t="s">
        <v>11</v>
      </c>
      <c r="J50" s="25">
        <f t="shared" si="0"/>
        <v>250000</v>
      </c>
      <c r="K50" s="25">
        <f t="shared" si="1"/>
        <v>6272588</v>
      </c>
      <c r="M50" t="s">
        <v>1180</v>
      </c>
      <c r="N50" s="18">
        <v>5089939</v>
      </c>
      <c r="O50" s="18">
        <v>1182649</v>
      </c>
    </row>
    <row r="51" spans="1:18" x14ac:dyDescent="0.35">
      <c r="A51" t="s">
        <v>49</v>
      </c>
      <c r="B51" s="25">
        <v>150000</v>
      </c>
      <c r="C51" s="25">
        <v>0</v>
      </c>
      <c r="E51" s="88"/>
      <c r="F51" s="89"/>
      <c r="G51" s="89"/>
      <c r="I51" t="s">
        <v>49</v>
      </c>
      <c r="J51" s="25">
        <f t="shared" si="0"/>
        <v>150000</v>
      </c>
      <c r="K51" s="25">
        <f t="shared" si="1"/>
        <v>0</v>
      </c>
      <c r="N51"/>
      <c r="O51"/>
      <c r="Q51"/>
      <c r="R51"/>
    </row>
    <row r="52" spans="1:18" x14ac:dyDescent="0.35">
      <c r="A52" t="s">
        <v>586</v>
      </c>
      <c r="B52" s="25">
        <v>350000</v>
      </c>
      <c r="C52" s="25">
        <v>0</v>
      </c>
      <c r="E52" s="88" t="s">
        <v>586</v>
      </c>
      <c r="F52" s="89">
        <v>350000</v>
      </c>
      <c r="G52" s="89">
        <v>0</v>
      </c>
      <c r="I52" t="s">
        <v>586</v>
      </c>
      <c r="J52" s="25">
        <f t="shared" si="0"/>
        <v>0</v>
      </c>
      <c r="K52" s="25">
        <f t="shared" si="1"/>
        <v>0</v>
      </c>
      <c r="N52"/>
      <c r="O52"/>
      <c r="Q52"/>
      <c r="R52"/>
    </row>
    <row r="53" spans="1:18" x14ac:dyDescent="0.35">
      <c r="A53" t="s">
        <v>657</v>
      </c>
      <c r="B53" s="25">
        <v>100000</v>
      </c>
      <c r="C53" s="25">
        <v>1000000</v>
      </c>
      <c r="E53" s="88" t="s">
        <v>657</v>
      </c>
      <c r="F53" s="89">
        <v>100000</v>
      </c>
      <c r="G53" s="89">
        <v>1000000</v>
      </c>
      <c r="I53" t="s">
        <v>657</v>
      </c>
      <c r="J53" s="25">
        <f t="shared" si="0"/>
        <v>0</v>
      </c>
      <c r="K53" s="25">
        <f t="shared" si="1"/>
        <v>0</v>
      </c>
      <c r="N53"/>
      <c r="O53"/>
      <c r="Q53"/>
      <c r="R53"/>
    </row>
    <row r="54" spans="1:18" x14ac:dyDescent="0.35">
      <c r="A54" t="s">
        <v>103</v>
      </c>
      <c r="B54" s="25">
        <v>250000</v>
      </c>
      <c r="C54" s="25">
        <v>0</v>
      </c>
      <c r="E54" s="88"/>
      <c r="F54" s="89"/>
      <c r="G54" s="89"/>
      <c r="I54" t="s">
        <v>103</v>
      </c>
      <c r="J54" s="25">
        <f t="shared" si="0"/>
        <v>250000</v>
      </c>
      <c r="K54" s="25">
        <f t="shared" si="1"/>
        <v>0</v>
      </c>
      <c r="N54"/>
      <c r="O54"/>
      <c r="Q54"/>
      <c r="R54"/>
    </row>
    <row r="55" spans="1:18" x14ac:dyDescent="0.35">
      <c r="A55" t="s">
        <v>684</v>
      </c>
      <c r="B55" s="25">
        <v>350000</v>
      </c>
      <c r="C55" s="25">
        <v>4722725</v>
      </c>
      <c r="E55" s="88" t="s">
        <v>684</v>
      </c>
      <c r="F55" s="89">
        <v>350000</v>
      </c>
      <c r="G55" s="89">
        <v>4722725</v>
      </c>
      <c r="I55" t="s">
        <v>684</v>
      </c>
      <c r="J55" s="25">
        <f t="shared" si="0"/>
        <v>0</v>
      </c>
      <c r="K55" s="25">
        <f t="shared" si="1"/>
        <v>0</v>
      </c>
      <c r="N55"/>
      <c r="O55"/>
      <c r="Q55"/>
      <c r="R55"/>
    </row>
    <row r="56" spans="1:18" x14ac:dyDescent="0.35">
      <c r="A56" t="s">
        <v>610</v>
      </c>
      <c r="B56" s="25">
        <v>100000</v>
      </c>
      <c r="C56" s="25">
        <v>0</v>
      </c>
      <c r="E56" s="88" t="s">
        <v>610</v>
      </c>
      <c r="F56" s="89">
        <v>100000</v>
      </c>
      <c r="G56" s="89">
        <v>0</v>
      </c>
      <c r="I56" t="s">
        <v>610</v>
      </c>
      <c r="J56" s="25">
        <f t="shared" si="0"/>
        <v>0</v>
      </c>
      <c r="K56" s="25">
        <f t="shared" si="1"/>
        <v>0</v>
      </c>
      <c r="N56"/>
      <c r="O56"/>
      <c r="Q56"/>
      <c r="R56"/>
    </row>
    <row r="57" spans="1:18" x14ac:dyDescent="0.35">
      <c r="A57" t="s">
        <v>185</v>
      </c>
      <c r="B57" s="25">
        <v>250000</v>
      </c>
      <c r="C57" s="25">
        <v>5373475</v>
      </c>
      <c r="E57" s="88"/>
      <c r="F57" s="89"/>
      <c r="G57" s="89"/>
      <c r="I57" t="s">
        <v>185</v>
      </c>
      <c r="J57" s="25">
        <f t="shared" si="0"/>
        <v>250000</v>
      </c>
      <c r="K57" s="25">
        <f t="shared" si="1"/>
        <v>5373475</v>
      </c>
      <c r="M57" t="s">
        <v>1170</v>
      </c>
      <c r="N57" s="18">
        <v>3213852</v>
      </c>
      <c r="O57" s="18">
        <v>2159623</v>
      </c>
    </row>
    <row r="58" spans="1:18" x14ac:dyDescent="0.35">
      <c r="A58" t="s">
        <v>21</v>
      </c>
      <c r="B58" s="25">
        <v>150000</v>
      </c>
      <c r="C58" s="25">
        <v>0</v>
      </c>
      <c r="E58" s="88"/>
      <c r="F58" s="89"/>
      <c r="G58" s="89"/>
      <c r="I58" t="s">
        <v>21</v>
      </c>
      <c r="J58" s="25">
        <f t="shared" si="0"/>
        <v>150000</v>
      </c>
      <c r="K58" s="25">
        <f t="shared" si="1"/>
        <v>0</v>
      </c>
      <c r="N58"/>
      <c r="O58"/>
      <c r="Q58"/>
      <c r="R58"/>
    </row>
    <row r="59" spans="1:18" x14ac:dyDescent="0.35">
      <c r="A59" t="s">
        <v>594</v>
      </c>
      <c r="B59" s="25">
        <v>150000</v>
      </c>
      <c r="C59" s="25">
        <v>0</v>
      </c>
      <c r="E59" s="88" t="s">
        <v>594</v>
      </c>
      <c r="F59" s="89">
        <v>150000</v>
      </c>
      <c r="G59" s="89">
        <v>0</v>
      </c>
      <c r="I59" t="s">
        <v>594</v>
      </c>
      <c r="J59" s="25">
        <f t="shared" si="0"/>
        <v>0</v>
      </c>
      <c r="K59" s="25">
        <f t="shared" si="1"/>
        <v>0</v>
      </c>
      <c r="N59"/>
      <c r="O59"/>
      <c r="Q59"/>
      <c r="R59"/>
    </row>
    <row r="60" spans="1:18" x14ac:dyDescent="0.35">
      <c r="A60" t="s">
        <v>29</v>
      </c>
      <c r="B60" s="25">
        <v>150000</v>
      </c>
      <c r="C60" s="25">
        <v>0</v>
      </c>
      <c r="E60" s="88"/>
      <c r="F60" s="89"/>
      <c r="G60" s="89"/>
      <c r="I60" t="s">
        <v>29</v>
      </c>
      <c r="J60" s="25">
        <f t="shared" si="0"/>
        <v>150000</v>
      </c>
      <c r="K60" s="25">
        <f t="shared" si="1"/>
        <v>0</v>
      </c>
      <c r="N60"/>
      <c r="O60"/>
      <c r="Q60"/>
      <c r="R60"/>
    </row>
    <row r="61" spans="1:18" x14ac:dyDescent="0.35">
      <c r="A61" t="s">
        <v>193</v>
      </c>
      <c r="B61" s="25">
        <v>150000</v>
      </c>
      <c r="C61" s="25">
        <v>0</v>
      </c>
      <c r="E61" s="88" t="s">
        <v>193</v>
      </c>
      <c r="F61" s="89">
        <v>150000</v>
      </c>
      <c r="G61" s="89">
        <v>0</v>
      </c>
      <c r="I61" t="s">
        <v>193</v>
      </c>
      <c r="J61" s="25">
        <f t="shared" si="0"/>
        <v>0</v>
      </c>
      <c r="K61" s="25">
        <f t="shared" si="1"/>
        <v>0</v>
      </c>
      <c r="N61"/>
      <c r="O61"/>
      <c r="Q61"/>
      <c r="R61"/>
    </row>
    <row r="62" spans="1:18" x14ac:dyDescent="0.35">
      <c r="A62" t="s">
        <v>640</v>
      </c>
      <c r="B62" s="25">
        <v>150000</v>
      </c>
      <c r="C62" s="25">
        <v>1625122</v>
      </c>
      <c r="E62" s="88" t="s">
        <v>640</v>
      </c>
      <c r="F62" s="89">
        <v>150000</v>
      </c>
      <c r="G62" s="89">
        <v>1625122</v>
      </c>
      <c r="I62" t="s">
        <v>640</v>
      </c>
      <c r="J62" s="25">
        <f t="shared" si="0"/>
        <v>0</v>
      </c>
      <c r="K62" s="25">
        <f t="shared" si="1"/>
        <v>0</v>
      </c>
      <c r="N62"/>
      <c r="O62"/>
      <c r="Q62"/>
      <c r="R62"/>
    </row>
    <row r="63" spans="1:18" x14ac:dyDescent="0.35">
      <c r="A63" t="s">
        <v>659</v>
      </c>
      <c r="B63" s="25">
        <v>100000</v>
      </c>
      <c r="C63" s="25">
        <v>0</v>
      </c>
      <c r="E63" s="88" t="s">
        <v>659</v>
      </c>
      <c r="F63" s="89">
        <v>100000</v>
      </c>
      <c r="G63" s="89">
        <v>0</v>
      </c>
      <c r="I63" t="s">
        <v>659</v>
      </c>
      <c r="J63" s="25">
        <f t="shared" si="0"/>
        <v>0</v>
      </c>
      <c r="K63" s="25">
        <f t="shared" si="1"/>
        <v>0</v>
      </c>
      <c r="N63"/>
      <c r="O63"/>
      <c r="Q63"/>
      <c r="R63"/>
    </row>
    <row r="64" spans="1:18" x14ac:dyDescent="0.35">
      <c r="A64" t="s">
        <v>626</v>
      </c>
      <c r="B64" s="25">
        <v>150000</v>
      </c>
      <c r="C64" s="25">
        <v>0</v>
      </c>
      <c r="E64" s="88" t="s">
        <v>626</v>
      </c>
      <c r="F64" s="89">
        <v>150000</v>
      </c>
      <c r="G64" s="89">
        <v>0</v>
      </c>
      <c r="I64" t="s">
        <v>626</v>
      </c>
      <c r="J64" s="25">
        <f t="shared" si="0"/>
        <v>0</v>
      </c>
      <c r="K64" s="25">
        <f t="shared" si="1"/>
        <v>0</v>
      </c>
      <c r="N64"/>
      <c r="O64"/>
      <c r="Q64"/>
      <c r="R64"/>
    </row>
    <row r="65" spans="1:18" x14ac:dyDescent="0.35">
      <c r="A65" t="s">
        <v>122</v>
      </c>
      <c r="B65" s="25">
        <v>150000</v>
      </c>
      <c r="C65" s="25">
        <v>1701389</v>
      </c>
      <c r="E65" s="88"/>
      <c r="F65" s="89"/>
      <c r="G65" s="89"/>
      <c r="I65" t="s">
        <v>122</v>
      </c>
      <c r="J65" s="25">
        <f t="shared" si="0"/>
        <v>150000</v>
      </c>
      <c r="K65" s="25">
        <f t="shared" si="1"/>
        <v>1701389</v>
      </c>
      <c r="M65" t="s">
        <v>1181</v>
      </c>
      <c r="N65" s="18">
        <v>1388889</v>
      </c>
      <c r="O65" s="18">
        <v>312500</v>
      </c>
    </row>
    <row r="66" spans="1:18" x14ac:dyDescent="0.35">
      <c r="A66" t="s">
        <v>686</v>
      </c>
      <c r="B66" s="25">
        <v>100000</v>
      </c>
      <c r="C66" s="25">
        <v>0</v>
      </c>
      <c r="E66" s="88" t="s">
        <v>686</v>
      </c>
      <c r="F66" s="89">
        <v>100000</v>
      </c>
      <c r="G66" s="89">
        <v>0</v>
      </c>
      <c r="I66" t="s">
        <v>686</v>
      </c>
      <c r="J66" s="25">
        <f t="shared" si="0"/>
        <v>0</v>
      </c>
      <c r="K66" s="25">
        <f t="shared" si="1"/>
        <v>0</v>
      </c>
      <c r="N66"/>
      <c r="O66"/>
      <c r="Q66"/>
      <c r="R66"/>
    </row>
    <row r="67" spans="1:18" x14ac:dyDescent="0.35">
      <c r="A67" t="s">
        <v>145</v>
      </c>
      <c r="B67" s="25">
        <v>100000</v>
      </c>
      <c r="C67" s="25">
        <v>0</v>
      </c>
      <c r="I67" t="s">
        <v>145</v>
      </c>
      <c r="J67" s="25">
        <f t="shared" si="0"/>
        <v>100000</v>
      </c>
      <c r="K67" s="25">
        <f t="shared" si="1"/>
        <v>0</v>
      </c>
      <c r="N67"/>
      <c r="O67"/>
      <c r="Q67"/>
      <c r="R67"/>
    </row>
    <row r="68" spans="1:18" x14ac:dyDescent="0.35">
      <c r="A68" t="s">
        <v>101</v>
      </c>
      <c r="B68" s="25">
        <v>250000</v>
      </c>
      <c r="C68" s="25">
        <v>0</v>
      </c>
      <c r="I68" t="s">
        <v>101</v>
      </c>
      <c r="J68" s="25">
        <f t="shared" ref="J68:J131" si="2">B68-F68</f>
        <v>250000</v>
      </c>
      <c r="K68" s="25">
        <f t="shared" ref="K68:K131" si="3">C68-G68</f>
        <v>0</v>
      </c>
      <c r="N68"/>
      <c r="O68"/>
      <c r="Q68"/>
      <c r="R68"/>
    </row>
    <row r="69" spans="1:18" x14ac:dyDescent="0.35">
      <c r="A69" t="s">
        <v>51</v>
      </c>
      <c r="B69" s="25">
        <v>150000</v>
      </c>
      <c r="C69" s="25">
        <v>0</v>
      </c>
      <c r="I69" t="s">
        <v>51</v>
      </c>
      <c r="J69" s="25">
        <f t="shared" si="2"/>
        <v>150000</v>
      </c>
      <c r="K69" s="25">
        <f t="shared" si="3"/>
        <v>0</v>
      </c>
      <c r="N69"/>
      <c r="O69"/>
      <c r="Q69"/>
      <c r="R69"/>
    </row>
    <row r="70" spans="1:18" x14ac:dyDescent="0.35">
      <c r="A70" t="s">
        <v>141</v>
      </c>
      <c r="B70" s="25">
        <v>150000</v>
      </c>
      <c r="C70" s="25">
        <v>2876136</v>
      </c>
      <c r="I70" t="s">
        <v>141</v>
      </c>
      <c r="J70" s="25">
        <f t="shared" si="2"/>
        <v>150000</v>
      </c>
      <c r="K70" s="25">
        <f t="shared" si="3"/>
        <v>2876136</v>
      </c>
      <c r="M70" t="s">
        <v>1170</v>
      </c>
      <c r="N70" s="18">
        <v>1279708</v>
      </c>
      <c r="O70" s="18">
        <v>242261</v>
      </c>
      <c r="P70" t="s">
        <v>1181</v>
      </c>
      <c r="Q70" s="18">
        <v>1041667</v>
      </c>
      <c r="R70" s="18">
        <v>312500</v>
      </c>
    </row>
    <row r="71" spans="1:18" x14ac:dyDescent="0.35">
      <c r="A71" t="s">
        <v>195</v>
      </c>
      <c r="B71" s="25">
        <v>150000</v>
      </c>
      <c r="C71" s="25">
        <v>8671513</v>
      </c>
      <c r="E71" s="88" t="s">
        <v>195</v>
      </c>
      <c r="F71" s="89">
        <v>150000</v>
      </c>
      <c r="G71" s="89">
        <v>8671513</v>
      </c>
      <c r="I71" t="s">
        <v>195</v>
      </c>
      <c r="J71" s="25">
        <f t="shared" si="2"/>
        <v>0</v>
      </c>
      <c r="K71" s="25">
        <f t="shared" si="3"/>
        <v>0</v>
      </c>
      <c r="N71"/>
      <c r="O71"/>
      <c r="Q71"/>
      <c r="R71"/>
    </row>
    <row r="72" spans="1:18" x14ac:dyDescent="0.35">
      <c r="A72" t="s">
        <v>544</v>
      </c>
      <c r="B72" s="25">
        <v>250000</v>
      </c>
      <c r="C72" s="25"/>
      <c r="E72" s="88" t="s">
        <v>544</v>
      </c>
      <c r="F72" s="89">
        <v>250000</v>
      </c>
      <c r="G72" s="89">
        <v>0</v>
      </c>
      <c r="I72" t="s">
        <v>544</v>
      </c>
      <c r="J72" s="25">
        <f t="shared" si="2"/>
        <v>0</v>
      </c>
      <c r="K72" s="25">
        <f t="shared" si="3"/>
        <v>0</v>
      </c>
      <c r="N72"/>
      <c r="O72"/>
      <c r="Q72"/>
      <c r="R72"/>
    </row>
    <row r="73" spans="1:18" x14ac:dyDescent="0.35">
      <c r="A73" t="s">
        <v>632</v>
      </c>
      <c r="B73" s="25">
        <v>350000</v>
      </c>
      <c r="C73" s="25">
        <v>0</v>
      </c>
      <c r="E73" s="88" t="s">
        <v>632</v>
      </c>
      <c r="F73" s="89">
        <v>350000</v>
      </c>
      <c r="G73" s="89">
        <v>0</v>
      </c>
      <c r="I73" t="s">
        <v>632</v>
      </c>
      <c r="J73" s="25">
        <f t="shared" si="2"/>
        <v>0</v>
      </c>
      <c r="K73" s="25">
        <f t="shared" si="3"/>
        <v>0</v>
      </c>
      <c r="N73"/>
      <c r="O73"/>
      <c r="Q73"/>
      <c r="R73"/>
    </row>
    <row r="74" spans="1:18" x14ac:dyDescent="0.35">
      <c r="A74" t="s">
        <v>152</v>
      </c>
      <c r="B74" s="25">
        <v>250000</v>
      </c>
      <c r="C74" s="25">
        <v>0</v>
      </c>
      <c r="E74" s="88"/>
      <c r="F74" s="89"/>
      <c r="G74" s="89"/>
      <c r="I74" t="s">
        <v>152</v>
      </c>
      <c r="J74" s="25">
        <f t="shared" si="2"/>
        <v>250000</v>
      </c>
      <c r="K74" s="25">
        <f t="shared" si="3"/>
        <v>0</v>
      </c>
      <c r="N74"/>
      <c r="O74"/>
      <c r="Q74"/>
      <c r="R74"/>
    </row>
    <row r="75" spans="1:18" x14ac:dyDescent="0.35">
      <c r="A75" t="s">
        <v>665</v>
      </c>
      <c r="B75" s="25">
        <v>100000</v>
      </c>
      <c r="C75" s="25">
        <v>0</v>
      </c>
      <c r="E75" s="88" t="s">
        <v>665</v>
      </c>
      <c r="F75" s="89">
        <v>100000</v>
      </c>
      <c r="G75" s="89">
        <v>0</v>
      </c>
      <c r="I75" t="s">
        <v>665</v>
      </c>
      <c r="J75" s="25">
        <f t="shared" si="2"/>
        <v>0</v>
      </c>
      <c r="K75" s="25">
        <f t="shared" si="3"/>
        <v>0</v>
      </c>
      <c r="N75"/>
      <c r="O75"/>
      <c r="Q75"/>
      <c r="R75"/>
    </row>
    <row r="76" spans="1:18" x14ac:dyDescent="0.35">
      <c r="A76" t="s">
        <v>212</v>
      </c>
      <c r="B76" s="25">
        <v>250000</v>
      </c>
      <c r="C76" s="25">
        <v>2500000</v>
      </c>
      <c r="E76" s="88"/>
      <c r="F76" s="89"/>
      <c r="G76" s="89"/>
      <c r="I76" t="s">
        <v>212</v>
      </c>
      <c r="J76" s="25">
        <f t="shared" si="2"/>
        <v>250000</v>
      </c>
      <c r="K76" s="25">
        <f t="shared" si="3"/>
        <v>2500000</v>
      </c>
      <c r="M76" t="s">
        <v>1182</v>
      </c>
      <c r="N76" s="18">
        <v>2500000</v>
      </c>
    </row>
    <row r="77" spans="1:18" x14ac:dyDescent="0.35">
      <c r="A77" t="s">
        <v>63</v>
      </c>
      <c r="B77" s="25">
        <v>150000</v>
      </c>
      <c r="C77" s="25">
        <v>0</v>
      </c>
      <c r="I77" t="s">
        <v>63</v>
      </c>
      <c r="J77" s="25">
        <f t="shared" si="2"/>
        <v>150000</v>
      </c>
      <c r="K77" s="25">
        <f t="shared" si="3"/>
        <v>0</v>
      </c>
      <c r="N77"/>
      <c r="O77"/>
      <c r="Q77"/>
      <c r="R77"/>
    </row>
    <row r="78" spans="1:18" x14ac:dyDescent="0.35">
      <c r="A78" t="s">
        <v>612</v>
      </c>
      <c r="B78" s="25">
        <v>150000</v>
      </c>
      <c r="C78" s="25">
        <v>0</v>
      </c>
      <c r="E78" s="88" t="s">
        <v>612</v>
      </c>
      <c r="F78" s="89">
        <v>150000</v>
      </c>
      <c r="G78" s="89">
        <v>0</v>
      </c>
      <c r="I78" t="s">
        <v>612</v>
      </c>
      <c r="J78" s="25">
        <f t="shared" si="2"/>
        <v>0</v>
      </c>
      <c r="K78" s="25">
        <f t="shared" si="3"/>
        <v>0</v>
      </c>
      <c r="N78"/>
      <c r="O78"/>
      <c r="Q78"/>
      <c r="R78"/>
    </row>
    <row r="79" spans="1:18" x14ac:dyDescent="0.35">
      <c r="A79" t="s">
        <v>133</v>
      </c>
      <c r="B79" s="25">
        <v>150000</v>
      </c>
      <c r="C79" s="25">
        <v>0</v>
      </c>
      <c r="E79" s="88"/>
      <c r="F79" s="89"/>
      <c r="G79" s="89"/>
      <c r="I79" t="s">
        <v>133</v>
      </c>
      <c r="J79" s="25">
        <f t="shared" si="2"/>
        <v>150000</v>
      </c>
      <c r="K79" s="25">
        <f t="shared" si="3"/>
        <v>0</v>
      </c>
      <c r="N79"/>
      <c r="O79"/>
      <c r="Q79"/>
      <c r="R79"/>
    </row>
    <row r="80" spans="1:18" x14ac:dyDescent="0.35">
      <c r="A80" t="s">
        <v>163</v>
      </c>
      <c r="B80" s="25">
        <v>250000</v>
      </c>
      <c r="C80" s="25">
        <v>0</v>
      </c>
      <c r="E80" s="88"/>
      <c r="F80" s="89"/>
      <c r="G80" s="89"/>
      <c r="I80" t="s">
        <v>163</v>
      </c>
      <c r="J80" s="25">
        <f t="shared" si="2"/>
        <v>250000</v>
      </c>
      <c r="K80" s="25">
        <f t="shared" si="3"/>
        <v>0</v>
      </c>
      <c r="N80"/>
      <c r="O80"/>
      <c r="Q80"/>
      <c r="R80"/>
    </row>
    <row r="81" spans="1:11" customFormat="1" x14ac:dyDescent="0.35">
      <c r="A81" t="s">
        <v>24</v>
      </c>
      <c r="B81" s="25">
        <v>150000</v>
      </c>
      <c r="C81" s="25">
        <v>0</v>
      </c>
      <c r="E81" s="88"/>
      <c r="F81" s="89"/>
      <c r="G81" s="89"/>
      <c r="I81" t="s">
        <v>24</v>
      </c>
      <c r="J81" s="25">
        <f t="shared" si="2"/>
        <v>150000</v>
      </c>
      <c r="K81" s="25">
        <f t="shared" si="3"/>
        <v>0</v>
      </c>
    </row>
    <row r="82" spans="1:11" customFormat="1" x14ac:dyDescent="0.35">
      <c r="A82" t="s">
        <v>45</v>
      </c>
      <c r="B82" s="25">
        <v>150000</v>
      </c>
      <c r="C82" s="25">
        <v>0</v>
      </c>
      <c r="E82" s="88"/>
      <c r="F82" s="89"/>
      <c r="G82" s="89"/>
      <c r="I82" t="s">
        <v>45</v>
      </c>
      <c r="J82" s="25">
        <f t="shared" si="2"/>
        <v>150000</v>
      </c>
      <c r="K82" s="25">
        <f t="shared" si="3"/>
        <v>0</v>
      </c>
    </row>
    <row r="83" spans="1:11" customFormat="1" x14ac:dyDescent="0.35">
      <c r="A83" t="s">
        <v>533</v>
      </c>
      <c r="B83" s="25">
        <v>250000</v>
      </c>
      <c r="C83" s="25">
        <v>0</v>
      </c>
      <c r="E83" s="88"/>
      <c r="F83" s="89"/>
      <c r="G83" s="89"/>
      <c r="I83" t="s">
        <v>533</v>
      </c>
      <c r="J83" s="25">
        <f t="shared" si="2"/>
        <v>250000</v>
      </c>
      <c r="K83" s="25">
        <f t="shared" si="3"/>
        <v>0</v>
      </c>
    </row>
    <row r="84" spans="1:11" customFormat="1" x14ac:dyDescent="0.35">
      <c r="A84" t="s">
        <v>242</v>
      </c>
      <c r="B84" s="25">
        <v>250000</v>
      </c>
      <c r="C84" s="25">
        <v>0</v>
      </c>
      <c r="E84" s="88"/>
      <c r="F84" s="89"/>
      <c r="G84" s="89"/>
      <c r="I84" t="s">
        <v>242</v>
      </c>
      <c r="J84" s="25">
        <f t="shared" si="2"/>
        <v>250000</v>
      </c>
      <c r="K84" s="25">
        <f t="shared" si="3"/>
        <v>0</v>
      </c>
    </row>
    <row r="85" spans="1:11" customFormat="1" x14ac:dyDescent="0.35">
      <c r="A85" t="s">
        <v>596</v>
      </c>
      <c r="B85" s="25">
        <v>250000</v>
      </c>
      <c r="C85" s="25">
        <v>0</v>
      </c>
      <c r="E85" s="88" t="s">
        <v>596</v>
      </c>
      <c r="F85" s="89">
        <v>250000</v>
      </c>
      <c r="G85" s="89">
        <v>0</v>
      </c>
      <c r="I85" t="s">
        <v>596</v>
      </c>
      <c r="J85" s="25">
        <f t="shared" si="2"/>
        <v>0</v>
      </c>
      <c r="K85" s="25">
        <f t="shared" si="3"/>
        <v>0</v>
      </c>
    </row>
    <row r="86" spans="1:11" customFormat="1" x14ac:dyDescent="0.35">
      <c r="A86" t="s">
        <v>538</v>
      </c>
      <c r="B86" s="25">
        <v>250000</v>
      </c>
      <c r="C86" s="25">
        <v>0</v>
      </c>
      <c r="E86" s="88"/>
      <c r="F86" s="89"/>
      <c r="G86" s="89"/>
      <c r="I86" t="s">
        <v>538</v>
      </c>
      <c r="J86" s="25">
        <f t="shared" si="2"/>
        <v>250000</v>
      </c>
      <c r="K86" s="25">
        <f t="shared" si="3"/>
        <v>0</v>
      </c>
    </row>
    <row r="87" spans="1:11" customFormat="1" x14ac:dyDescent="0.35">
      <c r="A87" t="s">
        <v>115</v>
      </c>
      <c r="B87" s="25">
        <v>150000</v>
      </c>
      <c r="C87" s="25">
        <v>0</v>
      </c>
      <c r="E87" s="88"/>
      <c r="F87" s="89"/>
      <c r="G87" s="89"/>
      <c r="I87" t="s">
        <v>115</v>
      </c>
      <c r="J87" s="25">
        <f t="shared" si="2"/>
        <v>150000</v>
      </c>
      <c r="K87" s="25">
        <f t="shared" si="3"/>
        <v>0</v>
      </c>
    </row>
    <row r="88" spans="1:11" customFormat="1" x14ac:dyDescent="0.35">
      <c r="A88" t="s">
        <v>135</v>
      </c>
      <c r="B88" s="25">
        <v>100000</v>
      </c>
      <c r="C88" s="25">
        <v>0</v>
      </c>
      <c r="E88" s="88"/>
      <c r="F88" s="89"/>
      <c r="G88" s="89"/>
      <c r="I88" t="s">
        <v>135</v>
      </c>
      <c r="J88" s="25">
        <f t="shared" si="2"/>
        <v>100000</v>
      </c>
      <c r="K88" s="25">
        <f t="shared" si="3"/>
        <v>0</v>
      </c>
    </row>
    <row r="89" spans="1:11" customFormat="1" x14ac:dyDescent="0.35">
      <c r="A89" t="s">
        <v>67</v>
      </c>
      <c r="B89" s="25">
        <v>150000</v>
      </c>
      <c r="C89" s="25">
        <v>0</v>
      </c>
      <c r="E89" s="88"/>
      <c r="F89" s="89"/>
      <c r="G89" s="89"/>
      <c r="I89" t="s">
        <v>67</v>
      </c>
      <c r="J89" s="25">
        <f t="shared" si="2"/>
        <v>150000</v>
      </c>
      <c r="K89" s="25">
        <f t="shared" si="3"/>
        <v>0</v>
      </c>
    </row>
    <row r="90" spans="1:11" customFormat="1" x14ac:dyDescent="0.35">
      <c r="A90" t="s">
        <v>588</v>
      </c>
      <c r="B90" s="25">
        <v>250000</v>
      </c>
      <c r="C90" s="25">
        <v>3075835</v>
      </c>
      <c r="E90" s="88" t="s">
        <v>588</v>
      </c>
      <c r="F90" s="89">
        <v>250000</v>
      </c>
      <c r="G90" s="89">
        <v>3075835</v>
      </c>
      <c r="I90" t="s">
        <v>588</v>
      </c>
      <c r="J90" s="25">
        <f t="shared" si="2"/>
        <v>0</v>
      </c>
      <c r="K90" s="25">
        <f t="shared" si="3"/>
        <v>0</v>
      </c>
    </row>
    <row r="91" spans="1:11" customFormat="1" x14ac:dyDescent="0.35">
      <c r="A91" t="s">
        <v>99</v>
      </c>
      <c r="B91" s="25">
        <v>150000</v>
      </c>
      <c r="C91" s="25">
        <v>0</v>
      </c>
      <c r="E91" s="88"/>
      <c r="F91" s="89"/>
      <c r="G91" s="89"/>
      <c r="I91" t="s">
        <v>99</v>
      </c>
      <c r="J91" s="25">
        <f t="shared" si="2"/>
        <v>150000</v>
      </c>
      <c r="K91" s="25">
        <f t="shared" si="3"/>
        <v>0</v>
      </c>
    </row>
    <row r="92" spans="1:11" customFormat="1" x14ac:dyDescent="0.35">
      <c r="A92" t="s">
        <v>72</v>
      </c>
      <c r="B92" s="25">
        <v>150000</v>
      </c>
      <c r="C92" s="25">
        <v>0</v>
      </c>
      <c r="E92" s="88"/>
      <c r="F92" s="89"/>
      <c r="G92" s="89"/>
      <c r="I92" t="s">
        <v>72</v>
      </c>
      <c r="J92" s="25">
        <f t="shared" si="2"/>
        <v>150000</v>
      </c>
      <c r="K92" s="25">
        <f t="shared" si="3"/>
        <v>0</v>
      </c>
    </row>
    <row r="93" spans="1:11" customFormat="1" x14ac:dyDescent="0.35">
      <c r="A93" t="s">
        <v>183</v>
      </c>
      <c r="B93" s="25">
        <v>250000</v>
      </c>
      <c r="C93" s="25">
        <v>0</v>
      </c>
      <c r="E93" s="88" t="s">
        <v>183</v>
      </c>
      <c r="F93" s="89">
        <v>250000</v>
      </c>
      <c r="G93" s="89">
        <v>0</v>
      </c>
      <c r="I93" t="s">
        <v>183</v>
      </c>
      <c r="J93" s="25">
        <f t="shared" si="2"/>
        <v>0</v>
      </c>
      <c r="K93" s="25">
        <f t="shared" si="3"/>
        <v>0</v>
      </c>
    </row>
    <row r="94" spans="1:11" customFormat="1" x14ac:dyDescent="0.35">
      <c r="A94" t="s">
        <v>117</v>
      </c>
      <c r="B94" s="25">
        <v>450000</v>
      </c>
      <c r="C94" s="25">
        <v>0</v>
      </c>
      <c r="E94" s="88"/>
      <c r="F94" s="89"/>
      <c r="G94" s="89"/>
      <c r="I94" t="s">
        <v>117</v>
      </c>
      <c r="J94" s="25">
        <f t="shared" si="2"/>
        <v>450000</v>
      </c>
      <c r="K94" s="25">
        <f t="shared" si="3"/>
        <v>0</v>
      </c>
    </row>
    <row r="95" spans="1:11" customFormat="1" x14ac:dyDescent="0.35">
      <c r="A95" t="s">
        <v>147</v>
      </c>
      <c r="B95" s="25">
        <v>150000</v>
      </c>
      <c r="C95" s="25">
        <v>0</v>
      </c>
      <c r="E95" s="88"/>
      <c r="F95" s="89"/>
      <c r="G95" s="89"/>
      <c r="I95" t="s">
        <v>147</v>
      </c>
      <c r="J95" s="25">
        <f t="shared" si="2"/>
        <v>150000</v>
      </c>
      <c r="K95" s="25">
        <f t="shared" si="3"/>
        <v>0</v>
      </c>
    </row>
    <row r="96" spans="1:11" customFormat="1" x14ac:dyDescent="0.35">
      <c r="A96" t="s">
        <v>79</v>
      </c>
      <c r="B96" s="25">
        <v>250000</v>
      </c>
      <c r="C96" s="25">
        <v>0</v>
      </c>
      <c r="E96" s="88"/>
      <c r="F96" s="89"/>
      <c r="G96" s="89"/>
      <c r="I96" t="s">
        <v>79</v>
      </c>
      <c r="J96" s="25">
        <f t="shared" si="2"/>
        <v>250000</v>
      </c>
      <c r="K96" s="25">
        <f t="shared" si="3"/>
        <v>0</v>
      </c>
    </row>
    <row r="97" spans="1:11" customFormat="1" x14ac:dyDescent="0.35">
      <c r="A97" t="s">
        <v>199</v>
      </c>
      <c r="B97" s="25">
        <v>500000</v>
      </c>
      <c r="C97" s="25">
        <v>0</v>
      </c>
      <c r="E97" s="88" t="s">
        <v>199</v>
      </c>
      <c r="F97" s="89">
        <v>500000</v>
      </c>
      <c r="G97" s="89">
        <v>0</v>
      </c>
      <c r="I97" t="s">
        <v>199</v>
      </c>
      <c r="J97" s="25">
        <f t="shared" si="2"/>
        <v>0</v>
      </c>
      <c r="K97" s="25">
        <f t="shared" si="3"/>
        <v>0</v>
      </c>
    </row>
    <row r="98" spans="1:11" customFormat="1" x14ac:dyDescent="0.35">
      <c r="A98" t="s">
        <v>138</v>
      </c>
      <c r="B98" s="25">
        <v>350000</v>
      </c>
      <c r="C98" s="25">
        <v>0</v>
      </c>
      <c r="E98" s="88"/>
      <c r="F98" s="89"/>
      <c r="G98" s="89"/>
      <c r="I98" t="s">
        <v>138</v>
      </c>
      <c r="J98" s="25">
        <f t="shared" si="2"/>
        <v>350000</v>
      </c>
      <c r="K98" s="25">
        <f t="shared" si="3"/>
        <v>0</v>
      </c>
    </row>
    <row r="99" spans="1:11" customFormat="1" x14ac:dyDescent="0.35">
      <c r="A99" t="s">
        <v>628</v>
      </c>
      <c r="B99" s="25">
        <v>100000</v>
      </c>
      <c r="C99" s="25">
        <v>5075758</v>
      </c>
      <c r="E99" s="88" t="s">
        <v>628</v>
      </c>
      <c r="F99" s="89">
        <v>100000</v>
      </c>
      <c r="G99" s="89">
        <v>5075758</v>
      </c>
      <c r="I99" t="s">
        <v>628</v>
      </c>
      <c r="J99" s="25">
        <f t="shared" si="2"/>
        <v>0</v>
      </c>
      <c r="K99" s="25">
        <f t="shared" si="3"/>
        <v>0</v>
      </c>
    </row>
    <row r="100" spans="1:11" customFormat="1" x14ac:dyDescent="0.35">
      <c r="A100" t="s">
        <v>680</v>
      </c>
      <c r="B100" s="25">
        <v>100000</v>
      </c>
      <c r="C100" s="25">
        <v>0</v>
      </c>
      <c r="E100" s="88" t="s">
        <v>680</v>
      </c>
      <c r="F100" s="89">
        <v>100000</v>
      </c>
      <c r="G100" s="89">
        <v>0</v>
      </c>
      <c r="I100" t="s">
        <v>680</v>
      </c>
      <c r="J100" s="25">
        <f t="shared" si="2"/>
        <v>0</v>
      </c>
      <c r="K100" s="25">
        <f t="shared" si="3"/>
        <v>0</v>
      </c>
    </row>
    <row r="101" spans="1:11" customFormat="1" x14ac:dyDescent="0.35">
      <c r="A101" t="s">
        <v>552</v>
      </c>
      <c r="B101" s="25">
        <v>250000</v>
      </c>
      <c r="C101" s="25">
        <v>0</v>
      </c>
      <c r="E101" s="88"/>
      <c r="F101" s="89"/>
      <c r="G101" s="89"/>
      <c r="I101" t="s">
        <v>552</v>
      </c>
      <c r="J101" s="25">
        <f t="shared" si="2"/>
        <v>250000</v>
      </c>
      <c r="K101" s="25">
        <f t="shared" si="3"/>
        <v>0</v>
      </c>
    </row>
    <row r="102" spans="1:11" customFormat="1" x14ac:dyDescent="0.35">
      <c r="A102" t="s">
        <v>76</v>
      </c>
      <c r="B102" s="25">
        <v>250000</v>
      </c>
      <c r="C102" s="25">
        <v>0</v>
      </c>
      <c r="E102" s="88"/>
      <c r="F102" s="89"/>
      <c r="G102" s="89"/>
      <c r="I102" t="s">
        <v>76</v>
      </c>
      <c r="J102" s="25">
        <f t="shared" si="2"/>
        <v>250000</v>
      </c>
      <c r="K102" s="25">
        <f t="shared" si="3"/>
        <v>0</v>
      </c>
    </row>
    <row r="103" spans="1:11" customFormat="1" x14ac:dyDescent="0.35">
      <c r="A103" t="s">
        <v>201</v>
      </c>
      <c r="B103" s="25">
        <v>250000</v>
      </c>
      <c r="C103" s="25">
        <v>0</v>
      </c>
      <c r="E103" s="90" t="s">
        <v>201</v>
      </c>
      <c r="F103" s="89">
        <v>250000</v>
      </c>
      <c r="G103" s="89">
        <v>0</v>
      </c>
      <c r="I103" t="s">
        <v>201</v>
      </c>
      <c r="J103" s="25">
        <f t="shared" si="2"/>
        <v>0</v>
      </c>
      <c r="K103" s="25">
        <f t="shared" si="3"/>
        <v>0</v>
      </c>
    </row>
    <row r="104" spans="1:11" customFormat="1" x14ac:dyDescent="0.35">
      <c r="A104" t="s">
        <v>634</v>
      </c>
      <c r="B104" s="25">
        <v>250000</v>
      </c>
      <c r="C104" s="25">
        <v>0</v>
      </c>
      <c r="E104" s="88" t="s">
        <v>634</v>
      </c>
      <c r="F104" s="89">
        <v>250000</v>
      </c>
      <c r="G104" s="89">
        <v>0</v>
      </c>
      <c r="I104" t="s">
        <v>634</v>
      </c>
      <c r="J104" s="25">
        <f t="shared" si="2"/>
        <v>0</v>
      </c>
      <c r="K104" s="25">
        <f t="shared" si="3"/>
        <v>0</v>
      </c>
    </row>
    <row r="105" spans="1:11" customFormat="1" x14ac:dyDescent="0.35">
      <c r="A105" t="s">
        <v>682</v>
      </c>
      <c r="B105" s="25">
        <v>250000</v>
      </c>
      <c r="C105" s="25">
        <v>0</v>
      </c>
      <c r="E105" s="88" t="s">
        <v>682</v>
      </c>
      <c r="F105" s="89">
        <v>250000</v>
      </c>
      <c r="G105" s="89">
        <v>0</v>
      </c>
      <c r="I105" t="s">
        <v>682</v>
      </c>
      <c r="J105" s="25">
        <f t="shared" si="2"/>
        <v>0</v>
      </c>
      <c r="K105" s="25">
        <f t="shared" si="3"/>
        <v>0</v>
      </c>
    </row>
    <row r="106" spans="1:11" customFormat="1" x14ac:dyDescent="0.35">
      <c r="A106" t="s">
        <v>14</v>
      </c>
      <c r="B106" s="25">
        <v>150000</v>
      </c>
      <c r="C106" s="25">
        <v>0</v>
      </c>
      <c r="E106" s="88"/>
      <c r="F106" s="89"/>
      <c r="G106" s="89"/>
      <c r="I106" t="s">
        <v>14</v>
      </c>
      <c r="J106" s="25">
        <f t="shared" si="2"/>
        <v>150000</v>
      </c>
      <c r="K106" s="25">
        <f t="shared" si="3"/>
        <v>0</v>
      </c>
    </row>
    <row r="107" spans="1:11" customFormat="1" x14ac:dyDescent="0.35">
      <c r="A107" t="s">
        <v>614</v>
      </c>
      <c r="B107" s="25">
        <v>150000</v>
      </c>
      <c r="C107" s="25">
        <v>0</v>
      </c>
      <c r="E107" s="88" t="s">
        <v>614</v>
      </c>
      <c r="F107" s="89">
        <v>150000</v>
      </c>
      <c r="G107" s="89">
        <v>0</v>
      </c>
      <c r="I107" t="s">
        <v>614</v>
      </c>
      <c r="J107" s="25">
        <f t="shared" si="2"/>
        <v>0</v>
      </c>
      <c r="K107" s="25">
        <f t="shared" si="3"/>
        <v>0</v>
      </c>
    </row>
    <row r="108" spans="1:11" customFormat="1" x14ac:dyDescent="0.35">
      <c r="A108" t="s">
        <v>175</v>
      </c>
      <c r="B108" s="25">
        <v>150000</v>
      </c>
      <c r="C108" s="25">
        <v>0</v>
      </c>
      <c r="E108" s="88"/>
      <c r="F108" s="89"/>
      <c r="G108" s="89"/>
      <c r="I108" t="s">
        <v>175</v>
      </c>
      <c r="J108" s="25">
        <f t="shared" si="2"/>
        <v>150000</v>
      </c>
      <c r="K108" s="25">
        <f t="shared" si="3"/>
        <v>0</v>
      </c>
    </row>
    <row r="109" spans="1:11" customFormat="1" x14ac:dyDescent="0.35">
      <c r="A109" t="s">
        <v>119</v>
      </c>
      <c r="B109" s="25">
        <v>150000</v>
      </c>
      <c r="C109" s="25">
        <v>0</v>
      </c>
      <c r="E109" s="88"/>
      <c r="F109" s="89"/>
      <c r="G109" s="89"/>
      <c r="I109" t="s">
        <v>119</v>
      </c>
      <c r="J109" s="25">
        <f t="shared" si="2"/>
        <v>150000</v>
      </c>
      <c r="K109" s="25">
        <f t="shared" si="3"/>
        <v>0</v>
      </c>
    </row>
    <row r="110" spans="1:11" customFormat="1" x14ac:dyDescent="0.35">
      <c r="A110" t="s">
        <v>18</v>
      </c>
      <c r="B110" s="25">
        <v>250000</v>
      </c>
      <c r="C110" s="25">
        <v>0</v>
      </c>
      <c r="E110" s="88"/>
      <c r="F110" s="89"/>
      <c r="G110" s="89"/>
      <c r="I110" t="s">
        <v>18</v>
      </c>
      <c r="J110" s="25">
        <f t="shared" si="2"/>
        <v>250000</v>
      </c>
      <c r="K110" s="25">
        <f t="shared" si="3"/>
        <v>0</v>
      </c>
    </row>
    <row r="111" spans="1:11" customFormat="1" x14ac:dyDescent="0.35">
      <c r="A111" t="s">
        <v>636</v>
      </c>
      <c r="B111" s="25">
        <v>150000</v>
      </c>
      <c r="C111" s="25">
        <v>4863285</v>
      </c>
      <c r="E111" s="88" t="s">
        <v>636</v>
      </c>
      <c r="F111" s="89">
        <v>150000</v>
      </c>
      <c r="G111" s="89">
        <v>4863285</v>
      </c>
      <c r="I111" t="s">
        <v>636</v>
      </c>
      <c r="J111" s="25">
        <f t="shared" si="2"/>
        <v>0</v>
      </c>
      <c r="K111" s="25">
        <f t="shared" si="3"/>
        <v>0</v>
      </c>
    </row>
    <row r="112" spans="1:11" customFormat="1" x14ac:dyDescent="0.35">
      <c r="A112" t="s">
        <v>646</v>
      </c>
      <c r="B112" s="25">
        <v>350000</v>
      </c>
      <c r="C112" s="25">
        <v>0</v>
      </c>
      <c r="E112" s="88" t="s">
        <v>646</v>
      </c>
      <c r="F112" s="89">
        <v>350000</v>
      </c>
      <c r="G112" s="89">
        <v>0</v>
      </c>
      <c r="I112" t="s">
        <v>646</v>
      </c>
      <c r="J112" s="25">
        <f t="shared" si="2"/>
        <v>0</v>
      </c>
      <c r="K112" s="25">
        <f t="shared" si="3"/>
        <v>0</v>
      </c>
    </row>
    <row r="113" spans="1:18" x14ac:dyDescent="0.35">
      <c r="A113" t="s">
        <v>616</v>
      </c>
      <c r="B113" s="25">
        <v>150000</v>
      </c>
      <c r="C113" s="25">
        <v>0</v>
      </c>
      <c r="E113" s="88" t="s">
        <v>616</v>
      </c>
      <c r="F113" s="89">
        <v>150000</v>
      </c>
      <c r="G113" s="89">
        <v>0</v>
      </c>
      <c r="I113" t="s">
        <v>616</v>
      </c>
      <c r="J113" s="25">
        <f t="shared" si="2"/>
        <v>0</v>
      </c>
      <c r="K113" s="25">
        <f t="shared" si="3"/>
        <v>0</v>
      </c>
      <c r="N113"/>
      <c r="O113"/>
      <c r="Q113"/>
      <c r="R113"/>
    </row>
    <row r="114" spans="1:18" x14ac:dyDescent="0.35">
      <c r="A114" t="s">
        <v>47</v>
      </c>
      <c r="B114" s="25">
        <v>150000</v>
      </c>
      <c r="C114" s="25">
        <v>0</v>
      </c>
      <c r="E114" s="88"/>
      <c r="F114" s="89"/>
      <c r="G114" s="89"/>
      <c r="I114" t="s">
        <v>47</v>
      </c>
      <c r="J114" s="25">
        <f t="shared" si="2"/>
        <v>150000</v>
      </c>
      <c r="K114" s="25">
        <f t="shared" si="3"/>
        <v>0</v>
      </c>
      <c r="N114"/>
      <c r="O114"/>
      <c r="Q114"/>
      <c r="R114"/>
    </row>
    <row r="115" spans="1:18" x14ac:dyDescent="0.35">
      <c r="A115" t="s">
        <v>690</v>
      </c>
      <c r="B115" s="25">
        <v>150000</v>
      </c>
      <c r="C115" s="25">
        <v>0</v>
      </c>
      <c r="E115" s="88" t="s">
        <v>690</v>
      </c>
      <c r="F115" s="89">
        <v>150000</v>
      </c>
      <c r="G115" s="89">
        <v>0</v>
      </c>
      <c r="I115" t="s">
        <v>690</v>
      </c>
      <c r="J115" s="25">
        <f t="shared" si="2"/>
        <v>0</v>
      </c>
      <c r="K115" s="25">
        <f t="shared" si="3"/>
        <v>0</v>
      </c>
      <c r="N115"/>
      <c r="O115"/>
      <c r="Q115"/>
      <c r="R115"/>
    </row>
    <row r="116" spans="1:18" x14ac:dyDescent="0.35">
      <c r="A116" t="s">
        <v>161</v>
      </c>
      <c r="B116" s="25">
        <v>250000</v>
      </c>
      <c r="C116" s="25">
        <v>0</v>
      </c>
      <c r="E116" s="88"/>
      <c r="F116" s="89"/>
      <c r="G116" s="89"/>
      <c r="I116" t="s">
        <v>161</v>
      </c>
      <c r="J116" s="25">
        <f t="shared" si="2"/>
        <v>250000</v>
      </c>
      <c r="K116" s="25">
        <f t="shared" si="3"/>
        <v>0</v>
      </c>
      <c r="N116"/>
      <c r="O116"/>
      <c r="Q116"/>
      <c r="R116"/>
    </row>
    <row r="117" spans="1:18" x14ac:dyDescent="0.35">
      <c r="A117" t="s">
        <v>214</v>
      </c>
      <c r="B117" s="25">
        <v>250000</v>
      </c>
      <c r="C117" s="25">
        <v>0</v>
      </c>
      <c r="E117" s="88"/>
      <c r="F117" s="89"/>
      <c r="G117" s="89"/>
      <c r="I117" t="s">
        <v>214</v>
      </c>
      <c r="J117" s="25">
        <f t="shared" si="2"/>
        <v>250000</v>
      </c>
      <c r="K117" s="25">
        <f t="shared" si="3"/>
        <v>0</v>
      </c>
      <c r="N117"/>
      <c r="O117"/>
      <c r="Q117"/>
      <c r="R117"/>
    </row>
    <row r="118" spans="1:18" x14ac:dyDescent="0.35">
      <c r="A118" t="s">
        <v>179</v>
      </c>
      <c r="B118" s="25">
        <v>150000</v>
      </c>
      <c r="C118" s="25">
        <v>0</v>
      </c>
      <c r="E118" s="88"/>
      <c r="F118" s="89"/>
      <c r="G118" s="89"/>
      <c r="I118" t="s">
        <v>179</v>
      </c>
      <c r="J118" s="25">
        <f t="shared" si="2"/>
        <v>150000</v>
      </c>
      <c r="K118" s="25">
        <f t="shared" si="3"/>
        <v>0</v>
      </c>
      <c r="N118"/>
      <c r="O118"/>
      <c r="Q118"/>
      <c r="R118"/>
    </row>
    <row r="119" spans="1:18" x14ac:dyDescent="0.35">
      <c r="A119" t="s">
        <v>618</v>
      </c>
      <c r="B119" s="25">
        <v>150000</v>
      </c>
      <c r="C119" s="25">
        <v>985417</v>
      </c>
      <c r="E119" s="88" t="s">
        <v>618</v>
      </c>
      <c r="F119" s="89">
        <v>150000</v>
      </c>
      <c r="G119" s="89">
        <v>985417</v>
      </c>
      <c r="I119" t="s">
        <v>618</v>
      </c>
      <c r="J119" s="25">
        <f t="shared" si="2"/>
        <v>0</v>
      </c>
      <c r="K119" s="25">
        <f t="shared" si="3"/>
        <v>0</v>
      </c>
      <c r="N119"/>
      <c r="O119"/>
      <c r="Q119"/>
      <c r="R119"/>
    </row>
    <row r="120" spans="1:18" x14ac:dyDescent="0.35">
      <c r="A120" t="s">
        <v>189</v>
      </c>
      <c r="B120" s="25">
        <v>150000</v>
      </c>
      <c r="C120" s="25">
        <v>0</v>
      </c>
      <c r="E120" s="88" t="s">
        <v>189</v>
      </c>
      <c r="F120" s="89">
        <v>150000</v>
      </c>
      <c r="G120" s="89">
        <v>0</v>
      </c>
      <c r="I120" t="s">
        <v>189</v>
      </c>
      <c r="J120" s="25">
        <f t="shared" si="2"/>
        <v>0</v>
      </c>
      <c r="K120" s="25">
        <f t="shared" si="3"/>
        <v>0</v>
      </c>
      <c r="N120"/>
      <c r="O120"/>
      <c r="Q120"/>
      <c r="R120"/>
    </row>
    <row r="121" spans="1:18" x14ac:dyDescent="0.35">
      <c r="A121" t="s">
        <v>197</v>
      </c>
      <c r="B121" s="25">
        <v>150000</v>
      </c>
      <c r="C121" s="25">
        <v>0</v>
      </c>
      <c r="E121" s="88" t="s">
        <v>197</v>
      </c>
      <c r="F121" s="89">
        <v>150000</v>
      </c>
      <c r="G121" s="89">
        <v>0</v>
      </c>
      <c r="I121" t="s">
        <v>197</v>
      </c>
      <c r="J121" s="25">
        <f t="shared" si="2"/>
        <v>0</v>
      </c>
      <c r="K121" s="25">
        <f t="shared" si="3"/>
        <v>0</v>
      </c>
      <c r="N121"/>
      <c r="O121"/>
      <c r="Q121"/>
      <c r="R121"/>
    </row>
    <row r="122" spans="1:18" x14ac:dyDescent="0.35">
      <c r="A122" t="s">
        <v>53</v>
      </c>
      <c r="B122" s="25">
        <v>150000</v>
      </c>
      <c r="C122" s="25">
        <v>0</v>
      </c>
      <c r="E122" s="88"/>
      <c r="F122" s="89"/>
      <c r="G122" s="89"/>
      <c r="I122" t="s">
        <v>53</v>
      </c>
      <c r="J122" s="25">
        <f t="shared" si="2"/>
        <v>150000</v>
      </c>
      <c r="K122" s="25">
        <f t="shared" si="3"/>
        <v>0</v>
      </c>
      <c r="N122"/>
      <c r="O122"/>
      <c r="Q122"/>
      <c r="R122"/>
    </row>
    <row r="123" spans="1:18" x14ac:dyDescent="0.35">
      <c r="A123" t="s">
        <v>37</v>
      </c>
      <c r="B123" s="25">
        <v>150000</v>
      </c>
      <c r="C123" s="25">
        <v>2500000</v>
      </c>
      <c r="E123" s="88"/>
      <c r="F123" s="89"/>
      <c r="G123" s="89"/>
      <c r="I123" t="s">
        <v>37</v>
      </c>
      <c r="J123" s="25">
        <f t="shared" si="2"/>
        <v>150000</v>
      </c>
      <c r="K123" s="25">
        <f t="shared" si="3"/>
        <v>2500000</v>
      </c>
      <c r="M123" t="s">
        <v>1182</v>
      </c>
      <c r="N123" s="18">
        <v>2500000</v>
      </c>
    </row>
    <row r="124" spans="1:18" x14ac:dyDescent="0.35">
      <c r="A124" t="s">
        <v>109</v>
      </c>
      <c r="B124" s="25">
        <v>100000</v>
      </c>
      <c r="C124" s="25">
        <v>0</v>
      </c>
      <c r="E124" s="88"/>
      <c r="F124" s="89"/>
      <c r="G124" s="89"/>
      <c r="I124" t="s">
        <v>109</v>
      </c>
      <c r="J124" s="25">
        <f t="shared" si="2"/>
        <v>100000</v>
      </c>
      <c r="K124" s="25">
        <f t="shared" si="3"/>
        <v>0</v>
      </c>
      <c r="N124"/>
      <c r="O124"/>
      <c r="Q124"/>
      <c r="R124"/>
    </row>
    <row r="125" spans="1:18" x14ac:dyDescent="0.35">
      <c r="A125" t="s">
        <v>65</v>
      </c>
      <c r="B125" s="25">
        <v>250000</v>
      </c>
      <c r="C125" s="25">
        <v>0</v>
      </c>
      <c r="E125" s="88"/>
      <c r="F125" s="89"/>
      <c r="G125" s="89"/>
      <c r="I125" t="s">
        <v>65</v>
      </c>
      <c r="J125" s="25">
        <f t="shared" si="2"/>
        <v>250000</v>
      </c>
      <c r="K125" s="25">
        <f t="shared" si="3"/>
        <v>0</v>
      </c>
      <c r="N125"/>
      <c r="O125"/>
      <c r="Q125"/>
      <c r="R125"/>
    </row>
    <row r="126" spans="1:18" x14ac:dyDescent="0.35">
      <c r="A126" t="s">
        <v>620</v>
      </c>
      <c r="B126" s="25">
        <v>100000</v>
      </c>
      <c r="C126" s="25">
        <v>2500000</v>
      </c>
      <c r="E126" s="88" t="s">
        <v>620</v>
      </c>
      <c r="F126" s="89">
        <v>100000</v>
      </c>
      <c r="G126" s="89">
        <v>2500000</v>
      </c>
      <c r="I126" t="s">
        <v>620</v>
      </c>
      <c r="J126" s="25">
        <f t="shared" si="2"/>
        <v>0</v>
      </c>
      <c r="K126" s="25">
        <f t="shared" si="3"/>
        <v>0</v>
      </c>
      <c r="N126"/>
      <c r="O126"/>
      <c r="Q126"/>
      <c r="R126"/>
    </row>
    <row r="127" spans="1:18" x14ac:dyDescent="0.35">
      <c r="A127" t="s">
        <v>688</v>
      </c>
      <c r="B127" s="25">
        <v>100000</v>
      </c>
      <c r="C127" s="25">
        <v>0</v>
      </c>
      <c r="E127" s="88" t="s">
        <v>688</v>
      </c>
      <c r="F127" s="89">
        <v>100000</v>
      </c>
      <c r="G127" s="89">
        <v>0</v>
      </c>
      <c r="I127" t="s">
        <v>688</v>
      </c>
      <c r="J127" s="25">
        <f t="shared" si="2"/>
        <v>0</v>
      </c>
      <c r="K127" s="25">
        <f t="shared" si="3"/>
        <v>0</v>
      </c>
      <c r="N127"/>
      <c r="O127"/>
      <c r="Q127"/>
      <c r="R127"/>
    </row>
    <row r="128" spans="1:18" x14ac:dyDescent="0.35">
      <c r="A128" t="s">
        <v>32</v>
      </c>
      <c r="B128" s="25">
        <v>250000</v>
      </c>
      <c r="C128" s="25">
        <v>0</v>
      </c>
      <c r="E128" s="88"/>
      <c r="F128" s="89"/>
      <c r="G128" s="89"/>
      <c r="I128" t="s">
        <v>32</v>
      </c>
      <c r="J128" s="25">
        <f t="shared" si="2"/>
        <v>250000</v>
      </c>
      <c r="K128" s="25">
        <f t="shared" si="3"/>
        <v>0</v>
      </c>
      <c r="N128"/>
      <c r="O128"/>
      <c r="Q128"/>
      <c r="R128"/>
    </row>
    <row r="129" spans="1:11" customFormat="1" x14ac:dyDescent="0.35">
      <c r="A129" t="s">
        <v>187</v>
      </c>
      <c r="B129" s="25">
        <v>150000</v>
      </c>
      <c r="C129" s="25">
        <v>7597381</v>
      </c>
      <c r="E129" s="88" t="s">
        <v>187</v>
      </c>
      <c r="F129" s="89">
        <v>150000</v>
      </c>
      <c r="G129" s="89">
        <v>7597381</v>
      </c>
      <c r="I129" t="s">
        <v>187</v>
      </c>
      <c r="J129" s="25">
        <f t="shared" si="2"/>
        <v>0</v>
      </c>
      <c r="K129" s="25">
        <f t="shared" si="3"/>
        <v>0</v>
      </c>
    </row>
    <row r="130" spans="1:11" customFormat="1" x14ac:dyDescent="0.35">
      <c r="A130" t="s">
        <v>124</v>
      </c>
      <c r="B130" s="25">
        <v>150000</v>
      </c>
      <c r="C130" s="25">
        <v>0</v>
      </c>
      <c r="E130" s="88"/>
      <c r="F130" s="89"/>
      <c r="G130" s="89"/>
      <c r="I130" t="s">
        <v>124</v>
      </c>
      <c r="J130" s="25">
        <f t="shared" si="2"/>
        <v>150000</v>
      </c>
      <c r="K130" s="25">
        <f t="shared" si="3"/>
        <v>0</v>
      </c>
    </row>
    <row r="131" spans="1:11" customFormat="1" x14ac:dyDescent="0.35">
      <c r="A131" t="s">
        <v>216</v>
      </c>
      <c r="B131" s="25">
        <v>150000</v>
      </c>
      <c r="C131" s="25">
        <v>0</v>
      </c>
      <c r="E131" s="88"/>
      <c r="F131" s="89"/>
      <c r="G131" s="89"/>
      <c r="I131" t="s">
        <v>216</v>
      </c>
      <c r="J131" s="25">
        <f t="shared" si="2"/>
        <v>150000</v>
      </c>
      <c r="K131" s="25">
        <f t="shared" si="3"/>
        <v>0</v>
      </c>
    </row>
    <row r="132" spans="1:11" customFormat="1" x14ac:dyDescent="0.35">
      <c r="A132" t="s">
        <v>606</v>
      </c>
      <c r="B132" s="25">
        <v>250000</v>
      </c>
      <c r="C132" s="25">
        <v>0</v>
      </c>
      <c r="E132" s="88" t="s">
        <v>606</v>
      </c>
      <c r="F132" s="89">
        <v>250000</v>
      </c>
      <c r="G132" s="89">
        <v>0</v>
      </c>
      <c r="I132" t="s">
        <v>606</v>
      </c>
      <c r="J132" s="25">
        <f t="shared" ref="J132:J153" si="4">B132-F132</f>
        <v>0</v>
      </c>
      <c r="K132" s="25">
        <f t="shared" ref="K132:K153" si="5">C132-G132</f>
        <v>0</v>
      </c>
    </row>
    <row r="133" spans="1:11" customFormat="1" x14ac:dyDescent="0.35">
      <c r="A133" t="s">
        <v>96</v>
      </c>
      <c r="B133" s="25">
        <v>250000</v>
      </c>
      <c r="C133" s="25">
        <v>0</v>
      </c>
      <c r="E133" s="88"/>
      <c r="F133" s="89"/>
      <c r="G133" s="89"/>
      <c r="I133" t="s">
        <v>96</v>
      </c>
      <c r="J133" s="25">
        <f t="shared" si="4"/>
        <v>250000</v>
      </c>
      <c r="K133" s="25">
        <f t="shared" si="5"/>
        <v>0</v>
      </c>
    </row>
    <row r="134" spans="1:11" customFormat="1" x14ac:dyDescent="0.35">
      <c r="A134" t="s">
        <v>598</v>
      </c>
      <c r="B134" s="25">
        <v>150000</v>
      </c>
      <c r="C134" s="25">
        <v>958333</v>
      </c>
      <c r="E134" s="88" t="s">
        <v>598</v>
      </c>
      <c r="F134" s="89">
        <v>150000</v>
      </c>
      <c r="G134" s="89">
        <v>958333</v>
      </c>
      <c r="I134" t="s">
        <v>598</v>
      </c>
      <c r="J134" s="25">
        <f t="shared" si="4"/>
        <v>0</v>
      </c>
      <c r="K134" s="25">
        <f t="shared" si="5"/>
        <v>0</v>
      </c>
    </row>
    <row r="135" spans="1:11" customFormat="1" x14ac:dyDescent="0.35">
      <c r="A135" t="s">
        <v>624</v>
      </c>
      <c r="B135" s="25">
        <v>150000</v>
      </c>
      <c r="C135" s="25">
        <v>3687500</v>
      </c>
      <c r="E135" s="88" t="s">
        <v>624</v>
      </c>
      <c r="F135" s="89">
        <v>150000</v>
      </c>
      <c r="G135" s="89">
        <v>3687500</v>
      </c>
      <c r="I135" t="s">
        <v>624</v>
      </c>
      <c r="J135" s="25">
        <f t="shared" si="4"/>
        <v>0</v>
      </c>
      <c r="K135" s="25">
        <f t="shared" si="5"/>
        <v>0</v>
      </c>
    </row>
    <row r="136" spans="1:11" customFormat="1" x14ac:dyDescent="0.35">
      <c r="A136" t="s">
        <v>535</v>
      </c>
      <c r="B136" s="25">
        <v>250000</v>
      </c>
      <c r="C136" s="25">
        <v>0</v>
      </c>
      <c r="E136" s="88"/>
      <c r="F136" s="89"/>
      <c r="G136" s="89"/>
      <c r="I136" t="s">
        <v>535</v>
      </c>
      <c r="J136" s="25">
        <f t="shared" si="4"/>
        <v>250000</v>
      </c>
      <c r="K136" s="25">
        <f t="shared" si="5"/>
        <v>0</v>
      </c>
    </row>
    <row r="137" spans="1:11" customFormat="1" x14ac:dyDescent="0.35">
      <c r="A137" t="s">
        <v>671</v>
      </c>
      <c r="B137" s="25">
        <v>100000</v>
      </c>
      <c r="C137" s="25">
        <v>0</v>
      </c>
      <c r="E137" s="88" t="s">
        <v>671</v>
      </c>
      <c r="F137" s="89">
        <v>100000</v>
      </c>
      <c r="G137" s="89">
        <v>0</v>
      </c>
      <c r="I137" t="s">
        <v>671</v>
      </c>
      <c r="J137" s="25">
        <f t="shared" si="4"/>
        <v>0</v>
      </c>
      <c r="K137" s="25">
        <f t="shared" si="5"/>
        <v>0</v>
      </c>
    </row>
    <row r="138" spans="1:11" customFormat="1" x14ac:dyDescent="0.35">
      <c r="A138" t="s">
        <v>177</v>
      </c>
      <c r="B138" s="25">
        <v>250000</v>
      </c>
      <c r="C138" s="25">
        <v>0</v>
      </c>
      <c r="E138" s="88"/>
      <c r="F138" s="89"/>
      <c r="G138" s="89"/>
      <c r="I138" t="s">
        <v>177</v>
      </c>
      <c r="J138" s="25">
        <f t="shared" si="4"/>
        <v>250000</v>
      </c>
      <c r="K138" s="25">
        <f t="shared" si="5"/>
        <v>0</v>
      </c>
    </row>
    <row r="139" spans="1:11" customFormat="1" x14ac:dyDescent="0.35">
      <c r="A139" t="s">
        <v>191</v>
      </c>
      <c r="B139" s="25">
        <v>150000</v>
      </c>
      <c r="C139" s="25">
        <v>0</v>
      </c>
      <c r="E139" s="88" t="s">
        <v>191</v>
      </c>
      <c r="F139" s="89">
        <v>150000</v>
      </c>
      <c r="G139" s="89">
        <v>0</v>
      </c>
      <c r="I139" t="s">
        <v>191</v>
      </c>
      <c r="J139" s="25">
        <f t="shared" si="4"/>
        <v>0</v>
      </c>
      <c r="K139" s="25">
        <f t="shared" si="5"/>
        <v>0</v>
      </c>
    </row>
    <row r="140" spans="1:11" customFormat="1" x14ac:dyDescent="0.35">
      <c r="A140" t="s">
        <v>661</v>
      </c>
      <c r="B140" s="25">
        <v>350000</v>
      </c>
      <c r="C140" s="25">
        <v>11907732</v>
      </c>
      <c r="E140" s="88" t="s">
        <v>661</v>
      </c>
      <c r="F140" s="89">
        <v>350000</v>
      </c>
      <c r="G140" s="89">
        <v>11907732</v>
      </c>
      <c r="I140" t="s">
        <v>661</v>
      </c>
      <c r="J140" s="25">
        <f t="shared" si="4"/>
        <v>0</v>
      </c>
      <c r="K140" s="25">
        <f t="shared" si="5"/>
        <v>0</v>
      </c>
    </row>
    <row r="141" spans="1:11" customFormat="1" x14ac:dyDescent="0.35">
      <c r="A141" t="s">
        <v>667</v>
      </c>
      <c r="B141" s="25">
        <v>350000</v>
      </c>
      <c r="C141" s="25">
        <v>0</v>
      </c>
      <c r="E141" s="88" t="s">
        <v>667</v>
      </c>
      <c r="F141" s="89">
        <v>350000</v>
      </c>
      <c r="G141" s="89">
        <v>0</v>
      </c>
      <c r="I141" t="s">
        <v>667</v>
      </c>
      <c r="J141" s="25">
        <f t="shared" si="4"/>
        <v>0</v>
      </c>
      <c r="K141" s="25">
        <f t="shared" si="5"/>
        <v>0</v>
      </c>
    </row>
    <row r="142" spans="1:11" customFormat="1" x14ac:dyDescent="0.35">
      <c r="A142" t="s">
        <v>127</v>
      </c>
      <c r="B142" s="25">
        <v>150000</v>
      </c>
      <c r="C142" s="25">
        <v>0</v>
      </c>
      <c r="E142" s="88"/>
      <c r="F142" s="89"/>
      <c r="G142" s="89"/>
      <c r="I142" t="s">
        <v>127</v>
      </c>
      <c r="J142" s="25">
        <f t="shared" si="4"/>
        <v>150000</v>
      </c>
      <c r="K142" s="25">
        <f t="shared" si="5"/>
        <v>0</v>
      </c>
    </row>
    <row r="143" spans="1:11" customFormat="1" x14ac:dyDescent="0.35">
      <c r="A143" t="s">
        <v>203</v>
      </c>
      <c r="B143" s="25">
        <v>150000</v>
      </c>
      <c r="C143" s="25">
        <v>0</v>
      </c>
      <c r="E143" s="88" t="s">
        <v>203</v>
      </c>
      <c r="F143" s="89">
        <v>150000</v>
      </c>
      <c r="G143" s="89">
        <v>0</v>
      </c>
      <c r="I143" t="s">
        <v>203</v>
      </c>
      <c r="J143" s="25">
        <f t="shared" si="4"/>
        <v>0</v>
      </c>
      <c r="K143" s="25">
        <f t="shared" si="5"/>
        <v>0</v>
      </c>
    </row>
    <row r="144" spans="1:11" customFormat="1" x14ac:dyDescent="0.35">
      <c r="A144" t="s">
        <v>663</v>
      </c>
      <c r="B144" s="25">
        <v>350000</v>
      </c>
      <c r="C144" s="25">
        <v>2500000</v>
      </c>
      <c r="E144" s="88" t="s">
        <v>663</v>
      </c>
      <c r="F144" s="89">
        <v>350000</v>
      </c>
      <c r="G144" s="89">
        <v>2500000</v>
      </c>
      <c r="I144" t="s">
        <v>663</v>
      </c>
      <c r="J144" s="25">
        <f t="shared" si="4"/>
        <v>0</v>
      </c>
      <c r="K144" s="25">
        <f t="shared" si="5"/>
        <v>0</v>
      </c>
    </row>
    <row r="145" spans="1:18" x14ac:dyDescent="0.35">
      <c r="A145" t="s">
        <v>74</v>
      </c>
      <c r="B145" s="25">
        <v>250000</v>
      </c>
      <c r="C145" s="25">
        <v>0</v>
      </c>
      <c r="E145" s="88"/>
      <c r="F145" s="89"/>
      <c r="G145" s="89"/>
      <c r="I145" t="s">
        <v>74</v>
      </c>
      <c r="J145" s="25">
        <f t="shared" si="4"/>
        <v>250000</v>
      </c>
      <c r="K145" s="25">
        <f t="shared" si="5"/>
        <v>0</v>
      </c>
      <c r="N145"/>
      <c r="O145"/>
      <c r="Q145"/>
      <c r="R145"/>
    </row>
    <row r="146" spans="1:18" x14ac:dyDescent="0.35">
      <c r="A146" t="s">
        <v>649</v>
      </c>
      <c r="B146" s="25">
        <v>350000</v>
      </c>
      <c r="C146" s="25">
        <v>0</v>
      </c>
      <c r="E146" s="88" t="s">
        <v>649</v>
      </c>
      <c r="F146" s="89">
        <v>350000</v>
      </c>
      <c r="G146" s="89">
        <v>0</v>
      </c>
      <c r="I146" t="s">
        <v>649</v>
      </c>
      <c r="J146" s="25">
        <f t="shared" si="4"/>
        <v>0</v>
      </c>
      <c r="K146" s="25">
        <f t="shared" si="5"/>
        <v>0</v>
      </c>
      <c r="N146"/>
      <c r="O146"/>
      <c r="Q146"/>
      <c r="R146"/>
    </row>
    <row r="147" spans="1:18" x14ac:dyDescent="0.35">
      <c r="A147" t="s">
        <v>94</v>
      </c>
      <c r="B147" s="25">
        <v>350000</v>
      </c>
      <c r="C147" s="25">
        <v>0</v>
      </c>
      <c r="E147" s="88"/>
      <c r="F147" s="89"/>
      <c r="G147" s="89"/>
      <c r="I147" t="s">
        <v>94</v>
      </c>
      <c r="J147" s="25">
        <f t="shared" si="4"/>
        <v>350000</v>
      </c>
      <c r="K147" s="25">
        <f t="shared" si="5"/>
        <v>0</v>
      </c>
      <c r="N147"/>
      <c r="O147"/>
      <c r="Q147"/>
      <c r="R147"/>
    </row>
    <row r="148" spans="1:18" x14ac:dyDescent="0.35">
      <c r="A148" t="s">
        <v>154</v>
      </c>
      <c r="B148" s="25">
        <v>250000</v>
      </c>
      <c r="C148" s="25">
        <v>0</v>
      </c>
      <c r="E148" s="88"/>
      <c r="F148" s="89"/>
      <c r="G148" s="89"/>
      <c r="I148" t="s">
        <v>154</v>
      </c>
      <c r="J148" s="25">
        <f t="shared" si="4"/>
        <v>250000</v>
      </c>
      <c r="K148" s="25">
        <f t="shared" si="5"/>
        <v>0</v>
      </c>
      <c r="N148"/>
      <c r="O148"/>
      <c r="Q148"/>
      <c r="R148"/>
    </row>
    <row r="149" spans="1:18" x14ac:dyDescent="0.35">
      <c r="A149" t="s">
        <v>604</v>
      </c>
      <c r="B149" s="25">
        <v>150000</v>
      </c>
      <c r="C149" s="25">
        <v>0</v>
      </c>
      <c r="E149" s="88" t="s">
        <v>604</v>
      </c>
      <c r="F149" s="89">
        <v>150000</v>
      </c>
      <c r="G149" s="89">
        <v>0</v>
      </c>
      <c r="I149" t="s">
        <v>604</v>
      </c>
      <c r="J149" s="25">
        <f t="shared" si="4"/>
        <v>0</v>
      </c>
      <c r="K149" s="25">
        <f t="shared" si="5"/>
        <v>0</v>
      </c>
      <c r="N149"/>
      <c r="O149"/>
      <c r="Q149"/>
      <c r="R149"/>
    </row>
    <row r="150" spans="1:18" x14ac:dyDescent="0.35">
      <c r="A150" t="s">
        <v>131</v>
      </c>
      <c r="B150" s="25">
        <v>150000</v>
      </c>
      <c r="C150" s="25">
        <v>0</v>
      </c>
      <c r="E150" s="88"/>
      <c r="F150" s="89"/>
      <c r="G150" s="89"/>
      <c r="I150" t="s">
        <v>131</v>
      </c>
      <c r="J150" s="25">
        <f t="shared" si="4"/>
        <v>150000</v>
      </c>
      <c r="K150" s="25">
        <f t="shared" si="5"/>
        <v>0</v>
      </c>
      <c r="N150"/>
      <c r="O150"/>
      <c r="Q150"/>
      <c r="R150"/>
    </row>
    <row r="151" spans="1:18" x14ac:dyDescent="0.35">
      <c r="A151" t="s">
        <v>87</v>
      </c>
      <c r="B151" s="25">
        <v>150000</v>
      </c>
      <c r="C151" s="25">
        <v>2310813</v>
      </c>
      <c r="E151" s="88"/>
      <c r="F151" s="89"/>
      <c r="G151" s="89"/>
      <c r="I151" t="s">
        <v>87</v>
      </c>
      <c r="J151" s="25">
        <f t="shared" si="4"/>
        <v>150000</v>
      </c>
      <c r="K151" s="25">
        <f t="shared" si="5"/>
        <v>2310813</v>
      </c>
      <c r="M151" t="s">
        <v>1170</v>
      </c>
      <c r="N151" s="18">
        <v>1402374</v>
      </c>
      <c r="O151" s="18">
        <v>908439</v>
      </c>
    </row>
    <row r="152" spans="1:18" x14ac:dyDescent="0.35">
      <c r="A152" t="s">
        <v>55</v>
      </c>
      <c r="B152" s="25">
        <v>150000</v>
      </c>
      <c r="C152" s="25">
        <v>0</v>
      </c>
      <c r="E152" s="88"/>
      <c r="F152" s="89"/>
      <c r="G152" s="89"/>
      <c r="I152" t="s">
        <v>55</v>
      </c>
      <c r="J152" s="25">
        <f t="shared" si="4"/>
        <v>150000</v>
      </c>
      <c r="K152" s="25">
        <f t="shared" si="5"/>
        <v>0</v>
      </c>
      <c r="N152"/>
      <c r="O152"/>
      <c r="Q152"/>
      <c r="R152"/>
    </row>
    <row r="153" spans="1:18" x14ac:dyDescent="0.35">
      <c r="E153" s="88"/>
      <c r="F153" s="89"/>
      <c r="G153" s="89"/>
      <c r="J153" s="25">
        <f t="shared" si="4"/>
        <v>0</v>
      </c>
      <c r="K153" s="25">
        <f t="shared" si="5"/>
        <v>0</v>
      </c>
      <c r="N153"/>
      <c r="O153"/>
      <c r="Q153"/>
      <c r="R153"/>
    </row>
    <row r="154" spans="1:18" x14ac:dyDescent="0.35">
      <c r="B154" s="25">
        <f>SUM(B3:B152)</f>
        <v>30650000</v>
      </c>
      <c r="C154" s="25">
        <f>SUM(C3:C152)</f>
        <v>104082041</v>
      </c>
      <c r="F154" s="25">
        <f>SUM(F3:F152)</f>
        <v>12050000</v>
      </c>
      <c r="G154" s="25">
        <f>SUM(G3:G152)</f>
        <v>78045735</v>
      </c>
      <c r="J154" s="25">
        <f>SUM(J3:J152)</f>
        <v>18600000</v>
      </c>
      <c r="K154" s="25">
        <f>SUM(K3:K152)</f>
        <v>26036306</v>
      </c>
    </row>
    <row r="155" spans="1:18" x14ac:dyDescent="0.35">
      <c r="C155" s="25">
        <f>B154+C154</f>
        <v>134732041</v>
      </c>
      <c r="E155" s="88"/>
      <c r="F155" s="88"/>
      <c r="G155" s="25">
        <f>F154+G154</f>
        <v>90095735</v>
      </c>
      <c r="K155" s="25">
        <f>J154+K154</f>
        <v>44636306</v>
      </c>
    </row>
    <row r="156" spans="1:18" x14ac:dyDescent="0.35">
      <c r="E156" s="88"/>
      <c r="F156" s="88"/>
      <c r="G156" s="91">
        <f>C155-G155</f>
        <v>44636306</v>
      </c>
    </row>
    <row r="157" spans="1:18" x14ac:dyDescent="0.35">
      <c r="E157" s="88"/>
      <c r="F157" s="88"/>
      <c r="G157" s="88"/>
    </row>
    <row r="158" spans="1:18" x14ac:dyDescent="0.35">
      <c r="E158" s="88"/>
      <c r="F158" s="88"/>
      <c r="G158" s="88"/>
    </row>
    <row r="159" spans="1:18" x14ac:dyDescent="0.35">
      <c r="E159" s="88"/>
      <c r="F159" s="88"/>
      <c r="G159" s="88"/>
    </row>
    <row r="160" spans="1:18" x14ac:dyDescent="0.35">
      <c r="E160" s="88"/>
      <c r="F160" s="88"/>
      <c r="G160" s="88"/>
    </row>
    <row r="161" spans="5:7" x14ac:dyDescent="0.35">
      <c r="E161" s="88"/>
      <c r="F161" s="88"/>
      <c r="G161" s="88"/>
    </row>
    <row r="162" spans="5:7" x14ac:dyDescent="0.35">
      <c r="E162" s="88"/>
      <c r="F162" s="88"/>
      <c r="G162" s="88"/>
    </row>
    <row r="163" spans="5:7" x14ac:dyDescent="0.35">
      <c r="E163" s="88"/>
      <c r="F163" s="88"/>
      <c r="G163" s="88"/>
    </row>
    <row r="164" spans="5:7" x14ac:dyDescent="0.35">
      <c r="E164" s="88"/>
      <c r="F164" s="88"/>
      <c r="G164" s="88"/>
    </row>
    <row r="165" spans="5:7" x14ac:dyDescent="0.35">
      <c r="E165" s="88"/>
      <c r="F165" s="88"/>
      <c r="G165" s="88"/>
    </row>
    <row r="166" spans="5:7" x14ac:dyDescent="0.35">
      <c r="E166" s="88"/>
      <c r="F166" s="88"/>
      <c r="G166" s="88"/>
    </row>
    <row r="167" spans="5:7" x14ac:dyDescent="0.35">
      <c r="E167" s="88"/>
      <c r="F167" s="88"/>
      <c r="G167" s="88"/>
    </row>
    <row r="168" spans="5:7" x14ac:dyDescent="0.35">
      <c r="E168" s="88"/>
      <c r="F168" s="88"/>
      <c r="G168" s="88"/>
    </row>
    <row r="169" spans="5:7" x14ac:dyDescent="0.35">
      <c r="E169" s="88"/>
      <c r="F169" s="88"/>
      <c r="G169" s="88"/>
    </row>
    <row r="170" spans="5:7" x14ac:dyDescent="0.35">
      <c r="E170" s="88"/>
      <c r="F170" s="88"/>
      <c r="G170" s="88"/>
    </row>
    <row r="171" spans="5:7" x14ac:dyDescent="0.35">
      <c r="E171" s="88"/>
      <c r="F171" s="88"/>
      <c r="G171" s="88"/>
    </row>
    <row r="172" spans="5:7" x14ac:dyDescent="0.35">
      <c r="E172" s="88"/>
      <c r="F172" s="88"/>
      <c r="G172" s="88"/>
    </row>
    <row r="173" spans="5:7" x14ac:dyDescent="0.35">
      <c r="E173" s="88"/>
      <c r="F173" s="88"/>
      <c r="G173" s="88"/>
    </row>
    <row r="174" spans="5:7" x14ac:dyDescent="0.35">
      <c r="E174" s="88"/>
      <c r="F174" s="88"/>
      <c r="G174" s="88"/>
    </row>
    <row r="175" spans="5:7" x14ac:dyDescent="0.35">
      <c r="E175" s="88"/>
      <c r="F175" s="88"/>
      <c r="G175" s="88"/>
    </row>
    <row r="176" spans="5:7" x14ac:dyDescent="0.35">
      <c r="E176" s="88"/>
      <c r="F176" s="88"/>
      <c r="G176" s="88"/>
    </row>
    <row r="177" spans="5:7" x14ac:dyDescent="0.35">
      <c r="E177" s="88"/>
      <c r="F177" s="88"/>
      <c r="G177" s="88"/>
    </row>
    <row r="178" spans="5:7" x14ac:dyDescent="0.35">
      <c r="E178" s="88"/>
      <c r="F178" s="88"/>
      <c r="G178" s="88"/>
    </row>
    <row r="179" spans="5:7" x14ac:dyDescent="0.35">
      <c r="E179" s="88"/>
      <c r="F179" s="88"/>
      <c r="G179" s="88"/>
    </row>
    <row r="180" spans="5:7" x14ac:dyDescent="0.35">
      <c r="E180" s="88"/>
      <c r="F180" s="88"/>
      <c r="G180" s="88"/>
    </row>
    <row r="181" spans="5:7" x14ac:dyDescent="0.35">
      <c r="E181" s="88"/>
      <c r="F181" s="88"/>
      <c r="G181" s="88"/>
    </row>
    <row r="182" spans="5:7" x14ac:dyDescent="0.35">
      <c r="E182" s="88"/>
      <c r="F182" s="88"/>
      <c r="G182" s="88"/>
    </row>
    <row r="183" spans="5:7" x14ac:dyDescent="0.35">
      <c r="E183" s="88"/>
      <c r="F183" s="88"/>
      <c r="G183" s="88"/>
    </row>
    <row r="184" spans="5:7" x14ac:dyDescent="0.35">
      <c r="E184" s="88"/>
      <c r="F184" s="88"/>
      <c r="G184" s="88"/>
    </row>
    <row r="185" spans="5:7" x14ac:dyDescent="0.35">
      <c r="E185" s="88"/>
      <c r="F185" s="88"/>
      <c r="G185" s="88"/>
    </row>
    <row r="186" spans="5:7" x14ac:dyDescent="0.35">
      <c r="E186" s="88"/>
      <c r="F186" s="88"/>
      <c r="G186" s="88"/>
    </row>
    <row r="187" spans="5:7" x14ac:dyDescent="0.35">
      <c r="E187" s="88"/>
      <c r="F187" s="88"/>
      <c r="G187" s="88"/>
    </row>
    <row r="188" spans="5:7" x14ac:dyDescent="0.35">
      <c r="E188" s="88"/>
      <c r="F188" s="88"/>
      <c r="G188" s="88"/>
    </row>
    <row r="189" spans="5:7" x14ac:dyDescent="0.35">
      <c r="E189" s="88"/>
      <c r="F189" s="88"/>
      <c r="G189" s="88"/>
    </row>
    <row r="190" spans="5:7" x14ac:dyDescent="0.35">
      <c r="E190" s="88"/>
      <c r="F190" s="88"/>
      <c r="G190" s="88"/>
    </row>
    <row r="191" spans="5:7" x14ac:dyDescent="0.35">
      <c r="E191" s="88"/>
      <c r="F191" s="88"/>
      <c r="G191" s="88"/>
    </row>
    <row r="192" spans="5:7" x14ac:dyDescent="0.35">
      <c r="E192" s="88"/>
      <c r="F192" s="88"/>
      <c r="G192" s="88"/>
    </row>
    <row r="193" spans="5:7" x14ac:dyDescent="0.35">
      <c r="E193" s="88"/>
      <c r="F193" s="88"/>
      <c r="G193" s="88"/>
    </row>
    <row r="194" spans="5:7" x14ac:dyDescent="0.35">
      <c r="E194" s="88"/>
      <c r="F194" s="88"/>
      <c r="G194" s="88"/>
    </row>
    <row r="195" spans="5:7" x14ac:dyDescent="0.35">
      <c r="E195" s="88"/>
      <c r="F195" s="88"/>
      <c r="G195" s="88"/>
    </row>
    <row r="196" spans="5:7" x14ac:dyDescent="0.35">
      <c r="E196" s="88"/>
      <c r="F196" s="88"/>
      <c r="G196" s="88"/>
    </row>
    <row r="197" spans="5:7" x14ac:dyDescent="0.35">
      <c r="E197" s="88"/>
      <c r="F197" s="88"/>
      <c r="G197" s="88"/>
    </row>
    <row r="198" spans="5:7" x14ac:dyDescent="0.35">
      <c r="E198" s="88"/>
      <c r="F198" s="88"/>
      <c r="G198" s="88"/>
    </row>
    <row r="199" spans="5:7" x14ac:dyDescent="0.35">
      <c r="E199" s="88"/>
      <c r="F199" s="88"/>
      <c r="G199" s="88"/>
    </row>
    <row r="200" spans="5:7" x14ac:dyDescent="0.35">
      <c r="E200" s="88"/>
      <c r="F200" s="88"/>
      <c r="G200" s="88"/>
    </row>
    <row r="201" spans="5:7" x14ac:dyDescent="0.35">
      <c r="E201" s="88"/>
      <c r="F201" s="88"/>
      <c r="G201" s="88"/>
    </row>
    <row r="202" spans="5:7" x14ac:dyDescent="0.35">
      <c r="E202" s="88"/>
      <c r="F202" s="88"/>
      <c r="G202" s="88"/>
    </row>
    <row r="203" spans="5:7" x14ac:dyDescent="0.35">
      <c r="E203" s="88"/>
      <c r="F203" s="88"/>
      <c r="G203" s="88"/>
    </row>
    <row r="204" spans="5:7" x14ac:dyDescent="0.35">
      <c r="E204" s="88"/>
      <c r="F204" s="88"/>
      <c r="G204" s="88"/>
    </row>
    <row r="205" spans="5:7" x14ac:dyDescent="0.35">
      <c r="E205" s="88"/>
      <c r="F205" s="88"/>
      <c r="G205" s="88"/>
    </row>
    <row r="206" spans="5:7" x14ac:dyDescent="0.35">
      <c r="E206" s="88"/>
      <c r="F206" s="88"/>
      <c r="G206" s="88"/>
    </row>
    <row r="207" spans="5:7" x14ac:dyDescent="0.35">
      <c r="E207" s="88"/>
      <c r="F207" s="88"/>
      <c r="G207" s="88"/>
    </row>
    <row r="208" spans="5:7" x14ac:dyDescent="0.35">
      <c r="E208" s="88"/>
      <c r="F208" s="88"/>
      <c r="G208" s="88"/>
    </row>
  </sheetData>
  <autoFilter ref="I2:K155" xr:uid="{B3A84DB8-EAC7-44B0-8C88-5CB4CF6D33D8}"/>
  <sortState xmlns:xlrd2="http://schemas.microsoft.com/office/spreadsheetml/2017/richdata2" ref="E5:G226">
    <sortCondition ref="E1:E226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31F4-3354-4418-A722-C29173C820C8}">
  <dimension ref="A3:J158"/>
  <sheetViews>
    <sheetView topLeftCell="A22" zoomScaleNormal="100" workbookViewId="0">
      <selection activeCell="G37" sqref="G37"/>
    </sheetView>
  </sheetViews>
  <sheetFormatPr defaultRowHeight="14.5" x14ac:dyDescent="0.35"/>
  <cols>
    <col min="1" max="1" width="31.08984375" customWidth="1"/>
    <col min="2" max="2" width="16.1796875" customWidth="1"/>
    <col min="3" max="3" width="17.90625" customWidth="1"/>
    <col min="4" max="4" width="5.26953125" customWidth="1"/>
    <col min="5" max="5" width="23" customWidth="1"/>
    <col min="6" max="6" width="17.7265625" customWidth="1"/>
    <col min="7" max="7" width="16.08984375" customWidth="1"/>
    <col min="8" max="8" width="5.08984375" customWidth="1"/>
    <col min="9" max="9" width="17.08984375" customWidth="1"/>
    <col min="10" max="10" width="13.7265625" customWidth="1"/>
  </cols>
  <sheetData>
    <row r="3" spans="1:10" x14ac:dyDescent="0.35">
      <c r="A3" s="32" t="s">
        <v>998</v>
      </c>
      <c r="B3" s="29">
        <v>250000</v>
      </c>
      <c r="C3" s="29">
        <v>0</v>
      </c>
      <c r="E3" s="1" t="s">
        <v>209</v>
      </c>
      <c r="F3" s="2">
        <v>250000</v>
      </c>
      <c r="G3" s="2">
        <v>0</v>
      </c>
      <c r="I3" s="31">
        <f>B3-F3</f>
        <v>0</v>
      </c>
      <c r="J3" s="31">
        <f>C3-G3</f>
        <v>0</v>
      </c>
    </row>
    <row r="4" spans="1:10" x14ac:dyDescent="0.35">
      <c r="A4" s="32" t="s">
        <v>70</v>
      </c>
      <c r="B4" s="29">
        <v>150000</v>
      </c>
      <c r="C4" s="29">
        <v>0</v>
      </c>
      <c r="E4" s="1" t="s">
        <v>70</v>
      </c>
      <c r="F4" s="2">
        <v>150000</v>
      </c>
      <c r="G4" s="2">
        <v>0</v>
      </c>
      <c r="I4" s="31">
        <f t="shared" ref="I4:I9" si="0">B4-F4</f>
        <v>0</v>
      </c>
      <c r="J4" s="31">
        <f t="shared" ref="J4:J9" si="1">C4-G4</f>
        <v>0</v>
      </c>
    </row>
    <row r="5" spans="1:10" x14ac:dyDescent="0.35">
      <c r="A5" s="32" t="s">
        <v>984</v>
      </c>
      <c r="B5" s="29">
        <v>150000</v>
      </c>
      <c r="C5" s="29">
        <v>3408467</v>
      </c>
      <c r="E5" s="1" t="s">
        <v>630</v>
      </c>
      <c r="F5" s="2">
        <v>150000</v>
      </c>
      <c r="G5" s="2">
        <v>3408467</v>
      </c>
      <c r="I5" s="31">
        <f t="shared" si="0"/>
        <v>0</v>
      </c>
      <c r="J5" s="31">
        <f t="shared" si="1"/>
        <v>0</v>
      </c>
    </row>
    <row r="6" spans="1:10" x14ac:dyDescent="0.35">
      <c r="A6" s="32" t="s">
        <v>57</v>
      </c>
      <c r="B6" s="29">
        <v>150000</v>
      </c>
      <c r="C6" s="29">
        <v>0</v>
      </c>
      <c r="E6" s="1" t="s">
        <v>57</v>
      </c>
      <c r="F6" s="2">
        <v>150000</v>
      </c>
      <c r="G6" s="2">
        <v>0</v>
      </c>
      <c r="I6" s="31">
        <f t="shared" si="0"/>
        <v>0</v>
      </c>
      <c r="J6" s="31">
        <f t="shared" si="1"/>
        <v>0</v>
      </c>
    </row>
    <row r="7" spans="1:10" x14ac:dyDescent="0.35">
      <c r="A7" s="32" t="s">
        <v>1012</v>
      </c>
      <c r="B7" s="29">
        <v>250000</v>
      </c>
      <c r="C7" s="29">
        <v>0</v>
      </c>
      <c r="E7" s="1" t="s">
        <v>165</v>
      </c>
      <c r="F7" s="2">
        <v>250000</v>
      </c>
      <c r="G7" s="2">
        <v>0</v>
      </c>
      <c r="I7" s="31">
        <f t="shared" si="0"/>
        <v>0</v>
      </c>
      <c r="J7" s="31">
        <f t="shared" si="1"/>
        <v>0</v>
      </c>
    </row>
    <row r="8" spans="1:10" x14ac:dyDescent="0.35">
      <c r="A8" s="32" t="s">
        <v>173</v>
      </c>
      <c r="B8" s="29">
        <v>150000</v>
      </c>
      <c r="C8" s="29">
        <v>0</v>
      </c>
      <c r="E8" s="1" t="s">
        <v>173</v>
      </c>
      <c r="F8" s="2">
        <v>150000</v>
      </c>
      <c r="G8" s="2">
        <v>0</v>
      </c>
      <c r="I8" s="31">
        <f t="shared" si="0"/>
        <v>0</v>
      </c>
      <c r="J8" s="31">
        <f t="shared" si="1"/>
        <v>0</v>
      </c>
    </row>
    <row r="9" spans="1:10" x14ac:dyDescent="0.35">
      <c r="A9" s="32" t="s">
        <v>59</v>
      </c>
      <c r="B9" s="29">
        <v>150000</v>
      </c>
      <c r="C9" s="29">
        <v>0</v>
      </c>
      <c r="E9" s="1" t="s">
        <v>59</v>
      </c>
      <c r="F9" s="2">
        <v>150000</v>
      </c>
      <c r="G9" s="2">
        <v>0</v>
      </c>
      <c r="I9" s="31">
        <f t="shared" si="0"/>
        <v>0</v>
      </c>
      <c r="J9" s="31">
        <f t="shared" si="1"/>
        <v>0</v>
      </c>
    </row>
    <row r="10" spans="1:10" x14ac:dyDescent="0.35">
      <c r="A10" s="32" t="s">
        <v>1027</v>
      </c>
      <c r="B10" s="29">
        <v>150000</v>
      </c>
      <c r="C10" s="29">
        <v>0</v>
      </c>
      <c r="E10" s="1" t="s">
        <v>218</v>
      </c>
      <c r="F10" s="2">
        <v>150000</v>
      </c>
      <c r="G10" s="2">
        <v>0</v>
      </c>
      <c r="I10" s="31">
        <f t="shared" ref="I10" si="2">B10-F10</f>
        <v>0</v>
      </c>
      <c r="J10" s="31">
        <f t="shared" ref="J10" si="3">C10-G10</f>
        <v>0</v>
      </c>
    </row>
    <row r="11" spans="1:10" x14ac:dyDescent="0.35">
      <c r="A11" s="32" t="s">
        <v>1069</v>
      </c>
      <c r="B11" s="29">
        <v>250000</v>
      </c>
      <c r="C11" s="29">
        <v>1699127</v>
      </c>
      <c r="E11" s="1" t="s">
        <v>85</v>
      </c>
      <c r="F11" s="2">
        <v>250000</v>
      </c>
      <c r="G11" s="2">
        <v>1699127</v>
      </c>
      <c r="I11" s="31">
        <f t="shared" ref="I11:I16" si="4">B11-F11</f>
        <v>0</v>
      </c>
      <c r="J11" s="31">
        <f t="shared" ref="J11:J16" si="5">C11-G11</f>
        <v>0</v>
      </c>
    </row>
    <row r="12" spans="1:10" x14ac:dyDescent="0.35">
      <c r="A12" s="32" t="s">
        <v>990</v>
      </c>
      <c r="B12" s="29">
        <v>250000</v>
      </c>
      <c r="C12" s="29">
        <v>0</v>
      </c>
      <c r="E12" s="1" t="s">
        <v>167</v>
      </c>
      <c r="F12" s="2">
        <v>250000</v>
      </c>
      <c r="G12" s="2">
        <v>0</v>
      </c>
      <c r="I12" s="31">
        <f t="shared" si="4"/>
        <v>0</v>
      </c>
      <c r="J12" s="31">
        <f t="shared" si="5"/>
        <v>0</v>
      </c>
    </row>
    <row r="13" spans="1:10" x14ac:dyDescent="0.35">
      <c r="A13" s="32"/>
      <c r="B13" s="29"/>
      <c r="C13" s="29"/>
      <c r="E13" s="3" t="s">
        <v>651</v>
      </c>
      <c r="F13" s="2">
        <v>150000</v>
      </c>
      <c r="G13" s="2"/>
      <c r="I13" s="31">
        <f t="shared" si="4"/>
        <v>-150000</v>
      </c>
      <c r="J13" s="31">
        <f t="shared" si="5"/>
        <v>0</v>
      </c>
    </row>
    <row r="14" spans="1:10" x14ac:dyDescent="0.35">
      <c r="A14" s="32" t="s">
        <v>995</v>
      </c>
      <c r="B14" s="29">
        <v>150000</v>
      </c>
      <c r="C14" s="29">
        <v>0</v>
      </c>
      <c r="E14" s="1" t="s">
        <v>129</v>
      </c>
      <c r="F14" s="2">
        <v>150000</v>
      </c>
      <c r="G14" s="2">
        <v>0</v>
      </c>
      <c r="I14" s="31">
        <f t="shared" si="4"/>
        <v>0</v>
      </c>
      <c r="J14" s="31">
        <f t="shared" si="5"/>
        <v>0</v>
      </c>
    </row>
    <row r="15" spans="1:10" x14ac:dyDescent="0.35">
      <c r="A15" s="32" t="s">
        <v>975</v>
      </c>
      <c r="B15" s="29">
        <v>150000</v>
      </c>
      <c r="C15" s="29">
        <v>0</v>
      </c>
      <c r="E15" s="1" t="s">
        <v>42</v>
      </c>
      <c r="F15" s="2">
        <v>150000</v>
      </c>
      <c r="G15" s="2">
        <v>0</v>
      </c>
      <c r="I15" s="31">
        <f t="shared" si="4"/>
        <v>0</v>
      </c>
      <c r="J15" s="31">
        <f t="shared" si="5"/>
        <v>0</v>
      </c>
    </row>
    <row r="16" spans="1:10" x14ac:dyDescent="0.35">
      <c r="A16" s="32" t="s">
        <v>1019</v>
      </c>
      <c r="B16" s="29">
        <v>250000</v>
      </c>
      <c r="C16" s="29">
        <v>0</v>
      </c>
      <c r="E16" s="1"/>
      <c r="F16" s="2"/>
      <c r="G16" s="2"/>
      <c r="I16" s="31">
        <f t="shared" si="4"/>
        <v>250000</v>
      </c>
      <c r="J16" s="31">
        <f t="shared" si="5"/>
        <v>0</v>
      </c>
    </row>
    <row r="17" spans="1:10" x14ac:dyDescent="0.35">
      <c r="A17" s="32" t="s">
        <v>1059</v>
      </c>
      <c r="B17" s="29">
        <v>350000</v>
      </c>
      <c r="C17" s="29">
        <v>0</v>
      </c>
      <c r="E17" s="1" t="s">
        <v>676</v>
      </c>
      <c r="F17" s="2">
        <v>350000</v>
      </c>
      <c r="G17" s="2">
        <v>0</v>
      </c>
      <c r="I17" s="31">
        <f t="shared" ref="I17:I19" si="6">B17-F17</f>
        <v>0</v>
      </c>
      <c r="J17" s="31">
        <f t="shared" ref="J17:J19" si="7">C17-G17</f>
        <v>0</v>
      </c>
    </row>
    <row r="18" spans="1:10" x14ac:dyDescent="0.35">
      <c r="A18" s="32" t="s">
        <v>985</v>
      </c>
      <c r="B18" s="29">
        <v>350000</v>
      </c>
      <c r="C18" s="29">
        <v>0</v>
      </c>
      <c r="E18" s="1" t="s">
        <v>6</v>
      </c>
      <c r="F18" s="2">
        <v>350000</v>
      </c>
      <c r="G18" s="2">
        <v>0</v>
      </c>
      <c r="I18" s="31">
        <f t="shared" si="6"/>
        <v>0</v>
      </c>
      <c r="J18" s="31">
        <f t="shared" si="7"/>
        <v>0</v>
      </c>
    </row>
    <row r="19" spans="1:10" x14ac:dyDescent="0.35">
      <c r="A19" s="32" t="s">
        <v>1058</v>
      </c>
      <c r="B19" s="29">
        <v>250000</v>
      </c>
      <c r="C19" s="29">
        <v>0</v>
      </c>
      <c r="E19" s="1" t="s">
        <v>39</v>
      </c>
      <c r="F19" s="2">
        <v>250000</v>
      </c>
      <c r="G19" s="2">
        <v>0</v>
      </c>
      <c r="I19" s="31">
        <f t="shared" si="6"/>
        <v>0</v>
      </c>
      <c r="J19" s="31">
        <f t="shared" si="7"/>
        <v>0</v>
      </c>
    </row>
    <row r="20" spans="1:10" x14ac:dyDescent="0.35">
      <c r="A20" s="33" t="s">
        <v>1074</v>
      </c>
      <c r="B20" s="29">
        <v>350000</v>
      </c>
      <c r="C20" s="29">
        <v>0</v>
      </c>
      <c r="E20" s="1" t="s">
        <v>678</v>
      </c>
      <c r="F20" s="2">
        <v>350000</v>
      </c>
      <c r="G20" s="2">
        <v>0</v>
      </c>
      <c r="I20" s="31">
        <f t="shared" ref="I20:I23" si="8">B20-F20</f>
        <v>0</v>
      </c>
      <c r="J20" s="31">
        <f t="shared" ref="J20:J23" si="9">C20-G20</f>
        <v>0</v>
      </c>
    </row>
    <row r="21" spans="1:10" x14ac:dyDescent="0.35">
      <c r="A21" s="32" t="s">
        <v>1037</v>
      </c>
      <c r="B21" s="29">
        <v>150000</v>
      </c>
      <c r="C21" s="29">
        <v>1000000</v>
      </c>
      <c r="E21" s="1" t="s">
        <v>669</v>
      </c>
      <c r="F21" s="2">
        <v>150000</v>
      </c>
      <c r="G21" s="2">
        <v>1000000</v>
      </c>
      <c r="I21" s="31">
        <f t="shared" si="8"/>
        <v>0</v>
      </c>
      <c r="J21" s="31">
        <f t="shared" si="9"/>
        <v>0</v>
      </c>
    </row>
    <row r="22" spans="1:10" x14ac:dyDescent="0.35">
      <c r="A22" s="32" t="s">
        <v>973</v>
      </c>
      <c r="B22" s="29">
        <v>150000</v>
      </c>
      <c r="C22" s="29">
        <v>2500000</v>
      </c>
      <c r="E22" s="1" t="s">
        <v>638</v>
      </c>
      <c r="F22" s="2">
        <v>150000</v>
      </c>
      <c r="G22" s="2">
        <v>2500000</v>
      </c>
      <c r="I22" s="31">
        <f t="shared" si="8"/>
        <v>0</v>
      </c>
      <c r="J22" s="31">
        <f t="shared" si="9"/>
        <v>0</v>
      </c>
    </row>
    <row r="23" spans="1:10" x14ac:dyDescent="0.35">
      <c r="A23" s="32" t="s">
        <v>1001</v>
      </c>
      <c r="B23" s="29">
        <v>250000</v>
      </c>
      <c r="C23" s="29">
        <v>0</v>
      </c>
      <c r="E23" s="1" t="s">
        <v>89</v>
      </c>
      <c r="F23" s="2">
        <v>250000</v>
      </c>
      <c r="G23" s="2">
        <v>0</v>
      </c>
      <c r="I23" s="31">
        <f t="shared" si="8"/>
        <v>0</v>
      </c>
      <c r="J23" s="31">
        <f t="shared" si="9"/>
        <v>0</v>
      </c>
    </row>
    <row r="24" spans="1:10" x14ac:dyDescent="0.35">
      <c r="A24" s="32" t="s">
        <v>1041</v>
      </c>
      <c r="B24" s="29">
        <v>100000</v>
      </c>
      <c r="C24" s="29">
        <v>100000</v>
      </c>
      <c r="E24" s="1" t="s">
        <v>600</v>
      </c>
      <c r="F24" s="2">
        <v>100000</v>
      </c>
      <c r="G24" s="2">
        <v>100000</v>
      </c>
      <c r="I24" s="31">
        <f t="shared" ref="I24:I36" si="10">B24-F24</f>
        <v>0</v>
      </c>
      <c r="J24" s="31">
        <f t="shared" ref="J24:J36" si="11">C24-G24</f>
        <v>0</v>
      </c>
    </row>
    <row r="25" spans="1:10" x14ac:dyDescent="0.35">
      <c r="A25" s="32" t="s">
        <v>1013</v>
      </c>
      <c r="B25" s="29">
        <v>250000</v>
      </c>
      <c r="C25" s="29">
        <v>0</v>
      </c>
      <c r="E25" s="1"/>
      <c r="F25" s="2"/>
      <c r="G25" s="2"/>
      <c r="I25" s="31">
        <f t="shared" si="10"/>
        <v>250000</v>
      </c>
      <c r="J25" s="31">
        <f t="shared" si="11"/>
        <v>0</v>
      </c>
    </row>
    <row r="26" spans="1:10" x14ac:dyDescent="0.35">
      <c r="A26" s="32" t="s">
        <v>1006</v>
      </c>
      <c r="B26" s="29">
        <v>150000</v>
      </c>
      <c r="C26" s="29">
        <v>0</v>
      </c>
      <c r="E26" s="1"/>
      <c r="F26" s="2"/>
      <c r="G26" s="2"/>
      <c r="I26" s="31">
        <f t="shared" si="10"/>
        <v>150000</v>
      </c>
      <c r="J26" s="31">
        <f t="shared" si="11"/>
        <v>0</v>
      </c>
    </row>
    <row r="27" spans="1:10" x14ac:dyDescent="0.35">
      <c r="A27" s="32" t="s">
        <v>1073</v>
      </c>
      <c r="B27" s="29">
        <v>250000</v>
      </c>
      <c r="C27" s="29">
        <v>0</v>
      </c>
      <c r="E27" s="1" t="s">
        <v>171</v>
      </c>
      <c r="F27" s="2">
        <v>250000</v>
      </c>
      <c r="G27" s="2">
        <v>0</v>
      </c>
      <c r="I27" s="31">
        <f t="shared" si="10"/>
        <v>0</v>
      </c>
      <c r="J27" s="31">
        <f t="shared" si="11"/>
        <v>0</v>
      </c>
    </row>
    <row r="28" spans="1:10" x14ac:dyDescent="0.35">
      <c r="A28" s="32" t="s">
        <v>1025</v>
      </c>
      <c r="B28" s="29">
        <v>350000</v>
      </c>
      <c r="C28" s="29">
        <v>0</v>
      </c>
      <c r="E28" s="1" t="s">
        <v>169</v>
      </c>
      <c r="F28" s="2">
        <v>350000</v>
      </c>
      <c r="G28" s="2">
        <v>0</v>
      </c>
      <c r="I28" s="31">
        <f t="shared" si="10"/>
        <v>0</v>
      </c>
      <c r="J28" s="31">
        <f t="shared" si="11"/>
        <v>0</v>
      </c>
    </row>
    <row r="29" spans="1:10" x14ac:dyDescent="0.35">
      <c r="A29" s="32" t="s">
        <v>992</v>
      </c>
      <c r="B29" s="29">
        <v>150000</v>
      </c>
      <c r="C29" s="29">
        <v>0</v>
      </c>
      <c r="E29" s="1" t="s">
        <v>112</v>
      </c>
      <c r="F29" s="2">
        <v>150000</v>
      </c>
      <c r="G29" s="2">
        <v>0</v>
      </c>
      <c r="I29" s="31">
        <f t="shared" si="10"/>
        <v>0</v>
      </c>
      <c r="J29" s="31">
        <f t="shared" si="11"/>
        <v>0</v>
      </c>
    </row>
    <row r="30" spans="1:10" x14ac:dyDescent="0.35">
      <c r="A30" s="32" t="s">
        <v>9</v>
      </c>
      <c r="B30" s="29">
        <v>150000</v>
      </c>
      <c r="C30" s="29">
        <v>0</v>
      </c>
      <c r="E30" s="1" t="s">
        <v>9</v>
      </c>
      <c r="F30" s="2">
        <v>150000</v>
      </c>
      <c r="G30" s="2">
        <v>0</v>
      </c>
      <c r="I30" s="31">
        <f t="shared" si="10"/>
        <v>0</v>
      </c>
      <c r="J30" s="31">
        <f t="shared" si="11"/>
        <v>0</v>
      </c>
    </row>
    <row r="31" spans="1:10" x14ac:dyDescent="0.35">
      <c r="A31" s="32" t="s">
        <v>592</v>
      </c>
      <c r="B31" s="29">
        <v>150000</v>
      </c>
      <c r="C31" s="29">
        <v>2500000</v>
      </c>
      <c r="E31" s="1" t="s">
        <v>592</v>
      </c>
      <c r="F31" s="2">
        <v>150000</v>
      </c>
      <c r="G31" s="2">
        <v>2500000</v>
      </c>
      <c r="I31" s="31">
        <f t="shared" si="10"/>
        <v>0</v>
      </c>
      <c r="J31" s="31">
        <f t="shared" si="11"/>
        <v>0</v>
      </c>
    </row>
    <row r="32" spans="1:10" x14ac:dyDescent="0.35">
      <c r="A32" s="32" t="s">
        <v>61</v>
      </c>
      <c r="B32" s="29">
        <v>150000</v>
      </c>
      <c r="C32" s="29">
        <v>0</v>
      </c>
      <c r="E32" s="1" t="s">
        <v>61</v>
      </c>
      <c r="F32" s="2">
        <v>150000</v>
      </c>
      <c r="G32" s="2">
        <v>0</v>
      </c>
      <c r="I32" s="31">
        <f t="shared" si="10"/>
        <v>0</v>
      </c>
      <c r="J32" s="31">
        <f t="shared" si="11"/>
        <v>0</v>
      </c>
    </row>
    <row r="33" spans="1:10" x14ac:dyDescent="0.35">
      <c r="A33" s="32" t="s">
        <v>1015</v>
      </c>
      <c r="B33" s="29">
        <v>150000</v>
      </c>
      <c r="C33" s="29">
        <v>0</v>
      </c>
      <c r="E33" s="1" t="s">
        <v>181</v>
      </c>
      <c r="F33" s="2">
        <v>150000</v>
      </c>
      <c r="G33" s="2">
        <v>0</v>
      </c>
      <c r="I33" s="31">
        <f t="shared" si="10"/>
        <v>0</v>
      </c>
      <c r="J33" s="31">
        <f t="shared" si="11"/>
        <v>0</v>
      </c>
    </row>
    <row r="34" spans="1:10" x14ac:dyDescent="0.35">
      <c r="A34" s="32" t="s">
        <v>1068</v>
      </c>
      <c r="B34" s="29">
        <v>500000</v>
      </c>
      <c r="C34" s="29">
        <v>0</v>
      </c>
      <c r="E34" s="1" t="s">
        <v>156</v>
      </c>
      <c r="F34" s="2">
        <v>500000</v>
      </c>
      <c r="G34" s="2">
        <v>0</v>
      </c>
      <c r="I34" s="31">
        <f t="shared" si="10"/>
        <v>0</v>
      </c>
      <c r="J34" s="31">
        <f t="shared" si="11"/>
        <v>0</v>
      </c>
    </row>
    <row r="35" spans="1:10" x14ac:dyDescent="0.35">
      <c r="A35" s="32" t="s">
        <v>35</v>
      </c>
      <c r="B35" s="29">
        <v>150000</v>
      </c>
      <c r="C35" s="29">
        <v>0</v>
      </c>
      <c r="E35" s="1" t="s">
        <v>35</v>
      </c>
      <c r="F35" s="2">
        <v>150000</v>
      </c>
      <c r="G35" s="2">
        <v>0</v>
      </c>
      <c r="I35" s="31">
        <f t="shared" si="10"/>
        <v>0</v>
      </c>
      <c r="J35" s="31">
        <f t="shared" si="11"/>
        <v>0</v>
      </c>
    </row>
    <row r="36" spans="1:10" x14ac:dyDescent="0.35">
      <c r="A36" s="32" t="s">
        <v>220</v>
      </c>
      <c r="B36" s="29">
        <v>100000</v>
      </c>
      <c r="C36" s="29">
        <v>0</v>
      </c>
      <c r="E36" s="1" t="s">
        <v>220</v>
      </c>
      <c r="F36" s="2">
        <v>100000</v>
      </c>
      <c r="G36" s="2">
        <v>0</v>
      </c>
      <c r="I36" s="31">
        <f t="shared" si="10"/>
        <v>0</v>
      </c>
      <c r="J36" s="31">
        <f t="shared" si="11"/>
        <v>0</v>
      </c>
    </row>
    <row r="37" spans="1:10" x14ac:dyDescent="0.35">
      <c r="A37" s="32" t="s">
        <v>1003</v>
      </c>
      <c r="B37" s="29">
        <v>350000</v>
      </c>
      <c r="C37" s="29">
        <v>0</v>
      </c>
      <c r="E37" s="1" t="s">
        <v>150</v>
      </c>
      <c r="F37" s="2">
        <v>350000</v>
      </c>
      <c r="G37" s="2">
        <v>0</v>
      </c>
      <c r="I37" s="31">
        <f t="shared" ref="I37:I54" si="12">B37-F37</f>
        <v>0</v>
      </c>
      <c r="J37" s="31">
        <f t="shared" ref="J37:J54" si="13">C37-G37</f>
        <v>0</v>
      </c>
    </row>
    <row r="38" spans="1:10" x14ac:dyDescent="0.35">
      <c r="A38" s="32"/>
      <c r="B38" s="29"/>
      <c r="C38" s="29"/>
      <c r="E38" s="3" t="s">
        <v>581</v>
      </c>
      <c r="F38" s="2">
        <v>350000</v>
      </c>
      <c r="G38" s="2"/>
      <c r="I38" s="31">
        <f t="shared" si="12"/>
        <v>-350000</v>
      </c>
      <c r="J38" s="31">
        <f t="shared" si="13"/>
        <v>0</v>
      </c>
    </row>
    <row r="39" spans="1:10" x14ac:dyDescent="0.35">
      <c r="A39" s="32" t="s">
        <v>1044</v>
      </c>
      <c r="B39" s="29">
        <v>100000</v>
      </c>
      <c r="C39" s="29">
        <v>0</v>
      </c>
      <c r="E39" s="1" t="s">
        <v>653</v>
      </c>
      <c r="F39" s="2">
        <v>100000</v>
      </c>
      <c r="G39" s="2"/>
      <c r="I39" s="31">
        <f t="shared" si="12"/>
        <v>0</v>
      </c>
      <c r="J39" s="31">
        <f t="shared" si="13"/>
        <v>0</v>
      </c>
    </row>
    <row r="40" spans="1:10" x14ac:dyDescent="0.35">
      <c r="A40" s="32" t="s">
        <v>1004</v>
      </c>
      <c r="B40" s="29">
        <v>150000</v>
      </c>
      <c r="C40" s="29">
        <v>0</v>
      </c>
      <c r="E40" s="1" t="s">
        <v>92</v>
      </c>
      <c r="F40" s="2">
        <v>150000</v>
      </c>
      <c r="G40" s="2">
        <v>0</v>
      </c>
      <c r="I40" s="31">
        <f t="shared" si="12"/>
        <v>0</v>
      </c>
      <c r="J40" s="31">
        <f t="shared" si="13"/>
        <v>0</v>
      </c>
    </row>
    <row r="41" spans="1:10" x14ac:dyDescent="0.35">
      <c r="A41" s="32" t="s">
        <v>644</v>
      </c>
      <c r="B41" s="29">
        <v>150000</v>
      </c>
      <c r="C41" s="29">
        <v>2125000</v>
      </c>
      <c r="E41" s="1" t="s">
        <v>644</v>
      </c>
      <c r="F41" s="2">
        <v>150000</v>
      </c>
      <c r="G41" s="2">
        <v>2125000</v>
      </c>
      <c r="I41" s="31">
        <f t="shared" si="12"/>
        <v>0</v>
      </c>
      <c r="J41" s="31">
        <f t="shared" si="13"/>
        <v>0</v>
      </c>
    </row>
    <row r="42" spans="1:10" x14ac:dyDescent="0.35">
      <c r="A42" s="32" t="s">
        <v>1031</v>
      </c>
      <c r="B42" s="29">
        <v>250000</v>
      </c>
      <c r="C42" s="29">
        <v>0</v>
      </c>
      <c r="E42" s="1" t="s">
        <v>590</v>
      </c>
      <c r="F42" s="2">
        <v>250000</v>
      </c>
      <c r="G42" s="2">
        <v>0</v>
      </c>
      <c r="I42" s="31">
        <f t="shared" si="12"/>
        <v>0</v>
      </c>
      <c r="J42" s="31">
        <f t="shared" si="13"/>
        <v>0</v>
      </c>
    </row>
    <row r="43" spans="1:10" x14ac:dyDescent="0.35">
      <c r="A43" s="33" t="s">
        <v>1077</v>
      </c>
      <c r="B43" s="29">
        <v>350000</v>
      </c>
      <c r="C43" s="29">
        <v>0</v>
      </c>
      <c r="E43" s="1" t="s">
        <v>159</v>
      </c>
      <c r="F43" s="2">
        <v>350000</v>
      </c>
      <c r="G43" s="2">
        <v>0</v>
      </c>
      <c r="I43" s="31">
        <f t="shared" si="12"/>
        <v>0</v>
      </c>
      <c r="J43" s="31">
        <f t="shared" si="13"/>
        <v>0</v>
      </c>
    </row>
    <row r="44" spans="1:10" x14ac:dyDescent="0.35">
      <c r="A44" s="33" t="s">
        <v>608</v>
      </c>
      <c r="B44" s="29">
        <v>100000</v>
      </c>
      <c r="C44" s="29">
        <v>2500000</v>
      </c>
      <c r="E44" s="1" t="s">
        <v>608</v>
      </c>
      <c r="F44" s="2">
        <v>100000</v>
      </c>
      <c r="G44" s="2">
        <v>2500000</v>
      </c>
      <c r="I44" s="31">
        <f t="shared" si="12"/>
        <v>0</v>
      </c>
      <c r="J44" s="31">
        <f t="shared" si="13"/>
        <v>0</v>
      </c>
    </row>
    <row r="45" spans="1:10" x14ac:dyDescent="0.35">
      <c r="A45" s="32" t="s">
        <v>622</v>
      </c>
      <c r="B45" s="29">
        <v>150000</v>
      </c>
      <c r="C45" s="29">
        <v>2041667</v>
      </c>
      <c r="E45" s="1" t="s">
        <v>622</v>
      </c>
      <c r="F45" s="2">
        <v>150000</v>
      </c>
      <c r="G45" s="2">
        <v>2041667</v>
      </c>
      <c r="I45" s="31">
        <f t="shared" si="12"/>
        <v>0</v>
      </c>
      <c r="J45" s="31">
        <f t="shared" si="13"/>
        <v>0</v>
      </c>
    </row>
    <row r="46" spans="1:10" x14ac:dyDescent="0.35">
      <c r="A46" s="32" t="s">
        <v>970</v>
      </c>
      <c r="B46" s="29">
        <v>350000</v>
      </c>
      <c r="C46" s="29">
        <v>0</v>
      </c>
      <c r="E46" s="1" t="s">
        <v>26</v>
      </c>
      <c r="F46" s="2">
        <v>350000</v>
      </c>
      <c r="G46" s="2">
        <v>0</v>
      </c>
      <c r="I46" s="31">
        <f t="shared" si="12"/>
        <v>0</v>
      </c>
      <c r="J46" s="31">
        <f t="shared" si="13"/>
        <v>0</v>
      </c>
    </row>
    <row r="47" spans="1:10" x14ac:dyDescent="0.35">
      <c r="A47" s="32" t="s">
        <v>1072</v>
      </c>
      <c r="B47" s="29">
        <v>500000</v>
      </c>
      <c r="C47" s="29">
        <v>0</v>
      </c>
      <c r="E47" s="1" t="s">
        <v>673</v>
      </c>
      <c r="F47" s="2">
        <v>500000</v>
      </c>
      <c r="G47" s="2">
        <v>0</v>
      </c>
      <c r="I47" s="31">
        <f t="shared" si="12"/>
        <v>0</v>
      </c>
      <c r="J47" s="31">
        <f t="shared" si="13"/>
        <v>0</v>
      </c>
    </row>
    <row r="48" spans="1:10" x14ac:dyDescent="0.35">
      <c r="A48" s="32" t="s">
        <v>1040</v>
      </c>
      <c r="B48" s="29">
        <v>100000</v>
      </c>
      <c r="C48" s="29">
        <v>100000</v>
      </c>
      <c r="E48" s="1" t="s">
        <v>602</v>
      </c>
      <c r="F48" s="2">
        <v>100000</v>
      </c>
      <c r="G48" s="2">
        <v>100000</v>
      </c>
      <c r="I48" s="31">
        <f t="shared" si="12"/>
        <v>0</v>
      </c>
      <c r="J48" s="31">
        <f t="shared" si="13"/>
        <v>0</v>
      </c>
    </row>
    <row r="49" spans="1:10" x14ac:dyDescent="0.35">
      <c r="A49" s="32" t="s">
        <v>1020</v>
      </c>
      <c r="B49" s="29">
        <v>250000</v>
      </c>
      <c r="C49" s="29">
        <v>0</v>
      </c>
      <c r="E49" s="1" t="s">
        <v>143</v>
      </c>
      <c r="F49" s="2">
        <v>250000</v>
      </c>
      <c r="G49" s="2">
        <v>0</v>
      </c>
      <c r="I49" s="31">
        <f t="shared" si="12"/>
        <v>0</v>
      </c>
      <c r="J49" s="31">
        <f t="shared" si="13"/>
        <v>0</v>
      </c>
    </row>
    <row r="50" spans="1:10" x14ac:dyDescent="0.35">
      <c r="A50" s="32" t="s">
        <v>1030</v>
      </c>
      <c r="B50" s="29">
        <v>150000</v>
      </c>
      <c r="C50" s="29">
        <v>0</v>
      </c>
      <c r="E50" s="1" t="s">
        <v>655</v>
      </c>
      <c r="F50" s="2">
        <v>150000</v>
      </c>
      <c r="G50" s="2">
        <v>0</v>
      </c>
      <c r="I50" s="31">
        <f t="shared" si="12"/>
        <v>0</v>
      </c>
      <c r="J50" s="31">
        <f t="shared" si="13"/>
        <v>0</v>
      </c>
    </row>
    <row r="51" spans="1:10" x14ac:dyDescent="0.35">
      <c r="A51" s="32" t="s">
        <v>986</v>
      </c>
      <c r="B51" s="29">
        <v>250000</v>
      </c>
      <c r="C51" s="29">
        <v>6272588</v>
      </c>
      <c r="E51" s="1" t="s">
        <v>11</v>
      </c>
      <c r="F51" s="2">
        <v>250000</v>
      </c>
      <c r="G51" s="2">
        <v>6272588</v>
      </c>
      <c r="I51" s="31">
        <f t="shared" si="12"/>
        <v>0</v>
      </c>
      <c r="J51" s="31">
        <f t="shared" si="13"/>
        <v>0</v>
      </c>
    </row>
    <row r="52" spans="1:10" x14ac:dyDescent="0.35">
      <c r="A52" s="32" t="s">
        <v>49</v>
      </c>
      <c r="B52" s="29">
        <v>150000</v>
      </c>
      <c r="C52" s="29">
        <v>0</v>
      </c>
      <c r="E52" s="1" t="s">
        <v>49</v>
      </c>
      <c r="F52" s="2">
        <v>150000</v>
      </c>
      <c r="G52" s="2">
        <v>0</v>
      </c>
      <c r="I52" s="31">
        <f t="shared" si="12"/>
        <v>0</v>
      </c>
      <c r="J52" s="31">
        <f t="shared" si="13"/>
        <v>0</v>
      </c>
    </row>
    <row r="53" spans="1:10" x14ac:dyDescent="0.35">
      <c r="A53" s="32" t="s">
        <v>1054</v>
      </c>
      <c r="B53" s="29">
        <v>350000</v>
      </c>
      <c r="C53" s="29">
        <v>0</v>
      </c>
      <c r="E53" s="1" t="s">
        <v>586</v>
      </c>
      <c r="F53" s="2">
        <v>350000</v>
      </c>
      <c r="G53" s="2">
        <v>0</v>
      </c>
      <c r="I53" s="31">
        <f t="shared" si="12"/>
        <v>0</v>
      </c>
      <c r="J53" s="31">
        <f t="shared" si="13"/>
        <v>0</v>
      </c>
    </row>
    <row r="54" spans="1:10" x14ac:dyDescent="0.35">
      <c r="A54" s="32" t="s">
        <v>1043</v>
      </c>
      <c r="B54" s="29">
        <v>100000</v>
      </c>
      <c r="C54" s="29">
        <v>1000000</v>
      </c>
      <c r="E54" s="1" t="s">
        <v>657</v>
      </c>
      <c r="F54" s="2">
        <v>100000</v>
      </c>
      <c r="G54" s="2">
        <v>1000000</v>
      </c>
      <c r="I54" s="31">
        <f t="shared" si="12"/>
        <v>0</v>
      </c>
      <c r="J54" s="31">
        <f t="shared" si="13"/>
        <v>0</v>
      </c>
    </row>
    <row r="55" spans="1:10" x14ac:dyDescent="0.35">
      <c r="A55" s="32" t="s">
        <v>968</v>
      </c>
      <c r="B55" s="29">
        <v>250000</v>
      </c>
      <c r="C55" s="29">
        <v>0</v>
      </c>
      <c r="E55" s="1" t="s">
        <v>103</v>
      </c>
      <c r="F55" s="2">
        <v>250000</v>
      </c>
      <c r="G55" s="2">
        <v>0</v>
      </c>
      <c r="I55" s="31">
        <f t="shared" ref="I55:I58" si="14">B55-F55</f>
        <v>0</v>
      </c>
      <c r="J55" s="31">
        <f t="shared" ref="J55:J58" si="15">C55-G55</f>
        <v>0</v>
      </c>
    </row>
    <row r="56" spans="1:10" x14ac:dyDescent="0.35">
      <c r="A56" s="32" t="s">
        <v>1057</v>
      </c>
      <c r="B56" s="29">
        <v>350000</v>
      </c>
      <c r="C56" s="29">
        <v>4722725</v>
      </c>
      <c r="E56" s="1" t="s">
        <v>684</v>
      </c>
      <c r="F56" s="2">
        <v>350000</v>
      </c>
      <c r="G56" s="2">
        <v>4722725</v>
      </c>
      <c r="I56" s="31">
        <f t="shared" si="14"/>
        <v>0</v>
      </c>
      <c r="J56" s="31">
        <f t="shared" si="15"/>
        <v>0</v>
      </c>
    </row>
    <row r="57" spans="1:10" x14ac:dyDescent="0.35">
      <c r="A57" s="32" t="s">
        <v>1033</v>
      </c>
      <c r="B57" s="29">
        <v>100000</v>
      </c>
      <c r="C57" s="29">
        <v>0</v>
      </c>
      <c r="E57" s="1" t="s">
        <v>610</v>
      </c>
      <c r="F57" s="2">
        <v>100000</v>
      </c>
      <c r="G57" s="2">
        <v>0</v>
      </c>
      <c r="I57" s="31">
        <f t="shared" si="14"/>
        <v>0</v>
      </c>
      <c r="J57" s="31">
        <f t="shared" si="15"/>
        <v>0</v>
      </c>
    </row>
    <row r="58" spans="1:10" x14ac:dyDescent="0.35">
      <c r="A58" s="32" t="s">
        <v>1017</v>
      </c>
      <c r="B58" s="29">
        <v>250000</v>
      </c>
      <c r="C58" s="29">
        <v>5373475</v>
      </c>
      <c r="E58" s="3" t="s">
        <v>185</v>
      </c>
      <c r="F58" s="2">
        <v>250000</v>
      </c>
      <c r="G58" s="2">
        <v>5373475</v>
      </c>
      <c r="I58" s="31">
        <f t="shared" si="14"/>
        <v>0</v>
      </c>
      <c r="J58" s="31">
        <f t="shared" si="15"/>
        <v>0</v>
      </c>
    </row>
    <row r="59" spans="1:10" x14ac:dyDescent="0.35">
      <c r="A59" s="32" t="s">
        <v>21</v>
      </c>
      <c r="B59" s="29">
        <v>150000</v>
      </c>
      <c r="C59" s="29">
        <v>0</v>
      </c>
      <c r="E59" s="1" t="s">
        <v>21</v>
      </c>
      <c r="F59" s="2">
        <v>150000</v>
      </c>
      <c r="G59" s="2">
        <v>0</v>
      </c>
      <c r="I59" s="31">
        <f t="shared" ref="I59:I80" si="16">B59-F59</f>
        <v>0</v>
      </c>
      <c r="J59" s="31">
        <f t="shared" ref="J59:J80" si="17">C59-G59</f>
        <v>0</v>
      </c>
    </row>
    <row r="60" spans="1:10" x14ac:dyDescent="0.35">
      <c r="A60" s="32" t="s">
        <v>1036</v>
      </c>
      <c r="B60" s="29">
        <v>150000</v>
      </c>
      <c r="C60" s="29">
        <v>0</v>
      </c>
      <c r="E60" s="1" t="s">
        <v>594</v>
      </c>
      <c r="F60" s="2">
        <v>150000</v>
      </c>
      <c r="G60" s="2">
        <v>0</v>
      </c>
      <c r="I60" s="31">
        <f t="shared" si="16"/>
        <v>0</v>
      </c>
      <c r="J60" s="31">
        <f t="shared" si="17"/>
        <v>0</v>
      </c>
    </row>
    <row r="61" spans="1:10" x14ac:dyDescent="0.35">
      <c r="A61" s="32"/>
      <c r="B61" s="29"/>
      <c r="C61" s="29"/>
      <c r="E61" s="3" t="s">
        <v>642</v>
      </c>
      <c r="F61" s="2">
        <v>350000</v>
      </c>
      <c r="G61" s="2">
        <v>0</v>
      </c>
      <c r="I61" s="31">
        <f t="shared" si="16"/>
        <v>-350000</v>
      </c>
      <c r="J61" s="31">
        <f t="shared" si="17"/>
        <v>0</v>
      </c>
    </row>
    <row r="62" spans="1:10" x14ac:dyDescent="0.35">
      <c r="A62" s="32" t="s">
        <v>971</v>
      </c>
      <c r="B62" s="29">
        <v>150000</v>
      </c>
      <c r="C62" s="29">
        <v>0</v>
      </c>
      <c r="E62" s="1" t="s">
        <v>29</v>
      </c>
      <c r="F62" s="2">
        <v>150000</v>
      </c>
      <c r="G62" s="2">
        <v>0</v>
      </c>
      <c r="I62" s="31">
        <f t="shared" si="16"/>
        <v>0</v>
      </c>
      <c r="J62" s="31">
        <f t="shared" si="17"/>
        <v>0</v>
      </c>
    </row>
    <row r="63" spans="1:10" x14ac:dyDescent="0.35">
      <c r="A63" s="32" t="s">
        <v>1007</v>
      </c>
      <c r="B63" s="29">
        <v>150000</v>
      </c>
      <c r="C63" s="29">
        <v>0</v>
      </c>
      <c r="E63" s="1" t="s">
        <v>193</v>
      </c>
      <c r="F63" s="2">
        <v>150000</v>
      </c>
      <c r="G63" s="2">
        <v>0</v>
      </c>
      <c r="I63" s="31">
        <f t="shared" si="16"/>
        <v>0</v>
      </c>
      <c r="J63" s="31">
        <f t="shared" si="17"/>
        <v>0</v>
      </c>
    </row>
    <row r="64" spans="1:10" x14ac:dyDescent="0.35">
      <c r="A64" s="32"/>
      <c r="B64" s="29"/>
      <c r="C64" s="29"/>
      <c r="E64" s="3" t="s">
        <v>584</v>
      </c>
      <c r="F64" s="2">
        <v>150000</v>
      </c>
      <c r="G64" s="2">
        <v>1890628</v>
      </c>
      <c r="I64" s="31">
        <f t="shared" si="16"/>
        <v>-150000</v>
      </c>
      <c r="J64" s="31">
        <f t="shared" si="17"/>
        <v>-1890628</v>
      </c>
    </row>
    <row r="65" spans="1:10" x14ac:dyDescent="0.35">
      <c r="A65" s="32" t="s">
        <v>1051</v>
      </c>
      <c r="B65" s="29">
        <v>150000</v>
      </c>
      <c r="C65" s="29">
        <v>1625122</v>
      </c>
      <c r="E65" s="1" t="s">
        <v>640</v>
      </c>
      <c r="F65" s="2">
        <v>150000</v>
      </c>
      <c r="G65" s="2">
        <v>1625122</v>
      </c>
      <c r="I65" s="31">
        <f t="shared" si="16"/>
        <v>0</v>
      </c>
      <c r="J65" s="31">
        <f t="shared" si="17"/>
        <v>0</v>
      </c>
    </row>
    <row r="66" spans="1:10" x14ac:dyDescent="0.35">
      <c r="A66" s="32" t="s">
        <v>1034</v>
      </c>
      <c r="B66" s="29">
        <v>100000</v>
      </c>
      <c r="C66" s="29">
        <v>0</v>
      </c>
      <c r="E66" s="1" t="s">
        <v>659</v>
      </c>
      <c r="F66" s="2">
        <v>100000</v>
      </c>
      <c r="G66" s="2">
        <v>0</v>
      </c>
      <c r="I66" s="31">
        <f t="shared" si="16"/>
        <v>0</v>
      </c>
      <c r="J66" s="31">
        <f t="shared" si="17"/>
        <v>0</v>
      </c>
    </row>
    <row r="67" spans="1:10" x14ac:dyDescent="0.35">
      <c r="A67" s="32" t="s">
        <v>974</v>
      </c>
      <c r="B67" s="29">
        <v>150000</v>
      </c>
      <c r="C67" s="29">
        <v>0</v>
      </c>
      <c r="E67" s="1" t="s">
        <v>626</v>
      </c>
      <c r="F67" s="2">
        <v>150000</v>
      </c>
      <c r="G67" s="2">
        <v>0</v>
      </c>
      <c r="I67" s="31">
        <f t="shared" si="16"/>
        <v>0</v>
      </c>
      <c r="J67" s="31">
        <f t="shared" si="17"/>
        <v>0</v>
      </c>
    </row>
    <row r="68" spans="1:10" x14ac:dyDescent="0.35">
      <c r="A68" s="32" t="s">
        <v>994</v>
      </c>
      <c r="B68" s="29">
        <v>150000</v>
      </c>
      <c r="C68" s="29">
        <v>1701389</v>
      </c>
      <c r="E68" s="1" t="s">
        <v>122</v>
      </c>
      <c r="F68" s="2">
        <v>150000</v>
      </c>
      <c r="G68" s="2">
        <v>1701389</v>
      </c>
      <c r="I68" s="31">
        <f t="shared" si="16"/>
        <v>0</v>
      </c>
      <c r="J68" s="31">
        <f t="shared" si="17"/>
        <v>0</v>
      </c>
    </row>
    <row r="69" spans="1:10" x14ac:dyDescent="0.35">
      <c r="A69" s="32" t="s">
        <v>1052</v>
      </c>
      <c r="B69" s="29">
        <v>100000</v>
      </c>
      <c r="C69" s="29">
        <v>0</v>
      </c>
      <c r="E69" s="1" t="s">
        <v>686</v>
      </c>
      <c r="F69" s="2">
        <v>100000</v>
      </c>
      <c r="G69" s="2">
        <v>0</v>
      </c>
      <c r="I69" s="31">
        <f t="shared" si="16"/>
        <v>0</v>
      </c>
      <c r="J69" s="31">
        <f t="shared" si="17"/>
        <v>0</v>
      </c>
    </row>
    <row r="70" spans="1:10" x14ac:dyDescent="0.35">
      <c r="A70" s="32" t="s">
        <v>145</v>
      </c>
      <c r="B70" s="29">
        <v>100000</v>
      </c>
      <c r="C70" s="29">
        <v>0</v>
      </c>
      <c r="E70" s="1" t="s">
        <v>145</v>
      </c>
      <c r="F70" s="2">
        <v>100000</v>
      </c>
      <c r="G70" s="2">
        <v>0</v>
      </c>
      <c r="I70" s="31">
        <f t="shared" si="16"/>
        <v>0</v>
      </c>
      <c r="J70" s="31">
        <f t="shared" si="17"/>
        <v>0</v>
      </c>
    </row>
    <row r="71" spans="1:10" x14ac:dyDescent="0.35">
      <c r="A71" s="32" t="s">
        <v>1021</v>
      </c>
      <c r="B71" s="29">
        <v>250000</v>
      </c>
      <c r="C71" s="29">
        <v>0</v>
      </c>
      <c r="E71" s="1" t="s">
        <v>101</v>
      </c>
      <c r="F71" s="2">
        <v>250000</v>
      </c>
      <c r="G71" s="2">
        <v>0</v>
      </c>
      <c r="I71" s="31">
        <f t="shared" si="16"/>
        <v>0</v>
      </c>
      <c r="J71" s="31">
        <f t="shared" si="17"/>
        <v>0</v>
      </c>
    </row>
    <row r="72" spans="1:10" x14ac:dyDescent="0.35">
      <c r="A72" s="32" t="s">
        <v>978</v>
      </c>
      <c r="B72" s="29">
        <v>150000</v>
      </c>
      <c r="C72" s="29">
        <v>0</v>
      </c>
      <c r="E72" s="1" t="s">
        <v>51</v>
      </c>
      <c r="F72" s="2">
        <v>150000</v>
      </c>
      <c r="G72" s="2">
        <v>0</v>
      </c>
      <c r="I72" s="31">
        <f t="shared" si="16"/>
        <v>0</v>
      </c>
      <c r="J72" s="31">
        <f t="shared" si="17"/>
        <v>0</v>
      </c>
    </row>
    <row r="73" spans="1:10" x14ac:dyDescent="0.35">
      <c r="A73" s="32" t="s">
        <v>967</v>
      </c>
      <c r="B73" s="29">
        <v>150000</v>
      </c>
      <c r="C73" s="29">
        <v>2876136</v>
      </c>
      <c r="E73" s="1" t="s">
        <v>141</v>
      </c>
      <c r="F73" s="2">
        <v>150000</v>
      </c>
      <c r="G73" s="2">
        <v>2876136</v>
      </c>
      <c r="I73" s="31">
        <f t="shared" si="16"/>
        <v>0</v>
      </c>
      <c r="J73" s="31">
        <f t="shared" si="17"/>
        <v>0</v>
      </c>
    </row>
    <row r="74" spans="1:10" x14ac:dyDescent="0.35">
      <c r="A74" s="32" t="s">
        <v>195</v>
      </c>
      <c r="B74" s="29">
        <v>150000</v>
      </c>
      <c r="C74" s="29">
        <v>8671513</v>
      </c>
      <c r="E74" s="1" t="s">
        <v>195</v>
      </c>
      <c r="F74" s="2">
        <v>150000</v>
      </c>
      <c r="G74" s="2">
        <v>8671513</v>
      </c>
      <c r="I74" s="31">
        <f t="shared" si="16"/>
        <v>0</v>
      </c>
      <c r="J74" s="31">
        <f t="shared" si="17"/>
        <v>0</v>
      </c>
    </row>
    <row r="75" spans="1:10" x14ac:dyDescent="0.35">
      <c r="A75" s="32" t="s">
        <v>1008</v>
      </c>
      <c r="B75" s="29">
        <v>250000</v>
      </c>
      <c r="C75" s="29">
        <v>0</v>
      </c>
      <c r="E75" s="3" t="s">
        <v>544</v>
      </c>
      <c r="F75" s="2">
        <v>250000</v>
      </c>
      <c r="G75" s="2"/>
      <c r="I75" s="31">
        <f t="shared" si="16"/>
        <v>0</v>
      </c>
      <c r="J75" s="31">
        <f t="shared" si="17"/>
        <v>0</v>
      </c>
    </row>
    <row r="76" spans="1:10" x14ac:dyDescent="0.35">
      <c r="A76" s="32" t="s">
        <v>1060</v>
      </c>
      <c r="B76" s="29">
        <v>350000</v>
      </c>
      <c r="C76" s="29">
        <v>0</v>
      </c>
      <c r="E76" s="1" t="s">
        <v>632</v>
      </c>
      <c r="F76" s="2">
        <v>350000</v>
      </c>
      <c r="G76" s="2">
        <v>0</v>
      </c>
      <c r="I76" s="31">
        <f t="shared" si="16"/>
        <v>0</v>
      </c>
      <c r="J76" s="31">
        <f t="shared" si="17"/>
        <v>0</v>
      </c>
    </row>
    <row r="77" spans="1:10" x14ac:dyDescent="0.35">
      <c r="A77" s="32" t="s">
        <v>1071</v>
      </c>
      <c r="B77" s="29">
        <v>250000</v>
      </c>
      <c r="C77" s="29">
        <v>0</v>
      </c>
      <c r="E77" s="1" t="s">
        <v>152</v>
      </c>
      <c r="F77" s="2">
        <v>250000</v>
      </c>
      <c r="G77" s="2">
        <v>0</v>
      </c>
      <c r="I77" s="31">
        <f t="shared" si="16"/>
        <v>0</v>
      </c>
      <c r="J77" s="31">
        <f t="shared" si="17"/>
        <v>0</v>
      </c>
    </row>
    <row r="78" spans="1:10" x14ac:dyDescent="0.35">
      <c r="A78" s="32" t="s">
        <v>1032</v>
      </c>
      <c r="B78" s="29">
        <v>100000</v>
      </c>
      <c r="C78" s="29">
        <v>0</v>
      </c>
      <c r="E78" s="1" t="s">
        <v>665</v>
      </c>
      <c r="F78" s="2">
        <v>100000</v>
      </c>
      <c r="G78" s="2">
        <v>0</v>
      </c>
      <c r="I78" s="31">
        <f t="shared" si="16"/>
        <v>0</v>
      </c>
      <c r="J78" s="31">
        <f t="shared" si="17"/>
        <v>0</v>
      </c>
    </row>
    <row r="79" spans="1:10" x14ac:dyDescent="0.35">
      <c r="A79" s="32" t="s">
        <v>1038</v>
      </c>
      <c r="B79" s="29">
        <v>250000</v>
      </c>
      <c r="C79" s="29">
        <v>2500000</v>
      </c>
      <c r="E79" s="3" t="s">
        <v>212</v>
      </c>
      <c r="F79" s="2">
        <v>250000</v>
      </c>
      <c r="G79" s="2">
        <v>2500000</v>
      </c>
      <c r="I79" s="31">
        <f t="shared" si="16"/>
        <v>0</v>
      </c>
      <c r="J79" s="31">
        <f t="shared" si="17"/>
        <v>0</v>
      </c>
    </row>
    <row r="80" spans="1:10" x14ac:dyDescent="0.35">
      <c r="A80" s="32" t="s">
        <v>63</v>
      </c>
      <c r="B80" s="29">
        <v>150000</v>
      </c>
      <c r="C80" s="29">
        <v>0</v>
      </c>
      <c r="E80" s="1" t="s">
        <v>63</v>
      </c>
      <c r="F80" s="2">
        <v>150000</v>
      </c>
      <c r="G80" s="2">
        <v>0</v>
      </c>
      <c r="I80" s="31">
        <f t="shared" si="16"/>
        <v>0</v>
      </c>
      <c r="J80" s="31">
        <f t="shared" si="17"/>
        <v>0</v>
      </c>
    </row>
    <row r="81" spans="1:10" x14ac:dyDescent="0.35">
      <c r="A81" s="32" t="s">
        <v>1066</v>
      </c>
      <c r="B81" s="29">
        <v>150000</v>
      </c>
      <c r="C81" s="29">
        <v>0</v>
      </c>
      <c r="E81" s="1" t="s">
        <v>612</v>
      </c>
      <c r="F81" s="2">
        <v>150000</v>
      </c>
      <c r="G81" s="2">
        <v>0</v>
      </c>
      <c r="I81" s="31">
        <f t="shared" ref="I81" si="18">B81-F81</f>
        <v>0</v>
      </c>
      <c r="J81" s="31">
        <f t="shared" ref="J81" si="19">C81-G81</f>
        <v>0</v>
      </c>
    </row>
    <row r="82" spans="1:10" x14ac:dyDescent="0.35">
      <c r="A82" s="32" t="s">
        <v>997</v>
      </c>
      <c r="B82" s="29">
        <v>150000</v>
      </c>
      <c r="C82" s="29">
        <v>0</v>
      </c>
      <c r="E82" s="1" t="s">
        <v>133</v>
      </c>
      <c r="F82" s="2">
        <v>150000</v>
      </c>
      <c r="G82" s="2">
        <v>0</v>
      </c>
      <c r="I82" s="31">
        <f t="shared" ref="I82:I101" si="20">B82-F82</f>
        <v>0</v>
      </c>
      <c r="J82" s="31">
        <f t="shared" ref="J82:J101" si="21">C82-G82</f>
        <v>0</v>
      </c>
    </row>
    <row r="83" spans="1:10" x14ac:dyDescent="0.35">
      <c r="A83" s="32" t="s">
        <v>983</v>
      </c>
      <c r="B83" s="29">
        <v>250000</v>
      </c>
      <c r="C83" s="29">
        <v>0</v>
      </c>
      <c r="E83" s="1" t="s">
        <v>163</v>
      </c>
      <c r="F83" s="2">
        <v>250000</v>
      </c>
      <c r="G83" s="2">
        <v>0</v>
      </c>
      <c r="I83" s="31">
        <f t="shared" si="20"/>
        <v>0</v>
      </c>
      <c r="J83" s="31">
        <f t="shared" si="21"/>
        <v>0</v>
      </c>
    </row>
    <row r="84" spans="1:10" x14ac:dyDescent="0.35">
      <c r="A84" s="32" t="s">
        <v>24</v>
      </c>
      <c r="B84" s="29">
        <v>150000</v>
      </c>
      <c r="C84" s="29">
        <v>0</v>
      </c>
      <c r="E84" s="1" t="s">
        <v>24</v>
      </c>
      <c r="F84" s="2">
        <v>150000</v>
      </c>
      <c r="G84" s="2">
        <v>0</v>
      </c>
      <c r="I84" s="31">
        <f t="shared" si="20"/>
        <v>0</v>
      </c>
      <c r="J84" s="31">
        <f t="shared" si="21"/>
        <v>0</v>
      </c>
    </row>
    <row r="85" spans="1:10" x14ac:dyDescent="0.35">
      <c r="A85" s="32" t="s">
        <v>976</v>
      </c>
      <c r="B85" s="29">
        <v>150000</v>
      </c>
      <c r="C85" s="29">
        <v>0</v>
      </c>
      <c r="E85" s="1" t="s">
        <v>45</v>
      </c>
      <c r="F85" s="2">
        <v>150000</v>
      </c>
      <c r="G85" s="2">
        <v>0</v>
      </c>
      <c r="I85" s="31">
        <f t="shared" si="20"/>
        <v>0</v>
      </c>
      <c r="J85" s="31">
        <f t="shared" si="21"/>
        <v>0</v>
      </c>
    </row>
    <row r="86" spans="1:10" x14ac:dyDescent="0.35">
      <c r="A86" s="32" t="s">
        <v>1065</v>
      </c>
      <c r="B86" s="29">
        <v>250000</v>
      </c>
      <c r="C86" s="29">
        <v>0</v>
      </c>
      <c r="E86" s="1"/>
      <c r="F86" s="2"/>
      <c r="G86" s="2"/>
      <c r="I86" s="31">
        <f t="shared" si="20"/>
        <v>250000</v>
      </c>
      <c r="J86" s="31">
        <f t="shared" si="21"/>
        <v>0</v>
      </c>
    </row>
    <row r="87" spans="1:10" x14ac:dyDescent="0.35">
      <c r="A87" s="32" t="s">
        <v>1046</v>
      </c>
      <c r="B87" s="29">
        <v>250000</v>
      </c>
      <c r="C87" s="29">
        <v>0</v>
      </c>
      <c r="E87" s="1"/>
      <c r="F87" s="2"/>
      <c r="G87" s="2"/>
      <c r="I87" s="31">
        <f t="shared" si="20"/>
        <v>250000</v>
      </c>
      <c r="J87" s="31">
        <f t="shared" si="21"/>
        <v>0</v>
      </c>
    </row>
    <row r="88" spans="1:10" x14ac:dyDescent="0.35">
      <c r="A88" s="32" t="s">
        <v>1062</v>
      </c>
      <c r="B88" s="29">
        <v>250000</v>
      </c>
      <c r="C88" s="29">
        <v>0</v>
      </c>
      <c r="E88" s="1" t="s">
        <v>596</v>
      </c>
      <c r="F88" s="2">
        <v>250000</v>
      </c>
      <c r="G88" s="2">
        <v>0</v>
      </c>
      <c r="I88" s="31">
        <f t="shared" si="20"/>
        <v>0</v>
      </c>
      <c r="J88" s="31">
        <f t="shared" si="21"/>
        <v>0</v>
      </c>
    </row>
    <row r="89" spans="1:10" x14ac:dyDescent="0.35">
      <c r="A89" s="33" t="s">
        <v>1078</v>
      </c>
      <c r="B89" s="29">
        <v>250000</v>
      </c>
      <c r="C89" s="29">
        <v>0</v>
      </c>
      <c r="E89" s="3" t="s">
        <v>538</v>
      </c>
      <c r="F89" s="2">
        <v>250000</v>
      </c>
      <c r="G89" s="2">
        <v>0</v>
      </c>
      <c r="I89" s="31">
        <f t="shared" si="20"/>
        <v>0</v>
      </c>
      <c r="J89" s="31">
        <f t="shared" si="21"/>
        <v>0</v>
      </c>
    </row>
    <row r="90" spans="1:10" x14ac:dyDescent="0.35">
      <c r="A90" s="32" t="s">
        <v>991</v>
      </c>
      <c r="B90" s="29">
        <v>150000</v>
      </c>
      <c r="C90" s="29">
        <v>0</v>
      </c>
      <c r="E90" s="1" t="s">
        <v>115</v>
      </c>
      <c r="F90" s="2">
        <v>150000</v>
      </c>
      <c r="G90" s="2">
        <v>0</v>
      </c>
      <c r="I90" s="31">
        <f t="shared" si="20"/>
        <v>0</v>
      </c>
      <c r="J90" s="31">
        <f t="shared" si="21"/>
        <v>0</v>
      </c>
    </row>
    <row r="91" spans="1:10" x14ac:dyDescent="0.35">
      <c r="A91" s="32" t="s">
        <v>1042</v>
      </c>
      <c r="B91" s="29">
        <v>100000</v>
      </c>
      <c r="C91" s="29">
        <v>0</v>
      </c>
      <c r="E91" s="1" t="s">
        <v>135</v>
      </c>
      <c r="F91" s="2">
        <v>100000</v>
      </c>
      <c r="G91" s="2">
        <v>0</v>
      </c>
      <c r="I91" s="31">
        <f t="shared" si="20"/>
        <v>0</v>
      </c>
      <c r="J91" s="31">
        <f t="shared" si="21"/>
        <v>0</v>
      </c>
    </row>
    <row r="92" spans="1:10" x14ac:dyDescent="0.35">
      <c r="A92" s="32" t="s">
        <v>980</v>
      </c>
      <c r="B92" s="29">
        <v>150000</v>
      </c>
      <c r="C92" s="29">
        <v>0</v>
      </c>
      <c r="E92" s="1" t="s">
        <v>67</v>
      </c>
      <c r="F92" s="2">
        <v>150000</v>
      </c>
      <c r="G92" s="2">
        <v>0</v>
      </c>
      <c r="I92" s="31">
        <f t="shared" si="20"/>
        <v>0</v>
      </c>
      <c r="J92" s="31">
        <f t="shared" si="21"/>
        <v>0</v>
      </c>
    </row>
    <row r="93" spans="1:10" x14ac:dyDescent="0.35">
      <c r="A93" s="32" t="s">
        <v>1063</v>
      </c>
      <c r="B93" s="29">
        <v>250000</v>
      </c>
      <c r="C93" s="29">
        <v>3075835</v>
      </c>
      <c r="E93" s="1" t="s">
        <v>588</v>
      </c>
      <c r="F93" s="2">
        <v>250000</v>
      </c>
      <c r="G93" s="2">
        <v>3075835</v>
      </c>
      <c r="I93" s="31">
        <f t="shared" si="20"/>
        <v>0</v>
      </c>
      <c r="J93" s="31">
        <f t="shared" si="21"/>
        <v>0</v>
      </c>
    </row>
    <row r="94" spans="1:10" x14ac:dyDescent="0.35">
      <c r="A94" s="32" t="s">
        <v>1009</v>
      </c>
      <c r="B94" s="29">
        <v>150000</v>
      </c>
      <c r="C94" s="29">
        <v>0</v>
      </c>
      <c r="E94" s="1" t="s">
        <v>99</v>
      </c>
      <c r="F94" s="2">
        <v>150000</v>
      </c>
      <c r="G94" s="2">
        <v>0</v>
      </c>
      <c r="I94" s="31">
        <f t="shared" si="20"/>
        <v>0</v>
      </c>
      <c r="J94" s="31">
        <f t="shared" si="21"/>
        <v>0</v>
      </c>
    </row>
    <row r="95" spans="1:10" x14ac:dyDescent="0.35">
      <c r="A95" s="32" t="s">
        <v>981</v>
      </c>
      <c r="B95" s="29">
        <v>150000</v>
      </c>
      <c r="C95" s="29">
        <v>0</v>
      </c>
      <c r="E95" s="1" t="s">
        <v>72</v>
      </c>
      <c r="F95" s="2">
        <v>150000</v>
      </c>
      <c r="G95" s="2">
        <v>0</v>
      </c>
      <c r="I95" s="31">
        <f t="shared" si="20"/>
        <v>0</v>
      </c>
      <c r="J95" s="31">
        <f t="shared" si="21"/>
        <v>0</v>
      </c>
    </row>
    <row r="96" spans="1:10" x14ac:dyDescent="0.35">
      <c r="A96" s="32" t="s">
        <v>1016</v>
      </c>
      <c r="B96" s="29">
        <v>250000</v>
      </c>
      <c r="C96" s="29">
        <v>0</v>
      </c>
      <c r="E96" s="1" t="s">
        <v>183</v>
      </c>
      <c r="F96" s="2">
        <v>250000</v>
      </c>
      <c r="G96" s="2">
        <v>0</v>
      </c>
      <c r="I96" s="31">
        <f t="shared" si="20"/>
        <v>0</v>
      </c>
      <c r="J96" s="31">
        <f t="shared" si="21"/>
        <v>0</v>
      </c>
    </row>
    <row r="97" spans="1:10" x14ac:dyDescent="0.35">
      <c r="A97" s="32" t="s">
        <v>1028</v>
      </c>
      <c r="B97" s="29">
        <v>450000</v>
      </c>
      <c r="C97" s="29">
        <v>0</v>
      </c>
      <c r="E97" s="1" t="s">
        <v>117</v>
      </c>
      <c r="F97" s="2">
        <v>450000</v>
      </c>
      <c r="G97" s="2">
        <v>0</v>
      </c>
      <c r="I97" s="31">
        <f t="shared" si="20"/>
        <v>0</v>
      </c>
      <c r="J97" s="31">
        <f t="shared" si="21"/>
        <v>0</v>
      </c>
    </row>
    <row r="98" spans="1:10" x14ac:dyDescent="0.35">
      <c r="A98" s="32" t="s">
        <v>1002</v>
      </c>
      <c r="B98" s="29">
        <v>150000</v>
      </c>
      <c r="C98" s="29">
        <v>0</v>
      </c>
      <c r="E98" s="1" t="s">
        <v>147</v>
      </c>
      <c r="F98" s="2">
        <v>150000</v>
      </c>
      <c r="G98" s="2">
        <v>0</v>
      </c>
      <c r="I98" s="31">
        <f t="shared" si="20"/>
        <v>0</v>
      </c>
      <c r="J98" s="31">
        <f t="shared" si="21"/>
        <v>0</v>
      </c>
    </row>
    <row r="99" spans="1:10" x14ac:dyDescent="0.35">
      <c r="A99" s="32" t="s">
        <v>989</v>
      </c>
      <c r="B99" s="29">
        <v>250000</v>
      </c>
      <c r="C99" s="29">
        <v>0</v>
      </c>
      <c r="E99" s="1" t="s">
        <v>79</v>
      </c>
      <c r="F99" s="2">
        <v>250000</v>
      </c>
      <c r="G99" s="2">
        <v>0</v>
      </c>
      <c r="I99" s="31">
        <f t="shared" si="20"/>
        <v>0</v>
      </c>
      <c r="J99" s="31">
        <f t="shared" si="21"/>
        <v>0</v>
      </c>
    </row>
    <row r="100" spans="1:10" x14ac:dyDescent="0.35">
      <c r="A100" s="32" t="s">
        <v>972</v>
      </c>
      <c r="B100" s="29">
        <v>500000</v>
      </c>
      <c r="C100" s="29">
        <v>0</v>
      </c>
      <c r="E100" s="1" t="s">
        <v>199</v>
      </c>
      <c r="F100" s="2">
        <v>500000</v>
      </c>
      <c r="G100" s="2">
        <v>0</v>
      </c>
      <c r="I100" s="31">
        <f t="shared" si="20"/>
        <v>0</v>
      </c>
      <c r="J100" s="31">
        <f t="shared" si="21"/>
        <v>0</v>
      </c>
    </row>
    <row r="101" spans="1:10" x14ac:dyDescent="0.35">
      <c r="A101" s="32" t="s">
        <v>1029</v>
      </c>
      <c r="B101" s="29">
        <v>350000</v>
      </c>
      <c r="C101" s="29">
        <v>0</v>
      </c>
      <c r="E101" s="1" t="s">
        <v>138</v>
      </c>
      <c r="F101" s="2">
        <v>350000</v>
      </c>
      <c r="G101" s="2">
        <v>0</v>
      </c>
      <c r="I101" s="31">
        <f t="shared" si="20"/>
        <v>0</v>
      </c>
      <c r="J101" s="31">
        <f t="shared" si="21"/>
        <v>0</v>
      </c>
    </row>
    <row r="102" spans="1:10" x14ac:dyDescent="0.35">
      <c r="A102" s="32" t="s">
        <v>628</v>
      </c>
      <c r="B102" s="29">
        <v>100000</v>
      </c>
      <c r="C102" s="29">
        <v>5075758</v>
      </c>
      <c r="E102" s="1" t="s">
        <v>628</v>
      </c>
      <c r="F102" s="2">
        <v>100000</v>
      </c>
      <c r="G102" s="2">
        <v>5075758</v>
      </c>
      <c r="I102" s="31">
        <f t="shared" ref="I102:I132" si="22">B102-F102</f>
        <v>0</v>
      </c>
      <c r="J102" s="31">
        <f t="shared" ref="J102:J132" si="23">C102-G102</f>
        <v>0</v>
      </c>
    </row>
    <row r="103" spans="1:10" x14ac:dyDescent="0.35">
      <c r="A103" s="32" t="s">
        <v>1056</v>
      </c>
      <c r="B103" s="29">
        <v>100000</v>
      </c>
      <c r="C103" s="29">
        <v>0</v>
      </c>
      <c r="E103" s="1" t="s">
        <v>680</v>
      </c>
      <c r="F103" s="2">
        <v>100000</v>
      </c>
      <c r="G103" s="2">
        <v>0</v>
      </c>
      <c r="I103" s="31">
        <f t="shared" si="22"/>
        <v>0</v>
      </c>
      <c r="J103" s="31">
        <f t="shared" si="23"/>
        <v>0</v>
      </c>
    </row>
    <row r="104" spans="1:10" x14ac:dyDescent="0.35">
      <c r="A104" s="32" t="s">
        <v>988</v>
      </c>
      <c r="B104" s="29">
        <v>250000</v>
      </c>
      <c r="C104" s="29">
        <v>0</v>
      </c>
      <c r="E104" s="1"/>
      <c r="F104" s="2"/>
      <c r="G104" s="2"/>
      <c r="I104" s="31">
        <f t="shared" si="22"/>
        <v>250000</v>
      </c>
      <c r="J104" s="31">
        <f t="shared" si="23"/>
        <v>0</v>
      </c>
    </row>
    <row r="105" spans="1:10" x14ac:dyDescent="0.35">
      <c r="A105" s="32" t="s">
        <v>987</v>
      </c>
      <c r="B105" s="29">
        <v>250000</v>
      </c>
      <c r="C105" s="29">
        <v>0</v>
      </c>
      <c r="E105" s="1" t="s">
        <v>76</v>
      </c>
      <c r="F105" s="2">
        <v>250000</v>
      </c>
      <c r="G105" s="2">
        <v>0</v>
      </c>
      <c r="I105" s="31">
        <f t="shared" si="22"/>
        <v>0</v>
      </c>
      <c r="J105" s="31">
        <f t="shared" si="23"/>
        <v>0</v>
      </c>
    </row>
    <row r="106" spans="1:10" x14ac:dyDescent="0.35">
      <c r="A106" s="32" t="s">
        <v>1024</v>
      </c>
      <c r="B106" s="29">
        <v>250000</v>
      </c>
      <c r="C106" s="29">
        <v>0</v>
      </c>
      <c r="E106" s="1" t="s">
        <v>201</v>
      </c>
      <c r="F106" s="2">
        <v>250000</v>
      </c>
      <c r="G106" s="2">
        <v>0</v>
      </c>
      <c r="I106" s="31">
        <f t="shared" si="22"/>
        <v>0</v>
      </c>
      <c r="J106" s="31">
        <f t="shared" si="23"/>
        <v>0</v>
      </c>
    </row>
    <row r="107" spans="1:10" x14ac:dyDescent="0.35">
      <c r="A107" s="32" t="s">
        <v>1053</v>
      </c>
      <c r="B107" s="29">
        <v>250000</v>
      </c>
      <c r="C107" s="29">
        <v>0</v>
      </c>
      <c r="E107" s="1" t="s">
        <v>634</v>
      </c>
      <c r="F107" s="2">
        <v>250000</v>
      </c>
      <c r="G107" s="2">
        <v>0</v>
      </c>
      <c r="I107" s="31">
        <f t="shared" si="22"/>
        <v>0</v>
      </c>
      <c r="J107" s="31">
        <f t="shared" si="23"/>
        <v>0</v>
      </c>
    </row>
    <row r="108" spans="1:10" x14ac:dyDescent="0.35">
      <c r="A108" s="33" t="s">
        <v>1075</v>
      </c>
      <c r="B108" s="29">
        <v>250000</v>
      </c>
      <c r="C108" s="29">
        <v>0</v>
      </c>
      <c r="E108" s="1" t="s">
        <v>682</v>
      </c>
      <c r="F108" s="2">
        <v>250000</v>
      </c>
      <c r="G108" s="2">
        <v>0</v>
      </c>
      <c r="I108" s="31">
        <f t="shared" si="22"/>
        <v>0</v>
      </c>
      <c r="J108" s="31">
        <f t="shared" si="23"/>
        <v>0</v>
      </c>
    </row>
    <row r="109" spans="1:10" x14ac:dyDescent="0.35">
      <c r="A109" s="32" t="s">
        <v>14</v>
      </c>
      <c r="B109" s="29">
        <v>150000</v>
      </c>
      <c r="C109" s="29">
        <v>0</v>
      </c>
      <c r="E109" s="1" t="s">
        <v>14</v>
      </c>
      <c r="F109" s="2">
        <v>150000</v>
      </c>
      <c r="G109" s="2">
        <v>0</v>
      </c>
      <c r="I109" s="31">
        <f t="shared" si="22"/>
        <v>0</v>
      </c>
      <c r="J109" s="31">
        <f t="shared" si="23"/>
        <v>0</v>
      </c>
    </row>
    <row r="110" spans="1:10" x14ac:dyDescent="0.35">
      <c r="A110" s="32" t="s">
        <v>614</v>
      </c>
      <c r="B110" s="29">
        <v>150000</v>
      </c>
      <c r="C110" s="29">
        <v>0</v>
      </c>
      <c r="E110" s="1" t="s">
        <v>614</v>
      </c>
      <c r="F110" s="2">
        <v>150000</v>
      </c>
      <c r="G110" s="2">
        <v>0</v>
      </c>
      <c r="I110" s="31">
        <f t="shared" si="22"/>
        <v>0</v>
      </c>
      <c r="J110" s="31">
        <f t="shared" si="23"/>
        <v>0</v>
      </c>
    </row>
    <row r="111" spans="1:10" x14ac:dyDescent="0.35">
      <c r="A111" s="32" t="s">
        <v>175</v>
      </c>
      <c r="B111" s="29">
        <v>150000</v>
      </c>
      <c r="C111" s="29">
        <v>0</v>
      </c>
      <c r="E111" s="1" t="s">
        <v>175</v>
      </c>
      <c r="F111" s="2">
        <v>150000</v>
      </c>
      <c r="G111" s="2">
        <v>0</v>
      </c>
      <c r="I111" s="31">
        <f t="shared" si="22"/>
        <v>0</v>
      </c>
      <c r="J111" s="31">
        <f t="shared" si="23"/>
        <v>0</v>
      </c>
    </row>
    <row r="112" spans="1:10" x14ac:dyDescent="0.35">
      <c r="A112" s="32" t="s">
        <v>993</v>
      </c>
      <c r="B112" s="29">
        <v>150000</v>
      </c>
      <c r="C112" s="29">
        <v>0</v>
      </c>
      <c r="E112" s="1" t="s">
        <v>119</v>
      </c>
      <c r="F112" s="2">
        <v>150000</v>
      </c>
      <c r="G112" s="2">
        <v>0</v>
      </c>
      <c r="I112" s="31">
        <f t="shared" si="22"/>
        <v>0</v>
      </c>
      <c r="J112" s="31">
        <f t="shared" si="23"/>
        <v>0</v>
      </c>
    </row>
    <row r="113" spans="1:10" x14ac:dyDescent="0.35">
      <c r="A113" s="32" t="s">
        <v>969</v>
      </c>
      <c r="B113" s="29">
        <v>250000</v>
      </c>
      <c r="C113" s="29">
        <v>0</v>
      </c>
      <c r="E113" s="1" t="s">
        <v>18</v>
      </c>
      <c r="F113" s="2">
        <v>250000</v>
      </c>
      <c r="G113" s="2">
        <v>0</v>
      </c>
      <c r="I113" s="31">
        <f t="shared" si="22"/>
        <v>0</v>
      </c>
      <c r="J113" s="31">
        <f t="shared" si="23"/>
        <v>0</v>
      </c>
    </row>
    <row r="114" spans="1:10" x14ac:dyDescent="0.35">
      <c r="A114" s="32" t="s">
        <v>1061</v>
      </c>
      <c r="B114" s="29">
        <v>150000</v>
      </c>
      <c r="C114" s="29">
        <v>4863285</v>
      </c>
      <c r="E114" s="1" t="s">
        <v>636</v>
      </c>
      <c r="F114" s="2">
        <v>150000</v>
      </c>
      <c r="G114" s="2">
        <v>4863285</v>
      </c>
      <c r="I114" s="31">
        <f t="shared" si="22"/>
        <v>0</v>
      </c>
      <c r="J114" s="31">
        <f t="shared" si="23"/>
        <v>0</v>
      </c>
    </row>
    <row r="115" spans="1:10" x14ac:dyDescent="0.35">
      <c r="A115" s="32" t="s">
        <v>1045</v>
      </c>
      <c r="B115" s="29">
        <v>350000</v>
      </c>
      <c r="C115" s="29">
        <v>0</v>
      </c>
      <c r="E115" s="1" t="s">
        <v>646</v>
      </c>
      <c r="F115" s="2">
        <v>350000</v>
      </c>
      <c r="G115" s="2">
        <v>0</v>
      </c>
      <c r="I115" s="31">
        <f t="shared" si="22"/>
        <v>0</v>
      </c>
      <c r="J115" s="31">
        <f t="shared" si="23"/>
        <v>0</v>
      </c>
    </row>
    <row r="116" spans="1:10" x14ac:dyDescent="0.35">
      <c r="A116" s="32" t="s">
        <v>616</v>
      </c>
      <c r="B116" s="29">
        <v>150000</v>
      </c>
      <c r="C116" s="29">
        <v>0</v>
      </c>
      <c r="E116" s="1" t="s">
        <v>616</v>
      </c>
      <c r="F116" s="2">
        <v>150000</v>
      </c>
      <c r="G116" s="2">
        <v>0</v>
      </c>
      <c r="I116" s="31">
        <f t="shared" si="22"/>
        <v>0</v>
      </c>
      <c r="J116" s="31">
        <f t="shared" si="23"/>
        <v>0</v>
      </c>
    </row>
    <row r="117" spans="1:10" x14ac:dyDescent="0.35">
      <c r="A117" s="32" t="s">
        <v>977</v>
      </c>
      <c r="B117" s="29">
        <v>150000</v>
      </c>
      <c r="C117" s="29">
        <v>0</v>
      </c>
      <c r="E117" s="1" t="s">
        <v>47</v>
      </c>
      <c r="F117" s="2">
        <v>150000</v>
      </c>
      <c r="G117" s="2">
        <v>0</v>
      </c>
      <c r="I117" s="31">
        <f t="shared" si="22"/>
        <v>0</v>
      </c>
      <c r="J117" s="31">
        <f t="shared" si="23"/>
        <v>0</v>
      </c>
    </row>
    <row r="118" spans="1:10" x14ac:dyDescent="0.35">
      <c r="A118" s="33" t="s">
        <v>690</v>
      </c>
      <c r="B118" s="29">
        <v>150000</v>
      </c>
      <c r="C118" s="29">
        <v>0</v>
      </c>
      <c r="E118" s="1" t="s">
        <v>690</v>
      </c>
      <c r="F118" s="2">
        <v>150000</v>
      </c>
      <c r="G118" s="2">
        <v>0</v>
      </c>
      <c r="I118" s="31">
        <f t="shared" si="22"/>
        <v>0</v>
      </c>
      <c r="J118" s="31">
        <f t="shared" si="23"/>
        <v>0</v>
      </c>
    </row>
    <row r="119" spans="1:10" x14ac:dyDescent="0.35">
      <c r="A119" s="32" t="s">
        <v>1022</v>
      </c>
      <c r="B119" s="29">
        <v>250000</v>
      </c>
      <c r="C119" s="29">
        <v>0</v>
      </c>
      <c r="E119" s="1" t="s">
        <v>161</v>
      </c>
      <c r="F119" s="2">
        <v>250000</v>
      </c>
      <c r="G119" s="2">
        <v>0</v>
      </c>
      <c r="I119" s="31">
        <f t="shared" si="22"/>
        <v>0</v>
      </c>
      <c r="J119" s="31">
        <f t="shared" si="23"/>
        <v>0</v>
      </c>
    </row>
    <row r="120" spans="1:10" x14ac:dyDescent="0.35">
      <c r="A120" s="32" t="s">
        <v>214</v>
      </c>
      <c r="B120" s="29">
        <v>250000</v>
      </c>
      <c r="C120" s="29">
        <v>0</v>
      </c>
      <c r="E120" s="1" t="s">
        <v>214</v>
      </c>
      <c r="F120" s="2">
        <v>250000</v>
      </c>
      <c r="G120" s="2">
        <v>0</v>
      </c>
      <c r="I120" s="31">
        <f t="shared" si="22"/>
        <v>0</v>
      </c>
      <c r="J120" s="31">
        <f t="shared" si="23"/>
        <v>0</v>
      </c>
    </row>
    <row r="121" spans="1:10" x14ac:dyDescent="0.35">
      <c r="A121" s="32" t="s">
        <v>1010</v>
      </c>
      <c r="B121" s="29">
        <v>150000</v>
      </c>
      <c r="C121" s="29">
        <v>0</v>
      </c>
      <c r="E121" s="1" t="s">
        <v>179</v>
      </c>
      <c r="F121" s="2">
        <v>150000</v>
      </c>
      <c r="G121" s="2">
        <v>0</v>
      </c>
      <c r="I121" s="31">
        <f t="shared" si="22"/>
        <v>0</v>
      </c>
      <c r="J121" s="31">
        <f t="shared" si="23"/>
        <v>0</v>
      </c>
    </row>
    <row r="122" spans="1:10" x14ac:dyDescent="0.35">
      <c r="A122" s="32" t="s">
        <v>1039</v>
      </c>
      <c r="B122" s="29">
        <v>150000</v>
      </c>
      <c r="C122" s="29">
        <v>985417</v>
      </c>
      <c r="E122" s="1" t="s">
        <v>618</v>
      </c>
      <c r="F122" s="2">
        <v>150000</v>
      </c>
      <c r="G122" s="2">
        <v>985417</v>
      </c>
      <c r="I122" s="31">
        <f t="shared" si="22"/>
        <v>0</v>
      </c>
      <c r="J122" s="31">
        <f t="shared" si="23"/>
        <v>0</v>
      </c>
    </row>
    <row r="123" spans="1:10" x14ac:dyDescent="0.35">
      <c r="A123" s="32" t="s">
        <v>189</v>
      </c>
      <c r="B123" s="29">
        <v>150000</v>
      </c>
      <c r="C123" s="29">
        <v>0</v>
      </c>
      <c r="E123" s="1" t="s">
        <v>189</v>
      </c>
      <c r="F123" s="2">
        <v>150000</v>
      </c>
      <c r="G123" s="2">
        <v>0</v>
      </c>
      <c r="I123" s="31">
        <f t="shared" si="22"/>
        <v>0</v>
      </c>
      <c r="J123" s="31">
        <f t="shared" si="23"/>
        <v>0</v>
      </c>
    </row>
    <row r="124" spans="1:10" x14ac:dyDescent="0.35">
      <c r="A124" s="32" t="s">
        <v>1023</v>
      </c>
      <c r="B124" s="29">
        <v>150000</v>
      </c>
      <c r="C124" s="29">
        <v>0</v>
      </c>
      <c r="E124" s="1" t="s">
        <v>197</v>
      </c>
      <c r="F124" s="2">
        <v>150000</v>
      </c>
      <c r="G124" s="2">
        <v>0</v>
      </c>
      <c r="I124" s="31">
        <f t="shared" si="22"/>
        <v>0</v>
      </c>
      <c r="J124" s="31">
        <f t="shared" si="23"/>
        <v>0</v>
      </c>
    </row>
    <row r="125" spans="1:10" x14ac:dyDescent="0.35">
      <c r="A125" s="32" t="s">
        <v>53</v>
      </c>
      <c r="B125" s="29">
        <v>150000</v>
      </c>
      <c r="C125" s="29">
        <v>0</v>
      </c>
      <c r="E125" s="1" t="s">
        <v>53</v>
      </c>
      <c r="F125" s="2">
        <v>150000</v>
      </c>
      <c r="G125" s="2">
        <v>0</v>
      </c>
      <c r="I125" s="31">
        <f t="shared" si="22"/>
        <v>0</v>
      </c>
      <c r="J125" s="31">
        <f t="shared" si="23"/>
        <v>0</v>
      </c>
    </row>
    <row r="126" spans="1:10" x14ac:dyDescent="0.35">
      <c r="A126" s="32" t="s">
        <v>37</v>
      </c>
      <c r="B126" s="29">
        <v>150000</v>
      </c>
      <c r="C126" s="29">
        <v>2500000</v>
      </c>
      <c r="E126" s="1" t="s">
        <v>37</v>
      </c>
      <c r="F126" s="2">
        <v>150000</v>
      </c>
      <c r="G126" s="2">
        <v>2500000</v>
      </c>
      <c r="I126" s="31">
        <f t="shared" si="22"/>
        <v>0</v>
      </c>
      <c r="J126" s="31">
        <f t="shared" si="23"/>
        <v>0</v>
      </c>
    </row>
    <row r="127" spans="1:10" x14ac:dyDescent="0.35">
      <c r="A127" s="32" t="s">
        <v>1050</v>
      </c>
      <c r="B127" s="29">
        <v>100000</v>
      </c>
      <c r="C127" s="29">
        <v>0</v>
      </c>
      <c r="E127" s="1" t="s">
        <v>109</v>
      </c>
      <c r="F127" s="2">
        <v>100000</v>
      </c>
      <c r="G127" s="2">
        <v>0</v>
      </c>
      <c r="I127" s="31">
        <f t="shared" si="22"/>
        <v>0</v>
      </c>
      <c r="J127" s="31">
        <f t="shared" si="23"/>
        <v>0</v>
      </c>
    </row>
    <row r="128" spans="1:10" x14ac:dyDescent="0.35">
      <c r="A128" s="32" t="s">
        <v>979</v>
      </c>
      <c r="B128" s="29">
        <v>250000</v>
      </c>
      <c r="C128" s="29">
        <v>0</v>
      </c>
      <c r="E128" s="1" t="s">
        <v>65</v>
      </c>
      <c r="F128" s="2">
        <v>250000</v>
      </c>
      <c r="G128" s="2">
        <v>0</v>
      </c>
      <c r="I128" s="31">
        <f t="shared" si="22"/>
        <v>0</v>
      </c>
      <c r="J128" s="31">
        <f t="shared" si="23"/>
        <v>0</v>
      </c>
    </row>
    <row r="129" spans="1:10" x14ac:dyDescent="0.35">
      <c r="A129" s="32" t="s">
        <v>1067</v>
      </c>
      <c r="B129" s="29">
        <v>100000</v>
      </c>
      <c r="C129" s="29">
        <v>2500000</v>
      </c>
      <c r="E129" s="1" t="s">
        <v>620</v>
      </c>
      <c r="F129" s="2">
        <v>100000</v>
      </c>
      <c r="G129" s="2">
        <v>2500000</v>
      </c>
      <c r="I129" s="31">
        <f t="shared" si="22"/>
        <v>0</v>
      </c>
      <c r="J129" s="31">
        <f t="shared" si="23"/>
        <v>0</v>
      </c>
    </row>
    <row r="130" spans="1:10" x14ac:dyDescent="0.35">
      <c r="A130" s="32" t="s">
        <v>1055</v>
      </c>
      <c r="B130" s="29">
        <v>100000</v>
      </c>
      <c r="C130" s="29">
        <v>0</v>
      </c>
      <c r="E130" s="1" t="s">
        <v>688</v>
      </c>
      <c r="F130" s="2">
        <v>100000</v>
      </c>
      <c r="G130" s="2">
        <v>0</v>
      </c>
      <c r="I130" s="31">
        <f t="shared" si="22"/>
        <v>0</v>
      </c>
      <c r="J130" s="31">
        <f t="shared" si="23"/>
        <v>0</v>
      </c>
    </row>
    <row r="131" spans="1:10" x14ac:dyDescent="0.35">
      <c r="A131" s="32" t="s">
        <v>1014</v>
      </c>
      <c r="B131" s="29">
        <v>250000</v>
      </c>
      <c r="C131" s="29">
        <v>0</v>
      </c>
      <c r="E131" s="1" t="s">
        <v>32</v>
      </c>
      <c r="F131" s="2">
        <v>250000</v>
      </c>
      <c r="G131" s="2">
        <v>0</v>
      </c>
      <c r="I131" s="31">
        <f t="shared" si="22"/>
        <v>0</v>
      </c>
      <c r="J131" s="31">
        <f t="shared" si="23"/>
        <v>0</v>
      </c>
    </row>
    <row r="132" spans="1:10" x14ac:dyDescent="0.35">
      <c r="A132" s="32" t="s">
        <v>187</v>
      </c>
      <c r="B132" s="29">
        <v>150000</v>
      </c>
      <c r="C132" s="29">
        <v>7597381</v>
      </c>
      <c r="E132" s="1" t="s">
        <v>187</v>
      </c>
      <c r="F132" s="2">
        <v>150000</v>
      </c>
      <c r="G132" s="2">
        <v>7597381</v>
      </c>
      <c r="I132" s="31">
        <f t="shared" si="22"/>
        <v>0</v>
      </c>
      <c r="J132" s="31">
        <f t="shared" si="23"/>
        <v>0</v>
      </c>
    </row>
    <row r="133" spans="1:10" x14ac:dyDescent="0.35">
      <c r="A133" s="32" t="s">
        <v>124</v>
      </c>
      <c r="B133" s="29">
        <v>150000</v>
      </c>
      <c r="C133" s="29">
        <v>0</v>
      </c>
      <c r="E133" s="1" t="s">
        <v>124</v>
      </c>
      <c r="F133" s="2">
        <v>150000</v>
      </c>
      <c r="G133" s="2">
        <v>0</v>
      </c>
      <c r="I133" s="31">
        <f t="shared" ref="I133:I154" si="24">B133-F133</f>
        <v>0</v>
      </c>
      <c r="J133" s="31">
        <f t="shared" ref="J133:J154" si="25">C133-G133</f>
        <v>0</v>
      </c>
    </row>
    <row r="134" spans="1:10" x14ac:dyDescent="0.35">
      <c r="A134" s="32" t="s">
        <v>1026</v>
      </c>
      <c r="B134" s="29">
        <v>150000</v>
      </c>
      <c r="C134" s="29">
        <v>0</v>
      </c>
      <c r="E134" s="1" t="s">
        <v>216</v>
      </c>
      <c r="F134" s="2">
        <v>150000</v>
      </c>
      <c r="G134" s="2">
        <v>0</v>
      </c>
      <c r="I134" s="31">
        <f t="shared" si="24"/>
        <v>0</v>
      </c>
      <c r="J134" s="31">
        <f t="shared" si="25"/>
        <v>0</v>
      </c>
    </row>
    <row r="135" spans="1:10" x14ac:dyDescent="0.35">
      <c r="A135" s="32" t="s">
        <v>1049</v>
      </c>
      <c r="B135" s="29">
        <v>250000</v>
      </c>
      <c r="C135" s="29">
        <v>0</v>
      </c>
      <c r="E135" s="1" t="s">
        <v>606</v>
      </c>
      <c r="F135" s="2">
        <v>250000</v>
      </c>
      <c r="G135" s="2">
        <v>0</v>
      </c>
      <c r="I135" s="31">
        <f t="shared" si="24"/>
        <v>0</v>
      </c>
      <c r="J135" s="31">
        <f t="shared" si="25"/>
        <v>0</v>
      </c>
    </row>
    <row r="136" spans="1:10" x14ac:dyDescent="0.35">
      <c r="A136" s="32" t="s">
        <v>1005</v>
      </c>
      <c r="B136" s="29">
        <v>250000</v>
      </c>
      <c r="C136" s="29">
        <v>0</v>
      </c>
      <c r="E136" s="1" t="s">
        <v>96</v>
      </c>
      <c r="F136" s="2">
        <v>250000</v>
      </c>
      <c r="G136" s="2">
        <v>0</v>
      </c>
      <c r="I136" s="31">
        <f t="shared" si="24"/>
        <v>0</v>
      </c>
      <c r="J136" s="31">
        <f t="shared" si="25"/>
        <v>0</v>
      </c>
    </row>
    <row r="137" spans="1:10" x14ac:dyDescent="0.35">
      <c r="A137" s="32" t="s">
        <v>598</v>
      </c>
      <c r="B137" s="29">
        <v>150000</v>
      </c>
      <c r="C137" s="29">
        <v>958333</v>
      </c>
      <c r="E137" s="1" t="s">
        <v>598</v>
      </c>
      <c r="F137" s="2">
        <v>150000</v>
      </c>
      <c r="G137" s="2">
        <v>958333</v>
      </c>
      <c r="I137" s="31">
        <f t="shared" si="24"/>
        <v>0</v>
      </c>
      <c r="J137" s="31">
        <f t="shared" si="25"/>
        <v>0</v>
      </c>
    </row>
    <row r="138" spans="1:10" x14ac:dyDescent="0.35">
      <c r="A138" s="32" t="s">
        <v>624</v>
      </c>
      <c r="B138" s="29">
        <v>150000</v>
      </c>
      <c r="C138" s="29">
        <v>3687500</v>
      </c>
      <c r="E138" s="1" t="s">
        <v>624</v>
      </c>
      <c r="F138" s="2">
        <v>150000</v>
      </c>
      <c r="G138" s="2">
        <v>3687500</v>
      </c>
      <c r="I138" s="31">
        <f t="shared" si="24"/>
        <v>0</v>
      </c>
      <c r="J138" s="31">
        <f t="shared" si="25"/>
        <v>0</v>
      </c>
    </row>
    <row r="139" spans="1:10" x14ac:dyDescent="0.35">
      <c r="A139" s="32" t="s">
        <v>1018</v>
      </c>
      <c r="B139" s="29">
        <v>250000</v>
      </c>
      <c r="C139" s="29">
        <v>0</v>
      </c>
      <c r="E139" s="3" t="s">
        <v>535</v>
      </c>
      <c r="F139" s="2">
        <v>250000</v>
      </c>
      <c r="G139" s="2">
        <v>0</v>
      </c>
      <c r="I139" s="31">
        <f t="shared" si="24"/>
        <v>0</v>
      </c>
      <c r="J139" s="31">
        <f t="shared" si="25"/>
        <v>0</v>
      </c>
    </row>
    <row r="140" spans="1:10" x14ac:dyDescent="0.35">
      <c r="A140" s="32" t="s">
        <v>671</v>
      </c>
      <c r="B140" s="29">
        <v>100000</v>
      </c>
      <c r="C140" s="29">
        <v>0</v>
      </c>
      <c r="E140" s="1" t="s">
        <v>671</v>
      </c>
      <c r="F140" s="2">
        <v>100000</v>
      </c>
      <c r="G140" s="2">
        <v>0</v>
      </c>
      <c r="I140" s="31">
        <f t="shared" si="24"/>
        <v>0</v>
      </c>
      <c r="J140" s="31">
        <f t="shared" si="25"/>
        <v>0</v>
      </c>
    </row>
    <row r="141" spans="1:10" x14ac:dyDescent="0.35">
      <c r="A141" s="32" t="s">
        <v>1011</v>
      </c>
      <c r="B141" s="29">
        <v>250000</v>
      </c>
      <c r="C141" s="29">
        <v>0</v>
      </c>
      <c r="E141" s="1"/>
      <c r="F141" s="2"/>
      <c r="G141" s="2"/>
      <c r="I141" s="31">
        <f t="shared" si="24"/>
        <v>250000</v>
      </c>
      <c r="J141" s="31">
        <f t="shared" si="25"/>
        <v>0</v>
      </c>
    </row>
    <row r="142" spans="1:10" x14ac:dyDescent="0.35">
      <c r="A142" s="32" t="s">
        <v>191</v>
      </c>
      <c r="B142" s="29">
        <v>150000</v>
      </c>
      <c r="C142" s="29">
        <v>0</v>
      </c>
      <c r="E142" s="1" t="s">
        <v>191</v>
      </c>
      <c r="F142" s="2">
        <v>150000</v>
      </c>
      <c r="G142" s="2">
        <v>0</v>
      </c>
      <c r="I142" s="31">
        <f t="shared" si="24"/>
        <v>0</v>
      </c>
      <c r="J142" s="31">
        <f t="shared" si="25"/>
        <v>0</v>
      </c>
    </row>
    <row r="143" spans="1:10" x14ac:dyDescent="0.35">
      <c r="A143" s="32" t="s">
        <v>999</v>
      </c>
      <c r="B143" s="29">
        <v>350000</v>
      </c>
      <c r="C143" s="29">
        <v>11907732</v>
      </c>
      <c r="E143" s="1" t="s">
        <v>661</v>
      </c>
      <c r="F143" s="2">
        <v>350000</v>
      </c>
      <c r="G143" s="2">
        <v>11907732</v>
      </c>
      <c r="I143" s="31">
        <f t="shared" si="24"/>
        <v>0</v>
      </c>
      <c r="J143" s="31">
        <f t="shared" si="25"/>
        <v>0</v>
      </c>
    </row>
    <row r="144" spans="1:10" x14ac:dyDescent="0.35">
      <c r="A144" s="32" t="s">
        <v>1064</v>
      </c>
      <c r="B144" s="29">
        <v>350000</v>
      </c>
      <c r="C144" s="29">
        <v>0</v>
      </c>
      <c r="E144" s="1" t="s">
        <v>667</v>
      </c>
      <c r="F144" s="2">
        <v>350000</v>
      </c>
      <c r="G144" s="2">
        <v>0</v>
      </c>
      <c r="I144" s="31">
        <f t="shared" si="24"/>
        <v>0</v>
      </c>
      <c r="J144" s="31">
        <f t="shared" si="25"/>
        <v>0</v>
      </c>
    </row>
    <row r="145" spans="1:10" x14ac:dyDescent="0.35">
      <c r="A145" s="32" t="s">
        <v>127</v>
      </c>
      <c r="B145" s="29">
        <v>150000</v>
      </c>
      <c r="C145" s="29">
        <v>0</v>
      </c>
      <c r="E145" s="1" t="s">
        <v>127</v>
      </c>
      <c r="F145" s="2">
        <v>150000</v>
      </c>
      <c r="G145" s="2">
        <v>0</v>
      </c>
      <c r="I145" s="31">
        <f t="shared" si="24"/>
        <v>0</v>
      </c>
      <c r="J145" s="31">
        <f t="shared" si="25"/>
        <v>0</v>
      </c>
    </row>
    <row r="146" spans="1:10" x14ac:dyDescent="0.35">
      <c r="A146" s="28" t="s">
        <v>203</v>
      </c>
      <c r="B146" s="29">
        <v>150000</v>
      </c>
      <c r="C146" s="29">
        <v>0</v>
      </c>
      <c r="E146" s="1" t="s">
        <v>203</v>
      </c>
      <c r="F146" s="2">
        <v>150000</v>
      </c>
      <c r="G146" s="2">
        <v>0</v>
      </c>
      <c r="I146" s="31">
        <f t="shared" si="24"/>
        <v>0</v>
      </c>
      <c r="J146" s="31">
        <f t="shared" si="25"/>
        <v>0</v>
      </c>
    </row>
    <row r="147" spans="1:10" x14ac:dyDescent="0.35">
      <c r="A147" s="28" t="s">
        <v>1047</v>
      </c>
      <c r="B147" s="29">
        <v>350000</v>
      </c>
      <c r="C147" s="29">
        <v>2500000</v>
      </c>
      <c r="E147" s="1" t="s">
        <v>663</v>
      </c>
      <c r="F147" s="2">
        <v>350000</v>
      </c>
      <c r="G147" s="2">
        <v>2500000</v>
      </c>
      <c r="I147" s="31">
        <f t="shared" si="24"/>
        <v>0</v>
      </c>
      <c r="J147" s="31">
        <f t="shared" si="25"/>
        <v>0</v>
      </c>
    </row>
    <row r="148" spans="1:10" x14ac:dyDescent="0.35">
      <c r="A148" s="28" t="s">
        <v>982</v>
      </c>
      <c r="B148" s="29">
        <v>250000</v>
      </c>
      <c r="C148" s="29">
        <v>0</v>
      </c>
      <c r="E148" s="1" t="s">
        <v>74</v>
      </c>
      <c r="F148" s="2">
        <v>250000</v>
      </c>
      <c r="G148" s="2">
        <v>0</v>
      </c>
      <c r="I148" s="31">
        <f t="shared" si="24"/>
        <v>0</v>
      </c>
      <c r="J148" s="31">
        <f t="shared" si="25"/>
        <v>0</v>
      </c>
    </row>
    <row r="149" spans="1:10" x14ac:dyDescent="0.35">
      <c r="A149" s="28" t="s">
        <v>1048</v>
      </c>
      <c r="B149" s="29">
        <v>350000</v>
      </c>
      <c r="C149" s="29">
        <v>0</v>
      </c>
      <c r="E149" s="1" t="s">
        <v>649</v>
      </c>
      <c r="F149" s="2">
        <v>350000</v>
      </c>
      <c r="G149" s="2">
        <v>0</v>
      </c>
      <c r="I149" s="31">
        <f t="shared" si="24"/>
        <v>0</v>
      </c>
      <c r="J149" s="31">
        <f t="shared" si="25"/>
        <v>0</v>
      </c>
    </row>
    <row r="150" spans="1:10" x14ac:dyDescent="0.35">
      <c r="A150" s="28" t="s">
        <v>1000</v>
      </c>
      <c r="B150" s="29">
        <v>350000</v>
      </c>
      <c r="C150" s="29">
        <v>0</v>
      </c>
      <c r="E150" s="1" t="s">
        <v>94</v>
      </c>
      <c r="F150" s="2">
        <v>350000</v>
      </c>
      <c r="G150" s="2">
        <v>0</v>
      </c>
      <c r="I150" s="31">
        <f t="shared" si="24"/>
        <v>0</v>
      </c>
      <c r="J150" s="31">
        <f t="shared" si="25"/>
        <v>0</v>
      </c>
    </row>
    <row r="151" spans="1:10" x14ac:dyDescent="0.35">
      <c r="A151" s="28" t="s">
        <v>1070</v>
      </c>
      <c r="B151" s="29">
        <v>250000</v>
      </c>
      <c r="C151" s="29">
        <v>0</v>
      </c>
      <c r="E151" s="1" t="s">
        <v>154</v>
      </c>
      <c r="F151" s="2">
        <v>250000</v>
      </c>
      <c r="G151" s="2">
        <v>0</v>
      </c>
      <c r="I151" s="31">
        <f t="shared" si="24"/>
        <v>0</v>
      </c>
      <c r="J151" s="31">
        <f t="shared" si="25"/>
        <v>0</v>
      </c>
    </row>
    <row r="152" spans="1:10" x14ac:dyDescent="0.35">
      <c r="A152" s="28" t="s">
        <v>1035</v>
      </c>
      <c r="B152" s="29">
        <v>150000</v>
      </c>
      <c r="C152" s="29">
        <v>0</v>
      </c>
      <c r="E152" s="1" t="s">
        <v>604</v>
      </c>
      <c r="F152" s="2">
        <v>150000</v>
      </c>
      <c r="G152" s="2">
        <v>0</v>
      </c>
      <c r="I152" s="31">
        <f t="shared" si="24"/>
        <v>0</v>
      </c>
      <c r="J152" s="31">
        <f t="shared" si="25"/>
        <v>0</v>
      </c>
    </row>
    <row r="153" spans="1:10" x14ac:dyDescent="0.35">
      <c r="A153" s="28" t="s">
        <v>996</v>
      </c>
      <c r="B153" s="29">
        <v>150000</v>
      </c>
      <c r="C153" s="29">
        <v>0</v>
      </c>
      <c r="E153" s="1" t="s">
        <v>131</v>
      </c>
      <c r="F153" s="2">
        <v>150000</v>
      </c>
      <c r="G153" s="2">
        <v>0</v>
      </c>
      <c r="I153" s="31">
        <f t="shared" si="24"/>
        <v>0</v>
      </c>
      <c r="J153" s="31">
        <f t="shared" si="25"/>
        <v>0</v>
      </c>
    </row>
    <row r="154" spans="1:10" x14ac:dyDescent="0.35">
      <c r="A154" s="28" t="s">
        <v>87</v>
      </c>
      <c r="B154" s="29">
        <v>150000</v>
      </c>
      <c r="C154" s="29">
        <v>2310813</v>
      </c>
      <c r="E154" s="1" t="s">
        <v>87</v>
      </c>
      <c r="F154" s="2">
        <v>150000</v>
      </c>
      <c r="G154" s="2">
        <v>2310813</v>
      </c>
      <c r="I154" s="31">
        <f t="shared" si="24"/>
        <v>0</v>
      </c>
      <c r="J154" s="31">
        <f t="shared" si="25"/>
        <v>0</v>
      </c>
    </row>
    <row r="155" spans="1:10" x14ac:dyDescent="0.35">
      <c r="A155" s="28" t="s">
        <v>55</v>
      </c>
      <c r="B155" s="29">
        <v>150000</v>
      </c>
      <c r="C155" s="29">
        <v>0</v>
      </c>
      <c r="E155" s="1" t="s">
        <v>55</v>
      </c>
      <c r="F155" s="2">
        <v>150000</v>
      </c>
      <c r="G155" s="2">
        <v>0</v>
      </c>
      <c r="I155" s="31">
        <f t="shared" ref="I155:I156" si="26">B155-F155</f>
        <v>0</v>
      </c>
      <c r="J155" s="31">
        <f t="shared" ref="J155:J156" si="27">C155-G155</f>
        <v>0</v>
      </c>
    </row>
    <row r="156" spans="1:10" x14ac:dyDescent="0.35">
      <c r="A156" s="33" t="s">
        <v>1076</v>
      </c>
      <c r="B156" s="29">
        <v>250000</v>
      </c>
      <c r="C156" s="29">
        <v>3402778</v>
      </c>
      <c r="I156" s="31">
        <f t="shared" si="26"/>
        <v>250000</v>
      </c>
      <c r="J156" s="31">
        <f t="shared" si="27"/>
        <v>3402778</v>
      </c>
    </row>
    <row r="158" spans="1:10" x14ac:dyDescent="0.35">
      <c r="B158" s="34">
        <f>SUM(B3:B156)</f>
        <v>30650000</v>
      </c>
      <c r="C158" s="34">
        <f t="shared" ref="C158:J158" si="28">SUM(C3:C156)</f>
        <v>104082041</v>
      </c>
      <c r="D158" s="34">
        <f t="shared" si="28"/>
        <v>0</v>
      </c>
      <c r="E158" s="34">
        <f t="shared" si="28"/>
        <v>0</v>
      </c>
      <c r="F158" s="34">
        <f t="shared" si="28"/>
        <v>29750000</v>
      </c>
      <c r="G158" s="34">
        <f t="shared" si="28"/>
        <v>102569891</v>
      </c>
      <c r="H158" s="34">
        <f t="shared" si="28"/>
        <v>0</v>
      </c>
      <c r="I158" s="34">
        <f t="shared" si="28"/>
        <v>900000</v>
      </c>
      <c r="J158" s="34">
        <f t="shared" si="28"/>
        <v>1512150</v>
      </c>
    </row>
  </sheetData>
  <sortState xmlns:xlrd2="http://schemas.microsoft.com/office/spreadsheetml/2017/richdata2" ref="E3:G160">
    <sortCondition ref="E1:E160"/>
  </sortState>
  <conditionalFormatting sqref="A134">
    <cfRule type="duplicateValues" dxfId="5" priority="2" stopIfTrue="1"/>
  </conditionalFormatting>
  <conditionalFormatting sqref="A135:A137">
    <cfRule type="duplicateValues" dxfId="4" priority="1" stopIfTrue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7AE8F-2896-453F-8C20-960AF0A61EF8}">
  <dimension ref="A3:T48"/>
  <sheetViews>
    <sheetView topLeftCell="A22" zoomScale="85" zoomScaleNormal="85" workbookViewId="0">
      <selection activeCell="G37" sqref="G37"/>
    </sheetView>
  </sheetViews>
  <sheetFormatPr defaultRowHeight="14.5" x14ac:dyDescent="0.35"/>
  <cols>
    <col min="1" max="1" width="22.6328125" customWidth="1"/>
    <col min="2" max="2" width="13.7265625" bestFit="1" customWidth="1"/>
    <col min="3" max="3" width="5.90625" customWidth="1"/>
    <col min="4" max="4" width="16.7265625" hidden="1" customWidth="1"/>
    <col min="5" max="5" width="13" hidden="1" customWidth="1"/>
    <col min="6" max="6" width="5.1796875" hidden="1" customWidth="1"/>
    <col min="7" max="7" width="25.54296875" hidden="1" customWidth="1"/>
    <col min="8" max="8" width="13" hidden="1" customWidth="1"/>
    <col min="9" max="9" width="4.54296875" hidden="1" customWidth="1"/>
    <col min="10" max="10" width="23.08984375" hidden="1" customWidth="1"/>
    <col min="11" max="11" width="14.08984375" hidden="1" customWidth="1"/>
    <col min="12" max="12" width="5.36328125" hidden="1" customWidth="1"/>
    <col min="13" max="13" width="23.7265625" customWidth="1"/>
    <col min="14" max="14" width="13.81640625" customWidth="1"/>
    <col min="15" max="15" width="4.26953125" customWidth="1"/>
    <col min="16" max="16" width="11.6328125" customWidth="1"/>
    <col min="17" max="17" width="11.1796875" customWidth="1"/>
    <col min="19" max="19" width="20.36328125" customWidth="1"/>
    <col min="20" max="20" width="14.54296875" customWidth="1"/>
  </cols>
  <sheetData>
    <row r="3" spans="1:20" ht="15" thickBot="1" x14ac:dyDescent="0.4">
      <c r="A3" s="85" t="s">
        <v>577</v>
      </c>
      <c r="B3" s="86">
        <v>1500000</v>
      </c>
    </row>
    <row r="4" spans="1:20" x14ac:dyDescent="0.35">
      <c r="A4" s="52" t="s">
        <v>244</v>
      </c>
      <c r="B4" s="53">
        <v>6887500</v>
      </c>
      <c r="D4" t="s">
        <v>894</v>
      </c>
      <c r="E4" s="11">
        <v>1020833</v>
      </c>
      <c r="G4" s="55" t="s">
        <v>894</v>
      </c>
      <c r="H4" s="61">
        <v>0</v>
      </c>
      <c r="J4" t="s">
        <v>894</v>
      </c>
      <c r="K4" s="11">
        <v>0</v>
      </c>
      <c r="M4" t="s">
        <v>894</v>
      </c>
      <c r="N4" s="11">
        <f>E4+H4+K4</f>
        <v>1020833</v>
      </c>
      <c r="P4" s="69" t="s">
        <v>319</v>
      </c>
      <c r="Q4" s="71">
        <v>6873356</v>
      </c>
      <c r="S4" s="73" t="s">
        <v>358</v>
      </c>
      <c r="T4" s="71">
        <v>9158659</v>
      </c>
    </row>
    <row r="5" spans="1:20" x14ac:dyDescent="0.35">
      <c r="A5" s="52" t="s">
        <v>894</v>
      </c>
      <c r="B5" s="53">
        <v>1020833</v>
      </c>
      <c r="D5" t="s">
        <v>293</v>
      </c>
      <c r="E5" s="11">
        <v>2291667</v>
      </c>
      <c r="G5" s="56" t="s">
        <v>293</v>
      </c>
      <c r="H5" s="62"/>
      <c r="J5" t="s">
        <v>293</v>
      </c>
      <c r="K5" s="11">
        <v>0</v>
      </c>
      <c r="M5" t="s">
        <v>293</v>
      </c>
      <c r="N5" s="11">
        <f>E5+H5+K5+T6</f>
        <v>7801667</v>
      </c>
      <c r="P5" s="69" t="s">
        <v>317</v>
      </c>
      <c r="Q5" s="71">
        <v>3436678</v>
      </c>
      <c r="S5" s="69" t="s">
        <v>311</v>
      </c>
      <c r="T5" s="74">
        <v>7312930</v>
      </c>
    </row>
    <row r="6" spans="1:20" x14ac:dyDescent="0.35">
      <c r="A6" s="52" t="s">
        <v>429</v>
      </c>
      <c r="B6" s="53">
        <v>7609848</v>
      </c>
      <c r="D6" t="s">
        <v>358</v>
      </c>
      <c r="E6" s="11">
        <v>6708333</v>
      </c>
      <c r="G6" s="56" t="s">
        <v>358</v>
      </c>
      <c r="H6" s="63">
        <v>2500000</v>
      </c>
      <c r="J6" t="s">
        <v>358</v>
      </c>
      <c r="K6" s="11">
        <v>0</v>
      </c>
      <c r="M6" t="s">
        <v>358</v>
      </c>
      <c r="N6" s="11">
        <f>E6+H6+K6+T4</f>
        <v>18366992</v>
      </c>
      <c r="P6" s="69" t="s">
        <v>268</v>
      </c>
      <c r="Q6" s="71">
        <v>5498685</v>
      </c>
      <c r="S6" s="69" t="s">
        <v>293</v>
      </c>
      <c r="T6" s="74">
        <v>5510000</v>
      </c>
    </row>
    <row r="7" spans="1:20" x14ac:dyDescent="0.35">
      <c r="A7" s="52" t="s">
        <v>293</v>
      </c>
      <c r="B7" s="53">
        <v>7801667</v>
      </c>
      <c r="D7" t="s">
        <v>345</v>
      </c>
      <c r="E7" s="11">
        <v>1871528</v>
      </c>
      <c r="G7" s="56" t="s">
        <v>345</v>
      </c>
      <c r="H7" s="62"/>
      <c r="J7" t="s">
        <v>345</v>
      </c>
      <c r="K7" s="11">
        <v>0</v>
      </c>
      <c r="M7" t="s">
        <v>345</v>
      </c>
      <c r="N7" s="11">
        <f>E7+H7+K7</f>
        <v>1871528</v>
      </c>
      <c r="P7" s="69" t="s">
        <v>311</v>
      </c>
      <c r="Q7" s="71">
        <v>6873357</v>
      </c>
      <c r="S7" s="69" t="s">
        <v>450</v>
      </c>
      <c r="T7" s="74">
        <v>5510000</v>
      </c>
    </row>
    <row r="8" spans="1:20" x14ac:dyDescent="0.35">
      <c r="A8" s="52" t="s">
        <v>342</v>
      </c>
      <c r="B8" s="53">
        <v>1000000</v>
      </c>
      <c r="D8" t="s">
        <v>692</v>
      </c>
      <c r="E8" s="11">
        <v>2291667</v>
      </c>
      <c r="G8" s="56" t="s">
        <v>692</v>
      </c>
      <c r="H8" s="62"/>
      <c r="J8" t="s">
        <v>692</v>
      </c>
      <c r="K8" s="11">
        <v>0</v>
      </c>
      <c r="M8" t="s">
        <v>692</v>
      </c>
      <c r="N8" s="11">
        <f>E8+H8+K8+T11</f>
        <v>6053100</v>
      </c>
      <c r="P8" s="69" t="s">
        <v>406</v>
      </c>
      <c r="Q8" s="71">
        <v>4986707</v>
      </c>
      <c r="S8" s="75" t="s">
        <v>394</v>
      </c>
      <c r="T8" s="74">
        <v>2996427</v>
      </c>
    </row>
    <row r="9" spans="1:20" x14ac:dyDescent="0.35">
      <c r="A9" s="52" t="s">
        <v>358</v>
      </c>
      <c r="B9" s="53">
        <v>18366992</v>
      </c>
      <c r="D9" t="s">
        <v>500</v>
      </c>
      <c r="E9" s="11">
        <v>8506944</v>
      </c>
      <c r="G9" s="56" t="s">
        <v>500</v>
      </c>
      <c r="H9" s="64">
        <v>2500000</v>
      </c>
      <c r="J9" t="s">
        <v>500</v>
      </c>
      <c r="K9" s="11">
        <v>0</v>
      </c>
      <c r="M9" t="s">
        <v>500</v>
      </c>
      <c r="N9" s="11">
        <f>E9+H9+K9</f>
        <v>11006944</v>
      </c>
      <c r="P9" s="69" t="s">
        <v>315</v>
      </c>
      <c r="Q9" s="71">
        <v>4704441</v>
      </c>
      <c r="S9" s="69" t="s">
        <v>429</v>
      </c>
      <c r="T9" s="74">
        <v>7609848</v>
      </c>
    </row>
    <row r="10" spans="1:20" x14ac:dyDescent="0.35">
      <c r="A10" s="52" t="s">
        <v>345</v>
      </c>
      <c r="B10" s="53">
        <v>1871528</v>
      </c>
      <c r="D10" t="s">
        <v>311</v>
      </c>
      <c r="E10" s="11">
        <v>3437500</v>
      </c>
      <c r="G10" s="57" t="s">
        <v>311</v>
      </c>
      <c r="H10" s="64"/>
      <c r="J10" t="s">
        <v>311</v>
      </c>
      <c r="K10" s="11">
        <v>0</v>
      </c>
      <c r="M10" t="s">
        <v>311</v>
      </c>
      <c r="N10" s="11">
        <f>E10+H10+K10+Q7+T5</f>
        <v>17623787</v>
      </c>
      <c r="P10" s="69" t="s">
        <v>240</v>
      </c>
      <c r="Q10" s="71">
        <v>6154617</v>
      </c>
      <c r="S10" s="75" t="s">
        <v>268</v>
      </c>
      <c r="T10" s="74">
        <v>6617197</v>
      </c>
    </row>
    <row r="11" spans="1:20" x14ac:dyDescent="0.35">
      <c r="A11" s="52" t="s">
        <v>356</v>
      </c>
      <c r="B11" s="53">
        <v>6750416</v>
      </c>
      <c r="D11" t="s">
        <v>494</v>
      </c>
      <c r="E11" s="11">
        <v>0</v>
      </c>
      <c r="G11" s="56" t="s">
        <v>494</v>
      </c>
      <c r="H11" s="64">
        <v>2000000</v>
      </c>
      <c r="J11" t="s">
        <v>494</v>
      </c>
      <c r="K11" s="11">
        <v>0</v>
      </c>
      <c r="M11" t="s">
        <v>494</v>
      </c>
      <c r="N11" s="11">
        <f>E11+H11+K11+T15</f>
        <v>5767335</v>
      </c>
      <c r="P11" s="70" t="s">
        <v>506</v>
      </c>
      <c r="Q11" s="72">
        <v>7560693</v>
      </c>
      <c r="S11" s="69" t="s">
        <v>692</v>
      </c>
      <c r="T11" s="74">
        <v>3761433</v>
      </c>
    </row>
    <row r="12" spans="1:20" x14ac:dyDescent="0.35">
      <c r="A12" s="52" t="s">
        <v>692</v>
      </c>
      <c r="B12" s="53">
        <v>6053100</v>
      </c>
      <c r="D12" t="s">
        <v>235</v>
      </c>
      <c r="E12" s="11">
        <v>850694</v>
      </c>
      <c r="G12" s="56" t="s">
        <v>235</v>
      </c>
      <c r="H12" s="62"/>
      <c r="J12" t="s">
        <v>235</v>
      </c>
      <c r="K12" s="11">
        <v>0</v>
      </c>
      <c r="M12" t="s">
        <v>235</v>
      </c>
      <c r="N12" s="11">
        <f>E12+H12+K12</f>
        <v>850694</v>
      </c>
      <c r="S12" s="75" t="s">
        <v>467</v>
      </c>
      <c r="T12" s="74">
        <v>4387759</v>
      </c>
    </row>
    <row r="13" spans="1:20" x14ac:dyDescent="0.35">
      <c r="A13" s="52" t="s">
        <v>500</v>
      </c>
      <c r="B13" s="53">
        <v>11006944</v>
      </c>
      <c r="D13" t="s">
        <v>317</v>
      </c>
      <c r="E13" s="11">
        <v>2395833</v>
      </c>
      <c r="G13" s="56" t="s">
        <v>317</v>
      </c>
      <c r="H13" s="62"/>
      <c r="J13" t="s">
        <v>317</v>
      </c>
      <c r="K13" s="11">
        <v>0</v>
      </c>
      <c r="M13" t="s">
        <v>317</v>
      </c>
      <c r="N13" s="11">
        <f>E13+H13+K13+Q5</f>
        <v>5832511</v>
      </c>
      <c r="S13" s="76" t="s">
        <v>244</v>
      </c>
      <c r="T13" s="74">
        <v>6887500</v>
      </c>
    </row>
    <row r="14" spans="1:20" x14ac:dyDescent="0.35">
      <c r="A14" s="52" t="s">
        <v>311</v>
      </c>
      <c r="B14" s="53">
        <v>17623787</v>
      </c>
      <c r="D14" t="s">
        <v>392</v>
      </c>
      <c r="E14" s="11">
        <v>1197917</v>
      </c>
      <c r="G14" s="56" t="s">
        <v>392</v>
      </c>
      <c r="H14" s="63">
        <v>1000000</v>
      </c>
      <c r="J14" t="s">
        <v>392</v>
      </c>
      <c r="K14" s="11">
        <v>1252125</v>
      </c>
      <c r="M14" t="s">
        <v>392</v>
      </c>
      <c r="N14" s="11">
        <f>E14+H14+K14</f>
        <v>3450042</v>
      </c>
      <c r="S14" s="77" t="s">
        <v>278</v>
      </c>
      <c r="T14" s="81">
        <v>3242693</v>
      </c>
    </row>
    <row r="15" spans="1:20" x14ac:dyDescent="0.35">
      <c r="A15" s="52" t="s">
        <v>494</v>
      </c>
      <c r="B15" s="53">
        <v>5767335</v>
      </c>
      <c r="D15" t="s">
        <v>492</v>
      </c>
      <c r="E15" s="11">
        <v>2395833</v>
      </c>
      <c r="G15" s="55" t="s">
        <v>492</v>
      </c>
      <c r="H15" s="61"/>
      <c r="J15" t="s">
        <v>492</v>
      </c>
      <c r="K15" s="11">
        <v>0</v>
      </c>
      <c r="M15" t="s">
        <v>492</v>
      </c>
      <c r="N15" s="11">
        <f>E15+H15+K15</f>
        <v>2395833</v>
      </c>
      <c r="S15" s="78" t="s">
        <v>494</v>
      </c>
      <c r="T15" s="81">
        <v>3767335</v>
      </c>
    </row>
    <row r="16" spans="1:20" x14ac:dyDescent="0.35">
      <c r="A16" s="52" t="s">
        <v>584</v>
      </c>
      <c r="B16" s="53">
        <v>1890628</v>
      </c>
      <c r="D16" t="s">
        <v>297</v>
      </c>
      <c r="E16" s="11">
        <v>3562500</v>
      </c>
      <c r="G16" s="56" t="s">
        <v>297</v>
      </c>
      <c r="H16" s="64"/>
      <c r="J16" t="s">
        <v>297</v>
      </c>
      <c r="K16" s="11">
        <v>0</v>
      </c>
      <c r="M16" t="s">
        <v>297</v>
      </c>
      <c r="N16" s="11">
        <f>E16+H16+K16</f>
        <v>3562500</v>
      </c>
      <c r="S16" s="79" t="s">
        <v>546</v>
      </c>
      <c r="T16" s="82">
        <v>2702245</v>
      </c>
    </row>
    <row r="17" spans="1:20" x14ac:dyDescent="0.35">
      <c r="A17" s="52" t="s">
        <v>235</v>
      </c>
      <c r="B17" s="53">
        <v>850694</v>
      </c>
      <c r="D17" t="s">
        <v>379</v>
      </c>
      <c r="E17" s="11">
        <v>2291667</v>
      </c>
      <c r="G17" s="58" t="s">
        <v>379</v>
      </c>
      <c r="H17" s="64"/>
      <c r="J17" t="s">
        <v>379</v>
      </c>
      <c r="K17" s="11">
        <v>0</v>
      </c>
      <c r="M17" t="s">
        <v>379</v>
      </c>
      <c r="N17" s="11">
        <f>E17+H17+K17</f>
        <v>2291667</v>
      </c>
      <c r="S17" s="80" t="s">
        <v>918</v>
      </c>
      <c r="T17" s="81">
        <v>6746749</v>
      </c>
    </row>
    <row r="18" spans="1:20" ht="15" thickBot="1" x14ac:dyDescent="0.4">
      <c r="A18" s="52" t="s">
        <v>317</v>
      </c>
      <c r="B18" s="53">
        <v>5832511</v>
      </c>
      <c r="D18" t="s">
        <v>400</v>
      </c>
      <c r="E18" s="11">
        <v>3402778</v>
      </c>
      <c r="G18" s="56" t="s">
        <v>400</v>
      </c>
      <c r="H18" s="62"/>
      <c r="J18" t="s">
        <v>400</v>
      </c>
      <c r="K18" s="11">
        <v>0</v>
      </c>
      <c r="M18" t="s">
        <v>400</v>
      </c>
      <c r="N18" s="11">
        <f>E18+H18+K18</f>
        <v>3402778</v>
      </c>
      <c r="S18" s="83" t="s">
        <v>106</v>
      </c>
      <c r="T18" s="84">
        <v>5510001</v>
      </c>
    </row>
    <row r="19" spans="1:20" x14ac:dyDescent="0.35">
      <c r="A19" s="52" t="s">
        <v>392</v>
      </c>
      <c r="B19" s="53">
        <v>3450042</v>
      </c>
      <c r="D19" t="s">
        <v>278</v>
      </c>
      <c r="E19" s="11">
        <v>2395833</v>
      </c>
      <c r="G19" s="56" t="s">
        <v>278</v>
      </c>
      <c r="H19" s="62"/>
      <c r="J19" t="s">
        <v>278</v>
      </c>
      <c r="K19" s="11">
        <v>0</v>
      </c>
      <c r="M19" t="s">
        <v>278</v>
      </c>
      <c r="N19" s="11">
        <f>E19+H19+K19+T14</f>
        <v>5638526</v>
      </c>
    </row>
    <row r="20" spans="1:20" x14ac:dyDescent="0.35">
      <c r="A20" s="52" t="s">
        <v>492</v>
      </c>
      <c r="B20" s="53">
        <v>2895833</v>
      </c>
      <c r="D20" t="s">
        <v>229</v>
      </c>
      <c r="E20" s="11">
        <v>0</v>
      </c>
      <c r="G20" s="55" t="s">
        <v>229</v>
      </c>
      <c r="H20" s="64">
        <v>2500000</v>
      </c>
      <c r="J20" t="s">
        <v>229</v>
      </c>
      <c r="K20" s="11">
        <v>0</v>
      </c>
      <c r="M20" t="s">
        <v>229</v>
      </c>
      <c r="N20" s="11">
        <f>E20+H20+K20</f>
        <v>2500000</v>
      </c>
    </row>
    <row r="21" spans="1:20" x14ac:dyDescent="0.35">
      <c r="A21" s="52" t="s">
        <v>297</v>
      </c>
      <c r="B21" s="53">
        <v>3562500</v>
      </c>
      <c r="D21" t="s">
        <v>315</v>
      </c>
      <c r="E21" s="11">
        <v>1375000</v>
      </c>
      <c r="G21" s="56" t="s">
        <v>315</v>
      </c>
      <c r="H21" s="64">
        <v>550000</v>
      </c>
      <c r="J21" t="s">
        <v>315</v>
      </c>
      <c r="K21" s="11">
        <v>0</v>
      </c>
      <c r="M21" t="s">
        <v>315</v>
      </c>
      <c r="N21" s="11">
        <f>E21+H21+K21+Q9</f>
        <v>6629441</v>
      </c>
    </row>
    <row r="22" spans="1:20" x14ac:dyDescent="0.35">
      <c r="A22" s="52" t="s">
        <v>379</v>
      </c>
      <c r="B22" s="53">
        <v>2291667</v>
      </c>
      <c r="D22" t="s">
        <v>274</v>
      </c>
      <c r="E22" s="11">
        <v>0</v>
      </c>
      <c r="G22" s="57" t="s">
        <v>274</v>
      </c>
      <c r="H22" s="64"/>
      <c r="J22" t="s">
        <v>274</v>
      </c>
      <c r="K22" s="11">
        <v>0</v>
      </c>
      <c r="M22" t="s">
        <v>274</v>
      </c>
      <c r="N22" s="11">
        <f>E22+H22+K22</f>
        <v>0</v>
      </c>
    </row>
    <row r="23" spans="1:20" x14ac:dyDescent="0.35">
      <c r="A23" s="52" t="s">
        <v>251</v>
      </c>
      <c r="B23" s="53">
        <v>10608334</v>
      </c>
      <c r="D23" t="s">
        <v>272</v>
      </c>
      <c r="E23" s="11">
        <v>0</v>
      </c>
      <c r="G23" s="56" t="s">
        <v>272</v>
      </c>
      <c r="H23" s="64"/>
      <c r="J23" t="s">
        <v>272</v>
      </c>
      <c r="K23" s="11">
        <v>1665000</v>
      </c>
      <c r="M23" t="s">
        <v>272</v>
      </c>
      <c r="N23" s="11">
        <f>E23+H23+K23</f>
        <v>1665000</v>
      </c>
    </row>
    <row r="24" spans="1:20" x14ac:dyDescent="0.35">
      <c r="A24" s="52" t="s">
        <v>303</v>
      </c>
      <c r="B24" s="53">
        <v>1500000</v>
      </c>
      <c r="D24" t="s">
        <v>289</v>
      </c>
      <c r="E24" s="11">
        <v>2395833</v>
      </c>
      <c r="G24" s="55" t="s">
        <v>289</v>
      </c>
      <c r="H24" s="62"/>
      <c r="J24" t="s">
        <v>289</v>
      </c>
      <c r="K24" s="11">
        <v>0</v>
      </c>
      <c r="M24" t="s">
        <v>289</v>
      </c>
      <c r="N24" s="11">
        <f>E24+H24+K24</f>
        <v>2395833</v>
      </c>
    </row>
    <row r="25" spans="1:20" x14ac:dyDescent="0.35">
      <c r="A25" s="52" t="s">
        <v>450</v>
      </c>
      <c r="B25" s="53">
        <v>5510000</v>
      </c>
      <c r="D25" t="s">
        <v>579</v>
      </c>
      <c r="E25" s="11">
        <v>2395833</v>
      </c>
      <c r="G25" s="56" t="s">
        <v>579</v>
      </c>
      <c r="H25" s="62"/>
      <c r="J25" t="s">
        <v>579</v>
      </c>
      <c r="K25" s="11">
        <v>0</v>
      </c>
      <c r="M25" t="s">
        <v>579</v>
      </c>
      <c r="N25" s="11">
        <f>E25+H25+K25</f>
        <v>2395833</v>
      </c>
    </row>
    <row r="26" spans="1:20" x14ac:dyDescent="0.35">
      <c r="A26" s="52" t="s">
        <v>400</v>
      </c>
      <c r="B26" s="53">
        <v>3402778</v>
      </c>
      <c r="D26" t="s">
        <v>394</v>
      </c>
      <c r="E26" s="11">
        <v>1701389</v>
      </c>
      <c r="G26" s="56" t="s">
        <v>394</v>
      </c>
      <c r="H26" s="62"/>
      <c r="J26" t="s">
        <v>394</v>
      </c>
      <c r="K26" s="11">
        <v>0</v>
      </c>
      <c r="M26" t="s">
        <v>394</v>
      </c>
      <c r="N26" s="11">
        <f>E26+H26+K26+T8</f>
        <v>4697816</v>
      </c>
    </row>
    <row r="27" spans="1:20" x14ac:dyDescent="0.35">
      <c r="A27" s="52" t="s">
        <v>278</v>
      </c>
      <c r="B27" s="53">
        <v>5638526</v>
      </c>
      <c r="D27" t="s">
        <v>406</v>
      </c>
      <c r="E27" s="11">
        <v>7500000</v>
      </c>
      <c r="G27" s="56" t="s">
        <v>406</v>
      </c>
      <c r="H27" s="64"/>
      <c r="J27" t="s">
        <v>406</v>
      </c>
      <c r="K27" s="11">
        <v>0</v>
      </c>
      <c r="M27" t="s">
        <v>406</v>
      </c>
      <c r="N27" s="11">
        <f>E27+H27+K27+Q8</f>
        <v>12486707</v>
      </c>
    </row>
    <row r="28" spans="1:20" x14ac:dyDescent="0.35">
      <c r="A28" s="52" t="s">
        <v>106</v>
      </c>
      <c r="B28" s="53">
        <v>5510001</v>
      </c>
      <c r="D28" t="s">
        <v>268</v>
      </c>
      <c r="E28" s="11">
        <v>2291667</v>
      </c>
      <c r="G28" s="56" t="s">
        <v>268</v>
      </c>
      <c r="H28" s="64">
        <v>2500000</v>
      </c>
      <c r="J28" t="s">
        <v>268</v>
      </c>
      <c r="K28" s="11">
        <v>676500</v>
      </c>
      <c r="M28" t="s">
        <v>268</v>
      </c>
      <c r="N28" s="11">
        <f>E28+H28+K28+Q6+T10</f>
        <v>17584049</v>
      </c>
    </row>
    <row r="29" spans="1:20" x14ac:dyDescent="0.35">
      <c r="A29" s="52" t="s">
        <v>546</v>
      </c>
      <c r="B29" s="53">
        <v>2702245</v>
      </c>
      <c r="D29" t="s">
        <v>398</v>
      </c>
      <c r="E29" s="11">
        <v>1190972</v>
      </c>
      <c r="G29" s="55" t="s">
        <v>398</v>
      </c>
      <c r="H29" s="64">
        <v>0</v>
      </c>
      <c r="J29" t="s">
        <v>398</v>
      </c>
      <c r="K29" s="11">
        <v>0</v>
      </c>
      <c r="M29" t="s">
        <v>398</v>
      </c>
      <c r="N29" s="11">
        <f>E29+H29+K29</f>
        <v>1190972</v>
      </c>
    </row>
    <row r="30" spans="1:20" x14ac:dyDescent="0.35">
      <c r="A30" s="52" t="s">
        <v>229</v>
      </c>
      <c r="B30" s="53">
        <v>2500000</v>
      </c>
      <c r="D30" t="s">
        <v>467</v>
      </c>
      <c r="E30" s="11">
        <v>2552083</v>
      </c>
      <c r="G30" s="55" t="s">
        <v>467</v>
      </c>
      <c r="H30" s="62"/>
      <c r="J30" t="s">
        <v>467</v>
      </c>
      <c r="K30" s="11">
        <v>0</v>
      </c>
      <c r="M30" t="s">
        <v>467</v>
      </c>
      <c r="N30" s="11">
        <f>E30+H30+K30+T12</f>
        <v>6939842</v>
      </c>
    </row>
    <row r="31" spans="1:20" x14ac:dyDescent="0.35">
      <c r="A31" s="52" t="s">
        <v>276</v>
      </c>
      <c r="B31" s="53">
        <v>2500000</v>
      </c>
      <c r="D31" t="s">
        <v>502</v>
      </c>
      <c r="E31" s="11">
        <v>2375000</v>
      </c>
      <c r="G31" s="55" t="s">
        <v>502</v>
      </c>
      <c r="H31" s="63">
        <v>0</v>
      </c>
      <c r="J31" t="s">
        <v>502</v>
      </c>
      <c r="K31" s="11">
        <v>2589726</v>
      </c>
      <c r="M31" t="s">
        <v>502</v>
      </c>
      <c r="N31" s="11">
        <f>E31+H31+K31</f>
        <v>4964726</v>
      </c>
    </row>
    <row r="32" spans="1:20" x14ac:dyDescent="0.35">
      <c r="A32" s="54" t="s">
        <v>918</v>
      </c>
      <c r="B32" s="53">
        <v>6746750</v>
      </c>
      <c r="D32" t="s">
        <v>286</v>
      </c>
      <c r="E32" s="11">
        <v>0</v>
      </c>
      <c r="G32" s="56" t="s">
        <v>286</v>
      </c>
      <c r="H32" s="64">
        <v>1000000</v>
      </c>
      <c r="J32" t="s">
        <v>286</v>
      </c>
      <c r="K32" s="11">
        <v>0</v>
      </c>
      <c r="M32" t="s">
        <v>286</v>
      </c>
      <c r="N32" s="11">
        <f>E32+H32+K32</f>
        <v>1000000</v>
      </c>
    </row>
    <row r="33" spans="1:14" x14ac:dyDescent="0.35">
      <c r="A33" s="52" t="s">
        <v>315</v>
      </c>
      <c r="B33" s="53">
        <v>6629441</v>
      </c>
      <c r="D33" t="s">
        <v>577</v>
      </c>
      <c r="E33" s="11">
        <v>0</v>
      </c>
      <c r="G33" s="56" t="s">
        <v>577</v>
      </c>
      <c r="H33" s="61">
        <v>1500000</v>
      </c>
      <c r="J33" t="s">
        <v>577</v>
      </c>
      <c r="K33" s="11">
        <v>0</v>
      </c>
      <c r="M33" t="s">
        <v>577</v>
      </c>
      <c r="N33" s="11">
        <f>E33+H33+K33</f>
        <v>1500000</v>
      </c>
    </row>
    <row r="34" spans="1:14" x14ac:dyDescent="0.35">
      <c r="A34" s="52" t="s">
        <v>272</v>
      </c>
      <c r="B34" s="53">
        <v>1665000</v>
      </c>
      <c r="D34" t="s">
        <v>276</v>
      </c>
      <c r="E34" s="11">
        <v>0</v>
      </c>
      <c r="G34" s="56" t="s">
        <v>276</v>
      </c>
      <c r="H34" s="65">
        <v>2500000</v>
      </c>
      <c r="J34" t="s">
        <v>276</v>
      </c>
      <c r="K34" s="11">
        <v>0</v>
      </c>
      <c r="M34" t="s">
        <v>276</v>
      </c>
      <c r="N34" s="11">
        <f>E34+H34+K34</f>
        <v>2500000</v>
      </c>
    </row>
    <row r="35" spans="1:14" x14ac:dyDescent="0.35">
      <c r="A35" s="52" t="s">
        <v>289</v>
      </c>
      <c r="B35" s="53">
        <v>2395833</v>
      </c>
      <c r="D35" t="s">
        <v>319</v>
      </c>
      <c r="E35" s="11">
        <v>0</v>
      </c>
      <c r="G35" s="59" t="s">
        <v>319</v>
      </c>
      <c r="H35" s="66"/>
      <c r="J35" t="s">
        <v>319</v>
      </c>
      <c r="K35" s="11">
        <v>0</v>
      </c>
      <c r="M35" t="s">
        <v>319</v>
      </c>
      <c r="N35" s="11">
        <f>Q4</f>
        <v>6873356</v>
      </c>
    </row>
    <row r="36" spans="1:14" x14ac:dyDescent="0.35">
      <c r="A36" s="52" t="s">
        <v>579</v>
      </c>
      <c r="B36" s="53">
        <v>2395833</v>
      </c>
      <c r="D36" t="s">
        <v>303</v>
      </c>
      <c r="E36" s="11">
        <v>0</v>
      </c>
      <c r="G36" s="56" t="s">
        <v>303</v>
      </c>
      <c r="H36" s="65">
        <v>1500000</v>
      </c>
      <c r="J36" t="s">
        <v>303</v>
      </c>
      <c r="K36" s="11">
        <v>0</v>
      </c>
      <c r="M36" t="s">
        <v>303</v>
      </c>
      <c r="N36" s="11">
        <f>E36+H36+K36</f>
        <v>1500000</v>
      </c>
    </row>
    <row r="37" spans="1:14" x14ac:dyDescent="0.35">
      <c r="A37" s="52" t="s">
        <v>394</v>
      </c>
      <c r="B37" s="53">
        <v>4697816</v>
      </c>
      <c r="D37" t="s">
        <v>342</v>
      </c>
      <c r="E37" s="11">
        <v>0</v>
      </c>
      <c r="G37" s="60" t="s">
        <v>342</v>
      </c>
      <c r="H37" s="65">
        <v>1000000</v>
      </c>
      <c r="J37" t="s">
        <v>342</v>
      </c>
      <c r="K37" s="11">
        <v>0</v>
      </c>
      <c r="M37" t="s">
        <v>342</v>
      </c>
      <c r="N37" s="11">
        <f>E37+H37+K37</f>
        <v>1000000</v>
      </c>
    </row>
    <row r="38" spans="1:14" x14ac:dyDescent="0.35">
      <c r="A38" s="52" t="s">
        <v>406</v>
      </c>
      <c r="B38" s="53">
        <v>12486707</v>
      </c>
      <c r="D38" t="s">
        <v>251</v>
      </c>
      <c r="E38" s="11">
        <v>10608334</v>
      </c>
      <c r="G38" s="60" t="s">
        <v>251</v>
      </c>
      <c r="H38" s="65"/>
      <c r="J38" t="s">
        <v>251</v>
      </c>
      <c r="K38" s="11">
        <v>0</v>
      </c>
      <c r="M38" t="s">
        <v>251</v>
      </c>
      <c r="N38" s="11">
        <f>E38+H38+K38</f>
        <v>10608334</v>
      </c>
    </row>
    <row r="39" spans="1:14" x14ac:dyDescent="0.35">
      <c r="A39" s="52" t="s">
        <v>268</v>
      </c>
      <c r="B39" s="53">
        <v>17584049</v>
      </c>
      <c r="D39" t="s">
        <v>356</v>
      </c>
      <c r="E39" s="11">
        <v>0</v>
      </c>
      <c r="G39" s="56" t="s">
        <v>356</v>
      </c>
      <c r="H39" s="67">
        <v>1500000</v>
      </c>
      <c r="J39" t="s">
        <v>356</v>
      </c>
      <c r="K39" s="11">
        <v>5250416</v>
      </c>
      <c r="M39" t="s">
        <v>356</v>
      </c>
      <c r="N39" s="11">
        <f>E39+H39+K39</f>
        <v>6750416</v>
      </c>
    </row>
    <row r="40" spans="1:14" x14ac:dyDescent="0.35">
      <c r="A40" s="52" t="s">
        <v>240</v>
      </c>
      <c r="B40" s="53">
        <v>6154617</v>
      </c>
      <c r="D40" t="s">
        <v>550</v>
      </c>
      <c r="E40" s="11">
        <v>3402778</v>
      </c>
      <c r="G40" s="56" t="s">
        <v>550</v>
      </c>
      <c r="H40" s="68">
        <v>0</v>
      </c>
      <c r="J40" t="s">
        <v>550</v>
      </c>
      <c r="K40" s="11">
        <v>0</v>
      </c>
      <c r="M40" t="s">
        <v>550</v>
      </c>
      <c r="N40" s="11">
        <f>E40+H40+K40</f>
        <v>3402778</v>
      </c>
    </row>
    <row r="41" spans="1:14" x14ac:dyDescent="0.35">
      <c r="A41" s="52" t="s">
        <v>506</v>
      </c>
      <c r="B41" s="53">
        <v>7560693</v>
      </c>
      <c r="M41" s="69" t="s">
        <v>240</v>
      </c>
      <c r="N41" s="71">
        <v>6154617</v>
      </c>
    </row>
    <row r="42" spans="1:14" x14ac:dyDescent="0.35">
      <c r="A42" s="52" t="s">
        <v>398</v>
      </c>
      <c r="B42" s="53">
        <v>1590972</v>
      </c>
      <c r="M42" s="70" t="s">
        <v>506</v>
      </c>
      <c r="N42" s="72">
        <v>7560693</v>
      </c>
    </row>
    <row r="43" spans="1:14" x14ac:dyDescent="0.35">
      <c r="A43" s="52" t="s">
        <v>467</v>
      </c>
      <c r="B43" s="53">
        <v>6939842</v>
      </c>
      <c r="M43" s="69" t="s">
        <v>450</v>
      </c>
      <c r="N43" s="74">
        <v>5510000</v>
      </c>
    </row>
    <row r="44" spans="1:14" x14ac:dyDescent="0.35">
      <c r="A44" s="52" t="s">
        <v>319</v>
      </c>
      <c r="B44" s="53">
        <v>6873356</v>
      </c>
      <c r="M44" s="69" t="s">
        <v>429</v>
      </c>
      <c r="N44" s="74">
        <v>7609848</v>
      </c>
    </row>
    <row r="45" spans="1:14" x14ac:dyDescent="0.35">
      <c r="A45" s="52" t="s">
        <v>502</v>
      </c>
      <c r="B45" s="53">
        <v>4964726</v>
      </c>
      <c r="M45" s="76" t="s">
        <v>244</v>
      </c>
      <c r="N45" s="74">
        <v>6887500</v>
      </c>
    </row>
    <row r="46" spans="1:14" x14ac:dyDescent="0.35">
      <c r="A46" s="52" t="s">
        <v>286</v>
      </c>
      <c r="B46" s="53">
        <v>1000000</v>
      </c>
      <c r="M46" s="79" t="s">
        <v>546</v>
      </c>
      <c r="N46" s="82">
        <v>2702245</v>
      </c>
    </row>
    <row r="47" spans="1:14" x14ac:dyDescent="0.35">
      <c r="A47" s="1"/>
      <c r="B47" s="1"/>
      <c r="M47" s="80" t="s">
        <v>918</v>
      </c>
      <c r="N47" s="81">
        <v>6746749</v>
      </c>
    </row>
    <row r="48" spans="1:14" ht="15" thickBot="1" x14ac:dyDescent="0.4">
      <c r="M48" s="83" t="s">
        <v>106</v>
      </c>
      <c r="N48" s="84">
        <v>5510001</v>
      </c>
    </row>
  </sheetData>
  <sortState xmlns:xlrd2="http://schemas.microsoft.com/office/spreadsheetml/2017/richdata2" ref="A3:B47">
    <sortCondition ref="A1:A4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C61D-C3C4-48BB-9A70-416509D7E6F9}">
  <dimension ref="A1:G49"/>
  <sheetViews>
    <sheetView topLeftCell="A37" workbookViewId="0">
      <selection activeCell="G37" sqref="G37"/>
    </sheetView>
  </sheetViews>
  <sheetFormatPr defaultRowHeight="14.5" x14ac:dyDescent="0.35"/>
  <cols>
    <col min="1" max="1" width="18.36328125" customWidth="1"/>
    <col min="2" max="2" width="13" customWidth="1"/>
    <col min="4" max="4" width="17.90625" customWidth="1"/>
    <col min="5" max="5" width="16.7265625" customWidth="1"/>
    <col min="7" max="7" width="13.7265625" customWidth="1"/>
  </cols>
  <sheetData>
    <row r="1" spans="1:7" x14ac:dyDescent="0.35">
      <c r="A1" t="s">
        <v>1171</v>
      </c>
      <c r="D1" t="s">
        <v>1172</v>
      </c>
    </row>
    <row r="3" spans="1:7" x14ac:dyDescent="0.35">
      <c r="A3" t="s">
        <v>577</v>
      </c>
      <c r="B3" s="11">
        <v>1500000</v>
      </c>
      <c r="D3" s="85" t="s">
        <v>577</v>
      </c>
      <c r="E3" s="86">
        <v>1500000</v>
      </c>
      <c r="G3" s="11">
        <f>B3-E3</f>
        <v>0</v>
      </c>
    </row>
    <row r="4" spans="1:7" x14ac:dyDescent="0.35">
      <c r="A4" t="s">
        <v>244</v>
      </c>
      <c r="B4" s="87">
        <v>6887500</v>
      </c>
      <c r="D4" s="52" t="s">
        <v>244</v>
      </c>
      <c r="E4" s="53">
        <v>6887500</v>
      </c>
      <c r="G4" s="11">
        <f t="shared" ref="G4:G47" si="0">B4-E4</f>
        <v>0</v>
      </c>
    </row>
    <row r="5" spans="1:7" x14ac:dyDescent="0.35">
      <c r="A5" t="s">
        <v>894</v>
      </c>
      <c r="B5" s="11">
        <v>1020833</v>
      </c>
      <c r="D5" s="52" t="s">
        <v>894</v>
      </c>
      <c r="E5" s="53">
        <v>1020833</v>
      </c>
      <c r="G5" s="11">
        <f t="shared" si="0"/>
        <v>0</v>
      </c>
    </row>
    <row r="6" spans="1:7" x14ac:dyDescent="0.35">
      <c r="A6" t="s">
        <v>429</v>
      </c>
      <c r="B6" s="87">
        <v>7609848</v>
      </c>
      <c r="D6" s="52" t="s">
        <v>429</v>
      </c>
      <c r="E6" s="53">
        <v>7609848</v>
      </c>
      <c r="G6" s="11">
        <f t="shared" si="0"/>
        <v>0</v>
      </c>
    </row>
    <row r="7" spans="1:7" x14ac:dyDescent="0.35">
      <c r="A7" t="s">
        <v>550</v>
      </c>
      <c r="B7" s="11">
        <v>3402778</v>
      </c>
      <c r="D7" s="52"/>
      <c r="E7" s="53"/>
      <c r="G7" s="11">
        <f t="shared" si="0"/>
        <v>3402778</v>
      </c>
    </row>
    <row r="8" spans="1:7" x14ac:dyDescent="0.35">
      <c r="A8" t="s">
        <v>293</v>
      </c>
      <c r="B8" s="11">
        <v>7801667</v>
      </c>
      <c r="D8" s="52" t="s">
        <v>293</v>
      </c>
      <c r="E8" s="53">
        <v>7801667</v>
      </c>
      <c r="G8" s="11">
        <f t="shared" si="0"/>
        <v>0</v>
      </c>
    </row>
    <row r="9" spans="1:7" x14ac:dyDescent="0.35">
      <c r="A9" t="s">
        <v>342</v>
      </c>
      <c r="B9" s="11">
        <v>1000000</v>
      </c>
      <c r="D9" s="52" t="s">
        <v>342</v>
      </c>
      <c r="E9" s="53">
        <v>1000000</v>
      </c>
      <c r="G9" s="11">
        <f t="shared" si="0"/>
        <v>0</v>
      </c>
    </row>
    <row r="10" spans="1:7" x14ac:dyDescent="0.35">
      <c r="A10" t="s">
        <v>358</v>
      </c>
      <c r="B10" s="11">
        <v>18366992</v>
      </c>
      <c r="D10" s="52" t="s">
        <v>358</v>
      </c>
      <c r="E10" s="53">
        <v>18366992</v>
      </c>
      <c r="G10" s="11">
        <f t="shared" si="0"/>
        <v>0</v>
      </c>
    </row>
    <row r="11" spans="1:7" x14ac:dyDescent="0.35">
      <c r="A11" t="s">
        <v>345</v>
      </c>
      <c r="B11" s="11">
        <v>1871528</v>
      </c>
      <c r="D11" s="52" t="s">
        <v>345</v>
      </c>
      <c r="E11" s="53">
        <v>1871528</v>
      </c>
      <c r="G11" s="11">
        <f t="shared" si="0"/>
        <v>0</v>
      </c>
    </row>
    <row r="12" spans="1:7" x14ac:dyDescent="0.35">
      <c r="A12" t="s">
        <v>356</v>
      </c>
      <c r="B12" s="11">
        <v>6750416</v>
      </c>
      <c r="D12" s="52" t="s">
        <v>356</v>
      </c>
      <c r="E12" s="53">
        <v>6750416</v>
      </c>
      <c r="G12" s="11">
        <f t="shared" si="0"/>
        <v>0</v>
      </c>
    </row>
    <row r="13" spans="1:7" x14ac:dyDescent="0.35">
      <c r="A13" t="s">
        <v>692</v>
      </c>
      <c r="B13" s="11">
        <v>6053100</v>
      </c>
      <c r="D13" s="52" t="s">
        <v>692</v>
      </c>
      <c r="E13" s="53">
        <v>6053100</v>
      </c>
      <c r="G13" s="11">
        <f t="shared" si="0"/>
        <v>0</v>
      </c>
    </row>
    <row r="14" spans="1:7" x14ac:dyDescent="0.35">
      <c r="A14" t="s">
        <v>500</v>
      </c>
      <c r="B14" s="11">
        <v>11006944</v>
      </c>
      <c r="D14" s="52" t="s">
        <v>500</v>
      </c>
      <c r="E14" s="53">
        <v>11006944</v>
      </c>
      <c r="G14" s="11">
        <f t="shared" si="0"/>
        <v>0</v>
      </c>
    </row>
    <row r="15" spans="1:7" x14ac:dyDescent="0.35">
      <c r="A15" t="s">
        <v>311</v>
      </c>
      <c r="B15" s="11">
        <v>17623787</v>
      </c>
      <c r="D15" s="52" t="s">
        <v>311</v>
      </c>
      <c r="E15" s="53">
        <v>17623787</v>
      </c>
      <c r="G15" s="11">
        <f t="shared" si="0"/>
        <v>0</v>
      </c>
    </row>
    <row r="16" spans="1:7" x14ac:dyDescent="0.35">
      <c r="A16" t="s">
        <v>494</v>
      </c>
      <c r="B16" s="11">
        <v>5767335</v>
      </c>
      <c r="D16" s="52" t="s">
        <v>494</v>
      </c>
      <c r="E16" s="53">
        <v>5767335</v>
      </c>
      <c r="G16" s="11">
        <f t="shared" si="0"/>
        <v>0</v>
      </c>
    </row>
    <row r="17" spans="1:7" x14ac:dyDescent="0.35">
      <c r="B17" s="11"/>
      <c r="D17" s="52" t="s">
        <v>584</v>
      </c>
      <c r="E17" s="53">
        <v>1890628</v>
      </c>
      <c r="G17" s="11">
        <f t="shared" si="0"/>
        <v>-1890628</v>
      </c>
    </row>
    <row r="18" spans="1:7" x14ac:dyDescent="0.35">
      <c r="A18" t="s">
        <v>235</v>
      </c>
      <c r="B18" s="11">
        <v>850694</v>
      </c>
      <c r="D18" s="52" t="s">
        <v>235</v>
      </c>
      <c r="E18" s="53">
        <v>850694</v>
      </c>
      <c r="G18" s="11">
        <f t="shared" si="0"/>
        <v>0</v>
      </c>
    </row>
    <row r="19" spans="1:7" x14ac:dyDescent="0.35">
      <c r="A19" t="s">
        <v>317</v>
      </c>
      <c r="B19" s="11">
        <v>5832511</v>
      </c>
      <c r="D19" s="52" t="s">
        <v>317</v>
      </c>
      <c r="E19" s="53">
        <v>5832511</v>
      </c>
      <c r="G19" s="11">
        <f t="shared" si="0"/>
        <v>0</v>
      </c>
    </row>
    <row r="20" spans="1:7" x14ac:dyDescent="0.35">
      <c r="A20" t="s">
        <v>392</v>
      </c>
      <c r="B20" s="11">
        <v>3450042</v>
      </c>
      <c r="D20" s="52" t="s">
        <v>392</v>
      </c>
      <c r="E20" s="53">
        <v>3450042</v>
      </c>
      <c r="G20" s="11">
        <f t="shared" si="0"/>
        <v>0</v>
      </c>
    </row>
    <row r="21" spans="1:7" x14ac:dyDescent="0.35">
      <c r="A21" t="s">
        <v>492</v>
      </c>
      <c r="B21" s="11">
        <v>2395833</v>
      </c>
      <c r="D21" s="52" t="s">
        <v>492</v>
      </c>
      <c r="E21" s="53">
        <f>2895833</f>
        <v>2895833</v>
      </c>
      <c r="G21" s="11">
        <f t="shared" si="0"/>
        <v>-500000</v>
      </c>
    </row>
    <row r="22" spans="1:7" x14ac:dyDescent="0.35">
      <c r="A22" t="s">
        <v>297</v>
      </c>
      <c r="B22" s="11">
        <v>3562500</v>
      </c>
      <c r="D22" s="52" t="s">
        <v>297</v>
      </c>
      <c r="E22" s="53">
        <v>3562500</v>
      </c>
      <c r="G22" s="11">
        <f t="shared" si="0"/>
        <v>0</v>
      </c>
    </row>
    <row r="23" spans="1:7" x14ac:dyDescent="0.35">
      <c r="A23" t="s">
        <v>379</v>
      </c>
      <c r="B23" s="11">
        <v>2291667</v>
      </c>
      <c r="D23" s="52" t="s">
        <v>379</v>
      </c>
      <c r="E23" s="53">
        <v>2291667</v>
      </c>
      <c r="G23" s="11">
        <f t="shared" si="0"/>
        <v>0</v>
      </c>
    </row>
    <row r="24" spans="1:7" x14ac:dyDescent="0.35">
      <c r="A24" t="s">
        <v>251</v>
      </c>
      <c r="B24" s="11">
        <v>10608334</v>
      </c>
      <c r="D24" s="52" t="s">
        <v>251</v>
      </c>
      <c r="E24" s="53">
        <v>10608334</v>
      </c>
      <c r="G24" s="11">
        <f t="shared" si="0"/>
        <v>0</v>
      </c>
    </row>
    <row r="25" spans="1:7" x14ac:dyDescent="0.35">
      <c r="A25" t="s">
        <v>303</v>
      </c>
      <c r="B25" s="11">
        <v>1500000</v>
      </c>
      <c r="D25" s="52" t="s">
        <v>303</v>
      </c>
      <c r="E25" s="53">
        <v>1500000</v>
      </c>
      <c r="G25" s="11">
        <f t="shared" si="0"/>
        <v>0</v>
      </c>
    </row>
    <row r="26" spans="1:7" x14ac:dyDescent="0.35">
      <c r="A26" t="s">
        <v>450</v>
      </c>
      <c r="B26" s="87">
        <v>5510000</v>
      </c>
      <c r="D26" s="52" t="s">
        <v>450</v>
      </c>
      <c r="E26" s="53">
        <v>5510000</v>
      </c>
      <c r="G26" s="11">
        <f t="shared" si="0"/>
        <v>0</v>
      </c>
    </row>
    <row r="27" spans="1:7" x14ac:dyDescent="0.35">
      <c r="A27" t="s">
        <v>400</v>
      </c>
      <c r="B27" s="11">
        <v>3402778</v>
      </c>
      <c r="D27" s="52" t="s">
        <v>400</v>
      </c>
      <c r="E27" s="53">
        <v>3402778</v>
      </c>
      <c r="G27" s="11">
        <f t="shared" si="0"/>
        <v>0</v>
      </c>
    </row>
    <row r="28" spans="1:7" x14ac:dyDescent="0.35">
      <c r="A28" t="s">
        <v>278</v>
      </c>
      <c r="B28" s="11">
        <v>5638526</v>
      </c>
      <c r="D28" s="52" t="s">
        <v>278</v>
      </c>
      <c r="E28" s="53">
        <v>5638526</v>
      </c>
      <c r="G28" s="11">
        <f t="shared" si="0"/>
        <v>0</v>
      </c>
    </row>
    <row r="29" spans="1:7" x14ac:dyDescent="0.35">
      <c r="A29" t="s">
        <v>106</v>
      </c>
      <c r="B29" s="87">
        <v>5510001</v>
      </c>
      <c r="D29" s="52" t="s">
        <v>106</v>
      </c>
      <c r="E29" s="53">
        <v>5510001</v>
      </c>
      <c r="G29" s="11">
        <f t="shared" si="0"/>
        <v>0</v>
      </c>
    </row>
    <row r="30" spans="1:7" x14ac:dyDescent="0.35">
      <c r="A30" t="s">
        <v>546</v>
      </c>
      <c r="B30" s="87">
        <v>2702245</v>
      </c>
      <c r="D30" s="52" t="s">
        <v>546</v>
      </c>
      <c r="E30" s="53">
        <v>2702245</v>
      </c>
      <c r="G30" s="11">
        <f t="shared" si="0"/>
        <v>0</v>
      </c>
    </row>
    <row r="31" spans="1:7" x14ac:dyDescent="0.35">
      <c r="A31" t="s">
        <v>229</v>
      </c>
      <c r="B31" s="11">
        <v>2500000</v>
      </c>
      <c r="D31" s="52" t="s">
        <v>229</v>
      </c>
      <c r="E31" s="53">
        <v>2500000</v>
      </c>
      <c r="G31" s="11">
        <f t="shared" si="0"/>
        <v>0</v>
      </c>
    </row>
    <row r="32" spans="1:7" x14ac:dyDescent="0.35">
      <c r="A32" t="s">
        <v>276</v>
      </c>
      <c r="B32" s="11">
        <v>2500000</v>
      </c>
      <c r="D32" s="52" t="s">
        <v>276</v>
      </c>
      <c r="E32" s="53">
        <v>2500000</v>
      </c>
      <c r="G32" s="11">
        <f t="shared" si="0"/>
        <v>0</v>
      </c>
    </row>
    <row r="33" spans="1:7" x14ac:dyDescent="0.35">
      <c r="A33" t="s">
        <v>918</v>
      </c>
      <c r="B33" s="87">
        <v>6746749</v>
      </c>
      <c r="D33" s="54" t="s">
        <v>918</v>
      </c>
      <c r="E33" s="53">
        <v>6746750</v>
      </c>
      <c r="G33" s="11">
        <f t="shared" si="0"/>
        <v>-1</v>
      </c>
    </row>
    <row r="34" spans="1:7" x14ac:dyDescent="0.35">
      <c r="A34" t="s">
        <v>315</v>
      </c>
      <c r="B34" s="11">
        <v>6629441</v>
      </c>
      <c r="D34" s="52" t="s">
        <v>315</v>
      </c>
      <c r="E34" s="53">
        <v>6629441</v>
      </c>
      <c r="G34" s="11">
        <f t="shared" si="0"/>
        <v>0</v>
      </c>
    </row>
    <row r="35" spans="1:7" x14ac:dyDescent="0.35">
      <c r="A35" t="s">
        <v>272</v>
      </c>
      <c r="B35" s="11">
        <v>1665000</v>
      </c>
      <c r="D35" s="52" t="s">
        <v>272</v>
      </c>
      <c r="E35" s="53">
        <v>1665000</v>
      </c>
      <c r="G35" s="11">
        <f t="shared" si="0"/>
        <v>0</v>
      </c>
    </row>
    <row r="36" spans="1:7" x14ac:dyDescent="0.35">
      <c r="A36" t="s">
        <v>289</v>
      </c>
      <c r="B36" s="11">
        <v>2395833</v>
      </c>
      <c r="D36" s="52" t="s">
        <v>289</v>
      </c>
      <c r="E36" s="53">
        <v>2395833</v>
      </c>
      <c r="G36" s="11">
        <f t="shared" si="0"/>
        <v>0</v>
      </c>
    </row>
    <row r="37" spans="1:7" x14ac:dyDescent="0.35">
      <c r="A37" t="s">
        <v>579</v>
      </c>
      <c r="B37" s="11">
        <v>2395833</v>
      </c>
      <c r="D37" s="52" t="s">
        <v>579</v>
      </c>
      <c r="E37" s="53">
        <v>2395833</v>
      </c>
      <c r="G37" s="11">
        <f t="shared" si="0"/>
        <v>0</v>
      </c>
    </row>
    <row r="38" spans="1:7" x14ac:dyDescent="0.35">
      <c r="A38" t="s">
        <v>394</v>
      </c>
      <c r="B38" s="11">
        <v>4697816</v>
      </c>
      <c r="D38" s="52" t="s">
        <v>394</v>
      </c>
      <c r="E38" s="53">
        <v>4697816</v>
      </c>
      <c r="G38" s="11">
        <f t="shared" si="0"/>
        <v>0</v>
      </c>
    </row>
    <row r="39" spans="1:7" x14ac:dyDescent="0.35">
      <c r="A39" t="s">
        <v>406</v>
      </c>
      <c r="B39" s="11">
        <v>12486707</v>
      </c>
      <c r="D39" s="52" t="s">
        <v>406</v>
      </c>
      <c r="E39" s="53">
        <v>12486707</v>
      </c>
      <c r="G39" s="11">
        <f t="shared" si="0"/>
        <v>0</v>
      </c>
    </row>
    <row r="40" spans="1:7" x14ac:dyDescent="0.35">
      <c r="A40" t="s">
        <v>268</v>
      </c>
      <c r="B40" s="11">
        <v>17584049</v>
      </c>
      <c r="D40" s="52" t="s">
        <v>268</v>
      </c>
      <c r="E40" s="53">
        <v>17584049</v>
      </c>
      <c r="G40" s="11">
        <f t="shared" si="0"/>
        <v>0</v>
      </c>
    </row>
    <row r="41" spans="1:7" x14ac:dyDescent="0.35">
      <c r="A41" t="s">
        <v>240</v>
      </c>
      <c r="B41" s="87">
        <v>6154617</v>
      </c>
      <c r="D41" s="52" t="s">
        <v>240</v>
      </c>
      <c r="E41" s="53">
        <v>6154617</v>
      </c>
      <c r="G41" s="11">
        <f t="shared" si="0"/>
        <v>0</v>
      </c>
    </row>
    <row r="42" spans="1:7" x14ac:dyDescent="0.35">
      <c r="A42" t="s">
        <v>506</v>
      </c>
      <c r="B42" s="87">
        <v>7560693</v>
      </c>
      <c r="D42" s="52" t="s">
        <v>506</v>
      </c>
      <c r="E42" s="53">
        <v>7560693</v>
      </c>
      <c r="G42" s="11">
        <f t="shared" si="0"/>
        <v>0</v>
      </c>
    </row>
    <row r="43" spans="1:7" x14ac:dyDescent="0.35">
      <c r="A43" t="s">
        <v>398</v>
      </c>
      <c r="B43" s="11">
        <v>1190972</v>
      </c>
      <c r="D43" s="52" t="s">
        <v>398</v>
      </c>
      <c r="E43" s="53">
        <v>1590972</v>
      </c>
      <c r="G43" s="11">
        <f t="shared" si="0"/>
        <v>-400000</v>
      </c>
    </row>
    <row r="44" spans="1:7" x14ac:dyDescent="0.35">
      <c r="A44" t="s">
        <v>467</v>
      </c>
      <c r="B44" s="11">
        <v>6939842</v>
      </c>
      <c r="D44" s="52" t="s">
        <v>467</v>
      </c>
      <c r="E44" s="53">
        <v>6939842</v>
      </c>
      <c r="G44" s="11">
        <f t="shared" si="0"/>
        <v>0</v>
      </c>
    </row>
    <row r="45" spans="1:7" x14ac:dyDescent="0.35">
      <c r="A45" t="s">
        <v>319</v>
      </c>
      <c r="B45" s="11">
        <v>6873356</v>
      </c>
      <c r="D45" s="52" t="s">
        <v>319</v>
      </c>
      <c r="E45" s="53">
        <v>6873356</v>
      </c>
      <c r="G45" s="11">
        <f t="shared" si="0"/>
        <v>0</v>
      </c>
    </row>
    <row r="46" spans="1:7" x14ac:dyDescent="0.35">
      <c r="A46" t="s">
        <v>502</v>
      </c>
      <c r="B46" s="11">
        <v>4964726</v>
      </c>
      <c r="D46" s="52" t="s">
        <v>502</v>
      </c>
      <c r="E46" s="53">
        <v>4964726</v>
      </c>
      <c r="G46" s="11">
        <f t="shared" si="0"/>
        <v>0</v>
      </c>
    </row>
    <row r="47" spans="1:7" x14ac:dyDescent="0.35">
      <c r="A47" t="s">
        <v>286</v>
      </c>
      <c r="B47" s="11">
        <v>1000000</v>
      </c>
      <c r="D47" s="52" t="s">
        <v>286</v>
      </c>
      <c r="E47" s="53">
        <v>1000000</v>
      </c>
      <c r="G47" s="11">
        <f t="shared" si="0"/>
        <v>0</v>
      </c>
    </row>
    <row r="49" spans="2:7" x14ac:dyDescent="0.35">
      <c r="B49" s="11">
        <f>SUM(B18:B47)</f>
        <v>147540765</v>
      </c>
      <c r="C49" s="11">
        <f t="shared" ref="C49:G49" si="1">SUM(C18:C47)</f>
        <v>0</v>
      </c>
      <c r="D49" s="11">
        <f t="shared" si="1"/>
        <v>0</v>
      </c>
      <c r="E49" s="11">
        <f t="shared" si="1"/>
        <v>148440766</v>
      </c>
      <c r="F49" s="11">
        <f t="shared" si="1"/>
        <v>0</v>
      </c>
      <c r="G49" s="11">
        <f t="shared" si="1"/>
        <v>-900001</v>
      </c>
    </row>
  </sheetData>
  <sortState xmlns:xlrd2="http://schemas.microsoft.com/office/spreadsheetml/2017/richdata2" ref="A3:B47">
    <sortCondition ref="A1:A4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F27C-84E8-4F5F-BA25-0DCDC9C8FE59}">
  <dimension ref="A4:J156"/>
  <sheetViews>
    <sheetView topLeftCell="A142" workbookViewId="0">
      <selection activeCell="G37" sqref="G37"/>
    </sheetView>
  </sheetViews>
  <sheetFormatPr defaultRowHeight="14.5" x14ac:dyDescent="0.35"/>
  <cols>
    <col min="1" max="1" width="32.6328125" customWidth="1"/>
    <col min="2" max="2" width="15.26953125" customWidth="1"/>
    <col min="3" max="3" width="15.1796875" customWidth="1"/>
    <col min="4" max="4" width="5.08984375" customWidth="1"/>
    <col min="5" max="7" width="17.26953125" customWidth="1"/>
    <col min="9" max="9" width="12.1796875" customWidth="1"/>
    <col min="10" max="10" width="14.1796875" customWidth="1"/>
  </cols>
  <sheetData>
    <row r="4" spans="1:10" ht="15.5" x14ac:dyDescent="0.35">
      <c r="A4" s="35" t="s">
        <v>1097</v>
      </c>
      <c r="B4" s="36">
        <v>350000</v>
      </c>
      <c r="C4" s="36">
        <v>1500000</v>
      </c>
      <c r="E4" s="1" t="s">
        <v>577</v>
      </c>
      <c r="F4" s="2">
        <v>350000</v>
      </c>
      <c r="G4" s="2">
        <v>1500000</v>
      </c>
      <c r="I4" s="31">
        <f>B4-F4</f>
        <v>0</v>
      </c>
      <c r="J4" s="31">
        <f>C4-G4</f>
        <v>0</v>
      </c>
    </row>
    <row r="5" spans="1:10" ht="15.5" x14ac:dyDescent="0.35">
      <c r="A5" s="35" t="s">
        <v>1146</v>
      </c>
      <c r="B5" s="36">
        <v>250000</v>
      </c>
      <c r="C5" s="36">
        <v>6887500</v>
      </c>
      <c r="E5" s="1" t="s">
        <v>244</v>
      </c>
      <c r="F5" s="2">
        <v>250000</v>
      </c>
      <c r="G5" s="2">
        <v>6887500</v>
      </c>
      <c r="I5" s="31">
        <f t="shared" ref="I5" si="0">B5-F5</f>
        <v>0</v>
      </c>
      <c r="J5" s="31">
        <f t="shared" ref="J5" si="1">C5-G5</f>
        <v>0</v>
      </c>
    </row>
    <row r="6" spans="1:10" ht="15.5" x14ac:dyDescent="0.35">
      <c r="A6" s="35" t="s">
        <v>900</v>
      </c>
      <c r="B6" s="36">
        <v>100000</v>
      </c>
      <c r="C6" s="36">
        <v>0</v>
      </c>
      <c r="E6" s="1" t="s">
        <v>900</v>
      </c>
      <c r="F6" s="2">
        <v>100000</v>
      </c>
      <c r="G6" s="2">
        <v>0</v>
      </c>
      <c r="I6" s="31">
        <f t="shared" ref="I6:I12" si="2">B6-F6</f>
        <v>0</v>
      </c>
      <c r="J6" s="31">
        <f t="shared" ref="J6:J12" si="3">C6-G6</f>
        <v>0</v>
      </c>
    </row>
    <row r="7" spans="1:10" ht="15.5" x14ac:dyDescent="0.35">
      <c r="A7" s="35" t="s">
        <v>910</v>
      </c>
      <c r="B7" s="36">
        <v>100000</v>
      </c>
      <c r="C7" s="36">
        <v>0</v>
      </c>
      <c r="E7" s="1" t="s">
        <v>910</v>
      </c>
      <c r="F7" s="2">
        <v>100000</v>
      </c>
      <c r="G7" s="2">
        <v>0</v>
      </c>
      <c r="I7" s="31">
        <f t="shared" si="2"/>
        <v>0</v>
      </c>
      <c r="J7" s="31">
        <f t="shared" si="3"/>
        <v>0</v>
      </c>
    </row>
    <row r="8" spans="1:10" ht="15.5" x14ac:dyDescent="0.35">
      <c r="A8" s="35" t="s">
        <v>1130</v>
      </c>
      <c r="B8" s="36">
        <v>350000</v>
      </c>
      <c r="C8" s="36">
        <v>0</v>
      </c>
      <c r="E8" s="1" t="s">
        <v>513</v>
      </c>
      <c r="F8" s="2">
        <v>350000</v>
      </c>
      <c r="G8" s="2">
        <v>0</v>
      </c>
      <c r="I8" s="31">
        <f t="shared" si="2"/>
        <v>0</v>
      </c>
      <c r="J8" s="31">
        <f t="shared" si="3"/>
        <v>0</v>
      </c>
    </row>
    <row r="9" spans="1:10" ht="15.5" x14ac:dyDescent="0.35">
      <c r="A9" s="35" t="s">
        <v>1147</v>
      </c>
      <c r="B9" s="36">
        <v>150000</v>
      </c>
      <c r="C9" s="36">
        <v>0</v>
      </c>
      <c r="E9" s="1"/>
      <c r="F9" s="2"/>
      <c r="G9" s="2"/>
      <c r="I9" s="31">
        <f t="shared" si="2"/>
        <v>150000</v>
      </c>
      <c r="J9" s="31">
        <f t="shared" si="3"/>
        <v>0</v>
      </c>
    </row>
    <row r="10" spans="1:10" ht="15.5" x14ac:dyDescent="0.35">
      <c r="A10" s="35" t="s">
        <v>894</v>
      </c>
      <c r="B10" s="36">
        <v>100000</v>
      </c>
      <c r="C10" s="36">
        <v>1020833</v>
      </c>
      <c r="E10" s="1" t="s">
        <v>894</v>
      </c>
      <c r="F10" s="2">
        <v>100000</v>
      </c>
      <c r="G10" s="2">
        <v>1020833</v>
      </c>
      <c r="I10" s="31">
        <f t="shared" si="2"/>
        <v>0</v>
      </c>
      <c r="J10" s="31">
        <f t="shared" si="3"/>
        <v>0</v>
      </c>
    </row>
    <row r="11" spans="1:10" ht="15.5" x14ac:dyDescent="0.35">
      <c r="A11" s="42" t="s">
        <v>1158</v>
      </c>
      <c r="B11" s="36">
        <v>350000</v>
      </c>
      <c r="C11" s="36">
        <v>0</v>
      </c>
      <c r="E11" s="1" t="s">
        <v>523</v>
      </c>
      <c r="F11" s="2">
        <v>350000</v>
      </c>
      <c r="G11" s="2">
        <v>0</v>
      </c>
      <c r="I11" s="31">
        <f t="shared" si="2"/>
        <v>0</v>
      </c>
      <c r="J11" s="31">
        <f t="shared" si="3"/>
        <v>0</v>
      </c>
    </row>
    <row r="12" spans="1:10" ht="15.5" x14ac:dyDescent="0.35">
      <c r="A12" s="35" t="s">
        <v>1126</v>
      </c>
      <c r="B12" s="36">
        <v>150000</v>
      </c>
      <c r="C12" s="36">
        <v>0</v>
      </c>
      <c r="E12" s="1" t="s">
        <v>695</v>
      </c>
      <c r="F12" s="2">
        <v>150000</v>
      </c>
      <c r="G12" s="2">
        <v>0</v>
      </c>
      <c r="I12" s="31">
        <f t="shared" si="2"/>
        <v>0</v>
      </c>
      <c r="J12" s="31">
        <f t="shared" si="3"/>
        <v>0</v>
      </c>
    </row>
    <row r="13" spans="1:10" ht="15.5" x14ac:dyDescent="0.35">
      <c r="A13" s="35" t="s">
        <v>1099</v>
      </c>
      <c r="B13" s="36">
        <v>350000</v>
      </c>
      <c r="C13" s="36">
        <v>7609848</v>
      </c>
      <c r="E13" s="1" t="s">
        <v>429</v>
      </c>
      <c r="F13" s="2">
        <v>350000</v>
      </c>
      <c r="G13" s="2">
        <v>7609848</v>
      </c>
      <c r="I13" s="31">
        <f t="shared" ref="I13:I18" si="4">B13-F13</f>
        <v>0</v>
      </c>
      <c r="J13" s="31">
        <f t="shared" ref="J13:J18" si="5">C13-G13</f>
        <v>0</v>
      </c>
    </row>
    <row r="14" spans="1:10" ht="15.5" x14ac:dyDescent="0.35">
      <c r="A14" s="35" t="s">
        <v>1109</v>
      </c>
      <c r="B14" s="36">
        <v>350000</v>
      </c>
      <c r="C14" s="36">
        <v>0</v>
      </c>
      <c r="E14" s="1" t="s">
        <v>463</v>
      </c>
      <c r="F14" s="2">
        <v>350000</v>
      </c>
      <c r="G14" s="2">
        <v>0</v>
      </c>
      <c r="I14" s="31">
        <f t="shared" si="4"/>
        <v>0</v>
      </c>
      <c r="J14" s="31">
        <f t="shared" si="5"/>
        <v>0</v>
      </c>
    </row>
    <row r="15" spans="1:10" ht="15.5" x14ac:dyDescent="0.35">
      <c r="A15" s="35"/>
      <c r="B15" s="36"/>
      <c r="C15" s="36"/>
      <c r="E15" s="3" t="s">
        <v>82</v>
      </c>
      <c r="F15" s="2">
        <v>250000</v>
      </c>
      <c r="G15" s="2">
        <v>0</v>
      </c>
      <c r="I15" s="31">
        <f t="shared" si="4"/>
        <v>-250000</v>
      </c>
      <c r="J15" s="31">
        <f t="shared" si="5"/>
        <v>0</v>
      </c>
    </row>
    <row r="16" spans="1:10" ht="15.5" x14ac:dyDescent="0.35">
      <c r="A16" s="35" t="s">
        <v>1080</v>
      </c>
      <c r="B16" s="36">
        <v>350000</v>
      </c>
      <c r="C16" s="36">
        <v>0</v>
      </c>
      <c r="E16" s="1" t="s">
        <v>352</v>
      </c>
      <c r="F16" s="2">
        <v>350000</v>
      </c>
      <c r="G16" s="2">
        <v>0</v>
      </c>
      <c r="I16" s="31">
        <f t="shared" si="4"/>
        <v>0</v>
      </c>
      <c r="J16" s="31">
        <f t="shared" si="5"/>
        <v>0</v>
      </c>
    </row>
    <row r="17" spans="1:10" ht="15.5" x14ac:dyDescent="0.35">
      <c r="A17" s="35" t="s">
        <v>313</v>
      </c>
      <c r="B17" s="36">
        <v>100000</v>
      </c>
      <c r="C17" s="36">
        <v>0</v>
      </c>
      <c r="E17" s="1" t="s">
        <v>313</v>
      </c>
      <c r="F17" s="2">
        <v>100000</v>
      </c>
      <c r="G17" s="2">
        <v>0</v>
      </c>
      <c r="I17" s="31">
        <f t="shared" si="4"/>
        <v>0</v>
      </c>
      <c r="J17" s="31">
        <f t="shared" si="5"/>
        <v>0</v>
      </c>
    </row>
    <row r="18" spans="1:10" ht="15.5" x14ac:dyDescent="0.35">
      <c r="A18" s="35" t="s">
        <v>898</v>
      </c>
      <c r="B18" s="36">
        <v>100000</v>
      </c>
      <c r="C18" s="36">
        <v>0</v>
      </c>
      <c r="E18" s="1" t="s">
        <v>898</v>
      </c>
      <c r="F18" s="2">
        <v>100000</v>
      </c>
      <c r="G18" s="2">
        <v>0</v>
      </c>
      <c r="I18" s="31">
        <f t="shared" si="4"/>
        <v>0</v>
      </c>
      <c r="J18" s="31">
        <f t="shared" si="5"/>
        <v>0</v>
      </c>
    </row>
    <row r="19" spans="1:10" ht="15.5" x14ac:dyDescent="0.35">
      <c r="A19" s="35" t="s">
        <v>1166</v>
      </c>
      <c r="B19" s="41">
        <v>500000</v>
      </c>
      <c r="C19" s="36"/>
      <c r="E19" s="4" t="s">
        <v>917</v>
      </c>
      <c r="F19" s="5">
        <v>500000</v>
      </c>
      <c r="G19" s="2">
        <v>0</v>
      </c>
      <c r="I19" s="31">
        <f t="shared" ref="I19:I25" si="6">B19-F19</f>
        <v>0</v>
      </c>
      <c r="J19" s="31">
        <f t="shared" ref="J19:J25" si="7">C19-G19</f>
        <v>0</v>
      </c>
    </row>
    <row r="20" spans="1:10" ht="15.5" x14ac:dyDescent="0.35">
      <c r="A20" s="35" t="s">
        <v>1131</v>
      </c>
      <c r="B20" s="36">
        <v>350000</v>
      </c>
      <c r="C20" s="36">
        <v>0</v>
      </c>
      <c r="E20" s="1" t="s">
        <v>517</v>
      </c>
      <c r="F20" s="2">
        <v>350000</v>
      </c>
      <c r="G20" s="2">
        <v>0</v>
      </c>
      <c r="I20" s="31">
        <f t="shared" si="6"/>
        <v>0</v>
      </c>
      <c r="J20" s="31">
        <f t="shared" si="7"/>
        <v>0</v>
      </c>
    </row>
    <row r="21" spans="1:10" x14ac:dyDescent="0.35">
      <c r="E21" s="3" t="s">
        <v>531</v>
      </c>
      <c r="F21" s="2">
        <v>250000</v>
      </c>
      <c r="G21" s="2">
        <v>0</v>
      </c>
      <c r="I21" s="31">
        <f t="shared" si="6"/>
        <v>-250000</v>
      </c>
      <c r="J21" s="31">
        <f t="shared" si="7"/>
        <v>0</v>
      </c>
    </row>
    <row r="22" spans="1:10" ht="15.5" x14ac:dyDescent="0.35">
      <c r="A22" s="35"/>
      <c r="B22" s="36"/>
      <c r="C22" s="36"/>
      <c r="E22" s="3" t="s">
        <v>529</v>
      </c>
      <c r="F22" s="2">
        <v>150000</v>
      </c>
      <c r="G22" s="2">
        <v>0</v>
      </c>
      <c r="I22" s="31">
        <f t="shared" si="6"/>
        <v>-150000</v>
      </c>
      <c r="J22" s="31">
        <f t="shared" si="7"/>
        <v>0</v>
      </c>
    </row>
    <row r="23" spans="1:10" ht="15.5" x14ac:dyDescent="0.35">
      <c r="A23" s="35" t="s">
        <v>1110</v>
      </c>
      <c r="B23" s="36">
        <v>250000</v>
      </c>
      <c r="C23" s="36">
        <v>0</v>
      </c>
      <c r="E23" s="1" t="s">
        <v>444</v>
      </c>
      <c r="F23" s="2">
        <v>250000</v>
      </c>
      <c r="G23" s="2">
        <v>0</v>
      </c>
      <c r="I23" s="31">
        <f t="shared" si="6"/>
        <v>0</v>
      </c>
      <c r="J23" s="31">
        <f t="shared" si="7"/>
        <v>0</v>
      </c>
    </row>
    <row r="24" spans="1:10" ht="15.5" x14ac:dyDescent="0.35">
      <c r="A24" s="35"/>
      <c r="B24" s="36"/>
      <c r="C24" s="36"/>
      <c r="E24" s="3" t="s">
        <v>550</v>
      </c>
      <c r="F24" s="2">
        <v>250000</v>
      </c>
      <c r="G24" s="2">
        <v>3402778</v>
      </c>
      <c r="I24" s="31">
        <f t="shared" si="6"/>
        <v>-250000</v>
      </c>
      <c r="J24" s="31">
        <f t="shared" si="7"/>
        <v>-3402778</v>
      </c>
    </row>
    <row r="25" spans="1:10" ht="15.5" x14ac:dyDescent="0.35">
      <c r="A25" s="35" t="s">
        <v>1084</v>
      </c>
      <c r="B25" s="36">
        <v>250000</v>
      </c>
      <c r="C25" s="36">
        <v>0</v>
      </c>
      <c r="E25" s="1" t="s">
        <v>282</v>
      </c>
      <c r="F25" s="2">
        <v>250000</v>
      </c>
      <c r="G25" s="2">
        <v>0</v>
      </c>
      <c r="I25" s="31">
        <f t="shared" si="6"/>
        <v>0</v>
      </c>
      <c r="J25" s="31">
        <f t="shared" si="7"/>
        <v>0</v>
      </c>
    </row>
    <row r="26" spans="1:10" ht="15.5" x14ac:dyDescent="0.35">
      <c r="A26" s="43" t="s">
        <v>384</v>
      </c>
      <c r="B26" s="36">
        <v>250000</v>
      </c>
      <c r="C26" s="36">
        <v>0</v>
      </c>
      <c r="E26" s="3" t="s">
        <v>384</v>
      </c>
      <c r="F26" s="2">
        <v>250000</v>
      </c>
      <c r="G26" s="2">
        <v>0</v>
      </c>
      <c r="I26" s="31">
        <f t="shared" ref="I26:I89" si="8">B26-F26</f>
        <v>0</v>
      </c>
      <c r="J26" s="31">
        <f t="shared" ref="J26:J89" si="9">C26-G26</f>
        <v>0</v>
      </c>
    </row>
    <row r="27" spans="1:10" ht="15.5" x14ac:dyDescent="0.35">
      <c r="A27" s="35" t="s">
        <v>1100</v>
      </c>
      <c r="B27" s="36">
        <v>350000</v>
      </c>
      <c r="C27" s="36">
        <v>0</v>
      </c>
      <c r="E27" s="1" t="s">
        <v>231</v>
      </c>
      <c r="F27" s="2">
        <v>350000</v>
      </c>
      <c r="G27" s="2">
        <v>0</v>
      </c>
      <c r="I27" s="31">
        <f t="shared" si="8"/>
        <v>0</v>
      </c>
      <c r="J27" s="31">
        <f t="shared" si="9"/>
        <v>0</v>
      </c>
    </row>
    <row r="28" spans="1:10" ht="15.5" x14ac:dyDescent="0.35">
      <c r="A28" s="35" t="s">
        <v>1087</v>
      </c>
      <c r="B28" s="36">
        <v>250000</v>
      </c>
      <c r="C28" s="36">
        <v>7801667</v>
      </c>
      <c r="E28" s="1" t="s">
        <v>293</v>
      </c>
      <c r="F28" s="2">
        <v>250000</v>
      </c>
      <c r="G28" s="2">
        <v>7801667</v>
      </c>
      <c r="I28" s="31">
        <f t="shared" si="8"/>
        <v>0</v>
      </c>
      <c r="J28" s="31">
        <f t="shared" si="9"/>
        <v>0</v>
      </c>
    </row>
    <row r="29" spans="1:10" ht="15.5" x14ac:dyDescent="0.35">
      <c r="A29" s="46" t="s">
        <v>1164</v>
      </c>
      <c r="B29" s="48">
        <v>500000</v>
      </c>
      <c r="C29" s="50"/>
      <c r="E29" s="4" t="s">
        <v>919</v>
      </c>
      <c r="F29" s="5">
        <v>500000</v>
      </c>
      <c r="G29" s="2">
        <v>0</v>
      </c>
      <c r="I29" s="31">
        <f t="shared" si="8"/>
        <v>0</v>
      </c>
      <c r="J29" s="31">
        <f t="shared" si="9"/>
        <v>0</v>
      </c>
    </row>
    <row r="30" spans="1:10" ht="15.5" x14ac:dyDescent="0.35">
      <c r="A30" s="35" t="s">
        <v>1155</v>
      </c>
      <c r="B30" s="36">
        <v>500000</v>
      </c>
      <c r="C30" s="36">
        <v>0</v>
      </c>
      <c r="E30" s="1" t="s">
        <v>248</v>
      </c>
      <c r="F30" s="2">
        <v>500000</v>
      </c>
      <c r="G30" s="2">
        <v>0</v>
      </c>
      <c r="I30" s="31">
        <f t="shared" si="8"/>
        <v>0</v>
      </c>
      <c r="J30" s="31">
        <f t="shared" si="9"/>
        <v>0</v>
      </c>
    </row>
    <row r="31" spans="1:10" ht="15.5" x14ac:dyDescent="0.35">
      <c r="A31" s="42" t="s">
        <v>1159</v>
      </c>
      <c r="B31" s="36">
        <v>350000</v>
      </c>
      <c r="C31" s="36">
        <v>0</v>
      </c>
      <c r="E31" s="1"/>
      <c r="F31" s="2"/>
      <c r="G31" s="2"/>
      <c r="I31" s="31">
        <f t="shared" si="8"/>
        <v>350000</v>
      </c>
      <c r="J31" s="31">
        <f t="shared" si="9"/>
        <v>0</v>
      </c>
    </row>
    <row r="32" spans="1:10" ht="15.5" x14ac:dyDescent="0.35">
      <c r="A32" s="35" t="s">
        <v>1150</v>
      </c>
      <c r="B32" s="36">
        <v>250000</v>
      </c>
      <c r="C32" s="36">
        <v>1000000</v>
      </c>
      <c r="E32" s="1" t="s">
        <v>342</v>
      </c>
      <c r="F32" s="2">
        <v>250000</v>
      </c>
      <c r="G32" s="2">
        <v>1000000</v>
      </c>
      <c r="I32" s="31">
        <f t="shared" si="8"/>
        <v>0</v>
      </c>
      <c r="J32" s="31">
        <f t="shared" si="9"/>
        <v>0</v>
      </c>
    </row>
    <row r="33" spans="1:10" ht="15.5" x14ac:dyDescent="0.35">
      <c r="A33" s="35" t="s">
        <v>1129</v>
      </c>
      <c r="B33" s="36">
        <v>150000</v>
      </c>
      <c r="C33" s="36">
        <v>0</v>
      </c>
      <c r="E33" s="1" t="s">
        <v>498</v>
      </c>
      <c r="F33" s="2">
        <v>150000</v>
      </c>
      <c r="G33" s="2">
        <v>0</v>
      </c>
      <c r="I33" s="31">
        <f t="shared" si="8"/>
        <v>0</v>
      </c>
      <c r="J33" s="31">
        <f t="shared" si="9"/>
        <v>0</v>
      </c>
    </row>
    <row r="34" spans="1:10" ht="15.5" x14ac:dyDescent="0.35">
      <c r="A34" s="35" t="s">
        <v>1086</v>
      </c>
      <c r="B34" s="36">
        <v>250000</v>
      </c>
      <c r="C34" s="36">
        <v>18366992</v>
      </c>
      <c r="E34" s="1" t="s">
        <v>358</v>
      </c>
      <c r="F34" s="2">
        <v>250000</v>
      </c>
      <c r="G34" s="2">
        <v>18366992</v>
      </c>
      <c r="I34" s="31">
        <f t="shared" si="8"/>
        <v>0</v>
      </c>
      <c r="J34" s="31">
        <f t="shared" si="9"/>
        <v>0</v>
      </c>
    </row>
    <row r="35" spans="1:10" ht="15.5" x14ac:dyDescent="0.35">
      <c r="A35" s="35" t="s">
        <v>1111</v>
      </c>
      <c r="B35" s="36">
        <v>250000</v>
      </c>
      <c r="C35" s="36">
        <v>0</v>
      </c>
      <c r="E35" s="1" t="s">
        <v>434</v>
      </c>
      <c r="F35" s="2">
        <v>250000</v>
      </c>
      <c r="G35" s="2">
        <v>0</v>
      </c>
      <c r="I35" s="31">
        <f t="shared" si="8"/>
        <v>0</v>
      </c>
      <c r="J35" s="31">
        <f t="shared" si="9"/>
        <v>0</v>
      </c>
    </row>
    <row r="36" spans="1:10" ht="15.5" x14ac:dyDescent="0.35">
      <c r="A36" s="35" t="s">
        <v>307</v>
      </c>
      <c r="B36" s="36">
        <v>150000</v>
      </c>
      <c r="C36" s="36">
        <v>0</v>
      </c>
      <c r="E36" s="1" t="s">
        <v>307</v>
      </c>
      <c r="F36" s="2">
        <v>150000</v>
      </c>
      <c r="G36" s="2">
        <v>0</v>
      </c>
      <c r="I36" s="31">
        <f t="shared" si="8"/>
        <v>0</v>
      </c>
      <c r="J36" s="31">
        <f t="shared" si="9"/>
        <v>0</v>
      </c>
    </row>
    <row r="37" spans="1:10" ht="15.5" x14ac:dyDescent="0.35">
      <c r="A37" s="35" t="s">
        <v>1112</v>
      </c>
      <c r="B37" s="36">
        <v>250000</v>
      </c>
      <c r="C37" s="36">
        <v>0</v>
      </c>
      <c r="E37" s="1" t="s">
        <v>461</v>
      </c>
      <c r="F37" s="2">
        <v>250000</v>
      </c>
      <c r="G37" s="2">
        <v>0</v>
      </c>
      <c r="I37" s="31">
        <f t="shared" si="8"/>
        <v>0</v>
      </c>
      <c r="J37" s="31">
        <f t="shared" si="9"/>
        <v>0</v>
      </c>
    </row>
    <row r="38" spans="1:10" ht="15.5" x14ac:dyDescent="0.35">
      <c r="A38" s="35" t="s">
        <v>345</v>
      </c>
      <c r="B38" s="36">
        <v>250000</v>
      </c>
      <c r="C38" s="36">
        <v>1871528</v>
      </c>
      <c r="E38" s="1" t="s">
        <v>345</v>
      </c>
      <c r="F38" s="2">
        <v>250000</v>
      </c>
      <c r="G38" s="2">
        <v>1871528</v>
      </c>
      <c r="I38" s="31">
        <f t="shared" si="8"/>
        <v>0</v>
      </c>
      <c r="J38" s="31">
        <f t="shared" si="9"/>
        <v>0</v>
      </c>
    </row>
    <row r="39" spans="1:10" ht="15.5" x14ac:dyDescent="0.35">
      <c r="A39" s="42" t="s">
        <v>1160</v>
      </c>
      <c r="B39" s="36">
        <v>250000</v>
      </c>
      <c r="C39" s="36">
        <v>0</v>
      </c>
      <c r="E39" s="1" t="s">
        <v>509</v>
      </c>
      <c r="F39" s="2">
        <v>250000</v>
      </c>
      <c r="G39" s="2">
        <v>0</v>
      </c>
      <c r="I39" s="31">
        <f t="shared" si="8"/>
        <v>0</v>
      </c>
      <c r="J39" s="31">
        <f t="shared" si="9"/>
        <v>0</v>
      </c>
    </row>
    <row r="40" spans="1:10" ht="15.5" x14ac:dyDescent="0.35">
      <c r="A40" s="35" t="s">
        <v>1144</v>
      </c>
      <c r="B40" s="36">
        <v>150000</v>
      </c>
      <c r="C40" s="36">
        <v>6750416</v>
      </c>
      <c r="E40" s="1" t="s">
        <v>356</v>
      </c>
      <c r="F40" s="2">
        <v>150000</v>
      </c>
      <c r="G40" s="2">
        <v>6750416</v>
      </c>
      <c r="I40" s="31">
        <f t="shared" si="8"/>
        <v>0</v>
      </c>
      <c r="J40" s="31">
        <f t="shared" si="9"/>
        <v>0</v>
      </c>
    </row>
    <row r="41" spans="1:10" ht="15.5" x14ac:dyDescent="0.35">
      <c r="A41" s="35" t="s">
        <v>1113</v>
      </c>
      <c r="B41" s="36">
        <v>250000</v>
      </c>
      <c r="C41" s="36">
        <v>0</v>
      </c>
      <c r="E41" s="1" t="s">
        <v>457</v>
      </c>
      <c r="F41" s="2">
        <v>250000</v>
      </c>
      <c r="G41" s="2">
        <v>0</v>
      </c>
      <c r="I41" s="31">
        <f t="shared" si="8"/>
        <v>0</v>
      </c>
      <c r="J41" s="31">
        <f t="shared" si="9"/>
        <v>0</v>
      </c>
    </row>
    <row r="42" spans="1:10" ht="15.5" x14ac:dyDescent="0.35">
      <c r="A42" s="43" t="s">
        <v>329</v>
      </c>
      <c r="B42" s="36">
        <v>100000</v>
      </c>
      <c r="C42" s="36">
        <v>0</v>
      </c>
      <c r="E42" s="1" t="s">
        <v>329</v>
      </c>
      <c r="F42" s="2">
        <v>100000</v>
      </c>
      <c r="G42" s="2">
        <v>0</v>
      </c>
      <c r="I42" s="31">
        <f t="shared" si="8"/>
        <v>0</v>
      </c>
      <c r="J42" s="31">
        <f t="shared" si="9"/>
        <v>0</v>
      </c>
    </row>
    <row r="43" spans="1:10" ht="15.5" x14ac:dyDescent="0.35">
      <c r="A43" s="43" t="s">
        <v>364</v>
      </c>
      <c r="B43" s="36">
        <v>100000</v>
      </c>
      <c r="C43" s="36">
        <v>0</v>
      </c>
      <c r="E43" s="1" t="s">
        <v>364</v>
      </c>
      <c r="F43" s="2">
        <v>100000</v>
      </c>
      <c r="G43" s="2">
        <v>0</v>
      </c>
      <c r="I43" s="31">
        <f t="shared" si="8"/>
        <v>0</v>
      </c>
      <c r="J43" s="31">
        <f t="shared" si="9"/>
        <v>0</v>
      </c>
    </row>
    <row r="44" spans="1:10" ht="15.5" x14ac:dyDescent="0.35">
      <c r="A44" s="35" t="s">
        <v>692</v>
      </c>
      <c r="B44" s="36">
        <v>250000</v>
      </c>
      <c r="C44" s="36">
        <v>6053100</v>
      </c>
      <c r="E44" s="1" t="s">
        <v>692</v>
      </c>
      <c r="F44" s="2">
        <v>250000</v>
      </c>
      <c r="G44" s="2">
        <v>6053100</v>
      </c>
      <c r="I44" s="31">
        <f t="shared" si="8"/>
        <v>0</v>
      </c>
      <c r="J44" s="31">
        <f t="shared" si="9"/>
        <v>0</v>
      </c>
    </row>
    <row r="45" spans="1:10" ht="15.5" x14ac:dyDescent="0.35">
      <c r="A45" s="35" t="s">
        <v>1128</v>
      </c>
      <c r="B45" s="36">
        <v>350000</v>
      </c>
      <c r="C45" s="36">
        <v>11006944</v>
      </c>
      <c r="E45" s="1" t="s">
        <v>500</v>
      </c>
      <c r="F45" s="2">
        <v>350000</v>
      </c>
      <c r="G45" s="2">
        <v>11006944</v>
      </c>
      <c r="I45" s="31">
        <f t="shared" si="8"/>
        <v>0</v>
      </c>
      <c r="J45" s="31">
        <f t="shared" si="9"/>
        <v>0</v>
      </c>
    </row>
    <row r="46" spans="1:10" ht="15.5" x14ac:dyDescent="0.35">
      <c r="A46" s="35" t="s">
        <v>311</v>
      </c>
      <c r="B46" s="36">
        <v>350000</v>
      </c>
      <c r="C46" s="36">
        <v>17623787</v>
      </c>
      <c r="E46" s="1" t="s">
        <v>311</v>
      </c>
      <c r="F46" s="2">
        <v>350000</v>
      </c>
      <c r="G46" s="2">
        <v>17623787</v>
      </c>
      <c r="I46" s="31">
        <f t="shared" si="8"/>
        <v>0</v>
      </c>
      <c r="J46" s="31">
        <f t="shared" si="9"/>
        <v>0</v>
      </c>
    </row>
    <row r="47" spans="1:10" ht="15.5" x14ac:dyDescent="0.35">
      <c r="A47" s="35" t="s">
        <v>1119</v>
      </c>
      <c r="B47" s="36">
        <v>250000</v>
      </c>
      <c r="C47" s="36">
        <v>0</v>
      </c>
      <c r="E47" s="1" t="s">
        <v>446</v>
      </c>
      <c r="F47" s="2">
        <v>250000</v>
      </c>
      <c r="G47" s="2">
        <v>0</v>
      </c>
      <c r="I47" s="31">
        <f t="shared" si="8"/>
        <v>0</v>
      </c>
      <c r="J47" s="31">
        <f t="shared" si="9"/>
        <v>0</v>
      </c>
    </row>
    <row r="48" spans="1:10" ht="15.5" x14ac:dyDescent="0.35">
      <c r="A48" s="35" t="s">
        <v>1114</v>
      </c>
      <c r="B48" s="36">
        <v>250000</v>
      </c>
      <c r="C48" s="36">
        <v>0</v>
      </c>
      <c r="E48" s="1" t="s">
        <v>465</v>
      </c>
      <c r="F48" s="2">
        <v>250000</v>
      </c>
      <c r="G48" s="2">
        <v>0</v>
      </c>
      <c r="I48" s="31">
        <f t="shared" si="8"/>
        <v>0</v>
      </c>
      <c r="J48" s="31">
        <f t="shared" si="9"/>
        <v>0</v>
      </c>
    </row>
    <row r="49" spans="1:10" ht="15.5" x14ac:dyDescent="0.35">
      <c r="A49" s="35" t="s">
        <v>1115</v>
      </c>
      <c r="B49" s="36">
        <v>250000</v>
      </c>
      <c r="C49" s="36">
        <v>0</v>
      </c>
      <c r="E49" s="1" t="s">
        <v>436</v>
      </c>
      <c r="F49" s="2">
        <v>250000</v>
      </c>
      <c r="G49" s="2">
        <v>0</v>
      </c>
      <c r="I49" s="31">
        <f t="shared" si="8"/>
        <v>0</v>
      </c>
      <c r="J49" s="31">
        <f t="shared" si="9"/>
        <v>0</v>
      </c>
    </row>
    <row r="50" spans="1:10" ht="15.5" x14ac:dyDescent="0.35">
      <c r="A50" s="35" t="s">
        <v>225</v>
      </c>
      <c r="B50" s="36">
        <v>150000</v>
      </c>
      <c r="C50" s="36">
        <v>0</v>
      </c>
      <c r="E50" s="1" t="s">
        <v>225</v>
      </c>
      <c r="F50" s="2">
        <v>150000</v>
      </c>
      <c r="G50" s="2">
        <v>0</v>
      </c>
      <c r="I50" s="31">
        <f t="shared" si="8"/>
        <v>0</v>
      </c>
      <c r="J50" s="31">
        <f t="shared" si="9"/>
        <v>0</v>
      </c>
    </row>
    <row r="51" spans="1:10" ht="15.5" x14ac:dyDescent="0.35">
      <c r="A51" s="43" t="s">
        <v>205</v>
      </c>
      <c r="B51" s="36">
        <v>100000</v>
      </c>
      <c r="C51" s="36">
        <v>0</v>
      </c>
      <c r="E51" s="3" t="s">
        <v>205</v>
      </c>
      <c r="F51" s="2">
        <v>100000</v>
      </c>
      <c r="G51" s="2">
        <v>0</v>
      </c>
      <c r="I51" s="31">
        <f t="shared" si="8"/>
        <v>0</v>
      </c>
      <c r="J51" s="31">
        <f t="shared" si="9"/>
        <v>0</v>
      </c>
    </row>
    <row r="52" spans="1:10" ht="15.5" x14ac:dyDescent="0.35">
      <c r="A52" s="35" t="s">
        <v>1116</v>
      </c>
      <c r="B52" s="36">
        <v>250000</v>
      </c>
      <c r="C52" s="36">
        <v>0</v>
      </c>
      <c r="E52" s="1" t="s">
        <v>459</v>
      </c>
      <c r="F52" s="2">
        <v>250000</v>
      </c>
      <c r="G52" s="2">
        <v>0</v>
      </c>
      <c r="I52" s="31">
        <f t="shared" si="8"/>
        <v>0</v>
      </c>
      <c r="J52" s="31">
        <f t="shared" si="9"/>
        <v>0</v>
      </c>
    </row>
    <row r="53" spans="1:10" ht="15.5" x14ac:dyDescent="0.35">
      <c r="A53" s="35" t="s">
        <v>642</v>
      </c>
      <c r="B53" s="36">
        <v>350000</v>
      </c>
      <c r="C53" s="36">
        <v>0</v>
      </c>
      <c r="E53" s="1"/>
      <c r="F53" s="2"/>
      <c r="G53" s="2"/>
      <c r="I53" s="31">
        <f t="shared" si="8"/>
        <v>350000</v>
      </c>
      <c r="J53" s="31">
        <f t="shared" si="9"/>
        <v>0</v>
      </c>
    </row>
    <row r="54" spans="1:10" ht="15.5" x14ac:dyDescent="0.35">
      <c r="A54" s="35" t="s">
        <v>515</v>
      </c>
      <c r="B54" s="36">
        <v>150000</v>
      </c>
      <c r="C54" s="36">
        <v>0</v>
      </c>
      <c r="E54" s="1" t="s">
        <v>515</v>
      </c>
      <c r="F54" s="2">
        <v>150000</v>
      </c>
      <c r="G54" s="2">
        <v>0</v>
      </c>
      <c r="I54" s="31">
        <f t="shared" si="8"/>
        <v>0</v>
      </c>
      <c r="J54" s="31">
        <f t="shared" si="9"/>
        <v>0</v>
      </c>
    </row>
    <row r="55" spans="1:10" ht="15.5" x14ac:dyDescent="0.35">
      <c r="A55" s="35" t="s">
        <v>1135</v>
      </c>
      <c r="B55" s="36">
        <v>250000</v>
      </c>
      <c r="C55" s="36">
        <v>0</v>
      </c>
      <c r="E55" s="1" t="s">
        <v>542</v>
      </c>
      <c r="F55" s="2">
        <v>250000</v>
      </c>
      <c r="G55" s="2">
        <v>0</v>
      </c>
      <c r="I55" s="31">
        <f t="shared" si="8"/>
        <v>0</v>
      </c>
      <c r="J55" s="31">
        <f t="shared" si="9"/>
        <v>0</v>
      </c>
    </row>
    <row r="56" spans="1:10" ht="15.5" x14ac:dyDescent="0.35">
      <c r="A56" s="35" t="s">
        <v>494</v>
      </c>
      <c r="B56" s="36">
        <v>150000</v>
      </c>
      <c r="C56" s="36">
        <v>5767335</v>
      </c>
      <c r="E56" s="1" t="s">
        <v>494</v>
      </c>
      <c r="F56" s="2">
        <v>150000</v>
      </c>
      <c r="G56" s="2">
        <v>5767335</v>
      </c>
      <c r="I56" s="31">
        <f t="shared" si="8"/>
        <v>0</v>
      </c>
      <c r="J56" s="31">
        <f t="shared" si="9"/>
        <v>0</v>
      </c>
    </row>
    <row r="57" spans="1:10" ht="15.5" x14ac:dyDescent="0.35">
      <c r="A57" s="35" t="s">
        <v>1137</v>
      </c>
      <c r="B57" s="36">
        <v>150000</v>
      </c>
      <c r="C57" s="36">
        <v>0</v>
      </c>
      <c r="E57" s="1" t="s">
        <v>537</v>
      </c>
      <c r="F57" s="2">
        <v>150000</v>
      </c>
      <c r="G57" s="2">
        <v>0</v>
      </c>
      <c r="I57" s="31">
        <f t="shared" si="8"/>
        <v>0</v>
      </c>
      <c r="J57" s="31">
        <f t="shared" si="9"/>
        <v>0</v>
      </c>
    </row>
    <row r="58" spans="1:10" ht="15.5" x14ac:dyDescent="0.35">
      <c r="A58" s="35" t="s">
        <v>1153</v>
      </c>
      <c r="B58" s="36">
        <v>150000</v>
      </c>
      <c r="C58" s="36">
        <v>1890628</v>
      </c>
      <c r="E58" s="1"/>
      <c r="F58" s="2"/>
      <c r="G58" s="2"/>
      <c r="I58" s="31">
        <f t="shared" si="8"/>
        <v>150000</v>
      </c>
      <c r="J58" s="31">
        <f t="shared" si="9"/>
        <v>1890628</v>
      </c>
    </row>
    <row r="59" spans="1:10" ht="15.5" x14ac:dyDescent="0.35">
      <c r="A59" s="35" t="s">
        <v>1105</v>
      </c>
      <c r="B59" s="36">
        <v>350000</v>
      </c>
      <c r="C59" s="36">
        <v>0</v>
      </c>
      <c r="E59" s="3" t="s">
        <v>233</v>
      </c>
      <c r="F59" s="2">
        <v>350000</v>
      </c>
      <c r="G59" s="2">
        <v>0</v>
      </c>
      <c r="I59" s="31">
        <f t="shared" si="8"/>
        <v>0</v>
      </c>
      <c r="J59" s="31">
        <f t="shared" si="9"/>
        <v>0</v>
      </c>
    </row>
    <row r="60" spans="1:10" ht="15.5" x14ac:dyDescent="0.35">
      <c r="A60" s="35" t="s">
        <v>1120</v>
      </c>
      <c r="B60" s="36">
        <v>350000</v>
      </c>
      <c r="C60" s="36">
        <v>0</v>
      </c>
      <c r="E60" s="1" t="s">
        <v>438</v>
      </c>
      <c r="F60" s="2">
        <v>350000</v>
      </c>
      <c r="G60" s="2">
        <v>0</v>
      </c>
      <c r="I60" s="31">
        <f t="shared" si="8"/>
        <v>0</v>
      </c>
      <c r="J60" s="31">
        <f t="shared" si="9"/>
        <v>0</v>
      </c>
    </row>
    <row r="61" spans="1:10" ht="15.5" x14ac:dyDescent="0.35">
      <c r="A61" s="35" t="s">
        <v>1117</v>
      </c>
      <c r="B61" s="36">
        <v>250000</v>
      </c>
      <c r="C61" s="36">
        <v>0</v>
      </c>
      <c r="E61" s="1" t="s">
        <v>455</v>
      </c>
      <c r="F61" s="2">
        <v>250000</v>
      </c>
      <c r="G61" s="2">
        <v>0</v>
      </c>
      <c r="I61" s="31">
        <f t="shared" si="8"/>
        <v>0</v>
      </c>
      <c r="J61" s="31">
        <f t="shared" si="9"/>
        <v>0</v>
      </c>
    </row>
    <row r="62" spans="1:10" ht="15.5" x14ac:dyDescent="0.35">
      <c r="A62" s="35" t="s">
        <v>235</v>
      </c>
      <c r="B62" s="36">
        <v>150000</v>
      </c>
      <c r="C62" s="36">
        <v>850694</v>
      </c>
      <c r="E62" s="1" t="s">
        <v>235</v>
      </c>
      <c r="F62" s="2">
        <v>150000</v>
      </c>
      <c r="G62" s="2">
        <v>850694</v>
      </c>
      <c r="I62" s="31">
        <f t="shared" si="8"/>
        <v>0</v>
      </c>
      <c r="J62" s="31">
        <f t="shared" si="9"/>
        <v>0</v>
      </c>
    </row>
    <row r="63" spans="1:10" ht="15.5" x14ac:dyDescent="0.35">
      <c r="A63" s="35" t="s">
        <v>382</v>
      </c>
      <c r="B63" s="36">
        <v>150000</v>
      </c>
      <c r="C63" s="36">
        <v>0</v>
      </c>
      <c r="E63" s="1" t="s">
        <v>382</v>
      </c>
      <c r="F63" s="2">
        <v>150000</v>
      </c>
      <c r="G63" s="2">
        <v>0</v>
      </c>
      <c r="I63" s="31">
        <f t="shared" si="8"/>
        <v>0</v>
      </c>
      <c r="J63" s="31">
        <f t="shared" si="9"/>
        <v>0</v>
      </c>
    </row>
    <row r="64" spans="1:10" ht="15.5" x14ac:dyDescent="0.35">
      <c r="A64" s="35" t="s">
        <v>1081</v>
      </c>
      <c r="B64" s="36">
        <v>350000</v>
      </c>
      <c r="C64" s="36">
        <v>5832511</v>
      </c>
      <c r="E64" s="1" t="s">
        <v>317</v>
      </c>
      <c r="F64" s="2">
        <v>350000</v>
      </c>
      <c r="G64" s="2">
        <v>5832511</v>
      </c>
      <c r="I64" s="31">
        <f t="shared" si="8"/>
        <v>0</v>
      </c>
      <c r="J64" s="31">
        <f t="shared" si="9"/>
        <v>0</v>
      </c>
    </row>
    <row r="65" spans="1:10" ht="15.5" x14ac:dyDescent="0.35">
      <c r="A65" s="35" t="s">
        <v>908</v>
      </c>
      <c r="B65" s="36">
        <v>100000</v>
      </c>
      <c r="C65" s="36">
        <v>0</v>
      </c>
      <c r="E65" s="1" t="s">
        <v>908</v>
      </c>
      <c r="F65" s="2">
        <v>100000</v>
      </c>
      <c r="G65" s="2">
        <v>0</v>
      </c>
      <c r="I65" s="31">
        <f t="shared" si="8"/>
        <v>0</v>
      </c>
      <c r="J65" s="31">
        <f t="shared" si="9"/>
        <v>0</v>
      </c>
    </row>
    <row r="66" spans="1:10" ht="15.5" x14ac:dyDescent="0.35">
      <c r="A66" s="43" t="s">
        <v>556</v>
      </c>
      <c r="B66" s="36">
        <v>100000</v>
      </c>
      <c r="C66" s="36">
        <v>0</v>
      </c>
      <c r="E66" s="1" t="s">
        <v>556</v>
      </c>
      <c r="F66" s="2">
        <v>100000</v>
      </c>
      <c r="G66" s="2">
        <v>0</v>
      </c>
      <c r="I66" s="31">
        <f t="shared" si="8"/>
        <v>0</v>
      </c>
      <c r="J66" s="31">
        <f t="shared" si="9"/>
        <v>0</v>
      </c>
    </row>
    <row r="67" spans="1:10" ht="15.5" x14ac:dyDescent="0.35">
      <c r="A67" s="35" t="s">
        <v>1101</v>
      </c>
      <c r="B67" s="36">
        <v>150000</v>
      </c>
      <c r="C67" s="36">
        <v>0</v>
      </c>
      <c r="E67" s="1" t="s">
        <v>427</v>
      </c>
      <c r="F67" s="2">
        <v>150000</v>
      </c>
      <c r="G67" s="2">
        <v>0</v>
      </c>
      <c r="I67" s="31">
        <f t="shared" si="8"/>
        <v>0</v>
      </c>
      <c r="J67" s="31">
        <f t="shared" si="9"/>
        <v>0</v>
      </c>
    </row>
    <row r="68" spans="1:10" ht="15.5" x14ac:dyDescent="0.35">
      <c r="A68" s="35" t="s">
        <v>504</v>
      </c>
      <c r="B68" s="36">
        <v>150000</v>
      </c>
      <c r="C68" s="36">
        <v>0</v>
      </c>
      <c r="E68" s="1"/>
      <c r="F68" s="2"/>
      <c r="G68" s="2"/>
      <c r="I68" s="31">
        <f t="shared" si="8"/>
        <v>150000</v>
      </c>
      <c r="J68" s="31">
        <f t="shared" si="9"/>
        <v>0</v>
      </c>
    </row>
    <row r="69" spans="1:10" ht="15.5" x14ac:dyDescent="0.35">
      <c r="A69" s="35" t="s">
        <v>392</v>
      </c>
      <c r="B69" s="36">
        <v>150000</v>
      </c>
      <c r="C69" s="36">
        <v>3450042</v>
      </c>
      <c r="E69" s="1" t="s">
        <v>392</v>
      </c>
      <c r="F69" s="2">
        <v>150000</v>
      </c>
      <c r="G69" s="2">
        <v>3450042</v>
      </c>
      <c r="I69" s="31">
        <f t="shared" si="8"/>
        <v>0</v>
      </c>
      <c r="J69" s="31">
        <f t="shared" si="9"/>
        <v>0</v>
      </c>
    </row>
    <row r="70" spans="1:10" ht="15.5" x14ac:dyDescent="0.35">
      <c r="A70" s="35" t="s">
        <v>1108</v>
      </c>
      <c r="B70" s="36">
        <v>250000</v>
      </c>
      <c r="C70" s="36">
        <v>0</v>
      </c>
      <c r="E70" s="1" t="s">
        <v>453</v>
      </c>
      <c r="F70" s="2">
        <v>250000</v>
      </c>
      <c r="G70" s="2">
        <v>0</v>
      </c>
      <c r="I70" s="31">
        <f t="shared" si="8"/>
        <v>0</v>
      </c>
      <c r="J70" s="31">
        <f t="shared" si="9"/>
        <v>0</v>
      </c>
    </row>
    <row r="71" spans="1:10" ht="15.5" x14ac:dyDescent="0.35">
      <c r="A71" s="35" t="s">
        <v>1095</v>
      </c>
      <c r="B71" s="36">
        <v>350000</v>
      </c>
      <c r="C71" s="36">
        <v>0</v>
      </c>
      <c r="E71" s="1" t="s">
        <v>284</v>
      </c>
      <c r="F71" s="2">
        <v>350000</v>
      </c>
      <c r="G71" s="2">
        <v>0</v>
      </c>
      <c r="I71" s="31">
        <f t="shared" si="8"/>
        <v>0</v>
      </c>
      <c r="J71" s="31">
        <f t="shared" si="9"/>
        <v>0</v>
      </c>
    </row>
    <row r="72" spans="1:10" ht="15.5" x14ac:dyDescent="0.35">
      <c r="A72" s="35" t="s">
        <v>270</v>
      </c>
      <c r="B72" s="36">
        <v>250000</v>
      </c>
      <c r="C72" s="36">
        <v>0</v>
      </c>
      <c r="E72" s="1" t="s">
        <v>270</v>
      </c>
      <c r="F72" s="2">
        <v>250000</v>
      </c>
      <c r="G72" s="2">
        <v>0</v>
      </c>
      <c r="I72" s="31">
        <f t="shared" si="8"/>
        <v>0</v>
      </c>
      <c r="J72" s="31">
        <f t="shared" si="9"/>
        <v>0</v>
      </c>
    </row>
    <row r="73" spans="1:10" ht="15.5" x14ac:dyDescent="0.35">
      <c r="A73" s="35" t="s">
        <v>492</v>
      </c>
      <c r="B73" s="36">
        <v>250000</v>
      </c>
      <c r="C73" s="36">
        <v>2895833</v>
      </c>
      <c r="E73" s="1" t="s">
        <v>492</v>
      </c>
      <c r="F73" s="2">
        <v>250000</v>
      </c>
      <c r="G73" s="2">
        <v>2895833</v>
      </c>
      <c r="I73" s="31">
        <f t="shared" si="8"/>
        <v>0</v>
      </c>
      <c r="J73" s="31">
        <f t="shared" si="9"/>
        <v>0</v>
      </c>
    </row>
    <row r="74" spans="1:10" ht="15.5" x14ac:dyDescent="0.35">
      <c r="A74" s="42" t="s">
        <v>525</v>
      </c>
      <c r="B74" s="36">
        <v>250000</v>
      </c>
      <c r="C74" s="36">
        <v>0</v>
      </c>
      <c r="E74" s="1" t="s">
        <v>525</v>
      </c>
      <c r="F74" s="2">
        <v>250000</v>
      </c>
      <c r="G74" s="2">
        <v>0</v>
      </c>
      <c r="I74" s="31">
        <f t="shared" si="8"/>
        <v>0</v>
      </c>
      <c r="J74" s="31">
        <f t="shared" si="9"/>
        <v>0</v>
      </c>
    </row>
    <row r="75" spans="1:10" ht="15.5" x14ac:dyDescent="0.35">
      <c r="A75" s="35" t="s">
        <v>1102</v>
      </c>
      <c r="B75" s="36">
        <v>250000</v>
      </c>
      <c r="C75" s="36">
        <v>0</v>
      </c>
      <c r="E75" s="1" t="s">
        <v>425</v>
      </c>
      <c r="F75" s="2">
        <v>250000</v>
      </c>
      <c r="G75" s="2">
        <v>0</v>
      </c>
      <c r="I75" s="31">
        <f t="shared" si="8"/>
        <v>0</v>
      </c>
      <c r="J75" s="31">
        <f t="shared" si="9"/>
        <v>0</v>
      </c>
    </row>
    <row r="76" spans="1:10" ht="15.5" x14ac:dyDescent="0.35">
      <c r="A76" s="35"/>
      <c r="B76" s="36"/>
      <c r="C76" s="36"/>
      <c r="E76" s="3" t="s">
        <v>533</v>
      </c>
      <c r="F76" s="2">
        <v>250000</v>
      </c>
      <c r="G76" s="2">
        <v>0</v>
      </c>
      <c r="I76" s="31">
        <f t="shared" si="8"/>
        <v>-250000</v>
      </c>
      <c r="J76" s="31">
        <f t="shared" si="9"/>
        <v>0</v>
      </c>
    </row>
    <row r="77" spans="1:10" ht="15.5" x14ac:dyDescent="0.35">
      <c r="A77" s="35"/>
      <c r="B77" s="36"/>
      <c r="C77" s="36"/>
      <c r="E77" s="1" t="s">
        <v>242</v>
      </c>
      <c r="F77" s="2">
        <v>250000</v>
      </c>
      <c r="G77" s="2">
        <v>0</v>
      </c>
      <c r="I77" s="31">
        <f t="shared" si="8"/>
        <v>-250000</v>
      </c>
      <c r="J77" s="31">
        <f t="shared" si="9"/>
        <v>0</v>
      </c>
    </row>
    <row r="78" spans="1:10" ht="15.5" x14ac:dyDescent="0.35">
      <c r="A78" s="35" t="s">
        <v>1091</v>
      </c>
      <c r="B78" s="36">
        <v>250000</v>
      </c>
      <c r="C78" s="36">
        <v>0</v>
      </c>
      <c r="E78" s="1" t="s">
        <v>305</v>
      </c>
      <c r="F78" s="2">
        <v>250000</v>
      </c>
      <c r="G78" s="2">
        <v>0</v>
      </c>
      <c r="I78" s="31">
        <f t="shared" si="8"/>
        <v>0</v>
      </c>
      <c r="J78" s="31">
        <f t="shared" si="9"/>
        <v>0</v>
      </c>
    </row>
    <row r="79" spans="1:10" ht="15.5" x14ac:dyDescent="0.35">
      <c r="A79" s="35" t="s">
        <v>1082</v>
      </c>
      <c r="B79" s="36">
        <v>250000</v>
      </c>
      <c r="C79" s="36">
        <v>3562500</v>
      </c>
      <c r="E79" s="1" t="s">
        <v>297</v>
      </c>
      <c r="F79" s="2">
        <v>250000</v>
      </c>
      <c r="G79" s="2">
        <v>3562500</v>
      </c>
      <c r="I79" s="31">
        <f t="shared" si="8"/>
        <v>0</v>
      </c>
      <c r="J79" s="31">
        <f t="shared" si="9"/>
        <v>0</v>
      </c>
    </row>
    <row r="80" spans="1:10" ht="15.5" x14ac:dyDescent="0.35">
      <c r="A80" s="35" t="s">
        <v>1140</v>
      </c>
      <c r="B80" s="36">
        <v>250000</v>
      </c>
      <c r="C80" s="36">
        <v>2291667</v>
      </c>
      <c r="E80" s="1" t="s">
        <v>379</v>
      </c>
      <c r="F80" s="2">
        <v>250000</v>
      </c>
      <c r="G80" s="2">
        <v>2291667</v>
      </c>
      <c r="I80" s="31">
        <f t="shared" si="8"/>
        <v>0</v>
      </c>
      <c r="J80" s="31">
        <f t="shared" si="9"/>
        <v>0</v>
      </c>
    </row>
    <row r="81" spans="1:10" ht="15.5" x14ac:dyDescent="0.35">
      <c r="A81" s="35" t="s">
        <v>896</v>
      </c>
      <c r="B81" s="36">
        <v>100000</v>
      </c>
      <c r="C81" s="36">
        <v>0</v>
      </c>
      <c r="E81" s="1" t="s">
        <v>896</v>
      </c>
      <c r="F81" s="2">
        <v>100000</v>
      </c>
      <c r="G81" s="2">
        <v>0</v>
      </c>
      <c r="I81" s="31">
        <f t="shared" si="8"/>
        <v>0</v>
      </c>
      <c r="J81" s="31">
        <f t="shared" si="9"/>
        <v>0</v>
      </c>
    </row>
    <row r="82" spans="1:10" ht="15.5" x14ac:dyDescent="0.35">
      <c r="A82" s="42" t="s">
        <v>1161</v>
      </c>
      <c r="B82" s="36">
        <v>350000</v>
      </c>
      <c r="C82" s="36">
        <v>10608334</v>
      </c>
      <c r="E82" s="1" t="s">
        <v>251</v>
      </c>
      <c r="F82" s="2">
        <v>350000</v>
      </c>
      <c r="G82" s="2">
        <v>10608334</v>
      </c>
      <c r="I82" s="31">
        <f t="shared" si="8"/>
        <v>0</v>
      </c>
      <c r="J82" s="31">
        <f t="shared" si="9"/>
        <v>0</v>
      </c>
    </row>
    <row r="83" spans="1:10" ht="15.5" x14ac:dyDescent="0.35">
      <c r="A83" s="35" t="s">
        <v>1092</v>
      </c>
      <c r="B83" s="36">
        <v>150000</v>
      </c>
      <c r="C83" s="36">
        <v>1500000</v>
      </c>
      <c r="E83" s="1" t="s">
        <v>303</v>
      </c>
      <c r="F83" s="2">
        <v>150000</v>
      </c>
      <c r="G83" s="2">
        <v>1500000</v>
      </c>
      <c r="I83" s="31">
        <f t="shared" si="8"/>
        <v>0</v>
      </c>
      <c r="J83" s="31">
        <f t="shared" si="9"/>
        <v>0</v>
      </c>
    </row>
    <row r="84" spans="1:10" ht="15.5" x14ac:dyDescent="0.35">
      <c r="A84" s="35" t="s">
        <v>488</v>
      </c>
      <c r="B84" s="36">
        <v>150000</v>
      </c>
      <c r="C84" s="36">
        <v>0</v>
      </c>
      <c r="E84" s="1" t="s">
        <v>488</v>
      </c>
      <c r="F84" s="2">
        <v>150000</v>
      </c>
      <c r="G84" s="2">
        <v>0</v>
      </c>
      <c r="I84" s="31">
        <f t="shared" si="8"/>
        <v>0</v>
      </c>
      <c r="J84" s="31">
        <f t="shared" si="9"/>
        <v>0</v>
      </c>
    </row>
    <row r="85" spans="1:10" ht="15.5" x14ac:dyDescent="0.35">
      <c r="A85" s="35" t="s">
        <v>1121</v>
      </c>
      <c r="B85" s="36">
        <v>350000</v>
      </c>
      <c r="C85" s="36">
        <v>5510000</v>
      </c>
      <c r="E85" s="1" t="s">
        <v>450</v>
      </c>
      <c r="F85" s="2">
        <v>350000</v>
      </c>
      <c r="G85" s="2">
        <v>5510000</v>
      </c>
      <c r="I85" s="31">
        <f t="shared" si="8"/>
        <v>0</v>
      </c>
      <c r="J85" s="31">
        <f t="shared" si="9"/>
        <v>0</v>
      </c>
    </row>
    <row r="86" spans="1:10" ht="15.5" x14ac:dyDescent="0.35">
      <c r="A86" s="35" t="s">
        <v>1123</v>
      </c>
      <c r="B86" s="36">
        <v>250000</v>
      </c>
      <c r="C86" s="36">
        <v>0</v>
      </c>
      <c r="E86" s="1" t="s">
        <v>477</v>
      </c>
      <c r="F86" s="2">
        <v>250000</v>
      </c>
      <c r="G86" s="2">
        <v>0</v>
      </c>
      <c r="I86" s="31">
        <f t="shared" si="8"/>
        <v>0</v>
      </c>
      <c r="J86" s="31">
        <f t="shared" si="9"/>
        <v>0</v>
      </c>
    </row>
    <row r="87" spans="1:10" ht="15.5" x14ac:dyDescent="0.35">
      <c r="A87" s="35" t="s">
        <v>1088</v>
      </c>
      <c r="B87" s="36">
        <v>150000</v>
      </c>
      <c r="C87" s="36">
        <v>0</v>
      </c>
      <c r="E87" s="1" t="s">
        <v>295</v>
      </c>
      <c r="F87" s="2">
        <v>150000</v>
      </c>
      <c r="G87" s="2">
        <v>0</v>
      </c>
      <c r="I87" s="31">
        <f t="shared" si="8"/>
        <v>0</v>
      </c>
      <c r="J87" s="31">
        <f t="shared" si="9"/>
        <v>0</v>
      </c>
    </row>
    <row r="88" spans="1:10" ht="15.5" x14ac:dyDescent="0.35">
      <c r="A88" s="35" t="s">
        <v>1093</v>
      </c>
      <c r="B88" s="36">
        <v>500000</v>
      </c>
      <c r="C88" s="36">
        <v>0</v>
      </c>
      <c r="E88" s="1" t="s">
        <v>323</v>
      </c>
      <c r="F88" s="2">
        <v>500000</v>
      </c>
      <c r="G88" s="2">
        <v>0</v>
      </c>
      <c r="I88" s="31">
        <f t="shared" si="8"/>
        <v>0</v>
      </c>
      <c r="J88" s="31">
        <f t="shared" si="9"/>
        <v>0</v>
      </c>
    </row>
    <row r="89" spans="1:10" ht="15.5" x14ac:dyDescent="0.35">
      <c r="A89" s="35" t="s">
        <v>354</v>
      </c>
      <c r="B89" s="36">
        <v>150000</v>
      </c>
      <c r="C89" s="36">
        <v>0</v>
      </c>
      <c r="E89" s="1" t="s">
        <v>354</v>
      </c>
      <c r="F89" s="2">
        <v>150000</v>
      </c>
      <c r="G89" s="2">
        <v>0</v>
      </c>
      <c r="I89" s="31">
        <f t="shared" si="8"/>
        <v>0</v>
      </c>
      <c r="J89" s="31">
        <f t="shared" si="9"/>
        <v>0</v>
      </c>
    </row>
    <row r="90" spans="1:10" ht="15.5" x14ac:dyDescent="0.35">
      <c r="A90" s="35" t="s">
        <v>1096</v>
      </c>
      <c r="B90" s="36">
        <v>350000</v>
      </c>
      <c r="C90" s="36">
        <v>0</v>
      </c>
      <c r="E90" s="1" t="s">
        <v>540</v>
      </c>
      <c r="F90" s="2">
        <v>350000</v>
      </c>
      <c r="G90" s="2">
        <v>0</v>
      </c>
      <c r="I90" s="31">
        <f t="shared" ref="I90:I107" si="10">B90-F90</f>
        <v>0</v>
      </c>
      <c r="J90" s="31">
        <f t="shared" ref="J90:J107" si="11">C90-G90</f>
        <v>0</v>
      </c>
    </row>
    <row r="91" spans="1:10" ht="15.5" x14ac:dyDescent="0.35">
      <c r="A91" s="43" t="s">
        <v>246</v>
      </c>
      <c r="B91" s="36">
        <v>100000</v>
      </c>
      <c r="C91" s="36">
        <v>0</v>
      </c>
      <c r="E91" s="1" t="s">
        <v>246</v>
      </c>
      <c r="F91" s="2">
        <v>100000</v>
      </c>
      <c r="G91" s="2">
        <v>0</v>
      </c>
      <c r="I91" s="31">
        <f t="shared" si="10"/>
        <v>0</v>
      </c>
      <c r="J91" s="31">
        <f t="shared" si="11"/>
        <v>0</v>
      </c>
    </row>
    <row r="92" spans="1:10" ht="15.5" x14ac:dyDescent="0.35">
      <c r="A92" s="43" t="s">
        <v>362</v>
      </c>
      <c r="B92" s="36">
        <v>100000</v>
      </c>
      <c r="C92" s="36">
        <v>0</v>
      </c>
      <c r="E92" s="1" t="s">
        <v>362</v>
      </c>
      <c r="F92" s="2">
        <v>100000</v>
      </c>
      <c r="G92" s="2">
        <v>0</v>
      </c>
      <c r="I92" s="31">
        <f t="shared" si="10"/>
        <v>0</v>
      </c>
      <c r="J92" s="31">
        <f t="shared" si="11"/>
        <v>0</v>
      </c>
    </row>
    <row r="93" spans="1:10" ht="15.5" x14ac:dyDescent="0.35">
      <c r="A93" s="35" t="s">
        <v>904</v>
      </c>
      <c r="B93" s="36">
        <v>100000</v>
      </c>
      <c r="C93" s="36">
        <v>0</v>
      </c>
      <c r="E93" s="1" t="s">
        <v>904</v>
      </c>
      <c r="F93" s="2">
        <v>100000</v>
      </c>
      <c r="G93" s="2">
        <v>0</v>
      </c>
      <c r="I93" s="31">
        <f t="shared" si="10"/>
        <v>0</v>
      </c>
      <c r="J93" s="31">
        <f t="shared" si="11"/>
        <v>0</v>
      </c>
    </row>
    <row r="94" spans="1:10" ht="15.5" x14ac:dyDescent="0.35">
      <c r="A94" s="35" t="s">
        <v>1125</v>
      </c>
      <c r="B94" s="36">
        <v>250000</v>
      </c>
      <c r="C94" s="36">
        <v>0</v>
      </c>
      <c r="E94" s="1" t="s">
        <v>481</v>
      </c>
      <c r="F94" s="2">
        <v>250000</v>
      </c>
      <c r="G94" s="2">
        <v>0</v>
      </c>
      <c r="I94" s="31">
        <f t="shared" si="10"/>
        <v>0</v>
      </c>
      <c r="J94" s="31">
        <f t="shared" si="11"/>
        <v>0</v>
      </c>
    </row>
    <row r="95" spans="1:10" ht="15.5" x14ac:dyDescent="0.35">
      <c r="A95" s="35" t="s">
        <v>892</v>
      </c>
      <c r="B95" s="36">
        <v>100000</v>
      </c>
      <c r="C95" s="36">
        <v>0</v>
      </c>
      <c r="E95" s="1" t="s">
        <v>892</v>
      </c>
      <c r="F95" s="2">
        <v>100000</v>
      </c>
      <c r="G95" s="2">
        <v>0</v>
      </c>
      <c r="I95" s="31">
        <f t="shared" si="10"/>
        <v>0</v>
      </c>
      <c r="J95" s="31">
        <f t="shared" si="11"/>
        <v>0</v>
      </c>
    </row>
    <row r="96" spans="1:10" ht="15.5" x14ac:dyDescent="0.35">
      <c r="A96" s="35" t="s">
        <v>1106</v>
      </c>
      <c r="B96" s="36">
        <v>350000</v>
      </c>
      <c r="C96" s="36">
        <v>0</v>
      </c>
      <c r="E96" s="3" t="s">
        <v>237</v>
      </c>
      <c r="F96" s="2">
        <v>350000</v>
      </c>
      <c r="G96" s="2">
        <v>0</v>
      </c>
      <c r="I96" s="31">
        <f t="shared" si="10"/>
        <v>0</v>
      </c>
      <c r="J96" s="31">
        <f t="shared" si="11"/>
        <v>0</v>
      </c>
    </row>
    <row r="97" spans="1:10" ht="15.5" x14ac:dyDescent="0.35">
      <c r="A97" s="35"/>
      <c r="B97" s="36"/>
      <c r="C97" s="36"/>
      <c r="E97" s="3" t="s">
        <v>552</v>
      </c>
      <c r="F97" s="2">
        <v>250000</v>
      </c>
      <c r="G97" s="2">
        <v>0</v>
      </c>
      <c r="I97" s="31">
        <f t="shared" si="10"/>
        <v>-250000</v>
      </c>
      <c r="J97" s="31">
        <f t="shared" si="11"/>
        <v>0</v>
      </c>
    </row>
    <row r="98" spans="1:10" ht="15.5" x14ac:dyDescent="0.35">
      <c r="A98" s="35" t="s">
        <v>402</v>
      </c>
      <c r="B98" s="36">
        <v>100000</v>
      </c>
      <c r="C98" s="36">
        <v>0</v>
      </c>
      <c r="E98" s="1" t="s">
        <v>402</v>
      </c>
      <c r="F98" s="2">
        <v>100000</v>
      </c>
      <c r="G98" s="2">
        <v>0</v>
      </c>
      <c r="I98" s="31">
        <f t="shared" si="10"/>
        <v>0</v>
      </c>
      <c r="J98" s="31">
        <f t="shared" si="11"/>
        <v>0</v>
      </c>
    </row>
    <row r="99" spans="1:10" ht="15.5" x14ac:dyDescent="0.35">
      <c r="A99" s="35" t="s">
        <v>1085</v>
      </c>
      <c r="B99" s="36">
        <v>500000</v>
      </c>
      <c r="C99" s="36">
        <v>3402778</v>
      </c>
      <c r="E99" s="1" t="s">
        <v>400</v>
      </c>
      <c r="F99" s="2">
        <v>500000</v>
      </c>
      <c r="G99" s="2">
        <v>3402778</v>
      </c>
      <c r="I99" s="31">
        <f t="shared" si="10"/>
        <v>0</v>
      </c>
      <c r="J99" s="31">
        <f t="shared" si="11"/>
        <v>0</v>
      </c>
    </row>
    <row r="100" spans="1:10" ht="15.5" x14ac:dyDescent="0.35">
      <c r="A100" s="35" t="s">
        <v>278</v>
      </c>
      <c r="B100" s="36">
        <v>150000</v>
      </c>
      <c r="C100" s="36">
        <v>5638526</v>
      </c>
      <c r="E100" s="1" t="s">
        <v>278</v>
      </c>
      <c r="F100" s="2">
        <v>150000</v>
      </c>
      <c r="G100" s="2">
        <v>5638526</v>
      </c>
      <c r="I100" s="31">
        <f t="shared" si="10"/>
        <v>0</v>
      </c>
      <c r="J100" s="31">
        <f t="shared" si="11"/>
        <v>0</v>
      </c>
    </row>
    <row r="101" spans="1:10" ht="15.5" x14ac:dyDescent="0.35">
      <c r="A101" s="44" t="s">
        <v>902</v>
      </c>
      <c r="B101" s="36">
        <v>100000</v>
      </c>
      <c r="C101" s="36">
        <v>0</v>
      </c>
      <c r="E101" s="1" t="s">
        <v>902</v>
      </c>
      <c r="F101" s="2">
        <v>100000</v>
      </c>
      <c r="G101" s="2">
        <v>0</v>
      </c>
      <c r="I101" s="31">
        <f t="shared" si="10"/>
        <v>0</v>
      </c>
      <c r="J101" s="31">
        <f t="shared" si="11"/>
        <v>0</v>
      </c>
    </row>
    <row r="102" spans="1:10" ht="15.5" x14ac:dyDescent="0.35">
      <c r="A102" s="43" t="s">
        <v>1162</v>
      </c>
      <c r="B102" s="36">
        <v>250000</v>
      </c>
      <c r="C102" s="36">
        <v>5510001</v>
      </c>
      <c r="E102" s="3" t="s">
        <v>106</v>
      </c>
      <c r="F102" s="2">
        <v>250000</v>
      </c>
      <c r="G102" s="2">
        <v>5510001</v>
      </c>
      <c r="I102" s="31">
        <f t="shared" si="10"/>
        <v>0</v>
      </c>
      <c r="J102" s="31">
        <f t="shared" si="11"/>
        <v>0</v>
      </c>
    </row>
    <row r="103" spans="1:10" ht="15.5" x14ac:dyDescent="0.35">
      <c r="A103" s="35" t="s">
        <v>1133</v>
      </c>
      <c r="B103" s="36">
        <v>250000</v>
      </c>
      <c r="C103" s="36">
        <v>0</v>
      </c>
      <c r="E103" s="1" t="s">
        <v>471</v>
      </c>
      <c r="F103" s="2">
        <v>250000</v>
      </c>
      <c r="G103" s="2">
        <v>0</v>
      </c>
      <c r="I103" s="31">
        <f t="shared" si="10"/>
        <v>0</v>
      </c>
      <c r="J103" s="31">
        <f t="shared" si="11"/>
        <v>0</v>
      </c>
    </row>
    <row r="104" spans="1:10" ht="15.5" x14ac:dyDescent="0.35">
      <c r="A104" s="35" t="s">
        <v>1098</v>
      </c>
      <c r="B104" s="36">
        <v>150000</v>
      </c>
      <c r="C104" s="36">
        <v>0</v>
      </c>
      <c r="E104" s="1" t="s">
        <v>483</v>
      </c>
      <c r="F104" s="2">
        <v>150000</v>
      </c>
      <c r="G104" s="2">
        <v>0</v>
      </c>
      <c r="I104" s="31">
        <f t="shared" si="10"/>
        <v>0</v>
      </c>
      <c r="J104" s="31">
        <f t="shared" si="11"/>
        <v>0</v>
      </c>
    </row>
    <row r="105" spans="1:10" ht="15.5" x14ac:dyDescent="0.35">
      <c r="A105" s="42" t="s">
        <v>546</v>
      </c>
      <c r="B105" s="36">
        <v>250000</v>
      </c>
      <c r="C105" s="36">
        <v>2702245</v>
      </c>
      <c r="E105" s="1" t="s">
        <v>546</v>
      </c>
      <c r="F105" s="2">
        <v>250000</v>
      </c>
      <c r="G105" s="2">
        <v>2702245</v>
      </c>
      <c r="I105" s="31">
        <f t="shared" si="10"/>
        <v>0</v>
      </c>
      <c r="J105" s="31">
        <f t="shared" si="11"/>
        <v>0</v>
      </c>
    </row>
    <row r="106" spans="1:10" ht="15.5" x14ac:dyDescent="0.35">
      <c r="A106" s="35" t="s">
        <v>299</v>
      </c>
      <c r="B106" s="36">
        <v>100000</v>
      </c>
      <c r="C106" s="36">
        <v>0</v>
      </c>
      <c r="E106" s="1" t="s">
        <v>299</v>
      </c>
      <c r="F106" s="2">
        <v>100000</v>
      </c>
      <c r="G106" s="2">
        <v>0</v>
      </c>
      <c r="I106" s="31">
        <f t="shared" si="10"/>
        <v>0</v>
      </c>
      <c r="J106" s="31">
        <f t="shared" si="11"/>
        <v>0</v>
      </c>
    </row>
    <row r="107" spans="1:10" ht="15.5" x14ac:dyDescent="0.35">
      <c r="A107" s="35" t="s">
        <v>1079</v>
      </c>
      <c r="B107" s="36">
        <v>250000</v>
      </c>
      <c r="C107" s="36">
        <v>2500000</v>
      </c>
      <c r="E107" s="1" t="s">
        <v>229</v>
      </c>
      <c r="F107" s="2">
        <v>250000</v>
      </c>
      <c r="G107" s="2">
        <v>2500000</v>
      </c>
      <c r="I107" s="31">
        <f t="shared" si="10"/>
        <v>0</v>
      </c>
      <c r="J107" s="31">
        <f t="shared" si="11"/>
        <v>0</v>
      </c>
    </row>
    <row r="108" spans="1:10" ht="15.5" x14ac:dyDescent="0.35">
      <c r="A108" s="35" t="s">
        <v>276</v>
      </c>
      <c r="B108" s="36">
        <v>150000</v>
      </c>
      <c r="C108" s="36">
        <v>2500000</v>
      </c>
      <c r="E108" s="1" t="s">
        <v>276</v>
      </c>
      <c r="F108" s="2">
        <v>150000</v>
      </c>
      <c r="G108" s="2">
        <v>2500000</v>
      </c>
      <c r="I108" s="31">
        <f t="shared" ref="I108:I137" si="12">B108-F108</f>
        <v>0</v>
      </c>
      <c r="J108" s="31">
        <f t="shared" ref="J108:J137" si="13">C108-G108</f>
        <v>0</v>
      </c>
    </row>
    <row r="109" spans="1:10" ht="15.5" x14ac:dyDescent="0.35">
      <c r="A109" s="40" t="s">
        <v>1165</v>
      </c>
      <c r="B109" s="41">
        <v>500000</v>
      </c>
      <c r="C109" s="41">
        <v>6746750</v>
      </c>
      <c r="E109" s="4" t="s">
        <v>918</v>
      </c>
      <c r="F109" s="5">
        <v>500000</v>
      </c>
      <c r="G109" s="2">
        <v>6746749</v>
      </c>
      <c r="I109" s="31">
        <f t="shared" si="12"/>
        <v>0</v>
      </c>
      <c r="J109" s="31">
        <f t="shared" si="13"/>
        <v>1</v>
      </c>
    </row>
    <row r="110" spans="1:10" ht="15.5" x14ac:dyDescent="0.35">
      <c r="A110" s="35" t="s">
        <v>315</v>
      </c>
      <c r="B110" s="36">
        <v>150000</v>
      </c>
      <c r="C110" s="36">
        <v>6629441</v>
      </c>
      <c r="E110" s="1" t="s">
        <v>315</v>
      </c>
      <c r="F110" s="2">
        <v>150000</v>
      </c>
      <c r="G110" s="2">
        <v>6629441</v>
      </c>
      <c r="I110" s="31">
        <f t="shared" si="12"/>
        <v>0</v>
      </c>
      <c r="J110" s="31">
        <f t="shared" si="13"/>
        <v>0</v>
      </c>
    </row>
    <row r="111" spans="1:10" ht="15.5" x14ac:dyDescent="0.35">
      <c r="A111" s="35" t="s">
        <v>1142</v>
      </c>
      <c r="B111" s="36">
        <v>250000</v>
      </c>
      <c r="C111" s="36">
        <v>0</v>
      </c>
      <c r="E111" s="1" t="s">
        <v>572</v>
      </c>
      <c r="F111" s="2">
        <v>250000</v>
      </c>
      <c r="G111" s="2">
        <v>0</v>
      </c>
      <c r="I111" s="31">
        <f t="shared" si="12"/>
        <v>0</v>
      </c>
      <c r="J111" s="31">
        <f t="shared" si="13"/>
        <v>0</v>
      </c>
    </row>
    <row r="112" spans="1:10" ht="15.5" x14ac:dyDescent="0.35">
      <c r="A112" s="42" t="s">
        <v>377</v>
      </c>
      <c r="B112" s="36">
        <v>100000</v>
      </c>
      <c r="C112" s="36">
        <v>0</v>
      </c>
      <c r="E112" s="1" t="s">
        <v>377</v>
      </c>
      <c r="F112" s="2">
        <v>100000</v>
      </c>
      <c r="G112" s="2">
        <v>0</v>
      </c>
      <c r="I112" s="31">
        <f t="shared" si="12"/>
        <v>0</v>
      </c>
      <c r="J112" s="31">
        <f t="shared" si="13"/>
        <v>0</v>
      </c>
    </row>
    <row r="113" spans="1:10" ht="15.5" x14ac:dyDescent="0.35">
      <c r="A113" s="37" t="s">
        <v>1156</v>
      </c>
      <c r="B113" s="36">
        <v>150000</v>
      </c>
      <c r="C113" s="36">
        <v>0</v>
      </c>
      <c r="E113" s="1" t="s">
        <v>274</v>
      </c>
      <c r="F113" s="2">
        <v>150000</v>
      </c>
      <c r="G113" s="2">
        <v>0</v>
      </c>
      <c r="I113" s="31">
        <f t="shared" si="12"/>
        <v>0</v>
      </c>
      <c r="J113" s="31">
        <f t="shared" si="13"/>
        <v>0</v>
      </c>
    </row>
    <row r="114" spans="1:10" ht="15.5" x14ac:dyDescent="0.35">
      <c r="A114" s="38" t="s">
        <v>360</v>
      </c>
      <c r="B114" s="36">
        <v>100000</v>
      </c>
      <c r="C114" s="36">
        <v>0</v>
      </c>
      <c r="E114" s="1" t="s">
        <v>360</v>
      </c>
      <c r="F114" s="2">
        <v>100000</v>
      </c>
      <c r="G114" s="2">
        <v>0</v>
      </c>
      <c r="I114" s="31">
        <f t="shared" si="12"/>
        <v>0</v>
      </c>
      <c r="J114" s="31">
        <f t="shared" si="13"/>
        <v>0</v>
      </c>
    </row>
    <row r="115" spans="1:10" ht="15.5" x14ac:dyDescent="0.35">
      <c r="A115" s="38" t="s">
        <v>404</v>
      </c>
      <c r="B115" s="36">
        <v>100000</v>
      </c>
      <c r="C115" s="36">
        <v>0</v>
      </c>
      <c r="E115" s="1" t="s">
        <v>404</v>
      </c>
      <c r="F115" s="2">
        <v>100000</v>
      </c>
      <c r="G115" s="2">
        <v>0</v>
      </c>
      <c r="I115" s="31">
        <f t="shared" si="12"/>
        <v>0</v>
      </c>
      <c r="J115" s="31">
        <f t="shared" si="13"/>
        <v>0</v>
      </c>
    </row>
    <row r="116" spans="1:10" ht="15.5" x14ac:dyDescent="0.35">
      <c r="A116" s="37" t="s">
        <v>1103</v>
      </c>
      <c r="B116" s="36">
        <v>350000</v>
      </c>
      <c r="C116" s="36">
        <v>0</v>
      </c>
      <c r="E116" s="1" t="s">
        <v>309</v>
      </c>
      <c r="F116" s="2">
        <v>350000</v>
      </c>
      <c r="G116" s="2">
        <v>0</v>
      </c>
      <c r="I116" s="31">
        <f t="shared" si="12"/>
        <v>0</v>
      </c>
      <c r="J116" s="31">
        <f t="shared" si="13"/>
        <v>0</v>
      </c>
    </row>
    <row r="117" spans="1:10" ht="15.5" x14ac:dyDescent="0.35">
      <c r="A117" s="37" t="s">
        <v>1143</v>
      </c>
      <c r="B117" s="36">
        <v>500000</v>
      </c>
      <c r="C117" s="36">
        <v>0</v>
      </c>
      <c r="E117" s="1" t="s">
        <v>347</v>
      </c>
      <c r="F117" s="2">
        <v>500000</v>
      </c>
      <c r="G117" s="2">
        <v>0</v>
      </c>
      <c r="I117" s="31">
        <f t="shared" si="12"/>
        <v>0</v>
      </c>
      <c r="J117" s="31">
        <f t="shared" si="13"/>
        <v>0</v>
      </c>
    </row>
    <row r="118" spans="1:10" ht="15.5" x14ac:dyDescent="0.35">
      <c r="A118" s="37" t="s">
        <v>1124</v>
      </c>
      <c r="B118" s="36">
        <v>250000</v>
      </c>
      <c r="C118" s="36">
        <v>0</v>
      </c>
      <c r="E118" s="1" t="s">
        <v>479</v>
      </c>
      <c r="F118" s="2">
        <v>250000</v>
      </c>
      <c r="G118" s="2">
        <v>0</v>
      </c>
      <c r="I118" s="31">
        <f t="shared" si="12"/>
        <v>0</v>
      </c>
      <c r="J118" s="31">
        <f t="shared" si="13"/>
        <v>0</v>
      </c>
    </row>
    <row r="119" spans="1:10" ht="15.5" x14ac:dyDescent="0.35">
      <c r="A119" s="37" t="s">
        <v>272</v>
      </c>
      <c r="B119" s="36">
        <v>100000</v>
      </c>
      <c r="C119" s="36">
        <v>1665000</v>
      </c>
      <c r="E119" s="1" t="s">
        <v>272</v>
      </c>
      <c r="F119" s="2">
        <v>100000</v>
      </c>
      <c r="G119" s="2">
        <v>1665000</v>
      </c>
      <c r="I119" s="31">
        <f t="shared" si="12"/>
        <v>0</v>
      </c>
      <c r="J119" s="31">
        <f t="shared" si="13"/>
        <v>0</v>
      </c>
    </row>
    <row r="120" spans="1:10" ht="15.5" x14ac:dyDescent="0.35">
      <c r="A120" s="37" t="s">
        <v>442</v>
      </c>
      <c r="B120" s="36">
        <v>150000</v>
      </c>
      <c r="C120" s="36">
        <v>0</v>
      </c>
      <c r="E120" s="1" t="s">
        <v>442</v>
      </c>
      <c r="F120" s="2">
        <v>150000</v>
      </c>
      <c r="G120" s="2">
        <v>0</v>
      </c>
      <c r="I120" s="31">
        <f t="shared" si="12"/>
        <v>0</v>
      </c>
      <c r="J120" s="31">
        <f t="shared" si="13"/>
        <v>0</v>
      </c>
    </row>
    <row r="121" spans="1:10" ht="15.5" x14ac:dyDescent="0.35">
      <c r="A121" s="37" t="s">
        <v>1089</v>
      </c>
      <c r="B121" s="36">
        <v>250000</v>
      </c>
      <c r="C121" s="36">
        <v>0</v>
      </c>
      <c r="E121" s="1" t="s">
        <v>291</v>
      </c>
      <c r="F121" s="2">
        <v>250000</v>
      </c>
      <c r="G121" s="2">
        <v>0</v>
      </c>
      <c r="I121" s="31">
        <f t="shared" si="12"/>
        <v>0</v>
      </c>
      <c r="J121" s="31">
        <f t="shared" si="13"/>
        <v>0</v>
      </c>
    </row>
    <row r="122" spans="1:10" ht="15.5" x14ac:dyDescent="0.35">
      <c r="A122" s="37" t="s">
        <v>1151</v>
      </c>
      <c r="B122" s="36">
        <v>350000</v>
      </c>
      <c r="C122" s="36">
        <v>0</v>
      </c>
      <c r="E122" s="1" t="s">
        <v>321</v>
      </c>
      <c r="F122" s="2">
        <v>350000</v>
      </c>
      <c r="G122" s="2">
        <v>0</v>
      </c>
      <c r="I122" s="31">
        <f t="shared" si="12"/>
        <v>0</v>
      </c>
      <c r="J122" s="31">
        <f t="shared" si="13"/>
        <v>0</v>
      </c>
    </row>
    <row r="123" spans="1:10" ht="15.5" x14ac:dyDescent="0.35">
      <c r="A123" s="37" t="s">
        <v>327</v>
      </c>
      <c r="B123" s="36">
        <v>100000</v>
      </c>
      <c r="C123" s="36">
        <v>0</v>
      </c>
      <c r="E123" s="1" t="s">
        <v>327</v>
      </c>
      <c r="F123" s="2">
        <v>100000</v>
      </c>
      <c r="G123" s="2">
        <v>0</v>
      </c>
      <c r="I123" s="31">
        <f t="shared" si="12"/>
        <v>0</v>
      </c>
      <c r="J123" s="31">
        <f t="shared" si="13"/>
        <v>0</v>
      </c>
    </row>
    <row r="124" spans="1:10" ht="15.5" x14ac:dyDescent="0.35">
      <c r="A124" s="37" t="s">
        <v>1090</v>
      </c>
      <c r="B124" s="36">
        <v>150000</v>
      </c>
      <c r="C124" s="36">
        <v>2395833</v>
      </c>
      <c r="E124" s="1" t="s">
        <v>289</v>
      </c>
      <c r="F124" s="2">
        <v>150000</v>
      </c>
      <c r="G124" s="2">
        <v>2395833</v>
      </c>
      <c r="I124" s="31">
        <f t="shared" si="12"/>
        <v>0</v>
      </c>
      <c r="J124" s="31">
        <f t="shared" si="13"/>
        <v>0</v>
      </c>
    </row>
    <row r="125" spans="1:10" ht="15.5" x14ac:dyDescent="0.35">
      <c r="A125" s="37" t="s">
        <v>1136</v>
      </c>
      <c r="B125" s="36">
        <v>250000</v>
      </c>
      <c r="C125" s="36">
        <v>0</v>
      </c>
      <c r="E125" s="1" t="s">
        <v>554</v>
      </c>
      <c r="F125" s="2">
        <v>250000</v>
      </c>
      <c r="G125" s="2">
        <v>0</v>
      </c>
      <c r="I125" s="31">
        <f t="shared" si="12"/>
        <v>0</v>
      </c>
      <c r="J125" s="31">
        <f t="shared" si="13"/>
        <v>0</v>
      </c>
    </row>
    <row r="126" spans="1:10" ht="15.5" x14ac:dyDescent="0.35">
      <c r="A126" s="37" t="s">
        <v>1141</v>
      </c>
      <c r="B126" s="36">
        <v>150000</v>
      </c>
      <c r="C126" s="36">
        <v>2395833</v>
      </c>
      <c r="E126" s="1" t="s">
        <v>579</v>
      </c>
      <c r="F126" s="2">
        <v>150000</v>
      </c>
      <c r="G126" s="2">
        <v>2395833</v>
      </c>
      <c r="I126" s="31">
        <f t="shared" si="12"/>
        <v>0</v>
      </c>
      <c r="J126" s="31">
        <f t="shared" si="13"/>
        <v>0</v>
      </c>
    </row>
    <row r="127" spans="1:10" ht="15.5" x14ac:dyDescent="0.35">
      <c r="A127" s="37" t="s">
        <v>394</v>
      </c>
      <c r="B127" s="36">
        <v>150000</v>
      </c>
      <c r="C127" s="36">
        <v>4697816</v>
      </c>
      <c r="E127" s="1" t="s">
        <v>394</v>
      </c>
      <c r="F127" s="2">
        <v>150000</v>
      </c>
      <c r="G127" s="2">
        <v>4697816</v>
      </c>
      <c r="I127" s="31">
        <f t="shared" si="12"/>
        <v>0</v>
      </c>
      <c r="J127" s="31">
        <f t="shared" si="13"/>
        <v>0</v>
      </c>
    </row>
    <row r="128" spans="1:10" ht="15.5" x14ac:dyDescent="0.35">
      <c r="A128" s="37" t="s">
        <v>1118</v>
      </c>
      <c r="B128" s="36">
        <v>250000</v>
      </c>
      <c r="C128" s="36">
        <v>0</v>
      </c>
      <c r="E128" s="1" t="s">
        <v>440</v>
      </c>
      <c r="F128" s="2">
        <v>250000</v>
      </c>
      <c r="G128" s="2">
        <v>0</v>
      </c>
      <c r="I128" s="31">
        <f t="shared" si="12"/>
        <v>0</v>
      </c>
      <c r="J128" s="31">
        <f t="shared" si="13"/>
        <v>0</v>
      </c>
    </row>
    <row r="129" spans="1:10" ht="15.5" x14ac:dyDescent="0.35">
      <c r="A129" s="38" t="s">
        <v>1154</v>
      </c>
      <c r="B129" s="36">
        <v>250000</v>
      </c>
      <c r="C129" s="36">
        <v>0</v>
      </c>
      <c r="E129" s="1" t="s">
        <v>527</v>
      </c>
      <c r="F129" s="2">
        <v>250000</v>
      </c>
      <c r="G129" s="2">
        <v>0</v>
      </c>
      <c r="I129" s="31">
        <f t="shared" si="12"/>
        <v>0</v>
      </c>
      <c r="J129" s="31">
        <f t="shared" si="13"/>
        <v>0</v>
      </c>
    </row>
    <row r="130" spans="1:10" ht="15.5" x14ac:dyDescent="0.35">
      <c r="A130" s="37" t="s">
        <v>1152</v>
      </c>
      <c r="B130" s="36">
        <v>350000</v>
      </c>
      <c r="C130" s="36">
        <v>0</v>
      </c>
      <c r="E130" s="1" t="s">
        <v>519</v>
      </c>
      <c r="F130" s="2">
        <v>350000</v>
      </c>
      <c r="G130" s="2">
        <v>0</v>
      </c>
      <c r="I130" s="31">
        <f t="shared" si="12"/>
        <v>0</v>
      </c>
      <c r="J130" s="31">
        <f t="shared" si="13"/>
        <v>0</v>
      </c>
    </row>
    <row r="131" spans="1:10" ht="15.5" x14ac:dyDescent="0.35">
      <c r="A131" s="37" t="s">
        <v>390</v>
      </c>
      <c r="B131" s="36">
        <v>150000</v>
      </c>
      <c r="C131" s="36">
        <v>0</v>
      </c>
      <c r="E131" s="1" t="s">
        <v>390</v>
      </c>
      <c r="F131" s="2">
        <v>150000</v>
      </c>
      <c r="G131" s="2">
        <v>0</v>
      </c>
      <c r="I131" s="31">
        <f t="shared" si="12"/>
        <v>0</v>
      </c>
      <c r="J131" s="31">
        <f t="shared" si="13"/>
        <v>0</v>
      </c>
    </row>
    <row r="132" spans="1:10" ht="15.5" x14ac:dyDescent="0.35">
      <c r="A132" s="37" t="s">
        <v>406</v>
      </c>
      <c r="B132" s="36">
        <v>150000</v>
      </c>
      <c r="C132" s="36">
        <v>12486707</v>
      </c>
      <c r="E132" s="1" t="s">
        <v>406</v>
      </c>
      <c r="F132" s="2">
        <v>150000</v>
      </c>
      <c r="G132" s="2">
        <v>12486707</v>
      </c>
      <c r="I132" s="31">
        <f t="shared" si="12"/>
        <v>0</v>
      </c>
      <c r="J132" s="31">
        <f t="shared" si="13"/>
        <v>0</v>
      </c>
    </row>
    <row r="133" spans="1:10" ht="15.5" x14ac:dyDescent="0.35">
      <c r="A133" s="37" t="s">
        <v>1107</v>
      </c>
      <c r="B133" s="36">
        <v>350000</v>
      </c>
      <c r="C133" s="36">
        <v>0</v>
      </c>
      <c r="E133" s="1" t="s">
        <v>374</v>
      </c>
      <c r="F133" s="2">
        <v>350000</v>
      </c>
      <c r="G133" s="2">
        <v>0</v>
      </c>
      <c r="I133" s="31">
        <f t="shared" si="12"/>
        <v>0</v>
      </c>
      <c r="J133" s="31">
        <f t="shared" si="13"/>
        <v>0</v>
      </c>
    </row>
    <row r="134" spans="1:10" ht="15.5" x14ac:dyDescent="0.35">
      <c r="A134" s="37" t="s">
        <v>1083</v>
      </c>
      <c r="B134" s="36">
        <v>250000</v>
      </c>
      <c r="C134" s="36">
        <v>17584049</v>
      </c>
      <c r="E134" s="1" t="s">
        <v>268</v>
      </c>
      <c r="F134" s="2">
        <v>250000</v>
      </c>
      <c r="G134" s="2">
        <v>17584049</v>
      </c>
      <c r="I134" s="31">
        <f t="shared" si="12"/>
        <v>0</v>
      </c>
      <c r="J134" s="31">
        <f t="shared" si="13"/>
        <v>0</v>
      </c>
    </row>
    <row r="135" spans="1:10" ht="15.5" x14ac:dyDescent="0.35">
      <c r="A135" s="39" t="s">
        <v>1163</v>
      </c>
      <c r="B135" s="36">
        <v>150000</v>
      </c>
      <c r="C135" s="36">
        <v>0</v>
      </c>
      <c r="E135" s="3" t="s">
        <v>207</v>
      </c>
      <c r="F135" s="2">
        <v>150000</v>
      </c>
      <c r="G135" s="2">
        <v>0</v>
      </c>
      <c r="I135" s="31">
        <f t="shared" si="12"/>
        <v>0</v>
      </c>
      <c r="J135" s="31">
        <f t="shared" si="13"/>
        <v>0</v>
      </c>
    </row>
    <row r="136" spans="1:10" ht="15.5" x14ac:dyDescent="0.35">
      <c r="A136" s="38" t="s">
        <v>521</v>
      </c>
      <c r="B136" s="36">
        <v>150000</v>
      </c>
      <c r="C136" s="36">
        <v>0</v>
      </c>
      <c r="E136" s="1" t="s">
        <v>521</v>
      </c>
      <c r="F136" s="2">
        <v>150000</v>
      </c>
      <c r="G136" s="2">
        <v>0</v>
      </c>
      <c r="I136" s="31">
        <f t="shared" si="12"/>
        <v>0</v>
      </c>
      <c r="J136" s="31">
        <f t="shared" si="13"/>
        <v>0</v>
      </c>
    </row>
    <row r="137" spans="1:10" ht="15.5" x14ac:dyDescent="0.35">
      <c r="A137" s="37" t="s">
        <v>1138</v>
      </c>
      <c r="B137" s="36">
        <v>350000</v>
      </c>
      <c r="C137" s="36">
        <v>0</v>
      </c>
      <c r="E137" s="1" t="s">
        <v>548</v>
      </c>
      <c r="F137" s="2">
        <v>350000</v>
      </c>
      <c r="G137" s="2">
        <v>0</v>
      </c>
      <c r="I137" s="31">
        <f t="shared" si="12"/>
        <v>0</v>
      </c>
      <c r="J137" s="31">
        <f t="shared" si="13"/>
        <v>0</v>
      </c>
    </row>
    <row r="138" spans="1:10" ht="15.5" x14ac:dyDescent="0.35">
      <c r="A138" s="37" t="s">
        <v>1104</v>
      </c>
      <c r="B138" s="36">
        <v>250000</v>
      </c>
      <c r="C138" s="36">
        <v>0</v>
      </c>
      <c r="E138" s="1" t="s">
        <v>469</v>
      </c>
      <c r="F138" s="2">
        <v>250000</v>
      </c>
      <c r="G138" s="2">
        <v>0</v>
      </c>
      <c r="I138" s="31">
        <f t="shared" ref="I138:I150" si="14">B138-F138</f>
        <v>0</v>
      </c>
      <c r="J138" s="31">
        <f t="shared" ref="J138:J150" si="15">C138-G138</f>
        <v>0</v>
      </c>
    </row>
    <row r="139" spans="1:10" ht="15.5" x14ac:dyDescent="0.35">
      <c r="A139" s="37"/>
      <c r="B139" s="36"/>
      <c r="C139" s="36"/>
      <c r="E139" s="3" t="s">
        <v>177</v>
      </c>
      <c r="F139" s="2">
        <v>250000</v>
      </c>
      <c r="G139" s="2">
        <v>0</v>
      </c>
      <c r="I139" s="31">
        <f t="shared" si="14"/>
        <v>-250000</v>
      </c>
      <c r="J139" s="31">
        <f t="shared" si="15"/>
        <v>0</v>
      </c>
    </row>
    <row r="140" spans="1:10" ht="15.5" x14ac:dyDescent="0.35">
      <c r="A140" s="37" t="s">
        <v>1148</v>
      </c>
      <c r="B140" s="36">
        <v>250000</v>
      </c>
      <c r="C140" s="36">
        <v>6154617</v>
      </c>
      <c r="E140" s="1" t="s">
        <v>240</v>
      </c>
      <c r="F140" s="2">
        <v>250000</v>
      </c>
      <c r="G140" s="2">
        <v>6154617</v>
      </c>
      <c r="I140" s="31">
        <f t="shared" si="14"/>
        <v>0</v>
      </c>
      <c r="J140" s="31">
        <f t="shared" si="15"/>
        <v>0</v>
      </c>
    </row>
    <row r="141" spans="1:10" ht="15.5" x14ac:dyDescent="0.35">
      <c r="A141" s="37" t="s">
        <v>1134</v>
      </c>
      <c r="B141" s="36">
        <v>350000</v>
      </c>
      <c r="C141" s="36">
        <v>0</v>
      </c>
      <c r="E141" s="1" t="s">
        <v>511</v>
      </c>
      <c r="F141" s="2">
        <v>350000</v>
      </c>
      <c r="G141" s="2">
        <v>0</v>
      </c>
      <c r="I141" s="31">
        <f t="shared" si="14"/>
        <v>0</v>
      </c>
      <c r="J141" s="31">
        <f t="shared" si="15"/>
        <v>0</v>
      </c>
    </row>
    <row r="142" spans="1:10" ht="15.5" x14ac:dyDescent="0.35">
      <c r="A142" s="37" t="s">
        <v>280</v>
      </c>
      <c r="B142" s="36">
        <v>150000</v>
      </c>
      <c r="C142" s="36">
        <v>0</v>
      </c>
      <c r="E142" s="1" t="s">
        <v>280</v>
      </c>
      <c r="F142" s="2">
        <v>150000</v>
      </c>
      <c r="G142" s="2">
        <v>0</v>
      </c>
      <c r="I142" s="31">
        <f t="shared" si="14"/>
        <v>0</v>
      </c>
      <c r="J142" s="31">
        <f t="shared" si="15"/>
        <v>0</v>
      </c>
    </row>
    <row r="143" spans="1:10" ht="15.5" x14ac:dyDescent="0.35">
      <c r="A143" s="42" t="s">
        <v>1157</v>
      </c>
      <c r="B143" s="36">
        <v>350000</v>
      </c>
      <c r="C143" s="36">
        <v>7560693</v>
      </c>
      <c r="E143" s="1" t="s">
        <v>506</v>
      </c>
      <c r="F143" s="2">
        <v>350000</v>
      </c>
      <c r="G143" s="2">
        <v>7560693</v>
      </c>
      <c r="I143" s="31">
        <f t="shared" si="14"/>
        <v>0</v>
      </c>
      <c r="J143" s="31">
        <f t="shared" si="15"/>
        <v>0</v>
      </c>
    </row>
    <row r="144" spans="1:10" ht="15.5" x14ac:dyDescent="0.35">
      <c r="A144" s="35" t="s">
        <v>1149</v>
      </c>
      <c r="B144" s="36">
        <v>100000</v>
      </c>
      <c r="C144" s="36">
        <v>0</v>
      </c>
      <c r="E144" s="1" t="s">
        <v>431</v>
      </c>
      <c r="F144" s="2">
        <v>100000</v>
      </c>
      <c r="G144" s="2">
        <v>0</v>
      </c>
      <c r="I144" s="31">
        <f t="shared" si="14"/>
        <v>0</v>
      </c>
      <c r="J144" s="31">
        <f t="shared" si="15"/>
        <v>0</v>
      </c>
    </row>
    <row r="145" spans="1:10" ht="15.5" x14ac:dyDescent="0.35">
      <c r="A145" s="35" t="s">
        <v>1139</v>
      </c>
      <c r="B145" s="36">
        <v>250000</v>
      </c>
      <c r="C145" s="36">
        <v>1590972</v>
      </c>
      <c r="E145" s="1" t="s">
        <v>398</v>
      </c>
      <c r="F145" s="2">
        <v>250000</v>
      </c>
      <c r="G145" s="2">
        <v>1590972</v>
      </c>
      <c r="I145" s="31">
        <f t="shared" si="14"/>
        <v>0</v>
      </c>
      <c r="J145" s="31">
        <f t="shared" si="15"/>
        <v>0</v>
      </c>
    </row>
    <row r="146" spans="1:10" ht="15.5" x14ac:dyDescent="0.35">
      <c r="A146" s="35" t="s">
        <v>467</v>
      </c>
      <c r="B146" s="36">
        <v>150000</v>
      </c>
      <c r="C146" s="36">
        <v>6939842</v>
      </c>
      <c r="E146" s="1" t="s">
        <v>467</v>
      </c>
      <c r="F146" s="2">
        <v>150000</v>
      </c>
      <c r="G146" s="2">
        <v>6939842</v>
      </c>
      <c r="I146" s="31">
        <f t="shared" si="14"/>
        <v>0</v>
      </c>
      <c r="J146" s="31">
        <f t="shared" si="15"/>
        <v>0</v>
      </c>
    </row>
    <row r="147" spans="1:10" ht="15.5" x14ac:dyDescent="0.35">
      <c r="A147" s="35" t="s">
        <v>1145</v>
      </c>
      <c r="B147" s="36">
        <v>150000</v>
      </c>
      <c r="C147" s="36">
        <v>0</v>
      </c>
      <c r="E147" s="1" t="s">
        <v>350</v>
      </c>
      <c r="F147" s="2">
        <v>150000</v>
      </c>
      <c r="G147" s="2">
        <v>0</v>
      </c>
      <c r="I147" s="31">
        <f t="shared" si="14"/>
        <v>0</v>
      </c>
      <c r="J147" s="31">
        <f t="shared" si="15"/>
        <v>0</v>
      </c>
    </row>
    <row r="148" spans="1:10" ht="15.5" x14ac:dyDescent="0.35">
      <c r="A148" s="37" t="s">
        <v>1132</v>
      </c>
      <c r="B148" s="36">
        <v>350000</v>
      </c>
      <c r="C148" s="36">
        <v>0</v>
      </c>
      <c r="E148" s="1" t="s">
        <v>448</v>
      </c>
      <c r="F148" s="2">
        <v>350000</v>
      </c>
      <c r="G148" s="2">
        <v>0</v>
      </c>
      <c r="I148" s="31">
        <f t="shared" si="14"/>
        <v>0</v>
      </c>
      <c r="J148" s="31">
        <f t="shared" si="15"/>
        <v>0</v>
      </c>
    </row>
    <row r="149" spans="1:10" ht="15.5" x14ac:dyDescent="0.35">
      <c r="A149" s="45" t="s">
        <v>1122</v>
      </c>
      <c r="B149" s="36">
        <v>250000</v>
      </c>
      <c r="C149" s="36">
        <v>6873356</v>
      </c>
      <c r="E149" s="1" t="s">
        <v>319</v>
      </c>
      <c r="F149" s="2">
        <v>250000</v>
      </c>
      <c r="G149" s="2">
        <v>6873356</v>
      </c>
      <c r="I149" s="31">
        <f t="shared" si="14"/>
        <v>0</v>
      </c>
      <c r="J149" s="31">
        <f t="shared" si="15"/>
        <v>0</v>
      </c>
    </row>
    <row r="150" spans="1:10" ht="15.5" x14ac:dyDescent="0.35">
      <c r="A150" s="37" t="s">
        <v>1127</v>
      </c>
      <c r="B150" s="36">
        <v>150000</v>
      </c>
      <c r="C150" s="36">
        <v>0</v>
      </c>
      <c r="E150" s="3" t="s">
        <v>486</v>
      </c>
      <c r="F150" s="2">
        <v>150000</v>
      </c>
      <c r="G150" s="2">
        <v>0</v>
      </c>
      <c r="I150" s="31">
        <f t="shared" si="14"/>
        <v>0</v>
      </c>
      <c r="J150" s="31">
        <f t="shared" si="15"/>
        <v>0</v>
      </c>
    </row>
    <row r="151" spans="1:10" ht="15.5" x14ac:dyDescent="0.35">
      <c r="A151" s="37" t="s">
        <v>1094</v>
      </c>
      <c r="B151" s="36">
        <v>250000</v>
      </c>
      <c r="C151" s="36">
        <v>4964726</v>
      </c>
      <c r="E151" s="1" t="s">
        <v>502</v>
      </c>
      <c r="F151" s="2">
        <v>250000</v>
      </c>
      <c r="G151" s="2">
        <v>4964726</v>
      </c>
      <c r="I151" s="31">
        <f t="shared" ref="I151:I154" si="16">B151-F151</f>
        <v>0</v>
      </c>
      <c r="J151" s="31">
        <f t="shared" ref="J151:J154" si="17">C151-G151</f>
        <v>0</v>
      </c>
    </row>
    <row r="152" spans="1:10" ht="15.5" x14ac:dyDescent="0.35">
      <c r="A152" s="47" t="s">
        <v>301</v>
      </c>
      <c r="B152" s="49">
        <v>250000</v>
      </c>
      <c r="C152" s="49">
        <v>0</v>
      </c>
      <c r="E152" s="1" t="s">
        <v>301</v>
      </c>
      <c r="F152" s="2">
        <v>250000</v>
      </c>
      <c r="G152" s="2">
        <v>0</v>
      </c>
      <c r="I152" s="31">
        <f t="shared" si="16"/>
        <v>0</v>
      </c>
      <c r="J152" s="31">
        <f t="shared" si="17"/>
        <v>0</v>
      </c>
    </row>
    <row r="153" spans="1:10" ht="15.5" x14ac:dyDescent="0.35">
      <c r="A153" s="38" t="s">
        <v>286</v>
      </c>
      <c r="B153" s="36">
        <v>100000</v>
      </c>
      <c r="C153" s="36">
        <v>1000000</v>
      </c>
      <c r="E153" s="1" t="s">
        <v>286</v>
      </c>
      <c r="F153" s="2">
        <v>100000</v>
      </c>
      <c r="G153" s="2">
        <v>1000000</v>
      </c>
      <c r="I153" s="31">
        <f t="shared" si="16"/>
        <v>0</v>
      </c>
      <c r="J153" s="31">
        <f t="shared" si="17"/>
        <v>0</v>
      </c>
    </row>
    <row r="154" spans="1:10" ht="15.5" x14ac:dyDescent="0.35">
      <c r="A154" s="35" t="s">
        <v>325</v>
      </c>
      <c r="B154" s="36">
        <v>250000</v>
      </c>
      <c r="C154" s="36">
        <v>0</v>
      </c>
      <c r="E154" s="1" t="s">
        <v>325</v>
      </c>
      <c r="F154" s="2">
        <v>250000</v>
      </c>
      <c r="G154" s="2">
        <v>0</v>
      </c>
      <c r="I154" s="31">
        <f t="shared" si="16"/>
        <v>0</v>
      </c>
      <c r="J154" s="31">
        <f t="shared" si="17"/>
        <v>0</v>
      </c>
    </row>
    <row r="156" spans="1:10" x14ac:dyDescent="0.35">
      <c r="B156" s="34">
        <f>SUM(B4:B154)</f>
        <v>32950000</v>
      </c>
      <c r="C156" s="34">
        <f t="shared" ref="C156:J156" si="18">SUM(C4:C154)</f>
        <v>243591344</v>
      </c>
      <c r="D156" s="34">
        <f t="shared" si="18"/>
        <v>0</v>
      </c>
      <c r="E156" s="34">
        <f t="shared" si="18"/>
        <v>0</v>
      </c>
      <c r="F156" s="34">
        <f t="shared" si="18"/>
        <v>33700000</v>
      </c>
      <c r="G156" s="34">
        <f t="shared" si="18"/>
        <v>245103493</v>
      </c>
      <c r="H156" s="34">
        <f t="shared" si="18"/>
        <v>0</v>
      </c>
      <c r="I156" s="34">
        <f t="shared" si="18"/>
        <v>-750000</v>
      </c>
      <c r="J156" s="34">
        <f t="shared" si="18"/>
        <v>-1512149</v>
      </c>
    </row>
  </sheetData>
  <sortState xmlns:xlrd2="http://schemas.microsoft.com/office/spreadsheetml/2017/richdata2" ref="E4:G155">
    <sortCondition ref="E1:E155"/>
  </sortState>
  <conditionalFormatting sqref="A152 A4:A20 A22:A102 A110:A112 A143:A146">
    <cfRule type="expression" dxfId="3" priority="8" stopIfTrue="1">
      <formula>AND(COUNTIF($E$503:$E$65541, A4)+COUNTIF($E$498:$E$501, A4)+COUNTIF($E$1:$E$217, A4)+COUNTIF($E$221:$E$221, A4)+COUNTIF($E$330:$E$333, A4)+COUNTIF($E$466:$E$469, A4)+COUNTIF($E$238:$E$250, A4)+COUNTIF($E$322:$E$328, A4)+COUNTIF($E$471:$E$473, A4)+COUNTIF($E$477:$E$480, A4)&gt;1,NOT(ISBLANK(A4)))</formula>
    </cfRule>
  </conditionalFormatting>
  <conditionalFormatting sqref="A152">
    <cfRule type="expression" dxfId="2" priority="2" stopIfTrue="1">
      <formula>AND(COUNTIF($E$471:$E$473, A152)+COUNTIF($E$469:$E$469, A152)&gt;1,NOT(ISBLANK(A152)))</formula>
    </cfRule>
  </conditionalFormatting>
  <conditionalFormatting sqref="A154">
    <cfRule type="duplicateValues" dxfId="1" priority="1" stopIfTrue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68D4-5868-40C0-A6CB-30B8CA90D78B}">
  <dimension ref="A4:J42"/>
  <sheetViews>
    <sheetView topLeftCell="A22" workbookViewId="0">
      <selection activeCell="G37" sqref="G37"/>
    </sheetView>
  </sheetViews>
  <sheetFormatPr defaultRowHeight="14.5" x14ac:dyDescent="0.35"/>
  <cols>
    <col min="1" max="1" width="33.08984375" customWidth="1"/>
    <col min="2" max="2" width="11.6328125" customWidth="1"/>
    <col min="3" max="3" width="12" customWidth="1"/>
    <col min="5" max="5" width="22" customWidth="1"/>
    <col min="7" max="7" width="14.54296875" customWidth="1"/>
    <col min="9" max="9" width="11.7265625" customWidth="1"/>
    <col min="10" max="10" width="16.26953125" customWidth="1"/>
  </cols>
  <sheetData>
    <row r="4" spans="1:10" x14ac:dyDescent="0.35">
      <c r="A4" s="26" t="s">
        <v>959</v>
      </c>
      <c r="B4" s="27">
        <v>150000</v>
      </c>
      <c r="C4" s="27">
        <v>0</v>
      </c>
      <c r="E4" s="1" t="s">
        <v>371</v>
      </c>
      <c r="F4" s="2">
        <v>150000</v>
      </c>
      <c r="G4" s="2">
        <v>0</v>
      </c>
      <c r="I4" s="31">
        <f>B4-F4</f>
        <v>0</v>
      </c>
      <c r="J4" s="31">
        <f>C4-G4</f>
        <v>0</v>
      </c>
    </row>
    <row r="5" spans="1:10" x14ac:dyDescent="0.35">
      <c r="A5" s="26" t="s">
        <v>260</v>
      </c>
      <c r="B5" s="27">
        <v>500000</v>
      </c>
      <c r="C5" s="27">
        <v>0</v>
      </c>
      <c r="E5" s="1" t="s">
        <v>260</v>
      </c>
      <c r="F5" s="2">
        <v>500000</v>
      </c>
      <c r="G5" s="2">
        <v>0</v>
      </c>
      <c r="I5" s="31">
        <f t="shared" ref="I5:I16" si="0">B5-F5</f>
        <v>0</v>
      </c>
      <c r="J5" s="31">
        <f t="shared" ref="J5:J16" si="1">C5-G5</f>
        <v>0</v>
      </c>
    </row>
    <row r="6" spans="1:10" x14ac:dyDescent="0.35">
      <c r="A6" s="26" t="s">
        <v>263</v>
      </c>
      <c r="B6" s="27">
        <v>150000</v>
      </c>
      <c r="C6" s="27">
        <v>7522865</v>
      </c>
      <c r="E6" s="1" t="s">
        <v>263</v>
      </c>
      <c r="F6" s="2">
        <v>150000</v>
      </c>
      <c r="G6" s="2">
        <v>7522865</v>
      </c>
      <c r="I6" s="31">
        <f t="shared" si="0"/>
        <v>0</v>
      </c>
      <c r="J6" s="31">
        <f t="shared" si="1"/>
        <v>0</v>
      </c>
    </row>
    <row r="7" spans="1:10" x14ac:dyDescent="0.35">
      <c r="A7" s="26" t="s">
        <v>396</v>
      </c>
      <c r="B7" s="27">
        <v>150000</v>
      </c>
      <c r="C7" s="27">
        <v>0</v>
      </c>
      <c r="E7" s="1" t="s">
        <v>396</v>
      </c>
      <c r="F7" s="2">
        <v>150000</v>
      </c>
      <c r="G7" s="2">
        <v>0</v>
      </c>
      <c r="I7" s="31">
        <f t="shared" si="0"/>
        <v>0</v>
      </c>
      <c r="J7" s="31">
        <f t="shared" si="1"/>
        <v>0</v>
      </c>
    </row>
    <row r="8" spans="1:10" x14ac:dyDescent="0.35">
      <c r="A8" s="26" t="s">
        <v>420</v>
      </c>
      <c r="B8" s="27">
        <v>100000</v>
      </c>
      <c r="C8" s="27">
        <v>0</v>
      </c>
      <c r="E8" s="1" t="s">
        <v>420</v>
      </c>
      <c r="F8" s="2">
        <v>100000</v>
      </c>
      <c r="G8" s="2">
        <v>0</v>
      </c>
      <c r="I8" s="31">
        <f t="shared" si="0"/>
        <v>0</v>
      </c>
      <c r="J8" s="31">
        <f t="shared" si="1"/>
        <v>0</v>
      </c>
    </row>
    <row r="9" spans="1:10" x14ac:dyDescent="0.35">
      <c r="A9" s="26" t="s">
        <v>338</v>
      </c>
      <c r="B9" s="27">
        <v>350000</v>
      </c>
      <c r="C9" s="27">
        <v>0</v>
      </c>
      <c r="E9" s="1" t="s">
        <v>338</v>
      </c>
      <c r="F9" s="2">
        <v>350000</v>
      </c>
      <c r="G9" s="2">
        <v>0</v>
      </c>
      <c r="I9" s="31">
        <f t="shared" si="0"/>
        <v>0</v>
      </c>
      <c r="J9" s="31">
        <f t="shared" si="1"/>
        <v>0</v>
      </c>
    </row>
    <row r="10" spans="1:10" x14ac:dyDescent="0.35">
      <c r="A10" s="26" t="s">
        <v>223</v>
      </c>
      <c r="B10" s="27">
        <v>150000</v>
      </c>
      <c r="C10" s="27">
        <v>1531250</v>
      </c>
      <c r="E10" s="1" t="s">
        <v>223</v>
      </c>
      <c r="F10" s="2">
        <v>150000</v>
      </c>
      <c r="G10" s="2">
        <v>1531250</v>
      </c>
      <c r="I10" s="31">
        <f t="shared" si="0"/>
        <v>0</v>
      </c>
      <c r="J10" s="31">
        <f t="shared" si="1"/>
        <v>0</v>
      </c>
    </row>
    <row r="11" spans="1:10" x14ac:dyDescent="0.35">
      <c r="A11" s="26" t="s">
        <v>960</v>
      </c>
      <c r="B11" s="27">
        <v>350000</v>
      </c>
      <c r="C11" s="27">
        <v>4708150</v>
      </c>
      <c r="E11" s="1" t="s">
        <v>567</v>
      </c>
      <c r="F11" s="2">
        <v>350000</v>
      </c>
      <c r="G11" s="2">
        <v>4708150</v>
      </c>
      <c r="I11" s="31">
        <f t="shared" si="0"/>
        <v>0</v>
      </c>
      <c r="J11" s="31">
        <f t="shared" si="1"/>
        <v>0</v>
      </c>
    </row>
    <row r="12" spans="1:10" x14ac:dyDescent="0.35">
      <c r="A12" s="26" t="s">
        <v>965</v>
      </c>
      <c r="B12" s="27">
        <v>250000</v>
      </c>
      <c r="C12" s="27">
        <v>5182201</v>
      </c>
      <c r="E12" s="1" t="s">
        <v>573</v>
      </c>
      <c r="F12" s="2">
        <v>250000</v>
      </c>
      <c r="G12" s="2">
        <v>5182201</v>
      </c>
      <c r="I12" s="31">
        <f t="shared" si="0"/>
        <v>0</v>
      </c>
      <c r="J12" s="31">
        <f t="shared" si="1"/>
        <v>0</v>
      </c>
    </row>
    <row r="13" spans="1:10" x14ac:dyDescent="0.35">
      <c r="A13" s="26" t="s">
        <v>265</v>
      </c>
      <c r="B13" s="27">
        <v>150000</v>
      </c>
      <c r="C13" s="27">
        <v>0</v>
      </c>
      <c r="E13" s="1" t="s">
        <v>265</v>
      </c>
      <c r="F13" s="2">
        <v>150000</v>
      </c>
      <c r="G13" s="2">
        <v>0</v>
      </c>
      <c r="I13" s="31">
        <f t="shared" si="0"/>
        <v>0</v>
      </c>
      <c r="J13" s="31">
        <f t="shared" si="1"/>
        <v>0</v>
      </c>
    </row>
    <row r="14" spans="1:10" x14ac:dyDescent="0.35">
      <c r="A14" s="26" t="s">
        <v>490</v>
      </c>
      <c r="B14" s="27">
        <v>250000</v>
      </c>
      <c r="C14" s="27">
        <v>0</v>
      </c>
      <c r="E14" s="1" t="s">
        <v>490</v>
      </c>
      <c r="F14" s="2">
        <v>250000</v>
      </c>
      <c r="G14" s="2">
        <v>0</v>
      </c>
      <c r="I14" s="31">
        <f t="shared" si="0"/>
        <v>0</v>
      </c>
      <c r="J14" s="31">
        <f t="shared" si="1"/>
        <v>0</v>
      </c>
    </row>
    <row r="15" spans="1:10" x14ac:dyDescent="0.35">
      <c r="A15" s="26" t="s">
        <v>966</v>
      </c>
      <c r="B15" s="27">
        <v>250000</v>
      </c>
      <c r="C15" s="27">
        <v>0</v>
      </c>
      <c r="E15" s="1" t="s">
        <v>413</v>
      </c>
      <c r="F15" s="2">
        <v>250000</v>
      </c>
      <c r="G15" s="2">
        <v>0</v>
      </c>
      <c r="I15" s="31">
        <f t="shared" si="0"/>
        <v>0</v>
      </c>
      <c r="J15" s="31">
        <f t="shared" si="1"/>
        <v>0</v>
      </c>
    </row>
    <row r="16" spans="1:10" x14ac:dyDescent="0.35">
      <c r="A16" s="26" t="s">
        <v>366</v>
      </c>
      <c r="B16" s="27">
        <v>150000</v>
      </c>
      <c r="C16" s="27">
        <v>0</v>
      </c>
      <c r="E16" s="1" t="s">
        <v>366</v>
      </c>
      <c r="F16" s="2">
        <v>150000</v>
      </c>
      <c r="G16" s="2">
        <v>0</v>
      </c>
      <c r="I16" s="31">
        <f t="shared" si="0"/>
        <v>0</v>
      </c>
      <c r="J16" s="31">
        <f t="shared" si="1"/>
        <v>0</v>
      </c>
    </row>
    <row r="17" spans="1:10" x14ac:dyDescent="0.35">
      <c r="A17" s="26" t="s">
        <v>422</v>
      </c>
      <c r="B17" s="27">
        <v>150000</v>
      </c>
      <c r="C17" s="27">
        <v>0</v>
      </c>
      <c r="E17" s="1" t="s">
        <v>422</v>
      </c>
      <c r="F17" s="2">
        <v>150000</v>
      </c>
      <c r="G17" s="2">
        <v>0</v>
      </c>
      <c r="I17" s="31">
        <f t="shared" ref="I17:I23" si="2">B17-F17</f>
        <v>0</v>
      </c>
      <c r="J17" s="31">
        <f t="shared" ref="J17:J23" si="3">C17-G17</f>
        <v>0</v>
      </c>
    </row>
    <row r="18" spans="1:10" x14ac:dyDescent="0.35">
      <c r="A18" s="26" t="s">
        <v>906</v>
      </c>
      <c r="B18" s="29">
        <v>100000</v>
      </c>
      <c r="C18" s="29">
        <v>1500000</v>
      </c>
      <c r="E18" s="1" t="s">
        <v>906</v>
      </c>
      <c r="F18" s="2">
        <v>100000</v>
      </c>
      <c r="G18" s="2">
        <v>1500000</v>
      </c>
      <c r="I18" s="31">
        <f t="shared" si="2"/>
        <v>0</v>
      </c>
      <c r="J18" s="31">
        <f t="shared" si="3"/>
        <v>0</v>
      </c>
    </row>
    <row r="19" spans="1:10" x14ac:dyDescent="0.35">
      <c r="A19" s="26" t="s">
        <v>561</v>
      </c>
      <c r="B19" s="27">
        <v>150000</v>
      </c>
      <c r="C19" s="27">
        <v>0</v>
      </c>
      <c r="E19" s="1" t="s">
        <v>561</v>
      </c>
      <c r="F19" s="2">
        <v>150000</v>
      </c>
      <c r="G19" s="2">
        <v>0</v>
      </c>
      <c r="I19" s="31">
        <f t="shared" si="2"/>
        <v>0</v>
      </c>
      <c r="J19" s="31">
        <f t="shared" si="3"/>
        <v>0</v>
      </c>
    </row>
    <row r="20" spans="1:10" x14ac:dyDescent="0.35">
      <c r="A20" s="26" t="s">
        <v>955</v>
      </c>
      <c r="B20" s="27">
        <v>500000</v>
      </c>
      <c r="C20" s="27">
        <v>0</v>
      </c>
      <c r="E20" s="1" t="s">
        <v>103</v>
      </c>
      <c r="F20" s="2">
        <v>500000</v>
      </c>
      <c r="G20" s="2">
        <v>0</v>
      </c>
      <c r="I20" s="31">
        <f t="shared" si="2"/>
        <v>0</v>
      </c>
      <c r="J20" s="31">
        <f t="shared" si="3"/>
        <v>0</v>
      </c>
    </row>
    <row r="21" spans="1:10" x14ac:dyDescent="0.35">
      <c r="A21" s="26" t="s">
        <v>473</v>
      </c>
      <c r="B21" s="27">
        <v>150000</v>
      </c>
      <c r="C21" s="27">
        <v>0</v>
      </c>
      <c r="E21" s="1" t="s">
        <v>473</v>
      </c>
      <c r="F21" s="2">
        <v>150000</v>
      </c>
      <c r="G21" s="2">
        <v>0</v>
      </c>
      <c r="I21" s="31">
        <f t="shared" si="2"/>
        <v>0</v>
      </c>
      <c r="J21" s="31">
        <f t="shared" si="3"/>
        <v>0</v>
      </c>
    </row>
    <row r="22" spans="1:10" x14ac:dyDescent="0.35">
      <c r="A22" s="26" t="s">
        <v>956</v>
      </c>
      <c r="B22" s="27">
        <v>150000</v>
      </c>
      <c r="C22" s="27">
        <v>0</v>
      </c>
      <c r="E22" s="1" t="s">
        <v>334</v>
      </c>
      <c r="F22" s="2">
        <v>150000</v>
      </c>
      <c r="G22" s="2">
        <v>0</v>
      </c>
      <c r="I22" s="31">
        <f t="shared" si="2"/>
        <v>0</v>
      </c>
      <c r="J22" s="31">
        <f t="shared" si="3"/>
        <v>0</v>
      </c>
    </row>
    <row r="23" spans="1:10" x14ac:dyDescent="0.35">
      <c r="A23" s="26" t="s">
        <v>961</v>
      </c>
      <c r="B23" s="27">
        <v>150000</v>
      </c>
      <c r="C23" s="27">
        <v>1650000</v>
      </c>
      <c r="E23" s="1" t="s">
        <v>496</v>
      </c>
      <c r="F23" s="2">
        <v>150000</v>
      </c>
      <c r="G23" s="2">
        <v>1650000</v>
      </c>
      <c r="I23" s="31">
        <f t="shared" si="2"/>
        <v>0</v>
      </c>
      <c r="J23" s="31">
        <f t="shared" si="3"/>
        <v>0</v>
      </c>
    </row>
    <row r="24" spans="1:10" x14ac:dyDescent="0.35">
      <c r="A24" s="26" t="s">
        <v>952</v>
      </c>
      <c r="B24" s="27">
        <v>250000</v>
      </c>
      <c r="C24" s="27">
        <v>3563351</v>
      </c>
      <c r="E24" s="1" t="s">
        <v>565</v>
      </c>
      <c r="F24" s="2">
        <v>250000</v>
      </c>
      <c r="G24" s="2">
        <v>3563351</v>
      </c>
      <c r="I24" s="31">
        <f t="shared" ref="I24:I42" si="4">B24-F24</f>
        <v>0</v>
      </c>
      <c r="J24" s="31">
        <f t="shared" ref="J24:J42" si="5">C24-G24</f>
        <v>0</v>
      </c>
    </row>
    <row r="25" spans="1:10" x14ac:dyDescent="0.35">
      <c r="A25" s="26" t="s">
        <v>962</v>
      </c>
      <c r="B25" s="27">
        <v>250000</v>
      </c>
      <c r="C25" s="27">
        <v>9525267</v>
      </c>
      <c r="E25" s="1" t="s">
        <v>258</v>
      </c>
      <c r="F25" s="2">
        <v>250000</v>
      </c>
      <c r="G25" s="2">
        <v>9525267</v>
      </c>
      <c r="I25" s="31">
        <f t="shared" si="4"/>
        <v>0</v>
      </c>
      <c r="J25" s="31">
        <f t="shared" si="5"/>
        <v>0</v>
      </c>
    </row>
    <row r="26" spans="1:10" x14ac:dyDescent="0.35">
      <c r="A26" s="30" t="s">
        <v>340</v>
      </c>
      <c r="B26" s="27">
        <v>100000</v>
      </c>
      <c r="C26" s="27">
        <v>0</v>
      </c>
      <c r="E26" s="1" t="s">
        <v>340</v>
      </c>
      <c r="F26" s="2">
        <v>100000</v>
      </c>
      <c r="G26" s="2">
        <v>0</v>
      </c>
      <c r="I26" s="31">
        <f t="shared" si="4"/>
        <v>0</v>
      </c>
      <c r="J26" s="31">
        <f t="shared" si="5"/>
        <v>0</v>
      </c>
    </row>
    <row r="27" spans="1:10" x14ac:dyDescent="0.35">
      <c r="A27" s="30"/>
      <c r="B27" s="27"/>
      <c r="C27" s="27"/>
      <c r="E27" s="1" t="s">
        <v>504</v>
      </c>
      <c r="F27" s="2">
        <v>150000</v>
      </c>
      <c r="G27" s="2">
        <v>0</v>
      </c>
      <c r="I27" s="31">
        <f t="shared" si="4"/>
        <v>-150000</v>
      </c>
      <c r="J27" s="31">
        <f t="shared" si="5"/>
        <v>0</v>
      </c>
    </row>
    <row r="28" spans="1:10" x14ac:dyDescent="0.35">
      <c r="A28" s="26" t="s">
        <v>575</v>
      </c>
      <c r="B28" s="27">
        <v>150000</v>
      </c>
      <c r="C28" s="27">
        <v>0</v>
      </c>
      <c r="E28" s="1" t="s">
        <v>575</v>
      </c>
      <c r="F28" s="2">
        <v>150000</v>
      </c>
      <c r="G28" s="2">
        <v>0</v>
      </c>
      <c r="I28" s="31">
        <f t="shared" si="4"/>
        <v>0</v>
      </c>
      <c r="J28" s="31">
        <f t="shared" si="5"/>
        <v>0</v>
      </c>
    </row>
    <row r="29" spans="1:10" x14ac:dyDescent="0.35">
      <c r="A29" s="26" t="s">
        <v>954</v>
      </c>
      <c r="B29" s="27">
        <v>250000</v>
      </c>
      <c r="C29" s="27">
        <v>0</v>
      </c>
      <c r="E29" s="1" t="s">
        <v>563</v>
      </c>
      <c r="F29" s="2">
        <v>250000</v>
      </c>
      <c r="G29" s="2">
        <v>0</v>
      </c>
      <c r="I29" s="31">
        <f t="shared" si="4"/>
        <v>0</v>
      </c>
      <c r="J29" s="31">
        <f t="shared" si="5"/>
        <v>0</v>
      </c>
    </row>
    <row r="30" spans="1:10" x14ac:dyDescent="0.35">
      <c r="A30" s="26" t="s">
        <v>256</v>
      </c>
      <c r="B30" s="27">
        <v>150000</v>
      </c>
      <c r="C30" s="27">
        <v>1354167</v>
      </c>
      <c r="E30" s="1" t="s">
        <v>256</v>
      </c>
      <c r="F30" s="2">
        <v>150000</v>
      </c>
      <c r="G30" s="2">
        <v>1354167</v>
      </c>
      <c r="I30" s="31">
        <f t="shared" si="4"/>
        <v>0</v>
      </c>
      <c r="J30" s="31">
        <f t="shared" si="5"/>
        <v>0</v>
      </c>
    </row>
    <row r="31" spans="1:10" x14ac:dyDescent="0.35">
      <c r="A31" s="26" t="s">
        <v>958</v>
      </c>
      <c r="B31" s="27">
        <v>150000</v>
      </c>
      <c r="C31" s="27">
        <v>13910000</v>
      </c>
      <c r="E31" s="1" t="s">
        <v>388</v>
      </c>
      <c r="F31" s="2">
        <v>150000</v>
      </c>
      <c r="G31" s="2">
        <v>13910000</v>
      </c>
      <c r="I31" s="31">
        <f t="shared" si="4"/>
        <v>0</v>
      </c>
      <c r="J31" s="31">
        <f t="shared" si="5"/>
        <v>0</v>
      </c>
    </row>
    <row r="32" spans="1:10" x14ac:dyDescent="0.35">
      <c r="A32" s="26" t="s">
        <v>963</v>
      </c>
      <c r="B32" s="27">
        <v>150000</v>
      </c>
      <c r="C32" s="27">
        <v>0</v>
      </c>
      <c r="E32" s="1" t="s">
        <v>331</v>
      </c>
      <c r="F32" s="2">
        <v>150000</v>
      </c>
      <c r="G32" s="2">
        <v>0</v>
      </c>
      <c r="I32" s="31">
        <f t="shared" si="4"/>
        <v>0</v>
      </c>
      <c r="J32" s="31">
        <f t="shared" si="5"/>
        <v>0</v>
      </c>
    </row>
    <row r="33" spans="1:10" x14ac:dyDescent="0.35">
      <c r="A33" s="26" t="s">
        <v>569</v>
      </c>
      <c r="B33" s="27">
        <v>150000</v>
      </c>
      <c r="C33" s="27">
        <v>2500000</v>
      </c>
      <c r="E33" s="1" t="s">
        <v>569</v>
      </c>
      <c r="F33" s="2">
        <v>150000</v>
      </c>
      <c r="G33" s="2">
        <v>2500000</v>
      </c>
      <c r="I33" s="31">
        <f t="shared" si="4"/>
        <v>0</v>
      </c>
      <c r="J33" s="31">
        <f t="shared" si="5"/>
        <v>0</v>
      </c>
    </row>
    <row r="34" spans="1:10" x14ac:dyDescent="0.35">
      <c r="A34" s="26" t="s">
        <v>408</v>
      </c>
      <c r="B34" s="27">
        <v>350000</v>
      </c>
      <c r="C34" s="27">
        <v>0</v>
      </c>
      <c r="E34" s="1" t="s">
        <v>408</v>
      </c>
      <c r="F34" s="2">
        <v>350000</v>
      </c>
      <c r="G34" s="2">
        <v>0</v>
      </c>
      <c r="I34" s="31">
        <f t="shared" si="4"/>
        <v>0</v>
      </c>
      <c r="J34" s="31">
        <f t="shared" si="5"/>
        <v>0</v>
      </c>
    </row>
    <row r="35" spans="1:10" x14ac:dyDescent="0.35">
      <c r="A35" s="26" t="s">
        <v>953</v>
      </c>
      <c r="B35" s="27">
        <v>350000</v>
      </c>
      <c r="C35" s="27">
        <v>1733796</v>
      </c>
      <c r="E35" s="1" t="s">
        <v>558</v>
      </c>
      <c r="F35" s="2">
        <v>350000</v>
      </c>
      <c r="G35" s="2">
        <v>1733796</v>
      </c>
      <c r="I35" s="31">
        <f t="shared" si="4"/>
        <v>0</v>
      </c>
      <c r="J35" s="31">
        <f t="shared" si="5"/>
        <v>0</v>
      </c>
    </row>
    <row r="36" spans="1:10" x14ac:dyDescent="0.35">
      <c r="A36" s="26" t="s">
        <v>253</v>
      </c>
      <c r="B36" s="27">
        <v>150000</v>
      </c>
      <c r="C36" s="27">
        <v>0</v>
      </c>
      <c r="E36" s="1" t="s">
        <v>253</v>
      </c>
      <c r="F36" s="2">
        <v>150000</v>
      </c>
      <c r="G36" s="2">
        <v>0</v>
      </c>
      <c r="I36" s="31">
        <f t="shared" si="4"/>
        <v>0</v>
      </c>
      <c r="J36" s="31">
        <f t="shared" si="5"/>
        <v>0</v>
      </c>
    </row>
    <row r="37" spans="1:10" x14ac:dyDescent="0.35">
      <c r="A37" s="28" t="s">
        <v>411</v>
      </c>
      <c r="B37" s="27">
        <v>150000</v>
      </c>
      <c r="C37" s="27">
        <v>0</v>
      </c>
      <c r="E37" s="1" t="s">
        <v>411</v>
      </c>
      <c r="F37" s="2">
        <v>150000</v>
      </c>
      <c r="G37" s="2">
        <v>0</v>
      </c>
      <c r="I37" s="31">
        <f t="shared" si="4"/>
        <v>0</v>
      </c>
      <c r="J37" s="31">
        <f t="shared" si="5"/>
        <v>0</v>
      </c>
    </row>
    <row r="38" spans="1:10" x14ac:dyDescent="0.35">
      <c r="A38" s="28" t="s">
        <v>957</v>
      </c>
      <c r="B38" s="27">
        <v>350000</v>
      </c>
      <c r="C38" s="27">
        <v>0</v>
      </c>
      <c r="E38" s="1" t="s">
        <v>369</v>
      </c>
      <c r="F38" s="2">
        <v>350000</v>
      </c>
      <c r="G38" s="2">
        <v>0</v>
      </c>
      <c r="I38" s="31">
        <f t="shared" si="4"/>
        <v>0</v>
      </c>
      <c r="J38" s="31">
        <f t="shared" si="5"/>
        <v>0</v>
      </c>
    </row>
    <row r="39" spans="1:10" x14ac:dyDescent="0.35">
      <c r="A39" s="28" t="s">
        <v>951</v>
      </c>
      <c r="B39" s="27">
        <v>250000</v>
      </c>
      <c r="C39" s="27">
        <v>2822700</v>
      </c>
      <c r="E39" s="1" t="s">
        <v>416</v>
      </c>
      <c r="F39" s="2">
        <v>250000</v>
      </c>
      <c r="G39" s="2">
        <v>2822700</v>
      </c>
      <c r="I39" s="31">
        <f t="shared" si="4"/>
        <v>0</v>
      </c>
      <c r="J39" s="31">
        <f t="shared" si="5"/>
        <v>0</v>
      </c>
    </row>
    <row r="40" spans="1:10" x14ac:dyDescent="0.35">
      <c r="A40" s="28" t="s">
        <v>964</v>
      </c>
      <c r="B40" s="27">
        <v>250000</v>
      </c>
      <c r="C40" s="27">
        <v>8019190</v>
      </c>
      <c r="E40" s="1" t="s">
        <v>386</v>
      </c>
      <c r="F40" s="2">
        <v>250000</v>
      </c>
      <c r="G40" s="2">
        <v>8019190</v>
      </c>
      <c r="I40" s="31">
        <f t="shared" si="4"/>
        <v>0</v>
      </c>
      <c r="J40" s="31">
        <f t="shared" si="5"/>
        <v>0</v>
      </c>
    </row>
    <row r="41" spans="1:10" x14ac:dyDescent="0.35">
      <c r="A41" s="30" t="s">
        <v>418</v>
      </c>
      <c r="B41" s="27">
        <v>100000</v>
      </c>
      <c r="C41" s="27">
        <v>0</v>
      </c>
      <c r="E41" s="1" t="s">
        <v>418</v>
      </c>
      <c r="F41" s="2">
        <v>100000</v>
      </c>
      <c r="G41" s="2">
        <v>0</v>
      </c>
      <c r="I41" s="31">
        <f t="shared" si="4"/>
        <v>0</v>
      </c>
      <c r="J41" s="31">
        <f t="shared" si="5"/>
        <v>0</v>
      </c>
    </row>
    <row r="42" spans="1:10" x14ac:dyDescent="0.35">
      <c r="I42" s="31">
        <f t="shared" si="4"/>
        <v>0</v>
      </c>
      <c r="J42" s="31">
        <f t="shared" si="5"/>
        <v>0</v>
      </c>
    </row>
  </sheetData>
  <sortState xmlns:xlrd2="http://schemas.microsoft.com/office/spreadsheetml/2017/richdata2" ref="E4:G41">
    <sortCondition ref="E1:E41"/>
  </sortState>
  <conditionalFormatting sqref="A4:A34 A36:A37 A41">
    <cfRule type="expression" dxfId="0" priority="2" stopIfTrue="1">
      <formula>AND(COUNTIF($E$476:$E$65535, A4)+COUNTIF($E$471:$E$474, A4)+COUNTIF($E$1:$E$211, A4)+COUNTIF($E$215:$E$215, A4)+COUNTIF($E$302:$E$305, A4)+COUNTIF($E$447:$E$450, A4)+COUNTIF($E$232:$E$244, A4)+COUNTIF($E$294:$E$300, A4)+COUNTIF($E$452:$E$454, A4)+COUNTIF($E$457:$E$460, A4)&gt;1,NOT(ISBLANK(A4)))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9306-D40B-414B-BC5B-120C4EA817DB}">
  <dimension ref="A2:N30"/>
  <sheetViews>
    <sheetView workbookViewId="0">
      <selection activeCell="B22" sqref="B22"/>
    </sheetView>
  </sheetViews>
  <sheetFormatPr defaultRowHeight="14.5" x14ac:dyDescent="0.35"/>
  <cols>
    <col min="1" max="1" width="77.54296875" bestFit="1" customWidth="1"/>
    <col min="2" max="2" width="13.453125" style="9" bestFit="1" customWidth="1"/>
    <col min="3" max="3" width="40.54296875" style="9" customWidth="1"/>
    <col min="4" max="4" width="7.1796875" customWidth="1"/>
    <col min="7" max="7" width="9.81640625" bestFit="1" customWidth="1"/>
    <col min="9" max="11" width="12.1796875" bestFit="1" customWidth="1"/>
    <col min="12" max="12" width="12.54296875" bestFit="1" customWidth="1"/>
    <col min="13" max="13" width="13.453125" bestFit="1" customWidth="1"/>
    <col min="14" max="14" width="12.1796875" bestFit="1" customWidth="1"/>
  </cols>
  <sheetData>
    <row r="2" spans="1:13" x14ac:dyDescent="0.35">
      <c r="A2" s="7" t="s">
        <v>921</v>
      </c>
      <c r="B2" s="8"/>
      <c r="C2" s="8"/>
      <c r="D2" s="7"/>
    </row>
    <row r="3" spans="1:13" x14ac:dyDescent="0.35">
      <c r="A3" t="s">
        <v>922</v>
      </c>
    </row>
    <row r="4" spans="1:13" x14ac:dyDescent="0.35">
      <c r="A4" t="s">
        <v>923</v>
      </c>
      <c r="B4" s="10">
        <f>ALL!M664</f>
        <v>38500000</v>
      </c>
      <c r="E4" s="11"/>
    </row>
    <row r="5" spans="1:13" x14ac:dyDescent="0.35">
      <c r="A5" t="s">
        <v>924</v>
      </c>
      <c r="B5" s="10">
        <f>ALL!M665</f>
        <v>1500000</v>
      </c>
      <c r="E5" s="11"/>
    </row>
    <row r="8" spans="1:13" x14ac:dyDescent="0.35">
      <c r="A8" s="7" t="s">
        <v>925</v>
      </c>
      <c r="B8" s="12">
        <f>B4+B5</f>
        <v>40000000</v>
      </c>
    </row>
    <row r="9" spans="1:13" x14ac:dyDescent="0.35">
      <c r="J9" s="11"/>
    </row>
    <row r="10" spans="1:13" x14ac:dyDescent="0.35">
      <c r="A10" s="7" t="s">
        <v>936</v>
      </c>
      <c r="C10" s="10">
        <f>ALL!N668</f>
        <v>301177781</v>
      </c>
      <c r="J10" s="8"/>
      <c r="K10" s="11">
        <f>B8+B22</f>
        <v>69750000</v>
      </c>
      <c r="L10" s="11" t="s">
        <v>926</v>
      </c>
    </row>
    <row r="11" spans="1:13" x14ac:dyDescent="0.35">
      <c r="K11" s="11">
        <f>C12+C29</f>
        <v>403747672</v>
      </c>
      <c r="L11" s="11" t="s">
        <v>927</v>
      </c>
    </row>
    <row r="12" spans="1:13" x14ac:dyDescent="0.35">
      <c r="A12" s="7" t="s">
        <v>928</v>
      </c>
      <c r="B12" s="8"/>
      <c r="C12" s="12">
        <f>C10</f>
        <v>301177781</v>
      </c>
      <c r="J12" s="11">
        <f>J10-J9</f>
        <v>0</v>
      </c>
      <c r="M12" s="11"/>
    </row>
    <row r="13" spans="1:13" x14ac:dyDescent="0.35">
      <c r="A13" s="13" t="s">
        <v>929</v>
      </c>
      <c r="B13" s="14"/>
      <c r="C13" s="14">
        <f>B8+C10</f>
        <v>341177781</v>
      </c>
      <c r="M13" s="11"/>
    </row>
    <row r="14" spans="1:13" x14ac:dyDescent="0.35">
      <c r="G14" s="11"/>
      <c r="I14" s="15">
        <f>C13+C30</f>
        <v>473497672</v>
      </c>
      <c r="J14" t="s">
        <v>930</v>
      </c>
      <c r="M14" s="11"/>
    </row>
    <row r="16" spans="1:13" x14ac:dyDescent="0.35">
      <c r="A16" s="7" t="s">
        <v>939</v>
      </c>
      <c r="J16" s="11"/>
    </row>
    <row r="17" spans="1:14" x14ac:dyDescent="0.35">
      <c r="A17" t="s">
        <v>938</v>
      </c>
      <c r="B17" s="16">
        <v>5800000</v>
      </c>
      <c r="J17" s="8"/>
    </row>
    <row r="18" spans="1:14" x14ac:dyDescent="0.35">
      <c r="A18" t="s">
        <v>942</v>
      </c>
      <c r="B18" s="16">
        <v>2700000</v>
      </c>
    </row>
    <row r="19" spans="1:14" x14ac:dyDescent="0.35">
      <c r="A19" t="s">
        <v>946</v>
      </c>
      <c r="B19" s="16">
        <v>2250000</v>
      </c>
      <c r="J19" s="11"/>
    </row>
    <row r="20" spans="1:14" x14ac:dyDescent="0.35">
      <c r="A20" t="s">
        <v>931</v>
      </c>
      <c r="B20" s="9">
        <v>2300000</v>
      </c>
      <c r="N20" s="11"/>
    </row>
    <row r="21" spans="1:14" x14ac:dyDescent="0.35">
      <c r="A21" t="s">
        <v>932</v>
      </c>
      <c r="B21" s="9">
        <v>16700000</v>
      </c>
    </row>
    <row r="22" spans="1:14" x14ac:dyDescent="0.35">
      <c r="B22" s="12">
        <f>SUM(B17:B21)</f>
        <v>29750000</v>
      </c>
    </row>
    <row r="23" spans="1:14" x14ac:dyDescent="0.35">
      <c r="A23" s="7" t="s">
        <v>940</v>
      </c>
      <c r="J23" s="11"/>
    </row>
    <row r="24" spans="1:14" x14ac:dyDescent="0.35">
      <c r="A24" t="s">
        <v>941</v>
      </c>
      <c r="B24" s="9">
        <v>39937012</v>
      </c>
      <c r="C24" s="9" t="s">
        <v>948</v>
      </c>
      <c r="D24" t="s">
        <v>949</v>
      </c>
      <c r="J24" s="11"/>
      <c r="K24" s="11"/>
    </row>
    <row r="25" spans="1:14" x14ac:dyDescent="0.35">
      <c r="A25" t="s">
        <v>943</v>
      </c>
      <c r="B25" s="9">
        <v>16407732</v>
      </c>
      <c r="C25" s="9" t="s">
        <v>944</v>
      </c>
      <c r="D25" t="s">
        <v>945</v>
      </c>
    </row>
    <row r="26" spans="1:14" x14ac:dyDescent="0.35">
      <c r="A26" t="s">
        <v>947</v>
      </c>
      <c r="B26" s="9">
        <v>4722725</v>
      </c>
    </row>
    <row r="27" spans="1:14" x14ac:dyDescent="0.35">
      <c r="A27" t="s">
        <v>933</v>
      </c>
      <c r="B27" s="9">
        <v>16268894</v>
      </c>
      <c r="J27" s="11"/>
    </row>
    <row r="28" spans="1:14" x14ac:dyDescent="0.35">
      <c r="A28" t="s">
        <v>934</v>
      </c>
      <c r="B28" s="9">
        <v>25233528</v>
      </c>
    </row>
    <row r="29" spans="1:14" x14ac:dyDescent="0.35">
      <c r="C29" s="12">
        <f>SUM(B24:B28)</f>
        <v>102569891</v>
      </c>
    </row>
    <row r="30" spans="1:14" x14ac:dyDescent="0.35">
      <c r="A30" s="13" t="s">
        <v>935</v>
      </c>
      <c r="B30" s="14"/>
      <c r="C30" s="14">
        <f>C29+B22</f>
        <v>132319891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</vt:lpstr>
      <vt:lpstr>Rekon Cabang 2</vt:lpstr>
      <vt:lpstr>Rek. Cab Selindo</vt:lpstr>
      <vt:lpstr>Rek. Pusat 1</vt:lpstr>
      <vt:lpstr>Rek. Pusat</vt:lpstr>
      <vt:lpstr>Rek. Pusat 3</vt:lpstr>
      <vt:lpstr>Rek. IDS</vt:lpstr>
      <vt:lpstr>RINCIAN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Apriansyah</dc:creator>
  <cp:lastModifiedBy>Dea Adawiyah</cp:lastModifiedBy>
  <cp:lastPrinted>2026-01-06T10:46:22Z</cp:lastPrinted>
  <dcterms:created xsi:type="dcterms:W3CDTF">2025-12-16T03:39:40Z</dcterms:created>
  <dcterms:modified xsi:type="dcterms:W3CDTF">2026-02-12T03:59:20Z</dcterms:modified>
</cp:coreProperties>
</file>