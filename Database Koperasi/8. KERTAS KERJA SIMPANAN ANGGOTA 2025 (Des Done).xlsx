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dw\Downloads\1. UPDATE DATA ANGGOTA\"/>
    </mc:Choice>
  </mc:AlternateContent>
  <xr:revisionPtr revIDLastSave="0" documentId="13_ncr:1_{504EE3A5-2899-4611-A3A8-C772B25ADC3D}" xr6:coauthVersionLast="47" xr6:coauthVersionMax="47" xr10:uidLastSave="{00000000-0000-0000-0000-000000000000}"/>
  <bookViews>
    <workbookView xWindow="-110" yWindow="-110" windowWidth="19420" windowHeight="11020" tabRatio="929" firstSheet="1" activeTab="4" xr2:uid="{B662BD3A-6A82-4D6F-88CF-38C953CC5FFB}"/>
  </bookViews>
  <sheets>
    <sheet name="All Simpanan " sheetId="6" state="hidden" r:id="rId1"/>
    <sheet name="Simpanan Wajib" sheetId="1" r:id="rId2"/>
    <sheet name="Simpanan Pokok" sheetId="2" r:id="rId3"/>
    <sheet name="Simpanan Khusus" sheetId="3" r:id="rId4"/>
    <sheet name="Simpanan Sukarela" sheetId="4" r:id="rId5"/>
    <sheet name="Simpanan Sukarela Berjangka" sheetId="5" r:id="rId6"/>
  </sheets>
  <definedNames>
    <definedName name="_xlnm._FilterDatabase" localSheetId="3" hidden="1">'Simpanan Khusus'!$A$1:$Q$748</definedName>
    <definedName name="_xlnm._FilterDatabase" localSheetId="4" hidden="1">'Simpanan Sukarela'!$A$3:$E$4</definedName>
    <definedName name="_xlnm._FilterDatabase" localSheetId="1" hidden="1">'Simpanan Wajib'!$F$2:$Q$776</definedName>
    <definedName name="_xlnm.Print_Area" localSheetId="4">'Simpanan Sukarela'!$A$1:$V$756</definedName>
    <definedName name="_xlnm.Print_Area" localSheetId="1">'Simpanan Wajib'!$A$1:$R$782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9" i="2" l="1"/>
  <c r="A600" i="2"/>
  <c r="A601" i="2" s="1"/>
  <c r="A602" i="2" s="1"/>
  <c r="A603" i="2" s="1"/>
  <c r="A604" i="2" s="1"/>
  <c r="A605" i="2" s="1"/>
  <c r="A606" i="2" s="1"/>
  <c r="A607" i="2" s="1"/>
  <c r="A608" i="2" s="1"/>
  <c r="A609" i="2"/>
  <c r="A610" i="2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/>
  <c r="A622" i="2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/>
  <c r="A634" i="2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Q776" i="1"/>
  <c r="Q775" i="1"/>
  <c r="R774" i="1"/>
  <c r="P774" i="1"/>
  <c r="P776" i="1" s="1"/>
  <c r="P775" i="1"/>
  <c r="O776" i="1"/>
  <c r="O775" i="1"/>
  <c r="N776" i="1"/>
  <c r="N775" i="1"/>
  <c r="M775" i="1"/>
  <c r="L775" i="1"/>
  <c r="K775" i="1"/>
  <c r="J776" i="1"/>
  <c r="J775" i="1"/>
  <c r="H775" i="1"/>
  <c r="G776" i="1"/>
  <c r="G775" i="1"/>
  <c r="F776" i="1"/>
  <c r="F775" i="1"/>
  <c r="K4" i="5"/>
  <c r="Q751" i="4"/>
  <c r="G758" i="3" l="1"/>
  <c r="F758" i="3"/>
  <c r="G757" i="3"/>
  <c r="K757" i="3"/>
  <c r="L757" i="3"/>
  <c r="F757" i="3"/>
  <c r="F759" i="3" s="1"/>
  <c r="R743" i="3"/>
  <c r="K759" i="3"/>
  <c r="Q758" i="3"/>
  <c r="Q534" i="3"/>
  <c r="G759" i="3" l="1"/>
  <c r="Q552" i="3" l="1"/>
  <c r="Q757" i="3" s="1"/>
  <c r="Q759" i="3" s="1"/>
  <c r="Q753" i="3"/>
  <c r="P534" i="3" l="1"/>
  <c r="P758" i="3"/>
  <c r="P757" i="3" l="1"/>
  <c r="P759" i="3" s="1"/>
  <c r="P753" i="3"/>
  <c r="R761" i="2"/>
  <c r="R762" i="2"/>
  <c r="P764" i="2"/>
  <c r="F763" i="2"/>
  <c r="G763" i="2"/>
  <c r="H763" i="2"/>
  <c r="I763" i="2"/>
  <c r="J763" i="2"/>
  <c r="K763" i="2"/>
  <c r="L763" i="2"/>
  <c r="M763" i="2"/>
  <c r="N763" i="2"/>
  <c r="E763" i="2"/>
  <c r="E765" i="2" s="1"/>
  <c r="Q750" i="1"/>
  <c r="Q747" i="1"/>
  <c r="Q649" i="1"/>
  <c r="Q648" i="1"/>
  <c r="Q765" i="1"/>
  <c r="Q600" i="1"/>
  <c r="Q552" i="1"/>
  <c r="Q548" i="1"/>
  <c r="Q773" i="1"/>
  <c r="Q713" i="1"/>
  <c r="Q712" i="1"/>
  <c r="Q706" i="1"/>
  <c r="Q699" i="1"/>
  <c r="Q657" i="1"/>
  <c r="Q627" i="1"/>
  <c r="Q626" i="1"/>
  <c r="Q538" i="1"/>
  <c r="R3" i="1" l="1"/>
  <c r="Q774" i="1" l="1"/>
  <c r="N774" i="1" l="1"/>
  <c r="O774" i="1"/>
  <c r="R769" i="1"/>
  <c r="R770" i="1"/>
  <c r="R771" i="1"/>
  <c r="R772" i="1"/>
  <c r="R773" i="1"/>
  <c r="I774" i="1"/>
  <c r="P713" i="1" l="1"/>
  <c r="P712" i="1"/>
  <c r="P706" i="1"/>
  <c r="P699" i="1"/>
  <c r="P657" i="1"/>
  <c r="P627" i="1"/>
  <c r="P626" i="1"/>
  <c r="P538" i="1"/>
  <c r="L13" i="5" l="1"/>
  <c r="G746" i="1"/>
  <c r="K13" i="5"/>
  <c r="J15" i="5"/>
  <c r="H15" i="5"/>
  <c r="I13" i="5"/>
  <c r="J13" i="5"/>
  <c r="H13" i="5"/>
  <c r="E15" i="5"/>
  <c r="H7" i="5"/>
  <c r="I7" i="5" s="1"/>
  <c r="J7" i="5" s="1"/>
  <c r="K7" i="5" s="1"/>
  <c r="E13" i="5"/>
  <c r="H9" i="5" l="1"/>
  <c r="I9" i="5" s="1"/>
  <c r="J9" i="5" s="1"/>
  <c r="K9" i="5" s="1"/>
  <c r="H10" i="5"/>
  <c r="I10" i="5" s="1"/>
  <c r="J10" i="5" s="1"/>
  <c r="K10" i="5" s="1"/>
  <c r="H11" i="5"/>
  <c r="I11" i="5" s="1"/>
  <c r="J11" i="5" s="1"/>
  <c r="K11" i="5" s="1"/>
  <c r="H12" i="5"/>
  <c r="I12" i="5" s="1"/>
  <c r="J12" i="5" s="1"/>
  <c r="K12" i="5" s="1"/>
  <c r="R10" i="4"/>
  <c r="R756" i="2"/>
  <c r="R757" i="2"/>
  <c r="R758" i="2"/>
  <c r="R759" i="2"/>
  <c r="R760" i="2"/>
  <c r="E757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5" i="3"/>
  <c r="R536" i="3"/>
  <c r="R537" i="3"/>
  <c r="R538" i="3"/>
  <c r="R539" i="3"/>
  <c r="R540" i="3"/>
  <c r="R541" i="3"/>
  <c r="R542" i="3"/>
  <c r="R543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4" i="3"/>
  <c r="R745" i="3"/>
  <c r="R746" i="3"/>
  <c r="R747" i="3"/>
  <c r="R748" i="3"/>
  <c r="R750" i="3"/>
  <c r="R752" i="3"/>
  <c r="R754" i="3"/>
  <c r="R755" i="3"/>
  <c r="R756" i="3"/>
  <c r="R3" i="3"/>
  <c r="O758" i="3"/>
  <c r="O38" i="3"/>
  <c r="O183" i="3"/>
  <c r="O487" i="3"/>
  <c r="R487" i="3" s="1"/>
  <c r="R38" i="3" l="1"/>
  <c r="O534" i="3"/>
  <c r="O757" i="3" s="1"/>
  <c r="O759" i="3" s="1"/>
  <c r="O751" i="3"/>
  <c r="R751" i="3" s="1"/>
  <c r="M753" i="3"/>
  <c r="R753" i="3" s="1"/>
  <c r="M758" i="3"/>
  <c r="N764" i="2" l="1"/>
  <c r="M764" i="2"/>
  <c r="L764" i="2"/>
  <c r="J764" i="2"/>
  <c r="J765" i="2" s="1"/>
  <c r="G764" i="2"/>
  <c r="F765" i="2"/>
  <c r="R745" i="1"/>
  <c r="F774" i="1" l="1"/>
  <c r="H774" i="1"/>
  <c r="E774" i="1"/>
  <c r="E776" i="1" s="1"/>
  <c r="G745" i="1" l="1"/>
  <c r="G743" i="1"/>
  <c r="G744" i="1"/>
  <c r="G742" i="1"/>
  <c r="G741" i="1"/>
  <c r="G740" i="1"/>
  <c r="G739" i="1"/>
  <c r="G738" i="1"/>
  <c r="G737" i="1"/>
  <c r="G774" i="1" s="1"/>
  <c r="R760" i="1"/>
  <c r="R759" i="1"/>
  <c r="R758" i="1"/>
  <c r="R757" i="1"/>
  <c r="R752" i="1"/>
  <c r="R764" i="1"/>
  <c r="R766" i="1"/>
  <c r="R767" i="1"/>
  <c r="R768" i="1"/>
  <c r="R750" i="1"/>
  <c r="R751" i="1"/>
  <c r="R756" i="1"/>
  <c r="R761" i="1"/>
  <c r="R762" i="1"/>
  <c r="R763" i="1"/>
  <c r="R753" i="1"/>
  <c r="R579" i="1" l="1"/>
  <c r="R754" i="1" l="1"/>
  <c r="R755" i="1"/>
  <c r="M699" i="1" l="1"/>
  <c r="M713" i="1"/>
  <c r="M712" i="1"/>
  <c r="M706" i="1"/>
  <c r="M626" i="1"/>
  <c r="M627" i="1"/>
  <c r="M657" i="1"/>
  <c r="M538" i="1"/>
  <c r="M765" i="1"/>
  <c r="R765" i="1" s="1"/>
  <c r="M548" i="1"/>
  <c r="M600" i="1"/>
  <c r="M774" i="1" l="1"/>
  <c r="M776" i="1" s="1"/>
  <c r="L774" i="1" l="1"/>
  <c r="L776" i="1" s="1"/>
  <c r="K774" i="1" l="1"/>
  <c r="K776" i="1" s="1"/>
  <c r="J411" i="1"/>
  <c r="J774" i="1" s="1"/>
  <c r="R411" i="1" l="1"/>
  <c r="I776" i="1" l="1"/>
  <c r="H776" i="1"/>
  <c r="R751" i="2" l="1"/>
  <c r="R752" i="2"/>
  <c r="R753" i="2"/>
  <c r="R754" i="2"/>
  <c r="R755" i="2"/>
  <c r="R749" i="1" l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6" i="1"/>
  <c r="R747" i="1"/>
  <c r="R748" i="1"/>
  <c r="R3" i="2"/>
  <c r="N751" i="4"/>
  <c r="N753" i="4" s="1"/>
  <c r="O751" i="4"/>
  <c r="O753" i="4" s="1"/>
  <c r="P751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5" i="4"/>
  <c r="R6" i="4"/>
  <c r="R7" i="4"/>
  <c r="R8" i="4"/>
  <c r="R9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H753" i="4"/>
  <c r="J753" i="4"/>
  <c r="K753" i="4"/>
  <c r="M751" i="4"/>
  <c r="M753" i="4" s="1"/>
  <c r="F751" i="4"/>
  <c r="F753" i="4" s="1"/>
  <c r="G751" i="4"/>
  <c r="G753" i="4" s="1"/>
  <c r="H751" i="4"/>
  <c r="I751" i="4"/>
  <c r="I753" i="4" s="1"/>
  <c r="J751" i="4"/>
  <c r="K751" i="4"/>
  <c r="L751" i="4"/>
  <c r="L753" i="4" s="1"/>
  <c r="L752" i="4"/>
  <c r="R751" i="4" l="1"/>
  <c r="R753" i="4" s="1"/>
  <c r="R776" i="1"/>
  <c r="N544" i="3"/>
  <c r="R544" i="3" s="1"/>
  <c r="N534" i="3"/>
  <c r="N757" i="3" s="1"/>
  <c r="N759" i="3" s="1"/>
  <c r="N758" i="3"/>
  <c r="L765" i="2" l="1"/>
  <c r="N765" i="2"/>
  <c r="E751" i="4" l="1"/>
  <c r="E753" i="4" s="1"/>
  <c r="M534" i="3" l="1"/>
  <c r="R534" i="3" s="1"/>
  <c r="M337" i="3"/>
  <c r="M757" i="3" l="1"/>
  <c r="M759" i="3" s="1"/>
  <c r="R337" i="3"/>
  <c r="L758" i="3"/>
  <c r="L759" i="3" s="1"/>
  <c r="I183" i="3" l="1"/>
  <c r="I757" i="3" l="1"/>
  <c r="I759" i="3" s="1"/>
  <c r="R183" i="3"/>
  <c r="J758" i="3"/>
  <c r="J453" i="3" l="1"/>
  <c r="J757" i="3" l="1"/>
  <c r="J759" i="3" s="1"/>
  <c r="R453" i="3"/>
  <c r="H758" i="3"/>
  <c r="H749" i="3"/>
  <c r="H757" i="3" l="1"/>
  <c r="H759" i="3" s="1"/>
  <c r="R749" i="3"/>
  <c r="R757" i="3" s="1"/>
  <c r="R759" i="3" s="1"/>
  <c r="E759" i="3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G765" i="2"/>
  <c r="H765" i="2"/>
  <c r="I765" i="2"/>
  <c r="K765" i="2"/>
  <c r="M765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O763" i="2" s="1"/>
  <c r="O765" i="2" s="1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Q763" i="2" l="1"/>
  <c r="Q765" i="2" s="1"/>
  <c r="P763" i="2"/>
  <c r="P765" i="2" s="1"/>
  <c r="R763" i="2"/>
  <c r="R765" i="2" s="1"/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3" i="6"/>
  <c r="G5" i="6"/>
  <c r="I748" i="6" l="1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H8" i="5"/>
  <c r="H6" i="5"/>
  <c r="I6" i="5" s="1"/>
  <c r="H5" i="5"/>
  <c r="I5" i="5" s="1"/>
  <c r="H4" i="5"/>
  <c r="I4" i="5" s="1"/>
  <c r="H3" i="5"/>
  <c r="H2" i="5"/>
  <c r="J660" i="6" l="1"/>
  <c r="J672" i="6"/>
  <c r="J430" i="6"/>
  <c r="J454" i="6"/>
  <c r="J478" i="6"/>
  <c r="J502" i="6"/>
  <c r="J526" i="6"/>
  <c r="J550" i="6"/>
  <c r="J562" i="6"/>
  <c r="J586" i="6"/>
  <c r="J598" i="6"/>
  <c r="J610" i="6"/>
  <c r="J634" i="6"/>
  <c r="J646" i="6"/>
  <c r="J658" i="6"/>
  <c r="J682" i="6"/>
  <c r="J418" i="6"/>
  <c r="J442" i="6"/>
  <c r="J466" i="6"/>
  <c r="J490" i="6"/>
  <c r="J514" i="6"/>
  <c r="J538" i="6"/>
  <c r="J574" i="6"/>
  <c r="J622" i="6"/>
  <c r="J670" i="6"/>
  <c r="J406" i="6"/>
  <c r="J382" i="6"/>
  <c r="J394" i="6"/>
  <c r="J408" i="6"/>
  <c r="J432" i="6"/>
  <c r="J456" i="6"/>
  <c r="J504" i="6"/>
  <c r="J528" i="6"/>
  <c r="J576" i="6"/>
  <c r="J648" i="6"/>
  <c r="J420" i="6"/>
  <c r="J444" i="6"/>
  <c r="J480" i="6"/>
  <c r="J492" i="6"/>
  <c r="J516" i="6"/>
  <c r="J540" i="6"/>
  <c r="J552" i="6"/>
  <c r="J564" i="6"/>
  <c r="J588" i="6"/>
  <c r="J600" i="6"/>
  <c r="J612" i="6"/>
  <c r="J624" i="6"/>
  <c r="J636" i="6"/>
  <c r="J31" i="6"/>
  <c r="J67" i="6"/>
  <c r="J103" i="6"/>
  <c r="J139" i="6"/>
  <c r="J187" i="6"/>
  <c r="J223" i="6"/>
  <c r="J259" i="6"/>
  <c r="J307" i="6"/>
  <c r="J343" i="6"/>
  <c r="J415" i="6"/>
  <c r="J439" i="6"/>
  <c r="J463" i="6"/>
  <c r="J499" i="6"/>
  <c r="J523" i="6"/>
  <c r="J547" i="6"/>
  <c r="J559" i="6"/>
  <c r="J583" i="6"/>
  <c r="J607" i="6"/>
  <c r="J619" i="6"/>
  <c r="J631" i="6"/>
  <c r="J643" i="6"/>
  <c r="J679" i="6"/>
  <c r="J43" i="6"/>
  <c r="J79" i="6"/>
  <c r="J115" i="6"/>
  <c r="J151" i="6"/>
  <c r="J175" i="6"/>
  <c r="J211" i="6"/>
  <c r="J247" i="6"/>
  <c r="J271" i="6"/>
  <c r="J295" i="6"/>
  <c r="J331" i="6"/>
  <c r="J379" i="6"/>
  <c r="J403" i="6"/>
  <c r="J427" i="6"/>
  <c r="J451" i="6"/>
  <c r="J487" i="6"/>
  <c r="J511" i="6"/>
  <c r="J535" i="6"/>
  <c r="J571" i="6"/>
  <c r="J595" i="6"/>
  <c r="J667" i="6"/>
  <c r="J19" i="6"/>
  <c r="J55" i="6"/>
  <c r="J91" i="6"/>
  <c r="J127" i="6"/>
  <c r="J163" i="6"/>
  <c r="J199" i="6"/>
  <c r="J235" i="6"/>
  <c r="J283" i="6"/>
  <c r="J319" i="6"/>
  <c r="J391" i="6"/>
  <c r="J475" i="6"/>
  <c r="J597" i="6"/>
  <c r="J621" i="6"/>
  <c r="J657" i="6"/>
  <c r="J669" i="6"/>
  <c r="J681" i="6"/>
  <c r="J355" i="6"/>
  <c r="J322" i="6"/>
  <c r="J334" i="6"/>
  <c r="J346" i="6"/>
  <c r="J358" i="6"/>
  <c r="J10" i="6"/>
  <c r="J22" i="6"/>
  <c r="J34" i="6"/>
  <c r="J46" i="6"/>
  <c r="J58" i="6"/>
  <c r="J70" i="6"/>
  <c r="J82" i="6"/>
  <c r="J94" i="6"/>
  <c r="J106" i="6"/>
  <c r="J118" i="6"/>
  <c r="J130" i="6"/>
  <c r="J142" i="6"/>
  <c r="J154" i="6"/>
  <c r="J166" i="6"/>
  <c r="J178" i="6"/>
  <c r="J190" i="6"/>
  <c r="J202" i="6"/>
  <c r="J214" i="6"/>
  <c r="J226" i="6"/>
  <c r="J238" i="6"/>
  <c r="J250" i="6"/>
  <c r="J262" i="6"/>
  <c r="J274" i="6"/>
  <c r="J286" i="6"/>
  <c r="J298" i="6"/>
  <c r="J310" i="6"/>
  <c r="J370" i="6"/>
  <c r="J488" i="6"/>
  <c r="J512" i="6"/>
  <c r="J536" i="6"/>
  <c r="J548" i="6"/>
  <c r="J560" i="6"/>
  <c r="J572" i="6"/>
  <c r="J584" i="6"/>
  <c r="J596" i="6"/>
  <c r="J608" i="6"/>
  <c r="J620" i="6"/>
  <c r="J632" i="6"/>
  <c r="J644" i="6"/>
  <c r="J656" i="6"/>
  <c r="J668" i="6"/>
  <c r="J680" i="6"/>
  <c r="J380" i="6"/>
  <c r="J392" i="6"/>
  <c r="J404" i="6"/>
  <c r="J416" i="6"/>
  <c r="J428" i="6"/>
  <c r="J440" i="6"/>
  <c r="J452" i="6"/>
  <c r="J464" i="6"/>
  <c r="J476" i="6"/>
  <c r="J524" i="6"/>
  <c r="J383" i="6"/>
  <c r="J395" i="6"/>
  <c r="J407" i="6"/>
  <c r="J419" i="6"/>
  <c r="J431" i="6"/>
  <c r="J443" i="6"/>
  <c r="J455" i="6"/>
  <c r="J479" i="6"/>
  <c r="J491" i="6"/>
  <c r="J503" i="6"/>
  <c r="J515" i="6"/>
  <c r="J527" i="6"/>
  <c r="J539" i="6"/>
  <c r="J551" i="6"/>
  <c r="J563" i="6"/>
  <c r="J575" i="6"/>
  <c r="J587" i="6"/>
  <c r="J611" i="6"/>
  <c r="J623" i="6"/>
  <c r="J635" i="6"/>
  <c r="J647" i="6"/>
  <c r="J659" i="6"/>
  <c r="J671" i="6"/>
  <c r="J683" i="6"/>
  <c r="J7" i="6"/>
  <c r="J368" i="6"/>
  <c r="J500" i="6"/>
  <c r="J467" i="6"/>
  <c r="J599" i="6"/>
  <c r="J715" i="6"/>
  <c r="J729" i="6"/>
  <c r="J730" i="6"/>
  <c r="J719" i="6"/>
  <c r="J694" i="6"/>
  <c r="J743" i="6"/>
  <c r="J696" i="6"/>
  <c r="J708" i="6"/>
  <c r="J720" i="6"/>
  <c r="J744" i="6"/>
  <c r="J691" i="6"/>
  <c r="J739" i="6"/>
  <c r="J692" i="6"/>
  <c r="J728" i="6"/>
  <c r="J693" i="6"/>
  <c r="J707" i="6"/>
  <c r="J727" i="6"/>
  <c r="J704" i="6"/>
  <c r="J717" i="6"/>
  <c r="J718" i="6"/>
  <c r="J731" i="6"/>
  <c r="J703" i="6"/>
  <c r="J716" i="6"/>
  <c r="J705" i="6"/>
  <c r="J706" i="6"/>
  <c r="J695" i="6"/>
  <c r="J732" i="6"/>
  <c r="J367" i="6"/>
  <c r="J128" i="6"/>
  <c r="J8" i="6"/>
  <c r="J32" i="6"/>
  <c r="J56" i="6"/>
  <c r="J80" i="6"/>
  <c r="J104" i="6"/>
  <c r="J140" i="6"/>
  <c r="J176" i="6"/>
  <c r="J200" i="6"/>
  <c r="J224" i="6"/>
  <c r="J260" i="6"/>
  <c r="J284" i="6"/>
  <c r="J320" i="6"/>
  <c r="J344" i="6"/>
  <c r="J740" i="6"/>
  <c r="J345" i="6"/>
  <c r="J20" i="6"/>
  <c r="J44" i="6"/>
  <c r="J68" i="6"/>
  <c r="J92" i="6"/>
  <c r="J116" i="6"/>
  <c r="J152" i="6"/>
  <c r="J164" i="6"/>
  <c r="J188" i="6"/>
  <c r="J212" i="6"/>
  <c r="J236" i="6"/>
  <c r="J248" i="6"/>
  <c r="J272" i="6"/>
  <c r="J308" i="6"/>
  <c r="J332" i="6"/>
  <c r="J356" i="6"/>
  <c r="J9" i="6"/>
  <c r="J21" i="6"/>
  <c r="J33" i="6"/>
  <c r="J45" i="6"/>
  <c r="J57" i="6"/>
  <c r="J69" i="6"/>
  <c r="J81" i="6"/>
  <c r="J93" i="6"/>
  <c r="J105" i="6"/>
  <c r="J117" i="6"/>
  <c r="J129" i="6"/>
  <c r="J141" i="6"/>
  <c r="J153" i="6"/>
  <c r="J165" i="6"/>
  <c r="J177" i="6"/>
  <c r="J189" i="6"/>
  <c r="J201" i="6"/>
  <c r="J213" i="6"/>
  <c r="J225" i="6"/>
  <c r="J237" i="6"/>
  <c r="J249" i="6"/>
  <c r="J261" i="6"/>
  <c r="J285" i="6"/>
  <c r="J297" i="6"/>
  <c r="J309" i="6"/>
  <c r="J321" i="6"/>
  <c r="J333" i="6"/>
  <c r="J357" i="6"/>
  <c r="J369" i="6"/>
  <c r="J381" i="6"/>
  <c r="J393" i="6"/>
  <c r="J405" i="6"/>
  <c r="J417" i="6"/>
  <c r="J429" i="6"/>
  <c r="J441" i="6"/>
  <c r="J453" i="6"/>
  <c r="J465" i="6"/>
  <c r="J477" i="6"/>
  <c r="J489" i="6"/>
  <c r="J501" i="6"/>
  <c r="J513" i="6"/>
  <c r="J525" i="6"/>
  <c r="J537" i="6"/>
  <c r="J549" i="6"/>
  <c r="J561" i="6"/>
  <c r="J573" i="6"/>
  <c r="J585" i="6"/>
  <c r="J609" i="6"/>
  <c r="J633" i="6"/>
  <c r="J645" i="6"/>
  <c r="J741" i="6"/>
  <c r="J742" i="6"/>
  <c r="J350" i="6"/>
  <c r="J386" i="6"/>
  <c r="J410" i="6"/>
  <c r="J434" i="6"/>
  <c r="J470" i="6"/>
  <c r="J494" i="6"/>
  <c r="J530" i="6"/>
  <c r="J554" i="6"/>
  <c r="J578" i="6"/>
  <c r="J590" i="6"/>
  <c r="J614" i="6"/>
  <c r="J626" i="6"/>
  <c r="J650" i="6"/>
  <c r="J662" i="6"/>
  <c r="J674" i="6"/>
  <c r="J686" i="6"/>
  <c r="J698" i="6"/>
  <c r="J710" i="6"/>
  <c r="J746" i="6"/>
  <c r="H749" i="6"/>
  <c r="J338" i="6"/>
  <c r="J374" i="6"/>
  <c r="J398" i="6"/>
  <c r="J422" i="6"/>
  <c r="J446" i="6"/>
  <c r="J458" i="6"/>
  <c r="J482" i="6"/>
  <c r="J506" i="6"/>
  <c r="J518" i="6"/>
  <c r="J542" i="6"/>
  <c r="J566" i="6"/>
  <c r="J602" i="6"/>
  <c r="J638" i="6"/>
  <c r="J722" i="6"/>
  <c r="J447" i="6"/>
  <c r="J471" i="6"/>
  <c r="J507" i="6"/>
  <c r="J543" i="6"/>
  <c r="J555" i="6"/>
  <c r="J579" i="6"/>
  <c r="J615" i="6"/>
  <c r="J651" i="6"/>
  <c r="J747" i="6"/>
  <c r="J459" i="6"/>
  <c r="J495" i="6"/>
  <c r="J519" i="6"/>
  <c r="J531" i="6"/>
  <c r="J567" i="6"/>
  <c r="J591" i="6"/>
  <c r="J603" i="6"/>
  <c r="J627" i="6"/>
  <c r="J639" i="6"/>
  <c r="J663" i="6"/>
  <c r="J675" i="6"/>
  <c r="J687" i="6"/>
  <c r="J699" i="6"/>
  <c r="J711" i="6"/>
  <c r="J723" i="6"/>
  <c r="J592" i="6"/>
  <c r="J628" i="6"/>
  <c r="J664" i="6"/>
  <c r="J748" i="6"/>
  <c r="J483" i="6"/>
  <c r="J735" i="6"/>
  <c r="J616" i="6"/>
  <c r="J640" i="6"/>
  <c r="J652" i="6"/>
  <c r="J676" i="6"/>
  <c r="J688" i="6"/>
  <c r="J700" i="6"/>
  <c r="J712" i="6"/>
  <c r="J724" i="6"/>
  <c r="J736" i="6"/>
  <c r="J5" i="6"/>
  <c r="J556" i="6"/>
  <c r="J568" i="6"/>
  <c r="J580" i="6"/>
  <c r="J604" i="6"/>
  <c r="J673" i="6"/>
  <c r="J685" i="6"/>
  <c r="J697" i="6"/>
  <c r="J709" i="6"/>
  <c r="J721" i="6"/>
  <c r="J733" i="6"/>
  <c r="J745" i="6"/>
  <c r="J384" i="6"/>
  <c r="J396" i="6"/>
  <c r="J412" i="6"/>
  <c r="J424" i="6"/>
  <c r="J436" i="6"/>
  <c r="J448" i="6"/>
  <c r="J460" i="6"/>
  <c r="J472" i="6"/>
  <c r="J484" i="6"/>
  <c r="J496" i="6"/>
  <c r="J508" i="6"/>
  <c r="J520" i="6"/>
  <c r="J532" i="6"/>
  <c r="J544" i="6"/>
  <c r="J363" i="6"/>
  <c r="J375" i="6"/>
  <c r="J387" i="6"/>
  <c r="J399" i="6"/>
  <c r="J411" i="6"/>
  <c r="J423" i="6"/>
  <c r="J435" i="6"/>
  <c r="J655" i="6"/>
  <c r="J273" i="6"/>
  <c r="J373" i="6"/>
  <c r="J385" i="6"/>
  <c r="J397" i="6"/>
  <c r="J409" i="6"/>
  <c r="J421" i="6"/>
  <c r="J433" i="6"/>
  <c r="J445" i="6"/>
  <c r="J457" i="6"/>
  <c r="J469" i="6"/>
  <c r="J481" i="6"/>
  <c r="J493" i="6"/>
  <c r="J505" i="6"/>
  <c r="J517" i="6"/>
  <c r="J529" i="6"/>
  <c r="J541" i="6"/>
  <c r="J553" i="6"/>
  <c r="J565" i="6"/>
  <c r="J577" i="6"/>
  <c r="J589" i="6"/>
  <c r="J601" i="6"/>
  <c r="J613" i="6"/>
  <c r="J625" i="6"/>
  <c r="J637" i="6"/>
  <c r="J649" i="6"/>
  <c r="J661" i="6"/>
  <c r="J325" i="6"/>
  <c r="J337" i="6"/>
  <c r="J349" i="6"/>
  <c r="J361" i="6"/>
  <c r="J372" i="6"/>
  <c r="J14" i="6"/>
  <c r="J26" i="6"/>
  <c r="J38" i="6"/>
  <c r="J50" i="6"/>
  <c r="J62" i="6"/>
  <c r="J74" i="6"/>
  <c r="J86" i="6"/>
  <c r="J98" i="6"/>
  <c r="J110" i="6"/>
  <c r="J122" i="6"/>
  <c r="J134" i="6"/>
  <c r="J146" i="6"/>
  <c r="J158" i="6"/>
  <c r="J170" i="6"/>
  <c r="J182" i="6"/>
  <c r="J194" i="6"/>
  <c r="J206" i="6"/>
  <c r="J218" i="6"/>
  <c r="J230" i="6"/>
  <c r="J242" i="6"/>
  <c r="J254" i="6"/>
  <c r="J266" i="6"/>
  <c r="J278" i="6"/>
  <c r="J290" i="6"/>
  <c r="J302" i="6"/>
  <c r="J314" i="6"/>
  <c r="J326" i="6"/>
  <c r="J362" i="6"/>
  <c r="J364" i="6"/>
  <c r="J376" i="6"/>
  <c r="J388" i="6"/>
  <c r="J312" i="6"/>
  <c r="J324" i="6"/>
  <c r="J336" i="6"/>
  <c r="J348" i="6"/>
  <c r="J360" i="6"/>
  <c r="J11" i="6"/>
  <c r="J23" i="6"/>
  <c r="J47" i="6"/>
  <c r="J59" i="6"/>
  <c r="J71" i="6"/>
  <c r="J83" i="6"/>
  <c r="J95" i="6"/>
  <c r="J107" i="6"/>
  <c r="J119" i="6"/>
  <c r="J131" i="6"/>
  <c r="J143" i="6"/>
  <c r="J155" i="6"/>
  <c r="J167" i="6"/>
  <c r="J179" i="6"/>
  <c r="J191" i="6"/>
  <c r="J203" i="6"/>
  <c r="J215" i="6"/>
  <c r="J227" i="6"/>
  <c r="J239" i="6"/>
  <c r="J251" i="6"/>
  <c r="J263" i="6"/>
  <c r="J275" i="6"/>
  <c r="J287" i="6"/>
  <c r="J299" i="6"/>
  <c r="J311" i="6"/>
  <c r="J323" i="6"/>
  <c r="J335" i="6"/>
  <c r="J347" i="6"/>
  <c r="J359" i="6"/>
  <c r="J371" i="6"/>
  <c r="J16" i="6"/>
  <c r="J28" i="6"/>
  <c r="J52" i="6"/>
  <c r="J64" i="6"/>
  <c r="J76" i="6"/>
  <c r="J88" i="6"/>
  <c r="J100" i="6"/>
  <c r="J112" i="6"/>
  <c r="J124" i="6"/>
  <c r="J136" i="6"/>
  <c r="J148" i="6"/>
  <c r="J160" i="6"/>
  <c r="J172" i="6"/>
  <c r="J184" i="6"/>
  <c r="J196" i="6"/>
  <c r="J208" i="6"/>
  <c r="J220" i="6"/>
  <c r="J232" i="6"/>
  <c r="J244" i="6"/>
  <c r="J256" i="6"/>
  <c r="J268" i="6"/>
  <c r="J280" i="6"/>
  <c r="J292" i="6"/>
  <c r="J304" i="6"/>
  <c r="J316" i="6"/>
  <c r="J328" i="6"/>
  <c r="J340" i="6"/>
  <c r="J352" i="6"/>
  <c r="J296" i="6"/>
  <c r="J133" i="6"/>
  <c r="J157" i="6"/>
  <c r="J169" i="6"/>
  <c r="J181" i="6"/>
  <c r="J193" i="6"/>
  <c r="J205" i="6"/>
  <c r="J217" i="6"/>
  <c r="J241" i="6"/>
  <c r="J253" i="6"/>
  <c r="J265" i="6"/>
  <c r="J277" i="6"/>
  <c r="J301" i="6"/>
  <c r="J313" i="6"/>
  <c r="J734" i="6"/>
  <c r="J35" i="6"/>
  <c r="J13" i="6"/>
  <c r="J25" i="6"/>
  <c r="J37" i="6"/>
  <c r="J49" i="6"/>
  <c r="J61" i="6"/>
  <c r="J73" i="6"/>
  <c r="J85" i="6"/>
  <c r="J97" i="6"/>
  <c r="J109" i="6"/>
  <c r="J121" i="6"/>
  <c r="J145" i="6"/>
  <c r="J12" i="6"/>
  <c r="J24" i="6"/>
  <c r="J36" i="6"/>
  <c r="J48" i="6"/>
  <c r="J60" i="6"/>
  <c r="J72" i="6"/>
  <c r="J84" i="6"/>
  <c r="J96" i="6"/>
  <c r="J108" i="6"/>
  <c r="J120" i="6"/>
  <c r="J132" i="6"/>
  <c r="J144" i="6"/>
  <c r="J156" i="6"/>
  <c r="J168" i="6"/>
  <c r="J180" i="6"/>
  <c r="J192" i="6"/>
  <c r="J204" i="6"/>
  <c r="J216" i="6"/>
  <c r="J228" i="6"/>
  <c r="J240" i="6"/>
  <c r="J252" i="6"/>
  <c r="J264" i="6"/>
  <c r="J276" i="6"/>
  <c r="J288" i="6"/>
  <c r="J300" i="6"/>
  <c r="J315" i="6"/>
  <c r="J327" i="6"/>
  <c r="J339" i="6"/>
  <c r="J351" i="6"/>
  <c r="J468" i="6"/>
  <c r="J15" i="6"/>
  <c r="J27" i="6"/>
  <c r="J39" i="6"/>
  <c r="J51" i="6"/>
  <c r="J63" i="6"/>
  <c r="J75" i="6"/>
  <c r="J87" i="6"/>
  <c r="J99" i="6"/>
  <c r="J111" i="6"/>
  <c r="J123" i="6"/>
  <c r="J135" i="6"/>
  <c r="J147" i="6"/>
  <c r="J159" i="6"/>
  <c r="J171" i="6"/>
  <c r="J183" i="6"/>
  <c r="J195" i="6"/>
  <c r="J207" i="6"/>
  <c r="J219" i="6"/>
  <c r="J231" i="6"/>
  <c r="J243" i="6"/>
  <c r="J255" i="6"/>
  <c r="J267" i="6"/>
  <c r="J279" i="6"/>
  <c r="J291" i="6"/>
  <c r="J303" i="6"/>
  <c r="J4" i="6"/>
  <c r="J17" i="6"/>
  <c r="J29" i="6"/>
  <c r="J41" i="6"/>
  <c r="J53" i="6"/>
  <c r="J65" i="6"/>
  <c r="J77" i="6"/>
  <c r="J89" i="6"/>
  <c r="J101" i="6"/>
  <c r="J113" i="6"/>
  <c r="J125" i="6"/>
  <c r="J137" i="6"/>
  <c r="J149" i="6"/>
  <c r="J161" i="6"/>
  <c r="J173" i="6"/>
  <c r="J185" i="6"/>
  <c r="J197" i="6"/>
  <c r="J209" i="6"/>
  <c r="J221" i="6"/>
  <c r="J233" i="6"/>
  <c r="J245" i="6"/>
  <c r="J257" i="6"/>
  <c r="J269" i="6"/>
  <c r="J281" i="6"/>
  <c r="J293" i="6"/>
  <c r="J305" i="6"/>
  <c r="J317" i="6"/>
  <c r="J329" i="6"/>
  <c r="J341" i="6"/>
  <c r="J353" i="6"/>
  <c r="J365" i="6"/>
  <c r="J377" i="6"/>
  <c r="J389" i="6"/>
  <c r="J401" i="6"/>
  <c r="J413" i="6"/>
  <c r="J425" i="6"/>
  <c r="J437" i="6"/>
  <c r="J449" i="6"/>
  <c r="J461" i="6"/>
  <c r="J473" i="6"/>
  <c r="J485" i="6"/>
  <c r="J497" i="6"/>
  <c r="J509" i="6"/>
  <c r="J521" i="6"/>
  <c r="J533" i="6"/>
  <c r="J545" i="6"/>
  <c r="J557" i="6"/>
  <c r="J569" i="6"/>
  <c r="J581" i="6"/>
  <c r="J593" i="6"/>
  <c r="J605" i="6"/>
  <c r="J617" i="6"/>
  <c r="J629" i="6"/>
  <c r="J641" i="6"/>
  <c r="J653" i="6"/>
  <c r="J665" i="6"/>
  <c r="J677" i="6"/>
  <c r="J689" i="6"/>
  <c r="J701" i="6"/>
  <c r="J713" i="6"/>
  <c r="J725" i="6"/>
  <c r="J737" i="6"/>
  <c r="G749" i="6"/>
  <c r="J6" i="6"/>
  <c r="J18" i="6"/>
  <c r="J30" i="6"/>
  <c r="J42" i="6"/>
  <c r="J54" i="6"/>
  <c r="J66" i="6"/>
  <c r="J78" i="6"/>
  <c r="J90" i="6"/>
  <c r="J102" i="6"/>
  <c r="J114" i="6"/>
  <c r="J126" i="6"/>
  <c r="J138" i="6"/>
  <c r="J150" i="6"/>
  <c r="J162" i="6"/>
  <c r="J174" i="6"/>
  <c r="J186" i="6"/>
  <c r="J198" i="6"/>
  <c r="J210" i="6"/>
  <c r="J222" i="6"/>
  <c r="J234" i="6"/>
  <c r="J246" i="6"/>
  <c r="J258" i="6"/>
  <c r="J270" i="6"/>
  <c r="J282" i="6"/>
  <c r="J294" i="6"/>
  <c r="J306" i="6"/>
  <c r="J318" i="6"/>
  <c r="J330" i="6"/>
  <c r="J342" i="6"/>
  <c r="J354" i="6"/>
  <c r="J366" i="6"/>
  <c r="J378" i="6"/>
  <c r="J390" i="6"/>
  <c r="J402" i="6"/>
  <c r="J414" i="6"/>
  <c r="J426" i="6"/>
  <c r="J438" i="6"/>
  <c r="J450" i="6"/>
  <c r="J462" i="6"/>
  <c r="J474" i="6"/>
  <c r="J486" i="6"/>
  <c r="J498" i="6"/>
  <c r="J510" i="6"/>
  <c r="J522" i="6"/>
  <c r="J546" i="6"/>
  <c r="J558" i="6"/>
  <c r="J570" i="6"/>
  <c r="J582" i="6"/>
  <c r="J594" i="6"/>
  <c r="J606" i="6"/>
  <c r="J618" i="6"/>
  <c r="J630" i="6"/>
  <c r="J642" i="6"/>
  <c r="J654" i="6"/>
  <c r="J666" i="6"/>
  <c r="J678" i="6"/>
  <c r="J690" i="6"/>
  <c r="J702" i="6"/>
  <c r="J714" i="6"/>
  <c r="J726" i="6"/>
  <c r="J738" i="6"/>
  <c r="E749" i="6"/>
  <c r="J4" i="5"/>
  <c r="I534" i="6" s="1"/>
  <c r="J534" i="6" s="1"/>
  <c r="I8" i="5"/>
  <c r="J8" i="5" s="1"/>
  <c r="K8" i="5" s="1"/>
  <c r="I229" i="6" s="1"/>
  <c r="J229" i="6" s="1"/>
  <c r="J6" i="5"/>
  <c r="K6" i="5" s="1"/>
  <c r="I400" i="6" s="1"/>
  <c r="J400" i="6" s="1"/>
  <c r="I2" i="5"/>
  <c r="J2" i="5"/>
  <c r="K2" i="5" s="1"/>
  <c r="J5" i="5"/>
  <c r="K5" i="5" s="1"/>
  <c r="I684" i="6" s="1"/>
  <c r="J684" i="6" s="1"/>
  <c r="I3" i="5"/>
  <c r="J3" i="5" s="1"/>
  <c r="K3" i="5" s="1"/>
  <c r="I289" i="6" s="1"/>
  <c r="J289" i="6" s="1"/>
  <c r="I40" i="6" l="1"/>
  <c r="F749" i="6"/>
  <c r="J3" i="6"/>
  <c r="I749" i="6" l="1"/>
  <c r="J40" i="6"/>
  <c r="J74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4B9C108C-60E4-4E60-8BB2-AA2D6F6D5D11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99F66D41-9BB0-41B6-94DB-BEBEF2E3014A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F8181AE-447D-449E-AD8A-C29956E84108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3B0FB2EC-EB9C-4DA1-A7F5-88C755AE0BE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A649F22D-3B3B-4A1B-BF89-4F6CB2E76BE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709AB11E-82D8-4D39-B3BB-1BF7D769767F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569D2880-C3B1-4A38-8394-F9534FF8712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EAF546D-46B7-41B8-8B24-BE168AA62FE1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1C5016BD-5A88-48E8-BA99-15113B1B74AA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791C4326-72F2-482E-92BF-76F4613D6D98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66DB247C-1935-4E61-8C49-946B3647E9D7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9AF2064F-5FB2-4496-9C15-B6606033A9FD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B04FBD86-9D96-4BBE-B9F4-B6A1E7ECF942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5AEB9BCD-C6BC-4D00-BA59-FD9CC84A5036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FCADD0CB-81AD-44D4-A2BA-C5CE990B7C3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4" authorId="0" shapeId="0" xr:uid="{AA28526A-97A3-48D8-9246-6DB1F59D530C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396" authorId="0" shapeId="0" xr:uid="{4C523A9D-DA7F-4595-8DA8-A309FA2459A9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4" authorId="0" shapeId="0" xr:uid="{3FEDCD67-EA3D-47AC-A608-003911B37CBE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89" authorId="0" shapeId="0" xr:uid="{5C61D545-5EB1-4A41-95FB-838300041E04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1" authorId="0" shapeId="0" xr:uid="{C36388D2-2D7B-4E84-92D5-0EDB5A2E14C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sharedStrings.xml><?xml version="1.0" encoding="utf-8"?>
<sst xmlns="http://schemas.openxmlformats.org/spreadsheetml/2006/main" count="12000" uniqueCount="2285">
  <si>
    <t>NO.</t>
  </si>
  <si>
    <t>NO. ANGGOTA</t>
  </si>
  <si>
    <t>NAMA ANGGOTA</t>
  </si>
  <si>
    <t>UNIT KERJA</t>
  </si>
  <si>
    <t>POKOK</t>
  </si>
  <si>
    <t>WAJIB</t>
  </si>
  <si>
    <t>KHUSUS</t>
  </si>
  <si>
    <t>SUKARELA</t>
  </si>
  <si>
    <t>JUMLAH</t>
  </si>
  <si>
    <t>000001</t>
  </si>
  <si>
    <t>Aan Agus F, Amd.</t>
  </si>
  <si>
    <t>SBC</t>
  </si>
  <si>
    <t>000002</t>
  </si>
  <si>
    <t>Abdul Ghofar, Ir</t>
  </si>
  <si>
    <t>DOC</t>
  </si>
  <si>
    <t>000003</t>
  </si>
  <si>
    <t>Abdul Hadi</t>
  </si>
  <si>
    <t>000006</t>
  </si>
  <si>
    <t>Abu Kasim Usman</t>
  </si>
  <si>
    <t>SB</t>
  </si>
  <si>
    <t>000009</t>
  </si>
  <si>
    <t>Achmad</t>
  </si>
  <si>
    <t>PUMA</t>
  </si>
  <si>
    <t>000013</t>
  </si>
  <si>
    <t>Achmad Muslim, Ir</t>
  </si>
  <si>
    <t>HCTIO</t>
  </si>
  <si>
    <t>Nama</t>
  </si>
  <si>
    <t>Penyertaan Modal</t>
  </si>
  <si>
    <t>Imbal Hasil</t>
  </si>
  <si>
    <t>Tenor</t>
  </si>
  <si>
    <t>Imbal Hasil Kotor</t>
  </si>
  <si>
    <t>PPh 4 Ayat 2</t>
  </si>
  <si>
    <t>Imbal Hasil Bersih</t>
  </si>
  <si>
    <t>Anogi Akbar Ali, SE</t>
  </si>
  <si>
    <t>Riana Patricia</t>
  </si>
  <si>
    <t>Warini</t>
  </si>
  <si>
    <t>Total</t>
  </si>
  <si>
    <t>Tanggal Penyetoran</t>
  </si>
  <si>
    <t>Tanggal Jatuh Tempo</t>
  </si>
  <si>
    <t>000014</t>
  </si>
  <si>
    <t>Achmad Suseno, Ir</t>
  </si>
  <si>
    <t>R&amp;P</t>
  </si>
  <si>
    <t>000015</t>
  </si>
  <si>
    <t>Achmad Tawakkal</t>
  </si>
  <si>
    <t>000018</t>
  </si>
  <si>
    <t>Ade Prihadi</t>
  </si>
  <si>
    <t>CG</t>
  </si>
  <si>
    <t>000019</t>
  </si>
  <si>
    <t>Ade Sugandi</t>
  </si>
  <si>
    <t>-</t>
  </si>
  <si>
    <t>000020</t>
  </si>
  <si>
    <t>Adhitama Rama, ST.</t>
  </si>
  <si>
    <t>PHP</t>
  </si>
  <si>
    <t>000021</t>
  </si>
  <si>
    <t>Adi Iman Patria, B.Sc.</t>
  </si>
  <si>
    <t>HC&amp;L</t>
  </si>
  <si>
    <t>000025</t>
  </si>
  <si>
    <t>Aditia Warman</t>
  </si>
  <si>
    <t>000026</t>
  </si>
  <si>
    <t>Aditya Trisandriya P, ST</t>
  </si>
  <si>
    <t>STA</t>
  </si>
  <si>
    <t>000027</t>
  </si>
  <si>
    <t>Afrizal</t>
  </si>
  <si>
    <t>000029</t>
  </si>
  <si>
    <t>Agung Budi Arnanto. s. Com</t>
  </si>
  <si>
    <t>PU</t>
  </si>
  <si>
    <t>000030</t>
  </si>
  <si>
    <t>Agung Prihanto, Ir</t>
  </si>
  <si>
    <t>000031</t>
  </si>
  <si>
    <t>Agung Wicaksono, Ir</t>
  </si>
  <si>
    <t>000032</t>
  </si>
  <si>
    <t xml:space="preserve">Agus Siswoko  Ir </t>
  </si>
  <si>
    <t>PRB</t>
  </si>
  <si>
    <t>000033</t>
  </si>
  <si>
    <t>Agus Salim, Ir</t>
  </si>
  <si>
    <t>000037</t>
  </si>
  <si>
    <t>Agustang, ST</t>
  </si>
  <si>
    <t>BM</t>
  </si>
  <si>
    <t>000039</t>
  </si>
  <si>
    <t>Ahmad Aliyudin</t>
  </si>
  <si>
    <t>MHC</t>
  </si>
  <si>
    <t>000042</t>
  </si>
  <si>
    <t>Ahmad Rifaid, Ir</t>
  </si>
  <si>
    <t>PR</t>
  </si>
  <si>
    <t>000043</t>
  </si>
  <si>
    <t>Ahmad Sariful Anwar, ST.</t>
  </si>
  <si>
    <t>000044</t>
  </si>
  <si>
    <t>Ahmad Yunus</t>
  </si>
  <si>
    <t>000045</t>
  </si>
  <si>
    <t>Ahmad Zakky. ST</t>
  </si>
  <si>
    <t>000048</t>
  </si>
  <si>
    <t>Akhmad Muliaddin</t>
  </si>
  <si>
    <t>PBC</t>
  </si>
  <si>
    <t>000052</t>
  </si>
  <si>
    <t>Alfonsus Susilarso, AMK-C</t>
  </si>
  <si>
    <t>SV</t>
  </si>
  <si>
    <t>000053</t>
  </si>
  <si>
    <t>Ali Akbar Baso, S.T.</t>
  </si>
  <si>
    <t>TP</t>
  </si>
  <si>
    <t>000056</t>
  </si>
  <si>
    <t>Alim Saadi, Ir</t>
  </si>
  <si>
    <t>000059</t>
  </si>
  <si>
    <t>Andi Ardi Abdullah. ST</t>
  </si>
  <si>
    <t>MKSC</t>
  </si>
  <si>
    <t>000060</t>
  </si>
  <si>
    <t>Andi Arman, ST.</t>
  </si>
  <si>
    <t>000062</t>
  </si>
  <si>
    <t>Andi Lama Passesu</t>
  </si>
  <si>
    <t>PSMMO</t>
  </si>
  <si>
    <t>000064</t>
  </si>
  <si>
    <t>Andi Nur Alim Kamal. ST</t>
  </si>
  <si>
    <t>000065</t>
  </si>
  <si>
    <t>Andi P. Siagian . ST</t>
  </si>
  <si>
    <t>BN</t>
  </si>
  <si>
    <t>000067</t>
  </si>
  <si>
    <t>Andri Suryawan, SH.</t>
  </si>
  <si>
    <t>LC</t>
  </si>
  <si>
    <t>000070</t>
  </si>
  <si>
    <t>Anita Magdalena, SH</t>
  </si>
  <si>
    <t>SPI</t>
  </si>
  <si>
    <t>000071</t>
  </si>
  <si>
    <t>000072</t>
  </si>
  <si>
    <t>Antong Goli, ST</t>
  </si>
  <si>
    <t>PK</t>
  </si>
  <si>
    <t>000075</t>
  </si>
  <si>
    <t>Aquarius Setiawan, ST</t>
  </si>
  <si>
    <t>000076</t>
  </si>
  <si>
    <t>Ardhian Budi S.</t>
  </si>
  <si>
    <t>SBU MNO</t>
  </si>
  <si>
    <t>000081</t>
  </si>
  <si>
    <t>Arief Budi Permana, Ir</t>
  </si>
  <si>
    <t>DOK</t>
  </si>
  <si>
    <t>000083</t>
  </si>
  <si>
    <t>Arief Nurtjahjo, Ir</t>
  </si>
  <si>
    <t>000084</t>
  </si>
  <si>
    <t>Arief Rachman</t>
  </si>
  <si>
    <t>SBU ENI</t>
  </si>
  <si>
    <t>000085</t>
  </si>
  <si>
    <t>Arief Sofyan</t>
  </si>
  <si>
    <t>000086</t>
  </si>
  <si>
    <t>Arief Sulistiono, Ir</t>
  </si>
  <si>
    <t>BJ</t>
  </si>
  <si>
    <t>000088</t>
  </si>
  <si>
    <t>Arif Bijaksana Satria N, ST.</t>
  </si>
  <si>
    <t>BMC</t>
  </si>
  <si>
    <t>000089</t>
  </si>
  <si>
    <t>Arif Purwono, ST</t>
  </si>
  <si>
    <t>000091</t>
  </si>
  <si>
    <t>Arif Yunaedi, M.Sc.</t>
  </si>
  <si>
    <t>000094</t>
  </si>
  <si>
    <t>Arifuddin  ST</t>
  </si>
  <si>
    <t>000095</t>
  </si>
  <si>
    <t>Aris Susanto</t>
  </si>
  <si>
    <t>000096</t>
  </si>
  <si>
    <t>Armindary Arief. ST</t>
  </si>
  <si>
    <t>000097</t>
  </si>
  <si>
    <t>Arsalnan Latif, Ir</t>
  </si>
  <si>
    <t>000099</t>
  </si>
  <si>
    <t>Aryo Singgih, M.Mar.E</t>
  </si>
  <si>
    <t>BT</t>
  </si>
  <si>
    <t>000100</t>
  </si>
  <si>
    <t>Asep Supriatna</t>
  </si>
  <si>
    <t>000101</t>
  </si>
  <si>
    <t>Asep Sutrisna S, SH, MM</t>
  </si>
  <si>
    <t>000103</t>
  </si>
  <si>
    <t>Atjeh Nahan, Ing.</t>
  </si>
  <si>
    <t>DP</t>
  </si>
  <si>
    <t>000104</t>
  </si>
  <si>
    <t>Awan Setiawan</t>
  </si>
  <si>
    <t>MAC</t>
  </si>
  <si>
    <t>000111</t>
  </si>
  <si>
    <t>Azwar Firly</t>
  </si>
  <si>
    <t>000112</t>
  </si>
  <si>
    <t>Bagyono</t>
  </si>
  <si>
    <t>000113</t>
  </si>
  <si>
    <t>Bahrun Saad, Ir</t>
  </si>
  <si>
    <t>000114</t>
  </si>
  <si>
    <t>Bakir</t>
  </si>
  <si>
    <t>000116</t>
  </si>
  <si>
    <t>Bambang Hariyadi</t>
  </si>
  <si>
    <t>000117</t>
  </si>
  <si>
    <t>Bambang Irwan</t>
  </si>
  <si>
    <t>000119</t>
  </si>
  <si>
    <t>Bambang Riyanto, Ir</t>
  </si>
  <si>
    <t>000120</t>
  </si>
  <si>
    <t>Bambang Sugiono</t>
  </si>
  <si>
    <t>000121</t>
  </si>
  <si>
    <t>Bambang Sutomo, Ir</t>
  </si>
  <si>
    <t>000122</t>
  </si>
  <si>
    <t>Bambang Tri Suharto, Ir</t>
  </si>
  <si>
    <t>000123</t>
  </si>
  <si>
    <t>Bambang Wardoyo</t>
  </si>
  <si>
    <t>000124</t>
  </si>
  <si>
    <t>Bambang Wijanarko.</t>
  </si>
  <si>
    <t>000125</t>
  </si>
  <si>
    <t>Bawa Prasetyo, ST.</t>
  </si>
  <si>
    <t>000126</t>
  </si>
  <si>
    <t>Benny Hermawan, Ir</t>
  </si>
  <si>
    <t>SD</t>
  </si>
  <si>
    <t>000127</t>
  </si>
  <si>
    <t>Benny Hosbrantas, Drs</t>
  </si>
  <si>
    <t>BP</t>
  </si>
  <si>
    <t>000128</t>
  </si>
  <si>
    <t>Berman Simarmata, Amd</t>
  </si>
  <si>
    <t>000129</t>
  </si>
  <si>
    <t>Bogi Akhmad Suendar</t>
  </si>
  <si>
    <t>000130</t>
  </si>
  <si>
    <t>Budi Isrofi, Ir</t>
  </si>
  <si>
    <t>000131</t>
  </si>
  <si>
    <t>Budi Prakoso, Ir</t>
  </si>
  <si>
    <t>RKRB</t>
  </si>
  <si>
    <t>000133</t>
  </si>
  <si>
    <t>Budi Setiawan</t>
  </si>
  <si>
    <t>000135</t>
  </si>
  <si>
    <t>Budiman Johansyah, S.T</t>
  </si>
  <si>
    <t>BPC</t>
  </si>
  <si>
    <t>000136</t>
  </si>
  <si>
    <t>Burhanuddin</t>
  </si>
  <si>
    <t>000139</t>
  </si>
  <si>
    <t>Catur Achiryanto. St</t>
  </si>
  <si>
    <t>000140</t>
  </si>
  <si>
    <t>Catur Wibowo</t>
  </si>
  <si>
    <t>000141</t>
  </si>
  <si>
    <t>Chalis Umar, Ir.</t>
  </si>
  <si>
    <t>000142</t>
  </si>
  <si>
    <t>Dachlius</t>
  </si>
  <si>
    <t>000143</t>
  </si>
  <si>
    <t>Dandy Rukmana, SE</t>
  </si>
  <si>
    <t>ACD</t>
  </si>
  <si>
    <t>000144</t>
  </si>
  <si>
    <t>Dani Maulana. ST</t>
  </si>
  <si>
    <t>SM</t>
  </si>
  <si>
    <t>000145</t>
  </si>
  <si>
    <t>Darma Toding</t>
  </si>
  <si>
    <t>000148</t>
  </si>
  <si>
    <t>David Noer Syuhada, Ir</t>
  </si>
  <si>
    <t>000149</t>
  </si>
  <si>
    <t>Dede Ma'mun, SE</t>
  </si>
  <si>
    <t>AKP</t>
  </si>
  <si>
    <t>000150</t>
  </si>
  <si>
    <t>Dede Nanda S, ST</t>
  </si>
  <si>
    <t>000151</t>
  </si>
  <si>
    <t>Dedi Megananda, Ir</t>
  </si>
  <si>
    <t>000152</t>
  </si>
  <si>
    <t>Dedy Haryadi</t>
  </si>
  <si>
    <t>000153</t>
  </si>
  <si>
    <t>Defri Sumarwan, ST</t>
  </si>
  <si>
    <t>000156</t>
  </si>
  <si>
    <t>Dermawan</t>
  </si>
  <si>
    <t>000157</t>
  </si>
  <si>
    <t>Desi Hardianawati</t>
  </si>
  <si>
    <t>000158</t>
  </si>
  <si>
    <t>Dian Endang Wahyuni</t>
  </si>
  <si>
    <t>PB</t>
  </si>
  <si>
    <t>000160</t>
  </si>
  <si>
    <t>Didi Kurniadi, Ir</t>
  </si>
  <si>
    <t>000162</t>
  </si>
  <si>
    <t>Diding Suwandi, Ir</t>
  </si>
  <si>
    <t>000163</t>
  </si>
  <si>
    <t>Didiet E Firmansyah.</t>
  </si>
  <si>
    <t>ISPB</t>
  </si>
  <si>
    <t>000164</t>
  </si>
  <si>
    <t>Dino Vito Larasanto</t>
  </si>
  <si>
    <t>000165</t>
  </si>
  <si>
    <t>Dismir Abdoh</t>
  </si>
  <si>
    <t>000166</t>
  </si>
  <si>
    <t>Djoko Wahyudi. Ir</t>
  </si>
  <si>
    <t>SR</t>
  </si>
  <si>
    <t>000167</t>
  </si>
  <si>
    <t>Doan Oskar Dewandaru. Ir</t>
  </si>
  <si>
    <t>AB</t>
  </si>
  <si>
    <t>000168</t>
  </si>
  <si>
    <t>Dody Setiawan</t>
  </si>
  <si>
    <t>000169</t>
  </si>
  <si>
    <t>Donny S. Purba. Drs</t>
  </si>
  <si>
    <t>000170</t>
  </si>
  <si>
    <t>Donny Trisusilo, Ir</t>
  </si>
  <si>
    <t>000172</t>
  </si>
  <si>
    <t>Dwiana Galuh L. ST</t>
  </si>
  <si>
    <t>000175</t>
  </si>
  <si>
    <t>Edwin Olaf J.D ST</t>
  </si>
  <si>
    <t>000178</t>
  </si>
  <si>
    <t>Edy Sutrisno, Ir</t>
  </si>
  <si>
    <t>000179</t>
  </si>
  <si>
    <t>Eka Yuni Ermawati</t>
  </si>
  <si>
    <t>ST</t>
  </si>
  <si>
    <t>000180</t>
  </si>
  <si>
    <t>Eko Buana Putra</t>
  </si>
  <si>
    <t>000181</t>
  </si>
  <si>
    <t>Elis Rosida</t>
  </si>
  <si>
    <t>PKK</t>
  </si>
  <si>
    <t>000183</t>
  </si>
  <si>
    <t>Elva Moch. Ramdhani</t>
  </si>
  <si>
    <t>000184</t>
  </si>
  <si>
    <t>Endah Mustika Ningtyas</t>
  </si>
  <si>
    <t>TJSL</t>
  </si>
  <si>
    <t>000187</t>
  </si>
  <si>
    <t>Endang W</t>
  </si>
  <si>
    <t>000191</t>
  </si>
  <si>
    <t>Erlini Agung, SE</t>
  </si>
  <si>
    <t>KU</t>
  </si>
  <si>
    <t>000192</t>
  </si>
  <si>
    <t>Erry Sanjaya Djayus</t>
  </si>
  <si>
    <t>SEKPER</t>
  </si>
  <si>
    <t>000194</t>
  </si>
  <si>
    <t>Erwin, Ir</t>
  </si>
  <si>
    <t>000195</t>
  </si>
  <si>
    <t>Ery Dani Sampurno, Ir</t>
  </si>
  <si>
    <t>000196</t>
  </si>
  <si>
    <t>Efa Rosida Dwi Aditirta</t>
  </si>
  <si>
    <t>000197</t>
  </si>
  <si>
    <t>Eva Sintauli Saragih, SE</t>
  </si>
  <si>
    <t>000198</t>
  </si>
  <si>
    <t>Fahmi ST</t>
  </si>
  <si>
    <t>000199</t>
  </si>
  <si>
    <t>Fajar Nugraha, Ir</t>
  </si>
  <si>
    <t>000201</t>
  </si>
  <si>
    <t>Farid Rahman, Ir</t>
  </si>
  <si>
    <t>MRKU</t>
  </si>
  <si>
    <t>000203</t>
  </si>
  <si>
    <t>Farrah Mutia. N</t>
  </si>
  <si>
    <t>TI</t>
  </si>
  <si>
    <t>000205</t>
  </si>
  <si>
    <t>Fauzi Akbar Nasution, ST</t>
  </si>
  <si>
    <t>CN</t>
  </si>
  <si>
    <t>000206</t>
  </si>
  <si>
    <t>Febriansyah</t>
  </si>
  <si>
    <t>000207</t>
  </si>
  <si>
    <t>Fernando, Ir</t>
  </si>
  <si>
    <t>000208</t>
  </si>
  <si>
    <t>Ferry Harfianto</t>
  </si>
  <si>
    <t>000210</t>
  </si>
  <si>
    <t>Fikrah Wathani</t>
  </si>
  <si>
    <t>HCS</t>
  </si>
  <si>
    <t>000211</t>
  </si>
  <si>
    <t>Firmansyah</t>
  </si>
  <si>
    <t>000212</t>
  </si>
  <si>
    <t>Fredhi Agung. P Ir</t>
  </si>
  <si>
    <t>000213</t>
  </si>
  <si>
    <t>Guruh M. Amal. ST</t>
  </si>
  <si>
    <t>000214</t>
  </si>
  <si>
    <t>Hadi Santoso.</t>
  </si>
  <si>
    <t>000216</t>
  </si>
  <si>
    <t>Haeruddin</t>
  </si>
  <si>
    <t>000217</t>
  </si>
  <si>
    <t>Hambali Wahid</t>
  </si>
  <si>
    <t>000218</t>
  </si>
  <si>
    <t>Hanief Ridwan A, ST</t>
  </si>
  <si>
    <t>000219</t>
  </si>
  <si>
    <t>Hardi E.P. Siagian. ST</t>
  </si>
  <si>
    <t>000222</t>
  </si>
  <si>
    <t>Harrys Pahala</t>
  </si>
  <si>
    <t>000223</t>
  </si>
  <si>
    <t>Harusia Ismail</t>
  </si>
  <si>
    <t>MKS</t>
  </si>
  <si>
    <t>000225</t>
  </si>
  <si>
    <t>Heintje Angganois, Ir</t>
  </si>
  <si>
    <t>000227</t>
  </si>
  <si>
    <t>Hendra Bagus, K, M.Mer</t>
  </si>
  <si>
    <t>000229</t>
  </si>
  <si>
    <t>Hendra Kusuma, BE</t>
  </si>
  <si>
    <t>000230</t>
  </si>
  <si>
    <t>Hendry Daniel</t>
  </si>
  <si>
    <t>000232</t>
  </si>
  <si>
    <t>Herawati , S</t>
  </si>
  <si>
    <t>000233</t>
  </si>
  <si>
    <t>Herbert SH, Ir</t>
  </si>
  <si>
    <t>M&amp;K</t>
  </si>
  <si>
    <t>000234</t>
  </si>
  <si>
    <t>Herdiman Mustari. ST</t>
  </si>
  <si>
    <t>000235</t>
  </si>
  <si>
    <t>Heri Siswanto, ST</t>
  </si>
  <si>
    <t>000236</t>
  </si>
  <si>
    <t>Heri Wirawan, ST.</t>
  </si>
  <si>
    <t>BNC</t>
  </si>
  <si>
    <t>000239</t>
  </si>
  <si>
    <t>Herry Sudradjat, SH</t>
  </si>
  <si>
    <t>DMH</t>
  </si>
  <si>
    <t>000240</t>
  </si>
  <si>
    <t>Heru Susilo Budiman, Ir</t>
  </si>
  <si>
    <t>000242</t>
  </si>
  <si>
    <t>Hijrawati Muchtar ST</t>
  </si>
  <si>
    <t>000243</t>
  </si>
  <si>
    <t>Himawan</t>
  </si>
  <si>
    <t>000247</t>
  </si>
  <si>
    <t>Ika Dian Ariany</t>
  </si>
  <si>
    <t>000249</t>
  </si>
  <si>
    <t>Ilham Syahrir, ST</t>
  </si>
  <si>
    <t>000250</t>
  </si>
  <si>
    <t>Ilyas</t>
  </si>
  <si>
    <t>000251</t>
  </si>
  <si>
    <t>Ilyas Dangkeng</t>
  </si>
  <si>
    <t>000254</t>
  </si>
  <si>
    <t>Imam Suhadi, BE</t>
  </si>
  <si>
    <t>000255</t>
  </si>
  <si>
    <t>Imran</t>
  </si>
  <si>
    <t>000256</t>
  </si>
  <si>
    <t>Indra Kusuma</t>
  </si>
  <si>
    <t>000257</t>
  </si>
  <si>
    <t>Indra Permana</t>
  </si>
  <si>
    <t>000258</t>
  </si>
  <si>
    <t>ING Arimbawa, Ir</t>
  </si>
  <si>
    <t>000259</t>
  </si>
  <si>
    <t>Iqbal fikri. ir</t>
  </si>
  <si>
    <t>000262</t>
  </si>
  <si>
    <t>Irviandi, Ir</t>
  </si>
  <si>
    <t>RP</t>
  </si>
  <si>
    <t>000263</t>
  </si>
  <si>
    <t>Irwan Eko Santoso, ST</t>
  </si>
  <si>
    <t>000264</t>
  </si>
  <si>
    <t>Irwanto, B.Sc.</t>
  </si>
  <si>
    <t>000265</t>
  </si>
  <si>
    <t>Irzan Azis. ST</t>
  </si>
  <si>
    <t>000266</t>
  </si>
  <si>
    <t>Is Supriati</t>
  </si>
  <si>
    <t>000268</t>
  </si>
  <si>
    <t>Jamaluddin Gani, Drs</t>
  </si>
  <si>
    <t>000270</t>
  </si>
  <si>
    <t>Jesse SR Tarigan</t>
  </si>
  <si>
    <t>000274</t>
  </si>
  <si>
    <t>Joeliantoro, Ir</t>
  </si>
  <si>
    <t>000275</t>
  </si>
  <si>
    <t>Joko Utomo</t>
  </si>
  <si>
    <t>000276</t>
  </si>
  <si>
    <t>Jonas Tahia. Ir</t>
  </si>
  <si>
    <t>000277</t>
  </si>
  <si>
    <t>Joustra Billy, ST.</t>
  </si>
  <si>
    <t>000279</t>
  </si>
  <si>
    <t>Juto Yuwono, Amd.</t>
  </si>
  <si>
    <t>PRC</t>
  </si>
  <si>
    <t>000281</t>
  </si>
  <si>
    <t>Karmila</t>
  </si>
  <si>
    <t>000283</t>
  </si>
  <si>
    <t>Kartika Wijayanti</t>
  </si>
  <si>
    <t>000285</t>
  </si>
  <si>
    <t>Khusaini</t>
  </si>
  <si>
    <t>000289</t>
  </si>
  <si>
    <t>Kokok Yudha Cahyono, ST</t>
  </si>
  <si>
    <t>000290</t>
  </si>
  <si>
    <t>Komariah S.Kom</t>
  </si>
  <si>
    <t>000291</t>
  </si>
  <si>
    <t>Kosim Bin Mari</t>
  </si>
  <si>
    <t>000292</t>
  </si>
  <si>
    <t>Krishna Wijayadi</t>
  </si>
  <si>
    <t>000293</t>
  </si>
  <si>
    <t>Kurnia Firmansyah</t>
  </si>
  <si>
    <t>P&amp;KKO</t>
  </si>
  <si>
    <t>000298</t>
  </si>
  <si>
    <t>Lilah Kurnia Sari, ST</t>
  </si>
  <si>
    <t>000299</t>
  </si>
  <si>
    <t>Lily Pandansari</t>
  </si>
  <si>
    <t>000300</t>
  </si>
  <si>
    <t>Linda Kurniaty</t>
  </si>
  <si>
    <t>000302</t>
  </si>
  <si>
    <t>Lisa</t>
  </si>
  <si>
    <t>000303</t>
  </si>
  <si>
    <t>Lisa Sri Andayani, B.Sc.</t>
  </si>
  <si>
    <t>P&amp;A</t>
  </si>
  <si>
    <t>000304</t>
  </si>
  <si>
    <t>Liza Yuni. ST</t>
  </si>
  <si>
    <t>000305</t>
  </si>
  <si>
    <t>Lukman Hakim. Ir</t>
  </si>
  <si>
    <t>000307</t>
  </si>
  <si>
    <t>M. Arif Kurniawan</t>
  </si>
  <si>
    <t>000308</t>
  </si>
  <si>
    <t>M. Arif Maulana Wiranegar</t>
  </si>
  <si>
    <t>000309</t>
  </si>
  <si>
    <t>Muh Aspar</t>
  </si>
  <si>
    <t>000310</t>
  </si>
  <si>
    <t>M. Basarudin Aspahani, Ir</t>
  </si>
  <si>
    <t>000312</t>
  </si>
  <si>
    <t>M. Iqbal, ST</t>
  </si>
  <si>
    <t>000315</t>
  </si>
  <si>
    <t>M. Natzir</t>
  </si>
  <si>
    <t>SB/2</t>
  </si>
  <si>
    <t>000317</t>
  </si>
  <si>
    <t>M. Nur Ardam</t>
  </si>
  <si>
    <t>000321</t>
  </si>
  <si>
    <t>Mahmur Mochtar, ST</t>
  </si>
  <si>
    <t>000322</t>
  </si>
  <si>
    <t>Mamin Rifia. St</t>
  </si>
  <si>
    <t>000323</t>
  </si>
  <si>
    <t>Manahan. P. Sihombing</t>
  </si>
  <si>
    <t>000324</t>
  </si>
  <si>
    <t>Manggarseta Jatnika, Ir</t>
  </si>
  <si>
    <t>000327</t>
  </si>
  <si>
    <t>Mardiana Muchtar</t>
  </si>
  <si>
    <t>000329</t>
  </si>
  <si>
    <t>Mardini Embun Sari</t>
  </si>
  <si>
    <t>000331</t>
  </si>
  <si>
    <t>Marina Arifianti</t>
  </si>
  <si>
    <t>000333</t>
  </si>
  <si>
    <t>Marthen Tonis</t>
  </si>
  <si>
    <t>000334</t>
  </si>
  <si>
    <t>Martono, ST</t>
  </si>
  <si>
    <t>000336</t>
  </si>
  <si>
    <t>Maskarena Johanis</t>
  </si>
  <si>
    <t>000337</t>
  </si>
  <si>
    <t>Ma'sum, Ir</t>
  </si>
  <si>
    <t>000338</t>
  </si>
  <si>
    <t>Mat Hasan</t>
  </si>
  <si>
    <t>000340</t>
  </si>
  <si>
    <t>Merdiansah</t>
  </si>
  <si>
    <t>000341</t>
  </si>
  <si>
    <t>Mia Martina Indah</t>
  </si>
  <si>
    <t>000342</t>
  </si>
  <si>
    <t>Miftah Faridy, ST</t>
  </si>
  <si>
    <t>000345</t>
  </si>
  <si>
    <t>Misbahudin Aidy, Ir</t>
  </si>
  <si>
    <t>000347</t>
  </si>
  <si>
    <t>Misril</t>
  </si>
  <si>
    <t>000348</t>
  </si>
  <si>
    <t>Moch. Zaky, ST.</t>
  </si>
  <si>
    <t>000351</t>
  </si>
  <si>
    <t>Moh. Furqon, ST.</t>
  </si>
  <si>
    <t>000352</t>
  </si>
  <si>
    <t>Moh. Mukhtar</t>
  </si>
  <si>
    <t>000353</t>
  </si>
  <si>
    <t>Moh. Rico Faridz, Ir</t>
  </si>
  <si>
    <t>IT</t>
  </si>
  <si>
    <t>000354</t>
  </si>
  <si>
    <t>Moh. Sugeng, Ir</t>
  </si>
  <si>
    <t>000355</t>
  </si>
  <si>
    <t>Mohamad Cholil, Ir</t>
  </si>
  <si>
    <t>DIREKSI</t>
  </si>
  <si>
    <t>000361</t>
  </si>
  <si>
    <t>Muflikhin</t>
  </si>
  <si>
    <t>000362</t>
  </si>
  <si>
    <t>Muh. Arfah, Ir</t>
  </si>
  <si>
    <t>000363</t>
  </si>
  <si>
    <t>Muh. Fajrin M. Said ST</t>
  </si>
  <si>
    <t>000364</t>
  </si>
  <si>
    <t>Muh. Idi, Ir</t>
  </si>
  <si>
    <t>000365</t>
  </si>
  <si>
    <t>Muh. Nasir, ST.</t>
  </si>
  <si>
    <t>000366</t>
  </si>
  <si>
    <t>Muh. Saefuddin</t>
  </si>
  <si>
    <t>000367</t>
  </si>
  <si>
    <t>Muh. Sodik ST</t>
  </si>
  <si>
    <t>000369</t>
  </si>
  <si>
    <t>Muhammad Abdul Malik, ST.</t>
  </si>
  <si>
    <t>000370</t>
  </si>
  <si>
    <t>Muhammad Ichsan. ST</t>
  </si>
  <si>
    <t>000374</t>
  </si>
  <si>
    <t>Muhammadiyah ST</t>
  </si>
  <si>
    <t>000376</t>
  </si>
  <si>
    <t>Muhibuddin, ST</t>
  </si>
  <si>
    <t>000378</t>
  </si>
  <si>
    <t>Muhson Nurrochmat</t>
  </si>
  <si>
    <t>000379</t>
  </si>
  <si>
    <t>Mukti Bravita</t>
  </si>
  <si>
    <t>MS</t>
  </si>
  <si>
    <t>000382</t>
  </si>
  <si>
    <t>Mushawwir Razak</t>
  </si>
  <si>
    <t>000383</t>
  </si>
  <si>
    <t>Muslim</t>
  </si>
  <si>
    <t>000384</t>
  </si>
  <si>
    <t>Mustakim ST</t>
  </si>
  <si>
    <t>000385</t>
  </si>
  <si>
    <t>Mustari. Amk. C/MME</t>
  </si>
  <si>
    <t>000386</t>
  </si>
  <si>
    <t>Mut Ali</t>
  </si>
  <si>
    <t>000387</t>
  </si>
  <si>
    <t>Nano L, Ir</t>
  </si>
  <si>
    <t>000388</t>
  </si>
  <si>
    <t>Narso, M.Mer.E</t>
  </si>
  <si>
    <t>000390</t>
  </si>
  <si>
    <t>Nasaruddin, SE</t>
  </si>
  <si>
    <t>000392</t>
  </si>
  <si>
    <t>Nerlan Pasaribu, ST</t>
  </si>
  <si>
    <t>000393</t>
  </si>
  <si>
    <t>Nina Sri Indah Yani</t>
  </si>
  <si>
    <t>000394</t>
  </si>
  <si>
    <t>Noor Kholis</t>
  </si>
  <si>
    <t>CGC</t>
  </si>
  <si>
    <t>000395</t>
  </si>
  <si>
    <t>Nosy Osriat</t>
  </si>
  <si>
    <t>000396</t>
  </si>
  <si>
    <t>Noviansyah Pamungkas</t>
  </si>
  <si>
    <t>000397</t>
  </si>
  <si>
    <t>Nur Hasan Sidiq. ST</t>
  </si>
  <si>
    <t>000398</t>
  </si>
  <si>
    <t>Nur Rahmad Hidayat, ST</t>
  </si>
  <si>
    <t>000402</t>
  </si>
  <si>
    <t>Nurhayati</t>
  </si>
  <si>
    <t>000403</t>
  </si>
  <si>
    <t>Nusirwan</t>
  </si>
  <si>
    <t>000404</t>
  </si>
  <si>
    <t>Nurul Huda</t>
  </si>
  <si>
    <t>000406</t>
  </si>
  <si>
    <t>Ono Haryono</t>
  </si>
  <si>
    <t>000407</t>
  </si>
  <si>
    <t>Pardi</t>
  </si>
  <si>
    <t>000408</t>
  </si>
  <si>
    <t>Pardi Abbas, Ir</t>
  </si>
  <si>
    <t>000411</t>
  </si>
  <si>
    <t>Patunru Pongky, Drs.</t>
  </si>
  <si>
    <t>000412</t>
  </si>
  <si>
    <t>Pieter Petrus Paulus, Ir</t>
  </si>
  <si>
    <t>000413</t>
  </si>
  <si>
    <t>Poegoeh Setiono, Ir</t>
  </si>
  <si>
    <t>000414</t>
  </si>
  <si>
    <t>Prasetyo S.T</t>
  </si>
  <si>
    <t>000417</t>
  </si>
  <si>
    <t>Pujatmanto Bastriadi, S.Sos</t>
  </si>
  <si>
    <t>000419</t>
  </si>
  <si>
    <t>Purwantia</t>
  </si>
  <si>
    <t>000420</t>
  </si>
  <si>
    <t>Putri Nurlaksmi. SE</t>
  </si>
  <si>
    <t>000421</t>
  </si>
  <si>
    <t>R. Agus Doddy Dwisagita.</t>
  </si>
  <si>
    <t>000422</t>
  </si>
  <si>
    <t>R. Sapto Agung. P</t>
  </si>
  <si>
    <t>000423</t>
  </si>
  <si>
    <t>R.M. Kurnaefi</t>
  </si>
  <si>
    <t>000425</t>
  </si>
  <si>
    <t>Rachmadi S., Ir</t>
  </si>
  <si>
    <t>000426</t>
  </si>
  <si>
    <t>Rachmat Kurniawan</t>
  </si>
  <si>
    <t>000427</t>
  </si>
  <si>
    <t>Rahmatullah</t>
  </si>
  <si>
    <t>000428</t>
  </si>
  <si>
    <t>Radjin Sitorus</t>
  </si>
  <si>
    <t>000430</t>
  </si>
  <si>
    <t>Rahadi Sigit</t>
  </si>
  <si>
    <t>000431</t>
  </si>
  <si>
    <t>Rahmadani</t>
  </si>
  <si>
    <t>000432</t>
  </si>
  <si>
    <t>Rahman Susilo</t>
  </si>
  <si>
    <t>000434</t>
  </si>
  <si>
    <t>Ratna Dewi</t>
  </si>
  <si>
    <t>000435</t>
  </si>
  <si>
    <t>Ratna Nurcahya</t>
  </si>
  <si>
    <t>000436</t>
  </si>
  <si>
    <t>Ratna S. Rini</t>
  </si>
  <si>
    <t>000437</t>
  </si>
  <si>
    <t>Reni P Simatupang</t>
  </si>
  <si>
    <t>000439</t>
  </si>
  <si>
    <t>Ridhayani</t>
  </si>
  <si>
    <t>000440</t>
  </si>
  <si>
    <t>Ridwan Arifin, ST</t>
  </si>
  <si>
    <t>000441</t>
  </si>
  <si>
    <t>Ridwan Djajanto, Ir (Ketuker simpanan pokok sama pak Rachmadi)</t>
  </si>
  <si>
    <t>000442</t>
  </si>
  <si>
    <t>Rima Novedia  Bangun, Ir</t>
  </si>
  <si>
    <t>000443</t>
  </si>
  <si>
    <t>Rino Yan Cahyo, SE</t>
  </si>
  <si>
    <t>000445</t>
  </si>
  <si>
    <t>Riska Tri Handayani</t>
  </si>
  <si>
    <t>A&amp;P</t>
  </si>
  <si>
    <t>000446</t>
  </si>
  <si>
    <t>Riyanto</t>
  </si>
  <si>
    <t>000447</t>
  </si>
  <si>
    <t>Rizal Febrianto</t>
  </si>
  <si>
    <t>000448</t>
  </si>
  <si>
    <t>Rochmansyah</t>
  </si>
  <si>
    <t>000449</t>
  </si>
  <si>
    <t>Romillo Libra Setiadi</t>
  </si>
  <si>
    <t>000451</t>
  </si>
  <si>
    <t>Roni Karuniawan</t>
  </si>
  <si>
    <t>000453</t>
  </si>
  <si>
    <t>Rosalina Amran, SE</t>
  </si>
  <si>
    <t>000457</t>
  </si>
  <si>
    <t>Roynald Matahelumual</t>
  </si>
  <si>
    <t>000459</t>
  </si>
  <si>
    <t>Rudi Haryanto</t>
  </si>
  <si>
    <t>000460</t>
  </si>
  <si>
    <t>Rudy Sunaryadi , Ir</t>
  </si>
  <si>
    <t>000463</t>
  </si>
  <si>
    <t>Rusdin Haluddin  Ir</t>
  </si>
  <si>
    <t>000464</t>
  </si>
  <si>
    <t>Sabaruddin</t>
  </si>
  <si>
    <t>000465</t>
  </si>
  <si>
    <t>Sabrina Mutiara Fani</t>
  </si>
  <si>
    <t>000466</t>
  </si>
  <si>
    <t>Sjaifuddin, M.SC</t>
  </si>
  <si>
    <t>000467</t>
  </si>
  <si>
    <t>Safiuddin, ST</t>
  </si>
  <si>
    <t>000468</t>
  </si>
  <si>
    <t>Safril</t>
  </si>
  <si>
    <t>000469</t>
  </si>
  <si>
    <t>Saifoedin, ir</t>
  </si>
  <si>
    <t>000470</t>
  </si>
  <si>
    <t>Saifuddin Wijaya, Ir</t>
  </si>
  <si>
    <t>000471</t>
  </si>
  <si>
    <t>Salvinus Patangke, Ir</t>
  </si>
  <si>
    <t>000472</t>
  </si>
  <si>
    <t>Samsul Arif. ST</t>
  </si>
  <si>
    <t>000474</t>
  </si>
  <si>
    <t>Saptono</t>
  </si>
  <si>
    <t>000476</t>
  </si>
  <si>
    <t>Sari Putri Pertiwi</t>
  </si>
  <si>
    <t>000477</t>
  </si>
  <si>
    <t>Saridi</t>
  </si>
  <si>
    <t>000479</t>
  </si>
  <si>
    <t>Sefia Helmina, ST</t>
  </si>
  <si>
    <t>000481</t>
  </si>
  <si>
    <t>Shindu Purwanto, Ir</t>
  </si>
  <si>
    <t>JB</t>
  </si>
  <si>
    <t>000482</t>
  </si>
  <si>
    <t>Sigit Prastowo, Ir</t>
  </si>
  <si>
    <t>000485</t>
  </si>
  <si>
    <t>Siswanto ,ST</t>
  </si>
  <si>
    <t>000487</t>
  </si>
  <si>
    <t>Siti Komariah. ir</t>
  </si>
  <si>
    <t>000494</t>
  </si>
  <si>
    <t>Sofyan Hadi. ST</t>
  </si>
  <si>
    <t>000495</t>
  </si>
  <si>
    <t>Soleh Abidin</t>
  </si>
  <si>
    <t>000498</t>
  </si>
  <si>
    <t>Sri Atik, Dra</t>
  </si>
  <si>
    <t>000499</t>
  </si>
  <si>
    <t>Sri Dewi Amalia, Ir</t>
  </si>
  <si>
    <t>000500</t>
  </si>
  <si>
    <t>Sri Jatmiko, Ir</t>
  </si>
  <si>
    <t>000501</t>
  </si>
  <si>
    <t>Sri Mulyanti</t>
  </si>
  <si>
    <t>000502</t>
  </si>
  <si>
    <t>Sri Rachmi Andayani, Ir</t>
  </si>
  <si>
    <t>000505</t>
  </si>
  <si>
    <t>Sriyati</t>
  </si>
  <si>
    <t>000506</t>
  </si>
  <si>
    <t>Su'ad Syuhada, SE, MM</t>
  </si>
  <si>
    <t>000507</t>
  </si>
  <si>
    <t>Subur</t>
  </si>
  <si>
    <t>000510</t>
  </si>
  <si>
    <t>Sudirman, SE</t>
  </si>
  <si>
    <t>000511</t>
  </si>
  <si>
    <t>Sudiro, A.md.</t>
  </si>
  <si>
    <t>000512</t>
  </si>
  <si>
    <t>Sugeng Yulianto, Ir</t>
  </si>
  <si>
    <t>000513</t>
  </si>
  <si>
    <t>Suhar Chandra Kurniawan, ST</t>
  </si>
  <si>
    <t>000514</t>
  </si>
  <si>
    <t>Suherman Sardi</t>
  </si>
  <si>
    <t>000515</t>
  </si>
  <si>
    <t>Suhita Wardani, SE</t>
  </si>
  <si>
    <t>000516</t>
  </si>
  <si>
    <t>Suismono</t>
  </si>
  <si>
    <t>000517</t>
  </si>
  <si>
    <t>Sukadi Redji</t>
  </si>
  <si>
    <t>000518</t>
  </si>
  <si>
    <t>Sukiyo, Drs</t>
  </si>
  <si>
    <t>000519</t>
  </si>
  <si>
    <t>Sukma Maharani, ST</t>
  </si>
  <si>
    <t>000520</t>
  </si>
  <si>
    <t>Sukria</t>
  </si>
  <si>
    <t>000521</t>
  </si>
  <si>
    <t>Sukron Makmun ST</t>
  </si>
  <si>
    <t>000522</t>
  </si>
  <si>
    <t>Sulaeman</t>
  </si>
  <si>
    <t>KOP</t>
  </si>
  <si>
    <t>000523</t>
  </si>
  <si>
    <t>Sulaiman Bulahari</t>
  </si>
  <si>
    <t>000524</t>
  </si>
  <si>
    <t>Sulasman Ardi, Ir.</t>
  </si>
  <si>
    <t>000526</t>
  </si>
  <si>
    <t>Sulthan Said, M.Sc.</t>
  </si>
  <si>
    <t>000527</t>
  </si>
  <si>
    <t>Sumartini</t>
  </si>
  <si>
    <t>000529</t>
  </si>
  <si>
    <t>Sunaryoko, Ir</t>
  </si>
  <si>
    <t>000530</t>
  </si>
  <si>
    <t>Supardi, SE</t>
  </si>
  <si>
    <t>000531</t>
  </si>
  <si>
    <t>Suprapti</t>
  </si>
  <si>
    <t>000533</t>
  </si>
  <si>
    <t>Suratman, Drs</t>
  </si>
  <si>
    <t>000534</t>
  </si>
  <si>
    <t>Suriaty Paramita Putri, ST</t>
  </si>
  <si>
    <t>000535</t>
  </si>
  <si>
    <t>Suroso Tumidiono</t>
  </si>
  <si>
    <t>000536</t>
  </si>
  <si>
    <t>Suroyo</t>
  </si>
  <si>
    <t>000538</t>
  </si>
  <si>
    <t>Suryanto</t>
  </si>
  <si>
    <t>000539</t>
  </si>
  <si>
    <t>Susetyo Wijanarko</t>
  </si>
  <si>
    <t>000541</t>
  </si>
  <si>
    <t>Sutrisno</t>
  </si>
  <si>
    <t>000542</t>
  </si>
  <si>
    <t>Suwandi, Ir</t>
  </si>
  <si>
    <t>000543</t>
  </si>
  <si>
    <t>Suyani</t>
  </si>
  <si>
    <t>000544</t>
  </si>
  <si>
    <t>Syahruddin Nur, Ir</t>
  </si>
  <si>
    <t>000545</t>
  </si>
  <si>
    <t>Syahlir</t>
  </si>
  <si>
    <t>000547</t>
  </si>
  <si>
    <t>Syamsul Bahri, Ir</t>
  </si>
  <si>
    <t>000548</t>
  </si>
  <si>
    <t>Syarif Hidayat</t>
  </si>
  <si>
    <t>000549</t>
  </si>
  <si>
    <t>Syarif, Ir</t>
  </si>
  <si>
    <t>000550</t>
  </si>
  <si>
    <t>Tantyo Prayogo, Ir</t>
  </si>
  <si>
    <t>000552</t>
  </si>
  <si>
    <t>Taufik Hidayat, SE, MM.</t>
  </si>
  <si>
    <t>000554</t>
  </si>
  <si>
    <t>Teguh Andani S.Sos</t>
  </si>
  <si>
    <t>000555</t>
  </si>
  <si>
    <t>Teguh Budi Santoso. Ir</t>
  </si>
  <si>
    <t>000557</t>
  </si>
  <si>
    <t>Teko Prantoko, Ir</t>
  </si>
  <si>
    <t>000558</t>
  </si>
  <si>
    <t>Togap Hidayat. Ir</t>
  </si>
  <si>
    <t>000560</t>
  </si>
  <si>
    <t>Toni Syarif Hidayat</t>
  </si>
  <si>
    <t>000561</t>
  </si>
  <si>
    <t>Topan Firmandha. ST</t>
  </si>
  <si>
    <t>000562</t>
  </si>
  <si>
    <t>Totok Achmad, Ir</t>
  </si>
  <si>
    <t>000563</t>
  </si>
  <si>
    <t>Tri Buana Galaxi</t>
  </si>
  <si>
    <t>000564</t>
  </si>
  <si>
    <t>Tri Januar Pratama</t>
  </si>
  <si>
    <t>000565</t>
  </si>
  <si>
    <t>Tri Laksono, Ir</t>
  </si>
  <si>
    <t>000567</t>
  </si>
  <si>
    <t>Triyono Samuel, ST.</t>
  </si>
  <si>
    <t>000570</t>
  </si>
  <si>
    <t>Untung Prasetyo</t>
  </si>
  <si>
    <t>000571</t>
  </si>
  <si>
    <t>Vecky Budiman CI</t>
  </si>
  <si>
    <t>000573</t>
  </si>
  <si>
    <t>Wahidin</t>
  </si>
  <si>
    <t>000574</t>
  </si>
  <si>
    <t>Wahjoe Ario Tedjo, Ir</t>
  </si>
  <si>
    <t>PKC</t>
  </si>
  <si>
    <t>000575</t>
  </si>
  <si>
    <t>Wahyu Priambodo, ST.</t>
  </si>
  <si>
    <t>000579</t>
  </si>
  <si>
    <t>Wasito Abdul Mukit, Ir</t>
  </si>
  <si>
    <t>000581</t>
  </si>
  <si>
    <t>Wawan Priya Widyanta</t>
  </si>
  <si>
    <t>000582</t>
  </si>
  <si>
    <t>Wawan Sulaeman</t>
  </si>
  <si>
    <t>000584</t>
  </si>
  <si>
    <t>Wibisono R.  Ir</t>
  </si>
  <si>
    <t>000585</t>
  </si>
  <si>
    <t>Widodo</t>
  </si>
  <si>
    <t>000586</t>
  </si>
  <si>
    <t>Winarto</t>
  </si>
  <si>
    <t>000587</t>
  </si>
  <si>
    <t>Wiyono, Ir</t>
  </si>
  <si>
    <t>000589</t>
  </si>
  <si>
    <t>Yansen Miri, Ir</t>
  </si>
  <si>
    <t>000593</t>
  </si>
  <si>
    <t>Yohana Kaonseng</t>
  </si>
  <si>
    <t>000594</t>
  </si>
  <si>
    <t>Yudas Pasomba</t>
  </si>
  <si>
    <t>PPO</t>
  </si>
  <si>
    <t>000595</t>
  </si>
  <si>
    <t>Yudhi Ardikusuma AMK-C.</t>
  </si>
  <si>
    <t>000596</t>
  </si>
  <si>
    <t>Yudi Wasianto, Ir</t>
  </si>
  <si>
    <t>000597</t>
  </si>
  <si>
    <t>Yulia Dian Anggraini</t>
  </si>
  <si>
    <t>000598</t>
  </si>
  <si>
    <t>Yulian Apriyanto. Ir</t>
  </si>
  <si>
    <t>000599</t>
  </si>
  <si>
    <t>Yulid Anji. ST</t>
  </si>
  <si>
    <t>000603</t>
  </si>
  <si>
    <t>Yusfi Noer Aryani</t>
  </si>
  <si>
    <t>000604</t>
  </si>
  <si>
    <t>Yusman Susa</t>
  </si>
  <si>
    <t>000621</t>
  </si>
  <si>
    <t>Edo Dody Handradi, ST.</t>
  </si>
  <si>
    <t>000624</t>
  </si>
  <si>
    <t>Marwanto</t>
  </si>
  <si>
    <t>000626</t>
  </si>
  <si>
    <t>Ratih Putri Arifianti, ST</t>
  </si>
  <si>
    <t>000630</t>
  </si>
  <si>
    <t>Andi Gunawan Sunre</t>
  </si>
  <si>
    <t>000632</t>
  </si>
  <si>
    <t>Umar Agus Irianto</t>
  </si>
  <si>
    <t>000635</t>
  </si>
  <si>
    <t>Sumardi (Sopir)</t>
  </si>
  <si>
    <t>000636</t>
  </si>
  <si>
    <t>Awaludin Painging, ST.</t>
  </si>
  <si>
    <t>000638</t>
  </si>
  <si>
    <t>Fitriani A. Md.</t>
  </si>
  <si>
    <t>000639</t>
  </si>
  <si>
    <t>M. Rizky Purnama</t>
  </si>
  <si>
    <t>000641</t>
  </si>
  <si>
    <t>Renza Muharam</t>
  </si>
  <si>
    <t>000643</t>
  </si>
  <si>
    <t>000646</t>
  </si>
  <si>
    <t>Adhi kholidin</t>
  </si>
  <si>
    <t>000647</t>
  </si>
  <si>
    <t>Adi Yudho Wijayanto, ST</t>
  </si>
  <si>
    <t>000648</t>
  </si>
  <si>
    <t>Agris Setyawan, ST.</t>
  </si>
  <si>
    <t>000649</t>
  </si>
  <si>
    <t>Ahmad Syaifulloh</t>
  </si>
  <si>
    <t>000650</t>
  </si>
  <si>
    <t>Andre Guntur Teguh WS, ST.</t>
  </si>
  <si>
    <t>000651</t>
  </si>
  <si>
    <t>Angga Santoso</t>
  </si>
  <si>
    <t>000652</t>
  </si>
  <si>
    <t>Angga Yustiawan, ST.</t>
  </si>
  <si>
    <t>000653</t>
  </si>
  <si>
    <t>Angjuang Adi Panju P. , ST.</t>
  </si>
  <si>
    <t>000655</t>
  </si>
  <si>
    <t>Bambang Tri Nugroho</t>
  </si>
  <si>
    <t>BJC</t>
  </si>
  <si>
    <t>000656</t>
  </si>
  <si>
    <t>Bayu Mahardika W, ST.</t>
  </si>
  <si>
    <t>000658</t>
  </si>
  <si>
    <t>Bobby A. Novrianto</t>
  </si>
  <si>
    <t>000660</t>
  </si>
  <si>
    <t>Budi Fitriawan, ST.</t>
  </si>
  <si>
    <t>000661</t>
  </si>
  <si>
    <t>Budiwansyah</t>
  </si>
  <si>
    <t>000662</t>
  </si>
  <si>
    <t>Busrol</t>
  </si>
  <si>
    <t>000663</t>
  </si>
  <si>
    <t>Donny Putra Santika</t>
  </si>
  <si>
    <t>000664</t>
  </si>
  <si>
    <t>Eko Maja Priyanto, ST.</t>
  </si>
  <si>
    <t>000665</t>
  </si>
  <si>
    <t>Fachruddin, ST.</t>
  </si>
  <si>
    <t>000666</t>
  </si>
  <si>
    <t>Fachruddin Nur, ST.</t>
  </si>
  <si>
    <t>000667</t>
  </si>
  <si>
    <t>Firmansyah Putra AM, ST.</t>
  </si>
  <si>
    <t>000669</t>
  </si>
  <si>
    <t>Hendra, ST,</t>
  </si>
  <si>
    <t>000671</t>
  </si>
  <si>
    <t>Hendra Saputra</t>
  </si>
  <si>
    <t>000672</t>
  </si>
  <si>
    <t>I Gusti Ngurah Wira P, ST.</t>
  </si>
  <si>
    <t>000676</t>
  </si>
  <si>
    <t>Indra Mariska Amd.</t>
  </si>
  <si>
    <t>000679</t>
  </si>
  <si>
    <t>Kartika Kushendra, Dr.</t>
  </si>
  <si>
    <t>MNO</t>
  </si>
  <si>
    <t>000680</t>
  </si>
  <si>
    <t>Khairul Akbar ST.</t>
  </si>
  <si>
    <t>000681</t>
  </si>
  <si>
    <t>LA Ode Abdul Rahman F, ST.</t>
  </si>
  <si>
    <t>000683</t>
  </si>
  <si>
    <t>M. Yudi Oktavianto, ST.</t>
  </si>
  <si>
    <t>000684</t>
  </si>
  <si>
    <t>Mahesa Saga, ST.</t>
  </si>
  <si>
    <t>000685</t>
  </si>
  <si>
    <t>Muh. Asqar, ST.</t>
  </si>
  <si>
    <t>000686</t>
  </si>
  <si>
    <t>Muhammad Irfan, ST.</t>
  </si>
  <si>
    <t>000689</t>
  </si>
  <si>
    <t>Neni Yuniarti</t>
  </si>
  <si>
    <t>000690</t>
  </si>
  <si>
    <t>Nevi Eko Yuliananto, ST.</t>
  </si>
  <si>
    <t>000691</t>
  </si>
  <si>
    <t>Noah Cahyasasnita, ST.</t>
  </si>
  <si>
    <t>000692</t>
  </si>
  <si>
    <t>Ridwan Ahmad Fauzi, ST.</t>
  </si>
  <si>
    <t>000693</t>
  </si>
  <si>
    <t>Riska Deriani M, ST.</t>
  </si>
  <si>
    <t>000694</t>
  </si>
  <si>
    <t>Riswan Akbar, ST.</t>
  </si>
  <si>
    <t>000695</t>
  </si>
  <si>
    <t>Ruri Apridah</t>
  </si>
  <si>
    <t>000696</t>
  </si>
  <si>
    <t>Sigit Suhakso</t>
  </si>
  <si>
    <t>000699</t>
  </si>
  <si>
    <t>Suwandy, ST.</t>
  </si>
  <si>
    <t>000700</t>
  </si>
  <si>
    <t>Syari Dodi A.Yani</t>
  </si>
  <si>
    <t>000701</t>
  </si>
  <si>
    <t>Syariful Mahsyar, ST.</t>
  </si>
  <si>
    <t>000702</t>
  </si>
  <si>
    <t>Trian Indrawan, ST.</t>
  </si>
  <si>
    <t>000703</t>
  </si>
  <si>
    <t>Wanginingastuti M, ST.</t>
  </si>
  <si>
    <t>000705</t>
  </si>
  <si>
    <t>Zainal ST.</t>
  </si>
  <si>
    <t>000706</t>
  </si>
  <si>
    <t>Jakaria</t>
  </si>
  <si>
    <t>000707</t>
  </si>
  <si>
    <t>Hendro Lukito</t>
  </si>
  <si>
    <t>000711</t>
  </si>
  <si>
    <t>Lucky Lukman Nur Hakim</t>
  </si>
  <si>
    <t>BALIKPAPAN</t>
  </si>
  <si>
    <t>000712</t>
  </si>
  <si>
    <t>Hendry Kurniawan</t>
  </si>
  <si>
    <t>000714</t>
  </si>
  <si>
    <t>Capt. Iman Satria Utama</t>
  </si>
  <si>
    <t>000716</t>
  </si>
  <si>
    <t>Muhammad Rizky Satrio</t>
  </si>
  <si>
    <t>000727</t>
  </si>
  <si>
    <t>Abdur Rahman, S.T</t>
  </si>
  <si>
    <t>000728</t>
  </si>
  <si>
    <t>Sari Gita Tantini</t>
  </si>
  <si>
    <t>000729</t>
  </si>
  <si>
    <t>Dwi Cahyo Kurniawan</t>
  </si>
  <si>
    <t>000730</t>
  </si>
  <si>
    <t>Bayu Indra Purbaya</t>
  </si>
  <si>
    <t>000731</t>
  </si>
  <si>
    <t>Riki Sanjaya</t>
  </si>
  <si>
    <t>000743</t>
  </si>
  <si>
    <t>Agus Sunarto</t>
  </si>
  <si>
    <t>000744</t>
  </si>
  <si>
    <t>May Setiawan</t>
  </si>
  <si>
    <t>000746</t>
  </si>
  <si>
    <t>Slamet Apriadi</t>
  </si>
  <si>
    <t>000747</t>
  </si>
  <si>
    <t>Agah Dirgapatria D, ST</t>
  </si>
  <si>
    <t>000748</t>
  </si>
  <si>
    <t>Afif Amrullah, ST</t>
  </si>
  <si>
    <t>000749</t>
  </si>
  <si>
    <t>Andik Eko Saputro, ST</t>
  </si>
  <si>
    <t>000750</t>
  </si>
  <si>
    <t>Nomo Prihasta, ST</t>
  </si>
  <si>
    <t>000751</t>
  </si>
  <si>
    <t>Wawan Widiatmoko, ST</t>
  </si>
  <si>
    <t>000752</t>
  </si>
  <si>
    <t>Taufik Akbar, ST</t>
  </si>
  <si>
    <t>000753</t>
  </si>
  <si>
    <t>Abdul Kholick, ST</t>
  </si>
  <si>
    <t>000754</t>
  </si>
  <si>
    <t>Agus Ericson Sianipar, ST</t>
  </si>
  <si>
    <t>000755</t>
  </si>
  <si>
    <t>Alfan Fadhli, ST</t>
  </si>
  <si>
    <t>000757</t>
  </si>
  <si>
    <t>Amir Hamzah, ST</t>
  </si>
  <si>
    <t>000759</t>
  </si>
  <si>
    <t>Arifin Gustian Pramoko, ST</t>
  </si>
  <si>
    <t>000760</t>
  </si>
  <si>
    <t>Eka Nanda Pratama S, ST</t>
  </si>
  <si>
    <t>000761</t>
  </si>
  <si>
    <t>Ferry Fadli, ST</t>
  </si>
  <si>
    <t>000762</t>
  </si>
  <si>
    <t>Fuad Umar Faisal, ST</t>
  </si>
  <si>
    <t>000763</t>
  </si>
  <si>
    <t>Gary Simon</t>
  </si>
  <si>
    <t>000764</t>
  </si>
  <si>
    <t>I Nyoman Eriksandika P, ST</t>
  </si>
  <si>
    <t>000765</t>
  </si>
  <si>
    <t>La Ode Abdul Haslan P, ST</t>
  </si>
  <si>
    <t>000766</t>
  </si>
  <si>
    <t>Sandi Nandarianto, ST</t>
  </si>
  <si>
    <t>000767</t>
  </si>
  <si>
    <t>Sang Lanang S, ST</t>
  </si>
  <si>
    <t>000768</t>
  </si>
  <si>
    <t>Sigit Pamungkas, ST</t>
  </si>
  <si>
    <t>000769</t>
  </si>
  <si>
    <t>Yogia Rivaldhi, ST</t>
  </si>
  <si>
    <t>000770</t>
  </si>
  <si>
    <t>Bambang Firdiansyah H. K, ST</t>
  </si>
  <si>
    <t>000771</t>
  </si>
  <si>
    <t>I Gusti Putu Suantara, ST</t>
  </si>
  <si>
    <t>000773</t>
  </si>
  <si>
    <t xml:space="preserve">Septi Wulandari, </t>
  </si>
  <si>
    <t>000774</t>
  </si>
  <si>
    <t>Irawati, ST</t>
  </si>
  <si>
    <t>000775</t>
  </si>
  <si>
    <t>Gde Sandhyana P, S.KOM</t>
  </si>
  <si>
    <t>000776</t>
  </si>
  <si>
    <t>Ndaru Triwibowo</t>
  </si>
  <si>
    <t>000778</t>
  </si>
  <si>
    <t>Misbahul Munir</t>
  </si>
  <si>
    <t>000780</t>
  </si>
  <si>
    <t>Hardian, S.KOM.</t>
  </si>
  <si>
    <t>000781</t>
  </si>
  <si>
    <t>Muhamad Sofian Ibrahim</t>
  </si>
  <si>
    <t>000788</t>
  </si>
  <si>
    <t>Aziz Husain</t>
  </si>
  <si>
    <t>000789</t>
  </si>
  <si>
    <t>Aziza</t>
  </si>
  <si>
    <t>000791</t>
  </si>
  <si>
    <t>Agiyani Permana Putra</t>
  </si>
  <si>
    <t>000792</t>
  </si>
  <si>
    <t>Agung Prasetyo</t>
  </si>
  <si>
    <t>000793</t>
  </si>
  <si>
    <t>Apriansyah</t>
  </si>
  <si>
    <t>000794</t>
  </si>
  <si>
    <t>M. Abdurrahman Ali</t>
  </si>
  <si>
    <t>000795</t>
  </si>
  <si>
    <t>Sahdat Farma Ridho</t>
  </si>
  <si>
    <t>000796</t>
  </si>
  <si>
    <t>Yulia Fajri Kinanti</t>
  </si>
  <si>
    <t>000797</t>
  </si>
  <si>
    <t>Itqan Harchia</t>
  </si>
  <si>
    <t>000798</t>
  </si>
  <si>
    <t>Holis Nor Aini</t>
  </si>
  <si>
    <t>000799</t>
  </si>
  <si>
    <t>Muchlis Rachman, S.Kom.</t>
  </si>
  <si>
    <t>000801</t>
  </si>
  <si>
    <t>Ahmad Barnes</t>
  </si>
  <si>
    <t>000805</t>
  </si>
  <si>
    <t>M. Rahmat Akbar Ramadhan, S.KOM.</t>
  </si>
  <si>
    <t>000807</t>
  </si>
  <si>
    <t>Tri Budiyanto</t>
  </si>
  <si>
    <t>000809</t>
  </si>
  <si>
    <t>Atika Nurhikmah</t>
  </si>
  <si>
    <t>000815</t>
  </si>
  <si>
    <t>Muslim Dermawan B</t>
  </si>
  <si>
    <t>000817</t>
  </si>
  <si>
    <t>Sadi Wijaya</t>
  </si>
  <si>
    <t>000818</t>
  </si>
  <si>
    <t>Edit Hasta Prihantika</t>
  </si>
  <si>
    <t>000819</t>
  </si>
  <si>
    <t>Satria Aldi Permana</t>
  </si>
  <si>
    <t>000820</t>
  </si>
  <si>
    <t>Azhar Ghifari</t>
  </si>
  <si>
    <t>000822</t>
  </si>
  <si>
    <t>Andi Dina</t>
  </si>
  <si>
    <t>000824</t>
  </si>
  <si>
    <t>Rudiyanto, Ir</t>
  </si>
  <si>
    <t>000827</t>
  </si>
  <si>
    <t>Krisna jaya Pratama</t>
  </si>
  <si>
    <t>000828</t>
  </si>
  <si>
    <t>M. Radiansyah</t>
  </si>
  <si>
    <t>000829</t>
  </si>
  <si>
    <t xml:space="preserve">Sahat </t>
  </si>
  <si>
    <t>000830</t>
  </si>
  <si>
    <t>Feriza Yusfi</t>
  </si>
  <si>
    <t>000831</t>
  </si>
  <si>
    <t>Dian Febrian, S.T</t>
  </si>
  <si>
    <t>000832</t>
  </si>
  <si>
    <t>Andi Dian Eka Anggriani, S.T</t>
  </si>
  <si>
    <t>000833</t>
  </si>
  <si>
    <t>Rizki Aldila Tamtura, S.T</t>
  </si>
  <si>
    <t>000834</t>
  </si>
  <si>
    <t>Deborah Nindya Pawestri, SH</t>
  </si>
  <si>
    <t>000835</t>
  </si>
  <si>
    <t>Willy Adi Nugroho, SH</t>
  </si>
  <si>
    <t>000837</t>
  </si>
  <si>
    <t>Faulincia, S.T</t>
  </si>
  <si>
    <t>000839</t>
  </si>
  <si>
    <t>Lutfi Palam Paraya, S.T</t>
  </si>
  <si>
    <t>000842</t>
  </si>
  <si>
    <t>Muhamad Baqi, S.T</t>
  </si>
  <si>
    <t>000843</t>
  </si>
  <si>
    <t>Rangsang Kusumadilaga, S.T</t>
  </si>
  <si>
    <t>000844</t>
  </si>
  <si>
    <t>Septian Aji Dewangkara</t>
  </si>
  <si>
    <t>000845</t>
  </si>
  <si>
    <t>Setiono Prabowo, S.T</t>
  </si>
  <si>
    <t>000846</t>
  </si>
  <si>
    <t>Tesi Hidayati</t>
  </si>
  <si>
    <t>000849</t>
  </si>
  <si>
    <t>Timbul Tambunan</t>
  </si>
  <si>
    <t>000851</t>
  </si>
  <si>
    <t>Andri Rezeki</t>
  </si>
  <si>
    <t>000855</t>
  </si>
  <si>
    <t>Edi Zulkarnain</t>
  </si>
  <si>
    <t>000856</t>
  </si>
  <si>
    <t>Brams Firnandes</t>
  </si>
  <si>
    <t>000857</t>
  </si>
  <si>
    <t>Fauzi S, ST</t>
  </si>
  <si>
    <t>000858</t>
  </si>
  <si>
    <t>Stefani Nur Fitri</t>
  </si>
  <si>
    <t>000859</t>
  </si>
  <si>
    <t>Samsul Muslim</t>
  </si>
  <si>
    <t>000861</t>
  </si>
  <si>
    <t>M. Adityo Nugroho</t>
  </si>
  <si>
    <t>000862</t>
  </si>
  <si>
    <t>Dedie Achmad Wahyono</t>
  </si>
  <si>
    <t>000863</t>
  </si>
  <si>
    <t>Bonor Samuel Charles</t>
  </si>
  <si>
    <t>000864</t>
  </si>
  <si>
    <t>M. Setiawan</t>
  </si>
  <si>
    <t>000868</t>
  </si>
  <si>
    <t>Saepul</t>
  </si>
  <si>
    <t>000869</t>
  </si>
  <si>
    <t>Annissa Fadhillah</t>
  </si>
  <si>
    <t>000870</t>
  </si>
  <si>
    <t>Rudi Arfiansyah</t>
  </si>
  <si>
    <t>000871</t>
  </si>
  <si>
    <t>Yudi Prawoto</t>
  </si>
  <si>
    <t>000872</t>
  </si>
  <si>
    <t>Efry Tallamma</t>
  </si>
  <si>
    <t>000873</t>
  </si>
  <si>
    <t>Sudarma Edy Saragih</t>
  </si>
  <si>
    <t>000874</t>
  </si>
  <si>
    <t>Alwin Ridwan</t>
  </si>
  <si>
    <t>000875</t>
  </si>
  <si>
    <t>Berselina</t>
  </si>
  <si>
    <t>000876</t>
  </si>
  <si>
    <t>Fatkhurrohman</t>
  </si>
  <si>
    <t>000877</t>
  </si>
  <si>
    <t>Fikram Sudarmadi</t>
  </si>
  <si>
    <t>000878</t>
  </si>
  <si>
    <t>Ishak Christian Megawe</t>
  </si>
  <si>
    <t>000879</t>
  </si>
  <si>
    <t>Jaelani</t>
  </si>
  <si>
    <t>000880</t>
  </si>
  <si>
    <t>Joko Susilo</t>
  </si>
  <si>
    <t>000881</t>
  </si>
  <si>
    <t>Michelle Chantal Mustamu</t>
  </si>
  <si>
    <t>000882</t>
  </si>
  <si>
    <t>Randi Rante</t>
  </si>
  <si>
    <t>000883</t>
  </si>
  <si>
    <t>Soepriyanto</t>
  </si>
  <si>
    <t>000884</t>
  </si>
  <si>
    <t>Noval Der Sartapayu</t>
  </si>
  <si>
    <t>000886</t>
  </si>
  <si>
    <t>Raga D Purwanto</t>
  </si>
  <si>
    <t>000887</t>
  </si>
  <si>
    <t>Ibnu Nafis</t>
  </si>
  <si>
    <t>000888</t>
  </si>
  <si>
    <t>Airin Christine</t>
  </si>
  <si>
    <t>000889</t>
  </si>
  <si>
    <t>Agus Setyowinarno</t>
  </si>
  <si>
    <t>000891</t>
  </si>
  <si>
    <t>Berthy Charles</t>
  </si>
  <si>
    <t>000894</t>
  </si>
  <si>
    <t>Hery Alwis</t>
  </si>
  <si>
    <t>000895</t>
  </si>
  <si>
    <t>Ishak Sudradjat</t>
  </si>
  <si>
    <t>000896</t>
  </si>
  <si>
    <t>Ismail</t>
  </si>
  <si>
    <t>SMC</t>
  </si>
  <si>
    <t>000897</t>
  </si>
  <si>
    <t>Jhon Nicodemus P</t>
  </si>
  <si>
    <t>000898</t>
  </si>
  <si>
    <t>Muchtar Kartoulomo</t>
  </si>
  <si>
    <t>000899</t>
  </si>
  <si>
    <t>Nindia Laurina</t>
  </si>
  <si>
    <t>000900</t>
  </si>
  <si>
    <t>Bayu Kadir</t>
  </si>
  <si>
    <t>000903</t>
  </si>
  <si>
    <t>Bina Aji Nugraha</t>
  </si>
  <si>
    <t>000904</t>
  </si>
  <si>
    <t>Muhammad Idam Yon Arif</t>
  </si>
  <si>
    <t>000905</t>
  </si>
  <si>
    <t>Ahmad Riadus Sholihivi</t>
  </si>
  <si>
    <t>000906</t>
  </si>
  <si>
    <t>Fajar Nugraha, S.T</t>
  </si>
  <si>
    <t>000907</t>
  </si>
  <si>
    <t>Mian Saroha Simangunsong</t>
  </si>
  <si>
    <t>000908</t>
  </si>
  <si>
    <t>Andrew Cristiant Pramusinta</t>
  </si>
  <si>
    <t>000909</t>
  </si>
  <si>
    <t>Yhoga Susila Wardanu</t>
  </si>
  <si>
    <t>000910</t>
  </si>
  <si>
    <t>000911</t>
  </si>
  <si>
    <t>Purwoko Widhyanto Wirawan</t>
  </si>
  <si>
    <t>000912</t>
  </si>
  <si>
    <t>Fahrul Nur Hidayat</t>
  </si>
  <si>
    <t>000913</t>
  </si>
  <si>
    <t>Yohanes Ardianto Nugroho</t>
  </si>
  <si>
    <t>000914</t>
  </si>
  <si>
    <t>Agus Rizqiansyah</t>
  </si>
  <si>
    <t>000915</t>
  </si>
  <si>
    <t>Muhammad Aulia</t>
  </si>
  <si>
    <t>000916</t>
  </si>
  <si>
    <t>Dwi Aryanto</t>
  </si>
  <si>
    <t>000919</t>
  </si>
  <si>
    <t>Janu Harimurti Taka</t>
  </si>
  <si>
    <t>000920</t>
  </si>
  <si>
    <t>Tulus Setiyawan W K</t>
  </si>
  <si>
    <t>000921</t>
  </si>
  <si>
    <t>Alwi</t>
  </si>
  <si>
    <t>000922</t>
  </si>
  <si>
    <t>Risky Hari Prasetyo</t>
  </si>
  <si>
    <t>000923</t>
  </si>
  <si>
    <t>Fivid Rivantoro</t>
  </si>
  <si>
    <t>000924</t>
  </si>
  <si>
    <t>Eko Haryanto</t>
  </si>
  <si>
    <t>000925</t>
  </si>
  <si>
    <t>Adityo Aji Kurniawan</t>
  </si>
  <si>
    <t>000926</t>
  </si>
  <si>
    <t>Ryan Hangga Sri Wijiharto</t>
  </si>
  <si>
    <t>000927</t>
  </si>
  <si>
    <t>Mokhammad Yufian R</t>
  </si>
  <si>
    <t>000928</t>
  </si>
  <si>
    <t>Bramanti Pramawedha S P</t>
  </si>
  <si>
    <t>000929</t>
  </si>
  <si>
    <t>Elvino Yusca Putra</t>
  </si>
  <si>
    <t>000930</t>
  </si>
  <si>
    <t>Muh Ali Hasan</t>
  </si>
  <si>
    <t>000931</t>
  </si>
  <si>
    <t>Ardiansyah Dahlan, S.T.</t>
  </si>
  <si>
    <t>000933</t>
  </si>
  <si>
    <t>Mokhammad Fakhrur Rizal</t>
  </si>
  <si>
    <t>000934</t>
  </si>
  <si>
    <t>M Rizqi Fitra H</t>
  </si>
  <si>
    <t>000935</t>
  </si>
  <si>
    <t>Sony Anggara</t>
  </si>
  <si>
    <t>000937</t>
  </si>
  <si>
    <t>M Teguh Widodo</t>
  </si>
  <si>
    <t>000938</t>
  </si>
  <si>
    <t>La Ode Muhammad Ichsan, S.T.</t>
  </si>
  <si>
    <t>000939</t>
  </si>
  <si>
    <t>Andi Dian Aulya</t>
  </si>
  <si>
    <t>000940</t>
  </si>
  <si>
    <t>Haryanti</t>
  </si>
  <si>
    <t>000941</t>
  </si>
  <si>
    <t>Khasful Waly</t>
  </si>
  <si>
    <t>000942</t>
  </si>
  <si>
    <t>Munaseh</t>
  </si>
  <si>
    <t>000943</t>
  </si>
  <si>
    <t>Sali Sartika</t>
  </si>
  <si>
    <t>000944</t>
  </si>
  <si>
    <t>Febri Denyanto</t>
  </si>
  <si>
    <t>000945</t>
  </si>
  <si>
    <t>Rio Fegi</t>
  </si>
  <si>
    <t>000946</t>
  </si>
  <si>
    <t>Fatma Kurniasari</t>
  </si>
  <si>
    <t>000947</t>
  </si>
  <si>
    <t>Luganda Siahaan</t>
  </si>
  <si>
    <t>000948</t>
  </si>
  <si>
    <t>Satria Adi Sukma Negara, ST</t>
  </si>
  <si>
    <t>000949</t>
  </si>
  <si>
    <t>Irma Yuniati</t>
  </si>
  <si>
    <t>000950</t>
  </si>
  <si>
    <t>Bayu Rista, S.T.</t>
  </si>
  <si>
    <t>000951</t>
  </si>
  <si>
    <t>Daniel Mahardika, S.T.</t>
  </si>
  <si>
    <t>000952</t>
  </si>
  <si>
    <t>Deny Cahyo Nugroho, S.T.</t>
  </si>
  <si>
    <t>000953</t>
  </si>
  <si>
    <t>Jiadan, S.T.</t>
  </si>
  <si>
    <t>000954</t>
  </si>
  <si>
    <t>Muhammad Aris Sultan</t>
  </si>
  <si>
    <t>000956</t>
  </si>
  <si>
    <t>Yasin Besari Mustofa, S.T.</t>
  </si>
  <si>
    <t>000957</t>
  </si>
  <si>
    <t>Akbar Rakanda Prakasa, S.T.</t>
  </si>
  <si>
    <t>000959</t>
  </si>
  <si>
    <t>Vina Nanda Garjati, S.T.</t>
  </si>
  <si>
    <t>000960</t>
  </si>
  <si>
    <t>Rizky Prasetya Ade N</t>
  </si>
  <si>
    <t>000961</t>
  </si>
  <si>
    <t>Ade Nursal, S.T.</t>
  </si>
  <si>
    <t>000962</t>
  </si>
  <si>
    <t>Fajar Lutfialayubi, S.T.</t>
  </si>
  <si>
    <t>000964</t>
  </si>
  <si>
    <t>Rahmi Sartika Permana Dora</t>
  </si>
  <si>
    <t>000965</t>
  </si>
  <si>
    <t>Erick Marcos Kiuk</t>
  </si>
  <si>
    <t>000966</t>
  </si>
  <si>
    <t>Irsal</t>
  </si>
  <si>
    <t>000967</t>
  </si>
  <si>
    <t>Deni</t>
  </si>
  <si>
    <t>000968</t>
  </si>
  <si>
    <t>Petrus Jacob Matuankotta</t>
  </si>
  <si>
    <t>000969</t>
  </si>
  <si>
    <t>Muhamad Ardiansyah</t>
  </si>
  <si>
    <t>000970</t>
  </si>
  <si>
    <t>Murdiyanta</t>
  </si>
  <si>
    <t>000971</t>
  </si>
  <si>
    <t>Syarifuddin Yamin, S.T.</t>
  </si>
  <si>
    <t>000972</t>
  </si>
  <si>
    <t>Choirun Cahyoabdi, S.T.</t>
  </si>
  <si>
    <t>000973</t>
  </si>
  <si>
    <t>Muhammad Asrul La Saripi, S.T.</t>
  </si>
  <si>
    <t>000975</t>
  </si>
  <si>
    <t>M Irfan</t>
  </si>
  <si>
    <t>000976</t>
  </si>
  <si>
    <t>Guntur Cahyo N, ST</t>
  </si>
  <si>
    <t>000977</t>
  </si>
  <si>
    <t>Khoirul Asnawi, AMD</t>
  </si>
  <si>
    <t>000978</t>
  </si>
  <si>
    <t>Riskita Novita Sari</t>
  </si>
  <si>
    <t>000979</t>
  </si>
  <si>
    <t>Oki Dwi Anggoro</t>
  </si>
  <si>
    <t>000981</t>
  </si>
  <si>
    <t>Abdillah</t>
  </si>
  <si>
    <t>000982</t>
  </si>
  <si>
    <t>Kamaruddin</t>
  </si>
  <si>
    <t>000983</t>
  </si>
  <si>
    <t>Bari</t>
  </si>
  <si>
    <t>000984</t>
  </si>
  <si>
    <t>Adi Ismanto</t>
  </si>
  <si>
    <t>000986</t>
  </si>
  <si>
    <t>Rahmat S</t>
  </si>
  <si>
    <t>000987</t>
  </si>
  <si>
    <t>M. Hatta Baco B</t>
  </si>
  <si>
    <t>000988</t>
  </si>
  <si>
    <t>Ekondro</t>
  </si>
  <si>
    <t>000989</t>
  </si>
  <si>
    <t>Rony Wiranto S</t>
  </si>
  <si>
    <t>000990</t>
  </si>
  <si>
    <t>Marisa Theresia</t>
  </si>
  <si>
    <t>000991</t>
  </si>
  <si>
    <t>Poppy Ayundari</t>
  </si>
  <si>
    <t>000992</t>
  </si>
  <si>
    <t>Femmy Anantia Lestari</t>
  </si>
  <si>
    <t>000993</t>
  </si>
  <si>
    <t>Rahmawaty</t>
  </si>
  <si>
    <t>000994</t>
  </si>
  <si>
    <t>Ahmad Gufran M</t>
  </si>
  <si>
    <t>000995</t>
  </si>
  <si>
    <t>Jefry Kurniawan</t>
  </si>
  <si>
    <t>000996</t>
  </si>
  <si>
    <t>La Ode Abdul Rajab Azis</t>
  </si>
  <si>
    <t>000997</t>
  </si>
  <si>
    <t>Sulaeman Mustafa</t>
  </si>
  <si>
    <t>000998</t>
  </si>
  <si>
    <t>Yosua R Palentek,ST</t>
  </si>
  <si>
    <t>000999</t>
  </si>
  <si>
    <t>Afnita Citra Utama</t>
  </si>
  <si>
    <t>001000</t>
  </si>
  <si>
    <t>Defi Rizki Mauliani</t>
  </si>
  <si>
    <t>001001</t>
  </si>
  <si>
    <t>Said Taufik</t>
  </si>
  <si>
    <t>001002</t>
  </si>
  <si>
    <t>Fitria, S.Kom</t>
  </si>
  <si>
    <t>001003</t>
  </si>
  <si>
    <t>Nur Cahyo Febrianto Putro</t>
  </si>
  <si>
    <t>001004</t>
  </si>
  <si>
    <t>Andi Apriadi Awe</t>
  </si>
  <si>
    <t>001006</t>
  </si>
  <si>
    <t>A. Rasyid Alimuddin</t>
  </si>
  <si>
    <t>001007</t>
  </si>
  <si>
    <t>Sultan Malik</t>
  </si>
  <si>
    <t>001008</t>
  </si>
  <si>
    <t>Tunjung Widyatmo H, S.T.</t>
  </si>
  <si>
    <t>001009</t>
  </si>
  <si>
    <t>Hediar Hapri Bangabua</t>
  </si>
  <si>
    <t>001010</t>
  </si>
  <si>
    <t>R Ade Wardoyo</t>
  </si>
  <si>
    <t>001011</t>
  </si>
  <si>
    <t>Willem Gerrit Pieter, S.E</t>
  </si>
  <si>
    <t>001012</t>
  </si>
  <si>
    <t>Zulfaeni</t>
  </si>
  <si>
    <t>001013</t>
  </si>
  <si>
    <t>Rozi Delfemi Irawati</t>
  </si>
  <si>
    <t>001014</t>
  </si>
  <si>
    <t>Tantry Octaviani</t>
  </si>
  <si>
    <t>001016</t>
  </si>
  <si>
    <t>Adnan</t>
  </si>
  <si>
    <t>001017</t>
  </si>
  <si>
    <t>Sudaryono</t>
  </si>
  <si>
    <t>001018</t>
  </si>
  <si>
    <t>Zul Fajrin Azdin</t>
  </si>
  <si>
    <t>001019</t>
  </si>
  <si>
    <t>Yusriadi</t>
  </si>
  <si>
    <t>001020</t>
  </si>
  <si>
    <t>Bandung Pardede</t>
  </si>
  <si>
    <t>001021</t>
  </si>
  <si>
    <t>Dimas Putra Prasetyo</t>
  </si>
  <si>
    <t>001022</t>
  </si>
  <si>
    <t>Desi Annike Putri</t>
  </si>
  <si>
    <t>001023</t>
  </si>
  <si>
    <t>Lulu Ufikal Azmi</t>
  </si>
  <si>
    <t>001024</t>
  </si>
  <si>
    <t>Rian Eka Saputra</t>
  </si>
  <si>
    <t>001026</t>
  </si>
  <si>
    <t>Megawati Rosalio Putri</t>
  </si>
  <si>
    <t>PKO</t>
  </si>
  <si>
    <t>001027</t>
  </si>
  <si>
    <t>Henky Viedian Santoso</t>
  </si>
  <si>
    <t>001028</t>
  </si>
  <si>
    <t>Sudarman /  Budi</t>
  </si>
  <si>
    <t>001029</t>
  </si>
  <si>
    <t>Shaidatun Rohmah</t>
  </si>
  <si>
    <t>001030</t>
  </si>
  <si>
    <t>Irawan Wijayanto</t>
  </si>
  <si>
    <t>001031</t>
  </si>
  <si>
    <t>Dicky Aldoko</t>
  </si>
  <si>
    <t>001032</t>
  </si>
  <si>
    <t>Annisyah Fazrin</t>
  </si>
  <si>
    <t>001033</t>
  </si>
  <si>
    <t>001034</t>
  </si>
  <si>
    <t>Salma Fadhilah Widityani</t>
  </si>
  <si>
    <t>001035</t>
  </si>
  <si>
    <t>Deny Hardiansyah</t>
  </si>
  <si>
    <t>001036</t>
  </si>
  <si>
    <t>Irmarinda Sheyna C</t>
  </si>
  <si>
    <t>001037</t>
  </si>
  <si>
    <t>Nurkumala Sakti</t>
  </si>
  <si>
    <t>001038</t>
  </si>
  <si>
    <t>Adesta Munas Latief</t>
  </si>
  <si>
    <t>001039</t>
  </si>
  <si>
    <t>Luthfi Setia Mardani</t>
  </si>
  <si>
    <t>001040</t>
  </si>
  <si>
    <t>Chrisantya Dian Eka W</t>
  </si>
  <si>
    <t>001041</t>
  </si>
  <si>
    <t>N. Karindita Ekibdwi Putri</t>
  </si>
  <si>
    <t>001042</t>
  </si>
  <si>
    <t>Abdil Hafizh Zhafran</t>
  </si>
  <si>
    <t>001043</t>
  </si>
  <si>
    <t>Aldicio William Schuurman</t>
  </si>
  <si>
    <t>DMP</t>
  </si>
  <si>
    <t>001044</t>
  </si>
  <si>
    <t>Kevin Iqbal Rizaldi</t>
  </si>
  <si>
    <t>001045</t>
  </si>
  <si>
    <t>Faishal Abdurrahman Labib</t>
  </si>
  <si>
    <t>001046</t>
  </si>
  <si>
    <t>Aditya Putri Anggraini</t>
  </si>
  <si>
    <t>001047</t>
  </si>
  <si>
    <t>Muhammad Irvan Widya</t>
  </si>
  <si>
    <t>001048</t>
  </si>
  <si>
    <t>Muhammad Rio</t>
  </si>
  <si>
    <t>001049</t>
  </si>
  <si>
    <t>Muhammad Ridwan</t>
  </si>
  <si>
    <t>001050</t>
  </si>
  <si>
    <t>Harry Santoso</t>
  </si>
  <si>
    <t>001051</t>
  </si>
  <si>
    <t>Djatniko Santoso</t>
  </si>
  <si>
    <t>001055</t>
  </si>
  <si>
    <t>Deni Apriyanto</t>
  </si>
  <si>
    <t>001056</t>
  </si>
  <si>
    <t>Sujatnika</t>
  </si>
  <si>
    <t>001057</t>
  </si>
  <si>
    <t>Andri Somantri</t>
  </si>
  <si>
    <t>001058</t>
  </si>
  <si>
    <t>Henky Prabowo</t>
  </si>
  <si>
    <t>001059</t>
  </si>
  <si>
    <t>Sudirman Majid</t>
  </si>
  <si>
    <t>001060</t>
  </si>
  <si>
    <t>Yosida Isdianawati</t>
  </si>
  <si>
    <t>001061</t>
  </si>
  <si>
    <t>Andre L Latuihamalo</t>
  </si>
  <si>
    <t>001062</t>
  </si>
  <si>
    <t>Abd. Rahman ST</t>
  </si>
  <si>
    <t>001063</t>
  </si>
  <si>
    <t>Ratna Damayanti</t>
  </si>
  <si>
    <t>001064</t>
  </si>
  <si>
    <t>Aldi Muhammad Rianto</t>
  </si>
  <si>
    <t>001065</t>
  </si>
  <si>
    <t>Aldi Wahyu Prasetyo</t>
  </si>
  <si>
    <t>001066</t>
  </si>
  <si>
    <t>Iqbal Rezky</t>
  </si>
  <si>
    <t>001069</t>
  </si>
  <si>
    <t>Ade Sintya Kusumawardani</t>
  </si>
  <si>
    <t>001070</t>
  </si>
  <si>
    <t>Rozainbahri Noor</t>
  </si>
  <si>
    <t>001071</t>
  </si>
  <si>
    <t>Fandi Akbar (Cek Simpanan Pokok)</t>
  </si>
  <si>
    <t>001072</t>
  </si>
  <si>
    <t>Nadia Listiyani</t>
  </si>
  <si>
    <t>001073</t>
  </si>
  <si>
    <t>Faried, ST</t>
  </si>
  <si>
    <t>001074</t>
  </si>
  <si>
    <t>Arisudono Soerono</t>
  </si>
  <si>
    <t>001075</t>
  </si>
  <si>
    <t>Benny Susanto</t>
  </si>
  <si>
    <t>001076</t>
  </si>
  <si>
    <t>Mira Virlianita</t>
  </si>
  <si>
    <t>001078</t>
  </si>
  <si>
    <t xml:space="preserve">Aji Abdul Aziz </t>
  </si>
  <si>
    <t>001079</t>
  </si>
  <si>
    <t>David Haryanto</t>
  </si>
  <si>
    <t>001081</t>
  </si>
  <si>
    <t>Agus Syarif Maolana</t>
  </si>
  <si>
    <t>001082</t>
  </si>
  <si>
    <t>Bakti Nugroho Dwi Kushadianto</t>
  </si>
  <si>
    <t>001083</t>
  </si>
  <si>
    <t xml:space="preserve">Wildanis Miftahul Abror </t>
  </si>
  <si>
    <t>001084</t>
  </si>
  <si>
    <t>Abdul Rifani Praja Nurrahman</t>
  </si>
  <si>
    <t>001085</t>
  </si>
  <si>
    <t>Farhan Abdul Karim</t>
  </si>
  <si>
    <t>001086</t>
  </si>
  <si>
    <t>Muhtar</t>
  </si>
  <si>
    <t>001087</t>
  </si>
  <si>
    <t>Ibnul Qayyim</t>
  </si>
  <si>
    <t>Kenedi Pangaribuan, ST.</t>
  </si>
  <si>
    <t>Novella Musya</t>
  </si>
  <si>
    <t>Regiyan Drinin Kawasugi</t>
  </si>
  <si>
    <t>Raka Dwita Setyanegara</t>
  </si>
  <si>
    <t>Hendi Zulfan</t>
  </si>
  <si>
    <t>Elmy Mufidah</t>
  </si>
  <si>
    <t>Muhammad Rafi Amrullah</t>
  </si>
  <si>
    <t>Muhammad Dafa'anh Murya Tsani</t>
  </si>
  <si>
    <t>Aditya Ilham Septiawan</t>
  </si>
  <si>
    <t>Jasmine Pratiwi</t>
  </si>
  <si>
    <t>Izza Fajri Syafira</t>
  </si>
  <si>
    <t>Mariyana Astri Fandani</t>
  </si>
  <si>
    <t>Ardhianti Noviandita</t>
  </si>
  <si>
    <t>Thomas Mahendra</t>
  </si>
  <si>
    <t>Krisanti Cahya Kaheraing</t>
  </si>
  <si>
    <t>Zeid Rizaldi</t>
  </si>
  <si>
    <t>Vivi Hazlinda</t>
  </si>
  <si>
    <t>TOTAL</t>
  </si>
  <si>
    <t>SIMPANAN SUKARELA</t>
  </si>
  <si>
    <t>STATUS</t>
  </si>
  <si>
    <t>JUMLAH SIMPANAN ANGGOTA PERIODE JUNI 2025</t>
  </si>
  <si>
    <t>SUKARELA BERJANGKA</t>
  </si>
  <si>
    <t>Total Setor + Imbal Hasil Bersih</t>
  </si>
  <si>
    <t>BUKAN ANGGOTA</t>
  </si>
  <si>
    <t>BUKAN AKTIF</t>
  </si>
  <si>
    <t>PASIF</t>
  </si>
  <si>
    <t>AKTIF</t>
  </si>
  <si>
    <t>BUKAN ANGGOTA\</t>
  </si>
  <si>
    <t xml:space="preserve">BUKAN ANGGOTA </t>
  </si>
  <si>
    <t>Abdul Ghofar</t>
  </si>
  <si>
    <t>Achmad Suseno</t>
  </si>
  <si>
    <t>Adhitama Rama</t>
  </si>
  <si>
    <t>Adi Iman Patria</t>
  </si>
  <si>
    <t>Agung Budi Arnanto</t>
  </si>
  <si>
    <t>Agung Prihanto</t>
  </si>
  <si>
    <t>Agung Wicaksono</t>
  </si>
  <si>
    <t>Agus Siswoko</t>
  </si>
  <si>
    <t>Agus Salim</t>
  </si>
  <si>
    <t>Agustang</t>
  </si>
  <si>
    <t>Ahmad Rifaid</t>
  </si>
  <si>
    <t>Ahmad Sariful Anwar</t>
  </si>
  <si>
    <t>Alfonsus Susilarso</t>
  </si>
  <si>
    <t>Alim Saadi</t>
  </si>
  <si>
    <t>Andi Arman</t>
  </si>
  <si>
    <t>Anita Magdalena</t>
  </si>
  <si>
    <t>Antong Goli</t>
  </si>
  <si>
    <t>Aquarius Setiawan</t>
  </si>
  <si>
    <t>Arief Nurtjahjo</t>
  </si>
  <si>
    <t>Arsalnan Latif</t>
  </si>
  <si>
    <t>Asep Sutrisna S</t>
  </si>
  <si>
    <t>Atjeh Nahan</t>
  </si>
  <si>
    <t>Bahrun Saad</t>
  </si>
  <si>
    <t>Bambang Tri Suharto</t>
  </si>
  <si>
    <t>Benny Hosbrantas</t>
  </si>
  <si>
    <t>Herawati S</t>
  </si>
  <si>
    <t>Mohamad CholilIr</t>
  </si>
  <si>
    <t>Saifoedinir</t>
  </si>
  <si>
    <t>SupardiSE</t>
  </si>
  <si>
    <t>SyarifIr</t>
  </si>
  <si>
    <t>WiyonoIr</t>
  </si>
  <si>
    <t>Yansen MiriIr</t>
  </si>
  <si>
    <t>Septi Wulandari</t>
  </si>
  <si>
    <t>RudiyantoIr</t>
  </si>
  <si>
    <t>Hadi Santoso</t>
  </si>
  <si>
    <t>M Arif Kurniawan</t>
  </si>
  <si>
    <t>M Arif Maulana Wiranegar</t>
  </si>
  <si>
    <t>M Nur Ardam</t>
  </si>
  <si>
    <t>Manahan P Sihombing</t>
  </si>
  <si>
    <t>Moh Mukhtar</t>
  </si>
  <si>
    <t>Moh SugengIr</t>
  </si>
  <si>
    <t>Muh Saefuddin</t>
  </si>
  <si>
    <t>Ratna S Rini</t>
  </si>
  <si>
    <t>Syari Dodi AYani</t>
  </si>
  <si>
    <t>Capt Iman Satria Utama</t>
  </si>
  <si>
    <t>M Abdurrahman Ali</t>
  </si>
  <si>
    <t>M Radiansyah</t>
  </si>
  <si>
    <t>M Setiawan</t>
  </si>
  <si>
    <t>N Karindita Ekibdwi Putri</t>
  </si>
  <si>
    <t xml:space="preserve">Catur Achiryanto </t>
  </si>
  <si>
    <t xml:space="preserve">Dani Maulana </t>
  </si>
  <si>
    <t>Defri Sumarwan</t>
  </si>
  <si>
    <t>Fauzi Akbar Nasution</t>
  </si>
  <si>
    <t>Hanief Ridwan A</t>
  </si>
  <si>
    <t>Heri Siswanto</t>
  </si>
  <si>
    <t xml:space="preserve">Irzan Azis </t>
  </si>
  <si>
    <t>Kokok Yudha Cahyono</t>
  </si>
  <si>
    <t>Lilah Kurnia Sari</t>
  </si>
  <si>
    <t>M Iqbal</t>
  </si>
  <si>
    <t>Moh Furqon</t>
  </si>
  <si>
    <t>Muh Nasir</t>
  </si>
  <si>
    <t>Muhibuddin</t>
  </si>
  <si>
    <t xml:space="preserve">Nur Hasan Sidiq </t>
  </si>
  <si>
    <t>Safiuddin</t>
  </si>
  <si>
    <t>Suhar Chandra Kurniawan</t>
  </si>
  <si>
    <t>Sukma Maharani</t>
  </si>
  <si>
    <t xml:space="preserve">Sukron Makmun </t>
  </si>
  <si>
    <t xml:space="preserve">Topan Firmandha </t>
  </si>
  <si>
    <t>Edo Dody Handradi</t>
  </si>
  <si>
    <t>Ratih Putri Arifianti</t>
  </si>
  <si>
    <t>Adi Yudho Wijayanto</t>
  </si>
  <si>
    <t>Eko Maja Priyanto</t>
  </si>
  <si>
    <t>Fachruddin Nur</t>
  </si>
  <si>
    <t>Muhammad Irfan</t>
  </si>
  <si>
    <t>Riswan Akbar</t>
  </si>
  <si>
    <t>Suwandy</t>
  </si>
  <si>
    <t>Trian Indrawan</t>
  </si>
  <si>
    <t>Agah Dirgapatria D</t>
  </si>
  <si>
    <t>Andik Eko Saputro</t>
  </si>
  <si>
    <t>Wawan Widiatmoko</t>
  </si>
  <si>
    <t>Alfan Fadhli</t>
  </si>
  <si>
    <t>Amir Hamzah</t>
  </si>
  <si>
    <t>Ferry Fadli</t>
  </si>
  <si>
    <t>Fuad Umar Faisal</t>
  </si>
  <si>
    <t>I Nyoman Eriksandika P</t>
  </si>
  <si>
    <t>La Ode Abdul Haslan P</t>
  </si>
  <si>
    <t>Sandi Nandarianto</t>
  </si>
  <si>
    <t>Sigit Pamungkas</t>
  </si>
  <si>
    <t>Yogia Rivaldhi</t>
  </si>
  <si>
    <t>Andi Dian Eka Anggriani</t>
  </si>
  <si>
    <t>Ardiansyah Dahlan</t>
  </si>
  <si>
    <t>La Ode Muhammad Ichsan</t>
  </si>
  <si>
    <t>Akbar Rakanda Prakasa</t>
  </si>
  <si>
    <t>Vina Nanda Garjati</t>
  </si>
  <si>
    <t>Ade Nursal</t>
  </si>
  <si>
    <t>Fajar Lutfialayubi</t>
  </si>
  <si>
    <t>Guntur Cahyo N</t>
  </si>
  <si>
    <t>Ridwan Djajanto(Ketuker simpanan pokok sama pak Rachmadi)</t>
  </si>
  <si>
    <t>Chalis Umar</t>
  </si>
  <si>
    <t>Dedi Megananda</t>
  </si>
  <si>
    <t>Diding Suwandi</t>
  </si>
  <si>
    <t>Djoko Wahyudi</t>
  </si>
  <si>
    <t>Donny S Purba</t>
  </si>
  <si>
    <t>Edy Sutrisno</t>
  </si>
  <si>
    <t>Erlini Agung</t>
  </si>
  <si>
    <t>Ery Dani Sampurno</t>
  </si>
  <si>
    <t>Farid Rahman</t>
  </si>
  <si>
    <t>Fredhi Agung P</t>
  </si>
  <si>
    <t>Guruh M Amal</t>
  </si>
  <si>
    <t>Heintje Angganois</t>
  </si>
  <si>
    <t>Hendra Bagus K</t>
  </si>
  <si>
    <t>Hendra Kusuma</t>
  </si>
  <si>
    <t>Herry Sudradjat</t>
  </si>
  <si>
    <t>Imam Suhadi</t>
  </si>
  <si>
    <t>ING Arimbawa</t>
  </si>
  <si>
    <t xml:space="preserve">Iqbal fikri </t>
  </si>
  <si>
    <t>Jamaluddin Gani</t>
  </si>
  <si>
    <t>Joeliantoro</t>
  </si>
  <si>
    <t xml:space="preserve">Jonas Tahia </t>
  </si>
  <si>
    <t>Joustra Billy</t>
  </si>
  <si>
    <t>Juto Yuwono</t>
  </si>
  <si>
    <t xml:space="preserve">Komariah </t>
  </si>
  <si>
    <t>Lisa Sri Andayani</t>
  </si>
  <si>
    <t>M Basarudin Aspahani</t>
  </si>
  <si>
    <t xml:space="preserve">Lukman Hakim </t>
  </si>
  <si>
    <t>Misbahudin Aidy</t>
  </si>
  <si>
    <t>Moh Rico Faridz</t>
  </si>
  <si>
    <t>Yosua R Palentek</t>
  </si>
  <si>
    <t>Khoirul Asnawi</t>
  </si>
  <si>
    <t>Yasin Besari Mustofa</t>
  </si>
  <si>
    <t>I Gusti Putu Suantara</t>
  </si>
  <si>
    <t>Bambang Firdiansyah H</t>
  </si>
  <si>
    <t>I Gusti Ngurah Wira P</t>
  </si>
  <si>
    <t>Hendra</t>
  </si>
  <si>
    <t>Muhammad Ichsan</t>
  </si>
  <si>
    <t>Muhammadiyah</t>
  </si>
  <si>
    <t xml:space="preserve">Mustari </t>
  </si>
  <si>
    <t>Nano L</t>
  </si>
  <si>
    <t>Firmansyah Putra A</t>
  </si>
  <si>
    <t>Patunru Pongky</t>
  </si>
  <si>
    <t>Pieter Petrus Paulus</t>
  </si>
  <si>
    <t>Rachmadi S</t>
  </si>
  <si>
    <t>Rino Yan Cahyo</t>
  </si>
  <si>
    <t>Rudy Sunaryadi</t>
  </si>
  <si>
    <t xml:space="preserve">Sjaifuddin </t>
  </si>
  <si>
    <t>Samsul Arif</t>
  </si>
  <si>
    <t>Shindu Purwanto</t>
  </si>
  <si>
    <t>Siswanto</t>
  </si>
  <si>
    <t>Siti Komariah</t>
  </si>
  <si>
    <t>Sofyan Hadi</t>
  </si>
  <si>
    <t>Sri Dewi Amalia</t>
  </si>
  <si>
    <t>Sri Rachmi Andayani</t>
  </si>
  <si>
    <t>Sudirman</t>
  </si>
  <si>
    <t>Sugeng Yulianto</t>
  </si>
  <si>
    <t>Suhita Wardani</t>
  </si>
  <si>
    <t>Sukiyo</t>
  </si>
  <si>
    <t>Sulthan Said</t>
  </si>
  <si>
    <t>Sunaryoko</t>
  </si>
  <si>
    <t>Angjuang Adi Panju P</t>
  </si>
  <si>
    <t>Angga Yustiawan</t>
  </si>
  <si>
    <t xml:space="preserve">Andre Guntur Teguh </t>
  </si>
  <si>
    <t>Yudhi Ardikusuma</t>
  </si>
  <si>
    <t xml:space="preserve">Wibisono R </t>
  </si>
  <si>
    <t>Teko Prantoko</t>
  </si>
  <si>
    <t>Taufik Hidayat</t>
  </si>
  <si>
    <t>HAMBALI WAHID</t>
  </si>
  <si>
    <t>BAYU MAHARDIKA WICAKSONO</t>
  </si>
  <si>
    <t>ACHMAD TAWAKKAL RAMPA</t>
  </si>
  <si>
    <t>TOGAP HIDAYAT SIAGIAN</t>
  </si>
  <si>
    <t>ABDIL HAFIIZH ZHAFRAN</t>
  </si>
  <si>
    <t>LYZA YUNI SETIAWATI</t>
  </si>
  <si>
    <t>BUSROL KARIM</t>
  </si>
  <si>
    <t>DEDE MA'MUN SUMANTRI</t>
  </si>
  <si>
    <t>PUTRI NUR LAKSMI</t>
  </si>
  <si>
    <t>YULIA DIAN ANGGRAINI</t>
  </si>
  <si>
    <t>AKHMAD MUSLIM</t>
  </si>
  <si>
    <t>RACHMAD KURNIAWAN</t>
  </si>
  <si>
    <t>RIMA NOVEDIA BANGUN</t>
  </si>
  <si>
    <t>CHRISANTYA DIAN EKA WIHARTI</t>
  </si>
  <si>
    <t>SURIATY PARAMINTA PUTRI</t>
  </si>
  <si>
    <t>MUHAMMAD ADITYO NUGROHO</t>
  </si>
  <si>
    <t>DWI CAHYA KURNIAWANI</t>
  </si>
  <si>
    <t>MOHAMMAD RIZKI SATRIO</t>
  </si>
  <si>
    <t>MUHAMAD SODIK</t>
  </si>
  <si>
    <t>ANDI LAMAPPASESSU</t>
  </si>
  <si>
    <t>SRI JATMIKO ABDUL ROHMAN</t>
  </si>
  <si>
    <t>MOCHAMMAD ZAKY</t>
  </si>
  <si>
    <t>MOHAMMAD ABDUL MALIK</t>
  </si>
  <si>
    <t>WANGININGASTUTI MUTMAINNAH</t>
  </si>
  <si>
    <t>RISKA DERIANI MASKAR</t>
  </si>
  <si>
    <t>HIJRAWATI MUHTAR</t>
  </si>
  <si>
    <t>DWIANA GALUH LISTIYARINI</t>
  </si>
  <si>
    <t>ANDI NURALIM KAMAL</t>
  </si>
  <si>
    <t>FAHMI</t>
  </si>
  <si>
    <t>FARRAH MUTIA NURFADILAH</t>
  </si>
  <si>
    <t>HAERUDIN</t>
  </si>
  <si>
    <t>GDE SANDHYANA PRADHITA</t>
  </si>
  <si>
    <t>ENDAH MUSTIKA NINGTIAS</t>
  </si>
  <si>
    <t>TOTOK ACHMAD SUGIHARSO</t>
  </si>
  <si>
    <t>ADITYA TRISANDHYA PRAMANA</t>
  </si>
  <si>
    <t>IRAWATI</t>
  </si>
  <si>
    <t>AFIF AMRULLAH</t>
  </si>
  <si>
    <t>RUDI HARIYANTO</t>
  </si>
  <si>
    <t>SANG LANANG SADDAMULLAH</t>
  </si>
  <si>
    <t>MUHAMMAD ARFAH</t>
  </si>
  <si>
    <t>SARI GITA TANTINIS</t>
  </si>
  <si>
    <t>FERRY HARFIANTO EFFENDY</t>
  </si>
  <si>
    <t>R. AGUS DODDY DWISAGITA</t>
  </si>
  <si>
    <t>HARRYS PAHALA MANALU</t>
  </si>
  <si>
    <t>ADITYA ILHAM SAPTIAWAN</t>
  </si>
  <si>
    <t>IZZAFAJRI SYAFIRA</t>
  </si>
  <si>
    <t>KRISANTI CAHYA KAHERANING</t>
  </si>
  <si>
    <t>ROZAIN BAHRI NOOR</t>
  </si>
  <si>
    <t>Januari</t>
  </si>
  <si>
    <t>MAHMUR MOCHTAR</t>
  </si>
  <si>
    <t>Maret</t>
  </si>
  <si>
    <t>April</t>
  </si>
  <si>
    <t>Mei</t>
  </si>
  <si>
    <t>Juni</t>
  </si>
  <si>
    <t>Juli</t>
  </si>
  <si>
    <t>Februari</t>
  </si>
  <si>
    <t>Agustus</t>
  </si>
  <si>
    <t>Pokok 2024</t>
  </si>
  <si>
    <t>September</t>
  </si>
  <si>
    <t>Oktober</t>
  </si>
  <si>
    <t>November</t>
  </si>
  <si>
    <t>Desember</t>
  </si>
  <si>
    <t>MATKOM</t>
  </si>
  <si>
    <t>BATAM</t>
  </si>
  <si>
    <t>Saldo 2025</t>
  </si>
  <si>
    <t>PUSAT</t>
  </si>
  <si>
    <t>Transaksi selama 2025</t>
  </si>
  <si>
    <t>Selisih atas kelebihan pemotongan simpanan pokok</t>
  </si>
  <si>
    <t>dan Fandi Akbar</t>
  </si>
  <si>
    <t>*Cek Transaksi Januari 2025</t>
  </si>
  <si>
    <t>024/BK/01/2025 tgl 8 Januari 2025</t>
  </si>
  <si>
    <t xml:space="preserve">*Cek Transaksi Februari </t>
  </si>
  <si>
    <t>029/BM/04/2025 tgl 25 April 2025 (Simpanan Khusus atas barang pinjaman anggota)</t>
  </si>
  <si>
    <t>SALDO 2025</t>
  </si>
  <si>
    <t>SALDO SIMPANAN KHUSUS 2024</t>
  </si>
  <si>
    <t>SIMPANAN SUKARELA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</si>
  <si>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</si>
  <si>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</si>
  <si>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</si>
  <si>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</si>
  <si>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</si>
  <si>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</si>
  <si>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</si>
  <si>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</si>
  <si>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</si>
  <si>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</si>
  <si>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</si>
  <si>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</si>
  <si>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PUMA IDS</t>
  </si>
  <si>
    <t>*SHU Yang disimpan belum masuk ke rekap manual dan mekari</t>
  </si>
  <si>
    <t>(masuk ke simpanan wajib bulan Februari 2025)</t>
  </si>
  <si>
    <t>SIMPANAN WAJIB 2024</t>
  </si>
  <si>
    <t>Pembayaran Selama 2025</t>
  </si>
  <si>
    <t>RUSDIN HALUDIN</t>
  </si>
  <si>
    <t>DHITYA PUTRA RAMADHAN</t>
  </si>
  <si>
    <t>LUTFI PALIAM PARAYA</t>
  </si>
  <si>
    <t>MARISA THERESIA SIHOMBING</t>
  </si>
  <si>
    <t>MUHAMAD RIZQI FITRA HARIADI</t>
  </si>
  <si>
    <t>MUHAMMAD YUDI OKTOVIANTO</t>
  </si>
  <si>
    <t>MUSLIM DERMAWAN BARUS</t>
  </si>
  <si>
    <t>NENNY YUNIARTI</t>
  </si>
  <si>
    <t>NURKUMALA SAKTI</t>
  </si>
  <si>
    <t>PRASETYO</t>
  </si>
  <si>
    <t>RISKA TRI HANDINI</t>
  </si>
  <si>
    <t>SAHDAT FAMA RIDHO</t>
  </si>
  <si>
    <t>TANTYO PRAJOGO</t>
  </si>
  <si>
    <t>A. RASYID ALIMUDDIN</t>
  </si>
  <si>
    <t>ABDUL KHOLICK</t>
  </si>
  <si>
    <t>ABUKASIM USMAN</t>
  </si>
  <si>
    <t>ADNAN</t>
  </si>
  <si>
    <t>ANDI P. SIAGIAN</t>
  </si>
  <si>
    <t>ARIEF SULISTIYONO</t>
  </si>
  <si>
    <t>ARIF BIJAKSANA SATRIA NEGARA</t>
  </si>
  <si>
    <t>ARIF RACHMAN</t>
  </si>
  <si>
    <t>ABD. RAHMAN</t>
  </si>
  <si>
    <t>ABDILAH</t>
  </si>
  <si>
    <t>AZHAR GHIPARI</t>
  </si>
  <si>
    <t>BAMBANG WARDOJO</t>
  </si>
  <si>
    <t>BENNI HERMAWAN</t>
  </si>
  <si>
    <t>BERMAN SARAGIH</t>
  </si>
  <si>
    <t>BOBBY ADI NOVPRIANTO, S.T.</t>
  </si>
  <si>
    <t>BRAMANTI PRAMAWEDHA SATRIANTO PUTRA</t>
  </si>
  <si>
    <t>DANIEL MAHARDHIKA</t>
  </si>
  <si>
    <t>DIDI KURNIADI</t>
  </si>
  <si>
    <t>DINO VITA LARASANTO</t>
  </si>
  <si>
    <t>DOAN OSCAR DEWANDARU</t>
  </si>
  <si>
    <t>DR  KARTIKA KUS HENDRATNA</t>
  </si>
  <si>
    <t>EDWIN OLAF JULIAN DAMANIK</t>
  </si>
  <si>
    <t>EKA NANDA PRATAMA SUNARJO</t>
  </si>
  <si>
    <t>ELVINO YUSKA PUTRA</t>
  </si>
  <si>
    <t>FAJAR NUGRAHA</t>
  </si>
  <si>
    <t>FAUZI</t>
  </si>
  <si>
    <t>FERNANDO S</t>
  </si>
  <si>
    <t>FITRIANI</t>
  </si>
  <si>
    <t>HARDI E. P. SIAGIAN</t>
  </si>
  <si>
    <t>INDRA PERMANA</t>
  </si>
  <si>
    <t>KHAERUL AKBAR</t>
  </si>
  <si>
    <t>LA ODE ABDUL RAHMAN FIRU</t>
  </si>
  <si>
    <t>MAMIN RIFFIA KUSNANDAR</t>
  </si>
  <si>
    <t>MOKHAMMAD YUFIAN RIDHANANDA</t>
  </si>
  <si>
    <t>MUH. NASIR</t>
  </si>
  <si>
    <t>MUHAMMAD FAJRIN M. SAID</t>
  </si>
  <si>
    <t>MUHAMMAD IDI</t>
  </si>
  <si>
    <t>MUHAMMAD RIZKY PURNAMA</t>
  </si>
  <si>
    <t>MUHAMMAD SOFIAN</t>
  </si>
  <si>
    <t>MUSTAKIM</t>
  </si>
  <si>
    <t>R. ADE WARDOYO WINOTO PUTRO</t>
  </si>
  <si>
    <t>R. SAPTO AGUNG PRAMUSINTO</t>
  </si>
  <si>
    <t>RAHADI SIGIT WICAKSONO</t>
  </si>
  <si>
    <t>RIZKI ALDILLA TAMTURA</t>
  </si>
  <si>
    <t>RONY WIRANTO SETIAWAN</t>
  </si>
  <si>
    <t>SAID TAUFIQ</t>
  </si>
  <si>
    <t>SUDARMA EDY SARAGIH JAWAK</t>
  </si>
  <si>
    <t>SUSETYO WIJANARKO BUDIARDHI</t>
  </si>
  <si>
    <t>SYAFRIL</t>
  </si>
  <si>
    <t>TONI SYARIF HIDAYAH</t>
  </si>
  <si>
    <t>WILDANIS MIFTAHUL ABROR</t>
  </si>
  <si>
    <t>YULIAN ARPIANTO</t>
  </si>
  <si>
    <t>YULID ANJI FIRMANSYAH</t>
  </si>
  <si>
    <t>ZAINAL</t>
  </si>
  <si>
    <t>INDRA KUSUMA MUHAMMAD</t>
  </si>
  <si>
    <t>NOAH CAHYASASMITA</t>
  </si>
  <si>
    <t>RUSDY WANGSA</t>
  </si>
  <si>
    <t>MUHAMMAD ARAFAH</t>
  </si>
  <si>
    <t>ARY FIRMANSYAH FIRLI</t>
  </si>
  <si>
    <t>HERDIMAN MUSTARI</t>
  </si>
  <si>
    <t>DIDIET EDITHIA FIRMAN</t>
  </si>
  <si>
    <t>AWALUDDIN PAINGNGI</t>
  </si>
  <si>
    <t xml:space="preserve">ARIS SUDONO </t>
  </si>
  <si>
    <t>SULASMAN</t>
  </si>
  <si>
    <t>MUH. ASQAR</t>
  </si>
  <si>
    <t>M. HATTA BACO B</t>
  </si>
  <si>
    <t>* Cek Simpanan kantor pusat bulan Februari, harusnya selisih 150.000</t>
  </si>
  <si>
    <t>sudah dikembalikan di bulan Maret 2025</t>
  </si>
  <si>
    <t>Matkom</t>
  </si>
  <si>
    <t>HELDA YULISTIANI</t>
  </si>
  <si>
    <t>SBU ENI IO</t>
  </si>
  <si>
    <t>SBU MNS</t>
  </si>
  <si>
    <t>RANDY YOLANDA ANNOFCI PRATAMA</t>
  </si>
  <si>
    <t>NERLAN PASARIBU</t>
  </si>
  <si>
    <t>MUHAMMAD TEGUH WIDODO</t>
  </si>
  <si>
    <t>MUH. ASPAR</t>
  </si>
  <si>
    <t>MOH. NOOR KHOLIS</t>
  </si>
  <si>
    <t>MERDIANSAH</t>
  </si>
  <si>
    <t>IBNUL QAYYIM</t>
  </si>
  <si>
    <t>HERY ALWIS</t>
  </si>
  <si>
    <t>ELVA MOCHAMAD RAMDHANI</t>
  </si>
  <si>
    <t>ARDHIAN BUDI SULISTIYO</t>
  </si>
  <si>
    <t>YUSRIADY BOROALLO RUGA</t>
  </si>
  <si>
    <t>SBU ENERGI</t>
  </si>
  <si>
    <t>Banten Kom</t>
  </si>
  <si>
    <t>NIRMALA LUTHFIYA ATYANTA</t>
  </si>
  <si>
    <t>MUHAMMAD RAHUL</t>
  </si>
  <si>
    <t>Sutrisno ENI</t>
  </si>
  <si>
    <t>INDAH PETRICIA SARI</t>
  </si>
  <si>
    <t>TRI BUANA GALAXY</t>
  </si>
  <si>
    <t>M RAHMAT AKBAR RAMADHAN</t>
  </si>
  <si>
    <t>ARIF YUNAEDI</t>
  </si>
  <si>
    <t>MOHAMMAD HASAN</t>
  </si>
  <si>
    <t>ARMINDARY ARIEF</t>
  </si>
  <si>
    <t>MAT HASAN</t>
  </si>
  <si>
    <t>SATRIA ALDI PERMANA</t>
  </si>
  <si>
    <t>RYAN HANGGA SRI WIJIHARTO</t>
  </si>
  <si>
    <t>MANGGARSETA DJATNIKA</t>
  </si>
  <si>
    <t>DAVID NOER SYUHADA</t>
  </si>
  <si>
    <t>Cabang</t>
  </si>
  <si>
    <t>LINTANG</t>
  </si>
  <si>
    <t>MUHAMMAD CHOIRON</t>
  </si>
  <si>
    <t>Banten</t>
  </si>
  <si>
    <t>SBU ENI (EO)</t>
  </si>
  <si>
    <t>No</t>
  </si>
  <si>
    <t>Imbal Bagi Hasil dikembaliakan 2026</t>
  </si>
  <si>
    <t>THOMAS MAHENDRA</t>
  </si>
  <si>
    <t>ANOGI AKBAR ALI</t>
  </si>
  <si>
    <t>TRI LAKSONO JOENIAWAN</t>
  </si>
  <si>
    <t>ELVIRA ANGGRAINI KUSUMAPUTRI</t>
  </si>
  <si>
    <t>KURNIA FIRMANSYAH</t>
  </si>
  <si>
    <t>FARIED</t>
  </si>
  <si>
    <t>UCOK NELWAN</t>
  </si>
  <si>
    <t>MUNIR MURADI</t>
  </si>
  <si>
    <t>WILLEM GERRIT PIETER REHATTA</t>
  </si>
  <si>
    <t>TUNJUNG WIDYATMO HANDOYO</t>
  </si>
  <si>
    <t>KARTIKA WIJAYANTI KUSUMAWARDHANI</t>
  </si>
  <si>
    <t>HERBERT SIMON HUTAJULU</t>
  </si>
  <si>
    <t>ENI Kontrak</t>
  </si>
  <si>
    <t>Pusat</t>
  </si>
  <si>
    <t>A'AN AGUS FIRMANSYAH</t>
  </si>
  <si>
    <t>AHMAD YUNUS</t>
  </si>
  <si>
    <t>AHMAD ZAKKY</t>
  </si>
  <si>
    <t>AKHMAD MULIADDIN</t>
  </si>
  <si>
    <t>ALI AKBAR BASO</t>
  </si>
  <si>
    <t>ANDI ARDI ABDULLAH</t>
  </si>
  <si>
    <t>ANDRI SURYAWAN</t>
  </si>
  <si>
    <t>ARIEF BUDI PERMANA</t>
  </si>
  <si>
    <t>ARIF PURWONO</t>
  </si>
  <si>
    <t>ARIFUDDIN</t>
  </si>
  <si>
    <t>ARYO SINGGIH</t>
  </si>
  <si>
    <t>BAMBANG IRWAN</t>
  </si>
  <si>
    <t>BAMBANG RIYANTO</t>
  </si>
  <si>
    <t>BAMBANG SUTOMO</t>
  </si>
  <si>
    <t>BAMBANG WIJANARKO</t>
  </si>
  <si>
    <t>BAWA PRASETYO</t>
  </si>
  <si>
    <t>BUDI ISROFI</t>
  </si>
  <si>
    <t>BUDI PRAKOSO</t>
  </si>
  <si>
    <t>BUDIMAN JOHANSYAH</t>
  </si>
  <si>
    <t>BURHANUDDIN</t>
  </si>
  <si>
    <t>DANDY RUKMANA</t>
  </si>
  <si>
    <t>DEDE NANDA S</t>
  </si>
  <si>
    <t>DEDY HARYADI</t>
  </si>
  <si>
    <t>DERMAWAN</t>
  </si>
  <si>
    <t>DESI HARDIANAWATI</t>
  </si>
  <si>
    <t>DONNY S. PURBA</t>
  </si>
  <si>
    <t>EKA YUNI ERMAWATI</t>
  </si>
  <si>
    <t>ERRY SANJAYA DJAYUS</t>
  </si>
  <si>
    <t>EVA SINTAULI SARAGIH</t>
  </si>
  <si>
    <t>FIKRAH WATHANI</t>
  </si>
  <si>
    <t>FIRMANSYAH</t>
  </si>
  <si>
    <t>HERI WIRAWAN</t>
  </si>
  <si>
    <t>HERU SUSILO BUDIMAN</t>
  </si>
  <si>
    <t>HIMAWAN</t>
  </si>
  <si>
    <t>ILHAM SYAHRIR</t>
  </si>
  <si>
    <t>ILYAS</t>
  </si>
  <si>
    <t>IRWAN EKO SANTOSO</t>
  </si>
  <si>
    <t>IRWANTO</t>
  </si>
  <si>
    <t>JOKO UTOMO</t>
  </si>
  <si>
    <t>KOSIM BIN MARI</t>
  </si>
  <si>
    <t>KRISHNA WIJAYADI</t>
  </si>
  <si>
    <t>LILY PANDANSARI</t>
  </si>
  <si>
    <t>LINDA KURNIATY</t>
  </si>
  <si>
    <t>LISA</t>
  </si>
  <si>
    <t>MARDINI EMBUN SARI</t>
  </si>
  <si>
    <t>MARINA ARIFIANTI</t>
  </si>
  <si>
    <t>MIA MARTINA INDAH</t>
  </si>
  <si>
    <t>MIFTAH FARIDY</t>
  </si>
  <si>
    <t>MUSHAWWIR RAZAK</t>
  </si>
  <si>
    <t>NARSO</t>
  </si>
  <si>
    <t>NASARUDDIN</t>
  </si>
  <si>
    <t>NINA SRI INDAH YANI</t>
  </si>
  <si>
    <t>NOVIANSYAH PAMUNGKAS</t>
  </si>
  <si>
    <t>NUR RAHMAD HIDAYAT</t>
  </si>
  <si>
    <t>NURUL HUDA</t>
  </si>
  <si>
    <t>PUJATMANTO BASTRIADI</t>
  </si>
  <si>
    <t>RM KURNAEFI</t>
  </si>
  <si>
    <t>RAHMAN SUSILO</t>
  </si>
  <si>
    <t>RATNA DEWI</t>
  </si>
  <si>
    <t>RIDWAN ARIFIN</t>
  </si>
  <si>
    <t>RIYANTO</t>
  </si>
  <si>
    <t>ROMILLO LIBRA SETIADI</t>
  </si>
  <si>
    <t>ROSALINA AMRAN</t>
  </si>
  <si>
    <t>SALVINUS PATANGKE</t>
  </si>
  <si>
    <t>SARIDI</t>
  </si>
  <si>
    <t>SEFIA HELMINA</t>
  </si>
  <si>
    <t>SIGIT PRASTOWO</t>
  </si>
  <si>
    <t>SOLEH ABIDIN</t>
  </si>
  <si>
    <t>SRI MULYANTI</t>
  </si>
  <si>
    <t>SU'AD SYUHADA</t>
  </si>
  <si>
    <t>SUDIRO</t>
  </si>
  <si>
    <t>SUKADI REDJI</t>
  </si>
  <si>
    <t>SUMARTINI</t>
  </si>
  <si>
    <t>SYAHLIR</t>
  </si>
  <si>
    <t>TEGUH ANDANI</t>
  </si>
  <si>
    <t>TEGUH BUDI SANTOSO</t>
  </si>
  <si>
    <t>UNTUNG PRASETYO</t>
  </si>
  <si>
    <t>WAHIDIN</t>
  </si>
  <si>
    <t>WAHJOE ARIO TEDJO</t>
  </si>
  <si>
    <t>WAHYU PRIAMBODO</t>
  </si>
  <si>
    <t>WASITO ABDUL MUKIT</t>
  </si>
  <si>
    <t>WAWAN PRIYA WIDYANTA</t>
  </si>
  <si>
    <t>WIDODO</t>
  </si>
  <si>
    <t>WINARTO</t>
  </si>
  <si>
    <t>YUSFI NOER ARYANI</t>
  </si>
  <si>
    <t>WARINI</t>
  </si>
  <si>
    <t>AGRIS SETYAWAN</t>
  </si>
  <si>
    <t>BAMBANG TRI NUGROHO</t>
  </si>
  <si>
    <t>BUDI FITRIAWAN</t>
  </si>
  <si>
    <t>FACHRUDDIN</t>
  </si>
  <si>
    <t>MAHESA SAGA</t>
  </si>
  <si>
    <t>NEVI EKO YULIANANTO</t>
  </si>
  <si>
    <t>RIDWAN AHMAD FAUZI</t>
  </si>
  <si>
    <t>SYARIFUL MAHSYAR</t>
  </si>
  <si>
    <t>LUCKY LUKMAN NUR HAKIM</t>
  </si>
  <si>
    <t>ABDUR RAHMAN</t>
  </si>
  <si>
    <t>AGUS SUNARTO</t>
  </si>
  <si>
    <t>NOMO PRIHASTA</t>
  </si>
  <si>
    <t>TAUFIK AKBAR</t>
  </si>
  <si>
    <t>AGUS ERICSON SIANIPAR</t>
  </si>
  <si>
    <t>ARIFIN GUSTIAN PRAMOKO</t>
  </si>
  <si>
    <t>GARY SIMON</t>
  </si>
  <si>
    <t>HARDIAN</t>
  </si>
  <si>
    <t>AZIZA</t>
  </si>
  <si>
    <t>AGUNG PRASETYO</t>
  </si>
  <si>
    <t>APRIANSYAH</t>
  </si>
  <si>
    <t>YULIA FAJRI KINANTI</t>
  </si>
  <si>
    <t>MUCHLIS RACHMAN</t>
  </si>
  <si>
    <t>EDIT HASTA PRIHANTIKA</t>
  </si>
  <si>
    <t>FERIZA YUSFI</t>
  </si>
  <si>
    <t>DIAN FEBRIAN</t>
  </si>
  <si>
    <t>DEBORAH NINDYA PAWESTRI</t>
  </si>
  <si>
    <t>WILLY ADI NUGROHO</t>
  </si>
  <si>
    <t>FAULINCIA</t>
  </si>
  <si>
    <t>MUHAMAD BAQI</t>
  </si>
  <si>
    <t>RANGSANG KUSUMADILAGA</t>
  </si>
  <si>
    <t>SEPTIAN AJI DEWANGKARA</t>
  </si>
  <si>
    <t>SETIONO PRABOWO</t>
  </si>
  <si>
    <t>SAMSUL MUSLIM</t>
  </si>
  <si>
    <t>BONOR SAMUEL CHARLES</t>
  </si>
  <si>
    <t>SAEPUL</t>
  </si>
  <si>
    <t>ANNISA FADHILAH</t>
  </si>
  <si>
    <t>YUDI PRAWOTO</t>
  </si>
  <si>
    <t>EFRY TALLAMMA</t>
  </si>
  <si>
    <t>ALWIN RIDWAN</t>
  </si>
  <si>
    <t>FATKHURROHMAN</t>
  </si>
  <si>
    <t>ISHAK CHRISTIAN MEGAWE</t>
  </si>
  <si>
    <t>JOKO SUSILO</t>
  </si>
  <si>
    <t>MICHELLE CHANTAL MUSTAMU</t>
  </si>
  <si>
    <t>RANDI RANTE</t>
  </si>
  <si>
    <t>ISMAIL</t>
  </si>
  <si>
    <t>SUTRISNO</t>
  </si>
  <si>
    <t>PURWOKO WIDHYANTO WIRAWAN</t>
  </si>
  <si>
    <t>FAHRUL NUR HIDAYAT</t>
  </si>
  <si>
    <t>YOHANES ARDIANTO NUGROHO</t>
  </si>
  <si>
    <t>MUH ALI HASAN</t>
  </si>
  <si>
    <t>HARYANTI</t>
  </si>
  <si>
    <t>SATRIA ADI SUKMA NEGARA</t>
  </si>
  <si>
    <t>IRMA YUNIATI</t>
  </si>
  <si>
    <t>BAYU RISTA</t>
  </si>
  <si>
    <t>DENY CAHYO NUGROHO</t>
  </si>
  <si>
    <t>JIADAN</t>
  </si>
  <si>
    <t>MUHAMMAD ARDIANSYAH</t>
  </si>
  <si>
    <t>MURDIYANTA</t>
  </si>
  <si>
    <t>SYARIFUDDIN YAMIN</t>
  </si>
  <si>
    <t>CHOIRUN CAHYOABDI</t>
  </si>
  <si>
    <t>MUHAMMAD ASRUL LA SARIPI</t>
  </si>
  <si>
    <t>OKI DWI ANGGORO</t>
  </si>
  <si>
    <t>KAMARUDDIN</t>
  </si>
  <si>
    <t>BARI</t>
  </si>
  <si>
    <t>ADI ISMANTO</t>
  </si>
  <si>
    <t>RAHMAT S</t>
  </si>
  <si>
    <t>EKONDRO</t>
  </si>
  <si>
    <t>JEFRY KURNIAWAN</t>
  </si>
  <si>
    <t>NUR CAHYO FEBRIANTO PUTRO</t>
  </si>
  <si>
    <t>HEDIAR HAPRI BANGABUA</t>
  </si>
  <si>
    <t>ZULFAENI</t>
  </si>
  <si>
    <t>ROZI DELFEMI IRAWATI</t>
  </si>
  <si>
    <t>TANTRY OCTAVIANI</t>
  </si>
  <si>
    <t>SUDARYONO</t>
  </si>
  <si>
    <t>ZUL FAJRIN AZDIN</t>
  </si>
  <si>
    <t>DIMAS PUTRA PRASETYO</t>
  </si>
  <si>
    <t>RIAN EKA SAPUTRA</t>
  </si>
  <si>
    <t>MEGAWATI ROSALIO PUTRI</t>
  </si>
  <si>
    <t>SUDARMAN</t>
  </si>
  <si>
    <t>SHAIDATUN ROHMAH</t>
  </si>
  <si>
    <t>DICKY ALDOKO</t>
  </si>
  <si>
    <t>ANNISYAH FAZRIN</t>
  </si>
  <si>
    <t>RIANA PATRICIA</t>
  </si>
  <si>
    <t>SALMA FADHILAH WIDITYANI</t>
  </si>
  <si>
    <t>DENY HARDIANSYAH</t>
  </si>
  <si>
    <t>ADESTA MUNAS LATIEF</t>
  </si>
  <si>
    <t>LUTHFI SETIA MARDANI</t>
  </si>
  <si>
    <t>ALDICIO WILLIAM SCHUURMAN</t>
  </si>
  <si>
    <t>KEVIN IQBAL RIZALDI</t>
  </si>
  <si>
    <t>FAISHAL ABDURRAHMAN LABIB</t>
  </si>
  <si>
    <t>ADITYA PUTRI ANGGRAINI</t>
  </si>
  <si>
    <t>MUHAMMAD IRVAN WIDYA</t>
  </si>
  <si>
    <t>MUHAMMAD RIO</t>
  </si>
  <si>
    <t>HENGKY PRABOWO</t>
  </si>
  <si>
    <t>YOSIDA ISDIANAWATI</t>
  </si>
  <si>
    <t>RATNA DAMAYANTI</t>
  </si>
  <si>
    <t>ALDI MUHAMMAD RIANTO</t>
  </si>
  <si>
    <t>ALDI WAHYU PRASETYO</t>
  </si>
  <si>
    <t>ADE SINTYA KUSUMAWARDANI</t>
  </si>
  <si>
    <t>NADIA LISTIYANI</t>
  </si>
  <si>
    <t>AGUS SYARIF MAOLANA</t>
  </si>
  <si>
    <t>BAKTI NUGROHO DWI KUSHADIANTO</t>
  </si>
  <si>
    <t>ABDUL RIFANI PRAJA NURRAHMAN</t>
  </si>
  <si>
    <t>FARHAN ABDUL KARIM</t>
  </si>
  <si>
    <t>MUHTAR</t>
  </si>
  <si>
    <t>KENNEDI PANGARIBUAN</t>
  </si>
  <si>
    <t>NOVELLA MUSYA</t>
  </si>
  <si>
    <t>REGIYAN DRININ KAWASUGI</t>
  </si>
  <si>
    <t>RAKA DWITA SETYANEGARA</t>
  </si>
  <si>
    <t>HENDI ZULFAN</t>
  </si>
  <si>
    <t>ELMY MUFIDAH</t>
  </si>
  <si>
    <t>MUHAMMAD RAFI AMRULLAH</t>
  </si>
  <si>
    <t>MUHAMMAD DAFA'ANH MURYA TSANI</t>
  </si>
  <si>
    <t>JASMINE PRATIWI</t>
  </si>
  <si>
    <t>MARIYANA ASTRI FANDANI</t>
  </si>
  <si>
    <t>ARDHIANTI NOVIANDITA</t>
  </si>
  <si>
    <t>ZEID RIZALDI</t>
  </si>
  <si>
    <t>VIVI HAZLINDA WIDIAWATI</t>
  </si>
  <si>
    <t>DEA ADAWIYAH</t>
  </si>
  <si>
    <t>ADE AYU GANISAH</t>
  </si>
  <si>
    <t>KHAMBALI</t>
  </si>
  <si>
    <t xml:space="preserve">MUHAMMAD DAFIT </t>
  </si>
  <si>
    <t xml:space="preserve">FATTAH DWI PUTRO </t>
  </si>
  <si>
    <t>ISMAIL SHOLEH</t>
  </si>
  <si>
    <t>ANDI DIAN AULYA</t>
  </si>
  <si>
    <t>RUDIYANTO</t>
  </si>
  <si>
    <t>Fitria</t>
  </si>
  <si>
    <t>MUHAMMAD DAFIT</t>
  </si>
  <si>
    <t>WIRANTO</t>
  </si>
  <si>
    <t>AGUS SALIM</t>
  </si>
  <si>
    <t>BENNY SUSANTO</t>
  </si>
  <si>
    <t>AHMAD GUFRON M</t>
  </si>
  <si>
    <t>ANDREW CRISTIANT PRAMUSINTA</t>
  </si>
  <si>
    <t>AIRIN CHRISTINE</t>
  </si>
  <si>
    <t>SUKMA MAHARANI</t>
  </si>
  <si>
    <t>ARIEF NURTJAHJO</t>
  </si>
  <si>
    <t>TAUFIK HIDAYAT</t>
  </si>
  <si>
    <t>YUDAS PASOMBA</t>
  </si>
  <si>
    <t>FACHRUDDIN NUR</t>
  </si>
  <si>
    <t>MUHAMMAD IRFAN</t>
  </si>
  <si>
    <t>SUWANDY</t>
  </si>
  <si>
    <t>WAWAN WIDIATMOKO</t>
  </si>
  <si>
    <t>AMIR HAMZAH</t>
  </si>
  <si>
    <t xml:space="preserve">LA ODE ABDUL HASLAN </t>
  </si>
  <si>
    <t>SIGIT PAMUNGKAS</t>
  </si>
  <si>
    <t>YOGIA RIVALDHI</t>
  </si>
  <si>
    <t>IRMARINDA SHEYNA C</t>
  </si>
  <si>
    <t>Donny Trisusilo</t>
  </si>
  <si>
    <t>Erwin</t>
  </si>
  <si>
    <t>TEKO PRNATOKO</t>
  </si>
  <si>
    <t>TOGAP HIDAYAT</t>
  </si>
  <si>
    <t>TRIYONO SAMUEL</t>
  </si>
  <si>
    <t>BOBBY ADI NOVPRIANTO</t>
  </si>
  <si>
    <t>Nevi Eko Yuliananto</t>
  </si>
  <si>
    <t>RISWAN AKBAR</t>
  </si>
  <si>
    <t>SYARIFUL MASYAR</t>
  </si>
  <si>
    <t>Abdur Rahman</t>
  </si>
  <si>
    <t>SANDI NANDARINATO</t>
  </si>
  <si>
    <t>Muchlis Rachman</t>
  </si>
  <si>
    <t>Rudiyanto</t>
  </si>
  <si>
    <t>Jiadan</t>
  </si>
  <si>
    <t>Faried</t>
  </si>
  <si>
    <t>ANOGI AKABR ALI</t>
  </si>
  <si>
    <t>SUGENG YULIANTO</t>
  </si>
  <si>
    <t>Martono</t>
  </si>
  <si>
    <t>Ma'sum</t>
  </si>
  <si>
    <t>Sri Atik</t>
  </si>
  <si>
    <t>Supardi</t>
  </si>
  <si>
    <t>Irviandi</t>
  </si>
  <si>
    <t>Pardi Abbas</t>
  </si>
  <si>
    <t>Poegoeh Setiono</t>
  </si>
  <si>
    <t>Saifuddin Wijaya</t>
  </si>
  <si>
    <t>Suratman</t>
  </si>
  <si>
    <t>Suwandi</t>
  </si>
  <si>
    <t>Syahruddin Nur</t>
  </si>
  <si>
    <t>Syamsul Bahri</t>
  </si>
  <si>
    <t>Triyono Samuel</t>
  </si>
  <si>
    <t>Yudi Wasianto</t>
  </si>
  <si>
    <t>Indra Mariska</t>
  </si>
  <si>
    <t>Andi Ardi Abdullah</t>
  </si>
  <si>
    <t>Guruh M. Amal</t>
  </si>
  <si>
    <t>Herawati</t>
  </si>
  <si>
    <t>Ilham Syahrir</t>
  </si>
  <si>
    <t>Iqbal fikri</t>
  </si>
  <si>
    <t>Irwanto</t>
  </si>
  <si>
    <t>Irzan Azis</t>
  </si>
  <si>
    <t>Jonas Tahia</t>
  </si>
  <si>
    <t>Komariah</t>
  </si>
  <si>
    <t>Lukman Hakim</t>
  </si>
  <si>
    <t>M. Basarudin Aspahani</t>
  </si>
  <si>
    <t>M. Iqbal</t>
  </si>
  <si>
    <t>Mahmur Mochtar</t>
  </si>
  <si>
    <t>Moh. Furqon</t>
  </si>
  <si>
    <t>Moh. Rico Faridz</t>
  </si>
  <si>
    <t>Moh. Sugeng</t>
  </si>
  <si>
    <t>Mohamad Cholil</t>
  </si>
  <si>
    <t>Muh. Nasir</t>
  </si>
  <si>
    <t>Mustakim</t>
  </si>
  <si>
    <t>Mustari</t>
  </si>
  <si>
    <t xml:space="preserve">Nano </t>
  </si>
  <si>
    <t>Nur Hasan Sidiq</t>
  </si>
  <si>
    <t>Ridwan Djajanto</t>
  </si>
  <si>
    <t>Sjaifuddin</t>
  </si>
  <si>
    <t>Saifoedin</t>
  </si>
  <si>
    <t>Sukron Makmun</t>
  </si>
  <si>
    <t>Sulasman Ardi</t>
  </si>
  <si>
    <t>Syarif</t>
  </si>
  <si>
    <t>Topan Firmandha</t>
  </si>
  <si>
    <t>Wibisono R</t>
  </si>
  <si>
    <t>Wiyono</t>
  </si>
  <si>
    <t>Yansen Miri</t>
  </si>
  <si>
    <t xml:space="preserve">Yudhi Ardikusuma </t>
  </si>
  <si>
    <t xml:space="preserve">Sumardi </t>
  </si>
  <si>
    <t>Andre Guntur Teguh WS</t>
  </si>
  <si>
    <t>Firmansyah Putra AM</t>
  </si>
  <si>
    <t>Khairul Akbar</t>
  </si>
  <si>
    <t>Afif Amrullah</t>
  </si>
  <si>
    <t>Arifin Gustian Pramoko</t>
  </si>
  <si>
    <t>Irawati</t>
  </si>
  <si>
    <t>Hardian</t>
  </si>
  <si>
    <t>M. Rahmat Akbar Ramadhan</t>
  </si>
  <si>
    <t>Dian Febrian</t>
  </si>
  <si>
    <t>Syarifuddin Yamin</t>
  </si>
  <si>
    <t>Choirun Cahyoabdi</t>
  </si>
  <si>
    <t>Muhammad Asrul La Saripi</t>
  </si>
  <si>
    <t>Fandi Akbar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</si>
</sst>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_-;\-* #,##0.0_-;_-* &quot;-&quot;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Narrow"/>
      <family val="2"/>
    </font>
    <font>
      <b/>
      <sz val="12"/>
      <name val="Arial Narrow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99">
    <xf numFmtId="0" fontId="0" fillId="0" borderId="0" xfId="0"/>
    <xf numFmtId="164" fontId="3" fillId="0" borderId="6" xfId="1" applyNumberFormat="1" applyFont="1" applyFill="1" applyBorder="1" applyAlignment="1" applyProtection="1">
      <alignment horizontal="center" vertical="center"/>
    </xf>
    <xf numFmtId="164" fontId="3" fillId="0" borderId="6" xfId="1" quotePrefix="1" applyNumberFormat="1" applyFont="1" applyFill="1" applyBorder="1" applyAlignment="1" applyProtection="1">
      <alignment horizontal="center" vertical="center"/>
    </xf>
    <xf numFmtId="164" fontId="3" fillId="0" borderId="6" xfId="1" applyNumberFormat="1" applyFont="1" applyFill="1" applyBorder="1" applyAlignment="1">
      <alignment horizontal="left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 applyProtection="1">
      <alignment horizontal="center" vertical="center"/>
    </xf>
    <xf numFmtId="164" fontId="3" fillId="0" borderId="7" xfId="1" quotePrefix="1" applyNumberFormat="1" applyFont="1" applyFill="1" applyBorder="1" applyAlignment="1" applyProtection="1">
      <alignment horizontal="center" vertical="center"/>
    </xf>
    <xf numFmtId="164" fontId="3" fillId="0" borderId="7" xfId="1" applyNumberFormat="1" applyFont="1" applyFill="1" applyBorder="1" applyAlignment="1">
      <alignment horizontal="left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/>
    <xf numFmtId="0" fontId="5" fillId="0" borderId="8" xfId="0" applyFont="1" applyBorder="1"/>
    <xf numFmtId="165" fontId="5" fillId="0" borderId="8" xfId="0" applyNumberFormat="1" applyFont="1" applyBorder="1"/>
    <xf numFmtId="166" fontId="5" fillId="0" borderId="8" xfId="0" applyNumberFormat="1" applyFont="1" applyBorder="1"/>
    <xf numFmtId="1" fontId="5" fillId="0" borderId="8" xfId="0" applyNumberFormat="1" applyFont="1" applyBorder="1"/>
    <xf numFmtId="167" fontId="5" fillId="0" borderId="8" xfId="0" applyNumberFormat="1" applyFont="1" applyBorder="1"/>
    <xf numFmtId="165" fontId="5" fillId="0" borderId="8" xfId="1" applyNumberFormat="1" applyFont="1" applyBorder="1"/>
    <xf numFmtId="14" fontId="5" fillId="0" borderId="8" xfId="0" applyNumberFormat="1" applyFont="1" applyBorder="1"/>
    <xf numFmtId="14" fontId="5" fillId="0" borderId="8" xfId="1" applyNumberFormat="1" applyFont="1" applyBorder="1"/>
    <xf numFmtId="164" fontId="3" fillId="0" borderId="7" xfId="1" applyNumberFormat="1" applyFont="1" applyFill="1" applyBorder="1" applyAlignment="1">
      <alignment vertical="center"/>
    </xf>
    <xf numFmtId="164" fontId="3" fillId="2" borderId="7" xfId="1" applyNumberFormat="1" applyFont="1" applyFill="1" applyBorder="1" applyAlignment="1" applyProtection="1">
      <alignment horizontal="center" vertical="center"/>
    </xf>
    <xf numFmtId="164" fontId="3" fillId="2" borderId="7" xfId="1" quotePrefix="1" applyNumberFormat="1" applyFont="1" applyFill="1" applyBorder="1" applyAlignment="1" applyProtection="1">
      <alignment horizontal="center" vertical="center"/>
    </xf>
    <xf numFmtId="164" fontId="3" fillId="2" borderId="7" xfId="1" applyNumberFormat="1" applyFont="1" applyFill="1" applyBorder="1" applyAlignment="1">
      <alignment horizontal="left" vertical="center"/>
    </xf>
    <xf numFmtId="164" fontId="3" fillId="2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 applyProtection="1">
      <alignment horizontal="left" vertical="center"/>
    </xf>
    <xf numFmtId="164" fontId="3" fillId="3" borderId="8" xfId="1" applyNumberFormat="1" applyFont="1" applyFill="1" applyBorder="1"/>
    <xf numFmtId="164" fontId="3" fillId="3" borderId="8" xfId="1" applyNumberFormat="1" applyFont="1" applyFill="1" applyBorder="1" applyAlignment="1" applyProtection="1">
      <alignment horizontal="center" vertical="center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>
      <alignment horizontal="center" vertical="center" wrapText="1"/>
    </xf>
    <xf numFmtId="164" fontId="3" fillId="3" borderId="8" xfId="1" applyNumberFormat="1" applyFont="1" applyFill="1" applyBorder="1" applyAlignment="1">
      <alignment horizontal="center"/>
    </xf>
    <xf numFmtId="165" fontId="0" fillId="0" borderId="0" xfId="1" applyNumberFormat="1" applyFont="1"/>
    <xf numFmtId="0" fontId="6" fillId="3" borderId="8" xfId="0" applyFont="1" applyFill="1" applyBorder="1"/>
    <xf numFmtId="167" fontId="6" fillId="3" borderId="8" xfId="0" applyNumberFormat="1" applyFont="1" applyFill="1" applyBorder="1"/>
    <xf numFmtId="164" fontId="3" fillId="3" borderId="7" xfId="1" applyNumberFormat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65" fontId="3" fillId="3" borderId="5" xfId="1" applyNumberFormat="1" applyFont="1" applyFill="1" applyBorder="1"/>
    <xf numFmtId="164" fontId="11" fillId="0" borderId="6" xfId="1" applyNumberFormat="1" applyFont="1" applyFill="1" applyBorder="1"/>
    <xf numFmtId="164" fontId="11" fillId="2" borderId="6" xfId="1" applyNumberFormat="1" applyFont="1" applyFill="1" applyBorder="1"/>
    <xf numFmtId="164" fontId="3" fillId="3" borderId="10" xfId="1" applyNumberFormat="1" applyFont="1" applyFill="1" applyBorder="1" applyAlignment="1">
      <alignment vertical="center"/>
    </xf>
    <xf numFmtId="164" fontId="3" fillId="3" borderId="11" xfId="1" applyNumberFormat="1" applyFont="1" applyFill="1" applyBorder="1" applyAlignment="1">
      <alignment vertical="center"/>
    </xf>
    <xf numFmtId="164" fontId="3" fillId="3" borderId="12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 applyProtection="1">
      <alignment vertical="center"/>
    </xf>
    <xf numFmtId="164" fontId="3" fillId="3" borderId="5" xfId="1" applyNumberFormat="1" applyFont="1" applyFill="1" applyBorder="1" applyAlignment="1" applyProtection="1">
      <alignment vertical="center"/>
    </xf>
    <xf numFmtId="164" fontId="3" fillId="3" borderId="1" xfId="1" applyNumberFormat="1" applyFont="1" applyFill="1" applyBorder="1" applyAlignment="1" applyProtection="1">
      <alignment vertical="center" wrapText="1"/>
    </xf>
    <xf numFmtId="164" fontId="3" fillId="3" borderId="5" xfId="1" applyNumberFormat="1" applyFont="1" applyFill="1" applyBorder="1" applyAlignment="1" applyProtection="1">
      <alignment vertical="center" wrapText="1"/>
    </xf>
    <xf numFmtId="164" fontId="3" fillId="3" borderId="1" xfId="1" applyNumberFormat="1" applyFont="1" applyFill="1" applyBorder="1" applyAlignment="1">
      <alignment vertical="center" wrapText="1"/>
    </xf>
    <xf numFmtId="164" fontId="3" fillId="3" borderId="5" xfId="1" applyNumberFormat="1" applyFont="1" applyFill="1" applyBorder="1" applyAlignment="1">
      <alignment vertical="center" wrapText="1"/>
    </xf>
    <xf numFmtId="0" fontId="0" fillId="0" borderId="8" xfId="0" applyBorder="1"/>
    <xf numFmtId="165" fontId="0" fillId="0" borderId="8" xfId="1" applyNumberFormat="1" applyFont="1" applyBorder="1"/>
    <xf numFmtId="164" fontId="3" fillId="0" borderId="9" xfId="1" quotePrefix="1" applyNumberFormat="1" applyFont="1" applyFill="1" applyBorder="1" applyAlignment="1" applyProtection="1">
      <alignment horizontal="center" vertical="center"/>
    </xf>
    <xf numFmtId="164" fontId="3" fillId="0" borderId="10" xfId="1" quotePrefix="1" applyNumberFormat="1" applyFont="1" applyFill="1" applyBorder="1" applyAlignment="1" applyProtection="1">
      <alignment horizontal="center" vertical="center"/>
    </xf>
    <xf numFmtId="164" fontId="3" fillId="2" borderId="10" xfId="1" quotePrefix="1" applyNumberFormat="1" applyFont="1" applyFill="1" applyBorder="1" applyAlignment="1" applyProtection="1">
      <alignment horizontal="center" vertical="center"/>
    </xf>
    <xf numFmtId="164" fontId="3" fillId="0" borderId="10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>
      <alignment horizontal="left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horizontal="left" vertical="center"/>
    </xf>
    <xf numFmtId="164" fontId="3" fillId="2" borderId="8" xfId="1" applyNumberFormat="1" applyFont="1" applyFill="1" applyBorder="1" applyAlignment="1">
      <alignment horizontal="center" vertical="center"/>
    </xf>
    <xf numFmtId="165" fontId="2" fillId="0" borderId="8" xfId="1" applyNumberFormat="1" applyFont="1" applyBorder="1"/>
    <xf numFmtId="164" fontId="3" fillId="0" borderId="8" xfId="1" applyNumberFormat="1" applyFont="1" applyFill="1" applyBorder="1"/>
    <xf numFmtId="0" fontId="2" fillId="0" borderId="0" xfId="0" applyFont="1"/>
    <xf numFmtId="0" fontId="2" fillId="0" borderId="8" xfId="0" applyFont="1" applyBorder="1"/>
    <xf numFmtId="165" fontId="2" fillId="0" borderId="0" xfId="1" applyNumberFormat="1" applyFont="1"/>
    <xf numFmtId="164" fontId="2" fillId="0" borderId="0" xfId="0" applyNumberFormat="1" applyFont="1"/>
    <xf numFmtId="164" fontId="3" fillId="0" borderId="16" xfId="1" applyNumberFormat="1" applyFont="1" applyFill="1" applyBorder="1" applyAlignment="1">
      <alignment horizontal="left" vertical="center"/>
    </xf>
    <xf numFmtId="164" fontId="3" fillId="4" borderId="10" xfId="1" quotePrefix="1" applyNumberFormat="1" applyFont="1" applyFill="1" applyBorder="1" applyAlignment="1" applyProtection="1">
      <alignment horizontal="center" vertical="center"/>
    </xf>
    <xf numFmtId="164" fontId="3" fillId="4" borderId="8" xfId="1" applyNumberFormat="1" applyFont="1" applyFill="1" applyBorder="1" applyAlignment="1">
      <alignment horizontal="center" vertical="center"/>
    </xf>
    <xf numFmtId="164" fontId="3" fillId="0" borderId="8" xfId="1" quotePrefix="1" applyNumberFormat="1" applyFont="1" applyFill="1" applyBorder="1" applyAlignment="1" applyProtection="1">
      <alignment horizontal="center" vertical="center"/>
    </xf>
    <xf numFmtId="164" fontId="3" fillId="2" borderId="8" xfId="1" applyNumberFormat="1" applyFont="1" applyFill="1" applyBorder="1" applyAlignment="1" applyProtection="1">
      <alignment horizontal="center" vertical="center"/>
    </xf>
    <xf numFmtId="164" fontId="3" fillId="2" borderId="8" xfId="1" quotePrefix="1" applyNumberFormat="1" applyFont="1" applyFill="1" applyBorder="1" applyAlignment="1" applyProtection="1">
      <alignment horizontal="center" vertical="center"/>
    </xf>
    <xf numFmtId="164" fontId="4" fillId="2" borderId="8" xfId="1" applyNumberFormat="1" applyFont="1" applyFill="1" applyBorder="1"/>
    <xf numFmtId="164" fontId="2" fillId="0" borderId="8" xfId="0" applyNumberFormat="1" applyFont="1" applyBorder="1"/>
    <xf numFmtId="164" fontId="4" fillId="0" borderId="13" xfId="1" applyNumberFormat="1" applyFont="1" applyFill="1" applyBorder="1"/>
    <xf numFmtId="164" fontId="0" fillId="0" borderId="0" xfId="0" applyNumberFormat="1"/>
    <xf numFmtId="165" fontId="0" fillId="2" borderId="8" xfId="1" applyNumberFormat="1" applyFont="1" applyFill="1" applyBorder="1"/>
    <xf numFmtId="164" fontId="0" fillId="0" borderId="8" xfId="0" applyNumberFormat="1" applyBorder="1"/>
    <xf numFmtId="164" fontId="4" fillId="0" borderId="8" xfId="1" applyNumberFormat="1" applyFont="1" applyFill="1" applyBorder="1" applyAlignment="1">
      <alignment horizontal="left" vertical="center"/>
    </xf>
    <xf numFmtId="164" fontId="4" fillId="0" borderId="8" xfId="1" applyNumberFormat="1" applyFont="1" applyFill="1" applyBorder="1" applyAlignment="1">
      <alignment horizontal="center" vertical="center"/>
    </xf>
    <xf numFmtId="0" fontId="0" fillId="5" borderId="0" xfId="0" applyFill="1"/>
    <xf numFmtId="164" fontId="4" fillId="5" borderId="8" xfId="1" applyNumberFormat="1" applyFont="1" applyFill="1" applyBorder="1" applyAlignment="1">
      <alignment horizontal="left" vertical="center"/>
    </xf>
    <xf numFmtId="164" fontId="0" fillId="5" borderId="8" xfId="0" applyNumberFormat="1" applyFill="1" applyBorder="1"/>
    <xf numFmtId="164" fontId="4" fillId="5" borderId="13" xfId="1" applyNumberFormat="1" applyFont="1" applyFill="1" applyBorder="1" applyAlignment="1">
      <alignment horizontal="left" vertical="center"/>
    </xf>
    <xf numFmtId="164" fontId="0" fillId="5" borderId="0" xfId="0" applyNumberFormat="1" applyFill="1"/>
    <xf numFmtId="165" fontId="0" fillId="4" borderId="0" xfId="1" applyNumberFormat="1" applyFont="1" applyFill="1"/>
    <xf numFmtId="165" fontId="0" fillId="4" borderId="8" xfId="1" applyNumberFormat="1" applyFont="1" applyFill="1" applyBorder="1"/>
    <xf numFmtId="164" fontId="3" fillId="3" borderId="8" xfId="1" applyNumberFormat="1" applyFont="1" applyFill="1" applyBorder="1" applyAlignment="1" applyProtection="1">
      <alignment vertical="center" wrapText="1"/>
    </xf>
    <xf numFmtId="164" fontId="3" fillId="3" borderId="8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64" fontId="3" fillId="6" borderId="7" xfId="1" applyNumberFormat="1" applyFont="1" applyFill="1" applyBorder="1" applyAlignment="1" applyProtection="1">
      <alignment horizontal="center" vertical="center"/>
    </xf>
    <xf numFmtId="164" fontId="3" fillId="6" borderId="7" xfId="1" applyNumberFormat="1" applyFont="1" applyFill="1" applyBorder="1" applyAlignment="1">
      <alignment horizontal="left" vertical="center"/>
    </xf>
    <xf numFmtId="164" fontId="3" fillId="6" borderId="7" xfId="1" applyNumberFormat="1" applyFont="1" applyFill="1" applyBorder="1" applyAlignment="1">
      <alignment horizontal="center" vertical="center"/>
    </xf>
    <xf numFmtId="164" fontId="4" fillId="6" borderId="8" xfId="1" applyNumberFormat="1" applyFont="1" applyFill="1" applyBorder="1"/>
    <xf numFmtId="0" fontId="0" fillId="6" borderId="0" xfId="0" applyFill="1"/>
    <xf numFmtId="164" fontId="3" fillId="6" borderId="7" xfId="1" quotePrefix="1" applyNumberFormat="1" applyFont="1" applyFill="1" applyBorder="1" applyAlignment="1" applyProtection="1">
      <alignment horizontal="center" vertical="center"/>
    </xf>
    <xf numFmtId="164" fontId="3" fillId="6" borderId="8" xfId="1" applyNumberFormat="1" applyFont="1" applyFill="1" applyBorder="1" applyAlignment="1" applyProtection="1">
      <alignment horizontal="center" vertical="center"/>
    </xf>
    <xf numFmtId="164" fontId="3" fillId="6" borderId="8" xfId="1" applyNumberFormat="1" applyFont="1" applyFill="1" applyBorder="1" applyAlignment="1">
      <alignment horizontal="left" vertical="center"/>
    </xf>
    <xf numFmtId="164" fontId="3" fillId="6" borderId="8" xfId="1" applyNumberFormat="1" applyFont="1" applyFill="1" applyBorder="1" applyAlignment="1">
      <alignment horizontal="center" vertical="center"/>
    </xf>
    <xf numFmtId="164" fontId="3" fillId="7" borderId="7" xfId="1" quotePrefix="1" applyNumberFormat="1" applyFont="1" applyFill="1" applyBorder="1" applyAlignment="1" applyProtection="1">
      <alignment horizontal="center" vertical="center"/>
    </xf>
    <xf numFmtId="164" fontId="4" fillId="7" borderId="8" xfId="1" applyNumberFormat="1" applyFont="1" applyFill="1" applyBorder="1"/>
    <xf numFmtId="164" fontId="3" fillId="8" borderId="7" xfId="1" applyNumberFormat="1" applyFont="1" applyFill="1" applyBorder="1" applyAlignment="1" applyProtection="1">
      <alignment horizontal="center" vertical="center"/>
    </xf>
    <xf numFmtId="164" fontId="3" fillId="8" borderId="7" xfId="1" applyNumberFormat="1" applyFont="1" applyFill="1" applyBorder="1" applyAlignment="1">
      <alignment horizontal="left" vertical="center"/>
    </xf>
    <xf numFmtId="164" fontId="3" fillId="8" borderId="7" xfId="1" applyNumberFormat="1" applyFont="1" applyFill="1" applyBorder="1" applyAlignment="1">
      <alignment horizontal="center" vertical="center"/>
    </xf>
    <xf numFmtId="164" fontId="4" fillId="8" borderId="8" xfId="1" applyNumberFormat="1" applyFont="1" applyFill="1" applyBorder="1"/>
    <xf numFmtId="0" fontId="0" fillId="8" borderId="0" xfId="0" applyFill="1"/>
    <xf numFmtId="164" fontId="3" fillId="4" borderId="7" xfId="1" quotePrefix="1" applyNumberFormat="1" applyFont="1" applyFill="1" applyBorder="1" applyAlignment="1" applyProtection="1">
      <alignment horizontal="center" vertical="center"/>
    </xf>
    <xf numFmtId="164" fontId="4" fillId="4" borderId="8" xfId="1" applyNumberFormat="1" applyFont="1" applyFill="1" applyBorder="1"/>
    <xf numFmtId="164" fontId="3" fillId="8" borderId="8" xfId="1" applyNumberFormat="1" applyFont="1" applyFill="1" applyBorder="1" applyAlignment="1">
      <alignment horizontal="left" vertical="center"/>
    </xf>
    <xf numFmtId="164" fontId="3" fillId="8" borderId="8" xfId="1" applyNumberFormat="1" applyFont="1" applyFill="1" applyBorder="1" applyAlignment="1">
      <alignment horizontal="center" vertical="center"/>
    </xf>
    <xf numFmtId="164" fontId="3" fillId="9" borderId="7" xfId="1" quotePrefix="1" applyNumberFormat="1" applyFont="1" applyFill="1" applyBorder="1" applyAlignment="1" applyProtection="1">
      <alignment horizontal="center" vertical="center"/>
    </xf>
    <xf numFmtId="164" fontId="4" fillId="9" borderId="8" xfId="1" applyNumberFormat="1" applyFont="1" applyFill="1" applyBorder="1"/>
    <xf numFmtId="164" fontId="3" fillId="10" borderId="8" xfId="1" applyNumberFormat="1" applyFont="1" applyFill="1" applyBorder="1"/>
    <xf numFmtId="165" fontId="2" fillId="10" borderId="0" xfId="1" applyNumberFormat="1" applyFont="1" applyFill="1"/>
    <xf numFmtId="0" fontId="0" fillId="10" borderId="0" xfId="0" applyFill="1"/>
    <xf numFmtId="0" fontId="5" fillId="0" borderId="8" xfId="0" applyFont="1" applyBorder="1" applyAlignment="1">
      <alignment horizontal="center" vertical="center"/>
    </xf>
    <xf numFmtId="165" fontId="5" fillId="0" borderId="13" xfId="1" applyNumberFormat="1" applyFont="1" applyFill="1" applyBorder="1"/>
    <xf numFmtId="167" fontId="0" fillId="0" borderId="0" xfId="0" applyNumberFormat="1"/>
    <xf numFmtId="43" fontId="0" fillId="0" borderId="0" xfId="1" applyFont="1"/>
    <xf numFmtId="43" fontId="0" fillId="0" borderId="0" xfId="0" applyNumberFormat="1"/>
    <xf numFmtId="165" fontId="0" fillId="0" borderId="0" xfId="0" applyNumberFormat="1"/>
    <xf numFmtId="165" fontId="0" fillId="2" borderId="0" xfId="1" applyNumberFormat="1" applyFont="1" applyFill="1"/>
    <xf numFmtId="164" fontId="3" fillId="11" borderId="8" xfId="1" applyNumberFormat="1" applyFont="1" applyFill="1" applyBorder="1" applyAlignment="1" applyProtection="1">
      <alignment horizontal="center" vertical="center"/>
    </xf>
    <xf numFmtId="164" fontId="3" fillId="11" borderId="8" xfId="1" applyNumberFormat="1" applyFont="1" applyFill="1" applyBorder="1" applyAlignment="1">
      <alignment horizontal="left" vertical="center"/>
    </xf>
    <xf numFmtId="164" fontId="3" fillId="11" borderId="8" xfId="1" applyNumberFormat="1" applyFont="1" applyFill="1" applyBorder="1" applyAlignment="1">
      <alignment horizontal="center" vertical="center"/>
    </xf>
    <xf numFmtId="164" fontId="4" fillId="11" borderId="8" xfId="1" applyNumberFormat="1" applyFont="1" applyFill="1" applyBorder="1"/>
    <xf numFmtId="0" fontId="0" fillId="11" borderId="0" xfId="0" applyFill="1"/>
    <xf numFmtId="164" fontId="3" fillId="11" borderId="7" xfId="1" applyNumberFormat="1" applyFont="1" applyFill="1" applyBorder="1" applyAlignment="1" applyProtection="1">
      <alignment horizontal="center" vertical="center"/>
    </xf>
    <xf numFmtId="164" fontId="3" fillId="11" borderId="7" xfId="1" applyNumberFormat="1" applyFont="1" applyFill="1" applyBorder="1" applyAlignment="1">
      <alignment horizontal="left" vertical="center"/>
    </xf>
    <xf numFmtId="164" fontId="3" fillId="11" borderId="7" xfId="1" applyNumberFormat="1" applyFont="1" applyFill="1" applyBorder="1" applyAlignment="1">
      <alignment horizontal="center" vertical="center"/>
    </xf>
    <xf numFmtId="164" fontId="3" fillId="11" borderId="7" xfId="1" quotePrefix="1" applyNumberFormat="1" applyFont="1" applyFill="1" applyBorder="1" applyAlignment="1" applyProtection="1">
      <alignment horizontal="center" vertical="center"/>
    </xf>
    <xf numFmtId="164" fontId="3" fillId="12" borderId="8" xfId="1" applyNumberFormat="1" applyFont="1" applyFill="1" applyBorder="1" applyAlignment="1" applyProtection="1">
      <alignment horizontal="center" vertical="center"/>
    </xf>
    <xf numFmtId="164" fontId="3" fillId="12" borderId="8" xfId="1" applyNumberFormat="1" applyFont="1" applyFill="1" applyBorder="1" applyAlignment="1">
      <alignment horizontal="left" vertical="center"/>
    </xf>
    <xf numFmtId="164" fontId="3" fillId="12" borderId="8" xfId="1" applyNumberFormat="1" applyFont="1" applyFill="1" applyBorder="1" applyAlignment="1">
      <alignment horizontal="center" vertical="center"/>
    </xf>
    <xf numFmtId="164" fontId="4" fillId="12" borderId="8" xfId="1" applyNumberFormat="1" applyFont="1" applyFill="1" applyBorder="1"/>
    <xf numFmtId="0" fontId="0" fillId="12" borderId="0" xfId="0" applyFill="1"/>
    <xf numFmtId="164" fontId="3" fillId="12" borderId="7" xfId="1" applyNumberFormat="1" applyFont="1" applyFill="1" applyBorder="1" applyAlignment="1" applyProtection="1">
      <alignment horizontal="center" vertical="center"/>
    </xf>
    <xf numFmtId="164" fontId="3" fillId="12" borderId="7" xfId="1" applyNumberFormat="1" applyFont="1" applyFill="1" applyBorder="1" applyAlignment="1">
      <alignment horizontal="left" vertical="center"/>
    </xf>
    <xf numFmtId="164" fontId="3" fillId="12" borderId="7" xfId="1" applyNumberFormat="1" applyFont="1" applyFill="1" applyBorder="1" applyAlignment="1">
      <alignment horizontal="center" vertical="center"/>
    </xf>
    <xf numFmtId="164" fontId="3" fillId="13" borderId="6" xfId="1" applyNumberFormat="1" applyFont="1" applyFill="1" applyBorder="1" applyAlignment="1" applyProtection="1">
      <alignment horizontal="center" vertical="center"/>
    </xf>
    <xf numFmtId="164" fontId="3" fillId="13" borderId="6" xfId="1" applyNumberFormat="1" applyFont="1" applyFill="1" applyBorder="1" applyAlignment="1">
      <alignment horizontal="left" vertical="center"/>
    </xf>
    <xf numFmtId="164" fontId="3" fillId="13" borderId="6" xfId="1" applyNumberFormat="1" applyFont="1" applyFill="1" applyBorder="1" applyAlignment="1">
      <alignment horizontal="center" vertical="center"/>
    </xf>
    <xf numFmtId="164" fontId="4" fillId="13" borderId="8" xfId="1" applyNumberFormat="1" applyFont="1" applyFill="1" applyBorder="1"/>
    <xf numFmtId="0" fontId="0" fillId="13" borderId="0" xfId="0" applyFill="1"/>
    <xf numFmtId="164" fontId="3" fillId="13" borderId="7" xfId="1" applyNumberFormat="1" applyFont="1" applyFill="1" applyBorder="1" applyAlignment="1" applyProtection="1">
      <alignment horizontal="center" vertical="center"/>
    </xf>
    <xf numFmtId="164" fontId="3" fillId="13" borderId="7" xfId="1" applyNumberFormat="1" applyFont="1" applyFill="1" applyBorder="1" applyAlignment="1">
      <alignment horizontal="left" vertical="center"/>
    </xf>
    <xf numFmtId="164" fontId="3" fillId="13" borderId="7" xfId="1" applyNumberFormat="1" applyFont="1" applyFill="1" applyBorder="1" applyAlignment="1">
      <alignment horizontal="center" vertical="center"/>
    </xf>
    <xf numFmtId="164" fontId="3" fillId="13" borderId="7" xfId="1" applyNumberFormat="1" applyFont="1" applyFill="1" applyBorder="1" applyAlignment="1">
      <alignment vertical="center"/>
    </xf>
    <xf numFmtId="164" fontId="3" fillId="13" borderId="8" xfId="1" applyNumberFormat="1" applyFont="1" applyFill="1" applyBorder="1" applyAlignment="1" applyProtection="1">
      <alignment horizontal="center" vertical="center"/>
    </xf>
    <xf numFmtId="164" fontId="3" fillId="13" borderId="8" xfId="1" applyNumberFormat="1" applyFont="1" applyFill="1" applyBorder="1" applyAlignment="1">
      <alignment horizontal="left" vertical="center"/>
    </xf>
    <xf numFmtId="164" fontId="3" fillId="13" borderId="8" xfId="1" applyNumberFormat="1" applyFont="1" applyFill="1" applyBorder="1" applyAlignment="1">
      <alignment horizontal="center" vertical="center"/>
    </xf>
    <xf numFmtId="164" fontId="3" fillId="14" borderId="7" xfId="1" applyNumberFormat="1" applyFont="1" applyFill="1" applyBorder="1" applyAlignment="1" applyProtection="1">
      <alignment horizontal="center" vertical="center"/>
    </xf>
    <xf numFmtId="164" fontId="3" fillId="14" borderId="7" xfId="1" applyNumberFormat="1" applyFont="1" applyFill="1" applyBorder="1" applyAlignment="1">
      <alignment horizontal="left" vertical="center"/>
    </xf>
    <xf numFmtId="164" fontId="3" fillId="14" borderId="7" xfId="1" applyNumberFormat="1" applyFont="1" applyFill="1" applyBorder="1" applyAlignment="1">
      <alignment horizontal="center" vertical="center"/>
    </xf>
    <xf numFmtId="164" fontId="4" fillId="14" borderId="8" xfId="1" applyNumberFormat="1" applyFont="1" applyFill="1" applyBorder="1"/>
    <xf numFmtId="0" fontId="0" fillId="14" borderId="0" xfId="0" applyFill="1"/>
    <xf numFmtId="164" fontId="3" fillId="14" borderId="8" xfId="1" applyNumberFormat="1" applyFont="1" applyFill="1" applyBorder="1" applyAlignment="1" applyProtection="1">
      <alignment horizontal="center" vertical="center"/>
    </xf>
    <xf numFmtId="164" fontId="3" fillId="14" borderId="8" xfId="1" applyNumberFormat="1" applyFont="1" applyFill="1" applyBorder="1" applyAlignment="1">
      <alignment horizontal="left" vertical="center"/>
    </xf>
    <xf numFmtId="164" fontId="3" fillId="14" borderId="8" xfId="1" applyNumberFormat="1" applyFont="1" applyFill="1" applyBorder="1" applyAlignment="1">
      <alignment horizontal="center" vertical="center"/>
    </xf>
    <xf numFmtId="164" fontId="3" fillId="15" borderId="7" xfId="1" applyNumberFormat="1" applyFont="1" applyFill="1" applyBorder="1" applyAlignment="1" applyProtection="1">
      <alignment horizontal="center" vertical="center"/>
    </xf>
    <xf numFmtId="164" fontId="3" fillId="15" borderId="7" xfId="1" applyNumberFormat="1" applyFont="1" applyFill="1" applyBorder="1" applyAlignment="1">
      <alignment horizontal="left" vertical="center"/>
    </xf>
    <xf numFmtId="164" fontId="3" fillId="15" borderId="7" xfId="1" applyNumberFormat="1" applyFont="1" applyFill="1" applyBorder="1" applyAlignment="1">
      <alignment horizontal="center" vertical="center"/>
    </xf>
    <xf numFmtId="164" fontId="4" fillId="15" borderId="8" xfId="1" applyNumberFormat="1" applyFont="1" applyFill="1" applyBorder="1"/>
    <xf numFmtId="0" fontId="0" fillId="15" borderId="0" xfId="0" applyFill="1"/>
    <xf numFmtId="164" fontId="3" fillId="15" borderId="8" xfId="1" applyNumberFormat="1" applyFont="1" applyFill="1" applyBorder="1" applyAlignment="1" applyProtection="1">
      <alignment horizontal="center" vertical="center"/>
    </xf>
    <xf numFmtId="164" fontId="3" fillId="15" borderId="8" xfId="1" applyNumberFormat="1" applyFont="1" applyFill="1" applyBorder="1" applyAlignment="1">
      <alignment horizontal="left" vertical="center"/>
    </xf>
    <xf numFmtId="164" fontId="3" fillId="15" borderId="8" xfId="1" applyNumberFormat="1" applyFont="1" applyFill="1" applyBorder="1" applyAlignment="1">
      <alignment horizontal="center" vertical="center"/>
    </xf>
    <xf numFmtId="164" fontId="3" fillId="12" borderId="7" xfId="1" applyNumberFormat="1" applyFont="1" applyFill="1" applyBorder="1" applyAlignment="1" applyProtection="1">
      <alignment horizontal="left" vertical="center"/>
    </xf>
    <xf numFmtId="164" fontId="3" fillId="13" borderId="7" xfId="1" quotePrefix="1" applyNumberFormat="1" applyFont="1" applyFill="1" applyBorder="1" applyAlignment="1" applyProtection="1">
      <alignment horizontal="center" vertical="center"/>
    </xf>
    <xf numFmtId="165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 wrapText="1"/>
    </xf>
    <xf numFmtId="164" fontId="3" fillId="3" borderId="8" xfId="1" applyNumberFormat="1" applyFont="1" applyFill="1" applyBorder="1" applyAlignment="1">
      <alignment horizontal="center" vertical="center" wrapText="1"/>
    </xf>
    <xf numFmtId="164" fontId="3" fillId="5" borderId="8" xfId="1" applyNumberFormat="1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/>
    </xf>
    <xf numFmtId="165" fontId="3" fillId="3" borderId="4" xfId="1" applyNumberFormat="1" applyFont="1" applyFill="1" applyBorder="1" applyAlignment="1">
      <alignment horizontal="center"/>
    </xf>
    <xf numFmtId="164" fontId="12" fillId="3" borderId="1" xfId="1" applyNumberFormat="1" applyFont="1" applyFill="1" applyBorder="1" applyAlignment="1">
      <alignment horizontal="center" vertical="center"/>
    </xf>
    <xf numFmtId="164" fontId="12" fillId="3" borderId="5" xfId="1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 applyProtection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5" fontId="2" fillId="0" borderId="16" xfId="1" applyNumberFormat="1" applyFont="1" applyBorder="1" applyAlignment="1">
      <alignment horizontal="center" vertical="center"/>
    </xf>
    <xf numFmtId="164" fontId="3" fillId="10" borderId="15" xfId="1" applyNumberFormat="1" applyFont="1" applyFill="1" applyBorder="1" applyAlignment="1">
      <alignment horizontal="center" vertical="center"/>
    </xf>
    <xf numFmtId="164" fontId="3" fillId="10" borderId="16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164" fontId="3" fillId="0" borderId="5" xfId="1" applyNumberFormat="1" applyFont="1" applyFill="1" applyBorder="1" applyAlignment="1" applyProtection="1">
      <alignment horizontal="center" vertical="center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64" fontId="3" fillId="0" borderId="14" xfId="1" applyNumberFormat="1" applyFont="1" applyFill="1" applyBorder="1" applyAlignment="1" applyProtection="1">
      <alignment horizontal="center" vertical="center" wrapText="1"/>
    </xf>
    <xf numFmtId="164" fontId="3" fillId="0" borderId="8" xfId="1" applyNumberFormat="1" applyFont="1" applyFill="1" applyBorder="1" applyAlignment="1" applyProtection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 wrapText="1"/>
    </xf>
    <xf numFmtId="165" fontId="2" fillId="0" borderId="17" xfId="1" applyNumberFormat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3" fillId="0" borderId="15" xfId="1" applyNumberFormat="1" applyFont="1" applyFill="1" applyBorder="1" applyAlignment="1">
      <alignment horizontal="center" vertical="center" wrapText="1"/>
    </xf>
    <xf numFmtId="164" fontId="3" fillId="0" borderId="16" xfId="1" applyNumberFormat="1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 applyProtection="1">
      <alignment horizontal="center" vertical="center" wrapText="1"/>
    </xf>
    <xf numFmtId="165" fontId="2" fillId="0" borderId="8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4" xfId="2" xr:uid="{200F0513-6CC3-4DFF-8F60-0814ACEACFCE}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66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18A0-A5C6-4370-A266-203855E26022}">
  <dimension ref="A1:K749"/>
  <sheetViews>
    <sheetView topLeftCell="A19" workbookViewId="0">
      <selection activeCell="C30" sqref="C30"/>
    </sheetView>
  </sheetViews>
  <sheetFormatPr defaultRowHeight="14.5" x14ac:dyDescent="0.35"/>
  <cols>
    <col min="3" max="3" width="30.6328125" customWidth="1"/>
    <col min="5" max="5" width="13.7265625" style="29" bestFit="1" customWidth="1"/>
    <col min="6" max="6" width="10.08984375" style="29" bestFit="1" customWidth="1"/>
    <col min="7" max="7" width="11" style="29" bestFit="1" customWidth="1"/>
    <col min="8" max="8" width="12.36328125" style="29" bestFit="1" customWidth="1"/>
    <col min="9" max="9" width="12.1796875" style="29" bestFit="1" customWidth="1"/>
    <col min="10" max="10" width="13.36328125" style="29" bestFit="1" customWidth="1"/>
    <col min="11" max="11" width="17.81640625" customWidth="1"/>
  </cols>
  <sheetData>
    <row r="1" spans="1:11" ht="26" customHeight="1" x14ac:dyDescent="0.35">
      <c r="A1" s="40" t="s">
        <v>0</v>
      </c>
      <c r="B1" s="42" t="s">
        <v>1</v>
      </c>
      <c r="C1" s="40" t="s">
        <v>2</v>
      </c>
      <c r="D1" s="44" t="s">
        <v>3</v>
      </c>
      <c r="E1" s="172" t="s">
        <v>1573</v>
      </c>
      <c r="F1" s="173"/>
      <c r="G1" s="173"/>
      <c r="H1" s="173"/>
      <c r="I1" s="173"/>
      <c r="J1" s="174"/>
      <c r="K1" s="175" t="s">
        <v>1572</v>
      </c>
    </row>
    <row r="2" spans="1:11" ht="15" thickBot="1" x14ac:dyDescent="0.4">
      <c r="A2" s="41"/>
      <c r="B2" s="43"/>
      <c r="C2" s="41"/>
      <c r="D2" s="45"/>
      <c r="E2" s="34" t="s">
        <v>5</v>
      </c>
      <c r="F2" s="34" t="s">
        <v>4</v>
      </c>
      <c r="G2" s="34" t="s">
        <v>6</v>
      </c>
      <c r="H2" s="34" t="s">
        <v>7</v>
      </c>
      <c r="I2" s="34" t="s">
        <v>1574</v>
      </c>
      <c r="J2" s="34" t="s">
        <v>8</v>
      </c>
      <c r="K2" s="176"/>
    </row>
    <row r="3" spans="1:11" ht="15.5" x14ac:dyDescent="0.35">
      <c r="A3" s="1">
        <v>1</v>
      </c>
      <c r="B3" s="2" t="s">
        <v>9</v>
      </c>
      <c r="C3" s="3" t="s">
        <v>10</v>
      </c>
      <c r="D3" s="4" t="s">
        <v>11</v>
      </c>
      <c r="E3" s="4">
        <f>SUMIF('Simpanan Wajib'!C:C,'All Simpanan '!C:C,'Simpanan Wajib'!E:E)</f>
        <v>0</v>
      </c>
      <c r="F3" s="4">
        <f>SUMIF('Simpanan Pokok'!C:C,'All Simpanan '!C:C,'Simpanan Pokok'!E:E)</f>
        <v>0</v>
      </c>
      <c r="G3" s="4">
        <f>SUMIF('Simpanan Khusus'!C:C,'All Simpanan '!C:C,'Simpanan Khusus'!E:E)</f>
        <v>0</v>
      </c>
      <c r="H3" s="4">
        <f>SUMIF('Simpanan Sukarela'!C:C,'All Simpanan '!C:C,'Simpanan Sukarela'!E:E)</f>
        <v>0</v>
      </c>
      <c r="I3" s="4">
        <f>SUMIF('Simpanan Sukarela Berjangka'!B:B,'All Simpanan '!C:C,'Simpanan Sukarela Berjangka'!K:K)</f>
        <v>0</v>
      </c>
      <c r="J3" s="4">
        <f>SUM(E3:I3)</f>
        <v>0</v>
      </c>
      <c r="K3" s="35" t="s">
        <v>1579</v>
      </c>
    </row>
    <row r="4" spans="1:11" ht="15.5" x14ac:dyDescent="0.35">
      <c r="A4" s="5">
        <v>2</v>
      </c>
      <c r="B4" s="6" t="s">
        <v>12</v>
      </c>
      <c r="C4" s="7" t="s">
        <v>13</v>
      </c>
      <c r="D4" s="8" t="s">
        <v>14</v>
      </c>
      <c r="E4" s="8">
        <f>SUMIF('Simpanan Wajib'!C:C,'All Simpanan '!C:C,'Simpanan Wajib'!E:E)</f>
        <v>0</v>
      </c>
      <c r="F4" s="4">
        <f>SUMIF('Simpanan Pokok'!C:C,'All Simpanan '!C:C,'Simpanan Pokok'!E:E)</f>
        <v>0</v>
      </c>
      <c r="G4" s="4">
        <f>SUMIF('Simpanan Khusus'!C:C,'All Simpanan '!C:C,'Simpanan Khusus'!E:E)</f>
        <v>0</v>
      </c>
      <c r="H4" s="4">
        <f>SUMIF('Simpanan Sukarela'!C:C,'All Simpanan '!C:C,'Simpanan Sukarela'!E:E)</f>
        <v>0</v>
      </c>
      <c r="I4" s="4">
        <f>SUMIF('Simpanan Sukarela Berjangka'!B:B,'All Simpanan '!C:C,'Simpanan Sukarela Berjangka'!K:K)</f>
        <v>0</v>
      </c>
      <c r="J4" s="4">
        <f t="shared" ref="J4:J67" si="0">SUM(E4:I4)</f>
        <v>0</v>
      </c>
      <c r="K4" s="35" t="s">
        <v>1576</v>
      </c>
    </row>
    <row r="5" spans="1:11" ht="15.5" x14ac:dyDescent="0.35">
      <c r="A5" s="5">
        <v>3</v>
      </c>
      <c r="B5" s="6" t="s">
        <v>15</v>
      </c>
      <c r="C5" s="7" t="s">
        <v>16</v>
      </c>
      <c r="D5" s="8"/>
      <c r="E5" s="8">
        <f>SUMIF('Simpanan Wajib'!C:C,'All Simpanan '!C:C,'Simpanan Wajib'!E:E)</f>
        <v>150000</v>
      </c>
      <c r="F5" s="4">
        <f>SUMIF('Simpanan Pokok'!C:C,'All Simpanan '!C:C,'Simpanan Pokok'!E:E)</f>
        <v>0</v>
      </c>
      <c r="G5" s="4">
        <f>SUMIF('Simpanan Khusus'!C:C,'All Simpanan '!C:C,'Simpanan Khusus'!E:E)</f>
        <v>0</v>
      </c>
      <c r="H5" s="4">
        <f>SUMIF('Simpanan Sukarela'!C:C,'All Simpanan '!C:C,'Simpanan Sukarela'!E:E)</f>
        <v>6155</v>
      </c>
      <c r="I5" s="4">
        <f>SUMIF('Simpanan Sukarela Berjangka'!B:B,'All Simpanan '!C:C,'Simpanan Sukarela Berjangka'!K:K)</f>
        <v>0</v>
      </c>
      <c r="J5" s="4">
        <f t="shared" si="0"/>
        <v>156155</v>
      </c>
      <c r="K5" s="35" t="s">
        <v>1576</v>
      </c>
    </row>
    <row r="6" spans="1:11" ht="15.5" x14ac:dyDescent="0.35">
      <c r="A6" s="5">
        <v>4</v>
      </c>
      <c r="B6" s="6" t="s">
        <v>17</v>
      </c>
      <c r="C6" s="7" t="s">
        <v>18</v>
      </c>
      <c r="D6" s="8" t="s">
        <v>19</v>
      </c>
      <c r="E6" s="8">
        <f>SUMIF('Simpanan Wajib'!C:C,'All Simpanan '!C:C,'Simpanan Wajib'!E:E)</f>
        <v>0</v>
      </c>
      <c r="F6" s="4">
        <f>SUMIF('Simpanan Pokok'!C:C,'All Simpanan '!C:C,'Simpanan Pokok'!E:E)</f>
        <v>0</v>
      </c>
      <c r="G6" s="4">
        <f>SUMIF('Simpanan Khusus'!C:C,'All Simpanan '!C:C,'Simpanan Khusus'!E:E)</f>
        <v>0</v>
      </c>
      <c r="H6" s="4">
        <f>SUMIF('Simpanan Sukarela'!C:C,'All Simpanan '!C:C,'Simpanan Sukarela'!E:E)</f>
        <v>1217315.6837100901</v>
      </c>
      <c r="I6" s="4">
        <f>SUMIF('Simpanan Sukarela Berjangka'!B:B,'All Simpanan '!C:C,'Simpanan Sukarela Berjangka'!K:K)</f>
        <v>0</v>
      </c>
      <c r="J6" s="4">
        <f t="shared" si="0"/>
        <v>1217315.6837100901</v>
      </c>
      <c r="K6" s="35" t="s">
        <v>1579</v>
      </c>
    </row>
    <row r="7" spans="1:11" ht="15.5" x14ac:dyDescent="0.35">
      <c r="A7" s="5">
        <v>5</v>
      </c>
      <c r="B7" s="6" t="s">
        <v>20</v>
      </c>
      <c r="C7" s="7" t="s">
        <v>21</v>
      </c>
      <c r="D7" s="8" t="s">
        <v>22</v>
      </c>
      <c r="E7" s="8">
        <f>SUMIF('Simpanan Wajib'!C:C,'All Simpanan '!C:C,'Simpanan Wajib'!E:E)</f>
        <v>24852898</v>
      </c>
      <c r="F7" s="4">
        <f>SUMIF('Simpanan Pokok'!C:C,'All Simpanan '!C:C,'Simpanan Pokok'!E:E)</f>
        <v>5000</v>
      </c>
      <c r="G7" s="4">
        <f>SUMIF('Simpanan Khusus'!C:C,'All Simpanan '!C:C,'Simpanan Khusus'!E:E)</f>
        <v>795000</v>
      </c>
      <c r="H7" s="4">
        <f>SUMIF('Simpanan Sukarela'!C:C,'All Simpanan '!C:C,'Simpanan Sukarela'!E:E)</f>
        <v>2229525.2915070974</v>
      </c>
      <c r="I7" s="4">
        <f>SUMIF('Simpanan Sukarela Berjangka'!B:B,'All Simpanan '!C:C,'Simpanan Sukarela Berjangka'!K:K)</f>
        <v>0</v>
      </c>
      <c r="J7" s="4">
        <f t="shared" si="0"/>
        <v>27882423.291507099</v>
      </c>
      <c r="K7" s="35" t="s">
        <v>1579</v>
      </c>
    </row>
    <row r="8" spans="1:11" ht="15.5" x14ac:dyDescent="0.35">
      <c r="A8" s="5">
        <v>6</v>
      </c>
      <c r="B8" s="6" t="s">
        <v>23</v>
      </c>
      <c r="C8" s="7" t="s">
        <v>24</v>
      </c>
      <c r="D8" s="8" t="s">
        <v>25</v>
      </c>
      <c r="E8" s="8">
        <f>SUMIF('Simpanan Wajib'!C:C,'All Simpanan '!C:C,'Simpanan Wajib'!E:E)</f>
        <v>0</v>
      </c>
      <c r="F8" s="4">
        <f>SUMIF('Simpanan Pokok'!C:C,'All Simpanan '!C:C,'Simpanan Pokok'!E:E)</f>
        <v>0</v>
      </c>
      <c r="G8" s="4">
        <f>SUMIF('Simpanan Khusus'!C:C,'All Simpanan '!C:C,'Simpanan Khusus'!E:E)</f>
        <v>0</v>
      </c>
      <c r="H8" s="4">
        <f>SUMIF('Simpanan Sukarela'!C:C,'All Simpanan '!C:C,'Simpanan Sukarela'!E:E)</f>
        <v>0</v>
      </c>
      <c r="I8" s="4">
        <f>SUMIF('Simpanan Sukarela Berjangka'!B:B,'All Simpanan '!C:C,'Simpanan Sukarela Berjangka'!K:K)</f>
        <v>0</v>
      </c>
      <c r="J8" s="4">
        <f t="shared" si="0"/>
        <v>0</v>
      </c>
      <c r="K8" s="35" t="s">
        <v>1579</v>
      </c>
    </row>
    <row r="9" spans="1:11" ht="15.5" x14ac:dyDescent="0.35">
      <c r="A9" s="5">
        <v>7</v>
      </c>
      <c r="B9" s="6" t="s">
        <v>39</v>
      </c>
      <c r="C9" s="7" t="s">
        <v>40</v>
      </c>
      <c r="D9" s="8" t="s">
        <v>41</v>
      </c>
      <c r="E9" s="8">
        <f>SUMIF('Simpanan Wajib'!C:C,'All Simpanan '!C:C,'Simpanan Wajib'!E:E)</f>
        <v>0</v>
      </c>
      <c r="F9" s="4">
        <f>SUMIF('Simpanan Pokok'!C:C,'All Simpanan '!C:C,'Simpanan Pokok'!E:E)</f>
        <v>0</v>
      </c>
      <c r="G9" s="4">
        <f>SUMIF('Simpanan Khusus'!C:C,'All Simpanan '!C:C,'Simpanan Khusus'!E:E)</f>
        <v>0</v>
      </c>
      <c r="H9" s="4">
        <f>SUMIF('Simpanan Sukarela'!C:C,'All Simpanan '!C:C,'Simpanan Sukarela'!E:E)</f>
        <v>0</v>
      </c>
      <c r="I9" s="4">
        <f>SUMIF('Simpanan Sukarela Berjangka'!B:B,'All Simpanan '!C:C,'Simpanan Sukarela Berjangka'!K:K)</f>
        <v>0</v>
      </c>
      <c r="J9" s="4">
        <f t="shared" si="0"/>
        <v>0</v>
      </c>
      <c r="K9" s="35" t="s">
        <v>1578</v>
      </c>
    </row>
    <row r="10" spans="1:11" ht="15.5" x14ac:dyDescent="0.35">
      <c r="A10" s="5">
        <v>8</v>
      </c>
      <c r="B10" s="6" t="s">
        <v>42</v>
      </c>
      <c r="C10" s="7" t="s">
        <v>43</v>
      </c>
      <c r="D10" s="8" t="s">
        <v>14</v>
      </c>
      <c r="E10" s="8">
        <f>SUMIF('Simpanan Wajib'!C:C,'All Simpanan '!C:C,'Simpanan Wajib'!E:E)</f>
        <v>0</v>
      </c>
      <c r="F10" s="4">
        <f>SUMIF('Simpanan Pokok'!C:C,'All Simpanan '!C:C,'Simpanan Pokok'!E:E)</f>
        <v>0</v>
      </c>
      <c r="G10" s="4">
        <f>SUMIF('Simpanan Khusus'!C:C,'All Simpanan '!C:C,'Simpanan Khusus'!E:E)</f>
        <v>0</v>
      </c>
      <c r="H10" s="4">
        <f>SUMIF('Simpanan Sukarela'!C:C,'All Simpanan '!C:C,'Simpanan Sukarela'!E:E)</f>
        <v>0</v>
      </c>
      <c r="I10" s="4">
        <f>SUMIF('Simpanan Sukarela Berjangka'!B:B,'All Simpanan '!C:C,'Simpanan Sukarela Berjangka'!K:K)</f>
        <v>0</v>
      </c>
      <c r="J10" s="4">
        <f t="shared" si="0"/>
        <v>0</v>
      </c>
      <c r="K10" s="35" t="s">
        <v>1579</v>
      </c>
    </row>
    <row r="11" spans="1:11" ht="15.5" x14ac:dyDescent="0.35">
      <c r="A11" s="5">
        <v>9</v>
      </c>
      <c r="B11" s="6" t="s">
        <v>44</v>
      </c>
      <c r="C11" s="7" t="s">
        <v>45</v>
      </c>
      <c r="D11" s="8" t="s">
        <v>46</v>
      </c>
      <c r="E11" s="8">
        <f>SUMIF('Simpanan Wajib'!C:C,'All Simpanan '!C:C,'Simpanan Wajib'!E:E)</f>
        <v>0</v>
      </c>
      <c r="F11" s="4">
        <f>SUMIF('Simpanan Pokok'!C:C,'All Simpanan '!C:C,'Simpanan Pokok'!E:E)</f>
        <v>0</v>
      </c>
      <c r="G11" s="4">
        <f>SUMIF('Simpanan Khusus'!C:C,'All Simpanan '!C:C,'Simpanan Khusus'!E:E)</f>
        <v>0</v>
      </c>
      <c r="H11" s="4">
        <f>SUMIF('Simpanan Sukarela'!C:C,'All Simpanan '!C:C,'Simpanan Sukarela'!E:E)</f>
        <v>655986</v>
      </c>
      <c r="I11" s="4">
        <f>SUMIF('Simpanan Sukarela Berjangka'!B:B,'All Simpanan '!C:C,'Simpanan Sukarela Berjangka'!K:K)</f>
        <v>0</v>
      </c>
      <c r="J11" s="4">
        <f t="shared" si="0"/>
        <v>655986</v>
      </c>
      <c r="K11" s="35" t="s">
        <v>1578</v>
      </c>
    </row>
    <row r="12" spans="1:11" ht="15.5" x14ac:dyDescent="0.35">
      <c r="A12" s="5">
        <v>10</v>
      </c>
      <c r="B12" s="6" t="s">
        <v>47</v>
      </c>
      <c r="C12" s="7" t="s">
        <v>48</v>
      </c>
      <c r="D12" s="8" t="s">
        <v>49</v>
      </c>
      <c r="E12" s="8">
        <f>SUMIF('Simpanan Wajib'!C:C,'All Simpanan '!C:C,'Simpanan Wajib'!E:E)</f>
        <v>250000</v>
      </c>
      <c r="F12" s="4">
        <f>SUMIF('Simpanan Pokok'!C:C,'All Simpanan '!C:C,'Simpanan Pokok'!E:E)</f>
        <v>0</v>
      </c>
      <c r="G12" s="4">
        <f>SUMIF('Simpanan Khusus'!C:C,'All Simpanan '!C:C,'Simpanan Khusus'!E:E)</f>
        <v>100000</v>
      </c>
      <c r="H12" s="4">
        <f>SUMIF('Simpanan Sukarela'!C:C,'All Simpanan '!C:C,'Simpanan Sukarela'!E:E)</f>
        <v>214116.93703242391</v>
      </c>
      <c r="I12" s="4">
        <f>SUMIF('Simpanan Sukarela Berjangka'!B:B,'All Simpanan '!C:C,'Simpanan Sukarela Berjangka'!K:K)</f>
        <v>0</v>
      </c>
      <c r="J12" s="4">
        <f t="shared" si="0"/>
        <v>564116.93703242391</v>
      </c>
      <c r="K12" s="35" t="s">
        <v>1578</v>
      </c>
    </row>
    <row r="13" spans="1:11" ht="15.5" x14ac:dyDescent="0.35">
      <c r="A13" s="5">
        <v>11</v>
      </c>
      <c r="B13" s="6" t="s">
        <v>50</v>
      </c>
      <c r="C13" s="7" t="s">
        <v>51</v>
      </c>
      <c r="D13" s="8" t="s">
        <v>52</v>
      </c>
      <c r="E13" s="8">
        <f>SUMIF('Simpanan Wajib'!C:C,'All Simpanan '!C:C,'Simpanan Wajib'!E:E)</f>
        <v>0</v>
      </c>
      <c r="F13" s="4">
        <f>SUMIF('Simpanan Pokok'!C:C,'All Simpanan '!C:C,'Simpanan Pokok'!E:E)</f>
        <v>0</v>
      </c>
      <c r="G13" s="4">
        <f>SUMIF('Simpanan Khusus'!C:C,'All Simpanan '!C:C,'Simpanan Khusus'!E:E)</f>
        <v>0</v>
      </c>
      <c r="H13" s="4">
        <f>SUMIF('Simpanan Sukarela'!C:C,'All Simpanan '!C:C,'Simpanan Sukarela'!E:E)</f>
        <v>0</v>
      </c>
      <c r="I13" s="4">
        <f>SUMIF('Simpanan Sukarela Berjangka'!B:B,'All Simpanan '!C:C,'Simpanan Sukarela Berjangka'!K:K)</f>
        <v>0</v>
      </c>
      <c r="J13" s="4">
        <f t="shared" si="0"/>
        <v>0</v>
      </c>
      <c r="K13" s="35" t="s">
        <v>1578</v>
      </c>
    </row>
    <row r="14" spans="1:11" ht="15.5" x14ac:dyDescent="0.35">
      <c r="A14" s="5">
        <v>12</v>
      </c>
      <c r="B14" s="6" t="s">
        <v>53</v>
      </c>
      <c r="C14" s="7" t="s">
        <v>54</v>
      </c>
      <c r="D14" s="8" t="s">
        <v>55</v>
      </c>
      <c r="E14" s="8">
        <f>SUMIF('Simpanan Wajib'!C:C,'All Simpanan '!C:C,'Simpanan Wajib'!E:E)</f>
        <v>0</v>
      </c>
      <c r="F14" s="4">
        <f>SUMIF('Simpanan Pokok'!C:C,'All Simpanan '!C:C,'Simpanan Pokok'!E:E)</f>
        <v>0</v>
      </c>
      <c r="G14" s="4">
        <f>SUMIF('Simpanan Khusus'!C:C,'All Simpanan '!C:C,'Simpanan Khusus'!E:E)</f>
        <v>0</v>
      </c>
      <c r="H14" s="4">
        <f>SUMIF('Simpanan Sukarela'!C:C,'All Simpanan '!C:C,'Simpanan Sukarela'!E:E)</f>
        <v>0</v>
      </c>
      <c r="I14" s="4">
        <f>SUMIF('Simpanan Sukarela Berjangka'!B:B,'All Simpanan '!C:C,'Simpanan Sukarela Berjangka'!K:K)</f>
        <v>0</v>
      </c>
      <c r="J14" s="4">
        <f t="shared" si="0"/>
        <v>0</v>
      </c>
      <c r="K14" s="35" t="s">
        <v>1576</v>
      </c>
    </row>
    <row r="15" spans="1:11" ht="15.5" x14ac:dyDescent="0.35">
      <c r="A15" s="5">
        <v>13</v>
      </c>
      <c r="B15" s="6" t="s">
        <v>56</v>
      </c>
      <c r="C15" s="7" t="s">
        <v>57</v>
      </c>
      <c r="D15" s="8" t="s">
        <v>49</v>
      </c>
      <c r="E15" s="8">
        <f>SUMIF('Simpanan Wajib'!C:C,'All Simpanan '!C:C,'Simpanan Wajib'!E:E)</f>
        <v>0</v>
      </c>
      <c r="F15" s="4">
        <f>SUMIF('Simpanan Pokok'!C:C,'All Simpanan '!C:C,'Simpanan Pokok'!E:E)</f>
        <v>0</v>
      </c>
      <c r="G15" s="4">
        <f>SUMIF('Simpanan Khusus'!C:C,'All Simpanan '!C:C,'Simpanan Khusus'!E:E)</f>
        <v>0</v>
      </c>
      <c r="H15" s="4">
        <f>SUMIF('Simpanan Sukarela'!C:C,'All Simpanan '!C:C,'Simpanan Sukarela'!E:E)</f>
        <v>2245019</v>
      </c>
      <c r="I15" s="4">
        <f>SUMIF('Simpanan Sukarela Berjangka'!B:B,'All Simpanan '!C:C,'Simpanan Sukarela Berjangka'!K:K)</f>
        <v>0</v>
      </c>
      <c r="J15" s="4">
        <f t="shared" si="0"/>
        <v>2245019</v>
      </c>
      <c r="K15" s="35" t="s">
        <v>1578</v>
      </c>
    </row>
    <row r="16" spans="1:11" ht="15.5" x14ac:dyDescent="0.35">
      <c r="A16" s="5">
        <v>14</v>
      </c>
      <c r="B16" s="6" t="s">
        <v>58</v>
      </c>
      <c r="C16" s="7" t="s">
        <v>59</v>
      </c>
      <c r="D16" s="8" t="s">
        <v>60</v>
      </c>
      <c r="E16" s="8">
        <f>SUMIF('Simpanan Wajib'!C:C,'All Simpanan '!C:C,'Simpanan Wajib'!E:E)</f>
        <v>0</v>
      </c>
      <c r="F16" s="4">
        <f>SUMIF('Simpanan Pokok'!C:C,'All Simpanan '!C:C,'Simpanan Pokok'!E:E)</f>
        <v>0</v>
      </c>
      <c r="G16" s="4">
        <f>SUMIF('Simpanan Khusus'!C:C,'All Simpanan '!C:C,'Simpanan Khusus'!E:E)</f>
        <v>0</v>
      </c>
      <c r="H16" s="4">
        <f>SUMIF('Simpanan Sukarela'!C:C,'All Simpanan '!C:C,'Simpanan Sukarela'!E:E)</f>
        <v>0</v>
      </c>
      <c r="I16" s="4">
        <f>SUMIF('Simpanan Sukarela Berjangka'!B:B,'All Simpanan '!C:C,'Simpanan Sukarela Berjangka'!K:K)</f>
        <v>0</v>
      </c>
      <c r="J16" s="4">
        <f t="shared" si="0"/>
        <v>0</v>
      </c>
      <c r="K16" s="35" t="s">
        <v>1579</v>
      </c>
    </row>
    <row r="17" spans="1:11" ht="15.5" x14ac:dyDescent="0.35">
      <c r="A17" s="5">
        <v>15</v>
      </c>
      <c r="B17" s="6" t="s">
        <v>61</v>
      </c>
      <c r="C17" s="7" t="s">
        <v>62</v>
      </c>
      <c r="D17" s="8" t="s">
        <v>49</v>
      </c>
      <c r="E17" s="8">
        <f>SUMIF('Simpanan Wajib'!C:C,'All Simpanan '!C:C,'Simpanan Wajib'!E:E)</f>
        <v>0</v>
      </c>
      <c r="F17" s="4">
        <f>SUMIF('Simpanan Pokok'!C:C,'All Simpanan '!C:C,'Simpanan Pokok'!E:E)</f>
        <v>0</v>
      </c>
      <c r="G17" s="4">
        <f>SUMIF('Simpanan Khusus'!C:C,'All Simpanan '!C:C,'Simpanan Khusus'!E:E)</f>
        <v>0</v>
      </c>
      <c r="H17" s="4">
        <f>SUMIF('Simpanan Sukarela'!C:C,'All Simpanan '!C:C,'Simpanan Sukarela'!E:E)</f>
        <v>131136.88025422418</v>
      </c>
      <c r="I17" s="4">
        <f>SUMIF('Simpanan Sukarela Berjangka'!B:B,'All Simpanan '!C:C,'Simpanan Sukarela Berjangka'!K:K)</f>
        <v>0</v>
      </c>
      <c r="J17" s="4">
        <f t="shared" si="0"/>
        <v>131136.88025422418</v>
      </c>
      <c r="K17" s="35" t="s">
        <v>1578</v>
      </c>
    </row>
    <row r="18" spans="1:11" ht="15.5" x14ac:dyDescent="0.35">
      <c r="A18" s="5">
        <v>16</v>
      </c>
      <c r="B18" s="6" t="s">
        <v>63</v>
      </c>
      <c r="C18" s="7" t="s">
        <v>64</v>
      </c>
      <c r="D18" s="8" t="s">
        <v>65</v>
      </c>
      <c r="E18" s="8">
        <f>SUMIF('Simpanan Wajib'!C:C,'All Simpanan '!C:C,'Simpanan Wajib'!E:E)</f>
        <v>0</v>
      </c>
      <c r="F18" s="4">
        <f>SUMIF('Simpanan Pokok'!C:C,'All Simpanan '!C:C,'Simpanan Pokok'!E:E)</f>
        <v>0</v>
      </c>
      <c r="G18" s="4">
        <f>SUMIF('Simpanan Khusus'!C:C,'All Simpanan '!C:C,'Simpanan Khusus'!E:E)</f>
        <v>0</v>
      </c>
      <c r="H18" s="4">
        <f>SUMIF('Simpanan Sukarela'!C:C,'All Simpanan '!C:C,'Simpanan Sukarela'!E:E)</f>
        <v>0</v>
      </c>
      <c r="I18" s="4">
        <f>SUMIF('Simpanan Sukarela Berjangka'!B:B,'All Simpanan '!C:C,'Simpanan Sukarela Berjangka'!K:K)</f>
        <v>0</v>
      </c>
      <c r="J18" s="4">
        <f t="shared" si="0"/>
        <v>0</v>
      </c>
      <c r="K18" s="35" t="s">
        <v>1576</v>
      </c>
    </row>
    <row r="19" spans="1:11" ht="15.5" x14ac:dyDescent="0.35">
      <c r="A19" s="5">
        <v>17</v>
      </c>
      <c r="B19" s="6" t="s">
        <v>66</v>
      </c>
      <c r="C19" s="7" t="s">
        <v>67</v>
      </c>
      <c r="D19" s="8" t="s">
        <v>25</v>
      </c>
      <c r="E19" s="8">
        <f>SUMIF('Simpanan Wajib'!C:C,'All Simpanan '!C:C,'Simpanan Wajib'!E:E)</f>
        <v>0</v>
      </c>
      <c r="F19" s="4">
        <f>SUMIF('Simpanan Pokok'!C:C,'All Simpanan '!C:C,'Simpanan Pokok'!E:E)</f>
        <v>0</v>
      </c>
      <c r="G19" s="4">
        <f>SUMIF('Simpanan Khusus'!C:C,'All Simpanan '!C:C,'Simpanan Khusus'!E:E)</f>
        <v>0</v>
      </c>
      <c r="H19" s="4">
        <f>SUMIF('Simpanan Sukarela'!C:C,'All Simpanan '!C:C,'Simpanan Sukarela'!E:E)</f>
        <v>0</v>
      </c>
      <c r="I19" s="4">
        <f>SUMIF('Simpanan Sukarela Berjangka'!B:B,'All Simpanan '!C:C,'Simpanan Sukarela Berjangka'!K:K)</f>
        <v>0</v>
      </c>
      <c r="J19" s="4">
        <f t="shared" si="0"/>
        <v>0</v>
      </c>
      <c r="K19" s="35" t="s">
        <v>1579</v>
      </c>
    </row>
    <row r="20" spans="1:11" ht="15.5" x14ac:dyDescent="0.35">
      <c r="A20" s="5">
        <v>18</v>
      </c>
      <c r="B20" s="6" t="s">
        <v>68</v>
      </c>
      <c r="C20" s="7" t="s">
        <v>69</v>
      </c>
      <c r="D20" s="8" t="s">
        <v>19</v>
      </c>
      <c r="E20" s="8">
        <f>SUMIF('Simpanan Wajib'!C:C,'All Simpanan '!C:C,'Simpanan Wajib'!E:E)</f>
        <v>0</v>
      </c>
      <c r="F20" s="4">
        <f>SUMIF('Simpanan Pokok'!C:C,'All Simpanan '!C:C,'Simpanan Pokok'!E:E)</f>
        <v>0</v>
      </c>
      <c r="G20" s="4">
        <f>SUMIF('Simpanan Khusus'!C:C,'All Simpanan '!C:C,'Simpanan Khusus'!E:E)</f>
        <v>0</v>
      </c>
      <c r="H20" s="4">
        <f>SUMIF('Simpanan Sukarela'!C:C,'All Simpanan '!C:C,'Simpanan Sukarela'!E:E)</f>
        <v>0</v>
      </c>
      <c r="I20" s="4">
        <f>SUMIF('Simpanan Sukarela Berjangka'!B:B,'All Simpanan '!C:C,'Simpanan Sukarela Berjangka'!K:K)</f>
        <v>0</v>
      </c>
      <c r="J20" s="4">
        <f t="shared" si="0"/>
        <v>0</v>
      </c>
      <c r="K20" s="35" t="s">
        <v>1576</v>
      </c>
    </row>
    <row r="21" spans="1:11" ht="15.5" x14ac:dyDescent="0.35">
      <c r="A21" s="5">
        <v>19</v>
      </c>
      <c r="B21" s="6" t="s">
        <v>70</v>
      </c>
      <c r="C21" s="7" t="s">
        <v>71</v>
      </c>
      <c r="D21" s="8" t="s">
        <v>72</v>
      </c>
      <c r="E21" s="8">
        <f>SUMIF('Simpanan Wajib'!C:C,'All Simpanan '!C:C,'Simpanan Wajib'!E:E)</f>
        <v>0</v>
      </c>
      <c r="F21" s="4">
        <f>SUMIF('Simpanan Pokok'!C:C,'All Simpanan '!C:C,'Simpanan Pokok'!E:E)</f>
        <v>0</v>
      </c>
      <c r="G21" s="4">
        <f>SUMIF('Simpanan Khusus'!C:C,'All Simpanan '!C:C,'Simpanan Khusus'!E:E)</f>
        <v>0</v>
      </c>
      <c r="H21" s="4">
        <f>SUMIF('Simpanan Sukarela'!C:C,'All Simpanan '!C:C,'Simpanan Sukarela'!E:E)</f>
        <v>0</v>
      </c>
      <c r="I21" s="4">
        <f>SUMIF('Simpanan Sukarela Berjangka'!B:B,'All Simpanan '!C:C,'Simpanan Sukarela Berjangka'!K:K)</f>
        <v>0</v>
      </c>
      <c r="J21" s="4">
        <f t="shared" si="0"/>
        <v>0</v>
      </c>
      <c r="K21" s="35" t="s">
        <v>1578</v>
      </c>
    </row>
    <row r="22" spans="1:11" ht="15.5" x14ac:dyDescent="0.35">
      <c r="A22" s="5">
        <v>20</v>
      </c>
      <c r="B22" s="6" t="s">
        <v>73</v>
      </c>
      <c r="C22" s="7" t="s">
        <v>74</v>
      </c>
      <c r="D22" s="8" t="s">
        <v>72</v>
      </c>
      <c r="E22" s="8">
        <f>SUMIF('Simpanan Wajib'!C:C,'All Simpanan '!C:C,'Simpanan Wajib'!E:E)</f>
        <v>0</v>
      </c>
      <c r="F22" s="4">
        <f>SUMIF('Simpanan Pokok'!C:C,'All Simpanan '!C:C,'Simpanan Pokok'!E:E)</f>
        <v>0</v>
      </c>
      <c r="G22" s="4">
        <f>SUMIF('Simpanan Khusus'!C:C,'All Simpanan '!C:C,'Simpanan Khusus'!E:E)</f>
        <v>0</v>
      </c>
      <c r="H22" s="4">
        <f>SUMIF('Simpanan Sukarela'!C:C,'All Simpanan '!C:C,'Simpanan Sukarela'!E:E)</f>
        <v>0</v>
      </c>
      <c r="I22" s="4">
        <f>SUMIF('Simpanan Sukarela Berjangka'!B:B,'All Simpanan '!C:C,'Simpanan Sukarela Berjangka'!K:K)</f>
        <v>0</v>
      </c>
      <c r="J22" s="4">
        <f t="shared" si="0"/>
        <v>0</v>
      </c>
      <c r="K22" s="35" t="s">
        <v>1578</v>
      </c>
    </row>
    <row r="23" spans="1:11" ht="15.5" x14ac:dyDescent="0.35">
      <c r="A23" s="5">
        <v>21</v>
      </c>
      <c r="B23" s="6" t="s">
        <v>75</v>
      </c>
      <c r="C23" s="7" t="s">
        <v>76</v>
      </c>
      <c r="D23" s="8" t="s">
        <v>77</v>
      </c>
      <c r="E23" s="8">
        <f>SUMIF('Simpanan Wajib'!C:C,'All Simpanan '!C:C,'Simpanan Wajib'!E:E)</f>
        <v>0</v>
      </c>
      <c r="F23" s="4">
        <f>SUMIF('Simpanan Pokok'!C:C,'All Simpanan '!C:C,'Simpanan Pokok'!E:E)</f>
        <v>0</v>
      </c>
      <c r="G23" s="4">
        <f>SUMIF('Simpanan Khusus'!C:C,'All Simpanan '!C:C,'Simpanan Khusus'!E:E)</f>
        <v>0</v>
      </c>
      <c r="H23" s="4">
        <f>SUMIF('Simpanan Sukarela'!C:C,'All Simpanan '!C:C,'Simpanan Sukarela'!E:E)</f>
        <v>0</v>
      </c>
      <c r="I23" s="4">
        <f>SUMIF('Simpanan Sukarela Berjangka'!B:B,'All Simpanan '!C:C,'Simpanan Sukarela Berjangka'!K:K)</f>
        <v>0</v>
      </c>
      <c r="J23" s="4">
        <f t="shared" si="0"/>
        <v>0</v>
      </c>
      <c r="K23" s="35" t="s">
        <v>1578</v>
      </c>
    </row>
    <row r="24" spans="1:11" ht="15.5" x14ac:dyDescent="0.35">
      <c r="A24" s="5">
        <v>22</v>
      </c>
      <c r="B24" s="6" t="s">
        <v>78</v>
      </c>
      <c r="C24" s="18" t="s">
        <v>79</v>
      </c>
      <c r="D24" s="8" t="s">
        <v>80</v>
      </c>
      <c r="E24" s="8">
        <f>SUMIF('Simpanan Wajib'!C:C,'All Simpanan '!C:C,'Simpanan Wajib'!E:E)</f>
        <v>-150000</v>
      </c>
      <c r="F24" s="4">
        <f>SUMIF('Simpanan Pokok'!C:C,'All Simpanan '!C:C,'Simpanan Pokok'!E:E)</f>
        <v>0</v>
      </c>
      <c r="G24" s="4">
        <f>SUMIF('Simpanan Khusus'!C:C,'All Simpanan '!C:C,'Simpanan Khusus'!E:E)</f>
        <v>0</v>
      </c>
      <c r="H24" s="4">
        <f>SUMIF('Simpanan Sukarela'!C:C,'All Simpanan '!C:C,'Simpanan Sukarela'!E:E)</f>
        <v>-0.26117865927517414</v>
      </c>
      <c r="I24" s="4">
        <f>SUMIF('Simpanan Sukarela Berjangka'!B:B,'All Simpanan '!C:C,'Simpanan Sukarela Berjangka'!K:K)</f>
        <v>0</v>
      </c>
      <c r="J24" s="4">
        <f t="shared" si="0"/>
        <v>-150000.26117865928</v>
      </c>
      <c r="K24" s="35" t="s">
        <v>1576</v>
      </c>
    </row>
    <row r="25" spans="1:11" ht="15.5" x14ac:dyDescent="0.35">
      <c r="A25" s="5">
        <v>23</v>
      </c>
      <c r="B25" s="6" t="s">
        <v>81</v>
      </c>
      <c r="C25" s="7" t="s">
        <v>82</v>
      </c>
      <c r="D25" s="8" t="s">
        <v>83</v>
      </c>
      <c r="E25" s="8">
        <f>SUMIF('Simpanan Wajib'!C:C,'All Simpanan '!C:C,'Simpanan Wajib'!E:E)</f>
        <v>0</v>
      </c>
      <c r="F25" s="4">
        <f>SUMIF('Simpanan Pokok'!C:C,'All Simpanan '!C:C,'Simpanan Pokok'!E:E)</f>
        <v>0</v>
      </c>
      <c r="G25" s="4">
        <f>SUMIF('Simpanan Khusus'!C:C,'All Simpanan '!C:C,'Simpanan Khusus'!E:E)</f>
        <v>0</v>
      </c>
      <c r="H25" s="4">
        <f>SUMIF('Simpanan Sukarela'!C:C,'All Simpanan '!C:C,'Simpanan Sukarela'!E:E)</f>
        <v>0</v>
      </c>
      <c r="I25" s="4">
        <f>SUMIF('Simpanan Sukarela Berjangka'!B:B,'All Simpanan '!C:C,'Simpanan Sukarela Berjangka'!K:K)</f>
        <v>0</v>
      </c>
      <c r="J25" s="4">
        <f t="shared" si="0"/>
        <v>0</v>
      </c>
      <c r="K25" s="35" t="s">
        <v>1576</v>
      </c>
    </row>
    <row r="26" spans="1:11" ht="15.5" x14ac:dyDescent="0.35">
      <c r="A26" s="5">
        <v>24</v>
      </c>
      <c r="B26" s="6" t="s">
        <v>84</v>
      </c>
      <c r="C26" s="18" t="s">
        <v>85</v>
      </c>
      <c r="D26" s="8" t="s">
        <v>72</v>
      </c>
      <c r="E26" s="8">
        <f>SUMIF('Simpanan Wajib'!C:C,'All Simpanan '!C:C,'Simpanan Wajib'!E:E)</f>
        <v>0</v>
      </c>
      <c r="F26" s="4">
        <f>SUMIF('Simpanan Pokok'!C:C,'All Simpanan '!C:C,'Simpanan Pokok'!E:E)</f>
        <v>0</v>
      </c>
      <c r="G26" s="4">
        <f>SUMIF('Simpanan Khusus'!C:C,'All Simpanan '!C:C,'Simpanan Khusus'!E:E)</f>
        <v>0</v>
      </c>
      <c r="H26" s="4">
        <f>SUMIF('Simpanan Sukarela'!C:C,'All Simpanan '!C:C,'Simpanan Sukarela'!E:E)</f>
        <v>0</v>
      </c>
      <c r="I26" s="4">
        <f>SUMIF('Simpanan Sukarela Berjangka'!B:B,'All Simpanan '!C:C,'Simpanan Sukarela Berjangka'!K:K)</f>
        <v>0</v>
      </c>
      <c r="J26" s="4">
        <f t="shared" si="0"/>
        <v>0</v>
      </c>
      <c r="K26" s="35" t="s">
        <v>1578</v>
      </c>
    </row>
    <row r="27" spans="1:11" ht="15.5" x14ac:dyDescent="0.35">
      <c r="A27" s="5">
        <v>25</v>
      </c>
      <c r="B27" s="6" t="s">
        <v>86</v>
      </c>
      <c r="C27" s="7" t="s">
        <v>87</v>
      </c>
      <c r="D27" s="8" t="s">
        <v>65</v>
      </c>
      <c r="E27" s="8">
        <f>SUMIF('Simpanan Wajib'!C:C,'All Simpanan '!C:C,'Simpanan Wajib'!E:E)</f>
        <v>13231788</v>
      </c>
      <c r="F27" s="4">
        <f>SUMIF('Simpanan Pokok'!C:C,'All Simpanan '!C:C,'Simpanan Pokok'!E:E)</f>
        <v>5000</v>
      </c>
      <c r="G27" s="4">
        <f>SUMIF('Simpanan Khusus'!C:C,'All Simpanan '!C:C,'Simpanan Khusus'!E:E)</f>
        <v>535000</v>
      </c>
      <c r="H27" s="4">
        <f>SUMIF('Simpanan Sukarela'!C:C,'All Simpanan '!C:C,'Simpanan Sukarela'!E:E)</f>
        <v>1783497.3494085006</v>
      </c>
      <c r="I27" s="4">
        <f>SUMIF('Simpanan Sukarela Berjangka'!B:B,'All Simpanan '!C:C,'Simpanan Sukarela Berjangka'!K:K)</f>
        <v>0</v>
      </c>
      <c r="J27" s="4">
        <f t="shared" si="0"/>
        <v>15555285.3494085</v>
      </c>
      <c r="K27" s="35" t="s">
        <v>1579</v>
      </c>
    </row>
    <row r="28" spans="1:11" ht="15.5" x14ac:dyDescent="0.35">
      <c r="A28" s="5">
        <v>26</v>
      </c>
      <c r="B28" s="6" t="s">
        <v>88</v>
      </c>
      <c r="C28" s="7" t="s">
        <v>89</v>
      </c>
      <c r="D28" s="8" t="s">
        <v>80</v>
      </c>
      <c r="E28" s="8">
        <f>SUMIF('Simpanan Wajib'!C:C,'All Simpanan '!C:C,'Simpanan Wajib'!E:E)</f>
        <v>0</v>
      </c>
      <c r="F28" s="4">
        <f>SUMIF('Simpanan Pokok'!C:C,'All Simpanan '!C:C,'Simpanan Pokok'!E:E)</f>
        <v>0</v>
      </c>
      <c r="G28" s="4">
        <f>SUMIF('Simpanan Khusus'!C:C,'All Simpanan '!C:C,'Simpanan Khusus'!E:E)</f>
        <v>0</v>
      </c>
      <c r="H28" s="4">
        <f>SUMIF('Simpanan Sukarela'!C:C,'All Simpanan '!C:C,'Simpanan Sukarela'!E:E)</f>
        <v>0</v>
      </c>
      <c r="I28" s="4">
        <f>SUMIF('Simpanan Sukarela Berjangka'!B:B,'All Simpanan '!C:C,'Simpanan Sukarela Berjangka'!K:K)</f>
        <v>0</v>
      </c>
      <c r="J28" s="4">
        <f t="shared" si="0"/>
        <v>0</v>
      </c>
      <c r="K28" s="35" t="s">
        <v>1578</v>
      </c>
    </row>
    <row r="29" spans="1:11" ht="15.5" x14ac:dyDescent="0.35">
      <c r="A29" s="5">
        <v>27</v>
      </c>
      <c r="B29" s="6" t="s">
        <v>90</v>
      </c>
      <c r="C29" s="7" t="s">
        <v>91</v>
      </c>
      <c r="D29" s="8" t="s">
        <v>92</v>
      </c>
      <c r="E29" s="8">
        <f>SUMIF('Simpanan Wajib'!C:C,'All Simpanan '!C:C,'Simpanan Wajib'!E:E)</f>
        <v>18900000</v>
      </c>
      <c r="F29" s="4">
        <f>SUMIF('Simpanan Pokok'!C:C,'All Simpanan '!C:C,'Simpanan Pokok'!E:E)</f>
        <v>5000</v>
      </c>
      <c r="G29" s="4">
        <f>SUMIF('Simpanan Khusus'!C:C,'All Simpanan '!C:C,'Simpanan Khusus'!E:E)</f>
        <v>0</v>
      </c>
      <c r="H29" s="4">
        <f>SUMIF('Simpanan Sukarela'!C:C,'All Simpanan '!C:C,'Simpanan Sukarela'!E:E)</f>
        <v>3875093.3881559232</v>
      </c>
      <c r="I29" s="4">
        <f>SUMIF('Simpanan Sukarela Berjangka'!B:B,'All Simpanan '!C:C,'Simpanan Sukarela Berjangka'!K:K)</f>
        <v>0</v>
      </c>
      <c r="J29" s="4">
        <f t="shared" si="0"/>
        <v>22780093.388155922</v>
      </c>
      <c r="K29" s="35" t="s">
        <v>1579</v>
      </c>
    </row>
    <row r="30" spans="1:11" ht="15.5" x14ac:dyDescent="0.35">
      <c r="A30" s="5">
        <v>28</v>
      </c>
      <c r="B30" s="6" t="s">
        <v>93</v>
      </c>
      <c r="C30" s="7" t="s">
        <v>94</v>
      </c>
      <c r="D30" s="8" t="s">
        <v>95</v>
      </c>
      <c r="E30" s="8">
        <f>SUMIF('Simpanan Wajib'!C:C,'All Simpanan '!C:C,'Simpanan Wajib'!E:E)</f>
        <v>0</v>
      </c>
      <c r="F30" s="4">
        <f>SUMIF('Simpanan Pokok'!C:C,'All Simpanan '!C:C,'Simpanan Pokok'!E:E)</f>
        <v>0</v>
      </c>
      <c r="G30" s="4">
        <f>SUMIF('Simpanan Khusus'!C:C,'All Simpanan '!C:C,'Simpanan Khusus'!E:E)</f>
        <v>0</v>
      </c>
      <c r="H30" s="4">
        <f>SUMIF('Simpanan Sukarela'!C:C,'All Simpanan '!C:C,'Simpanan Sukarela'!E:E)</f>
        <v>0</v>
      </c>
      <c r="I30" s="4">
        <f>SUMIF('Simpanan Sukarela Berjangka'!B:B,'All Simpanan '!C:C,'Simpanan Sukarela Berjangka'!K:K)</f>
        <v>0</v>
      </c>
      <c r="J30" s="4">
        <f t="shared" si="0"/>
        <v>0</v>
      </c>
      <c r="K30" s="35" t="s">
        <v>1578</v>
      </c>
    </row>
    <row r="31" spans="1:11" ht="15.5" x14ac:dyDescent="0.35">
      <c r="A31" s="5">
        <v>29</v>
      </c>
      <c r="B31" s="6" t="s">
        <v>96</v>
      </c>
      <c r="C31" s="7" t="s">
        <v>97</v>
      </c>
      <c r="D31" s="8" t="s">
        <v>98</v>
      </c>
      <c r="E31" s="8">
        <f>SUMIF('Simpanan Wajib'!C:C,'All Simpanan '!C:C,'Simpanan Wajib'!E:E)</f>
        <v>0</v>
      </c>
      <c r="F31" s="4">
        <f>SUMIF('Simpanan Pokok'!C:C,'All Simpanan '!C:C,'Simpanan Pokok'!E:E)</f>
        <v>0</v>
      </c>
      <c r="G31" s="4">
        <f>SUMIF('Simpanan Khusus'!C:C,'All Simpanan '!C:C,'Simpanan Khusus'!E:E)</f>
        <v>0</v>
      </c>
      <c r="H31" s="4">
        <f>SUMIF('Simpanan Sukarela'!C:C,'All Simpanan '!C:C,'Simpanan Sukarela'!E:E)</f>
        <v>0</v>
      </c>
      <c r="I31" s="4">
        <f>SUMIF('Simpanan Sukarela Berjangka'!B:B,'All Simpanan '!C:C,'Simpanan Sukarela Berjangka'!K:K)</f>
        <v>0</v>
      </c>
      <c r="J31" s="4">
        <f t="shared" si="0"/>
        <v>0</v>
      </c>
      <c r="K31" s="35" t="s">
        <v>1578</v>
      </c>
    </row>
    <row r="32" spans="1:11" ht="15.5" x14ac:dyDescent="0.35">
      <c r="A32" s="5">
        <v>30</v>
      </c>
      <c r="B32" s="6" t="s">
        <v>99</v>
      </c>
      <c r="C32" s="7" t="s">
        <v>100</v>
      </c>
      <c r="D32" s="8" t="s">
        <v>41</v>
      </c>
      <c r="E32" s="8">
        <f>SUMIF('Simpanan Wajib'!C:C,'All Simpanan '!C:C,'Simpanan Wajib'!E:E)</f>
        <v>0</v>
      </c>
      <c r="F32" s="4">
        <f>SUMIF('Simpanan Pokok'!C:C,'All Simpanan '!C:C,'Simpanan Pokok'!E:E)</f>
        <v>0</v>
      </c>
      <c r="G32" s="4">
        <f>SUMIF('Simpanan Khusus'!C:C,'All Simpanan '!C:C,'Simpanan Khusus'!E:E)</f>
        <v>0</v>
      </c>
      <c r="H32" s="4">
        <f>SUMIF('Simpanan Sukarela'!C:C,'All Simpanan '!C:C,'Simpanan Sukarela'!E:E)</f>
        <v>0</v>
      </c>
      <c r="I32" s="4">
        <f>SUMIF('Simpanan Sukarela Berjangka'!B:B,'All Simpanan '!C:C,'Simpanan Sukarela Berjangka'!K:K)</f>
        <v>0</v>
      </c>
      <c r="J32" s="4">
        <f t="shared" si="0"/>
        <v>0</v>
      </c>
      <c r="K32" s="35" t="s">
        <v>1579</v>
      </c>
    </row>
    <row r="33" spans="1:11" ht="15.5" x14ac:dyDescent="0.35">
      <c r="A33" s="5">
        <v>31</v>
      </c>
      <c r="B33" s="6" t="s">
        <v>101</v>
      </c>
      <c r="C33" s="7" t="s">
        <v>102</v>
      </c>
      <c r="D33" s="8" t="s">
        <v>103</v>
      </c>
      <c r="E33" s="8">
        <f>SUMIF('Simpanan Wajib'!C:C,'All Simpanan '!C:C,'Simpanan Wajib'!E:E)</f>
        <v>0</v>
      </c>
      <c r="F33" s="4">
        <f>SUMIF('Simpanan Pokok'!C:C,'All Simpanan '!C:C,'Simpanan Pokok'!E:E)</f>
        <v>0</v>
      </c>
      <c r="G33" s="4">
        <f>SUMIF('Simpanan Khusus'!C:C,'All Simpanan '!C:C,'Simpanan Khusus'!E:E)</f>
        <v>0</v>
      </c>
      <c r="H33" s="4">
        <f>SUMIF('Simpanan Sukarela'!C:C,'All Simpanan '!C:C,'Simpanan Sukarela'!E:E)</f>
        <v>0</v>
      </c>
      <c r="I33" s="4">
        <f>SUMIF('Simpanan Sukarela Berjangka'!B:B,'All Simpanan '!C:C,'Simpanan Sukarela Berjangka'!K:K)</f>
        <v>0</v>
      </c>
      <c r="J33" s="4">
        <f t="shared" si="0"/>
        <v>0</v>
      </c>
      <c r="K33" s="35" t="s">
        <v>1579</v>
      </c>
    </row>
    <row r="34" spans="1:11" ht="15.5" x14ac:dyDescent="0.35">
      <c r="A34" s="5">
        <v>32</v>
      </c>
      <c r="B34" s="6" t="s">
        <v>104</v>
      </c>
      <c r="C34" s="7" t="s">
        <v>105</v>
      </c>
      <c r="D34" s="8" t="s">
        <v>95</v>
      </c>
      <c r="E34" s="8">
        <f>SUMIF('Simpanan Wajib'!C:C,'All Simpanan '!C:C,'Simpanan Wajib'!E:E)</f>
        <v>0</v>
      </c>
      <c r="F34" s="4">
        <f>SUMIF('Simpanan Pokok'!C:C,'All Simpanan '!C:C,'Simpanan Pokok'!E:E)</f>
        <v>0</v>
      </c>
      <c r="G34" s="4">
        <f>SUMIF('Simpanan Khusus'!C:C,'All Simpanan '!C:C,'Simpanan Khusus'!E:E)</f>
        <v>0</v>
      </c>
      <c r="H34" s="4">
        <f>SUMIF('Simpanan Sukarela'!C:C,'All Simpanan '!C:C,'Simpanan Sukarela'!E:E)</f>
        <v>0</v>
      </c>
      <c r="I34" s="4">
        <f>SUMIF('Simpanan Sukarela Berjangka'!B:B,'All Simpanan '!C:C,'Simpanan Sukarela Berjangka'!K:K)</f>
        <v>0</v>
      </c>
      <c r="J34" s="4">
        <f t="shared" si="0"/>
        <v>0</v>
      </c>
      <c r="K34" s="35" t="s">
        <v>1579</v>
      </c>
    </row>
    <row r="35" spans="1:11" ht="15.5" x14ac:dyDescent="0.35">
      <c r="A35" s="5">
        <v>33</v>
      </c>
      <c r="B35" s="6" t="s">
        <v>106</v>
      </c>
      <c r="C35" s="7" t="s">
        <v>107</v>
      </c>
      <c r="D35" s="8" t="s">
        <v>108</v>
      </c>
      <c r="E35" s="8">
        <f>SUMIF('Simpanan Wajib'!C:C,'All Simpanan '!C:C,'Simpanan Wajib'!E:E)</f>
        <v>0</v>
      </c>
      <c r="F35" s="4">
        <f>SUMIF('Simpanan Pokok'!C:C,'All Simpanan '!C:C,'Simpanan Pokok'!E:E)</f>
        <v>0</v>
      </c>
      <c r="G35" s="4">
        <f>SUMIF('Simpanan Khusus'!C:C,'All Simpanan '!C:C,'Simpanan Khusus'!E:E)</f>
        <v>0</v>
      </c>
      <c r="H35" s="4">
        <f>SUMIF('Simpanan Sukarela'!C:C,'All Simpanan '!C:C,'Simpanan Sukarela'!E:E)</f>
        <v>0</v>
      </c>
      <c r="I35" s="4">
        <f>SUMIF('Simpanan Sukarela Berjangka'!B:B,'All Simpanan '!C:C,'Simpanan Sukarela Berjangka'!K:K)</f>
        <v>0</v>
      </c>
      <c r="J35" s="4">
        <f t="shared" si="0"/>
        <v>0</v>
      </c>
      <c r="K35" s="35" t="s">
        <v>1579</v>
      </c>
    </row>
    <row r="36" spans="1:11" ht="15.5" x14ac:dyDescent="0.35">
      <c r="A36" s="5">
        <v>34</v>
      </c>
      <c r="B36" s="6" t="s">
        <v>109</v>
      </c>
      <c r="C36" s="7" t="s">
        <v>110</v>
      </c>
      <c r="D36" s="8" t="s">
        <v>72</v>
      </c>
      <c r="E36" s="8">
        <f>SUMIF('Simpanan Wajib'!C:C,'All Simpanan '!C:C,'Simpanan Wajib'!E:E)</f>
        <v>0</v>
      </c>
      <c r="F36" s="4">
        <f>SUMIF('Simpanan Pokok'!C:C,'All Simpanan '!C:C,'Simpanan Pokok'!E:E)</f>
        <v>0</v>
      </c>
      <c r="G36" s="4">
        <f>SUMIF('Simpanan Khusus'!C:C,'All Simpanan '!C:C,'Simpanan Khusus'!E:E)</f>
        <v>0</v>
      </c>
      <c r="H36" s="4">
        <f>SUMIF('Simpanan Sukarela'!C:C,'All Simpanan '!C:C,'Simpanan Sukarela'!E:E)</f>
        <v>0</v>
      </c>
      <c r="I36" s="4">
        <f>SUMIF('Simpanan Sukarela Berjangka'!B:B,'All Simpanan '!C:C,'Simpanan Sukarela Berjangka'!K:K)</f>
        <v>0</v>
      </c>
      <c r="J36" s="4">
        <f t="shared" si="0"/>
        <v>0</v>
      </c>
      <c r="K36" s="35" t="s">
        <v>1579</v>
      </c>
    </row>
    <row r="37" spans="1:11" ht="15.5" x14ac:dyDescent="0.35">
      <c r="A37" s="5">
        <v>35</v>
      </c>
      <c r="B37" s="6" t="s">
        <v>111</v>
      </c>
      <c r="C37" s="7" t="s">
        <v>112</v>
      </c>
      <c r="D37" s="8" t="s">
        <v>113</v>
      </c>
      <c r="E37" s="8">
        <f>SUMIF('Simpanan Wajib'!C:C,'All Simpanan '!C:C,'Simpanan Wajib'!E:E)</f>
        <v>0</v>
      </c>
      <c r="F37" s="4">
        <f>SUMIF('Simpanan Pokok'!C:C,'All Simpanan '!C:C,'Simpanan Pokok'!E:E)</f>
        <v>0</v>
      </c>
      <c r="G37" s="4">
        <f>SUMIF('Simpanan Khusus'!C:C,'All Simpanan '!C:C,'Simpanan Khusus'!E:E)</f>
        <v>0</v>
      </c>
      <c r="H37" s="4">
        <f>SUMIF('Simpanan Sukarela'!C:C,'All Simpanan '!C:C,'Simpanan Sukarela'!E:E)</f>
        <v>0</v>
      </c>
      <c r="I37" s="4">
        <f>SUMIF('Simpanan Sukarela Berjangka'!B:B,'All Simpanan '!C:C,'Simpanan Sukarela Berjangka'!K:K)</f>
        <v>0</v>
      </c>
      <c r="J37" s="4">
        <f t="shared" si="0"/>
        <v>0</v>
      </c>
      <c r="K37" s="35" t="s">
        <v>1579</v>
      </c>
    </row>
    <row r="38" spans="1:11" ht="15.5" x14ac:dyDescent="0.35">
      <c r="A38" s="5">
        <v>36</v>
      </c>
      <c r="B38" s="6" t="s">
        <v>114</v>
      </c>
      <c r="C38" s="7" t="s">
        <v>115</v>
      </c>
      <c r="D38" s="8" t="s">
        <v>116</v>
      </c>
      <c r="E38" s="8">
        <f>SUMIF('Simpanan Wajib'!C:C,'All Simpanan '!C:C,'Simpanan Wajib'!E:E)</f>
        <v>0</v>
      </c>
      <c r="F38" s="4">
        <f>SUMIF('Simpanan Pokok'!C:C,'All Simpanan '!C:C,'Simpanan Pokok'!E:E)</f>
        <v>0</v>
      </c>
      <c r="G38" s="4">
        <f>SUMIF('Simpanan Khusus'!C:C,'All Simpanan '!C:C,'Simpanan Khusus'!E:E)</f>
        <v>0</v>
      </c>
      <c r="H38" s="4">
        <f>SUMIF('Simpanan Sukarela'!C:C,'All Simpanan '!C:C,'Simpanan Sukarela'!E:E)</f>
        <v>0</v>
      </c>
      <c r="I38" s="4">
        <f>SUMIF('Simpanan Sukarela Berjangka'!B:B,'All Simpanan '!C:C,'Simpanan Sukarela Berjangka'!K:K)</f>
        <v>0</v>
      </c>
      <c r="J38" s="4">
        <f t="shared" si="0"/>
        <v>0</v>
      </c>
      <c r="K38" s="35" t="s">
        <v>1579</v>
      </c>
    </row>
    <row r="39" spans="1:11" ht="15.5" x14ac:dyDescent="0.35">
      <c r="A39" s="5">
        <v>37</v>
      </c>
      <c r="B39" s="6" t="s">
        <v>117</v>
      </c>
      <c r="C39" s="7" t="s">
        <v>118</v>
      </c>
      <c r="D39" s="8" t="s">
        <v>119</v>
      </c>
      <c r="E39" s="8">
        <f>SUMIF('Simpanan Wajib'!C:C,'All Simpanan '!C:C,'Simpanan Wajib'!E:E)</f>
        <v>0</v>
      </c>
      <c r="F39" s="4">
        <f>SUMIF('Simpanan Pokok'!C:C,'All Simpanan '!C:C,'Simpanan Pokok'!E:E)</f>
        <v>0</v>
      </c>
      <c r="G39" s="4">
        <f>SUMIF('Simpanan Khusus'!C:C,'All Simpanan '!C:C,'Simpanan Khusus'!E:E)</f>
        <v>0</v>
      </c>
      <c r="H39" s="4">
        <f>SUMIF('Simpanan Sukarela'!C:C,'All Simpanan '!C:C,'Simpanan Sukarela'!E:E)</f>
        <v>0</v>
      </c>
      <c r="I39" s="4">
        <f>SUMIF('Simpanan Sukarela Berjangka'!B:B,'All Simpanan '!C:C,'Simpanan Sukarela Berjangka'!K:K)</f>
        <v>0</v>
      </c>
      <c r="J39" s="4">
        <f t="shared" si="0"/>
        <v>0</v>
      </c>
      <c r="K39" s="35" t="s">
        <v>1579</v>
      </c>
    </row>
    <row r="40" spans="1:11" ht="15.5" x14ac:dyDescent="0.35">
      <c r="A40" s="5">
        <v>38</v>
      </c>
      <c r="B40" s="6" t="s">
        <v>120</v>
      </c>
      <c r="C40" s="7" t="s">
        <v>33</v>
      </c>
      <c r="D40" s="8" t="s">
        <v>108</v>
      </c>
      <c r="E40" s="8">
        <f>SUMIF('Simpanan Wajib'!C:C,'All Simpanan '!C:C,'Simpanan Wajib'!E:E)</f>
        <v>0</v>
      </c>
      <c r="F40" s="4">
        <f>SUMIF('Simpanan Pokok'!C:C,'All Simpanan '!C:C,'Simpanan Pokok'!E:E)</f>
        <v>0</v>
      </c>
      <c r="G40" s="4">
        <f>SUMIF('Simpanan Khusus'!C:C,'All Simpanan '!C:C,'Simpanan Khusus'!E:E)</f>
        <v>0</v>
      </c>
      <c r="H40" s="4">
        <f>SUMIF('Simpanan Sukarela'!C:C,'All Simpanan '!C:C,'Simpanan Sukarela'!E:E)</f>
        <v>0</v>
      </c>
      <c r="I40" s="4">
        <f>SUMIF('Simpanan Sukarela Berjangka'!B:B,'All Simpanan '!C:C,'Simpanan Sukarela Berjangka'!K:K)</f>
        <v>0</v>
      </c>
      <c r="J40" s="4">
        <f t="shared" si="0"/>
        <v>0</v>
      </c>
      <c r="K40" s="35" t="s">
        <v>1579</v>
      </c>
    </row>
    <row r="41" spans="1:11" ht="15.5" x14ac:dyDescent="0.35">
      <c r="A41" s="5">
        <v>39</v>
      </c>
      <c r="B41" s="6" t="s">
        <v>121</v>
      </c>
      <c r="C41" s="7" t="s">
        <v>122</v>
      </c>
      <c r="D41" s="8" t="s">
        <v>123</v>
      </c>
      <c r="E41" s="8">
        <f>SUMIF('Simpanan Wajib'!C:C,'All Simpanan '!C:C,'Simpanan Wajib'!E:E)</f>
        <v>0</v>
      </c>
      <c r="F41" s="4">
        <f>SUMIF('Simpanan Pokok'!C:C,'All Simpanan '!C:C,'Simpanan Pokok'!E:E)</f>
        <v>0</v>
      </c>
      <c r="G41" s="4">
        <f>SUMIF('Simpanan Khusus'!C:C,'All Simpanan '!C:C,'Simpanan Khusus'!E:E)</f>
        <v>0</v>
      </c>
      <c r="H41" s="4">
        <f>SUMIF('Simpanan Sukarela'!C:C,'All Simpanan '!C:C,'Simpanan Sukarela'!E:E)</f>
        <v>0</v>
      </c>
      <c r="I41" s="4">
        <f>SUMIF('Simpanan Sukarela Berjangka'!B:B,'All Simpanan '!C:C,'Simpanan Sukarela Berjangka'!K:K)</f>
        <v>0</v>
      </c>
      <c r="J41" s="4">
        <f t="shared" si="0"/>
        <v>0</v>
      </c>
      <c r="K41" s="35" t="s">
        <v>1578</v>
      </c>
    </row>
    <row r="42" spans="1:11" ht="15.5" x14ac:dyDescent="0.35">
      <c r="A42" s="5">
        <v>40</v>
      </c>
      <c r="B42" s="6" t="s">
        <v>124</v>
      </c>
      <c r="C42" s="7" t="s">
        <v>125</v>
      </c>
      <c r="D42" s="8" t="s">
        <v>11</v>
      </c>
      <c r="E42" s="8">
        <f>SUMIF('Simpanan Wajib'!C:C,'All Simpanan '!C:C,'Simpanan Wajib'!E:E)</f>
        <v>0</v>
      </c>
      <c r="F42" s="4">
        <f>SUMIF('Simpanan Pokok'!C:C,'All Simpanan '!C:C,'Simpanan Pokok'!E:E)</f>
        <v>0</v>
      </c>
      <c r="G42" s="4">
        <f>SUMIF('Simpanan Khusus'!C:C,'All Simpanan '!C:C,'Simpanan Khusus'!E:E)</f>
        <v>0</v>
      </c>
      <c r="H42" s="4">
        <f>SUMIF('Simpanan Sukarela'!C:C,'All Simpanan '!C:C,'Simpanan Sukarela'!E:E)</f>
        <v>0</v>
      </c>
      <c r="I42" s="4">
        <f>SUMIF('Simpanan Sukarela Berjangka'!B:B,'All Simpanan '!C:C,'Simpanan Sukarela Berjangka'!K:K)</f>
        <v>0</v>
      </c>
      <c r="J42" s="4">
        <f t="shared" si="0"/>
        <v>0</v>
      </c>
      <c r="K42" s="35" t="s">
        <v>1579</v>
      </c>
    </row>
    <row r="43" spans="1:11" ht="15.5" x14ac:dyDescent="0.35">
      <c r="A43" s="5">
        <v>41</v>
      </c>
      <c r="B43" s="6" t="s">
        <v>126</v>
      </c>
      <c r="C43" s="7" t="s">
        <v>127</v>
      </c>
      <c r="D43" s="8" t="s">
        <v>128</v>
      </c>
      <c r="E43" s="8">
        <f>SUMIF('Simpanan Wajib'!C:C,'All Simpanan '!C:C,'Simpanan Wajib'!E:E)</f>
        <v>0</v>
      </c>
      <c r="F43" s="4">
        <f>SUMIF('Simpanan Pokok'!C:C,'All Simpanan '!C:C,'Simpanan Pokok'!E:E)</f>
        <v>0</v>
      </c>
      <c r="G43" s="4">
        <f>SUMIF('Simpanan Khusus'!C:C,'All Simpanan '!C:C,'Simpanan Khusus'!E:E)</f>
        <v>0</v>
      </c>
      <c r="H43" s="4">
        <f>SUMIF('Simpanan Sukarela'!C:C,'All Simpanan '!C:C,'Simpanan Sukarela'!E:E)</f>
        <v>7707068.4083700227</v>
      </c>
      <c r="I43" s="4">
        <f>SUMIF('Simpanan Sukarela Berjangka'!B:B,'All Simpanan '!C:C,'Simpanan Sukarela Berjangka'!K:K)</f>
        <v>0</v>
      </c>
      <c r="J43" s="4">
        <f t="shared" si="0"/>
        <v>7707068.4083700227</v>
      </c>
      <c r="K43" s="35" t="s">
        <v>1579</v>
      </c>
    </row>
    <row r="44" spans="1:11" ht="15.5" x14ac:dyDescent="0.35">
      <c r="A44" s="5">
        <v>42</v>
      </c>
      <c r="B44" s="6" t="s">
        <v>129</v>
      </c>
      <c r="C44" s="7" t="s">
        <v>130</v>
      </c>
      <c r="D44" s="8" t="s">
        <v>131</v>
      </c>
      <c r="E44" s="8">
        <f>SUMIF('Simpanan Wajib'!C:C,'All Simpanan '!C:C,'Simpanan Wajib'!E:E)</f>
        <v>0</v>
      </c>
      <c r="F44" s="4">
        <f>SUMIF('Simpanan Pokok'!C:C,'All Simpanan '!C:C,'Simpanan Pokok'!E:E)</f>
        <v>0</v>
      </c>
      <c r="G44" s="4">
        <f>SUMIF('Simpanan Khusus'!C:C,'All Simpanan '!C:C,'Simpanan Khusus'!E:E)</f>
        <v>0</v>
      </c>
      <c r="H44" s="4">
        <f>SUMIF('Simpanan Sukarela'!C:C,'All Simpanan '!C:C,'Simpanan Sukarela'!E:E)</f>
        <v>0</v>
      </c>
      <c r="I44" s="4">
        <f>SUMIF('Simpanan Sukarela Berjangka'!B:B,'All Simpanan '!C:C,'Simpanan Sukarela Berjangka'!K:K)</f>
        <v>0</v>
      </c>
      <c r="J44" s="4">
        <f t="shared" si="0"/>
        <v>0</v>
      </c>
      <c r="K44" s="35" t="s">
        <v>1579</v>
      </c>
    </row>
    <row r="45" spans="1:11" ht="15.5" x14ac:dyDescent="0.35">
      <c r="A45" s="5">
        <v>43</v>
      </c>
      <c r="B45" s="6" t="s">
        <v>132</v>
      </c>
      <c r="C45" s="7" t="s">
        <v>133</v>
      </c>
      <c r="D45" s="8" t="s">
        <v>77</v>
      </c>
      <c r="E45" s="8">
        <f>SUMIF('Simpanan Wajib'!C:C,'All Simpanan '!C:C,'Simpanan Wajib'!E:E)</f>
        <v>0</v>
      </c>
      <c r="F45" s="4">
        <f>SUMIF('Simpanan Pokok'!C:C,'All Simpanan '!C:C,'Simpanan Pokok'!E:E)</f>
        <v>0</v>
      </c>
      <c r="G45" s="4">
        <f>SUMIF('Simpanan Khusus'!C:C,'All Simpanan '!C:C,'Simpanan Khusus'!E:E)</f>
        <v>0</v>
      </c>
      <c r="H45" s="4">
        <f>SUMIF('Simpanan Sukarela'!C:C,'All Simpanan '!C:C,'Simpanan Sukarela'!E:E)</f>
        <v>0</v>
      </c>
      <c r="I45" s="4">
        <f>SUMIF('Simpanan Sukarela Berjangka'!B:B,'All Simpanan '!C:C,'Simpanan Sukarela Berjangka'!K:K)</f>
        <v>0</v>
      </c>
      <c r="J45" s="4">
        <f t="shared" si="0"/>
        <v>0</v>
      </c>
      <c r="K45" s="35" t="s">
        <v>1578</v>
      </c>
    </row>
    <row r="46" spans="1:11" ht="15.5" x14ac:dyDescent="0.35">
      <c r="A46" s="5">
        <v>44</v>
      </c>
      <c r="B46" s="6" t="s">
        <v>134</v>
      </c>
      <c r="C46" s="7" t="s">
        <v>135</v>
      </c>
      <c r="D46" s="8" t="s">
        <v>136</v>
      </c>
      <c r="E46" s="8">
        <f>SUMIF('Simpanan Wajib'!C:C,'All Simpanan '!C:C,'Simpanan Wajib'!E:E)</f>
        <v>0</v>
      </c>
      <c r="F46" s="4">
        <f>SUMIF('Simpanan Pokok'!C:C,'All Simpanan '!C:C,'Simpanan Pokok'!E:E)</f>
        <v>0</v>
      </c>
      <c r="G46" s="4">
        <f>SUMIF('Simpanan Khusus'!C:C,'All Simpanan '!C:C,'Simpanan Khusus'!E:E)</f>
        <v>0</v>
      </c>
      <c r="H46" s="4">
        <f>SUMIF('Simpanan Sukarela'!C:C,'All Simpanan '!C:C,'Simpanan Sukarela'!E:E)</f>
        <v>0</v>
      </c>
      <c r="I46" s="4">
        <f>SUMIF('Simpanan Sukarela Berjangka'!B:B,'All Simpanan '!C:C,'Simpanan Sukarela Berjangka'!K:K)</f>
        <v>0</v>
      </c>
      <c r="J46" s="4">
        <f t="shared" si="0"/>
        <v>0</v>
      </c>
      <c r="K46" s="35" t="s">
        <v>1579</v>
      </c>
    </row>
    <row r="47" spans="1:11" ht="15.5" x14ac:dyDescent="0.35">
      <c r="A47" s="5">
        <v>45</v>
      </c>
      <c r="B47" s="6" t="s">
        <v>137</v>
      </c>
      <c r="C47" s="7" t="s">
        <v>138</v>
      </c>
      <c r="D47" s="8" t="s">
        <v>49</v>
      </c>
      <c r="E47" s="8">
        <f>SUMIF('Simpanan Wajib'!C:C,'All Simpanan '!C:C,'Simpanan Wajib'!E:E)</f>
        <v>345000</v>
      </c>
      <c r="F47" s="4">
        <f>SUMIF('Simpanan Pokok'!C:C,'All Simpanan '!C:C,'Simpanan Pokok'!E:E)</f>
        <v>5000</v>
      </c>
      <c r="G47" s="4">
        <f>SUMIF('Simpanan Khusus'!C:C,'All Simpanan '!C:C,'Simpanan Khusus'!E:E)</f>
        <v>0</v>
      </c>
      <c r="H47" s="4">
        <f>SUMIF('Simpanan Sukarela'!C:C,'All Simpanan '!C:C,'Simpanan Sukarela'!E:E)</f>
        <v>641073.39025210997</v>
      </c>
      <c r="I47" s="4">
        <f>SUMIF('Simpanan Sukarela Berjangka'!B:B,'All Simpanan '!C:C,'Simpanan Sukarela Berjangka'!K:K)</f>
        <v>0</v>
      </c>
      <c r="J47" s="4">
        <f t="shared" si="0"/>
        <v>991073.39025210997</v>
      </c>
      <c r="K47" s="35" t="s">
        <v>1578</v>
      </c>
    </row>
    <row r="48" spans="1:11" ht="15.5" x14ac:dyDescent="0.35">
      <c r="A48" s="5">
        <v>46</v>
      </c>
      <c r="B48" s="6" t="s">
        <v>139</v>
      </c>
      <c r="C48" s="7" t="s">
        <v>140</v>
      </c>
      <c r="D48" s="8" t="s">
        <v>141</v>
      </c>
      <c r="E48" s="8">
        <f>SUMIF('Simpanan Wajib'!C:C,'All Simpanan '!C:C,'Simpanan Wajib'!E:E)</f>
        <v>0</v>
      </c>
      <c r="F48" s="4">
        <f>SUMIF('Simpanan Pokok'!C:C,'All Simpanan '!C:C,'Simpanan Pokok'!E:E)</f>
        <v>0</v>
      </c>
      <c r="G48" s="4">
        <f>SUMIF('Simpanan Khusus'!C:C,'All Simpanan '!C:C,'Simpanan Khusus'!E:E)</f>
        <v>0</v>
      </c>
      <c r="H48" s="4">
        <f>SUMIF('Simpanan Sukarela'!C:C,'All Simpanan '!C:C,'Simpanan Sukarela'!E:E)</f>
        <v>0</v>
      </c>
      <c r="I48" s="4">
        <f>SUMIF('Simpanan Sukarela Berjangka'!B:B,'All Simpanan '!C:C,'Simpanan Sukarela Berjangka'!K:K)</f>
        <v>0</v>
      </c>
      <c r="J48" s="4">
        <f t="shared" si="0"/>
        <v>0</v>
      </c>
      <c r="K48" s="35" t="s">
        <v>1579</v>
      </c>
    </row>
    <row r="49" spans="1:11" ht="15.5" x14ac:dyDescent="0.35">
      <c r="A49" s="5">
        <v>47</v>
      </c>
      <c r="B49" s="6" t="s">
        <v>142</v>
      </c>
      <c r="C49" s="7" t="s">
        <v>143</v>
      </c>
      <c r="D49" s="8" t="s">
        <v>144</v>
      </c>
      <c r="E49" s="8">
        <f>SUMIF('Simpanan Wajib'!C:C,'All Simpanan '!C:C,'Simpanan Wajib'!E:E)</f>
        <v>0</v>
      </c>
      <c r="F49" s="4">
        <f>SUMIF('Simpanan Pokok'!C:C,'All Simpanan '!C:C,'Simpanan Pokok'!E:E)</f>
        <v>0</v>
      </c>
      <c r="G49" s="4">
        <f>SUMIF('Simpanan Khusus'!C:C,'All Simpanan '!C:C,'Simpanan Khusus'!E:E)</f>
        <v>0</v>
      </c>
      <c r="H49" s="4">
        <f>SUMIF('Simpanan Sukarela'!C:C,'All Simpanan '!C:C,'Simpanan Sukarela'!E:E)</f>
        <v>0</v>
      </c>
      <c r="I49" s="4">
        <f>SUMIF('Simpanan Sukarela Berjangka'!B:B,'All Simpanan '!C:C,'Simpanan Sukarela Berjangka'!K:K)</f>
        <v>0</v>
      </c>
      <c r="J49" s="4">
        <f t="shared" si="0"/>
        <v>0</v>
      </c>
      <c r="K49" s="35" t="s">
        <v>1579</v>
      </c>
    </row>
    <row r="50" spans="1:11" ht="15.5" x14ac:dyDescent="0.35">
      <c r="A50" s="5">
        <v>48</v>
      </c>
      <c r="B50" s="6" t="s">
        <v>145</v>
      </c>
      <c r="C50" s="7" t="s">
        <v>146</v>
      </c>
      <c r="D50" s="8" t="s">
        <v>77</v>
      </c>
      <c r="E50" s="8">
        <f>SUMIF('Simpanan Wajib'!C:C,'All Simpanan '!C:C,'Simpanan Wajib'!E:E)</f>
        <v>0</v>
      </c>
      <c r="F50" s="4">
        <f>SUMIF('Simpanan Pokok'!C:C,'All Simpanan '!C:C,'Simpanan Pokok'!E:E)</f>
        <v>0</v>
      </c>
      <c r="G50" s="4">
        <f>SUMIF('Simpanan Khusus'!C:C,'All Simpanan '!C:C,'Simpanan Khusus'!E:E)</f>
        <v>0</v>
      </c>
      <c r="H50" s="4">
        <f>SUMIF('Simpanan Sukarela'!C:C,'All Simpanan '!C:C,'Simpanan Sukarela'!E:E)</f>
        <v>0</v>
      </c>
      <c r="I50" s="4">
        <f>SUMIF('Simpanan Sukarela Berjangka'!B:B,'All Simpanan '!C:C,'Simpanan Sukarela Berjangka'!K:K)</f>
        <v>0</v>
      </c>
      <c r="J50" s="4">
        <f t="shared" si="0"/>
        <v>0</v>
      </c>
      <c r="K50" s="35" t="s">
        <v>1578</v>
      </c>
    </row>
    <row r="51" spans="1:11" ht="15.5" x14ac:dyDescent="0.35">
      <c r="A51" s="5">
        <v>49</v>
      </c>
      <c r="B51" s="6" t="s">
        <v>147</v>
      </c>
      <c r="C51" s="7" t="s">
        <v>148</v>
      </c>
      <c r="D51" s="8" t="s">
        <v>60</v>
      </c>
      <c r="E51" s="8">
        <f>SUMIF('Simpanan Wajib'!C:C,'All Simpanan '!C:C,'Simpanan Wajib'!E:E)</f>
        <v>0</v>
      </c>
      <c r="F51" s="4">
        <f>SUMIF('Simpanan Pokok'!C:C,'All Simpanan '!C:C,'Simpanan Pokok'!E:E)</f>
        <v>0</v>
      </c>
      <c r="G51" s="4">
        <f>SUMIF('Simpanan Khusus'!C:C,'All Simpanan '!C:C,'Simpanan Khusus'!E:E)</f>
        <v>0</v>
      </c>
      <c r="H51" s="4">
        <f>SUMIF('Simpanan Sukarela'!C:C,'All Simpanan '!C:C,'Simpanan Sukarela'!E:E)</f>
        <v>0</v>
      </c>
      <c r="I51" s="4">
        <f>SUMIF('Simpanan Sukarela Berjangka'!B:B,'All Simpanan '!C:C,'Simpanan Sukarela Berjangka'!K:K)</f>
        <v>0</v>
      </c>
      <c r="J51" s="4">
        <f t="shared" si="0"/>
        <v>0</v>
      </c>
      <c r="K51" s="35" t="s">
        <v>1579</v>
      </c>
    </row>
    <row r="52" spans="1:11" ht="15.5" x14ac:dyDescent="0.35">
      <c r="A52" s="5">
        <v>50</v>
      </c>
      <c r="B52" s="6" t="s">
        <v>149</v>
      </c>
      <c r="C52" s="7" t="s">
        <v>150</v>
      </c>
      <c r="D52" s="8" t="s">
        <v>46</v>
      </c>
      <c r="E52" s="8">
        <f>SUMIF('Simpanan Wajib'!C:C,'All Simpanan '!C:C,'Simpanan Wajib'!E:E)</f>
        <v>0</v>
      </c>
      <c r="F52" s="4">
        <f>SUMIF('Simpanan Pokok'!C:C,'All Simpanan '!C:C,'Simpanan Pokok'!E:E)</f>
        <v>0</v>
      </c>
      <c r="G52" s="4">
        <f>SUMIF('Simpanan Khusus'!C:C,'All Simpanan '!C:C,'Simpanan Khusus'!E:E)</f>
        <v>0</v>
      </c>
      <c r="H52" s="4">
        <f>SUMIF('Simpanan Sukarela'!C:C,'All Simpanan '!C:C,'Simpanan Sukarela'!E:E)</f>
        <v>0</v>
      </c>
      <c r="I52" s="4">
        <f>SUMIF('Simpanan Sukarela Berjangka'!B:B,'All Simpanan '!C:C,'Simpanan Sukarela Berjangka'!K:K)</f>
        <v>0</v>
      </c>
      <c r="J52" s="4">
        <f t="shared" si="0"/>
        <v>0</v>
      </c>
      <c r="K52" s="35" t="s">
        <v>1579</v>
      </c>
    </row>
    <row r="53" spans="1:11" ht="15.5" x14ac:dyDescent="0.35">
      <c r="A53" s="5">
        <v>51</v>
      </c>
      <c r="B53" s="6" t="s">
        <v>151</v>
      </c>
      <c r="C53" s="7" t="s">
        <v>152</v>
      </c>
      <c r="D53" s="8" t="s">
        <v>49</v>
      </c>
      <c r="E53" s="8">
        <f>SUMIF('Simpanan Wajib'!C:C,'All Simpanan '!C:C,'Simpanan Wajib'!E:E)</f>
        <v>195000</v>
      </c>
      <c r="F53" s="4">
        <f>SUMIF('Simpanan Pokok'!C:C,'All Simpanan '!C:C,'Simpanan Pokok'!E:E)</f>
        <v>5000</v>
      </c>
      <c r="G53" s="4">
        <f>SUMIF('Simpanan Khusus'!C:C,'All Simpanan '!C:C,'Simpanan Khusus'!E:E)</f>
        <v>0</v>
      </c>
      <c r="H53" s="4">
        <f>SUMIF('Simpanan Sukarela'!C:C,'All Simpanan '!C:C,'Simpanan Sukarela'!E:E)</f>
        <v>366059.09164868237</v>
      </c>
      <c r="I53" s="4">
        <f>SUMIF('Simpanan Sukarela Berjangka'!B:B,'All Simpanan '!C:C,'Simpanan Sukarela Berjangka'!K:K)</f>
        <v>0</v>
      </c>
      <c r="J53" s="4">
        <f t="shared" si="0"/>
        <v>566059.09164868237</v>
      </c>
      <c r="K53" s="35" t="s">
        <v>1578</v>
      </c>
    </row>
    <row r="54" spans="1:11" ht="15.5" x14ac:dyDescent="0.35">
      <c r="A54" s="5">
        <v>52</v>
      </c>
      <c r="B54" s="6" t="s">
        <v>153</v>
      </c>
      <c r="C54" s="7" t="s">
        <v>154</v>
      </c>
      <c r="D54" s="8" t="s">
        <v>72</v>
      </c>
      <c r="E54" s="8">
        <f>SUMIF('Simpanan Wajib'!C:C,'All Simpanan '!C:C,'Simpanan Wajib'!E:E)</f>
        <v>0</v>
      </c>
      <c r="F54" s="4">
        <f>SUMIF('Simpanan Pokok'!C:C,'All Simpanan '!C:C,'Simpanan Pokok'!E:E)</f>
        <v>0</v>
      </c>
      <c r="G54" s="4">
        <f>SUMIF('Simpanan Khusus'!C:C,'All Simpanan '!C:C,'Simpanan Khusus'!E:E)</f>
        <v>0</v>
      </c>
      <c r="H54" s="4">
        <f>SUMIF('Simpanan Sukarela'!C:C,'All Simpanan '!C:C,'Simpanan Sukarela'!E:E)</f>
        <v>0</v>
      </c>
      <c r="I54" s="4">
        <f>SUMIF('Simpanan Sukarela Berjangka'!B:B,'All Simpanan '!C:C,'Simpanan Sukarela Berjangka'!K:K)</f>
        <v>0</v>
      </c>
      <c r="J54" s="4">
        <f t="shared" si="0"/>
        <v>0</v>
      </c>
      <c r="K54" s="35" t="s">
        <v>1579</v>
      </c>
    </row>
    <row r="55" spans="1:11" ht="15.5" x14ac:dyDescent="0.35">
      <c r="A55" s="5">
        <v>53</v>
      </c>
      <c r="B55" s="6" t="s">
        <v>155</v>
      </c>
      <c r="C55" s="7" t="s">
        <v>156</v>
      </c>
      <c r="D55" s="8" t="s">
        <v>49</v>
      </c>
      <c r="E55" s="8">
        <f>SUMIF('Simpanan Wajib'!C:C,'All Simpanan '!C:C,'Simpanan Wajib'!E:E)</f>
        <v>0</v>
      </c>
      <c r="F55" s="4">
        <f>SUMIF('Simpanan Pokok'!C:C,'All Simpanan '!C:C,'Simpanan Pokok'!E:E)</f>
        <v>0</v>
      </c>
      <c r="G55" s="4">
        <f>SUMIF('Simpanan Khusus'!C:C,'All Simpanan '!C:C,'Simpanan Khusus'!E:E)</f>
        <v>0</v>
      </c>
      <c r="H55" s="4">
        <f>SUMIF('Simpanan Sukarela'!C:C,'All Simpanan '!C:C,'Simpanan Sukarela'!E:E)</f>
        <v>0</v>
      </c>
      <c r="I55" s="4">
        <f>SUMIF('Simpanan Sukarela Berjangka'!B:B,'All Simpanan '!C:C,'Simpanan Sukarela Berjangka'!K:K)</f>
        <v>0</v>
      </c>
      <c r="J55" s="4">
        <f t="shared" si="0"/>
        <v>0</v>
      </c>
      <c r="K55" s="35" t="s">
        <v>1578</v>
      </c>
    </row>
    <row r="56" spans="1:11" ht="15.5" x14ac:dyDescent="0.35">
      <c r="A56" s="5">
        <v>54</v>
      </c>
      <c r="B56" s="6" t="s">
        <v>157</v>
      </c>
      <c r="C56" s="7" t="s">
        <v>158</v>
      </c>
      <c r="D56" s="8" t="s">
        <v>159</v>
      </c>
      <c r="E56" s="8">
        <f>SUMIF('Simpanan Wajib'!C:C,'All Simpanan '!C:C,'Simpanan Wajib'!E:E)</f>
        <v>0</v>
      </c>
      <c r="F56" s="4">
        <f>SUMIF('Simpanan Pokok'!C:C,'All Simpanan '!C:C,'Simpanan Pokok'!E:E)</f>
        <v>0</v>
      </c>
      <c r="G56" s="4">
        <f>SUMIF('Simpanan Khusus'!C:C,'All Simpanan '!C:C,'Simpanan Khusus'!E:E)</f>
        <v>0</v>
      </c>
      <c r="H56" s="4">
        <f>SUMIF('Simpanan Sukarela'!C:C,'All Simpanan '!C:C,'Simpanan Sukarela'!E:E)</f>
        <v>0</v>
      </c>
      <c r="I56" s="4">
        <f>SUMIF('Simpanan Sukarela Berjangka'!B:B,'All Simpanan '!C:C,'Simpanan Sukarela Berjangka'!K:K)</f>
        <v>0</v>
      </c>
      <c r="J56" s="4">
        <f t="shared" si="0"/>
        <v>0</v>
      </c>
      <c r="K56" s="35" t="s">
        <v>1579</v>
      </c>
    </row>
    <row r="57" spans="1:11" ht="15.5" x14ac:dyDescent="0.35">
      <c r="A57" s="5">
        <v>55</v>
      </c>
      <c r="B57" s="6" t="s">
        <v>160</v>
      </c>
      <c r="C57" s="7" t="s">
        <v>161</v>
      </c>
      <c r="D57" s="8" t="s">
        <v>95</v>
      </c>
      <c r="E57" s="8">
        <f>SUMIF('Simpanan Wajib'!C:C,'All Simpanan '!C:C,'Simpanan Wajib'!E:E)</f>
        <v>150000</v>
      </c>
      <c r="F57" s="4">
        <f>SUMIF('Simpanan Pokok'!C:C,'All Simpanan '!C:C,'Simpanan Pokok'!E:E)</f>
        <v>0</v>
      </c>
      <c r="G57" s="4">
        <f>SUMIF('Simpanan Khusus'!C:C,'All Simpanan '!C:C,'Simpanan Khusus'!E:E)</f>
        <v>0</v>
      </c>
      <c r="H57" s="4">
        <f>SUMIF('Simpanan Sukarela'!C:C,'All Simpanan '!C:C,'Simpanan Sukarela'!E:E)</f>
        <v>3049358.2908328027</v>
      </c>
      <c r="I57" s="4">
        <f>SUMIF('Simpanan Sukarela Berjangka'!B:B,'All Simpanan '!C:C,'Simpanan Sukarela Berjangka'!K:K)</f>
        <v>0</v>
      </c>
      <c r="J57" s="4">
        <f t="shared" si="0"/>
        <v>3199358.2908328027</v>
      </c>
      <c r="K57" s="35" t="s">
        <v>1578</v>
      </c>
    </row>
    <row r="58" spans="1:11" ht="15.5" x14ac:dyDescent="0.35">
      <c r="A58" s="5">
        <v>56</v>
      </c>
      <c r="B58" s="6" t="s">
        <v>162</v>
      </c>
      <c r="C58" s="7" t="s">
        <v>163</v>
      </c>
      <c r="D58" s="8" t="s">
        <v>49</v>
      </c>
      <c r="E58" s="8">
        <f>SUMIF('Simpanan Wajib'!C:C,'All Simpanan '!C:C,'Simpanan Wajib'!E:E)</f>
        <v>0</v>
      </c>
      <c r="F58" s="4">
        <f>SUMIF('Simpanan Pokok'!C:C,'All Simpanan '!C:C,'Simpanan Pokok'!E:E)</f>
        <v>0</v>
      </c>
      <c r="G58" s="4">
        <f>SUMIF('Simpanan Khusus'!C:C,'All Simpanan '!C:C,'Simpanan Khusus'!E:E)</f>
        <v>0</v>
      </c>
      <c r="H58" s="4">
        <f>SUMIF('Simpanan Sukarela'!C:C,'All Simpanan '!C:C,'Simpanan Sukarela'!E:E)</f>
        <v>0</v>
      </c>
      <c r="I58" s="4">
        <f>SUMIF('Simpanan Sukarela Berjangka'!B:B,'All Simpanan '!C:C,'Simpanan Sukarela Berjangka'!K:K)</f>
        <v>0</v>
      </c>
      <c r="J58" s="4">
        <f t="shared" si="0"/>
        <v>0</v>
      </c>
      <c r="K58" s="35" t="s">
        <v>1578</v>
      </c>
    </row>
    <row r="59" spans="1:11" ht="15.5" x14ac:dyDescent="0.35">
      <c r="A59" s="5">
        <v>57</v>
      </c>
      <c r="B59" s="6" t="s">
        <v>164</v>
      </c>
      <c r="C59" s="7" t="s">
        <v>165</v>
      </c>
      <c r="D59" s="8" t="s">
        <v>166</v>
      </c>
      <c r="E59" s="8">
        <f>SUMIF('Simpanan Wajib'!C:C,'All Simpanan '!C:C,'Simpanan Wajib'!E:E)</f>
        <v>0</v>
      </c>
      <c r="F59" s="4">
        <f>SUMIF('Simpanan Pokok'!C:C,'All Simpanan '!C:C,'Simpanan Pokok'!E:E)</f>
        <v>0</v>
      </c>
      <c r="G59" s="4">
        <f>SUMIF('Simpanan Khusus'!C:C,'All Simpanan '!C:C,'Simpanan Khusus'!E:E)</f>
        <v>0</v>
      </c>
      <c r="H59" s="4">
        <f>SUMIF('Simpanan Sukarela'!C:C,'All Simpanan '!C:C,'Simpanan Sukarela'!E:E)</f>
        <v>0</v>
      </c>
      <c r="I59" s="4">
        <f>SUMIF('Simpanan Sukarela Berjangka'!B:B,'All Simpanan '!C:C,'Simpanan Sukarela Berjangka'!K:K)</f>
        <v>0</v>
      </c>
      <c r="J59" s="4">
        <f t="shared" si="0"/>
        <v>0</v>
      </c>
      <c r="K59" s="35" t="s">
        <v>1578</v>
      </c>
    </row>
    <row r="60" spans="1:11" ht="15.5" x14ac:dyDescent="0.35">
      <c r="A60" s="5">
        <v>58</v>
      </c>
      <c r="B60" s="6" t="s">
        <v>167</v>
      </c>
      <c r="C60" s="7" t="s">
        <v>168</v>
      </c>
      <c r="D60" s="8" t="s">
        <v>169</v>
      </c>
      <c r="E60" s="8">
        <f>SUMIF('Simpanan Wajib'!C:C,'All Simpanan '!C:C,'Simpanan Wajib'!E:E)</f>
        <v>0</v>
      </c>
      <c r="F60" s="4">
        <f>SUMIF('Simpanan Pokok'!C:C,'All Simpanan '!C:C,'Simpanan Pokok'!E:E)</f>
        <v>100000</v>
      </c>
      <c r="G60" s="4">
        <f>SUMIF('Simpanan Khusus'!C:C,'All Simpanan '!C:C,'Simpanan Khusus'!E:E)</f>
        <v>300000</v>
      </c>
      <c r="H60" s="4">
        <f>SUMIF('Simpanan Sukarela'!C:C,'All Simpanan '!C:C,'Simpanan Sukarela'!E:E)</f>
        <v>9360.4320591230644</v>
      </c>
      <c r="I60" s="4">
        <f>SUMIF('Simpanan Sukarela Berjangka'!B:B,'All Simpanan '!C:C,'Simpanan Sukarela Berjangka'!K:K)</f>
        <v>0</v>
      </c>
      <c r="J60" s="4">
        <f t="shared" si="0"/>
        <v>409360.43205912306</v>
      </c>
      <c r="K60" s="35" t="s">
        <v>1576</v>
      </c>
    </row>
    <row r="61" spans="1:11" ht="15.5" x14ac:dyDescent="0.35">
      <c r="A61" s="5">
        <v>59</v>
      </c>
      <c r="B61" s="6" t="s">
        <v>170</v>
      </c>
      <c r="C61" s="7" t="s">
        <v>171</v>
      </c>
      <c r="D61" s="8" t="s">
        <v>49</v>
      </c>
      <c r="E61" s="8">
        <f>SUMIF('Simpanan Wajib'!C:C,'All Simpanan '!C:C,'Simpanan Wajib'!E:E)</f>
        <v>0</v>
      </c>
      <c r="F61" s="4">
        <f>SUMIF('Simpanan Pokok'!C:C,'All Simpanan '!C:C,'Simpanan Pokok'!E:E)</f>
        <v>0</v>
      </c>
      <c r="G61" s="4">
        <f>SUMIF('Simpanan Khusus'!C:C,'All Simpanan '!C:C,'Simpanan Khusus'!E:E)</f>
        <v>0</v>
      </c>
      <c r="H61" s="4">
        <f>SUMIF('Simpanan Sukarela'!C:C,'All Simpanan '!C:C,'Simpanan Sukarela'!E:E)</f>
        <v>187636.02426670026</v>
      </c>
      <c r="I61" s="4">
        <f>SUMIF('Simpanan Sukarela Berjangka'!B:B,'All Simpanan '!C:C,'Simpanan Sukarela Berjangka'!K:K)</f>
        <v>0</v>
      </c>
      <c r="J61" s="4">
        <f t="shared" si="0"/>
        <v>187636.02426670026</v>
      </c>
      <c r="K61" s="35" t="s">
        <v>1578</v>
      </c>
    </row>
    <row r="62" spans="1:11" ht="15.5" x14ac:dyDescent="0.35">
      <c r="A62" s="5">
        <v>60</v>
      </c>
      <c r="B62" s="6" t="s">
        <v>172</v>
      </c>
      <c r="C62" s="7" t="s">
        <v>173</v>
      </c>
      <c r="D62" s="8" t="s">
        <v>19</v>
      </c>
      <c r="E62" s="8">
        <f>SUMIF('Simpanan Wajib'!C:C,'All Simpanan '!C:C,'Simpanan Wajib'!E:E)</f>
        <v>5919993</v>
      </c>
      <c r="F62" s="4">
        <f>SUMIF('Simpanan Pokok'!C:C,'All Simpanan '!C:C,'Simpanan Pokok'!E:E)</f>
        <v>5000</v>
      </c>
      <c r="G62" s="4">
        <f>SUMIF('Simpanan Khusus'!C:C,'All Simpanan '!C:C,'Simpanan Khusus'!E:E)</f>
        <v>0</v>
      </c>
      <c r="H62" s="4">
        <f>SUMIF('Simpanan Sukarela'!C:C,'All Simpanan '!C:C,'Simpanan Sukarela'!E:E)</f>
        <v>361804.24674366548</v>
      </c>
      <c r="I62" s="4">
        <f>SUMIF('Simpanan Sukarela Berjangka'!B:B,'All Simpanan '!C:C,'Simpanan Sukarela Berjangka'!K:K)</f>
        <v>0</v>
      </c>
      <c r="J62" s="4">
        <f t="shared" si="0"/>
        <v>6286797.2467436651</v>
      </c>
      <c r="K62" s="35" t="s">
        <v>1578</v>
      </c>
    </row>
    <row r="63" spans="1:11" ht="15.5" x14ac:dyDescent="0.35">
      <c r="A63" s="5">
        <v>61</v>
      </c>
      <c r="B63" s="6" t="s">
        <v>174</v>
      </c>
      <c r="C63" s="7" t="s">
        <v>175</v>
      </c>
      <c r="D63" s="8" t="s">
        <v>14</v>
      </c>
      <c r="E63" s="8">
        <f>SUMIF('Simpanan Wajib'!C:C,'All Simpanan '!C:C,'Simpanan Wajib'!E:E)</f>
        <v>0</v>
      </c>
      <c r="F63" s="4">
        <f>SUMIF('Simpanan Pokok'!C:C,'All Simpanan '!C:C,'Simpanan Pokok'!E:E)</f>
        <v>0</v>
      </c>
      <c r="G63" s="4">
        <f>SUMIF('Simpanan Khusus'!C:C,'All Simpanan '!C:C,'Simpanan Khusus'!E:E)</f>
        <v>0</v>
      </c>
      <c r="H63" s="4">
        <f>SUMIF('Simpanan Sukarela'!C:C,'All Simpanan '!C:C,'Simpanan Sukarela'!E:E)</f>
        <v>0</v>
      </c>
      <c r="I63" s="4">
        <f>SUMIF('Simpanan Sukarela Berjangka'!B:B,'All Simpanan '!C:C,'Simpanan Sukarela Berjangka'!K:K)</f>
        <v>0</v>
      </c>
      <c r="J63" s="4">
        <f t="shared" si="0"/>
        <v>0</v>
      </c>
      <c r="K63" s="35" t="s">
        <v>1580</v>
      </c>
    </row>
    <row r="64" spans="1:11" ht="15.5" x14ac:dyDescent="0.35">
      <c r="A64" s="5">
        <v>62</v>
      </c>
      <c r="B64" s="6" t="s">
        <v>176</v>
      </c>
      <c r="C64" s="7" t="s">
        <v>177</v>
      </c>
      <c r="D64" s="8" t="s">
        <v>136</v>
      </c>
      <c r="E64" s="8">
        <f>SUMIF('Simpanan Wajib'!C:C,'All Simpanan '!C:C,'Simpanan Wajib'!E:E)</f>
        <v>150000</v>
      </c>
      <c r="F64" s="4">
        <f>SUMIF('Simpanan Pokok'!C:C,'All Simpanan '!C:C,'Simpanan Pokok'!E:E)</f>
        <v>0</v>
      </c>
      <c r="G64" s="4">
        <f>SUMIF('Simpanan Khusus'!C:C,'All Simpanan '!C:C,'Simpanan Khusus'!E:E)</f>
        <v>0</v>
      </c>
      <c r="H64" s="4">
        <f>SUMIF('Simpanan Sukarela'!C:C,'All Simpanan '!C:C,'Simpanan Sukarela'!E:E)</f>
        <v>98501.939064097591</v>
      </c>
      <c r="I64" s="4">
        <f>SUMIF('Simpanan Sukarela Berjangka'!B:B,'All Simpanan '!C:C,'Simpanan Sukarela Berjangka'!K:K)</f>
        <v>0</v>
      </c>
      <c r="J64" s="4">
        <f t="shared" si="0"/>
        <v>248501.93906409759</v>
      </c>
      <c r="K64" s="35" t="s">
        <v>1578</v>
      </c>
    </row>
    <row r="65" spans="1:11" ht="15.5" x14ac:dyDescent="0.35">
      <c r="A65" s="5">
        <v>63</v>
      </c>
      <c r="B65" s="6" t="s">
        <v>178</v>
      </c>
      <c r="C65" s="7" t="s">
        <v>179</v>
      </c>
      <c r="D65" s="8" t="s">
        <v>49</v>
      </c>
      <c r="E65" s="8">
        <f>SUMIF('Simpanan Wajib'!C:C,'All Simpanan '!C:C,'Simpanan Wajib'!E:E)</f>
        <v>0</v>
      </c>
      <c r="F65" s="4">
        <f>SUMIF('Simpanan Pokok'!C:C,'All Simpanan '!C:C,'Simpanan Pokok'!E:E)</f>
        <v>0</v>
      </c>
      <c r="G65" s="4">
        <f>SUMIF('Simpanan Khusus'!C:C,'All Simpanan '!C:C,'Simpanan Khusus'!E:E)</f>
        <v>0</v>
      </c>
      <c r="H65" s="4">
        <f>SUMIF('Simpanan Sukarela'!C:C,'All Simpanan '!C:C,'Simpanan Sukarela'!E:E)</f>
        <v>257415.91496638936</v>
      </c>
      <c r="I65" s="4">
        <f>SUMIF('Simpanan Sukarela Berjangka'!B:B,'All Simpanan '!C:C,'Simpanan Sukarela Berjangka'!K:K)</f>
        <v>0</v>
      </c>
      <c r="J65" s="4">
        <f t="shared" si="0"/>
        <v>257415.91496638936</v>
      </c>
      <c r="K65" s="35" t="s">
        <v>1578</v>
      </c>
    </row>
    <row r="66" spans="1:11" ht="15.5" x14ac:dyDescent="0.35">
      <c r="A66" s="5">
        <v>64</v>
      </c>
      <c r="B66" s="6" t="s">
        <v>180</v>
      </c>
      <c r="C66" s="7" t="s">
        <v>181</v>
      </c>
      <c r="D66" s="8" t="s">
        <v>46</v>
      </c>
      <c r="E66" s="8">
        <f>SUMIF('Simpanan Wajib'!C:C,'All Simpanan '!C:C,'Simpanan Wajib'!E:E)</f>
        <v>29511013</v>
      </c>
      <c r="F66" s="4">
        <f>SUMIF('Simpanan Pokok'!C:C,'All Simpanan '!C:C,'Simpanan Pokok'!E:E)</f>
        <v>5000</v>
      </c>
      <c r="G66" s="4">
        <f>SUMIF('Simpanan Khusus'!C:C,'All Simpanan '!C:C,'Simpanan Khusus'!E:E)</f>
        <v>210000</v>
      </c>
      <c r="H66" s="4">
        <f>SUMIF('Simpanan Sukarela'!C:C,'All Simpanan '!C:C,'Simpanan Sukarela'!E:E)</f>
        <v>2729941.0739856288</v>
      </c>
      <c r="I66" s="4">
        <f>SUMIF('Simpanan Sukarela Berjangka'!B:B,'All Simpanan '!C:C,'Simpanan Sukarela Berjangka'!K:K)</f>
        <v>0</v>
      </c>
      <c r="J66" s="4">
        <f t="shared" si="0"/>
        <v>32455954.073985629</v>
      </c>
      <c r="K66" s="35" t="s">
        <v>1579</v>
      </c>
    </row>
    <row r="67" spans="1:11" ht="15.5" x14ac:dyDescent="0.35">
      <c r="A67" s="5">
        <v>65</v>
      </c>
      <c r="B67" s="6" t="s">
        <v>182</v>
      </c>
      <c r="C67" s="7" t="s">
        <v>183</v>
      </c>
      <c r="D67" s="8" t="s">
        <v>19</v>
      </c>
      <c r="E67" s="8">
        <f>SUMIF('Simpanan Wajib'!C:C,'All Simpanan '!C:C,'Simpanan Wajib'!E:E)</f>
        <v>0</v>
      </c>
      <c r="F67" s="4">
        <f>SUMIF('Simpanan Pokok'!C:C,'All Simpanan '!C:C,'Simpanan Pokok'!E:E)</f>
        <v>0</v>
      </c>
      <c r="G67" s="4">
        <f>SUMIF('Simpanan Khusus'!C:C,'All Simpanan '!C:C,'Simpanan Khusus'!E:E)</f>
        <v>0</v>
      </c>
      <c r="H67" s="4">
        <f>SUMIF('Simpanan Sukarela'!C:C,'All Simpanan '!C:C,'Simpanan Sukarela'!E:E)</f>
        <v>0</v>
      </c>
      <c r="I67" s="4">
        <f>SUMIF('Simpanan Sukarela Berjangka'!B:B,'All Simpanan '!C:C,'Simpanan Sukarela Berjangka'!K:K)</f>
        <v>0</v>
      </c>
      <c r="J67" s="4">
        <f t="shared" si="0"/>
        <v>0</v>
      </c>
      <c r="K67" s="35" t="s">
        <v>1579</v>
      </c>
    </row>
    <row r="68" spans="1:11" ht="15.5" x14ac:dyDescent="0.35">
      <c r="A68" s="5">
        <v>66</v>
      </c>
      <c r="B68" s="6" t="s">
        <v>184</v>
      </c>
      <c r="C68" s="7" t="s">
        <v>185</v>
      </c>
      <c r="D68" s="8" t="s">
        <v>72</v>
      </c>
      <c r="E68" s="8">
        <f>SUMIF('Simpanan Wajib'!C:C,'All Simpanan '!C:C,'Simpanan Wajib'!E:E)</f>
        <v>350000</v>
      </c>
      <c r="F68" s="4">
        <f>SUMIF('Simpanan Pokok'!C:C,'All Simpanan '!C:C,'Simpanan Pokok'!E:E)</f>
        <v>0</v>
      </c>
      <c r="G68" s="4">
        <f>SUMIF('Simpanan Khusus'!C:C,'All Simpanan '!C:C,'Simpanan Khusus'!E:E)</f>
        <v>0</v>
      </c>
      <c r="H68" s="4">
        <f>SUMIF('Simpanan Sukarela'!C:C,'All Simpanan '!C:C,'Simpanan Sukarela'!E:E)</f>
        <v>36242</v>
      </c>
      <c r="I68" s="4">
        <f>SUMIF('Simpanan Sukarela Berjangka'!B:B,'All Simpanan '!C:C,'Simpanan Sukarela Berjangka'!K:K)</f>
        <v>0</v>
      </c>
      <c r="J68" s="4">
        <f t="shared" ref="J68:J131" si="1">SUM(E68:I68)</f>
        <v>386242</v>
      </c>
      <c r="K68" s="35" t="s">
        <v>1578</v>
      </c>
    </row>
    <row r="69" spans="1:11" ht="15.5" x14ac:dyDescent="0.35">
      <c r="A69" s="5">
        <v>67</v>
      </c>
      <c r="B69" s="6" t="s">
        <v>186</v>
      </c>
      <c r="C69" s="7" t="s">
        <v>187</v>
      </c>
      <c r="D69" s="8" t="s">
        <v>95</v>
      </c>
      <c r="E69" s="8">
        <f>SUMIF('Simpanan Wajib'!C:C,'All Simpanan '!C:C,'Simpanan Wajib'!E:E)</f>
        <v>0</v>
      </c>
      <c r="F69" s="4">
        <f>SUMIF('Simpanan Pokok'!C:C,'All Simpanan '!C:C,'Simpanan Pokok'!E:E)</f>
        <v>0</v>
      </c>
      <c r="G69" s="4">
        <f>SUMIF('Simpanan Khusus'!C:C,'All Simpanan '!C:C,'Simpanan Khusus'!E:E)</f>
        <v>0</v>
      </c>
      <c r="H69" s="4">
        <f>SUMIF('Simpanan Sukarela'!C:C,'All Simpanan '!C:C,'Simpanan Sukarela'!E:E)</f>
        <v>0</v>
      </c>
      <c r="I69" s="4">
        <f>SUMIF('Simpanan Sukarela Berjangka'!B:B,'All Simpanan '!C:C,'Simpanan Sukarela Berjangka'!K:K)</f>
        <v>0</v>
      </c>
      <c r="J69" s="4">
        <f t="shared" si="1"/>
        <v>0</v>
      </c>
      <c r="K69" s="35" t="s">
        <v>1579</v>
      </c>
    </row>
    <row r="70" spans="1:11" ht="15.5" x14ac:dyDescent="0.35">
      <c r="A70" s="5">
        <v>68</v>
      </c>
      <c r="B70" s="6" t="s">
        <v>188</v>
      </c>
      <c r="C70" s="7" t="s">
        <v>189</v>
      </c>
      <c r="D70" s="8" t="s">
        <v>49</v>
      </c>
      <c r="E70" s="8">
        <f>SUMIF('Simpanan Wajib'!C:C,'All Simpanan '!C:C,'Simpanan Wajib'!E:E)</f>
        <v>0</v>
      </c>
      <c r="F70" s="4">
        <f>SUMIF('Simpanan Pokok'!C:C,'All Simpanan '!C:C,'Simpanan Pokok'!E:E)</f>
        <v>0</v>
      </c>
      <c r="G70" s="4">
        <f>SUMIF('Simpanan Khusus'!C:C,'All Simpanan '!C:C,'Simpanan Khusus'!E:E)</f>
        <v>0</v>
      </c>
      <c r="H70" s="4">
        <f>SUMIF('Simpanan Sukarela'!C:C,'All Simpanan '!C:C,'Simpanan Sukarela'!E:E)</f>
        <v>0</v>
      </c>
      <c r="I70" s="4">
        <f>SUMIF('Simpanan Sukarela Berjangka'!B:B,'All Simpanan '!C:C,'Simpanan Sukarela Berjangka'!K:K)</f>
        <v>0</v>
      </c>
      <c r="J70" s="4">
        <f t="shared" si="1"/>
        <v>0</v>
      </c>
      <c r="K70" s="35" t="s">
        <v>1578</v>
      </c>
    </row>
    <row r="71" spans="1:11" ht="15.5" x14ac:dyDescent="0.35">
      <c r="A71" s="5">
        <v>69</v>
      </c>
      <c r="B71" s="6" t="s">
        <v>190</v>
      </c>
      <c r="C71" s="7" t="s">
        <v>191</v>
      </c>
      <c r="D71" s="8" t="s">
        <v>141</v>
      </c>
      <c r="E71" s="8">
        <f>SUMIF('Simpanan Wajib'!C:C,'All Simpanan '!C:C,'Simpanan Wajib'!E:E)</f>
        <v>0</v>
      </c>
      <c r="F71" s="4">
        <f>SUMIF('Simpanan Pokok'!C:C,'All Simpanan '!C:C,'Simpanan Pokok'!E:E)</f>
        <v>0</v>
      </c>
      <c r="G71" s="4">
        <f>SUMIF('Simpanan Khusus'!C:C,'All Simpanan '!C:C,'Simpanan Khusus'!E:E)</f>
        <v>0</v>
      </c>
      <c r="H71" s="4">
        <f>SUMIF('Simpanan Sukarela'!C:C,'All Simpanan '!C:C,'Simpanan Sukarela'!E:E)</f>
        <v>0</v>
      </c>
      <c r="I71" s="4">
        <f>SUMIF('Simpanan Sukarela Berjangka'!B:B,'All Simpanan '!C:C,'Simpanan Sukarela Berjangka'!K:K)</f>
        <v>0</v>
      </c>
      <c r="J71" s="4">
        <f t="shared" si="1"/>
        <v>0</v>
      </c>
      <c r="K71" s="35" t="s">
        <v>1579</v>
      </c>
    </row>
    <row r="72" spans="1:11" ht="15.5" x14ac:dyDescent="0.35">
      <c r="A72" s="5">
        <v>70</v>
      </c>
      <c r="B72" s="6" t="s">
        <v>192</v>
      </c>
      <c r="C72" s="7" t="s">
        <v>193</v>
      </c>
      <c r="D72" s="8" t="s">
        <v>136</v>
      </c>
      <c r="E72" s="8">
        <f>SUMIF('Simpanan Wajib'!C:C,'All Simpanan '!C:C,'Simpanan Wajib'!E:E)</f>
        <v>0</v>
      </c>
      <c r="F72" s="4">
        <f>SUMIF('Simpanan Pokok'!C:C,'All Simpanan '!C:C,'Simpanan Pokok'!E:E)</f>
        <v>0</v>
      </c>
      <c r="G72" s="4">
        <f>SUMIF('Simpanan Khusus'!C:C,'All Simpanan '!C:C,'Simpanan Khusus'!E:E)</f>
        <v>0</v>
      </c>
      <c r="H72" s="4">
        <f>SUMIF('Simpanan Sukarela'!C:C,'All Simpanan '!C:C,'Simpanan Sukarela'!E:E)</f>
        <v>0</v>
      </c>
      <c r="I72" s="4">
        <f>SUMIF('Simpanan Sukarela Berjangka'!B:B,'All Simpanan '!C:C,'Simpanan Sukarela Berjangka'!K:K)</f>
        <v>0</v>
      </c>
      <c r="J72" s="4">
        <f t="shared" si="1"/>
        <v>0</v>
      </c>
      <c r="K72" s="35" t="s">
        <v>1579</v>
      </c>
    </row>
    <row r="73" spans="1:11" ht="15.5" x14ac:dyDescent="0.35">
      <c r="A73" s="5">
        <v>71</v>
      </c>
      <c r="B73" s="6" t="s">
        <v>194</v>
      </c>
      <c r="C73" s="7" t="s">
        <v>195</v>
      </c>
      <c r="D73" s="8" t="s">
        <v>123</v>
      </c>
      <c r="E73" s="8">
        <f>SUMIF('Simpanan Wajib'!C:C,'All Simpanan '!C:C,'Simpanan Wajib'!E:E)</f>
        <v>0</v>
      </c>
      <c r="F73" s="4">
        <f>SUMIF('Simpanan Pokok'!C:C,'All Simpanan '!C:C,'Simpanan Pokok'!E:E)</f>
        <v>0</v>
      </c>
      <c r="G73" s="4">
        <f>SUMIF('Simpanan Khusus'!C:C,'All Simpanan '!C:C,'Simpanan Khusus'!E:E)</f>
        <v>0</v>
      </c>
      <c r="H73" s="4">
        <f>SUMIF('Simpanan Sukarela'!C:C,'All Simpanan '!C:C,'Simpanan Sukarela'!E:E)</f>
        <v>0</v>
      </c>
      <c r="I73" s="4">
        <f>SUMIF('Simpanan Sukarela Berjangka'!B:B,'All Simpanan '!C:C,'Simpanan Sukarela Berjangka'!K:K)</f>
        <v>0</v>
      </c>
      <c r="J73" s="4">
        <f t="shared" si="1"/>
        <v>0</v>
      </c>
      <c r="K73" s="35" t="s">
        <v>1578</v>
      </c>
    </row>
    <row r="74" spans="1:11" ht="15.5" x14ac:dyDescent="0.35">
      <c r="A74" s="5">
        <v>72</v>
      </c>
      <c r="B74" s="6" t="s">
        <v>196</v>
      </c>
      <c r="C74" s="7" t="s">
        <v>197</v>
      </c>
      <c r="D74" s="8" t="s">
        <v>198</v>
      </c>
      <c r="E74" s="8">
        <f>SUMIF('Simpanan Wajib'!C:C,'All Simpanan '!C:C,'Simpanan Wajib'!E:E)</f>
        <v>0</v>
      </c>
      <c r="F74" s="4">
        <f>SUMIF('Simpanan Pokok'!C:C,'All Simpanan '!C:C,'Simpanan Pokok'!E:E)</f>
        <v>0</v>
      </c>
      <c r="G74" s="4">
        <f>SUMIF('Simpanan Khusus'!C:C,'All Simpanan '!C:C,'Simpanan Khusus'!E:E)</f>
        <v>0</v>
      </c>
      <c r="H74" s="4">
        <f>SUMIF('Simpanan Sukarela'!C:C,'All Simpanan '!C:C,'Simpanan Sukarela'!E:E)</f>
        <v>0</v>
      </c>
      <c r="I74" s="4">
        <f>SUMIF('Simpanan Sukarela Berjangka'!B:B,'All Simpanan '!C:C,'Simpanan Sukarela Berjangka'!K:K)</f>
        <v>0</v>
      </c>
      <c r="J74" s="4">
        <f t="shared" si="1"/>
        <v>0</v>
      </c>
      <c r="K74" s="35" t="s">
        <v>1579</v>
      </c>
    </row>
    <row r="75" spans="1:11" ht="15.5" x14ac:dyDescent="0.35">
      <c r="A75" s="5">
        <v>73</v>
      </c>
      <c r="B75" s="6" t="s">
        <v>199</v>
      </c>
      <c r="C75" s="7" t="s">
        <v>200</v>
      </c>
      <c r="D75" s="8" t="s">
        <v>201</v>
      </c>
      <c r="E75" s="8">
        <f>SUMIF('Simpanan Wajib'!C:C,'All Simpanan '!C:C,'Simpanan Wajib'!E:E)</f>
        <v>0</v>
      </c>
      <c r="F75" s="4">
        <f>SUMIF('Simpanan Pokok'!C:C,'All Simpanan '!C:C,'Simpanan Pokok'!E:E)</f>
        <v>0</v>
      </c>
      <c r="G75" s="4">
        <f>SUMIF('Simpanan Khusus'!C:C,'All Simpanan '!C:C,'Simpanan Khusus'!E:E)</f>
        <v>0</v>
      </c>
      <c r="H75" s="4">
        <f>SUMIF('Simpanan Sukarela'!C:C,'All Simpanan '!C:C,'Simpanan Sukarela'!E:E)</f>
        <v>0</v>
      </c>
      <c r="I75" s="4">
        <f>SUMIF('Simpanan Sukarela Berjangka'!B:B,'All Simpanan '!C:C,'Simpanan Sukarela Berjangka'!K:K)</f>
        <v>0</v>
      </c>
      <c r="J75" s="4">
        <f t="shared" si="1"/>
        <v>0</v>
      </c>
      <c r="K75" s="35" t="s">
        <v>1578</v>
      </c>
    </row>
    <row r="76" spans="1:11" ht="15.5" x14ac:dyDescent="0.35">
      <c r="A76" s="5">
        <v>74</v>
      </c>
      <c r="B76" s="6" t="s">
        <v>202</v>
      </c>
      <c r="C76" s="7" t="s">
        <v>203</v>
      </c>
      <c r="D76" s="8" t="s">
        <v>144</v>
      </c>
      <c r="E76" s="8">
        <f>SUMIF('Simpanan Wajib'!C:C,'All Simpanan '!C:C,'Simpanan Wajib'!E:E)</f>
        <v>0</v>
      </c>
      <c r="F76" s="4">
        <f>SUMIF('Simpanan Pokok'!C:C,'All Simpanan '!C:C,'Simpanan Pokok'!E:E)</f>
        <v>0</v>
      </c>
      <c r="G76" s="4">
        <f>SUMIF('Simpanan Khusus'!C:C,'All Simpanan '!C:C,'Simpanan Khusus'!E:E)</f>
        <v>0</v>
      </c>
      <c r="H76" s="4">
        <f>SUMIF('Simpanan Sukarela'!C:C,'All Simpanan '!C:C,'Simpanan Sukarela'!E:E)</f>
        <v>0</v>
      </c>
      <c r="I76" s="4">
        <f>SUMIF('Simpanan Sukarela Berjangka'!B:B,'All Simpanan '!C:C,'Simpanan Sukarela Berjangka'!K:K)</f>
        <v>0</v>
      </c>
      <c r="J76" s="4">
        <f t="shared" si="1"/>
        <v>0</v>
      </c>
      <c r="K76" s="35" t="s">
        <v>1579</v>
      </c>
    </row>
    <row r="77" spans="1:11" ht="15.5" x14ac:dyDescent="0.35">
      <c r="A77" s="5">
        <v>75</v>
      </c>
      <c r="B77" s="6" t="s">
        <v>204</v>
      </c>
      <c r="C77" s="7" t="s">
        <v>205</v>
      </c>
      <c r="D77" s="8" t="s">
        <v>77</v>
      </c>
      <c r="E77" s="8">
        <f>SUMIF('Simpanan Wajib'!C:C,'All Simpanan '!C:C,'Simpanan Wajib'!E:E)</f>
        <v>100000</v>
      </c>
      <c r="F77" s="4">
        <f>SUMIF('Simpanan Pokok'!C:C,'All Simpanan '!C:C,'Simpanan Pokok'!E:E)</f>
        <v>0</v>
      </c>
      <c r="G77" s="4">
        <f>SUMIF('Simpanan Khusus'!C:C,'All Simpanan '!C:C,'Simpanan Khusus'!E:E)</f>
        <v>0</v>
      </c>
      <c r="H77" s="4">
        <f>SUMIF('Simpanan Sukarela'!C:C,'All Simpanan '!C:C,'Simpanan Sukarela'!E:E)</f>
        <v>4103</v>
      </c>
      <c r="I77" s="4">
        <f>SUMIF('Simpanan Sukarela Berjangka'!B:B,'All Simpanan '!C:C,'Simpanan Sukarela Berjangka'!K:K)</f>
        <v>0</v>
      </c>
      <c r="J77" s="4">
        <f t="shared" si="1"/>
        <v>104103</v>
      </c>
      <c r="K77" s="35" t="s">
        <v>1578</v>
      </c>
    </row>
    <row r="78" spans="1:11" ht="15.5" x14ac:dyDescent="0.35">
      <c r="A78" s="5">
        <v>76</v>
      </c>
      <c r="B78" s="6" t="s">
        <v>206</v>
      </c>
      <c r="C78" s="7" t="s">
        <v>207</v>
      </c>
      <c r="D78" s="8" t="s">
        <v>77</v>
      </c>
      <c r="E78" s="8">
        <f>SUMIF('Simpanan Wajib'!C:C,'All Simpanan '!C:C,'Simpanan Wajib'!E:E)</f>
        <v>0</v>
      </c>
      <c r="F78" s="4">
        <f>SUMIF('Simpanan Pokok'!C:C,'All Simpanan '!C:C,'Simpanan Pokok'!E:E)</f>
        <v>0</v>
      </c>
      <c r="G78" s="4">
        <f>SUMIF('Simpanan Khusus'!C:C,'All Simpanan '!C:C,'Simpanan Khusus'!E:E)</f>
        <v>0</v>
      </c>
      <c r="H78" s="4">
        <f>SUMIF('Simpanan Sukarela'!C:C,'All Simpanan '!C:C,'Simpanan Sukarela'!E:E)</f>
        <v>0</v>
      </c>
      <c r="I78" s="4">
        <f>SUMIF('Simpanan Sukarela Berjangka'!B:B,'All Simpanan '!C:C,'Simpanan Sukarela Berjangka'!K:K)</f>
        <v>0</v>
      </c>
      <c r="J78" s="4">
        <f t="shared" si="1"/>
        <v>0</v>
      </c>
      <c r="K78" s="35" t="s">
        <v>1579</v>
      </c>
    </row>
    <row r="79" spans="1:11" ht="15.5" x14ac:dyDescent="0.35">
      <c r="A79" s="5">
        <v>77</v>
      </c>
      <c r="B79" s="6" t="s">
        <v>208</v>
      </c>
      <c r="C79" s="7" t="s">
        <v>209</v>
      </c>
      <c r="D79" s="8" t="s">
        <v>210</v>
      </c>
      <c r="E79" s="8">
        <f>SUMIF('Simpanan Wajib'!C:C,'All Simpanan '!C:C,'Simpanan Wajib'!E:E)</f>
        <v>0</v>
      </c>
      <c r="F79" s="4">
        <f>SUMIF('Simpanan Pokok'!C:C,'All Simpanan '!C:C,'Simpanan Pokok'!E:E)</f>
        <v>0</v>
      </c>
      <c r="G79" s="4">
        <f>SUMIF('Simpanan Khusus'!C:C,'All Simpanan '!C:C,'Simpanan Khusus'!E:E)</f>
        <v>0</v>
      </c>
      <c r="H79" s="4">
        <f>SUMIF('Simpanan Sukarela'!C:C,'All Simpanan '!C:C,'Simpanan Sukarela'!E:E)</f>
        <v>0</v>
      </c>
      <c r="I79" s="4">
        <f>SUMIF('Simpanan Sukarela Berjangka'!B:B,'All Simpanan '!C:C,'Simpanan Sukarela Berjangka'!K:K)</f>
        <v>0</v>
      </c>
      <c r="J79" s="4">
        <f t="shared" si="1"/>
        <v>0</v>
      </c>
      <c r="K79" s="35" t="s">
        <v>1579</v>
      </c>
    </row>
    <row r="80" spans="1:11" ht="15.5" x14ac:dyDescent="0.35">
      <c r="A80" s="5">
        <v>78</v>
      </c>
      <c r="B80" s="6" t="s">
        <v>211</v>
      </c>
      <c r="C80" s="7" t="s">
        <v>212</v>
      </c>
      <c r="D80" s="8" t="s">
        <v>65</v>
      </c>
      <c r="E80" s="8">
        <f>SUMIF('Simpanan Wajib'!C:C,'All Simpanan '!C:C,'Simpanan Wajib'!E:E)</f>
        <v>0</v>
      </c>
      <c r="F80" s="4">
        <f>SUMIF('Simpanan Pokok'!C:C,'All Simpanan '!C:C,'Simpanan Pokok'!E:E)</f>
        <v>0</v>
      </c>
      <c r="G80" s="4">
        <f>SUMIF('Simpanan Khusus'!C:C,'All Simpanan '!C:C,'Simpanan Khusus'!E:E)</f>
        <v>0</v>
      </c>
      <c r="H80" s="4">
        <f>SUMIF('Simpanan Sukarela'!C:C,'All Simpanan '!C:C,'Simpanan Sukarela'!E:E)</f>
        <v>129439.66081371275</v>
      </c>
      <c r="I80" s="4">
        <f>SUMIF('Simpanan Sukarela Berjangka'!B:B,'All Simpanan '!C:C,'Simpanan Sukarela Berjangka'!K:K)</f>
        <v>0</v>
      </c>
      <c r="J80" s="4">
        <f t="shared" si="1"/>
        <v>129439.66081371275</v>
      </c>
      <c r="K80" s="35" t="s">
        <v>1578</v>
      </c>
    </row>
    <row r="81" spans="1:11" ht="15.5" x14ac:dyDescent="0.35">
      <c r="A81" s="5">
        <v>79</v>
      </c>
      <c r="B81" s="6" t="s">
        <v>213</v>
      </c>
      <c r="C81" s="7" t="s">
        <v>214</v>
      </c>
      <c r="D81" s="8" t="s">
        <v>215</v>
      </c>
      <c r="E81" s="8">
        <f>SUMIF('Simpanan Wajib'!C:C,'All Simpanan '!C:C,'Simpanan Wajib'!E:E)</f>
        <v>0</v>
      </c>
      <c r="F81" s="4">
        <f>SUMIF('Simpanan Pokok'!C:C,'All Simpanan '!C:C,'Simpanan Pokok'!E:E)</f>
        <v>0</v>
      </c>
      <c r="G81" s="4">
        <f>SUMIF('Simpanan Khusus'!C:C,'All Simpanan '!C:C,'Simpanan Khusus'!E:E)</f>
        <v>0</v>
      </c>
      <c r="H81" s="4">
        <f>SUMIF('Simpanan Sukarela'!C:C,'All Simpanan '!C:C,'Simpanan Sukarela'!E:E)</f>
        <v>0</v>
      </c>
      <c r="I81" s="4">
        <f>SUMIF('Simpanan Sukarela Berjangka'!B:B,'All Simpanan '!C:C,'Simpanan Sukarela Berjangka'!K:K)</f>
        <v>0</v>
      </c>
      <c r="J81" s="4">
        <f t="shared" si="1"/>
        <v>0</v>
      </c>
      <c r="K81" s="35" t="s">
        <v>1579</v>
      </c>
    </row>
    <row r="82" spans="1:11" ht="15.5" x14ac:dyDescent="0.35">
      <c r="A82" s="5">
        <v>80</v>
      </c>
      <c r="B82" s="6" t="s">
        <v>216</v>
      </c>
      <c r="C82" s="7" t="s">
        <v>217</v>
      </c>
      <c r="D82" s="8" t="s">
        <v>136</v>
      </c>
      <c r="E82" s="8">
        <f>SUMIF('Simpanan Wajib'!C:C,'All Simpanan '!C:C,'Simpanan Wajib'!E:E)</f>
        <v>16198751</v>
      </c>
      <c r="F82" s="4">
        <f>SUMIF('Simpanan Pokok'!C:C,'All Simpanan '!C:C,'Simpanan Pokok'!E:E)</f>
        <v>5000</v>
      </c>
      <c r="G82" s="4">
        <f>SUMIF('Simpanan Khusus'!C:C,'All Simpanan '!C:C,'Simpanan Khusus'!E:E)</f>
        <v>1203500</v>
      </c>
      <c r="H82" s="4">
        <f>SUMIF('Simpanan Sukarela'!C:C,'All Simpanan '!C:C,'Simpanan Sukarela'!E:E)</f>
        <v>1092341.6363917191</v>
      </c>
      <c r="I82" s="4">
        <f>SUMIF('Simpanan Sukarela Berjangka'!B:B,'All Simpanan '!C:C,'Simpanan Sukarela Berjangka'!K:K)</f>
        <v>0</v>
      </c>
      <c r="J82" s="4">
        <f t="shared" si="1"/>
        <v>18499592.636391718</v>
      </c>
      <c r="K82" s="35" t="s">
        <v>1579</v>
      </c>
    </row>
    <row r="83" spans="1:11" ht="15.5" x14ac:dyDescent="0.35">
      <c r="A83" s="5">
        <v>81</v>
      </c>
      <c r="B83" s="6" t="s">
        <v>218</v>
      </c>
      <c r="C83" s="7" t="s">
        <v>219</v>
      </c>
      <c r="D83" s="8" t="s">
        <v>80</v>
      </c>
      <c r="E83" s="8">
        <f>SUMIF('Simpanan Wajib'!C:C,'All Simpanan '!C:C,'Simpanan Wajib'!E:E)</f>
        <v>0</v>
      </c>
      <c r="F83" s="4">
        <f>SUMIF('Simpanan Pokok'!C:C,'All Simpanan '!C:C,'Simpanan Pokok'!E:E)</f>
        <v>0</v>
      </c>
      <c r="G83" s="4">
        <f>SUMIF('Simpanan Khusus'!C:C,'All Simpanan '!C:C,'Simpanan Khusus'!E:E)</f>
        <v>0</v>
      </c>
      <c r="H83" s="4">
        <f>SUMIF('Simpanan Sukarela'!C:C,'All Simpanan '!C:C,'Simpanan Sukarela'!E:E)</f>
        <v>0</v>
      </c>
      <c r="I83" s="4">
        <f>SUMIF('Simpanan Sukarela Berjangka'!B:B,'All Simpanan '!C:C,'Simpanan Sukarela Berjangka'!K:K)</f>
        <v>0</v>
      </c>
      <c r="J83" s="4">
        <f t="shared" si="1"/>
        <v>0</v>
      </c>
      <c r="K83" s="35" t="s">
        <v>1578</v>
      </c>
    </row>
    <row r="84" spans="1:11" ht="15.5" x14ac:dyDescent="0.35">
      <c r="A84" s="5">
        <v>82</v>
      </c>
      <c r="B84" s="6" t="s">
        <v>220</v>
      </c>
      <c r="C84" s="7" t="s">
        <v>221</v>
      </c>
      <c r="D84" s="8" t="s">
        <v>136</v>
      </c>
      <c r="E84" s="8">
        <f>SUMIF('Simpanan Wajib'!C:C,'All Simpanan '!C:C,'Simpanan Wajib'!E:E)</f>
        <v>0</v>
      </c>
      <c r="F84" s="4">
        <f>SUMIF('Simpanan Pokok'!C:C,'All Simpanan '!C:C,'Simpanan Pokok'!E:E)</f>
        <v>0</v>
      </c>
      <c r="G84" s="4">
        <f>SUMIF('Simpanan Khusus'!C:C,'All Simpanan '!C:C,'Simpanan Khusus'!E:E)</f>
        <v>0</v>
      </c>
      <c r="H84" s="4">
        <f>SUMIF('Simpanan Sukarela'!C:C,'All Simpanan '!C:C,'Simpanan Sukarela'!E:E)</f>
        <v>-0.38491196581162512</v>
      </c>
      <c r="I84" s="4">
        <f>SUMIF('Simpanan Sukarela Berjangka'!B:B,'All Simpanan '!C:C,'Simpanan Sukarela Berjangka'!K:K)</f>
        <v>0</v>
      </c>
      <c r="J84" s="4">
        <f t="shared" si="1"/>
        <v>-0.38491196581162512</v>
      </c>
      <c r="K84" s="35" t="s">
        <v>1576</v>
      </c>
    </row>
    <row r="85" spans="1:11" ht="15.5" x14ac:dyDescent="0.35">
      <c r="A85" s="5">
        <v>83</v>
      </c>
      <c r="B85" s="6" t="s">
        <v>222</v>
      </c>
      <c r="C85" s="7" t="s">
        <v>223</v>
      </c>
      <c r="D85" s="8" t="s">
        <v>166</v>
      </c>
      <c r="E85" s="8">
        <f>SUMIF('Simpanan Wajib'!C:C,'All Simpanan '!C:C,'Simpanan Wajib'!E:E)</f>
        <v>0</v>
      </c>
      <c r="F85" s="4">
        <f>SUMIF('Simpanan Pokok'!C:C,'All Simpanan '!C:C,'Simpanan Pokok'!E:E)</f>
        <v>0</v>
      </c>
      <c r="G85" s="4">
        <f>SUMIF('Simpanan Khusus'!C:C,'All Simpanan '!C:C,'Simpanan Khusus'!E:E)</f>
        <v>0</v>
      </c>
      <c r="H85" s="4">
        <f>SUMIF('Simpanan Sukarela'!C:C,'All Simpanan '!C:C,'Simpanan Sukarela'!E:E)</f>
        <v>0</v>
      </c>
      <c r="I85" s="4">
        <f>SUMIF('Simpanan Sukarela Berjangka'!B:B,'All Simpanan '!C:C,'Simpanan Sukarela Berjangka'!K:K)</f>
        <v>0</v>
      </c>
      <c r="J85" s="4">
        <f t="shared" si="1"/>
        <v>0</v>
      </c>
      <c r="K85" s="35" t="s">
        <v>1578</v>
      </c>
    </row>
    <row r="86" spans="1:11" ht="15.5" x14ac:dyDescent="0.35">
      <c r="A86" s="5">
        <v>84</v>
      </c>
      <c r="B86" s="6" t="s">
        <v>224</v>
      </c>
      <c r="C86" s="7" t="s">
        <v>225</v>
      </c>
      <c r="D86" s="8" t="s">
        <v>49</v>
      </c>
      <c r="E86" s="8">
        <f>SUMIF('Simpanan Wajib'!C:C,'All Simpanan '!C:C,'Simpanan Wajib'!E:E)</f>
        <v>0</v>
      </c>
      <c r="F86" s="4">
        <f>SUMIF('Simpanan Pokok'!C:C,'All Simpanan '!C:C,'Simpanan Pokok'!E:E)</f>
        <v>0</v>
      </c>
      <c r="G86" s="4">
        <f>SUMIF('Simpanan Khusus'!C:C,'All Simpanan '!C:C,'Simpanan Khusus'!E:E)</f>
        <v>0</v>
      </c>
      <c r="H86" s="4">
        <f>SUMIF('Simpanan Sukarela'!C:C,'All Simpanan '!C:C,'Simpanan Sukarela'!E:E)</f>
        <v>212760</v>
      </c>
      <c r="I86" s="4">
        <f>SUMIF('Simpanan Sukarela Berjangka'!B:B,'All Simpanan '!C:C,'Simpanan Sukarela Berjangka'!K:K)</f>
        <v>0</v>
      </c>
      <c r="J86" s="4">
        <f t="shared" si="1"/>
        <v>212760</v>
      </c>
      <c r="K86" s="35" t="s">
        <v>1578</v>
      </c>
    </row>
    <row r="87" spans="1:11" ht="15.5" x14ac:dyDescent="0.35">
      <c r="A87" s="5">
        <v>85</v>
      </c>
      <c r="B87" s="6" t="s">
        <v>226</v>
      </c>
      <c r="C87" s="7" t="s">
        <v>227</v>
      </c>
      <c r="D87" s="8" t="s">
        <v>228</v>
      </c>
      <c r="E87" s="8">
        <f>SUMIF('Simpanan Wajib'!C:C,'All Simpanan '!C:C,'Simpanan Wajib'!E:E)</f>
        <v>0</v>
      </c>
      <c r="F87" s="4">
        <f>SUMIF('Simpanan Pokok'!C:C,'All Simpanan '!C:C,'Simpanan Pokok'!E:E)</f>
        <v>0</v>
      </c>
      <c r="G87" s="4">
        <f>SUMIF('Simpanan Khusus'!C:C,'All Simpanan '!C:C,'Simpanan Khusus'!E:E)</f>
        <v>0</v>
      </c>
      <c r="H87" s="4">
        <f>SUMIF('Simpanan Sukarela'!C:C,'All Simpanan '!C:C,'Simpanan Sukarela'!E:E)</f>
        <v>0</v>
      </c>
      <c r="I87" s="4">
        <f>SUMIF('Simpanan Sukarela Berjangka'!B:B,'All Simpanan '!C:C,'Simpanan Sukarela Berjangka'!K:K)</f>
        <v>0</v>
      </c>
      <c r="J87" s="4">
        <f t="shared" si="1"/>
        <v>0</v>
      </c>
      <c r="K87" s="35" t="s">
        <v>1579</v>
      </c>
    </row>
    <row r="88" spans="1:11" ht="15.5" x14ac:dyDescent="0.35">
      <c r="A88" s="5">
        <v>86</v>
      </c>
      <c r="B88" s="6" t="s">
        <v>229</v>
      </c>
      <c r="C88" s="7" t="s">
        <v>230</v>
      </c>
      <c r="D88" s="8" t="s">
        <v>231</v>
      </c>
      <c r="E88" s="8">
        <f>SUMIF('Simpanan Wajib'!C:C,'All Simpanan '!C:C,'Simpanan Wajib'!E:E)</f>
        <v>0</v>
      </c>
      <c r="F88" s="4">
        <f>SUMIF('Simpanan Pokok'!C:C,'All Simpanan '!C:C,'Simpanan Pokok'!E:E)</f>
        <v>0</v>
      </c>
      <c r="G88" s="4">
        <f>SUMIF('Simpanan Khusus'!C:C,'All Simpanan '!C:C,'Simpanan Khusus'!E:E)</f>
        <v>0</v>
      </c>
      <c r="H88" s="4">
        <f>SUMIF('Simpanan Sukarela'!C:C,'All Simpanan '!C:C,'Simpanan Sukarela'!E:E)</f>
        <v>0</v>
      </c>
      <c r="I88" s="4">
        <f>SUMIF('Simpanan Sukarela Berjangka'!B:B,'All Simpanan '!C:C,'Simpanan Sukarela Berjangka'!K:K)</f>
        <v>0</v>
      </c>
      <c r="J88" s="4">
        <f t="shared" si="1"/>
        <v>0</v>
      </c>
      <c r="K88" s="35" t="s">
        <v>1578</v>
      </c>
    </row>
    <row r="89" spans="1:11" ht="15.5" x14ac:dyDescent="0.35">
      <c r="A89" s="5">
        <v>87</v>
      </c>
      <c r="B89" s="6" t="s">
        <v>232</v>
      </c>
      <c r="C89" s="7" t="s">
        <v>233</v>
      </c>
      <c r="D89" s="8" t="s">
        <v>159</v>
      </c>
      <c r="E89" s="8">
        <f>SUMIF('Simpanan Wajib'!C:C,'All Simpanan '!C:C,'Simpanan Wajib'!E:E)</f>
        <v>145000</v>
      </c>
      <c r="F89" s="4">
        <f>SUMIF('Simpanan Pokok'!C:C,'All Simpanan '!C:C,'Simpanan Pokok'!E:E)</f>
        <v>5000</v>
      </c>
      <c r="G89" s="4">
        <f>SUMIF('Simpanan Khusus'!C:C,'All Simpanan '!C:C,'Simpanan Khusus'!E:E)</f>
        <v>0</v>
      </c>
      <c r="H89" s="4">
        <f>SUMIF('Simpanan Sukarela'!C:C,'All Simpanan '!C:C,'Simpanan Sukarela'!E:E)</f>
        <v>609776.87621802255</v>
      </c>
      <c r="I89" s="4">
        <f>SUMIF('Simpanan Sukarela Berjangka'!B:B,'All Simpanan '!C:C,'Simpanan Sukarela Berjangka'!K:K)</f>
        <v>0</v>
      </c>
      <c r="J89" s="4">
        <f t="shared" si="1"/>
        <v>759776.87621802255</v>
      </c>
      <c r="K89" s="35" t="s">
        <v>1578</v>
      </c>
    </row>
    <row r="90" spans="1:11" ht="15.5" x14ac:dyDescent="0.35">
      <c r="A90" s="5">
        <v>88</v>
      </c>
      <c r="B90" s="6" t="s">
        <v>234</v>
      </c>
      <c r="C90" s="7" t="s">
        <v>235</v>
      </c>
      <c r="D90" s="8" t="s">
        <v>95</v>
      </c>
      <c r="E90" s="8">
        <f>SUMIF('Simpanan Wajib'!C:C,'All Simpanan '!C:C,'Simpanan Wajib'!E:E)</f>
        <v>0</v>
      </c>
      <c r="F90" s="4">
        <f>SUMIF('Simpanan Pokok'!C:C,'All Simpanan '!C:C,'Simpanan Pokok'!E:E)</f>
        <v>0</v>
      </c>
      <c r="G90" s="4">
        <f>SUMIF('Simpanan Khusus'!C:C,'All Simpanan '!C:C,'Simpanan Khusus'!E:E)</f>
        <v>0</v>
      </c>
      <c r="H90" s="4">
        <f>SUMIF('Simpanan Sukarela'!C:C,'All Simpanan '!C:C,'Simpanan Sukarela'!E:E)</f>
        <v>0</v>
      </c>
      <c r="I90" s="4">
        <f>SUMIF('Simpanan Sukarela Berjangka'!B:B,'All Simpanan '!C:C,'Simpanan Sukarela Berjangka'!K:K)</f>
        <v>0</v>
      </c>
      <c r="J90" s="4">
        <f t="shared" si="1"/>
        <v>0</v>
      </c>
      <c r="K90" s="35" t="s">
        <v>1579</v>
      </c>
    </row>
    <row r="91" spans="1:11" ht="15.5" x14ac:dyDescent="0.35">
      <c r="A91" s="5">
        <v>89</v>
      </c>
      <c r="B91" s="6" t="s">
        <v>236</v>
      </c>
      <c r="C91" s="7" t="s">
        <v>237</v>
      </c>
      <c r="D91" s="8" t="s">
        <v>238</v>
      </c>
      <c r="E91" s="8">
        <f>SUMIF('Simpanan Wajib'!C:C,'All Simpanan '!C:C,'Simpanan Wajib'!E:E)</f>
        <v>0</v>
      </c>
      <c r="F91" s="4">
        <f>SUMIF('Simpanan Pokok'!C:C,'All Simpanan '!C:C,'Simpanan Pokok'!E:E)</f>
        <v>0</v>
      </c>
      <c r="G91" s="4">
        <f>SUMIF('Simpanan Khusus'!C:C,'All Simpanan '!C:C,'Simpanan Khusus'!E:E)</f>
        <v>0</v>
      </c>
      <c r="H91" s="4">
        <f>SUMIF('Simpanan Sukarela'!C:C,'All Simpanan '!C:C,'Simpanan Sukarela'!E:E)</f>
        <v>0</v>
      </c>
      <c r="I91" s="4">
        <f>SUMIF('Simpanan Sukarela Berjangka'!B:B,'All Simpanan '!C:C,'Simpanan Sukarela Berjangka'!K:K)</f>
        <v>0</v>
      </c>
      <c r="J91" s="4">
        <f t="shared" si="1"/>
        <v>0</v>
      </c>
      <c r="K91" s="35" t="s">
        <v>1579</v>
      </c>
    </row>
    <row r="92" spans="1:11" ht="15.5" x14ac:dyDescent="0.35">
      <c r="A92" s="5">
        <v>90</v>
      </c>
      <c r="B92" s="6" t="s">
        <v>239</v>
      </c>
      <c r="C92" s="7" t="s">
        <v>240</v>
      </c>
      <c r="D92" s="8" t="s">
        <v>198</v>
      </c>
      <c r="E92" s="8">
        <f>SUMIF('Simpanan Wajib'!C:C,'All Simpanan '!C:C,'Simpanan Wajib'!E:E)</f>
        <v>0</v>
      </c>
      <c r="F92" s="4">
        <f>SUMIF('Simpanan Pokok'!C:C,'All Simpanan '!C:C,'Simpanan Pokok'!E:E)</f>
        <v>0</v>
      </c>
      <c r="G92" s="4">
        <f>SUMIF('Simpanan Khusus'!C:C,'All Simpanan '!C:C,'Simpanan Khusus'!E:E)</f>
        <v>0</v>
      </c>
      <c r="H92" s="4">
        <f>SUMIF('Simpanan Sukarela'!C:C,'All Simpanan '!C:C,'Simpanan Sukarela'!E:E)</f>
        <v>0</v>
      </c>
      <c r="I92" s="4">
        <f>SUMIF('Simpanan Sukarela Berjangka'!B:B,'All Simpanan '!C:C,'Simpanan Sukarela Berjangka'!K:K)</f>
        <v>0</v>
      </c>
      <c r="J92" s="4">
        <f t="shared" si="1"/>
        <v>0</v>
      </c>
      <c r="K92" s="35" t="s">
        <v>1578</v>
      </c>
    </row>
    <row r="93" spans="1:11" ht="15.5" x14ac:dyDescent="0.35">
      <c r="A93" s="5">
        <v>91</v>
      </c>
      <c r="B93" s="6" t="s">
        <v>241</v>
      </c>
      <c r="C93" s="7" t="s">
        <v>242</v>
      </c>
      <c r="D93" s="8" t="s">
        <v>77</v>
      </c>
      <c r="E93" s="8">
        <f>SUMIF('Simpanan Wajib'!C:C,'All Simpanan '!C:C,'Simpanan Wajib'!E:E)</f>
        <v>0</v>
      </c>
      <c r="F93" s="4">
        <f>SUMIF('Simpanan Pokok'!C:C,'All Simpanan '!C:C,'Simpanan Pokok'!E:E)</f>
        <v>0</v>
      </c>
      <c r="G93" s="4">
        <f>SUMIF('Simpanan Khusus'!C:C,'All Simpanan '!C:C,'Simpanan Khusus'!E:E)</f>
        <v>0</v>
      </c>
      <c r="H93" s="4">
        <f>SUMIF('Simpanan Sukarela'!C:C,'All Simpanan '!C:C,'Simpanan Sukarela'!E:E)</f>
        <v>0</v>
      </c>
      <c r="I93" s="4">
        <f>SUMIF('Simpanan Sukarela Berjangka'!B:B,'All Simpanan '!C:C,'Simpanan Sukarela Berjangka'!K:K)</f>
        <v>0</v>
      </c>
      <c r="J93" s="4">
        <f t="shared" si="1"/>
        <v>0</v>
      </c>
      <c r="K93" s="35" t="s">
        <v>1576</v>
      </c>
    </row>
    <row r="94" spans="1:11" ht="15.5" x14ac:dyDescent="0.35">
      <c r="A94" s="5">
        <v>92</v>
      </c>
      <c r="B94" s="6" t="s">
        <v>243</v>
      </c>
      <c r="C94" s="7" t="s">
        <v>244</v>
      </c>
      <c r="D94" s="8" t="s">
        <v>123</v>
      </c>
      <c r="E94" s="8">
        <f>SUMIF('Simpanan Wajib'!C:C,'All Simpanan '!C:C,'Simpanan Wajib'!E:E)</f>
        <v>7746114</v>
      </c>
      <c r="F94" s="4">
        <f>SUMIF('Simpanan Pokok'!C:C,'All Simpanan '!C:C,'Simpanan Pokok'!E:E)</f>
        <v>5000</v>
      </c>
      <c r="G94" s="4">
        <f>SUMIF('Simpanan Khusus'!C:C,'All Simpanan '!C:C,'Simpanan Khusus'!E:E)</f>
        <v>0</v>
      </c>
      <c r="H94" s="4">
        <f>SUMIF('Simpanan Sukarela'!C:C,'All Simpanan '!C:C,'Simpanan Sukarela'!E:E)</f>
        <v>5220610.76732904</v>
      </c>
      <c r="I94" s="4">
        <f>SUMIF('Simpanan Sukarela Berjangka'!B:B,'All Simpanan '!C:C,'Simpanan Sukarela Berjangka'!K:K)</f>
        <v>0</v>
      </c>
      <c r="J94" s="4">
        <f t="shared" si="1"/>
        <v>12971724.767329041</v>
      </c>
      <c r="K94" s="35" t="s">
        <v>1578</v>
      </c>
    </row>
    <row r="95" spans="1:11" ht="15.5" x14ac:dyDescent="0.35">
      <c r="A95" s="5">
        <v>93</v>
      </c>
      <c r="B95" s="6" t="s">
        <v>245</v>
      </c>
      <c r="C95" s="7" t="s">
        <v>246</v>
      </c>
      <c r="D95" s="8" t="s">
        <v>41</v>
      </c>
      <c r="E95" s="8">
        <f>SUMIF('Simpanan Wajib'!C:C,'All Simpanan '!C:C,'Simpanan Wajib'!E:E)</f>
        <v>0</v>
      </c>
      <c r="F95" s="4">
        <f>SUMIF('Simpanan Pokok'!C:C,'All Simpanan '!C:C,'Simpanan Pokok'!E:E)</f>
        <v>0</v>
      </c>
      <c r="G95" s="4">
        <f>SUMIF('Simpanan Khusus'!C:C,'All Simpanan '!C:C,'Simpanan Khusus'!E:E)</f>
        <v>0</v>
      </c>
      <c r="H95" s="4">
        <f>SUMIF('Simpanan Sukarela'!C:C,'All Simpanan '!C:C,'Simpanan Sukarela'!E:E)</f>
        <v>0</v>
      </c>
      <c r="I95" s="4">
        <f>SUMIF('Simpanan Sukarela Berjangka'!B:B,'All Simpanan '!C:C,'Simpanan Sukarela Berjangka'!K:K)</f>
        <v>0</v>
      </c>
      <c r="J95" s="4">
        <f t="shared" si="1"/>
        <v>0</v>
      </c>
      <c r="K95" s="35" t="s">
        <v>1578</v>
      </c>
    </row>
    <row r="96" spans="1:11" ht="15.5" x14ac:dyDescent="0.35">
      <c r="A96" s="5">
        <v>94</v>
      </c>
      <c r="B96" s="6" t="s">
        <v>247</v>
      </c>
      <c r="C96" s="7" t="s">
        <v>248</v>
      </c>
      <c r="D96" s="8" t="s">
        <v>123</v>
      </c>
      <c r="E96" s="8">
        <f>SUMIF('Simpanan Wajib'!C:C,'All Simpanan '!C:C,'Simpanan Wajib'!E:E)</f>
        <v>11460815</v>
      </c>
      <c r="F96" s="4">
        <f>SUMIF('Simpanan Pokok'!C:C,'All Simpanan '!C:C,'Simpanan Pokok'!E:E)</f>
        <v>5000</v>
      </c>
      <c r="G96" s="4">
        <f>SUMIF('Simpanan Khusus'!C:C,'All Simpanan '!C:C,'Simpanan Khusus'!E:E)</f>
        <v>0</v>
      </c>
      <c r="H96" s="4">
        <f>SUMIF('Simpanan Sukarela'!C:C,'All Simpanan '!C:C,'Simpanan Sukarela'!E:E)</f>
        <v>13884342.210328614</v>
      </c>
      <c r="I96" s="4">
        <f>SUMIF('Simpanan Sukarela Berjangka'!B:B,'All Simpanan '!C:C,'Simpanan Sukarela Berjangka'!K:K)</f>
        <v>0</v>
      </c>
      <c r="J96" s="4">
        <f t="shared" si="1"/>
        <v>25350157.210328616</v>
      </c>
      <c r="K96" s="35" t="s">
        <v>1578</v>
      </c>
    </row>
    <row r="97" spans="1:11" ht="15.5" x14ac:dyDescent="0.35">
      <c r="A97" s="5">
        <v>95</v>
      </c>
      <c r="B97" s="6" t="s">
        <v>249</v>
      </c>
      <c r="C97" s="7" t="s">
        <v>250</v>
      </c>
      <c r="D97" s="8" t="s">
        <v>25</v>
      </c>
      <c r="E97" s="8">
        <f>SUMIF('Simpanan Wajib'!C:C,'All Simpanan '!C:C,'Simpanan Wajib'!E:E)</f>
        <v>25443744</v>
      </c>
      <c r="F97" s="4">
        <f>SUMIF('Simpanan Pokok'!C:C,'All Simpanan '!C:C,'Simpanan Pokok'!E:E)</f>
        <v>5000</v>
      </c>
      <c r="G97" s="4">
        <f>SUMIF('Simpanan Khusus'!C:C,'All Simpanan '!C:C,'Simpanan Khusus'!E:E)</f>
        <v>810000</v>
      </c>
      <c r="H97" s="4">
        <f>SUMIF('Simpanan Sukarela'!C:C,'All Simpanan '!C:C,'Simpanan Sukarela'!E:E)</f>
        <v>2368118.2185790516</v>
      </c>
      <c r="I97" s="4">
        <f>SUMIF('Simpanan Sukarela Berjangka'!B:B,'All Simpanan '!C:C,'Simpanan Sukarela Berjangka'!K:K)</f>
        <v>0</v>
      </c>
      <c r="J97" s="4">
        <f t="shared" si="1"/>
        <v>28626862.21857905</v>
      </c>
      <c r="K97" s="35" t="s">
        <v>1579</v>
      </c>
    </row>
    <row r="98" spans="1:11" ht="15.5" x14ac:dyDescent="0.35">
      <c r="A98" s="5">
        <v>96</v>
      </c>
      <c r="B98" s="6" t="s">
        <v>251</v>
      </c>
      <c r="C98" s="7" t="s">
        <v>252</v>
      </c>
      <c r="D98" s="8" t="s">
        <v>253</v>
      </c>
      <c r="E98" s="8">
        <f>SUMIF('Simpanan Wajib'!C:C,'All Simpanan '!C:C,'Simpanan Wajib'!E:E)</f>
        <v>-100000</v>
      </c>
      <c r="F98" s="4">
        <f>SUMIF('Simpanan Pokok'!C:C,'All Simpanan '!C:C,'Simpanan Pokok'!E:E)</f>
        <v>0</v>
      </c>
      <c r="G98" s="4">
        <f>SUMIF('Simpanan Khusus'!C:C,'All Simpanan '!C:C,'Simpanan Khusus'!E:E)</f>
        <v>0</v>
      </c>
      <c r="H98" s="4">
        <f>SUMIF('Simpanan Sukarela'!C:C,'All Simpanan '!C:C,'Simpanan Sukarela'!E:E)</f>
        <v>-0.11474365741014481</v>
      </c>
      <c r="I98" s="4">
        <f>SUMIF('Simpanan Sukarela Berjangka'!B:B,'All Simpanan '!C:C,'Simpanan Sukarela Berjangka'!K:K)</f>
        <v>0</v>
      </c>
      <c r="J98" s="4">
        <f t="shared" si="1"/>
        <v>-100000.11474365741</v>
      </c>
      <c r="K98" s="35" t="s">
        <v>1576</v>
      </c>
    </row>
    <row r="99" spans="1:11" ht="15.5" x14ac:dyDescent="0.35">
      <c r="A99" s="5">
        <v>97</v>
      </c>
      <c r="B99" s="6" t="s">
        <v>254</v>
      </c>
      <c r="C99" s="7" t="s">
        <v>255</v>
      </c>
      <c r="D99" s="8" t="s">
        <v>98</v>
      </c>
      <c r="E99" s="8">
        <f>SUMIF('Simpanan Wajib'!C:C,'All Simpanan '!C:C,'Simpanan Wajib'!E:E)</f>
        <v>0</v>
      </c>
      <c r="F99" s="4">
        <f>SUMIF('Simpanan Pokok'!C:C,'All Simpanan '!C:C,'Simpanan Pokok'!E:E)</f>
        <v>0</v>
      </c>
      <c r="G99" s="4">
        <f>SUMIF('Simpanan Khusus'!C:C,'All Simpanan '!C:C,'Simpanan Khusus'!E:E)</f>
        <v>0</v>
      </c>
      <c r="H99" s="4">
        <f>SUMIF('Simpanan Sukarela'!C:C,'All Simpanan '!C:C,'Simpanan Sukarela'!E:E)</f>
        <v>0</v>
      </c>
      <c r="I99" s="4">
        <f>SUMIF('Simpanan Sukarela Berjangka'!B:B,'All Simpanan '!C:C,'Simpanan Sukarela Berjangka'!K:K)</f>
        <v>0</v>
      </c>
      <c r="J99" s="4">
        <f t="shared" si="1"/>
        <v>0</v>
      </c>
      <c r="K99" s="35" t="s">
        <v>1579</v>
      </c>
    </row>
    <row r="100" spans="1:11" ht="15.5" x14ac:dyDescent="0.35">
      <c r="A100" s="5">
        <v>98</v>
      </c>
      <c r="B100" s="6" t="s">
        <v>256</v>
      </c>
      <c r="C100" s="7" t="s">
        <v>257</v>
      </c>
      <c r="D100" s="8" t="s">
        <v>25</v>
      </c>
      <c r="E100" s="8">
        <f>SUMIF('Simpanan Wajib'!C:C,'All Simpanan '!C:C,'Simpanan Wajib'!E:E)</f>
        <v>0</v>
      </c>
      <c r="F100" s="4">
        <f>SUMIF('Simpanan Pokok'!C:C,'All Simpanan '!C:C,'Simpanan Pokok'!E:E)</f>
        <v>0</v>
      </c>
      <c r="G100" s="4">
        <f>SUMIF('Simpanan Khusus'!C:C,'All Simpanan '!C:C,'Simpanan Khusus'!E:E)</f>
        <v>0</v>
      </c>
      <c r="H100" s="4">
        <f>SUMIF('Simpanan Sukarela'!C:C,'All Simpanan '!C:C,'Simpanan Sukarela'!E:E)</f>
        <v>0</v>
      </c>
      <c r="I100" s="4">
        <f>SUMIF('Simpanan Sukarela Berjangka'!B:B,'All Simpanan '!C:C,'Simpanan Sukarela Berjangka'!K:K)</f>
        <v>0</v>
      </c>
      <c r="J100" s="4">
        <f t="shared" si="1"/>
        <v>0</v>
      </c>
      <c r="K100" s="35" t="s">
        <v>1579</v>
      </c>
    </row>
    <row r="101" spans="1:11" ht="15.5" x14ac:dyDescent="0.35">
      <c r="A101" s="5">
        <v>99</v>
      </c>
      <c r="B101" s="6" t="s">
        <v>258</v>
      </c>
      <c r="C101" s="7" t="s">
        <v>259</v>
      </c>
      <c r="D101" s="8" t="s">
        <v>260</v>
      </c>
      <c r="E101" s="8">
        <f>SUMIF('Simpanan Wajib'!C:C,'All Simpanan '!C:C,'Simpanan Wajib'!E:E)</f>
        <v>0</v>
      </c>
      <c r="F101" s="4">
        <f>SUMIF('Simpanan Pokok'!C:C,'All Simpanan '!C:C,'Simpanan Pokok'!E:E)</f>
        <v>0</v>
      </c>
      <c r="G101" s="4">
        <f>SUMIF('Simpanan Khusus'!C:C,'All Simpanan '!C:C,'Simpanan Khusus'!E:E)</f>
        <v>0</v>
      </c>
      <c r="H101" s="4">
        <f>SUMIF('Simpanan Sukarela'!C:C,'All Simpanan '!C:C,'Simpanan Sukarela'!E:E)</f>
        <v>0</v>
      </c>
      <c r="I101" s="4">
        <f>SUMIF('Simpanan Sukarela Berjangka'!B:B,'All Simpanan '!C:C,'Simpanan Sukarela Berjangka'!K:K)</f>
        <v>0</v>
      </c>
      <c r="J101" s="4">
        <f t="shared" si="1"/>
        <v>0</v>
      </c>
      <c r="K101" s="35" t="s">
        <v>1579</v>
      </c>
    </row>
    <row r="102" spans="1:11" ht="15.5" x14ac:dyDescent="0.35">
      <c r="A102" s="5">
        <v>100</v>
      </c>
      <c r="B102" s="6" t="s">
        <v>261</v>
      </c>
      <c r="C102" s="7" t="s">
        <v>262</v>
      </c>
      <c r="D102" s="8" t="s">
        <v>136</v>
      </c>
      <c r="E102" s="8">
        <f>SUMIF('Simpanan Wajib'!C:C,'All Simpanan '!C:C,'Simpanan Wajib'!E:E)</f>
        <v>0</v>
      </c>
      <c r="F102" s="4">
        <f>SUMIF('Simpanan Pokok'!C:C,'All Simpanan '!C:C,'Simpanan Pokok'!E:E)</f>
        <v>0</v>
      </c>
      <c r="G102" s="4">
        <f>SUMIF('Simpanan Khusus'!C:C,'All Simpanan '!C:C,'Simpanan Khusus'!E:E)</f>
        <v>0</v>
      </c>
      <c r="H102" s="4">
        <f>SUMIF('Simpanan Sukarela'!C:C,'All Simpanan '!C:C,'Simpanan Sukarela'!E:E)</f>
        <v>0</v>
      </c>
      <c r="I102" s="4">
        <f>SUMIF('Simpanan Sukarela Berjangka'!B:B,'All Simpanan '!C:C,'Simpanan Sukarela Berjangka'!K:K)</f>
        <v>0</v>
      </c>
      <c r="J102" s="4">
        <f t="shared" si="1"/>
        <v>0</v>
      </c>
      <c r="K102" s="35" t="s">
        <v>1579</v>
      </c>
    </row>
    <row r="103" spans="1:11" ht="15.5" x14ac:dyDescent="0.35">
      <c r="A103" s="5">
        <v>101</v>
      </c>
      <c r="B103" s="6" t="s">
        <v>263</v>
      </c>
      <c r="C103" s="7" t="s">
        <v>264</v>
      </c>
      <c r="D103" s="8" t="s">
        <v>49</v>
      </c>
      <c r="E103" s="8">
        <f>SUMIF('Simpanan Wajib'!C:C,'All Simpanan '!C:C,'Simpanan Wajib'!E:E)</f>
        <v>0</v>
      </c>
      <c r="F103" s="4">
        <f>SUMIF('Simpanan Pokok'!C:C,'All Simpanan '!C:C,'Simpanan Pokok'!E:E)</f>
        <v>0</v>
      </c>
      <c r="G103" s="4">
        <f>SUMIF('Simpanan Khusus'!C:C,'All Simpanan '!C:C,'Simpanan Khusus'!E:E)</f>
        <v>0</v>
      </c>
      <c r="H103" s="4">
        <f>SUMIF('Simpanan Sukarela'!C:C,'All Simpanan '!C:C,'Simpanan Sukarela'!E:E)</f>
        <v>1762733</v>
      </c>
      <c r="I103" s="4">
        <f>SUMIF('Simpanan Sukarela Berjangka'!B:B,'All Simpanan '!C:C,'Simpanan Sukarela Berjangka'!K:K)</f>
        <v>0</v>
      </c>
      <c r="J103" s="4">
        <f t="shared" si="1"/>
        <v>1762733</v>
      </c>
      <c r="K103" s="35" t="s">
        <v>1578</v>
      </c>
    </row>
    <row r="104" spans="1:11" ht="15.5" x14ac:dyDescent="0.35">
      <c r="A104" s="5">
        <v>102</v>
      </c>
      <c r="B104" s="6" t="s">
        <v>265</v>
      </c>
      <c r="C104" s="7" t="s">
        <v>266</v>
      </c>
      <c r="D104" s="8" t="s">
        <v>267</v>
      </c>
      <c r="E104" s="8">
        <f>SUMIF('Simpanan Wajib'!C:C,'All Simpanan '!C:C,'Simpanan Wajib'!E:E)</f>
        <v>0</v>
      </c>
      <c r="F104" s="4">
        <f>SUMIF('Simpanan Pokok'!C:C,'All Simpanan '!C:C,'Simpanan Pokok'!E:E)</f>
        <v>0</v>
      </c>
      <c r="G104" s="4">
        <f>SUMIF('Simpanan Khusus'!C:C,'All Simpanan '!C:C,'Simpanan Khusus'!E:E)</f>
        <v>0</v>
      </c>
      <c r="H104" s="4">
        <f>SUMIF('Simpanan Sukarela'!C:C,'All Simpanan '!C:C,'Simpanan Sukarela'!E:E)</f>
        <v>0</v>
      </c>
      <c r="I104" s="4">
        <f>SUMIF('Simpanan Sukarela Berjangka'!B:B,'All Simpanan '!C:C,'Simpanan Sukarela Berjangka'!K:K)</f>
        <v>0</v>
      </c>
      <c r="J104" s="4">
        <f t="shared" si="1"/>
        <v>0</v>
      </c>
      <c r="K104" s="35" t="s">
        <v>1578</v>
      </c>
    </row>
    <row r="105" spans="1:11" ht="15.5" x14ac:dyDescent="0.35">
      <c r="A105" s="5">
        <v>103</v>
      </c>
      <c r="B105" s="6" t="s">
        <v>268</v>
      </c>
      <c r="C105" s="7" t="s">
        <v>269</v>
      </c>
      <c r="D105" s="8" t="s">
        <v>270</v>
      </c>
      <c r="E105" s="8">
        <f>SUMIF('Simpanan Wajib'!C:C,'All Simpanan '!C:C,'Simpanan Wajib'!E:E)</f>
        <v>0</v>
      </c>
      <c r="F105" s="4">
        <f>SUMIF('Simpanan Pokok'!C:C,'All Simpanan '!C:C,'Simpanan Pokok'!E:E)</f>
        <v>0</v>
      </c>
      <c r="G105" s="4">
        <f>SUMIF('Simpanan Khusus'!C:C,'All Simpanan '!C:C,'Simpanan Khusus'!E:E)</f>
        <v>0</v>
      </c>
      <c r="H105" s="4">
        <f>SUMIF('Simpanan Sukarela'!C:C,'All Simpanan '!C:C,'Simpanan Sukarela'!E:E)</f>
        <v>0</v>
      </c>
      <c r="I105" s="4">
        <f>SUMIF('Simpanan Sukarela Berjangka'!B:B,'All Simpanan '!C:C,'Simpanan Sukarela Berjangka'!K:K)</f>
        <v>0</v>
      </c>
      <c r="J105" s="4">
        <f t="shared" si="1"/>
        <v>0</v>
      </c>
      <c r="K105" s="35" t="s">
        <v>1579</v>
      </c>
    </row>
    <row r="106" spans="1:11" ht="15.5" x14ac:dyDescent="0.35">
      <c r="A106" s="5">
        <v>104</v>
      </c>
      <c r="B106" s="6" t="s">
        <v>271</v>
      </c>
      <c r="C106" s="7" t="s">
        <v>272</v>
      </c>
      <c r="D106" s="8" t="s">
        <v>46</v>
      </c>
      <c r="E106" s="8">
        <f>SUMIF('Simpanan Wajib'!C:C,'All Simpanan '!C:C,'Simpanan Wajib'!E:E)</f>
        <v>0</v>
      </c>
      <c r="F106" s="4">
        <f>SUMIF('Simpanan Pokok'!C:C,'All Simpanan '!C:C,'Simpanan Pokok'!E:E)</f>
        <v>0</v>
      </c>
      <c r="G106" s="4">
        <f>SUMIF('Simpanan Khusus'!C:C,'All Simpanan '!C:C,'Simpanan Khusus'!E:E)</f>
        <v>0</v>
      </c>
      <c r="H106" s="4">
        <f>SUMIF('Simpanan Sukarela'!C:C,'All Simpanan '!C:C,'Simpanan Sukarela'!E:E)</f>
        <v>780921</v>
      </c>
      <c r="I106" s="4">
        <f>SUMIF('Simpanan Sukarela Berjangka'!B:B,'All Simpanan '!C:C,'Simpanan Sukarela Berjangka'!K:K)</f>
        <v>0</v>
      </c>
      <c r="J106" s="4">
        <f t="shared" si="1"/>
        <v>780921</v>
      </c>
      <c r="K106" s="35" t="s">
        <v>1578</v>
      </c>
    </row>
    <row r="107" spans="1:11" ht="15.5" x14ac:dyDescent="0.35">
      <c r="A107" s="5">
        <v>105</v>
      </c>
      <c r="B107" s="6" t="s">
        <v>273</v>
      </c>
      <c r="C107" s="7" t="s">
        <v>274</v>
      </c>
      <c r="D107" s="8" t="s">
        <v>166</v>
      </c>
      <c r="E107" s="8">
        <f>SUMIF('Simpanan Wajib'!C:C,'All Simpanan '!C:C,'Simpanan Wajib'!E:E)</f>
        <v>0</v>
      </c>
      <c r="F107" s="4">
        <f>SUMIF('Simpanan Pokok'!C:C,'All Simpanan '!C:C,'Simpanan Pokok'!E:E)</f>
        <v>0</v>
      </c>
      <c r="G107" s="4">
        <f>SUMIF('Simpanan Khusus'!C:C,'All Simpanan '!C:C,'Simpanan Khusus'!E:E)</f>
        <v>0</v>
      </c>
      <c r="H107" s="4">
        <f>SUMIF('Simpanan Sukarela'!C:C,'All Simpanan '!C:C,'Simpanan Sukarela'!E:E)</f>
        <v>0</v>
      </c>
      <c r="I107" s="4">
        <f>SUMIF('Simpanan Sukarela Berjangka'!B:B,'All Simpanan '!C:C,'Simpanan Sukarela Berjangka'!K:K)</f>
        <v>0</v>
      </c>
      <c r="J107" s="4">
        <f t="shared" si="1"/>
        <v>0</v>
      </c>
      <c r="K107" s="35" t="s">
        <v>1578</v>
      </c>
    </row>
    <row r="108" spans="1:11" ht="15.5" x14ac:dyDescent="0.35">
      <c r="A108" s="5">
        <v>106</v>
      </c>
      <c r="B108" s="6" t="s">
        <v>275</v>
      </c>
      <c r="C108" s="7" t="s">
        <v>276</v>
      </c>
      <c r="D108" s="8" t="s">
        <v>83</v>
      </c>
      <c r="E108" s="8">
        <f>SUMIF('Simpanan Wajib'!C:C,'All Simpanan '!C:C,'Simpanan Wajib'!E:E)</f>
        <v>0</v>
      </c>
      <c r="F108" s="4">
        <f>SUMIF('Simpanan Pokok'!C:C,'All Simpanan '!C:C,'Simpanan Pokok'!E:E)</f>
        <v>0</v>
      </c>
      <c r="G108" s="4">
        <f>SUMIF('Simpanan Khusus'!C:C,'All Simpanan '!C:C,'Simpanan Khusus'!E:E)</f>
        <v>0</v>
      </c>
      <c r="H108" s="4">
        <f>SUMIF('Simpanan Sukarela'!C:C,'All Simpanan '!C:C,'Simpanan Sukarela'!E:E)</f>
        <v>0</v>
      </c>
      <c r="I108" s="4">
        <f>SUMIF('Simpanan Sukarela Berjangka'!B:B,'All Simpanan '!C:C,'Simpanan Sukarela Berjangka'!K:K)</f>
        <v>0</v>
      </c>
      <c r="J108" s="4">
        <f t="shared" si="1"/>
        <v>0</v>
      </c>
      <c r="K108" s="35" t="s">
        <v>1579</v>
      </c>
    </row>
    <row r="109" spans="1:11" ht="15.5" x14ac:dyDescent="0.35">
      <c r="A109" s="5">
        <v>107</v>
      </c>
      <c r="B109" s="6" t="s">
        <v>277</v>
      </c>
      <c r="C109" s="7" t="s">
        <v>278</v>
      </c>
      <c r="D109" s="8" t="s">
        <v>72</v>
      </c>
      <c r="E109" s="8">
        <f>SUMIF('Simpanan Wajib'!C:C,'All Simpanan '!C:C,'Simpanan Wajib'!E:E)</f>
        <v>0</v>
      </c>
      <c r="F109" s="4">
        <f>SUMIF('Simpanan Pokok'!C:C,'All Simpanan '!C:C,'Simpanan Pokok'!E:E)</f>
        <v>0</v>
      </c>
      <c r="G109" s="4">
        <f>SUMIF('Simpanan Khusus'!C:C,'All Simpanan '!C:C,'Simpanan Khusus'!E:E)</f>
        <v>0</v>
      </c>
      <c r="H109" s="4">
        <f>SUMIF('Simpanan Sukarela'!C:C,'All Simpanan '!C:C,'Simpanan Sukarela'!E:E)</f>
        <v>0</v>
      </c>
      <c r="I109" s="4">
        <f>SUMIF('Simpanan Sukarela Berjangka'!B:B,'All Simpanan '!C:C,'Simpanan Sukarela Berjangka'!K:K)</f>
        <v>0</v>
      </c>
      <c r="J109" s="4">
        <f t="shared" si="1"/>
        <v>0</v>
      </c>
      <c r="K109" s="35" t="s">
        <v>1579</v>
      </c>
    </row>
    <row r="110" spans="1:11" ht="15.5" x14ac:dyDescent="0.35">
      <c r="A110" s="5">
        <v>108</v>
      </c>
      <c r="B110" s="6" t="s">
        <v>279</v>
      </c>
      <c r="C110" s="7" t="s">
        <v>280</v>
      </c>
      <c r="D110" s="8" t="s">
        <v>46</v>
      </c>
      <c r="E110" s="8">
        <f>SUMIF('Simpanan Wajib'!C:C,'All Simpanan '!C:C,'Simpanan Wajib'!E:E)</f>
        <v>0</v>
      </c>
      <c r="F110" s="4">
        <f>SUMIF('Simpanan Pokok'!C:C,'All Simpanan '!C:C,'Simpanan Pokok'!E:E)</f>
        <v>0</v>
      </c>
      <c r="G110" s="4">
        <f>SUMIF('Simpanan Khusus'!C:C,'All Simpanan '!C:C,'Simpanan Khusus'!E:E)</f>
        <v>0</v>
      </c>
      <c r="H110" s="4">
        <f>SUMIF('Simpanan Sukarela'!C:C,'All Simpanan '!C:C,'Simpanan Sukarela'!E:E)</f>
        <v>0</v>
      </c>
      <c r="I110" s="4">
        <f>SUMIF('Simpanan Sukarela Berjangka'!B:B,'All Simpanan '!C:C,'Simpanan Sukarela Berjangka'!K:K)</f>
        <v>0</v>
      </c>
      <c r="J110" s="4">
        <f t="shared" si="1"/>
        <v>0</v>
      </c>
      <c r="K110" s="35" t="s">
        <v>1579</v>
      </c>
    </row>
    <row r="111" spans="1:11" ht="15.5" x14ac:dyDescent="0.35">
      <c r="A111" s="5">
        <v>109</v>
      </c>
      <c r="B111" s="6" t="s">
        <v>281</v>
      </c>
      <c r="C111" s="7" t="s">
        <v>282</v>
      </c>
      <c r="D111" s="8" t="s">
        <v>72</v>
      </c>
      <c r="E111" s="8">
        <f>SUMIF('Simpanan Wajib'!C:C,'All Simpanan '!C:C,'Simpanan Wajib'!E:E)</f>
        <v>0</v>
      </c>
      <c r="F111" s="4">
        <f>SUMIF('Simpanan Pokok'!C:C,'All Simpanan '!C:C,'Simpanan Pokok'!E:E)</f>
        <v>0</v>
      </c>
      <c r="G111" s="4">
        <f>SUMIF('Simpanan Khusus'!C:C,'All Simpanan '!C:C,'Simpanan Khusus'!E:E)</f>
        <v>0</v>
      </c>
      <c r="H111" s="4">
        <f>SUMIF('Simpanan Sukarela'!C:C,'All Simpanan '!C:C,'Simpanan Sukarela'!E:E)</f>
        <v>0</v>
      </c>
      <c r="I111" s="4">
        <f>SUMIF('Simpanan Sukarela Berjangka'!B:B,'All Simpanan '!C:C,'Simpanan Sukarela Berjangka'!K:K)</f>
        <v>0</v>
      </c>
      <c r="J111" s="4">
        <f t="shared" si="1"/>
        <v>0</v>
      </c>
      <c r="K111" s="35" t="s">
        <v>1578</v>
      </c>
    </row>
    <row r="112" spans="1:11" ht="15.5" x14ac:dyDescent="0.35">
      <c r="A112" s="5">
        <v>110</v>
      </c>
      <c r="B112" s="6" t="s">
        <v>283</v>
      </c>
      <c r="C112" s="7" t="s">
        <v>284</v>
      </c>
      <c r="D112" s="8" t="s">
        <v>285</v>
      </c>
      <c r="E112" s="8">
        <f>SUMIF('Simpanan Wajib'!C:C,'All Simpanan '!C:C,'Simpanan Wajib'!E:E)</f>
        <v>3689498</v>
      </c>
      <c r="F112" s="4">
        <f>SUMIF('Simpanan Pokok'!C:C,'All Simpanan '!C:C,'Simpanan Pokok'!E:E)</f>
        <v>5000</v>
      </c>
      <c r="G112" s="4">
        <f>SUMIF('Simpanan Khusus'!C:C,'All Simpanan '!C:C,'Simpanan Khusus'!E:E)</f>
        <v>0</v>
      </c>
      <c r="H112" s="4">
        <f>SUMIF('Simpanan Sukarela'!C:C,'All Simpanan '!C:C,'Simpanan Sukarela'!E:E)</f>
        <v>3721789.9188485113</v>
      </c>
      <c r="I112" s="4">
        <f>SUMIF('Simpanan Sukarela Berjangka'!B:B,'All Simpanan '!C:C,'Simpanan Sukarela Berjangka'!K:K)</f>
        <v>0</v>
      </c>
      <c r="J112" s="4">
        <f t="shared" si="1"/>
        <v>7416287.9188485108</v>
      </c>
      <c r="K112" s="35" t="s">
        <v>1578</v>
      </c>
    </row>
    <row r="113" spans="1:11" ht="15.5" x14ac:dyDescent="0.35">
      <c r="A113" s="5">
        <v>111</v>
      </c>
      <c r="B113" s="6" t="s">
        <v>286</v>
      </c>
      <c r="C113" s="7" t="s">
        <v>287</v>
      </c>
      <c r="D113" s="8" t="s">
        <v>113</v>
      </c>
      <c r="E113" s="8">
        <f>SUMIF('Simpanan Wajib'!C:C,'All Simpanan '!C:C,'Simpanan Wajib'!E:E)</f>
        <v>0</v>
      </c>
      <c r="F113" s="4">
        <f>SUMIF('Simpanan Pokok'!C:C,'All Simpanan '!C:C,'Simpanan Pokok'!E:E)</f>
        <v>0</v>
      </c>
      <c r="G113" s="4">
        <f>SUMIF('Simpanan Khusus'!C:C,'All Simpanan '!C:C,'Simpanan Khusus'!E:E)</f>
        <v>0</v>
      </c>
      <c r="H113" s="4">
        <f>SUMIF('Simpanan Sukarela'!C:C,'All Simpanan '!C:C,'Simpanan Sukarela'!E:E)</f>
        <v>1916748.7226283359</v>
      </c>
      <c r="I113" s="4">
        <f>SUMIF('Simpanan Sukarela Berjangka'!B:B,'All Simpanan '!C:C,'Simpanan Sukarela Berjangka'!K:K)</f>
        <v>0</v>
      </c>
      <c r="J113" s="4">
        <f t="shared" si="1"/>
        <v>1916748.7226283359</v>
      </c>
      <c r="K113" s="35" t="s">
        <v>1578</v>
      </c>
    </row>
    <row r="114" spans="1:11" ht="15.5" x14ac:dyDescent="0.35">
      <c r="A114" s="5">
        <v>112</v>
      </c>
      <c r="B114" s="6" t="s">
        <v>288</v>
      </c>
      <c r="C114" s="7" t="s">
        <v>289</v>
      </c>
      <c r="D114" s="8" t="s">
        <v>290</v>
      </c>
      <c r="E114" s="8">
        <f>SUMIF('Simpanan Wajib'!C:C,'All Simpanan '!C:C,'Simpanan Wajib'!E:E)</f>
        <v>36529733</v>
      </c>
      <c r="F114" s="4">
        <f>SUMIF('Simpanan Pokok'!C:C,'All Simpanan '!C:C,'Simpanan Pokok'!E:E)</f>
        <v>5000</v>
      </c>
      <c r="G114" s="4">
        <f>SUMIF('Simpanan Khusus'!C:C,'All Simpanan '!C:C,'Simpanan Khusus'!E:E)</f>
        <v>1422000</v>
      </c>
      <c r="H114" s="4">
        <f>SUMIF('Simpanan Sukarela'!C:C,'All Simpanan '!C:C,'Simpanan Sukarela'!E:E)</f>
        <v>1255578.2521574167</v>
      </c>
      <c r="I114" s="4">
        <f>SUMIF('Simpanan Sukarela Berjangka'!B:B,'All Simpanan '!C:C,'Simpanan Sukarela Berjangka'!K:K)</f>
        <v>0</v>
      </c>
      <c r="J114" s="4">
        <f t="shared" si="1"/>
        <v>39212311.25215742</v>
      </c>
      <c r="K114" s="35" t="s">
        <v>1579</v>
      </c>
    </row>
    <row r="115" spans="1:11" ht="15.5" x14ac:dyDescent="0.35">
      <c r="A115" s="5">
        <v>113</v>
      </c>
      <c r="B115" s="6" t="s">
        <v>291</v>
      </c>
      <c r="C115" s="7" t="s">
        <v>292</v>
      </c>
      <c r="D115" s="8" t="s">
        <v>128</v>
      </c>
      <c r="E115" s="8">
        <f>SUMIF('Simpanan Wajib'!C:C,'All Simpanan '!C:C,'Simpanan Wajib'!E:E)</f>
        <v>0</v>
      </c>
      <c r="F115" s="4">
        <f>SUMIF('Simpanan Pokok'!C:C,'All Simpanan '!C:C,'Simpanan Pokok'!E:E)</f>
        <v>0</v>
      </c>
      <c r="G115" s="4">
        <f>SUMIF('Simpanan Khusus'!C:C,'All Simpanan '!C:C,'Simpanan Khusus'!E:E)</f>
        <v>0</v>
      </c>
      <c r="H115" s="4">
        <f>SUMIF('Simpanan Sukarela'!C:C,'All Simpanan '!C:C,'Simpanan Sukarela'!E:E)</f>
        <v>4640303.7515061209</v>
      </c>
      <c r="I115" s="4">
        <f>SUMIF('Simpanan Sukarela Berjangka'!B:B,'All Simpanan '!C:C,'Simpanan Sukarela Berjangka'!K:K)</f>
        <v>0</v>
      </c>
      <c r="J115" s="4">
        <f t="shared" si="1"/>
        <v>4640303.7515061209</v>
      </c>
      <c r="K115" s="35" t="s">
        <v>1579</v>
      </c>
    </row>
    <row r="116" spans="1:11" ht="15.5" x14ac:dyDescent="0.35">
      <c r="A116" s="5">
        <v>114</v>
      </c>
      <c r="B116" s="6" t="s">
        <v>293</v>
      </c>
      <c r="C116" s="7" t="s">
        <v>294</v>
      </c>
      <c r="D116" s="8" t="s">
        <v>295</v>
      </c>
      <c r="E116" s="8">
        <f>SUMIF('Simpanan Wajib'!C:C,'All Simpanan '!C:C,'Simpanan Wajib'!E:E)</f>
        <v>0</v>
      </c>
      <c r="F116" s="4">
        <f>SUMIF('Simpanan Pokok'!C:C,'All Simpanan '!C:C,'Simpanan Pokok'!E:E)</f>
        <v>0</v>
      </c>
      <c r="G116" s="4">
        <f>SUMIF('Simpanan Khusus'!C:C,'All Simpanan '!C:C,'Simpanan Khusus'!E:E)</f>
        <v>0</v>
      </c>
      <c r="H116" s="4">
        <f>SUMIF('Simpanan Sukarela'!C:C,'All Simpanan '!C:C,'Simpanan Sukarela'!E:E)</f>
        <v>0</v>
      </c>
      <c r="I116" s="4">
        <f>SUMIF('Simpanan Sukarela Berjangka'!B:B,'All Simpanan '!C:C,'Simpanan Sukarela Berjangka'!K:K)</f>
        <v>0</v>
      </c>
      <c r="J116" s="4">
        <f t="shared" si="1"/>
        <v>0</v>
      </c>
      <c r="K116" s="35" t="s">
        <v>1579</v>
      </c>
    </row>
    <row r="117" spans="1:11" ht="15.5" x14ac:dyDescent="0.35">
      <c r="A117" s="5">
        <v>115</v>
      </c>
      <c r="B117" s="6" t="s">
        <v>296</v>
      </c>
      <c r="C117" s="7" t="s">
        <v>297</v>
      </c>
      <c r="D117" s="8" t="s">
        <v>49</v>
      </c>
      <c r="E117" s="8">
        <f>SUMIF('Simpanan Wajib'!C:C,'All Simpanan '!C:C,'Simpanan Wajib'!E:E)</f>
        <v>670000</v>
      </c>
      <c r="F117" s="4">
        <f>SUMIF('Simpanan Pokok'!C:C,'All Simpanan '!C:C,'Simpanan Pokok'!E:E)</f>
        <v>5000</v>
      </c>
      <c r="G117" s="4">
        <f>SUMIF('Simpanan Khusus'!C:C,'All Simpanan '!C:C,'Simpanan Khusus'!E:E)</f>
        <v>0</v>
      </c>
      <c r="H117" s="4">
        <f>SUMIF('Simpanan Sukarela'!C:C,'All Simpanan '!C:C,'Simpanan Sukarela'!E:E)</f>
        <v>1243320.9765596169</v>
      </c>
      <c r="I117" s="4">
        <f>SUMIF('Simpanan Sukarela Berjangka'!B:B,'All Simpanan '!C:C,'Simpanan Sukarela Berjangka'!K:K)</f>
        <v>0</v>
      </c>
      <c r="J117" s="4">
        <f t="shared" si="1"/>
        <v>1918320.9765596169</v>
      </c>
      <c r="K117" s="35" t="s">
        <v>1578</v>
      </c>
    </row>
    <row r="118" spans="1:11" ht="15.5" x14ac:dyDescent="0.35">
      <c r="A118" s="5">
        <v>116</v>
      </c>
      <c r="B118" s="6" t="s">
        <v>298</v>
      </c>
      <c r="C118" s="7" t="s">
        <v>299</v>
      </c>
      <c r="D118" s="8" t="s">
        <v>300</v>
      </c>
      <c r="E118" s="8">
        <f>SUMIF('Simpanan Wajib'!C:C,'All Simpanan '!C:C,'Simpanan Wajib'!E:E)</f>
        <v>0</v>
      </c>
      <c r="F118" s="4">
        <f>SUMIF('Simpanan Pokok'!C:C,'All Simpanan '!C:C,'Simpanan Pokok'!E:E)</f>
        <v>0</v>
      </c>
      <c r="G118" s="4">
        <f>SUMIF('Simpanan Khusus'!C:C,'All Simpanan '!C:C,'Simpanan Khusus'!E:E)</f>
        <v>0</v>
      </c>
      <c r="H118" s="4">
        <f>SUMIF('Simpanan Sukarela'!C:C,'All Simpanan '!C:C,'Simpanan Sukarela'!E:E)</f>
        <v>0</v>
      </c>
      <c r="I118" s="4">
        <f>SUMIF('Simpanan Sukarela Berjangka'!B:B,'All Simpanan '!C:C,'Simpanan Sukarela Berjangka'!K:K)</f>
        <v>0</v>
      </c>
      <c r="J118" s="4">
        <f t="shared" si="1"/>
        <v>0</v>
      </c>
      <c r="K118" s="35" t="s">
        <v>1578</v>
      </c>
    </row>
    <row r="119" spans="1:11" ht="15.5" x14ac:dyDescent="0.35">
      <c r="A119" s="5">
        <v>117</v>
      </c>
      <c r="B119" s="6" t="s">
        <v>301</v>
      </c>
      <c r="C119" s="7" t="s">
        <v>302</v>
      </c>
      <c r="D119" s="8" t="s">
        <v>303</v>
      </c>
      <c r="E119" s="8">
        <f>SUMIF('Simpanan Wajib'!C:C,'All Simpanan '!C:C,'Simpanan Wajib'!E:E)</f>
        <v>30840660</v>
      </c>
      <c r="F119" s="4">
        <f>SUMIF('Simpanan Pokok'!C:C,'All Simpanan '!C:C,'Simpanan Pokok'!E:E)</f>
        <v>5000</v>
      </c>
      <c r="G119" s="4">
        <f>SUMIF('Simpanan Khusus'!C:C,'All Simpanan '!C:C,'Simpanan Khusus'!E:E)</f>
        <v>2850000</v>
      </c>
      <c r="H119" s="4">
        <f>SUMIF('Simpanan Sukarela'!C:C,'All Simpanan '!C:C,'Simpanan Sukarela'!E:E)</f>
        <v>2466878.8378160056</v>
      </c>
      <c r="I119" s="4">
        <f>SUMIF('Simpanan Sukarela Berjangka'!B:B,'All Simpanan '!C:C,'Simpanan Sukarela Berjangka'!K:K)</f>
        <v>0</v>
      </c>
      <c r="J119" s="4">
        <f t="shared" si="1"/>
        <v>36162538.837816007</v>
      </c>
      <c r="K119" s="35" t="s">
        <v>1579</v>
      </c>
    </row>
    <row r="120" spans="1:11" ht="15.5" x14ac:dyDescent="0.35">
      <c r="A120" s="5">
        <v>118</v>
      </c>
      <c r="B120" s="6" t="s">
        <v>304</v>
      </c>
      <c r="C120" s="7" t="s">
        <v>305</v>
      </c>
      <c r="D120" s="8" t="s">
        <v>136</v>
      </c>
      <c r="E120" s="8">
        <f>SUMIF('Simpanan Wajib'!C:C,'All Simpanan '!C:C,'Simpanan Wajib'!E:E)</f>
        <v>0</v>
      </c>
      <c r="F120" s="4">
        <f>SUMIF('Simpanan Pokok'!C:C,'All Simpanan '!C:C,'Simpanan Pokok'!E:E)</f>
        <v>0</v>
      </c>
      <c r="G120" s="4">
        <f>SUMIF('Simpanan Khusus'!C:C,'All Simpanan '!C:C,'Simpanan Khusus'!E:E)</f>
        <v>0</v>
      </c>
      <c r="H120" s="4">
        <f>SUMIF('Simpanan Sukarela'!C:C,'All Simpanan '!C:C,'Simpanan Sukarela'!E:E)</f>
        <v>0</v>
      </c>
      <c r="I120" s="4">
        <f>SUMIF('Simpanan Sukarela Berjangka'!B:B,'All Simpanan '!C:C,'Simpanan Sukarela Berjangka'!K:K)</f>
        <v>0</v>
      </c>
      <c r="J120" s="4">
        <f t="shared" si="1"/>
        <v>0</v>
      </c>
      <c r="K120" s="35" t="s">
        <v>1578</v>
      </c>
    </row>
    <row r="121" spans="1:11" ht="15.5" x14ac:dyDescent="0.35">
      <c r="A121" s="5">
        <v>119</v>
      </c>
      <c r="B121" s="6" t="s">
        <v>306</v>
      </c>
      <c r="C121" s="7" t="s">
        <v>307</v>
      </c>
      <c r="D121" s="8" t="s">
        <v>60</v>
      </c>
      <c r="E121" s="8">
        <f>SUMIF('Simpanan Wajib'!C:C,'All Simpanan '!C:C,'Simpanan Wajib'!E:E)</f>
        <v>0</v>
      </c>
      <c r="F121" s="4">
        <f>SUMIF('Simpanan Pokok'!C:C,'All Simpanan '!C:C,'Simpanan Pokok'!E:E)</f>
        <v>0</v>
      </c>
      <c r="G121" s="4">
        <f>SUMIF('Simpanan Khusus'!C:C,'All Simpanan '!C:C,'Simpanan Khusus'!E:E)</f>
        <v>0</v>
      </c>
      <c r="H121" s="4">
        <f>SUMIF('Simpanan Sukarela'!C:C,'All Simpanan '!C:C,'Simpanan Sukarela'!E:E)</f>
        <v>0</v>
      </c>
      <c r="I121" s="4">
        <f>SUMIF('Simpanan Sukarela Berjangka'!B:B,'All Simpanan '!C:C,'Simpanan Sukarela Berjangka'!K:K)</f>
        <v>0</v>
      </c>
      <c r="J121" s="4">
        <f t="shared" si="1"/>
        <v>0</v>
      </c>
      <c r="K121" s="35" t="s">
        <v>1578</v>
      </c>
    </row>
    <row r="122" spans="1:11" ht="15.5" x14ac:dyDescent="0.35">
      <c r="A122" s="5">
        <v>120</v>
      </c>
      <c r="B122" s="6" t="s">
        <v>308</v>
      </c>
      <c r="C122" s="7" t="s">
        <v>309</v>
      </c>
      <c r="D122" s="8" t="s">
        <v>131</v>
      </c>
      <c r="E122" s="8">
        <f>SUMIF('Simpanan Wajib'!C:C,'All Simpanan '!C:C,'Simpanan Wajib'!E:E)</f>
        <v>0</v>
      </c>
      <c r="F122" s="4">
        <f>SUMIF('Simpanan Pokok'!C:C,'All Simpanan '!C:C,'Simpanan Pokok'!E:E)</f>
        <v>0</v>
      </c>
      <c r="G122" s="4">
        <f>SUMIF('Simpanan Khusus'!C:C,'All Simpanan '!C:C,'Simpanan Khusus'!E:E)</f>
        <v>0</v>
      </c>
      <c r="H122" s="4">
        <f>SUMIF('Simpanan Sukarela'!C:C,'All Simpanan '!C:C,'Simpanan Sukarela'!E:E)</f>
        <v>80944.011832591146</v>
      </c>
      <c r="I122" s="4">
        <f>SUMIF('Simpanan Sukarela Berjangka'!B:B,'All Simpanan '!C:C,'Simpanan Sukarela Berjangka'!K:K)</f>
        <v>0</v>
      </c>
      <c r="J122" s="4">
        <f t="shared" si="1"/>
        <v>80944.011832591146</v>
      </c>
      <c r="K122" s="35" t="s">
        <v>1578</v>
      </c>
    </row>
    <row r="123" spans="1:11" ht="15.5" x14ac:dyDescent="0.35">
      <c r="A123" s="5">
        <v>121</v>
      </c>
      <c r="B123" s="6" t="s">
        <v>310</v>
      </c>
      <c r="C123" s="7" t="s">
        <v>311</v>
      </c>
      <c r="D123" s="8" t="s">
        <v>25</v>
      </c>
      <c r="E123" s="8">
        <f>SUMIF('Simpanan Wajib'!C:C,'All Simpanan '!C:C,'Simpanan Wajib'!E:E)</f>
        <v>0</v>
      </c>
      <c r="F123" s="4">
        <f>SUMIF('Simpanan Pokok'!C:C,'All Simpanan '!C:C,'Simpanan Pokok'!E:E)</f>
        <v>0</v>
      </c>
      <c r="G123" s="4">
        <f>SUMIF('Simpanan Khusus'!C:C,'All Simpanan '!C:C,'Simpanan Khusus'!E:E)</f>
        <v>0</v>
      </c>
      <c r="H123" s="4">
        <f>SUMIF('Simpanan Sukarela'!C:C,'All Simpanan '!C:C,'Simpanan Sukarela'!E:E)</f>
        <v>0</v>
      </c>
      <c r="I123" s="4">
        <f>SUMIF('Simpanan Sukarela Berjangka'!B:B,'All Simpanan '!C:C,'Simpanan Sukarela Berjangka'!K:K)</f>
        <v>0</v>
      </c>
      <c r="J123" s="4">
        <f t="shared" si="1"/>
        <v>0</v>
      </c>
      <c r="K123" s="35" t="s">
        <v>1579</v>
      </c>
    </row>
    <row r="124" spans="1:11" ht="15.5" x14ac:dyDescent="0.35">
      <c r="A124" s="5">
        <v>122</v>
      </c>
      <c r="B124" s="6" t="s">
        <v>312</v>
      </c>
      <c r="C124" s="7" t="s">
        <v>313</v>
      </c>
      <c r="D124" s="8" t="s">
        <v>72</v>
      </c>
      <c r="E124" s="8">
        <f>SUMIF('Simpanan Wajib'!C:C,'All Simpanan '!C:C,'Simpanan Wajib'!E:E)</f>
        <v>0</v>
      </c>
      <c r="F124" s="4">
        <f>SUMIF('Simpanan Pokok'!C:C,'All Simpanan '!C:C,'Simpanan Pokok'!E:E)</f>
        <v>0</v>
      </c>
      <c r="G124" s="4">
        <f>SUMIF('Simpanan Khusus'!C:C,'All Simpanan '!C:C,'Simpanan Khusus'!E:E)</f>
        <v>0</v>
      </c>
      <c r="H124" s="4">
        <f>SUMIF('Simpanan Sukarela'!C:C,'All Simpanan '!C:C,'Simpanan Sukarela'!E:E)</f>
        <v>0</v>
      </c>
      <c r="I124" s="4">
        <f>SUMIF('Simpanan Sukarela Berjangka'!B:B,'All Simpanan '!C:C,'Simpanan Sukarela Berjangka'!K:K)</f>
        <v>0</v>
      </c>
      <c r="J124" s="4">
        <f t="shared" si="1"/>
        <v>0</v>
      </c>
      <c r="K124" s="35" t="s">
        <v>1579</v>
      </c>
    </row>
    <row r="125" spans="1:11" ht="15.5" x14ac:dyDescent="0.35">
      <c r="A125" s="5">
        <v>123</v>
      </c>
      <c r="B125" s="6" t="s">
        <v>314</v>
      </c>
      <c r="C125" s="7" t="s">
        <v>315</v>
      </c>
      <c r="D125" s="8" t="s">
        <v>25</v>
      </c>
      <c r="E125" s="8">
        <f>SUMIF('Simpanan Wajib'!C:C,'All Simpanan '!C:C,'Simpanan Wajib'!E:E)</f>
        <v>0</v>
      </c>
      <c r="F125" s="4">
        <f>SUMIF('Simpanan Pokok'!C:C,'All Simpanan '!C:C,'Simpanan Pokok'!E:E)</f>
        <v>0</v>
      </c>
      <c r="G125" s="4">
        <f>SUMIF('Simpanan Khusus'!C:C,'All Simpanan '!C:C,'Simpanan Khusus'!E:E)</f>
        <v>0</v>
      </c>
      <c r="H125" s="4">
        <f>SUMIF('Simpanan Sukarela'!C:C,'All Simpanan '!C:C,'Simpanan Sukarela'!E:E)</f>
        <v>0</v>
      </c>
      <c r="I125" s="4">
        <f>SUMIF('Simpanan Sukarela Berjangka'!B:B,'All Simpanan '!C:C,'Simpanan Sukarela Berjangka'!K:K)</f>
        <v>0</v>
      </c>
      <c r="J125" s="4">
        <f t="shared" si="1"/>
        <v>0</v>
      </c>
      <c r="K125" s="35" t="s">
        <v>1579</v>
      </c>
    </row>
    <row r="126" spans="1:11" ht="15.5" x14ac:dyDescent="0.35">
      <c r="A126" s="5">
        <v>124</v>
      </c>
      <c r="B126" s="6" t="s">
        <v>316</v>
      </c>
      <c r="C126" s="7" t="s">
        <v>317</v>
      </c>
      <c r="D126" s="8" t="s">
        <v>318</v>
      </c>
      <c r="E126" s="8">
        <f>SUMIF('Simpanan Wajib'!C:C,'All Simpanan '!C:C,'Simpanan Wajib'!E:E)</f>
        <v>0</v>
      </c>
      <c r="F126" s="4">
        <f>SUMIF('Simpanan Pokok'!C:C,'All Simpanan '!C:C,'Simpanan Pokok'!E:E)</f>
        <v>0</v>
      </c>
      <c r="G126" s="4">
        <f>SUMIF('Simpanan Khusus'!C:C,'All Simpanan '!C:C,'Simpanan Khusus'!E:E)</f>
        <v>0</v>
      </c>
      <c r="H126" s="4">
        <f>SUMIF('Simpanan Sukarela'!C:C,'All Simpanan '!C:C,'Simpanan Sukarela'!E:E)</f>
        <v>0</v>
      </c>
      <c r="I126" s="4">
        <f>SUMIF('Simpanan Sukarela Berjangka'!B:B,'All Simpanan '!C:C,'Simpanan Sukarela Berjangka'!K:K)</f>
        <v>0</v>
      </c>
      <c r="J126" s="4">
        <f t="shared" si="1"/>
        <v>0</v>
      </c>
      <c r="K126" s="35" t="s">
        <v>1576</v>
      </c>
    </row>
    <row r="127" spans="1:11" ht="15.5" x14ac:dyDescent="0.35">
      <c r="A127" s="5">
        <v>125</v>
      </c>
      <c r="B127" s="6" t="s">
        <v>319</v>
      </c>
      <c r="C127" s="7" t="s">
        <v>320</v>
      </c>
      <c r="D127" s="8" t="s">
        <v>321</v>
      </c>
      <c r="E127" s="8">
        <f>SUMIF('Simpanan Wajib'!C:C,'All Simpanan '!C:C,'Simpanan Wajib'!E:E)</f>
        <v>0</v>
      </c>
      <c r="F127" s="4">
        <f>SUMIF('Simpanan Pokok'!C:C,'All Simpanan '!C:C,'Simpanan Pokok'!E:E)</f>
        <v>0</v>
      </c>
      <c r="G127" s="4">
        <f>SUMIF('Simpanan Khusus'!C:C,'All Simpanan '!C:C,'Simpanan Khusus'!E:E)</f>
        <v>0</v>
      </c>
      <c r="H127" s="4">
        <f>SUMIF('Simpanan Sukarela'!C:C,'All Simpanan '!C:C,'Simpanan Sukarela'!E:E)</f>
        <v>0</v>
      </c>
      <c r="I127" s="4">
        <f>SUMIF('Simpanan Sukarela Berjangka'!B:B,'All Simpanan '!C:C,'Simpanan Sukarela Berjangka'!K:K)</f>
        <v>0</v>
      </c>
      <c r="J127" s="4">
        <f t="shared" si="1"/>
        <v>0</v>
      </c>
      <c r="K127" s="35" t="s">
        <v>1579</v>
      </c>
    </row>
    <row r="128" spans="1:11" ht="15.5" x14ac:dyDescent="0.35">
      <c r="A128" s="5">
        <v>126</v>
      </c>
      <c r="B128" s="6" t="s">
        <v>322</v>
      </c>
      <c r="C128" s="7" t="s">
        <v>323</v>
      </c>
      <c r="D128" s="8" t="s">
        <v>324</v>
      </c>
      <c r="E128" s="8">
        <f>SUMIF('Simpanan Wajib'!C:C,'All Simpanan '!C:C,'Simpanan Wajib'!E:E)</f>
        <v>0</v>
      </c>
      <c r="F128" s="4">
        <f>SUMIF('Simpanan Pokok'!C:C,'All Simpanan '!C:C,'Simpanan Pokok'!E:E)</f>
        <v>0</v>
      </c>
      <c r="G128" s="4">
        <f>SUMIF('Simpanan Khusus'!C:C,'All Simpanan '!C:C,'Simpanan Khusus'!E:E)</f>
        <v>0</v>
      </c>
      <c r="H128" s="4">
        <f>SUMIF('Simpanan Sukarela'!C:C,'All Simpanan '!C:C,'Simpanan Sukarela'!E:E)</f>
        <v>0</v>
      </c>
      <c r="I128" s="4">
        <f>SUMIF('Simpanan Sukarela Berjangka'!B:B,'All Simpanan '!C:C,'Simpanan Sukarela Berjangka'!K:K)</f>
        <v>0</v>
      </c>
      <c r="J128" s="4">
        <f t="shared" si="1"/>
        <v>0</v>
      </c>
      <c r="K128" s="35" t="s">
        <v>1578</v>
      </c>
    </row>
    <row r="129" spans="1:11" ht="15.5" x14ac:dyDescent="0.35">
      <c r="A129" s="5">
        <v>127</v>
      </c>
      <c r="B129" s="6" t="s">
        <v>325</v>
      </c>
      <c r="C129" s="7" t="s">
        <v>326</v>
      </c>
      <c r="D129" s="8" t="s">
        <v>270</v>
      </c>
      <c r="E129" s="8">
        <f>SUMIF('Simpanan Wajib'!C:C,'All Simpanan '!C:C,'Simpanan Wajib'!E:E)</f>
        <v>21995858</v>
      </c>
      <c r="F129" s="4">
        <f>SUMIF('Simpanan Pokok'!C:C,'All Simpanan '!C:C,'Simpanan Pokok'!E:E)</f>
        <v>5000</v>
      </c>
      <c r="G129" s="4">
        <f>SUMIF('Simpanan Khusus'!C:C,'All Simpanan '!C:C,'Simpanan Khusus'!E:E)</f>
        <v>0</v>
      </c>
      <c r="H129" s="4">
        <f>SUMIF('Simpanan Sukarela'!C:C,'All Simpanan '!C:C,'Simpanan Sukarela'!E:E)</f>
        <v>2386307.645151264</v>
      </c>
      <c r="I129" s="4">
        <f>SUMIF('Simpanan Sukarela Berjangka'!B:B,'All Simpanan '!C:C,'Simpanan Sukarela Berjangka'!K:K)</f>
        <v>0</v>
      </c>
      <c r="J129" s="4">
        <f t="shared" si="1"/>
        <v>24387165.645151265</v>
      </c>
      <c r="K129" s="35" t="s">
        <v>1579</v>
      </c>
    </row>
    <row r="130" spans="1:11" ht="15.5" x14ac:dyDescent="0.35">
      <c r="A130" s="5">
        <v>128</v>
      </c>
      <c r="B130" s="6" t="s">
        <v>327</v>
      </c>
      <c r="C130" s="7" t="s">
        <v>328</v>
      </c>
      <c r="D130" s="8" t="s">
        <v>136</v>
      </c>
      <c r="E130" s="8">
        <f>SUMIF('Simpanan Wajib'!C:C,'All Simpanan '!C:C,'Simpanan Wajib'!E:E)</f>
        <v>0</v>
      </c>
      <c r="F130" s="4">
        <f>SUMIF('Simpanan Pokok'!C:C,'All Simpanan '!C:C,'Simpanan Pokok'!E:E)</f>
        <v>0</v>
      </c>
      <c r="G130" s="4">
        <f>SUMIF('Simpanan Khusus'!C:C,'All Simpanan '!C:C,'Simpanan Khusus'!E:E)</f>
        <v>0</v>
      </c>
      <c r="H130" s="4">
        <f>SUMIF('Simpanan Sukarela'!C:C,'All Simpanan '!C:C,'Simpanan Sukarela'!E:E)</f>
        <v>0</v>
      </c>
      <c r="I130" s="4">
        <f>SUMIF('Simpanan Sukarela Berjangka'!B:B,'All Simpanan '!C:C,'Simpanan Sukarela Berjangka'!K:K)</f>
        <v>0</v>
      </c>
      <c r="J130" s="4">
        <f t="shared" si="1"/>
        <v>0</v>
      </c>
      <c r="K130" s="35" t="s">
        <v>1579</v>
      </c>
    </row>
    <row r="131" spans="1:11" ht="15.5" x14ac:dyDescent="0.35">
      <c r="A131" s="5">
        <v>129</v>
      </c>
      <c r="B131" s="6" t="s">
        <v>329</v>
      </c>
      <c r="C131" s="7" t="s">
        <v>330</v>
      </c>
      <c r="D131" s="8" t="s">
        <v>136</v>
      </c>
      <c r="E131" s="8">
        <f>SUMIF('Simpanan Wajib'!C:C,'All Simpanan '!C:C,'Simpanan Wajib'!E:E)</f>
        <v>0</v>
      </c>
      <c r="F131" s="4">
        <f>SUMIF('Simpanan Pokok'!C:C,'All Simpanan '!C:C,'Simpanan Pokok'!E:E)</f>
        <v>0</v>
      </c>
      <c r="G131" s="4">
        <f>SUMIF('Simpanan Khusus'!C:C,'All Simpanan '!C:C,'Simpanan Khusus'!E:E)</f>
        <v>0</v>
      </c>
      <c r="H131" s="4">
        <f>SUMIF('Simpanan Sukarela'!C:C,'All Simpanan '!C:C,'Simpanan Sukarela'!E:E)</f>
        <v>0</v>
      </c>
      <c r="I131" s="4">
        <f>SUMIF('Simpanan Sukarela Berjangka'!B:B,'All Simpanan '!C:C,'Simpanan Sukarela Berjangka'!K:K)</f>
        <v>0</v>
      </c>
      <c r="J131" s="4">
        <f t="shared" si="1"/>
        <v>0</v>
      </c>
      <c r="K131" s="35" t="s">
        <v>1579</v>
      </c>
    </row>
    <row r="132" spans="1:11" ht="15.5" x14ac:dyDescent="0.35">
      <c r="A132" s="5">
        <v>130</v>
      </c>
      <c r="B132" s="6" t="s">
        <v>331</v>
      </c>
      <c r="C132" s="7" t="s">
        <v>332</v>
      </c>
      <c r="D132" s="8" t="s">
        <v>333</v>
      </c>
      <c r="E132" s="8">
        <f>SUMIF('Simpanan Wajib'!C:C,'All Simpanan '!C:C,'Simpanan Wajib'!E:E)</f>
        <v>19853973</v>
      </c>
      <c r="F132" s="4">
        <f>SUMIF('Simpanan Pokok'!C:C,'All Simpanan '!C:C,'Simpanan Pokok'!E:E)</f>
        <v>5000</v>
      </c>
      <c r="G132" s="4">
        <f>SUMIF('Simpanan Khusus'!C:C,'All Simpanan '!C:C,'Simpanan Khusus'!E:E)</f>
        <v>50000</v>
      </c>
      <c r="H132" s="4">
        <f>SUMIF('Simpanan Sukarela'!C:C,'All Simpanan '!C:C,'Simpanan Sukarela'!E:E)</f>
        <v>1529471.9930674867</v>
      </c>
      <c r="I132" s="4">
        <f>SUMIF('Simpanan Sukarela Berjangka'!B:B,'All Simpanan '!C:C,'Simpanan Sukarela Berjangka'!K:K)</f>
        <v>0</v>
      </c>
      <c r="J132" s="4">
        <f t="shared" ref="J132:J195" si="2">SUM(E132:I132)</f>
        <v>21438444.993067488</v>
      </c>
      <c r="K132" s="35" t="s">
        <v>1579</v>
      </c>
    </row>
    <row r="133" spans="1:11" ht="15.5" x14ac:dyDescent="0.35">
      <c r="A133" s="5">
        <v>131</v>
      </c>
      <c r="B133" s="6" t="s">
        <v>334</v>
      </c>
      <c r="C133" s="7" t="s">
        <v>335</v>
      </c>
      <c r="D133" s="8" t="s">
        <v>60</v>
      </c>
      <c r="E133" s="8">
        <f>SUMIF('Simpanan Wajib'!C:C,'All Simpanan '!C:C,'Simpanan Wajib'!E:E)</f>
        <v>23989161</v>
      </c>
      <c r="F133" s="4">
        <f>SUMIF('Simpanan Pokok'!C:C,'All Simpanan '!C:C,'Simpanan Pokok'!E:E)</f>
        <v>5000</v>
      </c>
      <c r="G133" s="4">
        <f>SUMIF('Simpanan Khusus'!C:C,'All Simpanan '!C:C,'Simpanan Khusus'!E:E)</f>
        <v>50000</v>
      </c>
      <c r="H133" s="4">
        <f>SUMIF('Simpanan Sukarela'!C:C,'All Simpanan '!C:C,'Simpanan Sukarela'!E:E)</f>
        <v>3440312.0650717425</v>
      </c>
      <c r="I133" s="4">
        <f>SUMIF('Simpanan Sukarela Berjangka'!B:B,'All Simpanan '!C:C,'Simpanan Sukarela Berjangka'!K:K)</f>
        <v>0</v>
      </c>
      <c r="J133" s="4">
        <f t="shared" si="2"/>
        <v>27484473.065071743</v>
      </c>
      <c r="K133" s="35" t="s">
        <v>1579</v>
      </c>
    </row>
    <row r="134" spans="1:11" ht="15.5" x14ac:dyDescent="0.35">
      <c r="A134" s="5">
        <v>132</v>
      </c>
      <c r="B134" s="6" t="s">
        <v>336</v>
      </c>
      <c r="C134" s="7" t="s">
        <v>337</v>
      </c>
      <c r="D134" s="8" t="s">
        <v>41</v>
      </c>
      <c r="E134" s="8">
        <f>SUMIF('Simpanan Wajib'!C:C,'All Simpanan '!C:C,'Simpanan Wajib'!E:E)</f>
        <v>0</v>
      </c>
      <c r="F134" s="4">
        <f>SUMIF('Simpanan Pokok'!C:C,'All Simpanan '!C:C,'Simpanan Pokok'!E:E)</f>
        <v>0</v>
      </c>
      <c r="G134" s="4">
        <f>SUMIF('Simpanan Khusus'!C:C,'All Simpanan '!C:C,'Simpanan Khusus'!E:E)</f>
        <v>0</v>
      </c>
      <c r="H134" s="4">
        <f>SUMIF('Simpanan Sukarela'!C:C,'All Simpanan '!C:C,'Simpanan Sukarela'!E:E)</f>
        <v>0</v>
      </c>
      <c r="I134" s="4">
        <f>SUMIF('Simpanan Sukarela Berjangka'!B:B,'All Simpanan '!C:C,'Simpanan Sukarela Berjangka'!K:K)</f>
        <v>0</v>
      </c>
      <c r="J134" s="4">
        <f t="shared" si="2"/>
        <v>0</v>
      </c>
      <c r="K134" s="35" t="s">
        <v>1578</v>
      </c>
    </row>
    <row r="135" spans="1:11" ht="15.5" x14ac:dyDescent="0.35">
      <c r="A135" s="5">
        <v>133</v>
      </c>
      <c r="B135" s="6" t="s">
        <v>338</v>
      </c>
      <c r="C135" s="7" t="s">
        <v>339</v>
      </c>
      <c r="D135" s="8" t="s">
        <v>49</v>
      </c>
      <c r="E135" s="8">
        <f>SUMIF('Simpanan Wajib'!C:C,'All Simpanan '!C:C,'Simpanan Wajib'!E:E)</f>
        <v>0</v>
      </c>
      <c r="F135" s="4">
        <f>SUMIF('Simpanan Pokok'!C:C,'All Simpanan '!C:C,'Simpanan Pokok'!E:E)</f>
        <v>0</v>
      </c>
      <c r="G135" s="4">
        <f>SUMIF('Simpanan Khusus'!C:C,'All Simpanan '!C:C,'Simpanan Khusus'!E:E)</f>
        <v>0</v>
      </c>
      <c r="H135" s="4">
        <f>SUMIF('Simpanan Sukarela'!C:C,'All Simpanan '!C:C,'Simpanan Sukarela'!E:E)</f>
        <v>0</v>
      </c>
      <c r="I135" s="4">
        <f>SUMIF('Simpanan Sukarela Berjangka'!B:B,'All Simpanan '!C:C,'Simpanan Sukarela Berjangka'!K:K)</f>
        <v>0</v>
      </c>
      <c r="J135" s="4">
        <f t="shared" si="2"/>
        <v>0</v>
      </c>
      <c r="K135" s="35" t="s">
        <v>1578</v>
      </c>
    </row>
    <row r="136" spans="1:11" ht="15.5" x14ac:dyDescent="0.35">
      <c r="A136" s="5">
        <v>134</v>
      </c>
      <c r="B136" s="6" t="s">
        <v>340</v>
      </c>
      <c r="C136" s="7" t="s">
        <v>341</v>
      </c>
      <c r="D136" s="8" t="s">
        <v>136</v>
      </c>
      <c r="E136" s="8">
        <f>SUMIF('Simpanan Wajib'!C:C,'All Simpanan '!C:C,'Simpanan Wajib'!E:E)</f>
        <v>0</v>
      </c>
      <c r="F136" s="4">
        <f>SUMIF('Simpanan Pokok'!C:C,'All Simpanan '!C:C,'Simpanan Pokok'!E:E)</f>
        <v>0</v>
      </c>
      <c r="G136" s="4">
        <f>SUMIF('Simpanan Khusus'!C:C,'All Simpanan '!C:C,'Simpanan Khusus'!E:E)</f>
        <v>0</v>
      </c>
      <c r="H136" s="4">
        <f>SUMIF('Simpanan Sukarela'!C:C,'All Simpanan '!C:C,'Simpanan Sukarela'!E:E)</f>
        <v>0</v>
      </c>
      <c r="I136" s="4">
        <f>SUMIF('Simpanan Sukarela Berjangka'!B:B,'All Simpanan '!C:C,'Simpanan Sukarela Berjangka'!K:K)</f>
        <v>0</v>
      </c>
      <c r="J136" s="4">
        <f t="shared" si="2"/>
        <v>0</v>
      </c>
      <c r="K136" s="35" t="s">
        <v>1576</v>
      </c>
    </row>
    <row r="137" spans="1:11" ht="15.5" x14ac:dyDescent="0.35">
      <c r="A137" s="5">
        <v>135</v>
      </c>
      <c r="B137" s="6" t="s">
        <v>342</v>
      </c>
      <c r="C137" s="7" t="s">
        <v>343</v>
      </c>
      <c r="D137" s="8" t="s">
        <v>303</v>
      </c>
      <c r="E137" s="8">
        <f>SUMIF('Simpanan Wajib'!C:C,'All Simpanan '!C:C,'Simpanan Wajib'!E:E)</f>
        <v>0</v>
      </c>
      <c r="F137" s="4">
        <f>SUMIF('Simpanan Pokok'!C:C,'All Simpanan '!C:C,'Simpanan Pokok'!E:E)</f>
        <v>0</v>
      </c>
      <c r="G137" s="4">
        <f>SUMIF('Simpanan Khusus'!C:C,'All Simpanan '!C:C,'Simpanan Khusus'!E:E)</f>
        <v>0</v>
      </c>
      <c r="H137" s="4">
        <f>SUMIF('Simpanan Sukarela'!C:C,'All Simpanan '!C:C,'Simpanan Sukarela'!E:E)</f>
        <v>2260129.223240274</v>
      </c>
      <c r="I137" s="4">
        <f>SUMIF('Simpanan Sukarela Berjangka'!B:B,'All Simpanan '!C:C,'Simpanan Sukarela Berjangka'!K:K)</f>
        <v>0</v>
      </c>
      <c r="J137" s="4">
        <f t="shared" si="2"/>
        <v>2260129.223240274</v>
      </c>
      <c r="K137" s="35" t="s">
        <v>1579</v>
      </c>
    </row>
    <row r="138" spans="1:11" ht="15.5" x14ac:dyDescent="0.35">
      <c r="A138" s="5">
        <v>136</v>
      </c>
      <c r="B138" s="6" t="s">
        <v>344</v>
      </c>
      <c r="C138" s="7" t="s">
        <v>345</v>
      </c>
      <c r="D138" s="8" t="s">
        <v>95</v>
      </c>
      <c r="E138" s="8">
        <f>SUMIF('Simpanan Wajib'!C:C,'All Simpanan '!C:C,'Simpanan Wajib'!E:E)</f>
        <v>19584532</v>
      </c>
      <c r="F138" s="4">
        <f>SUMIF('Simpanan Pokok'!C:C,'All Simpanan '!C:C,'Simpanan Pokok'!E:E)</f>
        <v>5000</v>
      </c>
      <c r="G138" s="4">
        <f>SUMIF('Simpanan Khusus'!C:C,'All Simpanan '!C:C,'Simpanan Khusus'!E:E)</f>
        <v>30000</v>
      </c>
      <c r="H138" s="4">
        <f>SUMIF('Simpanan Sukarela'!C:C,'All Simpanan '!C:C,'Simpanan Sukarela'!E:E)</f>
        <v>2319199.6598919872</v>
      </c>
      <c r="I138" s="4">
        <f>SUMIF('Simpanan Sukarela Berjangka'!B:B,'All Simpanan '!C:C,'Simpanan Sukarela Berjangka'!K:K)</f>
        <v>0</v>
      </c>
      <c r="J138" s="4">
        <f t="shared" si="2"/>
        <v>21938731.659891985</v>
      </c>
      <c r="K138" s="35" t="s">
        <v>1579</v>
      </c>
    </row>
    <row r="139" spans="1:11" ht="15.5" x14ac:dyDescent="0.35">
      <c r="A139" s="5">
        <v>137</v>
      </c>
      <c r="B139" s="6" t="s">
        <v>346</v>
      </c>
      <c r="C139" s="7" t="s">
        <v>347</v>
      </c>
      <c r="D139" s="8" t="s">
        <v>98</v>
      </c>
      <c r="E139" s="8">
        <f>SUMIF('Simpanan Wajib'!C:C,'All Simpanan '!C:C,'Simpanan Wajib'!E:E)</f>
        <v>0</v>
      </c>
      <c r="F139" s="4">
        <f>SUMIF('Simpanan Pokok'!C:C,'All Simpanan '!C:C,'Simpanan Pokok'!E:E)</f>
        <v>0</v>
      </c>
      <c r="G139" s="4">
        <f>SUMIF('Simpanan Khusus'!C:C,'All Simpanan '!C:C,'Simpanan Khusus'!E:E)</f>
        <v>0</v>
      </c>
      <c r="H139" s="4">
        <f>SUMIF('Simpanan Sukarela'!C:C,'All Simpanan '!C:C,'Simpanan Sukarela'!E:E)</f>
        <v>0</v>
      </c>
      <c r="I139" s="4">
        <f>SUMIF('Simpanan Sukarela Berjangka'!B:B,'All Simpanan '!C:C,'Simpanan Sukarela Berjangka'!K:K)</f>
        <v>0</v>
      </c>
      <c r="J139" s="4">
        <f t="shared" si="2"/>
        <v>0</v>
      </c>
      <c r="K139" s="35" t="s">
        <v>1576</v>
      </c>
    </row>
    <row r="140" spans="1:11" ht="15.5" x14ac:dyDescent="0.35">
      <c r="A140" s="5">
        <v>138</v>
      </c>
      <c r="B140" s="6" t="s">
        <v>348</v>
      </c>
      <c r="C140" s="7" t="s">
        <v>349</v>
      </c>
      <c r="D140" s="8" t="s">
        <v>98</v>
      </c>
      <c r="E140" s="8">
        <f>SUMIF('Simpanan Wajib'!C:C,'All Simpanan '!C:C,'Simpanan Wajib'!E:E)</f>
        <v>0</v>
      </c>
      <c r="F140" s="4">
        <f>SUMIF('Simpanan Pokok'!C:C,'All Simpanan '!C:C,'Simpanan Pokok'!E:E)</f>
        <v>0</v>
      </c>
      <c r="G140" s="4">
        <f>SUMIF('Simpanan Khusus'!C:C,'All Simpanan '!C:C,'Simpanan Khusus'!E:E)</f>
        <v>0</v>
      </c>
      <c r="H140" s="4">
        <f>SUMIF('Simpanan Sukarela'!C:C,'All Simpanan '!C:C,'Simpanan Sukarela'!E:E)</f>
        <v>0</v>
      </c>
      <c r="I140" s="4">
        <f>SUMIF('Simpanan Sukarela Berjangka'!B:B,'All Simpanan '!C:C,'Simpanan Sukarela Berjangka'!K:K)</f>
        <v>0</v>
      </c>
      <c r="J140" s="4">
        <f t="shared" si="2"/>
        <v>0</v>
      </c>
      <c r="K140" s="35" t="s">
        <v>1579</v>
      </c>
    </row>
    <row r="141" spans="1:11" ht="15.5" x14ac:dyDescent="0.35">
      <c r="A141" s="5">
        <v>139</v>
      </c>
      <c r="B141" s="6" t="s">
        <v>350</v>
      </c>
      <c r="C141" s="7" t="s">
        <v>351</v>
      </c>
      <c r="D141" s="8" t="s">
        <v>14</v>
      </c>
      <c r="E141" s="8">
        <f>SUMIF('Simpanan Wajib'!C:C,'All Simpanan '!C:C,'Simpanan Wajib'!E:E)</f>
        <v>0</v>
      </c>
      <c r="F141" s="4">
        <f>SUMIF('Simpanan Pokok'!C:C,'All Simpanan '!C:C,'Simpanan Pokok'!E:E)</f>
        <v>0</v>
      </c>
      <c r="G141" s="4">
        <f>SUMIF('Simpanan Khusus'!C:C,'All Simpanan '!C:C,'Simpanan Khusus'!E:E)</f>
        <v>0</v>
      </c>
      <c r="H141" s="4">
        <f>SUMIF('Simpanan Sukarela'!C:C,'All Simpanan '!C:C,'Simpanan Sukarela'!E:E)</f>
        <v>0</v>
      </c>
      <c r="I141" s="4">
        <f>SUMIF('Simpanan Sukarela Berjangka'!B:B,'All Simpanan '!C:C,'Simpanan Sukarela Berjangka'!K:K)</f>
        <v>0</v>
      </c>
      <c r="J141" s="4">
        <f t="shared" si="2"/>
        <v>0</v>
      </c>
      <c r="K141" s="35" t="s">
        <v>1579</v>
      </c>
    </row>
    <row r="142" spans="1:11" ht="15.5" x14ac:dyDescent="0.35">
      <c r="A142" s="5">
        <v>140</v>
      </c>
      <c r="B142" s="6" t="s">
        <v>352</v>
      </c>
      <c r="C142" s="7" t="s">
        <v>353</v>
      </c>
      <c r="D142" s="8" t="s">
        <v>354</v>
      </c>
      <c r="E142" s="8">
        <f>SUMIF('Simpanan Wajib'!C:C,'All Simpanan '!C:C,'Simpanan Wajib'!E:E)</f>
        <v>0</v>
      </c>
      <c r="F142" s="4">
        <f>SUMIF('Simpanan Pokok'!C:C,'All Simpanan '!C:C,'Simpanan Pokok'!E:E)</f>
        <v>0</v>
      </c>
      <c r="G142" s="4">
        <f>SUMIF('Simpanan Khusus'!C:C,'All Simpanan '!C:C,'Simpanan Khusus'!E:E)</f>
        <v>0</v>
      </c>
      <c r="H142" s="4">
        <f>SUMIF('Simpanan Sukarela'!C:C,'All Simpanan '!C:C,'Simpanan Sukarela'!E:E)</f>
        <v>99564</v>
      </c>
      <c r="I142" s="4">
        <f>SUMIF('Simpanan Sukarela Berjangka'!B:B,'All Simpanan '!C:C,'Simpanan Sukarela Berjangka'!K:K)</f>
        <v>0</v>
      </c>
      <c r="J142" s="4">
        <f t="shared" si="2"/>
        <v>99564</v>
      </c>
      <c r="K142" s="35" t="s">
        <v>1578</v>
      </c>
    </row>
    <row r="143" spans="1:11" ht="15.5" x14ac:dyDescent="0.35">
      <c r="A143" s="5">
        <v>141</v>
      </c>
      <c r="B143" s="6" t="s">
        <v>355</v>
      </c>
      <c r="C143" s="7" t="s">
        <v>356</v>
      </c>
      <c r="D143" s="8" t="s">
        <v>166</v>
      </c>
      <c r="E143" s="8">
        <f>SUMIF('Simpanan Wajib'!C:C,'All Simpanan '!C:C,'Simpanan Wajib'!E:E)</f>
        <v>0</v>
      </c>
      <c r="F143" s="4">
        <f>SUMIF('Simpanan Pokok'!C:C,'All Simpanan '!C:C,'Simpanan Pokok'!E:E)</f>
        <v>0</v>
      </c>
      <c r="G143" s="4">
        <f>SUMIF('Simpanan Khusus'!C:C,'All Simpanan '!C:C,'Simpanan Khusus'!E:E)</f>
        <v>0</v>
      </c>
      <c r="H143" s="4">
        <f>SUMIF('Simpanan Sukarela'!C:C,'All Simpanan '!C:C,'Simpanan Sukarela'!E:E)</f>
        <v>0</v>
      </c>
      <c r="I143" s="4">
        <f>SUMIF('Simpanan Sukarela Berjangka'!B:B,'All Simpanan '!C:C,'Simpanan Sukarela Berjangka'!K:K)</f>
        <v>0</v>
      </c>
      <c r="J143" s="4">
        <f t="shared" si="2"/>
        <v>0</v>
      </c>
      <c r="K143" s="35" t="s">
        <v>1578</v>
      </c>
    </row>
    <row r="144" spans="1:11" ht="15.5" x14ac:dyDescent="0.35">
      <c r="A144" s="5">
        <v>142</v>
      </c>
      <c r="B144" s="6" t="s">
        <v>357</v>
      </c>
      <c r="C144" s="7" t="s">
        <v>358</v>
      </c>
      <c r="D144" s="8" t="s">
        <v>19</v>
      </c>
      <c r="E144" s="8">
        <f>SUMIF('Simpanan Wajib'!C:C,'All Simpanan '!C:C,'Simpanan Wajib'!E:E)</f>
        <v>0</v>
      </c>
      <c r="F144" s="4">
        <f>SUMIF('Simpanan Pokok'!C:C,'All Simpanan '!C:C,'Simpanan Pokok'!E:E)</f>
        <v>0</v>
      </c>
      <c r="G144" s="4">
        <f>SUMIF('Simpanan Khusus'!C:C,'All Simpanan '!C:C,'Simpanan Khusus'!E:E)</f>
        <v>0</v>
      </c>
      <c r="H144" s="4">
        <f>SUMIF('Simpanan Sukarela'!C:C,'All Simpanan '!C:C,'Simpanan Sukarela'!E:E)</f>
        <v>0</v>
      </c>
      <c r="I144" s="4">
        <f>SUMIF('Simpanan Sukarela Berjangka'!B:B,'All Simpanan '!C:C,'Simpanan Sukarela Berjangka'!K:K)</f>
        <v>0</v>
      </c>
      <c r="J144" s="4">
        <f t="shared" si="2"/>
        <v>0</v>
      </c>
      <c r="K144" s="35" t="s">
        <v>1578</v>
      </c>
    </row>
    <row r="145" spans="1:11" ht="15.5" x14ac:dyDescent="0.35">
      <c r="A145" s="5">
        <v>143</v>
      </c>
      <c r="B145" s="6" t="s">
        <v>359</v>
      </c>
      <c r="C145" s="7" t="s">
        <v>360</v>
      </c>
      <c r="D145" s="8" t="s">
        <v>136</v>
      </c>
      <c r="E145" s="8">
        <f>SUMIF('Simpanan Wajib'!C:C,'All Simpanan '!C:C,'Simpanan Wajib'!E:E)</f>
        <v>0</v>
      </c>
      <c r="F145" s="4">
        <f>SUMIF('Simpanan Pokok'!C:C,'All Simpanan '!C:C,'Simpanan Pokok'!E:E)</f>
        <v>0</v>
      </c>
      <c r="G145" s="4">
        <f>SUMIF('Simpanan Khusus'!C:C,'All Simpanan '!C:C,'Simpanan Khusus'!E:E)</f>
        <v>0</v>
      </c>
      <c r="H145" s="4">
        <f>SUMIF('Simpanan Sukarela'!C:C,'All Simpanan '!C:C,'Simpanan Sukarela'!E:E)</f>
        <v>0</v>
      </c>
      <c r="I145" s="4">
        <f>SUMIF('Simpanan Sukarela Berjangka'!B:B,'All Simpanan '!C:C,'Simpanan Sukarela Berjangka'!K:K)</f>
        <v>0</v>
      </c>
      <c r="J145" s="4">
        <f t="shared" si="2"/>
        <v>0</v>
      </c>
      <c r="K145" s="35" t="s">
        <v>1576</v>
      </c>
    </row>
    <row r="146" spans="1:11" ht="15.5" x14ac:dyDescent="0.35">
      <c r="A146" s="5">
        <v>144</v>
      </c>
      <c r="B146" s="6" t="s">
        <v>361</v>
      </c>
      <c r="C146" s="7" t="s">
        <v>362</v>
      </c>
      <c r="D146" s="8" t="s">
        <v>72</v>
      </c>
      <c r="E146" s="8">
        <f>SUMIF('Simpanan Wajib'!C:C,'All Simpanan '!C:C,'Simpanan Wajib'!E:E)</f>
        <v>250000</v>
      </c>
      <c r="F146" s="4">
        <f>SUMIF('Simpanan Pokok'!C:C,'All Simpanan '!C:C,'Simpanan Pokok'!E:E)</f>
        <v>0</v>
      </c>
      <c r="G146" s="4">
        <f>SUMIF('Simpanan Khusus'!C:C,'All Simpanan '!C:C,'Simpanan Khusus'!E:E)</f>
        <v>0</v>
      </c>
      <c r="H146" s="4">
        <f>SUMIF('Simpanan Sukarela'!C:C,'All Simpanan '!C:C,'Simpanan Sukarela'!E:E)</f>
        <v>28633.09288087019</v>
      </c>
      <c r="I146" s="4">
        <f>SUMIF('Simpanan Sukarela Berjangka'!B:B,'All Simpanan '!C:C,'Simpanan Sukarela Berjangka'!K:K)</f>
        <v>0</v>
      </c>
      <c r="J146" s="4">
        <f t="shared" si="2"/>
        <v>278633.09288087022</v>
      </c>
      <c r="K146" s="35" t="s">
        <v>1578</v>
      </c>
    </row>
    <row r="147" spans="1:11" ht="15.5" x14ac:dyDescent="0.35">
      <c r="A147" s="5">
        <v>145</v>
      </c>
      <c r="B147" s="6" t="s">
        <v>363</v>
      </c>
      <c r="C147" s="7" t="s">
        <v>364</v>
      </c>
      <c r="D147" s="8" t="s">
        <v>14</v>
      </c>
      <c r="E147" s="8">
        <f>SUMIF('Simpanan Wajib'!C:C,'All Simpanan '!C:C,'Simpanan Wajib'!E:E)</f>
        <v>0</v>
      </c>
      <c r="F147" s="4">
        <f>SUMIF('Simpanan Pokok'!C:C,'All Simpanan '!C:C,'Simpanan Pokok'!E:E)</f>
        <v>0</v>
      </c>
      <c r="G147" s="4">
        <f>SUMIF('Simpanan Khusus'!C:C,'All Simpanan '!C:C,'Simpanan Khusus'!E:E)</f>
        <v>0</v>
      </c>
      <c r="H147" s="4">
        <f>SUMIF('Simpanan Sukarela'!C:C,'All Simpanan '!C:C,'Simpanan Sukarela'!E:E)</f>
        <v>0</v>
      </c>
      <c r="I147" s="4">
        <f>SUMIF('Simpanan Sukarela Berjangka'!B:B,'All Simpanan '!C:C,'Simpanan Sukarela Berjangka'!K:K)</f>
        <v>0</v>
      </c>
      <c r="J147" s="4">
        <f t="shared" si="2"/>
        <v>0</v>
      </c>
      <c r="K147" s="35" t="s">
        <v>1578</v>
      </c>
    </row>
    <row r="148" spans="1:11" ht="15.5" x14ac:dyDescent="0.35">
      <c r="A148" s="5">
        <v>146</v>
      </c>
      <c r="B148" s="6" t="s">
        <v>365</v>
      </c>
      <c r="C148" s="7" t="s">
        <v>366</v>
      </c>
      <c r="D148" s="8" t="s">
        <v>367</v>
      </c>
      <c r="E148" s="8">
        <f>SUMIF('Simpanan Wajib'!C:C,'All Simpanan '!C:C,'Simpanan Wajib'!E:E)</f>
        <v>0</v>
      </c>
      <c r="F148" s="4">
        <f>SUMIF('Simpanan Pokok'!C:C,'All Simpanan '!C:C,'Simpanan Pokok'!E:E)</f>
        <v>0</v>
      </c>
      <c r="G148" s="4">
        <f>SUMIF('Simpanan Khusus'!C:C,'All Simpanan '!C:C,'Simpanan Khusus'!E:E)</f>
        <v>0</v>
      </c>
      <c r="H148" s="4">
        <f>SUMIF('Simpanan Sukarela'!C:C,'All Simpanan '!C:C,'Simpanan Sukarela'!E:E)</f>
        <v>0</v>
      </c>
      <c r="I148" s="4">
        <f>SUMIF('Simpanan Sukarela Berjangka'!B:B,'All Simpanan '!C:C,'Simpanan Sukarela Berjangka'!K:K)</f>
        <v>0</v>
      </c>
      <c r="J148" s="4">
        <f t="shared" si="2"/>
        <v>0</v>
      </c>
      <c r="K148" s="35" t="s">
        <v>1579</v>
      </c>
    </row>
    <row r="149" spans="1:11" ht="15.5" x14ac:dyDescent="0.35">
      <c r="A149" s="5">
        <v>147</v>
      </c>
      <c r="B149" s="6" t="s">
        <v>368</v>
      </c>
      <c r="C149" s="7" t="s">
        <v>369</v>
      </c>
      <c r="D149" s="8" t="s">
        <v>198</v>
      </c>
      <c r="E149" s="8">
        <f>SUMIF('Simpanan Wajib'!C:C,'All Simpanan '!C:C,'Simpanan Wajib'!E:E)</f>
        <v>0</v>
      </c>
      <c r="F149" s="4">
        <f>SUMIF('Simpanan Pokok'!C:C,'All Simpanan '!C:C,'Simpanan Pokok'!E:E)</f>
        <v>0</v>
      </c>
      <c r="G149" s="4">
        <f>SUMIF('Simpanan Khusus'!C:C,'All Simpanan '!C:C,'Simpanan Khusus'!E:E)</f>
        <v>0</v>
      </c>
      <c r="H149" s="4">
        <f>SUMIF('Simpanan Sukarela'!C:C,'All Simpanan '!C:C,'Simpanan Sukarela'!E:E)</f>
        <v>0</v>
      </c>
      <c r="I149" s="4">
        <f>SUMIF('Simpanan Sukarela Berjangka'!B:B,'All Simpanan '!C:C,'Simpanan Sukarela Berjangka'!K:K)</f>
        <v>0</v>
      </c>
      <c r="J149" s="4">
        <f t="shared" si="2"/>
        <v>0</v>
      </c>
      <c r="K149" s="35" t="s">
        <v>1579</v>
      </c>
    </row>
    <row r="150" spans="1:11" ht="15.5" x14ac:dyDescent="0.35">
      <c r="A150" s="5">
        <v>148</v>
      </c>
      <c r="B150" s="6" t="s">
        <v>370</v>
      </c>
      <c r="C150" s="7" t="s">
        <v>371</v>
      </c>
      <c r="D150" s="8" t="s">
        <v>72</v>
      </c>
      <c r="E150" s="8">
        <f>SUMIF('Simpanan Wajib'!C:C,'All Simpanan '!C:C,'Simpanan Wajib'!E:E)</f>
        <v>0</v>
      </c>
      <c r="F150" s="4">
        <f>SUMIF('Simpanan Pokok'!C:C,'All Simpanan '!C:C,'Simpanan Pokok'!E:E)</f>
        <v>0</v>
      </c>
      <c r="G150" s="4">
        <f>SUMIF('Simpanan Khusus'!C:C,'All Simpanan '!C:C,'Simpanan Khusus'!E:E)</f>
        <v>0</v>
      </c>
      <c r="H150" s="4">
        <f>SUMIF('Simpanan Sukarela'!C:C,'All Simpanan '!C:C,'Simpanan Sukarela'!E:E)</f>
        <v>0</v>
      </c>
      <c r="I150" s="4">
        <f>SUMIF('Simpanan Sukarela Berjangka'!B:B,'All Simpanan '!C:C,'Simpanan Sukarela Berjangka'!K:K)</f>
        <v>0</v>
      </c>
      <c r="J150" s="4">
        <f t="shared" si="2"/>
        <v>0</v>
      </c>
      <c r="K150" s="35" t="s">
        <v>1578</v>
      </c>
    </row>
    <row r="151" spans="1:11" ht="15.5" x14ac:dyDescent="0.35">
      <c r="A151" s="5">
        <v>149</v>
      </c>
      <c r="B151" s="6" t="s">
        <v>372</v>
      </c>
      <c r="C151" s="7" t="s">
        <v>373</v>
      </c>
      <c r="D151" s="8" t="s">
        <v>374</v>
      </c>
      <c r="E151" s="8">
        <f>SUMIF('Simpanan Wajib'!C:C,'All Simpanan '!C:C,'Simpanan Wajib'!E:E)</f>
        <v>0</v>
      </c>
      <c r="F151" s="4">
        <f>SUMIF('Simpanan Pokok'!C:C,'All Simpanan '!C:C,'Simpanan Pokok'!E:E)</f>
        <v>0</v>
      </c>
      <c r="G151" s="4">
        <f>SUMIF('Simpanan Khusus'!C:C,'All Simpanan '!C:C,'Simpanan Khusus'!E:E)</f>
        <v>0</v>
      </c>
      <c r="H151" s="4">
        <f>SUMIF('Simpanan Sukarela'!C:C,'All Simpanan '!C:C,'Simpanan Sukarela'!E:E)</f>
        <v>0</v>
      </c>
      <c r="I151" s="4">
        <f>SUMIF('Simpanan Sukarela Berjangka'!B:B,'All Simpanan '!C:C,'Simpanan Sukarela Berjangka'!K:K)</f>
        <v>0</v>
      </c>
      <c r="J151" s="4">
        <f t="shared" si="2"/>
        <v>0</v>
      </c>
      <c r="K151" s="35" t="s">
        <v>1579</v>
      </c>
    </row>
    <row r="152" spans="1:11" ht="15.5" x14ac:dyDescent="0.35">
      <c r="A152" s="5">
        <v>150</v>
      </c>
      <c r="B152" s="6" t="s">
        <v>375</v>
      </c>
      <c r="C152" s="7" t="s">
        <v>376</v>
      </c>
      <c r="D152" s="8" t="s">
        <v>377</v>
      </c>
      <c r="E152" s="8">
        <f>SUMIF('Simpanan Wajib'!C:C,'All Simpanan '!C:C,'Simpanan Wajib'!E:E)</f>
        <v>0</v>
      </c>
      <c r="F152" s="4">
        <f>SUMIF('Simpanan Pokok'!C:C,'All Simpanan '!C:C,'Simpanan Pokok'!E:E)</f>
        <v>0</v>
      </c>
      <c r="G152" s="4">
        <f>SUMIF('Simpanan Khusus'!C:C,'All Simpanan '!C:C,'Simpanan Khusus'!E:E)</f>
        <v>0</v>
      </c>
      <c r="H152" s="4">
        <f>SUMIF('Simpanan Sukarela'!C:C,'All Simpanan '!C:C,'Simpanan Sukarela'!E:E)</f>
        <v>0</v>
      </c>
      <c r="I152" s="4">
        <f>SUMIF('Simpanan Sukarela Berjangka'!B:B,'All Simpanan '!C:C,'Simpanan Sukarela Berjangka'!K:K)</f>
        <v>0</v>
      </c>
      <c r="J152" s="4">
        <f t="shared" si="2"/>
        <v>0</v>
      </c>
      <c r="K152" s="35" t="s">
        <v>1578</v>
      </c>
    </row>
    <row r="153" spans="1:11" ht="15.5" x14ac:dyDescent="0.35">
      <c r="A153" s="5">
        <v>151</v>
      </c>
      <c r="B153" s="6" t="s">
        <v>378</v>
      </c>
      <c r="C153" s="7" t="s">
        <v>379</v>
      </c>
      <c r="D153" s="8" t="s">
        <v>72</v>
      </c>
      <c r="E153" s="8">
        <f>SUMIF('Simpanan Wajib'!C:C,'All Simpanan '!C:C,'Simpanan Wajib'!E:E)</f>
        <v>0</v>
      </c>
      <c r="F153" s="4">
        <f>SUMIF('Simpanan Pokok'!C:C,'All Simpanan '!C:C,'Simpanan Pokok'!E:E)</f>
        <v>0</v>
      </c>
      <c r="G153" s="4">
        <f>SUMIF('Simpanan Khusus'!C:C,'All Simpanan '!C:C,'Simpanan Khusus'!E:E)</f>
        <v>0</v>
      </c>
      <c r="H153" s="4">
        <f>SUMIF('Simpanan Sukarela'!C:C,'All Simpanan '!C:C,'Simpanan Sukarela'!E:E)</f>
        <v>0</v>
      </c>
      <c r="I153" s="4">
        <f>SUMIF('Simpanan Sukarela Berjangka'!B:B,'All Simpanan '!C:C,'Simpanan Sukarela Berjangka'!K:K)</f>
        <v>0</v>
      </c>
      <c r="J153" s="4">
        <f t="shared" si="2"/>
        <v>0</v>
      </c>
      <c r="K153" s="35" t="s">
        <v>1579</v>
      </c>
    </row>
    <row r="154" spans="1:11" ht="15.5" x14ac:dyDescent="0.35">
      <c r="A154" s="5">
        <v>152</v>
      </c>
      <c r="B154" s="6" t="s">
        <v>380</v>
      </c>
      <c r="C154" s="7" t="s">
        <v>381</v>
      </c>
      <c r="D154" s="8" t="s">
        <v>72</v>
      </c>
      <c r="E154" s="8">
        <f>SUMIF('Simpanan Wajib'!C:C,'All Simpanan '!C:C,'Simpanan Wajib'!E:E)</f>
        <v>0</v>
      </c>
      <c r="F154" s="4">
        <f>SUMIF('Simpanan Pokok'!C:C,'All Simpanan '!C:C,'Simpanan Pokok'!E:E)</f>
        <v>0</v>
      </c>
      <c r="G154" s="4">
        <f>SUMIF('Simpanan Khusus'!C:C,'All Simpanan '!C:C,'Simpanan Khusus'!E:E)</f>
        <v>0</v>
      </c>
      <c r="H154" s="4">
        <f>SUMIF('Simpanan Sukarela'!C:C,'All Simpanan '!C:C,'Simpanan Sukarela'!E:E)</f>
        <v>0</v>
      </c>
      <c r="I154" s="4">
        <f>SUMIF('Simpanan Sukarela Berjangka'!B:B,'All Simpanan '!C:C,'Simpanan Sukarela Berjangka'!K:K)</f>
        <v>0</v>
      </c>
      <c r="J154" s="4">
        <f t="shared" si="2"/>
        <v>0</v>
      </c>
      <c r="K154" s="35" t="s">
        <v>1579</v>
      </c>
    </row>
    <row r="155" spans="1:11" ht="15.5" x14ac:dyDescent="0.35">
      <c r="A155" s="5">
        <v>153</v>
      </c>
      <c r="B155" s="6" t="s">
        <v>382</v>
      </c>
      <c r="C155" s="7" t="s">
        <v>383</v>
      </c>
      <c r="D155" s="8" t="s">
        <v>367</v>
      </c>
      <c r="E155" s="8">
        <f>SUMIF('Simpanan Wajib'!C:C,'All Simpanan '!C:C,'Simpanan Wajib'!E:E)</f>
        <v>24056743</v>
      </c>
      <c r="F155" s="4">
        <f>SUMIF('Simpanan Pokok'!C:C,'All Simpanan '!C:C,'Simpanan Pokok'!E:E)</f>
        <v>5000</v>
      </c>
      <c r="G155" s="4">
        <f>SUMIF('Simpanan Khusus'!C:C,'All Simpanan '!C:C,'Simpanan Khusus'!E:E)</f>
        <v>1057500</v>
      </c>
      <c r="H155" s="4">
        <f>SUMIF('Simpanan Sukarela'!C:C,'All Simpanan '!C:C,'Simpanan Sukarela'!E:E)</f>
        <v>1337749.689573701</v>
      </c>
      <c r="I155" s="4">
        <f>SUMIF('Simpanan Sukarela Berjangka'!B:B,'All Simpanan '!C:C,'Simpanan Sukarela Berjangka'!K:K)</f>
        <v>0</v>
      </c>
      <c r="J155" s="4">
        <f t="shared" si="2"/>
        <v>26456992.689573701</v>
      </c>
      <c r="K155" s="35" t="s">
        <v>1579</v>
      </c>
    </row>
    <row r="156" spans="1:11" ht="15.5" x14ac:dyDescent="0.35">
      <c r="A156" s="5">
        <v>154</v>
      </c>
      <c r="B156" s="6" t="s">
        <v>384</v>
      </c>
      <c r="C156" s="7" t="s">
        <v>385</v>
      </c>
      <c r="D156" s="8" t="s">
        <v>19</v>
      </c>
      <c r="E156" s="8">
        <f>SUMIF('Simpanan Wajib'!C:C,'All Simpanan '!C:C,'Simpanan Wajib'!E:E)</f>
        <v>0</v>
      </c>
      <c r="F156" s="4">
        <f>SUMIF('Simpanan Pokok'!C:C,'All Simpanan '!C:C,'Simpanan Pokok'!E:E)</f>
        <v>0</v>
      </c>
      <c r="G156" s="4">
        <f>SUMIF('Simpanan Khusus'!C:C,'All Simpanan '!C:C,'Simpanan Khusus'!E:E)</f>
        <v>0</v>
      </c>
      <c r="H156" s="4">
        <f>SUMIF('Simpanan Sukarela'!C:C,'All Simpanan '!C:C,'Simpanan Sukarela'!E:E)</f>
        <v>133176.56539770227</v>
      </c>
      <c r="I156" s="4">
        <f>SUMIF('Simpanan Sukarela Berjangka'!B:B,'All Simpanan '!C:C,'Simpanan Sukarela Berjangka'!K:K)</f>
        <v>0</v>
      </c>
      <c r="J156" s="4">
        <f t="shared" si="2"/>
        <v>133176.56539770227</v>
      </c>
      <c r="K156" s="35" t="s">
        <v>1576</v>
      </c>
    </row>
    <row r="157" spans="1:11" ht="15.5" x14ac:dyDescent="0.35">
      <c r="A157" s="5">
        <v>155</v>
      </c>
      <c r="B157" s="6" t="s">
        <v>386</v>
      </c>
      <c r="C157" s="7" t="s">
        <v>387</v>
      </c>
      <c r="D157" s="8" t="s">
        <v>98</v>
      </c>
      <c r="E157" s="8">
        <f>SUMIF('Simpanan Wajib'!C:C,'All Simpanan '!C:C,'Simpanan Wajib'!E:E)</f>
        <v>0</v>
      </c>
      <c r="F157" s="4">
        <f>SUMIF('Simpanan Pokok'!C:C,'All Simpanan '!C:C,'Simpanan Pokok'!E:E)</f>
        <v>0</v>
      </c>
      <c r="G157" s="4">
        <f>SUMIF('Simpanan Khusus'!C:C,'All Simpanan '!C:C,'Simpanan Khusus'!E:E)</f>
        <v>0</v>
      </c>
      <c r="H157" s="4">
        <f>SUMIF('Simpanan Sukarela'!C:C,'All Simpanan '!C:C,'Simpanan Sukarela'!E:E)</f>
        <v>0</v>
      </c>
      <c r="I157" s="4">
        <f>SUMIF('Simpanan Sukarela Berjangka'!B:B,'All Simpanan '!C:C,'Simpanan Sukarela Berjangka'!K:K)</f>
        <v>0</v>
      </c>
      <c r="J157" s="4">
        <f t="shared" si="2"/>
        <v>0</v>
      </c>
      <c r="K157" s="35" t="s">
        <v>1579</v>
      </c>
    </row>
    <row r="158" spans="1:11" ht="15.5" x14ac:dyDescent="0.35">
      <c r="A158" s="5">
        <v>156</v>
      </c>
      <c r="B158" s="6" t="s">
        <v>388</v>
      </c>
      <c r="C158" s="7" t="s">
        <v>389</v>
      </c>
      <c r="D158" s="8" t="s">
        <v>22</v>
      </c>
      <c r="E158" s="8">
        <f>SUMIF('Simpanan Wajib'!C:C,'All Simpanan '!C:C,'Simpanan Wajib'!E:E)</f>
        <v>26399256</v>
      </c>
      <c r="F158" s="4">
        <f>SUMIF('Simpanan Pokok'!C:C,'All Simpanan '!C:C,'Simpanan Pokok'!E:E)</f>
        <v>5000</v>
      </c>
      <c r="G158" s="4">
        <f>SUMIF('Simpanan Khusus'!C:C,'All Simpanan '!C:C,'Simpanan Khusus'!E:E)</f>
        <v>604000</v>
      </c>
      <c r="H158" s="4">
        <f>SUMIF('Simpanan Sukarela'!C:C,'All Simpanan '!C:C,'Simpanan Sukarela'!E:E)</f>
        <v>2672491.4364167326</v>
      </c>
      <c r="I158" s="4">
        <f>SUMIF('Simpanan Sukarela Berjangka'!B:B,'All Simpanan '!C:C,'Simpanan Sukarela Berjangka'!K:K)</f>
        <v>0</v>
      </c>
      <c r="J158" s="4">
        <f t="shared" si="2"/>
        <v>29680747.436416734</v>
      </c>
      <c r="K158" s="35" t="s">
        <v>1579</v>
      </c>
    </row>
    <row r="159" spans="1:11" ht="15.5" x14ac:dyDescent="0.35">
      <c r="A159" s="5">
        <v>157</v>
      </c>
      <c r="B159" s="6" t="s">
        <v>390</v>
      </c>
      <c r="C159" s="7" t="s">
        <v>391</v>
      </c>
      <c r="D159" s="8" t="s">
        <v>77</v>
      </c>
      <c r="E159" s="8">
        <f>SUMIF('Simpanan Wajib'!C:C,'All Simpanan '!C:C,'Simpanan Wajib'!E:E)</f>
        <v>900000</v>
      </c>
      <c r="F159" s="4">
        <f>SUMIF('Simpanan Pokok'!C:C,'All Simpanan '!C:C,'Simpanan Pokok'!E:E)</f>
        <v>5000</v>
      </c>
      <c r="G159" s="4">
        <f>SUMIF('Simpanan Khusus'!C:C,'All Simpanan '!C:C,'Simpanan Khusus'!E:E)</f>
        <v>0</v>
      </c>
      <c r="H159" s="4">
        <f>SUMIF('Simpanan Sukarela'!C:C,'All Simpanan '!C:C,'Simpanan Sukarela'!E:E)</f>
        <v>846346.49667994317</v>
      </c>
      <c r="I159" s="4">
        <f>SUMIF('Simpanan Sukarela Berjangka'!B:B,'All Simpanan '!C:C,'Simpanan Sukarela Berjangka'!K:K)</f>
        <v>0</v>
      </c>
      <c r="J159" s="4">
        <f t="shared" si="2"/>
        <v>1751346.4966799431</v>
      </c>
      <c r="K159" s="35" t="s">
        <v>1578</v>
      </c>
    </row>
    <row r="160" spans="1:11" ht="15.5" x14ac:dyDescent="0.35">
      <c r="A160" s="5">
        <v>158</v>
      </c>
      <c r="B160" s="6" t="s">
        <v>392</v>
      </c>
      <c r="C160" s="7" t="s">
        <v>393</v>
      </c>
      <c r="D160" s="8" t="s">
        <v>166</v>
      </c>
      <c r="E160" s="8">
        <f>SUMIF('Simpanan Wajib'!C:C,'All Simpanan '!C:C,'Simpanan Wajib'!E:E)</f>
        <v>0</v>
      </c>
      <c r="F160" s="4">
        <f>SUMIF('Simpanan Pokok'!C:C,'All Simpanan '!C:C,'Simpanan Pokok'!E:E)</f>
        <v>0</v>
      </c>
      <c r="G160" s="4">
        <f>SUMIF('Simpanan Khusus'!C:C,'All Simpanan '!C:C,'Simpanan Khusus'!E:E)</f>
        <v>0</v>
      </c>
      <c r="H160" s="4">
        <f>SUMIF('Simpanan Sukarela'!C:C,'All Simpanan '!C:C,'Simpanan Sukarela'!E:E)</f>
        <v>0</v>
      </c>
      <c r="I160" s="4">
        <f>SUMIF('Simpanan Sukarela Berjangka'!B:B,'All Simpanan '!C:C,'Simpanan Sukarela Berjangka'!K:K)</f>
        <v>0</v>
      </c>
      <c r="J160" s="4">
        <f t="shared" si="2"/>
        <v>0</v>
      </c>
      <c r="K160" s="35" t="s">
        <v>1578</v>
      </c>
    </row>
    <row r="161" spans="1:11" ht="15.5" x14ac:dyDescent="0.35">
      <c r="A161" s="5">
        <v>159</v>
      </c>
      <c r="B161" s="6" t="s">
        <v>394</v>
      </c>
      <c r="C161" s="7" t="s">
        <v>395</v>
      </c>
      <c r="D161" s="8" t="s">
        <v>267</v>
      </c>
      <c r="E161" s="8">
        <f>SUMIF('Simpanan Wajib'!C:C,'All Simpanan '!C:C,'Simpanan Wajib'!E:E)</f>
        <v>445000</v>
      </c>
      <c r="F161" s="4">
        <f>SUMIF('Simpanan Pokok'!C:C,'All Simpanan '!C:C,'Simpanan Pokok'!E:E)</f>
        <v>5000</v>
      </c>
      <c r="G161" s="4">
        <f>SUMIF('Simpanan Khusus'!C:C,'All Simpanan '!C:C,'Simpanan Khusus'!E:E)</f>
        <v>0</v>
      </c>
      <c r="H161" s="4">
        <f>SUMIF('Simpanan Sukarela'!C:C,'All Simpanan '!C:C,'Simpanan Sukarela'!E:E)</f>
        <v>837939.528243504</v>
      </c>
      <c r="I161" s="4">
        <f>SUMIF('Simpanan Sukarela Berjangka'!B:B,'All Simpanan '!C:C,'Simpanan Sukarela Berjangka'!K:K)</f>
        <v>0</v>
      </c>
      <c r="J161" s="4">
        <f t="shared" si="2"/>
        <v>1287939.528243504</v>
      </c>
      <c r="K161" s="35" t="s">
        <v>1578</v>
      </c>
    </row>
    <row r="162" spans="1:11" ht="15.5" x14ac:dyDescent="0.35">
      <c r="A162" s="5">
        <v>160</v>
      </c>
      <c r="B162" s="6" t="s">
        <v>396</v>
      </c>
      <c r="C162" s="7" t="s">
        <v>397</v>
      </c>
      <c r="D162" s="8" t="s">
        <v>46</v>
      </c>
      <c r="E162" s="8">
        <f>SUMIF('Simpanan Wajib'!C:C,'All Simpanan '!C:C,'Simpanan Wajib'!E:E)</f>
        <v>0</v>
      </c>
      <c r="F162" s="4">
        <f>SUMIF('Simpanan Pokok'!C:C,'All Simpanan '!C:C,'Simpanan Pokok'!E:E)</f>
        <v>0</v>
      </c>
      <c r="G162" s="4">
        <f>SUMIF('Simpanan Khusus'!C:C,'All Simpanan '!C:C,'Simpanan Khusus'!E:E)</f>
        <v>0</v>
      </c>
      <c r="H162" s="4">
        <f>SUMIF('Simpanan Sukarela'!C:C,'All Simpanan '!C:C,'Simpanan Sukarela'!E:E)</f>
        <v>0</v>
      </c>
      <c r="I162" s="4">
        <f>SUMIF('Simpanan Sukarela Berjangka'!B:B,'All Simpanan '!C:C,'Simpanan Sukarela Berjangka'!K:K)</f>
        <v>0</v>
      </c>
      <c r="J162" s="4">
        <f t="shared" si="2"/>
        <v>0</v>
      </c>
      <c r="K162" s="35" t="s">
        <v>1579</v>
      </c>
    </row>
    <row r="163" spans="1:11" ht="15.5" x14ac:dyDescent="0.35">
      <c r="A163" s="5">
        <v>161</v>
      </c>
      <c r="B163" s="6" t="s">
        <v>398</v>
      </c>
      <c r="C163" s="7" t="s">
        <v>399</v>
      </c>
      <c r="D163" s="8" t="s">
        <v>98</v>
      </c>
      <c r="E163" s="8">
        <f>SUMIF('Simpanan Wajib'!C:C,'All Simpanan '!C:C,'Simpanan Wajib'!E:E)</f>
        <v>22440323</v>
      </c>
      <c r="F163" s="4">
        <f>SUMIF('Simpanan Pokok'!C:C,'All Simpanan '!C:C,'Simpanan Pokok'!E:E)</f>
        <v>5000</v>
      </c>
      <c r="G163" s="4">
        <f>SUMIF('Simpanan Khusus'!C:C,'All Simpanan '!C:C,'Simpanan Khusus'!E:E)</f>
        <v>285000</v>
      </c>
      <c r="H163" s="4">
        <f>SUMIF('Simpanan Sukarela'!C:C,'All Simpanan '!C:C,'Simpanan Sukarela'!E:E)</f>
        <v>1554610.8695744595</v>
      </c>
      <c r="I163" s="4">
        <f>SUMIF('Simpanan Sukarela Berjangka'!B:B,'All Simpanan '!C:C,'Simpanan Sukarela Berjangka'!K:K)</f>
        <v>0</v>
      </c>
      <c r="J163" s="4">
        <f t="shared" si="2"/>
        <v>24284933.869574461</v>
      </c>
      <c r="K163" s="35" t="s">
        <v>1579</v>
      </c>
    </row>
    <row r="164" spans="1:11" ht="15.5" x14ac:dyDescent="0.35">
      <c r="A164" s="5">
        <v>162</v>
      </c>
      <c r="B164" s="6" t="s">
        <v>400</v>
      </c>
      <c r="C164" s="7" t="s">
        <v>401</v>
      </c>
      <c r="D164" s="8" t="s">
        <v>41</v>
      </c>
      <c r="E164" s="8">
        <f>SUMIF('Simpanan Wajib'!C:C,'All Simpanan '!C:C,'Simpanan Wajib'!E:E)</f>
        <v>0</v>
      </c>
      <c r="F164" s="4">
        <f>SUMIF('Simpanan Pokok'!C:C,'All Simpanan '!C:C,'Simpanan Pokok'!E:E)</f>
        <v>0</v>
      </c>
      <c r="G164" s="4">
        <f>SUMIF('Simpanan Khusus'!C:C,'All Simpanan '!C:C,'Simpanan Khusus'!E:E)</f>
        <v>0</v>
      </c>
      <c r="H164" s="4">
        <f>SUMIF('Simpanan Sukarela'!C:C,'All Simpanan '!C:C,'Simpanan Sukarela'!E:E)</f>
        <v>0</v>
      </c>
      <c r="I164" s="4">
        <f>SUMIF('Simpanan Sukarela Berjangka'!B:B,'All Simpanan '!C:C,'Simpanan Sukarela Berjangka'!K:K)</f>
        <v>0</v>
      </c>
      <c r="J164" s="4">
        <f t="shared" si="2"/>
        <v>0</v>
      </c>
      <c r="K164" s="35" t="s">
        <v>1578</v>
      </c>
    </row>
    <row r="165" spans="1:11" ht="15.5" x14ac:dyDescent="0.35">
      <c r="A165" s="5">
        <v>163</v>
      </c>
      <c r="B165" s="6" t="s">
        <v>402</v>
      </c>
      <c r="C165" s="7" t="s">
        <v>403</v>
      </c>
      <c r="D165" s="8" t="s">
        <v>303</v>
      </c>
      <c r="E165" s="8">
        <f>SUMIF('Simpanan Wajib'!C:C,'All Simpanan '!C:C,'Simpanan Wajib'!E:E)</f>
        <v>0</v>
      </c>
      <c r="F165" s="4">
        <f>SUMIF('Simpanan Pokok'!C:C,'All Simpanan '!C:C,'Simpanan Pokok'!E:E)</f>
        <v>0</v>
      </c>
      <c r="G165" s="4">
        <f>SUMIF('Simpanan Khusus'!C:C,'All Simpanan '!C:C,'Simpanan Khusus'!E:E)</f>
        <v>0</v>
      </c>
      <c r="H165" s="4">
        <f>SUMIF('Simpanan Sukarela'!C:C,'All Simpanan '!C:C,'Simpanan Sukarela'!E:E)</f>
        <v>0</v>
      </c>
      <c r="I165" s="4">
        <f>SUMIF('Simpanan Sukarela Berjangka'!B:B,'All Simpanan '!C:C,'Simpanan Sukarela Berjangka'!K:K)</f>
        <v>0</v>
      </c>
      <c r="J165" s="4">
        <f t="shared" si="2"/>
        <v>0</v>
      </c>
      <c r="K165" s="35" t="s">
        <v>1578</v>
      </c>
    </row>
    <row r="166" spans="1:11" ht="15.5" x14ac:dyDescent="0.35">
      <c r="A166" s="5">
        <v>164</v>
      </c>
      <c r="B166" s="6" t="s">
        <v>404</v>
      </c>
      <c r="C166" s="7" t="s">
        <v>405</v>
      </c>
      <c r="D166" s="8" t="s">
        <v>406</v>
      </c>
      <c r="E166" s="8">
        <f>SUMIF('Simpanan Wajib'!C:C,'All Simpanan '!C:C,'Simpanan Wajib'!E:E)</f>
        <v>0</v>
      </c>
      <c r="F166" s="4">
        <f>SUMIF('Simpanan Pokok'!C:C,'All Simpanan '!C:C,'Simpanan Pokok'!E:E)</f>
        <v>0</v>
      </c>
      <c r="G166" s="4">
        <f>SUMIF('Simpanan Khusus'!C:C,'All Simpanan '!C:C,'Simpanan Khusus'!E:E)</f>
        <v>0</v>
      </c>
      <c r="H166" s="4">
        <f>SUMIF('Simpanan Sukarela'!C:C,'All Simpanan '!C:C,'Simpanan Sukarela'!E:E)</f>
        <v>0</v>
      </c>
      <c r="I166" s="4">
        <f>SUMIF('Simpanan Sukarela Berjangka'!B:B,'All Simpanan '!C:C,'Simpanan Sukarela Berjangka'!K:K)</f>
        <v>0</v>
      </c>
      <c r="J166" s="4">
        <f t="shared" si="2"/>
        <v>0</v>
      </c>
      <c r="K166" s="35" t="s">
        <v>1576</v>
      </c>
    </row>
    <row r="167" spans="1:11" ht="15.5" x14ac:dyDescent="0.35">
      <c r="A167" s="5">
        <v>165</v>
      </c>
      <c r="B167" s="6" t="s">
        <v>407</v>
      </c>
      <c r="C167" s="7" t="s">
        <v>408</v>
      </c>
      <c r="D167" s="8" t="s">
        <v>198</v>
      </c>
      <c r="E167" s="8">
        <f>SUMIF('Simpanan Wajib'!C:C,'All Simpanan '!C:C,'Simpanan Wajib'!E:E)</f>
        <v>0</v>
      </c>
      <c r="F167" s="4">
        <f>SUMIF('Simpanan Pokok'!C:C,'All Simpanan '!C:C,'Simpanan Pokok'!E:E)</f>
        <v>0</v>
      </c>
      <c r="G167" s="4">
        <f>SUMIF('Simpanan Khusus'!C:C,'All Simpanan '!C:C,'Simpanan Khusus'!E:E)</f>
        <v>0</v>
      </c>
      <c r="H167" s="4">
        <f>SUMIF('Simpanan Sukarela'!C:C,'All Simpanan '!C:C,'Simpanan Sukarela'!E:E)</f>
        <v>0</v>
      </c>
      <c r="I167" s="4">
        <f>SUMIF('Simpanan Sukarela Berjangka'!B:B,'All Simpanan '!C:C,'Simpanan Sukarela Berjangka'!K:K)</f>
        <v>0</v>
      </c>
      <c r="J167" s="4">
        <f t="shared" si="2"/>
        <v>0</v>
      </c>
      <c r="K167" s="35" t="s">
        <v>1579</v>
      </c>
    </row>
    <row r="168" spans="1:11" ht="15.5" x14ac:dyDescent="0.35">
      <c r="A168" s="5">
        <v>166</v>
      </c>
      <c r="B168" s="6" t="s">
        <v>409</v>
      </c>
      <c r="C168" s="7" t="s">
        <v>410</v>
      </c>
      <c r="D168" s="8" t="s">
        <v>25</v>
      </c>
      <c r="E168" s="8">
        <f>SUMIF('Simpanan Wajib'!C:C,'All Simpanan '!C:C,'Simpanan Wajib'!E:E)</f>
        <v>0</v>
      </c>
      <c r="F168" s="4">
        <f>SUMIF('Simpanan Pokok'!C:C,'All Simpanan '!C:C,'Simpanan Pokok'!E:E)</f>
        <v>0</v>
      </c>
      <c r="G168" s="4">
        <f>SUMIF('Simpanan Khusus'!C:C,'All Simpanan '!C:C,'Simpanan Khusus'!E:E)</f>
        <v>0</v>
      </c>
      <c r="H168" s="4">
        <f>SUMIF('Simpanan Sukarela'!C:C,'All Simpanan '!C:C,'Simpanan Sukarela'!E:E)</f>
        <v>0</v>
      </c>
      <c r="I168" s="4">
        <f>SUMIF('Simpanan Sukarela Berjangka'!B:B,'All Simpanan '!C:C,'Simpanan Sukarela Berjangka'!K:K)</f>
        <v>0</v>
      </c>
      <c r="J168" s="4">
        <f t="shared" si="2"/>
        <v>0</v>
      </c>
      <c r="K168" s="35" t="s">
        <v>1579</v>
      </c>
    </row>
    <row r="169" spans="1:11" ht="15.5" x14ac:dyDescent="0.35">
      <c r="A169" s="5">
        <v>167</v>
      </c>
      <c r="B169" s="6" t="s">
        <v>411</v>
      </c>
      <c r="C169" s="7" t="s">
        <v>412</v>
      </c>
      <c r="D169" s="8" t="s">
        <v>77</v>
      </c>
      <c r="E169" s="8">
        <f>SUMIF('Simpanan Wajib'!C:C,'All Simpanan '!C:C,'Simpanan Wajib'!E:E)</f>
        <v>0</v>
      </c>
      <c r="F169" s="4">
        <f>SUMIF('Simpanan Pokok'!C:C,'All Simpanan '!C:C,'Simpanan Pokok'!E:E)</f>
        <v>0</v>
      </c>
      <c r="G169" s="4">
        <f>SUMIF('Simpanan Khusus'!C:C,'All Simpanan '!C:C,'Simpanan Khusus'!E:E)</f>
        <v>0</v>
      </c>
      <c r="H169" s="4">
        <f>SUMIF('Simpanan Sukarela'!C:C,'All Simpanan '!C:C,'Simpanan Sukarela'!E:E)</f>
        <v>0</v>
      </c>
      <c r="I169" s="4">
        <f>SUMIF('Simpanan Sukarela Berjangka'!B:B,'All Simpanan '!C:C,'Simpanan Sukarela Berjangka'!K:K)</f>
        <v>0</v>
      </c>
      <c r="J169" s="4">
        <f t="shared" si="2"/>
        <v>0</v>
      </c>
      <c r="K169" s="35" t="s">
        <v>1578</v>
      </c>
    </row>
    <row r="170" spans="1:11" ht="15.5" x14ac:dyDescent="0.35">
      <c r="A170" s="5">
        <v>168</v>
      </c>
      <c r="B170" s="6" t="s">
        <v>413</v>
      </c>
      <c r="C170" s="7" t="s">
        <v>414</v>
      </c>
      <c r="D170" s="8" t="s">
        <v>201</v>
      </c>
      <c r="E170" s="8">
        <f>SUMIF('Simpanan Wajib'!C:C,'All Simpanan '!C:C,'Simpanan Wajib'!E:E)</f>
        <v>60000</v>
      </c>
      <c r="F170" s="4">
        <f>SUMIF('Simpanan Pokok'!C:C,'All Simpanan '!C:C,'Simpanan Pokok'!E:E)</f>
        <v>5000</v>
      </c>
      <c r="G170" s="4">
        <f>SUMIF('Simpanan Khusus'!C:C,'All Simpanan '!C:C,'Simpanan Khusus'!E:E)</f>
        <v>0</v>
      </c>
      <c r="H170" s="4">
        <f>SUMIF('Simpanan Sukarela'!C:C,'All Simpanan '!C:C,'Simpanan Sukarela'!E:E)</f>
        <v>243547.11421256041</v>
      </c>
      <c r="I170" s="4">
        <f>SUMIF('Simpanan Sukarela Berjangka'!B:B,'All Simpanan '!C:C,'Simpanan Sukarela Berjangka'!K:K)</f>
        <v>0</v>
      </c>
      <c r="J170" s="4">
        <f t="shared" si="2"/>
        <v>308547.11421256041</v>
      </c>
      <c r="K170" s="35" t="s">
        <v>1578</v>
      </c>
    </row>
    <row r="171" spans="1:11" ht="15.5" x14ac:dyDescent="0.35">
      <c r="A171" s="5">
        <v>169</v>
      </c>
      <c r="B171" s="6" t="s">
        <v>415</v>
      </c>
      <c r="C171" s="7" t="s">
        <v>416</v>
      </c>
      <c r="D171" s="8" t="s">
        <v>318</v>
      </c>
      <c r="E171" s="8">
        <f>SUMIF('Simpanan Wajib'!C:C,'All Simpanan '!C:C,'Simpanan Wajib'!E:E)</f>
        <v>0</v>
      </c>
      <c r="F171" s="4">
        <f>SUMIF('Simpanan Pokok'!C:C,'All Simpanan '!C:C,'Simpanan Pokok'!E:E)</f>
        <v>0</v>
      </c>
      <c r="G171" s="4">
        <f>SUMIF('Simpanan Khusus'!C:C,'All Simpanan '!C:C,'Simpanan Khusus'!E:E)</f>
        <v>0</v>
      </c>
      <c r="H171" s="4">
        <f>SUMIF('Simpanan Sukarela'!C:C,'All Simpanan '!C:C,'Simpanan Sukarela'!E:E)</f>
        <v>0</v>
      </c>
      <c r="I171" s="4">
        <f>SUMIF('Simpanan Sukarela Berjangka'!B:B,'All Simpanan '!C:C,'Simpanan Sukarela Berjangka'!K:K)</f>
        <v>0</v>
      </c>
      <c r="J171" s="4">
        <f t="shared" si="2"/>
        <v>0</v>
      </c>
      <c r="K171" s="35" t="s">
        <v>1578</v>
      </c>
    </row>
    <row r="172" spans="1:11" ht="15.5" x14ac:dyDescent="0.35">
      <c r="A172" s="5">
        <v>170</v>
      </c>
      <c r="B172" s="6" t="s">
        <v>417</v>
      </c>
      <c r="C172" s="7" t="s">
        <v>418</v>
      </c>
      <c r="D172" s="8" t="s">
        <v>144</v>
      </c>
      <c r="E172" s="8">
        <f>SUMIF('Simpanan Wajib'!C:C,'All Simpanan '!C:C,'Simpanan Wajib'!E:E)</f>
        <v>370000</v>
      </c>
      <c r="F172" s="4">
        <f>SUMIF('Simpanan Pokok'!C:C,'All Simpanan '!C:C,'Simpanan Pokok'!E:E)</f>
        <v>5000</v>
      </c>
      <c r="G172" s="4">
        <f>SUMIF('Simpanan Khusus'!C:C,'All Simpanan '!C:C,'Simpanan Khusus'!E:E)</f>
        <v>0</v>
      </c>
      <c r="H172" s="4">
        <f>SUMIF('Simpanan Sukarela'!C:C,'All Simpanan '!C:C,'Simpanan Sukarela'!E:E)</f>
        <v>188890.36834059638</v>
      </c>
      <c r="I172" s="4">
        <f>SUMIF('Simpanan Sukarela Berjangka'!B:B,'All Simpanan '!C:C,'Simpanan Sukarela Berjangka'!K:K)</f>
        <v>0</v>
      </c>
      <c r="J172" s="4">
        <f t="shared" si="2"/>
        <v>563890.36834059632</v>
      </c>
      <c r="K172" s="35" t="s">
        <v>1578</v>
      </c>
    </row>
    <row r="173" spans="1:11" ht="15.5" x14ac:dyDescent="0.35">
      <c r="A173" s="5">
        <v>171</v>
      </c>
      <c r="B173" s="6" t="s">
        <v>419</v>
      </c>
      <c r="C173" s="7" t="s">
        <v>420</v>
      </c>
      <c r="D173" s="8" t="s">
        <v>166</v>
      </c>
      <c r="E173" s="8">
        <f>SUMIF('Simpanan Wajib'!C:C,'All Simpanan '!C:C,'Simpanan Wajib'!E:E)</f>
        <v>0</v>
      </c>
      <c r="F173" s="4">
        <f>SUMIF('Simpanan Pokok'!C:C,'All Simpanan '!C:C,'Simpanan Pokok'!E:E)</f>
        <v>0</v>
      </c>
      <c r="G173" s="4">
        <f>SUMIF('Simpanan Khusus'!C:C,'All Simpanan '!C:C,'Simpanan Khusus'!E:E)</f>
        <v>0</v>
      </c>
      <c r="H173" s="4">
        <f>SUMIF('Simpanan Sukarela'!C:C,'All Simpanan '!C:C,'Simpanan Sukarela'!E:E)</f>
        <v>0</v>
      </c>
      <c r="I173" s="4">
        <f>SUMIF('Simpanan Sukarela Berjangka'!B:B,'All Simpanan '!C:C,'Simpanan Sukarela Berjangka'!K:K)</f>
        <v>0</v>
      </c>
      <c r="J173" s="4">
        <f t="shared" si="2"/>
        <v>0</v>
      </c>
      <c r="K173" s="35" t="s">
        <v>1576</v>
      </c>
    </row>
    <row r="174" spans="1:11" ht="15.5" x14ac:dyDescent="0.35">
      <c r="A174" s="5">
        <v>172</v>
      </c>
      <c r="B174" s="6" t="s">
        <v>421</v>
      </c>
      <c r="C174" s="7" t="s">
        <v>422</v>
      </c>
      <c r="D174" s="8" t="s">
        <v>136</v>
      </c>
      <c r="E174" s="8">
        <f>SUMIF('Simpanan Wajib'!C:C,'All Simpanan '!C:C,'Simpanan Wajib'!E:E)</f>
        <v>2250000</v>
      </c>
      <c r="F174" s="4">
        <f>SUMIF('Simpanan Pokok'!C:C,'All Simpanan '!C:C,'Simpanan Pokok'!E:E)</f>
        <v>250000</v>
      </c>
      <c r="G174" s="4">
        <f>SUMIF('Simpanan Khusus'!C:C,'All Simpanan '!C:C,'Simpanan Khusus'!E:E)</f>
        <v>500000</v>
      </c>
      <c r="H174" s="4">
        <f>SUMIF('Simpanan Sukarela'!C:C,'All Simpanan '!C:C,'Simpanan Sukarela'!E:E)</f>
        <v>424633.31742439058</v>
      </c>
      <c r="I174" s="4">
        <f>SUMIF('Simpanan Sukarela Berjangka'!B:B,'All Simpanan '!C:C,'Simpanan Sukarela Berjangka'!K:K)</f>
        <v>0</v>
      </c>
      <c r="J174" s="4">
        <f t="shared" si="2"/>
        <v>3424633.3174243905</v>
      </c>
      <c r="K174" s="35" t="s">
        <v>1576</v>
      </c>
    </row>
    <row r="175" spans="1:11" ht="15.5" x14ac:dyDescent="0.35">
      <c r="A175" s="5">
        <v>173</v>
      </c>
      <c r="B175" s="6" t="s">
        <v>423</v>
      </c>
      <c r="C175" s="7" t="s">
        <v>424</v>
      </c>
      <c r="D175" s="8" t="s">
        <v>136</v>
      </c>
      <c r="E175" s="8">
        <f>SUMIF('Simpanan Wajib'!C:C,'All Simpanan '!C:C,'Simpanan Wajib'!E:E)</f>
        <v>0</v>
      </c>
      <c r="F175" s="4">
        <f>SUMIF('Simpanan Pokok'!C:C,'All Simpanan '!C:C,'Simpanan Pokok'!E:E)</f>
        <v>0</v>
      </c>
      <c r="G175" s="4">
        <f>SUMIF('Simpanan Khusus'!C:C,'All Simpanan '!C:C,'Simpanan Khusus'!E:E)</f>
        <v>0</v>
      </c>
      <c r="H175" s="4">
        <f>SUMIF('Simpanan Sukarela'!C:C,'All Simpanan '!C:C,'Simpanan Sukarela'!E:E)</f>
        <v>0</v>
      </c>
      <c r="I175" s="4">
        <f>SUMIF('Simpanan Sukarela Berjangka'!B:B,'All Simpanan '!C:C,'Simpanan Sukarela Berjangka'!K:K)</f>
        <v>0</v>
      </c>
      <c r="J175" s="4">
        <f t="shared" si="2"/>
        <v>0</v>
      </c>
      <c r="K175" s="35" t="s">
        <v>1578</v>
      </c>
    </row>
    <row r="176" spans="1:11" ht="15.5" x14ac:dyDescent="0.35">
      <c r="A176" s="5">
        <v>174</v>
      </c>
      <c r="B176" s="6" t="s">
        <v>425</v>
      </c>
      <c r="C176" s="7" t="s">
        <v>426</v>
      </c>
      <c r="D176" s="8" t="s">
        <v>267</v>
      </c>
      <c r="E176" s="8">
        <f>SUMIF('Simpanan Wajib'!C:C,'All Simpanan '!C:C,'Simpanan Wajib'!E:E)</f>
        <v>0</v>
      </c>
      <c r="F176" s="4">
        <f>SUMIF('Simpanan Pokok'!C:C,'All Simpanan '!C:C,'Simpanan Pokok'!E:E)</f>
        <v>0</v>
      </c>
      <c r="G176" s="4">
        <f>SUMIF('Simpanan Khusus'!C:C,'All Simpanan '!C:C,'Simpanan Khusus'!E:E)</f>
        <v>0</v>
      </c>
      <c r="H176" s="4">
        <f>SUMIF('Simpanan Sukarela'!C:C,'All Simpanan '!C:C,'Simpanan Sukarela'!E:E)</f>
        <v>0</v>
      </c>
      <c r="I176" s="4">
        <f>SUMIF('Simpanan Sukarela Berjangka'!B:B,'All Simpanan '!C:C,'Simpanan Sukarela Berjangka'!K:K)</f>
        <v>0</v>
      </c>
      <c r="J176" s="4">
        <f t="shared" si="2"/>
        <v>0</v>
      </c>
      <c r="K176" s="35" t="s">
        <v>1578</v>
      </c>
    </row>
    <row r="177" spans="1:11" ht="15.5" x14ac:dyDescent="0.35">
      <c r="A177" s="5">
        <v>175</v>
      </c>
      <c r="B177" s="6" t="s">
        <v>427</v>
      </c>
      <c r="C177" s="7" t="s">
        <v>428</v>
      </c>
      <c r="D177" s="8" t="s">
        <v>429</v>
      </c>
      <c r="E177" s="8">
        <f>SUMIF('Simpanan Wajib'!C:C,'All Simpanan '!C:C,'Simpanan Wajib'!E:E)</f>
        <v>0</v>
      </c>
      <c r="F177" s="4">
        <f>SUMIF('Simpanan Pokok'!C:C,'All Simpanan '!C:C,'Simpanan Pokok'!E:E)</f>
        <v>0</v>
      </c>
      <c r="G177" s="4">
        <f>SUMIF('Simpanan Khusus'!C:C,'All Simpanan '!C:C,'Simpanan Khusus'!E:E)</f>
        <v>0</v>
      </c>
      <c r="H177" s="4">
        <f>SUMIF('Simpanan Sukarela'!C:C,'All Simpanan '!C:C,'Simpanan Sukarela'!E:E)</f>
        <v>0</v>
      </c>
      <c r="I177" s="4">
        <f>SUMIF('Simpanan Sukarela Berjangka'!B:B,'All Simpanan '!C:C,'Simpanan Sukarela Berjangka'!K:K)</f>
        <v>0</v>
      </c>
      <c r="J177" s="4">
        <f t="shared" si="2"/>
        <v>0</v>
      </c>
      <c r="K177" s="35" t="s">
        <v>1578</v>
      </c>
    </row>
    <row r="178" spans="1:11" ht="15.5" x14ac:dyDescent="0.35">
      <c r="A178" s="5">
        <v>176</v>
      </c>
      <c r="B178" s="6" t="s">
        <v>430</v>
      </c>
      <c r="C178" s="7" t="s">
        <v>431</v>
      </c>
      <c r="D178" s="8" t="s">
        <v>98</v>
      </c>
      <c r="E178" s="8">
        <f>SUMIF('Simpanan Wajib'!C:C,'All Simpanan '!C:C,'Simpanan Wajib'!E:E)</f>
        <v>0</v>
      </c>
      <c r="F178" s="4">
        <f>SUMIF('Simpanan Pokok'!C:C,'All Simpanan '!C:C,'Simpanan Pokok'!E:E)</f>
        <v>0</v>
      </c>
      <c r="G178" s="4">
        <f>SUMIF('Simpanan Khusus'!C:C,'All Simpanan '!C:C,'Simpanan Khusus'!E:E)</f>
        <v>0</v>
      </c>
      <c r="H178" s="4">
        <f>SUMIF('Simpanan Sukarela'!C:C,'All Simpanan '!C:C,'Simpanan Sukarela'!E:E)</f>
        <v>-5.1250097341835499E-2</v>
      </c>
      <c r="I178" s="4">
        <f>SUMIF('Simpanan Sukarela Berjangka'!B:B,'All Simpanan '!C:C,'Simpanan Sukarela Berjangka'!K:K)</f>
        <v>0</v>
      </c>
      <c r="J178" s="4">
        <f t="shared" si="2"/>
        <v>-5.1250097341835499E-2</v>
      </c>
      <c r="K178" s="35" t="s">
        <v>1576</v>
      </c>
    </row>
    <row r="179" spans="1:11" ht="15.5" x14ac:dyDescent="0.35">
      <c r="A179" s="5">
        <v>177</v>
      </c>
      <c r="B179" s="6" t="s">
        <v>432</v>
      </c>
      <c r="C179" s="7" t="s">
        <v>433</v>
      </c>
      <c r="D179" s="8" t="s">
        <v>108</v>
      </c>
      <c r="E179" s="8">
        <f>SUMIF('Simpanan Wajib'!C:C,'All Simpanan '!C:C,'Simpanan Wajib'!E:E)</f>
        <v>0</v>
      </c>
      <c r="F179" s="4">
        <f>SUMIF('Simpanan Pokok'!C:C,'All Simpanan '!C:C,'Simpanan Pokok'!E:E)</f>
        <v>0</v>
      </c>
      <c r="G179" s="4">
        <f>SUMIF('Simpanan Khusus'!C:C,'All Simpanan '!C:C,'Simpanan Khusus'!E:E)</f>
        <v>0</v>
      </c>
      <c r="H179" s="4">
        <f>SUMIF('Simpanan Sukarela'!C:C,'All Simpanan '!C:C,'Simpanan Sukarela'!E:E)</f>
        <v>3975625.3373103444</v>
      </c>
      <c r="I179" s="4">
        <f>SUMIF('Simpanan Sukarela Berjangka'!B:B,'All Simpanan '!C:C,'Simpanan Sukarela Berjangka'!K:K)</f>
        <v>0</v>
      </c>
      <c r="J179" s="4">
        <f t="shared" si="2"/>
        <v>3975625.3373103444</v>
      </c>
      <c r="K179" s="35" t="s">
        <v>1579</v>
      </c>
    </row>
    <row r="180" spans="1:11" ht="15.5" x14ac:dyDescent="0.35">
      <c r="A180" s="5">
        <v>178</v>
      </c>
      <c r="B180" s="6" t="s">
        <v>434</v>
      </c>
      <c r="C180" s="7" t="s">
        <v>435</v>
      </c>
      <c r="D180" s="8" t="s">
        <v>77</v>
      </c>
      <c r="E180" s="8">
        <f>SUMIF('Simpanan Wajib'!C:C,'All Simpanan '!C:C,'Simpanan Wajib'!E:E)</f>
        <v>0</v>
      </c>
      <c r="F180" s="4">
        <f>SUMIF('Simpanan Pokok'!C:C,'All Simpanan '!C:C,'Simpanan Pokok'!E:E)</f>
        <v>0</v>
      </c>
      <c r="G180" s="4">
        <f>SUMIF('Simpanan Khusus'!C:C,'All Simpanan '!C:C,'Simpanan Khusus'!E:E)</f>
        <v>0</v>
      </c>
      <c r="H180" s="4">
        <f>SUMIF('Simpanan Sukarela'!C:C,'All Simpanan '!C:C,'Simpanan Sukarela'!E:E)</f>
        <v>859479</v>
      </c>
      <c r="I180" s="4">
        <f>SUMIF('Simpanan Sukarela Berjangka'!B:B,'All Simpanan '!C:C,'Simpanan Sukarela Berjangka'!K:K)</f>
        <v>0</v>
      </c>
      <c r="J180" s="4">
        <f t="shared" si="2"/>
        <v>859479</v>
      </c>
      <c r="K180" s="35" t="s">
        <v>1578</v>
      </c>
    </row>
    <row r="181" spans="1:11" ht="15.5" x14ac:dyDescent="0.35">
      <c r="A181" s="5">
        <v>179</v>
      </c>
      <c r="B181" s="6" t="s">
        <v>436</v>
      </c>
      <c r="C181" s="7" t="s">
        <v>437</v>
      </c>
      <c r="D181" s="8" t="s">
        <v>198</v>
      </c>
      <c r="E181" s="8">
        <f>SUMIF('Simpanan Wajib'!C:C,'All Simpanan '!C:C,'Simpanan Wajib'!E:E)</f>
        <v>0</v>
      </c>
      <c r="F181" s="4">
        <f>SUMIF('Simpanan Pokok'!C:C,'All Simpanan '!C:C,'Simpanan Pokok'!E:E)</f>
        <v>0</v>
      </c>
      <c r="G181" s="4">
        <f>SUMIF('Simpanan Khusus'!C:C,'All Simpanan '!C:C,'Simpanan Khusus'!E:E)</f>
        <v>0</v>
      </c>
      <c r="H181" s="4">
        <f>SUMIF('Simpanan Sukarela'!C:C,'All Simpanan '!C:C,'Simpanan Sukarela'!E:E)</f>
        <v>0</v>
      </c>
      <c r="I181" s="4">
        <f>SUMIF('Simpanan Sukarela Berjangka'!B:B,'All Simpanan '!C:C,'Simpanan Sukarela Berjangka'!K:K)</f>
        <v>0</v>
      </c>
      <c r="J181" s="4">
        <f t="shared" si="2"/>
        <v>0</v>
      </c>
      <c r="K181" s="35" t="s">
        <v>1578</v>
      </c>
    </row>
    <row r="182" spans="1:11" ht="15.5" x14ac:dyDescent="0.35">
      <c r="A182" s="5">
        <v>180</v>
      </c>
      <c r="B182" s="6" t="s">
        <v>438</v>
      </c>
      <c r="C182" s="7" t="s">
        <v>439</v>
      </c>
      <c r="D182" s="8" t="s">
        <v>55</v>
      </c>
      <c r="E182" s="8">
        <f>SUMIF('Simpanan Wajib'!C:C,'All Simpanan '!C:C,'Simpanan Wajib'!E:E)</f>
        <v>0</v>
      </c>
      <c r="F182" s="4">
        <f>SUMIF('Simpanan Pokok'!C:C,'All Simpanan '!C:C,'Simpanan Pokok'!E:E)</f>
        <v>0</v>
      </c>
      <c r="G182" s="4">
        <f>SUMIF('Simpanan Khusus'!C:C,'All Simpanan '!C:C,'Simpanan Khusus'!E:E)</f>
        <v>0</v>
      </c>
      <c r="H182" s="4">
        <f>SUMIF('Simpanan Sukarela'!C:C,'All Simpanan '!C:C,'Simpanan Sukarela'!E:E)</f>
        <v>0</v>
      </c>
      <c r="I182" s="4">
        <f>SUMIF('Simpanan Sukarela Berjangka'!B:B,'All Simpanan '!C:C,'Simpanan Sukarela Berjangka'!K:K)</f>
        <v>0</v>
      </c>
      <c r="J182" s="4">
        <f t="shared" si="2"/>
        <v>0</v>
      </c>
      <c r="K182" s="35" t="s">
        <v>1576</v>
      </c>
    </row>
    <row r="183" spans="1:11" ht="15.5" x14ac:dyDescent="0.35">
      <c r="A183" s="5">
        <v>181</v>
      </c>
      <c r="B183" s="6" t="s">
        <v>440</v>
      </c>
      <c r="C183" s="7" t="s">
        <v>441</v>
      </c>
      <c r="D183" s="8" t="s">
        <v>22</v>
      </c>
      <c r="E183" s="8">
        <f>SUMIF('Simpanan Wajib'!C:C,'All Simpanan '!C:C,'Simpanan Wajib'!E:E)</f>
        <v>21095858</v>
      </c>
      <c r="F183" s="4">
        <f>SUMIF('Simpanan Pokok'!C:C,'All Simpanan '!C:C,'Simpanan Pokok'!E:E)</f>
        <v>5000</v>
      </c>
      <c r="G183" s="4">
        <f>SUMIF('Simpanan Khusus'!C:C,'All Simpanan '!C:C,'Simpanan Khusus'!E:E)</f>
        <v>880000</v>
      </c>
      <c r="H183" s="4">
        <f>SUMIF('Simpanan Sukarela'!C:C,'All Simpanan '!C:C,'Simpanan Sukarela'!E:E)</f>
        <v>2590649.5204737359</v>
      </c>
      <c r="I183" s="4">
        <f>SUMIF('Simpanan Sukarela Berjangka'!B:B,'All Simpanan '!C:C,'Simpanan Sukarela Berjangka'!K:K)</f>
        <v>0</v>
      </c>
      <c r="J183" s="4">
        <f t="shared" si="2"/>
        <v>24571507.520473737</v>
      </c>
      <c r="K183" s="35" t="s">
        <v>1579</v>
      </c>
    </row>
    <row r="184" spans="1:11" ht="15.5" x14ac:dyDescent="0.35">
      <c r="A184" s="5">
        <v>182</v>
      </c>
      <c r="B184" s="6" t="s">
        <v>442</v>
      </c>
      <c r="C184" s="7" t="s">
        <v>443</v>
      </c>
      <c r="D184" s="8" t="s">
        <v>72</v>
      </c>
      <c r="E184" s="8">
        <f>SUMIF('Simpanan Wajib'!C:C,'All Simpanan '!C:C,'Simpanan Wajib'!E:E)</f>
        <v>45192947</v>
      </c>
      <c r="F184" s="4">
        <f>SUMIF('Simpanan Pokok'!C:C,'All Simpanan '!C:C,'Simpanan Pokok'!E:E)</f>
        <v>5000</v>
      </c>
      <c r="G184" s="4">
        <f>SUMIF('Simpanan Khusus'!C:C,'All Simpanan '!C:C,'Simpanan Khusus'!E:E)</f>
        <v>30000</v>
      </c>
      <c r="H184" s="4">
        <f>SUMIF('Simpanan Sukarela'!C:C,'All Simpanan '!C:C,'Simpanan Sukarela'!E:E)</f>
        <v>4251986.876615366</v>
      </c>
      <c r="I184" s="4">
        <f>SUMIF('Simpanan Sukarela Berjangka'!B:B,'All Simpanan '!C:C,'Simpanan Sukarela Berjangka'!K:K)</f>
        <v>0</v>
      </c>
      <c r="J184" s="4">
        <f t="shared" si="2"/>
        <v>49479933.876615368</v>
      </c>
      <c r="K184" s="35" t="s">
        <v>1579</v>
      </c>
    </row>
    <row r="185" spans="1:11" ht="15.5" x14ac:dyDescent="0.35">
      <c r="A185" s="5">
        <v>183</v>
      </c>
      <c r="B185" s="6" t="s">
        <v>444</v>
      </c>
      <c r="C185" s="7" t="s">
        <v>445</v>
      </c>
      <c r="D185" s="8" t="s">
        <v>446</v>
      </c>
      <c r="E185" s="8">
        <f>SUMIF('Simpanan Wajib'!C:C,'All Simpanan '!C:C,'Simpanan Wajib'!E:E)</f>
        <v>0</v>
      </c>
      <c r="F185" s="4">
        <f>SUMIF('Simpanan Pokok'!C:C,'All Simpanan '!C:C,'Simpanan Pokok'!E:E)</f>
        <v>0</v>
      </c>
      <c r="G185" s="4">
        <f>SUMIF('Simpanan Khusus'!C:C,'All Simpanan '!C:C,'Simpanan Khusus'!E:E)</f>
        <v>0</v>
      </c>
      <c r="H185" s="4">
        <f>SUMIF('Simpanan Sukarela'!C:C,'All Simpanan '!C:C,'Simpanan Sukarela'!E:E)</f>
        <v>0.13584585255011916</v>
      </c>
      <c r="I185" s="4">
        <f>SUMIF('Simpanan Sukarela Berjangka'!B:B,'All Simpanan '!C:C,'Simpanan Sukarela Berjangka'!K:K)</f>
        <v>0</v>
      </c>
      <c r="J185" s="4">
        <f t="shared" si="2"/>
        <v>0.13584585255011916</v>
      </c>
      <c r="K185" s="35" t="s">
        <v>1576</v>
      </c>
    </row>
    <row r="186" spans="1:11" ht="15.5" x14ac:dyDescent="0.35">
      <c r="A186" s="5">
        <v>184</v>
      </c>
      <c r="B186" s="6" t="s">
        <v>447</v>
      </c>
      <c r="C186" s="7" t="s">
        <v>448</v>
      </c>
      <c r="D186" s="8" t="s">
        <v>136</v>
      </c>
      <c r="E186" s="8">
        <f>SUMIF('Simpanan Wajib'!C:C,'All Simpanan '!C:C,'Simpanan Wajib'!E:E)</f>
        <v>0</v>
      </c>
      <c r="F186" s="4">
        <f>SUMIF('Simpanan Pokok'!C:C,'All Simpanan '!C:C,'Simpanan Pokok'!E:E)</f>
        <v>0</v>
      </c>
      <c r="G186" s="4">
        <f>SUMIF('Simpanan Khusus'!C:C,'All Simpanan '!C:C,'Simpanan Khusus'!E:E)</f>
        <v>0</v>
      </c>
      <c r="H186" s="4">
        <f>SUMIF('Simpanan Sukarela'!C:C,'All Simpanan '!C:C,'Simpanan Sukarela'!E:E)</f>
        <v>0</v>
      </c>
      <c r="I186" s="4">
        <f>SUMIF('Simpanan Sukarela Berjangka'!B:B,'All Simpanan '!C:C,'Simpanan Sukarela Berjangka'!K:K)</f>
        <v>0</v>
      </c>
      <c r="J186" s="4">
        <f t="shared" si="2"/>
        <v>0</v>
      </c>
      <c r="K186" s="35" t="s">
        <v>1578</v>
      </c>
    </row>
    <row r="187" spans="1:11" ht="15.5" x14ac:dyDescent="0.35">
      <c r="A187" s="5">
        <v>185</v>
      </c>
      <c r="B187" s="6" t="s">
        <v>449</v>
      </c>
      <c r="C187" s="7" t="s">
        <v>450</v>
      </c>
      <c r="D187" s="8" t="s">
        <v>238</v>
      </c>
      <c r="E187" s="8">
        <f>SUMIF('Simpanan Wajib'!C:C,'All Simpanan '!C:C,'Simpanan Wajib'!E:E)</f>
        <v>41697316</v>
      </c>
      <c r="F187" s="4">
        <f>SUMIF('Simpanan Pokok'!C:C,'All Simpanan '!C:C,'Simpanan Pokok'!E:E)</f>
        <v>5000</v>
      </c>
      <c r="G187" s="4">
        <f>SUMIF('Simpanan Khusus'!C:C,'All Simpanan '!C:C,'Simpanan Khusus'!E:E)</f>
        <v>1125000</v>
      </c>
      <c r="H187" s="4">
        <f>SUMIF('Simpanan Sukarela'!C:C,'All Simpanan '!C:C,'Simpanan Sukarela'!E:E)</f>
        <v>5871373.6705754716</v>
      </c>
      <c r="I187" s="4">
        <f>SUMIF('Simpanan Sukarela Berjangka'!B:B,'All Simpanan '!C:C,'Simpanan Sukarela Berjangka'!K:K)</f>
        <v>0</v>
      </c>
      <c r="J187" s="4">
        <f t="shared" si="2"/>
        <v>48698689.67057547</v>
      </c>
      <c r="K187" s="35" t="s">
        <v>1579</v>
      </c>
    </row>
    <row r="188" spans="1:11" ht="15.5" x14ac:dyDescent="0.35">
      <c r="A188" s="5">
        <v>186</v>
      </c>
      <c r="B188" s="6" t="s">
        <v>451</v>
      </c>
      <c r="C188" s="7" t="s">
        <v>452</v>
      </c>
      <c r="D188" s="8" t="s">
        <v>303</v>
      </c>
      <c r="E188" s="8">
        <f>SUMIF('Simpanan Wajib'!C:C,'All Simpanan '!C:C,'Simpanan Wajib'!E:E)</f>
        <v>30687151</v>
      </c>
      <c r="F188" s="4">
        <f>SUMIF('Simpanan Pokok'!C:C,'All Simpanan '!C:C,'Simpanan Pokok'!E:E)</f>
        <v>5000</v>
      </c>
      <c r="G188" s="4">
        <f>SUMIF('Simpanan Khusus'!C:C,'All Simpanan '!C:C,'Simpanan Khusus'!E:E)</f>
        <v>2196000</v>
      </c>
      <c r="H188" s="4">
        <f>SUMIF('Simpanan Sukarela'!C:C,'All Simpanan '!C:C,'Simpanan Sukarela'!E:E)</f>
        <v>6466856.8555260664</v>
      </c>
      <c r="I188" s="4">
        <f>SUMIF('Simpanan Sukarela Berjangka'!B:B,'All Simpanan '!C:C,'Simpanan Sukarela Berjangka'!K:K)</f>
        <v>0</v>
      </c>
      <c r="J188" s="4">
        <f t="shared" si="2"/>
        <v>39355007.855526067</v>
      </c>
      <c r="K188" s="35" t="s">
        <v>1579</v>
      </c>
    </row>
    <row r="189" spans="1:11" ht="15.5" x14ac:dyDescent="0.35">
      <c r="A189" s="5">
        <v>187</v>
      </c>
      <c r="B189" s="6" t="s">
        <v>453</v>
      </c>
      <c r="C189" s="7" t="s">
        <v>454</v>
      </c>
      <c r="D189" s="8" t="s">
        <v>83</v>
      </c>
      <c r="E189" s="8">
        <f>SUMIF('Simpanan Wajib'!C:C,'All Simpanan '!C:C,'Simpanan Wajib'!E:E)</f>
        <v>22739393</v>
      </c>
      <c r="F189" s="4">
        <f>SUMIF('Simpanan Pokok'!C:C,'All Simpanan '!C:C,'Simpanan Pokok'!E:E)</f>
        <v>5000</v>
      </c>
      <c r="G189" s="4">
        <f>SUMIF('Simpanan Khusus'!C:C,'All Simpanan '!C:C,'Simpanan Khusus'!E:E)</f>
        <v>200000</v>
      </c>
      <c r="H189" s="4">
        <f>SUMIF('Simpanan Sukarela'!C:C,'All Simpanan '!C:C,'Simpanan Sukarela'!E:E)</f>
        <v>8112913.1270996975</v>
      </c>
      <c r="I189" s="4">
        <f>SUMIF('Simpanan Sukarela Berjangka'!B:B,'All Simpanan '!C:C,'Simpanan Sukarela Berjangka'!K:K)</f>
        <v>0</v>
      </c>
      <c r="J189" s="4">
        <f t="shared" si="2"/>
        <v>31057306.127099697</v>
      </c>
      <c r="K189" s="35" t="s">
        <v>1579</v>
      </c>
    </row>
    <row r="190" spans="1:11" ht="15.5" x14ac:dyDescent="0.35">
      <c r="A190" s="5">
        <v>188</v>
      </c>
      <c r="B190" s="6" t="s">
        <v>455</v>
      </c>
      <c r="C190" s="7" t="s">
        <v>456</v>
      </c>
      <c r="D190" s="8" t="s">
        <v>457</v>
      </c>
      <c r="E190" s="8">
        <f>SUMIF('Simpanan Wajib'!C:C,'All Simpanan '!C:C,'Simpanan Wajib'!E:E)</f>
        <v>0</v>
      </c>
      <c r="F190" s="4">
        <f>SUMIF('Simpanan Pokok'!C:C,'All Simpanan '!C:C,'Simpanan Pokok'!E:E)</f>
        <v>0</v>
      </c>
      <c r="G190" s="4">
        <f>SUMIF('Simpanan Khusus'!C:C,'All Simpanan '!C:C,'Simpanan Khusus'!E:E)</f>
        <v>0</v>
      </c>
      <c r="H190" s="4">
        <f>SUMIF('Simpanan Sukarela'!C:C,'All Simpanan '!C:C,'Simpanan Sukarela'!E:E)</f>
        <v>0</v>
      </c>
      <c r="I190" s="4">
        <f>SUMIF('Simpanan Sukarela Berjangka'!B:B,'All Simpanan '!C:C,'Simpanan Sukarela Berjangka'!K:K)</f>
        <v>0</v>
      </c>
      <c r="J190" s="4">
        <f t="shared" si="2"/>
        <v>0</v>
      </c>
      <c r="K190" s="35" t="s">
        <v>1576</v>
      </c>
    </row>
    <row r="191" spans="1:11" ht="15.5" x14ac:dyDescent="0.35">
      <c r="A191" s="5">
        <v>189</v>
      </c>
      <c r="B191" s="6" t="s">
        <v>458</v>
      </c>
      <c r="C191" s="7" t="s">
        <v>459</v>
      </c>
      <c r="D191" s="8" t="s">
        <v>108</v>
      </c>
      <c r="E191" s="8">
        <f>SUMIF('Simpanan Wajib'!C:C,'All Simpanan '!C:C,'Simpanan Wajib'!E:E)</f>
        <v>0</v>
      </c>
      <c r="F191" s="4">
        <f>SUMIF('Simpanan Pokok'!C:C,'All Simpanan '!C:C,'Simpanan Pokok'!E:E)</f>
        <v>0</v>
      </c>
      <c r="G191" s="4">
        <f>SUMIF('Simpanan Khusus'!C:C,'All Simpanan '!C:C,'Simpanan Khusus'!E:E)</f>
        <v>0</v>
      </c>
      <c r="H191" s="4">
        <f>SUMIF('Simpanan Sukarela'!C:C,'All Simpanan '!C:C,'Simpanan Sukarela'!E:E)</f>
        <v>0</v>
      </c>
      <c r="I191" s="4">
        <f>SUMIF('Simpanan Sukarela Berjangka'!B:B,'All Simpanan '!C:C,'Simpanan Sukarela Berjangka'!K:K)</f>
        <v>0</v>
      </c>
      <c r="J191" s="4">
        <f t="shared" si="2"/>
        <v>0</v>
      </c>
      <c r="K191" s="35" t="s">
        <v>1579</v>
      </c>
    </row>
    <row r="192" spans="1:11" ht="15.5" x14ac:dyDescent="0.35">
      <c r="A192" s="5">
        <v>190</v>
      </c>
      <c r="B192" s="6" t="s">
        <v>460</v>
      </c>
      <c r="C192" s="7" t="s">
        <v>461</v>
      </c>
      <c r="D192" s="8" t="s">
        <v>95</v>
      </c>
      <c r="E192" s="8">
        <f>SUMIF('Simpanan Wajib'!C:C,'All Simpanan '!C:C,'Simpanan Wajib'!E:E)</f>
        <v>0</v>
      </c>
      <c r="F192" s="4">
        <f>SUMIF('Simpanan Pokok'!C:C,'All Simpanan '!C:C,'Simpanan Pokok'!E:E)</f>
        <v>0</v>
      </c>
      <c r="G192" s="4">
        <f>SUMIF('Simpanan Khusus'!C:C,'All Simpanan '!C:C,'Simpanan Khusus'!E:E)</f>
        <v>0</v>
      </c>
      <c r="H192" s="4">
        <f>SUMIF('Simpanan Sukarela'!C:C,'All Simpanan '!C:C,'Simpanan Sukarela'!E:E)</f>
        <v>0</v>
      </c>
      <c r="I192" s="4">
        <f>SUMIF('Simpanan Sukarela Berjangka'!B:B,'All Simpanan '!C:C,'Simpanan Sukarela Berjangka'!K:K)</f>
        <v>0</v>
      </c>
      <c r="J192" s="4">
        <f t="shared" si="2"/>
        <v>0</v>
      </c>
      <c r="K192" s="35" t="s">
        <v>1579</v>
      </c>
    </row>
    <row r="193" spans="1:11" ht="15.5" x14ac:dyDescent="0.35">
      <c r="A193" s="5">
        <v>191</v>
      </c>
      <c r="B193" s="6" t="s">
        <v>462</v>
      </c>
      <c r="C193" s="7" t="s">
        <v>463</v>
      </c>
      <c r="D193" s="8" t="s">
        <v>41</v>
      </c>
      <c r="E193" s="8">
        <f>SUMIF('Simpanan Wajib'!C:C,'All Simpanan '!C:C,'Simpanan Wajib'!E:E)</f>
        <v>0</v>
      </c>
      <c r="F193" s="4">
        <f>SUMIF('Simpanan Pokok'!C:C,'All Simpanan '!C:C,'Simpanan Pokok'!E:E)</f>
        <v>0</v>
      </c>
      <c r="G193" s="4">
        <f>SUMIF('Simpanan Khusus'!C:C,'All Simpanan '!C:C,'Simpanan Khusus'!E:E)</f>
        <v>0</v>
      </c>
      <c r="H193" s="4">
        <f>SUMIF('Simpanan Sukarela'!C:C,'All Simpanan '!C:C,'Simpanan Sukarela'!E:E)</f>
        <v>394969.28762412979</v>
      </c>
      <c r="I193" s="4">
        <f>SUMIF('Simpanan Sukarela Berjangka'!B:B,'All Simpanan '!C:C,'Simpanan Sukarela Berjangka'!K:K)</f>
        <v>0</v>
      </c>
      <c r="J193" s="4">
        <f t="shared" si="2"/>
        <v>394969.28762412979</v>
      </c>
      <c r="K193" s="35" t="s">
        <v>1578</v>
      </c>
    </row>
    <row r="194" spans="1:11" ht="15.5" x14ac:dyDescent="0.35">
      <c r="A194" s="5">
        <v>192</v>
      </c>
      <c r="B194" s="6" t="s">
        <v>464</v>
      </c>
      <c r="C194" s="7" t="s">
        <v>465</v>
      </c>
      <c r="D194" s="8" t="s">
        <v>198</v>
      </c>
      <c r="E194" s="8">
        <f>SUMIF('Simpanan Wajib'!C:C,'All Simpanan '!C:C,'Simpanan Wajib'!E:E)</f>
        <v>0</v>
      </c>
      <c r="F194" s="4">
        <f>SUMIF('Simpanan Pokok'!C:C,'All Simpanan '!C:C,'Simpanan Pokok'!E:E)</f>
        <v>0</v>
      </c>
      <c r="G194" s="4">
        <f>SUMIF('Simpanan Khusus'!C:C,'All Simpanan '!C:C,'Simpanan Khusus'!E:E)</f>
        <v>0</v>
      </c>
      <c r="H194" s="4">
        <f>SUMIF('Simpanan Sukarela'!C:C,'All Simpanan '!C:C,'Simpanan Sukarela'!E:E)</f>
        <v>4781035.2108760495</v>
      </c>
      <c r="I194" s="4">
        <f>SUMIF('Simpanan Sukarela Berjangka'!B:B,'All Simpanan '!C:C,'Simpanan Sukarela Berjangka'!K:K)</f>
        <v>0</v>
      </c>
      <c r="J194" s="4">
        <f t="shared" si="2"/>
        <v>4781035.2108760495</v>
      </c>
      <c r="K194" s="35" t="s">
        <v>1579</v>
      </c>
    </row>
    <row r="195" spans="1:11" ht="15.5" x14ac:dyDescent="0.35">
      <c r="A195" s="5">
        <v>193</v>
      </c>
      <c r="B195" s="6" t="s">
        <v>466</v>
      </c>
      <c r="C195" s="7" t="s">
        <v>467</v>
      </c>
      <c r="D195" s="8" t="s">
        <v>128</v>
      </c>
      <c r="E195" s="8">
        <f>SUMIF('Simpanan Wajib'!C:C,'All Simpanan '!C:C,'Simpanan Wajib'!E:E)</f>
        <v>0</v>
      </c>
      <c r="F195" s="4">
        <f>SUMIF('Simpanan Pokok'!C:C,'All Simpanan '!C:C,'Simpanan Pokok'!E:E)</f>
        <v>0</v>
      </c>
      <c r="G195" s="4">
        <f>SUMIF('Simpanan Khusus'!C:C,'All Simpanan '!C:C,'Simpanan Khusus'!E:E)</f>
        <v>0</v>
      </c>
      <c r="H195" s="4">
        <f>SUMIF('Simpanan Sukarela'!C:C,'All Simpanan '!C:C,'Simpanan Sukarela'!E:E)</f>
        <v>0</v>
      </c>
      <c r="I195" s="4">
        <f>SUMIF('Simpanan Sukarela Berjangka'!B:B,'All Simpanan '!C:C,'Simpanan Sukarela Berjangka'!K:K)</f>
        <v>0</v>
      </c>
      <c r="J195" s="4">
        <f t="shared" si="2"/>
        <v>0</v>
      </c>
      <c r="K195" s="35" t="s">
        <v>1579</v>
      </c>
    </row>
    <row r="196" spans="1:11" ht="15.5" x14ac:dyDescent="0.35">
      <c r="A196" s="5">
        <v>194</v>
      </c>
      <c r="B196" s="6" t="s">
        <v>468</v>
      </c>
      <c r="C196" s="7" t="s">
        <v>469</v>
      </c>
      <c r="D196" s="8" t="s">
        <v>367</v>
      </c>
      <c r="E196" s="8">
        <f>SUMIF('Simpanan Wajib'!C:C,'All Simpanan '!C:C,'Simpanan Wajib'!E:E)</f>
        <v>0</v>
      </c>
      <c r="F196" s="4">
        <f>SUMIF('Simpanan Pokok'!C:C,'All Simpanan '!C:C,'Simpanan Pokok'!E:E)</f>
        <v>0</v>
      </c>
      <c r="G196" s="4">
        <f>SUMIF('Simpanan Khusus'!C:C,'All Simpanan '!C:C,'Simpanan Khusus'!E:E)</f>
        <v>0</v>
      </c>
      <c r="H196" s="4">
        <f>SUMIF('Simpanan Sukarela'!C:C,'All Simpanan '!C:C,'Simpanan Sukarela'!E:E)</f>
        <v>0</v>
      </c>
      <c r="I196" s="4">
        <f>SUMIF('Simpanan Sukarela Berjangka'!B:B,'All Simpanan '!C:C,'Simpanan Sukarela Berjangka'!K:K)</f>
        <v>0</v>
      </c>
      <c r="J196" s="4">
        <f t="shared" ref="J196:J259" si="3">SUM(E196:I196)</f>
        <v>0</v>
      </c>
      <c r="K196" s="35" t="s">
        <v>1579</v>
      </c>
    </row>
    <row r="197" spans="1:11" ht="15.5" x14ac:dyDescent="0.35">
      <c r="A197" s="5">
        <v>195</v>
      </c>
      <c r="B197" s="6" t="s">
        <v>470</v>
      </c>
      <c r="C197" s="7" t="s">
        <v>471</v>
      </c>
      <c r="D197" s="8" t="s">
        <v>429</v>
      </c>
      <c r="E197" s="8">
        <f>SUMIF('Simpanan Wajib'!C:C,'All Simpanan '!C:C,'Simpanan Wajib'!E:E)</f>
        <v>0</v>
      </c>
      <c r="F197" s="4">
        <f>SUMIF('Simpanan Pokok'!C:C,'All Simpanan '!C:C,'Simpanan Pokok'!E:E)</f>
        <v>0</v>
      </c>
      <c r="G197" s="4">
        <f>SUMIF('Simpanan Khusus'!C:C,'All Simpanan '!C:C,'Simpanan Khusus'!E:E)</f>
        <v>0</v>
      </c>
      <c r="H197" s="4">
        <f>SUMIF('Simpanan Sukarela'!C:C,'All Simpanan '!C:C,'Simpanan Sukarela'!E:E)</f>
        <v>0</v>
      </c>
      <c r="I197" s="4">
        <f>SUMIF('Simpanan Sukarela Berjangka'!B:B,'All Simpanan '!C:C,'Simpanan Sukarela Berjangka'!K:K)</f>
        <v>0</v>
      </c>
      <c r="J197" s="4">
        <f t="shared" si="3"/>
        <v>0</v>
      </c>
      <c r="K197" s="35" t="s">
        <v>1578</v>
      </c>
    </row>
    <row r="198" spans="1:11" ht="15.5" x14ac:dyDescent="0.35">
      <c r="A198" s="5">
        <v>196</v>
      </c>
      <c r="B198" s="6" t="s">
        <v>472</v>
      </c>
      <c r="C198" s="7" t="s">
        <v>473</v>
      </c>
      <c r="D198" s="8" t="s">
        <v>474</v>
      </c>
      <c r="E198" s="8">
        <f>SUMIF('Simpanan Wajib'!C:C,'All Simpanan '!C:C,'Simpanan Wajib'!E:E)</f>
        <v>0</v>
      </c>
      <c r="F198" s="4">
        <f>SUMIF('Simpanan Pokok'!C:C,'All Simpanan '!C:C,'Simpanan Pokok'!E:E)</f>
        <v>0</v>
      </c>
      <c r="G198" s="4">
        <f>SUMIF('Simpanan Khusus'!C:C,'All Simpanan '!C:C,'Simpanan Khusus'!E:E)</f>
        <v>0</v>
      </c>
      <c r="H198" s="4">
        <f>SUMIF('Simpanan Sukarela'!C:C,'All Simpanan '!C:C,'Simpanan Sukarela'!E:E)</f>
        <v>0</v>
      </c>
      <c r="I198" s="4">
        <f>SUMIF('Simpanan Sukarela Berjangka'!B:B,'All Simpanan '!C:C,'Simpanan Sukarela Berjangka'!K:K)</f>
        <v>0</v>
      </c>
      <c r="J198" s="4">
        <f t="shared" si="3"/>
        <v>0</v>
      </c>
      <c r="K198" s="35" t="s">
        <v>1578</v>
      </c>
    </row>
    <row r="199" spans="1:11" ht="15.5" x14ac:dyDescent="0.35">
      <c r="A199" s="5">
        <v>197</v>
      </c>
      <c r="B199" s="6" t="s">
        <v>475</v>
      </c>
      <c r="C199" s="7" t="s">
        <v>476</v>
      </c>
      <c r="D199" s="8" t="s">
        <v>60</v>
      </c>
      <c r="E199" s="8">
        <f>SUMIF('Simpanan Wajib'!C:C,'All Simpanan '!C:C,'Simpanan Wajib'!E:E)</f>
        <v>0</v>
      </c>
      <c r="F199" s="4">
        <f>SUMIF('Simpanan Pokok'!C:C,'All Simpanan '!C:C,'Simpanan Pokok'!E:E)</f>
        <v>0</v>
      </c>
      <c r="G199" s="4">
        <f>SUMIF('Simpanan Khusus'!C:C,'All Simpanan '!C:C,'Simpanan Khusus'!E:E)</f>
        <v>0</v>
      </c>
      <c r="H199" s="4">
        <f>SUMIF('Simpanan Sukarela'!C:C,'All Simpanan '!C:C,'Simpanan Sukarela'!E:E)</f>
        <v>45074.087555309758</v>
      </c>
      <c r="I199" s="4">
        <f>SUMIF('Simpanan Sukarela Berjangka'!B:B,'All Simpanan '!C:C,'Simpanan Sukarela Berjangka'!K:K)</f>
        <v>0</v>
      </c>
      <c r="J199" s="4">
        <f t="shared" si="3"/>
        <v>45074.087555309758</v>
      </c>
      <c r="K199" s="35" t="s">
        <v>1578</v>
      </c>
    </row>
    <row r="200" spans="1:11" ht="15.5" x14ac:dyDescent="0.35">
      <c r="A200" s="5">
        <v>198</v>
      </c>
      <c r="B200" s="6" t="s">
        <v>477</v>
      </c>
      <c r="C200" s="7" t="s">
        <v>478</v>
      </c>
      <c r="D200" s="8" t="s">
        <v>103</v>
      </c>
      <c r="E200" s="8">
        <f>SUMIF('Simpanan Wajib'!C:C,'All Simpanan '!C:C,'Simpanan Wajib'!E:E)</f>
        <v>0</v>
      </c>
      <c r="F200" s="4">
        <f>SUMIF('Simpanan Pokok'!C:C,'All Simpanan '!C:C,'Simpanan Pokok'!E:E)</f>
        <v>0</v>
      </c>
      <c r="G200" s="4">
        <f>SUMIF('Simpanan Khusus'!C:C,'All Simpanan '!C:C,'Simpanan Khusus'!E:E)</f>
        <v>0</v>
      </c>
      <c r="H200" s="4">
        <f>SUMIF('Simpanan Sukarela'!C:C,'All Simpanan '!C:C,'Simpanan Sukarela'!E:E)</f>
        <v>0</v>
      </c>
      <c r="I200" s="4">
        <f>SUMIF('Simpanan Sukarela Berjangka'!B:B,'All Simpanan '!C:C,'Simpanan Sukarela Berjangka'!K:K)</f>
        <v>0</v>
      </c>
      <c r="J200" s="4">
        <f t="shared" si="3"/>
        <v>0</v>
      </c>
      <c r="K200" s="35" t="s">
        <v>1579</v>
      </c>
    </row>
    <row r="201" spans="1:11" ht="15.5" x14ac:dyDescent="0.35">
      <c r="A201" s="5">
        <v>199</v>
      </c>
      <c r="B201" s="6" t="s">
        <v>479</v>
      </c>
      <c r="C201" s="7" t="s">
        <v>480</v>
      </c>
      <c r="D201" s="8" t="s">
        <v>136</v>
      </c>
      <c r="E201" s="8">
        <f>SUMIF('Simpanan Wajib'!C:C,'All Simpanan '!C:C,'Simpanan Wajib'!E:E)</f>
        <v>0</v>
      </c>
      <c r="F201" s="4">
        <f>SUMIF('Simpanan Pokok'!C:C,'All Simpanan '!C:C,'Simpanan Pokok'!E:E)</f>
        <v>0</v>
      </c>
      <c r="G201" s="4">
        <f>SUMIF('Simpanan Khusus'!C:C,'All Simpanan '!C:C,'Simpanan Khusus'!E:E)</f>
        <v>0</v>
      </c>
      <c r="H201" s="4">
        <f>SUMIF('Simpanan Sukarela'!C:C,'All Simpanan '!C:C,'Simpanan Sukarela'!E:E)</f>
        <v>0</v>
      </c>
      <c r="I201" s="4">
        <f>SUMIF('Simpanan Sukarela Berjangka'!B:B,'All Simpanan '!C:C,'Simpanan Sukarela Berjangka'!K:K)</f>
        <v>0</v>
      </c>
      <c r="J201" s="4">
        <f t="shared" si="3"/>
        <v>0</v>
      </c>
      <c r="K201" s="35" t="s">
        <v>1579</v>
      </c>
    </row>
    <row r="202" spans="1:11" ht="15.5" x14ac:dyDescent="0.35">
      <c r="A202" s="5">
        <v>200</v>
      </c>
      <c r="B202" s="6" t="s">
        <v>481</v>
      </c>
      <c r="C202" s="7" t="s">
        <v>482</v>
      </c>
      <c r="D202" s="8" t="s">
        <v>49</v>
      </c>
      <c r="E202" s="8">
        <f>SUMIF('Simpanan Wajib'!C:C,'All Simpanan '!C:C,'Simpanan Wajib'!E:E)</f>
        <v>0</v>
      </c>
      <c r="F202" s="4">
        <f>SUMIF('Simpanan Pokok'!C:C,'All Simpanan '!C:C,'Simpanan Pokok'!E:E)</f>
        <v>0</v>
      </c>
      <c r="G202" s="4">
        <f>SUMIF('Simpanan Khusus'!C:C,'All Simpanan '!C:C,'Simpanan Khusus'!E:E)</f>
        <v>0</v>
      </c>
      <c r="H202" s="4">
        <f>SUMIF('Simpanan Sukarela'!C:C,'All Simpanan '!C:C,'Simpanan Sukarela'!E:E)</f>
        <v>139220.39223060943</v>
      </c>
      <c r="I202" s="4">
        <f>SUMIF('Simpanan Sukarela Berjangka'!B:B,'All Simpanan '!C:C,'Simpanan Sukarela Berjangka'!K:K)</f>
        <v>0</v>
      </c>
      <c r="J202" s="4">
        <f t="shared" si="3"/>
        <v>139220.39223060943</v>
      </c>
      <c r="K202" s="35" t="s">
        <v>1578</v>
      </c>
    </row>
    <row r="203" spans="1:11" ht="15.5" x14ac:dyDescent="0.35">
      <c r="A203" s="5">
        <v>201</v>
      </c>
      <c r="B203" s="6" t="s">
        <v>483</v>
      </c>
      <c r="C203" s="7" t="s">
        <v>484</v>
      </c>
      <c r="D203" s="8" t="s">
        <v>19</v>
      </c>
      <c r="E203" s="8">
        <f>SUMIF('Simpanan Wajib'!C:C,'All Simpanan '!C:C,'Simpanan Wajib'!E:E)</f>
        <v>0</v>
      </c>
      <c r="F203" s="4">
        <f>SUMIF('Simpanan Pokok'!C:C,'All Simpanan '!C:C,'Simpanan Pokok'!E:E)</f>
        <v>0</v>
      </c>
      <c r="G203" s="4">
        <f>SUMIF('Simpanan Khusus'!C:C,'All Simpanan '!C:C,'Simpanan Khusus'!E:E)</f>
        <v>0</v>
      </c>
      <c r="H203" s="4">
        <f>SUMIF('Simpanan Sukarela'!C:C,'All Simpanan '!C:C,'Simpanan Sukarela'!E:E)</f>
        <v>0</v>
      </c>
      <c r="I203" s="4">
        <f>SUMIF('Simpanan Sukarela Berjangka'!B:B,'All Simpanan '!C:C,'Simpanan Sukarela Berjangka'!K:K)</f>
        <v>0</v>
      </c>
      <c r="J203" s="4">
        <f t="shared" si="3"/>
        <v>0</v>
      </c>
      <c r="K203" s="35" t="s">
        <v>1579</v>
      </c>
    </row>
    <row r="204" spans="1:11" ht="15.5" x14ac:dyDescent="0.35">
      <c r="A204" s="5">
        <v>202</v>
      </c>
      <c r="B204" s="6" t="s">
        <v>485</v>
      </c>
      <c r="C204" s="7" t="s">
        <v>486</v>
      </c>
      <c r="D204" s="8" t="s">
        <v>215</v>
      </c>
      <c r="E204" s="8">
        <f>SUMIF('Simpanan Wajib'!C:C,'All Simpanan '!C:C,'Simpanan Wajib'!E:E)</f>
        <v>55000</v>
      </c>
      <c r="F204" s="4">
        <f>SUMIF('Simpanan Pokok'!C:C,'All Simpanan '!C:C,'Simpanan Pokok'!E:E)</f>
        <v>5000</v>
      </c>
      <c r="G204" s="4">
        <f>SUMIF('Simpanan Khusus'!C:C,'All Simpanan '!C:C,'Simpanan Khusus'!E:E)</f>
        <v>0</v>
      </c>
      <c r="H204" s="4">
        <f>SUMIF('Simpanan Sukarela'!C:C,'All Simpanan '!C:C,'Simpanan Sukarela'!E:E)</f>
        <v>309191.90988026757</v>
      </c>
      <c r="I204" s="4">
        <f>SUMIF('Simpanan Sukarela Berjangka'!B:B,'All Simpanan '!C:C,'Simpanan Sukarela Berjangka'!K:K)</f>
        <v>0</v>
      </c>
      <c r="J204" s="4">
        <f t="shared" si="3"/>
        <v>369191.90988026757</v>
      </c>
      <c r="K204" s="35" t="s">
        <v>1578</v>
      </c>
    </row>
    <row r="205" spans="1:11" ht="15.5" x14ac:dyDescent="0.35">
      <c r="A205" s="5">
        <v>203</v>
      </c>
      <c r="B205" s="6" t="s">
        <v>487</v>
      </c>
      <c r="C205" s="7" t="s">
        <v>488</v>
      </c>
      <c r="D205" s="8" t="s">
        <v>25</v>
      </c>
      <c r="E205" s="8">
        <f>SUMIF('Simpanan Wajib'!C:C,'All Simpanan '!C:C,'Simpanan Wajib'!E:E)</f>
        <v>34855222</v>
      </c>
      <c r="F205" s="4">
        <f>SUMIF('Simpanan Pokok'!C:C,'All Simpanan '!C:C,'Simpanan Pokok'!E:E)</f>
        <v>5000</v>
      </c>
      <c r="G205" s="4">
        <f>SUMIF('Simpanan Khusus'!C:C,'All Simpanan '!C:C,'Simpanan Khusus'!E:E)</f>
        <v>175000</v>
      </c>
      <c r="H205" s="4">
        <f>SUMIF('Simpanan Sukarela'!C:C,'All Simpanan '!C:C,'Simpanan Sukarela'!E:E)</f>
        <v>2345382.5432214392</v>
      </c>
      <c r="I205" s="4">
        <f>SUMIF('Simpanan Sukarela Berjangka'!B:B,'All Simpanan '!C:C,'Simpanan Sukarela Berjangka'!K:K)</f>
        <v>0</v>
      </c>
      <c r="J205" s="4">
        <f t="shared" si="3"/>
        <v>37380604.543221436</v>
      </c>
      <c r="K205" s="35" t="s">
        <v>1579</v>
      </c>
    </row>
    <row r="206" spans="1:11" ht="15.5" x14ac:dyDescent="0.35">
      <c r="A206" s="5">
        <v>204</v>
      </c>
      <c r="B206" s="6" t="s">
        <v>489</v>
      </c>
      <c r="C206" s="7" t="s">
        <v>490</v>
      </c>
      <c r="D206" s="8" t="s">
        <v>25</v>
      </c>
      <c r="E206" s="8">
        <f>SUMIF('Simpanan Wajib'!C:C,'All Simpanan '!C:C,'Simpanan Wajib'!E:E)</f>
        <v>29606383</v>
      </c>
      <c r="F206" s="4">
        <f>SUMIF('Simpanan Pokok'!C:C,'All Simpanan '!C:C,'Simpanan Pokok'!E:E)</f>
        <v>5000</v>
      </c>
      <c r="G206" s="4">
        <f>SUMIF('Simpanan Khusus'!C:C,'All Simpanan '!C:C,'Simpanan Khusus'!E:E)</f>
        <v>2490000</v>
      </c>
      <c r="H206" s="4">
        <f>SUMIF('Simpanan Sukarela'!C:C,'All Simpanan '!C:C,'Simpanan Sukarela'!E:E)</f>
        <v>2465854.421783654</v>
      </c>
      <c r="I206" s="4">
        <f>SUMIF('Simpanan Sukarela Berjangka'!B:B,'All Simpanan '!C:C,'Simpanan Sukarela Berjangka'!K:K)</f>
        <v>0</v>
      </c>
      <c r="J206" s="4">
        <f t="shared" si="3"/>
        <v>34567237.421783656</v>
      </c>
      <c r="K206" s="35" t="s">
        <v>1579</v>
      </c>
    </row>
    <row r="207" spans="1:11" ht="15.5" x14ac:dyDescent="0.35">
      <c r="A207" s="5">
        <v>205</v>
      </c>
      <c r="B207" s="6" t="s">
        <v>491</v>
      </c>
      <c r="C207" s="7" t="s">
        <v>492</v>
      </c>
      <c r="D207" s="8" t="s">
        <v>19</v>
      </c>
      <c r="E207" s="8">
        <f>SUMIF('Simpanan Wajib'!C:C,'All Simpanan '!C:C,'Simpanan Wajib'!E:E)</f>
        <v>4350000</v>
      </c>
      <c r="F207" s="4">
        <f>SUMIF('Simpanan Pokok'!C:C,'All Simpanan '!C:C,'Simpanan Pokok'!E:E)</f>
        <v>5000</v>
      </c>
      <c r="G207" s="4">
        <f>SUMIF('Simpanan Khusus'!C:C,'All Simpanan '!C:C,'Simpanan Khusus'!E:E)</f>
        <v>0</v>
      </c>
      <c r="H207" s="4">
        <f>SUMIF('Simpanan Sukarela'!C:C,'All Simpanan '!C:C,'Simpanan Sukarela'!E:E)</f>
        <v>650344.32100071316</v>
      </c>
      <c r="I207" s="4">
        <f>SUMIF('Simpanan Sukarela Berjangka'!B:B,'All Simpanan '!C:C,'Simpanan Sukarela Berjangka'!K:K)</f>
        <v>0</v>
      </c>
      <c r="J207" s="4">
        <f t="shared" si="3"/>
        <v>5005344.3210007129</v>
      </c>
      <c r="K207" s="35" t="s">
        <v>1578</v>
      </c>
    </row>
    <row r="208" spans="1:11" ht="15.5" x14ac:dyDescent="0.35">
      <c r="A208" s="5">
        <v>206</v>
      </c>
      <c r="B208" s="6" t="s">
        <v>493</v>
      </c>
      <c r="C208" s="7" t="s">
        <v>494</v>
      </c>
      <c r="D208" s="8" t="s">
        <v>95</v>
      </c>
      <c r="E208" s="8">
        <f>SUMIF('Simpanan Wajib'!C:C,'All Simpanan '!C:C,'Simpanan Wajib'!E:E)</f>
        <v>0</v>
      </c>
      <c r="F208" s="4">
        <f>SUMIF('Simpanan Pokok'!C:C,'All Simpanan '!C:C,'Simpanan Pokok'!E:E)</f>
        <v>0</v>
      </c>
      <c r="G208" s="4">
        <f>SUMIF('Simpanan Khusus'!C:C,'All Simpanan '!C:C,'Simpanan Khusus'!E:E)</f>
        <v>0</v>
      </c>
      <c r="H208" s="4">
        <f>SUMIF('Simpanan Sukarela'!C:C,'All Simpanan '!C:C,'Simpanan Sukarela'!E:E)</f>
        <v>0</v>
      </c>
      <c r="I208" s="4">
        <f>SUMIF('Simpanan Sukarela Berjangka'!B:B,'All Simpanan '!C:C,'Simpanan Sukarela Berjangka'!K:K)</f>
        <v>0</v>
      </c>
      <c r="J208" s="4">
        <f t="shared" si="3"/>
        <v>0</v>
      </c>
      <c r="K208" s="35" t="s">
        <v>1578</v>
      </c>
    </row>
    <row r="209" spans="1:11" ht="15.5" x14ac:dyDescent="0.35">
      <c r="A209" s="5">
        <v>207</v>
      </c>
      <c r="B209" s="6" t="s">
        <v>495</v>
      </c>
      <c r="C209" s="7" t="s">
        <v>496</v>
      </c>
      <c r="D209" s="8" t="s">
        <v>159</v>
      </c>
      <c r="E209" s="8">
        <f>SUMIF('Simpanan Wajib'!C:C,'All Simpanan '!C:C,'Simpanan Wajib'!E:E)</f>
        <v>145000</v>
      </c>
      <c r="F209" s="4">
        <f>SUMIF('Simpanan Pokok'!C:C,'All Simpanan '!C:C,'Simpanan Pokok'!E:E)</f>
        <v>5000</v>
      </c>
      <c r="G209" s="4">
        <f>SUMIF('Simpanan Khusus'!C:C,'All Simpanan '!C:C,'Simpanan Khusus'!E:E)</f>
        <v>0</v>
      </c>
      <c r="H209" s="4">
        <f>SUMIF('Simpanan Sukarela'!C:C,'All Simpanan '!C:C,'Simpanan Sukarela'!E:E)</f>
        <v>590481.21924797003</v>
      </c>
      <c r="I209" s="4">
        <f>SUMIF('Simpanan Sukarela Berjangka'!B:B,'All Simpanan '!C:C,'Simpanan Sukarela Berjangka'!K:K)</f>
        <v>0</v>
      </c>
      <c r="J209" s="4">
        <f t="shared" si="3"/>
        <v>740481.21924797003</v>
      </c>
      <c r="K209" s="35" t="s">
        <v>1578</v>
      </c>
    </row>
    <row r="210" spans="1:11" ht="15.5" x14ac:dyDescent="0.35">
      <c r="A210" s="5">
        <v>208</v>
      </c>
      <c r="B210" s="6" t="s">
        <v>497</v>
      </c>
      <c r="C210" s="7" t="s">
        <v>498</v>
      </c>
      <c r="D210" s="8" t="s">
        <v>49</v>
      </c>
      <c r="E210" s="8">
        <f>SUMIF('Simpanan Wajib'!C:C,'All Simpanan '!C:C,'Simpanan Wajib'!E:E)</f>
        <v>0</v>
      </c>
      <c r="F210" s="4">
        <f>SUMIF('Simpanan Pokok'!C:C,'All Simpanan '!C:C,'Simpanan Pokok'!E:E)</f>
        <v>0</v>
      </c>
      <c r="G210" s="4">
        <f>SUMIF('Simpanan Khusus'!C:C,'All Simpanan '!C:C,'Simpanan Khusus'!E:E)</f>
        <v>0</v>
      </c>
      <c r="H210" s="4">
        <f>SUMIF('Simpanan Sukarela'!C:C,'All Simpanan '!C:C,'Simpanan Sukarela'!E:E)</f>
        <v>0</v>
      </c>
      <c r="I210" s="4">
        <f>SUMIF('Simpanan Sukarela Berjangka'!B:B,'All Simpanan '!C:C,'Simpanan Sukarela Berjangka'!K:K)</f>
        <v>0</v>
      </c>
      <c r="J210" s="4">
        <f t="shared" si="3"/>
        <v>0</v>
      </c>
      <c r="K210" s="35" t="s">
        <v>1578</v>
      </c>
    </row>
    <row r="211" spans="1:11" ht="15.5" x14ac:dyDescent="0.35">
      <c r="A211" s="19">
        <v>209</v>
      </c>
      <c r="B211" s="20" t="s">
        <v>499</v>
      </c>
      <c r="C211" s="21" t="s">
        <v>500</v>
      </c>
      <c r="D211" s="22" t="s">
        <v>128</v>
      </c>
      <c r="E211" s="22">
        <f>SUMIF('Simpanan Wajib'!C:C,'All Simpanan '!C:C,'Simpanan Wajib'!E:E)</f>
        <v>36345858</v>
      </c>
      <c r="F211" s="4">
        <f>SUMIF('Simpanan Pokok'!C:C,'All Simpanan '!C:C,'Simpanan Pokok'!E:E)</f>
        <v>5000</v>
      </c>
      <c r="G211" s="4">
        <f>SUMIF('Simpanan Khusus'!C:C,'All Simpanan '!C:C,'Simpanan Khusus'!E:E)</f>
        <v>0</v>
      </c>
      <c r="H211" s="4">
        <f>SUMIF('Simpanan Sukarela'!C:C,'All Simpanan '!C:C,'Simpanan Sukarela'!E:E)</f>
        <v>2954633.5703917113</v>
      </c>
      <c r="I211" s="4">
        <f>SUMIF('Simpanan Sukarela Berjangka'!B:B,'All Simpanan '!C:C,'Simpanan Sukarela Berjangka'!K:K)</f>
        <v>0</v>
      </c>
      <c r="J211" s="4">
        <f t="shared" si="3"/>
        <v>39305491.570391715</v>
      </c>
      <c r="K211" s="36" t="s">
        <v>1579</v>
      </c>
    </row>
    <row r="212" spans="1:11" ht="15.5" x14ac:dyDescent="0.35">
      <c r="A212" s="5">
        <v>210</v>
      </c>
      <c r="B212" s="6" t="s">
        <v>501</v>
      </c>
      <c r="C212" s="7" t="s">
        <v>502</v>
      </c>
      <c r="D212" s="8" t="s">
        <v>128</v>
      </c>
      <c r="E212" s="8">
        <f>SUMIF('Simpanan Wajib'!C:C,'All Simpanan '!C:C,'Simpanan Wajib'!E:E)</f>
        <v>36621642</v>
      </c>
      <c r="F212" s="4">
        <f>SUMIF('Simpanan Pokok'!C:C,'All Simpanan '!C:C,'Simpanan Pokok'!E:E)</f>
        <v>5000</v>
      </c>
      <c r="G212" s="4">
        <f>SUMIF('Simpanan Khusus'!C:C,'All Simpanan '!C:C,'Simpanan Khusus'!E:E)</f>
        <v>30000</v>
      </c>
      <c r="H212" s="4">
        <f>SUMIF('Simpanan Sukarela'!C:C,'All Simpanan '!C:C,'Simpanan Sukarela'!E:E)</f>
        <v>1200724.3398442888</v>
      </c>
      <c r="I212" s="4">
        <f>SUMIF('Simpanan Sukarela Berjangka'!B:B,'All Simpanan '!C:C,'Simpanan Sukarela Berjangka'!K:K)</f>
        <v>0</v>
      </c>
      <c r="J212" s="4">
        <f t="shared" si="3"/>
        <v>37857366.339844286</v>
      </c>
      <c r="K212" s="35" t="s">
        <v>1579</v>
      </c>
    </row>
    <row r="213" spans="1:11" ht="15.5" x14ac:dyDescent="0.35">
      <c r="A213" s="5">
        <v>211</v>
      </c>
      <c r="B213" s="6" t="s">
        <v>503</v>
      </c>
      <c r="C213" s="7" t="s">
        <v>504</v>
      </c>
      <c r="D213" s="8" t="s">
        <v>25</v>
      </c>
      <c r="E213" s="8">
        <f>SUMIF('Simpanan Wajib'!C:C,'All Simpanan '!C:C,'Simpanan Wajib'!E:E)</f>
        <v>25200447</v>
      </c>
      <c r="F213" s="4">
        <f>SUMIF('Simpanan Pokok'!C:C,'All Simpanan '!C:C,'Simpanan Pokok'!E:E)</f>
        <v>5000</v>
      </c>
      <c r="G213" s="4">
        <f>SUMIF('Simpanan Khusus'!C:C,'All Simpanan '!C:C,'Simpanan Khusus'!E:E)</f>
        <v>550000</v>
      </c>
      <c r="H213" s="4">
        <f>SUMIF('Simpanan Sukarela'!C:C,'All Simpanan '!C:C,'Simpanan Sukarela'!E:E)</f>
        <v>2131892.5436173719</v>
      </c>
      <c r="I213" s="4">
        <f>SUMIF('Simpanan Sukarela Berjangka'!B:B,'All Simpanan '!C:C,'Simpanan Sukarela Berjangka'!K:K)</f>
        <v>0</v>
      </c>
      <c r="J213" s="4">
        <f t="shared" si="3"/>
        <v>27887339.543617371</v>
      </c>
      <c r="K213" s="35" t="s">
        <v>1579</v>
      </c>
    </row>
    <row r="214" spans="1:11" ht="15.5" x14ac:dyDescent="0.35">
      <c r="A214" s="5">
        <v>212</v>
      </c>
      <c r="B214" s="6" t="s">
        <v>505</v>
      </c>
      <c r="C214" s="7" t="s">
        <v>506</v>
      </c>
      <c r="D214" s="8" t="s">
        <v>95</v>
      </c>
      <c r="E214" s="8">
        <f>SUMIF('Simpanan Wajib'!C:C,'All Simpanan '!C:C,'Simpanan Wajib'!E:E)</f>
        <v>0</v>
      </c>
      <c r="F214" s="4">
        <f>SUMIF('Simpanan Pokok'!C:C,'All Simpanan '!C:C,'Simpanan Pokok'!E:E)</f>
        <v>0</v>
      </c>
      <c r="G214" s="4">
        <f>SUMIF('Simpanan Khusus'!C:C,'All Simpanan '!C:C,'Simpanan Khusus'!E:E)</f>
        <v>0</v>
      </c>
      <c r="H214" s="4">
        <f>SUMIF('Simpanan Sukarela'!C:C,'All Simpanan '!C:C,'Simpanan Sukarela'!E:E)</f>
        <v>0</v>
      </c>
      <c r="I214" s="4">
        <f>SUMIF('Simpanan Sukarela Berjangka'!B:B,'All Simpanan '!C:C,'Simpanan Sukarela Berjangka'!K:K)</f>
        <v>0</v>
      </c>
      <c r="J214" s="4">
        <f t="shared" si="3"/>
        <v>0</v>
      </c>
      <c r="K214" s="35" t="s">
        <v>1579</v>
      </c>
    </row>
    <row r="215" spans="1:11" ht="15.5" x14ac:dyDescent="0.35">
      <c r="A215" s="5">
        <v>213</v>
      </c>
      <c r="B215" s="6" t="s">
        <v>507</v>
      </c>
      <c r="C215" s="7" t="s">
        <v>508</v>
      </c>
      <c r="D215" s="8" t="s">
        <v>303</v>
      </c>
      <c r="E215" s="8">
        <f>SUMIF('Simpanan Wajib'!C:C,'All Simpanan '!C:C,'Simpanan Wajib'!E:E)</f>
        <v>0</v>
      </c>
      <c r="F215" s="4">
        <f>SUMIF('Simpanan Pokok'!C:C,'All Simpanan '!C:C,'Simpanan Pokok'!E:E)</f>
        <v>0</v>
      </c>
      <c r="G215" s="4">
        <f>SUMIF('Simpanan Khusus'!C:C,'All Simpanan '!C:C,'Simpanan Khusus'!E:E)</f>
        <v>0</v>
      </c>
      <c r="H215" s="4">
        <f>SUMIF('Simpanan Sukarela'!C:C,'All Simpanan '!C:C,'Simpanan Sukarela'!E:E)</f>
        <v>0</v>
      </c>
      <c r="I215" s="4">
        <f>SUMIF('Simpanan Sukarela Berjangka'!B:B,'All Simpanan '!C:C,'Simpanan Sukarela Berjangka'!K:K)</f>
        <v>0</v>
      </c>
      <c r="J215" s="4">
        <f t="shared" si="3"/>
        <v>0</v>
      </c>
      <c r="K215" s="35" t="s">
        <v>1578</v>
      </c>
    </row>
    <row r="216" spans="1:11" ht="15.5" x14ac:dyDescent="0.35">
      <c r="A216" s="5">
        <v>214</v>
      </c>
      <c r="B216" s="6" t="s">
        <v>509</v>
      </c>
      <c r="C216" s="7" t="s">
        <v>510</v>
      </c>
      <c r="D216" s="8" t="s">
        <v>65</v>
      </c>
      <c r="E216" s="8">
        <f>SUMIF('Simpanan Wajib'!C:C,'All Simpanan '!C:C,'Simpanan Wajib'!E:E)</f>
        <v>0</v>
      </c>
      <c r="F216" s="4">
        <f>SUMIF('Simpanan Pokok'!C:C,'All Simpanan '!C:C,'Simpanan Pokok'!E:E)</f>
        <v>0</v>
      </c>
      <c r="G216" s="4">
        <f>SUMIF('Simpanan Khusus'!C:C,'All Simpanan '!C:C,'Simpanan Khusus'!E:E)</f>
        <v>0</v>
      </c>
      <c r="H216" s="4">
        <f>SUMIF('Simpanan Sukarela'!C:C,'All Simpanan '!C:C,'Simpanan Sukarela'!E:E)</f>
        <v>432962.66477469262</v>
      </c>
      <c r="I216" s="4">
        <f>SUMIF('Simpanan Sukarela Berjangka'!B:B,'All Simpanan '!C:C,'Simpanan Sukarela Berjangka'!K:K)</f>
        <v>0</v>
      </c>
      <c r="J216" s="4">
        <f t="shared" si="3"/>
        <v>432962.66477469262</v>
      </c>
      <c r="K216" s="35" t="s">
        <v>1576</v>
      </c>
    </row>
    <row r="217" spans="1:11" ht="15.5" x14ac:dyDescent="0.35">
      <c r="A217" s="5">
        <v>215</v>
      </c>
      <c r="B217" s="6" t="s">
        <v>511</v>
      </c>
      <c r="C217" s="7" t="s">
        <v>512</v>
      </c>
      <c r="D217" s="8" t="s">
        <v>406</v>
      </c>
      <c r="E217" s="8">
        <f>SUMIF('Simpanan Wajib'!C:C,'All Simpanan '!C:C,'Simpanan Wajib'!E:E)</f>
        <v>0</v>
      </c>
      <c r="F217" s="4">
        <f>SUMIF('Simpanan Pokok'!C:C,'All Simpanan '!C:C,'Simpanan Pokok'!E:E)</f>
        <v>0</v>
      </c>
      <c r="G217" s="4">
        <f>SUMIF('Simpanan Khusus'!C:C,'All Simpanan '!C:C,'Simpanan Khusus'!E:E)</f>
        <v>0</v>
      </c>
      <c r="H217" s="4">
        <f>SUMIF('Simpanan Sukarela'!C:C,'All Simpanan '!C:C,'Simpanan Sukarela'!E:E)</f>
        <v>0</v>
      </c>
      <c r="I217" s="4">
        <f>SUMIF('Simpanan Sukarela Berjangka'!B:B,'All Simpanan '!C:C,'Simpanan Sukarela Berjangka'!K:K)</f>
        <v>0</v>
      </c>
      <c r="J217" s="4">
        <f t="shared" si="3"/>
        <v>0</v>
      </c>
      <c r="K217" s="35" t="s">
        <v>1579</v>
      </c>
    </row>
    <row r="218" spans="1:11" ht="15.5" x14ac:dyDescent="0.35">
      <c r="A218" s="5">
        <v>216</v>
      </c>
      <c r="B218" s="6" t="s">
        <v>513</v>
      </c>
      <c r="C218" s="7" t="s">
        <v>514</v>
      </c>
      <c r="D218" s="8" t="s">
        <v>60</v>
      </c>
      <c r="E218" s="8">
        <f>SUMIF('Simpanan Wajib'!C:C,'All Simpanan '!C:C,'Simpanan Wajib'!E:E)</f>
        <v>0</v>
      </c>
      <c r="F218" s="4">
        <f>SUMIF('Simpanan Pokok'!C:C,'All Simpanan '!C:C,'Simpanan Pokok'!E:E)</f>
        <v>0</v>
      </c>
      <c r="G218" s="4">
        <f>SUMIF('Simpanan Khusus'!C:C,'All Simpanan '!C:C,'Simpanan Khusus'!E:E)</f>
        <v>0</v>
      </c>
      <c r="H218" s="4">
        <f>SUMIF('Simpanan Sukarela'!C:C,'All Simpanan '!C:C,'Simpanan Sukarela'!E:E)</f>
        <v>0</v>
      </c>
      <c r="I218" s="4">
        <f>SUMIF('Simpanan Sukarela Berjangka'!B:B,'All Simpanan '!C:C,'Simpanan Sukarela Berjangka'!K:K)</f>
        <v>0</v>
      </c>
      <c r="J218" s="4">
        <f t="shared" si="3"/>
        <v>0</v>
      </c>
      <c r="K218" s="35" t="s">
        <v>1579</v>
      </c>
    </row>
    <row r="219" spans="1:11" ht="15.5" x14ac:dyDescent="0.35">
      <c r="A219" s="5">
        <v>217</v>
      </c>
      <c r="B219" s="6" t="s">
        <v>515</v>
      </c>
      <c r="C219" s="7" t="s">
        <v>516</v>
      </c>
      <c r="D219" s="8" t="s">
        <v>253</v>
      </c>
      <c r="E219" s="8">
        <f>SUMIF('Simpanan Wajib'!C:C,'All Simpanan '!C:C,'Simpanan Wajib'!E:E)</f>
        <v>0</v>
      </c>
      <c r="F219" s="4">
        <f>SUMIF('Simpanan Pokok'!C:C,'All Simpanan '!C:C,'Simpanan Pokok'!E:E)</f>
        <v>0</v>
      </c>
      <c r="G219" s="4">
        <f>SUMIF('Simpanan Khusus'!C:C,'All Simpanan '!C:C,'Simpanan Khusus'!E:E)</f>
        <v>0</v>
      </c>
      <c r="H219" s="4">
        <f>SUMIF('Simpanan Sukarela'!C:C,'All Simpanan '!C:C,'Simpanan Sukarela'!E:E)</f>
        <v>38978.623871706426</v>
      </c>
      <c r="I219" s="4">
        <f>SUMIF('Simpanan Sukarela Berjangka'!B:B,'All Simpanan '!C:C,'Simpanan Sukarela Berjangka'!K:K)</f>
        <v>0</v>
      </c>
      <c r="J219" s="4">
        <f t="shared" si="3"/>
        <v>38978.623871706426</v>
      </c>
      <c r="K219" s="35" t="s">
        <v>1578</v>
      </c>
    </row>
    <row r="220" spans="1:11" ht="15.5" x14ac:dyDescent="0.35">
      <c r="A220" s="5">
        <v>218</v>
      </c>
      <c r="B220" s="6" t="s">
        <v>517</v>
      </c>
      <c r="C220" s="7" t="s">
        <v>518</v>
      </c>
      <c r="D220" s="8" t="s">
        <v>519</v>
      </c>
      <c r="E220" s="8">
        <f>SUMIF('Simpanan Wajib'!C:C,'All Simpanan '!C:C,'Simpanan Wajib'!E:E)</f>
        <v>0</v>
      </c>
      <c r="F220" s="4">
        <f>SUMIF('Simpanan Pokok'!C:C,'All Simpanan '!C:C,'Simpanan Pokok'!E:E)</f>
        <v>0</v>
      </c>
      <c r="G220" s="4">
        <f>SUMIF('Simpanan Khusus'!C:C,'All Simpanan '!C:C,'Simpanan Khusus'!E:E)</f>
        <v>0</v>
      </c>
      <c r="H220" s="4">
        <f>SUMIF('Simpanan Sukarela'!C:C,'All Simpanan '!C:C,'Simpanan Sukarela'!E:E)</f>
        <v>0</v>
      </c>
      <c r="I220" s="4">
        <f>SUMIF('Simpanan Sukarela Berjangka'!B:B,'All Simpanan '!C:C,'Simpanan Sukarela Berjangka'!K:K)</f>
        <v>0</v>
      </c>
      <c r="J220" s="4">
        <f t="shared" si="3"/>
        <v>0</v>
      </c>
      <c r="K220" s="35" t="s">
        <v>1578</v>
      </c>
    </row>
    <row r="221" spans="1:11" ht="15.5" x14ac:dyDescent="0.35">
      <c r="A221" s="5">
        <v>219</v>
      </c>
      <c r="B221" s="6" t="s">
        <v>520</v>
      </c>
      <c r="C221" s="7" t="s">
        <v>521</v>
      </c>
      <c r="D221" s="8" t="s">
        <v>166</v>
      </c>
      <c r="E221" s="8">
        <f>SUMIF('Simpanan Wajib'!C:C,'All Simpanan '!C:C,'Simpanan Wajib'!E:E)</f>
        <v>0</v>
      </c>
      <c r="F221" s="4">
        <f>SUMIF('Simpanan Pokok'!C:C,'All Simpanan '!C:C,'Simpanan Pokok'!E:E)</f>
        <v>0</v>
      </c>
      <c r="G221" s="4">
        <f>SUMIF('Simpanan Khusus'!C:C,'All Simpanan '!C:C,'Simpanan Khusus'!E:E)</f>
        <v>0</v>
      </c>
      <c r="H221" s="4">
        <f>SUMIF('Simpanan Sukarela'!C:C,'All Simpanan '!C:C,'Simpanan Sukarela'!E:E)</f>
        <v>0</v>
      </c>
      <c r="I221" s="4">
        <f>SUMIF('Simpanan Sukarela Berjangka'!B:B,'All Simpanan '!C:C,'Simpanan Sukarela Berjangka'!K:K)</f>
        <v>0</v>
      </c>
      <c r="J221" s="4">
        <f t="shared" si="3"/>
        <v>0</v>
      </c>
      <c r="K221" s="35" t="s">
        <v>1578</v>
      </c>
    </row>
    <row r="222" spans="1:11" ht="15.5" x14ac:dyDescent="0.35">
      <c r="A222" s="5">
        <v>220</v>
      </c>
      <c r="B222" s="6" t="s">
        <v>522</v>
      </c>
      <c r="C222" s="7" t="s">
        <v>523</v>
      </c>
      <c r="D222" s="8" t="s">
        <v>524</v>
      </c>
      <c r="E222" s="8">
        <f>SUMIF('Simpanan Wajib'!C:C,'All Simpanan '!C:C,'Simpanan Wajib'!E:E)</f>
        <v>0</v>
      </c>
      <c r="F222" s="4">
        <f>SUMIF('Simpanan Pokok'!C:C,'All Simpanan '!C:C,'Simpanan Pokok'!E:E)</f>
        <v>0</v>
      </c>
      <c r="G222" s="4">
        <f>SUMIF('Simpanan Khusus'!C:C,'All Simpanan '!C:C,'Simpanan Khusus'!E:E)</f>
        <v>0</v>
      </c>
      <c r="H222" s="4">
        <f>SUMIF('Simpanan Sukarela'!C:C,'All Simpanan '!C:C,'Simpanan Sukarela'!E:E)</f>
        <v>0</v>
      </c>
      <c r="I222" s="4">
        <f>SUMIF('Simpanan Sukarela Berjangka'!B:B,'All Simpanan '!C:C,'Simpanan Sukarela Berjangka'!K:K)</f>
        <v>0</v>
      </c>
      <c r="J222" s="4">
        <f t="shared" si="3"/>
        <v>0</v>
      </c>
      <c r="K222" s="35" t="s">
        <v>1576</v>
      </c>
    </row>
    <row r="223" spans="1:11" ht="15.5" x14ac:dyDescent="0.35">
      <c r="A223" s="5">
        <v>221</v>
      </c>
      <c r="B223" s="6" t="s">
        <v>525</v>
      </c>
      <c r="C223" s="7" t="s">
        <v>526</v>
      </c>
      <c r="D223" s="8" t="s">
        <v>98</v>
      </c>
      <c r="E223" s="8">
        <f>SUMIF('Simpanan Wajib'!C:C,'All Simpanan '!C:C,'Simpanan Wajib'!E:E)</f>
        <v>0</v>
      </c>
      <c r="F223" s="4">
        <f>SUMIF('Simpanan Pokok'!C:C,'All Simpanan '!C:C,'Simpanan Pokok'!E:E)</f>
        <v>0</v>
      </c>
      <c r="G223" s="4">
        <f>SUMIF('Simpanan Khusus'!C:C,'All Simpanan '!C:C,'Simpanan Khusus'!E:E)</f>
        <v>0</v>
      </c>
      <c r="H223" s="4">
        <f>SUMIF('Simpanan Sukarela'!C:C,'All Simpanan '!C:C,'Simpanan Sukarela'!E:E)</f>
        <v>-0.2748413048684597</v>
      </c>
      <c r="I223" s="4">
        <f>SUMIF('Simpanan Sukarela Berjangka'!B:B,'All Simpanan '!C:C,'Simpanan Sukarela Berjangka'!K:K)</f>
        <v>0</v>
      </c>
      <c r="J223" s="4">
        <f t="shared" si="3"/>
        <v>-0.2748413048684597</v>
      </c>
      <c r="K223" s="35" t="s">
        <v>1576</v>
      </c>
    </row>
    <row r="224" spans="1:11" ht="15.5" x14ac:dyDescent="0.35">
      <c r="A224" s="5">
        <v>222</v>
      </c>
      <c r="B224" s="6" t="s">
        <v>527</v>
      </c>
      <c r="C224" s="7" t="s">
        <v>528</v>
      </c>
      <c r="D224" s="8" t="s">
        <v>95</v>
      </c>
      <c r="E224" s="8">
        <f>SUMIF('Simpanan Wajib'!C:C,'All Simpanan '!C:C,'Simpanan Wajib'!E:E)</f>
        <v>0</v>
      </c>
      <c r="F224" s="4">
        <f>SUMIF('Simpanan Pokok'!C:C,'All Simpanan '!C:C,'Simpanan Pokok'!E:E)</f>
        <v>0</v>
      </c>
      <c r="G224" s="4">
        <f>SUMIF('Simpanan Khusus'!C:C,'All Simpanan '!C:C,'Simpanan Khusus'!E:E)</f>
        <v>0</v>
      </c>
      <c r="H224" s="4">
        <f>SUMIF('Simpanan Sukarela'!C:C,'All Simpanan '!C:C,'Simpanan Sukarela'!E:E)</f>
        <v>0</v>
      </c>
      <c r="I224" s="4">
        <f>SUMIF('Simpanan Sukarela Berjangka'!B:B,'All Simpanan '!C:C,'Simpanan Sukarela Berjangka'!K:K)</f>
        <v>0</v>
      </c>
      <c r="J224" s="4">
        <f t="shared" si="3"/>
        <v>0</v>
      </c>
      <c r="K224" s="35" t="s">
        <v>1579</v>
      </c>
    </row>
    <row r="225" spans="1:11" ht="15.5" x14ac:dyDescent="0.35">
      <c r="A225" s="5">
        <v>223</v>
      </c>
      <c r="B225" s="6" t="s">
        <v>529</v>
      </c>
      <c r="C225" s="7" t="s">
        <v>530</v>
      </c>
      <c r="D225" s="8" t="s">
        <v>354</v>
      </c>
      <c r="E225" s="8">
        <f>SUMIF('Simpanan Wajib'!C:C,'All Simpanan '!C:C,'Simpanan Wajib'!E:E)</f>
        <v>0</v>
      </c>
      <c r="F225" s="4">
        <f>SUMIF('Simpanan Pokok'!C:C,'All Simpanan '!C:C,'Simpanan Pokok'!E:E)</f>
        <v>0</v>
      </c>
      <c r="G225" s="4">
        <f>SUMIF('Simpanan Khusus'!C:C,'All Simpanan '!C:C,'Simpanan Khusus'!E:E)</f>
        <v>0</v>
      </c>
      <c r="H225" s="4">
        <f>SUMIF('Simpanan Sukarela'!C:C,'All Simpanan '!C:C,'Simpanan Sukarela'!E:E)</f>
        <v>0</v>
      </c>
      <c r="I225" s="4">
        <f>SUMIF('Simpanan Sukarela Berjangka'!B:B,'All Simpanan '!C:C,'Simpanan Sukarela Berjangka'!K:K)</f>
        <v>0</v>
      </c>
      <c r="J225" s="4">
        <f t="shared" si="3"/>
        <v>0</v>
      </c>
      <c r="K225" s="35" t="s">
        <v>1579</v>
      </c>
    </row>
    <row r="226" spans="1:11" ht="15.5" x14ac:dyDescent="0.35">
      <c r="A226" s="5">
        <v>224</v>
      </c>
      <c r="B226" s="6" t="s">
        <v>531</v>
      </c>
      <c r="C226" s="7" t="s">
        <v>532</v>
      </c>
      <c r="D226" s="8" t="s">
        <v>98</v>
      </c>
      <c r="E226" s="8">
        <f>SUMIF('Simpanan Wajib'!C:C,'All Simpanan '!C:C,'Simpanan Wajib'!E:E)</f>
        <v>0</v>
      </c>
      <c r="F226" s="4">
        <f>SUMIF('Simpanan Pokok'!C:C,'All Simpanan '!C:C,'Simpanan Pokok'!E:E)</f>
        <v>0</v>
      </c>
      <c r="G226" s="4">
        <f>SUMIF('Simpanan Khusus'!C:C,'All Simpanan '!C:C,'Simpanan Khusus'!E:E)</f>
        <v>0</v>
      </c>
      <c r="H226" s="4">
        <f>SUMIF('Simpanan Sukarela'!C:C,'All Simpanan '!C:C,'Simpanan Sukarela'!E:E)</f>
        <v>0</v>
      </c>
      <c r="I226" s="4">
        <f>SUMIF('Simpanan Sukarela Berjangka'!B:B,'All Simpanan '!C:C,'Simpanan Sukarela Berjangka'!K:K)</f>
        <v>0</v>
      </c>
      <c r="J226" s="4">
        <f t="shared" si="3"/>
        <v>0</v>
      </c>
      <c r="K226" s="35" t="s">
        <v>1579</v>
      </c>
    </row>
    <row r="227" spans="1:11" ht="15.5" x14ac:dyDescent="0.35">
      <c r="A227" s="5">
        <v>225</v>
      </c>
      <c r="B227" s="6" t="s">
        <v>533</v>
      </c>
      <c r="C227" s="7" t="s">
        <v>534</v>
      </c>
      <c r="D227" s="8" t="s">
        <v>11</v>
      </c>
      <c r="E227" s="8">
        <f>SUMIF('Simpanan Wajib'!C:C,'All Simpanan '!C:C,'Simpanan Wajib'!E:E)</f>
        <v>0</v>
      </c>
      <c r="F227" s="4">
        <f>SUMIF('Simpanan Pokok'!C:C,'All Simpanan '!C:C,'Simpanan Pokok'!E:E)</f>
        <v>0</v>
      </c>
      <c r="G227" s="4">
        <f>SUMIF('Simpanan Khusus'!C:C,'All Simpanan '!C:C,'Simpanan Khusus'!E:E)</f>
        <v>0</v>
      </c>
      <c r="H227" s="4">
        <f>SUMIF('Simpanan Sukarela'!C:C,'All Simpanan '!C:C,'Simpanan Sukarela'!E:E)</f>
        <v>0</v>
      </c>
      <c r="I227" s="4">
        <f>SUMIF('Simpanan Sukarela Berjangka'!B:B,'All Simpanan '!C:C,'Simpanan Sukarela Berjangka'!K:K)</f>
        <v>0</v>
      </c>
      <c r="J227" s="4">
        <f t="shared" si="3"/>
        <v>0</v>
      </c>
      <c r="K227" s="35" t="s">
        <v>1579</v>
      </c>
    </row>
    <row r="228" spans="1:11" ht="15.5" x14ac:dyDescent="0.35">
      <c r="A228" s="5">
        <v>226</v>
      </c>
      <c r="B228" s="6" t="s">
        <v>535</v>
      </c>
      <c r="C228" s="7" t="s">
        <v>536</v>
      </c>
      <c r="D228" s="8" t="s">
        <v>49</v>
      </c>
      <c r="E228" s="8">
        <f>SUMIF('Simpanan Wajib'!C:C,'All Simpanan '!C:C,'Simpanan Wajib'!E:E)</f>
        <v>0</v>
      </c>
      <c r="F228" s="4">
        <f>SUMIF('Simpanan Pokok'!C:C,'All Simpanan '!C:C,'Simpanan Pokok'!E:E)</f>
        <v>0</v>
      </c>
      <c r="G228" s="4">
        <f>SUMIF('Simpanan Khusus'!C:C,'All Simpanan '!C:C,'Simpanan Khusus'!E:E)</f>
        <v>0</v>
      </c>
      <c r="H228" s="4">
        <f>SUMIF('Simpanan Sukarela'!C:C,'All Simpanan '!C:C,'Simpanan Sukarela'!E:E)</f>
        <v>640254.16746635945</v>
      </c>
      <c r="I228" s="4">
        <f>SUMIF('Simpanan Sukarela Berjangka'!B:B,'All Simpanan '!C:C,'Simpanan Sukarela Berjangka'!K:K)</f>
        <v>0</v>
      </c>
      <c r="J228" s="4">
        <f t="shared" si="3"/>
        <v>640254.16746635945</v>
      </c>
      <c r="K228" s="35" t="s">
        <v>1578</v>
      </c>
    </row>
    <row r="229" spans="1:11" ht="15.5" x14ac:dyDescent="0.35">
      <c r="A229" s="5">
        <v>227</v>
      </c>
      <c r="B229" s="6" t="s">
        <v>537</v>
      </c>
      <c r="C229" s="7" t="s">
        <v>538</v>
      </c>
      <c r="D229" s="8" t="s">
        <v>25</v>
      </c>
      <c r="E229" s="8">
        <f>SUMIF('Simpanan Wajib'!C:C,'All Simpanan '!C:C,'Simpanan Wajib'!E:E)</f>
        <v>0</v>
      </c>
      <c r="F229" s="4">
        <f>SUMIF('Simpanan Pokok'!C:C,'All Simpanan '!C:C,'Simpanan Pokok'!E:E)</f>
        <v>0</v>
      </c>
      <c r="G229" s="4">
        <f>SUMIF('Simpanan Khusus'!C:C,'All Simpanan '!C:C,'Simpanan Khusus'!E:E)</f>
        <v>0</v>
      </c>
      <c r="H229" s="4">
        <f>SUMIF('Simpanan Sukarela'!C:C,'All Simpanan '!C:C,'Simpanan Sukarela'!E:E)</f>
        <v>0</v>
      </c>
      <c r="I229" s="4">
        <f>SUMIF('Simpanan Sukarela Berjangka'!B:B,'All Simpanan '!C:C,'Simpanan Sukarela Berjangka'!K:K)</f>
        <v>0</v>
      </c>
      <c r="J229" s="4">
        <f t="shared" si="3"/>
        <v>0</v>
      </c>
      <c r="K229" s="35" t="s">
        <v>1579</v>
      </c>
    </row>
    <row r="230" spans="1:11" ht="15.5" x14ac:dyDescent="0.35">
      <c r="A230" s="5">
        <v>228</v>
      </c>
      <c r="B230" s="6" t="s">
        <v>539</v>
      </c>
      <c r="C230" s="7" t="s">
        <v>540</v>
      </c>
      <c r="D230" s="8" t="s">
        <v>406</v>
      </c>
      <c r="E230" s="8">
        <f>SUMIF('Simpanan Wajib'!C:C,'All Simpanan '!C:C,'Simpanan Wajib'!E:E)</f>
        <v>0</v>
      </c>
      <c r="F230" s="4">
        <f>SUMIF('Simpanan Pokok'!C:C,'All Simpanan '!C:C,'Simpanan Pokok'!E:E)</f>
        <v>0</v>
      </c>
      <c r="G230" s="4">
        <f>SUMIF('Simpanan Khusus'!C:C,'All Simpanan '!C:C,'Simpanan Khusus'!E:E)</f>
        <v>0</v>
      </c>
      <c r="H230" s="4">
        <f>SUMIF('Simpanan Sukarela'!C:C,'All Simpanan '!C:C,'Simpanan Sukarela'!E:E)</f>
        <v>0</v>
      </c>
      <c r="I230" s="4">
        <f>SUMIF('Simpanan Sukarela Berjangka'!B:B,'All Simpanan '!C:C,'Simpanan Sukarela Berjangka'!K:K)</f>
        <v>0</v>
      </c>
      <c r="J230" s="4">
        <f t="shared" si="3"/>
        <v>0</v>
      </c>
      <c r="K230" s="35" t="s">
        <v>1579</v>
      </c>
    </row>
    <row r="231" spans="1:11" ht="15.5" x14ac:dyDescent="0.35">
      <c r="A231" s="5">
        <v>229</v>
      </c>
      <c r="B231" s="6" t="s">
        <v>541</v>
      </c>
      <c r="C231" s="7" t="s">
        <v>542</v>
      </c>
      <c r="D231" s="8" t="s">
        <v>46</v>
      </c>
      <c r="E231" s="8">
        <f>SUMIF('Simpanan Wajib'!C:C,'All Simpanan '!C:C,'Simpanan Wajib'!E:E)</f>
        <v>0</v>
      </c>
      <c r="F231" s="4">
        <f>SUMIF('Simpanan Pokok'!C:C,'All Simpanan '!C:C,'Simpanan Pokok'!E:E)</f>
        <v>0</v>
      </c>
      <c r="G231" s="4">
        <f>SUMIF('Simpanan Khusus'!C:C,'All Simpanan '!C:C,'Simpanan Khusus'!E:E)</f>
        <v>0</v>
      </c>
      <c r="H231" s="4">
        <f>SUMIF('Simpanan Sukarela'!C:C,'All Simpanan '!C:C,'Simpanan Sukarela'!E:E)</f>
        <v>0</v>
      </c>
      <c r="I231" s="4">
        <f>SUMIF('Simpanan Sukarela Berjangka'!B:B,'All Simpanan '!C:C,'Simpanan Sukarela Berjangka'!K:K)</f>
        <v>0</v>
      </c>
      <c r="J231" s="4">
        <f t="shared" si="3"/>
        <v>0</v>
      </c>
      <c r="K231" s="35" t="s">
        <v>1578</v>
      </c>
    </row>
    <row r="232" spans="1:11" ht="15.5" x14ac:dyDescent="0.35">
      <c r="A232" s="5">
        <v>230</v>
      </c>
      <c r="B232" s="6" t="s">
        <v>543</v>
      </c>
      <c r="C232" s="7" t="s">
        <v>544</v>
      </c>
      <c r="D232" s="8" t="s">
        <v>318</v>
      </c>
      <c r="E232" s="8">
        <f>SUMIF('Simpanan Wajib'!C:C,'All Simpanan '!C:C,'Simpanan Wajib'!E:E)</f>
        <v>0</v>
      </c>
      <c r="F232" s="4">
        <f>SUMIF('Simpanan Pokok'!C:C,'All Simpanan '!C:C,'Simpanan Pokok'!E:E)</f>
        <v>0</v>
      </c>
      <c r="G232" s="4">
        <f>SUMIF('Simpanan Khusus'!C:C,'All Simpanan '!C:C,'Simpanan Khusus'!E:E)</f>
        <v>0</v>
      </c>
      <c r="H232" s="4">
        <f>SUMIF('Simpanan Sukarela'!C:C,'All Simpanan '!C:C,'Simpanan Sukarela'!E:E)</f>
        <v>0</v>
      </c>
      <c r="I232" s="4">
        <f>SUMIF('Simpanan Sukarela Berjangka'!B:B,'All Simpanan '!C:C,'Simpanan Sukarela Berjangka'!K:K)</f>
        <v>0</v>
      </c>
      <c r="J232" s="4">
        <f t="shared" si="3"/>
        <v>0</v>
      </c>
      <c r="K232" s="35" t="s">
        <v>1576</v>
      </c>
    </row>
    <row r="233" spans="1:11" ht="15.5" x14ac:dyDescent="0.35">
      <c r="A233" s="5">
        <v>231</v>
      </c>
      <c r="B233" s="6" t="s">
        <v>545</v>
      </c>
      <c r="C233" s="7" t="s">
        <v>546</v>
      </c>
      <c r="D233" s="8" t="s">
        <v>77</v>
      </c>
      <c r="E233" s="8">
        <f>SUMIF('Simpanan Wajib'!C:C,'All Simpanan '!C:C,'Simpanan Wajib'!E:E)</f>
        <v>0</v>
      </c>
      <c r="F233" s="4">
        <f>SUMIF('Simpanan Pokok'!C:C,'All Simpanan '!C:C,'Simpanan Pokok'!E:E)</f>
        <v>0</v>
      </c>
      <c r="G233" s="4">
        <f>SUMIF('Simpanan Khusus'!C:C,'All Simpanan '!C:C,'Simpanan Khusus'!E:E)</f>
        <v>0</v>
      </c>
      <c r="H233" s="4">
        <f>SUMIF('Simpanan Sukarela'!C:C,'All Simpanan '!C:C,'Simpanan Sukarela'!E:E)</f>
        <v>0</v>
      </c>
      <c r="I233" s="4">
        <f>SUMIF('Simpanan Sukarela Berjangka'!B:B,'All Simpanan '!C:C,'Simpanan Sukarela Berjangka'!K:K)</f>
        <v>0</v>
      </c>
      <c r="J233" s="4">
        <f t="shared" si="3"/>
        <v>0</v>
      </c>
      <c r="K233" s="35" t="s">
        <v>1578</v>
      </c>
    </row>
    <row r="234" spans="1:11" ht="15.5" x14ac:dyDescent="0.35">
      <c r="A234" s="5">
        <v>232</v>
      </c>
      <c r="B234" s="6" t="s">
        <v>547</v>
      </c>
      <c r="C234" s="7" t="s">
        <v>548</v>
      </c>
      <c r="D234" s="8" t="s">
        <v>123</v>
      </c>
      <c r="E234" s="8">
        <f>SUMIF('Simpanan Wajib'!C:C,'All Simpanan '!C:C,'Simpanan Wajib'!E:E)</f>
        <v>550000</v>
      </c>
      <c r="F234" s="4">
        <f>SUMIF('Simpanan Pokok'!C:C,'All Simpanan '!C:C,'Simpanan Pokok'!E:E)</f>
        <v>0</v>
      </c>
      <c r="G234" s="4">
        <f>SUMIF('Simpanan Khusus'!C:C,'All Simpanan '!C:C,'Simpanan Khusus'!E:E)</f>
        <v>0</v>
      </c>
      <c r="H234" s="4">
        <f>SUMIF('Simpanan Sukarela'!C:C,'All Simpanan '!C:C,'Simpanan Sukarela'!E:E)</f>
        <v>12309</v>
      </c>
      <c r="I234" s="4">
        <f>SUMIF('Simpanan Sukarela Berjangka'!B:B,'All Simpanan '!C:C,'Simpanan Sukarela Berjangka'!K:K)</f>
        <v>0</v>
      </c>
      <c r="J234" s="4">
        <f t="shared" si="3"/>
        <v>562309</v>
      </c>
      <c r="K234" s="35" t="s">
        <v>1578</v>
      </c>
    </row>
    <row r="235" spans="1:11" ht="15.5" x14ac:dyDescent="0.35">
      <c r="A235" s="5">
        <v>233</v>
      </c>
      <c r="B235" s="6" t="s">
        <v>549</v>
      </c>
      <c r="C235" s="7" t="s">
        <v>550</v>
      </c>
      <c r="D235" s="8" t="s">
        <v>551</v>
      </c>
      <c r="E235" s="8">
        <f>SUMIF('Simpanan Wajib'!C:C,'All Simpanan '!C:C,'Simpanan Wajib'!E:E)</f>
        <v>0</v>
      </c>
      <c r="F235" s="4">
        <f>SUMIF('Simpanan Pokok'!C:C,'All Simpanan '!C:C,'Simpanan Pokok'!E:E)</f>
        <v>0</v>
      </c>
      <c r="G235" s="4">
        <f>SUMIF('Simpanan Khusus'!C:C,'All Simpanan '!C:C,'Simpanan Khusus'!E:E)</f>
        <v>0</v>
      </c>
      <c r="H235" s="4">
        <f>SUMIF('Simpanan Sukarela'!C:C,'All Simpanan '!C:C,'Simpanan Sukarela'!E:E)</f>
        <v>275367.87378344825</v>
      </c>
      <c r="I235" s="4">
        <f>SUMIF('Simpanan Sukarela Berjangka'!B:B,'All Simpanan '!C:C,'Simpanan Sukarela Berjangka'!K:K)</f>
        <v>0</v>
      </c>
      <c r="J235" s="4">
        <f t="shared" si="3"/>
        <v>275367.87378344825</v>
      </c>
      <c r="K235" s="35" t="s">
        <v>1578</v>
      </c>
    </row>
    <row r="236" spans="1:11" ht="15.5" x14ac:dyDescent="0.35">
      <c r="A236" s="5">
        <v>234</v>
      </c>
      <c r="B236" s="6" t="s">
        <v>552</v>
      </c>
      <c r="C236" s="7" t="s">
        <v>553</v>
      </c>
      <c r="D236" s="8" t="s">
        <v>198</v>
      </c>
      <c r="E236" s="8">
        <f>SUMIF('Simpanan Wajib'!C:C,'All Simpanan '!C:C,'Simpanan Wajib'!E:E)</f>
        <v>25999750</v>
      </c>
      <c r="F236" s="4">
        <f>SUMIF('Simpanan Pokok'!C:C,'All Simpanan '!C:C,'Simpanan Pokok'!E:E)</f>
        <v>5000</v>
      </c>
      <c r="G236" s="4">
        <f>SUMIF('Simpanan Khusus'!C:C,'All Simpanan '!C:C,'Simpanan Khusus'!E:E)</f>
        <v>70000</v>
      </c>
      <c r="H236" s="4">
        <f>SUMIF('Simpanan Sukarela'!C:C,'All Simpanan '!C:C,'Simpanan Sukarela'!E:E)</f>
        <v>13802713.885782793</v>
      </c>
      <c r="I236" s="4">
        <f>SUMIF('Simpanan Sukarela Berjangka'!B:B,'All Simpanan '!C:C,'Simpanan Sukarela Berjangka'!K:K)</f>
        <v>0</v>
      </c>
      <c r="J236" s="4">
        <f t="shared" si="3"/>
        <v>39877463.885782793</v>
      </c>
      <c r="K236" s="35" t="s">
        <v>1579</v>
      </c>
    </row>
    <row r="237" spans="1:11" ht="15.5" x14ac:dyDescent="0.35">
      <c r="A237" s="5">
        <v>235</v>
      </c>
      <c r="B237" s="6" t="s">
        <v>554</v>
      </c>
      <c r="C237" s="7" t="s">
        <v>555</v>
      </c>
      <c r="D237" s="8" t="s">
        <v>46</v>
      </c>
      <c r="E237" s="8">
        <f>SUMIF('Simpanan Wajib'!C:C,'All Simpanan '!C:C,'Simpanan Wajib'!E:E)</f>
        <v>4942309</v>
      </c>
      <c r="F237" s="4">
        <f>SUMIF('Simpanan Pokok'!C:C,'All Simpanan '!C:C,'Simpanan Pokok'!E:E)</f>
        <v>5000</v>
      </c>
      <c r="G237" s="4">
        <f>SUMIF('Simpanan Khusus'!C:C,'All Simpanan '!C:C,'Simpanan Khusus'!E:E)</f>
        <v>0</v>
      </c>
      <c r="H237" s="4">
        <f>SUMIF('Simpanan Sukarela'!C:C,'All Simpanan '!C:C,'Simpanan Sukarela'!E:E)</f>
        <v>5525666.0486421082</v>
      </c>
      <c r="I237" s="4">
        <f>SUMIF('Simpanan Sukarela Berjangka'!B:B,'All Simpanan '!C:C,'Simpanan Sukarela Berjangka'!K:K)</f>
        <v>0</v>
      </c>
      <c r="J237" s="4">
        <f t="shared" si="3"/>
        <v>10472975.048642108</v>
      </c>
      <c r="K237" s="35" t="s">
        <v>1578</v>
      </c>
    </row>
    <row r="238" spans="1:11" ht="15.5" x14ac:dyDescent="0.35">
      <c r="A238" s="5">
        <v>236</v>
      </c>
      <c r="B238" s="6" t="s">
        <v>556</v>
      </c>
      <c r="C238" s="7" t="s">
        <v>557</v>
      </c>
      <c r="D238" s="8" t="s">
        <v>270</v>
      </c>
      <c r="E238" s="8">
        <f>SUMIF('Simpanan Wajib'!C:C,'All Simpanan '!C:C,'Simpanan Wajib'!E:E)</f>
        <v>0</v>
      </c>
      <c r="F238" s="4">
        <f>SUMIF('Simpanan Pokok'!C:C,'All Simpanan '!C:C,'Simpanan Pokok'!E:E)</f>
        <v>0</v>
      </c>
      <c r="G238" s="4">
        <f>SUMIF('Simpanan Khusus'!C:C,'All Simpanan '!C:C,'Simpanan Khusus'!E:E)</f>
        <v>0</v>
      </c>
      <c r="H238" s="4">
        <f>SUMIF('Simpanan Sukarela'!C:C,'All Simpanan '!C:C,'Simpanan Sukarela'!E:E)</f>
        <v>0</v>
      </c>
      <c r="I238" s="4">
        <f>SUMIF('Simpanan Sukarela Berjangka'!B:B,'All Simpanan '!C:C,'Simpanan Sukarela Berjangka'!K:K)</f>
        <v>0</v>
      </c>
      <c r="J238" s="4">
        <f t="shared" si="3"/>
        <v>0</v>
      </c>
      <c r="K238" s="35" t="s">
        <v>1579</v>
      </c>
    </row>
    <row r="239" spans="1:11" ht="15.5" x14ac:dyDescent="0.35">
      <c r="A239" s="5">
        <v>237</v>
      </c>
      <c r="B239" s="6" t="s">
        <v>558</v>
      </c>
      <c r="C239" s="7" t="s">
        <v>559</v>
      </c>
      <c r="D239" s="8" t="s">
        <v>49</v>
      </c>
      <c r="E239" s="8">
        <f>SUMIF('Simpanan Wajib'!C:C,'All Simpanan '!C:C,'Simpanan Wajib'!E:E)</f>
        <v>0</v>
      </c>
      <c r="F239" s="4">
        <f>SUMIF('Simpanan Pokok'!C:C,'All Simpanan '!C:C,'Simpanan Pokok'!E:E)</f>
        <v>0</v>
      </c>
      <c r="G239" s="4">
        <f>SUMIF('Simpanan Khusus'!C:C,'All Simpanan '!C:C,'Simpanan Khusus'!E:E)</f>
        <v>0</v>
      </c>
      <c r="H239" s="4">
        <f>SUMIF('Simpanan Sukarela'!C:C,'All Simpanan '!C:C,'Simpanan Sukarela'!E:E)</f>
        <v>0</v>
      </c>
      <c r="I239" s="4">
        <f>SUMIF('Simpanan Sukarela Berjangka'!B:B,'All Simpanan '!C:C,'Simpanan Sukarela Berjangka'!K:K)</f>
        <v>0</v>
      </c>
      <c r="J239" s="4">
        <f t="shared" si="3"/>
        <v>0</v>
      </c>
      <c r="K239" s="35" t="s">
        <v>1578</v>
      </c>
    </row>
    <row r="240" spans="1:11" ht="15.5" x14ac:dyDescent="0.35">
      <c r="A240" s="5">
        <v>238</v>
      </c>
      <c r="B240" s="6" t="s">
        <v>560</v>
      </c>
      <c r="C240" s="7" t="s">
        <v>561</v>
      </c>
      <c r="D240" s="8" t="s">
        <v>11</v>
      </c>
      <c r="E240" s="8">
        <f>SUMIF('Simpanan Wajib'!C:C,'All Simpanan '!C:C,'Simpanan Wajib'!E:E)</f>
        <v>0</v>
      </c>
      <c r="F240" s="4">
        <f>SUMIF('Simpanan Pokok'!C:C,'All Simpanan '!C:C,'Simpanan Pokok'!E:E)</f>
        <v>0</v>
      </c>
      <c r="G240" s="4">
        <f>SUMIF('Simpanan Khusus'!C:C,'All Simpanan '!C:C,'Simpanan Khusus'!E:E)</f>
        <v>0</v>
      </c>
      <c r="H240" s="4">
        <f>SUMIF('Simpanan Sukarela'!C:C,'All Simpanan '!C:C,'Simpanan Sukarela'!E:E)</f>
        <v>489208.89512369456</v>
      </c>
      <c r="I240" s="4">
        <f>SUMIF('Simpanan Sukarela Berjangka'!B:B,'All Simpanan '!C:C,'Simpanan Sukarela Berjangka'!K:K)</f>
        <v>0</v>
      </c>
      <c r="J240" s="4">
        <f t="shared" si="3"/>
        <v>489208.89512369456</v>
      </c>
      <c r="K240" s="35" t="s">
        <v>1576</v>
      </c>
    </row>
    <row r="241" spans="1:11" ht="15.5" x14ac:dyDescent="0.35">
      <c r="A241" s="5">
        <v>239</v>
      </c>
      <c r="B241" s="6" t="s">
        <v>562</v>
      </c>
      <c r="C241" s="7" t="s">
        <v>563</v>
      </c>
      <c r="D241" s="8" t="s">
        <v>19</v>
      </c>
      <c r="E241" s="8">
        <f>SUMIF('Simpanan Wajib'!C:C,'All Simpanan '!C:C,'Simpanan Wajib'!E:E)</f>
        <v>0</v>
      </c>
      <c r="F241" s="4">
        <f>SUMIF('Simpanan Pokok'!C:C,'All Simpanan '!C:C,'Simpanan Pokok'!E:E)</f>
        <v>0</v>
      </c>
      <c r="G241" s="4">
        <f>SUMIF('Simpanan Khusus'!C:C,'All Simpanan '!C:C,'Simpanan Khusus'!E:E)</f>
        <v>0</v>
      </c>
      <c r="H241" s="4">
        <f>SUMIF('Simpanan Sukarela'!C:C,'All Simpanan '!C:C,'Simpanan Sukarela'!E:E)</f>
        <v>0</v>
      </c>
      <c r="I241" s="4">
        <f>SUMIF('Simpanan Sukarela Berjangka'!B:B,'All Simpanan '!C:C,'Simpanan Sukarela Berjangka'!K:K)</f>
        <v>0</v>
      </c>
      <c r="J241" s="4">
        <f t="shared" si="3"/>
        <v>0</v>
      </c>
      <c r="K241" s="35" t="s">
        <v>1578</v>
      </c>
    </row>
    <row r="242" spans="1:11" ht="15.5" x14ac:dyDescent="0.35">
      <c r="A242" s="5">
        <v>240</v>
      </c>
      <c r="B242" s="6" t="s">
        <v>564</v>
      </c>
      <c r="C242" s="7" t="s">
        <v>565</v>
      </c>
      <c r="D242" s="8" t="s">
        <v>98</v>
      </c>
      <c r="E242" s="8">
        <f>SUMIF('Simpanan Wajib'!C:C,'All Simpanan '!C:C,'Simpanan Wajib'!E:E)</f>
        <v>0</v>
      </c>
      <c r="F242" s="4">
        <f>SUMIF('Simpanan Pokok'!C:C,'All Simpanan '!C:C,'Simpanan Pokok'!E:E)</f>
        <v>0</v>
      </c>
      <c r="G242" s="4">
        <f>SUMIF('Simpanan Khusus'!C:C,'All Simpanan '!C:C,'Simpanan Khusus'!E:E)</f>
        <v>0</v>
      </c>
      <c r="H242" s="4">
        <f>SUMIF('Simpanan Sukarela'!C:C,'All Simpanan '!C:C,'Simpanan Sukarela'!E:E)</f>
        <v>0</v>
      </c>
      <c r="I242" s="4">
        <f>SUMIF('Simpanan Sukarela Berjangka'!B:B,'All Simpanan '!C:C,'Simpanan Sukarela Berjangka'!K:K)</f>
        <v>0</v>
      </c>
      <c r="J242" s="4">
        <f t="shared" si="3"/>
        <v>0</v>
      </c>
      <c r="K242" s="35" t="s">
        <v>1579</v>
      </c>
    </row>
    <row r="243" spans="1:11" ht="15.5" x14ac:dyDescent="0.35">
      <c r="A243" s="5">
        <v>241</v>
      </c>
      <c r="B243" s="6" t="s">
        <v>566</v>
      </c>
      <c r="C243" s="7" t="s">
        <v>567</v>
      </c>
      <c r="D243" s="8" t="s">
        <v>22</v>
      </c>
      <c r="E243" s="8">
        <f>SUMIF('Simpanan Wajib'!C:C,'All Simpanan '!C:C,'Simpanan Wajib'!E:E)</f>
        <v>0</v>
      </c>
      <c r="F243" s="4">
        <f>SUMIF('Simpanan Pokok'!C:C,'All Simpanan '!C:C,'Simpanan Pokok'!E:E)</f>
        <v>0</v>
      </c>
      <c r="G243" s="4">
        <f>SUMIF('Simpanan Khusus'!C:C,'All Simpanan '!C:C,'Simpanan Khusus'!E:E)</f>
        <v>0</v>
      </c>
      <c r="H243" s="4">
        <f>SUMIF('Simpanan Sukarela'!C:C,'All Simpanan '!C:C,'Simpanan Sukarela'!E:E)</f>
        <v>0</v>
      </c>
      <c r="I243" s="4">
        <f>SUMIF('Simpanan Sukarela Berjangka'!B:B,'All Simpanan '!C:C,'Simpanan Sukarela Berjangka'!K:K)</f>
        <v>0</v>
      </c>
      <c r="J243" s="4">
        <f t="shared" si="3"/>
        <v>0</v>
      </c>
      <c r="K243" s="35" t="s">
        <v>1579</v>
      </c>
    </row>
    <row r="244" spans="1:11" ht="15.5" x14ac:dyDescent="0.35">
      <c r="A244" s="5">
        <v>242</v>
      </c>
      <c r="B244" s="6" t="s">
        <v>568</v>
      </c>
      <c r="C244" s="7" t="s">
        <v>569</v>
      </c>
      <c r="D244" s="8" t="s">
        <v>128</v>
      </c>
      <c r="E244" s="8">
        <f>SUMIF('Simpanan Wajib'!C:C,'All Simpanan '!C:C,'Simpanan Wajib'!E:E)</f>
        <v>0</v>
      </c>
      <c r="F244" s="4">
        <f>SUMIF('Simpanan Pokok'!C:C,'All Simpanan '!C:C,'Simpanan Pokok'!E:E)</f>
        <v>0</v>
      </c>
      <c r="G244" s="4">
        <f>SUMIF('Simpanan Khusus'!C:C,'All Simpanan '!C:C,'Simpanan Khusus'!E:E)</f>
        <v>0</v>
      </c>
      <c r="H244" s="4">
        <f>SUMIF('Simpanan Sukarela'!C:C,'All Simpanan '!C:C,'Simpanan Sukarela'!E:E)</f>
        <v>0</v>
      </c>
      <c r="I244" s="4">
        <f>SUMIF('Simpanan Sukarela Berjangka'!B:B,'All Simpanan '!C:C,'Simpanan Sukarela Berjangka'!K:K)</f>
        <v>0</v>
      </c>
      <c r="J244" s="4">
        <f t="shared" si="3"/>
        <v>0</v>
      </c>
      <c r="K244" s="35" t="s">
        <v>1579</v>
      </c>
    </row>
    <row r="245" spans="1:11" ht="15.5" x14ac:dyDescent="0.35">
      <c r="A245" s="5">
        <v>243</v>
      </c>
      <c r="B245" s="6" t="s">
        <v>570</v>
      </c>
      <c r="C245" s="7" t="s">
        <v>571</v>
      </c>
      <c r="D245" s="8" t="s">
        <v>141</v>
      </c>
      <c r="E245" s="8">
        <f>SUMIF('Simpanan Wajib'!C:C,'All Simpanan '!C:C,'Simpanan Wajib'!E:E)</f>
        <v>22650255</v>
      </c>
      <c r="F245" s="4">
        <f>SUMIF('Simpanan Pokok'!C:C,'All Simpanan '!C:C,'Simpanan Pokok'!E:E)</f>
        <v>5000</v>
      </c>
      <c r="G245" s="4">
        <f>SUMIF('Simpanan Khusus'!C:C,'All Simpanan '!C:C,'Simpanan Khusus'!E:E)</f>
        <v>0</v>
      </c>
      <c r="H245" s="4">
        <f>SUMIF('Simpanan Sukarela'!C:C,'All Simpanan '!C:C,'Simpanan Sukarela'!E:E)</f>
        <v>5193689.0303288726</v>
      </c>
      <c r="I245" s="4">
        <f>SUMIF('Simpanan Sukarela Berjangka'!B:B,'All Simpanan '!C:C,'Simpanan Sukarela Berjangka'!K:K)</f>
        <v>0</v>
      </c>
      <c r="J245" s="4">
        <f t="shared" si="3"/>
        <v>27848944.030328874</v>
      </c>
      <c r="K245" s="35" t="s">
        <v>1579</v>
      </c>
    </row>
    <row r="246" spans="1:11" ht="15.5" x14ac:dyDescent="0.35">
      <c r="A246" s="5">
        <v>244</v>
      </c>
      <c r="B246" s="6" t="s">
        <v>572</v>
      </c>
      <c r="C246" s="7" t="s">
        <v>573</v>
      </c>
      <c r="D246" s="8" t="s">
        <v>574</v>
      </c>
      <c r="E246" s="8">
        <f>SUMIF('Simpanan Wajib'!C:C,'All Simpanan '!C:C,'Simpanan Wajib'!E:E)</f>
        <v>0</v>
      </c>
      <c r="F246" s="4">
        <f>SUMIF('Simpanan Pokok'!C:C,'All Simpanan '!C:C,'Simpanan Pokok'!E:E)</f>
        <v>0</v>
      </c>
      <c r="G246" s="4">
        <f>SUMIF('Simpanan Khusus'!C:C,'All Simpanan '!C:C,'Simpanan Khusus'!E:E)</f>
        <v>0</v>
      </c>
      <c r="H246" s="4">
        <f>SUMIF('Simpanan Sukarela'!C:C,'All Simpanan '!C:C,'Simpanan Sukarela'!E:E)</f>
        <v>0</v>
      </c>
      <c r="I246" s="4">
        <f>SUMIF('Simpanan Sukarela Berjangka'!B:B,'All Simpanan '!C:C,'Simpanan Sukarela Berjangka'!K:K)</f>
        <v>0</v>
      </c>
      <c r="J246" s="4">
        <f t="shared" si="3"/>
        <v>0</v>
      </c>
      <c r="K246" s="35" t="s">
        <v>1579</v>
      </c>
    </row>
    <row r="247" spans="1:11" ht="15.5" x14ac:dyDescent="0.35">
      <c r="A247" s="5">
        <v>245</v>
      </c>
      <c r="B247" s="6" t="s">
        <v>575</v>
      </c>
      <c r="C247" s="7" t="s">
        <v>576</v>
      </c>
      <c r="D247" s="8" t="s">
        <v>290</v>
      </c>
      <c r="E247" s="8">
        <f>SUMIF('Simpanan Wajib'!C:C,'All Simpanan '!C:C,'Simpanan Wajib'!E:E)</f>
        <v>34799256</v>
      </c>
      <c r="F247" s="4">
        <f>SUMIF('Simpanan Pokok'!C:C,'All Simpanan '!C:C,'Simpanan Pokok'!E:E)</f>
        <v>5000</v>
      </c>
      <c r="G247" s="4">
        <f>SUMIF('Simpanan Khusus'!C:C,'All Simpanan '!C:C,'Simpanan Khusus'!E:E)</f>
        <v>3425000</v>
      </c>
      <c r="H247" s="4">
        <f>SUMIF('Simpanan Sukarela'!C:C,'All Simpanan '!C:C,'Simpanan Sukarela'!E:E)</f>
        <v>1279147.1117088324</v>
      </c>
      <c r="I247" s="4">
        <f>SUMIF('Simpanan Sukarela Berjangka'!B:B,'All Simpanan '!C:C,'Simpanan Sukarela Berjangka'!K:K)</f>
        <v>0</v>
      </c>
      <c r="J247" s="4">
        <f t="shared" si="3"/>
        <v>39508403.111708835</v>
      </c>
      <c r="K247" s="35" t="s">
        <v>1579</v>
      </c>
    </row>
    <row r="248" spans="1:11" ht="15.5" x14ac:dyDescent="0.35">
      <c r="A248" s="5">
        <v>246</v>
      </c>
      <c r="B248" s="6" t="s">
        <v>577</v>
      </c>
      <c r="C248" s="7" t="s">
        <v>578</v>
      </c>
      <c r="D248" s="8" t="s">
        <v>303</v>
      </c>
      <c r="E248" s="8">
        <f>SUMIF('Simpanan Wajib'!C:C,'All Simpanan '!C:C,'Simpanan Wajib'!E:E)</f>
        <v>22313505</v>
      </c>
      <c r="F248" s="4">
        <f>SUMIF('Simpanan Pokok'!C:C,'All Simpanan '!C:C,'Simpanan Pokok'!E:E)</f>
        <v>5000</v>
      </c>
      <c r="G248" s="4">
        <f>SUMIF('Simpanan Khusus'!C:C,'All Simpanan '!C:C,'Simpanan Khusus'!E:E)</f>
        <v>250000</v>
      </c>
      <c r="H248" s="4">
        <f>SUMIF('Simpanan Sukarela'!C:C,'All Simpanan '!C:C,'Simpanan Sukarela'!E:E)</f>
        <v>2763340.5484420783</v>
      </c>
      <c r="I248" s="4">
        <f>SUMIF('Simpanan Sukarela Berjangka'!B:B,'All Simpanan '!C:C,'Simpanan Sukarela Berjangka'!K:K)</f>
        <v>0</v>
      </c>
      <c r="J248" s="4">
        <f t="shared" si="3"/>
        <v>25331845.548442077</v>
      </c>
      <c r="K248" s="35" t="s">
        <v>1579</v>
      </c>
    </row>
    <row r="249" spans="1:11" ht="15.5" x14ac:dyDescent="0.35">
      <c r="A249" s="5">
        <v>247</v>
      </c>
      <c r="B249" s="6" t="s">
        <v>579</v>
      </c>
      <c r="C249" s="7" t="s">
        <v>580</v>
      </c>
      <c r="D249" s="8" t="s">
        <v>198</v>
      </c>
      <c r="E249" s="8">
        <f>SUMIF('Simpanan Wajib'!C:C,'All Simpanan '!C:C,'Simpanan Wajib'!E:E)</f>
        <v>0</v>
      </c>
      <c r="F249" s="4">
        <f>SUMIF('Simpanan Pokok'!C:C,'All Simpanan '!C:C,'Simpanan Pokok'!E:E)</f>
        <v>0</v>
      </c>
      <c r="G249" s="4">
        <f>SUMIF('Simpanan Khusus'!C:C,'All Simpanan '!C:C,'Simpanan Khusus'!E:E)</f>
        <v>0</v>
      </c>
      <c r="H249" s="4">
        <f>SUMIF('Simpanan Sukarela'!C:C,'All Simpanan '!C:C,'Simpanan Sukarela'!E:E)</f>
        <v>0</v>
      </c>
      <c r="I249" s="4">
        <f>SUMIF('Simpanan Sukarela Berjangka'!B:B,'All Simpanan '!C:C,'Simpanan Sukarela Berjangka'!K:K)</f>
        <v>0</v>
      </c>
      <c r="J249" s="4">
        <f t="shared" si="3"/>
        <v>0</v>
      </c>
      <c r="K249" s="35" t="s">
        <v>1578</v>
      </c>
    </row>
    <row r="250" spans="1:11" ht="15.5" x14ac:dyDescent="0.35">
      <c r="A250" s="5">
        <v>248</v>
      </c>
      <c r="B250" s="6" t="s">
        <v>581</v>
      </c>
      <c r="C250" s="7" t="s">
        <v>582</v>
      </c>
      <c r="D250" s="8" t="s">
        <v>98</v>
      </c>
      <c r="E250" s="8">
        <f>SUMIF('Simpanan Wajib'!C:C,'All Simpanan '!C:C,'Simpanan Wajib'!E:E)</f>
        <v>0</v>
      </c>
      <c r="F250" s="4">
        <f>SUMIF('Simpanan Pokok'!C:C,'All Simpanan '!C:C,'Simpanan Pokok'!E:E)</f>
        <v>0</v>
      </c>
      <c r="G250" s="4">
        <f>SUMIF('Simpanan Khusus'!C:C,'All Simpanan '!C:C,'Simpanan Khusus'!E:E)</f>
        <v>0</v>
      </c>
      <c r="H250" s="4">
        <f>SUMIF('Simpanan Sukarela'!C:C,'All Simpanan '!C:C,'Simpanan Sukarela'!E:E)</f>
        <v>0</v>
      </c>
      <c r="I250" s="4">
        <f>SUMIF('Simpanan Sukarela Berjangka'!B:B,'All Simpanan '!C:C,'Simpanan Sukarela Berjangka'!K:K)</f>
        <v>0</v>
      </c>
      <c r="J250" s="4">
        <f t="shared" si="3"/>
        <v>0</v>
      </c>
      <c r="K250" s="35" t="s">
        <v>1579</v>
      </c>
    </row>
    <row r="251" spans="1:11" ht="15.5" x14ac:dyDescent="0.35">
      <c r="A251" s="5">
        <v>249</v>
      </c>
      <c r="B251" s="6" t="s">
        <v>583</v>
      </c>
      <c r="C251" s="7" t="s">
        <v>584</v>
      </c>
      <c r="D251" s="8" t="s">
        <v>49</v>
      </c>
      <c r="E251" s="8">
        <f>SUMIF('Simpanan Wajib'!C:C,'All Simpanan '!C:C,'Simpanan Wajib'!E:E)</f>
        <v>0</v>
      </c>
      <c r="F251" s="4">
        <f>SUMIF('Simpanan Pokok'!C:C,'All Simpanan '!C:C,'Simpanan Pokok'!E:E)</f>
        <v>0</v>
      </c>
      <c r="G251" s="4">
        <f>SUMIF('Simpanan Khusus'!C:C,'All Simpanan '!C:C,'Simpanan Khusus'!E:E)</f>
        <v>0</v>
      </c>
      <c r="H251" s="4">
        <f>SUMIF('Simpanan Sukarela'!C:C,'All Simpanan '!C:C,'Simpanan Sukarela'!E:E)</f>
        <v>1442610</v>
      </c>
      <c r="I251" s="4">
        <f>SUMIF('Simpanan Sukarela Berjangka'!B:B,'All Simpanan '!C:C,'Simpanan Sukarela Berjangka'!K:K)</f>
        <v>0</v>
      </c>
      <c r="J251" s="4">
        <f t="shared" si="3"/>
        <v>1442610</v>
      </c>
      <c r="K251" s="35" t="s">
        <v>1578</v>
      </c>
    </row>
    <row r="252" spans="1:11" ht="15.5" x14ac:dyDescent="0.35">
      <c r="A252" s="5">
        <v>250</v>
      </c>
      <c r="B252" s="6" t="s">
        <v>585</v>
      </c>
      <c r="C252" s="7" t="s">
        <v>586</v>
      </c>
      <c r="D252" s="8" t="s">
        <v>166</v>
      </c>
      <c r="E252" s="8">
        <f>SUMIF('Simpanan Wajib'!C:C,'All Simpanan '!C:C,'Simpanan Wajib'!E:E)</f>
        <v>0</v>
      </c>
      <c r="F252" s="4">
        <f>SUMIF('Simpanan Pokok'!C:C,'All Simpanan '!C:C,'Simpanan Pokok'!E:E)</f>
        <v>5000</v>
      </c>
      <c r="G252" s="4">
        <f>SUMIF('Simpanan Khusus'!C:C,'All Simpanan '!C:C,'Simpanan Khusus'!E:E)</f>
        <v>0</v>
      </c>
      <c r="H252" s="4">
        <f>SUMIF('Simpanan Sukarela'!C:C,'All Simpanan '!C:C,'Simpanan Sukarela'!E:E)</f>
        <v>0.3799637989141047</v>
      </c>
      <c r="I252" s="4">
        <f>SUMIF('Simpanan Sukarela Berjangka'!B:B,'All Simpanan '!C:C,'Simpanan Sukarela Berjangka'!K:K)</f>
        <v>0</v>
      </c>
      <c r="J252" s="4">
        <f t="shared" si="3"/>
        <v>5000.3799637989141</v>
      </c>
      <c r="K252" s="35" t="s">
        <v>1576</v>
      </c>
    </row>
    <row r="253" spans="1:11" ht="15.5" x14ac:dyDescent="0.35">
      <c r="A253" s="5">
        <v>251</v>
      </c>
      <c r="B253" s="6" t="s">
        <v>587</v>
      </c>
      <c r="C253" s="7" t="s">
        <v>588</v>
      </c>
      <c r="D253" s="8" t="s">
        <v>19</v>
      </c>
      <c r="E253" s="8">
        <f>SUMIF('Simpanan Wajib'!C:C,'All Simpanan '!C:C,'Simpanan Wajib'!E:E)</f>
        <v>9750000</v>
      </c>
      <c r="F253" s="4">
        <f>SUMIF('Simpanan Pokok'!C:C,'All Simpanan '!C:C,'Simpanan Pokok'!E:E)</f>
        <v>5000</v>
      </c>
      <c r="G253" s="4">
        <f>SUMIF('Simpanan Khusus'!C:C,'All Simpanan '!C:C,'Simpanan Khusus'!E:E)</f>
        <v>0</v>
      </c>
      <c r="H253" s="4">
        <f>SUMIF('Simpanan Sukarela'!C:C,'All Simpanan '!C:C,'Simpanan Sukarela'!E:E)</f>
        <v>838269.13911519654</v>
      </c>
      <c r="I253" s="4">
        <f>SUMIF('Simpanan Sukarela Berjangka'!B:B,'All Simpanan '!C:C,'Simpanan Sukarela Berjangka'!K:K)</f>
        <v>0</v>
      </c>
      <c r="J253" s="4">
        <f t="shared" si="3"/>
        <v>10593269.139115196</v>
      </c>
      <c r="K253" s="35" t="s">
        <v>1578</v>
      </c>
    </row>
    <row r="254" spans="1:11" ht="15.5" x14ac:dyDescent="0.35">
      <c r="A254" s="5">
        <v>252</v>
      </c>
      <c r="B254" s="6" t="s">
        <v>589</v>
      </c>
      <c r="C254" s="7" t="s">
        <v>590</v>
      </c>
      <c r="D254" s="8" t="s">
        <v>72</v>
      </c>
      <c r="E254" s="8">
        <f>SUMIF('Simpanan Wajib'!C:C,'All Simpanan '!C:C,'Simpanan Wajib'!E:E)</f>
        <v>0</v>
      </c>
      <c r="F254" s="4">
        <f>SUMIF('Simpanan Pokok'!C:C,'All Simpanan '!C:C,'Simpanan Pokok'!E:E)</f>
        <v>0</v>
      </c>
      <c r="G254" s="4">
        <f>SUMIF('Simpanan Khusus'!C:C,'All Simpanan '!C:C,'Simpanan Khusus'!E:E)</f>
        <v>0</v>
      </c>
      <c r="H254" s="4">
        <f>SUMIF('Simpanan Sukarela'!C:C,'All Simpanan '!C:C,'Simpanan Sukarela'!E:E)</f>
        <v>0.37200840190052986</v>
      </c>
      <c r="I254" s="4">
        <f>SUMIF('Simpanan Sukarela Berjangka'!B:B,'All Simpanan '!C:C,'Simpanan Sukarela Berjangka'!K:K)</f>
        <v>0</v>
      </c>
      <c r="J254" s="4">
        <f t="shared" si="3"/>
        <v>0.37200840190052986</v>
      </c>
      <c r="K254" s="35" t="s">
        <v>1576</v>
      </c>
    </row>
    <row r="255" spans="1:11" ht="15.5" x14ac:dyDescent="0.35">
      <c r="A255" s="5">
        <v>253</v>
      </c>
      <c r="B255" s="6" t="s">
        <v>591</v>
      </c>
      <c r="C255" s="7" t="s">
        <v>592</v>
      </c>
      <c r="D255" s="8" t="s">
        <v>98</v>
      </c>
      <c r="E255" s="8">
        <f>SUMIF('Simpanan Wajib'!C:C,'All Simpanan '!C:C,'Simpanan Wajib'!E:E)</f>
        <v>0</v>
      </c>
      <c r="F255" s="4">
        <f>SUMIF('Simpanan Pokok'!C:C,'All Simpanan '!C:C,'Simpanan Pokok'!E:E)</f>
        <v>0</v>
      </c>
      <c r="G255" s="4">
        <f>SUMIF('Simpanan Khusus'!C:C,'All Simpanan '!C:C,'Simpanan Khusus'!E:E)</f>
        <v>0</v>
      </c>
      <c r="H255" s="4">
        <f>SUMIF('Simpanan Sukarela'!C:C,'All Simpanan '!C:C,'Simpanan Sukarela'!E:E)</f>
        <v>-0.20049358555115759</v>
      </c>
      <c r="I255" s="4">
        <f>SUMIF('Simpanan Sukarela Berjangka'!B:B,'All Simpanan '!C:C,'Simpanan Sukarela Berjangka'!K:K)</f>
        <v>0</v>
      </c>
      <c r="J255" s="4">
        <f t="shared" si="3"/>
        <v>-0.20049358555115759</v>
      </c>
      <c r="K255" s="35" t="s">
        <v>1576</v>
      </c>
    </row>
    <row r="256" spans="1:11" ht="15.5" x14ac:dyDescent="0.35">
      <c r="A256" s="5">
        <v>254</v>
      </c>
      <c r="B256" s="6" t="s">
        <v>593</v>
      </c>
      <c r="C256" s="7" t="s">
        <v>594</v>
      </c>
      <c r="D256" s="8" t="s">
        <v>119</v>
      </c>
      <c r="E256" s="8">
        <f>SUMIF('Simpanan Wajib'!C:C,'All Simpanan '!C:C,'Simpanan Wajib'!E:E)</f>
        <v>0</v>
      </c>
      <c r="F256" s="4">
        <f>SUMIF('Simpanan Pokok'!C:C,'All Simpanan '!C:C,'Simpanan Pokok'!E:E)</f>
        <v>0</v>
      </c>
      <c r="G256" s="4">
        <f>SUMIF('Simpanan Khusus'!C:C,'All Simpanan '!C:C,'Simpanan Khusus'!E:E)</f>
        <v>0</v>
      </c>
      <c r="H256" s="4">
        <f>SUMIF('Simpanan Sukarela'!C:C,'All Simpanan '!C:C,'Simpanan Sukarela'!E:E)</f>
        <v>0</v>
      </c>
      <c r="I256" s="4">
        <f>SUMIF('Simpanan Sukarela Berjangka'!B:B,'All Simpanan '!C:C,'Simpanan Sukarela Berjangka'!K:K)</f>
        <v>0</v>
      </c>
      <c r="J256" s="4">
        <f t="shared" si="3"/>
        <v>0</v>
      </c>
      <c r="K256" s="35" t="s">
        <v>1578</v>
      </c>
    </row>
    <row r="257" spans="1:11" ht="15.5" x14ac:dyDescent="0.35">
      <c r="A257" s="5">
        <v>255</v>
      </c>
      <c r="B257" s="6" t="s">
        <v>595</v>
      </c>
      <c r="C257" s="7" t="s">
        <v>596</v>
      </c>
      <c r="D257" s="8" t="s">
        <v>201</v>
      </c>
      <c r="E257" s="8">
        <f>SUMIF('Simpanan Wajib'!C:C,'All Simpanan '!C:C,'Simpanan Wajib'!E:E)</f>
        <v>0</v>
      </c>
      <c r="F257" s="4">
        <f>SUMIF('Simpanan Pokok'!C:C,'All Simpanan '!C:C,'Simpanan Pokok'!E:E)</f>
        <v>0</v>
      </c>
      <c r="G257" s="4">
        <f>SUMIF('Simpanan Khusus'!C:C,'All Simpanan '!C:C,'Simpanan Khusus'!E:E)</f>
        <v>0</v>
      </c>
      <c r="H257" s="4">
        <f>SUMIF('Simpanan Sukarela'!C:C,'All Simpanan '!C:C,'Simpanan Sukarela'!E:E)</f>
        <v>0</v>
      </c>
      <c r="I257" s="4">
        <f>SUMIF('Simpanan Sukarela Berjangka'!B:B,'All Simpanan '!C:C,'Simpanan Sukarela Berjangka'!K:K)</f>
        <v>0</v>
      </c>
      <c r="J257" s="4">
        <f t="shared" si="3"/>
        <v>0</v>
      </c>
      <c r="K257" s="35" t="s">
        <v>1578</v>
      </c>
    </row>
    <row r="258" spans="1:11" ht="15.5" x14ac:dyDescent="0.35">
      <c r="A258" s="5">
        <v>256</v>
      </c>
      <c r="B258" s="6" t="s">
        <v>597</v>
      </c>
      <c r="C258" s="7" t="s">
        <v>598</v>
      </c>
      <c r="D258" s="8" t="s">
        <v>98</v>
      </c>
      <c r="E258" s="8">
        <f>SUMIF('Simpanan Wajib'!C:C,'All Simpanan '!C:C,'Simpanan Wajib'!E:E)</f>
        <v>0</v>
      </c>
      <c r="F258" s="4">
        <f>SUMIF('Simpanan Pokok'!C:C,'All Simpanan '!C:C,'Simpanan Pokok'!E:E)</f>
        <v>0</v>
      </c>
      <c r="G258" s="4">
        <f>SUMIF('Simpanan Khusus'!C:C,'All Simpanan '!C:C,'Simpanan Khusus'!E:E)</f>
        <v>0</v>
      </c>
      <c r="H258" s="4">
        <f>SUMIF('Simpanan Sukarela'!C:C,'All Simpanan '!C:C,'Simpanan Sukarela'!E:E)</f>
        <v>0</v>
      </c>
      <c r="I258" s="4">
        <f>SUMIF('Simpanan Sukarela Berjangka'!B:B,'All Simpanan '!C:C,'Simpanan Sukarela Berjangka'!K:K)</f>
        <v>0</v>
      </c>
      <c r="J258" s="4">
        <f t="shared" si="3"/>
        <v>0</v>
      </c>
      <c r="K258" s="35" t="s">
        <v>1578</v>
      </c>
    </row>
    <row r="259" spans="1:11" ht="15.5" x14ac:dyDescent="0.35">
      <c r="A259" s="5">
        <v>257</v>
      </c>
      <c r="B259" s="6" t="s">
        <v>599</v>
      </c>
      <c r="C259" s="7" t="s">
        <v>600</v>
      </c>
      <c r="D259" s="8" t="s">
        <v>98</v>
      </c>
      <c r="E259" s="8">
        <f>SUMIF('Simpanan Wajib'!C:C,'All Simpanan '!C:C,'Simpanan Wajib'!E:E)</f>
        <v>0</v>
      </c>
      <c r="F259" s="4">
        <f>SUMIF('Simpanan Pokok'!C:C,'All Simpanan '!C:C,'Simpanan Pokok'!E:E)</f>
        <v>0</v>
      </c>
      <c r="G259" s="4">
        <f>SUMIF('Simpanan Khusus'!C:C,'All Simpanan '!C:C,'Simpanan Khusus'!E:E)</f>
        <v>0</v>
      </c>
      <c r="H259" s="4">
        <f>SUMIF('Simpanan Sukarela'!C:C,'All Simpanan '!C:C,'Simpanan Sukarela'!E:E)</f>
        <v>0</v>
      </c>
      <c r="I259" s="4">
        <f>SUMIF('Simpanan Sukarela Berjangka'!B:B,'All Simpanan '!C:C,'Simpanan Sukarela Berjangka'!K:K)</f>
        <v>0</v>
      </c>
      <c r="J259" s="4">
        <f t="shared" si="3"/>
        <v>0</v>
      </c>
      <c r="K259" s="35" t="s">
        <v>1578</v>
      </c>
    </row>
    <row r="260" spans="1:11" ht="15.5" x14ac:dyDescent="0.35">
      <c r="A260" s="5">
        <v>258</v>
      </c>
      <c r="B260" s="6" t="s">
        <v>601</v>
      </c>
      <c r="C260" s="7" t="s">
        <v>602</v>
      </c>
      <c r="D260" s="8" t="s">
        <v>25</v>
      </c>
      <c r="E260" s="8">
        <f>SUMIF('Simpanan Wajib'!C:C,'All Simpanan '!C:C,'Simpanan Wajib'!E:E)</f>
        <v>0</v>
      </c>
      <c r="F260" s="4">
        <f>SUMIF('Simpanan Pokok'!C:C,'All Simpanan '!C:C,'Simpanan Pokok'!E:E)</f>
        <v>0</v>
      </c>
      <c r="G260" s="4">
        <f>SUMIF('Simpanan Khusus'!C:C,'All Simpanan '!C:C,'Simpanan Khusus'!E:E)</f>
        <v>0</v>
      </c>
      <c r="H260" s="4">
        <f>SUMIF('Simpanan Sukarela'!C:C,'All Simpanan '!C:C,'Simpanan Sukarela'!E:E)</f>
        <v>0</v>
      </c>
      <c r="I260" s="4">
        <f>SUMIF('Simpanan Sukarela Berjangka'!B:B,'All Simpanan '!C:C,'Simpanan Sukarela Berjangka'!K:K)</f>
        <v>0</v>
      </c>
      <c r="J260" s="4">
        <f t="shared" ref="J260:J323" si="4">SUM(E260:I260)</f>
        <v>0</v>
      </c>
      <c r="K260" s="35" t="s">
        <v>1579</v>
      </c>
    </row>
    <row r="261" spans="1:11" ht="15.5" x14ac:dyDescent="0.35">
      <c r="A261" s="5">
        <v>259</v>
      </c>
      <c r="B261" s="6" t="s">
        <v>603</v>
      </c>
      <c r="C261" s="7" t="s">
        <v>604</v>
      </c>
      <c r="D261" s="8" t="s">
        <v>131</v>
      </c>
      <c r="E261" s="8">
        <f>SUMIF('Simpanan Wajib'!C:C,'All Simpanan '!C:C,'Simpanan Wajib'!E:E)</f>
        <v>0</v>
      </c>
      <c r="F261" s="4">
        <f>SUMIF('Simpanan Pokok'!C:C,'All Simpanan '!C:C,'Simpanan Pokok'!E:E)</f>
        <v>0</v>
      </c>
      <c r="G261" s="4">
        <f>SUMIF('Simpanan Khusus'!C:C,'All Simpanan '!C:C,'Simpanan Khusus'!E:E)</f>
        <v>0</v>
      </c>
      <c r="H261" s="4">
        <f>SUMIF('Simpanan Sukarela'!C:C,'All Simpanan '!C:C,'Simpanan Sukarela'!E:E)</f>
        <v>0</v>
      </c>
      <c r="I261" s="4">
        <f>SUMIF('Simpanan Sukarela Berjangka'!B:B,'All Simpanan '!C:C,'Simpanan Sukarela Berjangka'!K:K)</f>
        <v>0</v>
      </c>
      <c r="J261" s="4">
        <f t="shared" si="4"/>
        <v>0</v>
      </c>
      <c r="K261" s="35" t="s">
        <v>1579</v>
      </c>
    </row>
    <row r="262" spans="1:11" ht="15.5" x14ac:dyDescent="0.35">
      <c r="A262" s="5">
        <v>260</v>
      </c>
      <c r="B262" s="6" t="s">
        <v>605</v>
      </c>
      <c r="C262" s="7" t="s">
        <v>606</v>
      </c>
      <c r="D262" s="8" t="s">
        <v>60</v>
      </c>
      <c r="E262" s="8">
        <f>SUMIF('Simpanan Wajib'!C:C,'All Simpanan '!C:C,'Simpanan Wajib'!E:E)</f>
        <v>0</v>
      </c>
      <c r="F262" s="4">
        <f>SUMIF('Simpanan Pokok'!C:C,'All Simpanan '!C:C,'Simpanan Pokok'!E:E)</f>
        <v>0</v>
      </c>
      <c r="G262" s="4">
        <f>SUMIF('Simpanan Khusus'!C:C,'All Simpanan '!C:C,'Simpanan Khusus'!E:E)</f>
        <v>0</v>
      </c>
      <c r="H262" s="4">
        <f>SUMIF('Simpanan Sukarela'!C:C,'All Simpanan '!C:C,'Simpanan Sukarela'!E:E)</f>
        <v>110201.95735645248</v>
      </c>
      <c r="I262" s="4">
        <f>SUMIF('Simpanan Sukarela Berjangka'!B:B,'All Simpanan '!C:C,'Simpanan Sukarela Berjangka'!K:K)</f>
        <v>0</v>
      </c>
      <c r="J262" s="4">
        <f t="shared" si="4"/>
        <v>110201.95735645248</v>
      </c>
      <c r="K262" s="35" t="s">
        <v>1578</v>
      </c>
    </row>
    <row r="263" spans="1:11" ht="15.5" x14ac:dyDescent="0.35">
      <c r="A263" s="5">
        <v>261</v>
      </c>
      <c r="B263" s="6" t="s">
        <v>607</v>
      </c>
      <c r="C263" s="7" t="s">
        <v>608</v>
      </c>
      <c r="D263" s="8" t="s">
        <v>238</v>
      </c>
      <c r="E263" s="8">
        <f>SUMIF('Simpanan Wajib'!C:C,'All Simpanan '!C:C,'Simpanan Wajib'!E:E)</f>
        <v>0</v>
      </c>
      <c r="F263" s="4">
        <f>SUMIF('Simpanan Pokok'!C:C,'All Simpanan '!C:C,'Simpanan Pokok'!E:E)</f>
        <v>0</v>
      </c>
      <c r="G263" s="4">
        <f>SUMIF('Simpanan Khusus'!C:C,'All Simpanan '!C:C,'Simpanan Khusus'!E:E)</f>
        <v>0</v>
      </c>
      <c r="H263" s="4">
        <f>SUMIF('Simpanan Sukarela'!C:C,'All Simpanan '!C:C,'Simpanan Sukarela'!E:E)</f>
        <v>0</v>
      </c>
      <c r="I263" s="4">
        <f>SUMIF('Simpanan Sukarela Berjangka'!B:B,'All Simpanan '!C:C,'Simpanan Sukarela Berjangka'!K:K)</f>
        <v>0</v>
      </c>
      <c r="J263" s="4">
        <f t="shared" si="4"/>
        <v>0</v>
      </c>
      <c r="K263" s="35" t="s">
        <v>1579</v>
      </c>
    </row>
    <row r="264" spans="1:11" ht="15.5" x14ac:dyDescent="0.35">
      <c r="A264" s="5">
        <v>262</v>
      </c>
      <c r="B264" s="6" t="s">
        <v>609</v>
      </c>
      <c r="C264" s="7" t="s">
        <v>610</v>
      </c>
      <c r="D264" s="8" t="s">
        <v>14</v>
      </c>
      <c r="E264" s="8">
        <f>SUMIF('Simpanan Wajib'!C:C,'All Simpanan '!C:C,'Simpanan Wajib'!E:E)</f>
        <v>0</v>
      </c>
      <c r="F264" s="4">
        <f>SUMIF('Simpanan Pokok'!C:C,'All Simpanan '!C:C,'Simpanan Pokok'!E:E)</f>
        <v>0</v>
      </c>
      <c r="G264" s="4">
        <f>SUMIF('Simpanan Khusus'!C:C,'All Simpanan '!C:C,'Simpanan Khusus'!E:E)</f>
        <v>0</v>
      </c>
      <c r="H264" s="4">
        <f>SUMIF('Simpanan Sukarela'!C:C,'All Simpanan '!C:C,'Simpanan Sukarela'!E:E)</f>
        <v>0</v>
      </c>
      <c r="I264" s="4">
        <f>SUMIF('Simpanan Sukarela Berjangka'!B:B,'All Simpanan '!C:C,'Simpanan Sukarela Berjangka'!K:K)</f>
        <v>0</v>
      </c>
      <c r="J264" s="4">
        <f t="shared" si="4"/>
        <v>0</v>
      </c>
      <c r="K264" s="35" t="s">
        <v>1579</v>
      </c>
    </row>
    <row r="265" spans="1:11" ht="15.5" x14ac:dyDescent="0.35">
      <c r="A265" s="5">
        <v>263</v>
      </c>
      <c r="B265" s="6" t="s">
        <v>611</v>
      </c>
      <c r="C265" s="7" t="s">
        <v>612</v>
      </c>
      <c r="D265" s="8" t="s">
        <v>136</v>
      </c>
      <c r="E265" s="8">
        <f>SUMIF('Simpanan Wajib'!C:C,'All Simpanan '!C:C,'Simpanan Wajib'!E:E)</f>
        <v>0</v>
      </c>
      <c r="F265" s="4">
        <f>SUMIF('Simpanan Pokok'!C:C,'All Simpanan '!C:C,'Simpanan Pokok'!E:E)</f>
        <v>0</v>
      </c>
      <c r="G265" s="4">
        <f>SUMIF('Simpanan Khusus'!C:C,'All Simpanan '!C:C,'Simpanan Khusus'!E:E)</f>
        <v>0</v>
      </c>
      <c r="H265" s="4">
        <f>SUMIF('Simpanan Sukarela'!C:C,'All Simpanan '!C:C,'Simpanan Sukarela'!E:E)</f>
        <v>0</v>
      </c>
      <c r="I265" s="4">
        <f>SUMIF('Simpanan Sukarela Berjangka'!B:B,'All Simpanan '!C:C,'Simpanan Sukarela Berjangka'!K:K)</f>
        <v>0</v>
      </c>
      <c r="J265" s="4">
        <f t="shared" si="4"/>
        <v>0</v>
      </c>
      <c r="K265" s="35" t="s">
        <v>1579</v>
      </c>
    </row>
    <row r="266" spans="1:11" ht="15.5" x14ac:dyDescent="0.35">
      <c r="A266" s="5">
        <v>264</v>
      </c>
      <c r="B266" s="6" t="s">
        <v>613</v>
      </c>
      <c r="C266" s="7" t="s">
        <v>614</v>
      </c>
      <c r="D266" s="8" t="s">
        <v>98</v>
      </c>
      <c r="E266" s="8">
        <f>SUMIF('Simpanan Wajib'!C:C,'All Simpanan '!C:C,'Simpanan Wajib'!E:E)</f>
        <v>0</v>
      </c>
      <c r="F266" s="4">
        <f>SUMIF('Simpanan Pokok'!C:C,'All Simpanan '!C:C,'Simpanan Pokok'!E:E)</f>
        <v>0</v>
      </c>
      <c r="G266" s="4">
        <f>SUMIF('Simpanan Khusus'!C:C,'All Simpanan '!C:C,'Simpanan Khusus'!E:E)</f>
        <v>0</v>
      </c>
      <c r="H266" s="4">
        <f>SUMIF('Simpanan Sukarela'!C:C,'All Simpanan '!C:C,'Simpanan Sukarela'!E:E)</f>
        <v>0</v>
      </c>
      <c r="I266" s="4">
        <f>SUMIF('Simpanan Sukarela Berjangka'!B:B,'All Simpanan '!C:C,'Simpanan Sukarela Berjangka'!K:K)</f>
        <v>0</v>
      </c>
      <c r="J266" s="4">
        <f t="shared" si="4"/>
        <v>0</v>
      </c>
      <c r="K266" s="35" t="s">
        <v>1579</v>
      </c>
    </row>
    <row r="267" spans="1:11" ht="15.5" x14ac:dyDescent="0.35">
      <c r="A267" s="5">
        <v>265</v>
      </c>
      <c r="B267" s="6" t="s">
        <v>615</v>
      </c>
      <c r="C267" s="7" t="s">
        <v>616</v>
      </c>
      <c r="D267" s="8" t="s">
        <v>119</v>
      </c>
      <c r="E267" s="8">
        <f>SUMIF('Simpanan Wajib'!C:C,'All Simpanan '!C:C,'Simpanan Wajib'!E:E)</f>
        <v>0</v>
      </c>
      <c r="F267" s="4">
        <f>SUMIF('Simpanan Pokok'!C:C,'All Simpanan '!C:C,'Simpanan Pokok'!E:E)</f>
        <v>0</v>
      </c>
      <c r="G267" s="4">
        <f>SUMIF('Simpanan Khusus'!C:C,'All Simpanan '!C:C,'Simpanan Khusus'!E:E)</f>
        <v>0</v>
      </c>
      <c r="H267" s="4">
        <f>SUMIF('Simpanan Sukarela'!C:C,'All Simpanan '!C:C,'Simpanan Sukarela'!E:E)</f>
        <v>0</v>
      </c>
      <c r="I267" s="4">
        <f>SUMIF('Simpanan Sukarela Berjangka'!B:B,'All Simpanan '!C:C,'Simpanan Sukarela Berjangka'!K:K)</f>
        <v>0</v>
      </c>
      <c r="J267" s="4">
        <f t="shared" si="4"/>
        <v>0</v>
      </c>
      <c r="K267" s="35" t="s">
        <v>1576</v>
      </c>
    </row>
    <row r="268" spans="1:11" ht="15.5" x14ac:dyDescent="0.35">
      <c r="A268" s="5">
        <v>266</v>
      </c>
      <c r="B268" s="6" t="s">
        <v>617</v>
      </c>
      <c r="C268" s="7" t="s">
        <v>618</v>
      </c>
      <c r="D268" s="8" t="s">
        <v>25</v>
      </c>
      <c r="E268" s="8">
        <f>SUMIF('Simpanan Wajib'!C:C,'All Simpanan '!C:C,'Simpanan Wajib'!E:E)</f>
        <v>0</v>
      </c>
      <c r="F268" s="4">
        <f>SUMIF('Simpanan Pokok'!C:C,'All Simpanan '!C:C,'Simpanan Pokok'!E:E)</f>
        <v>0</v>
      </c>
      <c r="G268" s="4">
        <f>SUMIF('Simpanan Khusus'!C:C,'All Simpanan '!C:C,'Simpanan Khusus'!E:E)</f>
        <v>0</v>
      </c>
      <c r="H268" s="4">
        <f>SUMIF('Simpanan Sukarela'!C:C,'All Simpanan '!C:C,'Simpanan Sukarela'!E:E)</f>
        <v>0</v>
      </c>
      <c r="I268" s="4">
        <f>SUMIF('Simpanan Sukarela Berjangka'!B:B,'All Simpanan '!C:C,'Simpanan Sukarela Berjangka'!K:K)</f>
        <v>0</v>
      </c>
      <c r="J268" s="4">
        <f t="shared" si="4"/>
        <v>0</v>
      </c>
      <c r="K268" s="35" t="s">
        <v>1579</v>
      </c>
    </row>
    <row r="269" spans="1:11" ht="15.5" x14ac:dyDescent="0.35">
      <c r="A269" s="5">
        <v>267</v>
      </c>
      <c r="B269" s="6" t="s">
        <v>619</v>
      </c>
      <c r="C269" s="7" t="s">
        <v>620</v>
      </c>
      <c r="D269" s="8" t="s">
        <v>65</v>
      </c>
      <c r="E269" s="8">
        <f>SUMIF('Simpanan Wajib'!C:C,'All Simpanan '!C:C,'Simpanan Wajib'!E:E)</f>
        <v>150000</v>
      </c>
      <c r="F269" s="4">
        <f>SUMIF('Simpanan Pokok'!C:C,'All Simpanan '!C:C,'Simpanan Pokok'!E:E)</f>
        <v>0</v>
      </c>
      <c r="G269" s="4">
        <f>SUMIF('Simpanan Khusus'!C:C,'All Simpanan '!C:C,'Simpanan Khusus'!E:E)</f>
        <v>0</v>
      </c>
      <c r="H269" s="4">
        <f>SUMIF('Simpanan Sukarela'!C:C,'All Simpanan '!C:C,'Simpanan Sukarela'!E:E)</f>
        <v>472798.51769596152</v>
      </c>
      <c r="I269" s="4">
        <f>SUMIF('Simpanan Sukarela Berjangka'!B:B,'All Simpanan '!C:C,'Simpanan Sukarela Berjangka'!K:K)</f>
        <v>0</v>
      </c>
      <c r="J269" s="4">
        <f t="shared" si="4"/>
        <v>622798.51769596152</v>
      </c>
      <c r="K269" s="35" t="s">
        <v>1576</v>
      </c>
    </row>
    <row r="270" spans="1:11" ht="15.5" x14ac:dyDescent="0.35">
      <c r="A270" s="5">
        <v>268</v>
      </c>
      <c r="B270" s="6" t="s">
        <v>621</v>
      </c>
      <c r="C270" s="7" t="s">
        <v>622</v>
      </c>
      <c r="D270" s="8" t="s">
        <v>166</v>
      </c>
      <c r="E270" s="8">
        <f>SUMIF('Simpanan Wajib'!C:C,'All Simpanan '!C:C,'Simpanan Wajib'!E:E)</f>
        <v>0</v>
      </c>
      <c r="F270" s="4">
        <f>SUMIF('Simpanan Pokok'!C:C,'All Simpanan '!C:C,'Simpanan Pokok'!E:E)</f>
        <v>0</v>
      </c>
      <c r="G270" s="4">
        <f>SUMIF('Simpanan Khusus'!C:C,'All Simpanan '!C:C,'Simpanan Khusus'!E:E)</f>
        <v>0</v>
      </c>
      <c r="H270" s="4">
        <f>SUMIF('Simpanan Sukarela'!C:C,'All Simpanan '!C:C,'Simpanan Sukarela'!E:E)</f>
        <v>-599999.93490521424</v>
      </c>
      <c r="I270" s="4">
        <f>SUMIF('Simpanan Sukarela Berjangka'!B:B,'All Simpanan '!C:C,'Simpanan Sukarela Berjangka'!K:K)</f>
        <v>0</v>
      </c>
      <c r="J270" s="4">
        <f t="shared" si="4"/>
        <v>-599999.93490521424</v>
      </c>
      <c r="K270" s="35" t="s">
        <v>1578</v>
      </c>
    </row>
    <row r="271" spans="1:11" ht="15.5" x14ac:dyDescent="0.35">
      <c r="A271" s="5">
        <v>269</v>
      </c>
      <c r="B271" s="6" t="s">
        <v>623</v>
      </c>
      <c r="C271" s="7" t="s">
        <v>624</v>
      </c>
      <c r="D271" s="8" t="s">
        <v>136</v>
      </c>
      <c r="E271" s="8">
        <f>SUMIF('Simpanan Wajib'!C:C,'All Simpanan '!C:C,'Simpanan Wajib'!E:E)</f>
        <v>0</v>
      </c>
      <c r="F271" s="4">
        <f>SUMIF('Simpanan Pokok'!C:C,'All Simpanan '!C:C,'Simpanan Pokok'!E:E)</f>
        <v>0</v>
      </c>
      <c r="G271" s="4">
        <f>SUMIF('Simpanan Khusus'!C:C,'All Simpanan '!C:C,'Simpanan Khusus'!E:E)</f>
        <v>0</v>
      </c>
      <c r="H271" s="4">
        <f>SUMIF('Simpanan Sukarela'!C:C,'All Simpanan '!C:C,'Simpanan Sukarela'!E:E)</f>
        <v>2353773.8933159802</v>
      </c>
      <c r="I271" s="4">
        <f>SUMIF('Simpanan Sukarela Berjangka'!B:B,'All Simpanan '!C:C,'Simpanan Sukarela Berjangka'!K:K)</f>
        <v>0</v>
      </c>
      <c r="J271" s="4">
        <f t="shared" si="4"/>
        <v>2353773.8933159802</v>
      </c>
      <c r="K271" s="35" t="s">
        <v>1579</v>
      </c>
    </row>
    <row r="272" spans="1:11" ht="15.5" x14ac:dyDescent="0.35">
      <c r="A272" s="5">
        <v>270</v>
      </c>
      <c r="B272" s="6" t="s">
        <v>625</v>
      </c>
      <c r="C272" s="7" t="s">
        <v>626</v>
      </c>
      <c r="D272" s="8" t="s">
        <v>429</v>
      </c>
      <c r="E272" s="8">
        <f>SUMIF('Simpanan Wajib'!C:C,'All Simpanan '!C:C,'Simpanan Wajib'!E:E)</f>
        <v>250000</v>
      </c>
      <c r="F272" s="4">
        <f>SUMIF('Simpanan Pokok'!C:C,'All Simpanan '!C:C,'Simpanan Pokok'!E:E)</f>
        <v>0</v>
      </c>
      <c r="G272" s="4">
        <f>SUMIF('Simpanan Khusus'!C:C,'All Simpanan '!C:C,'Simpanan Khusus'!E:E)</f>
        <v>0</v>
      </c>
      <c r="H272" s="4">
        <f>SUMIF('Simpanan Sukarela'!C:C,'All Simpanan '!C:C,'Simpanan Sukarela'!E:E)</f>
        <v>10257.509960345924</v>
      </c>
      <c r="I272" s="4">
        <f>SUMIF('Simpanan Sukarela Berjangka'!B:B,'All Simpanan '!C:C,'Simpanan Sukarela Berjangka'!K:K)</f>
        <v>0</v>
      </c>
      <c r="J272" s="4">
        <f t="shared" si="4"/>
        <v>260257.50996034592</v>
      </c>
      <c r="K272" s="35" t="s">
        <v>1578</v>
      </c>
    </row>
    <row r="273" spans="1:11" ht="15.5" x14ac:dyDescent="0.35">
      <c r="A273" s="5">
        <v>271</v>
      </c>
      <c r="B273" s="6" t="s">
        <v>627</v>
      </c>
      <c r="C273" s="7" t="s">
        <v>628</v>
      </c>
      <c r="D273" s="8" t="s">
        <v>119</v>
      </c>
      <c r="E273" s="8">
        <f>SUMIF('Simpanan Wajib'!C:C,'All Simpanan '!C:C,'Simpanan Wajib'!E:E)</f>
        <v>34522362</v>
      </c>
      <c r="F273" s="4">
        <f>SUMIF('Simpanan Pokok'!C:C,'All Simpanan '!C:C,'Simpanan Pokok'!E:E)</f>
        <v>5000</v>
      </c>
      <c r="G273" s="4">
        <f>SUMIF('Simpanan Khusus'!C:C,'All Simpanan '!C:C,'Simpanan Khusus'!E:E)</f>
        <v>15000</v>
      </c>
      <c r="H273" s="4">
        <f>SUMIF('Simpanan Sukarela'!C:C,'All Simpanan '!C:C,'Simpanan Sukarela'!E:E)</f>
        <v>5852647.897788181</v>
      </c>
      <c r="I273" s="4">
        <f>SUMIF('Simpanan Sukarela Berjangka'!B:B,'All Simpanan '!C:C,'Simpanan Sukarela Berjangka'!K:K)</f>
        <v>0</v>
      </c>
      <c r="J273" s="4">
        <f t="shared" si="4"/>
        <v>40395009.897788182</v>
      </c>
      <c r="K273" s="35" t="s">
        <v>1579</v>
      </c>
    </row>
    <row r="274" spans="1:11" ht="15.5" x14ac:dyDescent="0.35">
      <c r="A274" s="5">
        <v>272</v>
      </c>
      <c r="B274" s="6" t="s">
        <v>629</v>
      </c>
      <c r="C274" s="7" t="s">
        <v>630</v>
      </c>
      <c r="D274" s="8" t="s">
        <v>238</v>
      </c>
      <c r="E274" s="8">
        <f>SUMIF('Simpanan Wajib'!C:C,'All Simpanan '!C:C,'Simpanan Wajib'!E:E)</f>
        <v>22145858</v>
      </c>
      <c r="F274" s="4">
        <f>SUMIF('Simpanan Pokok'!C:C,'All Simpanan '!C:C,'Simpanan Pokok'!E:E)</f>
        <v>5000</v>
      </c>
      <c r="G274" s="4">
        <f>SUMIF('Simpanan Khusus'!C:C,'All Simpanan '!C:C,'Simpanan Khusus'!E:E)</f>
        <v>400000</v>
      </c>
      <c r="H274" s="4">
        <f>SUMIF('Simpanan Sukarela'!C:C,'All Simpanan '!C:C,'Simpanan Sukarela'!E:E)</f>
        <v>746055.98232935974</v>
      </c>
      <c r="I274" s="4">
        <f>SUMIF('Simpanan Sukarela Berjangka'!B:B,'All Simpanan '!C:C,'Simpanan Sukarela Berjangka'!K:K)</f>
        <v>0</v>
      </c>
      <c r="J274" s="4">
        <f t="shared" si="4"/>
        <v>23296913.982329361</v>
      </c>
      <c r="K274" s="35" t="s">
        <v>1579</v>
      </c>
    </row>
    <row r="275" spans="1:11" ht="15.5" x14ac:dyDescent="0.35">
      <c r="A275" s="5">
        <v>273</v>
      </c>
      <c r="B275" s="6" t="s">
        <v>631</v>
      </c>
      <c r="C275" s="7" t="s">
        <v>632</v>
      </c>
      <c r="D275" s="8" t="s">
        <v>65</v>
      </c>
      <c r="E275" s="8">
        <f>SUMIF('Simpanan Wajib'!C:C,'All Simpanan '!C:C,'Simpanan Wajib'!E:E)</f>
        <v>0</v>
      </c>
      <c r="F275" s="4">
        <f>SUMIF('Simpanan Pokok'!C:C,'All Simpanan '!C:C,'Simpanan Pokok'!E:E)</f>
        <v>0</v>
      </c>
      <c r="G275" s="4">
        <f>SUMIF('Simpanan Khusus'!C:C,'All Simpanan '!C:C,'Simpanan Khusus'!E:E)</f>
        <v>0</v>
      </c>
      <c r="H275" s="4">
        <f>SUMIF('Simpanan Sukarela'!C:C,'All Simpanan '!C:C,'Simpanan Sukarela'!E:E)</f>
        <v>0.48286052979528904</v>
      </c>
      <c r="I275" s="4">
        <f>SUMIF('Simpanan Sukarela Berjangka'!B:B,'All Simpanan '!C:C,'Simpanan Sukarela Berjangka'!K:K)</f>
        <v>0</v>
      </c>
      <c r="J275" s="4">
        <f t="shared" si="4"/>
        <v>0.48286052979528904</v>
      </c>
      <c r="K275" s="35" t="s">
        <v>1576</v>
      </c>
    </row>
    <row r="276" spans="1:11" ht="15.5" x14ac:dyDescent="0.35">
      <c r="A276" s="5">
        <v>274</v>
      </c>
      <c r="B276" s="6" t="s">
        <v>633</v>
      </c>
      <c r="C276" s="7" t="s">
        <v>634</v>
      </c>
      <c r="D276" s="8" t="s">
        <v>119</v>
      </c>
      <c r="E276" s="8">
        <f>SUMIF('Simpanan Wajib'!C:C,'All Simpanan '!C:C,'Simpanan Wajib'!E:E)</f>
        <v>0</v>
      </c>
      <c r="F276" s="4">
        <f>SUMIF('Simpanan Pokok'!C:C,'All Simpanan '!C:C,'Simpanan Pokok'!E:E)</f>
        <v>0</v>
      </c>
      <c r="G276" s="4">
        <f>SUMIF('Simpanan Khusus'!C:C,'All Simpanan '!C:C,'Simpanan Khusus'!E:E)</f>
        <v>0</v>
      </c>
      <c r="H276" s="4">
        <f>SUMIF('Simpanan Sukarela'!C:C,'All Simpanan '!C:C,'Simpanan Sukarela'!E:E)</f>
        <v>-0.11918564978986979</v>
      </c>
      <c r="I276" s="4">
        <f>SUMIF('Simpanan Sukarela Berjangka'!B:B,'All Simpanan '!C:C,'Simpanan Sukarela Berjangka'!K:K)</f>
        <v>0</v>
      </c>
      <c r="J276" s="4">
        <f t="shared" si="4"/>
        <v>-0.11918564978986979</v>
      </c>
      <c r="K276" s="35" t="s">
        <v>1576</v>
      </c>
    </row>
    <row r="277" spans="1:11" ht="15.5" x14ac:dyDescent="0.35">
      <c r="A277" s="5">
        <v>275</v>
      </c>
      <c r="B277" s="6" t="s">
        <v>635</v>
      </c>
      <c r="C277" s="7" t="s">
        <v>636</v>
      </c>
      <c r="D277" s="8" t="s">
        <v>136</v>
      </c>
      <c r="E277" s="8">
        <f>SUMIF('Simpanan Wajib'!C:C,'All Simpanan '!C:C,'Simpanan Wajib'!E:E)</f>
        <v>270000</v>
      </c>
      <c r="F277" s="4">
        <f>SUMIF('Simpanan Pokok'!C:C,'All Simpanan '!C:C,'Simpanan Pokok'!E:E)</f>
        <v>0</v>
      </c>
      <c r="G277" s="4">
        <f>SUMIF('Simpanan Khusus'!C:C,'All Simpanan '!C:C,'Simpanan Khusus'!E:E)</f>
        <v>0</v>
      </c>
      <c r="H277" s="4">
        <f>SUMIF('Simpanan Sukarela'!C:C,'All Simpanan '!C:C,'Simpanan Sukarela'!E:E)</f>
        <v>121012.31125485525</v>
      </c>
      <c r="I277" s="4">
        <f>SUMIF('Simpanan Sukarela Berjangka'!B:B,'All Simpanan '!C:C,'Simpanan Sukarela Berjangka'!K:K)</f>
        <v>0</v>
      </c>
      <c r="J277" s="4">
        <f t="shared" si="4"/>
        <v>391012.31125485525</v>
      </c>
      <c r="K277" s="35" t="s">
        <v>1578</v>
      </c>
    </row>
    <row r="278" spans="1:11" ht="15.5" x14ac:dyDescent="0.35">
      <c r="A278" s="5">
        <v>276</v>
      </c>
      <c r="B278" s="6" t="s">
        <v>637</v>
      </c>
      <c r="C278" s="7" t="s">
        <v>638</v>
      </c>
      <c r="D278" s="8" t="s">
        <v>49</v>
      </c>
      <c r="E278" s="8">
        <f>SUMIF('Simpanan Wajib'!C:C,'All Simpanan '!C:C,'Simpanan Wajib'!E:E)</f>
        <v>0</v>
      </c>
      <c r="F278" s="4">
        <f>SUMIF('Simpanan Pokok'!C:C,'All Simpanan '!C:C,'Simpanan Pokok'!E:E)</f>
        <v>0</v>
      </c>
      <c r="G278" s="4">
        <f>SUMIF('Simpanan Khusus'!C:C,'All Simpanan '!C:C,'Simpanan Khusus'!E:E)</f>
        <v>0</v>
      </c>
      <c r="H278" s="4">
        <f>SUMIF('Simpanan Sukarela'!C:C,'All Simpanan '!C:C,'Simpanan Sukarela'!E:E)</f>
        <v>143401.1356755679</v>
      </c>
      <c r="I278" s="4">
        <f>SUMIF('Simpanan Sukarela Berjangka'!B:B,'All Simpanan '!C:C,'Simpanan Sukarela Berjangka'!K:K)</f>
        <v>0</v>
      </c>
      <c r="J278" s="4">
        <f t="shared" si="4"/>
        <v>143401.1356755679</v>
      </c>
      <c r="K278" s="35" t="s">
        <v>1578</v>
      </c>
    </row>
    <row r="279" spans="1:11" ht="15.5" x14ac:dyDescent="0.35">
      <c r="A279" s="5">
        <v>277</v>
      </c>
      <c r="B279" s="6" t="s">
        <v>639</v>
      </c>
      <c r="C279" s="7" t="s">
        <v>640</v>
      </c>
      <c r="D279" s="8" t="s">
        <v>25</v>
      </c>
      <c r="E279" s="8">
        <f>SUMIF('Simpanan Wajib'!C:C,'All Simpanan '!C:C,'Simpanan Wajib'!E:E)</f>
        <v>0</v>
      </c>
      <c r="F279" s="4">
        <f>SUMIF('Simpanan Pokok'!C:C,'All Simpanan '!C:C,'Simpanan Pokok'!E:E)</f>
        <v>0</v>
      </c>
      <c r="G279" s="4">
        <f>SUMIF('Simpanan Khusus'!C:C,'All Simpanan '!C:C,'Simpanan Khusus'!E:E)</f>
        <v>0</v>
      </c>
      <c r="H279" s="4">
        <f>SUMIF('Simpanan Sukarela'!C:C,'All Simpanan '!C:C,'Simpanan Sukarela'!E:E)</f>
        <v>0</v>
      </c>
      <c r="I279" s="4">
        <f>SUMIF('Simpanan Sukarela Berjangka'!B:B,'All Simpanan '!C:C,'Simpanan Sukarela Berjangka'!K:K)</f>
        <v>0</v>
      </c>
      <c r="J279" s="4">
        <f t="shared" si="4"/>
        <v>0</v>
      </c>
      <c r="K279" s="35" t="s">
        <v>1579</v>
      </c>
    </row>
    <row r="280" spans="1:11" ht="15.5" x14ac:dyDescent="0.35">
      <c r="A280" s="5">
        <v>278</v>
      </c>
      <c r="B280" s="6" t="s">
        <v>641</v>
      </c>
      <c r="C280" s="7" t="s">
        <v>642</v>
      </c>
      <c r="D280" s="8" t="s">
        <v>19</v>
      </c>
      <c r="E280" s="8">
        <f>SUMIF('Simpanan Wajib'!C:C,'All Simpanan '!C:C,'Simpanan Wajib'!E:E)</f>
        <v>0</v>
      </c>
      <c r="F280" s="4">
        <f>SUMIF('Simpanan Pokok'!C:C,'All Simpanan '!C:C,'Simpanan Pokok'!E:E)</f>
        <v>0</v>
      </c>
      <c r="G280" s="4">
        <f>SUMIF('Simpanan Khusus'!C:C,'All Simpanan '!C:C,'Simpanan Khusus'!E:E)</f>
        <v>0</v>
      </c>
      <c r="H280" s="4">
        <f>SUMIF('Simpanan Sukarela'!C:C,'All Simpanan '!C:C,'Simpanan Sukarela'!E:E)</f>
        <v>0</v>
      </c>
      <c r="I280" s="4">
        <f>SUMIF('Simpanan Sukarela Berjangka'!B:B,'All Simpanan '!C:C,'Simpanan Sukarela Berjangka'!K:K)</f>
        <v>0</v>
      </c>
      <c r="J280" s="4">
        <f t="shared" si="4"/>
        <v>0</v>
      </c>
      <c r="K280" s="35" t="s">
        <v>1576</v>
      </c>
    </row>
    <row r="281" spans="1:11" ht="15.5" x14ac:dyDescent="0.35">
      <c r="A281" s="5">
        <v>279</v>
      </c>
      <c r="B281" s="6" t="s">
        <v>643</v>
      </c>
      <c r="C281" s="7" t="s">
        <v>644</v>
      </c>
      <c r="D281" s="8" t="s">
        <v>318</v>
      </c>
      <c r="E281" s="8">
        <f>SUMIF('Simpanan Wajib'!C:C,'All Simpanan '!C:C,'Simpanan Wajib'!E:E)</f>
        <v>0</v>
      </c>
      <c r="F281" s="4">
        <f>SUMIF('Simpanan Pokok'!C:C,'All Simpanan '!C:C,'Simpanan Pokok'!E:E)</f>
        <v>0</v>
      </c>
      <c r="G281" s="4">
        <f>SUMIF('Simpanan Khusus'!C:C,'All Simpanan '!C:C,'Simpanan Khusus'!E:E)</f>
        <v>0</v>
      </c>
      <c r="H281" s="4">
        <f>SUMIF('Simpanan Sukarela'!C:C,'All Simpanan '!C:C,'Simpanan Sukarela'!E:E)</f>
        <v>0</v>
      </c>
      <c r="I281" s="4">
        <f>SUMIF('Simpanan Sukarela Berjangka'!B:B,'All Simpanan '!C:C,'Simpanan Sukarela Berjangka'!K:K)</f>
        <v>0</v>
      </c>
      <c r="J281" s="4">
        <f t="shared" si="4"/>
        <v>0</v>
      </c>
      <c r="K281" s="35" t="s">
        <v>1579</v>
      </c>
    </row>
    <row r="282" spans="1:11" ht="15.5" x14ac:dyDescent="0.35">
      <c r="A282" s="5">
        <v>280</v>
      </c>
      <c r="B282" s="6" t="s">
        <v>645</v>
      </c>
      <c r="C282" s="7" t="s">
        <v>646</v>
      </c>
      <c r="D282" s="8" t="s">
        <v>300</v>
      </c>
      <c r="E282" s="8">
        <f>SUMIF('Simpanan Wajib'!C:C,'All Simpanan '!C:C,'Simpanan Wajib'!E:E)</f>
        <v>0</v>
      </c>
      <c r="F282" s="4">
        <f>SUMIF('Simpanan Pokok'!C:C,'All Simpanan '!C:C,'Simpanan Pokok'!E:E)</f>
        <v>0</v>
      </c>
      <c r="G282" s="4">
        <f>SUMIF('Simpanan Khusus'!C:C,'All Simpanan '!C:C,'Simpanan Khusus'!E:E)</f>
        <v>0</v>
      </c>
      <c r="H282" s="4">
        <f>SUMIF('Simpanan Sukarela'!C:C,'All Simpanan '!C:C,'Simpanan Sukarela'!E:E)</f>
        <v>0</v>
      </c>
      <c r="I282" s="4">
        <f>SUMIF('Simpanan Sukarela Berjangka'!B:B,'All Simpanan '!C:C,'Simpanan Sukarela Berjangka'!K:K)</f>
        <v>0</v>
      </c>
      <c r="J282" s="4">
        <f t="shared" si="4"/>
        <v>0</v>
      </c>
      <c r="K282" s="35" t="s">
        <v>1578</v>
      </c>
    </row>
    <row r="283" spans="1:11" ht="15.5" x14ac:dyDescent="0.35">
      <c r="A283" s="5">
        <v>281</v>
      </c>
      <c r="B283" s="6" t="s">
        <v>647</v>
      </c>
      <c r="C283" s="7" t="s">
        <v>648</v>
      </c>
      <c r="D283" s="8" t="s">
        <v>649</v>
      </c>
      <c r="E283" s="8">
        <f>SUMIF('Simpanan Wajib'!C:C,'All Simpanan '!C:C,'Simpanan Wajib'!E:E)</f>
        <v>0</v>
      </c>
      <c r="F283" s="4">
        <f>SUMIF('Simpanan Pokok'!C:C,'All Simpanan '!C:C,'Simpanan Pokok'!E:E)</f>
        <v>0</v>
      </c>
      <c r="G283" s="4">
        <f>SUMIF('Simpanan Khusus'!C:C,'All Simpanan '!C:C,'Simpanan Khusus'!E:E)</f>
        <v>0</v>
      </c>
      <c r="H283" s="4">
        <f>SUMIF('Simpanan Sukarela'!C:C,'All Simpanan '!C:C,'Simpanan Sukarela'!E:E)</f>
        <v>0</v>
      </c>
      <c r="I283" s="4">
        <f>SUMIF('Simpanan Sukarela Berjangka'!B:B,'All Simpanan '!C:C,'Simpanan Sukarela Berjangka'!K:K)</f>
        <v>0</v>
      </c>
      <c r="J283" s="4">
        <f t="shared" si="4"/>
        <v>0</v>
      </c>
      <c r="K283" s="35" t="s">
        <v>1576</v>
      </c>
    </row>
    <row r="284" spans="1:11" ht="15.5" x14ac:dyDescent="0.35">
      <c r="A284" s="5">
        <v>282</v>
      </c>
      <c r="B284" s="6" t="s">
        <v>650</v>
      </c>
      <c r="C284" s="7" t="s">
        <v>651</v>
      </c>
      <c r="D284" s="8" t="s">
        <v>72</v>
      </c>
      <c r="E284" s="8">
        <f>SUMIF('Simpanan Wajib'!C:C,'All Simpanan '!C:C,'Simpanan Wajib'!E:E)</f>
        <v>22350424</v>
      </c>
      <c r="F284" s="4">
        <f>SUMIF('Simpanan Pokok'!C:C,'All Simpanan '!C:C,'Simpanan Pokok'!E:E)</f>
        <v>5000</v>
      </c>
      <c r="G284" s="4">
        <f>SUMIF('Simpanan Khusus'!C:C,'All Simpanan '!C:C,'Simpanan Khusus'!E:E)</f>
        <v>30000</v>
      </c>
      <c r="H284" s="4">
        <f>SUMIF('Simpanan Sukarela'!C:C,'All Simpanan '!C:C,'Simpanan Sukarela'!E:E)</f>
        <v>2602680.4913221458</v>
      </c>
      <c r="I284" s="4">
        <f>SUMIF('Simpanan Sukarela Berjangka'!B:B,'All Simpanan '!C:C,'Simpanan Sukarela Berjangka'!K:K)</f>
        <v>0</v>
      </c>
      <c r="J284" s="4">
        <f t="shared" si="4"/>
        <v>24988104.491322145</v>
      </c>
      <c r="K284" s="35" t="s">
        <v>1579</v>
      </c>
    </row>
    <row r="285" spans="1:11" ht="15.5" x14ac:dyDescent="0.35">
      <c r="A285" s="5">
        <v>283</v>
      </c>
      <c r="B285" s="6" t="s">
        <v>652</v>
      </c>
      <c r="C285" s="7" t="s">
        <v>653</v>
      </c>
      <c r="D285" s="8" t="s">
        <v>72</v>
      </c>
      <c r="E285" s="8">
        <f>SUMIF('Simpanan Wajib'!C:C,'All Simpanan '!C:C,'Simpanan Wajib'!E:E)</f>
        <v>18700000</v>
      </c>
      <c r="F285" s="4">
        <f>SUMIF('Simpanan Pokok'!C:C,'All Simpanan '!C:C,'Simpanan Pokok'!E:E)</f>
        <v>5000</v>
      </c>
      <c r="G285" s="4">
        <f>SUMIF('Simpanan Khusus'!C:C,'All Simpanan '!C:C,'Simpanan Khusus'!E:E)</f>
        <v>1560000</v>
      </c>
      <c r="H285" s="4">
        <f>SUMIF('Simpanan Sukarela'!C:C,'All Simpanan '!C:C,'Simpanan Sukarela'!E:E)</f>
        <v>1527669.47433627</v>
      </c>
      <c r="I285" s="4">
        <f>SUMIF('Simpanan Sukarela Berjangka'!B:B,'All Simpanan '!C:C,'Simpanan Sukarela Berjangka'!K:K)</f>
        <v>0</v>
      </c>
      <c r="J285" s="4">
        <f t="shared" si="4"/>
        <v>21792669.47433627</v>
      </c>
      <c r="K285" s="35" t="s">
        <v>1579</v>
      </c>
    </row>
    <row r="286" spans="1:11" ht="15.5" x14ac:dyDescent="0.35">
      <c r="A286" s="5">
        <v>284</v>
      </c>
      <c r="B286" s="6" t="s">
        <v>654</v>
      </c>
      <c r="C286" s="7" t="s">
        <v>655</v>
      </c>
      <c r="D286" s="8" t="s">
        <v>14</v>
      </c>
      <c r="E286" s="8">
        <f>SUMIF('Simpanan Wajib'!C:C,'All Simpanan '!C:C,'Simpanan Wajib'!E:E)</f>
        <v>30252410</v>
      </c>
      <c r="F286" s="4">
        <f>SUMIF('Simpanan Pokok'!C:C,'All Simpanan '!C:C,'Simpanan Pokok'!E:E)</f>
        <v>5000</v>
      </c>
      <c r="G286" s="4">
        <f>SUMIF('Simpanan Khusus'!C:C,'All Simpanan '!C:C,'Simpanan Khusus'!E:E)</f>
        <v>2670000</v>
      </c>
      <c r="H286" s="4">
        <f>SUMIF('Simpanan Sukarela'!C:C,'All Simpanan '!C:C,'Simpanan Sukarela'!E:E)</f>
        <v>1006873.5788341522</v>
      </c>
      <c r="I286" s="4">
        <f>SUMIF('Simpanan Sukarela Berjangka'!B:B,'All Simpanan '!C:C,'Simpanan Sukarela Berjangka'!K:K)</f>
        <v>0</v>
      </c>
      <c r="J286" s="4">
        <f t="shared" si="4"/>
        <v>33934283.578834154</v>
      </c>
      <c r="K286" s="35" t="s">
        <v>1579</v>
      </c>
    </row>
    <row r="287" spans="1:11" ht="15.5" x14ac:dyDescent="0.35">
      <c r="A287" s="5">
        <v>285</v>
      </c>
      <c r="B287" s="6" t="s">
        <v>656</v>
      </c>
      <c r="C287" s="7" t="s">
        <v>657</v>
      </c>
      <c r="D287" s="8" t="s">
        <v>25</v>
      </c>
      <c r="E287" s="8">
        <f>SUMIF('Simpanan Wajib'!C:C,'All Simpanan '!C:C,'Simpanan Wajib'!E:E)</f>
        <v>31425000</v>
      </c>
      <c r="F287" s="4">
        <f>SUMIF('Simpanan Pokok'!C:C,'All Simpanan '!C:C,'Simpanan Pokok'!E:E)</f>
        <v>5000</v>
      </c>
      <c r="G287" s="4">
        <f>SUMIF('Simpanan Khusus'!C:C,'All Simpanan '!C:C,'Simpanan Khusus'!E:E)</f>
        <v>100000</v>
      </c>
      <c r="H287" s="4">
        <f>SUMIF('Simpanan Sukarela'!C:C,'All Simpanan '!C:C,'Simpanan Sukarela'!E:E)</f>
        <v>2192346.4278181945</v>
      </c>
      <c r="I287" s="4">
        <f>SUMIF('Simpanan Sukarela Berjangka'!B:B,'All Simpanan '!C:C,'Simpanan Sukarela Berjangka'!K:K)</f>
        <v>0</v>
      </c>
      <c r="J287" s="4">
        <f t="shared" si="4"/>
        <v>33722346.427818194</v>
      </c>
      <c r="K287" s="35" t="s">
        <v>1579</v>
      </c>
    </row>
    <row r="288" spans="1:11" ht="15.5" x14ac:dyDescent="0.35">
      <c r="A288" s="5">
        <v>286</v>
      </c>
      <c r="B288" s="6" t="s">
        <v>658</v>
      </c>
      <c r="C288" s="7" t="s">
        <v>659</v>
      </c>
      <c r="D288" s="8" t="s">
        <v>136</v>
      </c>
      <c r="E288" s="8">
        <f>SUMIF('Simpanan Wajib'!C:C,'All Simpanan '!C:C,'Simpanan Wajib'!E:E)</f>
        <v>200000</v>
      </c>
      <c r="F288" s="4">
        <f>SUMIF('Simpanan Pokok'!C:C,'All Simpanan '!C:C,'Simpanan Pokok'!E:E)</f>
        <v>0</v>
      </c>
      <c r="G288" s="4">
        <f>SUMIF('Simpanan Khusus'!C:C,'All Simpanan '!C:C,'Simpanan Khusus'!E:E)</f>
        <v>0</v>
      </c>
      <c r="H288" s="4">
        <f>SUMIF('Simpanan Sukarela'!C:C,'All Simpanan '!C:C,'Simpanan Sukarela'!E:E)</f>
        <v>20710</v>
      </c>
      <c r="I288" s="4">
        <f>SUMIF('Simpanan Sukarela Berjangka'!B:B,'All Simpanan '!C:C,'Simpanan Sukarela Berjangka'!K:K)</f>
        <v>0</v>
      </c>
      <c r="J288" s="4">
        <f t="shared" si="4"/>
        <v>220710</v>
      </c>
      <c r="K288" s="35" t="s">
        <v>1578</v>
      </c>
    </row>
    <row r="289" spans="1:11" ht="15.5" x14ac:dyDescent="0.35">
      <c r="A289" s="5">
        <v>287</v>
      </c>
      <c r="B289" s="6" t="s">
        <v>660</v>
      </c>
      <c r="C289" s="7" t="s">
        <v>661</v>
      </c>
      <c r="D289" s="8" t="s">
        <v>25</v>
      </c>
      <c r="E289" s="8">
        <f>SUMIF('Simpanan Wajib'!C:C,'All Simpanan '!C:C,'Simpanan Wajib'!E:E)</f>
        <v>0</v>
      </c>
      <c r="F289" s="4">
        <f>SUMIF('Simpanan Pokok'!C:C,'All Simpanan '!C:C,'Simpanan Pokok'!E:E)</f>
        <v>0</v>
      </c>
      <c r="G289" s="4">
        <f>SUMIF('Simpanan Khusus'!C:C,'All Simpanan '!C:C,'Simpanan Khusus'!E:E)</f>
        <v>0</v>
      </c>
      <c r="H289" s="4">
        <f>SUMIF('Simpanan Sukarela'!C:C,'All Simpanan '!C:C,'Simpanan Sukarela'!E:E)</f>
        <v>0</v>
      </c>
      <c r="I289" s="4">
        <f>SUMIF('Simpanan Sukarela Berjangka'!B:B,'All Simpanan '!C:C,'Simpanan Sukarela Berjangka'!K:K)</f>
        <v>0</v>
      </c>
      <c r="J289" s="4">
        <f t="shared" si="4"/>
        <v>0</v>
      </c>
      <c r="K289" s="35" t="s">
        <v>1579</v>
      </c>
    </row>
    <row r="290" spans="1:11" ht="15.5" x14ac:dyDescent="0.35">
      <c r="A290" s="5">
        <v>288</v>
      </c>
      <c r="B290" s="6" t="s">
        <v>662</v>
      </c>
      <c r="C290" s="7" t="s">
        <v>663</v>
      </c>
      <c r="D290" s="8" t="s">
        <v>14</v>
      </c>
      <c r="E290" s="8">
        <f>SUMIF('Simpanan Wajib'!C:C,'All Simpanan '!C:C,'Simpanan Wajib'!E:E)</f>
        <v>0</v>
      </c>
      <c r="F290" s="4">
        <f>SUMIF('Simpanan Pokok'!C:C,'All Simpanan '!C:C,'Simpanan Pokok'!E:E)</f>
        <v>0</v>
      </c>
      <c r="G290" s="4">
        <f>SUMIF('Simpanan Khusus'!C:C,'All Simpanan '!C:C,'Simpanan Khusus'!E:E)</f>
        <v>0</v>
      </c>
      <c r="H290" s="4">
        <f>SUMIF('Simpanan Sukarela'!C:C,'All Simpanan '!C:C,'Simpanan Sukarela'!E:E)</f>
        <v>756243.6931713894</v>
      </c>
      <c r="I290" s="4">
        <f>SUMIF('Simpanan Sukarela Berjangka'!B:B,'All Simpanan '!C:C,'Simpanan Sukarela Berjangka'!K:K)</f>
        <v>0</v>
      </c>
      <c r="J290" s="4">
        <f t="shared" si="4"/>
        <v>756243.6931713894</v>
      </c>
      <c r="K290" s="35" t="s">
        <v>1576</v>
      </c>
    </row>
    <row r="291" spans="1:11" ht="15.5" x14ac:dyDescent="0.35">
      <c r="A291" s="5">
        <v>289</v>
      </c>
      <c r="B291" s="6" t="s">
        <v>664</v>
      </c>
      <c r="C291" s="23" t="s">
        <v>665</v>
      </c>
      <c r="D291" s="8" t="s">
        <v>95</v>
      </c>
      <c r="E291" s="8">
        <f>SUMIF('Simpanan Wajib'!C:C,'All Simpanan '!C:C,'Simpanan Wajib'!E:E)</f>
        <v>0</v>
      </c>
      <c r="F291" s="4">
        <f>SUMIF('Simpanan Pokok'!C:C,'All Simpanan '!C:C,'Simpanan Pokok'!E:E)</f>
        <v>0</v>
      </c>
      <c r="G291" s="4">
        <f>SUMIF('Simpanan Khusus'!C:C,'All Simpanan '!C:C,'Simpanan Khusus'!E:E)</f>
        <v>0</v>
      </c>
      <c r="H291" s="4">
        <f>SUMIF('Simpanan Sukarela'!C:C,'All Simpanan '!C:C,'Simpanan Sukarela'!E:E)</f>
        <v>0</v>
      </c>
      <c r="I291" s="4">
        <f>SUMIF('Simpanan Sukarela Berjangka'!B:B,'All Simpanan '!C:C,'Simpanan Sukarela Berjangka'!K:K)</f>
        <v>0</v>
      </c>
      <c r="J291" s="4">
        <f t="shared" si="4"/>
        <v>0</v>
      </c>
      <c r="K291" s="35" t="s">
        <v>1579</v>
      </c>
    </row>
    <row r="292" spans="1:11" ht="15.5" x14ac:dyDescent="0.35">
      <c r="A292" s="5">
        <v>290</v>
      </c>
      <c r="B292" s="6" t="s">
        <v>666</v>
      </c>
      <c r="C292" s="7" t="s">
        <v>667</v>
      </c>
      <c r="D292" s="8" t="s">
        <v>374</v>
      </c>
      <c r="E292" s="8">
        <f>SUMIF('Simpanan Wajib'!C:C,'All Simpanan '!C:C,'Simpanan Wajib'!E:E)</f>
        <v>0</v>
      </c>
      <c r="F292" s="4">
        <f>SUMIF('Simpanan Pokok'!C:C,'All Simpanan '!C:C,'Simpanan Pokok'!E:E)</f>
        <v>0</v>
      </c>
      <c r="G292" s="4">
        <f>SUMIF('Simpanan Khusus'!C:C,'All Simpanan '!C:C,'Simpanan Khusus'!E:E)</f>
        <v>0</v>
      </c>
      <c r="H292" s="4">
        <f>SUMIF('Simpanan Sukarela'!C:C,'All Simpanan '!C:C,'Simpanan Sukarela'!E:E)</f>
        <v>0</v>
      </c>
      <c r="I292" s="4">
        <f>SUMIF('Simpanan Sukarela Berjangka'!B:B,'All Simpanan '!C:C,'Simpanan Sukarela Berjangka'!K:K)</f>
        <v>0</v>
      </c>
      <c r="J292" s="4">
        <f t="shared" si="4"/>
        <v>0</v>
      </c>
      <c r="K292" s="35" t="s">
        <v>1579</v>
      </c>
    </row>
    <row r="293" spans="1:11" ht="15.5" x14ac:dyDescent="0.35">
      <c r="A293" s="5">
        <v>291</v>
      </c>
      <c r="B293" s="6" t="s">
        <v>668</v>
      </c>
      <c r="C293" s="7" t="s">
        <v>669</v>
      </c>
      <c r="D293" s="8" t="s">
        <v>144</v>
      </c>
      <c r="E293" s="8">
        <f>SUMIF('Simpanan Wajib'!C:C,'All Simpanan '!C:C,'Simpanan Wajib'!E:E)</f>
        <v>0</v>
      </c>
      <c r="F293" s="4">
        <f>SUMIF('Simpanan Pokok'!C:C,'All Simpanan '!C:C,'Simpanan Pokok'!E:E)</f>
        <v>0</v>
      </c>
      <c r="G293" s="4">
        <f>SUMIF('Simpanan Khusus'!C:C,'All Simpanan '!C:C,'Simpanan Khusus'!E:E)</f>
        <v>0</v>
      </c>
      <c r="H293" s="4">
        <f>SUMIF('Simpanan Sukarela'!C:C,'All Simpanan '!C:C,'Simpanan Sukarela'!E:E)</f>
        <v>0</v>
      </c>
      <c r="I293" s="4">
        <f>SUMIF('Simpanan Sukarela Berjangka'!B:B,'All Simpanan '!C:C,'Simpanan Sukarela Berjangka'!K:K)</f>
        <v>0</v>
      </c>
      <c r="J293" s="4">
        <f t="shared" si="4"/>
        <v>0</v>
      </c>
      <c r="K293" s="35" t="s">
        <v>1579</v>
      </c>
    </row>
    <row r="294" spans="1:11" ht="15.5" x14ac:dyDescent="0.35">
      <c r="A294" s="5">
        <v>292</v>
      </c>
      <c r="B294" s="6" t="s">
        <v>670</v>
      </c>
      <c r="C294" s="7" t="s">
        <v>671</v>
      </c>
      <c r="D294" s="8" t="s">
        <v>253</v>
      </c>
      <c r="E294" s="8">
        <f>SUMIF('Simpanan Wajib'!C:C,'All Simpanan '!C:C,'Simpanan Wajib'!E:E)</f>
        <v>100000</v>
      </c>
      <c r="F294" s="4">
        <f>SUMIF('Simpanan Pokok'!C:C,'All Simpanan '!C:C,'Simpanan Pokok'!E:E)</f>
        <v>0</v>
      </c>
      <c r="G294" s="4">
        <f>SUMIF('Simpanan Khusus'!C:C,'All Simpanan '!C:C,'Simpanan Khusus'!E:E)</f>
        <v>0</v>
      </c>
      <c r="H294" s="4">
        <f>SUMIF('Simpanan Sukarela'!C:C,'All Simpanan '!C:C,'Simpanan Sukarela'!E:E)</f>
        <v>4102.9262832216918</v>
      </c>
      <c r="I294" s="4">
        <f>SUMIF('Simpanan Sukarela Berjangka'!B:B,'All Simpanan '!C:C,'Simpanan Sukarela Berjangka'!K:K)</f>
        <v>0</v>
      </c>
      <c r="J294" s="4">
        <f t="shared" si="4"/>
        <v>104102.92628322169</v>
      </c>
      <c r="K294" s="35" t="s">
        <v>1578</v>
      </c>
    </row>
    <row r="295" spans="1:11" ht="15.5" x14ac:dyDescent="0.35">
      <c r="A295" s="5">
        <v>293</v>
      </c>
      <c r="B295" s="6" t="s">
        <v>672</v>
      </c>
      <c r="C295" s="7" t="s">
        <v>673</v>
      </c>
      <c r="D295" s="8" t="s">
        <v>49</v>
      </c>
      <c r="E295" s="8">
        <f>SUMIF('Simpanan Wajib'!C:C,'All Simpanan '!C:C,'Simpanan Wajib'!E:E)</f>
        <v>295000</v>
      </c>
      <c r="F295" s="4">
        <f>SUMIF('Simpanan Pokok'!C:C,'All Simpanan '!C:C,'Simpanan Pokok'!E:E)</f>
        <v>5000</v>
      </c>
      <c r="G295" s="4">
        <f>SUMIF('Simpanan Khusus'!C:C,'All Simpanan '!C:C,'Simpanan Khusus'!E:E)</f>
        <v>0</v>
      </c>
      <c r="H295" s="4">
        <f>SUMIF('Simpanan Sukarela'!C:C,'All Simpanan '!C:C,'Simpanan Sukarela'!E:E)</f>
        <v>526766.16635558452</v>
      </c>
      <c r="I295" s="4">
        <f>SUMIF('Simpanan Sukarela Berjangka'!B:B,'All Simpanan '!C:C,'Simpanan Sukarela Berjangka'!K:K)</f>
        <v>0</v>
      </c>
      <c r="J295" s="4">
        <f t="shared" si="4"/>
        <v>826766.16635558452</v>
      </c>
      <c r="K295" s="35" t="s">
        <v>1578</v>
      </c>
    </row>
    <row r="296" spans="1:11" ht="15.5" x14ac:dyDescent="0.35">
      <c r="A296" s="5">
        <v>294</v>
      </c>
      <c r="B296" s="6" t="s">
        <v>674</v>
      </c>
      <c r="C296" s="7" t="s">
        <v>675</v>
      </c>
      <c r="D296" s="8" t="s">
        <v>131</v>
      </c>
      <c r="E296" s="8">
        <f>SUMIF('Simpanan Wajib'!C:C,'All Simpanan '!C:C,'Simpanan Wajib'!E:E)</f>
        <v>0</v>
      </c>
      <c r="F296" s="4">
        <f>SUMIF('Simpanan Pokok'!C:C,'All Simpanan '!C:C,'Simpanan Pokok'!E:E)</f>
        <v>0</v>
      </c>
      <c r="G296" s="4">
        <f>SUMIF('Simpanan Khusus'!C:C,'All Simpanan '!C:C,'Simpanan Khusus'!E:E)</f>
        <v>0</v>
      </c>
      <c r="H296" s="4">
        <f>SUMIF('Simpanan Sukarela'!C:C,'All Simpanan '!C:C,'Simpanan Sukarela'!E:E)</f>
        <v>0</v>
      </c>
      <c r="I296" s="4">
        <f>SUMIF('Simpanan Sukarela Berjangka'!B:B,'All Simpanan '!C:C,'Simpanan Sukarela Berjangka'!K:K)</f>
        <v>0</v>
      </c>
      <c r="J296" s="4">
        <f t="shared" si="4"/>
        <v>0</v>
      </c>
      <c r="K296" s="35" t="s">
        <v>1578</v>
      </c>
    </row>
    <row r="297" spans="1:11" ht="15.5" x14ac:dyDescent="0.35">
      <c r="A297" s="5">
        <v>295</v>
      </c>
      <c r="B297" s="6" t="s">
        <v>676</v>
      </c>
      <c r="C297" s="7" t="s">
        <v>677</v>
      </c>
      <c r="D297" s="8" t="s">
        <v>95</v>
      </c>
      <c r="E297" s="8">
        <f>SUMIF('Simpanan Wajib'!C:C,'All Simpanan '!C:C,'Simpanan Wajib'!E:E)</f>
        <v>0</v>
      </c>
      <c r="F297" s="4">
        <f>SUMIF('Simpanan Pokok'!C:C,'All Simpanan '!C:C,'Simpanan Pokok'!E:E)</f>
        <v>0</v>
      </c>
      <c r="G297" s="4">
        <f>SUMIF('Simpanan Khusus'!C:C,'All Simpanan '!C:C,'Simpanan Khusus'!E:E)</f>
        <v>0</v>
      </c>
      <c r="H297" s="4">
        <f>SUMIF('Simpanan Sukarela'!C:C,'All Simpanan '!C:C,'Simpanan Sukarela'!E:E)</f>
        <v>0</v>
      </c>
      <c r="I297" s="4">
        <f>SUMIF('Simpanan Sukarela Berjangka'!B:B,'All Simpanan '!C:C,'Simpanan Sukarela Berjangka'!K:K)</f>
        <v>0</v>
      </c>
      <c r="J297" s="4">
        <f t="shared" si="4"/>
        <v>0</v>
      </c>
      <c r="K297" s="35" t="s">
        <v>1578</v>
      </c>
    </row>
    <row r="298" spans="1:11" ht="15.5" x14ac:dyDescent="0.35">
      <c r="A298" s="5">
        <v>296</v>
      </c>
      <c r="B298" s="6" t="s">
        <v>678</v>
      </c>
      <c r="C298" s="7" t="s">
        <v>679</v>
      </c>
      <c r="D298" s="8" t="s">
        <v>136</v>
      </c>
      <c r="E298" s="8">
        <f>SUMIF('Simpanan Wajib'!C:C,'All Simpanan '!C:C,'Simpanan Wajib'!E:E)</f>
        <v>0</v>
      </c>
      <c r="F298" s="4">
        <f>SUMIF('Simpanan Pokok'!C:C,'All Simpanan '!C:C,'Simpanan Pokok'!E:E)</f>
        <v>0</v>
      </c>
      <c r="G298" s="4">
        <f>SUMIF('Simpanan Khusus'!C:C,'All Simpanan '!C:C,'Simpanan Khusus'!E:E)</f>
        <v>0</v>
      </c>
      <c r="H298" s="4">
        <f>SUMIF('Simpanan Sukarela'!C:C,'All Simpanan '!C:C,'Simpanan Sukarela'!E:E)</f>
        <v>0</v>
      </c>
      <c r="I298" s="4">
        <f>SUMIF('Simpanan Sukarela Berjangka'!B:B,'All Simpanan '!C:C,'Simpanan Sukarela Berjangka'!K:K)</f>
        <v>0</v>
      </c>
      <c r="J298" s="4">
        <f t="shared" si="4"/>
        <v>0</v>
      </c>
      <c r="K298" s="35" t="s">
        <v>1579</v>
      </c>
    </row>
    <row r="299" spans="1:11" ht="15.5" x14ac:dyDescent="0.35">
      <c r="A299" s="5">
        <v>297</v>
      </c>
      <c r="B299" s="6" t="s">
        <v>680</v>
      </c>
      <c r="C299" s="7" t="s">
        <v>681</v>
      </c>
      <c r="D299" s="8" t="s">
        <v>166</v>
      </c>
      <c r="E299" s="8">
        <f>SUMIF('Simpanan Wajib'!C:C,'All Simpanan '!C:C,'Simpanan Wajib'!E:E)</f>
        <v>0</v>
      </c>
      <c r="F299" s="4">
        <f>SUMIF('Simpanan Pokok'!C:C,'All Simpanan '!C:C,'Simpanan Pokok'!E:E)</f>
        <v>0</v>
      </c>
      <c r="G299" s="4">
        <f>SUMIF('Simpanan Khusus'!C:C,'All Simpanan '!C:C,'Simpanan Khusus'!E:E)</f>
        <v>0</v>
      </c>
      <c r="H299" s="4">
        <f>SUMIF('Simpanan Sukarela'!C:C,'All Simpanan '!C:C,'Simpanan Sukarela'!E:E)</f>
        <v>0</v>
      </c>
      <c r="I299" s="4">
        <f>SUMIF('Simpanan Sukarela Berjangka'!B:B,'All Simpanan '!C:C,'Simpanan Sukarela Berjangka'!K:K)</f>
        <v>0</v>
      </c>
      <c r="J299" s="4">
        <f t="shared" si="4"/>
        <v>0</v>
      </c>
      <c r="K299" s="35" t="s">
        <v>1578</v>
      </c>
    </row>
    <row r="300" spans="1:11" ht="15.5" x14ac:dyDescent="0.35">
      <c r="A300" s="5">
        <v>298</v>
      </c>
      <c r="B300" s="6" t="s">
        <v>682</v>
      </c>
      <c r="C300" s="7" t="s">
        <v>683</v>
      </c>
      <c r="D300" s="8" t="s">
        <v>524</v>
      </c>
      <c r="E300" s="8">
        <f>SUMIF('Simpanan Wajib'!C:C,'All Simpanan '!C:C,'Simpanan Wajib'!E:E)</f>
        <v>0</v>
      </c>
      <c r="F300" s="4">
        <f>SUMIF('Simpanan Pokok'!C:C,'All Simpanan '!C:C,'Simpanan Pokok'!E:E)</f>
        <v>0</v>
      </c>
      <c r="G300" s="4">
        <f>SUMIF('Simpanan Khusus'!C:C,'All Simpanan '!C:C,'Simpanan Khusus'!E:E)</f>
        <v>0</v>
      </c>
      <c r="H300" s="4">
        <f>SUMIF('Simpanan Sukarela'!C:C,'All Simpanan '!C:C,'Simpanan Sukarela'!E:E)</f>
        <v>0</v>
      </c>
      <c r="I300" s="4">
        <f>SUMIF('Simpanan Sukarela Berjangka'!B:B,'All Simpanan '!C:C,'Simpanan Sukarela Berjangka'!K:K)</f>
        <v>0</v>
      </c>
      <c r="J300" s="4">
        <f t="shared" si="4"/>
        <v>0</v>
      </c>
      <c r="K300" s="35" t="s">
        <v>1578</v>
      </c>
    </row>
    <row r="301" spans="1:11" ht="15.5" x14ac:dyDescent="0.35">
      <c r="A301" s="5">
        <v>299</v>
      </c>
      <c r="B301" s="6" t="s">
        <v>684</v>
      </c>
      <c r="C301" s="7" t="s">
        <v>685</v>
      </c>
      <c r="D301" s="8" t="s">
        <v>367</v>
      </c>
      <c r="E301" s="8">
        <f>SUMIF('Simpanan Wajib'!C:C,'All Simpanan '!C:C,'Simpanan Wajib'!E:E)</f>
        <v>0</v>
      </c>
      <c r="F301" s="4">
        <f>SUMIF('Simpanan Pokok'!C:C,'All Simpanan '!C:C,'Simpanan Pokok'!E:E)</f>
        <v>0</v>
      </c>
      <c r="G301" s="4">
        <f>SUMIF('Simpanan Khusus'!C:C,'All Simpanan '!C:C,'Simpanan Khusus'!E:E)</f>
        <v>0</v>
      </c>
      <c r="H301" s="4">
        <f>SUMIF('Simpanan Sukarela'!C:C,'All Simpanan '!C:C,'Simpanan Sukarela'!E:E)</f>
        <v>0</v>
      </c>
      <c r="I301" s="4">
        <f>SUMIF('Simpanan Sukarela Berjangka'!B:B,'All Simpanan '!C:C,'Simpanan Sukarela Berjangka'!K:K)</f>
        <v>0</v>
      </c>
      <c r="J301" s="4">
        <f t="shared" si="4"/>
        <v>0</v>
      </c>
      <c r="K301" s="35" t="s">
        <v>1578</v>
      </c>
    </row>
    <row r="302" spans="1:11" ht="15.5" x14ac:dyDescent="0.35">
      <c r="A302" s="5">
        <v>300</v>
      </c>
      <c r="B302" s="6" t="s">
        <v>686</v>
      </c>
      <c r="C302" s="7" t="s">
        <v>687</v>
      </c>
      <c r="D302" s="8" t="s">
        <v>141</v>
      </c>
      <c r="E302" s="8">
        <f>SUMIF('Simpanan Wajib'!C:C,'All Simpanan '!C:C,'Simpanan Wajib'!E:E)</f>
        <v>0</v>
      </c>
      <c r="F302" s="4">
        <f>SUMIF('Simpanan Pokok'!C:C,'All Simpanan '!C:C,'Simpanan Pokok'!E:E)</f>
        <v>0</v>
      </c>
      <c r="G302" s="4">
        <f>SUMIF('Simpanan Khusus'!C:C,'All Simpanan '!C:C,'Simpanan Khusus'!E:E)</f>
        <v>0</v>
      </c>
      <c r="H302" s="4">
        <f>SUMIF('Simpanan Sukarela'!C:C,'All Simpanan '!C:C,'Simpanan Sukarela'!E:E)</f>
        <v>0</v>
      </c>
      <c r="I302" s="4">
        <f>SUMIF('Simpanan Sukarela Berjangka'!B:B,'All Simpanan '!C:C,'Simpanan Sukarela Berjangka'!K:K)</f>
        <v>0</v>
      </c>
      <c r="J302" s="4">
        <f t="shared" si="4"/>
        <v>0</v>
      </c>
      <c r="K302" s="35" t="s">
        <v>1578</v>
      </c>
    </row>
    <row r="303" spans="1:11" ht="15.5" x14ac:dyDescent="0.35">
      <c r="A303" s="5">
        <v>301</v>
      </c>
      <c r="B303" s="6" t="s">
        <v>688</v>
      </c>
      <c r="C303" s="7" t="s">
        <v>689</v>
      </c>
      <c r="D303" s="8" t="s">
        <v>169</v>
      </c>
      <c r="E303" s="8">
        <f>SUMIF('Simpanan Wajib'!C:C,'All Simpanan '!C:C,'Simpanan Wajib'!E:E)</f>
        <v>0</v>
      </c>
      <c r="F303" s="4">
        <f>SUMIF('Simpanan Pokok'!C:C,'All Simpanan '!C:C,'Simpanan Pokok'!E:E)</f>
        <v>0</v>
      </c>
      <c r="G303" s="4">
        <f>SUMIF('Simpanan Khusus'!C:C,'All Simpanan '!C:C,'Simpanan Khusus'!E:E)</f>
        <v>0</v>
      </c>
      <c r="H303" s="4">
        <f>SUMIF('Simpanan Sukarela'!C:C,'All Simpanan '!C:C,'Simpanan Sukarela'!E:E)</f>
        <v>37483</v>
      </c>
      <c r="I303" s="4">
        <f>SUMIF('Simpanan Sukarela Berjangka'!B:B,'All Simpanan '!C:C,'Simpanan Sukarela Berjangka'!K:K)</f>
        <v>0</v>
      </c>
      <c r="J303" s="4">
        <f t="shared" si="4"/>
        <v>37483</v>
      </c>
      <c r="K303" s="35" t="s">
        <v>1578</v>
      </c>
    </row>
    <row r="304" spans="1:11" ht="15.5" x14ac:dyDescent="0.35">
      <c r="A304" s="5">
        <v>302</v>
      </c>
      <c r="B304" s="6" t="s">
        <v>690</v>
      </c>
      <c r="C304" s="7" t="s">
        <v>691</v>
      </c>
      <c r="D304" s="8" t="s">
        <v>52</v>
      </c>
      <c r="E304" s="8">
        <f>SUMIF('Simpanan Wajib'!C:C,'All Simpanan '!C:C,'Simpanan Wajib'!E:E)</f>
        <v>100000</v>
      </c>
      <c r="F304" s="4">
        <f>SUMIF('Simpanan Pokok'!C:C,'All Simpanan '!C:C,'Simpanan Pokok'!E:E)</f>
        <v>0</v>
      </c>
      <c r="G304" s="4">
        <f>SUMIF('Simpanan Khusus'!C:C,'All Simpanan '!C:C,'Simpanan Khusus'!E:E)</f>
        <v>0</v>
      </c>
      <c r="H304" s="4">
        <f>SUMIF('Simpanan Sukarela'!C:C,'All Simpanan '!C:C,'Simpanan Sukarela'!E:E)</f>
        <v>4103</v>
      </c>
      <c r="I304" s="4">
        <f>SUMIF('Simpanan Sukarela Berjangka'!B:B,'All Simpanan '!C:C,'Simpanan Sukarela Berjangka'!K:K)</f>
        <v>0</v>
      </c>
      <c r="J304" s="4">
        <f t="shared" si="4"/>
        <v>104103</v>
      </c>
      <c r="K304" s="35" t="s">
        <v>1578</v>
      </c>
    </row>
    <row r="305" spans="1:11" ht="15.5" x14ac:dyDescent="0.35">
      <c r="A305" s="5">
        <v>303</v>
      </c>
      <c r="B305" s="6" t="s">
        <v>692</v>
      </c>
      <c r="C305" s="7" t="s">
        <v>693</v>
      </c>
      <c r="D305" s="8" t="s">
        <v>22</v>
      </c>
      <c r="E305" s="8">
        <f>SUMIF('Simpanan Wajib'!C:C,'All Simpanan '!C:C,'Simpanan Wajib'!E:E)</f>
        <v>21269063</v>
      </c>
      <c r="F305" s="4">
        <f>SUMIF('Simpanan Pokok'!C:C,'All Simpanan '!C:C,'Simpanan Pokok'!E:E)</f>
        <v>5000</v>
      </c>
      <c r="G305" s="4">
        <f>SUMIF('Simpanan Khusus'!C:C,'All Simpanan '!C:C,'Simpanan Khusus'!E:E)</f>
        <v>1230000</v>
      </c>
      <c r="H305" s="4">
        <f>SUMIF('Simpanan Sukarela'!C:C,'All Simpanan '!C:C,'Simpanan Sukarela'!E:E)</f>
        <v>2755095.7853850303</v>
      </c>
      <c r="I305" s="4">
        <f>SUMIF('Simpanan Sukarela Berjangka'!B:B,'All Simpanan '!C:C,'Simpanan Sukarela Berjangka'!K:K)</f>
        <v>0</v>
      </c>
      <c r="J305" s="4">
        <f t="shared" si="4"/>
        <v>25259158.785385031</v>
      </c>
      <c r="K305" s="35" t="s">
        <v>1579</v>
      </c>
    </row>
    <row r="306" spans="1:11" ht="15.5" x14ac:dyDescent="0.35">
      <c r="A306" s="5">
        <v>304</v>
      </c>
      <c r="B306" s="6" t="s">
        <v>694</v>
      </c>
      <c r="C306" s="7" t="s">
        <v>695</v>
      </c>
      <c r="D306" s="8" t="s">
        <v>72</v>
      </c>
      <c r="E306" s="8">
        <f>SUMIF('Simpanan Wajib'!C:C,'All Simpanan '!C:C,'Simpanan Wajib'!E:E)</f>
        <v>0</v>
      </c>
      <c r="F306" s="4">
        <f>SUMIF('Simpanan Pokok'!C:C,'All Simpanan '!C:C,'Simpanan Pokok'!E:E)</f>
        <v>0</v>
      </c>
      <c r="G306" s="4">
        <f>SUMIF('Simpanan Khusus'!C:C,'All Simpanan '!C:C,'Simpanan Khusus'!E:E)</f>
        <v>0</v>
      </c>
      <c r="H306" s="4">
        <f>SUMIF('Simpanan Sukarela'!C:C,'All Simpanan '!C:C,'Simpanan Sukarela'!E:E)</f>
        <v>0</v>
      </c>
      <c r="I306" s="4">
        <f>SUMIF('Simpanan Sukarela Berjangka'!B:B,'All Simpanan '!C:C,'Simpanan Sukarela Berjangka'!K:K)</f>
        <v>0</v>
      </c>
      <c r="J306" s="4">
        <f t="shared" si="4"/>
        <v>0</v>
      </c>
      <c r="K306" s="35" t="s">
        <v>1579</v>
      </c>
    </row>
    <row r="307" spans="1:11" ht="15.5" x14ac:dyDescent="0.35">
      <c r="A307" s="5">
        <v>305</v>
      </c>
      <c r="B307" s="6" t="s">
        <v>696</v>
      </c>
      <c r="C307" s="7" t="s">
        <v>697</v>
      </c>
      <c r="D307" s="8" t="s">
        <v>698</v>
      </c>
      <c r="E307" s="8">
        <f>SUMIF('Simpanan Wajib'!C:C,'All Simpanan '!C:C,'Simpanan Wajib'!E:E)</f>
        <v>0</v>
      </c>
      <c r="F307" s="4">
        <f>SUMIF('Simpanan Pokok'!C:C,'All Simpanan '!C:C,'Simpanan Pokok'!E:E)</f>
        <v>0</v>
      </c>
      <c r="G307" s="4">
        <f>SUMIF('Simpanan Khusus'!C:C,'All Simpanan '!C:C,'Simpanan Khusus'!E:E)</f>
        <v>0</v>
      </c>
      <c r="H307" s="4">
        <f>SUMIF('Simpanan Sukarela'!C:C,'All Simpanan '!C:C,'Simpanan Sukarela'!E:E)</f>
        <v>0</v>
      </c>
      <c r="I307" s="4">
        <f>SUMIF('Simpanan Sukarela Berjangka'!B:B,'All Simpanan '!C:C,'Simpanan Sukarela Berjangka'!K:K)</f>
        <v>0</v>
      </c>
      <c r="J307" s="4">
        <f t="shared" si="4"/>
        <v>0</v>
      </c>
      <c r="K307" s="35" t="s">
        <v>1578</v>
      </c>
    </row>
    <row r="308" spans="1:11" ht="15.5" x14ac:dyDescent="0.35">
      <c r="A308" s="5">
        <v>306</v>
      </c>
      <c r="B308" s="6" t="s">
        <v>699</v>
      </c>
      <c r="C308" s="7" t="s">
        <v>700</v>
      </c>
      <c r="D308" s="8" t="s">
        <v>60</v>
      </c>
      <c r="E308" s="8">
        <f>SUMIF('Simpanan Wajib'!C:C,'All Simpanan '!C:C,'Simpanan Wajib'!E:E)</f>
        <v>0</v>
      </c>
      <c r="F308" s="4">
        <f>SUMIF('Simpanan Pokok'!C:C,'All Simpanan '!C:C,'Simpanan Pokok'!E:E)</f>
        <v>0</v>
      </c>
      <c r="G308" s="4">
        <f>SUMIF('Simpanan Khusus'!C:C,'All Simpanan '!C:C,'Simpanan Khusus'!E:E)</f>
        <v>0</v>
      </c>
      <c r="H308" s="4">
        <f>SUMIF('Simpanan Sukarela'!C:C,'All Simpanan '!C:C,'Simpanan Sukarela'!E:E)</f>
        <v>0</v>
      </c>
      <c r="I308" s="4">
        <f>SUMIF('Simpanan Sukarela Berjangka'!B:B,'All Simpanan '!C:C,'Simpanan Sukarela Berjangka'!K:K)</f>
        <v>0</v>
      </c>
      <c r="J308" s="4">
        <f t="shared" si="4"/>
        <v>0</v>
      </c>
      <c r="K308" s="35" t="s">
        <v>1579</v>
      </c>
    </row>
    <row r="309" spans="1:11" ht="15.5" x14ac:dyDescent="0.35">
      <c r="A309" s="5">
        <v>307</v>
      </c>
      <c r="B309" s="6" t="s">
        <v>701</v>
      </c>
      <c r="C309" s="7" t="s">
        <v>702</v>
      </c>
      <c r="D309" s="8" t="s">
        <v>41</v>
      </c>
      <c r="E309" s="8">
        <f>SUMIF('Simpanan Wajib'!C:C,'All Simpanan '!C:C,'Simpanan Wajib'!E:E)</f>
        <v>0</v>
      </c>
      <c r="F309" s="4">
        <f>SUMIF('Simpanan Pokok'!C:C,'All Simpanan '!C:C,'Simpanan Pokok'!E:E)</f>
        <v>0</v>
      </c>
      <c r="G309" s="4">
        <f>SUMIF('Simpanan Khusus'!C:C,'All Simpanan '!C:C,'Simpanan Khusus'!E:E)</f>
        <v>0</v>
      </c>
      <c r="H309" s="4">
        <f>SUMIF('Simpanan Sukarela'!C:C,'All Simpanan '!C:C,'Simpanan Sukarela'!E:E)</f>
        <v>0</v>
      </c>
      <c r="I309" s="4">
        <f>SUMIF('Simpanan Sukarela Berjangka'!B:B,'All Simpanan '!C:C,'Simpanan Sukarela Berjangka'!K:K)</f>
        <v>0</v>
      </c>
      <c r="J309" s="4">
        <f t="shared" si="4"/>
        <v>0</v>
      </c>
      <c r="K309" s="35" t="s">
        <v>1578</v>
      </c>
    </row>
    <row r="310" spans="1:11" ht="15.5" x14ac:dyDescent="0.35">
      <c r="A310" s="5">
        <v>308</v>
      </c>
      <c r="B310" s="6" t="s">
        <v>703</v>
      </c>
      <c r="C310" s="7" t="s">
        <v>704</v>
      </c>
      <c r="D310" s="8" t="s">
        <v>41</v>
      </c>
      <c r="E310" s="8">
        <f>SUMIF('Simpanan Wajib'!C:C,'All Simpanan '!C:C,'Simpanan Wajib'!E:E)</f>
        <v>0</v>
      </c>
      <c r="F310" s="4">
        <f>SUMIF('Simpanan Pokok'!C:C,'All Simpanan '!C:C,'Simpanan Pokok'!E:E)</f>
        <v>0</v>
      </c>
      <c r="G310" s="4">
        <f>SUMIF('Simpanan Khusus'!C:C,'All Simpanan '!C:C,'Simpanan Khusus'!E:E)</f>
        <v>0</v>
      </c>
      <c r="H310" s="4">
        <f>SUMIF('Simpanan Sukarela'!C:C,'All Simpanan '!C:C,'Simpanan Sukarela'!E:E)</f>
        <v>0</v>
      </c>
      <c r="I310" s="4">
        <f>SUMIF('Simpanan Sukarela Berjangka'!B:B,'All Simpanan '!C:C,'Simpanan Sukarela Berjangka'!K:K)</f>
        <v>0</v>
      </c>
      <c r="J310" s="4">
        <f t="shared" si="4"/>
        <v>0</v>
      </c>
      <c r="K310" s="35" t="s">
        <v>1578</v>
      </c>
    </row>
    <row r="311" spans="1:11" ht="15.5" x14ac:dyDescent="0.35">
      <c r="A311" s="5">
        <v>309</v>
      </c>
      <c r="B311" s="6" t="s">
        <v>705</v>
      </c>
      <c r="C311" s="7" t="s">
        <v>706</v>
      </c>
      <c r="D311" s="8" t="s">
        <v>131</v>
      </c>
      <c r="E311" s="8">
        <f>SUMIF('Simpanan Wajib'!C:C,'All Simpanan '!C:C,'Simpanan Wajib'!E:E)</f>
        <v>0</v>
      </c>
      <c r="F311" s="4">
        <f>SUMIF('Simpanan Pokok'!C:C,'All Simpanan '!C:C,'Simpanan Pokok'!E:E)</f>
        <v>0</v>
      </c>
      <c r="G311" s="4">
        <f>SUMIF('Simpanan Khusus'!C:C,'All Simpanan '!C:C,'Simpanan Khusus'!E:E)</f>
        <v>0</v>
      </c>
      <c r="H311" s="4">
        <f>SUMIF('Simpanan Sukarela'!C:C,'All Simpanan '!C:C,'Simpanan Sukarela'!E:E)</f>
        <v>0</v>
      </c>
      <c r="I311" s="4">
        <f>SUMIF('Simpanan Sukarela Berjangka'!B:B,'All Simpanan '!C:C,'Simpanan Sukarela Berjangka'!K:K)</f>
        <v>0</v>
      </c>
      <c r="J311" s="4">
        <f t="shared" si="4"/>
        <v>0</v>
      </c>
      <c r="K311" s="35" t="s">
        <v>1578</v>
      </c>
    </row>
    <row r="312" spans="1:11" ht="15.5" x14ac:dyDescent="0.35">
      <c r="A312" s="5">
        <v>310</v>
      </c>
      <c r="B312" s="6" t="s">
        <v>707</v>
      </c>
      <c r="C312" s="7" t="s">
        <v>708</v>
      </c>
      <c r="D312" s="8" t="s">
        <v>98</v>
      </c>
      <c r="E312" s="8">
        <f>SUMIF('Simpanan Wajib'!C:C,'All Simpanan '!C:C,'Simpanan Wajib'!E:E)</f>
        <v>26219336</v>
      </c>
      <c r="F312" s="4">
        <f>SUMIF('Simpanan Pokok'!C:C,'All Simpanan '!C:C,'Simpanan Pokok'!E:E)</f>
        <v>5000</v>
      </c>
      <c r="G312" s="4">
        <f>SUMIF('Simpanan Khusus'!C:C,'All Simpanan '!C:C,'Simpanan Khusus'!E:E)</f>
        <v>3057500</v>
      </c>
      <c r="H312" s="4">
        <f>SUMIF('Simpanan Sukarela'!C:C,'All Simpanan '!C:C,'Simpanan Sukarela'!E:E)</f>
        <v>3467644.329626061</v>
      </c>
      <c r="I312" s="4">
        <f>SUMIF('Simpanan Sukarela Berjangka'!B:B,'All Simpanan '!C:C,'Simpanan Sukarela Berjangka'!K:K)</f>
        <v>0</v>
      </c>
      <c r="J312" s="4">
        <f t="shared" si="4"/>
        <v>32749480.329626061</v>
      </c>
      <c r="K312" s="35" t="s">
        <v>1579</v>
      </c>
    </row>
    <row r="313" spans="1:11" ht="15.5" x14ac:dyDescent="0.35">
      <c r="A313" s="5">
        <v>311</v>
      </c>
      <c r="B313" s="6" t="s">
        <v>709</v>
      </c>
      <c r="C313" s="7" t="s">
        <v>710</v>
      </c>
      <c r="D313" s="8" t="s">
        <v>49</v>
      </c>
      <c r="E313" s="8">
        <f>SUMIF('Simpanan Wajib'!C:C,'All Simpanan '!C:C,'Simpanan Wajib'!E:E)</f>
        <v>0</v>
      </c>
      <c r="F313" s="4">
        <f>SUMIF('Simpanan Pokok'!C:C,'All Simpanan '!C:C,'Simpanan Pokok'!E:E)</f>
        <v>0</v>
      </c>
      <c r="G313" s="4">
        <f>SUMIF('Simpanan Khusus'!C:C,'All Simpanan '!C:C,'Simpanan Khusus'!E:E)</f>
        <v>0</v>
      </c>
      <c r="H313" s="4">
        <f>SUMIF('Simpanan Sukarela'!C:C,'All Simpanan '!C:C,'Simpanan Sukarela'!E:E)</f>
        <v>0</v>
      </c>
      <c r="I313" s="4">
        <f>SUMIF('Simpanan Sukarela Berjangka'!B:B,'All Simpanan '!C:C,'Simpanan Sukarela Berjangka'!K:K)</f>
        <v>0</v>
      </c>
      <c r="J313" s="4">
        <f t="shared" si="4"/>
        <v>0</v>
      </c>
      <c r="K313" s="35" t="s">
        <v>1578</v>
      </c>
    </row>
    <row r="314" spans="1:11" ht="15.5" x14ac:dyDescent="0.35">
      <c r="A314" s="5">
        <v>312</v>
      </c>
      <c r="B314" s="6" t="s">
        <v>711</v>
      </c>
      <c r="C314" s="7" t="s">
        <v>712</v>
      </c>
      <c r="D314" s="8" t="s">
        <v>52</v>
      </c>
      <c r="E314" s="8">
        <f>SUMIF('Simpanan Wajib'!C:C,'All Simpanan '!C:C,'Simpanan Wajib'!E:E)</f>
        <v>0</v>
      </c>
      <c r="F314" s="4">
        <f>SUMIF('Simpanan Pokok'!C:C,'All Simpanan '!C:C,'Simpanan Pokok'!E:E)</f>
        <v>0</v>
      </c>
      <c r="G314" s="4">
        <f>SUMIF('Simpanan Khusus'!C:C,'All Simpanan '!C:C,'Simpanan Khusus'!E:E)</f>
        <v>0</v>
      </c>
      <c r="H314" s="4">
        <f>SUMIF('Simpanan Sukarela'!C:C,'All Simpanan '!C:C,'Simpanan Sukarela'!E:E)</f>
        <v>0</v>
      </c>
      <c r="I314" s="4">
        <f>SUMIF('Simpanan Sukarela Berjangka'!B:B,'All Simpanan '!C:C,'Simpanan Sukarela Berjangka'!K:K)</f>
        <v>0</v>
      </c>
      <c r="J314" s="4">
        <f t="shared" si="4"/>
        <v>0</v>
      </c>
      <c r="K314" s="35" t="s">
        <v>1578</v>
      </c>
    </row>
    <row r="315" spans="1:11" ht="15.5" x14ac:dyDescent="0.35">
      <c r="A315" s="5">
        <v>313</v>
      </c>
      <c r="B315" s="6" t="s">
        <v>713</v>
      </c>
      <c r="C315" s="7" t="s">
        <v>714</v>
      </c>
      <c r="D315" s="8" t="s">
        <v>60</v>
      </c>
      <c r="E315" s="8">
        <f>SUMIF('Simpanan Wajib'!C:C,'All Simpanan '!C:C,'Simpanan Wajib'!E:E)</f>
        <v>0</v>
      </c>
      <c r="F315" s="4">
        <f>SUMIF('Simpanan Pokok'!C:C,'All Simpanan '!C:C,'Simpanan Pokok'!E:E)</f>
        <v>0</v>
      </c>
      <c r="G315" s="4">
        <f>SUMIF('Simpanan Khusus'!C:C,'All Simpanan '!C:C,'Simpanan Khusus'!E:E)</f>
        <v>0</v>
      </c>
      <c r="H315" s="4">
        <f>SUMIF('Simpanan Sukarela'!C:C,'All Simpanan '!C:C,'Simpanan Sukarela'!E:E)</f>
        <v>0</v>
      </c>
      <c r="I315" s="4">
        <f>SUMIF('Simpanan Sukarela Berjangka'!B:B,'All Simpanan '!C:C,'Simpanan Sukarela Berjangka'!K:K)</f>
        <v>0</v>
      </c>
      <c r="J315" s="4">
        <f t="shared" si="4"/>
        <v>0</v>
      </c>
      <c r="K315" s="35" t="s">
        <v>1579</v>
      </c>
    </row>
    <row r="316" spans="1:11" ht="15.5" x14ac:dyDescent="0.35">
      <c r="A316" s="5">
        <v>314</v>
      </c>
      <c r="B316" s="6" t="s">
        <v>715</v>
      </c>
      <c r="C316" s="7" t="s">
        <v>716</v>
      </c>
      <c r="D316" s="8" t="s">
        <v>22</v>
      </c>
      <c r="E316" s="8">
        <f>SUMIF('Simpanan Wajib'!C:C,'All Simpanan '!C:C,'Simpanan Wajib'!E:E)</f>
        <v>25623756</v>
      </c>
      <c r="F316" s="4">
        <f>SUMIF('Simpanan Pokok'!C:C,'All Simpanan '!C:C,'Simpanan Pokok'!E:E)</f>
        <v>5000</v>
      </c>
      <c r="G316" s="4">
        <f>SUMIF('Simpanan Khusus'!C:C,'All Simpanan '!C:C,'Simpanan Khusus'!E:E)</f>
        <v>595000</v>
      </c>
      <c r="H316" s="4">
        <f>SUMIF('Simpanan Sukarela'!C:C,'All Simpanan '!C:C,'Simpanan Sukarela'!E:E)</f>
        <v>4637557.4809621526</v>
      </c>
      <c r="I316" s="4">
        <f>SUMIF('Simpanan Sukarela Berjangka'!B:B,'All Simpanan '!C:C,'Simpanan Sukarela Berjangka'!K:K)</f>
        <v>0</v>
      </c>
      <c r="J316" s="4">
        <f t="shared" si="4"/>
        <v>30861313.480962154</v>
      </c>
      <c r="K316" s="35" t="s">
        <v>1579</v>
      </c>
    </row>
    <row r="317" spans="1:11" ht="15.5" x14ac:dyDescent="0.35">
      <c r="A317" s="5">
        <v>315</v>
      </c>
      <c r="B317" s="6" t="s">
        <v>717</v>
      </c>
      <c r="C317" s="7" t="s">
        <v>718</v>
      </c>
      <c r="D317" s="8" t="s">
        <v>49</v>
      </c>
      <c r="E317" s="8">
        <f>SUMIF('Simpanan Wajib'!C:C,'All Simpanan '!C:C,'Simpanan Wajib'!E:E)</f>
        <v>0</v>
      </c>
      <c r="F317" s="4">
        <f>SUMIF('Simpanan Pokok'!C:C,'All Simpanan '!C:C,'Simpanan Pokok'!E:E)</f>
        <v>0</v>
      </c>
      <c r="G317" s="4">
        <f>SUMIF('Simpanan Khusus'!C:C,'All Simpanan '!C:C,'Simpanan Khusus'!E:E)</f>
        <v>0</v>
      </c>
      <c r="H317" s="4">
        <f>SUMIF('Simpanan Sukarela'!C:C,'All Simpanan '!C:C,'Simpanan Sukarela'!E:E)</f>
        <v>0</v>
      </c>
      <c r="I317" s="4">
        <f>SUMIF('Simpanan Sukarela Berjangka'!B:B,'All Simpanan '!C:C,'Simpanan Sukarela Berjangka'!K:K)</f>
        <v>0</v>
      </c>
      <c r="J317" s="4">
        <f t="shared" si="4"/>
        <v>0</v>
      </c>
      <c r="K317" s="35" t="s">
        <v>1578</v>
      </c>
    </row>
    <row r="318" spans="1:11" ht="15.5" x14ac:dyDescent="0.35">
      <c r="A318" s="5">
        <v>316</v>
      </c>
      <c r="B318" s="6" t="s">
        <v>719</v>
      </c>
      <c r="C318" s="7" t="s">
        <v>720</v>
      </c>
      <c r="D318" s="8" t="s">
        <v>77</v>
      </c>
      <c r="E318" s="8">
        <f>SUMIF('Simpanan Wajib'!C:C,'All Simpanan '!C:C,'Simpanan Wajib'!E:E)</f>
        <v>2336518</v>
      </c>
      <c r="F318" s="4">
        <f>SUMIF('Simpanan Pokok'!C:C,'All Simpanan '!C:C,'Simpanan Pokok'!E:E)</f>
        <v>5000</v>
      </c>
      <c r="G318" s="4">
        <f>SUMIF('Simpanan Khusus'!C:C,'All Simpanan '!C:C,'Simpanan Khusus'!E:E)</f>
        <v>0</v>
      </c>
      <c r="H318" s="4">
        <f>SUMIF('Simpanan Sukarela'!C:C,'All Simpanan '!C:C,'Simpanan Sukarela'!E:E)</f>
        <v>2636111.4274615985</v>
      </c>
      <c r="I318" s="4">
        <f>SUMIF('Simpanan Sukarela Berjangka'!B:B,'All Simpanan '!C:C,'Simpanan Sukarela Berjangka'!K:K)</f>
        <v>0</v>
      </c>
      <c r="J318" s="4">
        <f t="shared" si="4"/>
        <v>4977629.4274615981</v>
      </c>
      <c r="K318" s="35" t="s">
        <v>1578</v>
      </c>
    </row>
    <row r="319" spans="1:11" ht="15.5" x14ac:dyDescent="0.35">
      <c r="A319" s="5">
        <v>317</v>
      </c>
      <c r="B319" s="6" t="s">
        <v>721</v>
      </c>
      <c r="C319" s="7" t="s">
        <v>722</v>
      </c>
      <c r="D319" s="8" t="s">
        <v>166</v>
      </c>
      <c r="E319" s="8">
        <f>SUMIF('Simpanan Wajib'!C:C,'All Simpanan '!C:C,'Simpanan Wajib'!E:E)</f>
        <v>0</v>
      </c>
      <c r="F319" s="4">
        <f>SUMIF('Simpanan Pokok'!C:C,'All Simpanan '!C:C,'Simpanan Pokok'!E:E)</f>
        <v>0</v>
      </c>
      <c r="G319" s="4">
        <f>SUMIF('Simpanan Khusus'!C:C,'All Simpanan '!C:C,'Simpanan Khusus'!E:E)</f>
        <v>0</v>
      </c>
      <c r="H319" s="4">
        <f>SUMIF('Simpanan Sukarela'!C:C,'All Simpanan '!C:C,'Simpanan Sukarela'!E:E)</f>
        <v>0</v>
      </c>
      <c r="I319" s="4">
        <f>SUMIF('Simpanan Sukarela Berjangka'!B:B,'All Simpanan '!C:C,'Simpanan Sukarela Berjangka'!K:K)</f>
        <v>0</v>
      </c>
      <c r="J319" s="4">
        <f t="shared" si="4"/>
        <v>0</v>
      </c>
      <c r="K319" s="35" t="s">
        <v>1578</v>
      </c>
    </row>
    <row r="320" spans="1:11" ht="15.5" x14ac:dyDescent="0.35">
      <c r="A320" s="5">
        <v>318</v>
      </c>
      <c r="B320" s="6" t="s">
        <v>723</v>
      </c>
      <c r="C320" s="7" t="s">
        <v>724</v>
      </c>
      <c r="D320" s="8" t="s">
        <v>72</v>
      </c>
      <c r="E320" s="8">
        <f>SUMIF('Simpanan Wajib'!C:C,'All Simpanan '!C:C,'Simpanan Wajib'!E:E)</f>
        <v>0</v>
      </c>
      <c r="F320" s="4">
        <f>SUMIF('Simpanan Pokok'!C:C,'All Simpanan '!C:C,'Simpanan Pokok'!E:E)</f>
        <v>0</v>
      </c>
      <c r="G320" s="4">
        <f>SUMIF('Simpanan Khusus'!C:C,'All Simpanan '!C:C,'Simpanan Khusus'!E:E)</f>
        <v>0</v>
      </c>
      <c r="H320" s="4">
        <f>SUMIF('Simpanan Sukarela'!C:C,'All Simpanan '!C:C,'Simpanan Sukarela'!E:E)</f>
        <v>215198.83973440249</v>
      </c>
      <c r="I320" s="4">
        <f>SUMIF('Simpanan Sukarela Berjangka'!B:B,'All Simpanan '!C:C,'Simpanan Sukarela Berjangka'!K:K)</f>
        <v>0</v>
      </c>
      <c r="J320" s="4">
        <f t="shared" si="4"/>
        <v>215198.83973440249</v>
      </c>
      <c r="K320" s="35" t="s">
        <v>1578</v>
      </c>
    </row>
    <row r="321" spans="1:11" ht="15.5" x14ac:dyDescent="0.35">
      <c r="A321" s="5">
        <v>319</v>
      </c>
      <c r="B321" s="6" t="s">
        <v>725</v>
      </c>
      <c r="C321" s="7" t="s">
        <v>726</v>
      </c>
      <c r="D321" s="8" t="s">
        <v>551</v>
      </c>
      <c r="E321" s="8">
        <f>SUMIF('Simpanan Wajib'!C:C,'All Simpanan '!C:C,'Simpanan Wajib'!E:E)</f>
        <v>0</v>
      </c>
      <c r="F321" s="4">
        <f>SUMIF('Simpanan Pokok'!C:C,'All Simpanan '!C:C,'Simpanan Pokok'!E:E)</f>
        <v>0</v>
      </c>
      <c r="G321" s="4">
        <f>SUMIF('Simpanan Khusus'!C:C,'All Simpanan '!C:C,'Simpanan Khusus'!E:E)</f>
        <v>0</v>
      </c>
      <c r="H321" s="4">
        <f>SUMIF('Simpanan Sukarela'!C:C,'All Simpanan '!C:C,'Simpanan Sukarela'!E:E)</f>
        <v>0</v>
      </c>
      <c r="I321" s="4">
        <f>SUMIF('Simpanan Sukarela Berjangka'!B:B,'All Simpanan '!C:C,'Simpanan Sukarela Berjangka'!K:K)</f>
        <v>0</v>
      </c>
      <c r="J321" s="4">
        <f t="shared" si="4"/>
        <v>0</v>
      </c>
      <c r="K321" s="35" t="s">
        <v>1578</v>
      </c>
    </row>
    <row r="322" spans="1:11" ht="15.5" x14ac:dyDescent="0.35">
      <c r="A322" s="5">
        <v>320</v>
      </c>
      <c r="B322" s="6" t="s">
        <v>727</v>
      </c>
      <c r="C322" s="7" t="s">
        <v>728</v>
      </c>
      <c r="D322" s="8" t="s">
        <v>136</v>
      </c>
      <c r="E322" s="8">
        <f>SUMIF('Simpanan Wajib'!C:C,'All Simpanan '!C:C,'Simpanan Wajib'!E:E)</f>
        <v>0</v>
      </c>
      <c r="F322" s="4">
        <f>SUMIF('Simpanan Pokok'!C:C,'All Simpanan '!C:C,'Simpanan Pokok'!E:E)</f>
        <v>0</v>
      </c>
      <c r="G322" s="4">
        <f>SUMIF('Simpanan Khusus'!C:C,'All Simpanan '!C:C,'Simpanan Khusus'!E:E)</f>
        <v>0</v>
      </c>
      <c r="H322" s="4">
        <f>SUMIF('Simpanan Sukarela'!C:C,'All Simpanan '!C:C,'Simpanan Sukarela'!E:E)</f>
        <v>0</v>
      </c>
      <c r="I322" s="4">
        <f>SUMIF('Simpanan Sukarela Berjangka'!B:B,'All Simpanan '!C:C,'Simpanan Sukarela Berjangka'!K:K)</f>
        <v>0</v>
      </c>
      <c r="J322" s="4">
        <f t="shared" si="4"/>
        <v>0</v>
      </c>
      <c r="K322" s="35" t="s">
        <v>1579</v>
      </c>
    </row>
    <row r="323" spans="1:11" ht="15.5" x14ac:dyDescent="0.35">
      <c r="A323" s="5">
        <v>321</v>
      </c>
      <c r="B323" s="6" t="s">
        <v>729</v>
      </c>
      <c r="C323" s="7" t="s">
        <v>730</v>
      </c>
      <c r="D323" s="8" t="s">
        <v>131</v>
      </c>
      <c r="E323" s="8">
        <f>SUMIF('Simpanan Wajib'!C:C,'All Simpanan '!C:C,'Simpanan Wajib'!E:E)</f>
        <v>0</v>
      </c>
      <c r="F323" s="4">
        <f>SUMIF('Simpanan Pokok'!C:C,'All Simpanan '!C:C,'Simpanan Pokok'!E:E)</f>
        <v>0</v>
      </c>
      <c r="G323" s="4">
        <f>SUMIF('Simpanan Khusus'!C:C,'All Simpanan '!C:C,'Simpanan Khusus'!E:E)</f>
        <v>0</v>
      </c>
      <c r="H323" s="4">
        <f>SUMIF('Simpanan Sukarela'!C:C,'All Simpanan '!C:C,'Simpanan Sukarela'!E:E)</f>
        <v>0</v>
      </c>
      <c r="I323" s="4">
        <f>SUMIF('Simpanan Sukarela Berjangka'!B:B,'All Simpanan '!C:C,'Simpanan Sukarela Berjangka'!K:K)</f>
        <v>0</v>
      </c>
      <c r="J323" s="4">
        <f t="shared" si="4"/>
        <v>0</v>
      </c>
      <c r="K323" s="35" t="s">
        <v>1579</v>
      </c>
    </row>
    <row r="324" spans="1:11" ht="15.5" x14ac:dyDescent="0.35">
      <c r="A324" s="5">
        <v>322</v>
      </c>
      <c r="B324" s="6" t="s">
        <v>731</v>
      </c>
      <c r="C324" s="7" t="s">
        <v>732</v>
      </c>
      <c r="D324" s="8" t="s">
        <v>198</v>
      </c>
      <c r="E324" s="8">
        <f>SUMIF('Simpanan Wajib'!C:C,'All Simpanan '!C:C,'Simpanan Wajib'!E:E)</f>
        <v>0</v>
      </c>
      <c r="F324" s="4">
        <f>SUMIF('Simpanan Pokok'!C:C,'All Simpanan '!C:C,'Simpanan Pokok'!E:E)</f>
        <v>0</v>
      </c>
      <c r="G324" s="4">
        <f>SUMIF('Simpanan Khusus'!C:C,'All Simpanan '!C:C,'Simpanan Khusus'!E:E)</f>
        <v>0</v>
      </c>
      <c r="H324" s="4">
        <f>SUMIF('Simpanan Sukarela'!C:C,'All Simpanan '!C:C,'Simpanan Sukarela'!E:E)</f>
        <v>0</v>
      </c>
      <c r="I324" s="4">
        <f>SUMIF('Simpanan Sukarela Berjangka'!B:B,'All Simpanan '!C:C,'Simpanan Sukarela Berjangka'!K:K)</f>
        <v>0</v>
      </c>
      <c r="J324" s="4">
        <f t="shared" ref="J324:J387" si="5">SUM(E324:I324)</f>
        <v>0</v>
      </c>
      <c r="K324" s="35" t="s">
        <v>1578</v>
      </c>
    </row>
    <row r="325" spans="1:11" ht="15.5" x14ac:dyDescent="0.35">
      <c r="A325" s="5">
        <v>323</v>
      </c>
      <c r="B325" s="6" t="s">
        <v>733</v>
      </c>
      <c r="C325" s="7" t="s">
        <v>734</v>
      </c>
      <c r="D325" s="8" t="s">
        <v>49</v>
      </c>
      <c r="E325" s="8">
        <f>SUMIF('Simpanan Wajib'!C:C,'All Simpanan '!C:C,'Simpanan Wajib'!E:E)</f>
        <v>0</v>
      </c>
      <c r="F325" s="4">
        <f>SUMIF('Simpanan Pokok'!C:C,'All Simpanan '!C:C,'Simpanan Pokok'!E:E)</f>
        <v>0</v>
      </c>
      <c r="G325" s="4">
        <f>SUMIF('Simpanan Khusus'!C:C,'All Simpanan '!C:C,'Simpanan Khusus'!E:E)</f>
        <v>0</v>
      </c>
      <c r="H325" s="4">
        <f>SUMIF('Simpanan Sukarela'!C:C,'All Simpanan '!C:C,'Simpanan Sukarela'!E:E)</f>
        <v>340843</v>
      </c>
      <c r="I325" s="4">
        <f>SUMIF('Simpanan Sukarela Berjangka'!B:B,'All Simpanan '!C:C,'Simpanan Sukarela Berjangka'!K:K)</f>
        <v>0</v>
      </c>
      <c r="J325" s="4">
        <f t="shared" si="5"/>
        <v>340843</v>
      </c>
      <c r="K325" s="35" t="s">
        <v>1578</v>
      </c>
    </row>
    <row r="326" spans="1:11" ht="15.5" x14ac:dyDescent="0.35">
      <c r="A326" s="5">
        <v>324</v>
      </c>
      <c r="B326" s="6" t="s">
        <v>735</v>
      </c>
      <c r="C326" s="7" t="s">
        <v>736</v>
      </c>
      <c r="D326" s="8" t="s">
        <v>11</v>
      </c>
      <c r="E326" s="8">
        <f>SUMIF('Simpanan Wajib'!C:C,'All Simpanan '!C:C,'Simpanan Wajib'!E:E)</f>
        <v>0</v>
      </c>
      <c r="F326" s="4">
        <f>SUMIF('Simpanan Pokok'!C:C,'All Simpanan '!C:C,'Simpanan Pokok'!E:E)</f>
        <v>0</v>
      </c>
      <c r="G326" s="4">
        <f>SUMIF('Simpanan Khusus'!C:C,'All Simpanan '!C:C,'Simpanan Khusus'!E:E)</f>
        <v>0</v>
      </c>
      <c r="H326" s="4">
        <f>SUMIF('Simpanan Sukarela'!C:C,'All Simpanan '!C:C,'Simpanan Sukarela'!E:E)</f>
        <v>0</v>
      </c>
      <c r="I326" s="4">
        <f>SUMIF('Simpanan Sukarela Berjangka'!B:B,'All Simpanan '!C:C,'Simpanan Sukarela Berjangka'!K:K)</f>
        <v>0</v>
      </c>
      <c r="J326" s="4">
        <f t="shared" si="5"/>
        <v>0</v>
      </c>
      <c r="K326" s="35" t="s">
        <v>1578</v>
      </c>
    </row>
    <row r="327" spans="1:11" ht="15.5" x14ac:dyDescent="0.35">
      <c r="A327" s="5">
        <v>325</v>
      </c>
      <c r="B327" s="6" t="s">
        <v>737</v>
      </c>
      <c r="C327" s="7" t="s">
        <v>738</v>
      </c>
      <c r="D327" s="8" t="s">
        <v>574</v>
      </c>
      <c r="E327" s="8">
        <f>SUMIF('Simpanan Wajib'!C:C,'All Simpanan '!C:C,'Simpanan Wajib'!E:E)</f>
        <v>0</v>
      </c>
      <c r="F327" s="4">
        <f>SUMIF('Simpanan Pokok'!C:C,'All Simpanan '!C:C,'Simpanan Pokok'!E:E)</f>
        <v>0</v>
      </c>
      <c r="G327" s="4">
        <f>SUMIF('Simpanan Khusus'!C:C,'All Simpanan '!C:C,'Simpanan Khusus'!E:E)</f>
        <v>0</v>
      </c>
      <c r="H327" s="4">
        <f>SUMIF('Simpanan Sukarela'!C:C,'All Simpanan '!C:C,'Simpanan Sukarela'!E:E)</f>
        <v>-4.826674610376358E-2</v>
      </c>
      <c r="I327" s="4">
        <f>SUMIF('Simpanan Sukarela Berjangka'!B:B,'All Simpanan '!C:C,'Simpanan Sukarela Berjangka'!K:K)</f>
        <v>0</v>
      </c>
      <c r="J327" s="4">
        <f t="shared" si="5"/>
        <v>-4.826674610376358E-2</v>
      </c>
      <c r="K327" s="35" t="s">
        <v>1577</v>
      </c>
    </row>
    <row r="328" spans="1:11" ht="15.5" x14ac:dyDescent="0.35">
      <c r="A328" s="5">
        <v>326</v>
      </c>
      <c r="B328" s="6" t="s">
        <v>739</v>
      </c>
      <c r="C328" s="7" t="s">
        <v>740</v>
      </c>
      <c r="D328" s="8" t="s">
        <v>72</v>
      </c>
      <c r="E328" s="8">
        <f>SUMIF('Simpanan Wajib'!C:C,'All Simpanan '!C:C,'Simpanan Wajib'!E:E)</f>
        <v>26544922</v>
      </c>
      <c r="F328" s="4">
        <f>SUMIF('Simpanan Pokok'!C:C,'All Simpanan '!C:C,'Simpanan Pokok'!E:E)</f>
        <v>5000</v>
      </c>
      <c r="G328" s="4">
        <f>SUMIF('Simpanan Khusus'!C:C,'All Simpanan '!C:C,'Simpanan Khusus'!E:E)</f>
        <v>786500</v>
      </c>
      <c r="H328" s="4">
        <f>SUMIF('Simpanan Sukarela'!C:C,'All Simpanan '!C:C,'Simpanan Sukarela'!E:E)</f>
        <v>2825162.7516410053</v>
      </c>
      <c r="I328" s="4">
        <f>SUMIF('Simpanan Sukarela Berjangka'!B:B,'All Simpanan '!C:C,'Simpanan Sukarela Berjangka'!K:K)</f>
        <v>0</v>
      </c>
      <c r="J328" s="4">
        <f t="shared" si="5"/>
        <v>30161584.751641005</v>
      </c>
      <c r="K328" s="35" t="s">
        <v>1579</v>
      </c>
    </row>
    <row r="329" spans="1:11" ht="15.5" x14ac:dyDescent="0.35">
      <c r="A329" s="5">
        <v>327</v>
      </c>
      <c r="B329" s="6" t="s">
        <v>741</v>
      </c>
      <c r="C329" s="7" t="s">
        <v>742</v>
      </c>
      <c r="D329" s="8" t="s">
        <v>166</v>
      </c>
      <c r="E329" s="8">
        <f>SUMIF('Simpanan Wajib'!C:C,'All Simpanan '!C:C,'Simpanan Wajib'!E:E)</f>
        <v>0</v>
      </c>
      <c r="F329" s="4">
        <f>SUMIF('Simpanan Pokok'!C:C,'All Simpanan '!C:C,'Simpanan Pokok'!E:E)</f>
        <v>0</v>
      </c>
      <c r="G329" s="4">
        <f>SUMIF('Simpanan Khusus'!C:C,'All Simpanan '!C:C,'Simpanan Khusus'!E:E)</f>
        <v>0</v>
      </c>
      <c r="H329" s="4">
        <f>SUMIF('Simpanan Sukarela'!C:C,'All Simpanan '!C:C,'Simpanan Sukarela'!E:E)</f>
        <v>0</v>
      </c>
      <c r="I329" s="4">
        <f>SUMIF('Simpanan Sukarela Berjangka'!B:B,'All Simpanan '!C:C,'Simpanan Sukarela Berjangka'!K:K)</f>
        <v>0</v>
      </c>
      <c r="J329" s="4">
        <f t="shared" si="5"/>
        <v>0</v>
      </c>
      <c r="K329" s="35" t="s">
        <v>1578</v>
      </c>
    </row>
    <row r="330" spans="1:11" ht="15.5" x14ac:dyDescent="0.35">
      <c r="A330" s="5">
        <v>328</v>
      </c>
      <c r="B330" s="6" t="s">
        <v>743</v>
      </c>
      <c r="C330" s="7" t="s">
        <v>744</v>
      </c>
      <c r="D330" s="8" t="s">
        <v>52</v>
      </c>
      <c r="E330" s="8">
        <f>SUMIF('Simpanan Wajib'!C:C,'All Simpanan '!C:C,'Simpanan Wajib'!E:E)</f>
        <v>0</v>
      </c>
      <c r="F330" s="4">
        <f>SUMIF('Simpanan Pokok'!C:C,'All Simpanan '!C:C,'Simpanan Pokok'!E:E)</f>
        <v>0</v>
      </c>
      <c r="G330" s="4">
        <f>SUMIF('Simpanan Khusus'!C:C,'All Simpanan '!C:C,'Simpanan Khusus'!E:E)</f>
        <v>0</v>
      </c>
      <c r="H330" s="4">
        <f>SUMIF('Simpanan Sukarela'!C:C,'All Simpanan '!C:C,'Simpanan Sukarela'!E:E)</f>
        <v>0</v>
      </c>
      <c r="I330" s="4">
        <f>SUMIF('Simpanan Sukarela Berjangka'!B:B,'All Simpanan '!C:C,'Simpanan Sukarela Berjangka'!K:K)</f>
        <v>0</v>
      </c>
      <c r="J330" s="4">
        <f t="shared" si="5"/>
        <v>0</v>
      </c>
      <c r="K330" s="35" t="s">
        <v>1578</v>
      </c>
    </row>
    <row r="331" spans="1:11" ht="15.5" x14ac:dyDescent="0.35">
      <c r="A331" s="5">
        <v>329</v>
      </c>
      <c r="B331" s="6" t="s">
        <v>745</v>
      </c>
      <c r="C331" s="7" t="s">
        <v>746</v>
      </c>
      <c r="D331" s="8" t="s">
        <v>49</v>
      </c>
      <c r="E331" s="8">
        <f>SUMIF('Simpanan Wajib'!C:C,'All Simpanan '!C:C,'Simpanan Wajib'!E:E)</f>
        <v>150000</v>
      </c>
      <c r="F331" s="4">
        <f>SUMIF('Simpanan Pokok'!C:C,'All Simpanan '!C:C,'Simpanan Pokok'!E:E)</f>
        <v>0</v>
      </c>
      <c r="G331" s="4">
        <f>SUMIF('Simpanan Khusus'!C:C,'All Simpanan '!C:C,'Simpanan Khusus'!E:E)</f>
        <v>0</v>
      </c>
      <c r="H331" s="4">
        <f>SUMIF('Simpanan Sukarela'!C:C,'All Simpanan '!C:C,'Simpanan Sukarela'!E:E)</f>
        <v>278705.6808121248</v>
      </c>
      <c r="I331" s="4">
        <f>SUMIF('Simpanan Sukarela Berjangka'!B:B,'All Simpanan '!C:C,'Simpanan Sukarela Berjangka'!K:K)</f>
        <v>0</v>
      </c>
      <c r="J331" s="4">
        <f t="shared" si="5"/>
        <v>428705.6808121248</v>
      </c>
      <c r="K331" s="35" t="s">
        <v>1578</v>
      </c>
    </row>
    <row r="332" spans="1:11" ht="15.5" x14ac:dyDescent="0.35">
      <c r="A332" s="5">
        <v>330</v>
      </c>
      <c r="B332" s="6" t="s">
        <v>747</v>
      </c>
      <c r="C332" s="7" t="s">
        <v>748</v>
      </c>
      <c r="D332" s="8" t="s">
        <v>41</v>
      </c>
      <c r="E332" s="8">
        <f>SUMIF('Simpanan Wajib'!C:C,'All Simpanan '!C:C,'Simpanan Wajib'!E:E)</f>
        <v>0</v>
      </c>
      <c r="F332" s="4">
        <f>SUMIF('Simpanan Pokok'!C:C,'All Simpanan '!C:C,'Simpanan Pokok'!E:E)</f>
        <v>0</v>
      </c>
      <c r="G332" s="4">
        <f>SUMIF('Simpanan Khusus'!C:C,'All Simpanan '!C:C,'Simpanan Khusus'!E:E)</f>
        <v>0</v>
      </c>
      <c r="H332" s="4">
        <f>SUMIF('Simpanan Sukarela'!C:C,'All Simpanan '!C:C,'Simpanan Sukarela'!E:E)</f>
        <v>0</v>
      </c>
      <c r="I332" s="4">
        <f>SUMIF('Simpanan Sukarela Berjangka'!B:B,'All Simpanan '!C:C,'Simpanan Sukarela Berjangka'!K:K)</f>
        <v>0</v>
      </c>
      <c r="J332" s="4">
        <f t="shared" si="5"/>
        <v>0</v>
      </c>
      <c r="K332" s="35" t="s">
        <v>1578</v>
      </c>
    </row>
    <row r="333" spans="1:11" ht="15.5" x14ac:dyDescent="0.35">
      <c r="A333" s="5">
        <v>331</v>
      </c>
      <c r="B333" s="6" t="s">
        <v>749</v>
      </c>
      <c r="C333" s="7" t="s">
        <v>750</v>
      </c>
      <c r="D333" s="8" t="s">
        <v>751</v>
      </c>
      <c r="E333" s="8">
        <f>SUMIF('Simpanan Wajib'!C:C,'All Simpanan '!C:C,'Simpanan Wajib'!E:E)</f>
        <v>19071897</v>
      </c>
      <c r="F333" s="4">
        <f>SUMIF('Simpanan Pokok'!C:C,'All Simpanan '!C:C,'Simpanan Pokok'!E:E)</f>
        <v>5000</v>
      </c>
      <c r="G333" s="4">
        <f>SUMIF('Simpanan Khusus'!C:C,'All Simpanan '!C:C,'Simpanan Khusus'!E:E)</f>
        <v>2174000</v>
      </c>
      <c r="H333" s="4">
        <f>SUMIF('Simpanan Sukarela'!C:C,'All Simpanan '!C:C,'Simpanan Sukarela'!E:E)</f>
        <v>2550691.8198888334</v>
      </c>
      <c r="I333" s="4">
        <f>SUMIF('Simpanan Sukarela Berjangka'!B:B,'All Simpanan '!C:C,'Simpanan Sukarela Berjangka'!K:K)</f>
        <v>0</v>
      </c>
      <c r="J333" s="4">
        <f t="shared" si="5"/>
        <v>23801588.819888834</v>
      </c>
      <c r="K333" s="35" t="s">
        <v>1579</v>
      </c>
    </row>
    <row r="334" spans="1:11" ht="15.5" x14ac:dyDescent="0.35">
      <c r="A334" s="5">
        <v>332</v>
      </c>
      <c r="B334" s="6" t="s">
        <v>752</v>
      </c>
      <c r="C334" s="7" t="s">
        <v>753</v>
      </c>
      <c r="D334" s="8" t="s">
        <v>159</v>
      </c>
      <c r="E334" s="8">
        <f>SUMIF('Simpanan Wajib'!C:C,'All Simpanan '!C:C,'Simpanan Wajib'!E:E)</f>
        <v>0</v>
      </c>
      <c r="F334" s="4">
        <f>SUMIF('Simpanan Pokok'!C:C,'All Simpanan '!C:C,'Simpanan Pokok'!E:E)</f>
        <v>0</v>
      </c>
      <c r="G334" s="4">
        <f>SUMIF('Simpanan Khusus'!C:C,'All Simpanan '!C:C,'Simpanan Khusus'!E:E)</f>
        <v>0</v>
      </c>
      <c r="H334" s="4">
        <f>SUMIF('Simpanan Sukarela'!C:C,'All Simpanan '!C:C,'Simpanan Sukarela'!E:E)</f>
        <v>0.30920632486231625</v>
      </c>
      <c r="I334" s="4">
        <f>SUMIF('Simpanan Sukarela Berjangka'!B:B,'All Simpanan '!C:C,'Simpanan Sukarela Berjangka'!K:K)</f>
        <v>0</v>
      </c>
      <c r="J334" s="4">
        <f t="shared" si="5"/>
        <v>0.30920632486231625</v>
      </c>
      <c r="K334" s="35" t="s">
        <v>1576</v>
      </c>
    </row>
    <row r="335" spans="1:11" ht="15.5" x14ac:dyDescent="0.35">
      <c r="A335" s="5">
        <v>333</v>
      </c>
      <c r="B335" s="6" t="s">
        <v>754</v>
      </c>
      <c r="C335" s="7" t="s">
        <v>755</v>
      </c>
      <c r="D335" s="8" t="s">
        <v>354</v>
      </c>
      <c r="E335" s="8">
        <f>SUMIF('Simpanan Wajib'!C:C,'All Simpanan '!C:C,'Simpanan Wajib'!E:E)</f>
        <v>0</v>
      </c>
      <c r="F335" s="4">
        <f>SUMIF('Simpanan Pokok'!C:C,'All Simpanan '!C:C,'Simpanan Pokok'!E:E)</f>
        <v>0</v>
      </c>
      <c r="G335" s="4">
        <f>SUMIF('Simpanan Khusus'!C:C,'All Simpanan '!C:C,'Simpanan Khusus'!E:E)</f>
        <v>0</v>
      </c>
      <c r="H335" s="4">
        <f>SUMIF('Simpanan Sukarela'!C:C,'All Simpanan '!C:C,'Simpanan Sukarela'!E:E)</f>
        <v>0</v>
      </c>
      <c r="I335" s="4">
        <f>SUMIF('Simpanan Sukarela Berjangka'!B:B,'All Simpanan '!C:C,'Simpanan Sukarela Berjangka'!K:K)</f>
        <v>0</v>
      </c>
      <c r="J335" s="4">
        <f t="shared" si="5"/>
        <v>0</v>
      </c>
      <c r="K335" s="35" t="s">
        <v>1579</v>
      </c>
    </row>
    <row r="336" spans="1:11" ht="15.5" x14ac:dyDescent="0.35">
      <c r="A336" s="5">
        <v>334</v>
      </c>
      <c r="B336" s="6" t="s">
        <v>756</v>
      </c>
      <c r="C336" s="7" t="s">
        <v>757</v>
      </c>
      <c r="D336" s="8" t="s">
        <v>166</v>
      </c>
      <c r="E336" s="8">
        <f>SUMIF('Simpanan Wajib'!C:C,'All Simpanan '!C:C,'Simpanan Wajib'!E:E)</f>
        <v>0</v>
      </c>
      <c r="F336" s="4">
        <f>SUMIF('Simpanan Pokok'!C:C,'All Simpanan '!C:C,'Simpanan Pokok'!E:E)</f>
        <v>0</v>
      </c>
      <c r="G336" s="4">
        <f>SUMIF('Simpanan Khusus'!C:C,'All Simpanan '!C:C,'Simpanan Khusus'!E:E)</f>
        <v>0</v>
      </c>
      <c r="H336" s="4">
        <f>SUMIF('Simpanan Sukarela'!C:C,'All Simpanan '!C:C,'Simpanan Sukarela'!E:E)</f>
        <v>0</v>
      </c>
      <c r="I336" s="4">
        <f>SUMIF('Simpanan Sukarela Berjangka'!B:B,'All Simpanan '!C:C,'Simpanan Sukarela Berjangka'!K:K)</f>
        <v>0</v>
      </c>
      <c r="J336" s="4">
        <f t="shared" si="5"/>
        <v>0</v>
      </c>
      <c r="K336" s="35" t="s">
        <v>1578</v>
      </c>
    </row>
    <row r="337" spans="1:11" ht="15.5" x14ac:dyDescent="0.35">
      <c r="A337" s="5">
        <v>335</v>
      </c>
      <c r="B337" s="6" t="s">
        <v>758</v>
      </c>
      <c r="C337" s="7" t="s">
        <v>759</v>
      </c>
      <c r="D337" s="8" t="s">
        <v>238</v>
      </c>
      <c r="E337" s="8">
        <f>SUMIF('Simpanan Wajib'!C:C,'All Simpanan '!C:C,'Simpanan Wajib'!E:E)</f>
        <v>38651521</v>
      </c>
      <c r="F337" s="4">
        <f>SUMIF('Simpanan Pokok'!C:C,'All Simpanan '!C:C,'Simpanan Pokok'!E:E)</f>
        <v>5000</v>
      </c>
      <c r="G337" s="4">
        <f>SUMIF('Simpanan Khusus'!C:C,'All Simpanan '!C:C,'Simpanan Khusus'!E:E)</f>
        <v>3710000</v>
      </c>
      <c r="H337" s="4">
        <f>SUMIF('Simpanan Sukarela'!C:C,'All Simpanan '!C:C,'Simpanan Sukarela'!E:E)</f>
        <v>1433550.238210272</v>
      </c>
      <c r="I337" s="4">
        <f>SUMIF('Simpanan Sukarela Berjangka'!B:B,'All Simpanan '!C:C,'Simpanan Sukarela Berjangka'!K:K)</f>
        <v>0</v>
      </c>
      <c r="J337" s="4">
        <f t="shared" si="5"/>
        <v>43800071.238210276</v>
      </c>
      <c r="K337" s="35" t="s">
        <v>1579</v>
      </c>
    </row>
    <row r="338" spans="1:11" ht="15.5" x14ac:dyDescent="0.35">
      <c r="A338" s="5">
        <v>336</v>
      </c>
      <c r="B338" s="6" t="s">
        <v>760</v>
      </c>
      <c r="C338" s="7" t="s">
        <v>761</v>
      </c>
      <c r="D338" s="8" t="s">
        <v>72</v>
      </c>
      <c r="E338" s="8">
        <f>SUMIF('Simpanan Wajib'!C:C,'All Simpanan '!C:C,'Simpanan Wajib'!E:E)</f>
        <v>0</v>
      </c>
      <c r="F338" s="4">
        <f>SUMIF('Simpanan Pokok'!C:C,'All Simpanan '!C:C,'Simpanan Pokok'!E:E)</f>
        <v>0</v>
      </c>
      <c r="G338" s="4">
        <f>SUMIF('Simpanan Khusus'!C:C,'All Simpanan '!C:C,'Simpanan Khusus'!E:E)</f>
        <v>0</v>
      </c>
      <c r="H338" s="4">
        <f>SUMIF('Simpanan Sukarela'!C:C,'All Simpanan '!C:C,'Simpanan Sukarela'!E:E)</f>
        <v>0</v>
      </c>
      <c r="I338" s="4">
        <f>SUMIF('Simpanan Sukarela Berjangka'!B:B,'All Simpanan '!C:C,'Simpanan Sukarela Berjangka'!K:K)</f>
        <v>0</v>
      </c>
      <c r="J338" s="4">
        <f t="shared" si="5"/>
        <v>0</v>
      </c>
      <c r="K338" s="35" t="s">
        <v>1576</v>
      </c>
    </row>
    <row r="339" spans="1:11" ht="15.5" x14ac:dyDescent="0.35">
      <c r="A339" s="5">
        <v>337</v>
      </c>
      <c r="B339" s="6" t="s">
        <v>762</v>
      </c>
      <c r="C339" s="7" t="s">
        <v>763</v>
      </c>
      <c r="D339" s="8" t="s">
        <v>551</v>
      </c>
      <c r="E339" s="8">
        <f>SUMIF('Simpanan Wajib'!C:C,'All Simpanan '!C:C,'Simpanan Wajib'!E:E)</f>
        <v>0</v>
      </c>
      <c r="F339" s="4">
        <f>SUMIF('Simpanan Pokok'!C:C,'All Simpanan '!C:C,'Simpanan Pokok'!E:E)</f>
        <v>0</v>
      </c>
      <c r="G339" s="4">
        <f>SUMIF('Simpanan Khusus'!C:C,'All Simpanan '!C:C,'Simpanan Khusus'!E:E)</f>
        <v>0</v>
      </c>
      <c r="H339" s="4">
        <f>SUMIF('Simpanan Sukarela'!C:C,'All Simpanan '!C:C,'Simpanan Sukarela'!E:E)</f>
        <v>0</v>
      </c>
      <c r="I339" s="4">
        <f>SUMIF('Simpanan Sukarela Berjangka'!B:B,'All Simpanan '!C:C,'Simpanan Sukarela Berjangka'!K:K)</f>
        <v>0</v>
      </c>
      <c r="J339" s="4">
        <f t="shared" si="5"/>
        <v>0</v>
      </c>
      <c r="K339" s="35" t="s">
        <v>1576</v>
      </c>
    </row>
    <row r="340" spans="1:11" ht="15.5" x14ac:dyDescent="0.35">
      <c r="A340" s="5">
        <v>338</v>
      </c>
      <c r="B340" s="6" t="s">
        <v>764</v>
      </c>
      <c r="C340" s="7" t="s">
        <v>765</v>
      </c>
      <c r="D340" s="8" t="s">
        <v>201</v>
      </c>
      <c r="E340" s="8">
        <f>SUMIF('Simpanan Wajib'!C:C,'All Simpanan '!C:C,'Simpanan Wajib'!E:E)</f>
        <v>135000</v>
      </c>
      <c r="F340" s="4">
        <f>SUMIF('Simpanan Pokok'!C:C,'All Simpanan '!C:C,'Simpanan Pokok'!E:E)</f>
        <v>5000</v>
      </c>
      <c r="G340" s="4">
        <f>SUMIF('Simpanan Khusus'!C:C,'All Simpanan '!C:C,'Simpanan Khusus'!E:E)</f>
        <v>0</v>
      </c>
      <c r="H340" s="4">
        <f>SUMIF('Simpanan Sukarela'!C:C,'All Simpanan '!C:C,'Simpanan Sukarela'!E:E)</f>
        <v>499532.49932751775</v>
      </c>
      <c r="I340" s="4">
        <f>SUMIF('Simpanan Sukarela Berjangka'!B:B,'All Simpanan '!C:C,'Simpanan Sukarela Berjangka'!K:K)</f>
        <v>0</v>
      </c>
      <c r="J340" s="4">
        <f t="shared" si="5"/>
        <v>639532.49932751781</v>
      </c>
      <c r="K340" s="35" t="s">
        <v>1578</v>
      </c>
    </row>
    <row r="341" spans="1:11" ht="15.5" x14ac:dyDescent="0.35">
      <c r="A341" s="5">
        <v>339</v>
      </c>
      <c r="B341" s="6" t="s">
        <v>766</v>
      </c>
      <c r="C341" s="7" t="s">
        <v>767</v>
      </c>
      <c r="D341" s="8" t="s">
        <v>22</v>
      </c>
      <c r="E341" s="8">
        <f>SUMIF('Simpanan Wajib'!C:C,'All Simpanan '!C:C,'Simpanan Wajib'!E:E)</f>
        <v>0</v>
      </c>
      <c r="F341" s="4">
        <f>SUMIF('Simpanan Pokok'!C:C,'All Simpanan '!C:C,'Simpanan Pokok'!E:E)</f>
        <v>0</v>
      </c>
      <c r="G341" s="4">
        <f>SUMIF('Simpanan Khusus'!C:C,'All Simpanan '!C:C,'Simpanan Khusus'!E:E)</f>
        <v>0</v>
      </c>
      <c r="H341" s="4">
        <f>SUMIF('Simpanan Sukarela'!C:C,'All Simpanan '!C:C,'Simpanan Sukarela'!E:E)</f>
        <v>0</v>
      </c>
      <c r="I341" s="4">
        <f>SUMIF('Simpanan Sukarela Berjangka'!B:B,'All Simpanan '!C:C,'Simpanan Sukarela Berjangka'!K:K)</f>
        <v>0</v>
      </c>
      <c r="J341" s="4">
        <f t="shared" si="5"/>
        <v>0</v>
      </c>
      <c r="K341" s="35" t="s">
        <v>1576</v>
      </c>
    </row>
    <row r="342" spans="1:11" ht="15.5" x14ac:dyDescent="0.35">
      <c r="A342" s="5">
        <v>340</v>
      </c>
      <c r="B342" s="6" t="s">
        <v>768</v>
      </c>
      <c r="C342" s="7" t="s">
        <v>769</v>
      </c>
      <c r="D342" s="8" t="s">
        <v>318</v>
      </c>
      <c r="E342" s="8">
        <f>SUMIF('Simpanan Wajib'!C:C,'All Simpanan '!C:C,'Simpanan Wajib'!E:E)</f>
        <v>0</v>
      </c>
      <c r="F342" s="4">
        <f>SUMIF('Simpanan Pokok'!C:C,'All Simpanan '!C:C,'Simpanan Pokok'!E:E)</f>
        <v>0</v>
      </c>
      <c r="G342" s="4">
        <f>SUMIF('Simpanan Khusus'!C:C,'All Simpanan '!C:C,'Simpanan Khusus'!E:E)</f>
        <v>0</v>
      </c>
      <c r="H342" s="4">
        <f>SUMIF('Simpanan Sukarela'!C:C,'All Simpanan '!C:C,'Simpanan Sukarela'!E:E)</f>
        <v>0</v>
      </c>
      <c r="I342" s="4">
        <f>SUMIF('Simpanan Sukarela Berjangka'!B:B,'All Simpanan '!C:C,'Simpanan Sukarela Berjangka'!K:K)</f>
        <v>0</v>
      </c>
      <c r="J342" s="4">
        <f t="shared" si="5"/>
        <v>0</v>
      </c>
      <c r="K342" s="35" t="s">
        <v>1579</v>
      </c>
    </row>
    <row r="343" spans="1:11" ht="15.5" x14ac:dyDescent="0.35">
      <c r="A343" s="5">
        <v>341</v>
      </c>
      <c r="B343" s="6" t="s">
        <v>770</v>
      </c>
      <c r="C343" s="7" t="s">
        <v>771</v>
      </c>
      <c r="D343" s="8" t="s">
        <v>123</v>
      </c>
      <c r="E343" s="8">
        <f>SUMIF('Simpanan Wajib'!C:C,'All Simpanan '!C:C,'Simpanan Wajib'!E:E)</f>
        <v>23075911</v>
      </c>
      <c r="F343" s="4">
        <f>SUMIF('Simpanan Pokok'!C:C,'All Simpanan '!C:C,'Simpanan Pokok'!E:E)</f>
        <v>5000</v>
      </c>
      <c r="G343" s="4">
        <f>SUMIF('Simpanan Khusus'!C:C,'All Simpanan '!C:C,'Simpanan Khusus'!E:E)</f>
        <v>0</v>
      </c>
      <c r="H343" s="4">
        <f>SUMIF('Simpanan Sukarela'!C:C,'All Simpanan '!C:C,'Simpanan Sukarela'!E:E)</f>
        <v>9179806.7847845647</v>
      </c>
      <c r="I343" s="4">
        <f>SUMIF('Simpanan Sukarela Berjangka'!B:B,'All Simpanan '!C:C,'Simpanan Sukarela Berjangka'!K:K)</f>
        <v>0</v>
      </c>
      <c r="J343" s="4">
        <f t="shared" si="5"/>
        <v>32260717.784784563</v>
      </c>
      <c r="K343" s="35" t="s">
        <v>1579</v>
      </c>
    </row>
    <row r="344" spans="1:11" ht="15.5" x14ac:dyDescent="0.35">
      <c r="A344" s="5">
        <v>342</v>
      </c>
      <c r="B344" s="6" t="s">
        <v>772</v>
      </c>
      <c r="C344" s="7" t="s">
        <v>773</v>
      </c>
      <c r="D344" s="8" t="s">
        <v>519</v>
      </c>
      <c r="E344" s="8">
        <f>SUMIF('Simpanan Wajib'!C:C,'All Simpanan '!C:C,'Simpanan Wajib'!E:E)</f>
        <v>0</v>
      </c>
      <c r="F344" s="4">
        <f>SUMIF('Simpanan Pokok'!C:C,'All Simpanan '!C:C,'Simpanan Pokok'!E:E)</f>
        <v>0</v>
      </c>
      <c r="G344" s="4">
        <f>SUMIF('Simpanan Khusus'!C:C,'All Simpanan '!C:C,'Simpanan Khusus'!E:E)</f>
        <v>0</v>
      </c>
      <c r="H344" s="4">
        <f>SUMIF('Simpanan Sukarela'!C:C,'All Simpanan '!C:C,'Simpanan Sukarela'!E:E)</f>
        <v>0.4179716007784009</v>
      </c>
      <c r="I344" s="4">
        <f>SUMIF('Simpanan Sukarela Berjangka'!B:B,'All Simpanan '!C:C,'Simpanan Sukarela Berjangka'!K:K)</f>
        <v>0</v>
      </c>
      <c r="J344" s="4">
        <f t="shared" si="5"/>
        <v>0.4179716007784009</v>
      </c>
      <c r="K344" s="35" t="s">
        <v>1576</v>
      </c>
    </row>
    <row r="345" spans="1:11" ht="15.5" x14ac:dyDescent="0.35">
      <c r="A345" s="5">
        <v>343</v>
      </c>
      <c r="B345" s="6" t="s">
        <v>774</v>
      </c>
      <c r="C345" s="7" t="s">
        <v>775</v>
      </c>
      <c r="D345" s="8" t="s">
        <v>215</v>
      </c>
      <c r="E345" s="8">
        <f>SUMIF('Simpanan Wajib'!C:C,'All Simpanan '!C:C,'Simpanan Wajib'!E:E)</f>
        <v>1095000</v>
      </c>
      <c r="F345" s="4">
        <f>SUMIF('Simpanan Pokok'!C:C,'All Simpanan '!C:C,'Simpanan Pokok'!E:E)</f>
        <v>5000</v>
      </c>
      <c r="G345" s="4">
        <f>SUMIF('Simpanan Khusus'!C:C,'All Simpanan '!C:C,'Simpanan Khusus'!E:E)</f>
        <v>0</v>
      </c>
      <c r="H345" s="4">
        <f>SUMIF('Simpanan Sukarela'!C:C,'All Simpanan '!C:C,'Simpanan Sukarela'!E:E)</f>
        <v>1960460.3923551524</v>
      </c>
      <c r="I345" s="4">
        <f>SUMIF('Simpanan Sukarela Berjangka'!B:B,'All Simpanan '!C:C,'Simpanan Sukarela Berjangka'!K:K)</f>
        <v>0</v>
      </c>
      <c r="J345" s="4">
        <f t="shared" si="5"/>
        <v>3060460.3923551524</v>
      </c>
      <c r="K345" s="35" t="s">
        <v>1578</v>
      </c>
    </row>
    <row r="346" spans="1:11" ht="15.5" x14ac:dyDescent="0.35">
      <c r="A346" s="5">
        <v>344</v>
      </c>
      <c r="B346" s="6" t="s">
        <v>776</v>
      </c>
      <c r="C346" s="7" t="s">
        <v>777</v>
      </c>
      <c r="D346" s="8" t="s">
        <v>136</v>
      </c>
      <c r="E346" s="8">
        <f>SUMIF('Simpanan Wajib'!C:C,'All Simpanan '!C:C,'Simpanan Wajib'!E:E)</f>
        <v>0</v>
      </c>
      <c r="F346" s="4">
        <f>SUMIF('Simpanan Pokok'!C:C,'All Simpanan '!C:C,'Simpanan Pokok'!E:E)</f>
        <v>0</v>
      </c>
      <c r="G346" s="4">
        <f>SUMIF('Simpanan Khusus'!C:C,'All Simpanan '!C:C,'Simpanan Khusus'!E:E)</f>
        <v>0</v>
      </c>
      <c r="H346" s="4">
        <f>SUMIF('Simpanan Sukarela'!C:C,'All Simpanan '!C:C,'Simpanan Sukarela'!E:E)</f>
        <v>0</v>
      </c>
      <c r="I346" s="4">
        <f>SUMIF('Simpanan Sukarela Berjangka'!B:B,'All Simpanan '!C:C,'Simpanan Sukarela Berjangka'!K:K)</f>
        <v>0</v>
      </c>
      <c r="J346" s="4">
        <f t="shared" si="5"/>
        <v>0</v>
      </c>
      <c r="K346" s="35" t="s">
        <v>1579</v>
      </c>
    </row>
    <row r="347" spans="1:11" ht="15.5" x14ac:dyDescent="0.35">
      <c r="A347" s="5">
        <v>345</v>
      </c>
      <c r="B347" s="6" t="s">
        <v>778</v>
      </c>
      <c r="C347" s="7" t="s">
        <v>779</v>
      </c>
      <c r="D347" s="8" t="s">
        <v>136</v>
      </c>
      <c r="E347" s="8">
        <f>SUMIF('Simpanan Wajib'!C:C,'All Simpanan '!C:C,'Simpanan Wajib'!E:E)</f>
        <v>14700000</v>
      </c>
      <c r="F347" s="4">
        <f>SUMIF('Simpanan Pokok'!C:C,'All Simpanan '!C:C,'Simpanan Pokok'!E:E)</f>
        <v>200000</v>
      </c>
      <c r="G347" s="4">
        <f>SUMIF('Simpanan Khusus'!C:C,'All Simpanan '!C:C,'Simpanan Khusus'!E:E)</f>
        <v>0</v>
      </c>
      <c r="H347" s="4">
        <f>SUMIF('Simpanan Sukarela'!C:C,'All Simpanan '!C:C,'Simpanan Sukarela'!E:E)</f>
        <v>966945.47625423979</v>
      </c>
      <c r="I347" s="4">
        <f>SUMIF('Simpanan Sukarela Berjangka'!B:B,'All Simpanan '!C:C,'Simpanan Sukarela Berjangka'!K:K)</f>
        <v>0</v>
      </c>
      <c r="J347" s="4">
        <f t="shared" si="5"/>
        <v>15866945.47625424</v>
      </c>
      <c r="K347" s="35" t="s">
        <v>1578</v>
      </c>
    </row>
    <row r="348" spans="1:11" ht="15.5" x14ac:dyDescent="0.35">
      <c r="A348" s="5">
        <v>346</v>
      </c>
      <c r="B348" s="6" t="s">
        <v>780</v>
      </c>
      <c r="C348" s="7" t="s">
        <v>781</v>
      </c>
      <c r="D348" s="8" t="s">
        <v>46</v>
      </c>
      <c r="E348" s="8">
        <f>SUMIF('Simpanan Wajib'!C:C,'All Simpanan '!C:C,'Simpanan Wajib'!E:E)</f>
        <v>0</v>
      </c>
      <c r="F348" s="4">
        <f>SUMIF('Simpanan Pokok'!C:C,'All Simpanan '!C:C,'Simpanan Pokok'!E:E)</f>
        <v>0</v>
      </c>
      <c r="G348" s="4">
        <f>SUMIF('Simpanan Khusus'!C:C,'All Simpanan '!C:C,'Simpanan Khusus'!E:E)</f>
        <v>0</v>
      </c>
      <c r="H348" s="4">
        <f>SUMIF('Simpanan Sukarela'!C:C,'All Simpanan '!C:C,'Simpanan Sukarela'!E:E)</f>
        <v>0</v>
      </c>
      <c r="I348" s="4">
        <f>SUMIF('Simpanan Sukarela Berjangka'!B:B,'All Simpanan '!C:C,'Simpanan Sukarela Berjangka'!K:K)</f>
        <v>0</v>
      </c>
      <c r="J348" s="4">
        <f t="shared" si="5"/>
        <v>0</v>
      </c>
      <c r="K348" s="35" t="s">
        <v>1576</v>
      </c>
    </row>
    <row r="349" spans="1:11" ht="15.5" x14ac:dyDescent="0.35">
      <c r="A349" s="5">
        <v>347</v>
      </c>
      <c r="B349" s="6" t="s">
        <v>782</v>
      </c>
      <c r="C349" s="7" t="s">
        <v>783</v>
      </c>
      <c r="D349" s="8" t="s">
        <v>141</v>
      </c>
      <c r="E349" s="8">
        <f>SUMIF('Simpanan Wajib'!C:C,'All Simpanan '!C:C,'Simpanan Wajib'!E:E)</f>
        <v>-150000</v>
      </c>
      <c r="F349" s="4">
        <f>SUMIF('Simpanan Pokok'!C:C,'All Simpanan '!C:C,'Simpanan Pokok'!E:E)</f>
        <v>0</v>
      </c>
      <c r="G349" s="4">
        <f>SUMIF('Simpanan Khusus'!C:C,'All Simpanan '!C:C,'Simpanan Khusus'!E:E)</f>
        <v>0</v>
      </c>
      <c r="H349" s="4">
        <f>SUMIF('Simpanan Sukarela'!C:C,'All Simpanan '!C:C,'Simpanan Sukarela'!E:E)</f>
        <v>-6154.5118164140731</v>
      </c>
      <c r="I349" s="4">
        <f>SUMIF('Simpanan Sukarela Berjangka'!B:B,'All Simpanan '!C:C,'Simpanan Sukarela Berjangka'!K:K)</f>
        <v>0</v>
      </c>
      <c r="J349" s="4">
        <f t="shared" si="5"/>
        <v>-156154.51181641407</v>
      </c>
      <c r="K349" s="35" t="s">
        <v>1578</v>
      </c>
    </row>
    <row r="350" spans="1:11" ht="15.5" x14ac:dyDescent="0.35">
      <c r="A350" s="5">
        <v>348</v>
      </c>
      <c r="B350" s="6" t="s">
        <v>784</v>
      </c>
      <c r="C350" s="7" t="s">
        <v>785</v>
      </c>
      <c r="D350" s="8" t="s">
        <v>60</v>
      </c>
      <c r="E350" s="8">
        <f>SUMIF('Simpanan Wajib'!C:C,'All Simpanan '!C:C,'Simpanan Wajib'!E:E)</f>
        <v>0</v>
      </c>
      <c r="F350" s="4">
        <f>SUMIF('Simpanan Pokok'!C:C,'All Simpanan '!C:C,'Simpanan Pokok'!E:E)</f>
        <v>0</v>
      </c>
      <c r="G350" s="4">
        <f>SUMIF('Simpanan Khusus'!C:C,'All Simpanan '!C:C,'Simpanan Khusus'!E:E)</f>
        <v>0</v>
      </c>
      <c r="H350" s="4">
        <f>SUMIF('Simpanan Sukarela'!C:C,'All Simpanan '!C:C,'Simpanan Sukarela'!E:E)</f>
        <v>0</v>
      </c>
      <c r="I350" s="4">
        <f>SUMIF('Simpanan Sukarela Berjangka'!B:B,'All Simpanan '!C:C,'Simpanan Sukarela Berjangka'!K:K)</f>
        <v>0</v>
      </c>
      <c r="J350" s="4">
        <f t="shared" si="5"/>
        <v>0</v>
      </c>
      <c r="K350" s="35" t="s">
        <v>1581</v>
      </c>
    </row>
    <row r="351" spans="1:11" ht="15.5" x14ac:dyDescent="0.35">
      <c r="A351" s="5">
        <v>349</v>
      </c>
      <c r="B351" s="6" t="s">
        <v>786</v>
      </c>
      <c r="C351" s="7" t="s">
        <v>787</v>
      </c>
      <c r="D351" s="8" t="s">
        <v>290</v>
      </c>
      <c r="E351" s="8">
        <f>SUMIF('Simpanan Wajib'!C:C,'All Simpanan '!C:C,'Simpanan Wajib'!E:E)</f>
        <v>39098998</v>
      </c>
      <c r="F351" s="4">
        <f>SUMIF('Simpanan Pokok'!C:C,'All Simpanan '!C:C,'Simpanan Pokok'!E:E)</f>
        <v>5000</v>
      </c>
      <c r="G351" s="4">
        <f>SUMIF('Simpanan Khusus'!C:C,'All Simpanan '!C:C,'Simpanan Khusus'!E:E)</f>
        <v>890000</v>
      </c>
      <c r="H351" s="4">
        <f>SUMIF('Simpanan Sukarela'!C:C,'All Simpanan '!C:C,'Simpanan Sukarela'!E:E)</f>
        <v>1337206.8189867046</v>
      </c>
      <c r="I351" s="4">
        <f>SUMIF('Simpanan Sukarela Berjangka'!B:B,'All Simpanan '!C:C,'Simpanan Sukarela Berjangka'!K:K)</f>
        <v>0</v>
      </c>
      <c r="J351" s="4">
        <f t="shared" si="5"/>
        <v>41331204.818986706</v>
      </c>
      <c r="K351" s="35" t="s">
        <v>1579</v>
      </c>
    </row>
    <row r="352" spans="1:11" ht="15.5" x14ac:dyDescent="0.35">
      <c r="A352" s="5">
        <v>350</v>
      </c>
      <c r="B352" s="6" t="s">
        <v>788</v>
      </c>
      <c r="C352" s="7" t="s">
        <v>789</v>
      </c>
      <c r="D352" s="8" t="s">
        <v>46</v>
      </c>
      <c r="E352" s="8">
        <f>SUMIF('Simpanan Wajib'!C:C,'All Simpanan '!C:C,'Simpanan Wajib'!E:E)</f>
        <v>0</v>
      </c>
      <c r="F352" s="4">
        <f>SUMIF('Simpanan Pokok'!C:C,'All Simpanan '!C:C,'Simpanan Pokok'!E:E)</f>
        <v>0</v>
      </c>
      <c r="G352" s="4">
        <f>SUMIF('Simpanan Khusus'!C:C,'All Simpanan '!C:C,'Simpanan Khusus'!E:E)</f>
        <v>0</v>
      </c>
      <c r="H352" s="4">
        <f>SUMIF('Simpanan Sukarela'!C:C,'All Simpanan '!C:C,'Simpanan Sukarela'!E:E)</f>
        <v>0</v>
      </c>
      <c r="I352" s="4">
        <f>SUMIF('Simpanan Sukarela Berjangka'!B:B,'All Simpanan '!C:C,'Simpanan Sukarela Berjangka'!K:K)</f>
        <v>0</v>
      </c>
      <c r="J352" s="4">
        <f t="shared" si="5"/>
        <v>0</v>
      </c>
      <c r="K352" s="35" t="s">
        <v>1576</v>
      </c>
    </row>
    <row r="353" spans="1:11" ht="15.5" x14ac:dyDescent="0.35">
      <c r="A353" s="5">
        <v>351</v>
      </c>
      <c r="B353" s="6" t="s">
        <v>790</v>
      </c>
      <c r="C353" s="7" t="s">
        <v>791</v>
      </c>
      <c r="D353" s="8" t="s">
        <v>41</v>
      </c>
      <c r="E353" s="8">
        <f>SUMIF('Simpanan Wajib'!C:C,'All Simpanan '!C:C,'Simpanan Wajib'!E:E)</f>
        <v>3450000</v>
      </c>
      <c r="F353" s="4">
        <f>SUMIF('Simpanan Pokok'!C:C,'All Simpanan '!C:C,'Simpanan Pokok'!E:E)</f>
        <v>0</v>
      </c>
      <c r="G353" s="4">
        <f>SUMIF('Simpanan Khusus'!C:C,'All Simpanan '!C:C,'Simpanan Khusus'!E:E)</f>
        <v>0</v>
      </c>
      <c r="H353" s="4">
        <f>SUMIF('Simpanan Sukarela'!C:C,'All Simpanan '!C:C,'Simpanan Sukarela'!E:E)</f>
        <v>-18.096808982547373</v>
      </c>
      <c r="I353" s="4">
        <f>SUMIF('Simpanan Sukarela Berjangka'!B:B,'All Simpanan '!C:C,'Simpanan Sukarela Berjangka'!K:K)</f>
        <v>0</v>
      </c>
      <c r="J353" s="4">
        <f t="shared" si="5"/>
        <v>3449981.9031910175</v>
      </c>
      <c r="K353" s="35" t="s">
        <v>1578</v>
      </c>
    </row>
    <row r="354" spans="1:11" ht="15.5" x14ac:dyDescent="0.35">
      <c r="A354" s="5">
        <v>352</v>
      </c>
      <c r="B354" s="6" t="s">
        <v>792</v>
      </c>
      <c r="C354" s="7" t="s">
        <v>793</v>
      </c>
      <c r="D354" s="8" t="s">
        <v>77</v>
      </c>
      <c r="E354" s="8">
        <f>SUMIF('Simpanan Wajib'!C:C,'All Simpanan '!C:C,'Simpanan Wajib'!E:E)</f>
        <v>0</v>
      </c>
      <c r="F354" s="4">
        <f>SUMIF('Simpanan Pokok'!C:C,'All Simpanan '!C:C,'Simpanan Pokok'!E:E)</f>
        <v>0</v>
      </c>
      <c r="G354" s="4">
        <f>SUMIF('Simpanan Khusus'!C:C,'All Simpanan '!C:C,'Simpanan Khusus'!E:E)</f>
        <v>0</v>
      </c>
      <c r="H354" s="4">
        <f>SUMIF('Simpanan Sukarela'!C:C,'All Simpanan '!C:C,'Simpanan Sukarela'!E:E)</f>
        <v>0</v>
      </c>
      <c r="I354" s="4">
        <f>SUMIF('Simpanan Sukarela Berjangka'!B:B,'All Simpanan '!C:C,'Simpanan Sukarela Berjangka'!K:K)</f>
        <v>0</v>
      </c>
      <c r="J354" s="4">
        <f t="shared" si="5"/>
        <v>0</v>
      </c>
      <c r="K354" s="35" t="s">
        <v>1578</v>
      </c>
    </row>
    <row r="355" spans="1:11" ht="15.5" x14ac:dyDescent="0.35">
      <c r="A355" s="5">
        <v>353</v>
      </c>
      <c r="B355" s="6" t="s">
        <v>794</v>
      </c>
      <c r="C355" s="7" t="s">
        <v>795</v>
      </c>
      <c r="D355" s="8" t="s">
        <v>95</v>
      </c>
      <c r="E355" s="8">
        <f>SUMIF('Simpanan Wajib'!C:C,'All Simpanan '!C:C,'Simpanan Wajib'!E:E)</f>
        <v>0</v>
      </c>
      <c r="F355" s="4">
        <f>SUMIF('Simpanan Pokok'!C:C,'All Simpanan '!C:C,'Simpanan Pokok'!E:E)</f>
        <v>0</v>
      </c>
      <c r="G355" s="4">
        <f>SUMIF('Simpanan Khusus'!C:C,'All Simpanan '!C:C,'Simpanan Khusus'!E:E)</f>
        <v>0</v>
      </c>
      <c r="H355" s="4">
        <f>SUMIF('Simpanan Sukarela'!C:C,'All Simpanan '!C:C,'Simpanan Sukarela'!E:E)</f>
        <v>0</v>
      </c>
      <c r="I355" s="4">
        <f>SUMIF('Simpanan Sukarela Berjangka'!B:B,'All Simpanan '!C:C,'Simpanan Sukarela Berjangka'!K:K)</f>
        <v>0</v>
      </c>
      <c r="J355" s="4">
        <f t="shared" si="5"/>
        <v>0</v>
      </c>
      <c r="K355" s="35" t="s">
        <v>1579</v>
      </c>
    </row>
    <row r="356" spans="1:11" ht="15.5" x14ac:dyDescent="0.35">
      <c r="A356" s="5">
        <v>354</v>
      </c>
      <c r="B356" s="6" t="s">
        <v>796</v>
      </c>
      <c r="C356" s="7" t="s">
        <v>797</v>
      </c>
      <c r="D356" s="8" t="s">
        <v>551</v>
      </c>
      <c r="E356" s="8">
        <f>SUMIF('Simpanan Wajib'!C:C,'All Simpanan '!C:C,'Simpanan Wajib'!E:E)</f>
        <v>0</v>
      </c>
      <c r="F356" s="4">
        <f>SUMIF('Simpanan Pokok'!C:C,'All Simpanan '!C:C,'Simpanan Pokok'!E:E)</f>
        <v>0</v>
      </c>
      <c r="G356" s="4">
        <f>SUMIF('Simpanan Khusus'!C:C,'All Simpanan '!C:C,'Simpanan Khusus'!E:E)</f>
        <v>0</v>
      </c>
      <c r="H356" s="4">
        <f>SUMIF('Simpanan Sukarela'!C:C,'All Simpanan '!C:C,'Simpanan Sukarela'!E:E)</f>
        <v>0</v>
      </c>
      <c r="I356" s="4">
        <f>SUMIF('Simpanan Sukarela Berjangka'!B:B,'All Simpanan '!C:C,'Simpanan Sukarela Berjangka'!K:K)</f>
        <v>0</v>
      </c>
      <c r="J356" s="4">
        <f t="shared" si="5"/>
        <v>0</v>
      </c>
      <c r="K356" s="35" t="s">
        <v>1578</v>
      </c>
    </row>
    <row r="357" spans="1:11" ht="15.5" x14ac:dyDescent="0.35">
      <c r="A357" s="5">
        <v>355</v>
      </c>
      <c r="B357" s="6" t="s">
        <v>798</v>
      </c>
      <c r="C357" s="7" t="s">
        <v>799</v>
      </c>
      <c r="D357" s="8" t="s">
        <v>22</v>
      </c>
      <c r="E357" s="8">
        <f>SUMIF('Simpanan Wajib'!C:C,'All Simpanan '!C:C,'Simpanan Wajib'!E:E)</f>
        <v>0</v>
      </c>
      <c r="F357" s="4">
        <f>SUMIF('Simpanan Pokok'!C:C,'All Simpanan '!C:C,'Simpanan Pokok'!E:E)</f>
        <v>0</v>
      </c>
      <c r="G357" s="4">
        <f>SUMIF('Simpanan Khusus'!C:C,'All Simpanan '!C:C,'Simpanan Khusus'!E:E)</f>
        <v>0</v>
      </c>
      <c r="H357" s="4">
        <f>SUMIF('Simpanan Sukarela'!C:C,'All Simpanan '!C:C,'Simpanan Sukarela'!E:E)</f>
        <v>0</v>
      </c>
      <c r="I357" s="4">
        <f>SUMIF('Simpanan Sukarela Berjangka'!B:B,'All Simpanan '!C:C,'Simpanan Sukarela Berjangka'!K:K)</f>
        <v>0</v>
      </c>
      <c r="J357" s="4">
        <f t="shared" si="5"/>
        <v>0</v>
      </c>
      <c r="K357" s="35" t="s">
        <v>1579</v>
      </c>
    </row>
    <row r="358" spans="1:11" ht="15.5" x14ac:dyDescent="0.35">
      <c r="A358" s="5">
        <v>356</v>
      </c>
      <c r="B358" s="6" t="s">
        <v>800</v>
      </c>
      <c r="C358" s="7" t="s">
        <v>801</v>
      </c>
      <c r="D358" s="8" t="s">
        <v>19</v>
      </c>
      <c r="E358" s="8">
        <f>SUMIF('Simpanan Wajib'!C:C,'All Simpanan '!C:C,'Simpanan Wajib'!E:E)</f>
        <v>0</v>
      </c>
      <c r="F358" s="4">
        <f>SUMIF('Simpanan Pokok'!C:C,'All Simpanan '!C:C,'Simpanan Pokok'!E:E)</f>
        <v>0</v>
      </c>
      <c r="G358" s="4">
        <f>SUMIF('Simpanan Khusus'!C:C,'All Simpanan '!C:C,'Simpanan Khusus'!E:E)</f>
        <v>0</v>
      </c>
      <c r="H358" s="4">
        <f>SUMIF('Simpanan Sukarela'!C:C,'All Simpanan '!C:C,'Simpanan Sukarela'!E:E)</f>
        <v>0</v>
      </c>
      <c r="I358" s="4">
        <f>SUMIF('Simpanan Sukarela Berjangka'!B:B,'All Simpanan '!C:C,'Simpanan Sukarela Berjangka'!K:K)</f>
        <v>0</v>
      </c>
      <c r="J358" s="4">
        <f t="shared" si="5"/>
        <v>0</v>
      </c>
      <c r="K358" s="35" t="s">
        <v>1579</v>
      </c>
    </row>
    <row r="359" spans="1:11" ht="15.5" x14ac:dyDescent="0.35">
      <c r="A359" s="5">
        <v>357</v>
      </c>
      <c r="B359" s="6" t="s">
        <v>802</v>
      </c>
      <c r="C359" s="7" t="s">
        <v>803</v>
      </c>
      <c r="D359" s="8" t="s">
        <v>55</v>
      </c>
      <c r="E359" s="8">
        <f>SUMIF('Simpanan Wajib'!C:C,'All Simpanan '!C:C,'Simpanan Wajib'!E:E)</f>
        <v>0</v>
      </c>
      <c r="F359" s="4">
        <f>SUMIF('Simpanan Pokok'!C:C,'All Simpanan '!C:C,'Simpanan Pokok'!E:E)</f>
        <v>0</v>
      </c>
      <c r="G359" s="4">
        <f>SUMIF('Simpanan Khusus'!C:C,'All Simpanan '!C:C,'Simpanan Khusus'!E:E)</f>
        <v>0</v>
      </c>
      <c r="H359" s="4">
        <f>SUMIF('Simpanan Sukarela'!C:C,'All Simpanan '!C:C,'Simpanan Sukarela'!E:E)</f>
        <v>0</v>
      </c>
      <c r="I359" s="4">
        <f>SUMIF('Simpanan Sukarela Berjangka'!B:B,'All Simpanan '!C:C,'Simpanan Sukarela Berjangka'!K:K)</f>
        <v>0</v>
      </c>
      <c r="J359" s="4">
        <f t="shared" si="5"/>
        <v>0</v>
      </c>
      <c r="K359" s="35" t="s">
        <v>1576</v>
      </c>
    </row>
    <row r="360" spans="1:11" ht="15.5" x14ac:dyDescent="0.35">
      <c r="A360" s="5">
        <v>358</v>
      </c>
      <c r="B360" s="6" t="s">
        <v>804</v>
      </c>
      <c r="C360" s="7" t="s">
        <v>805</v>
      </c>
      <c r="D360" s="8" t="s">
        <v>14</v>
      </c>
      <c r="E360" s="8">
        <f>SUMIF('Simpanan Wajib'!C:C,'All Simpanan '!C:C,'Simpanan Wajib'!E:E)</f>
        <v>0</v>
      </c>
      <c r="F360" s="4">
        <f>SUMIF('Simpanan Pokok'!C:C,'All Simpanan '!C:C,'Simpanan Pokok'!E:E)</f>
        <v>0</v>
      </c>
      <c r="G360" s="4">
        <f>SUMIF('Simpanan Khusus'!C:C,'All Simpanan '!C:C,'Simpanan Khusus'!E:E)</f>
        <v>0</v>
      </c>
      <c r="H360" s="4">
        <f>SUMIF('Simpanan Sukarela'!C:C,'All Simpanan '!C:C,'Simpanan Sukarela'!E:E)</f>
        <v>0</v>
      </c>
      <c r="I360" s="4">
        <f>SUMIF('Simpanan Sukarela Berjangka'!B:B,'All Simpanan '!C:C,'Simpanan Sukarela Berjangka'!K:K)</f>
        <v>0</v>
      </c>
      <c r="J360" s="4">
        <f t="shared" si="5"/>
        <v>0</v>
      </c>
      <c r="K360" s="35" t="s">
        <v>1579</v>
      </c>
    </row>
    <row r="361" spans="1:11" ht="15.5" x14ac:dyDescent="0.35">
      <c r="A361" s="5">
        <v>359</v>
      </c>
      <c r="B361" s="6" t="s">
        <v>806</v>
      </c>
      <c r="C361" s="7" t="s">
        <v>807</v>
      </c>
      <c r="D361" s="8" t="s">
        <v>98</v>
      </c>
      <c r="E361" s="8">
        <f>SUMIF('Simpanan Wajib'!C:C,'All Simpanan '!C:C,'Simpanan Wajib'!E:E)</f>
        <v>0</v>
      </c>
      <c r="F361" s="4">
        <f>SUMIF('Simpanan Pokok'!C:C,'All Simpanan '!C:C,'Simpanan Pokok'!E:E)</f>
        <v>0</v>
      </c>
      <c r="G361" s="4">
        <f>SUMIF('Simpanan Khusus'!C:C,'All Simpanan '!C:C,'Simpanan Khusus'!E:E)</f>
        <v>0</v>
      </c>
      <c r="H361" s="4">
        <f>SUMIF('Simpanan Sukarela'!C:C,'All Simpanan '!C:C,'Simpanan Sukarela'!E:E)</f>
        <v>0</v>
      </c>
      <c r="I361" s="4">
        <f>SUMIF('Simpanan Sukarela Berjangka'!B:B,'All Simpanan '!C:C,'Simpanan Sukarela Berjangka'!K:K)</f>
        <v>0</v>
      </c>
      <c r="J361" s="4">
        <f t="shared" si="5"/>
        <v>0</v>
      </c>
      <c r="K361" s="35" t="s">
        <v>1579</v>
      </c>
    </row>
    <row r="362" spans="1:11" ht="15.5" x14ac:dyDescent="0.35">
      <c r="A362" s="5">
        <v>360</v>
      </c>
      <c r="B362" s="6" t="s">
        <v>808</v>
      </c>
      <c r="C362" s="7" t="s">
        <v>809</v>
      </c>
      <c r="D362" s="8" t="s">
        <v>41</v>
      </c>
      <c r="E362" s="8">
        <f>SUMIF('Simpanan Wajib'!C:C,'All Simpanan '!C:C,'Simpanan Wajib'!E:E)</f>
        <v>0</v>
      </c>
      <c r="F362" s="4">
        <f>SUMIF('Simpanan Pokok'!C:C,'All Simpanan '!C:C,'Simpanan Pokok'!E:E)</f>
        <v>0</v>
      </c>
      <c r="G362" s="4">
        <f>SUMIF('Simpanan Khusus'!C:C,'All Simpanan '!C:C,'Simpanan Khusus'!E:E)</f>
        <v>0</v>
      </c>
      <c r="H362" s="4">
        <f>SUMIF('Simpanan Sukarela'!C:C,'All Simpanan '!C:C,'Simpanan Sukarela'!E:E)</f>
        <v>0</v>
      </c>
      <c r="I362" s="4">
        <f>SUMIF('Simpanan Sukarela Berjangka'!B:B,'All Simpanan '!C:C,'Simpanan Sukarela Berjangka'!K:K)</f>
        <v>0</v>
      </c>
      <c r="J362" s="4">
        <f t="shared" si="5"/>
        <v>0</v>
      </c>
      <c r="K362" s="35" t="s">
        <v>1576</v>
      </c>
    </row>
    <row r="363" spans="1:11" ht="15.5" x14ac:dyDescent="0.35">
      <c r="A363" s="5">
        <v>361</v>
      </c>
      <c r="B363" s="6" t="s">
        <v>810</v>
      </c>
      <c r="C363" s="7" t="s">
        <v>811</v>
      </c>
      <c r="D363" s="8" t="s">
        <v>131</v>
      </c>
      <c r="E363" s="8">
        <f>SUMIF('Simpanan Wajib'!C:C,'All Simpanan '!C:C,'Simpanan Wajib'!E:E)</f>
        <v>0</v>
      </c>
      <c r="F363" s="4">
        <f>SUMIF('Simpanan Pokok'!C:C,'All Simpanan '!C:C,'Simpanan Pokok'!E:E)</f>
        <v>0</v>
      </c>
      <c r="G363" s="4">
        <f>SUMIF('Simpanan Khusus'!C:C,'All Simpanan '!C:C,'Simpanan Khusus'!E:E)</f>
        <v>0</v>
      </c>
      <c r="H363" s="4">
        <f>SUMIF('Simpanan Sukarela'!C:C,'All Simpanan '!C:C,'Simpanan Sukarela'!E:E)</f>
        <v>0</v>
      </c>
      <c r="I363" s="4">
        <f>SUMIF('Simpanan Sukarela Berjangka'!B:B,'All Simpanan '!C:C,'Simpanan Sukarela Berjangka'!K:K)</f>
        <v>0</v>
      </c>
      <c r="J363" s="4">
        <f t="shared" si="5"/>
        <v>0</v>
      </c>
      <c r="K363" s="35" t="s">
        <v>1579</v>
      </c>
    </row>
    <row r="364" spans="1:11" ht="15.5" x14ac:dyDescent="0.35">
      <c r="A364" s="5">
        <v>362</v>
      </c>
      <c r="B364" s="6" t="s">
        <v>812</v>
      </c>
      <c r="C364" s="7" t="s">
        <v>813</v>
      </c>
      <c r="D364" s="8" t="s">
        <v>60</v>
      </c>
      <c r="E364" s="8">
        <f>SUMIF('Simpanan Wajib'!C:C,'All Simpanan '!C:C,'Simpanan Wajib'!E:E)</f>
        <v>0</v>
      </c>
      <c r="F364" s="4">
        <f>SUMIF('Simpanan Pokok'!C:C,'All Simpanan '!C:C,'Simpanan Pokok'!E:E)</f>
        <v>0</v>
      </c>
      <c r="G364" s="4">
        <f>SUMIF('Simpanan Khusus'!C:C,'All Simpanan '!C:C,'Simpanan Khusus'!E:E)</f>
        <v>0</v>
      </c>
      <c r="H364" s="4">
        <f>SUMIF('Simpanan Sukarela'!C:C,'All Simpanan '!C:C,'Simpanan Sukarela'!E:E)</f>
        <v>49200.964434333146</v>
      </c>
      <c r="I364" s="4">
        <f>SUMIF('Simpanan Sukarela Berjangka'!B:B,'All Simpanan '!C:C,'Simpanan Sukarela Berjangka'!K:K)</f>
        <v>0</v>
      </c>
      <c r="J364" s="4">
        <f t="shared" si="5"/>
        <v>49200.964434333146</v>
      </c>
      <c r="K364" s="35" t="s">
        <v>1578</v>
      </c>
    </row>
    <row r="365" spans="1:11" ht="15.5" x14ac:dyDescent="0.35">
      <c r="A365" s="5">
        <v>363</v>
      </c>
      <c r="B365" s="6" t="s">
        <v>814</v>
      </c>
      <c r="C365" s="7" t="s">
        <v>815</v>
      </c>
      <c r="D365" s="8" t="s">
        <v>238</v>
      </c>
      <c r="E365" s="8">
        <f>SUMIF('Simpanan Wajib'!C:C,'All Simpanan '!C:C,'Simpanan Wajib'!E:E)</f>
        <v>20005960</v>
      </c>
      <c r="F365" s="4">
        <f>SUMIF('Simpanan Pokok'!C:C,'All Simpanan '!C:C,'Simpanan Pokok'!E:E)</f>
        <v>5000</v>
      </c>
      <c r="G365" s="4">
        <f>SUMIF('Simpanan Khusus'!C:C,'All Simpanan '!C:C,'Simpanan Khusus'!E:E)</f>
        <v>0</v>
      </c>
      <c r="H365" s="4">
        <f>SUMIF('Simpanan Sukarela'!C:C,'All Simpanan '!C:C,'Simpanan Sukarela'!E:E)</f>
        <v>1899338.7005493098</v>
      </c>
      <c r="I365" s="4">
        <f>SUMIF('Simpanan Sukarela Berjangka'!B:B,'All Simpanan '!C:C,'Simpanan Sukarela Berjangka'!K:K)</f>
        <v>0</v>
      </c>
      <c r="J365" s="4">
        <f t="shared" si="5"/>
        <v>21910298.700549308</v>
      </c>
      <c r="K365" s="35" t="s">
        <v>1579</v>
      </c>
    </row>
    <row r="366" spans="1:11" ht="15.5" x14ac:dyDescent="0.35">
      <c r="A366" s="5">
        <v>364</v>
      </c>
      <c r="B366" s="6" t="s">
        <v>816</v>
      </c>
      <c r="C366" s="7" t="s">
        <v>817</v>
      </c>
      <c r="D366" s="8" t="s">
        <v>198</v>
      </c>
      <c r="E366" s="8">
        <f>SUMIF('Simpanan Wajib'!C:C,'All Simpanan '!C:C,'Simpanan Wajib'!E:E)</f>
        <v>0</v>
      </c>
      <c r="F366" s="4">
        <f>SUMIF('Simpanan Pokok'!C:C,'All Simpanan '!C:C,'Simpanan Pokok'!E:E)</f>
        <v>0</v>
      </c>
      <c r="G366" s="4">
        <f>SUMIF('Simpanan Khusus'!C:C,'All Simpanan '!C:C,'Simpanan Khusus'!E:E)</f>
        <v>0</v>
      </c>
      <c r="H366" s="4">
        <f>SUMIF('Simpanan Sukarela'!C:C,'All Simpanan '!C:C,'Simpanan Sukarela'!E:E)</f>
        <v>0</v>
      </c>
      <c r="I366" s="4">
        <f>SUMIF('Simpanan Sukarela Berjangka'!B:B,'All Simpanan '!C:C,'Simpanan Sukarela Berjangka'!K:K)</f>
        <v>0</v>
      </c>
      <c r="J366" s="4">
        <f t="shared" si="5"/>
        <v>0</v>
      </c>
      <c r="K366" s="35" t="s">
        <v>1579</v>
      </c>
    </row>
    <row r="367" spans="1:11" ht="15.5" x14ac:dyDescent="0.35">
      <c r="A367" s="5">
        <v>365</v>
      </c>
      <c r="B367" s="6" t="s">
        <v>818</v>
      </c>
      <c r="C367" s="7" t="s">
        <v>819</v>
      </c>
      <c r="D367" s="8" t="s">
        <v>92</v>
      </c>
      <c r="E367" s="8">
        <f>SUMIF('Simpanan Wajib'!C:C,'All Simpanan '!C:C,'Simpanan Wajib'!E:E)</f>
        <v>0</v>
      </c>
      <c r="F367" s="4">
        <f>SUMIF('Simpanan Pokok'!C:C,'All Simpanan '!C:C,'Simpanan Pokok'!E:E)</f>
        <v>0</v>
      </c>
      <c r="G367" s="4">
        <f>SUMIF('Simpanan Khusus'!C:C,'All Simpanan '!C:C,'Simpanan Khusus'!E:E)</f>
        <v>0</v>
      </c>
      <c r="H367" s="4">
        <f>SUMIF('Simpanan Sukarela'!C:C,'All Simpanan '!C:C,'Simpanan Sukarela'!E:E)</f>
        <v>0</v>
      </c>
      <c r="I367" s="4">
        <f>SUMIF('Simpanan Sukarela Berjangka'!B:B,'All Simpanan '!C:C,'Simpanan Sukarela Berjangka'!K:K)</f>
        <v>0</v>
      </c>
      <c r="J367" s="4">
        <f t="shared" si="5"/>
        <v>0</v>
      </c>
      <c r="K367" s="35" t="s">
        <v>1579</v>
      </c>
    </row>
    <row r="368" spans="1:11" ht="15.5" x14ac:dyDescent="0.35">
      <c r="A368" s="5">
        <v>366</v>
      </c>
      <c r="B368" s="6" t="s">
        <v>820</v>
      </c>
      <c r="C368" s="7" t="s">
        <v>821</v>
      </c>
      <c r="D368" s="8" t="s">
        <v>22</v>
      </c>
      <c r="E368" s="8">
        <f>SUMIF('Simpanan Wajib'!C:C,'All Simpanan '!C:C,'Simpanan Wajib'!E:E)</f>
        <v>31888231</v>
      </c>
      <c r="F368" s="4">
        <f>SUMIF('Simpanan Pokok'!C:C,'All Simpanan '!C:C,'Simpanan Pokok'!E:E)</f>
        <v>5000</v>
      </c>
      <c r="G368" s="4">
        <f>SUMIF('Simpanan Khusus'!C:C,'All Simpanan '!C:C,'Simpanan Khusus'!E:E)</f>
        <v>395000</v>
      </c>
      <c r="H368" s="4">
        <f>SUMIF('Simpanan Sukarela'!C:C,'All Simpanan '!C:C,'Simpanan Sukarela'!E:E)</f>
        <v>4100405.4797031386</v>
      </c>
      <c r="I368" s="4">
        <f>SUMIF('Simpanan Sukarela Berjangka'!B:B,'All Simpanan '!C:C,'Simpanan Sukarela Berjangka'!K:K)</f>
        <v>0</v>
      </c>
      <c r="J368" s="4">
        <f t="shared" si="5"/>
        <v>36388636.479703136</v>
      </c>
      <c r="K368" s="35" t="s">
        <v>1579</v>
      </c>
    </row>
    <row r="369" spans="1:11" ht="15.5" x14ac:dyDescent="0.35">
      <c r="A369" s="5">
        <v>367</v>
      </c>
      <c r="B369" s="6" t="s">
        <v>822</v>
      </c>
      <c r="C369" s="7" t="s">
        <v>823</v>
      </c>
      <c r="D369" s="8" t="s">
        <v>11</v>
      </c>
      <c r="E369" s="8">
        <f>SUMIF('Simpanan Wajib'!C:C,'All Simpanan '!C:C,'Simpanan Wajib'!E:E)</f>
        <v>1641653</v>
      </c>
      <c r="F369" s="4">
        <f>SUMIF('Simpanan Pokok'!C:C,'All Simpanan '!C:C,'Simpanan Pokok'!E:E)</f>
        <v>5000</v>
      </c>
      <c r="G369" s="4">
        <f>SUMIF('Simpanan Khusus'!C:C,'All Simpanan '!C:C,'Simpanan Khusus'!E:E)</f>
        <v>0</v>
      </c>
      <c r="H369" s="4">
        <f>SUMIF('Simpanan Sukarela'!C:C,'All Simpanan '!C:C,'Simpanan Sukarela'!E:E)</f>
        <v>1768476.7085807524</v>
      </c>
      <c r="I369" s="4">
        <f>SUMIF('Simpanan Sukarela Berjangka'!B:B,'All Simpanan '!C:C,'Simpanan Sukarela Berjangka'!K:K)</f>
        <v>0</v>
      </c>
      <c r="J369" s="4">
        <f t="shared" si="5"/>
        <v>3415129.7085807524</v>
      </c>
      <c r="K369" s="35" t="s">
        <v>1578</v>
      </c>
    </row>
    <row r="370" spans="1:11" ht="15.5" x14ac:dyDescent="0.35">
      <c r="A370" s="5">
        <v>368</v>
      </c>
      <c r="B370" s="6" t="s">
        <v>824</v>
      </c>
      <c r="C370" s="7" t="s">
        <v>825</v>
      </c>
      <c r="D370" s="8" t="s">
        <v>367</v>
      </c>
      <c r="E370" s="8">
        <f>SUMIF('Simpanan Wajib'!C:C,'All Simpanan '!C:C,'Simpanan Wajib'!E:E)</f>
        <v>25793093</v>
      </c>
      <c r="F370" s="4">
        <f>SUMIF('Simpanan Pokok'!C:C,'All Simpanan '!C:C,'Simpanan Pokok'!E:E)</f>
        <v>5000</v>
      </c>
      <c r="G370" s="4">
        <f>SUMIF('Simpanan Khusus'!C:C,'All Simpanan '!C:C,'Simpanan Khusus'!E:E)</f>
        <v>855000</v>
      </c>
      <c r="H370" s="4">
        <f>SUMIF('Simpanan Sukarela'!C:C,'All Simpanan '!C:C,'Simpanan Sukarela'!E:E)</f>
        <v>3262591.3472851645</v>
      </c>
      <c r="I370" s="4">
        <f>SUMIF('Simpanan Sukarela Berjangka'!B:B,'All Simpanan '!C:C,'Simpanan Sukarela Berjangka'!K:K)</f>
        <v>0</v>
      </c>
      <c r="J370" s="4">
        <f t="shared" si="5"/>
        <v>29915684.347285166</v>
      </c>
      <c r="K370" s="35" t="s">
        <v>1579</v>
      </c>
    </row>
    <row r="371" spans="1:11" ht="15.5" x14ac:dyDescent="0.35">
      <c r="A371" s="5">
        <v>369</v>
      </c>
      <c r="B371" s="6" t="s">
        <v>826</v>
      </c>
      <c r="C371" s="7" t="s">
        <v>827</v>
      </c>
      <c r="D371" s="8" t="s">
        <v>828</v>
      </c>
      <c r="E371" s="8">
        <f>SUMIF('Simpanan Wajib'!C:C,'All Simpanan '!C:C,'Simpanan Wajib'!E:E)</f>
        <v>0</v>
      </c>
      <c r="F371" s="4">
        <f>SUMIF('Simpanan Pokok'!C:C,'All Simpanan '!C:C,'Simpanan Pokok'!E:E)</f>
        <v>0</v>
      </c>
      <c r="G371" s="4">
        <f>SUMIF('Simpanan Khusus'!C:C,'All Simpanan '!C:C,'Simpanan Khusus'!E:E)</f>
        <v>0</v>
      </c>
      <c r="H371" s="4">
        <f>SUMIF('Simpanan Sukarela'!C:C,'All Simpanan '!C:C,'Simpanan Sukarela'!E:E)</f>
        <v>0</v>
      </c>
      <c r="I371" s="4">
        <f>SUMIF('Simpanan Sukarela Berjangka'!B:B,'All Simpanan '!C:C,'Simpanan Sukarela Berjangka'!K:K)</f>
        <v>0</v>
      </c>
      <c r="J371" s="4">
        <f t="shared" si="5"/>
        <v>0</v>
      </c>
      <c r="K371" s="35" t="s">
        <v>1579</v>
      </c>
    </row>
    <row r="372" spans="1:11" ht="15.5" x14ac:dyDescent="0.35">
      <c r="A372" s="5">
        <v>370</v>
      </c>
      <c r="B372" s="6" t="s">
        <v>829</v>
      </c>
      <c r="C372" s="7" t="s">
        <v>830</v>
      </c>
      <c r="D372" s="8" t="s">
        <v>136</v>
      </c>
      <c r="E372" s="8">
        <f>SUMIF('Simpanan Wajib'!C:C,'All Simpanan '!C:C,'Simpanan Wajib'!E:E)</f>
        <v>0</v>
      </c>
      <c r="F372" s="4">
        <f>SUMIF('Simpanan Pokok'!C:C,'All Simpanan '!C:C,'Simpanan Pokok'!E:E)</f>
        <v>0</v>
      </c>
      <c r="G372" s="4">
        <f>SUMIF('Simpanan Khusus'!C:C,'All Simpanan '!C:C,'Simpanan Khusus'!E:E)</f>
        <v>0</v>
      </c>
      <c r="H372" s="4">
        <f>SUMIF('Simpanan Sukarela'!C:C,'All Simpanan '!C:C,'Simpanan Sukarela'!E:E)</f>
        <v>0</v>
      </c>
      <c r="I372" s="4">
        <f>SUMIF('Simpanan Sukarela Berjangka'!B:B,'All Simpanan '!C:C,'Simpanan Sukarela Berjangka'!K:K)</f>
        <v>0</v>
      </c>
      <c r="J372" s="4">
        <f t="shared" si="5"/>
        <v>0</v>
      </c>
      <c r="K372" s="35" t="s">
        <v>1579</v>
      </c>
    </row>
    <row r="373" spans="1:11" ht="15.5" x14ac:dyDescent="0.35">
      <c r="A373" s="5">
        <v>371</v>
      </c>
      <c r="B373" s="6" t="s">
        <v>831</v>
      </c>
      <c r="C373" s="7" t="s">
        <v>832</v>
      </c>
      <c r="D373" s="8" t="s">
        <v>60</v>
      </c>
      <c r="E373" s="8">
        <f>SUMIF('Simpanan Wajib'!C:C,'All Simpanan '!C:C,'Simpanan Wajib'!E:E)</f>
        <v>0</v>
      </c>
      <c r="F373" s="4">
        <f>SUMIF('Simpanan Pokok'!C:C,'All Simpanan '!C:C,'Simpanan Pokok'!E:E)</f>
        <v>0</v>
      </c>
      <c r="G373" s="4">
        <f>SUMIF('Simpanan Khusus'!C:C,'All Simpanan '!C:C,'Simpanan Khusus'!E:E)</f>
        <v>0</v>
      </c>
      <c r="H373" s="4">
        <f>SUMIF('Simpanan Sukarela'!C:C,'All Simpanan '!C:C,'Simpanan Sukarela'!E:E)</f>
        <v>0</v>
      </c>
      <c r="I373" s="4">
        <f>SUMIF('Simpanan Sukarela Berjangka'!B:B,'All Simpanan '!C:C,'Simpanan Sukarela Berjangka'!K:K)</f>
        <v>0</v>
      </c>
      <c r="J373" s="4">
        <f t="shared" si="5"/>
        <v>0</v>
      </c>
      <c r="K373" s="35" t="s">
        <v>1579</v>
      </c>
    </row>
    <row r="374" spans="1:11" ht="15.5" x14ac:dyDescent="0.35">
      <c r="A374" s="5">
        <v>372</v>
      </c>
      <c r="B374" s="6" t="s">
        <v>833</v>
      </c>
      <c r="C374" s="7" t="s">
        <v>834</v>
      </c>
      <c r="D374" s="8" t="s">
        <v>25</v>
      </c>
      <c r="E374" s="8">
        <f>SUMIF('Simpanan Wajib'!C:C,'All Simpanan '!C:C,'Simpanan Wajib'!E:E)</f>
        <v>34570840</v>
      </c>
      <c r="F374" s="4">
        <f>SUMIF('Simpanan Pokok'!C:C,'All Simpanan '!C:C,'Simpanan Pokok'!E:E)</f>
        <v>5000</v>
      </c>
      <c r="G374" s="4">
        <f>SUMIF('Simpanan Khusus'!C:C,'All Simpanan '!C:C,'Simpanan Khusus'!E:E)</f>
        <v>610000</v>
      </c>
      <c r="H374" s="4">
        <f>SUMIF('Simpanan Sukarela'!C:C,'All Simpanan '!C:C,'Simpanan Sukarela'!E:E)</f>
        <v>6003615.8413952291</v>
      </c>
      <c r="I374" s="4">
        <f>SUMIF('Simpanan Sukarela Berjangka'!B:B,'All Simpanan '!C:C,'Simpanan Sukarela Berjangka'!K:K)</f>
        <v>0</v>
      </c>
      <c r="J374" s="4">
        <f t="shared" si="5"/>
        <v>41189455.841395229</v>
      </c>
      <c r="K374" s="35" t="s">
        <v>1579</v>
      </c>
    </row>
    <row r="375" spans="1:11" ht="15.5" x14ac:dyDescent="0.35">
      <c r="A375" s="5">
        <v>373</v>
      </c>
      <c r="B375" s="6" t="s">
        <v>835</v>
      </c>
      <c r="C375" s="7" t="s">
        <v>836</v>
      </c>
      <c r="D375" s="8" t="s">
        <v>65</v>
      </c>
      <c r="E375" s="8">
        <f>SUMIF('Simpanan Wajib'!C:C,'All Simpanan '!C:C,'Simpanan Wajib'!E:E)</f>
        <v>0</v>
      </c>
      <c r="F375" s="4">
        <f>SUMIF('Simpanan Pokok'!C:C,'All Simpanan '!C:C,'Simpanan Pokok'!E:E)</f>
        <v>0</v>
      </c>
      <c r="G375" s="4">
        <f>SUMIF('Simpanan Khusus'!C:C,'All Simpanan '!C:C,'Simpanan Khusus'!E:E)</f>
        <v>250000</v>
      </c>
      <c r="H375" s="4">
        <f>SUMIF('Simpanan Sukarela'!C:C,'All Simpanan '!C:C,'Simpanan Sukarela'!E:E)</f>
        <v>693042.001730063</v>
      </c>
      <c r="I375" s="4">
        <f>SUMIF('Simpanan Sukarela Berjangka'!B:B,'All Simpanan '!C:C,'Simpanan Sukarela Berjangka'!K:K)</f>
        <v>0</v>
      </c>
      <c r="J375" s="4">
        <f t="shared" si="5"/>
        <v>943042.001730063</v>
      </c>
      <c r="K375" s="35" t="s">
        <v>1576</v>
      </c>
    </row>
    <row r="376" spans="1:11" ht="15.5" x14ac:dyDescent="0.35">
      <c r="A376" s="5">
        <v>374</v>
      </c>
      <c r="B376" s="6" t="s">
        <v>837</v>
      </c>
      <c r="C376" s="7" t="s">
        <v>838</v>
      </c>
      <c r="D376" s="8" t="s">
        <v>166</v>
      </c>
      <c r="E376" s="8">
        <f>SUMIF('Simpanan Wajib'!C:C,'All Simpanan '!C:C,'Simpanan Wajib'!E:E)</f>
        <v>0</v>
      </c>
      <c r="F376" s="4">
        <f>SUMIF('Simpanan Pokok'!C:C,'All Simpanan '!C:C,'Simpanan Pokok'!E:E)</f>
        <v>0</v>
      </c>
      <c r="G376" s="4">
        <f>SUMIF('Simpanan Khusus'!C:C,'All Simpanan '!C:C,'Simpanan Khusus'!E:E)</f>
        <v>0</v>
      </c>
      <c r="H376" s="4">
        <f>SUMIF('Simpanan Sukarela'!C:C,'All Simpanan '!C:C,'Simpanan Sukarela'!E:E)</f>
        <v>0</v>
      </c>
      <c r="I376" s="4">
        <f>SUMIF('Simpanan Sukarela Berjangka'!B:B,'All Simpanan '!C:C,'Simpanan Sukarela Berjangka'!K:K)</f>
        <v>0</v>
      </c>
      <c r="J376" s="4">
        <f t="shared" si="5"/>
        <v>0</v>
      </c>
      <c r="K376" s="35" t="s">
        <v>1578</v>
      </c>
    </row>
    <row r="377" spans="1:11" ht="15.5" x14ac:dyDescent="0.35">
      <c r="A377" s="5">
        <v>375</v>
      </c>
      <c r="B377" s="6" t="s">
        <v>839</v>
      </c>
      <c r="C377" s="7" t="s">
        <v>840</v>
      </c>
      <c r="D377" s="8" t="s">
        <v>92</v>
      </c>
      <c r="E377" s="8">
        <f>SUMIF('Simpanan Wajib'!C:C,'All Simpanan '!C:C,'Simpanan Wajib'!E:E)</f>
        <v>25252117</v>
      </c>
      <c r="F377" s="4">
        <f>SUMIF('Simpanan Pokok'!C:C,'All Simpanan '!C:C,'Simpanan Pokok'!E:E)</f>
        <v>5000</v>
      </c>
      <c r="G377" s="4">
        <f>SUMIF('Simpanan Khusus'!C:C,'All Simpanan '!C:C,'Simpanan Khusus'!E:E)</f>
        <v>50000</v>
      </c>
      <c r="H377" s="4">
        <f>SUMIF('Simpanan Sukarela'!C:C,'All Simpanan '!C:C,'Simpanan Sukarela'!E:E)</f>
        <v>13048275.540794658</v>
      </c>
      <c r="I377" s="4">
        <f>SUMIF('Simpanan Sukarela Berjangka'!B:B,'All Simpanan '!C:C,'Simpanan Sukarela Berjangka'!K:K)</f>
        <v>0</v>
      </c>
      <c r="J377" s="4">
        <f t="shared" si="5"/>
        <v>38355392.540794656</v>
      </c>
      <c r="K377" s="35" t="s">
        <v>1579</v>
      </c>
    </row>
    <row r="378" spans="1:11" ht="15.5" x14ac:dyDescent="0.35">
      <c r="A378" s="5">
        <v>376</v>
      </c>
      <c r="B378" s="6" t="s">
        <v>841</v>
      </c>
      <c r="C378" s="7" t="s">
        <v>842</v>
      </c>
      <c r="D378" s="8" t="s">
        <v>136</v>
      </c>
      <c r="E378" s="8">
        <f>SUMIF('Simpanan Wajib'!C:C,'All Simpanan '!C:C,'Simpanan Wajib'!E:E)</f>
        <v>30987174</v>
      </c>
      <c r="F378" s="4">
        <f>SUMIF('Simpanan Pokok'!C:C,'All Simpanan '!C:C,'Simpanan Pokok'!E:E)</f>
        <v>5000</v>
      </c>
      <c r="G378" s="4">
        <f>SUMIF('Simpanan Khusus'!C:C,'All Simpanan '!C:C,'Simpanan Khusus'!E:E)</f>
        <v>90000</v>
      </c>
      <c r="H378" s="4">
        <f>SUMIF('Simpanan Sukarela'!C:C,'All Simpanan '!C:C,'Simpanan Sukarela'!E:E)</f>
        <v>935356.06953557243</v>
      </c>
      <c r="I378" s="4">
        <f>SUMIF('Simpanan Sukarela Berjangka'!B:B,'All Simpanan '!C:C,'Simpanan Sukarela Berjangka'!K:K)</f>
        <v>0</v>
      </c>
      <c r="J378" s="4">
        <f t="shared" si="5"/>
        <v>32017530.069535572</v>
      </c>
      <c r="K378" s="35" t="s">
        <v>1579</v>
      </c>
    </row>
    <row r="379" spans="1:11" ht="15.5" x14ac:dyDescent="0.35">
      <c r="A379" s="5">
        <v>377</v>
      </c>
      <c r="B379" s="6" t="s">
        <v>843</v>
      </c>
      <c r="C379" s="7" t="s">
        <v>844</v>
      </c>
      <c r="D379" s="8" t="s">
        <v>98</v>
      </c>
      <c r="E379" s="8">
        <f>SUMIF('Simpanan Wajib'!C:C,'All Simpanan '!C:C,'Simpanan Wajib'!E:E)</f>
        <v>0</v>
      </c>
      <c r="F379" s="4">
        <f>SUMIF('Simpanan Pokok'!C:C,'All Simpanan '!C:C,'Simpanan Pokok'!E:E)</f>
        <v>0</v>
      </c>
      <c r="G379" s="4">
        <f>SUMIF('Simpanan Khusus'!C:C,'All Simpanan '!C:C,'Simpanan Khusus'!E:E)</f>
        <v>0</v>
      </c>
      <c r="H379" s="4">
        <f>SUMIF('Simpanan Sukarela'!C:C,'All Simpanan '!C:C,'Simpanan Sukarela'!E:E)</f>
        <v>0</v>
      </c>
      <c r="I379" s="4">
        <f>SUMIF('Simpanan Sukarela Berjangka'!B:B,'All Simpanan '!C:C,'Simpanan Sukarela Berjangka'!K:K)</f>
        <v>0</v>
      </c>
      <c r="J379" s="4">
        <f t="shared" si="5"/>
        <v>0</v>
      </c>
      <c r="K379" s="35" t="s">
        <v>1578</v>
      </c>
    </row>
    <row r="380" spans="1:11" ht="15.5" x14ac:dyDescent="0.35">
      <c r="A380" s="5">
        <v>378</v>
      </c>
      <c r="B380" s="6" t="s">
        <v>845</v>
      </c>
      <c r="C380" s="7" t="s">
        <v>846</v>
      </c>
      <c r="D380" s="8" t="s">
        <v>52</v>
      </c>
      <c r="E380" s="8">
        <f>SUMIF('Simpanan Wajib'!C:C,'All Simpanan '!C:C,'Simpanan Wajib'!E:E)</f>
        <v>0</v>
      </c>
      <c r="F380" s="4">
        <f>SUMIF('Simpanan Pokok'!C:C,'All Simpanan '!C:C,'Simpanan Pokok'!E:E)</f>
        <v>0</v>
      </c>
      <c r="G380" s="4">
        <f>SUMIF('Simpanan Khusus'!C:C,'All Simpanan '!C:C,'Simpanan Khusus'!E:E)</f>
        <v>0</v>
      </c>
      <c r="H380" s="4">
        <f>SUMIF('Simpanan Sukarela'!C:C,'All Simpanan '!C:C,'Simpanan Sukarela'!E:E)</f>
        <v>0</v>
      </c>
      <c r="I380" s="4">
        <f>SUMIF('Simpanan Sukarela Berjangka'!B:B,'All Simpanan '!C:C,'Simpanan Sukarela Berjangka'!K:K)</f>
        <v>0</v>
      </c>
      <c r="J380" s="4">
        <f t="shared" si="5"/>
        <v>0</v>
      </c>
      <c r="K380" s="35" t="s">
        <v>1578</v>
      </c>
    </row>
    <row r="381" spans="1:11" ht="15.5" x14ac:dyDescent="0.35">
      <c r="A381" s="5">
        <v>379</v>
      </c>
      <c r="B381" s="6" t="s">
        <v>847</v>
      </c>
      <c r="C381" s="7" t="s">
        <v>848</v>
      </c>
      <c r="D381" s="8" t="s">
        <v>25</v>
      </c>
      <c r="E381" s="8">
        <f>SUMIF('Simpanan Wajib'!C:C,'All Simpanan '!C:C,'Simpanan Wajib'!E:E)</f>
        <v>32914378</v>
      </c>
      <c r="F381" s="4">
        <f>SUMIF('Simpanan Pokok'!C:C,'All Simpanan '!C:C,'Simpanan Pokok'!E:E)</f>
        <v>5000</v>
      </c>
      <c r="G381" s="4">
        <f>SUMIF('Simpanan Khusus'!C:C,'All Simpanan '!C:C,'Simpanan Khusus'!E:E)</f>
        <v>1670000</v>
      </c>
      <c r="H381" s="4">
        <f>SUMIF('Simpanan Sukarela'!C:C,'All Simpanan '!C:C,'Simpanan Sukarela'!E:E)</f>
        <v>1141874.8689332209</v>
      </c>
      <c r="I381" s="4">
        <f>SUMIF('Simpanan Sukarela Berjangka'!B:B,'All Simpanan '!C:C,'Simpanan Sukarela Berjangka'!K:K)</f>
        <v>0</v>
      </c>
      <c r="J381" s="4">
        <f t="shared" si="5"/>
        <v>35731252.868933223</v>
      </c>
      <c r="K381" s="35" t="s">
        <v>1579</v>
      </c>
    </row>
    <row r="382" spans="1:11" ht="15.5" x14ac:dyDescent="0.35">
      <c r="A382" s="5">
        <v>380</v>
      </c>
      <c r="B382" s="6" t="s">
        <v>849</v>
      </c>
      <c r="C382" s="7" t="s">
        <v>850</v>
      </c>
      <c r="D382" s="8" t="s">
        <v>851</v>
      </c>
      <c r="E382" s="8">
        <f>SUMIF('Simpanan Wajib'!C:C,'All Simpanan '!C:C,'Simpanan Wajib'!E:E)</f>
        <v>61400000</v>
      </c>
      <c r="F382" s="4">
        <f>SUMIF('Simpanan Pokok'!C:C,'All Simpanan '!C:C,'Simpanan Pokok'!E:E)</f>
        <v>5000</v>
      </c>
      <c r="G382" s="4">
        <f>SUMIF('Simpanan Khusus'!C:C,'All Simpanan '!C:C,'Simpanan Khusus'!E:E)</f>
        <v>0</v>
      </c>
      <c r="H382" s="4">
        <f>SUMIF('Simpanan Sukarela'!C:C,'All Simpanan '!C:C,'Simpanan Sukarela'!E:E)</f>
        <v>7272136.454006887</v>
      </c>
      <c r="I382" s="4">
        <f>SUMIF('Simpanan Sukarela Berjangka'!B:B,'All Simpanan '!C:C,'Simpanan Sukarela Berjangka'!K:K)</f>
        <v>0</v>
      </c>
      <c r="J382" s="4">
        <f t="shared" si="5"/>
        <v>68677136.454006881</v>
      </c>
      <c r="K382" s="35" t="s">
        <v>1578</v>
      </c>
    </row>
    <row r="383" spans="1:11" ht="15.5" x14ac:dyDescent="0.35">
      <c r="A383" s="5">
        <v>381</v>
      </c>
      <c r="B383" s="6" t="s">
        <v>852</v>
      </c>
      <c r="C383" s="7" t="s">
        <v>853</v>
      </c>
      <c r="D383" s="8" t="s">
        <v>19</v>
      </c>
      <c r="E383" s="8">
        <f>SUMIF('Simpanan Wajib'!C:C,'All Simpanan '!C:C,'Simpanan Wajib'!E:E)</f>
        <v>0</v>
      </c>
      <c r="F383" s="4">
        <f>SUMIF('Simpanan Pokok'!C:C,'All Simpanan '!C:C,'Simpanan Pokok'!E:E)</f>
        <v>0</v>
      </c>
      <c r="G383" s="4">
        <f>SUMIF('Simpanan Khusus'!C:C,'All Simpanan '!C:C,'Simpanan Khusus'!E:E)</f>
        <v>0</v>
      </c>
      <c r="H383" s="4">
        <f>SUMIF('Simpanan Sukarela'!C:C,'All Simpanan '!C:C,'Simpanan Sukarela'!E:E)</f>
        <v>0</v>
      </c>
      <c r="I383" s="4">
        <f>SUMIF('Simpanan Sukarela Berjangka'!B:B,'All Simpanan '!C:C,'Simpanan Sukarela Berjangka'!K:K)</f>
        <v>0</v>
      </c>
      <c r="J383" s="4">
        <f t="shared" si="5"/>
        <v>0</v>
      </c>
      <c r="K383" s="35" t="s">
        <v>1578</v>
      </c>
    </row>
    <row r="384" spans="1:11" ht="15.5" x14ac:dyDescent="0.35">
      <c r="A384" s="5">
        <v>382</v>
      </c>
      <c r="B384" s="6" t="s">
        <v>854</v>
      </c>
      <c r="C384" s="7" t="s">
        <v>855</v>
      </c>
      <c r="D384" s="8" t="s">
        <v>95</v>
      </c>
      <c r="E384" s="8">
        <f>SUMIF('Simpanan Wajib'!C:C,'All Simpanan '!C:C,'Simpanan Wajib'!E:E)</f>
        <v>0</v>
      </c>
      <c r="F384" s="4">
        <f>SUMIF('Simpanan Pokok'!C:C,'All Simpanan '!C:C,'Simpanan Pokok'!E:E)</f>
        <v>0</v>
      </c>
      <c r="G384" s="4">
        <f>SUMIF('Simpanan Khusus'!C:C,'All Simpanan '!C:C,'Simpanan Khusus'!E:E)</f>
        <v>0</v>
      </c>
      <c r="H384" s="4">
        <f>SUMIF('Simpanan Sukarela'!C:C,'All Simpanan '!C:C,'Simpanan Sukarela'!E:E)</f>
        <v>0</v>
      </c>
      <c r="I384" s="4">
        <f>SUMIF('Simpanan Sukarela Berjangka'!B:B,'All Simpanan '!C:C,'Simpanan Sukarela Berjangka'!K:K)</f>
        <v>0</v>
      </c>
      <c r="J384" s="4">
        <f t="shared" si="5"/>
        <v>0</v>
      </c>
      <c r="K384" s="35" t="s">
        <v>1578</v>
      </c>
    </row>
    <row r="385" spans="1:11" ht="15.5" x14ac:dyDescent="0.35">
      <c r="A385" s="5">
        <v>383</v>
      </c>
      <c r="B385" s="6" t="s">
        <v>856</v>
      </c>
      <c r="C385" s="7" t="s">
        <v>857</v>
      </c>
      <c r="D385" s="8" t="s">
        <v>25</v>
      </c>
      <c r="E385" s="8">
        <f>SUMIF('Simpanan Wajib'!C:C,'All Simpanan '!C:C,'Simpanan Wajib'!E:E)</f>
        <v>32464901</v>
      </c>
      <c r="F385" s="4">
        <f>SUMIF('Simpanan Pokok'!C:C,'All Simpanan '!C:C,'Simpanan Pokok'!E:E)</f>
        <v>5000</v>
      </c>
      <c r="G385" s="4">
        <f>SUMIF('Simpanan Khusus'!C:C,'All Simpanan '!C:C,'Simpanan Khusus'!E:E)</f>
        <v>1098000</v>
      </c>
      <c r="H385" s="4">
        <f>SUMIF('Simpanan Sukarela'!C:C,'All Simpanan '!C:C,'Simpanan Sukarela'!E:E)</f>
        <v>4109784.9480718221</v>
      </c>
      <c r="I385" s="4">
        <f>SUMIF('Simpanan Sukarela Berjangka'!B:B,'All Simpanan '!C:C,'Simpanan Sukarela Berjangka'!K:K)</f>
        <v>0</v>
      </c>
      <c r="J385" s="4">
        <f t="shared" si="5"/>
        <v>37677685.948071823</v>
      </c>
      <c r="K385" s="35" t="s">
        <v>1579</v>
      </c>
    </row>
    <row r="386" spans="1:11" ht="15.5" x14ac:dyDescent="0.35">
      <c r="A386" s="5">
        <v>384</v>
      </c>
      <c r="B386" s="6" t="s">
        <v>858</v>
      </c>
      <c r="C386" s="7" t="s">
        <v>859</v>
      </c>
      <c r="D386" s="8" t="s">
        <v>698</v>
      </c>
      <c r="E386" s="8">
        <f>SUMIF('Simpanan Wajib'!C:C,'All Simpanan '!C:C,'Simpanan Wajib'!E:E)</f>
        <v>0</v>
      </c>
      <c r="F386" s="4">
        <f>SUMIF('Simpanan Pokok'!C:C,'All Simpanan '!C:C,'Simpanan Pokok'!E:E)</f>
        <v>0</v>
      </c>
      <c r="G386" s="4">
        <f>SUMIF('Simpanan Khusus'!C:C,'All Simpanan '!C:C,'Simpanan Khusus'!E:E)</f>
        <v>0</v>
      </c>
      <c r="H386" s="4">
        <f>SUMIF('Simpanan Sukarela'!C:C,'All Simpanan '!C:C,'Simpanan Sukarela'!E:E)</f>
        <v>0</v>
      </c>
      <c r="I386" s="4">
        <f>SUMIF('Simpanan Sukarela Berjangka'!B:B,'All Simpanan '!C:C,'Simpanan Sukarela Berjangka'!K:K)</f>
        <v>0</v>
      </c>
      <c r="J386" s="4">
        <f t="shared" si="5"/>
        <v>0</v>
      </c>
      <c r="K386" s="35" t="s">
        <v>1579</v>
      </c>
    </row>
    <row r="387" spans="1:11" ht="15.5" x14ac:dyDescent="0.35">
      <c r="A387" s="5">
        <v>385</v>
      </c>
      <c r="B387" s="6" t="s">
        <v>860</v>
      </c>
      <c r="C387" s="7" t="s">
        <v>861</v>
      </c>
      <c r="D387" s="8" t="s">
        <v>77</v>
      </c>
      <c r="E387" s="8">
        <f>SUMIF('Simpanan Wajib'!C:C,'All Simpanan '!C:C,'Simpanan Wajib'!E:E)</f>
        <v>0</v>
      </c>
      <c r="F387" s="4">
        <f>SUMIF('Simpanan Pokok'!C:C,'All Simpanan '!C:C,'Simpanan Pokok'!E:E)</f>
        <v>0</v>
      </c>
      <c r="G387" s="4">
        <f>SUMIF('Simpanan Khusus'!C:C,'All Simpanan '!C:C,'Simpanan Khusus'!E:E)</f>
        <v>0</v>
      </c>
      <c r="H387" s="4">
        <f>SUMIF('Simpanan Sukarela'!C:C,'All Simpanan '!C:C,'Simpanan Sukarela'!E:E)</f>
        <v>0</v>
      </c>
      <c r="I387" s="4">
        <f>SUMIF('Simpanan Sukarela Berjangka'!B:B,'All Simpanan '!C:C,'Simpanan Sukarela Berjangka'!K:K)</f>
        <v>0</v>
      </c>
      <c r="J387" s="4">
        <f t="shared" si="5"/>
        <v>0</v>
      </c>
      <c r="K387" s="35" t="s">
        <v>1579</v>
      </c>
    </row>
    <row r="388" spans="1:11" ht="15.5" x14ac:dyDescent="0.35">
      <c r="A388" s="5">
        <v>386</v>
      </c>
      <c r="B388" s="6" t="s">
        <v>862</v>
      </c>
      <c r="C388" s="7" t="s">
        <v>863</v>
      </c>
      <c r="D388" s="8" t="s">
        <v>25</v>
      </c>
      <c r="E388" s="8">
        <f>SUMIF('Simpanan Wajib'!C:C,'All Simpanan '!C:C,'Simpanan Wajib'!E:E)</f>
        <v>32270858</v>
      </c>
      <c r="F388" s="4">
        <f>SUMIF('Simpanan Pokok'!C:C,'All Simpanan '!C:C,'Simpanan Pokok'!E:E)</f>
        <v>5000</v>
      </c>
      <c r="G388" s="4">
        <f>SUMIF('Simpanan Khusus'!C:C,'All Simpanan '!C:C,'Simpanan Khusus'!E:E)</f>
        <v>300000</v>
      </c>
      <c r="H388" s="4">
        <f>SUMIF('Simpanan Sukarela'!C:C,'All Simpanan '!C:C,'Simpanan Sukarela'!E:E)</f>
        <v>2976770.7214895063</v>
      </c>
      <c r="I388" s="4">
        <f>SUMIF('Simpanan Sukarela Berjangka'!B:B,'All Simpanan '!C:C,'Simpanan Sukarela Berjangka'!K:K)</f>
        <v>0</v>
      </c>
      <c r="J388" s="4">
        <f t="shared" ref="J388:J451" si="6">SUM(E388:I388)</f>
        <v>35552628.721489504</v>
      </c>
      <c r="K388" s="35" t="s">
        <v>1579</v>
      </c>
    </row>
    <row r="389" spans="1:11" ht="15.5" x14ac:dyDescent="0.35">
      <c r="A389" s="5">
        <v>387</v>
      </c>
      <c r="B389" s="6" t="s">
        <v>864</v>
      </c>
      <c r="C389" s="7" t="s">
        <v>865</v>
      </c>
      <c r="D389" s="8" t="s">
        <v>49</v>
      </c>
      <c r="E389" s="8">
        <f>SUMIF('Simpanan Wajib'!C:C,'All Simpanan '!C:C,'Simpanan Wajib'!E:E)</f>
        <v>395000</v>
      </c>
      <c r="F389" s="4">
        <f>SUMIF('Simpanan Pokok'!C:C,'All Simpanan '!C:C,'Simpanan Pokok'!E:E)</f>
        <v>5000</v>
      </c>
      <c r="G389" s="4">
        <f>SUMIF('Simpanan Khusus'!C:C,'All Simpanan '!C:C,'Simpanan Khusus'!E:E)</f>
        <v>0</v>
      </c>
      <c r="H389" s="4">
        <f>SUMIF('Simpanan Sukarela'!C:C,'All Simpanan '!C:C,'Simpanan Sukarela'!E:E)</f>
        <v>662041.08690312982</v>
      </c>
      <c r="I389" s="4">
        <f>SUMIF('Simpanan Sukarela Berjangka'!B:B,'All Simpanan '!C:C,'Simpanan Sukarela Berjangka'!K:K)</f>
        <v>0</v>
      </c>
      <c r="J389" s="4">
        <f t="shared" si="6"/>
        <v>1062041.0869031297</v>
      </c>
      <c r="K389" s="35" t="s">
        <v>1578</v>
      </c>
    </row>
    <row r="390" spans="1:11" ht="15.5" x14ac:dyDescent="0.35">
      <c r="A390" s="5">
        <v>388</v>
      </c>
      <c r="B390" s="6" t="s">
        <v>866</v>
      </c>
      <c r="C390" s="7" t="s">
        <v>867</v>
      </c>
      <c r="D390" s="8" t="s">
        <v>367</v>
      </c>
      <c r="E390" s="8">
        <f>SUMIF('Simpanan Wajib'!C:C,'All Simpanan '!C:C,'Simpanan Wajib'!E:E)</f>
        <v>0</v>
      </c>
      <c r="F390" s="4">
        <f>SUMIF('Simpanan Pokok'!C:C,'All Simpanan '!C:C,'Simpanan Pokok'!E:E)</f>
        <v>0</v>
      </c>
      <c r="G390" s="4">
        <f>SUMIF('Simpanan Khusus'!C:C,'All Simpanan '!C:C,'Simpanan Khusus'!E:E)</f>
        <v>0</v>
      </c>
      <c r="H390" s="4">
        <f>SUMIF('Simpanan Sukarela'!C:C,'All Simpanan '!C:C,'Simpanan Sukarela'!E:E)</f>
        <v>0</v>
      </c>
      <c r="I390" s="4">
        <f>SUMIF('Simpanan Sukarela Berjangka'!B:B,'All Simpanan '!C:C,'Simpanan Sukarela Berjangka'!K:K)</f>
        <v>0</v>
      </c>
      <c r="J390" s="4">
        <f t="shared" si="6"/>
        <v>0</v>
      </c>
      <c r="K390" s="35" t="s">
        <v>1576</v>
      </c>
    </row>
    <row r="391" spans="1:11" ht="15.5" x14ac:dyDescent="0.35">
      <c r="A391" s="5">
        <v>389</v>
      </c>
      <c r="B391" s="6" t="s">
        <v>868</v>
      </c>
      <c r="C391" s="7" t="s">
        <v>869</v>
      </c>
      <c r="D391" s="8" t="s">
        <v>169</v>
      </c>
      <c r="E391" s="8">
        <f>SUMIF('Simpanan Wajib'!C:C,'All Simpanan '!C:C,'Simpanan Wajib'!E:E)</f>
        <v>0</v>
      </c>
      <c r="F391" s="4">
        <f>SUMIF('Simpanan Pokok'!C:C,'All Simpanan '!C:C,'Simpanan Pokok'!E:E)</f>
        <v>0</v>
      </c>
      <c r="G391" s="4">
        <f>SUMIF('Simpanan Khusus'!C:C,'All Simpanan '!C:C,'Simpanan Khusus'!E:E)</f>
        <v>0</v>
      </c>
      <c r="H391" s="4">
        <f>SUMIF('Simpanan Sukarela'!C:C,'All Simpanan '!C:C,'Simpanan Sukarela'!E:E)</f>
        <v>52730.846195780148</v>
      </c>
      <c r="I391" s="4">
        <f>SUMIF('Simpanan Sukarela Berjangka'!B:B,'All Simpanan '!C:C,'Simpanan Sukarela Berjangka'!K:K)</f>
        <v>0</v>
      </c>
      <c r="J391" s="4">
        <f t="shared" si="6"/>
        <v>52730.846195780148</v>
      </c>
      <c r="K391" s="35" t="s">
        <v>1578</v>
      </c>
    </row>
    <row r="392" spans="1:11" ht="15.5" x14ac:dyDescent="0.35">
      <c r="A392" s="5">
        <v>390</v>
      </c>
      <c r="B392" s="6" t="s">
        <v>870</v>
      </c>
      <c r="C392" s="7" t="s">
        <v>871</v>
      </c>
      <c r="D392" s="8" t="s">
        <v>80</v>
      </c>
      <c r="E392" s="8">
        <f>SUMIF('Simpanan Wajib'!C:C,'All Simpanan '!C:C,'Simpanan Wajib'!E:E)</f>
        <v>0</v>
      </c>
      <c r="F392" s="4">
        <f>SUMIF('Simpanan Pokok'!C:C,'All Simpanan '!C:C,'Simpanan Pokok'!E:E)</f>
        <v>0</v>
      </c>
      <c r="G392" s="4">
        <f>SUMIF('Simpanan Khusus'!C:C,'All Simpanan '!C:C,'Simpanan Khusus'!E:E)</f>
        <v>0</v>
      </c>
      <c r="H392" s="4">
        <f>SUMIF('Simpanan Sukarela'!C:C,'All Simpanan '!C:C,'Simpanan Sukarela'!E:E)</f>
        <v>0</v>
      </c>
      <c r="I392" s="4">
        <f>SUMIF('Simpanan Sukarela Berjangka'!B:B,'All Simpanan '!C:C,'Simpanan Sukarela Berjangka'!K:K)</f>
        <v>0</v>
      </c>
      <c r="J392" s="4">
        <f t="shared" si="6"/>
        <v>0</v>
      </c>
      <c r="K392" s="35" t="s">
        <v>1576</v>
      </c>
    </row>
    <row r="393" spans="1:11" ht="15.5" x14ac:dyDescent="0.35">
      <c r="A393" s="5">
        <v>391</v>
      </c>
      <c r="B393" s="6" t="s">
        <v>872</v>
      </c>
      <c r="C393" s="7" t="s">
        <v>873</v>
      </c>
      <c r="D393" s="8" t="s">
        <v>354</v>
      </c>
      <c r="E393" s="8">
        <f>SUMIF('Simpanan Wajib'!C:C,'All Simpanan '!C:C,'Simpanan Wajib'!E:E)</f>
        <v>3370000</v>
      </c>
      <c r="F393" s="4">
        <f>SUMIF('Simpanan Pokok'!C:C,'All Simpanan '!C:C,'Simpanan Pokok'!E:E)</f>
        <v>5000</v>
      </c>
      <c r="G393" s="4">
        <f>SUMIF('Simpanan Khusus'!C:C,'All Simpanan '!C:C,'Simpanan Khusus'!E:E)</f>
        <v>0</v>
      </c>
      <c r="H393" s="4">
        <f>SUMIF('Simpanan Sukarela'!C:C,'All Simpanan '!C:C,'Simpanan Sukarela'!E:E)</f>
        <v>-49690.169829299557</v>
      </c>
      <c r="I393" s="4">
        <f>SUMIF('Simpanan Sukarela Berjangka'!B:B,'All Simpanan '!C:C,'Simpanan Sukarela Berjangka'!K:K)</f>
        <v>0</v>
      </c>
      <c r="J393" s="4">
        <f t="shared" si="6"/>
        <v>3325309.8301707003</v>
      </c>
      <c r="K393" s="35" t="s">
        <v>1578</v>
      </c>
    </row>
    <row r="394" spans="1:11" ht="15.5" x14ac:dyDescent="0.35">
      <c r="A394" s="5">
        <v>392</v>
      </c>
      <c r="B394" s="6" t="s">
        <v>874</v>
      </c>
      <c r="C394" s="7" t="s">
        <v>875</v>
      </c>
      <c r="D394" s="8" t="s">
        <v>231</v>
      </c>
      <c r="E394" s="8">
        <f>SUMIF('Simpanan Wajib'!C:C,'All Simpanan '!C:C,'Simpanan Wajib'!E:E)</f>
        <v>0</v>
      </c>
      <c r="F394" s="4">
        <f>SUMIF('Simpanan Pokok'!C:C,'All Simpanan '!C:C,'Simpanan Pokok'!E:E)</f>
        <v>0</v>
      </c>
      <c r="G394" s="4">
        <f>SUMIF('Simpanan Khusus'!C:C,'All Simpanan '!C:C,'Simpanan Khusus'!E:E)</f>
        <v>200000</v>
      </c>
      <c r="H394" s="4">
        <f>SUMIF('Simpanan Sukarela'!C:C,'All Simpanan '!C:C,'Simpanan Sukarela'!E:E)</f>
        <v>43552.820287168637</v>
      </c>
      <c r="I394" s="4">
        <f>SUMIF('Simpanan Sukarela Berjangka'!B:B,'All Simpanan '!C:C,'Simpanan Sukarela Berjangka'!K:K)</f>
        <v>0</v>
      </c>
      <c r="J394" s="4">
        <f t="shared" si="6"/>
        <v>243552.82028716864</v>
      </c>
      <c r="K394" s="35" t="s">
        <v>1578</v>
      </c>
    </row>
    <row r="395" spans="1:11" ht="15.5" x14ac:dyDescent="0.35">
      <c r="A395" s="5">
        <v>393</v>
      </c>
      <c r="B395" s="6" t="s">
        <v>876</v>
      </c>
      <c r="C395" s="7" t="s">
        <v>877</v>
      </c>
      <c r="D395" s="8" t="s">
        <v>65</v>
      </c>
      <c r="E395" s="8">
        <f>SUMIF('Simpanan Wajib'!C:C,'All Simpanan '!C:C,'Simpanan Wajib'!E:E)</f>
        <v>0</v>
      </c>
      <c r="F395" s="4">
        <f>SUMIF('Simpanan Pokok'!C:C,'All Simpanan '!C:C,'Simpanan Pokok'!E:E)</f>
        <v>5000</v>
      </c>
      <c r="G395" s="4">
        <f>SUMIF('Simpanan Khusus'!C:C,'All Simpanan '!C:C,'Simpanan Khusus'!E:E)</f>
        <v>0</v>
      </c>
      <c r="H395" s="4">
        <f>SUMIF('Simpanan Sukarela'!C:C,'All Simpanan '!C:C,'Simpanan Sukarela'!E:E)</f>
        <v>0</v>
      </c>
      <c r="I395" s="4">
        <f>SUMIF('Simpanan Sukarela Berjangka'!B:B,'All Simpanan '!C:C,'Simpanan Sukarela Berjangka'!K:K)</f>
        <v>0</v>
      </c>
      <c r="J395" s="4">
        <f t="shared" si="6"/>
        <v>5000</v>
      </c>
      <c r="K395" s="35" t="s">
        <v>1576</v>
      </c>
    </row>
    <row r="396" spans="1:11" ht="15.5" x14ac:dyDescent="0.35">
      <c r="A396" s="5">
        <v>394</v>
      </c>
      <c r="B396" s="6" t="s">
        <v>878</v>
      </c>
      <c r="C396" s="7" t="s">
        <v>879</v>
      </c>
      <c r="D396" s="8" t="s">
        <v>95</v>
      </c>
      <c r="E396" s="8">
        <f>SUMIF('Simpanan Wajib'!C:C,'All Simpanan '!C:C,'Simpanan Wajib'!E:E)</f>
        <v>0</v>
      </c>
      <c r="F396" s="4">
        <f>SUMIF('Simpanan Pokok'!C:C,'All Simpanan '!C:C,'Simpanan Pokok'!E:E)</f>
        <v>0</v>
      </c>
      <c r="G396" s="4">
        <f>SUMIF('Simpanan Khusus'!C:C,'All Simpanan '!C:C,'Simpanan Khusus'!E:E)</f>
        <v>0</v>
      </c>
      <c r="H396" s="4">
        <f>SUMIF('Simpanan Sukarela'!C:C,'All Simpanan '!C:C,'Simpanan Sukarela'!E:E)</f>
        <v>0</v>
      </c>
      <c r="I396" s="4">
        <f>SUMIF('Simpanan Sukarela Berjangka'!B:B,'All Simpanan '!C:C,'Simpanan Sukarela Berjangka'!K:K)</f>
        <v>0</v>
      </c>
      <c r="J396" s="4">
        <f t="shared" si="6"/>
        <v>0</v>
      </c>
      <c r="K396" s="35" t="s">
        <v>1579</v>
      </c>
    </row>
    <row r="397" spans="1:11" ht="15.5" x14ac:dyDescent="0.35">
      <c r="A397" s="5">
        <v>395</v>
      </c>
      <c r="B397" s="6" t="s">
        <v>880</v>
      </c>
      <c r="C397" s="7" t="s">
        <v>881</v>
      </c>
      <c r="D397" s="8" t="s">
        <v>123</v>
      </c>
      <c r="E397" s="8">
        <f>SUMIF('Simpanan Wajib'!C:C,'All Simpanan '!C:C,'Simpanan Wajib'!E:E)</f>
        <v>0</v>
      </c>
      <c r="F397" s="4">
        <f>SUMIF('Simpanan Pokok'!C:C,'All Simpanan '!C:C,'Simpanan Pokok'!E:E)</f>
        <v>0</v>
      </c>
      <c r="G397" s="4">
        <f>SUMIF('Simpanan Khusus'!C:C,'All Simpanan '!C:C,'Simpanan Khusus'!E:E)</f>
        <v>0</v>
      </c>
      <c r="H397" s="4">
        <f>SUMIF('Simpanan Sukarela'!C:C,'All Simpanan '!C:C,'Simpanan Sukarela'!E:E)</f>
        <v>0</v>
      </c>
      <c r="I397" s="4">
        <f>SUMIF('Simpanan Sukarela Berjangka'!B:B,'All Simpanan '!C:C,'Simpanan Sukarela Berjangka'!K:K)</f>
        <v>0</v>
      </c>
      <c r="J397" s="4">
        <f t="shared" si="6"/>
        <v>0</v>
      </c>
      <c r="K397" s="35" t="s">
        <v>1579</v>
      </c>
    </row>
    <row r="398" spans="1:11" ht="15.5" x14ac:dyDescent="0.35">
      <c r="A398" s="5">
        <v>396</v>
      </c>
      <c r="B398" s="6" t="s">
        <v>882</v>
      </c>
      <c r="C398" s="7" t="s">
        <v>883</v>
      </c>
      <c r="D398" s="8" t="s">
        <v>215</v>
      </c>
      <c r="E398" s="8">
        <f>SUMIF('Simpanan Wajib'!C:C,'All Simpanan '!C:C,'Simpanan Wajib'!E:E)</f>
        <v>0</v>
      </c>
      <c r="F398" s="4">
        <f>SUMIF('Simpanan Pokok'!C:C,'All Simpanan '!C:C,'Simpanan Pokok'!E:E)</f>
        <v>0</v>
      </c>
      <c r="G398" s="4">
        <f>SUMIF('Simpanan Khusus'!C:C,'All Simpanan '!C:C,'Simpanan Khusus'!E:E)</f>
        <v>0</v>
      </c>
      <c r="H398" s="4">
        <f>SUMIF('Simpanan Sukarela'!C:C,'All Simpanan '!C:C,'Simpanan Sukarela'!E:E)</f>
        <v>0</v>
      </c>
      <c r="I398" s="4">
        <f>SUMIF('Simpanan Sukarela Berjangka'!B:B,'All Simpanan '!C:C,'Simpanan Sukarela Berjangka'!K:K)</f>
        <v>0</v>
      </c>
      <c r="J398" s="4">
        <f t="shared" si="6"/>
        <v>0</v>
      </c>
      <c r="K398" s="35" t="s">
        <v>1579</v>
      </c>
    </row>
    <row r="399" spans="1:11" ht="15.5" x14ac:dyDescent="0.35">
      <c r="A399" s="5">
        <v>397</v>
      </c>
      <c r="B399" s="6" t="s">
        <v>884</v>
      </c>
      <c r="C399" s="7" t="s">
        <v>885</v>
      </c>
      <c r="D399" s="8" t="s">
        <v>123</v>
      </c>
      <c r="E399" s="8">
        <f>SUMIF('Simpanan Wajib'!C:C,'All Simpanan '!C:C,'Simpanan Wajib'!E:E)</f>
        <v>2390000</v>
      </c>
      <c r="F399" s="4">
        <f>SUMIF('Simpanan Pokok'!C:C,'All Simpanan '!C:C,'Simpanan Pokok'!E:E)</f>
        <v>5000</v>
      </c>
      <c r="G399" s="4">
        <f>SUMIF('Simpanan Khusus'!C:C,'All Simpanan '!C:C,'Simpanan Khusus'!E:E)</f>
        <v>0</v>
      </c>
      <c r="H399" s="4">
        <f>SUMIF('Simpanan Sukarela'!C:C,'All Simpanan '!C:C,'Simpanan Sukarela'!E:E)</f>
        <v>1477524.9917339797</v>
      </c>
      <c r="I399" s="4">
        <f>SUMIF('Simpanan Sukarela Berjangka'!B:B,'All Simpanan '!C:C,'Simpanan Sukarela Berjangka'!K:K)</f>
        <v>0</v>
      </c>
      <c r="J399" s="4">
        <f t="shared" si="6"/>
        <v>3872524.9917339794</v>
      </c>
      <c r="K399" s="35" t="s">
        <v>1578</v>
      </c>
    </row>
    <row r="400" spans="1:11" ht="15.5" x14ac:dyDescent="0.35">
      <c r="A400" s="5">
        <v>398</v>
      </c>
      <c r="B400" s="6" t="s">
        <v>886</v>
      </c>
      <c r="C400" s="7" t="s">
        <v>35</v>
      </c>
      <c r="D400" s="8" t="s">
        <v>318</v>
      </c>
      <c r="E400" s="8">
        <f>SUMIF('Simpanan Wajib'!C:C,'All Simpanan '!C:C,'Simpanan Wajib'!E:E)</f>
        <v>20250000</v>
      </c>
      <c r="F400" s="4">
        <f>SUMIF('Simpanan Pokok'!C:C,'All Simpanan '!C:C,'Simpanan Pokok'!E:E)</f>
        <v>5000</v>
      </c>
      <c r="G400" s="4">
        <f>SUMIF('Simpanan Khusus'!C:C,'All Simpanan '!C:C,'Simpanan Khusus'!E:E)</f>
        <v>0</v>
      </c>
      <c r="H400" s="4">
        <f>SUMIF('Simpanan Sukarela'!C:C,'All Simpanan '!C:C,'Simpanan Sukarela'!E:E)</f>
        <v>1753114.4461274878</v>
      </c>
      <c r="I400" s="4">
        <f>SUMIF('Simpanan Sukarela Berjangka'!B:B,'All Simpanan '!C:C,'Simpanan Sukarela Berjangka'!K:K)</f>
        <v>26462500</v>
      </c>
      <c r="J400" s="4">
        <f t="shared" si="6"/>
        <v>48470614.446127489</v>
      </c>
      <c r="K400" s="35" t="s">
        <v>1579</v>
      </c>
    </row>
    <row r="401" spans="1:11" ht="15.5" x14ac:dyDescent="0.35">
      <c r="A401" s="5">
        <v>399</v>
      </c>
      <c r="B401" s="6" t="s">
        <v>887</v>
      </c>
      <c r="C401" s="7" t="s">
        <v>888</v>
      </c>
      <c r="D401" s="8" t="s">
        <v>551</v>
      </c>
      <c r="E401" s="8">
        <f>SUMIF('Simpanan Wajib'!C:C,'All Simpanan '!C:C,'Simpanan Wajib'!E:E)</f>
        <v>0</v>
      </c>
      <c r="F401" s="4">
        <f>SUMIF('Simpanan Pokok'!C:C,'All Simpanan '!C:C,'Simpanan Pokok'!E:E)</f>
        <v>0</v>
      </c>
      <c r="G401" s="4">
        <f>SUMIF('Simpanan Khusus'!C:C,'All Simpanan '!C:C,'Simpanan Khusus'!E:E)</f>
        <v>0</v>
      </c>
      <c r="H401" s="4">
        <f>SUMIF('Simpanan Sukarela'!C:C,'All Simpanan '!C:C,'Simpanan Sukarela'!E:E)</f>
        <v>113023.38492858806</v>
      </c>
      <c r="I401" s="4">
        <f>SUMIF('Simpanan Sukarela Berjangka'!B:B,'All Simpanan '!C:C,'Simpanan Sukarela Berjangka'!K:K)</f>
        <v>0</v>
      </c>
      <c r="J401" s="4">
        <f t="shared" si="6"/>
        <v>113023.38492858806</v>
      </c>
      <c r="K401" s="35" t="s">
        <v>1578</v>
      </c>
    </row>
    <row r="402" spans="1:11" ht="15.5" x14ac:dyDescent="0.35">
      <c r="A402" s="5">
        <v>400</v>
      </c>
      <c r="B402" s="6" t="s">
        <v>889</v>
      </c>
      <c r="C402" s="7" t="s">
        <v>890</v>
      </c>
      <c r="D402" s="8" t="s">
        <v>95</v>
      </c>
      <c r="E402" s="8">
        <f>SUMIF('Simpanan Wajib'!C:C,'All Simpanan '!C:C,'Simpanan Wajib'!E:E)</f>
        <v>0</v>
      </c>
      <c r="F402" s="4">
        <f>SUMIF('Simpanan Pokok'!C:C,'All Simpanan '!C:C,'Simpanan Pokok'!E:E)</f>
        <v>0</v>
      </c>
      <c r="G402" s="4">
        <f>SUMIF('Simpanan Khusus'!C:C,'All Simpanan '!C:C,'Simpanan Khusus'!E:E)</f>
        <v>0</v>
      </c>
      <c r="H402" s="4">
        <f>SUMIF('Simpanan Sukarela'!C:C,'All Simpanan '!C:C,'Simpanan Sukarela'!E:E)</f>
        <v>0</v>
      </c>
      <c r="I402" s="4">
        <f>SUMIF('Simpanan Sukarela Berjangka'!B:B,'All Simpanan '!C:C,'Simpanan Sukarela Berjangka'!K:K)</f>
        <v>0</v>
      </c>
      <c r="J402" s="4">
        <f t="shared" si="6"/>
        <v>0</v>
      </c>
      <c r="K402" s="35" t="s">
        <v>1578</v>
      </c>
    </row>
    <row r="403" spans="1:11" ht="15.5" x14ac:dyDescent="0.35">
      <c r="A403" s="5">
        <v>401</v>
      </c>
      <c r="B403" s="6" t="s">
        <v>891</v>
      </c>
      <c r="C403" s="7" t="s">
        <v>892</v>
      </c>
      <c r="D403" s="8" t="s">
        <v>95</v>
      </c>
      <c r="E403" s="8">
        <f>SUMIF('Simpanan Wajib'!C:C,'All Simpanan '!C:C,'Simpanan Wajib'!E:E)</f>
        <v>0</v>
      </c>
      <c r="F403" s="4">
        <f>SUMIF('Simpanan Pokok'!C:C,'All Simpanan '!C:C,'Simpanan Pokok'!E:E)</f>
        <v>0</v>
      </c>
      <c r="G403" s="4">
        <f>SUMIF('Simpanan Khusus'!C:C,'All Simpanan '!C:C,'Simpanan Khusus'!E:E)</f>
        <v>0</v>
      </c>
      <c r="H403" s="4">
        <f>SUMIF('Simpanan Sukarela'!C:C,'All Simpanan '!C:C,'Simpanan Sukarela'!E:E)</f>
        <v>0</v>
      </c>
      <c r="I403" s="4">
        <f>SUMIF('Simpanan Sukarela Berjangka'!B:B,'All Simpanan '!C:C,'Simpanan Sukarela Berjangka'!K:K)</f>
        <v>0</v>
      </c>
      <c r="J403" s="4">
        <f t="shared" si="6"/>
        <v>0</v>
      </c>
      <c r="K403" s="35" t="s">
        <v>1579</v>
      </c>
    </row>
    <row r="404" spans="1:11" ht="15.5" x14ac:dyDescent="0.35">
      <c r="A404" s="5">
        <v>402</v>
      </c>
      <c r="B404" s="6" t="s">
        <v>893</v>
      </c>
      <c r="C404" s="18" t="s">
        <v>894</v>
      </c>
      <c r="D404" s="8" t="s">
        <v>19</v>
      </c>
      <c r="E404" s="8">
        <f>SUMIF('Simpanan Wajib'!C:C,'All Simpanan '!C:C,'Simpanan Wajib'!E:E)</f>
        <v>0</v>
      </c>
      <c r="F404" s="4">
        <f>SUMIF('Simpanan Pokok'!C:C,'All Simpanan '!C:C,'Simpanan Pokok'!E:E)</f>
        <v>0</v>
      </c>
      <c r="G404" s="4">
        <f>SUMIF('Simpanan Khusus'!C:C,'All Simpanan '!C:C,'Simpanan Khusus'!E:E)</f>
        <v>0</v>
      </c>
      <c r="H404" s="4">
        <f>SUMIF('Simpanan Sukarela'!C:C,'All Simpanan '!C:C,'Simpanan Sukarela'!E:E)</f>
        <v>-0.5206323426682502</v>
      </c>
      <c r="I404" s="4">
        <f>SUMIF('Simpanan Sukarela Berjangka'!B:B,'All Simpanan '!C:C,'Simpanan Sukarela Berjangka'!K:K)</f>
        <v>0</v>
      </c>
      <c r="J404" s="4">
        <f t="shared" si="6"/>
        <v>-0.5206323426682502</v>
      </c>
      <c r="K404" s="35" t="s">
        <v>1576</v>
      </c>
    </row>
    <row r="405" spans="1:11" ht="15.5" x14ac:dyDescent="0.35">
      <c r="A405" s="5">
        <v>403</v>
      </c>
      <c r="B405" s="6" t="s">
        <v>895</v>
      </c>
      <c r="C405" s="7" t="s">
        <v>896</v>
      </c>
      <c r="D405" s="8" t="s">
        <v>253</v>
      </c>
      <c r="E405" s="8">
        <f>SUMIF('Simpanan Wajib'!C:C,'All Simpanan '!C:C,'Simpanan Wajib'!E:E)</f>
        <v>0</v>
      </c>
      <c r="F405" s="4">
        <f>SUMIF('Simpanan Pokok'!C:C,'All Simpanan '!C:C,'Simpanan Pokok'!E:E)</f>
        <v>0</v>
      </c>
      <c r="G405" s="4">
        <f>SUMIF('Simpanan Khusus'!C:C,'All Simpanan '!C:C,'Simpanan Khusus'!E:E)</f>
        <v>0</v>
      </c>
      <c r="H405" s="4">
        <f>SUMIF('Simpanan Sukarela'!C:C,'All Simpanan '!C:C,'Simpanan Sukarela'!E:E)</f>
        <v>0</v>
      </c>
      <c r="I405" s="4">
        <f>SUMIF('Simpanan Sukarela Berjangka'!B:B,'All Simpanan '!C:C,'Simpanan Sukarela Berjangka'!K:K)</f>
        <v>0</v>
      </c>
      <c r="J405" s="4">
        <f t="shared" si="6"/>
        <v>0</v>
      </c>
      <c r="K405" s="35" t="s">
        <v>1578</v>
      </c>
    </row>
    <row r="406" spans="1:11" ht="15.5" x14ac:dyDescent="0.35">
      <c r="A406" s="5">
        <v>404</v>
      </c>
      <c r="B406" s="6" t="s">
        <v>897</v>
      </c>
      <c r="C406" s="7" t="s">
        <v>898</v>
      </c>
      <c r="D406" s="8"/>
      <c r="E406" s="8">
        <f>SUMIF('Simpanan Wajib'!C:C,'All Simpanan '!C:C,'Simpanan Wajib'!E:E)</f>
        <v>250000</v>
      </c>
      <c r="F406" s="4">
        <f>SUMIF('Simpanan Pokok'!C:C,'All Simpanan '!C:C,'Simpanan Pokok'!E:E)</f>
        <v>0</v>
      </c>
      <c r="G406" s="4">
        <f>SUMIF('Simpanan Khusus'!C:C,'All Simpanan '!C:C,'Simpanan Khusus'!E:E)</f>
        <v>0</v>
      </c>
      <c r="H406" s="4">
        <f>SUMIF('Simpanan Sukarela'!C:C,'All Simpanan '!C:C,'Simpanan Sukarela'!E:E)</f>
        <v>10258</v>
      </c>
      <c r="I406" s="4">
        <f>SUMIF('Simpanan Sukarela Berjangka'!B:B,'All Simpanan '!C:C,'Simpanan Sukarela Berjangka'!K:K)</f>
        <v>0</v>
      </c>
      <c r="J406" s="4">
        <f t="shared" si="6"/>
        <v>260258</v>
      </c>
      <c r="K406" s="35" t="s">
        <v>1578</v>
      </c>
    </row>
    <row r="407" spans="1:11" ht="15.5" x14ac:dyDescent="0.35">
      <c r="A407" s="5">
        <v>405</v>
      </c>
      <c r="B407" s="6" t="s">
        <v>899</v>
      </c>
      <c r="C407" s="7" t="s">
        <v>900</v>
      </c>
      <c r="D407" s="8" t="s">
        <v>77</v>
      </c>
      <c r="E407" s="8">
        <f>SUMIF('Simpanan Wajib'!C:C,'All Simpanan '!C:C,'Simpanan Wajib'!E:E)</f>
        <v>0</v>
      </c>
      <c r="F407" s="4">
        <f>SUMIF('Simpanan Pokok'!C:C,'All Simpanan '!C:C,'Simpanan Pokok'!E:E)</f>
        <v>0</v>
      </c>
      <c r="G407" s="4">
        <f>SUMIF('Simpanan Khusus'!C:C,'All Simpanan '!C:C,'Simpanan Khusus'!E:E)</f>
        <v>0</v>
      </c>
      <c r="H407" s="4">
        <f>SUMIF('Simpanan Sukarela'!C:C,'All Simpanan '!C:C,'Simpanan Sukarela'!E:E)</f>
        <v>0</v>
      </c>
      <c r="I407" s="4">
        <f>SUMIF('Simpanan Sukarela Berjangka'!B:B,'All Simpanan '!C:C,'Simpanan Sukarela Berjangka'!K:K)</f>
        <v>0</v>
      </c>
      <c r="J407" s="4">
        <f t="shared" si="6"/>
        <v>0</v>
      </c>
      <c r="K407" s="35" t="s">
        <v>1578</v>
      </c>
    </row>
    <row r="408" spans="1:11" ht="15.5" x14ac:dyDescent="0.35">
      <c r="A408" s="5">
        <v>406</v>
      </c>
      <c r="B408" s="6" t="s">
        <v>901</v>
      </c>
      <c r="C408" s="7" t="s">
        <v>902</v>
      </c>
      <c r="D408" s="8" t="s">
        <v>41</v>
      </c>
      <c r="E408" s="8">
        <f>SUMIF('Simpanan Wajib'!C:C,'All Simpanan '!C:C,'Simpanan Wajib'!E:E)</f>
        <v>0</v>
      </c>
      <c r="F408" s="4">
        <f>SUMIF('Simpanan Pokok'!C:C,'All Simpanan '!C:C,'Simpanan Pokok'!E:E)</f>
        <v>0</v>
      </c>
      <c r="G408" s="4">
        <f>SUMIF('Simpanan Khusus'!C:C,'All Simpanan '!C:C,'Simpanan Khusus'!E:E)</f>
        <v>0</v>
      </c>
      <c r="H408" s="4">
        <f>SUMIF('Simpanan Sukarela'!C:C,'All Simpanan '!C:C,'Simpanan Sukarela'!E:E)</f>
        <v>0</v>
      </c>
      <c r="I408" s="4">
        <f>SUMIF('Simpanan Sukarela Berjangka'!B:B,'All Simpanan '!C:C,'Simpanan Sukarela Berjangka'!K:K)</f>
        <v>0</v>
      </c>
      <c r="J408" s="4">
        <f t="shared" si="6"/>
        <v>0</v>
      </c>
      <c r="K408" s="35" t="s">
        <v>1576</v>
      </c>
    </row>
    <row r="409" spans="1:11" ht="15.5" x14ac:dyDescent="0.35">
      <c r="A409" s="5">
        <v>407</v>
      </c>
      <c r="B409" s="6" t="s">
        <v>903</v>
      </c>
      <c r="C409" s="7" t="s">
        <v>904</v>
      </c>
      <c r="D409" s="8" t="s">
        <v>905</v>
      </c>
      <c r="E409" s="8">
        <f>SUMIF('Simpanan Wajib'!C:C,'All Simpanan '!C:C,'Simpanan Wajib'!E:E)</f>
        <v>11395000</v>
      </c>
      <c r="F409" s="4">
        <f>SUMIF('Simpanan Pokok'!C:C,'All Simpanan '!C:C,'Simpanan Pokok'!E:E)</f>
        <v>5000</v>
      </c>
      <c r="G409" s="4">
        <f>SUMIF('Simpanan Khusus'!C:C,'All Simpanan '!C:C,'Simpanan Khusus'!E:E)</f>
        <v>0</v>
      </c>
      <c r="H409" s="4">
        <f>SUMIF('Simpanan Sukarela'!C:C,'All Simpanan '!C:C,'Simpanan Sukarela'!E:E)</f>
        <v>2421595.9588894835</v>
      </c>
      <c r="I409" s="4">
        <f>SUMIF('Simpanan Sukarela Berjangka'!B:B,'All Simpanan '!C:C,'Simpanan Sukarela Berjangka'!K:K)</f>
        <v>0</v>
      </c>
      <c r="J409" s="4">
        <f t="shared" si="6"/>
        <v>13821595.958889484</v>
      </c>
      <c r="K409" s="35" t="s">
        <v>1579</v>
      </c>
    </row>
    <row r="410" spans="1:11" ht="15.5" x14ac:dyDescent="0.35">
      <c r="A410" s="5">
        <v>408</v>
      </c>
      <c r="B410" s="6" t="s">
        <v>906</v>
      </c>
      <c r="C410" s="7" t="s">
        <v>907</v>
      </c>
      <c r="D410" s="8" t="s">
        <v>131</v>
      </c>
      <c r="E410" s="8">
        <f>SUMIF('Simpanan Wajib'!C:C,'All Simpanan '!C:C,'Simpanan Wajib'!E:E)</f>
        <v>0</v>
      </c>
      <c r="F410" s="4">
        <f>SUMIF('Simpanan Pokok'!C:C,'All Simpanan '!C:C,'Simpanan Pokok'!E:E)</f>
        <v>0</v>
      </c>
      <c r="G410" s="4">
        <f>SUMIF('Simpanan Khusus'!C:C,'All Simpanan '!C:C,'Simpanan Khusus'!E:E)</f>
        <v>0</v>
      </c>
      <c r="H410" s="4">
        <f>SUMIF('Simpanan Sukarela'!C:C,'All Simpanan '!C:C,'Simpanan Sukarela'!E:E)</f>
        <v>0</v>
      </c>
      <c r="I410" s="4">
        <f>SUMIF('Simpanan Sukarela Berjangka'!B:B,'All Simpanan '!C:C,'Simpanan Sukarela Berjangka'!K:K)</f>
        <v>0</v>
      </c>
      <c r="J410" s="4">
        <f t="shared" si="6"/>
        <v>0</v>
      </c>
      <c r="K410" s="35" t="s">
        <v>1579</v>
      </c>
    </row>
    <row r="411" spans="1:11" ht="15.5" x14ac:dyDescent="0.35">
      <c r="A411" s="5">
        <v>409</v>
      </c>
      <c r="B411" s="6" t="s">
        <v>908</v>
      </c>
      <c r="C411" s="7" t="s">
        <v>909</v>
      </c>
      <c r="D411" s="8" t="s">
        <v>228</v>
      </c>
      <c r="E411" s="8">
        <f>SUMIF('Simpanan Wajib'!C:C,'All Simpanan '!C:C,'Simpanan Wajib'!E:E)</f>
        <v>0</v>
      </c>
      <c r="F411" s="4">
        <f>SUMIF('Simpanan Pokok'!C:C,'All Simpanan '!C:C,'Simpanan Pokok'!E:E)</f>
        <v>0</v>
      </c>
      <c r="G411" s="4">
        <f>SUMIF('Simpanan Khusus'!C:C,'All Simpanan '!C:C,'Simpanan Khusus'!E:E)</f>
        <v>0</v>
      </c>
      <c r="H411" s="4">
        <f>SUMIF('Simpanan Sukarela'!C:C,'All Simpanan '!C:C,'Simpanan Sukarela'!E:E)</f>
        <v>0</v>
      </c>
      <c r="I411" s="4">
        <f>SUMIF('Simpanan Sukarela Berjangka'!B:B,'All Simpanan '!C:C,'Simpanan Sukarela Berjangka'!K:K)</f>
        <v>0</v>
      </c>
      <c r="J411" s="4">
        <f t="shared" si="6"/>
        <v>0</v>
      </c>
      <c r="K411" s="35" t="s">
        <v>1579</v>
      </c>
    </row>
    <row r="412" spans="1:11" ht="15.5" x14ac:dyDescent="0.35">
      <c r="A412" s="5">
        <v>410</v>
      </c>
      <c r="B412" s="6" t="s">
        <v>910</v>
      </c>
      <c r="C412" s="7" t="s">
        <v>911</v>
      </c>
      <c r="D412" s="8" t="s">
        <v>290</v>
      </c>
      <c r="E412" s="8">
        <f>SUMIF('Simpanan Wajib'!C:C,'All Simpanan '!C:C,'Simpanan Wajib'!E:E)</f>
        <v>0</v>
      </c>
      <c r="F412" s="4">
        <f>SUMIF('Simpanan Pokok'!C:C,'All Simpanan '!C:C,'Simpanan Pokok'!E:E)</f>
        <v>0</v>
      </c>
      <c r="G412" s="4">
        <f>SUMIF('Simpanan Khusus'!C:C,'All Simpanan '!C:C,'Simpanan Khusus'!E:E)</f>
        <v>0</v>
      </c>
      <c r="H412" s="4">
        <f>SUMIF('Simpanan Sukarela'!C:C,'All Simpanan '!C:C,'Simpanan Sukarela'!E:E)</f>
        <v>0</v>
      </c>
      <c r="I412" s="4">
        <f>SUMIF('Simpanan Sukarela Berjangka'!B:B,'All Simpanan '!C:C,'Simpanan Sukarela Berjangka'!K:K)</f>
        <v>0</v>
      </c>
      <c r="J412" s="4">
        <f t="shared" si="6"/>
        <v>0</v>
      </c>
      <c r="K412" s="35" t="s">
        <v>1579</v>
      </c>
    </row>
    <row r="413" spans="1:11" ht="15.5" x14ac:dyDescent="0.35">
      <c r="A413" s="5">
        <v>411</v>
      </c>
      <c r="B413" s="6" t="s">
        <v>912</v>
      </c>
      <c r="C413" s="7" t="s">
        <v>913</v>
      </c>
      <c r="D413" s="8" t="s">
        <v>92</v>
      </c>
      <c r="E413" s="8">
        <f>SUMIF('Simpanan Wajib'!C:C,'All Simpanan '!C:C,'Simpanan Wajib'!E:E)</f>
        <v>250000</v>
      </c>
      <c r="F413" s="4">
        <f>SUMIF('Simpanan Pokok'!C:C,'All Simpanan '!C:C,'Simpanan Pokok'!E:E)</f>
        <v>0</v>
      </c>
      <c r="G413" s="4">
        <f>SUMIF('Simpanan Khusus'!C:C,'All Simpanan '!C:C,'Simpanan Khusus'!E:E)</f>
        <v>0</v>
      </c>
      <c r="H413" s="4">
        <f>SUMIF('Simpanan Sukarela'!C:C,'All Simpanan '!C:C,'Simpanan Sukarela'!E:E)</f>
        <v>751324</v>
      </c>
      <c r="I413" s="4">
        <f>SUMIF('Simpanan Sukarela Berjangka'!B:B,'All Simpanan '!C:C,'Simpanan Sukarela Berjangka'!K:K)</f>
        <v>0</v>
      </c>
      <c r="J413" s="4">
        <f t="shared" si="6"/>
        <v>1001324</v>
      </c>
      <c r="K413" s="35" t="s">
        <v>1578</v>
      </c>
    </row>
    <row r="414" spans="1:11" ht="15.5" x14ac:dyDescent="0.35">
      <c r="A414" s="5">
        <v>412</v>
      </c>
      <c r="B414" s="6" t="s">
        <v>914</v>
      </c>
      <c r="C414" s="7" t="s">
        <v>915</v>
      </c>
      <c r="D414" s="8" t="s">
        <v>260</v>
      </c>
      <c r="E414" s="8">
        <f>SUMIF('Simpanan Wajib'!C:C,'All Simpanan '!C:C,'Simpanan Wajib'!E:E)</f>
        <v>0</v>
      </c>
      <c r="F414" s="4">
        <f>SUMIF('Simpanan Pokok'!C:C,'All Simpanan '!C:C,'Simpanan Pokok'!E:E)</f>
        <v>0</v>
      </c>
      <c r="G414" s="4">
        <f>SUMIF('Simpanan Khusus'!C:C,'All Simpanan '!C:C,'Simpanan Khusus'!E:E)</f>
        <v>0</v>
      </c>
      <c r="H414" s="4">
        <f>SUMIF('Simpanan Sukarela'!C:C,'All Simpanan '!C:C,'Simpanan Sukarela'!E:E)</f>
        <v>0</v>
      </c>
      <c r="I414" s="4">
        <f>SUMIF('Simpanan Sukarela Berjangka'!B:B,'All Simpanan '!C:C,'Simpanan Sukarela Berjangka'!K:K)</f>
        <v>0</v>
      </c>
      <c r="J414" s="4">
        <f t="shared" si="6"/>
        <v>0</v>
      </c>
      <c r="K414" s="35" t="s">
        <v>1579</v>
      </c>
    </row>
    <row r="415" spans="1:11" ht="15.5" x14ac:dyDescent="0.35">
      <c r="A415" s="5">
        <v>413</v>
      </c>
      <c r="B415" s="6" t="s">
        <v>916</v>
      </c>
      <c r="C415" s="7" t="s">
        <v>917</v>
      </c>
      <c r="D415" s="8" t="s">
        <v>46</v>
      </c>
      <c r="E415" s="8">
        <f>SUMIF('Simpanan Wajib'!C:C,'All Simpanan '!C:C,'Simpanan Wajib'!E:E)</f>
        <v>1970000</v>
      </c>
      <c r="F415" s="4">
        <f>SUMIF('Simpanan Pokok'!C:C,'All Simpanan '!C:C,'Simpanan Pokok'!E:E)</f>
        <v>5000</v>
      </c>
      <c r="G415" s="4">
        <f>SUMIF('Simpanan Khusus'!C:C,'All Simpanan '!C:C,'Simpanan Khusus'!E:E)</f>
        <v>0</v>
      </c>
      <c r="H415" s="4">
        <f>SUMIF('Simpanan Sukarela'!C:C,'All Simpanan '!C:C,'Simpanan Sukarela'!E:E)</f>
        <v>1237384.1318850974</v>
      </c>
      <c r="I415" s="4">
        <f>SUMIF('Simpanan Sukarela Berjangka'!B:B,'All Simpanan '!C:C,'Simpanan Sukarela Berjangka'!K:K)</f>
        <v>0</v>
      </c>
      <c r="J415" s="4">
        <f t="shared" si="6"/>
        <v>3212384.1318850974</v>
      </c>
      <c r="K415" s="35" t="s">
        <v>1578</v>
      </c>
    </row>
    <row r="416" spans="1:11" ht="15.5" x14ac:dyDescent="0.35">
      <c r="A416" s="5">
        <v>414</v>
      </c>
      <c r="B416" s="6" t="s">
        <v>918</v>
      </c>
      <c r="C416" s="7" t="s">
        <v>919</v>
      </c>
      <c r="D416" s="8" t="s">
        <v>128</v>
      </c>
      <c r="E416" s="8">
        <f>SUMIF('Simpanan Wajib'!C:C,'All Simpanan '!C:C,'Simpanan Wajib'!E:E)</f>
        <v>0</v>
      </c>
      <c r="F416" s="4">
        <f>SUMIF('Simpanan Pokok'!C:C,'All Simpanan '!C:C,'Simpanan Pokok'!E:E)</f>
        <v>0</v>
      </c>
      <c r="G416" s="4">
        <f>SUMIF('Simpanan Khusus'!C:C,'All Simpanan '!C:C,'Simpanan Khusus'!E:E)</f>
        <v>0</v>
      </c>
      <c r="H416" s="4">
        <f>SUMIF('Simpanan Sukarela'!C:C,'All Simpanan '!C:C,'Simpanan Sukarela'!E:E)</f>
        <v>0</v>
      </c>
      <c r="I416" s="4">
        <f>SUMIF('Simpanan Sukarela Berjangka'!B:B,'All Simpanan '!C:C,'Simpanan Sukarela Berjangka'!K:K)</f>
        <v>0</v>
      </c>
      <c r="J416" s="4">
        <f t="shared" si="6"/>
        <v>0</v>
      </c>
      <c r="K416" s="35" t="s">
        <v>1578</v>
      </c>
    </row>
    <row r="417" spans="1:11" ht="15.5" x14ac:dyDescent="0.35">
      <c r="A417" s="5">
        <v>415</v>
      </c>
      <c r="B417" s="6" t="s">
        <v>920</v>
      </c>
      <c r="C417" s="7" t="s">
        <v>921</v>
      </c>
      <c r="D417" s="8" t="s">
        <v>72</v>
      </c>
      <c r="E417" s="8">
        <f>SUMIF('Simpanan Wajib'!C:C,'All Simpanan '!C:C,'Simpanan Wajib'!E:E)</f>
        <v>0</v>
      </c>
      <c r="F417" s="4">
        <f>SUMIF('Simpanan Pokok'!C:C,'All Simpanan '!C:C,'Simpanan Pokok'!E:E)</f>
        <v>0</v>
      </c>
      <c r="G417" s="4">
        <f>SUMIF('Simpanan Khusus'!C:C,'All Simpanan '!C:C,'Simpanan Khusus'!E:E)</f>
        <v>0</v>
      </c>
      <c r="H417" s="4">
        <f>SUMIF('Simpanan Sukarela'!C:C,'All Simpanan '!C:C,'Simpanan Sukarela'!E:E)</f>
        <v>0</v>
      </c>
      <c r="I417" s="4">
        <f>SUMIF('Simpanan Sukarela Berjangka'!B:B,'All Simpanan '!C:C,'Simpanan Sukarela Berjangka'!K:K)</f>
        <v>0</v>
      </c>
      <c r="J417" s="4">
        <f t="shared" si="6"/>
        <v>0</v>
      </c>
      <c r="K417" s="35" t="s">
        <v>1579</v>
      </c>
    </row>
    <row r="418" spans="1:11" ht="15.5" x14ac:dyDescent="0.35">
      <c r="A418" s="5">
        <v>416</v>
      </c>
      <c r="B418" s="6" t="s">
        <v>922</v>
      </c>
      <c r="C418" s="7" t="s">
        <v>923</v>
      </c>
      <c r="D418" s="8" t="s">
        <v>41</v>
      </c>
      <c r="E418" s="8">
        <f>SUMIF('Simpanan Wajib'!C:C,'All Simpanan '!C:C,'Simpanan Wajib'!E:E)</f>
        <v>0</v>
      </c>
      <c r="F418" s="4">
        <f>SUMIF('Simpanan Pokok'!C:C,'All Simpanan '!C:C,'Simpanan Pokok'!E:E)</f>
        <v>0</v>
      </c>
      <c r="G418" s="4">
        <f>SUMIF('Simpanan Khusus'!C:C,'All Simpanan '!C:C,'Simpanan Khusus'!E:E)</f>
        <v>0</v>
      </c>
      <c r="H418" s="4">
        <f>SUMIF('Simpanan Sukarela'!C:C,'All Simpanan '!C:C,'Simpanan Sukarela'!E:E)</f>
        <v>0</v>
      </c>
      <c r="I418" s="4">
        <f>SUMIF('Simpanan Sukarela Berjangka'!B:B,'All Simpanan '!C:C,'Simpanan Sukarela Berjangka'!K:K)</f>
        <v>0</v>
      </c>
      <c r="J418" s="4">
        <f t="shared" si="6"/>
        <v>0</v>
      </c>
      <c r="K418" s="35" t="s">
        <v>1578</v>
      </c>
    </row>
    <row r="419" spans="1:11" ht="15.5" x14ac:dyDescent="0.35">
      <c r="A419" s="5">
        <v>417</v>
      </c>
      <c r="B419" s="6" t="s">
        <v>924</v>
      </c>
      <c r="C419" s="7" t="s">
        <v>925</v>
      </c>
      <c r="D419" s="8" t="s">
        <v>141</v>
      </c>
      <c r="E419" s="8">
        <f>SUMIF('Simpanan Wajib'!C:C,'All Simpanan '!C:C,'Simpanan Wajib'!E:E)</f>
        <v>0</v>
      </c>
      <c r="F419" s="4">
        <f>SUMIF('Simpanan Pokok'!C:C,'All Simpanan '!C:C,'Simpanan Pokok'!E:E)</f>
        <v>0</v>
      </c>
      <c r="G419" s="4">
        <f>SUMIF('Simpanan Khusus'!C:C,'All Simpanan '!C:C,'Simpanan Khusus'!E:E)</f>
        <v>0</v>
      </c>
      <c r="H419" s="4">
        <f>SUMIF('Simpanan Sukarela'!C:C,'All Simpanan '!C:C,'Simpanan Sukarela'!E:E)</f>
        <v>0</v>
      </c>
      <c r="I419" s="4">
        <f>SUMIF('Simpanan Sukarela Berjangka'!B:B,'All Simpanan '!C:C,'Simpanan Sukarela Berjangka'!K:K)</f>
        <v>0</v>
      </c>
      <c r="J419" s="4">
        <f t="shared" si="6"/>
        <v>0</v>
      </c>
      <c r="K419" s="35" t="s">
        <v>1578</v>
      </c>
    </row>
    <row r="420" spans="1:11" ht="15.5" x14ac:dyDescent="0.35">
      <c r="A420" s="5">
        <v>418</v>
      </c>
      <c r="B420" s="6" t="s">
        <v>926</v>
      </c>
      <c r="C420" s="7" t="s">
        <v>927</v>
      </c>
      <c r="D420" s="8" t="s">
        <v>77</v>
      </c>
      <c r="E420" s="8">
        <f>SUMIF('Simpanan Wajib'!C:C,'All Simpanan '!C:C,'Simpanan Wajib'!E:E)</f>
        <v>0</v>
      </c>
      <c r="F420" s="4">
        <f>SUMIF('Simpanan Pokok'!C:C,'All Simpanan '!C:C,'Simpanan Pokok'!E:E)</f>
        <v>0</v>
      </c>
      <c r="G420" s="4">
        <f>SUMIF('Simpanan Khusus'!C:C,'All Simpanan '!C:C,'Simpanan Khusus'!E:E)</f>
        <v>0</v>
      </c>
      <c r="H420" s="4">
        <f>SUMIF('Simpanan Sukarela'!C:C,'All Simpanan '!C:C,'Simpanan Sukarela'!E:E)</f>
        <v>0</v>
      </c>
      <c r="I420" s="4">
        <f>SUMIF('Simpanan Sukarela Berjangka'!B:B,'All Simpanan '!C:C,'Simpanan Sukarela Berjangka'!K:K)</f>
        <v>0</v>
      </c>
      <c r="J420" s="4">
        <f t="shared" si="6"/>
        <v>0</v>
      </c>
      <c r="K420" s="35" t="s">
        <v>1578</v>
      </c>
    </row>
    <row r="421" spans="1:11" ht="15.5" x14ac:dyDescent="0.35">
      <c r="A421" s="5">
        <v>419</v>
      </c>
      <c r="B421" s="6" t="s">
        <v>928</v>
      </c>
      <c r="C421" s="7" t="s">
        <v>929</v>
      </c>
      <c r="D421" s="8"/>
      <c r="E421" s="8">
        <f>SUMIF('Simpanan Wajib'!C:C,'All Simpanan '!C:C,'Simpanan Wajib'!E:E)</f>
        <v>0</v>
      </c>
      <c r="F421" s="4">
        <f>SUMIF('Simpanan Pokok'!C:C,'All Simpanan '!C:C,'Simpanan Pokok'!E:E)</f>
        <v>0</v>
      </c>
      <c r="G421" s="4">
        <f>SUMIF('Simpanan Khusus'!C:C,'All Simpanan '!C:C,'Simpanan Khusus'!E:E)</f>
        <v>0</v>
      </c>
      <c r="H421" s="4">
        <f>SUMIF('Simpanan Sukarela'!C:C,'All Simpanan '!C:C,'Simpanan Sukarela'!E:E)</f>
        <v>50040</v>
      </c>
      <c r="I421" s="4">
        <f>SUMIF('Simpanan Sukarela Berjangka'!B:B,'All Simpanan '!C:C,'Simpanan Sukarela Berjangka'!K:K)</f>
        <v>0</v>
      </c>
      <c r="J421" s="4">
        <f t="shared" si="6"/>
        <v>50040</v>
      </c>
      <c r="K421" s="35" t="s">
        <v>1578</v>
      </c>
    </row>
    <row r="422" spans="1:11" ht="15.5" x14ac:dyDescent="0.35">
      <c r="A422" s="5">
        <v>420</v>
      </c>
      <c r="B422" s="6" t="s">
        <v>930</v>
      </c>
      <c r="C422" s="7" t="s">
        <v>931</v>
      </c>
      <c r="D422" s="8" t="s">
        <v>83</v>
      </c>
      <c r="E422" s="8">
        <f>SUMIF('Simpanan Wajib'!C:C,'All Simpanan '!C:C,'Simpanan Wajib'!E:E)</f>
        <v>0</v>
      </c>
      <c r="F422" s="4">
        <f>SUMIF('Simpanan Pokok'!C:C,'All Simpanan '!C:C,'Simpanan Pokok'!E:E)</f>
        <v>0</v>
      </c>
      <c r="G422" s="4">
        <f>SUMIF('Simpanan Khusus'!C:C,'All Simpanan '!C:C,'Simpanan Khusus'!E:E)</f>
        <v>0</v>
      </c>
      <c r="H422" s="4">
        <f>SUMIF('Simpanan Sukarela'!C:C,'All Simpanan '!C:C,'Simpanan Sukarela'!E:E)</f>
        <v>0</v>
      </c>
      <c r="I422" s="4">
        <f>SUMIF('Simpanan Sukarela Berjangka'!B:B,'All Simpanan '!C:C,'Simpanan Sukarela Berjangka'!K:K)</f>
        <v>0</v>
      </c>
      <c r="J422" s="4">
        <f t="shared" si="6"/>
        <v>0</v>
      </c>
      <c r="K422" s="35" t="s">
        <v>1578</v>
      </c>
    </row>
    <row r="423" spans="1:11" ht="15.5" x14ac:dyDescent="0.35">
      <c r="A423" s="5">
        <v>421</v>
      </c>
      <c r="B423" s="6" t="s">
        <v>932</v>
      </c>
      <c r="C423" s="7" t="s">
        <v>933</v>
      </c>
      <c r="D423" s="8" t="s">
        <v>92</v>
      </c>
      <c r="E423" s="8">
        <f>SUMIF('Simpanan Wajib'!C:C,'All Simpanan '!C:C,'Simpanan Wajib'!E:E)</f>
        <v>0</v>
      </c>
      <c r="F423" s="4">
        <f>SUMIF('Simpanan Pokok'!C:C,'All Simpanan '!C:C,'Simpanan Pokok'!E:E)</f>
        <v>0</v>
      </c>
      <c r="G423" s="4">
        <f>SUMIF('Simpanan Khusus'!C:C,'All Simpanan '!C:C,'Simpanan Khusus'!E:E)</f>
        <v>0</v>
      </c>
      <c r="H423" s="4">
        <f>SUMIF('Simpanan Sukarela'!C:C,'All Simpanan '!C:C,'Simpanan Sukarela'!E:E)</f>
        <v>0</v>
      </c>
      <c r="I423" s="4">
        <f>SUMIF('Simpanan Sukarela Berjangka'!B:B,'All Simpanan '!C:C,'Simpanan Sukarela Berjangka'!K:K)</f>
        <v>0</v>
      </c>
      <c r="J423" s="4">
        <f t="shared" si="6"/>
        <v>0</v>
      </c>
      <c r="K423" s="35" t="s">
        <v>1578</v>
      </c>
    </row>
    <row r="424" spans="1:11" ht="15.5" x14ac:dyDescent="0.35">
      <c r="A424" s="5">
        <v>422</v>
      </c>
      <c r="B424" s="6" t="s">
        <v>934</v>
      </c>
      <c r="C424" s="7" t="s">
        <v>935</v>
      </c>
      <c r="D424" s="8" t="s">
        <v>936</v>
      </c>
      <c r="E424" s="8">
        <f>SUMIF('Simpanan Wajib'!C:C,'All Simpanan '!C:C,'Simpanan Wajib'!E:E)</f>
        <v>0</v>
      </c>
      <c r="F424" s="4">
        <f>SUMIF('Simpanan Pokok'!C:C,'All Simpanan '!C:C,'Simpanan Pokok'!E:E)</f>
        <v>0</v>
      </c>
      <c r="G424" s="4">
        <f>SUMIF('Simpanan Khusus'!C:C,'All Simpanan '!C:C,'Simpanan Khusus'!E:E)</f>
        <v>0</v>
      </c>
      <c r="H424" s="4">
        <f>SUMIF('Simpanan Sukarela'!C:C,'All Simpanan '!C:C,'Simpanan Sukarela'!E:E)</f>
        <v>0</v>
      </c>
      <c r="I424" s="4">
        <f>SUMIF('Simpanan Sukarela Berjangka'!B:B,'All Simpanan '!C:C,'Simpanan Sukarela Berjangka'!K:K)</f>
        <v>0</v>
      </c>
      <c r="J424" s="4">
        <f t="shared" si="6"/>
        <v>0</v>
      </c>
      <c r="K424" s="35" t="s">
        <v>1579</v>
      </c>
    </row>
    <row r="425" spans="1:11" ht="15.5" x14ac:dyDescent="0.35">
      <c r="A425" s="5">
        <v>423</v>
      </c>
      <c r="B425" s="6" t="s">
        <v>937</v>
      </c>
      <c r="C425" s="7" t="s">
        <v>938</v>
      </c>
      <c r="D425" s="8" t="s">
        <v>92</v>
      </c>
      <c r="E425" s="8">
        <f>SUMIF('Simpanan Wajib'!C:C,'All Simpanan '!C:C,'Simpanan Wajib'!E:E)</f>
        <v>0</v>
      </c>
      <c r="F425" s="4">
        <f>SUMIF('Simpanan Pokok'!C:C,'All Simpanan '!C:C,'Simpanan Pokok'!E:E)</f>
        <v>0</v>
      </c>
      <c r="G425" s="4">
        <f>SUMIF('Simpanan Khusus'!C:C,'All Simpanan '!C:C,'Simpanan Khusus'!E:E)</f>
        <v>0</v>
      </c>
      <c r="H425" s="4">
        <f>SUMIF('Simpanan Sukarela'!C:C,'All Simpanan '!C:C,'Simpanan Sukarela'!E:E)</f>
        <v>0</v>
      </c>
      <c r="I425" s="4">
        <f>SUMIF('Simpanan Sukarela Berjangka'!B:B,'All Simpanan '!C:C,'Simpanan Sukarela Berjangka'!K:K)</f>
        <v>0</v>
      </c>
      <c r="J425" s="4">
        <f t="shared" si="6"/>
        <v>0</v>
      </c>
      <c r="K425" s="35" t="s">
        <v>1579</v>
      </c>
    </row>
    <row r="426" spans="1:11" ht="15.5" x14ac:dyDescent="0.35">
      <c r="A426" s="5">
        <v>424</v>
      </c>
      <c r="B426" s="6" t="s">
        <v>939</v>
      </c>
      <c r="C426" s="7" t="s">
        <v>940</v>
      </c>
      <c r="D426" s="8" t="s">
        <v>198</v>
      </c>
      <c r="E426" s="8">
        <f>SUMIF('Simpanan Wajib'!C:C,'All Simpanan '!C:C,'Simpanan Wajib'!E:E)</f>
        <v>0</v>
      </c>
      <c r="F426" s="4">
        <f>SUMIF('Simpanan Pokok'!C:C,'All Simpanan '!C:C,'Simpanan Pokok'!E:E)</f>
        <v>0</v>
      </c>
      <c r="G426" s="4">
        <f>SUMIF('Simpanan Khusus'!C:C,'All Simpanan '!C:C,'Simpanan Khusus'!E:E)</f>
        <v>0</v>
      </c>
      <c r="H426" s="4">
        <f>SUMIF('Simpanan Sukarela'!C:C,'All Simpanan '!C:C,'Simpanan Sukarela'!E:E)</f>
        <v>0</v>
      </c>
      <c r="I426" s="4">
        <f>SUMIF('Simpanan Sukarela Berjangka'!B:B,'All Simpanan '!C:C,'Simpanan Sukarela Berjangka'!K:K)</f>
        <v>0</v>
      </c>
      <c r="J426" s="4">
        <f t="shared" si="6"/>
        <v>0</v>
      </c>
      <c r="K426" s="35" t="s">
        <v>1579</v>
      </c>
    </row>
    <row r="427" spans="1:11" ht="15.5" x14ac:dyDescent="0.35">
      <c r="A427" s="5">
        <v>425</v>
      </c>
      <c r="B427" s="6" t="s">
        <v>941</v>
      </c>
      <c r="C427" s="7" t="s">
        <v>942</v>
      </c>
      <c r="D427" s="8" t="s">
        <v>406</v>
      </c>
      <c r="E427" s="8">
        <f>SUMIF('Simpanan Wajib'!C:C,'All Simpanan '!C:C,'Simpanan Wajib'!E:E)</f>
        <v>0</v>
      </c>
      <c r="F427" s="4">
        <f>SUMIF('Simpanan Pokok'!C:C,'All Simpanan '!C:C,'Simpanan Pokok'!E:E)</f>
        <v>0</v>
      </c>
      <c r="G427" s="4">
        <f>SUMIF('Simpanan Khusus'!C:C,'All Simpanan '!C:C,'Simpanan Khusus'!E:E)</f>
        <v>0</v>
      </c>
      <c r="H427" s="4">
        <f>SUMIF('Simpanan Sukarela'!C:C,'All Simpanan '!C:C,'Simpanan Sukarela'!E:E)</f>
        <v>0</v>
      </c>
      <c r="I427" s="4">
        <f>SUMIF('Simpanan Sukarela Berjangka'!B:B,'All Simpanan '!C:C,'Simpanan Sukarela Berjangka'!K:K)</f>
        <v>0</v>
      </c>
      <c r="J427" s="4">
        <f t="shared" si="6"/>
        <v>0</v>
      </c>
      <c r="K427" s="35" t="s">
        <v>1579</v>
      </c>
    </row>
    <row r="428" spans="1:11" ht="15.5" x14ac:dyDescent="0.35">
      <c r="A428" s="5">
        <v>426</v>
      </c>
      <c r="B428" s="6" t="s">
        <v>943</v>
      </c>
      <c r="C428" s="7" t="s">
        <v>944</v>
      </c>
      <c r="D428" s="8" t="s">
        <v>19</v>
      </c>
      <c r="E428" s="8">
        <f>SUMIF('Simpanan Wajib'!C:C,'All Simpanan '!C:C,'Simpanan Wajib'!E:E)</f>
        <v>0</v>
      </c>
      <c r="F428" s="4">
        <f>SUMIF('Simpanan Pokok'!C:C,'All Simpanan '!C:C,'Simpanan Pokok'!E:E)</f>
        <v>0</v>
      </c>
      <c r="G428" s="4">
        <f>SUMIF('Simpanan Khusus'!C:C,'All Simpanan '!C:C,'Simpanan Khusus'!E:E)</f>
        <v>0</v>
      </c>
      <c r="H428" s="4">
        <f>SUMIF('Simpanan Sukarela'!C:C,'All Simpanan '!C:C,'Simpanan Sukarela'!E:E)</f>
        <v>0</v>
      </c>
      <c r="I428" s="4">
        <f>SUMIF('Simpanan Sukarela Berjangka'!B:B,'All Simpanan '!C:C,'Simpanan Sukarela Berjangka'!K:K)</f>
        <v>0</v>
      </c>
      <c r="J428" s="4">
        <f t="shared" si="6"/>
        <v>0</v>
      </c>
      <c r="K428" s="35" t="s">
        <v>1579</v>
      </c>
    </row>
    <row r="429" spans="1:11" ht="15.5" x14ac:dyDescent="0.35">
      <c r="A429" s="5">
        <v>427</v>
      </c>
      <c r="B429" s="6" t="s">
        <v>945</v>
      </c>
      <c r="C429" s="7" t="s">
        <v>946</v>
      </c>
      <c r="D429" s="8" t="s">
        <v>354</v>
      </c>
      <c r="E429" s="8">
        <f>SUMIF('Simpanan Wajib'!C:C,'All Simpanan '!C:C,'Simpanan Wajib'!E:E)</f>
        <v>0</v>
      </c>
      <c r="F429" s="4">
        <f>SUMIF('Simpanan Pokok'!C:C,'All Simpanan '!C:C,'Simpanan Pokok'!E:E)</f>
        <v>0</v>
      </c>
      <c r="G429" s="4">
        <f>SUMIF('Simpanan Khusus'!C:C,'All Simpanan '!C:C,'Simpanan Khusus'!E:E)</f>
        <v>0</v>
      </c>
      <c r="H429" s="4">
        <f>SUMIF('Simpanan Sukarela'!C:C,'All Simpanan '!C:C,'Simpanan Sukarela'!E:E)</f>
        <v>0</v>
      </c>
      <c r="I429" s="4">
        <f>SUMIF('Simpanan Sukarela Berjangka'!B:B,'All Simpanan '!C:C,'Simpanan Sukarela Berjangka'!K:K)</f>
        <v>0</v>
      </c>
      <c r="J429" s="4">
        <f t="shared" si="6"/>
        <v>0</v>
      </c>
      <c r="K429" s="35" t="s">
        <v>1579</v>
      </c>
    </row>
    <row r="430" spans="1:11" ht="15.5" x14ac:dyDescent="0.35">
      <c r="A430" s="5">
        <v>428</v>
      </c>
      <c r="B430" s="6" t="s">
        <v>947</v>
      </c>
      <c r="C430" s="7" t="s">
        <v>948</v>
      </c>
      <c r="D430" s="8" t="s">
        <v>41</v>
      </c>
      <c r="E430" s="8">
        <f>SUMIF('Simpanan Wajib'!C:C,'All Simpanan '!C:C,'Simpanan Wajib'!E:E)</f>
        <v>0</v>
      </c>
      <c r="F430" s="4">
        <f>SUMIF('Simpanan Pokok'!C:C,'All Simpanan '!C:C,'Simpanan Pokok'!E:E)</f>
        <v>0</v>
      </c>
      <c r="G430" s="4">
        <f>SUMIF('Simpanan Khusus'!C:C,'All Simpanan '!C:C,'Simpanan Khusus'!E:E)</f>
        <v>0</v>
      </c>
      <c r="H430" s="4">
        <f>SUMIF('Simpanan Sukarela'!C:C,'All Simpanan '!C:C,'Simpanan Sukarela'!E:E)</f>
        <v>0</v>
      </c>
      <c r="I430" s="4">
        <f>SUMIF('Simpanan Sukarela Berjangka'!B:B,'All Simpanan '!C:C,'Simpanan Sukarela Berjangka'!K:K)</f>
        <v>0</v>
      </c>
      <c r="J430" s="4">
        <f t="shared" si="6"/>
        <v>0</v>
      </c>
      <c r="K430" s="35" t="s">
        <v>1578</v>
      </c>
    </row>
    <row r="431" spans="1:11" ht="15.5" x14ac:dyDescent="0.35">
      <c r="A431" s="5">
        <v>429</v>
      </c>
      <c r="B431" s="6" t="s">
        <v>949</v>
      </c>
      <c r="C431" s="7" t="s">
        <v>950</v>
      </c>
      <c r="D431" s="8" t="s">
        <v>238</v>
      </c>
      <c r="E431" s="8">
        <f>SUMIF('Simpanan Wajib'!C:C,'All Simpanan '!C:C,'Simpanan Wajib'!E:E)</f>
        <v>0</v>
      </c>
      <c r="F431" s="4">
        <f>SUMIF('Simpanan Pokok'!C:C,'All Simpanan '!C:C,'Simpanan Pokok'!E:E)</f>
        <v>0</v>
      </c>
      <c r="G431" s="4">
        <f>SUMIF('Simpanan Khusus'!C:C,'All Simpanan '!C:C,'Simpanan Khusus'!E:E)</f>
        <v>0</v>
      </c>
      <c r="H431" s="4">
        <f>SUMIF('Simpanan Sukarela'!C:C,'All Simpanan '!C:C,'Simpanan Sukarela'!E:E)</f>
        <v>0</v>
      </c>
      <c r="I431" s="4">
        <f>SUMIF('Simpanan Sukarela Berjangka'!B:B,'All Simpanan '!C:C,'Simpanan Sukarela Berjangka'!K:K)</f>
        <v>0</v>
      </c>
      <c r="J431" s="4">
        <f t="shared" si="6"/>
        <v>0</v>
      </c>
      <c r="K431" s="35" t="s">
        <v>1579</v>
      </c>
    </row>
    <row r="432" spans="1:11" ht="15.5" x14ac:dyDescent="0.35">
      <c r="A432" s="5">
        <v>430</v>
      </c>
      <c r="B432" s="6" t="s">
        <v>951</v>
      </c>
      <c r="C432" s="7" t="s">
        <v>952</v>
      </c>
      <c r="D432" s="8" t="s">
        <v>72</v>
      </c>
      <c r="E432" s="8">
        <f>SUMIF('Simpanan Wajib'!C:C,'All Simpanan '!C:C,'Simpanan Wajib'!E:E)</f>
        <v>0</v>
      </c>
      <c r="F432" s="4">
        <f>SUMIF('Simpanan Pokok'!C:C,'All Simpanan '!C:C,'Simpanan Pokok'!E:E)</f>
        <v>0</v>
      </c>
      <c r="G432" s="4">
        <f>SUMIF('Simpanan Khusus'!C:C,'All Simpanan '!C:C,'Simpanan Khusus'!E:E)</f>
        <v>0</v>
      </c>
      <c r="H432" s="4">
        <f>SUMIF('Simpanan Sukarela'!C:C,'All Simpanan '!C:C,'Simpanan Sukarela'!E:E)</f>
        <v>0</v>
      </c>
      <c r="I432" s="4">
        <f>SUMIF('Simpanan Sukarela Berjangka'!B:B,'All Simpanan '!C:C,'Simpanan Sukarela Berjangka'!K:K)</f>
        <v>0</v>
      </c>
      <c r="J432" s="4">
        <f t="shared" si="6"/>
        <v>0</v>
      </c>
      <c r="K432" s="35" t="s">
        <v>1579</v>
      </c>
    </row>
    <row r="433" spans="1:11" ht="15.5" x14ac:dyDescent="0.35">
      <c r="A433" s="5">
        <v>431</v>
      </c>
      <c r="B433" s="6" t="s">
        <v>953</v>
      </c>
      <c r="C433" s="7" t="s">
        <v>954</v>
      </c>
      <c r="D433" s="8" t="s">
        <v>267</v>
      </c>
      <c r="E433" s="8">
        <f>SUMIF('Simpanan Wajib'!C:C,'All Simpanan '!C:C,'Simpanan Wajib'!E:E)</f>
        <v>0</v>
      </c>
      <c r="F433" s="4">
        <f>SUMIF('Simpanan Pokok'!C:C,'All Simpanan '!C:C,'Simpanan Pokok'!E:E)</f>
        <v>0</v>
      </c>
      <c r="G433" s="4">
        <f>SUMIF('Simpanan Khusus'!C:C,'All Simpanan '!C:C,'Simpanan Khusus'!E:E)</f>
        <v>0</v>
      </c>
      <c r="H433" s="4">
        <f>SUMIF('Simpanan Sukarela'!C:C,'All Simpanan '!C:C,'Simpanan Sukarela'!E:E)</f>
        <v>0</v>
      </c>
      <c r="I433" s="4">
        <f>SUMIF('Simpanan Sukarela Berjangka'!B:B,'All Simpanan '!C:C,'Simpanan Sukarela Berjangka'!K:K)</f>
        <v>0</v>
      </c>
      <c r="J433" s="4">
        <f t="shared" si="6"/>
        <v>0</v>
      </c>
      <c r="K433" s="35" t="s">
        <v>1579</v>
      </c>
    </row>
    <row r="434" spans="1:11" ht="15.5" x14ac:dyDescent="0.35">
      <c r="A434" s="5">
        <v>432</v>
      </c>
      <c r="B434" s="6" t="s">
        <v>955</v>
      </c>
      <c r="C434" s="7" t="s">
        <v>956</v>
      </c>
      <c r="D434" s="8" t="s">
        <v>19</v>
      </c>
      <c r="E434" s="8">
        <f>SUMIF('Simpanan Wajib'!C:C,'All Simpanan '!C:C,'Simpanan Wajib'!E:E)</f>
        <v>0</v>
      </c>
      <c r="F434" s="4">
        <f>SUMIF('Simpanan Pokok'!C:C,'All Simpanan '!C:C,'Simpanan Pokok'!E:E)</f>
        <v>0</v>
      </c>
      <c r="G434" s="4">
        <f>SUMIF('Simpanan Khusus'!C:C,'All Simpanan '!C:C,'Simpanan Khusus'!E:E)</f>
        <v>0</v>
      </c>
      <c r="H434" s="4">
        <f>SUMIF('Simpanan Sukarela'!C:C,'All Simpanan '!C:C,'Simpanan Sukarela'!E:E)</f>
        <v>0</v>
      </c>
      <c r="I434" s="4">
        <f>SUMIF('Simpanan Sukarela Berjangka'!B:B,'All Simpanan '!C:C,'Simpanan Sukarela Berjangka'!K:K)</f>
        <v>0</v>
      </c>
      <c r="J434" s="4">
        <f t="shared" si="6"/>
        <v>0</v>
      </c>
      <c r="K434" s="35" t="s">
        <v>1579</v>
      </c>
    </row>
    <row r="435" spans="1:11" ht="15.5" x14ac:dyDescent="0.35">
      <c r="A435" s="5">
        <v>433</v>
      </c>
      <c r="B435" s="6" t="s">
        <v>957</v>
      </c>
      <c r="C435" s="7" t="s">
        <v>958</v>
      </c>
      <c r="D435" s="8" t="s">
        <v>406</v>
      </c>
      <c r="E435" s="8">
        <f>SUMIF('Simpanan Wajib'!C:C,'All Simpanan '!C:C,'Simpanan Wajib'!E:E)</f>
        <v>0</v>
      </c>
      <c r="F435" s="4">
        <f>SUMIF('Simpanan Pokok'!C:C,'All Simpanan '!C:C,'Simpanan Pokok'!E:E)</f>
        <v>0</v>
      </c>
      <c r="G435" s="4">
        <f>SUMIF('Simpanan Khusus'!C:C,'All Simpanan '!C:C,'Simpanan Khusus'!E:E)</f>
        <v>0</v>
      </c>
      <c r="H435" s="4">
        <f>SUMIF('Simpanan Sukarela'!C:C,'All Simpanan '!C:C,'Simpanan Sukarela'!E:E)</f>
        <v>0</v>
      </c>
      <c r="I435" s="4">
        <f>SUMIF('Simpanan Sukarela Berjangka'!B:B,'All Simpanan '!C:C,'Simpanan Sukarela Berjangka'!K:K)</f>
        <v>0</v>
      </c>
      <c r="J435" s="4">
        <f t="shared" si="6"/>
        <v>0</v>
      </c>
      <c r="K435" s="35" t="s">
        <v>1579</v>
      </c>
    </row>
    <row r="436" spans="1:11" ht="15.5" x14ac:dyDescent="0.35">
      <c r="A436" s="5">
        <v>434</v>
      </c>
      <c r="B436" s="6" t="s">
        <v>959</v>
      </c>
      <c r="C436" s="7" t="s">
        <v>960</v>
      </c>
      <c r="D436" s="8" t="s">
        <v>98</v>
      </c>
      <c r="E436" s="8">
        <f>SUMIF('Simpanan Wajib'!C:C,'All Simpanan '!C:C,'Simpanan Wajib'!E:E)</f>
        <v>0</v>
      </c>
      <c r="F436" s="4">
        <f>SUMIF('Simpanan Pokok'!C:C,'All Simpanan '!C:C,'Simpanan Pokok'!E:E)</f>
        <v>0</v>
      </c>
      <c r="G436" s="4">
        <f>SUMIF('Simpanan Khusus'!C:C,'All Simpanan '!C:C,'Simpanan Khusus'!E:E)</f>
        <v>0</v>
      </c>
      <c r="H436" s="4">
        <f>SUMIF('Simpanan Sukarela'!C:C,'All Simpanan '!C:C,'Simpanan Sukarela'!E:E)</f>
        <v>0</v>
      </c>
      <c r="I436" s="4">
        <f>SUMIF('Simpanan Sukarela Berjangka'!B:B,'All Simpanan '!C:C,'Simpanan Sukarela Berjangka'!K:K)</f>
        <v>0</v>
      </c>
      <c r="J436" s="4">
        <f t="shared" si="6"/>
        <v>0</v>
      </c>
      <c r="K436" s="35" t="s">
        <v>1579</v>
      </c>
    </row>
    <row r="437" spans="1:11" ht="15.5" x14ac:dyDescent="0.35">
      <c r="A437" s="5">
        <v>435</v>
      </c>
      <c r="B437" s="6" t="s">
        <v>961</v>
      </c>
      <c r="C437" s="7" t="s">
        <v>962</v>
      </c>
      <c r="D437" s="8" t="s">
        <v>374</v>
      </c>
      <c r="E437" s="8">
        <f>SUMIF('Simpanan Wajib'!C:C,'All Simpanan '!C:C,'Simpanan Wajib'!E:E)</f>
        <v>0</v>
      </c>
      <c r="F437" s="4">
        <f>SUMIF('Simpanan Pokok'!C:C,'All Simpanan '!C:C,'Simpanan Pokok'!E:E)</f>
        <v>0</v>
      </c>
      <c r="G437" s="4">
        <f>SUMIF('Simpanan Khusus'!C:C,'All Simpanan '!C:C,'Simpanan Khusus'!E:E)</f>
        <v>0</v>
      </c>
      <c r="H437" s="4">
        <f>SUMIF('Simpanan Sukarela'!C:C,'All Simpanan '!C:C,'Simpanan Sukarela'!E:E)</f>
        <v>70189.260350375902</v>
      </c>
      <c r="I437" s="4">
        <f>SUMIF('Simpanan Sukarela Berjangka'!B:B,'All Simpanan '!C:C,'Simpanan Sukarela Berjangka'!K:K)</f>
        <v>0</v>
      </c>
      <c r="J437" s="4">
        <f t="shared" si="6"/>
        <v>70189.260350375902</v>
      </c>
      <c r="K437" s="35" t="s">
        <v>1578</v>
      </c>
    </row>
    <row r="438" spans="1:11" ht="15.5" x14ac:dyDescent="0.35">
      <c r="A438" s="5">
        <v>436</v>
      </c>
      <c r="B438" s="6" t="s">
        <v>963</v>
      </c>
      <c r="C438" s="7" t="s">
        <v>964</v>
      </c>
      <c r="D438" s="8" t="s">
        <v>136</v>
      </c>
      <c r="E438" s="8">
        <f>SUMIF('Simpanan Wajib'!C:C,'All Simpanan '!C:C,'Simpanan Wajib'!E:E)</f>
        <v>0</v>
      </c>
      <c r="F438" s="4">
        <f>SUMIF('Simpanan Pokok'!C:C,'All Simpanan '!C:C,'Simpanan Pokok'!E:E)</f>
        <v>0</v>
      </c>
      <c r="G438" s="4">
        <f>SUMIF('Simpanan Khusus'!C:C,'All Simpanan '!C:C,'Simpanan Khusus'!E:E)</f>
        <v>0</v>
      </c>
      <c r="H438" s="4">
        <f>SUMIF('Simpanan Sukarela'!C:C,'All Simpanan '!C:C,'Simpanan Sukarela'!E:E)</f>
        <v>163088.17036131863</v>
      </c>
      <c r="I438" s="4">
        <f>SUMIF('Simpanan Sukarela Berjangka'!B:B,'All Simpanan '!C:C,'Simpanan Sukarela Berjangka'!K:K)</f>
        <v>0</v>
      </c>
      <c r="J438" s="4">
        <f t="shared" si="6"/>
        <v>163088.17036131863</v>
      </c>
      <c r="K438" s="35" t="s">
        <v>1578</v>
      </c>
    </row>
    <row r="439" spans="1:11" ht="15.5" x14ac:dyDescent="0.35">
      <c r="A439" s="5">
        <v>437</v>
      </c>
      <c r="B439" s="6" t="s">
        <v>965</v>
      </c>
      <c r="C439" s="7" t="s">
        <v>966</v>
      </c>
      <c r="D439" s="8" t="s">
        <v>77</v>
      </c>
      <c r="E439" s="8">
        <f>SUMIF('Simpanan Wajib'!C:C,'All Simpanan '!C:C,'Simpanan Wajib'!E:E)</f>
        <v>0</v>
      </c>
      <c r="F439" s="4">
        <f>SUMIF('Simpanan Pokok'!C:C,'All Simpanan '!C:C,'Simpanan Pokok'!E:E)</f>
        <v>0</v>
      </c>
      <c r="G439" s="4">
        <f>SUMIF('Simpanan Khusus'!C:C,'All Simpanan '!C:C,'Simpanan Khusus'!E:E)</f>
        <v>0</v>
      </c>
      <c r="H439" s="4">
        <f>SUMIF('Simpanan Sukarela'!C:C,'All Simpanan '!C:C,'Simpanan Sukarela'!E:E)</f>
        <v>0</v>
      </c>
      <c r="I439" s="4">
        <f>SUMIF('Simpanan Sukarela Berjangka'!B:B,'All Simpanan '!C:C,'Simpanan Sukarela Berjangka'!K:K)</f>
        <v>0</v>
      </c>
      <c r="J439" s="4">
        <f t="shared" si="6"/>
        <v>0</v>
      </c>
      <c r="K439" s="35" t="s">
        <v>1578</v>
      </c>
    </row>
    <row r="440" spans="1:11" ht="15.5" x14ac:dyDescent="0.35">
      <c r="A440" s="5">
        <v>438</v>
      </c>
      <c r="B440" s="6" t="s">
        <v>967</v>
      </c>
      <c r="C440" s="7" t="s">
        <v>968</v>
      </c>
      <c r="D440" s="8" t="s">
        <v>374</v>
      </c>
      <c r="E440" s="8">
        <f>SUMIF('Simpanan Wajib'!C:C,'All Simpanan '!C:C,'Simpanan Wajib'!E:E)</f>
        <v>0</v>
      </c>
      <c r="F440" s="4">
        <f>SUMIF('Simpanan Pokok'!C:C,'All Simpanan '!C:C,'Simpanan Pokok'!E:E)</f>
        <v>0</v>
      </c>
      <c r="G440" s="4">
        <f>SUMIF('Simpanan Khusus'!C:C,'All Simpanan '!C:C,'Simpanan Khusus'!E:E)</f>
        <v>0</v>
      </c>
      <c r="H440" s="4">
        <f>SUMIF('Simpanan Sukarela'!C:C,'All Simpanan '!C:C,'Simpanan Sukarela'!E:E)</f>
        <v>20951.260350375902</v>
      </c>
      <c r="I440" s="4">
        <f>SUMIF('Simpanan Sukarela Berjangka'!B:B,'All Simpanan '!C:C,'Simpanan Sukarela Berjangka'!K:K)</f>
        <v>0</v>
      </c>
      <c r="J440" s="4">
        <f t="shared" si="6"/>
        <v>20951.260350375902</v>
      </c>
      <c r="K440" s="35" t="s">
        <v>1578</v>
      </c>
    </row>
    <row r="441" spans="1:11" ht="15.5" x14ac:dyDescent="0.35">
      <c r="A441" s="5">
        <v>439</v>
      </c>
      <c r="B441" s="6" t="s">
        <v>969</v>
      </c>
      <c r="C441" s="7" t="s">
        <v>970</v>
      </c>
      <c r="D441" s="8" t="s">
        <v>19</v>
      </c>
      <c r="E441" s="8">
        <f>SUMIF('Simpanan Wajib'!C:C,'All Simpanan '!C:C,'Simpanan Wajib'!E:E)</f>
        <v>0</v>
      </c>
      <c r="F441" s="4">
        <f>SUMIF('Simpanan Pokok'!C:C,'All Simpanan '!C:C,'Simpanan Pokok'!E:E)</f>
        <v>0</v>
      </c>
      <c r="G441" s="4">
        <f>SUMIF('Simpanan Khusus'!C:C,'All Simpanan '!C:C,'Simpanan Khusus'!E:E)</f>
        <v>0</v>
      </c>
      <c r="H441" s="4">
        <f>SUMIF('Simpanan Sukarela'!C:C,'All Simpanan '!C:C,'Simpanan Sukarela'!E:E)</f>
        <v>0</v>
      </c>
      <c r="I441" s="4">
        <f>SUMIF('Simpanan Sukarela Berjangka'!B:B,'All Simpanan '!C:C,'Simpanan Sukarela Berjangka'!K:K)</f>
        <v>0</v>
      </c>
      <c r="J441" s="4">
        <f t="shared" si="6"/>
        <v>0</v>
      </c>
      <c r="K441" s="35" t="s">
        <v>1579</v>
      </c>
    </row>
    <row r="442" spans="1:11" ht="15.5" x14ac:dyDescent="0.35">
      <c r="A442" s="5">
        <v>440</v>
      </c>
      <c r="B442" s="6" t="s">
        <v>971</v>
      </c>
      <c r="C442" s="7" t="s">
        <v>972</v>
      </c>
      <c r="D442" s="8" t="s">
        <v>14</v>
      </c>
      <c r="E442" s="8">
        <f>SUMIF('Simpanan Wajib'!C:C,'All Simpanan '!C:C,'Simpanan Wajib'!E:E)</f>
        <v>0</v>
      </c>
      <c r="F442" s="4">
        <f>SUMIF('Simpanan Pokok'!C:C,'All Simpanan '!C:C,'Simpanan Pokok'!E:E)</f>
        <v>0</v>
      </c>
      <c r="G442" s="4">
        <f>SUMIF('Simpanan Khusus'!C:C,'All Simpanan '!C:C,'Simpanan Khusus'!E:E)</f>
        <v>0</v>
      </c>
      <c r="H442" s="4">
        <f>SUMIF('Simpanan Sukarela'!C:C,'All Simpanan '!C:C,'Simpanan Sukarela'!E:E)</f>
        <v>0</v>
      </c>
      <c r="I442" s="4">
        <f>SUMIF('Simpanan Sukarela Berjangka'!B:B,'All Simpanan '!C:C,'Simpanan Sukarela Berjangka'!K:K)</f>
        <v>0</v>
      </c>
      <c r="J442" s="4">
        <f t="shared" si="6"/>
        <v>0</v>
      </c>
      <c r="K442" s="35" t="s">
        <v>1578</v>
      </c>
    </row>
    <row r="443" spans="1:11" ht="15.5" x14ac:dyDescent="0.35">
      <c r="A443" s="5">
        <v>441</v>
      </c>
      <c r="B443" s="6" t="s">
        <v>973</v>
      </c>
      <c r="C443" s="7" t="s">
        <v>974</v>
      </c>
      <c r="D443" s="8" t="s">
        <v>406</v>
      </c>
      <c r="E443" s="8">
        <f>SUMIF('Simpanan Wajib'!C:C,'All Simpanan '!C:C,'Simpanan Wajib'!E:E)</f>
        <v>0</v>
      </c>
      <c r="F443" s="4">
        <f>SUMIF('Simpanan Pokok'!C:C,'All Simpanan '!C:C,'Simpanan Pokok'!E:E)</f>
        <v>0</v>
      </c>
      <c r="G443" s="4">
        <f>SUMIF('Simpanan Khusus'!C:C,'All Simpanan '!C:C,'Simpanan Khusus'!E:E)</f>
        <v>0</v>
      </c>
      <c r="H443" s="4">
        <f>SUMIF('Simpanan Sukarela'!C:C,'All Simpanan '!C:C,'Simpanan Sukarela'!E:E)</f>
        <v>0</v>
      </c>
      <c r="I443" s="4">
        <f>SUMIF('Simpanan Sukarela Berjangka'!B:B,'All Simpanan '!C:C,'Simpanan Sukarela Berjangka'!K:K)</f>
        <v>0</v>
      </c>
      <c r="J443" s="4">
        <f t="shared" si="6"/>
        <v>0</v>
      </c>
      <c r="K443" s="35" t="s">
        <v>1579</v>
      </c>
    </row>
    <row r="444" spans="1:11" ht="15.5" x14ac:dyDescent="0.35">
      <c r="A444" s="5">
        <v>442</v>
      </c>
      <c r="B444" s="6" t="s">
        <v>975</v>
      </c>
      <c r="C444" s="7" t="s">
        <v>976</v>
      </c>
      <c r="D444" s="8" t="s">
        <v>92</v>
      </c>
      <c r="E444" s="8">
        <f>SUMIF('Simpanan Wajib'!C:C,'All Simpanan '!C:C,'Simpanan Wajib'!E:E)</f>
        <v>0</v>
      </c>
      <c r="F444" s="4">
        <f>SUMIF('Simpanan Pokok'!C:C,'All Simpanan '!C:C,'Simpanan Pokok'!E:E)</f>
        <v>0</v>
      </c>
      <c r="G444" s="4">
        <f>SUMIF('Simpanan Khusus'!C:C,'All Simpanan '!C:C,'Simpanan Khusus'!E:E)</f>
        <v>0</v>
      </c>
      <c r="H444" s="4">
        <f>SUMIF('Simpanan Sukarela'!C:C,'All Simpanan '!C:C,'Simpanan Sukarela'!E:E)</f>
        <v>0</v>
      </c>
      <c r="I444" s="4">
        <f>SUMIF('Simpanan Sukarela Berjangka'!B:B,'All Simpanan '!C:C,'Simpanan Sukarela Berjangka'!K:K)</f>
        <v>0</v>
      </c>
      <c r="J444" s="4">
        <f t="shared" si="6"/>
        <v>0</v>
      </c>
      <c r="K444" s="35" t="s">
        <v>1579</v>
      </c>
    </row>
    <row r="445" spans="1:11" ht="15.5" x14ac:dyDescent="0.35">
      <c r="A445" s="5">
        <v>443</v>
      </c>
      <c r="B445" s="6" t="s">
        <v>977</v>
      </c>
      <c r="C445" s="7" t="s">
        <v>978</v>
      </c>
      <c r="D445" s="8" t="s">
        <v>60</v>
      </c>
      <c r="E445" s="8">
        <f>SUMIF('Simpanan Wajib'!C:C,'All Simpanan '!C:C,'Simpanan Wajib'!E:E)</f>
        <v>0</v>
      </c>
      <c r="F445" s="4">
        <f>SUMIF('Simpanan Pokok'!C:C,'All Simpanan '!C:C,'Simpanan Pokok'!E:E)</f>
        <v>0</v>
      </c>
      <c r="G445" s="4">
        <f>SUMIF('Simpanan Khusus'!C:C,'All Simpanan '!C:C,'Simpanan Khusus'!E:E)</f>
        <v>0</v>
      </c>
      <c r="H445" s="4">
        <f>SUMIF('Simpanan Sukarela'!C:C,'All Simpanan '!C:C,'Simpanan Sukarela'!E:E)</f>
        <v>910266</v>
      </c>
      <c r="I445" s="4">
        <f>SUMIF('Simpanan Sukarela Berjangka'!B:B,'All Simpanan '!C:C,'Simpanan Sukarela Berjangka'!K:K)</f>
        <v>0</v>
      </c>
      <c r="J445" s="4">
        <f t="shared" si="6"/>
        <v>910266</v>
      </c>
      <c r="K445" s="35" t="s">
        <v>1578</v>
      </c>
    </row>
    <row r="446" spans="1:11" ht="15.5" x14ac:dyDescent="0.35">
      <c r="A446" s="5">
        <v>444</v>
      </c>
      <c r="B446" s="6" t="s">
        <v>979</v>
      </c>
      <c r="C446" s="7" t="s">
        <v>980</v>
      </c>
      <c r="D446" s="8" t="s">
        <v>92</v>
      </c>
      <c r="E446" s="8">
        <f>SUMIF('Simpanan Wajib'!C:C,'All Simpanan '!C:C,'Simpanan Wajib'!E:E)</f>
        <v>100000</v>
      </c>
      <c r="F446" s="4">
        <f>SUMIF('Simpanan Pokok'!C:C,'All Simpanan '!C:C,'Simpanan Pokok'!E:E)</f>
        <v>0</v>
      </c>
      <c r="G446" s="4">
        <f>SUMIF('Simpanan Khusus'!C:C,'All Simpanan '!C:C,'Simpanan Khusus'!E:E)</f>
        <v>0</v>
      </c>
      <c r="H446" s="4">
        <f>SUMIF('Simpanan Sukarela'!C:C,'All Simpanan '!C:C,'Simpanan Sukarela'!E:E)</f>
        <v>745169</v>
      </c>
      <c r="I446" s="4">
        <f>SUMIF('Simpanan Sukarela Berjangka'!B:B,'All Simpanan '!C:C,'Simpanan Sukarela Berjangka'!K:K)</f>
        <v>0</v>
      </c>
      <c r="J446" s="4">
        <f t="shared" si="6"/>
        <v>845169</v>
      </c>
      <c r="K446" s="35" t="s">
        <v>1578</v>
      </c>
    </row>
    <row r="447" spans="1:11" ht="15.5" x14ac:dyDescent="0.35">
      <c r="A447" s="5">
        <v>445</v>
      </c>
      <c r="B447" s="6" t="s">
        <v>981</v>
      </c>
      <c r="C447" s="7" t="s">
        <v>982</v>
      </c>
      <c r="D447" s="8" t="s">
        <v>983</v>
      </c>
      <c r="E447" s="8">
        <f>SUMIF('Simpanan Wajib'!C:C,'All Simpanan '!C:C,'Simpanan Wajib'!E:E)</f>
        <v>4495000</v>
      </c>
      <c r="F447" s="4">
        <f>SUMIF('Simpanan Pokok'!C:C,'All Simpanan '!C:C,'Simpanan Pokok'!E:E)</f>
        <v>5000</v>
      </c>
      <c r="G447" s="4">
        <f>SUMIF('Simpanan Khusus'!C:C,'All Simpanan '!C:C,'Simpanan Khusus'!E:E)</f>
        <v>100000</v>
      </c>
      <c r="H447" s="4">
        <f>SUMIF('Simpanan Sukarela'!C:C,'All Simpanan '!C:C,'Simpanan Sukarela'!E:E)</f>
        <v>836517.0357998726</v>
      </c>
      <c r="I447" s="4">
        <f>SUMIF('Simpanan Sukarela Berjangka'!B:B,'All Simpanan '!C:C,'Simpanan Sukarela Berjangka'!K:K)</f>
        <v>0</v>
      </c>
      <c r="J447" s="4">
        <f t="shared" si="6"/>
        <v>5436517.0357998721</v>
      </c>
      <c r="K447" s="35" t="s">
        <v>1578</v>
      </c>
    </row>
    <row r="448" spans="1:11" ht="15.5" x14ac:dyDescent="0.35">
      <c r="A448" s="5">
        <v>446</v>
      </c>
      <c r="B448" s="6" t="s">
        <v>984</v>
      </c>
      <c r="C448" s="7" t="s">
        <v>985</v>
      </c>
      <c r="D448" s="8" t="s">
        <v>60</v>
      </c>
      <c r="E448" s="8">
        <f>SUMIF('Simpanan Wajib'!C:C,'All Simpanan '!C:C,'Simpanan Wajib'!E:E)</f>
        <v>0</v>
      </c>
      <c r="F448" s="4">
        <f>SUMIF('Simpanan Pokok'!C:C,'All Simpanan '!C:C,'Simpanan Pokok'!E:E)</f>
        <v>0</v>
      </c>
      <c r="G448" s="4">
        <f>SUMIF('Simpanan Khusus'!C:C,'All Simpanan '!C:C,'Simpanan Khusus'!E:E)</f>
        <v>0</v>
      </c>
      <c r="H448" s="4">
        <f>SUMIF('Simpanan Sukarela'!C:C,'All Simpanan '!C:C,'Simpanan Sukarela'!E:E)</f>
        <v>108834.9780465333</v>
      </c>
      <c r="I448" s="4">
        <f>SUMIF('Simpanan Sukarela Berjangka'!B:B,'All Simpanan '!C:C,'Simpanan Sukarela Berjangka'!K:K)</f>
        <v>0</v>
      </c>
      <c r="J448" s="4">
        <f t="shared" si="6"/>
        <v>108834.9780465333</v>
      </c>
      <c r="K448" s="35" t="s">
        <v>1578</v>
      </c>
    </row>
    <row r="449" spans="1:11" ht="15.5" x14ac:dyDescent="0.35">
      <c r="A449" s="5">
        <v>447</v>
      </c>
      <c r="B449" s="6" t="s">
        <v>986</v>
      </c>
      <c r="C449" s="7" t="s">
        <v>987</v>
      </c>
      <c r="D449" s="8" t="s">
        <v>49</v>
      </c>
      <c r="E449" s="8">
        <f>SUMIF('Simpanan Wajib'!C:C,'All Simpanan '!C:C,'Simpanan Wajib'!E:E)</f>
        <v>0</v>
      </c>
      <c r="F449" s="4">
        <f>SUMIF('Simpanan Pokok'!C:C,'All Simpanan '!C:C,'Simpanan Pokok'!E:E)</f>
        <v>0</v>
      </c>
      <c r="G449" s="4">
        <f>SUMIF('Simpanan Khusus'!C:C,'All Simpanan '!C:C,'Simpanan Khusus'!E:E)</f>
        <v>0</v>
      </c>
      <c r="H449" s="4">
        <f>SUMIF('Simpanan Sukarela'!C:C,'All Simpanan '!C:C,'Simpanan Sukarela'!E:E)</f>
        <v>6535899.1132524144</v>
      </c>
      <c r="I449" s="4">
        <f>SUMIF('Simpanan Sukarela Berjangka'!B:B,'All Simpanan '!C:C,'Simpanan Sukarela Berjangka'!K:K)</f>
        <v>0</v>
      </c>
      <c r="J449" s="4">
        <f t="shared" si="6"/>
        <v>6535899.1132524144</v>
      </c>
      <c r="K449" s="35" t="s">
        <v>1578</v>
      </c>
    </row>
    <row r="450" spans="1:11" ht="15.5" x14ac:dyDescent="0.35">
      <c r="A450" s="5">
        <v>448</v>
      </c>
      <c r="B450" s="6" t="s">
        <v>988</v>
      </c>
      <c r="C450" s="7" t="s">
        <v>989</v>
      </c>
      <c r="D450" s="8" t="s">
        <v>333</v>
      </c>
      <c r="E450" s="8">
        <f>SUMIF('Simpanan Wajib'!C:C,'All Simpanan '!C:C,'Simpanan Wajib'!E:E)</f>
        <v>0</v>
      </c>
      <c r="F450" s="4">
        <f>SUMIF('Simpanan Pokok'!C:C,'All Simpanan '!C:C,'Simpanan Pokok'!E:E)</f>
        <v>0</v>
      </c>
      <c r="G450" s="4">
        <f>SUMIF('Simpanan Khusus'!C:C,'All Simpanan '!C:C,'Simpanan Khusus'!E:E)</f>
        <v>0</v>
      </c>
      <c r="H450" s="4">
        <f>SUMIF('Simpanan Sukarela'!C:C,'All Simpanan '!C:C,'Simpanan Sukarela'!E:E)</f>
        <v>0</v>
      </c>
      <c r="I450" s="4">
        <f>SUMIF('Simpanan Sukarela Berjangka'!B:B,'All Simpanan '!C:C,'Simpanan Sukarela Berjangka'!K:K)</f>
        <v>0</v>
      </c>
      <c r="J450" s="4">
        <f t="shared" si="6"/>
        <v>0</v>
      </c>
      <c r="K450" s="35" t="s">
        <v>1579</v>
      </c>
    </row>
    <row r="451" spans="1:11" ht="15.5" x14ac:dyDescent="0.35">
      <c r="A451" s="5">
        <v>449</v>
      </c>
      <c r="B451" s="6" t="s">
        <v>990</v>
      </c>
      <c r="C451" s="7" t="s">
        <v>991</v>
      </c>
      <c r="D451" s="8" t="s">
        <v>119</v>
      </c>
      <c r="E451" s="8">
        <f>SUMIF('Simpanan Wajib'!C:C,'All Simpanan '!C:C,'Simpanan Wajib'!E:E)</f>
        <v>0</v>
      </c>
      <c r="F451" s="4">
        <f>SUMIF('Simpanan Pokok'!C:C,'All Simpanan '!C:C,'Simpanan Pokok'!E:E)</f>
        <v>0</v>
      </c>
      <c r="G451" s="4">
        <f>SUMIF('Simpanan Khusus'!C:C,'All Simpanan '!C:C,'Simpanan Khusus'!E:E)</f>
        <v>0</v>
      </c>
      <c r="H451" s="4">
        <f>SUMIF('Simpanan Sukarela'!C:C,'All Simpanan '!C:C,'Simpanan Sukarela'!E:E)</f>
        <v>0</v>
      </c>
      <c r="I451" s="4">
        <f>SUMIF('Simpanan Sukarela Berjangka'!B:B,'All Simpanan '!C:C,'Simpanan Sukarela Berjangka'!K:K)</f>
        <v>0</v>
      </c>
      <c r="J451" s="4">
        <f t="shared" si="6"/>
        <v>0</v>
      </c>
      <c r="K451" s="35" t="s">
        <v>1579</v>
      </c>
    </row>
    <row r="452" spans="1:11" ht="15.5" x14ac:dyDescent="0.35">
      <c r="A452" s="5">
        <v>450</v>
      </c>
      <c r="B452" s="6" t="s">
        <v>992</v>
      </c>
      <c r="C452" s="7" t="s">
        <v>993</v>
      </c>
      <c r="D452" s="8" t="s">
        <v>119</v>
      </c>
      <c r="E452" s="8">
        <f>SUMIF('Simpanan Wajib'!C:C,'All Simpanan '!C:C,'Simpanan Wajib'!E:E)</f>
        <v>0</v>
      </c>
      <c r="F452" s="4">
        <f>SUMIF('Simpanan Pokok'!C:C,'All Simpanan '!C:C,'Simpanan Pokok'!E:E)</f>
        <v>0</v>
      </c>
      <c r="G452" s="4">
        <f>SUMIF('Simpanan Khusus'!C:C,'All Simpanan '!C:C,'Simpanan Khusus'!E:E)</f>
        <v>0</v>
      </c>
      <c r="H452" s="4">
        <f>SUMIF('Simpanan Sukarela'!C:C,'All Simpanan '!C:C,'Simpanan Sukarela'!E:E)</f>
        <v>0</v>
      </c>
      <c r="I452" s="4">
        <f>SUMIF('Simpanan Sukarela Berjangka'!B:B,'All Simpanan '!C:C,'Simpanan Sukarela Berjangka'!K:K)</f>
        <v>0</v>
      </c>
      <c r="J452" s="4">
        <f t="shared" ref="J452:J515" si="7">SUM(E452:I452)</f>
        <v>0</v>
      </c>
      <c r="K452" s="35" t="s">
        <v>1579</v>
      </c>
    </row>
    <row r="453" spans="1:11" ht="15.5" x14ac:dyDescent="0.35">
      <c r="A453" s="5">
        <v>451</v>
      </c>
      <c r="B453" s="6" t="s">
        <v>994</v>
      </c>
      <c r="C453" s="7" t="s">
        <v>995</v>
      </c>
      <c r="D453" s="8" t="s">
        <v>318</v>
      </c>
      <c r="E453" s="8">
        <f>SUMIF('Simpanan Wajib'!C:C,'All Simpanan '!C:C,'Simpanan Wajib'!E:E)</f>
        <v>0</v>
      </c>
      <c r="F453" s="4">
        <f>SUMIF('Simpanan Pokok'!C:C,'All Simpanan '!C:C,'Simpanan Pokok'!E:E)</f>
        <v>0</v>
      </c>
      <c r="G453" s="4">
        <f>SUMIF('Simpanan Khusus'!C:C,'All Simpanan '!C:C,'Simpanan Khusus'!E:E)</f>
        <v>0</v>
      </c>
      <c r="H453" s="4">
        <f>SUMIF('Simpanan Sukarela'!C:C,'All Simpanan '!C:C,'Simpanan Sukarela'!E:E)</f>
        <v>0</v>
      </c>
      <c r="I453" s="4">
        <f>SUMIF('Simpanan Sukarela Berjangka'!B:B,'All Simpanan '!C:C,'Simpanan Sukarela Berjangka'!K:K)</f>
        <v>0</v>
      </c>
      <c r="J453" s="4">
        <f t="shared" si="7"/>
        <v>0</v>
      </c>
      <c r="K453" s="35" t="s">
        <v>1579</v>
      </c>
    </row>
    <row r="454" spans="1:11" ht="15.5" x14ac:dyDescent="0.35">
      <c r="A454" s="5">
        <v>452</v>
      </c>
      <c r="B454" s="6" t="s">
        <v>996</v>
      </c>
      <c r="C454" s="7" t="s">
        <v>997</v>
      </c>
      <c r="D454" s="8" t="s">
        <v>300</v>
      </c>
      <c r="E454" s="8">
        <f>SUMIF('Simpanan Wajib'!C:C,'All Simpanan '!C:C,'Simpanan Wajib'!E:E)</f>
        <v>0</v>
      </c>
      <c r="F454" s="4">
        <f>SUMIF('Simpanan Pokok'!C:C,'All Simpanan '!C:C,'Simpanan Pokok'!E:E)</f>
        <v>0</v>
      </c>
      <c r="G454" s="4">
        <f>SUMIF('Simpanan Khusus'!C:C,'All Simpanan '!C:C,'Simpanan Khusus'!E:E)</f>
        <v>0</v>
      </c>
      <c r="H454" s="4">
        <f>SUMIF('Simpanan Sukarela'!C:C,'All Simpanan '!C:C,'Simpanan Sukarela'!E:E)</f>
        <v>742883</v>
      </c>
      <c r="I454" s="4">
        <f>SUMIF('Simpanan Sukarela Berjangka'!B:B,'All Simpanan '!C:C,'Simpanan Sukarela Berjangka'!K:K)</f>
        <v>0</v>
      </c>
      <c r="J454" s="4">
        <f t="shared" si="7"/>
        <v>742883</v>
      </c>
      <c r="K454" s="35" t="s">
        <v>1578</v>
      </c>
    </row>
    <row r="455" spans="1:11" ht="15.5" x14ac:dyDescent="0.35">
      <c r="A455" s="5">
        <v>453</v>
      </c>
      <c r="B455" s="6" t="s">
        <v>998</v>
      </c>
      <c r="C455" s="7" t="s">
        <v>999</v>
      </c>
      <c r="D455" s="8" t="s">
        <v>49</v>
      </c>
      <c r="E455" s="8">
        <f>SUMIF('Simpanan Wajib'!C:C,'All Simpanan '!C:C,'Simpanan Wajib'!E:E)</f>
        <v>445000</v>
      </c>
      <c r="F455" s="4">
        <f>SUMIF('Simpanan Pokok'!C:C,'All Simpanan '!C:C,'Simpanan Pokok'!E:E)</f>
        <v>5000</v>
      </c>
      <c r="G455" s="4">
        <f>SUMIF('Simpanan Khusus'!C:C,'All Simpanan '!C:C,'Simpanan Khusus'!E:E)</f>
        <v>0</v>
      </c>
      <c r="H455" s="4">
        <f>SUMIF('Simpanan Sukarela'!C:C,'All Simpanan '!C:C,'Simpanan Sukarela'!E:E)</f>
        <v>308415.6696519719</v>
      </c>
      <c r="I455" s="4">
        <f>SUMIF('Simpanan Sukarela Berjangka'!B:B,'All Simpanan '!C:C,'Simpanan Sukarela Berjangka'!K:K)</f>
        <v>0</v>
      </c>
      <c r="J455" s="4">
        <f t="shared" si="7"/>
        <v>758415.6696519719</v>
      </c>
      <c r="K455" s="35" t="s">
        <v>1578</v>
      </c>
    </row>
    <row r="456" spans="1:11" ht="15.5" x14ac:dyDescent="0.35">
      <c r="A456" s="5">
        <v>454</v>
      </c>
      <c r="B456" s="6" t="s">
        <v>1000</v>
      </c>
      <c r="C456" s="7" t="s">
        <v>1001</v>
      </c>
      <c r="D456" s="8" t="s">
        <v>14</v>
      </c>
      <c r="E456" s="8">
        <f>SUMIF('Simpanan Wajib'!C:C,'All Simpanan '!C:C,'Simpanan Wajib'!E:E)</f>
        <v>18775000</v>
      </c>
      <c r="F456" s="4">
        <f>SUMIF('Simpanan Pokok'!C:C,'All Simpanan '!C:C,'Simpanan Pokok'!E:E)</f>
        <v>5000</v>
      </c>
      <c r="G456" s="4">
        <f>SUMIF('Simpanan Khusus'!C:C,'All Simpanan '!C:C,'Simpanan Khusus'!E:E)</f>
        <v>0</v>
      </c>
      <c r="H456" s="4">
        <f>SUMIF('Simpanan Sukarela'!C:C,'All Simpanan '!C:C,'Simpanan Sukarela'!E:E)</f>
        <v>1521299.7867723471</v>
      </c>
      <c r="I456" s="4">
        <f>SUMIF('Simpanan Sukarela Berjangka'!B:B,'All Simpanan '!C:C,'Simpanan Sukarela Berjangka'!K:K)</f>
        <v>0</v>
      </c>
      <c r="J456" s="4">
        <f t="shared" si="7"/>
        <v>20301299.786772348</v>
      </c>
      <c r="K456" s="35" t="s">
        <v>1579</v>
      </c>
    </row>
    <row r="457" spans="1:11" ht="15.5" x14ac:dyDescent="0.35">
      <c r="A457" s="5">
        <v>455</v>
      </c>
      <c r="B457" s="6" t="s">
        <v>1002</v>
      </c>
      <c r="C457" s="7" t="s">
        <v>1003</v>
      </c>
      <c r="D457" s="8" t="s">
        <v>136</v>
      </c>
      <c r="E457" s="8">
        <f>SUMIF('Simpanan Wajib'!C:C,'All Simpanan '!C:C,'Simpanan Wajib'!E:E)</f>
        <v>0</v>
      </c>
      <c r="F457" s="4">
        <f>SUMIF('Simpanan Pokok'!C:C,'All Simpanan '!C:C,'Simpanan Pokok'!E:E)</f>
        <v>0</v>
      </c>
      <c r="G457" s="4">
        <f>SUMIF('Simpanan Khusus'!C:C,'All Simpanan '!C:C,'Simpanan Khusus'!E:E)</f>
        <v>0</v>
      </c>
      <c r="H457" s="4">
        <f>SUMIF('Simpanan Sukarela'!C:C,'All Simpanan '!C:C,'Simpanan Sukarela'!E:E)</f>
        <v>62041</v>
      </c>
      <c r="I457" s="4">
        <f>SUMIF('Simpanan Sukarela Berjangka'!B:B,'All Simpanan '!C:C,'Simpanan Sukarela Berjangka'!K:K)</f>
        <v>0</v>
      </c>
      <c r="J457" s="4">
        <f t="shared" si="7"/>
        <v>62041</v>
      </c>
      <c r="K457" s="35" t="s">
        <v>1581</v>
      </c>
    </row>
    <row r="458" spans="1:11" ht="15.5" x14ac:dyDescent="0.35">
      <c r="A458" s="5">
        <v>456</v>
      </c>
      <c r="B458" s="6" t="s">
        <v>1004</v>
      </c>
      <c r="C458" s="7" t="s">
        <v>1005</v>
      </c>
      <c r="D458" s="8" t="s">
        <v>169</v>
      </c>
      <c r="E458" s="8">
        <f>SUMIF('Simpanan Wajib'!C:C,'All Simpanan '!C:C,'Simpanan Wajib'!E:E)</f>
        <v>0</v>
      </c>
      <c r="F458" s="4">
        <f>SUMIF('Simpanan Pokok'!C:C,'All Simpanan '!C:C,'Simpanan Pokok'!E:E)</f>
        <v>0</v>
      </c>
      <c r="G458" s="4">
        <f>SUMIF('Simpanan Khusus'!C:C,'All Simpanan '!C:C,'Simpanan Khusus'!E:E)</f>
        <v>0</v>
      </c>
      <c r="H458" s="4">
        <f>SUMIF('Simpanan Sukarela'!C:C,'All Simpanan '!C:C,'Simpanan Sukarela'!E:E)</f>
        <v>354015.87034101144</v>
      </c>
      <c r="I458" s="4">
        <f>SUMIF('Simpanan Sukarela Berjangka'!B:B,'All Simpanan '!C:C,'Simpanan Sukarela Berjangka'!K:K)</f>
        <v>0</v>
      </c>
      <c r="J458" s="4">
        <f t="shared" si="7"/>
        <v>354015.87034101144</v>
      </c>
      <c r="K458" s="35" t="s">
        <v>1578</v>
      </c>
    </row>
    <row r="459" spans="1:11" ht="15.5" x14ac:dyDescent="0.35">
      <c r="A459" s="5">
        <v>457</v>
      </c>
      <c r="B459" s="6" t="s">
        <v>1006</v>
      </c>
      <c r="C459" s="7" t="s">
        <v>1007</v>
      </c>
      <c r="D459" s="8" t="s">
        <v>14</v>
      </c>
      <c r="E459" s="8">
        <f>SUMIF('Simpanan Wajib'!C:C,'All Simpanan '!C:C,'Simpanan Wajib'!E:E)</f>
        <v>0</v>
      </c>
      <c r="F459" s="4">
        <f>SUMIF('Simpanan Pokok'!C:C,'All Simpanan '!C:C,'Simpanan Pokok'!E:E)</f>
        <v>0</v>
      </c>
      <c r="G459" s="4">
        <f>SUMIF('Simpanan Khusus'!C:C,'All Simpanan '!C:C,'Simpanan Khusus'!E:E)</f>
        <v>0</v>
      </c>
      <c r="H459" s="4">
        <f>SUMIF('Simpanan Sukarela'!C:C,'All Simpanan '!C:C,'Simpanan Sukarela'!E:E)</f>
        <v>0</v>
      </c>
      <c r="I459" s="4">
        <f>SUMIF('Simpanan Sukarela Berjangka'!B:B,'All Simpanan '!C:C,'Simpanan Sukarela Berjangka'!K:K)</f>
        <v>0</v>
      </c>
      <c r="J459" s="4">
        <f t="shared" si="7"/>
        <v>0</v>
      </c>
      <c r="K459" s="35" t="s">
        <v>1576</v>
      </c>
    </row>
    <row r="460" spans="1:11" ht="15.5" x14ac:dyDescent="0.35">
      <c r="A460" s="5">
        <v>458</v>
      </c>
      <c r="B460" s="6" t="s">
        <v>1008</v>
      </c>
      <c r="C460" s="7" t="s">
        <v>1009</v>
      </c>
      <c r="D460" s="8" t="s">
        <v>60</v>
      </c>
      <c r="E460" s="8">
        <f>SUMIF('Simpanan Wajib'!C:C,'All Simpanan '!C:C,'Simpanan Wajib'!E:E)</f>
        <v>0</v>
      </c>
      <c r="F460" s="4">
        <f>SUMIF('Simpanan Pokok'!C:C,'All Simpanan '!C:C,'Simpanan Pokok'!E:E)</f>
        <v>0</v>
      </c>
      <c r="G460" s="4">
        <f>SUMIF('Simpanan Khusus'!C:C,'All Simpanan '!C:C,'Simpanan Khusus'!E:E)</f>
        <v>0</v>
      </c>
      <c r="H460" s="4">
        <f>SUMIF('Simpanan Sukarela'!C:C,'All Simpanan '!C:C,'Simpanan Sukarela'!E:E)</f>
        <v>0</v>
      </c>
      <c r="I460" s="4">
        <f>SUMIF('Simpanan Sukarela Berjangka'!B:B,'All Simpanan '!C:C,'Simpanan Sukarela Berjangka'!K:K)</f>
        <v>0</v>
      </c>
      <c r="J460" s="4">
        <f t="shared" si="7"/>
        <v>0</v>
      </c>
      <c r="K460" s="35" t="s">
        <v>1579</v>
      </c>
    </row>
    <row r="461" spans="1:11" ht="15.5" x14ac:dyDescent="0.35">
      <c r="A461" s="5">
        <v>459</v>
      </c>
      <c r="B461" s="6" t="s">
        <v>1010</v>
      </c>
      <c r="C461" s="7" t="s">
        <v>1011</v>
      </c>
      <c r="D461" s="8" t="s">
        <v>60</v>
      </c>
      <c r="E461" s="8">
        <f>SUMIF('Simpanan Wajib'!C:C,'All Simpanan '!C:C,'Simpanan Wajib'!E:E)</f>
        <v>0</v>
      </c>
      <c r="F461" s="4">
        <f>SUMIF('Simpanan Pokok'!C:C,'All Simpanan '!C:C,'Simpanan Pokok'!E:E)</f>
        <v>0</v>
      </c>
      <c r="G461" s="4">
        <f>SUMIF('Simpanan Khusus'!C:C,'All Simpanan '!C:C,'Simpanan Khusus'!E:E)</f>
        <v>0</v>
      </c>
      <c r="H461" s="4">
        <f>SUMIF('Simpanan Sukarela'!C:C,'All Simpanan '!C:C,'Simpanan Sukarela'!E:E)</f>
        <v>0</v>
      </c>
      <c r="I461" s="4">
        <f>SUMIF('Simpanan Sukarela Berjangka'!B:B,'All Simpanan '!C:C,'Simpanan Sukarela Berjangka'!K:K)</f>
        <v>0</v>
      </c>
      <c r="J461" s="4">
        <f t="shared" si="7"/>
        <v>0</v>
      </c>
      <c r="K461" s="35" t="s">
        <v>1578</v>
      </c>
    </row>
    <row r="462" spans="1:11" ht="15.5" x14ac:dyDescent="0.35">
      <c r="A462" s="5">
        <v>460</v>
      </c>
      <c r="B462" s="6" t="s">
        <v>1012</v>
      </c>
      <c r="C462" s="7" t="s">
        <v>1013</v>
      </c>
      <c r="D462" s="8" t="s">
        <v>60</v>
      </c>
      <c r="E462" s="8">
        <f>SUMIF('Simpanan Wajib'!C:C,'All Simpanan '!C:C,'Simpanan Wajib'!E:E)</f>
        <v>0</v>
      </c>
      <c r="F462" s="4">
        <f>SUMIF('Simpanan Pokok'!C:C,'All Simpanan '!C:C,'Simpanan Pokok'!E:E)</f>
        <v>0</v>
      </c>
      <c r="G462" s="4">
        <f>SUMIF('Simpanan Khusus'!C:C,'All Simpanan '!C:C,'Simpanan Khusus'!E:E)</f>
        <v>0</v>
      </c>
      <c r="H462" s="4">
        <f>SUMIF('Simpanan Sukarela'!C:C,'All Simpanan '!C:C,'Simpanan Sukarela'!E:E)</f>
        <v>0</v>
      </c>
      <c r="I462" s="4">
        <f>SUMIF('Simpanan Sukarela Berjangka'!B:B,'All Simpanan '!C:C,'Simpanan Sukarela Berjangka'!K:K)</f>
        <v>0</v>
      </c>
      <c r="J462" s="4">
        <f t="shared" si="7"/>
        <v>0</v>
      </c>
      <c r="K462" s="35" t="s">
        <v>1579</v>
      </c>
    </row>
    <row r="463" spans="1:11" ht="15.5" x14ac:dyDescent="0.35">
      <c r="A463" s="5">
        <v>461</v>
      </c>
      <c r="B463" s="6" t="s">
        <v>1014</v>
      </c>
      <c r="C463" s="7" t="s">
        <v>1015</v>
      </c>
      <c r="D463" s="8" t="s">
        <v>60</v>
      </c>
      <c r="E463" s="8">
        <f>SUMIF('Simpanan Wajib'!C:C,'All Simpanan '!C:C,'Simpanan Wajib'!E:E)</f>
        <v>0</v>
      </c>
      <c r="F463" s="4">
        <f>SUMIF('Simpanan Pokok'!C:C,'All Simpanan '!C:C,'Simpanan Pokok'!E:E)</f>
        <v>0</v>
      </c>
      <c r="G463" s="4">
        <f>SUMIF('Simpanan Khusus'!C:C,'All Simpanan '!C:C,'Simpanan Khusus'!E:E)</f>
        <v>0</v>
      </c>
      <c r="H463" s="4">
        <f>SUMIF('Simpanan Sukarela'!C:C,'All Simpanan '!C:C,'Simpanan Sukarela'!E:E)</f>
        <v>0</v>
      </c>
      <c r="I463" s="4">
        <f>SUMIF('Simpanan Sukarela Berjangka'!B:B,'All Simpanan '!C:C,'Simpanan Sukarela Berjangka'!K:K)</f>
        <v>0</v>
      </c>
      <c r="J463" s="4">
        <f t="shared" si="7"/>
        <v>0</v>
      </c>
      <c r="K463" s="35" t="s">
        <v>1578</v>
      </c>
    </row>
    <row r="464" spans="1:11" ht="15.5" x14ac:dyDescent="0.35">
      <c r="A464" s="5">
        <v>462</v>
      </c>
      <c r="B464" s="6" t="s">
        <v>1016</v>
      </c>
      <c r="C464" s="7" t="s">
        <v>1017</v>
      </c>
      <c r="D464" s="8" t="s">
        <v>367</v>
      </c>
      <c r="E464" s="8">
        <f>SUMIF('Simpanan Wajib'!C:C,'All Simpanan '!C:C,'Simpanan Wajib'!E:E)</f>
        <v>0</v>
      </c>
      <c r="F464" s="4">
        <f>SUMIF('Simpanan Pokok'!C:C,'All Simpanan '!C:C,'Simpanan Pokok'!E:E)</f>
        <v>0</v>
      </c>
      <c r="G464" s="4">
        <f>SUMIF('Simpanan Khusus'!C:C,'All Simpanan '!C:C,'Simpanan Khusus'!E:E)</f>
        <v>0</v>
      </c>
      <c r="H464" s="4">
        <f>SUMIF('Simpanan Sukarela'!C:C,'All Simpanan '!C:C,'Simpanan Sukarela'!E:E)</f>
        <v>0</v>
      </c>
      <c r="I464" s="4">
        <f>SUMIF('Simpanan Sukarela Berjangka'!B:B,'All Simpanan '!C:C,'Simpanan Sukarela Berjangka'!K:K)</f>
        <v>0</v>
      </c>
      <c r="J464" s="4">
        <f t="shared" si="7"/>
        <v>0</v>
      </c>
      <c r="K464" s="35" t="s">
        <v>1579</v>
      </c>
    </row>
    <row r="465" spans="1:11" ht="15.5" x14ac:dyDescent="0.35">
      <c r="A465" s="5">
        <v>463</v>
      </c>
      <c r="B465" s="6" t="s">
        <v>1018</v>
      </c>
      <c r="C465" s="7" t="s">
        <v>1019</v>
      </c>
      <c r="D465" s="8" t="s">
        <v>198</v>
      </c>
      <c r="E465" s="8">
        <f>SUMIF('Simpanan Wajib'!C:C,'All Simpanan '!C:C,'Simpanan Wajib'!E:E)</f>
        <v>0</v>
      </c>
      <c r="F465" s="4">
        <f>SUMIF('Simpanan Pokok'!C:C,'All Simpanan '!C:C,'Simpanan Pokok'!E:E)</f>
        <v>0</v>
      </c>
      <c r="G465" s="4">
        <f>SUMIF('Simpanan Khusus'!C:C,'All Simpanan '!C:C,'Simpanan Khusus'!E:E)</f>
        <v>0</v>
      </c>
      <c r="H465" s="4">
        <f>SUMIF('Simpanan Sukarela'!C:C,'All Simpanan '!C:C,'Simpanan Sukarela'!E:E)</f>
        <v>0</v>
      </c>
      <c r="I465" s="4">
        <f>SUMIF('Simpanan Sukarela Berjangka'!B:B,'All Simpanan '!C:C,'Simpanan Sukarela Berjangka'!K:K)</f>
        <v>0</v>
      </c>
      <c r="J465" s="4">
        <f t="shared" si="7"/>
        <v>0</v>
      </c>
      <c r="K465" s="35" t="s">
        <v>1579</v>
      </c>
    </row>
    <row r="466" spans="1:11" ht="15.5" x14ac:dyDescent="0.35">
      <c r="A466" s="5">
        <v>464</v>
      </c>
      <c r="B466" s="6" t="s">
        <v>1020</v>
      </c>
      <c r="C466" s="7" t="s">
        <v>1021</v>
      </c>
      <c r="D466" s="8" t="s">
        <v>198</v>
      </c>
      <c r="E466" s="8">
        <f>SUMIF('Simpanan Wajib'!C:C,'All Simpanan '!C:C,'Simpanan Wajib'!E:E)</f>
        <v>0</v>
      </c>
      <c r="F466" s="4">
        <f>SUMIF('Simpanan Pokok'!C:C,'All Simpanan '!C:C,'Simpanan Pokok'!E:E)</f>
        <v>0</v>
      </c>
      <c r="G466" s="4">
        <f>SUMIF('Simpanan Khusus'!C:C,'All Simpanan '!C:C,'Simpanan Khusus'!E:E)</f>
        <v>0</v>
      </c>
      <c r="H466" s="4">
        <f>SUMIF('Simpanan Sukarela'!C:C,'All Simpanan '!C:C,'Simpanan Sukarela'!E:E)</f>
        <v>0</v>
      </c>
      <c r="I466" s="4">
        <f>SUMIF('Simpanan Sukarela Berjangka'!B:B,'All Simpanan '!C:C,'Simpanan Sukarela Berjangka'!K:K)</f>
        <v>0</v>
      </c>
      <c r="J466" s="4">
        <f t="shared" si="7"/>
        <v>0</v>
      </c>
      <c r="K466" s="35" t="s">
        <v>1579</v>
      </c>
    </row>
    <row r="467" spans="1:11" ht="15.5" x14ac:dyDescent="0.35">
      <c r="A467" s="5">
        <v>465</v>
      </c>
      <c r="B467" s="6" t="s">
        <v>1022</v>
      </c>
      <c r="C467" s="7" t="s">
        <v>1023</v>
      </c>
      <c r="D467" s="8" t="s">
        <v>49</v>
      </c>
      <c r="E467" s="8">
        <f>SUMIF('Simpanan Wajib'!C:C,'All Simpanan '!C:C,'Simpanan Wajib'!E:E)</f>
        <v>0</v>
      </c>
      <c r="F467" s="4">
        <f>SUMIF('Simpanan Pokok'!C:C,'All Simpanan '!C:C,'Simpanan Pokok'!E:E)</f>
        <v>0</v>
      </c>
      <c r="G467" s="4">
        <f>SUMIF('Simpanan Khusus'!C:C,'All Simpanan '!C:C,'Simpanan Khusus'!E:E)</f>
        <v>0</v>
      </c>
      <c r="H467" s="4">
        <f>SUMIF('Simpanan Sukarela'!C:C,'All Simpanan '!C:C,'Simpanan Sukarela'!E:E)</f>
        <v>0</v>
      </c>
      <c r="I467" s="4">
        <f>SUMIF('Simpanan Sukarela Berjangka'!B:B,'All Simpanan '!C:C,'Simpanan Sukarela Berjangka'!K:K)</f>
        <v>0</v>
      </c>
      <c r="J467" s="4">
        <f t="shared" si="7"/>
        <v>0</v>
      </c>
      <c r="K467" s="35" t="s">
        <v>1578</v>
      </c>
    </row>
    <row r="468" spans="1:11" ht="15.5" x14ac:dyDescent="0.35">
      <c r="A468" s="5">
        <v>466</v>
      </c>
      <c r="B468" s="6" t="s">
        <v>1024</v>
      </c>
      <c r="C468" s="7" t="s">
        <v>1025</v>
      </c>
      <c r="D468" s="8" t="s">
        <v>123</v>
      </c>
      <c r="E468" s="8">
        <f>SUMIF('Simpanan Wajib'!C:C,'All Simpanan '!C:C,'Simpanan Wajib'!E:E)</f>
        <v>0</v>
      </c>
      <c r="F468" s="4">
        <f>SUMIF('Simpanan Pokok'!C:C,'All Simpanan '!C:C,'Simpanan Pokok'!E:E)</f>
        <v>0</v>
      </c>
      <c r="G468" s="4">
        <f>SUMIF('Simpanan Khusus'!C:C,'All Simpanan '!C:C,'Simpanan Khusus'!E:E)</f>
        <v>0</v>
      </c>
      <c r="H468" s="4">
        <f>SUMIF('Simpanan Sukarela'!C:C,'All Simpanan '!C:C,'Simpanan Sukarela'!E:E)</f>
        <v>0</v>
      </c>
      <c r="I468" s="4">
        <f>SUMIF('Simpanan Sukarela Berjangka'!B:B,'All Simpanan '!C:C,'Simpanan Sukarela Berjangka'!K:K)</f>
        <v>0</v>
      </c>
      <c r="J468" s="4">
        <f t="shared" si="7"/>
        <v>0</v>
      </c>
      <c r="K468" s="35" t="s">
        <v>1578</v>
      </c>
    </row>
    <row r="469" spans="1:11" ht="15.5" x14ac:dyDescent="0.35">
      <c r="A469" s="5">
        <v>467</v>
      </c>
      <c r="B469" s="6" t="s">
        <v>1026</v>
      </c>
      <c r="C469" s="7" t="s">
        <v>1027</v>
      </c>
      <c r="D469" s="8" t="s">
        <v>77</v>
      </c>
      <c r="E469" s="8">
        <f>SUMIF('Simpanan Wajib'!C:C,'All Simpanan '!C:C,'Simpanan Wajib'!E:E)</f>
        <v>0</v>
      </c>
      <c r="F469" s="4">
        <f>SUMIF('Simpanan Pokok'!C:C,'All Simpanan '!C:C,'Simpanan Pokok'!E:E)</f>
        <v>0</v>
      </c>
      <c r="G469" s="4">
        <f>SUMIF('Simpanan Khusus'!C:C,'All Simpanan '!C:C,'Simpanan Khusus'!E:E)</f>
        <v>0</v>
      </c>
      <c r="H469" s="4">
        <f>SUMIF('Simpanan Sukarela'!C:C,'All Simpanan '!C:C,'Simpanan Sukarela'!E:E)</f>
        <v>0</v>
      </c>
      <c r="I469" s="4">
        <f>SUMIF('Simpanan Sukarela Berjangka'!B:B,'All Simpanan '!C:C,'Simpanan Sukarela Berjangka'!K:K)</f>
        <v>0</v>
      </c>
      <c r="J469" s="4">
        <f t="shared" si="7"/>
        <v>0</v>
      </c>
      <c r="K469" s="35" t="s">
        <v>1579</v>
      </c>
    </row>
    <row r="470" spans="1:11" ht="15.5" x14ac:dyDescent="0.35">
      <c r="A470" s="5">
        <v>468</v>
      </c>
      <c r="B470" s="6" t="s">
        <v>1028</v>
      </c>
      <c r="C470" s="7" t="s">
        <v>1029</v>
      </c>
      <c r="D470" s="8" t="s">
        <v>141</v>
      </c>
      <c r="E470" s="8">
        <f>SUMIF('Simpanan Wajib'!C:C,'All Simpanan '!C:C,'Simpanan Wajib'!E:E)</f>
        <v>0</v>
      </c>
      <c r="F470" s="4">
        <f>SUMIF('Simpanan Pokok'!C:C,'All Simpanan '!C:C,'Simpanan Pokok'!E:E)</f>
        <v>0</v>
      </c>
      <c r="G470" s="4">
        <f>SUMIF('Simpanan Khusus'!C:C,'All Simpanan '!C:C,'Simpanan Khusus'!E:E)</f>
        <v>0</v>
      </c>
      <c r="H470" s="4">
        <f>SUMIF('Simpanan Sukarela'!C:C,'All Simpanan '!C:C,'Simpanan Sukarela'!E:E)</f>
        <v>0</v>
      </c>
      <c r="I470" s="4">
        <f>SUMIF('Simpanan Sukarela Berjangka'!B:B,'All Simpanan '!C:C,'Simpanan Sukarela Berjangka'!K:K)</f>
        <v>0</v>
      </c>
      <c r="J470" s="4">
        <f t="shared" si="7"/>
        <v>0</v>
      </c>
      <c r="K470" s="35" t="s">
        <v>1579</v>
      </c>
    </row>
    <row r="471" spans="1:11" ht="15.5" x14ac:dyDescent="0.35">
      <c r="A471" s="5">
        <v>469</v>
      </c>
      <c r="B471" s="6" t="s">
        <v>1030</v>
      </c>
      <c r="C471" s="7" t="s">
        <v>1031</v>
      </c>
      <c r="D471" s="8" t="s">
        <v>141</v>
      </c>
      <c r="E471" s="8">
        <f>SUMIF('Simpanan Wajib'!C:C,'All Simpanan '!C:C,'Simpanan Wajib'!E:E)</f>
        <v>0</v>
      </c>
      <c r="F471" s="4">
        <f>SUMIF('Simpanan Pokok'!C:C,'All Simpanan '!C:C,'Simpanan Pokok'!E:E)</f>
        <v>0</v>
      </c>
      <c r="G471" s="4">
        <f>SUMIF('Simpanan Khusus'!C:C,'All Simpanan '!C:C,'Simpanan Khusus'!E:E)</f>
        <v>0</v>
      </c>
      <c r="H471" s="4">
        <f>SUMIF('Simpanan Sukarela'!C:C,'All Simpanan '!C:C,'Simpanan Sukarela'!E:E)</f>
        <v>0</v>
      </c>
      <c r="I471" s="4">
        <f>SUMIF('Simpanan Sukarela Berjangka'!B:B,'All Simpanan '!C:C,'Simpanan Sukarela Berjangka'!K:K)</f>
        <v>0</v>
      </c>
      <c r="J471" s="4">
        <f t="shared" si="7"/>
        <v>0</v>
      </c>
      <c r="K471" s="35" t="s">
        <v>1578</v>
      </c>
    </row>
    <row r="472" spans="1:11" ht="15.5" x14ac:dyDescent="0.35">
      <c r="A472" s="5">
        <v>470</v>
      </c>
      <c r="B472" s="6" t="s">
        <v>1032</v>
      </c>
      <c r="C472" s="7" t="s">
        <v>1033</v>
      </c>
      <c r="D472" s="8" t="s">
        <v>253</v>
      </c>
      <c r="E472" s="8">
        <f>SUMIF('Simpanan Wajib'!C:C,'All Simpanan '!C:C,'Simpanan Wajib'!E:E)</f>
        <v>0</v>
      </c>
      <c r="F472" s="4">
        <f>SUMIF('Simpanan Pokok'!C:C,'All Simpanan '!C:C,'Simpanan Pokok'!E:E)</f>
        <v>0</v>
      </c>
      <c r="G472" s="4">
        <f>SUMIF('Simpanan Khusus'!C:C,'All Simpanan '!C:C,'Simpanan Khusus'!E:E)</f>
        <v>0</v>
      </c>
      <c r="H472" s="4">
        <f>SUMIF('Simpanan Sukarela'!C:C,'All Simpanan '!C:C,'Simpanan Sukarela'!E:E)</f>
        <v>0</v>
      </c>
      <c r="I472" s="4">
        <f>SUMIF('Simpanan Sukarela Berjangka'!B:B,'All Simpanan '!C:C,'Simpanan Sukarela Berjangka'!K:K)</f>
        <v>0</v>
      </c>
      <c r="J472" s="4">
        <f t="shared" si="7"/>
        <v>0</v>
      </c>
      <c r="K472" s="35" t="s">
        <v>1576</v>
      </c>
    </row>
    <row r="473" spans="1:11" ht="15.5" x14ac:dyDescent="0.35">
      <c r="A473" s="5">
        <v>471</v>
      </c>
      <c r="B473" s="6" t="s">
        <v>1034</v>
      </c>
      <c r="C473" s="7" t="s">
        <v>1035</v>
      </c>
      <c r="D473" s="8" t="s">
        <v>131</v>
      </c>
      <c r="E473" s="8">
        <f>SUMIF('Simpanan Wajib'!C:C,'All Simpanan '!C:C,'Simpanan Wajib'!E:E)</f>
        <v>1500000</v>
      </c>
      <c r="F473" s="4">
        <f>SUMIF('Simpanan Pokok'!C:C,'All Simpanan '!C:C,'Simpanan Pokok'!E:E)</f>
        <v>0</v>
      </c>
      <c r="G473" s="4">
        <f>SUMIF('Simpanan Khusus'!C:C,'All Simpanan '!C:C,'Simpanan Khusus'!E:E)</f>
        <v>0</v>
      </c>
      <c r="H473" s="4">
        <f>SUMIF('Simpanan Sukarela'!C:C,'All Simpanan '!C:C,'Simpanan Sukarela'!E:E)</f>
        <v>61546</v>
      </c>
      <c r="I473" s="4">
        <f>SUMIF('Simpanan Sukarela Berjangka'!B:B,'All Simpanan '!C:C,'Simpanan Sukarela Berjangka'!K:K)</f>
        <v>0</v>
      </c>
      <c r="J473" s="4">
        <f t="shared" si="7"/>
        <v>1561546</v>
      </c>
      <c r="K473" s="35" t="s">
        <v>1578</v>
      </c>
    </row>
    <row r="474" spans="1:11" ht="15.5" x14ac:dyDescent="0.35">
      <c r="A474" s="5">
        <v>472</v>
      </c>
      <c r="B474" s="6" t="s">
        <v>1036</v>
      </c>
      <c r="C474" s="7" t="s">
        <v>1037</v>
      </c>
      <c r="D474" s="8" t="s">
        <v>46</v>
      </c>
      <c r="E474" s="8">
        <f>SUMIF('Simpanan Wajib'!C:C,'All Simpanan '!C:C,'Simpanan Wajib'!E:E)</f>
        <v>0</v>
      </c>
      <c r="F474" s="4">
        <f>SUMIF('Simpanan Pokok'!C:C,'All Simpanan '!C:C,'Simpanan Pokok'!E:E)</f>
        <v>0</v>
      </c>
      <c r="G474" s="4">
        <f>SUMIF('Simpanan Khusus'!C:C,'All Simpanan '!C:C,'Simpanan Khusus'!E:E)</f>
        <v>0</v>
      </c>
      <c r="H474" s="4">
        <f>SUMIF('Simpanan Sukarela'!C:C,'All Simpanan '!C:C,'Simpanan Sukarela'!E:E)</f>
        <v>0</v>
      </c>
      <c r="I474" s="4">
        <f>SUMIF('Simpanan Sukarela Berjangka'!B:B,'All Simpanan '!C:C,'Simpanan Sukarela Berjangka'!K:K)</f>
        <v>0</v>
      </c>
      <c r="J474" s="4">
        <f t="shared" si="7"/>
        <v>0</v>
      </c>
      <c r="K474" s="35" t="s">
        <v>1578</v>
      </c>
    </row>
    <row r="475" spans="1:11" ht="15.5" x14ac:dyDescent="0.35">
      <c r="A475" s="5">
        <v>473</v>
      </c>
      <c r="B475" s="6" t="s">
        <v>1038</v>
      </c>
      <c r="C475" s="7" t="s">
        <v>1039</v>
      </c>
      <c r="D475" s="8" t="s">
        <v>253</v>
      </c>
      <c r="E475" s="8">
        <f>SUMIF('Simpanan Wajib'!C:C,'All Simpanan '!C:C,'Simpanan Wajib'!E:E)</f>
        <v>0</v>
      </c>
      <c r="F475" s="4">
        <f>SUMIF('Simpanan Pokok'!C:C,'All Simpanan '!C:C,'Simpanan Pokok'!E:E)</f>
        <v>0</v>
      </c>
      <c r="G475" s="4">
        <f>SUMIF('Simpanan Khusus'!C:C,'All Simpanan '!C:C,'Simpanan Khusus'!E:E)</f>
        <v>0</v>
      </c>
      <c r="H475" s="4">
        <f>SUMIF('Simpanan Sukarela'!C:C,'All Simpanan '!C:C,'Simpanan Sukarela'!E:E)</f>
        <v>0</v>
      </c>
      <c r="I475" s="4">
        <f>SUMIF('Simpanan Sukarela Berjangka'!B:B,'All Simpanan '!C:C,'Simpanan Sukarela Berjangka'!K:K)</f>
        <v>0</v>
      </c>
      <c r="J475" s="4">
        <f t="shared" si="7"/>
        <v>0</v>
      </c>
      <c r="K475" s="35" t="s">
        <v>1578</v>
      </c>
    </row>
    <row r="476" spans="1:11" ht="15.5" x14ac:dyDescent="0.35">
      <c r="A476" s="5">
        <v>474</v>
      </c>
      <c r="B476" s="6" t="s">
        <v>1040</v>
      </c>
      <c r="C476" s="7" t="s">
        <v>1041</v>
      </c>
      <c r="D476" s="8" t="s">
        <v>95</v>
      </c>
      <c r="E476" s="8">
        <f>SUMIF('Simpanan Wajib'!C:C,'All Simpanan '!C:C,'Simpanan Wajib'!E:E)</f>
        <v>0</v>
      </c>
      <c r="F476" s="4">
        <f>SUMIF('Simpanan Pokok'!C:C,'All Simpanan '!C:C,'Simpanan Pokok'!E:E)</f>
        <v>0</v>
      </c>
      <c r="G476" s="4">
        <f>SUMIF('Simpanan Khusus'!C:C,'All Simpanan '!C:C,'Simpanan Khusus'!E:E)</f>
        <v>0</v>
      </c>
      <c r="H476" s="4">
        <f>SUMIF('Simpanan Sukarela'!C:C,'All Simpanan '!C:C,'Simpanan Sukarela'!E:E)</f>
        <v>0</v>
      </c>
      <c r="I476" s="4">
        <f>SUMIF('Simpanan Sukarela Berjangka'!B:B,'All Simpanan '!C:C,'Simpanan Sukarela Berjangka'!K:K)</f>
        <v>0</v>
      </c>
      <c r="J476" s="4">
        <f t="shared" si="7"/>
        <v>0</v>
      </c>
      <c r="K476" s="35" t="s">
        <v>1579</v>
      </c>
    </row>
    <row r="477" spans="1:11" ht="15.5" x14ac:dyDescent="0.35">
      <c r="A477" s="5">
        <v>475</v>
      </c>
      <c r="B477" s="6" t="s">
        <v>1042</v>
      </c>
      <c r="C477" s="7" t="s">
        <v>1043</v>
      </c>
      <c r="D477" s="8" t="s">
        <v>95</v>
      </c>
      <c r="E477" s="8">
        <f>SUMIF('Simpanan Wajib'!C:C,'All Simpanan '!C:C,'Simpanan Wajib'!E:E)</f>
        <v>0</v>
      </c>
      <c r="F477" s="4">
        <f>SUMIF('Simpanan Pokok'!C:C,'All Simpanan '!C:C,'Simpanan Pokok'!E:E)</f>
        <v>0</v>
      </c>
      <c r="G477" s="4">
        <f>SUMIF('Simpanan Khusus'!C:C,'All Simpanan '!C:C,'Simpanan Khusus'!E:E)</f>
        <v>0</v>
      </c>
      <c r="H477" s="4">
        <f>SUMIF('Simpanan Sukarela'!C:C,'All Simpanan '!C:C,'Simpanan Sukarela'!E:E)</f>
        <v>0</v>
      </c>
      <c r="I477" s="4">
        <f>SUMIF('Simpanan Sukarela Berjangka'!B:B,'All Simpanan '!C:C,'Simpanan Sukarela Berjangka'!K:K)</f>
        <v>0</v>
      </c>
      <c r="J477" s="4">
        <f t="shared" si="7"/>
        <v>0</v>
      </c>
      <c r="K477" s="35" t="s">
        <v>1579</v>
      </c>
    </row>
    <row r="478" spans="1:11" ht="15.5" x14ac:dyDescent="0.35">
      <c r="A478" s="5">
        <v>476</v>
      </c>
      <c r="B478" s="6" t="s">
        <v>1044</v>
      </c>
      <c r="C478" s="7" t="s">
        <v>1045</v>
      </c>
      <c r="D478" s="8" t="s">
        <v>141</v>
      </c>
      <c r="E478" s="8">
        <f>SUMIF('Simpanan Wajib'!C:C,'All Simpanan '!C:C,'Simpanan Wajib'!E:E)</f>
        <v>0</v>
      </c>
      <c r="F478" s="4">
        <f>SUMIF('Simpanan Pokok'!C:C,'All Simpanan '!C:C,'Simpanan Pokok'!E:E)</f>
        <v>0</v>
      </c>
      <c r="G478" s="4">
        <f>SUMIF('Simpanan Khusus'!C:C,'All Simpanan '!C:C,'Simpanan Khusus'!E:E)</f>
        <v>0</v>
      </c>
      <c r="H478" s="4">
        <f>SUMIF('Simpanan Sukarela'!C:C,'All Simpanan '!C:C,'Simpanan Sukarela'!E:E)</f>
        <v>0</v>
      </c>
      <c r="I478" s="4">
        <f>SUMIF('Simpanan Sukarela Berjangka'!B:B,'All Simpanan '!C:C,'Simpanan Sukarela Berjangka'!K:K)</f>
        <v>0</v>
      </c>
      <c r="J478" s="4">
        <f t="shared" si="7"/>
        <v>0</v>
      </c>
      <c r="K478" s="35" t="s">
        <v>1578</v>
      </c>
    </row>
    <row r="479" spans="1:11" ht="15.5" x14ac:dyDescent="0.35">
      <c r="A479" s="5">
        <v>477</v>
      </c>
      <c r="B479" s="6" t="s">
        <v>1046</v>
      </c>
      <c r="C479" s="7" t="s">
        <v>1047</v>
      </c>
      <c r="D479" s="8" t="s">
        <v>123</v>
      </c>
      <c r="E479" s="8">
        <f>SUMIF('Simpanan Wajib'!C:C,'All Simpanan '!C:C,'Simpanan Wajib'!E:E)</f>
        <v>0</v>
      </c>
      <c r="F479" s="4">
        <f>SUMIF('Simpanan Pokok'!C:C,'All Simpanan '!C:C,'Simpanan Pokok'!E:E)</f>
        <v>0</v>
      </c>
      <c r="G479" s="4">
        <f>SUMIF('Simpanan Khusus'!C:C,'All Simpanan '!C:C,'Simpanan Khusus'!E:E)</f>
        <v>0</v>
      </c>
      <c r="H479" s="4">
        <f>SUMIF('Simpanan Sukarela'!C:C,'All Simpanan '!C:C,'Simpanan Sukarela'!E:E)</f>
        <v>0</v>
      </c>
      <c r="I479" s="4">
        <f>SUMIF('Simpanan Sukarela Berjangka'!B:B,'All Simpanan '!C:C,'Simpanan Sukarela Berjangka'!K:K)</f>
        <v>0</v>
      </c>
      <c r="J479" s="4">
        <f t="shared" si="7"/>
        <v>0</v>
      </c>
      <c r="K479" s="35" t="s">
        <v>1578</v>
      </c>
    </row>
    <row r="480" spans="1:11" ht="15.5" x14ac:dyDescent="0.35">
      <c r="A480" s="5">
        <v>478</v>
      </c>
      <c r="B480" s="6" t="s">
        <v>1048</v>
      </c>
      <c r="C480" s="7" t="s">
        <v>1049</v>
      </c>
      <c r="D480" s="8" t="s">
        <v>201</v>
      </c>
      <c r="E480" s="8">
        <f>SUMIF('Simpanan Wajib'!C:C,'All Simpanan '!C:C,'Simpanan Wajib'!E:E)</f>
        <v>0</v>
      </c>
      <c r="F480" s="4">
        <f>SUMIF('Simpanan Pokok'!C:C,'All Simpanan '!C:C,'Simpanan Pokok'!E:E)</f>
        <v>0</v>
      </c>
      <c r="G480" s="4">
        <f>SUMIF('Simpanan Khusus'!C:C,'All Simpanan '!C:C,'Simpanan Khusus'!E:E)</f>
        <v>0</v>
      </c>
      <c r="H480" s="4">
        <f>SUMIF('Simpanan Sukarela'!C:C,'All Simpanan '!C:C,'Simpanan Sukarela'!E:E)</f>
        <v>0</v>
      </c>
      <c r="I480" s="4">
        <f>SUMIF('Simpanan Sukarela Berjangka'!B:B,'All Simpanan '!C:C,'Simpanan Sukarela Berjangka'!K:K)</f>
        <v>0</v>
      </c>
      <c r="J480" s="4">
        <f t="shared" si="7"/>
        <v>0</v>
      </c>
      <c r="K480" s="35" t="s">
        <v>1578</v>
      </c>
    </row>
    <row r="481" spans="1:11" ht="15.5" x14ac:dyDescent="0.35">
      <c r="A481" s="5">
        <v>479</v>
      </c>
      <c r="B481" s="6" t="s">
        <v>1050</v>
      </c>
      <c r="C481" s="7" t="s">
        <v>1051</v>
      </c>
      <c r="D481" s="8" t="s">
        <v>77</v>
      </c>
      <c r="E481" s="8">
        <f>SUMIF('Simpanan Wajib'!C:C,'All Simpanan '!C:C,'Simpanan Wajib'!E:E)</f>
        <v>0</v>
      </c>
      <c r="F481" s="4">
        <f>SUMIF('Simpanan Pokok'!C:C,'All Simpanan '!C:C,'Simpanan Pokok'!E:E)</f>
        <v>0</v>
      </c>
      <c r="G481" s="4">
        <f>SUMIF('Simpanan Khusus'!C:C,'All Simpanan '!C:C,'Simpanan Khusus'!E:E)</f>
        <v>0</v>
      </c>
      <c r="H481" s="4">
        <f>SUMIF('Simpanan Sukarela'!C:C,'All Simpanan '!C:C,'Simpanan Sukarela'!E:E)</f>
        <v>0</v>
      </c>
      <c r="I481" s="4">
        <f>SUMIF('Simpanan Sukarela Berjangka'!B:B,'All Simpanan '!C:C,'Simpanan Sukarela Berjangka'!K:K)</f>
        <v>0</v>
      </c>
      <c r="J481" s="4">
        <f t="shared" si="7"/>
        <v>0</v>
      </c>
      <c r="K481" s="35" t="s">
        <v>1576</v>
      </c>
    </row>
    <row r="482" spans="1:11" ht="15.5" x14ac:dyDescent="0.35">
      <c r="A482" s="5">
        <v>480</v>
      </c>
      <c r="B482" s="6" t="s">
        <v>1052</v>
      </c>
      <c r="C482" s="7" t="s">
        <v>1053</v>
      </c>
      <c r="D482" s="8" t="s">
        <v>49</v>
      </c>
      <c r="E482" s="8">
        <f>SUMIF('Simpanan Wajib'!C:C,'All Simpanan '!C:C,'Simpanan Wajib'!E:E)</f>
        <v>0</v>
      </c>
      <c r="F482" s="4">
        <f>SUMIF('Simpanan Pokok'!C:C,'All Simpanan '!C:C,'Simpanan Pokok'!E:E)</f>
        <v>0</v>
      </c>
      <c r="G482" s="4">
        <f>SUMIF('Simpanan Khusus'!C:C,'All Simpanan '!C:C,'Simpanan Khusus'!E:E)</f>
        <v>0</v>
      </c>
      <c r="H482" s="4">
        <f>SUMIF('Simpanan Sukarela'!C:C,'All Simpanan '!C:C,'Simpanan Sukarela'!E:E)</f>
        <v>0</v>
      </c>
      <c r="I482" s="4">
        <f>SUMIF('Simpanan Sukarela Berjangka'!B:B,'All Simpanan '!C:C,'Simpanan Sukarela Berjangka'!K:K)</f>
        <v>0</v>
      </c>
      <c r="J482" s="4">
        <f t="shared" si="7"/>
        <v>0</v>
      </c>
      <c r="K482" s="35" t="s">
        <v>1578</v>
      </c>
    </row>
    <row r="483" spans="1:11" ht="15.5" x14ac:dyDescent="0.35">
      <c r="A483" s="5">
        <v>481</v>
      </c>
      <c r="B483" s="6" t="s">
        <v>1054</v>
      </c>
      <c r="C483" s="7" t="s">
        <v>1055</v>
      </c>
      <c r="D483" s="8" t="s">
        <v>60</v>
      </c>
      <c r="E483" s="8">
        <f>SUMIF('Simpanan Wajib'!C:C,'All Simpanan '!C:C,'Simpanan Wajib'!E:E)</f>
        <v>0</v>
      </c>
      <c r="F483" s="4">
        <f>SUMIF('Simpanan Pokok'!C:C,'All Simpanan '!C:C,'Simpanan Pokok'!E:E)</f>
        <v>0</v>
      </c>
      <c r="G483" s="4">
        <f>SUMIF('Simpanan Khusus'!C:C,'All Simpanan '!C:C,'Simpanan Khusus'!E:E)</f>
        <v>0</v>
      </c>
      <c r="H483" s="4">
        <f>SUMIF('Simpanan Sukarela'!C:C,'All Simpanan '!C:C,'Simpanan Sukarela'!E:E)</f>
        <v>0</v>
      </c>
      <c r="I483" s="4">
        <f>SUMIF('Simpanan Sukarela Berjangka'!B:B,'All Simpanan '!C:C,'Simpanan Sukarela Berjangka'!K:K)</f>
        <v>0</v>
      </c>
      <c r="J483" s="4">
        <f t="shared" si="7"/>
        <v>0</v>
      </c>
      <c r="K483" s="35" t="s">
        <v>1579</v>
      </c>
    </row>
    <row r="484" spans="1:11" ht="15.5" x14ac:dyDescent="0.35">
      <c r="A484" s="5">
        <v>482</v>
      </c>
      <c r="B484" s="6" t="s">
        <v>1056</v>
      </c>
      <c r="C484" s="7" t="s">
        <v>1057</v>
      </c>
      <c r="D484" s="8" t="s">
        <v>303</v>
      </c>
      <c r="E484" s="8">
        <f>SUMIF('Simpanan Wajib'!C:C,'All Simpanan '!C:C,'Simpanan Wajib'!E:E)</f>
        <v>0</v>
      </c>
      <c r="F484" s="4">
        <f>SUMIF('Simpanan Pokok'!C:C,'All Simpanan '!C:C,'Simpanan Pokok'!E:E)</f>
        <v>0</v>
      </c>
      <c r="G484" s="4">
        <f>SUMIF('Simpanan Khusus'!C:C,'All Simpanan '!C:C,'Simpanan Khusus'!E:E)</f>
        <v>0</v>
      </c>
      <c r="H484" s="4">
        <f>SUMIF('Simpanan Sukarela'!C:C,'All Simpanan '!C:C,'Simpanan Sukarela'!E:E)</f>
        <v>0</v>
      </c>
      <c r="I484" s="4">
        <f>SUMIF('Simpanan Sukarela Berjangka'!B:B,'All Simpanan '!C:C,'Simpanan Sukarela Berjangka'!K:K)</f>
        <v>0</v>
      </c>
      <c r="J484" s="4">
        <f t="shared" si="7"/>
        <v>0</v>
      </c>
      <c r="K484" s="35" t="s">
        <v>1579</v>
      </c>
    </row>
    <row r="485" spans="1:11" ht="15.5" x14ac:dyDescent="0.35">
      <c r="A485" s="5">
        <v>483</v>
      </c>
      <c r="B485" s="6" t="s">
        <v>1058</v>
      </c>
      <c r="C485" s="7" t="s">
        <v>1059</v>
      </c>
      <c r="D485" s="8" t="s">
        <v>300</v>
      </c>
      <c r="E485" s="8">
        <f>SUMIF('Simpanan Wajib'!C:C,'All Simpanan '!C:C,'Simpanan Wajib'!E:E)</f>
        <v>0</v>
      </c>
      <c r="F485" s="4">
        <f>SUMIF('Simpanan Pokok'!C:C,'All Simpanan '!C:C,'Simpanan Pokok'!E:E)</f>
        <v>0</v>
      </c>
      <c r="G485" s="4">
        <f>SUMIF('Simpanan Khusus'!C:C,'All Simpanan '!C:C,'Simpanan Khusus'!E:E)</f>
        <v>0</v>
      </c>
      <c r="H485" s="4">
        <f>SUMIF('Simpanan Sukarela'!C:C,'All Simpanan '!C:C,'Simpanan Sukarela'!E:E)</f>
        <v>44519.607713351434</v>
      </c>
      <c r="I485" s="4">
        <f>SUMIF('Simpanan Sukarela Berjangka'!B:B,'All Simpanan '!C:C,'Simpanan Sukarela Berjangka'!K:K)</f>
        <v>0</v>
      </c>
      <c r="J485" s="4">
        <f t="shared" si="7"/>
        <v>44519.607713351434</v>
      </c>
      <c r="K485" s="35" t="s">
        <v>1578</v>
      </c>
    </row>
    <row r="486" spans="1:11" ht="15.5" x14ac:dyDescent="0.35">
      <c r="A486" s="5">
        <v>484</v>
      </c>
      <c r="B486" s="6" t="s">
        <v>1060</v>
      </c>
      <c r="C486" s="7" t="s">
        <v>1061</v>
      </c>
      <c r="D486" s="8" t="s">
        <v>65</v>
      </c>
      <c r="E486" s="8">
        <f>SUMIF('Simpanan Wajib'!C:C,'All Simpanan '!C:C,'Simpanan Wajib'!E:E)</f>
        <v>0</v>
      </c>
      <c r="F486" s="4">
        <f>SUMIF('Simpanan Pokok'!C:C,'All Simpanan '!C:C,'Simpanan Pokok'!E:E)</f>
        <v>0</v>
      </c>
      <c r="G486" s="4">
        <f>SUMIF('Simpanan Khusus'!C:C,'All Simpanan '!C:C,'Simpanan Khusus'!E:E)</f>
        <v>0</v>
      </c>
      <c r="H486" s="4">
        <f>SUMIF('Simpanan Sukarela'!C:C,'All Simpanan '!C:C,'Simpanan Sukarela'!E:E)</f>
        <v>-0.22040239162743092</v>
      </c>
      <c r="I486" s="4">
        <f>SUMIF('Simpanan Sukarela Berjangka'!B:B,'All Simpanan '!C:C,'Simpanan Sukarela Berjangka'!K:K)</f>
        <v>0</v>
      </c>
      <c r="J486" s="4">
        <f t="shared" si="7"/>
        <v>-0.22040239162743092</v>
      </c>
      <c r="K486" s="35" t="s">
        <v>1576</v>
      </c>
    </row>
    <row r="487" spans="1:11" ht="15.5" x14ac:dyDescent="0.35">
      <c r="A487" s="5">
        <v>485</v>
      </c>
      <c r="B487" s="6" t="s">
        <v>1062</v>
      </c>
      <c r="C487" s="7" t="s">
        <v>1063</v>
      </c>
      <c r="D487" s="8" t="s">
        <v>321</v>
      </c>
      <c r="E487" s="8">
        <f>SUMIF('Simpanan Wajib'!C:C,'All Simpanan '!C:C,'Simpanan Wajib'!E:E)</f>
        <v>0</v>
      </c>
      <c r="F487" s="4">
        <f>SUMIF('Simpanan Pokok'!C:C,'All Simpanan '!C:C,'Simpanan Pokok'!E:E)</f>
        <v>0</v>
      </c>
      <c r="G487" s="4">
        <f>SUMIF('Simpanan Khusus'!C:C,'All Simpanan '!C:C,'Simpanan Khusus'!E:E)</f>
        <v>0</v>
      </c>
      <c r="H487" s="4">
        <f>SUMIF('Simpanan Sukarela'!C:C,'All Simpanan '!C:C,'Simpanan Sukarela'!E:E)</f>
        <v>0</v>
      </c>
      <c r="I487" s="4">
        <f>SUMIF('Simpanan Sukarela Berjangka'!B:B,'All Simpanan '!C:C,'Simpanan Sukarela Berjangka'!K:K)</f>
        <v>0</v>
      </c>
      <c r="J487" s="4">
        <f t="shared" si="7"/>
        <v>0</v>
      </c>
      <c r="K487" s="35" t="s">
        <v>1579</v>
      </c>
    </row>
    <row r="488" spans="1:11" ht="15.5" x14ac:dyDescent="0.35">
      <c r="A488" s="5">
        <v>486</v>
      </c>
      <c r="B488" s="6" t="s">
        <v>1064</v>
      </c>
      <c r="C488" s="7" t="s">
        <v>1065</v>
      </c>
      <c r="D488" s="8" t="s">
        <v>136</v>
      </c>
      <c r="E488" s="8">
        <f>SUMIF('Simpanan Wajib'!C:C,'All Simpanan '!C:C,'Simpanan Wajib'!E:E)</f>
        <v>0</v>
      </c>
      <c r="F488" s="4">
        <f>SUMIF('Simpanan Pokok'!C:C,'All Simpanan '!C:C,'Simpanan Pokok'!E:E)</f>
        <v>0</v>
      </c>
      <c r="G488" s="4">
        <f>SUMIF('Simpanan Khusus'!C:C,'All Simpanan '!C:C,'Simpanan Khusus'!E:E)</f>
        <v>0</v>
      </c>
      <c r="H488" s="4">
        <f>SUMIF('Simpanan Sukarela'!C:C,'All Simpanan '!C:C,'Simpanan Sukarela'!E:E)</f>
        <v>0</v>
      </c>
      <c r="I488" s="4">
        <f>SUMIF('Simpanan Sukarela Berjangka'!B:B,'All Simpanan '!C:C,'Simpanan Sukarela Berjangka'!K:K)</f>
        <v>0</v>
      </c>
      <c r="J488" s="4">
        <f t="shared" si="7"/>
        <v>0</v>
      </c>
      <c r="K488" s="35" t="s">
        <v>1579</v>
      </c>
    </row>
    <row r="489" spans="1:11" ht="15.5" x14ac:dyDescent="0.35">
      <c r="A489" s="5">
        <v>525</v>
      </c>
      <c r="B489" s="6" t="s">
        <v>1066</v>
      </c>
      <c r="C489" s="7" t="s">
        <v>1067</v>
      </c>
      <c r="D489" s="8" t="s">
        <v>144</v>
      </c>
      <c r="E489" s="8">
        <f>SUMIF('Simpanan Wajib'!C:C,'All Simpanan '!C:C,'Simpanan Wajib'!E:E)</f>
        <v>2395000</v>
      </c>
      <c r="F489" s="4">
        <f>SUMIF('Simpanan Pokok'!C:C,'All Simpanan '!C:C,'Simpanan Pokok'!E:E)</f>
        <v>5000</v>
      </c>
      <c r="G489" s="4">
        <f>SUMIF('Simpanan Khusus'!C:C,'All Simpanan '!C:C,'Simpanan Khusus'!E:E)</f>
        <v>0</v>
      </c>
      <c r="H489" s="4">
        <f>SUMIF('Simpanan Sukarela'!C:C,'All Simpanan '!C:C,'Simpanan Sukarela'!E:E)</f>
        <v>1361198.3678363001</v>
      </c>
      <c r="I489" s="4">
        <f>SUMIF('Simpanan Sukarela Berjangka'!B:B,'All Simpanan '!C:C,'Simpanan Sukarela Berjangka'!K:K)</f>
        <v>0</v>
      </c>
      <c r="J489" s="4">
        <f t="shared" si="7"/>
        <v>3761198.3678363003</v>
      </c>
      <c r="K489" s="35" t="s">
        <v>1578</v>
      </c>
    </row>
    <row r="490" spans="1:11" ht="15.5" x14ac:dyDescent="0.35">
      <c r="A490" s="5">
        <v>487</v>
      </c>
      <c r="B490" s="6" t="s">
        <v>1068</v>
      </c>
      <c r="C490" s="7" t="s">
        <v>1069</v>
      </c>
      <c r="D490" s="8" t="s">
        <v>238</v>
      </c>
      <c r="E490" s="8">
        <f>SUMIF('Simpanan Wajib'!C:C,'All Simpanan '!C:C,'Simpanan Wajib'!E:E)</f>
        <v>24595000</v>
      </c>
      <c r="F490" s="4">
        <f>SUMIF('Simpanan Pokok'!C:C,'All Simpanan '!C:C,'Simpanan Pokok'!E:E)</f>
        <v>5000</v>
      </c>
      <c r="G490" s="4">
        <f>SUMIF('Simpanan Khusus'!C:C,'All Simpanan '!C:C,'Simpanan Khusus'!E:E)</f>
        <v>0</v>
      </c>
      <c r="H490" s="4">
        <f>SUMIF('Simpanan Sukarela'!C:C,'All Simpanan '!C:C,'Simpanan Sukarela'!E:E)</f>
        <v>1158578.592376763</v>
      </c>
      <c r="I490" s="4">
        <f>SUMIF('Simpanan Sukarela Berjangka'!B:B,'All Simpanan '!C:C,'Simpanan Sukarela Berjangka'!K:K)</f>
        <v>0</v>
      </c>
      <c r="J490" s="4">
        <f t="shared" si="7"/>
        <v>25758578.592376761</v>
      </c>
      <c r="K490" s="35" t="s">
        <v>1579</v>
      </c>
    </row>
    <row r="491" spans="1:11" ht="15.5" x14ac:dyDescent="0.35">
      <c r="A491" s="5">
        <v>488</v>
      </c>
      <c r="B491" s="6" t="s">
        <v>1070</v>
      </c>
      <c r="C491" s="7" t="s">
        <v>1071</v>
      </c>
      <c r="D491" s="8" t="s">
        <v>300</v>
      </c>
      <c r="E491" s="8">
        <f>SUMIF('Simpanan Wajib'!C:C,'All Simpanan '!C:C,'Simpanan Wajib'!E:E)</f>
        <v>0</v>
      </c>
      <c r="F491" s="4">
        <f>SUMIF('Simpanan Pokok'!C:C,'All Simpanan '!C:C,'Simpanan Pokok'!E:E)</f>
        <v>0</v>
      </c>
      <c r="G491" s="4">
        <f>SUMIF('Simpanan Khusus'!C:C,'All Simpanan '!C:C,'Simpanan Khusus'!E:E)</f>
        <v>190000</v>
      </c>
      <c r="H491" s="4">
        <f>SUMIF('Simpanan Sukarela'!C:C,'All Simpanan '!C:C,'Simpanan Sukarela'!E:E)</f>
        <v>590334.70136152185</v>
      </c>
      <c r="I491" s="4">
        <f>SUMIF('Simpanan Sukarela Berjangka'!B:B,'All Simpanan '!C:C,'Simpanan Sukarela Berjangka'!K:K)</f>
        <v>0</v>
      </c>
      <c r="J491" s="4">
        <f t="shared" si="7"/>
        <v>780334.70136152185</v>
      </c>
      <c r="K491" s="35" t="s">
        <v>1578</v>
      </c>
    </row>
    <row r="492" spans="1:11" ht="15.5" x14ac:dyDescent="0.35">
      <c r="A492" s="5">
        <v>489</v>
      </c>
      <c r="B492" s="6" t="s">
        <v>1072</v>
      </c>
      <c r="C492" s="7" t="s">
        <v>1073</v>
      </c>
      <c r="D492" s="8" t="s">
        <v>290</v>
      </c>
      <c r="E492" s="8">
        <f>SUMIF('Simpanan Wajib'!C:C,'All Simpanan '!C:C,'Simpanan Wajib'!E:E)</f>
        <v>11745000</v>
      </c>
      <c r="F492" s="4">
        <f>SUMIF('Simpanan Pokok'!C:C,'All Simpanan '!C:C,'Simpanan Pokok'!E:E)</f>
        <v>5000</v>
      </c>
      <c r="G492" s="4">
        <f>SUMIF('Simpanan Khusus'!C:C,'All Simpanan '!C:C,'Simpanan Khusus'!E:E)</f>
        <v>0</v>
      </c>
      <c r="H492" s="4">
        <f>SUMIF('Simpanan Sukarela'!C:C,'All Simpanan '!C:C,'Simpanan Sukarela'!E:E)</f>
        <v>1028485.0597511777</v>
      </c>
      <c r="I492" s="4">
        <f>SUMIF('Simpanan Sukarela Berjangka'!B:B,'All Simpanan '!C:C,'Simpanan Sukarela Berjangka'!K:K)</f>
        <v>0</v>
      </c>
      <c r="J492" s="4">
        <f t="shared" si="7"/>
        <v>12778485.059751177</v>
      </c>
      <c r="K492" s="35" t="s">
        <v>1579</v>
      </c>
    </row>
    <row r="493" spans="1:11" ht="15.5" x14ac:dyDescent="0.35">
      <c r="A493" s="5">
        <v>490</v>
      </c>
      <c r="B493" s="6" t="s">
        <v>1074</v>
      </c>
      <c r="C493" s="7" t="s">
        <v>1075</v>
      </c>
      <c r="D493" s="8" t="s">
        <v>25</v>
      </c>
      <c r="E493" s="8">
        <f>SUMIF('Simpanan Wajib'!C:C,'All Simpanan '!C:C,'Simpanan Wajib'!E:E)</f>
        <v>11745000</v>
      </c>
      <c r="F493" s="4">
        <f>SUMIF('Simpanan Pokok'!C:C,'All Simpanan '!C:C,'Simpanan Pokok'!E:E)</f>
        <v>5000</v>
      </c>
      <c r="G493" s="4">
        <f>SUMIF('Simpanan Khusus'!C:C,'All Simpanan '!C:C,'Simpanan Khusus'!E:E)</f>
        <v>540000</v>
      </c>
      <c r="H493" s="4">
        <f>SUMIF('Simpanan Sukarela'!C:C,'All Simpanan '!C:C,'Simpanan Sukarela'!E:E)</f>
        <v>1096479.8378356083</v>
      </c>
      <c r="I493" s="4">
        <f>SUMIF('Simpanan Sukarela Berjangka'!B:B,'All Simpanan '!C:C,'Simpanan Sukarela Berjangka'!K:K)</f>
        <v>0</v>
      </c>
      <c r="J493" s="4">
        <f t="shared" si="7"/>
        <v>13386479.837835608</v>
      </c>
      <c r="K493" s="35" t="s">
        <v>1579</v>
      </c>
    </row>
    <row r="494" spans="1:11" ht="15.5" x14ac:dyDescent="0.35">
      <c r="A494" s="5">
        <v>491</v>
      </c>
      <c r="B494" s="6" t="s">
        <v>1076</v>
      </c>
      <c r="C494" s="7" t="s">
        <v>1077</v>
      </c>
      <c r="D494" s="8" t="s">
        <v>300</v>
      </c>
      <c r="E494" s="8">
        <f>SUMIF('Simpanan Wajib'!C:C,'All Simpanan '!C:C,'Simpanan Wajib'!E:E)</f>
        <v>0</v>
      </c>
      <c r="F494" s="4">
        <f>SUMIF('Simpanan Pokok'!C:C,'All Simpanan '!C:C,'Simpanan Pokok'!E:E)</f>
        <v>0</v>
      </c>
      <c r="G494" s="4">
        <f>SUMIF('Simpanan Khusus'!C:C,'All Simpanan '!C:C,'Simpanan Khusus'!E:E)</f>
        <v>0</v>
      </c>
      <c r="H494" s="4">
        <f>SUMIF('Simpanan Sukarela'!C:C,'All Simpanan '!C:C,'Simpanan Sukarela'!E:E)</f>
        <v>100204.44056023995</v>
      </c>
      <c r="I494" s="4">
        <f>SUMIF('Simpanan Sukarela Berjangka'!B:B,'All Simpanan '!C:C,'Simpanan Sukarela Berjangka'!K:K)</f>
        <v>0</v>
      </c>
      <c r="J494" s="4">
        <f t="shared" si="7"/>
        <v>100204.44056023995</v>
      </c>
      <c r="K494" s="35" t="s">
        <v>1578</v>
      </c>
    </row>
    <row r="495" spans="1:11" ht="15.5" x14ac:dyDescent="0.35">
      <c r="A495" s="5">
        <v>492</v>
      </c>
      <c r="B495" s="6" t="s">
        <v>1078</v>
      </c>
      <c r="C495" s="7" t="s">
        <v>1079</v>
      </c>
      <c r="D495" s="8" t="s">
        <v>25</v>
      </c>
      <c r="E495" s="8">
        <f>SUMIF('Simpanan Wajib'!C:C,'All Simpanan '!C:C,'Simpanan Wajib'!E:E)</f>
        <v>0</v>
      </c>
      <c r="F495" s="4">
        <f>SUMIF('Simpanan Pokok'!C:C,'All Simpanan '!C:C,'Simpanan Pokok'!E:E)</f>
        <v>0</v>
      </c>
      <c r="G495" s="4">
        <f>SUMIF('Simpanan Khusus'!C:C,'All Simpanan '!C:C,'Simpanan Khusus'!E:E)</f>
        <v>0</v>
      </c>
      <c r="H495" s="4">
        <f>SUMIF('Simpanan Sukarela'!C:C,'All Simpanan '!C:C,'Simpanan Sukarela'!E:E)</f>
        <v>0</v>
      </c>
      <c r="I495" s="4">
        <f>SUMIF('Simpanan Sukarela Berjangka'!B:B,'All Simpanan '!C:C,'Simpanan Sukarela Berjangka'!K:K)</f>
        <v>0</v>
      </c>
      <c r="J495" s="4">
        <f t="shared" si="7"/>
        <v>0</v>
      </c>
      <c r="K495" s="35" t="s">
        <v>1579</v>
      </c>
    </row>
    <row r="496" spans="1:11" ht="15.5" x14ac:dyDescent="0.35">
      <c r="A496" s="5">
        <v>493</v>
      </c>
      <c r="B496" s="6" t="s">
        <v>1080</v>
      </c>
      <c r="C496" s="7" t="s">
        <v>1081</v>
      </c>
      <c r="D496" s="8" t="s">
        <v>300</v>
      </c>
      <c r="E496" s="8">
        <f>SUMIF('Simpanan Wajib'!C:C,'All Simpanan '!C:C,'Simpanan Wajib'!E:E)</f>
        <v>11745000</v>
      </c>
      <c r="F496" s="4">
        <f>SUMIF('Simpanan Pokok'!C:C,'All Simpanan '!C:C,'Simpanan Pokok'!E:E)</f>
        <v>5000</v>
      </c>
      <c r="G496" s="4">
        <f>SUMIF('Simpanan Khusus'!C:C,'All Simpanan '!C:C,'Simpanan Khusus'!E:E)</f>
        <v>535000</v>
      </c>
      <c r="H496" s="4">
        <f>SUMIF('Simpanan Sukarela'!C:C,'All Simpanan '!C:C,'Simpanan Sukarela'!E:E)</f>
        <v>1073380.2325655248</v>
      </c>
      <c r="I496" s="4">
        <f>SUMIF('Simpanan Sukarela Berjangka'!B:B,'All Simpanan '!C:C,'Simpanan Sukarela Berjangka'!K:K)</f>
        <v>0</v>
      </c>
      <c r="J496" s="4">
        <f t="shared" si="7"/>
        <v>13358380.232565524</v>
      </c>
      <c r="K496" s="35" t="s">
        <v>1579</v>
      </c>
    </row>
    <row r="497" spans="1:11" ht="15.5" x14ac:dyDescent="0.35">
      <c r="A497" s="5">
        <v>494</v>
      </c>
      <c r="B497" s="6" t="s">
        <v>1082</v>
      </c>
      <c r="C497" s="7" t="s">
        <v>1083</v>
      </c>
      <c r="D497" s="8" t="s">
        <v>318</v>
      </c>
      <c r="E497" s="8">
        <f>SUMIF('Simpanan Wajib'!C:C,'All Simpanan '!C:C,'Simpanan Wajib'!E:E)</f>
        <v>100000</v>
      </c>
      <c r="F497" s="4">
        <f>SUMIF('Simpanan Pokok'!C:C,'All Simpanan '!C:C,'Simpanan Pokok'!E:E)</f>
        <v>0</v>
      </c>
      <c r="G497" s="4">
        <f>SUMIF('Simpanan Khusus'!C:C,'All Simpanan '!C:C,'Simpanan Khusus'!E:E)</f>
        <v>0</v>
      </c>
      <c r="H497" s="4">
        <f>SUMIF('Simpanan Sukarela'!C:C,'All Simpanan '!C:C,'Simpanan Sukarela'!E:E)</f>
        <v>96952.675325927208</v>
      </c>
      <c r="I497" s="4">
        <f>SUMIF('Simpanan Sukarela Berjangka'!B:B,'All Simpanan '!C:C,'Simpanan Sukarela Berjangka'!K:K)</f>
        <v>0</v>
      </c>
      <c r="J497" s="4">
        <f t="shared" si="7"/>
        <v>196952.67532592721</v>
      </c>
      <c r="K497" s="35" t="s">
        <v>1578</v>
      </c>
    </row>
    <row r="498" spans="1:11" ht="15.5" x14ac:dyDescent="0.35">
      <c r="A498" s="5">
        <v>495</v>
      </c>
      <c r="B498" s="6" t="s">
        <v>1084</v>
      </c>
      <c r="C498" s="7" t="s">
        <v>1085</v>
      </c>
      <c r="D498" s="8" t="s">
        <v>318</v>
      </c>
      <c r="E498" s="8">
        <f>SUMIF('Simpanan Wajib'!C:C,'All Simpanan '!C:C,'Simpanan Wajib'!E:E)</f>
        <v>0</v>
      </c>
      <c r="F498" s="4">
        <f>SUMIF('Simpanan Pokok'!C:C,'All Simpanan '!C:C,'Simpanan Pokok'!E:E)</f>
        <v>0</v>
      </c>
      <c r="G498" s="4">
        <f>SUMIF('Simpanan Khusus'!C:C,'All Simpanan '!C:C,'Simpanan Khusus'!E:E)</f>
        <v>0</v>
      </c>
      <c r="H498" s="4">
        <f>SUMIF('Simpanan Sukarela'!C:C,'All Simpanan '!C:C,'Simpanan Sukarela'!E:E)</f>
        <v>36943.611379728303</v>
      </c>
      <c r="I498" s="4">
        <f>SUMIF('Simpanan Sukarela Berjangka'!B:B,'All Simpanan '!C:C,'Simpanan Sukarela Berjangka'!K:K)</f>
        <v>0</v>
      </c>
      <c r="J498" s="4">
        <f t="shared" si="7"/>
        <v>36943.611379728303</v>
      </c>
      <c r="K498" s="35" t="s">
        <v>1578</v>
      </c>
    </row>
    <row r="499" spans="1:11" ht="15.5" x14ac:dyDescent="0.35">
      <c r="A499" s="5">
        <v>496</v>
      </c>
      <c r="B499" s="6" t="s">
        <v>1086</v>
      </c>
      <c r="C499" s="7" t="s">
        <v>1087</v>
      </c>
      <c r="D499" s="8" t="s">
        <v>25</v>
      </c>
      <c r="E499" s="8">
        <f>SUMIF('Simpanan Wajib'!C:C,'All Simpanan '!C:C,'Simpanan Wajib'!E:E)</f>
        <v>0</v>
      </c>
      <c r="F499" s="4">
        <f>SUMIF('Simpanan Pokok'!C:C,'All Simpanan '!C:C,'Simpanan Pokok'!E:E)</f>
        <v>0</v>
      </c>
      <c r="G499" s="4">
        <f>SUMIF('Simpanan Khusus'!C:C,'All Simpanan '!C:C,'Simpanan Khusus'!E:E)</f>
        <v>0</v>
      </c>
      <c r="H499" s="4">
        <f>SUMIF('Simpanan Sukarela'!C:C,'All Simpanan '!C:C,'Simpanan Sukarela'!E:E)</f>
        <v>0</v>
      </c>
      <c r="I499" s="4">
        <f>SUMIF('Simpanan Sukarela Berjangka'!B:B,'All Simpanan '!C:C,'Simpanan Sukarela Berjangka'!K:K)</f>
        <v>0</v>
      </c>
      <c r="J499" s="4">
        <f t="shared" si="7"/>
        <v>0</v>
      </c>
      <c r="K499" s="35" t="s">
        <v>1579</v>
      </c>
    </row>
    <row r="500" spans="1:11" ht="15.5" x14ac:dyDescent="0.35">
      <c r="A500" s="5">
        <v>497</v>
      </c>
      <c r="B500" s="6" t="s">
        <v>1088</v>
      </c>
      <c r="C500" s="7" t="s">
        <v>1089</v>
      </c>
      <c r="D500" s="8" t="s">
        <v>318</v>
      </c>
      <c r="E500" s="8">
        <f>SUMIF('Simpanan Wajib'!C:C,'All Simpanan '!C:C,'Simpanan Wajib'!E:E)</f>
        <v>3295000</v>
      </c>
      <c r="F500" s="4">
        <f>SUMIF('Simpanan Pokok'!C:C,'All Simpanan '!C:C,'Simpanan Pokok'!E:E)</f>
        <v>5000</v>
      </c>
      <c r="G500" s="4">
        <f>SUMIF('Simpanan Khusus'!C:C,'All Simpanan '!C:C,'Simpanan Khusus'!E:E)</f>
        <v>0</v>
      </c>
      <c r="H500" s="4">
        <f>SUMIF('Simpanan Sukarela'!C:C,'All Simpanan '!C:C,'Simpanan Sukarela'!E:E)</f>
        <v>1675230.006905437</v>
      </c>
      <c r="I500" s="4">
        <f>SUMIF('Simpanan Sukarela Berjangka'!B:B,'All Simpanan '!C:C,'Simpanan Sukarela Berjangka'!K:K)</f>
        <v>0</v>
      </c>
      <c r="J500" s="4">
        <f t="shared" si="7"/>
        <v>4975230.0069054365</v>
      </c>
      <c r="K500" s="35" t="s">
        <v>1578</v>
      </c>
    </row>
    <row r="501" spans="1:11" ht="15.5" x14ac:dyDescent="0.35">
      <c r="A501" s="5">
        <v>498</v>
      </c>
      <c r="B501" s="6" t="s">
        <v>1090</v>
      </c>
      <c r="C501" s="7" t="s">
        <v>1091</v>
      </c>
      <c r="D501" s="8" t="s">
        <v>321</v>
      </c>
      <c r="E501" s="8">
        <f>SUMIF('Simpanan Wajib'!C:C,'All Simpanan '!C:C,'Simpanan Wajib'!E:E)</f>
        <v>0</v>
      </c>
      <c r="F501" s="4">
        <f>SUMIF('Simpanan Pokok'!C:C,'All Simpanan '!C:C,'Simpanan Pokok'!E:E)</f>
        <v>0</v>
      </c>
      <c r="G501" s="4">
        <f>SUMIF('Simpanan Khusus'!C:C,'All Simpanan '!C:C,'Simpanan Khusus'!E:E)</f>
        <v>0</v>
      </c>
      <c r="H501" s="4">
        <f>SUMIF('Simpanan Sukarela'!C:C,'All Simpanan '!C:C,'Simpanan Sukarela'!E:E)</f>
        <v>0</v>
      </c>
      <c r="I501" s="4">
        <f>SUMIF('Simpanan Sukarela Berjangka'!B:B,'All Simpanan '!C:C,'Simpanan Sukarela Berjangka'!K:K)</f>
        <v>0</v>
      </c>
      <c r="J501" s="4">
        <f t="shared" si="7"/>
        <v>0</v>
      </c>
      <c r="K501" s="35" t="s">
        <v>1579</v>
      </c>
    </row>
    <row r="502" spans="1:11" ht="15.5" x14ac:dyDescent="0.35">
      <c r="A502" s="5">
        <v>499</v>
      </c>
      <c r="B502" s="6" t="s">
        <v>1092</v>
      </c>
      <c r="C502" s="7" t="s">
        <v>1093</v>
      </c>
      <c r="D502" s="8" t="s">
        <v>49</v>
      </c>
      <c r="E502" s="8">
        <f>SUMIF('Simpanan Wajib'!C:C,'All Simpanan '!C:C,'Simpanan Wajib'!E:E)</f>
        <v>0</v>
      </c>
      <c r="F502" s="4">
        <f>SUMIF('Simpanan Pokok'!C:C,'All Simpanan '!C:C,'Simpanan Pokok'!E:E)</f>
        <v>0</v>
      </c>
      <c r="G502" s="4">
        <f>SUMIF('Simpanan Khusus'!C:C,'All Simpanan '!C:C,'Simpanan Khusus'!E:E)</f>
        <v>0</v>
      </c>
      <c r="H502" s="4">
        <f>SUMIF('Simpanan Sukarela'!C:C,'All Simpanan '!C:C,'Simpanan Sukarela'!E:E)</f>
        <v>916232</v>
      </c>
      <c r="I502" s="4">
        <f>SUMIF('Simpanan Sukarela Berjangka'!B:B,'All Simpanan '!C:C,'Simpanan Sukarela Berjangka'!K:K)</f>
        <v>0</v>
      </c>
      <c r="J502" s="4">
        <f t="shared" si="7"/>
        <v>916232</v>
      </c>
      <c r="K502" s="35" t="s">
        <v>1578</v>
      </c>
    </row>
    <row r="503" spans="1:11" ht="15.5" x14ac:dyDescent="0.35">
      <c r="A503" s="5">
        <v>500</v>
      </c>
      <c r="B503" s="6" t="s">
        <v>1094</v>
      </c>
      <c r="C503" s="7" t="s">
        <v>1095</v>
      </c>
      <c r="D503" s="8" t="s">
        <v>144</v>
      </c>
      <c r="E503" s="8">
        <f>SUMIF('Simpanan Wajib'!C:C,'All Simpanan '!C:C,'Simpanan Wajib'!E:E)</f>
        <v>200000</v>
      </c>
      <c r="F503" s="4">
        <f>SUMIF('Simpanan Pokok'!C:C,'All Simpanan '!C:C,'Simpanan Pokok'!E:E)</f>
        <v>0</v>
      </c>
      <c r="G503" s="4">
        <f>SUMIF('Simpanan Khusus'!C:C,'All Simpanan '!C:C,'Simpanan Khusus'!E:E)</f>
        <v>0</v>
      </c>
      <c r="H503" s="4">
        <f>SUMIF('Simpanan Sukarela'!C:C,'All Simpanan '!C:C,'Simpanan Sukarela'!E:E)</f>
        <v>33884</v>
      </c>
      <c r="I503" s="4">
        <f>SUMIF('Simpanan Sukarela Berjangka'!B:B,'All Simpanan '!C:C,'Simpanan Sukarela Berjangka'!K:K)</f>
        <v>0</v>
      </c>
      <c r="J503" s="4">
        <f t="shared" si="7"/>
        <v>233884</v>
      </c>
      <c r="K503" s="35" t="s">
        <v>1578</v>
      </c>
    </row>
    <row r="504" spans="1:11" ht="15.5" x14ac:dyDescent="0.35">
      <c r="A504" s="5">
        <v>501</v>
      </c>
      <c r="B504" s="6" t="s">
        <v>1096</v>
      </c>
      <c r="C504" s="7" t="s">
        <v>1097</v>
      </c>
      <c r="D504" s="8" t="s">
        <v>22</v>
      </c>
      <c r="E504" s="8">
        <f>SUMIF('Simpanan Wajib'!C:C,'All Simpanan '!C:C,'Simpanan Wajib'!E:E)</f>
        <v>0</v>
      </c>
      <c r="F504" s="4">
        <f>SUMIF('Simpanan Pokok'!C:C,'All Simpanan '!C:C,'Simpanan Pokok'!E:E)</f>
        <v>0</v>
      </c>
      <c r="G504" s="4">
        <f>SUMIF('Simpanan Khusus'!C:C,'All Simpanan '!C:C,'Simpanan Khusus'!E:E)</f>
        <v>0</v>
      </c>
      <c r="H504" s="4">
        <f>SUMIF('Simpanan Sukarela'!C:C,'All Simpanan '!C:C,'Simpanan Sukarela'!E:E)</f>
        <v>0</v>
      </c>
      <c r="I504" s="4">
        <f>SUMIF('Simpanan Sukarela Berjangka'!B:B,'All Simpanan '!C:C,'Simpanan Sukarela Berjangka'!K:K)</f>
        <v>0</v>
      </c>
      <c r="J504" s="4">
        <f t="shared" si="7"/>
        <v>0</v>
      </c>
      <c r="K504" s="35" t="s">
        <v>1579</v>
      </c>
    </row>
    <row r="505" spans="1:11" ht="15.5" x14ac:dyDescent="0.35">
      <c r="A505" s="5">
        <v>502</v>
      </c>
      <c r="B505" s="6" t="s">
        <v>1098</v>
      </c>
      <c r="C505" s="7" t="s">
        <v>1099</v>
      </c>
      <c r="D505" s="8" t="s">
        <v>169</v>
      </c>
      <c r="E505" s="8">
        <f>SUMIF('Simpanan Wajib'!C:C,'All Simpanan '!C:C,'Simpanan Wajib'!E:E)</f>
        <v>0</v>
      </c>
      <c r="F505" s="4">
        <f>SUMIF('Simpanan Pokok'!C:C,'All Simpanan '!C:C,'Simpanan Pokok'!E:E)</f>
        <v>0</v>
      </c>
      <c r="G505" s="4">
        <f>SUMIF('Simpanan Khusus'!C:C,'All Simpanan '!C:C,'Simpanan Khusus'!E:E)</f>
        <v>0</v>
      </c>
      <c r="H505" s="4">
        <f>SUMIF('Simpanan Sukarela'!C:C,'All Simpanan '!C:C,'Simpanan Sukarela'!E:E)</f>
        <v>42698</v>
      </c>
      <c r="I505" s="4">
        <f>SUMIF('Simpanan Sukarela Berjangka'!B:B,'All Simpanan '!C:C,'Simpanan Sukarela Berjangka'!K:K)</f>
        <v>0</v>
      </c>
      <c r="J505" s="4">
        <f t="shared" si="7"/>
        <v>42698</v>
      </c>
      <c r="K505" s="35" t="s">
        <v>1576</v>
      </c>
    </row>
    <row r="506" spans="1:11" ht="15.5" x14ac:dyDescent="0.35">
      <c r="A506" s="5">
        <v>503</v>
      </c>
      <c r="B506" s="6" t="s">
        <v>1100</v>
      </c>
      <c r="C506" s="7" t="s">
        <v>1101</v>
      </c>
      <c r="D506" s="8" t="s">
        <v>136</v>
      </c>
      <c r="E506" s="8">
        <f>SUMIF('Simpanan Wajib'!C:C,'All Simpanan '!C:C,'Simpanan Wajib'!E:E)</f>
        <v>11825000</v>
      </c>
      <c r="F506" s="4">
        <f>SUMIF('Simpanan Pokok'!C:C,'All Simpanan '!C:C,'Simpanan Pokok'!E:E)</f>
        <v>5000</v>
      </c>
      <c r="G506" s="4">
        <f>SUMIF('Simpanan Khusus'!C:C,'All Simpanan '!C:C,'Simpanan Khusus'!E:E)</f>
        <v>750000</v>
      </c>
      <c r="H506" s="4">
        <f>SUMIF('Simpanan Sukarela'!C:C,'All Simpanan '!C:C,'Simpanan Sukarela'!E:E)</f>
        <v>1326642.8722455874</v>
      </c>
      <c r="I506" s="4">
        <f>SUMIF('Simpanan Sukarela Berjangka'!B:B,'All Simpanan '!C:C,'Simpanan Sukarela Berjangka'!K:K)</f>
        <v>0</v>
      </c>
      <c r="J506" s="4">
        <f t="shared" si="7"/>
        <v>13906642.872245587</v>
      </c>
      <c r="K506" s="35" t="s">
        <v>1579</v>
      </c>
    </row>
    <row r="507" spans="1:11" ht="15.5" x14ac:dyDescent="0.35">
      <c r="A507" s="5">
        <v>504</v>
      </c>
      <c r="B507" s="6" t="s">
        <v>1102</v>
      </c>
      <c r="C507" s="7" t="s">
        <v>1103</v>
      </c>
      <c r="D507" s="8" t="s">
        <v>128</v>
      </c>
      <c r="E507" s="8">
        <f>SUMIF('Simpanan Wajib'!C:C,'All Simpanan '!C:C,'Simpanan Wajib'!E:E)</f>
        <v>11925000</v>
      </c>
      <c r="F507" s="4">
        <f>SUMIF('Simpanan Pokok'!C:C,'All Simpanan '!C:C,'Simpanan Pokok'!E:E)</f>
        <v>5000</v>
      </c>
      <c r="G507" s="4">
        <f>SUMIF('Simpanan Khusus'!C:C,'All Simpanan '!C:C,'Simpanan Khusus'!E:E)</f>
        <v>0</v>
      </c>
      <c r="H507" s="4">
        <f>SUMIF('Simpanan Sukarela'!C:C,'All Simpanan '!C:C,'Simpanan Sukarela'!E:E)</f>
        <v>1235456.1727940983</v>
      </c>
      <c r="I507" s="4">
        <f>SUMIF('Simpanan Sukarela Berjangka'!B:B,'All Simpanan '!C:C,'Simpanan Sukarela Berjangka'!K:K)</f>
        <v>0</v>
      </c>
      <c r="J507" s="4">
        <f t="shared" si="7"/>
        <v>13165456.172794098</v>
      </c>
      <c r="K507" s="35" t="s">
        <v>1579</v>
      </c>
    </row>
    <row r="508" spans="1:11" ht="15.5" x14ac:dyDescent="0.35">
      <c r="A508" s="5">
        <v>505</v>
      </c>
      <c r="B508" s="6" t="s">
        <v>1104</v>
      </c>
      <c r="C508" s="7" t="s">
        <v>1105</v>
      </c>
      <c r="D508" s="8" t="s">
        <v>136</v>
      </c>
      <c r="E508" s="8">
        <f>SUMIF('Simpanan Wajib'!C:C,'All Simpanan '!C:C,'Simpanan Wajib'!E:E)</f>
        <v>0</v>
      </c>
      <c r="F508" s="4">
        <f>SUMIF('Simpanan Pokok'!C:C,'All Simpanan '!C:C,'Simpanan Pokok'!E:E)</f>
        <v>0</v>
      </c>
      <c r="G508" s="4">
        <f>SUMIF('Simpanan Khusus'!C:C,'All Simpanan '!C:C,'Simpanan Khusus'!E:E)</f>
        <v>0</v>
      </c>
      <c r="H508" s="4">
        <f>SUMIF('Simpanan Sukarela'!C:C,'All Simpanan '!C:C,'Simpanan Sukarela'!E:E)</f>
        <v>0</v>
      </c>
      <c r="I508" s="4">
        <f>SUMIF('Simpanan Sukarela Berjangka'!B:B,'All Simpanan '!C:C,'Simpanan Sukarela Berjangka'!K:K)</f>
        <v>0</v>
      </c>
      <c r="J508" s="4">
        <f t="shared" si="7"/>
        <v>0</v>
      </c>
      <c r="K508" s="35" t="s">
        <v>1579</v>
      </c>
    </row>
    <row r="509" spans="1:11" ht="15.5" x14ac:dyDescent="0.35">
      <c r="A509" s="5">
        <v>506</v>
      </c>
      <c r="B509" s="6" t="s">
        <v>1106</v>
      </c>
      <c r="C509" s="7" t="s">
        <v>1107</v>
      </c>
      <c r="D509" s="8" t="s">
        <v>144</v>
      </c>
      <c r="E509" s="8">
        <f>SUMIF('Simpanan Wajib'!C:C,'All Simpanan '!C:C,'Simpanan Wajib'!E:E)</f>
        <v>0</v>
      </c>
      <c r="F509" s="4">
        <f>SUMIF('Simpanan Pokok'!C:C,'All Simpanan '!C:C,'Simpanan Pokok'!E:E)</f>
        <v>0</v>
      </c>
      <c r="G509" s="4">
        <f>SUMIF('Simpanan Khusus'!C:C,'All Simpanan '!C:C,'Simpanan Khusus'!E:E)</f>
        <v>0</v>
      </c>
      <c r="H509" s="4">
        <f>SUMIF('Simpanan Sukarela'!C:C,'All Simpanan '!C:C,'Simpanan Sukarela'!E:E)</f>
        <v>245018</v>
      </c>
      <c r="I509" s="4">
        <f>SUMIF('Simpanan Sukarela Berjangka'!B:B,'All Simpanan '!C:C,'Simpanan Sukarela Berjangka'!K:K)</f>
        <v>0</v>
      </c>
      <c r="J509" s="4">
        <f t="shared" si="7"/>
        <v>245018</v>
      </c>
      <c r="K509" s="35" t="s">
        <v>1578</v>
      </c>
    </row>
    <row r="510" spans="1:11" ht="15.5" x14ac:dyDescent="0.35">
      <c r="A510" s="5">
        <v>507</v>
      </c>
      <c r="B510" s="6" t="s">
        <v>1108</v>
      </c>
      <c r="C510" s="7" t="s">
        <v>1109</v>
      </c>
      <c r="D510" s="8" t="s">
        <v>524</v>
      </c>
      <c r="E510" s="8">
        <f>SUMIF('Simpanan Wajib'!C:C,'All Simpanan '!C:C,'Simpanan Wajib'!E:E)</f>
        <v>0</v>
      </c>
      <c r="F510" s="4">
        <f>SUMIF('Simpanan Pokok'!C:C,'All Simpanan '!C:C,'Simpanan Pokok'!E:E)</f>
        <v>0</v>
      </c>
      <c r="G510" s="4">
        <f>SUMIF('Simpanan Khusus'!C:C,'All Simpanan '!C:C,'Simpanan Khusus'!E:E)</f>
        <v>0</v>
      </c>
      <c r="H510" s="4">
        <f>SUMIF('Simpanan Sukarela'!C:C,'All Simpanan '!C:C,'Simpanan Sukarela'!E:E)</f>
        <v>0</v>
      </c>
      <c r="I510" s="4">
        <f>SUMIF('Simpanan Sukarela Berjangka'!B:B,'All Simpanan '!C:C,'Simpanan Sukarela Berjangka'!K:K)</f>
        <v>0</v>
      </c>
      <c r="J510" s="4">
        <f t="shared" si="7"/>
        <v>0</v>
      </c>
      <c r="K510" s="35" t="s">
        <v>1578</v>
      </c>
    </row>
    <row r="511" spans="1:11" ht="15.5" x14ac:dyDescent="0.35">
      <c r="A511" s="5">
        <v>508</v>
      </c>
      <c r="B511" s="6" t="s">
        <v>1110</v>
      </c>
      <c r="C511" s="7" t="s">
        <v>1111</v>
      </c>
      <c r="D511" s="8" t="s">
        <v>751</v>
      </c>
      <c r="E511" s="8">
        <f>SUMIF('Simpanan Wajib'!C:C,'All Simpanan '!C:C,'Simpanan Wajib'!E:E)</f>
        <v>0</v>
      </c>
      <c r="F511" s="4">
        <f>SUMIF('Simpanan Pokok'!C:C,'All Simpanan '!C:C,'Simpanan Pokok'!E:E)</f>
        <v>0</v>
      </c>
      <c r="G511" s="4">
        <f>SUMIF('Simpanan Khusus'!C:C,'All Simpanan '!C:C,'Simpanan Khusus'!E:E)</f>
        <v>0</v>
      </c>
      <c r="H511" s="4">
        <f>SUMIF('Simpanan Sukarela'!C:C,'All Simpanan '!C:C,'Simpanan Sukarela'!E:E)</f>
        <v>318695.27544689225</v>
      </c>
      <c r="I511" s="4">
        <f>SUMIF('Simpanan Sukarela Berjangka'!B:B,'All Simpanan '!C:C,'Simpanan Sukarela Berjangka'!K:K)</f>
        <v>0</v>
      </c>
      <c r="J511" s="4">
        <f t="shared" si="7"/>
        <v>318695.27544689225</v>
      </c>
      <c r="K511" s="35" t="s">
        <v>1576</v>
      </c>
    </row>
    <row r="512" spans="1:11" ht="15.5" x14ac:dyDescent="0.35">
      <c r="A512" s="5">
        <v>509</v>
      </c>
      <c r="B512" s="6" t="s">
        <v>1112</v>
      </c>
      <c r="C512" s="7" t="s">
        <v>1113</v>
      </c>
      <c r="D512" s="8" t="s">
        <v>751</v>
      </c>
      <c r="E512" s="8">
        <f>SUMIF('Simpanan Wajib'!C:C,'All Simpanan '!C:C,'Simpanan Wajib'!E:E)</f>
        <v>0</v>
      </c>
      <c r="F512" s="4">
        <f>SUMIF('Simpanan Pokok'!C:C,'All Simpanan '!C:C,'Simpanan Pokok'!E:E)</f>
        <v>0</v>
      </c>
      <c r="G512" s="4">
        <f>SUMIF('Simpanan Khusus'!C:C,'All Simpanan '!C:C,'Simpanan Khusus'!E:E)</f>
        <v>0</v>
      </c>
      <c r="H512" s="4">
        <f>SUMIF('Simpanan Sukarela'!C:C,'All Simpanan '!C:C,'Simpanan Sukarela'!E:E)</f>
        <v>167765.21136487334</v>
      </c>
      <c r="I512" s="4">
        <f>SUMIF('Simpanan Sukarela Berjangka'!B:B,'All Simpanan '!C:C,'Simpanan Sukarela Berjangka'!K:K)</f>
        <v>0</v>
      </c>
      <c r="J512" s="4">
        <f t="shared" si="7"/>
        <v>167765.21136487334</v>
      </c>
      <c r="K512" s="35" t="s">
        <v>1576</v>
      </c>
    </row>
    <row r="513" spans="1:11" ht="15.5" x14ac:dyDescent="0.35">
      <c r="A513" s="5">
        <v>510</v>
      </c>
      <c r="B513" s="6" t="s">
        <v>1114</v>
      </c>
      <c r="C513" s="7" t="s">
        <v>1115</v>
      </c>
      <c r="D513" s="8" t="s">
        <v>49</v>
      </c>
      <c r="E513" s="8">
        <f>SUMIF('Simpanan Wajib'!C:C,'All Simpanan '!C:C,'Simpanan Wajib'!E:E)</f>
        <v>100000</v>
      </c>
      <c r="F513" s="4">
        <f>SUMIF('Simpanan Pokok'!C:C,'All Simpanan '!C:C,'Simpanan Pokok'!E:E)</f>
        <v>5000</v>
      </c>
      <c r="G513" s="4">
        <f>SUMIF('Simpanan Khusus'!C:C,'All Simpanan '!C:C,'Simpanan Khusus'!E:E)</f>
        <v>0</v>
      </c>
      <c r="H513" s="4">
        <f>SUMIF('Simpanan Sukarela'!C:C,'All Simpanan '!C:C,'Simpanan Sukarela'!E:E)</f>
        <v>57346.817295413013</v>
      </c>
      <c r="I513" s="4">
        <f>SUMIF('Simpanan Sukarela Berjangka'!B:B,'All Simpanan '!C:C,'Simpanan Sukarela Berjangka'!K:K)</f>
        <v>0</v>
      </c>
      <c r="J513" s="4">
        <f t="shared" si="7"/>
        <v>162346.817295413</v>
      </c>
      <c r="K513" s="35" t="s">
        <v>1578</v>
      </c>
    </row>
    <row r="514" spans="1:11" ht="15.5" x14ac:dyDescent="0.35">
      <c r="A514" s="5">
        <v>511</v>
      </c>
      <c r="B514" s="6" t="s">
        <v>1116</v>
      </c>
      <c r="C514" s="7" t="s">
        <v>1117</v>
      </c>
      <c r="D514" s="8" t="s">
        <v>83</v>
      </c>
      <c r="E514" s="8">
        <f>SUMIF('Simpanan Wajib'!C:C,'All Simpanan '!C:C,'Simpanan Wajib'!E:E)</f>
        <v>17470000</v>
      </c>
      <c r="F514" s="4">
        <f>SUMIF('Simpanan Pokok'!C:C,'All Simpanan '!C:C,'Simpanan Pokok'!E:E)</f>
        <v>5000</v>
      </c>
      <c r="G514" s="4">
        <f>SUMIF('Simpanan Khusus'!C:C,'All Simpanan '!C:C,'Simpanan Khusus'!E:E)</f>
        <v>0</v>
      </c>
      <c r="H514" s="4">
        <f>SUMIF('Simpanan Sukarela'!C:C,'All Simpanan '!C:C,'Simpanan Sukarela'!E:E)</f>
        <v>2771618.088038831</v>
      </c>
      <c r="I514" s="4">
        <f>SUMIF('Simpanan Sukarela Berjangka'!B:B,'All Simpanan '!C:C,'Simpanan Sukarela Berjangka'!K:K)</f>
        <v>0</v>
      </c>
      <c r="J514" s="4">
        <f t="shared" si="7"/>
        <v>20246618.088038832</v>
      </c>
      <c r="K514" s="35" t="s">
        <v>1579</v>
      </c>
    </row>
    <row r="515" spans="1:11" ht="15.5" x14ac:dyDescent="0.35">
      <c r="A515" s="5">
        <v>512</v>
      </c>
      <c r="B515" s="6" t="s">
        <v>1118</v>
      </c>
      <c r="C515" s="7" t="s">
        <v>1119</v>
      </c>
      <c r="D515" s="8" t="s">
        <v>72</v>
      </c>
      <c r="E515" s="8">
        <f>SUMIF('Simpanan Wajib'!C:C,'All Simpanan '!C:C,'Simpanan Wajib'!E:E)</f>
        <v>0</v>
      </c>
      <c r="F515" s="4">
        <f>SUMIF('Simpanan Pokok'!C:C,'All Simpanan '!C:C,'Simpanan Pokok'!E:E)</f>
        <v>0</v>
      </c>
      <c r="G515" s="4">
        <f>SUMIF('Simpanan Khusus'!C:C,'All Simpanan '!C:C,'Simpanan Khusus'!E:E)</f>
        <v>0</v>
      </c>
      <c r="H515" s="4">
        <f>SUMIF('Simpanan Sukarela'!C:C,'All Simpanan '!C:C,'Simpanan Sukarela'!E:E)</f>
        <v>0</v>
      </c>
      <c r="I515" s="4">
        <f>SUMIF('Simpanan Sukarela Berjangka'!B:B,'All Simpanan '!C:C,'Simpanan Sukarela Berjangka'!K:K)</f>
        <v>0</v>
      </c>
      <c r="J515" s="4">
        <f t="shared" si="7"/>
        <v>0</v>
      </c>
      <c r="K515" s="35" t="s">
        <v>1579</v>
      </c>
    </row>
    <row r="516" spans="1:11" ht="15.5" x14ac:dyDescent="0.35">
      <c r="A516" s="5">
        <v>513</v>
      </c>
      <c r="B516" s="6" t="s">
        <v>1120</v>
      </c>
      <c r="C516" s="7" t="s">
        <v>1121</v>
      </c>
      <c r="D516" s="8" t="s">
        <v>49</v>
      </c>
      <c r="E516" s="8">
        <f>SUMIF('Simpanan Wajib'!C:C,'All Simpanan '!C:C,'Simpanan Wajib'!E:E)</f>
        <v>0</v>
      </c>
      <c r="F516" s="4">
        <f>SUMIF('Simpanan Pokok'!C:C,'All Simpanan '!C:C,'Simpanan Pokok'!E:E)</f>
        <v>0</v>
      </c>
      <c r="G516" s="4">
        <f>SUMIF('Simpanan Khusus'!C:C,'All Simpanan '!C:C,'Simpanan Khusus'!E:E)</f>
        <v>0</v>
      </c>
      <c r="H516" s="4">
        <f>SUMIF('Simpanan Sukarela'!C:C,'All Simpanan '!C:C,'Simpanan Sukarela'!E:E)</f>
        <v>0</v>
      </c>
      <c r="I516" s="4">
        <f>SUMIF('Simpanan Sukarela Berjangka'!B:B,'All Simpanan '!C:C,'Simpanan Sukarela Berjangka'!K:K)</f>
        <v>0</v>
      </c>
      <c r="J516" s="4">
        <f t="shared" ref="J516:J579" si="8">SUM(E516:I516)</f>
        <v>0</v>
      </c>
      <c r="K516" s="35" t="s">
        <v>1578</v>
      </c>
    </row>
    <row r="517" spans="1:11" ht="15.5" x14ac:dyDescent="0.35">
      <c r="A517" s="5">
        <v>514</v>
      </c>
      <c r="B517" s="6" t="s">
        <v>1122</v>
      </c>
      <c r="C517" s="7" t="s">
        <v>1123</v>
      </c>
      <c r="D517" s="8" t="s">
        <v>136</v>
      </c>
      <c r="E517" s="8">
        <f>SUMIF('Simpanan Wajib'!C:C,'All Simpanan '!C:C,'Simpanan Wajib'!E:E)</f>
        <v>0</v>
      </c>
      <c r="F517" s="4">
        <f>SUMIF('Simpanan Pokok'!C:C,'All Simpanan '!C:C,'Simpanan Pokok'!E:E)</f>
        <v>0</v>
      </c>
      <c r="G517" s="4">
        <f>SUMIF('Simpanan Khusus'!C:C,'All Simpanan '!C:C,'Simpanan Khusus'!E:E)</f>
        <v>0</v>
      </c>
      <c r="H517" s="4">
        <f>SUMIF('Simpanan Sukarela'!C:C,'All Simpanan '!C:C,'Simpanan Sukarela'!E:E)</f>
        <v>0</v>
      </c>
      <c r="I517" s="4">
        <f>SUMIF('Simpanan Sukarela Berjangka'!B:B,'All Simpanan '!C:C,'Simpanan Sukarela Berjangka'!K:K)</f>
        <v>0</v>
      </c>
      <c r="J517" s="4">
        <f t="shared" si="8"/>
        <v>0</v>
      </c>
      <c r="K517" s="35" t="s">
        <v>1579</v>
      </c>
    </row>
    <row r="518" spans="1:11" ht="15.5" x14ac:dyDescent="0.35">
      <c r="A518" s="5">
        <v>515</v>
      </c>
      <c r="B518" s="6" t="s">
        <v>1124</v>
      </c>
      <c r="C518" s="7" t="s">
        <v>1125</v>
      </c>
      <c r="D518" s="8" t="s">
        <v>116</v>
      </c>
      <c r="E518" s="8">
        <f>SUMIF('Simpanan Wajib'!C:C,'All Simpanan '!C:C,'Simpanan Wajib'!E:E)</f>
        <v>0</v>
      </c>
      <c r="F518" s="4">
        <f>SUMIF('Simpanan Pokok'!C:C,'All Simpanan '!C:C,'Simpanan Pokok'!E:E)</f>
        <v>0</v>
      </c>
      <c r="G518" s="4">
        <f>SUMIF('Simpanan Khusus'!C:C,'All Simpanan '!C:C,'Simpanan Khusus'!E:E)</f>
        <v>0</v>
      </c>
      <c r="H518" s="4">
        <f>SUMIF('Simpanan Sukarela'!C:C,'All Simpanan '!C:C,'Simpanan Sukarela'!E:E)</f>
        <v>0</v>
      </c>
      <c r="I518" s="4">
        <f>SUMIF('Simpanan Sukarela Berjangka'!B:B,'All Simpanan '!C:C,'Simpanan Sukarela Berjangka'!K:K)</f>
        <v>0</v>
      </c>
      <c r="J518" s="4">
        <f t="shared" si="8"/>
        <v>0</v>
      </c>
      <c r="K518" s="35" t="s">
        <v>1579</v>
      </c>
    </row>
    <row r="519" spans="1:11" ht="15.5" x14ac:dyDescent="0.35">
      <c r="A519" s="5">
        <v>516</v>
      </c>
      <c r="B519" s="6" t="s">
        <v>1126</v>
      </c>
      <c r="C519" s="7" t="s">
        <v>1127</v>
      </c>
      <c r="D519" s="8" t="s">
        <v>303</v>
      </c>
      <c r="E519" s="8">
        <f>SUMIF('Simpanan Wajib'!C:C,'All Simpanan '!C:C,'Simpanan Wajib'!E:E)</f>
        <v>0</v>
      </c>
      <c r="F519" s="4">
        <f>SUMIF('Simpanan Pokok'!C:C,'All Simpanan '!C:C,'Simpanan Pokok'!E:E)</f>
        <v>0</v>
      </c>
      <c r="G519" s="4">
        <f>SUMIF('Simpanan Khusus'!C:C,'All Simpanan '!C:C,'Simpanan Khusus'!E:E)</f>
        <v>0</v>
      </c>
      <c r="H519" s="4">
        <f>SUMIF('Simpanan Sukarela'!C:C,'All Simpanan '!C:C,'Simpanan Sukarela'!E:E)</f>
        <v>0</v>
      </c>
      <c r="I519" s="4">
        <f>SUMIF('Simpanan Sukarela Berjangka'!B:B,'All Simpanan '!C:C,'Simpanan Sukarela Berjangka'!K:K)</f>
        <v>0</v>
      </c>
      <c r="J519" s="4">
        <f t="shared" si="8"/>
        <v>0</v>
      </c>
      <c r="K519" s="35" t="s">
        <v>1579</v>
      </c>
    </row>
    <row r="520" spans="1:11" ht="15.5" x14ac:dyDescent="0.35">
      <c r="A520" s="5">
        <v>517</v>
      </c>
      <c r="B520" s="6" t="s">
        <v>1128</v>
      </c>
      <c r="C520" s="7" t="s">
        <v>1129</v>
      </c>
      <c r="D520" s="8" t="s">
        <v>72</v>
      </c>
      <c r="E520" s="8">
        <f>SUMIF('Simpanan Wajib'!C:C,'All Simpanan '!C:C,'Simpanan Wajib'!E:E)</f>
        <v>0</v>
      </c>
      <c r="F520" s="4">
        <f>SUMIF('Simpanan Pokok'!C:C,'All Simpanan '!C:C,'Simpanan Pokok'!E:E)</f>
        <v>0</v>
      </c>
      <c r="G520" s="4">
        <f>SUMIF('Simpanan Khusus'!C:C,'All Simpanan '!C:C,'Simpanan Khusus'!E:E)</f>
        <v>0</v>
      </c>
      <c r="H520" s="4">
        <f>SUMIF('Simpanan Sukarela'!C:C,'All Simpanan '!C:C,'Simpanan Sukarela'!E:E)</f>
        <v>0</v>
      </c>
      <c r="I520" s="4">
        <f>SUMIF('Simpanan Sukarela Berjangka'!B:B,'All Simpanan '!C:C,'Simpanan Sukarela Berjangka'!K:K)</f>
        <v>0</v>
      </c>
      <c r="J520" s="4">
        <f t="shared" si="8"/>
        <v>0</v>
      </c>
      <c r="K520" s="35" t="s">
        <v>1579</v>
      </c>
    </row>
    <row r="521" spans="1:11" ht="15.5" x14ac:dyDescent="0.35">
      <c r="A521" s="5">
        <v>518</v>
      </c>
      <c r="B521" s="6" t="s">
        <v>1130</v>
      </c>
      <c r="C521" s="7" t="s">
        <v>1131</v>
      </c>
      <c r="D521" s="8" t="s">
        <v>19</v>
      </c>
      <c r="E521" s="8">
        <f>SUMIF('Simpanan Wajib'!C:C,'All Simpanan '!C:C,'Simpanan Wajib'!E:E)</f>
        <v>0</v>
      </c>
      <c r="F521" s="4">
        <f>SUMIF('Simpanan Pokok'!C:C,'All Simpanan '!C:C,'Simpanan Pokok'!E:E)</f>
        <v>0</v>
      </c>
      <c r="G521" s="4">
        <f>SUMIF('Simpanan Khusus'!C:C,'All Simpanan '!C:C,'Simpanan Khusus'!E:E)</f>
        <v>0</v>
      </c>
      <c r="H521" s="4">
        <f>SUMIF('Simpanan Sukarela'!C:C,'All Simpanan '!C:C,'Simpanan Sukarela'!E:E)</f>
        <v>0</v>
      </c>
      <c r="I521" s="4">
        <f>SUMIF('Simpanan Sukarela Berjangka'!B:B,'All Simpanan '!C:C,'Simpanan Sukarela Berjangka'!K:K)</f>
        <v>0</v>
      </c>
      <c r="J521" s="4">
        <f t="shared" si="8"/>
        <v>0</v>
      </c>
      <c r="K521" s="35" t="s">
        <v>1579</v>
      </c>
    </row>
    <row r="522" spans="1:11" ht="15.5" x14ac:dyDescent="0.35">
      <c r="A522" s="5">
        <v>519</v>
      </c>
      <c r="B522" s="6" t="s">
        <v>1132</v>
      </c>
      <c r="C522" s="7" t="s">
        <v>1133</v>
      </c>
      <c r="D522" s="8" t="s">
        <v>19</v>
      </c>
      <c r="E522" s="8">
        <f>SUMIF('Simpanan Wajib'!C:C,'All Simpanan '!C:C,'Simpanan Wajib'!E:E)</f>
        <v>0</v>
      </c>
      <c r="F522" s="4">
        <f>SUMIF('Simpanan Pokok'!C:C,'All Simpanan '!C:C,'Simpanan Pokok'!E:E)</f>
        <v>0</v>
      </c>
      <c r="G522" s="4">
        <f>SUMIF('Simpanan Khusus'!C:C,'All Simpanan '!C:C,'Simpanan Khusus'!E:E)</f>
        <v>0</v>
      </c>
      <c r="H522" s="4">
        <f>SUMIF('Simpanan Sukarela'!C:C,'All Simpanan '!C:C,'Simpanan Sukarela'!E:E)</f>
        <v>0</v>
      </c>
      <c r="I522" s="4">
        <f>SUMIF('Simpanan Sukarela Berjangka'!B:B,'All Simpanan '!C:C,'Simpanan Sukarela Berjangka'!K:K)</f>
        <v>0</v>
      </c>
      <c r="J522" s="4">
        <f t="shared" si="8"/>
        <v>0</v>
      </c>
      <c r="K522" s="35" t="s">
        <v>1579</v>
      </c>
    </row>
    <row r="523" spans="1:11" ht="15.5" x14ac:dyDescent="0.35">
      <c r="A523" s="5">
        <v>520</v>
      </c>
      <c r="B523" s="6" t="s">
        <v>1134</v>
      </c>
      <c r="C523" s="7" t="s">
        <v>1135</v>
      </c>
      <c r="D523" s="8" t="s">
        <v>198</v>
      </c>
      <c r="E523" s="8">
        <f>SUMIF('Simpanan Wajib'!C:C,'All Simpanan '!C:C,'Simpanan Wajib'!E:E)</f>
        <v>0</v>
      </c>
      <c r="F523" s="4">
        <f>SUMIF('Simpanan Pokok'!C:C,'All Simpanan '!C:C,'Simpanan Pokok'!E:E)</f>
        <v>0</v>
      </c>
      <c r="G523" s="4">
        <f>SUMIF('Simpanan Khusus'!C:C,'All Simpanan '!C:C,'Simpanan Khusus'!E:E)</f>
        <v>0</v>
      </c>
      <c r="H523" s="4">
        <f>SUMIF('Simpanan Sukarela'!C:C,'All Simpanan '!C:C,'Simpanan Sukarela'!E:E)</f>
        <v>0</v>
      </c>
      <c r="I523" s="4">
        <f>SUMIF('Simpanan Sukarela Berjangka'!B:B,'All Simpanan '!C:C,'Simpanan Sukarela Berjangka'!K:K)</f>
        <v>0</v>
      </c>
      <c r="J523" s="4">
        <f t="shared" si="8"/>
        <v>0</v>
      </c>
      <c r="K523" s="35" t="s">
        <v>1579</v>
      </c>
    </row>
    <row r="524" spans="1:11" ht="15.5" x14ac:dyDescent="0.35">
      <c r="A524" s="5">
        <v>521</v>
      </c>
      <c r="B524" s="6" t="s">
        <v>1136</v>
      </c>
      <c r="C524" s="18" t="s">
        <v>1137</v>
      </c>
      <c r="D524" s="8" t="s">
        <v>123</v>
      </c>
      <c r="E524" s="8">
        <f>SUMIF('Simpanan Wajib'!C:C,'All Simpanan '!C:C,'Simpanan Wajib'!E:E)</f>
        <v>13800000</v>
      </c>
      <c r="F524" s="4">
        <f>SUMIF('Simpanan Pokok'!C:C,'All Simpanan '!C:C,'Simpanan Pokok'!E:E)</f>
        <v>0</v>
      </c>
      <c r="G524" s="4">
        <f>SUMIF('Simpanan Khusus'!C:C,'All Simpanan '!C:C,'Simpanan Khusus'!E:E)</f>
        <v>0</v>
      </c>
      <c r="H524" s="4">
        <f>SUMIF('Simpanan Sukarela'!C:C,'All Simpanan '!C:C,'Simpanan Sukarela'!E:E)</f>
        <v>1112625.7526513687</v>
      </c>
      <c r="I524" s="4">
        <f>SUMIF('Simpanan Sukarela Berjangka'!B:B,'All Simpanan '!C:C,'Simpanan Sukarela Berjangka'!K:K)</f>
        <v>0</v>
      </c>
      <c r="J524" s="4">
        <f t="shared" si="8"/>
        <v>14912625.752651369</v>
      </c>
      <c r="K524" s="35" t="s">
        <v>1579</v>
      </c>
    </row>
    <row r="525" spans="1:11" ht="15.5" x14ac:dyDescent="0.35">
      <c r="A525" s="5">
        <v>522</v>
      </c>
      <c r="B525" s="6" t="s">
        <v>1138</v>
      </c>
      <c r="C525" s="7" t="s">
        <v>1139</v>
      </c>
      <c r="D525" s="8" t="s">
        <v>95</v>
      </c>
      <c r="E525" s="8">
        <f>SUMIF('Simpanan Wajib'!C:C,'All Simpanan '!C:C,'Simpanan Wajib'!E:E)</f>
        <v>0</v>
      </c>
      <c r="F525" s="4">
        <f>SUMIF('Simpanan Pokok'!C:C,'All Simpanan '!C:C,'Simpanan Pokok'!E:E)</f>
        <v>0</v>
      </c>
      <c r="G525" s="4">
        <f>SUMIF('Simpanan Khusus'!C:C,'All Simpanan '!C:C,'Simpanan Khusus'!E:E)</f>
        <v>0</v>
      </c>
      <c r="H525" s="4">
        <f>SUMIF('Simpanan Sukarela'!C:C,'All Simpanan '!C:C,'Simpanan Sukarela'!E:E)</f>
        <v>0</v>
      </c>
      <c r="I525" s="4">
        <f>SUMIF('Simpanan Sukarela Berjangka'!B:B,'All Simpanan '!C:C,'Simpanan Sukarela Berjangka'!K:K)</f>
        <v>0</v>
      </c>
      <c r="J525" s="4">
        <f t="shared" si="8"/>
        <v>0</v>
      </c>
      <c r="K525" s="35" t="s">
        <v>1579</v>
      </c>
    </row>
    <row r="526" spans="1:11" ht="15.5" x14ac:dyDescent="0.35">
      <c r="A526" s="5">
        <v>523</v>
      </c>
      <c r="B526" s="6" t="s">
        <v>1140</v>
      </c>
      <c r="C526" s="7" t="s">
        <v>1141</v>
      </c>
      <c r="D526" s="8" t="s">
        <v>49</v>
      </c>
      <c r="E526" s="8">
        <f>SUMIF('Simpanan Wajib'!C:C,'All Simpanan '!C:C,'Simpanan Wajib'!E:E)</f>
        <v>2595000</v>
      </c>
      <c r="F526" s="4">
        <f>SUMIF('Simpanan Pokok'!C:C,'All Simpanan '!C:C,'Simpanan Pokok'!E:E)</f>
        <v>5000</v>
      </c>
      <c r="G526" s="4">
        <f>SUMIF('Simpanan Khusus'!C:C,'All Simpanan '!C:C,'Simpanan Khusus'!E:E)</f>
        <v>0</v>
      </c>
      <c r="H526" s="4">
        <f>SUMIF('Simpanan Sukarela'!C:C,'All Simpanan '!C:C,'Simpanan Sukarela'!E:E)</f>
        <v>861895.0231200722</v>
      </c>
      <c r="I526" s="4">
        <f>SUMIF('Simpanan Sukarela Berjangka'!B:B,'All Simpanan '!C:C,'Simpanan Sukarela Berjangka'!K:K)</f>
        <v>0</v>
      </c>
      <c r="J526" s="4">
        <f t="shared" si="8"/>
        <v>3461895.0231200722</v>
      </c>
      <c r="K526" s="35" t="s">
        <v>1578</v>
      </c>
    </row>
    <row r="527" spans="1:11" ht="15.5" x14ac:dyDescent="0.35">
      <c r="A527" s="5">
        <v>524</v>
      </c>
      <c r="B527" s="6" t="s">
        <v>1142</v>
      </c>
      <c r="C527" s="7" t="s">
        <v>1143</v>
      </c>
      <c r="D527" s="8" t="s">
        <v>49</v>
      </c>
      <c r="E527" s="8">
        <f>SUMIF('Simpanan Wajib'!C:C,'All Simpanan '!C:C,'Simpanan Wajib'!E:E)</f>
        <v>0</v>
      </c>
      <c r="F527" s="4">
        <f>SUMIF('Simpanan Pokok'!C:C,'All Simpanan '!C:C,'Simpanan Pokok'!E:E)</f>
        <v>0</v>
      </c>
      <c r="G527" s="4">
        <f>SUMIF('Simpanan Khusus'!C:C,'All Simpanan '!C:C,'Simpanan Khusus'!E:E)</f>
        <v>0</v>
      </c>
      <c r="H527" s="4">
        <f>SUMIF('Simpanan Sukarela'!C:C,'All Simpanan '!C:C,'Simpanan Sukarela'!E:E)</f>
        <v>146700.01305464981</v>
      </c>
      <c r="I527" s="4">
        <f>SUMIF('Simpanan Sukarela Berjangka'!B:B,'All Simpanan '!C:C,'Simpanan Sukarela Berjangka'!K:K)</f>
        <v>0</v>
      </c>
      <c r="J527" s="4">
        <f t="shared" si="8"/>
        <v>146700.01305464981</v>
      </c>
      <c r="K527" s="35" t="s">
        <v>1578</v>
      </c>
    </row>
    <row r="528" spans="1:11" ht="15.5" x14ac:dyDescent="0.35">
      <c r="A528" s="5">
        <v>526</v>
      </c>
      <c r="B528" s="6" t="s">
        <v>1144</v>
      </c>
      <c r="C528" s="7" t="s">
        <v>1145</v>
      </c>
      <c r="D528" s="8" t="s">
        <v>303</v>
      </c>
      <c r="E528" s="8">
        <f>SUMIF('Simpanan Wajib'!C:C,'All Simpanan '!C:C,'Simpanan Wajib'!E:E)</f>
        <v>0</v>
      </c>
      <c r="F528" s="4">
        <f>SUMIF('Simpanan Pokok'!C:C,'All Simpanan '!C:C,'Simpanan Pokok'!E:E)</f>
        <v>0</v>
      </c>
      <c r="G528" s="4">
        <f>SUMIF('Simpanan Khusus'!C:C,'All Simpanan '!C:C,'Simpanan Khusus'!E:E)</f>
        <v>0</v>
      </c>
      <c r="H528" s="4">
        <f>SUMIF('Simpanan Sukarela'!C:C,'All Simpanan '!C:C,'Simpanan Sukarela'!E:E)</f>
        <v>31160.00835030392</v>
      </c>
      <c r="I528" s="4">
        <f>SUMIF('Simpanan Sukarela Berjangka'!B:B,'All Simpanan '!C:C,'Simpanan Sukarela Berjangka'!K:K)</f>
        <v>0</v>
      </c>
      <c r="J528" s="4">
        <f t="shared" si="8"/>
        <v>31160.00835030392</v>
      </c>
      <c r="K528" s="35" t="s">
        <v>1578</v>
      </c>
    </row>
    <row r="529" spans="1:11" ht="15.5" x14ac:dyDescent="0.35">
      <c r="A529" s="5">
        <v>527</v>
      </c>
      <c r="B529" s="6" t="s">
        <v>1146</v>
      </c>
      <c r="C529" s="7" t="s">
        <v>1147</v>
      </c>
      <c r="D529" s="8" t="s">
        <v>698</v>
      </c>
      <c r="E529" s="8">
        <f>SUMIF('Simpanan Wajib'!C:C,'All Simpanan '!C:C,'Simpanan Wajib'!E:E)</f>
        <v>150000</v>
      </c>
      <c r="F529" s="4">
        <f>SUMIF('Simpanan Pokok'!C:C,'All Simpanan '!C:C,'Simpanan Pokok'!E:E)</f>
        <v>0</v>
      </c>
      <c r="G529" s="4">
        <f>SUMIF('Simpanan Khusus'!C:C,'All Simpanan '!C:C,'Simpanan Khusus'!E:E)</f>
        <v>0</v>
      </c>
      <c r="H529" s="4">
        <f>SUMIF('Simpanan Sukarela'!C:C,'All Simpanan '!C:C,'Simpanan Sukarela'!E:E)</f>
        <v>44689.964955540723</v>
      </c>
      <c r="I529" s="4">
        <f>SUMIF('Simpanan Sukarela Berjangka'!B:B,'All Simpanan '!C:C,'Simpanan Sukarela Berjangka'!K:K)</f>
        <v>0</v>
      </c>
      <c r="J529" s="4">
        <f t="shared" si="8"/>
        <v>194689.96495554072</v>
      </c>
      <c r="K529" s="35" t="s">
        <v>1578</v>
      </c>
    </row>
    <row r="530" spans="1:11" ht="15.5" x14ac:dyDescent="0.35">
      <c r="A530" s="5">
        <v>528</v>
      </c>
      <c r="B530" s="6" t="s">
        <v>1148</v>
      </c>
      <c r="C530" s="7" t="s">
        <v>1149</v>
      </c>
      <c r="D530" s="8" t="s">
        <v>60</v>
      </c>
      <c r="E530" s="8">
        <f>SUMIF('Simpanan Wajib'!C:C,'All Simpanan '!C:C,'Simpanan Wajib'!E:E)</f>
        <v>0</v>
      </c>
      <c r="F530" s="4">
        <f>SUMIF('Simpanan Pokok'!C:C,'All Simpanan '!C:C,'Simpanan Pokok'!E:E)</f>
        <v>0</v>
      </c>
      <c r="G530" s="4">
        <f>SUMIF('Simpanan Khusus'!C:C,'All Simpanan '!C:C,'Simpanan Khusus'!E:E)</f>
        <v>0</v>
      </c>
      <c r="H530" s="4">
        <f>SUMIF('Simpanan Sukarela'!C:C,'All Simpanan '!C:C,'Simpanan Sukarela'!E:E)</f>
        <v>92320</v>
      </c>
      <c r="I530" s="4">
        <f>SUMIF('Simpanan Sukarela Berjangka'!B:B,'All Simpanan '!C:C,'Simpanan Sukarela Berjangka'!K:K)</f>
        <v>0</v>
      </c>
      <c r="J530" s="4">
        <f t="shared" si="8"/>
        <v>92320</v>
      </c>
      <c r="K530" s="35" t="s">
        <v>1578</v>
      </c>
    </row>
    <row r="531" spans="1:11" ht="15.5" x14ac:dyDescent="0.35">
      <c r="A531" s="5">
        <v>529</v>
      </c>
      <c r="B531" s="6" t="s">
        <v>1150</v>
      </c>
      <c r="C531" s="7" t="s">
        <v>1151</v>
      </c>
      <c r="D531" s="8" t="s">
        <v>98</v>
      </c>
      <c r="E531" s="8">
        <f>SUMIF('Simpanan Wajib'!C:C,'All Simpanan '!C:C,'Simpanan Wajib'!E:E)</f>
        <v>0</v>
      </c>
      <c r="F531" s="4">
        <f>SUMIF('Simpanan Pokok'!C:C,'All Simpanan '!C:C,'Simpanan Pokok'!E:E)</f>
        <v>0</v>
      </c>
      <c r="G531" s="4">
        <f>SUMIF('Simpanan Khusus'!C:C,'All Simpanan '!C:C,'Simpanan Khusus'!E:E)</f>
        <v>0</v>
      </c>
      <c r="H531" s="4">
        <f>SUMIF('Simpanan Sukarela'!C:C,'All Simpanan '!C:C,'Simpanan Sukarela'!E:E)</f>
        <v>0</v>
      </c>
      <c r="I531" s="4">
        <f>SUMIF('Simpanan Sukarela Berjangka'!B:B,'All Simpanan '!C:C,'Simpanan Sukarela Berjangka'!K:K)</f>
        <v>0</v>
      </c>
      <c r="J531" s="4">
        <f t="shared" si="8"/>
        <v>0</v>
      </c>
      <c r="K531" s="35" t="s">
        <v>1579</v>
      </c>
    </row>
    <row r="532" spans="1:11" ht="15.5" x14ac:dyDescent="0.35">
      <c r="A532" s="5">
        <v>530</v>
      </c>
      <c r="B532" s="6" t="s">
        <v>1152</v>
      </c>
      <c r="C532" s="7" t="s">
        <v>1153</v>
      </c>
      <c r="D532" s="8" t="s">
        <v>300</v>
      </c>
      <c r="E532" s="8">
        <f>SUMIF('Simpanan Wajib'!C:C,'All Simpanan '!C:C,'Simpanan Wajib'!E:E)</f>
        <v>0</v>
      </c>
      <c r="F532" s="4">
        <f>SUMIF('Simpanan Pokok'!C:C,'All Simpanan '!C:C,'Simpanan Pokok'!E:E)</f>
        <v>0</v>
      </c>
      <c r="G532" s="4">
        <f>SUMIF('Simpanan Khusus'!C:C,'All Simpanan '!C:C,'Simpanan Khusus'!E:E)</f>
        <v>0</v>
      </c>
      <c r="H532" s="4">
        <f>SUMIF('Simpanan Sukarela'!C:C,'All Simpanan '!C:C,'Simpanan Sukarela'!E:E)</f>
        <v>111632.76175121497</v>
      </c>
      <c r="I532" s="4">
        <f>SUMIF('Simpanan Sukarela Berjangka'!B:B,'All Simpanan '!C:C,'Simpanan Sukarela Berjangka'!K:K)</f>
        <v>0</v>
      </c>
      <c r="J532" s="4">
        <f t="shared" si="8"/>
        <v>111632.76175121497</v>
      </c>
      <c r="K532" s="35" t="s">
        <v>1578</v>
      </c>
    </row>
    <row r="533" spans="1:11" ht="15.5" x14ac:dyDescent="0.35">
      <c r="A533" s="5">
        <v>531</v>
      </c>
      <c r="B533" s="6" t="s">
        <v>1154</v>
      </c>
      <c r="C533" s="7" t="s">
        <v>1155</v>
      </c>
      <c r="D533" s="8" t="s">
        <v>25</v>
      </c>
      <c r="E533" s="8">
        <f>SUMIF('Simpanan Wajib'!C:C,'All Simpanan '!C:C,'Simpanan Wajib'!E:E)</f>
        <v>15145000</v>
      </c>
      <c r="F533" s="4">
        <f>SUMIF('Simpanan Pokok'!C:C,'All Simpanan '!C:C,'Simpanan Pokok'!E:E)</f>
        <v>5000</v>
      </c>
      <c r="G533" s="4">
        <f>SUMIF('Simpanan Khusus'!C:C,'All Simpanan '!C:C,'Simpanan Khusus'!E:E)</f>
        <v>1050000</v>
      </c>
      <c r="H533" s="4">
        <f>SUMIF('Simpanan Sukarela'!C:C,'All Simpanan '!C:C,'Simpanan Sukarela'!E:E)</f>
        <v>1300150.2959413345</v>
      </c>
      <c r="I533" s="4">
        <f>SUMIF('Simpanan Sukarela Berjangka'!B:B,'All Simpanan '!C:C,'Simpanan Sukarela Berjangka'!K:K)</f>
        <v>0</v>
      </c>
      <c r="J533" s="4">
        <f t="shared" si="8"/>
        <v>17500150.295941334</v>
      </c>
      <c r="K533" s="35" t="s">
        <v>1579</v>
      </c>
    </row>
    <row r="534" spans="1:11" ht="15.5" x14ac:dyDescent="0.35">
      <c r="A534" s="5">
        <v>532</v>
      </c>
      <c r="B534" s="6" t="s">
        <v>1156</v>
      </c>
      <c r="C534" s="7" t="s">
        <v>1157</v>
      </c>
      <c r="D534" s="8" t="s">
        <v>318</v>
      </c>
      <c r="E534" s="8">
        <f>SUMIF('Simpanan Wajib'!C:C,'All Simpanan '!C:C,'Simpanan Wajib'!E:E)</f>
        <v>0</v>
      </c>
      <c r="F534" s="4">
        <f>SUMIF('Simpanan Pokok'!C:C,'All Simpanan '!C:C,'Simpanan Pokok'!E:E)</f>
        <v>0</v>
      </c>
      <c r="G534" s="4">
        <f>SUMIF('Simpanan Khusus'!C:C,'All Simpanan '!C:C,'Simpanan Khusus'!E:E)</f>
        <v>0</v>
      </c>
      <c r="H534" s="4">
        <f>SUMIF('Simpanan Sukarela'!C:C,'All Simpanan '!C:C,'Simpanan Sukarela'!E:E)</f>
        <v>0</v>
      </c>
      <c r="I534" s="4">
        <f>SUMIF('Simpanan Sukarela Berjangka'!B:B,'All Simpanan '!C:C,'Simpanan Sukarela Berjangka'!K:K)</f>
        <v>0</v>
      </c>
      <c r="J534" s="4">
        <f t="shared" si="8"/>
        <v>0</v>
      </c>
      <c r="K534" s="35" t="s">
        <v>1579</v>
      </c>
    </row>
    <row r="535" spans="1:11" ht="15.5" x14ac:dyDescent="0.35">
      <c r="A535" s="5">
        <v>533</v>
      </c>
      <c r="B535" s="6" t="s">
        <v>1158</v>
      </c>
      <c r="C535" s="7" t="s">
        <v>1159</v>
      </c>
      <c r="D535" s="8" t="s">
        <v>19</v>
      </c>
      <c r="E535" s="8">
        <f>SUMIF('Simpanan Wajib'!C:C,'All Simpanan '!C:C,'Simpanan Wajib'!E:E)</f>
        <v>11745000</v>
      </c>
      <c r="F535" s="4">
        <f>SUMIF('Simpanan Pokok'!C:C,'All Simpanan '!C:C,'Simpanan Pokok'!E:E)</f>
        <v>5000</v>
      </c>
      <c r="G535" s="4">
        <f>SUMIF('Simpanan Khusus'!C:C,'All Simpanan '!C:C,'Simpanan Khusus'!E:E)</f>
        <v>0</v>
      </c>
      <c r="H535" s="4">
        <f>SUMIF('Simpanan Sukarela'!C:C,'All Simpanan '!C:C,'Simpanan Sukarela'!E:E)</f>
        <v>1282181.4586389437</v>
      </c>
      <c r="I535" s="4">
        <f>SUMIF('Simpanan Sukarela Berjangka'!B:B,'All Simpanan '!C:C,'Simpanan Sukarela Berjangka'!K:K)</f>
        <v>0</v>
      </c>
      <c r="J535" s="4">
        <f t="shared" si="8"/>
        <v>13032181.458638944</v>
      </c>
      <c r="K535" s="35" t="s">
        <v>1579</v>
      </c>
    </row>
    <row r="536" spans="1:11" ht="15.5" x14ac:dyDescent="0.35">
      <c r="A536" s="5">
        <v>534</v>
      </c>
      <c r="B536" s="6" t="s">
        <v>1160</v>
      </c>
      <c r="C536" s="7" t="s">
        <v>1161</v>
      </c>
      <c r="D536" s="8" t="s">
        <v>303</v>
      </c>
      <c r="E536" s="8">
        <f>SUMIF('Simpanan Wajib'!C:C,'All Simpanan '!C:C,'Simpanan Wajib'!E:E)</f>
        <v>15095000</v>
      </c>
      <c r="F536" s="4">
        <f>SUMIF('Simpanan Pokok'!C:C,'All Simpanan '!C:C,'Simpanan Pokok'!E:E)</f>
        <v>5000</v>
      </c>
      <c r="G536" s="4">
        <f>SUMIF('Simpanan Khusus'!C:C,'All Simpanan '!C:C,'Simpanan Khusus'!E:E)</f>
        <v>0</v>
      </c>
      <c r="H536" s="4">
        <f>SUMIF('Simpanan Sukarela'!C:C,'All Simpanan '!C:C,'Simpanan Sukarela'!E:E)</f>
        <v>949512.70699558069</v>
      </c>
      <c r="I536" s="4">
        <f>SUMIF('Simpanan Sukarela Berjangka'!B:B,'All Simpanan '!C:C,'Simpanan Sukarela Berjangka'!K:K)</f>
        <v>0</v>
      </c>
      <c r="J536" s="4">
        <f t="shared" si="8"/>
        <v>16049512.70699558</v>
      </c>
      <c r="K536" s="35" t="s">
        <v>1579</v>
      </c>
    </row>
    <row r="537" spans="1:11" ht="15.5" x14ac:dyDescent="0.35">
      <c r="A537" s="5">
        <v>535</v>
      </c>
      <c r="B537" s="6" t="s">
        <v>1162</v>
      </c>
      <c r="C537" s="7" t="s">
        <v>1163</v>
      </c>
      <c r="D537" s="8" t="s">
        <v>318</v>
      </c>
      <c r="E537" s="8">
        <f>SUMIF('Simpanan Wajib'!C:C,'All Simpanan '!C:C,'Simpanan Wajib'!E:E)</f>
        <v>0</v>
      </c>
      <c r="F537" s="4">
        <f>SUMIF('Simpanan Pokok'!C:C,'All Simpanan '!C:C,'Simpanan Pokok'!E:E)</f>
        <v>0</v>
      </c>
      <c r="G537" s="4">
        <f>SUMIF('Simpanan Khusus'!C:C,'All Simpanan '!C:C,'Simpanan Khusus'!E:E)</f>
        <v>0</v>
      </c>
      <c r="H537" s="4">
        <f>SUMIF('Simpanan Sukarela'!C:C,'All Simpanan '!C:C,'Simpanan Sukarela'!E:E)</f>
        <v>239963.32185857336</v>
      </c>
      <c r="I537" s="4">
        <f>SUMIF('Simpanan Sukarela Berjangka'!B:B,'All Simpanan '!C:C,'Simpanan Sukarela Berjangka'!K:K)</f>
        <v>0</v>
      </c>
      <c r="J537" s="4">
        <f t="shared" si="8"/>
        <v>239963.32185857336</v>
      </c>
      <c r="K537" s="35" t="s">
        <v>1578</v>
      </c>
    </row>
    <row r="538" spans="1:11" ht="15.5" x14ac:dyDescent="0.35">
      <c r="A538" s="5">
        <v>536</v>
      </c>
      <c r="B538" s="6" t="s">
        <v>1164</v>
      </c>
      <c r="C538" s="7" t="s">
        <v>1165</v>
      </c>
      <c r="D538" s="8" t="s">
        <v>136</v>
      </c>
      <c r="E538" s="8">
        <f>SUMIF('Simpanan Wajib'!C:C,'All Simpanan '!C:C,'Simpanan Wajib'!E:E)</f>
        <v>9900000</v>
      </c>
      <c r="F538" s="4">
        <f>SUMIF('Simpanan Pokok'!C:C,'All Simpanan '!C:C,'Simpanan Pokok'!E:E)</f>
        <v>0</v>
      </c>
      <c r="G538" s="4">
        <f>SUMIF('Simpanan Khusus'!C:C,'All Simpanan '!C:C,'Simpanan Khusus'!E:E)</f>
        <v>280000</v>
      </c>
      <c r="H538" s="4">
        <f>SUMIF('Simpanan Sukarela'!C:C,'All Simpanan '!C:C,'Simpanan Sukarela'!E:E)</f>
        <v>821124.72161621368</v>
      </c>
      <c r="I538" s="4">
        <f>SUMIF('Simpanan Sukarela Berjangka'!B:B,'All Simpanan '!C:C,'Simpanan Sukarela Berjangka'!K:K)</f>
        <v>0</v>
      </c>
      <c r="J538" s="4">
        <f t="shared" si="8"/>
        <v>11001124.721616214</v>
      </c>
      <c r="K538" s="35" t="s">
        <v>1579</v>
      </c>
    </row>
    <row r="539" spans="1:11" ht="15.5" x14ac:dyDescent="0.35">
      <c r="A539" s="5">
        <v>537</v>
      </c>
      <c r="B539" s="6" t="s">
        <v>1166</v>
      </c>
      <c r="C539" s="7" t="s">
        <v>1167</v>
      </c>
      <c r="D539" s="8" t="s">
        <v>751</v>
      </c>
      <c r="E539" s="8">
        <f>SUMIF('Simpanan Wajib'!C:C,'All Simpanan '!C:C,'Simpanan Wajib'!E:E)</f>
        <v>0</v>
      </c>
      <c r="F539" s="4">
        <f>SUMIF('Simpanan Pokok'!C:C,'All Simpanan '!C:C,'Simpanan Pokok'!E:E)</f>
        <v>0</v>
      </c>
      <c r="G539" s="4">
        <f>SUMIF('Simpanan Khusus'!C:C,'All Simpanan '!C:C,'Simpanan Khusus'!E:E)</f>
        <v>0</v>
      </c>
      <c r="H539" s="4">
        <f>SUMIF('Simpanan Sukarela'!C:C,'All Simpanan '!C:C,'Simpanan Sukarela'!E:E)</f>
        <v>0</v>
      </c>
      <c r="I539" s="4">
        <f>SUMIF('Simpanan Sukarela Berjangka'!B:B,'All Simpanan '!C:C,'Simpanan Sukarela Berjangka'!K:K)</f>
        <v>0</v>
      </c>
      <c r="J539" s="4">
        <f t="shared" si="8"/>
        <v>0</v>
      </c>
      <c r="K539" s="35" t="s">
        <v>1579</v>
      </c>
    </row>
    <row r="540" spans="1:11" ht="15.5" x14ac:dyDescent="0.35">
      <c r="A540" s="5">
        <v>538</v>
      </c>
      <c r="B540" s="6" t="s">
        <v>1168</v>
      </c>
      <c r="C540" s="7" t="s">
        <v>1169</v>
      </c>
      <c r="D540" s="8" t="s">
        <v>113</v>
      </c>
      <c r="E540" s="8">
        <f>SUMIF('Simpanan Wajib'!C:C,'All Simpanan '!C:C,'Simpanan Wajib'!E:E)</f>
        <v>0</v>
      </c>
      <c r="F540" s="4">
        <f>SUMIF('Simpanan Pokok'!C:C,'All Simpanan '!C:C,'Simpanan Pokok'!E:E)</f>
        <v>0</v>
      </c>
      <c r="G540" s="4">
        <f>SUMIF('Simpanan Khusus'!C:C,'All Simpanan '!C:C,'Simpanan Khusus'!E:E)</f>
        <v>0</v>
      </c>
      <c r="H540" s="4">
        <f>SUMIF('Simpanan Sukarela'!C:C,'All Simpanan '!C:C,'Simpanan Sukarela'!E:E)</f>
        <v>56473.561187360669</v>
      </c>
      <c r="I540" s="4">
        <f>SUMIF('Simpanan Sukarela Berjangka'!B:B,'All Simpanan '!C:C,'Simpanan Sukarela Berjangka'!K:K)</f>
        <v>0</v>
      </c>
      <c r="J540" s="4">
        <f t="shared" si="8"/>
        <v>56473.561187360669</v>
      </c>
      <c r="K540" s="35" t="s">
        <v>1578</v>
      </c>
    </row>
    <row r="541" spans="1:11" ht="15.5" x14ac:dyDescent="0.35">
      <c r="A541" s="5">
        <v>539</v>
      </c>
      <c r="B541" s="6" t="s">
        <v>1170</v>
      </c>
      <c r="C541" s="7" t="s">
        <v>1171</v>
      </c>
      <c r="D541" s="8" t="s">
        <v>136</v>
      </c>
      <c r="E541" s="8">
        <f>SUMIF('Simpanan Wajib'!C:C,'All Simpanan '!C:C,'Simpanan Wajib'!E:E)</f>
        <v>37100000</v>
      </c>
      <c r="F541" s="4">
        <f>SUMIF('Simpanan Pokok'!C:C,'All Simpanan '!C:C,'Simpanan Pokok'!E:E)</f>
        <v>0</v>
      </c>
      <c r="G541" s="4">
        <f>SUMIF('Simpanan Khusus'!C:C,'All Simpanan '!C:C,'Simpanan Khusus'!E:E)</f>
        <v>400000</v>
      </c>
      <c r="H541" s="4">
        <f>SUMIF('Simpanan Sukarela'!C:C,'All Simpanan '!C:C,'Simpanan Sukarela'!E:E)</f>
        <v>1276388.2674934873</v>
      </c>
      <c r="I541" s="4">
        <f>SUMIF('Simpanan Sukarela Berjangka'!B:B,'All Simpanan '!C:C,'Simpanan Sukarela Berjangka'!K:K)</f>
        <v>0</v>
      </c>
      <c r="J541" s="4">
        <f t="shared" si="8"/>
        <v>38776388.267493486</v>
      </c>
      <c r="K541" s="35" t="s">
        <v>1579</v>
      </c>
    </row>
    <row r="542" spans="1:11" ht="15.5" x14ac:dyDescent="0.35">
      <c r="A542" s="5">
        <v>540</v>
      </c>
      <c r="B542" s="6" t="s">
        <v>1172</v>
      </c>
      <c r="C542" s="7" t="s">
        <v>1173</v>
      </c>
      <c r="D542" s="8" t="s">
        <v>136</v>
      </c>
      <c r="E542" s="8">
        <f>SUMIF('Simpanan Wajib'!C:C,'All Simpanan '!C:C,'Simpanan Wajib'!E:E)</f>
        <v>15250000</v>
      </c>
      <c r="F542" s="4">
        <f>SUMIF('Simpanan Pokok'!C:C,'All Simpanan '!C:C,'Simpanan Pokok'!E:E)</f>
        <v>50000</v>
      </c>
      <c r="G542" s="4">
        <f>SUMIF('Simpanan Khusus'!C:C,'All Simpanan '!C:C,'Simpanan Khusus'!E:E)</f>
        <v>1950000</v>
      </c>
      <c r="H542" s="4">
        <f>SUMIF('Simpanan Sukarela'!C:C,'All Simpanan '!C:C,'Simpanan Sukarela'!E:E)</f>
        <v>1199789.9813257279</v>
      </c>
      <c r="I542" s="4">
        <f>SUMIF('Simpanan Sukarela Berjangka'!B:B,'All Simpanan '!C:C,'Simpanan Sukarela Berjangka'!K:K)</f>
        <v>0</v>
      </c>
      <c r="J542" s="4">
        <f t="shared" si="8"/>
        <v>18449789.981325727</v>
      </c>
      <c r="K542" s="35" t="s">
        <v>1579</v>
      </c>
    </row>
    <row r="543" spans="1:11" ht="15.5" x14ac:dyDescent="0.35">
      <c r="A543" s="5">
        <v>541</v>
      </c>
      <c r="B543" s="6" t="s">
        <v>1174</v>
      </c>
      <c r="C543" s="7" t="s">
        <v>1175</v>
      </c>
      <c r="D543" s="8" t="s">
        <v>374</v>
      </c>
      <c r="E543" s="8">
        <f>SUMIF('Simpanan Wajib'!C:C,'All Simpanan '!C:C,'Simpanan Wajib'!E:E)</f>
        <v>0</v>
      </c>
      <c r="F543" s="4">
        <f>SUMIF('Simpanan Pokok'!C:C,'All Simpanan '!C:C,'Simpanan Pokok'!E:E)</f>
        <v>0</v>
      </c>
      <c r="G543" s="4">
        <f>SUMIF('Simpanan Khusus'!C:C,'All Simpanan '!C:C,'Simpanan Khusus'!E:E)</f>
        <v>0</v>
      </c>
      <c r="H543" s="4">
        <f>SUMIF('Simpanan Sukarela'!C:C,'All Simpanan '!C:C,'Simpanan Sukarela'!E:E)</f>
        <v>0</v>
      </c>
      <c r="I543" s="4">
        <f>SUMIF('Simpanan Sukarela Berjangka'!B:B,'All Simpanan '!C:C,'Simpanan Sukarela Berjangka'!K:K)</f>
        <v>0</v>
      </c>
      <c r="J543" s="4">
        <f t="shared" si="8"/>
        <v>0</v>
      </c>
      <c r="K543" s="35" t="s">
        <v>1579</v>
      </c>
    </row>
    <row r="544" spans="1:11" ht="15.5" x14ac:dyDescent="0.35">
      <c r="A544" s="5">
        <v>542</v>
      </c>
      <c r="B544" s="6" t="s">
        <v>1176</v>
      </c>
      <c r="C544" s="7" t="s">
        <v>1177</v>
      </c>
      <c r="D544" s="8" t="s">
        <v>295</v>
      </c>
      <c r="E544" s="8">
        <f>SUMIF('Simpanan Wajib'!C:C,'All Simpanan '!C:C,'Simpanan Wajib'!E:E)</f>
        <v>14350000</v>
      </c>
      <c r="F544" s="4">
        <f>SUMIF('Simpanan Pokok'!C:C,'All Simpanan '!C:C,'Simpanan Pokok'!E:E)</f>
        <v>200000</v>
      </c>
      <c r="G544" s="4">
        <f>SUMIF('Simpanan Khusus'!C:C,'All Simpanan '!C:C,'Simpanan Khusus'!E:E)</f>
        <v>850000</v>
      </c>
      <c r="H544" s="4">
        <f>SUMIF('Simpanan Sukarela'!C:C,'All Simpanan '!C:C,'Simpanan Sukarela'!E:E)</f>
        <v>1032467.9099472809</v>
      </c>
      <c r="I544" s="4">
        <f>SUMIF('Simpanan Sukarela Berjangka'!B:B,'All Simpanan '!C:C,'Simpanan Sukarela Berjangka'!K:K)</f>
        <v>0</v>
      </c>
      <c r="J544" s="4">
        <f t="shared" si="8"/>
        <v>16432467.909947282</v>
      </c>
      <c r="K544" s="35" t="s">
        <v>1579</v>
      </c>
    </row>
    <row r="545" spans="1:11" ht="15.5" x14ac:dyDescent="0.35">
      <c r="A545" s="5">
        <v>543</v>
      </c>
      <c r="B545" s="6" t="s">
        <v>1178</v>
      </c>
      <c r="C545" s="7" t="s">
        <v>1179</v>
      </c>
      <c r="D545" s="8" t="s">
        <v>136</v>
      </c>
      <c r="E545" s="8">
        <f>SUMIF('Simpanan Wajib'!C:C,'All Simpanan '!C:C,'Simpanan Wajib'!E:E)</f>
        <v>-100000</v>
      </c>
      <c r="F545" s="4">
        <f>SUMIF('Simpanan Pokok'!C:C,'All Simpanan '!C:C,'Simpanan Pokok'!E:E)</f>
        <v>0</v>
      </c>
      <c r="G545" s="4">
        <f>SUMIF('Simpanan Khusus'!C:C,'All Simpanan '!C:C,'Simpanan Khusus'!E:E)</f>
        <v>0</v>
      </c>
      <c r="H545" s="4">
        <f>SUMIF('Simpanan Sukarela'!C:C,'All Simpanan '!C:C,'Simpanan Sukarela'!E:E)</f>
        <v>0.31274104944895953</v>
      </c>
      <c r="I545" s="4">
        <f>SUMIF('Simpanan Sukarela Berjangka'!B:B,'All Simpanan '!C:C,'Simpanan Sukarela Berjangka'!K:K)</f>
        <v>0</v>
      </c>
      <c r="J545" s="4">
        <f t="shared" si="8"/>
        <v>-99999.687258950551</v>
      </c>
      <c r="K545" s="35" t="s">
        <v>1576</v>
      </c>
    </row>
    <row r="546" spans="1:11" ht="15.5" x14ac:dyDescent="0.35">
      <c r="A546" s="5">
        <v>544</v>
      </c>
      <c r="B546" s="6" t="s">
        <v>1180</v>
      </c>
      <c r="C546" s="7" t="s">
        <v>1181</v>
      </c>
      <c r="D546" s="8" t="s">
        <v>136</v>
      </c>
      <c r="E546" s="8">
        <f>SUMIF('Simpanan Wajib'!C:C,'All Simpanan '!C:C,'Simpanan Wajib'!E:E)</f>
        <v>9900000</v>
      </c>
      <c r="F546" s="4">
        <f>SUMIF('Simpanan Pokok'!C:C,'All Simpanan '!C:C,'Simpanan Pokok'!E:E)</f>
        <v>200000</v>
      </c>
      <c r="G546" s="4">
        <f>SUMIF('Simpanan Khusus'!C:C,'All Simpanan '!C:C,'Simpanan Khusus'!E:E)</f>
        <v>0</v>
      </c>
      <c r="H546" s="4">
        <f>SUMIF('Simpanan Sukarela'!C:C,'All Simpanan '!C:C,'Simpanan Sukarela'!E:E)</f>
        <v>994699.21869353682</v>
      </c>
      <c r="I546" s="4">
        <f>SUMIF('Simpanan Sukarela Berjangka'!B:B,'All Simpanan '!C:C,'Simpanan Sukarela Berjangka'!K:K)</f>
        <v>0</v>
      </c>
      <c r="J546" s="4">
        <f t="shared" si="8"/>
        <v>11094699.218693538</v>
      </c>
      <c r="K546" s="35" t="s">
        <v>1579</v>
      </c>
    </row>
    <row r="547" spans="1:11" ht="15.5" x14ac:dyDescent="0.35">
      <c r="A547" s="5">
        <v>545</v>
      </c>
      <c r="B547" s="6" t="s">
        <v>1182</v>
      </c>
      <c r="C547" s="7" t="s">
        <v>1183</v>
      </c>
      <c r="D547" s="8" t="s">
        <v>136</v>
      </c>
      <c r="E547" s="8">
        <f>SUMIF('Simpanan Wajib'!C:C,'All Simpanan '!C:C,'Simpanan Wajib'!E:E)</f>
        <v>0</v>
      </c>
      <c r="F547" s="4">
        <f>SUMIF('Simpanan Pokok'!C:C,'All Simpanan '!C:C,'Simpanan Pokok'!E:E)</f>
        <v>0</v>
      </c>
      <c r="G547" s="4">
        <f>SUMIF('Simpanan Khusus'!C:C,'All Simpanan '!C:C,'Simpanan Khusus'!E:E)</f>
        <v>0</v>
      </c>
      <c r="H547" s="4">
        <f>SUMIF('Simpanan Sukarela'!C:C,'All Simpanan '!C:C,'Simpanan Sukarela'!E:E)</f>
        <v>30305</v>
      </c>
      <c r="I547" s="4">
        <f>SUMIF('Simpanan Sukarela Berjangka'!B:B,'All Simpanan '!C:C,'Simpanan Sukarela Berjangka'!K:K)</f>
        <v>0</v>
      </c>
      <c r="J547" s="4">
        <f t="shared" si="8"/>
        <v>30305</v>
      </c>
      <c r="K547" s="35" t="s">
        <v>1578</v>
      </c>
    </row>
    <row r="548" spans="1:11" ht="15.5" x14ac:dyDescent="0.35">
      <c r="A548" s="5">
        <v>546</v>
      </c>
      <c r="B548" s="6" t="s">
        <v>1184</v>
      </c>
      <c r="C548" s="7" t="s">
        <v>1185</v>
      </c>
      <c r="D548" s="8" t="s">
        <v>136</v>
      </c>
      <c r="E548" s="8">
        <f>SUMIF('Simpanan Wajib'!C:C,'All Simpanan '!C:C,'Simpanan Wajib'!E:E)</f>
        <v>100000</v>
      </c>
      <c r="F548" s="4">
        <f>SUMIF('Simpanan Pokok'!C:C,'All Simpanan '!C:C,'Simpanan Pokok'!E:E)</f>
        <v>0</v>
      </c>
      <c r="G548" s="4">
        <f>SUMIF('Simpanan Khusus'!C:C,'All Simpanan '!C:C,'Simpanan Khusus'!E:E)</f>
        <v>0</v>
      </c>
      <c r="H548" s="4">
        <f>SUMIF('Simpanan Sukarela'!C:C,'All Simpanan '!C:C,'Simpanan Sukarela'!E:E)</f>
        <v>57100.68150480435</v>
      </c>
      <c r="I548" s="4">
        <f>SUMIF('Simpanan Sukarela Berjangka'!B:B,'All Simpanan '!C:C,'Simpanan Sukarela Berjangka'!K:K)</f>
        <v>0</v>
      </c>
      <c r="J548" s="4">
        <f t="shared" si="8"/>
        <v>157100.68150480435</v>
      </c>
      <c r="K548" s="35" t="s">
        <v>1578</v>
      </c>
    </row>
    <row r="549" spans="1:11" ht="15.5" x14ac:dyDescent="0.35">
      <c r="A549" s="5">
        <v>547</v>
      </c>
      <c r="B549" s="6" t="s">
        <v>1186</v>
      </c>
      <c r="C549" s="7" t="s">
        <v>1187</v>
      </c>
      <c r="D549" s="8" t="s">
        <v>169</v>
      </c>
      <c r="E549" s="8">
        <f>SUMIF('Simpanan Wajib'!C:C,'All Simpanan '!C:C,'Simpanan Wajib'!E:E)</f>
        <v>0</v>
      </c>
      <c r="F549" s="4">
        <f>SUMIF('Simpanan Pokok'!C:C,'All Simpanan '!C:C,'Simpanan Pokok'!E:E)</f>
        <v>0</v>
      </c>
      <c r="G549" s="4">
        <f>SUMIF('Simpanan Khusus'!C:C,'All Simpanan '!C:C,'Simpanan Khusus'!E:E)</f>
        <v>-100000</v>
      </c>
      <c r="H549" s="4">
        <f>SUMIF('Simpanan Sukarela'!C:C,'All Simpanan '!C:C,'Simpanan Sukarela'!E:E)</f>
        <v>154866.31274104945</v>
      </c>
      <c r="I549" s="4">
        <f>SUMIF('Simpanan Sukarela Berjangka'!B:B,'All Simpanan '!C:C,'Simpanan Sukarela Berjangka'!K:K)</f>
        <v>0</v>
      </c>
      <c r="J549" s="4">
        <f t="shared" si="8"/>
        <v>54866.312741049449</v>
      </c>
      <c r="K549" s="35" t="s">
        <v>1576</v>
      </c>
    </row>
    <row r="550" spans="1:11" ht="15.5" x14ac:dyDescent="0.35">
      <c r="A550" s="5">
        <v>548</v>
      </c>
      <c r="B550" s="6" t="s">
        <v>1188</v>
      </c>
      <c r="C550" s="7" t="s">
        <v>1189</v>
      </c>
      <c r="D550" s="8" t="s">
        <v>136</v>
      </c>
      <c r="E550" s="8">
        <f>SUMIF('Simpanan Wajib'!C:C,'All Simpanan '!C:C,'Simpanan Wajib'!E:E)</f>
        <v>9900000</v>
      </c>
      <c r="F550" s="4">
        <f>SUMIF('Simpanan Pokok'!C:C,'All Simpanan '!C:C,'Simpanan Pokok'!E:E)</f>
        <v>200000</v>
      </c>
      <c r="G550" s="4">
        <f>SUMIF('Simpanan Khusus'!C:C,'All Simpanan '!C:C,'Simpanan Khusus'!E:E)</f>
        <v>0</v>
      </c>
      <c r="H550" s="4">
        <f>SUMIF('Simpanan Sukarela'!C:C,'All Simpanan '!C:C,'Simpanan Sukarela'!E:E)</f>
        <v>994699.21869353682</v>
      </c>
      <c r="I550" s="4">
        <f>SUMIF('Simpanan Sukarela Berjangka'!B:B,'All Simpanan '!C:C,'Simpanan Sukarela Berjangka'!K:K)</f>
        <v>0</v>
      </c>
      <c r="J550" s="4">
        <f t="shared" si="8"/>
        <v>11094699.218693538</v>
      </c>
      <c r="K550" s="35" t="s">
        <v>1579</v>
      </c>
    </row>
    <row r="551" spans="1:11" ht="15.5" x14ac:dyDescent="0.35">
      <c r="A551" s="5">
        <v>549</v>
      </c>
      <c r="B551" s="6" t="s">
        <v>1190</v>
      </c>
      <c r="C551" s="7" t="s">
        <v>1191</v>
      </c>
      <c r="D551" s="8" t="s">
        <v>303</v>
      </c>
      <c r="E551" s="8">
        <f>SUMIF('Simpanan Wajib'!C:C,'All Simpanan '!C:C,'Simpanan Wajib'!E:E)</f>
        <v>14150000</v>
      </c>
      <c r="F551" s="4">
        <f>SUMIF('Simpanan Pokok'!C:C,'All Simpanan '!C:C,'Simpanan Pokok'!E:E)</f>
        <v>200000</v>
      </c>
      <c r="G551" s="4">
        <f>SUMIF('Simpanan Khusus'!C:C,'All Simpanan '!C:C,'Simpanan Khusus'!E:E)</f>
        <v>500000</v>
      </c>
      <c r="H551" s="4">
        <f>SUMIF('Simpanan Sukarela'!C:C,'All Simpanan '!C:C,'Simpanan Sukarela'!E:E)</f>
        <v>974401.24765762489</v>
      </c>
      <c r="I551" s="4">
        <f>SUMIF('Simpanan Sukarela Berjangka'!B:B,'All Simpanan '!C:C,'Simpanan Sukarela Berjangka'!K:K)</f>
        <v>0</v>
      </c>
      <c r="J551" s="4">
        <f t="shared" si="8"/>
        <v>15824401.247657625</v>
      </c>
      <c r="K551" s="35" t="s">
        <v>1579</v>
      </c>
    </row>
    <row r="552" spans="1:11" ht="15.5" x14ac:dyDescent="0.35">
      <c r="A552" s="5">
        <v>550</v>
      </c>
      <c r="B552" s="6" t="s">
        <v>1192</v>
      </c>
      <c r="C552" s="7" t="s">
        <v>1193</v>
      </c>
      <c r="D552" s="8" t="s">
        <v>136</v>
      </c>
      <c r="E552" s="8">
        <f>SUMIF('Simpanan Wajib'!C:C,'All Simpanan '!C:C,'Simpanan Wajib'!E:E)</f>
        <v>0</v>
      </c>
      <c r="F552" s="4">
        <f>SUMIF('Simpanan Pokok'!C:C,'All Simpanan '!C:C,'Simpanan Pokok'!E:E)</f>
        <v>0</v>
      </c>
      <c r="G552" s="4">
        <f>SUMIF('Simpanan Khusus'!C:C,'All Simpanan '!C:C,'Simpanan Khusus'!E:E)</f>
        <v>0</v>
      </c>
      <c r="H552" s="4">
        <f>SUMIF('Simpanan Sukarela'!C:C,'All Simpanan '!C:C,'Simpanan Sukarela'!E:E)</f>
        <v>268887</v>
      </c>
      <c r="I552" s="4">
        <f>SUMIF('Simpanan Sukarela Berjangka'!B:B,'All Simpanan '!C:C,'Simpanan Sukarela Berjangka'!K:K)</f>
        <v>0</v>
      </c>
      <c r="J552" s="4">
        <f t="shared" si="8"/>
        <v>268887</v>
      </c>
      <c r="K552" s="35" t="s">
        <v>1578</v>
      </c>
    </row>
    <row r="553" spans="1:11" ht="15.5" x14ac:dyDescent="0.35">
      <c r="A553" s="5">
        <v>551</v>
      </c>
      <c r="B553" s="6" t="s">
        <v>1194</v>
      </c>
      <c r="C553" s="7" t="s">
        <v>1195</v>
      </c>
      <c r="D553" s="8" t="s">
        <v>136</v>
      </c>
      <c r="E553" s="8">
        <f>SUMIF('Simpanan Wajib'!C:C,'All Simpanan '!C:C,'Simpanan Wajib'!E:E)</f>
        <v>2500000</v>
      </c>
      <c r="F553" s="4">
        <f>SUMIF('Simpanan Pokok'!C:C,'All Simpanan '!C:C,'Simpanan Pokok'!E:E)</f>
        <v>200000</v>
      </c>
      <c r="G553" s="4">
        <f>SUMIF('Simpanan Khusus'!C:C,'All Simpanan '!C:C,'Simpanan Khusus'!E:E)</f>
        <v>0</v>
      </c>
      <c r="H553" s="4">
        <f>SUMIF('Simpanan Sukarela'!C:C,'All Simpanan '!C:C,'Simpanan Sukarela'!E:E)</f>
        <v>442464.00128400524</v>
      </c>
      <c r="I553" s="4">
        <f>SUMIF('Simpanan Sukarela Berjangka'!B:B,'All Simpanan '!C:C,'Simpanan Sukarela Berjangka'!K:K)</f>
        <v>0</v>
      </c>
      <c r="J553" s="4">
        <f t="shared" si="8"/>
        <v>3142464.0012840051</v>
      </c>
      <c r="K553" s="35" t="s">
        <v>1578</v>
      </c>
    </row>
    <row r="554" spans="1:11" ht="15.5" x14ac:dyDescent="0.35">
      <c r="A554" s="5">
        <v>552</v>
      </c>
      <c r="B554" s="6" t="s">
        <v>1196</v>
      </c>
      <c r="C554" s="7" t="s">
        <v>1197</v>
      </c>
      <c r="D554" s="8" t="s">
        <v>136</v>
      </c>
      <c r="E554" s="8">
        <f>SUMIF('Simpanan Wajib'!C:C,'All Simpanan '!C:C,'Simpanan Wajib'!E:E)</f>
        <v>6500000</v>
      </c>
      <c r="F554" s="4">
        <f>SUMIF('Simpanan Pokok'!C:C,'All Simpanan '!C:C,'Simpanan Pokok'!E:E)</f>
        <v>200000</v>
      </c>
      <c r="G554" s="4">
        <f>SUMIF('Simpanan Khusus'!C:C,'All Simpanan '!C:C,'Simpanan Khusus'!E:E)</f>
        <v>600000</v>
      </c>
      <c r="H554" s="4">
        <f>SUMIF('Simpanan Sukarela'!C:C,'All Simpanan '!C:C,'Simpanan Sukarela'!E:E)</f>
        <v>738351.31274104945</v>
      </c>
      <c r="I554" s="4">
        <f>SUMIF('Simpanan Sukarela Berjangka'!B:B,'All Simpanan '!C:C,'Simpanan Sukarela Berjangka'!K:K)</f>
        <v>0</v>
      </c>
      <c r="J554" s="4">
        <f t="shared" si="8"/>
        <v>8038351.3127410496</v>
      </c>
      <c r="K554" s="35" t="s">
        <v>1578</v>
      </c>
    </row>
    <row r="555" spans="1:11" ht="15.5" x14ac:dyDescent="0.35">
      <c r="A555" s="5">
        <v>553</v>
      </c>
      <c r="B555" s="6" t="s">
        <v>1198</v>
      </c>
      <c r="C555" s="7" t="s">
        <v>1199</v>
      </c>
      <c r="D555" s="8" t="s">
        <v>136</v>
      </c>
      <c r="E555" s="8">
        <f>SUMIF('Simpanan Wajib'!C:C,'All Simpanan '!C:C,'Simpanan Wajib'!E:E)</f>
        <v>250000</v>
      </c>
      <c r="F555" s="4">
        <f>SUMIF('Simpanan Pokok'!C:C,'All Simpanan '!C:C,'Simpanan Pokok'!E:E)</f>
        <v>0</v>
      </c>
      <c r="G555" s="4">
        <f>SUMIF('Simpanan Khusus'!C:C,'All Simpanan '!C:C,'Simpanan Khusus'!E:E)</f>
        <v>0</v>
      </c>
      <c r="H555" s="4">
        <f>SUMIF('Simpanan Sukarela'!C:C,'All Simpanan '!C:C,'Simpanan Sukarela'!E:E)</f>
        <v>515984.2030736506</v>
      </c>
      <c r="I555" s="4">
        <f>SUMIF('Simpanan Sukarela Berjangka'!B:B,'All Simpanan '!C:C,'Simpanan Sukarela Berjangka'!K:K)</f>
        <v>0</v>
      </c>
      <c r="J555" s="4">
        <f t="shared" si="8"/>
        <v>765984.2030736506</v>
      </c>
      <c r="K555" s="35" t="s">
        <v>1576</v>
      </c>
    </row>
    <row r="556" spans="1:11" ht="15.5" x14ac:dyDescent="0.35">
      <c r="A556" s="5">
        <v>554</v>
      </c>
      <c r="B556" s="6" t="s">
        <v>1200</v>
      </c>
      <c r="C556" s="7" t="s">
        <v>1201</v>
      </c>
      <c r="D556" s="8" t="s">
        <v>141</v>
      </c>
      <c r="E556" s="8">
        <f>SUMIF('Simpanan Wajib'!C:C,'All Simpanan '!C:C,'Simpanan Wajib'!E:E)</f>
        <v>0</v>
      </c>
      <c r="F556" s="4">
        <f>SUMIF('Simpanan Pokok'!C:C,'All Simpanan '!C:C,'Simpanan Pokok'!E:E)</f>
        <v>0</v>
      </c>
      <c r="G556" s="4">
        <f>SUMIF('Simpanan Khusus'!C:C,'All Simpanan '!C:C,'Simpanan Khusus'!E:E)</f>
        <v>0</v>
      </c>
      <c r="H556" s="4">
        <f>SUMIF('Simpanan Sukarela'!C:C,'All Simpanan '!C:C,'Simpanan Sukarela'!E:E)</f>
        <v>73086.153279239777</v>
      </c>
      <c r="I556" s="4">
        <f>SUMIF('Simpanan Sukarela Berjangka'!B:B,'All Simpanan '!C:C,'Simpanan Sukarela Berjangka'!K:K)</f>
        <v>0</v>
      </c>
      <c r="J556" s="4">
        <f t="shared" si="8"/>
        <v>73086.153279239777</v>
      </c>
      <c r="K556" s="35" t="s">
        <v>1578</v>
      </c>
    </row>
    <row r="557" spans="1:11" ht="15.5" x14ac:dyDescent="0.35">
      <c r="A557" s="5">
        <v>555</v>
      </c>
      <c r="B557" s="6" t="s">
        <v>1202</v>
      </c>
      <c r="C557" s="7" t="s">
        <v>1203</v>
      </c>
      <c r="D557" s="8" t="s">
        <v>49</v>
      </c>
      <c r="E557" s="8">
        <f>SUMIF('Simpanan Wajib'!C:C,'All Simpanan '!C:C,'Simpanan Wajib'!E:E)</f>
        <v>1700000</v>
      </c>
      <c r="F557" s="4">
        <f>SUMIF('Simpanan Pokok'!C:C,'All Simpanan '!C:C,'Simpanan Pokok'!E:E)</f>
        <v>200000</v>
      </c>
      <c r="G557" s="4">
        <f>SUMIF('Simpanan Khusus'!C:C,'All Simpanan '!C:C,'Simpanan Khusus'!E:E)</f>
        <v>150000</v>
      </c>
      <c r="H557" s="4">
        <f>SUMIF('Simpanan Sukarela'!C:C,'All Simpanan '!C:C,'Simpanan Sukarela'!E:E)</f>
        <v>393966</v>
      </c>
      <c r="I557" s="4">
        <f>SUMIF('Simpanan Sukarela Berjangka'!B:B,'All Simpanan '!C:C,'Simpanan Sukarela Berjangka'!K:K)</f>
        <v>0</v>
      </c>
      <c r="J557" s="4">
        <f t="shared" si="8"/>
        <v>2443966</v>
      </c>
      <c r="K557" s="35" t="s">
        <v>1578</v>
      </c>
    </row>
    <row r="558" spans="1:11" ht="15.5" x14ac:dyDescent="0.35">
      <c r="A558" s="5">
        <v>556</v>
      </c>
      <c r="B558" s="6" t="s">
        <v>1204</v>
      </c>
      <c r="C558" s="7" t="s">
        <v>1205</v>
      </c>
      <c r="D558" s="8" t="s">
        <v>128</v>
      </c>
      <c r="E558" s="8">
        <f>SUMIF('Simpanan Wajib'!C:C,'All Simpanan '!C:C,'Simpanan Wajib'!E:E)</f>
        <v>9100000</v>
      </c>
      <c r="F558" s="4">
        <f>SUMIF('Simpanan Pokok'!C:C,'All Simpanan '!C:C,'Simpanan Pokok'!E:E)</f>
        <v>200000</v>
      </c>
      <c r="G558" s="4">
        <f>SUMIF('Simpanan Khusus'!C:C,'All Simpanan '!C:C,'Simpanan Khusus'!E:E)</f>
        <v>150000</v>
      </c>
      <c r="H558" s="4">
        <f>SUMIF('Simpanan Sukarela'!C:C,'All Simpanan '!C:C,'Simpanan Sukarela'!E:E)</f>
        <v>1033399.5742230164</v>
      </c>
      <c r="I558" s="4">
        <f>SUMIF('Simpanan Sukarela Berjangka'!B:B,'All Simpanan '!C:C,'Simpanan Sukarela Berjangka'!K:K)</f>
        <v>0</v>
      </c>
      <c r="J558" s="4">
        <f t="shared" si="8"/>
        <v>10483399.574223015</v>
      </c>
      <c r="K558" s="35" t="s">
        <v>1579</v>
      </c>
    </row>
    <row r="559" spans="1:11" ht="15.5" x14ac:dyDescent="0.35">
      <c r="A559" s="5">
        <v>557</v>
      </c>
      <c r="B559" s="6" t="s">
        <v>1206</v>
      </c>
      <c r="C559" s="7" t="s">
        <v>1207</v>
      </c>
      <c r="D559" s="8" t="s">
        <v>49</v>
      </c>
      <c r="E559" s="8">
        <f>SUMIF('Simpanan Wajib'!C:C,'All Simpanan '!C:C,'Simpanan Wajib'!E:E)</f>
        <v>0</v>
      </c>
      <c r="F559" s="4">
        <f>SUMIF('Simpanan Pokok'!C:C,'All Simpanan '!C:C,'Simpanan Pokok'!E:E)</f>
        <v>0</v>
      </c>
      <c r="G559" s="4">
        <f>SUMIF('Simpanan Khusus'!C:C,'All Simpanan '!C:C,'Simpanan Khusus'!E:E)</f>
        <v>0</v>
      </c>
      <c r="H559" s="4">
        <f>SUMIF('Simpanan Sukarela'!C:C,'All Simpanan '!C:C,'Simpanan Sukarela'!E:E)</f>
        <v>30305</v>
      </c>
      <c r="I559" s="4">
        <f>SUMIF('Simpanan Sukarela Berjangka'!B:B,'All Simpanan '!C:C,'Simpanan Sukarela Berjangka'!K:K)</f>
        <v>0</v>
      </c>
      <c r="J559" s="4">
        <f t="shared" si="8"/>
        <v>30305</v>
      </c>
      <c r="K559" s="35" t="s">
        <v>1578</v>
      </c>
    </row>
    <row r="560" spans="1:11" ht="15.5" x14ac:dyDescent="0.35">
      <c r="A560" s="5">
        <v>558</v>
      </c>
      <c r="B560" s="6" t="s">
        <v>1208</v>
      </c>
      <c r="C560" s="7" t="s">
        <v>1209</v>
      </c>
      <c r="D560" s="8" t="s">
        <v>128</v>
      </c>
      <c r="E560" s="8">
        <f>SUMIF('Simpanan Wajib'!C:C,'All Simpanan '!C:C,'Simpanan Wajib'!E:E)</f>
        <v>10100000</v>
      </c>
      <c r="F560" s="4">
        <f>SUMIF('Simpanan Pokok'!C:C,'All Simpanan '!C:C,'Simpanan Pokok'!E:E)</f>
        <v>200000</v>
      </c>
      <c r="G560" s="4">
        <f>SUMIF('Simpanan Khusus'!C:C,'All Simpanan '!C:C,'Simpanan Khusus'!E:E)</f>
        <v>0</v>
      </c>
      <c r="H560" s="4">
        <f>SUMIF('Simpanan Sukarela'!C:C,'All Simpanan '!C:C,'Simpanan Sukarela'!E:E)</f>
        <v>1014269.2800620976</v>
      </c>
      <c r="I560" s="4">
        <f>SUMIF('Simpanan Sukarela Berjangka'!B:B,'All Simpanan '!C:C,'Simpanan Sukarela Berjangka'!K:K)</f>
        <v>0</v>
      </c>
      <c r="J560" s="4">
        <f t="shared" si="8"/>
        <v>11314269.280062098</v>
      </c>
      <c r="K560" s="35" t="s">
        <v>1579</v>
      </c>
    </row>
    <row r="561" spans="1:11" ht="15.5" x14ac:dyDescent="0.35">
      <c r="A561" s="5">
        <v>559</v>
      </c>
      <c r="B561" s="6" t="s">
        <v>1210</v>
      </c>
      <c r="C561" s="7" t="s">
        <v>1211</v>
      </c>
      <c r="D561" s="8" t="s">
        <v>128</v>
      </c>
      <c r="E561" s="8">
        <f>SUMIF('Simpanan Wajib'!C:C,'All Simpanan '!C:C,'Simpanan Wajib'!E:E)</f>
        <v>4900000</v>
      </c>
      <c r="F561" s="4">
        <f>SUMIF('Simpanan Pokok'!C:C,'All Simpanan '!C:C,'Simpanan Pokok'!E:E)</f>
        <v>200000</v>
      </c>
      <c r="G561" s="4">
        <f>SUMIF('Simpanan Khusus'!C:C,'All Simpanan '!C:C,'Simpanan Khusus'!E:E)</f>
        <v>0</v>
      </c>
      <c r="H561" s="4">
        <f>SUMIF('Simpanan Sukarela'!C:C,'All Simpanan '!C:C,'Simpanan Sukarela'!E:E)</f>
        <v>781057.31274104945</v>
      </c>
      <c r="I561" s="4">
        <f>SUMIF('Simpanan Sukarela Berjangka'!B:B,'All Simpanan '!C:C,'Simpanan Sukarela Berjangka'!K:K)</f>
        <v>0</v>
      </c>
      <c r="J561" s="4">
        <f t="shared" si="8"/>
        <v>5881057.3127410496</v>
      </c>
      <c r="K561" s="35" t="s">
        <v>1578</v>
      </c>
    </row>
    <row r="562" spans="1:11" ht="15.5" x14ac:dyDescent="0.35">
      <c r="A562" s="5">
        <v>560</v>
      </c>
      <c r="B562" s="6" t="s">
        <v>1212</v>
      </c>
      <c r="C562" s="7" t="s">
        <v>1213</v>
      </c>
      <c r="D562" s="8" t="s">
        <v>1214</v>
      </c>
      <c r="E562" s="8">
        <f>SUMIF('Simpanan Wajib'!C:C,'All Simpanan '!C:C,'Simpanan Wajib'!E:E)</f>
        <v>15150000</v>
      </c>
      <c r="F562" s="4">
        <f>SUMIF('Simpanan Pokok'!C:C,'All Simpanan '!C:C,'Simpanan Pokok'!E:E)</f>
        <v>200000</v>
      </c>
      <c r="G562" s="4">
        <f>SUMIF('Simpanan Khusus'!C:C,'All Simpanan '!C:C,'Simpanan Khusus'!E:E)</f>
        <v>0</v>
      </c>
      <c r="H562" s="4">
        <f>SUMIF('Simpanan Sukarela'!C:C,'All Simpanan '!C:C,'Simpanan Sukarela'!E:E)</f>
        <v>912310.31274104945</v>
      </c>
      <c r="I562" s="4">
        <f>SUMIF('Simpanan Sukarela Berjangka'!B:B,'All Simpanan '!C:C,'Simpanan Sukarela Berjangka'!K:K)</f>
        <v>0</v>
      </c>
      <c r="J562" s="4">
        <f t="shared" si="8"/>
        <v>16262310.312741049</v>
      </c>
      <c r="K562" s="35" t="s">
        <v>1579</v>
      </c>
    </row>
    <row r="563" spans="1:11" ht="15.5" x14ac:dyDescent="0.35">
      <c r="A563" s="5">
        <v>561</v>
      </c>
      <c r="B563" s="6" t="s">
        <v>1215</v>
      </c>
      <c r="C563" s="7" t="s">
        <v>1216</v>
      </c>
      <c r="D563" s="8" t="s">
        <v>49</v>
      </c>
      <c r="E563" s="8">
        <f>SUMIF('Simpanan Wajib'!C:C,'All Simpanan '!C:C,'Simpanan Wajib'!E:E)</f>
        <v>100000</v>
      </c>
      <c r="F563" s="4">
        <f>SUMIF('Simpanan Pokok'!C:C,'All Simpanan '!C:C,'Simpanan Pokok'!E:E)</f>
        <v>0</v>
      </c>
      <c r="G563" s="4">
        <f>SUMIF('Simpanan Khusus'!C:C,'All Simpanan '!C:C,'Simpanan Khusus'!E:E)</f>
        <v>0</v>
      </c>
      <c r="H563" s="4">
        <f>SUMIF('Simpanan Sukarela'!C:C,'All Simpanan '!C:C,'Simpanan Sukarela'!E:E)</f>
        <v>336490</v>
      </c>
      <c r="I563" s="4">
        <f>SUMIF('Simpanan Sukarela Berjangka'!B:B,'All Simpanan '!C:C,'Simpanan Sukarela Berjangka'!K:K)</f>
        <v>0</v>
      </c>
      <c r="J563" s="4">
        <f t="shared" si="8"/>
        <v>436490</v>
      </c>
      <c r="K563" s="35" t="s">
        <v>1578</v>
      </c>
    </row>
    <row r="564" spans="1:11" ht="15.5" x14ac:dyDescent="0.35">
      <c r="A564" s="5">
        <v>562</v>
      </c>
      <c r="B564" s="6" t="s">
        <v>1217</v>
      </c>
      <c r="C564" s="7" t="s">
        <v>1218</v>
      </c>
      <c r="D564" s="8" t="s">
        <v>49</v>
      </c>
      <c r="E564" s="8">
        <f>SUMIF('Simpanan Wajib'!C:C,'All Simpanan '!C:C,'Simpanan Wajib'!E:E)</f>
        <v>0</v>
      </c>
      <c r="F564" s="4">
        <f>SUMIF('Simpanan Pokok'!C:C,'All Simpanan '!C:C,'Simpanan Pokok'!E:E)</f>
        <v>0</v>
      </c>
      <c r="G564" s="4">
        <f>SUMIF('Simpanan Khusus'!C:C,'All Simpanan '!C:C,'Simpanan Khusus'!E:E)</f>
        <v>0</v>
      </c>
      <c r="H564" s="4">
        <f>SUMIF('Simpanan Sukarela'!C:C,'All Simpanan '!C:C,'Simpanan Sukarela'!E:E)</f>
        <v>268887</v>
      </c>
      <c r="I564" s="4">
        <f>SUMIF('Simpanan Sukarela Berjangka'!B:B,'All Simpanan '!C:C,'Simpanan Sukarela Berjangka'!K:K)</f>
        <v>0</v>
      </c>
      <c r="J564" s="4">
        <f t="shared" si="8"/>
        <v>268887</v>
      </c>
      <c r="K564" s="35" t="s">
        <v>1578</v>
      </c>
    </row>
    <row r="565" spans="1:11" ht="15.5" x14ac:dyDescent="0.35">
      <c r="A565" s="5">
        <v>563</v>
      </c>
      <c r="B565" s="6" t="s">
        <v>1219</v>
      </c>
      <c r="C565" s="7" t="s">
        <v>1220</v>
      </c>
      <c r="D565" s="8" t="s">
        <v>49</v>
      </c>
      <c r="E565" s="8">
        <f>SUMIF('Simpanan Wajib'!C:C,'All Simpanan '!C:C,'Simpanan Wajib'!E:E)</f>
        <v>-100000</v>
      </c>
      <c r="F565" s="4">
        <f>SUMIF('Simpanan Pokok'!C:C,'All Simpanan '!C:C,'Simpanan Pokok'!E:E)</f>
        <v>0</v>
      </c>
      <c r="G565" s="4">
        <f>SUMIF('Simpanan Khusus'!C:C,'All Simpanan '!C:C,'Simpanan Khusus'!E:E)</f>
        <v>0</v>
      </c>
      <c r="H565" s="4">
        <f>SUMIF('Simpanan Sukarela'!C:C,'All Simpanan '!C:C,'Simpanan Sukarela'!E:E)</f>
        <v>-4103</v>
      </c>
      <c r="I565" s="4">
        <f>SUMIF('Simpanan Sukarela Berjangka'!B:B,'All Simpanan '!C:C,'Simpanan Sukarela Berjangka'!K:K)</f>
        <v>0</v>
      </c>
      <c r="J565" s="4">
        <f t="shared" si="8"/>
        <v>-104103</v>
      </c>
      <c r="K565" s="35" t="s">
        <v>1578</v>
      </c>
    </row>
    <row r="566" spans="1:11" ht="15.5" x14ac:dyDescent="0.35">
      <c r="A566" s="5">
        <v>564</v>
      </c>
      <c r="B566" s="6" t="s">
        <v>1221</v>
      </c>
      <c r="C566" s="7" t="s">
        <v>1222</v>
      </c>
      <c r="D566" s="8" t="s">
        <v>49</v>
      </c>
      <c r="E566" s="8">
        <f>SUMIF('Simpanan Wajib'!C:C,'All Simpanan '!C:C,'Simpanan Wajib'!E:E)</f>
        <v>0</v>
      </c>
      <c r="F566" s="4">
        <f>SUMIF('Simpanan Pokok'!C:C,'All Simpanan '!C:C,'Simpanan Pokok'!E:E)</f>
        <v>0</v>
      </c>
      <c r="G566" s="4">
        <f>SUMIF('Simpanan Khusus'!C:C,'All Simpanan '!C:C,'Simpanan Khusus'!E:E)</f>
        <v>-250000</v>
      </c>
      <c r="H566" s="4">
        <f>SUMIF('Simpanan Sukarela'!C:C,'All Simpanan '!C:C,'Simpanan Sukarela'!E:E)</f>
        <v>-10258</v>
      </c>
      <c r="I566" s="4">
        <f>SUMIF('Simpanan Sukarela Berjangka'!B:B,'All Simpanan '!C:C,'Simpanan Sukarela Berjangka'!K:K)</f>
        <v>0</v>
      </c>
      <c r="J566" s="4">
        <f t="shared" si="8"/>
        <v>-260258</v>
      </c>
      <c r="K566" s="35" t="s">
        <v>1578</v>
      </c>
    </row>
    <row r="567" spans="1:11" ht="15.5" x14ac:dyDescent="0.35">
      <c r="A567" s="5">
        <v>565</v>
      </c>
      <c r="B567" s="6" t="s">
        <v>1223</v>
      </c>
      <c r="C567" s="7" t="s">
        <v>1224</v>
      </c>
      <c r="D567" s="8" t="s">
        <v>49</v>
      </c>
      <c r="E567" s="8">
        <f>SUMIF('Simpanan Wajib'!C:C,'All Simpanan '!C:C,'Simpanan Wajib'!E:E)</f>
        <v>0</v>
      </c>
      <c r="F567" s="4">
        <f>SUMIF('Simpanan Pokok'!C:C,'All Simpanan '!C:C,'Simpanan Pokok'!E:E)</f>
        <v>0</v>
      </c>
      <c r="G567" s="4">
        <f>SUMIF('Simpanan Khusus'!C:C,'All Simpanan '!C:C,'Simpanan Khusus'!E:E)</f>
        <v>0</v>
      </c>
      <c r="H567" s="4">
        <f>SUMIF('Simpanan Sukarela'!C:C,'All Simpanan '!C:C,'Simpanan Sukarela'!E:E)</f>
        <v>353848</v>
      </c>
      <c r="I567" s="4">
        <f>SUMIF('Simpanan Sukarela Berjangka'!B:B,'All Simpanan '!C:C,'Simpanan Sukarela Berjangka'!K:K)</f>
        <v>0</v>
      </c>
      <c r="J567" s="4">
        <f t="shared" si="8"/>
        <v>353848</v>
      </c>
      <c r="K567" s="35" t="s">
        <v>1578</v>
      </c>
    </row>
    <row r="568" spans="1:11" ht="15.5" x14ac:dyDescent="0.35">
      <c r="A568" s="5">
        <v>566</v>
      </c>
      <c r="B568" s="6" t="s">
        <v>1225</v>
      </c>
      <c r="C568" s="7" t="s">
        <v>1226</v>
      </c>
      <c r="D568" s="8" t="s">
        <v>698</v>
      </c>
      <c r="E568" s="8">
        <f>SUMIF('Simpanan Wajib'!C:C,'All Simpanan '!C:C,'Simpanan Wajib'!E:E)</f>
        <v>250000</v>
      </c>
      <c r="F568" s="4">
        <f>SUMIF('Simpanan Pokok'!C:C,'All Simpanan '!C:C,'Simpanan Pokok'!E:E)</f>
        <v>0</v>
      </c>
      <c r="G568" s="4">
        <f>SUMIF('Simpanan Khusus'!C:C,'All Simpanan '!C:C,'Simpanan Khusus'!E:E)</f>
        <v>0</v>
      </c>
      <c r="H568" s="4">
        <f>SUMIF('Simpanan Sukarela'!C:C,'All Simpanan '!C:C,'Simpanan Sukarela'!E:E)</f>
        <v>10257.69399492949</v>
      </c>
      <c r="I568" s="4">
        <f>SUMIF('Simpanan Sukarela Berjangka'!B:B,'All Simpanan '!C:C,'Simpanan Sukarela Berjangka'!K:K)</f>
        <v>0</v>
      </c>
      <c r="J568" s="4">
        <f t="shared" si="8"/>
        <v>260257.69399492949</v>
      </c>
      <c r="K568" s="35" t="s">
        <v>1578</v>
      </c>
    </row>
    <row r="569" spans="1:11" ht="15.5" x14ac:dyDescent="0.35">
      <c r="A569" s="5">
        <v>567</v>
      </c>
      <c r="B569" s="6" t="s">
        <v>1227</v>
      </c>
      <c r="C569" s="7" t="s">
        <v>1228</v>
      </c>
      <c r="D569" s="8" t="s">
        <v>72</v>
      </c>
      <c r="E569" s="8">
        <f>SUMIF('Simpanan Wajib'!C:C,'All Simpanan '!C:C,'Simpanan Wajib'!E:E)</f>
        <v>0</v>
      </c>
      <c r="F569" s="4">
        <f>SUMIF('Simpanan Pokok'!C:C,'All Simpanan '!C:C,'Simpanan Pokok'!E:E)</f>
        <v>0</v>
      </c>
      <c r="G569" s="4">
        <f>SUMIF('Simpanan Khusus'!C:C,'All Simpanan '!C:C,'Simpanan Khusus'!E:E)</f>
        <v>0</v>
      </c>
      <c r="H569" s="4">
        <f>SUMIF('Simpanan Sukarela'!C:C,'All Simpanan '!C:C,'Simpanan Sukarela'!E:E)</f>
        <v>34196.20307365054</v>
      </c>
      <c r="I569" s="4">
        <f>SUMIF('Simpanan Sukarela Berjangka'!B:B,'All Simpanan '!C:C,'Simpanan Sukarela Berjangka'!K:K)</f>
        <v>0</v>
      </c>
      <c r="J569" s="4">
        <f t="shared" si="8"/>
        <v>34196.20307365054</v>
      </c>
      <c r="K569" s="35" t="s">
        <v>1578</v>
      </c>
    </row>
    <row r="570" spans="1:11" ht="15.5" x14ac:dyDescent="0.35">
      <c r="A570" s="5">
        <v>568</v>
      </c>
      <c r="B570" s="6" t="s">
        <v>1229</v>
      </c>
      <c r="C570" s="7" t="s">
        <v>1230</v>
      </c>
      <c r="D570" s="8" t="s">
        <v>231</v>
      </c>
      <c r="E570" s="8">
        <f>SUMIF('Simpanan Wajib'!C:C,'All Simpanan '!C:C,'Simpanan Wajib'!E:E)</f>
        <v>0</v>
      </c>
      <c r="F570" s="4">
        <f>SUMIF('Simpanan Pokok'!C:C,'All Simpanan '!C:C,'Simpanan Pokok'!E:E)</f>
        <v>0</v>
      </c>
      <c r="G570" s="4">
        <f>SUMIF('Simpanan Khusus'!C:C,'All Simpanan '!C:C,'Simpanan Khusus'!E:E)</f>
        <v>0</v>
      </c>
      <c r="H570" s="4">
        <f>SUMIF('Simpanan Sukarela'!C:C,'All Simpanan '!C:C,'Simpanan Sukarela'!E:E)</f>
        <v>0</v>
      </c>
      <c r="I570" s="4">
        <f>SUMIF('Simpanan Sukarela Berjangka'!B:B,'All Simpanan '!C:C,'Simpanan Sukarela Berjangka'!K:K)</f>
        <v>0</v>
      </c>
      <c r="J570" s="4">
        <f t="shared" si="8"/>
        <v>0</v>
      </c>
      <c r="K570" s="35" t="s">
        <v>1579</v>
      </c>
    </row>
    <row r="571" spans="1:11" ht="15.5" x14ac:dyDescent="0.35">
      <c r="A571" s="5">
        <v>569</v>
      </c>
      <c r="B571" s="6" t="s">
        <v>1231</v>
      </c>
      <c r="C571" s="7" t="s">
        <v>1232</v>
      </c>
      <c r="D571" s="8" t="s">
        <v>46</v>
      </c>
      <c r="E571" s="8">
        <f>SUMIF('Simpanan Wajib'!C:C,'All Simpanan '!C:C,'Simpanan Wajib'!E:E)</f>
        <v>200000</v>
      </c>
      <c r="F571" s="4">
        <f>SUMIF('Simpanan Pokok'!C:C,'All Simpanan '!C:C,'Simpanan Pokok'!E:E)</f>
        <v>0</v>
      </c>
      <c r="G571" s="4">
        <f>SUMIF('Simpanan Khusus'!C:C,'All Simpanan '!C:C,'Simpanan Khusus'!E:E)</f>
        <v>0</v>
      </c>
      <c r="H571" s="4">
        <f>SUMIF('Simpanan Sukarela'!C:C,'All Simpanan '!C:C,'Simpanan Sukarela'!E:E)</f>
        <v>198184.24563206383</v>
      </c>
      <c r="I571" s="4">
        <f>SUMIF('Simpanan Sukarela Berjangka'!B:B,'All Simpanan '!C:C,'Simpanan Sukarela Berjangka'!K:K)</f>
        <v>0</v>
      </c>
      <c r="J571" s="4">
        <f t="shared" si="8"/>
        <v>398184.24563206383</v>
      </c>
      <c r="K571" s="35" t="s">
        <v>1578</v>
      </c>
    </row>
    <row r="572" spans="1:11" ht="15.5" x14ac:dyDescent="0.35">
      <c r="A572" s="5">
        <v>570</v>
      </c>
      <c r="B572" s="6" t="s">
        <v>1233</v>
      </c>
      <c r="C572" s="7" t="s">
        <v>1234</v>
      </c>
      <c r="D572" s="8" t="s">
        <v>95</v>
      </c>
      <c r="E572" s="8">
        <f>SUMIF('Simpanan Wajib'!C:C,'All Simpanan '!C:C,'Simpanan Wajib'!E:E)</f>
        <v>8450000</v>
      </c>
      <c r="F572" s="4">
        <f>SUMIF('Simpanan Pokok'!C:C,'All Simpanan '!C:C,'Simpanan Pokok'!E:E)</f>
        <v>200000</v>
      </c>
      <c r="G572" s="4">
        <f>SUMIF('Simpanan Khusus'!C:C,'All Simpanan '!C:C,'Simpanan Khusus'!E:E)</f>
        <v>0</v>
      </c>
      <c r="H572" s="4">
        <f>SUMIF('Simpanan Sukarela'!C:C,'All Simpanan '!C:C,'Simpanan Sukarela'!E:E)</f>
        <v>697057.16352551733</v>
      </c>
      <c r="I572" s="4">
        <f>SUMIF('Simpanan Sukarela Berjangka'!B:B,'All Simpanan '!C:C,'Simpanan Sukarela Berjangka'!K:K)</f>
        <v>0</v>
      </c>
      <c r="J572" s="4">
        <f t="shared" si="8"/>
        <v>9347057.163525518</v>
      </c>
      <c r="K572" s="35" t="s">
        <v>1578</v>
      </c>
    </row>
    <row r="573" spans="1:11" ht="15.5" x14ac:dyDescent="0.35">
      <c r="A573" s="5">
        <v>571</v>
      </c>
      <c r="B573" s="6" t="s">
        <v>1235</v>
      </c>
      <c r="C573" s="7" t="s">
        <v>1236</v>
      </c>
      <c r="D573" s="8" t="s">
        <v>77</v>
      </c>
      <c r="E573" s="8">
        <f>SUMIF('Simpanan Wajib'!C:C,'All Simpanan '!C:C,'Simpanan Wajib'!E:E)</f>
        <v>15350000</v>
      </c>
      <c r="F573" s="4">
        <f>SUMIF('Simpanan Pokok'!C:C,'All Simpanan '!C:C,'Simpanan Pokok'!E:E)</f>
        <v>200000</v>
      </c>
      <c r="G573" s="4">
        <f>SUMIF('Simpanan Khusus'!C:C,'All Simpanan '!C:C,'Simpanan Khusus'!E:E)</f>
        <v>0</v>
      </c>
      <c r="H573" s="4">
        <f>SUMIF('Simpanan Sukarela'!C:C,'All Simpanan '!C:C,'Simpanan Sukarela'!E:E)</f>
        <v>875288.2030736506</v>
      </c>
      <c r="I573" s="4">
        <f>SUMIF('Simpanan Sukarela Berjangka'!B:B,'All Simpanan '!C:C,'Simpanan Sukarela Berjangka'!K:K)</f>
        <v>0</v>
      </c>
      <c r="J573" s="4">
        <f t="shared" si="8"/>
        <v>16425288.203073651</v>
      </c>
      <c r="K573" s="35" t="s">
        <v>1578</v>
      </c>
    </row>
    <row r="574" spans="1:11" ht="15.5" x14ac:dyDescent="0.35">
      <c r="A574" s="5">
        <v>572</v>
      </c>
      <c r="B574" s="6" t="s">
        <v>1237</v>
      </c>
      <c r="C574" s="7" t="s">
        <v>779</v>
      </c>
      <c r="D574" s="8" t="s">
        <v>98</v>
      </c>
      <c r="E574" s="8">
        <f>SUMIF('Simpanan Wajib'!C:C,'All Simpanan '!C:C,'Simpanan Wajib'!E:E)</f>
        <v>14700000</v>
      </c>
      <c r="F574" s="4">
        <f>SUMIF('Simpanan Pokok'!C:C,'All Simpanan '!C:C,'Simpanan Pokok'!E:E)</f>
        <v>200000</v>
      </c>
      <c r="G574" s="4">
        <f>SUMIF('Simpanan Khusus'!C:C,'All Simpanan '!C:C,'Simpanan Khusus'!E:E)</f>
        <v>0</v>
      </c>
      <c r="H574" s="4">
        <f>SUMIF('Simpanan Sukarela'!C:C,'All Simpanan '!C:C,'Simpanan Sukarela'!E:E)</f>
        <v>966945.47625423979</v>
      </c>
      <c r="I574" s="4">
        <f>SUMIF('Simpanan Sukarela Berjangka'!B:B,'All Simpanan '!C:C,'Simpanan Sukarela Berjangka'!K:K)</f>
        <v>0</v>
      </c>
      <c r="J574" s="4">
        <f t="shared" si="8"/>
        <v>15866945.47625424</v>
      </c>
      <c r="K574" s="35" t="s">
        <v>1579</v>
      </c>
    </row>
    <row r="575" spans="1:11" ht="15.5" x14ac:dyDescent="0.35">
      <c r="A575" s="5">
        <v>573</v>
      </c>
      <c r="B575" s="6" t="s">
        <v>1238</v>
      </c>
      <c r="C575" s="7" t="s">
        <v>1239</v>
      </c>
      <c r="D575" s="8" t="s">
        <v>83</v>
      </c>
      <c r="E575" s="8">
        <f>SUMIF('Simpanan Wajib'!C:C,'All Simpanan '!C:C,'Simpanan Wajib'!E:E)</f>
        <v>19700000</v>
      </c>
      <c r="F575" s="4">
        <f>SUMIF('Simpanan Pokok'!C:C,'All Simpanan '!C:C,'Simpanan Pokok'!E:E)</f>
        <v>200000</v>
      </c>
      <c r="G575" s="4">
        <f>SUMIF('Simpanan Khusus'!C:C,'All Simpanan '!C:C,'Simpanan Khusus'!E:E)</f>
        <v>0</v>
      </c>
      <c r="H575" s="4">
        <f>SUMIF('Simpanan Sukarela'!C:C,'All Simpanan '!C:C,'Simpanan Sukarela'!E:E)</f>
        <v>1227096.9042075484</v>
      </c>
      <c r="I575" s="4">
        <f>SUMIF('Simpanan Sukarela Berjangka'!B:B,'All Simpanan '!C:C,'Simpanan Sukarela Berjangka'!K:K)</f>
        <v>0</v>
      </c>
      <c r="J575" s="4">
        <f t="shared" si="8"/>
        <v>21127096.90420755</v>
      </c>
      <c r="K575" s="35" t="s">
        <v>1579</v>
      </c>
    </row>
    <row r="576" spans="1:11" ht="15.5" x14ac:dyDescent="0.35">
      <c r="A576" s="5">
        <v>574</v>
      </c>
      <c r="B576" s="6" t="s">
        <v>1240</v>
      </c>
      <c r="C576" s="7" t="s">
        <v>1241</v>
      </c>
      <c r="D576" s="8" t="s">
        <v>72</v>
      </c>
      <c r="E576" s="8">
        <f>SUMIF('Simpanan Wajib'!C:C,'All Simpanan '!C:C,'Simpanan Wajib'!E:E)</f>
        <v>22350000</v>
      </c>
      <c r="F576" s="4">
        <f>SUMIF('Simpanan Pokok'!C:C,'All Simpanan '!C:C,'Simpanan Pokok'!E:E)</f>
        <v>200000</v>
      </c>
      <c r="G576" s="4">
        <f>SUMIF('Simpanan Khusus'!C:C,'All Simpanan '!C:C,'Simpanan Khusus'!E:E)</f>
        <v>0</v>
      </c>
      <c r="H576" s="4">
        <f>SUMIF('Simpanan Sukarela'!C:C,'All Simpanan '!C:C,'Simpanan Sukarela'!E:E)</f>
        <v>1151567.2926758321</v>
      </c>
      <c r="I576" s="4">
        <f>SUMIF('Simpanan Sukarela Berjangka'!B:B,'All Simpanan '!C:C,'Simpanan Sukarela Berjangka'!K:K)</f>
        <v>0</v>
      </c>
      <c r="J576" s="4">
        <f t="shared" si="8"/>
        <v>23701567.29267583</v>
      </c>
      <c r="K576" s="35" t="s">
        <v>1579</v>
      </c>
    </row>
    <row r="577" spans="1:11" ht="15.5" x14ac:dyDescent="0.35">
      <c r="A577" s="5">
        <v>575</v>
      </c>
      <c r="B577" s="6" t="s">
        <v>1242</v>
      </c>
      <c r="C577" s="7" t="s">
        <v>1243</v>
      </c>
      <c r="D577" s="8" t="s">
        <v>270</v>
      </c>
      <c r="E577" s="8">
        <f>SUMIF('Simpanan Wajib'!C:C,'All Simpanan '!C:C,'Simpanan Wajib'!E:E)</f>
        <v>12850000</v>
      </c>
      <c r="F577" s="4">
        <f>SUMIF('Simpanan Pokok'!C:C,'All Simpanan '!C:C,'Simpanan Pokok'!E:E)</f>
        <v>200000</v>
      </c>
      <c r="G577" s="4">
        <f>SUMIF('Simpanan Khusus'!C:C,'All Simpanan '!C:C,'Simpanan Khusus'!E:E)</f>
        <v>0</v>
      </c>
      <c r="H577" s="4">
        <f>SUMIF('Simpanan Sukarela'!C:C,'All Simpanan '!C:C,'Simpanan Sukarela'!E:E)</f>
        <v>662189.44296874595</v>
      </c>
      <c r="I577" s="4">
        <f>SUMIF('Simpanan Sukarela Berjangka'!B:B,'All Simpanan '!C:C,'Simpanan Sukarela Berjangka'!K:K)</f>
        <v>0</v>
      </c>
      <c r="J577" s="4">
        <f t="shared" si="8"/>
        <v>13712189.442968747</v>
      </c>
      <c r="K577" s="35" t="s">
        <v>1579</v>
      </c>
    </row>
    <row r="578" spans="1:11" ht="15.5" x14ac:dyDescent="0.35">
      <c r="A578" s="5">
        <v>576</v>
      </c>
      <c r="B578" s="6" t="s">
        <v>1244</v>
      </c>
      <c r="C578" s="7" t="s">
        <v>1245</v>
      </c>
      <c r="D578" s="8" t="s">
        <v>49</v>
      </c>
      <c r="E578" s="8">
        <f>SUMIF('Simpanan Wajib'!C:C,'All Simpanan '!C:C,'Simpanan Wajib'!E:E)</f>
        <v>0</v>
      </c>
      <c r="F578" s="4">
        <f>SUMIF('Simpanan Pokok'!C:C,'All Simpanan '!C:C,'Simpanan Pokok'!E:E)</f>
        <v>0</v>
      </c>
      <c r="G578" s="4">
        <f>SUMIF('Simpanan Khusus'!C:C,'All Simpanan '!C:C,'Simpanan Khusus'!E:E)</f>
        <v>2187500</v>
      </c>
      <c r="H578" s="4">
        <f>SUMIF('Simpanan Sukarela'!C:C,'All Simpanan '!C:C,'Simpanan Sukarela'!E:E)</f>
        <v>89754.594034806243</v>
      </c>
      <c r="I578" s="4">
        <f>SUMIF('Simpanan Sukarela Berjangka'!B:B,'All Simpanan '!C:C,'Simpanan Sukarela Berjangka'!K:K)</f>
        <v>0</v>
      </c>
      <c r="J578" s="4">
        <f t="shared" si="8"/>
        <v>2277254.5940348064</v>
      </c>
      <c r="K578" s="35" t="s">
        <v>1578</v>
      </c>
    </row>
    <row r="579" spans="1:11" ht="15.5" x14ac:dyDescent="0.35">
      <c r="A579" s="5">
        <v>577</v>
      </c>
      <c r="B579" s="6" t="s">
        <v>1246</v>
      </c>
      <c r="C579" s="7" t="s">
        <v>1247</v>
      </c>
      <c r="D579" s="8" t="s">
        <v>95</v>
      </c>
      <c r="E579" s="8">
        <f>SUMIF('Simpanan Wajib'!C:C,'All Simpanan '!C:C,'Simpanan Wajib'!E:E)</f>
        <v>22350000</v>
      </c>
      <c r="F579" s="4">
        <f>SUMIF('Simpanan Pokok'!C:C,'All Simpanan '!C:C,'Simpanan Pokok'!E:E)</f>
        <v>200000</v>
      </c>
      <c r="G579" s="4">
        <f>SUMIF('Simpanan Khusus'!C:C,'All Simpanan '!C:C,'Simpanan Khusus'!E:E)</f>
        <v>0</v>
      </c>
      <c r="H579" s="4">
        <f>SUMIF('Simpanan Sukarela'!C:C,'All Simpanan '!C:C,'Simpanan Sukarela'!E:E)</f>
        <v>1167805.6256163809</v>
      </c>
      <c r="I579" s="4">
        <f>SUMIF('Simpanan Sukarela Berjangka'!B:B,'All Simpanan '!C:C,'Simpanan Sukarela Berjangka'!K:K)</f>
        <v>0</v>
      </c>
      <c r="J579" s="4">
        <f t="shared" si="8"/>
        <v>23717805.625616379</v>
      </c>
      <c r="K579" s="35" t="s">
        <v>1579</v>
      </c>
    </row>
    <row r="580" spans="1:11" ht="15.5" x14ac:dyDescent="0.35">
      <c r="A580" s="5">
        <v>578</v>
      </c>
      <c r="B580" s="6" t="s">
        <v>1248</v>
      </c>
      <c r="C580" s="7" t="s">
        <v>1249</v>
      </c>
      <c r="D580" s="8" t="s">
        <v>77</v>
      </c>
      <c r="E580" s="8">
        <f>SUMIF('Simpanan Wajib'!C:C,'All Simpanan '!C:C,'Simpanan Wajib'!E:E)</f>
        <v>0</v>
      </c>
      <c r="F580" s="4">
        <f>SUMIF('Simpanan Pokok'!C:C,'All Simpanan '!C:C,'Simpanan Pokok'!E:E)</f>
        <v>0</v>
      </c>
      <c r="G580" s="4">
        <f>SUMIF('Simpanan Khusus'!C:C,'All Simpanan '!C:C,'Simpanan Khusus'!E:E)</f>
        <v>0</v>
      </c>
      <c r="H580" s="4">
        <f>SUMIF('Simpanan Sukarela'!C:C,'All Simpanan '!C:C,'Simpanan Sukarela'!E:E)</f>
        <v>257804.54805421431</v>
      </c>
      <c r="I580" s="4">
        <f>SUMIF('Simpanan Sukarela Berjangka'!B:B,'All Simpanan '!C:C,'Simpanan Sukarela Berjangka'!K:K)</f>
        <v>0</v>
      </c>
      <c r="J580" s="4">
        <f t="shared" ref="J580:J643" si="9">SUM(E580:I580)</f>
        <v>257804.54805421431</v>
      </c>
      <c r="K580" s="35" t="s">
        <v>1578</v>
      </c>
    </row>
    <row r="581" spans="1:11" ht="15.5" x14ac:dyDescent="0.35">
      <c r="A581" s="5">
        <v>579</v>
      </c>
      <c r="B581" s="6" t="s">
        <v>1250</v>
      </c>
      <c r="C581" s="7" t="s">
        <v>1251</v>
      </c>
      <c r="D581" s="8" t="s">
        <v>77</v>
      </c>
      <c r="E581" s="8">
        <f>SUMIF('Simpanan Wajib'!C:C,'All Simpanan '!C:C,'Simpanan Wajib'!E:E)</f>
        <v>0</v>
      </c>
      <c r="F581" s="4">
        <f>SUMIF('Simpanan Pokok'!C:C,'All Simpanan '!C:C,'Simpanan Pokok'!E:E)</f>
        <v>0</v>
      </c>
      <c r="G581" s="4">
        <f>SUMIF('Simpanan Khusus'!C:C,'All Simpanan '!C:C,'Simpanan Khusus'!E:E)</f>
        <v>0</v>
      </c>
      <c r="H581" s="4">
        <f>SUMIF('Simpanan Sukarela'!C:C,'All Simpanan '!C:C,'Simpanan Sukarela'!E:E)</f>
        <v>-0.42491505807265639</v>
      </c>
      <c r="I581" s="4">
        <f>SUMIF('Simpanan Sukarela Berjangka'!B:B,'All Simpanan '!C:C,'Simpanan Sukarela Berjangka'!K:K)</f>
        <v>0</v>
      </c>
      <c r="J581" s="4">
        <f t="shared" si="9"/>
        <v>-0.42491505807265639</v>
      </c>
      <c r="K581" s="35" t="s">
        <v>1576</v>
      </c>
    </row>
    <row r="582" spans="1:11" ht="15.5" x14ac:dyDescent="0.35">
      <c r="A582" s="5">
        <v>580</v>
      </c>
      <c r="B582" s="6" t="s">
        <v>1252</v>
      </c>
      <c r="C582" s="7" t="s">
        <v>1253</v>
      </c>
      <c r="D582" s="8" t="s">
        <v>60</v>
      </c>
      <c r="E582" s="8">
        <f>SUMIF('Simpanan Wajib'!C:C,'All Simpanan '!C:C,'Simpanan Wajib'!E:E)</f>
        <v>0</v>
      </c>
      <c r="F582" s="4">
        <f>SUMIF('Simpanan Pokok'!C:C,'All Simpanan '!C:C,'Simpanan Pokok'!E:E)</f>
        <v>0</v>
      </c>
      <c r="G582" s="4">
        <f>SUMIF('Simpanan Khusus'!C:C,'All Simpanan '!C:C,'Simpanan Khusus'!E:E)</f>
        <v>0</v>
      </c>
      <c r="H582" s="4">
        <f>SUMIF('Simpanan Sukarela'!C:C,'All Simpanan '!C:C,'Simpanan Sukarela'!E:E)</f>
        <v>27259.634315028496</v>
      </c>
      <c r="I582" s="4">
        <f>SUMIF('Simpanan Sukarela Berjangka'!B:B,'All Simpanan '!C:C,'Simpanan Sukarela Berjangka'!K:K)</f>
        <v>0</v>
      </c>
      <c r="J582" s="4">
        <f t="shared" si="9"/>
        <v>27259.634315028496</v>
      </c>
      <c r="K582" s="35" t="s">
        <v>1578</v>
      </c>
    </row>
    <row r="583" spans="1:11" ht="15.5" x14ac:dyDescent="0.35">
      <c r="A583" s="5">
        <v>581</v>
      </c>
      <c r="B583" s="6" t="s">
        <v>1254</v>
      </c>
      <c r="C583" s="7" t="s">
        <v>1255</v>
      </c>
      <c r="D583" s="8" t="s">
        <v>131</v>
      </c>
      <c r="E583" s="8">
        <f>SUMIF('Simpanan Wajib'!C:C,'All Simpanan '!C:C,'Simpanan Wajib'!E:E)</f>
        <v>22350000</v>
      </c>
      <c r="F583" s="4">
        <f>SUMIF('Simpanan Pokok'!C:C,'All Simpanan '!C:C,'Simpanan Pokok'!E:E)</f>
        <v>200000</v>
      </c>
      <c r="G583" s="4">
        <f>SUMIF('Simpanan Khusus'!C:C,'All Simpanan '!C:C,'Simpanan Khusus'!E:E)</f>
        <v>250000</v>
      </c>
      <c r="H583" s="4">
        <f>SUMIF('Simpanan Sukarela'!C:C,'All Simpanan '!C:C,'Simpanan Sukarela'!E:E)</f>
        <v>1179558.2701371962</v>
      </c>
      <c r="I583" s="4">
        <f>SUMIF('Simpanan Sukarela Berjangka'!B:B,'All Simpanan '!C:C,'Simpanan Sukarela Berjangka'!K:K)</f>
        <v>0</v>
      </c>
      <c r="J583" s="4">
        <f t="shared" si="9"/>
        <v>23979558.270137195</v>
      </c>
      <c r="K583" s="35" t="s">
        <v>1579</v>
      </c>
    </row>
    <row r="584" spans="1:11" ht="15.5" x14ac:dyDescent="0.35">
      <c r="A584" s="5">
        <v>582</v>
      </c>
      <c r="B584" s="6" t="s">
        <v>1256</v>
      </c>
      <c r="C584" s="7" t="s">
        <v>1257</v>
      </c>
      <c r="D584" s="8" t="s">
        <v>123</v>
      </c>
      <c r="E584" s="8">
        <f>SUMIF('Simpanan Wajib'!C:C,'All Simpanan '!C:C,'Simpanan Wajib'!E:E)</f>
        <v>2250000</v>
      </c>
      <c r="F584" s="4">
        <f>SUMIF('Simpanan Pokok'!C:C,'All Simpanan '!C:C,'Simpanan Pokok'!E:E)</f>
        <v>200000</v>
      </c>
      <c r="G584" s="4">
        <f>SUMIF('Simpanan Khusus'!C:C,'All Simpanan '!C:C,'Simpanan Khusus'!E:E)</f>
        <v>60000</v>
      </c>
      <c r="H584" s="4">
        <f>SUMIF('Simpanan Sukarela'!C:C,'All Simpanan '!C:C,'Simpanan Sukarela'!E:E)</f>
        <v>616204.67443352204</v>
      </c>
      <c r="I584" s="4">
        <f>SUMIF('Simpanan Sukarela Berjangka'!B:B,'All Simpanan '!C:C,'Simpanan Sukarela Berjangka'!K:K)</f>
        <v>0</v>
      </c>
      <c r="J584" s="4">
        <f t="shared" si="9"/>
        <v>3126204.6744335219</v>
      </c>
      <c r="K584" s="35" t="s">
        <v>1578</v>
      </c>
    </row>
    <row r="585" spans="1:11" ht="15.5" x14ac:dyDescent="0.35">
      <c r="A585" s="5">
        <v>583</v>
      </c>
      <c r="B585" s="6" t="s">
        <v>1258</v>
      </c>
      <c r="C585" s="7" t="s">
        <v>1259</v>
      </c>
      <c r="D585" s="8" t="s">
        <v>72</v>
      </c>
      <c r="E585" s="8">
        <f>SUMIF('Simpanan Wajib'!C:C,'All Simpanan '!C:C,'Simpanan Wajib'!E:E)</f>
        <v>0</v>
      </c>
      <c r="F585" s="4">
        <f>SUMIF('Simpanan Pokok'!C:C,'All Simpanan '!C:C,'Simpanan Pokok'!E:E)</f>
        <v>0</v>
      </c>
      <c r="G585" s="4">
        <f>SUMIF('Simpanan Khusus'!C:C,'All Simpanan '!C:C,'Simpanan Khusus'!E:E)</f>
        <v>0</v>
      </c>
      <c r="H585" s="4">
        <f>SUMIF('Simpanan Sukarela'!C:C,'All Simpanan '!C:C,'Simpanan Sukarela'!E:E)</f>
        <v>437817.68200133205</v>
      </c>
      <c r="I585" s="4">
        <f>SUMIF('Simpanan Sukarela Berjangka'!B:B,'All Simpanan '!C:C,'Simpanan Sukarela Berjangka'!K:K)</f>
        <v>0</v>
      </c>
      <c r="J585" s="4">
        <f t="shared" si="9"/>
        <v>437817.68200133205</v>
      </c>
      <c r="K585" s="35" t="s">
        <v>1578</v>
      </c>
    </row>
    <row r="586" spans="1:11" ht="15.5" x14ac:dyDescent="0.35">
      <c r="A586" s="5">
        <v>584</v>
      </c>
      <c r="B586" s="6" t="s">
        <v>1260</v>
      </c>
      <c r="C586" s="7" t="s">
        <v>1261</v>
      </c>
      <c r="D586" s="8" t="s">
        <v>60</v>
      </c>
      <c r="E586" s="8">
        <f>SUMIF('Simpanan Wajib'!C:C,'All Simpanan '!C:C,'Simpanan Wajib'!E:E)</f>
        <v>0</v>
      </c>
      <c r="F586" s="4">
        <f>SUMIF('Simpanan Pokok'!C:C,'All Simpanan '!C:C,'Simpanan Pokok'!E:E)</f>
        <v>0</v>
      </c>
      <c r="G586" s="4">
        <f>SUMIF('Simpanan Khusus'!C:C,'All Simpanan '!C:C,'Simpanan Khusus'!E:E)</f>
        <v>0</v>
      </c>
      <c r="H586" s="4">
        <f>SUMIF('Simpanan Sukarela'!C:C,'All Simpanan '!C:C,'Simpanan Sukarela'!E:E)</f>
        <v>31707</v>
      </c>
      <c r="I586" s="4">
        <f>SUMIF('Simpanan Sukarela Berjangka'!B:B,'All Simpanan '!C:C,'Simpanan Sukarela Berjangka'!K:K)</f>
        <v>0</v>
      </c>
      <c r="J586" s="4">
        <f t="shared" si="9"/>
        <v>31707</v>
      </c>
      <c r="K586" s="35" t="s">
        <v>1578</v>
      </c>
    </row>
    <row r="587" spans="1:11" ht="15.5" x14ac:dyDescent="0.35">
      <c r="A587" s="5">
        <v>585</v>
      </c>
      <c r="B587" s="6" t="s">
        <v>1262</v>
      </c>
      <c r="C587" s="7" t="s">
        <v>1263</v>
      </c>
      <c r="D587" s="8" t="s">
        <v>49</v>
      </c>
      <c r="E587" s="8">
        <f>SUMIF('Simpanan Wajib'!C:C,'All Simpanan '!C:C,'Simpanan Wajib'!E:E)</f>
        <v>-100000</v>
      </c>
      <c r="F587" s="4">
        <f>SUMIF('Simpanan Pokok'!C:C,'All Simpanan '!C:C,'Simpanan Pokok'!E:E)</f>
        <v>0</v>
      </c>
      <c r="G587" s="4">
        <f>SUMIF('Simpanan Khusus'!C:C,'All Simpanan '!C:C,'Simpanan Khusus'!E:E)</f>
        <v>0</v>
      </c>
      <c r="H587" s="4">
        <f>SUMIF('Simpanan Sukarela'!C:C,'All Simpanan '!C:C,'Simpanan Sukarela'!E:E)</f>
        <v>18230</v>
      </c>
      <c r="I587" s="4">
        <f>SUMIF('Simpanan Sukarela Berjangka'!B:B,'All Simpanan '!C:C,'Simpanan Sukarela Berjangka'!K:K)</f>
        <v>0</v>
      </c>
      <c r="J587" s="4">
        <f t="shared" si="9"/>
        <v>-81770</v>
      </c>
      <c r="K587" s="35" t="s">
        <v>1578</v>
      </c>
    </row>
    <row r="588" spans="1:11" ht="15.5" x14ac:dyDescent="0.35">
      <c r="A588" s="5">
        <v>586</v>
      </c>
      <c r="B588" s="6" t="s">
        <v>1264</v>
      </c>
      <c r="C588" s="7" t="s">
        <v>1265</v>
      </c>
      <c r="D588" s="8" t="s">
        <v>128</v>
      </c>
      <c r="E588" s="8">
        <f>SUMIF('Simpanan Wajib'!C:C,'All Simpanan '!C:C,'Simpanan Wajib'!E:E)</f>
        <v>9950000</v>
      </c>
      <c r="F588" s="4">
        <f>SUMIF('Simpanan Pokok'!C:C,'All Simpanan '!C:C,'Simpanan Pokok'!E:E)</f>
        <v>150000</v>
      </c>
      <c r="G588" s="4">
        <f>SUMIF('Simpanan Khusus'!C:C,'All Simpanan '!C:C,'Simpanan Khusus'!E:E)</f>
        <v>0</v>
      </c>
      <c r="H588" s="4">
        <f>SUMIF('Simpanan Sukarela'!C:C,'All Simpanan '!C:C,'Simpanan Sukarela'!E:E)</f>
        <v>981399.26983006112</v>
      </c>
      <c r="I588" s="4">
        <f>SUMIF('Simpanan Sukarela Berjangka'!B:B,'All Simpanan '!C:C,'Simpanan Sukarela Berjangka'!K:K)</f>
        <v>0</v>
      </c>
      <c r="J588" s="4">
        <f t="shared" si="9"/>
        <v>11081399.269830061</v>
      </c>
      <c r="K588" s="35" t="s">
        <v>1579</v>
      </c>
    </row>
    <row r="589" spans="1:11" ht="15.5" x14ac:dyDescent="0.35">
      <c r="A589" s="5">
        <v>587</v>
      </c>
      <c r="B589" s="6" t="s">
        <v>1266</v>
      </c>
      <c r="C589" s="7" t="s">
        <v>1267</v>
      </c>
      <c r="D589" s="8" t="s">
        <v>136</v>
      </c>
      <c r="E589" s="8">
        <f>SUMIF('Simpanan Wajib'!C:C,'All Simpanan '!C:C,'Simpanan Wajib'!E:E)</f>
        <v>0</v>
      </c>
      <c r="F589" s="4">
        <f>SUMIF('Simpanan Pokok'!C:C,'All Simpanan '!C:C,'Simpanan Pokok'!E:E)</f>
        <v>0</v>
      </c>
      <c r="G589" s="4">
        <f>SUMIF('Simpanan Khusus'!C:C,'All Simpanan '!C:C,'Simpanan Khusus'!E:E)</f>
        <v>0</v>
      </c>
      <c r="H589" s="4">
        <f>SUMIF('Simpanan Sukarela'!C:C,'All Simpanan '!C:C,'Simpanan Sukarela'!E:E)</f>
        <v>1004712.9831700833</v>
      </c>
      <c r="I589" s="4">
        <f>SUMIF('Simpanan Sukarela Berjangka'!B:B,'All Simpanan '!C:C,'Simpanan Sukarela Berjangka'!K:K)</f>
        <v>0</v>
      </c>
      <c r="J589" s="4">
        <f t="shared" si="9"/>
        <v>1004712.9831700833</v>
      </c>
      <c r="K589" s="35" t="s">
        <v>1579</v>
      </c>
    </row>
    <row r="590" spans="1:11" ht="15.5" x14ac:dyDescent="0.35">
      <c r="A590" s="5">
        <v>588</v>
      </c>
      <c r="B590" s="6" t="s">
        <v>1268</v>
      </c>
      <c r="C590" s="7" t="s">
        <v>1269</v>
      </c>
      <c r="D590" s="8" t="s">
        <v>136</v>
      </c>
      <c r="E590" s="8">
        <f>SUMIF('Simpanan Wajib'!C:C,'All Simpanan '!C:C,'Simpanan Wajib'!E:E)</f>
        <v>0</v>
      </c>
      <c r="F590" s="4">
        <f>SUMIF('Simpanan Pokok'!C:C,'All Simpanan '!C:C,'Simpanan Pokok'!E:E)</f>
        <v>0</v>
      </c>
      <c r="G590" s="4">
        <f>SUMIF('Simpanan Khusus'!C:C,'All Simpanan '!C:C,'Simpanan Khusus'!E:E)</f>
        <v>0</v>
      </c>
      <c r="H590" s="4">
        <f>SUMIF('Simpanan Sukarela'!C:C,'All Simpanan '!C:C,'Simpanan Sukarela'!E:E)</f>
        <v>0</v>
      </c>
      <c r="I590" s="4">
        <f>SUMIF('Simpanan Sukarela Berjangka'!B:B,'All Simpanan '!C:C,'Simpanan Sukarela Berjangka'!K:K)</f>
        <v>0</v>
      </c>
      <c r="J590" s="4">
        <f t="shared" si="9"/>
        <v>0</v>
      </c>
      <c r="K590" s="35" t="s">
        <v>1579</v>
      </c>
    </row>
    <row r="591" spans="1:11" ht="15.5" x14ac:dyDescent="0.35">
      <c r="A591" s="5">
        <v>589</v>
      </c>
      <c r="B591" s="6" t="s">
        <v>1270</v>
      </c>
      <c r="C591" s="7" t="s">
        <v>1271</v>
      </c>
      <c r="D591" s="8" t="s">
        <v>136</v>
      </c>
      <c r="E591" s="8">
        <f>SUMIF('Simpanan Wajib'!C:C,'All Simpanan '!C:C,'Simpanan Wajib'!E:E)</f>
        <v>0</v>
      </c>
      <c r="F591" s="4">
        <f>SUMIF('Simpanan Pokok'!C:C,'All Simpanan '!C:C,'Simpanan Pokok'!E:E)</f>
        <v>0</v>
      </c>
      <c r="G591" s="4">
        <f>SUMIF('Simpanan Khusus'!C:C,'All Simpanan '!C:C,'Simpanan Khusus'!E:E)</f>
        <v>0</v>
      </c>
      <c r="H591" s="4">
        <f>SUMIF('Simpanan Sukarela'!C:C,'All Simpanan '!C:C,'Simpanan Sukarela'!E:E)</f>
        <v>0</v>
      </c>
      <c r="I591" s="4">
        <f>SUMIF('Simpanan Sukarela Berjangka'!B:B,'All Simpanan '!C:C,'Simpanan Sukarela Berjangka'!K:K)</f>
        <v>0</v>
      </c>
      <c r="J591" s="4">
        <f t="shared" si="9"/>
        <v>0</v>
      </c>
      <c r="K591" s="35" t="s">
        <v>1579</v>
      </c>
    </row>
    <row r="592" spans="1:11" ht="15.5" x14ac:dyDescent="0.35">
      <c r="A592" s="5">
        <v>590</v>
      </c>
      <c r="B592" s="6" t="s">
        <v>1272</v>
      </c>
      <c r="C592" s="7" t="s">
        <v>1273</v>
      </c>
      <c r="D592" s="8" t="s">
        <v>429</v>
      </c>
      <c r="E592" s="8">
        <f>SUMIF('Simpanan Wajib'!C:C,'All Simpanan '!C:C,'Simpanan Wajib'!E:E)</f>
        <v>14250000</v>
      </c>
      <c r="F592" s="4">
        <f>SUMIF('Simpanan Pokok'!C:C,'All Simpanan '!C:C,'Simpanan Pokok'!E:E)</f>
        <v>200000</v>
      </c>
      <c r="G592" s="4">
        <f>SUMIF('Simpanan Khusus'!C:C,'All Simpanan '!C:C,'Simpanan Khusus'!E:E)</f>
        <v>0</v>
      </c>
      <c r="H592" s="4">
        <f>SUMIF('Simpanan Sukarela'!C:C,'All Simpanan '!C:C,'Simpanan Sukarela'!E:E)</f>
        <v>1561645.624030825</v>
      </c>
      <c r="I592" s="4">
        <f>SUMIF('Simpanan Sukarela Berjangka'!B:B,'All Simpanan '!C:C,'Simpanan Sukarela Berjangka'!K:K)</f>
        <v>0</v>
      </c>
      <c r="J592" s="4">
        <f t="shared" si="9"/>
        <v>16011645.624030825</v>
      </c>
      <c r="K592" s="35" t="s">
        <v>1579</v>
      </c>
    </row>
    <row r="593" spans="1:11" ht="15.5" x14ac:dyDescent="0.35">
      <c r="A593" s="5">
        <v>591</v>
      </c>
      <c r="B593" s="6" t="s">
        <v>1274</v>
      </c>
      <c r="C593" s="7" t="s">
        <v>1275</v>
      </c>
      <c r="D593" s="8" t="s">
        <v>46</v>
      </c>
      <c r="E593" s="8">
        <f>SUMIF('Simpanan Wajib'!C:C,'All Simpanan '!C:C,'Simpanan Wajib'!E:E)</f>
        <v>0</v>
      </c>
      <c r="F593" s="4">
        <f>SUMIF('Simpanan Pokok'!C:C,'All Simpanan '!C:C,'Simpanan Pokok'!E:E)</f>
        <v>0</v>
      </c>
      <c r="G593" s="4">
        <f>SUMIF('Simpanan Khusus'!C:C,'All Simpanan '!C:C,'Simpanan Khusus'!E:E)</f>
        <v>0</v>
      </c>
      <c r="H593" s="4">
        <f>SUMIF('Simpanan Sukarela'!C:C,'All Simpanan '!C:C,'Simpanan Sukarela'!E:E)</f>
        <v>0</v>
      </c>
      <c r="I593" s="4">
        <f>SUMIF('Simpanan Sukarela Berjangka'!B:B,'All Simpanan '!C:C,'Simpanan Sukarela Berjangka'!K:K)</f>
        <v>0</v>
      </c>
      <c r="J593" s="4">
        <f t="shared" si="9"/>
        <v>0</v>
      </c>
      <c r="K593" s="35" t="s">
        <v>1578</v>
      </c>
    </row>
    <row r="594" spans="1:11" ht="15.5" x14ac:dyDescent="0.35">
      <c r="A594" s="5">
        <v>592</v>
      </c>
      <c r="B594" s="6" t="s">
        <v>1276</v>
      </c>
      <c r="C594" s="7" t="s">
        <v>1277</v>
      </c>
      <c r="D594" s="8" t="s">
        <v>128</v>
      </c>
      <c r="E594" s="8">
        <f>SUMIF('Simpanan Wajib'!C:C,'All Simpanan '!C:C,'Simpanan Wajib'!E:E)</f>
        <v>0</v>
      </c>
      <c r="F594" s="4">
        <f>SUMIF('Simpanan Pokok'!C:C,'All Simpanan '!C:C,'Simpanan Pokok'!E:E)</f>
        <v>0</v>
      </c>
      <c r="G594" s="4">
        <f>SUMIF('Simpanan Khusus'!C:C,'All Simpanan '!C:C,'Simpanan Khusus'!E:E)</f>
        <v>0</v>
      </c>
      <c r="H594" s="4">
        <f>SUMIF('Simpanan Sukarela'!C:C,'All Simpanan '!C:C,'Simpanan Sukarela'!E:E)</f>
        <v>36113</v>
      </c>
      <c r="I594" s="4">
        <f>SUMIF('Simpanan Sukarela Berjangka'!B:B,'All Simpanan '!C:C,'Simpanan Sukarela Berjangka'!K:K)</f>
        <v>0</v>
      </c>
      <c r="J594" s="4">
        <f t="shared" si="9"/>
        <v>36113</v>
      </c>
      <c r="K594" s="35" t="s">
        <v>1578</v>
      </c>
    </row>
    <row r="595" spans="1:11" ht="15.5" x14ac:dyDescent="0.35">
      <c r="A595" s="5">
        <v>593</v>
      </c>
      <c r="B595" s="6" t="s">
        <v>1278</v>
      </c>
      <c r="C595" s="7" t="s">
        <v>1279</v>
      </c>
      <c r="D595" s="8" t="s">
        <v>406</v>
      </c>
      <c r="E595" s="8">
        <f>SUMIF('Simpanan Wajib'!C:C,'All Simpanan '!C:C,'Simpanan Wajib'!E:E)</f>
        <v>0</v>
      </c>
      <c r="F595" s="4">
        <f>SUMIF('Simpanan Pokok'!C:C,'All Simpanan '!C:C,'Simpanan Pokok'!E:E)</f>
        <v>0</v>
      </c>
      <c r="G595" s="4">
        <f>SUMIF('Simpanan Khusus'!C:C,'All Simpanan '!C:C,'Simpanan Khusus'!E:E)</f>
        <v>0</v>
      </c>
      <c r="H595" s="4">
        <f>SUMIF('Simpanan Sukarela'!C:C,'All Simpanan '!C:C,'Simpanan Sukarela'!E:E)</f>
        <v>0</v>
      </c>
      <c r="I595" s="4">
        <f>SUMIF('Simpanan Sukarela Berjangka'!B:B,'All Simpanan '!C:C,'Simpanan Sukarela Berjangka'!K:K)</f>
        <v>0</v>
      </c>
      <c r="J595" s="4">
        <f t="shared" si="9"/>
        <v>0</v>
      </c>
      <c r="K595" s="35" t="s">
        <v>1579</v>
      </c>
    </row>
    <row r="596" spans="1:11" ht="15.5" x14ac:dyDescent="0.35">
      <c r="A596" s="5">
        <v>594</v>
      </c>
      <c r="B596" s="6" t="s">
        <v>1280</v>
      </c>
      <c r="C596" s="7" t="s">
        <v>1281</v>
      </c>
      <c r="D596" s="8" t="s">
        <v>41</v>
      </c>
      <c r="E596" s="8">
        <f>SUMIF('Simpanan Wajib'!C:C,'All Simpanan '!C:C,'Simpanan Wajib'!E:E)</f>
        <v>250000</v>
      </c>
      <c r="F596" s="4">
        <f>SUMIF('Simpanan Pokok'!C:C,'All Simpanan '!C:C,'Simpanan Pokok'!E:E)</f>
        <v>0</v>
      </c>
      <c r="G596" s="4">
        <f>SUMIF('Simpanan Khusus'!C:C,'All Simpanan '!C:C,'Simpanan Khusus'!E:E)</f>
        <v>0</v>
      </c>
      <c r="H596" s="4">
        <f>SUMIF('Simpanan Sukarela'!C:C,'All Simpanan '!C:C,'Simpanan Sukarela'!E:E)</f>
        <v>85439.20307365054</v>
      </c>
      <c r="I596" s="4">
        <f>SUMIF('Simpanan Sukarela Berjangka'!B:B,'All Simpanan '!C:C,'Simpanan Sukarela Berjangka'!K:K)</f>
        <v>0</v>
      </c>
      <c r="J596" s="4">
        <f t="shared" si="9"/>
        <v>335439.20307365054</v>
      </c>
      <c r="K596" s="35" t="s">
        <v>1578</v>
      </c>
    </row>
    <row r="597" spans="1:11" ht="15.5" x14ac:dyDescent="0.35">
      <c r="A597" s="5">
        <v>595</v>
      </c>
      <c r="B597" s="6" t="s">
        <v>1282</v>
      </c>
      <c r="C597" s="7" t="s">
        <v>1283</v>
      </c>
      <c r="D597" s="8" t="s">
        <v>128</v>
      </c>
      <c r="E597" s="8">
        <f>SUMIF('Simpanan Wajib'!C:C,'All Simpanan '!C:C,'Simpanan Wajib'!E:E)</f>
        <v>0</v>
      </c>
      <c r="F597" s="4">
        <f>SUMIF('Simpanan Pokok'!C:C,'All Simpanan '!C:C,'Simpanan Pokok'!E:E)</f>
        <v>0</v>
      </c>
      <c r="G597" s="4">
        <f>SUMIF('Simpanan Khusus'!C:C,'All Simpanan '!C:C,'Simpanan Khusus'!E:E)</f>
        <v>0</v>
      </c>
      <c r="H597" s="4">
        <f>SUMIF('Simpanan Sukarela'!C:C,'All Simpanan '!C:C,'Simpanan Sukarela'!E:E)</f>
        <v>0</v>
      </c>
      <c r="I597" s="4">
        <f>SUMIF('Simpanan Sukarela Berjangka'!B:B,'All Simpanan '!C:C,'Simpanan Sukarela Berjangka'!K:K)</f>
        <v>0</v>
      </c>
      <c r="J597" s="4">
        <f t="shared" si="9"/>
        <v>0</v>
      </c>
      <c r="K597" s="35" t="s">
        <v>1579</v>
      </c>
    </row>
    <row r="598" spans="1:11" ht="15.5" x14ac:dyDescent="0.35">
      <c r="A598" s="5">
        <v>596</v>
      </c>
      <c r="B598" s="6" t="s">
        <v>1284</v>
      </c>
      <c r="C598" s="7" t="s">
        <v>1285</v>
      </c>
      <c r="D598" s="8" t="s">
        <v>60</v>
      </c>
      <c r="E598" s="8">
        <f>SUMIF('Simpanan Wajib'!C:C,'All Simpanan '!C:C,'Simpanan Wajib'!E:E)</f>
        <v>0</v>
      </c>
      <c r="F598" s="4">
        <f>SUMIF('Simpanan Pokok'!C:C,'All Simpanan '!C:C,'Simpanan Pokok'!E:E)</f>
        <v>0</v>
      </c>
      <c r="G598" s="4">
        <f>SUMIF('Simpanan Khusus'!C:C,'All Simpanan '!C:C,'Simpanan Khusus'!E:E)</f>
        <v>0</v>
      </c>
      <c r="H598" s="4">
        <f>SUMIF('Simpanan Sukarela'!C:C,'All Simpanan '!C:C,'Simpanan Sukarela'!E:E)</f>
        <v>0</v>
      </c>
      <c r="I598" s="4">
        <f>SUMIF('Simpanan Sukarela Berjangka'!B:B,'All Simpanan '!C:C,'Simpanan Sukarela Berjangka'!K:K)</f>
        <v>0</v>
      </c>
      <c r="J598" s="4">
        <f t="shared" si="9"/>
        <v>0</v>
      </c>
      <c r="K598" s="35" t="s">
        <v>1578</v>
      </c>
    </row>
    <row r="599" spans="1:11" ht="15.5" x14ac:dyDescent="0.35">
      <c r="A599" s="5">
        <v>597</v>
      </c>
      <c r="B599" s="6" t="s">
        <v>1286</v>
      </c>
      <c r="C599" s="7" t="s">
        <v>1287</v>
      </c>
      <c r="D599" s="8" t="s">
        <v>49</v>
      </c>
      <c r="E599" s="8">
        <f>SUMIF('Simpanan Wajib'!C:C,'All Simpanan '!C:C,'Simpanan Wajib'!E:E)</f>
        <v>0</v>
      </c>
      <c r="F599" s="4">
        <f>SUMIF('Simpanan Pokok'!C:C,'All Simpanan '!C:C,'Simpanan Pokok'!E:E)</f>
        <v>0</v>
      </c>
      <c r="G599" s="4">
        <f>SUMIF('Simpanan Khusus'!C:C,'All Simpanan '!C:C,'Simpanan Khusus'!E:E)</f>
        <v>0</v>
      </c>
      <c r="H599" s="4">
        <f>SUMIF('Simpanan Sukarela'!C:C,'All Simpanan '!C:C,'Simpanan Sukarela'!E:E)</f>
        <v>50275.423434650387</v>
      </c>
      <c r="I599" s="4">
        <f>SUMIF('Simpanan Sukarela Berjangka'!B:B,'All Simpanan '!C:C,'Simpanan Sukarela Berjangka'!K:K)</f>
        <v>0</v>
      </c>
      <c r="J599" s="4">
        <f t="shared" si="9"/>
        <v>50275.423434650387</v>
      </c>
      <c r="K599" s="35" t="s">
        <v>1578</v>
      </c>
    </row>
    <row r="600" spans="1:11" ht="15.5" x14ac:dyDescent="0.35">
      <c r="A600" s="5">
        <v>598</v>
      </c>
      <c r="B600" s="6" t="s">
        <v>1288</v>
      </c>
      <c r="C600" s="7" t="s">
        <v>1289</v>
      </c>
      <c r="D600" s="8" t="s">
        <v>136</v>
      </c>
      <c r="E600" s="8">
        <f>SUMIF('Simpanan Wajib'!C:C,'All Simpanan '!C:C,'Simpanan Wajib'!E:E)</f>
        <v>9900000</v>
      </c>
      <c r="F600" s="4">
        <f>SUMIF('Simpanan Pokok'!C:C,'All Simpanan '!C:C,'Simpanan Pokok'!E:E)</f>
        <v>200000</v>
      </c>
      <c r="G600" s="4">
        <f>SUMIF('Simpanan Khusus'!C:C,'All Simpanan '!C:C,'Simpanan Khusus'!E:E)</f>
        <v>0</v>
      </c>
      <c r="H600" s="4">
        <f>SUMIF('Simpanan Sukarela'!C:C,'All Simpanan '!C:C,'Simpanan Sukarela'!E:E)</f>
        <v>975662.15455173538</v>
      </c>
      <c r="I600" s="4">
        <f>SUMIF('Simpanan Sukarela Berjangka'!B:B,'All Simpanan '!C:C,'Simpanan Sukarela Berjangka'!K:K)</f>
        <v>0</v>
      </c>
      <c r="J600" s="4">
        <f t="shared" si="9"/>
        <v>11075662.154551735</v>
      </c>
      <c r="K600" s="35" t="s">
        <v>1579</v>
      </c>
    </row>
    <row r="601" spans="1:11" ht="15.5" x14ac:dyDescent="0.35">
      <c r="A601" s="5">
        <v>599</v>
      </c>
      <c r="B601" s="6" t="s">
        <v>1290</v>
      </c>
      <c r="C601" s="7" t="s">
        <v>1291</v>
      </c>
      <c r="D601" s="8" t="s">
        <v>169</v>
      </c>
      <c r="E601" s="8">
        <f>SUMIF('Simpanan Wajib'!C:C,'All Simpanan '!C:C,'Simpanan Wajib'!E:E)</f>
        <v>0</v>
      </c>
      <c r="F601" s="4">
        <f>SUMIF('Simpanan Pokok'!C:C,'All Simpanan '!C:C,'Simpanan Pokok'!E:E)</f>
        <v>0</v>
      </c>
      <c r="G601" s="4">
        <f>SUMIF('Simpanan Khusus'!C:C,'All Simpanan '!C:C,'Simpanan Khusus'!E:E)</f>
        <v>0</v>
      </c>
      <c r="H601" s="4">
        <f>SUMIF('Simpanan Sukarela'!C:C,'All Simpanan '!C:C,'Simpanan Sukarela'!E:E)</f>
        <v>148723.08401418221</v>
      </c>
      <c r="I601" s="4">
        <f>SUMIF('Simpanan Sukarela Berjangka'!B:B,'All Simpanan '!C:C,'Simpanan Sukarela Berjangka'!K:K)</f>
        <v>0</v>
      </c>
      <c r="J601" s="4">
        <f t="shared" si="9"/>
        <v>148723.08401418221</v>
      </c>
      <c r="K601" s="35" t="s">
        <v>1576</v>
      </c>
    </row>
    <row r="602" spans="1:11" ht="15.5" x14ac:dyDescent="0.35">
      <c r="A602" s="5">
        <v>600</v>
      </c>
      <c r="B602" s="6" t="s">
        <v>1292</v>
      </c>
      <c r="C602" s="7" t="s">
        <v>1293</v>
      </c>
      <c r="D602" s="8" t="s">
        <v>169</v>
      </c>
      <c r="E602" s="8">
        <f>SUMIF('Simpanan Wajib'!C:C,'All Simpanan '!C:C,'Simpanan Wajib'!E:E)</f>
        <v>0</v>
      </c>
      <c r="F602" s="4">
        <f>SUMIF('Simpanan Pokok'!C:C,'All Simpanan '!C:C,'Simpanan Pokok'!E:E)</f>
        <v>0</v>
      </c>
      <c r="G602" s="4">
        <f>SUMIF('Simpanan Khusus'!C:C,'All Simpanan '!C:C,'Simpanan Khusus'!E:E)</f>
        <v>0</v>
      </c>
      <c r="H602" s="4">
        <f>SUMIF('Simpanan Sukarela'!C:C,'All Simpanan '!C:C,'Simpanan Sukarela'!E:E)</f>
        <v>156861.89181990281</v>
      </c>
      <c r="I602" s="4">
        <f>SUMIF('Simpanan Sukarela Berjangka'!B:B,'All Simpanan '!C:C,'Simpanan Sukarela Berjangka'!K:K)</f>
        <v>0</v>
      </c>
      <c r="J602" s="4">
        <f t="shared" si="9"/>
        <v>156861.89181990281</v>
      </c>
      <c r="K602" s="35" t="s">
        <v>1576</v>
      </c>
    </row>
    <row r="603" spans="1:11" ht="15.5" x14ac:dyDescent="0.35">
      <c r="A603" s="5">
        <v>601</v>
      </c>
      <c r="B603" s="6" t="s">
        <v>1294</v>
      </c>
      <c r="C603" s="7" t="s">
        <v>1295</v>
      </c>
      <c r="D603" s="8" t="s">
        <v>136</v>
      </c>
      <c r="E603" s="8">
        <f>SUMIF('Simpanan Wajib'!C:C,'All Simpanan '!C:C,'Simpanan Wajib'!E:E)</f>
        <v>100000</v>
      </c>
      <c r="F603" s="4">
        <f>SUMIF('Simpanan Pokok'!C:C,'All Simpanan '!C:C,'Simpanan Pokok'!E:E)</f>
        <v>0</v>
      </c>
      <c r="G603" s="4">
        <f>SUMIF('Simpanan Khusus'!C:C,'All Simpanan '!C:C,'Simpanan Khusus'!E:E)</f>
        <v>0</v>
      </c>
      <c r="H603" s="4">
        <f>SUMIF('Simpanan Sukarela'!C:C,'All Simpanan '!C:C,'Simpanan Sukarela'!E:E)</f>
        <v>-0.47883346967864782</v>
      </c>
      <c r="I603" s="4">
        <f>SUMIF('Simpanan Sukarela Berjangka'!B:B,'All Simpanan '!C:C,'Simpanan Sukarela Berjangka'!K:K)</f>
        <v>0</v>
      </c>
      <c r="J603" s="4">
        <f t="shared" si="9"/>
        <v>99999.521166530321</v>
      </c>
      <c r="K603" s="35" t="s">
        <v>1576</v>
      </c>
    </row>
    <row r="604" spans="1:11" ht="15.5" x14ac:dyDescent="0.35">
      <c r="A604" s="5">
        <v>602</v>
      </c>
      <c r="B604" s="6" t="s">
        <v>1296</v>
      </c>
      <c r="C604" s="7" t="s">
        <v>1297</v>
      </c>
      <c r="D604" s="8" t="s">
        <v>136</v>
      </c>
      <c r="E604" s="8">
        <f>SUMIF('Simpanan Wajib'!C:C,'All Simpanan '!C:C,'Simpanan Wajib'!E:E)</f>
        <v>0</v>
      </c>
      <c r="F604" s="4">
        <f>SUMIF('Simpanan Pokok'!C:C,'All Simpanan '!C:C,'Simpanan Pokok'!E:E)</f>
        <v>0</v>
      </c>
      <c r="G604" s="4">
        <f>SUMIF('Simpanan Khusus'!C:C,'All Simpanan '!C:C,'Simpanan Khusus'!E:E)</f>
        <v>0</v>
      </c>
      <c r="H604" s="4">
        <f>SUMIF('Simpanan Sukarela'!C:C,'All Simpanan '!C:C,'Simpanan Sukarela'!E:E)</f>
        <v>30328</v>
      </c>
      <c r="I604" s="4">
        <f>SUMIF('Simpanan Sukarela Berjangka'!B:B,'All Simpanan '!C:C,'Simpanan Sukarela Berjangka'!K:K)</f>
        <v>0</v>
      </c>
      <c r="J604" s="4">
        <f t="shared" si="9"/>
        <v>30328</v>
      </c>
      <c r="K604" s="35" t="s">
        <v>1578</v>
      </c>
    </row>
    <row r="605" spans="1:11" ht="15.5" x14ac:dyDescent="0.35">
      <c r="A605" s="5">
        <v>603</v>
      </c>
      <c r="B605" s="6" t="s">
        <v>1298</v>
      </c>
      <c r="C605" s="7" t="s">
        <v>1299</v>
      </c>
      <c r="D605" s="8" t="s">
        <v>136</v>
      </c>
      <c r="E605" s="8">
        <f>SUMIF('Simpanan Wajib'!C:C,'All Simpanan '!C:C,'Simpanan Wajib'!E:E)</f>
        <v>0</v>
      </c>
      <c r="F605" s="4">
        <f>SUMIF('Simpanan Pokok'!C:C,'All Simpanan '!C:C,'Simpanan Pokok'!E:E)</f>
        <v>0</v>
      </c>
      <c r="G605" s="4">
        <f>SUMIF('Simpanan Khusus'!C:C,'All Simpanan '!C:C,'Simpanan Khusus'!E:E)</f>
        <v>0</v>
      </c>
      <c r="H605" s="4">
        <f>SUMIF('Simpanan Sukarela'!C:C,'All Simpanan '!C:C,'Simpanan Sukarela'!E:E)</f>
        <v>21717.488739338529</v>
      </c>
      <c r="I605" s="4">
        <f>SUMIF('Simpanan Sukarela Berjangka'!B:B,'All Simpanan '!C:C,'Simpanan Sukarela Berjangka'!K:K)</f>
        <v>0</v>
      </c>
      <c r="J605" s="4">
        <f t="shared" si="9"/>
        <v>21717.488739338529</v>
      </c>
      <c r="K605" s="35" t="s">
        <v>1578</v>
      </c>
    </row>
    <row r="606" spans="1:11" ht="15.5" x14ac:dyDescent="0.35">
      <c r="A606" s="5">
        <v>604</v>
      </c>
      <c r="B606" s="6" t="s">
        <v>1300</v>
      </c>
      <c r="C606" s="7" t="s">
        <v>1301</v>
      </c>
      <c r="D606" s="8" t="s">
        <v>136</v>
      </c>
      <c r="E606" s="8">
        <f>SUMIF('Simpanan Wajib'!C:C,'All Simpanan '!C:C,'Simpanan Wajib'!E:E)</f>
        <v>2400000</v>
      </c>
      <c r="F606" s="4">
        <f>SUMIF('Simpanan Pokok'!C:C,'All Simpanan '!C:C,'Simpanan Pokok'!E:E)</f>
        <v>200000</v>
      </c>
      <c r="G606" s="4">
        <f>SUMIF('Simpanan Khusus'!C:C,'All Simpanan '!C:C,'Simpanan Khusus'!E:E)</f>
        <v>0</v>
      </c>
      <c r="H606" s="4">
        <f>SUMIF('Simpanan Sukarela'!C:C,'All Simpanan '!C:C,'Simpanan Sukarela'!E:E)</f>
        <v>392833.17728229426</v>
      </c>
      <c r="I606" s="4">
        <f>SUMIF('Simpanan Sukarela Berjangka'!B:B,'All Simpanan '!C:C,'Simpanan Sukarela Berjangka'!K:K)</f>
        <v>0</v>
      </c>
      <c r="J606" s="4">
        <f t="shared" si="9"/>
        <v>2992833.1772822943</v>
      </c>
      <c r="K606" s="35" t="s">
        <v>1578</v>
      </c>
    </row>
    <row r="607" spans="1:11" ht="15.5" x14ac:dyDescent="0.35">
      <c r="A607" s="5">
        <v>605</v>
      </c>
      <c r="B607" s="6" t="s">
        <v>1302</v>
      </c>
      <c r="C607" s="7" t="s">
        <v>1303</v>
      </c>
      <c r="D607" s="8" t="s">
        <v>169</v>
      </c>
      <c r="E607" s="8">
        <f>SUMIF('Simpanan Wajib'!C:C,'All Simpanan '!C:C,'Simpanan Wajib'!E:E)</f>
        <v>-100000</v>
      </c>
      <c r="F607" s="4">
        <f>SUMIF('Simpanan Pokok'!C:C,'All Simpanan '!C:C,'Simpanan Pokok'!E:E)</f>
        <v>0</v>
      </c>
      <c r="G607" s="4">
        <f>SUMIF('Simpanan Khusus'!C:C,'All Simpanan '!C:C,'Simpanan Khusus'!E:E)</f>
        <v>0</v>
      </c>
      <c r="H607" s="4">
        <f>SUMIF('Simpanan Sukarela'!C:C,'All Simpanan '!C:C,'Simpanan Sukarela'!E:E)</f>
        <v>152987.48873933847</v>
      </c>
      <c r="I607" s="4">
        <f>SUMIF('Simpanan Sukarela Berjangka'!B:B,'All Simpanan '!C:C,'Simpanan Sukarela Berjangka'!K:K)</f>
        <v>0</v>
      </c>
      <c r="J607" s="4">
        <f t="shared" si="9"/>
        <v>52987.488739338471</v>
      </c>
      <c r="K607" s="35" t="s">
        <v>1576</v>
      </c>
    </row>
    <row r="608" spans="1:11" ht="15.5" x14ac:dyDescent="0.35">
      <c r="A608" s="5">
        <v>606</v>
      </c>
      <c r="B608" s="6" t="s">
        <v>1304</v>
      </c>
      <c r="C608" s="7" t="s">
        <v>1305</v>
      </c>
      <c r="D608" s="8" t="s">
        <v>136</v>
      </c>
      <c r="E608" s="8">
        <f>SUMIF('Simpanan Wajib'!C:C,'All Simpanan '!C:C,'Simpanan Wajib'!E:E)</f>
        <v>0</v>
      </c>
      <c r="F608" s="4">
        <f>SUMIF('Simpanan Pokok'!C:C,'All Simpanan '!C:C,'Simpanan Pokok'!E:E)</f>
        <v>0</v>
      </c>
      <c r="G608" s="4">
        <f>SUMIF('Simpanan Khusus'!C:C,'All Simpanan '!C:C,'Simpanan Khusus'!E:E)</f>
        <v>0</v>
      </c>
      <c r="H608" s="4">
        <f>SUMIF('Simpanan Sukarela'!C:C,'All Simpanan '!C:C,'Simpanan Sukarela'!E:E)</f>
        <v>0</v>
      </c>
      <c r="I608" s="4">
        <f>SUMIF('Simpanan Sukarela Berjangka'!B:B,'All Simpanan '!C:C,'Simpanan Sukarela Berjangka'!K:K)</f>
        <v>0</v>
      </c>
      <c r="J608" s="4">
        <f t="shared" si="9"/>
        <v>0</v>
      </c>
      <c r="K608" s="35" t="s">
        <v>1579</v>
      </c>
    </row>
    <row r="609" spans="1:11" ht="15.5" x14ac:dyDescent="0.35">
      <c r="A609" s="5">
        <v>607</v>
      </c>
      <c r="B609" s="6" t="s">
        <v>1306</v>
      </c>
      <c r="C609" s="7" t="s">
        <v>1307</v>
      </c>
      <c r="D609" s="8" t="s">
        <v>136</v>
      </c>
      <c r="E609" s="8">
        <f>SUMIF('Simpanan Wajib'!C:C,'All Simpanan '!C:C,'Simpanan Wajib'!E:E)</f>
        <v>9800000</v>
      </c>
      <c r="F609" s="4">
        <f>SUMIF('Simpanan Pokok'!C:C,'All Simpanan '!C:C,'Simpanan Pokok'!E:E)</f>
        <v>200000</v>
      </c>
      <c r="G609" s="4">
        <f>SUMIF('Simpanan Khusus'!C:C,'All Simpanan '!C:C,'Simpanan Khusus'!E:E)</f>
        <v>150000</v>
      </c>
      <c r="H609" s="4">
        <f>SUMIF('Simpanan Sukarela'!C:C,'All Simpanan '!C:C,'Simpanan Sukarela'!E:E)</f>
        <v>967539.18411382718</v>
      </c>
      <c r="I609" s="4">
        <f>SUMIF('Simpanan Sukarela Berjangka'!B:B,'All Simpanan '!C:C,'Simpanan Sukarela Berjangka'!K:K)</f>
        <v>0</v>
      </c>
      <c r="J609" s="4">
        <f t="shared" si="9"/>
        <v>11117539.184113827</v>
      </c>
      <c r="K609" s="35" t="s">
        <v>1579</v>
      </c>
    </row>
    <row r="610" spans="1:11" ht="15.5" x14ac:dyDescent="0.35">
      <c r="A610" s="5">
        <v>608</v>
      </c>
      <c r="B610" s="6" t="s">
        <v>1308</v>
      </c>
      <c r="C610" s="7" t="s">
        <v>1309</v>
      </c>
      <c r="D610" s="8" t="s">
        <v>19</v>
      </c>
      <c r="E610" s="8">
        <f>SUMIF('Simpanan Wajib'!C:C,'All Simpanan '!C:C,'Simpanan Wajib'!E:E)</f>
        <v>0</v>
      </c>
      <c r="F610" s="4">
        <f>SUMIF('Simpanan Pokok'!C:C,'All Simpanan '!C:C,'Simpanan Pokok'!E:E)</f>
        <v>0</v>
      </c>
      <c r="G610" s="4">
        <f>SUMIF('Simpanan Khusus'!C:C,'All Simpanan '!C:C,'Simpanan Khusus'!E:E)</f>
        <v>0</v>
      </c>
      <c r="H610" s="4">
        <f>SUMIF('Simpanan Sukarela'!C:C,'All Simpanan '!C:C,'Simpanan Sukarela'!E:E)</f>
        <v>0</v>
      </c>
      <c r="I610" s="4">
        <f>SUMIF('Simpanan Sukarela Berjangka'!B:B,'All Simpanan '!C:C,'Simpanan Sukarela Berjangka'!K:K)</f>
        <v>0</v>
      </c>
      <c r="J610" s="4">
        <f t="shared" si="9"/>
        <v>0</v>
      </c>
      <c r="K610" s="35" t="s">
        <v>1579</v>
      </c>
    </row>
    <row r="611" spans="1:11" ht="15.5" x14ac:dyDescent="0.35">
      <c r="A611" s="5">
        <v>609</v>
      </c>
      <c r="B611" s="6" t="s">
        <v>1310</v>
      </c>
      <c r="C611" s="7" t="s">
        <v>1311</v>
      </c>
      <c r="D611" s="8" t="s">
        <v>136</v>
      </c>
      <c r="E611" s="8">
        <f>SUMIF('Simpanan Wajib'!C:C,'All Simpanan '!C:C,'Simpanan Wajib'!E:E)</f>
        <v>0</v>
      </c>
      <c r="F611" s="4">
        <f>SUMIF('Simpanan Pokok'!C:C,'All Simpanan '!C:C,'Simpanan Pokok'!E:E)</f>
        <v>0</v>
      </c>
      <c r="G611" s="4">
        <f>SUMIF('Simpanan Khusus'!C:C,'All Simpanan '!C:C,'Simpanan Khusus'!E:E)</f>
        <v>0</v>
      </c>
      <c r="H611" s="4">
        <f>SUMIF('Simpanan Sukarela'!C:C,'All Simpanan '!C:C,'Simpanan Sukarela'!E:E)</f>
        <v>0</v>
      </c>
      <c r="I611" s="4">
        <f>SUMIF('Simpanan Sukarela Berjangka'!B:B,'All Simpanan '!C:C,'Simpanan Sukarela Berjangka'!K:K)</f>
        <v>0</v>
      </c>
      <c r="J611" s="4">
        <f t="shared" si="9"/>
        <v>0</v>
      </c>
      <c r="K611" s="35" t="s">
        <v>1579</v>
      </c>
    </row>
    <row r="612" spans="1:11" ht="15.5" x14ac:dyDescent="0.35">
      <c r="A612" s="5">
        <v>610</v>
      </c>
      <c r="B612" s="6" t="s">
        <v>1312</v>
      </c>
      <c r="C612" s="7" t="s">
        <v>1313</v>
      </c>
      <c r="D612" s="8" t="s">
        <v>72</v>
      </c>
      <c r="E612" s="8">
        <f>SUMIF('Simpanan Wajib'!C:C,'All Simpanan '!C:C,'Simpanan Wajib'!E:E)</f>
        <v>0</v>
      </c>
      <c r="F612" s="4">
        <f>SUMIF('Simpanan Pokok'!C:C,'All Simpanan '!C:C,'Simpanan Pokok'!E:E)</f>
        <v>0</v>
      </c>
      <c r="G612" s="4">
        <f>SUMIF('Simpanan Khusus'!C:C,'All Simpanan '!C:C,'Simpanan Khusus'!E:E)</f>
        <v>0</v>
      </c>
      <c r="H612" s="4">
        <f>SUMIF('Simpanan Sukarela'!C:C,'All Simpanan '!C:C,'Simpanan Sukarela'!E:E)</f>
        <v>0</v>
      </c>
      <c r="I612" s="4">
        <f>SUMIF('Simpanan Sukarela Berjangka'!B:B,'All Simpanan '!C:C,'Simpanan Sukarela Berjangka'!K:K)</f>
        <v>0</v>
      </c>
      <c r="J612" s="4">
        <f t="shared" si="9"/>
        <v>0</v>
      </c>
      <c r="K612" s="35" t="s">
        <v>1579</v>
      </c>
    </row>
    <row r="613" spans="1:11" ht="15.5" x14ac:dyDescent="0.35">
      <c r="A613" s="5">
        <v>611</v>
      </c>
      <c r="B613" s="6" t="s">
        <v>1314</v>
      </c>
      <c r="C613" s="7" t="s">
        <v>1315</v>
      </c>
      <c r="D613" s="8" t="s">
        <v>77</v>
      </c>
      <c r="E613" s="8">
        <f>SUMIF('Simpanan Wajib'!C:C,'All Simpanan '!C:C,'Simpanan Wajib'!E:E)</f>
        <v>0</v>
      </c>
      <c r="F613" s="4">
        <f>SUMIF('Simpanan Pokok'!C:C,'All Simpanan '!C:C,'Simpanan Pokok'!E:E)</f>
        <v>0</v>
      </c>
      <c r="G613" s="4">
        <f>SUMIF('Simpanan Khusus'!C:C,'All Simpanan '!C:C,'Simpanan Khusus'!E:E)</f>
        <v>0</v>
      </c>
      <c r="H613" s="4">
        <f>SUMIF('Simpanan Sukarela'!C:C,'All Simpanan '!C:C,'Simpanan Sukarela'!E:E)</f>
        <v>0</v>
      </c>
      <c r="I613" s="4">
        <f>SUMIF('Simpanan Sukarela Berjangka'!B:B,'All Simpanan '!C:C,'Simpanan Sukarela Berjangka'!K:K)</f>
        <v>0</v>
      </c>
      <c r="J613" s="4">
        <f t="shared" si="9"/>
        <v>0</v>
      </c>
      <c r="K613" s="35" t="s">
        <v>1579</v>
      </c>
    </row>
    <row r="614" spans="1:11" ht="15.5" x14ac:dyDescent="0.35">
      <c r="A614" s="5">
        <v>612</v>
      </c>
      <c r="B614" s="6" t="s">
        <v>1316</v>
      </c>
      <c r="C614" s="7" t="s">
        <v>1317</v>
      </c>
      <c r="D614" s="8" t="s">
        <v>136</v>
      </c>
      <c r="E614" s="8">
        <f>SUMIF('Simpanan Wajib'!C:C,'All Simpanan '!C:C,'Simpanan Wajib'!E:E)</f>
        <v>22100000</v>
      </c>
      <c r="F614" s="4">
        <f>SUMIF('Simpanan Pokok'!C:C,'All Simpanan '!C:C,'Simpanan Pokok'!E:E)</f>
        <v>0</v>
      </c>
      <c r="G614" s="4">
        <f>SUMIF('Simpanan Khusus'!C:C,'All Simpanan '!C:C,'Simpanan Khusus'!E:E)</f>
        <v>250000</v>
      </c>
      <c r="H614" s="4">
        <f>SUMIF('Simpanan Sukarela'!C:C,'All Simpanan '!C:C,'Simpanan Sukarela'!E:E)</f>
        <v>1137647.0388451777</v>
      </c>
      <c r="I614" s="4">
        <f>SUMIF('Simpanan Sukarela Berjangka'!B:B,'All Simpanan '!C:C,'Simpanan Sukarela Berjangka'!K:K)</f>
        <v>0</v>
      </c>
      <c r="J614" s="4">
        <f t="shared" si="9"/>
        <v>23487647.038845178</v>
      </c>
      <c r="K614" s="35" t="s">
        <v>1579</v>
      </c>
    </row>
    <row r="615" spans="1:11" ht="15.5" x14ac:dyDescent="0.35">
      <c r="A615" s="5">
        <v>613</v>
      </c>
      <c r="B615" s="6" t="s">
        <v>1318</v>
      </c>
      <c r="C615" s="7" t="s">
        <v>1319</v>
      </c>
      <c r="D615" s="8" t="s">
        <v>367</v>
      </c>
      <c r="E615" s="8">
        <f>SUMIF('Simpanan Wajib'!C:C,'All Simpanan '!C:C,'Simpanan Wajib'!E:E)</f>
        <v>0</v>
      </c>
      <c r="F615" s="4">
        <f>SUMIF('Simpanan Pokok'!C:C,'All Simpanan '!C:C,'Simpanan Pokok'!E:E)</f>
        <v>0</v>
      </c>
      <c r="G615" s="4">
        <f>SUMIF('Simpanan Khusus'!C:C,'All Simpanan '!C:C,'Simpanan Khusus'!E:E)</f>
        <v>0</v>
      </c>
      <c r="H615" s="4">
        <f>SUMIF('Simpanan Sukarela'!C:C,'All Simpanan '!C:C,'Simpanan Sukarela'!E:E)</f>
        <v>0</v>
      </c>
      <c r="I615" s="4">
        <f>SUMIF('Simpanan Sukarela Berjangka'!B:B,'All Simpanan '!C:C,'Simpanan Sukarela Berjangka'!K:K)</f>
        <v>0</v>
      </c>
      <c r="J615" s="4">
        <f t="shared" si="9"/>
        <v>0</v>
      </c>
      <c r="K615" s="35" t="s">
        <v>1576</v>
      </c>
    </row>
    <row r="616" spans="1:11" ht="15.5" x14ac:dyDescent="0.35">
      <c r="A616" s="5">
        <v>614</v>
      </c>
      <c r="B616" s="6" t="s">
        <v>1320</v>
      </c>
      <c r="C616" s="7" t="s">
        <v>1321</v>
      </c>
      <c r="D616" s="8" t="s">
        <v>41</v>
      </c>
      <c r="E616" s="8">
        <f>SUMIF('Simpanan Wajib'!C:C,'All Simpanan '!C:C,'Simpanan Wajib'!E:E)</f>
        <v>0</v>
      </c>
      <c r="F616" s="4">
        <f>SUMIF('Simpanan Pokok'!C:C,'All Simpanan '!C:C,'Simpanan Pokok'!E:E)</f>
        <v>0</v>
      </c>
      <c r="G616" s="4">
        <f>SUMIF('Simpanan Khusus'!C:C,'All Simpanan '!C:C,'Simpanan Khusus'!E:E)</f>
        <v>0</v>
      </c>
      <c r="H616" s="4">
        <f>SUMIF('Simpanan Sukarela'!C:C,'All Simpanan '!C:C,'Simpanan Sukarela'!E:E)</f>
        <v>0</v>
      </c>
      <c r="I616" s="4">
        <f>SUMIF('Simpanan Sukarela Berjangka'!B:B,'All Simpanan '!C:C,'Simpanan Sukarela Berjangka'!K:K)</f>
        <v>0</v>
      </c>
      <c r="J616" s="4">
        <f t="shared" si="9"/>
        <v>0</v>
      </c>
      <c r="K616" s="35" t="s">
        <v>1578</v>
      </c>
    </row>
    <row r="617" spans="1:11" ht="15.5" x14ac:dyDescent="0.35">
      <c r="A617" s="5">
        <v>615</v>
      </c>
      <c r="B617" s="6" t="s">
        <v>1322</v>
      </c>
      <c r="C617" s="7" t="s">
        <v>1323</v>
      </c>
      <c r="D617" s="8" t="s">
        <v>131</v>
      </c>
      <c r="E617" s="8">
        <f>SUMIF('Simpanan Wajib'!C:C,'All Simpanan '!C:C,'Simpanan Wajib'!E:E)</f>
        <v>0</v>
      </c>
      <c r="F617" s="4">
        <f>SUMIF('Simpanan Pokok'!C:C,'All Simpanan '!C:C,'Simpanan Pokok'!E:E)</f>
        <v>0</v>
      </c>
      <c r="G617" s="4">
        <f>SUMIF('Simpanan Khusus'!C:C,'All Simpanan '!C:C,'Simpanan Khusus'!E:E)</f>
        <v>0</v>
      </c>
      <c r="H617" s="4">
        <f>SUMIF('Simpanan Sukarela'!C:C,'All Simpanan '!C:C,'Simpanan Sukarela'!E:E)</f>
        <v>0</v>
      </c>
      <c r="I617" s="4">
        <f>SUMIF('Simpanan Sukarela Berjangka'!B:B,'All Simpanan '!C:C,'Simpanan Sukarela Berjangka'!K:K)</f>
        <v>0</v>
      </c>
      <c r="J617" s="4">
        <f t="shared" si="9"/>
        <v>0</v>
      </c>
      <c r="K617" s="35" t="s">
        <v>1578</v>
      </c>
    </row>
    <row r="618" spans="1:11" ht="15.5" x14ac:dyDescent="0.35">
      <c r="A618" s="5">
        <v>616</v>
      </c>
      <c r="B618" s="6" t="s">
        <v>1324</v>
      </c>
      <c r="C618" s="7" t="s">
        <v>1325</v>
      </c>
      <c r="D618" s="8" t="s">
        <v>41</v>
      </c>
      <c r="E618" s="8">
        <f>SUMIF('Simpanan Wajib'!C:C,'All Simpanan '!C:C,'Simpanan Wajib'!E:E)</f>
        <v>0</v>
      </c>
      <c r="F618" s="4">
        <f>SUMIF('Simpanan Pokok'!C:C,'All Simpanan '!C:C,'Simpanan Pokok'!E:E)</f>
        <v>0</v>
      </c>
      <c r="G618" s="4">
        <f>SUMIF('Simpanan Khusus'!C:C,'All Simpanan '!C:C,'Simpanan Khusus'!E:E)</f>
        <v>0</v>
      </c>
      <c r="H618" s="4">
        <f>SUMIF('Simpanan Sukarela'!C:C,'All Simpanan '!C:C,'Simpanan Sukarela'!E:E)</f>
        <v>0</v>
      </c>
      <c r="I618" s="4">
        <f>SUMIF('Simpanan Sukarela Berjangka'!B:B,'All Simpanan '!C:C,'Simpanan Sukarela Berjangka'!K:K)</f>
        <v>0</v>
      </c>
      <c r="J618" s="4">
        <f t="shared" si="9"/>
        <v>0</v>
      </c>
      <c r="K618" s="35" t="s">
        <v>1576</v>
      </c>
    </row>
    <row r="619" spans="1:11" ht="15.5" x14ac:dyDescent="0.35">
      <c r="A619" s="5">
        <v>617</v>
      </c>
      <c r="B619" s="6" t="s">
        <v>1326</v>
      </c>
      <c r="C619" s="7" t="s">
        <v>1327</v>
      </c>
      <c r="D619" s="8" t="s">
        <v>367</v>
      </c>
      <c r="E619" s="8">
        <f>SUMIF('Simpanan Wajib'!C:C,'All Simpanan '!C:C,'Simpanan Wajib'!E:E)</f>
        <v>0</v>
      </c>
      <c r="F619" s="4">
        <f>SUMIF('Simpanan Pokok'!C:C,'All Simpanan '!C:C,'Simpanan Pokok'!E:E)</f>
        <v>0</v>
      </c>
      <c r="G619" s="4">
        <f>SUMIF('Simpanan Khusus'!C:C,'All Simpanan '!C:C,'Simpanan Khusus'!E:E)</f>
        <v>0</v>
      </c>
      <c r="H619" s="4">
        <f>SUMIF('Simpanan Sukarela'!C:C,'All Simpanan '!C:C,'Simpanan Sukarela'!E:E)</f>
        <v>0</v>
      </c>
      <c r="I619" s="4">
        <f>SUMIF('Simpanan Sukarela Berjangka'!B:B,'All Simpanan '!C:C,'Simpanan Sukarela Berjangka'!K:K)</f>
        <v>0</v>
      </c>
      <c r="J619" s="4">
        <f t="shared" si="9"/>
        <v>0</v>
      </c>
      <c r="K619" s="35" t="s">
        <v>1576</v>
      </c>
    </row>
    <row r="620" spans="1:11" ht="15.5" x14ac:dyDescent="0.35">
      <c r="A620" s="5">
        <v>618</v>
      </c>
      <c r="B620" s="6" t="s">
        <v>1328</v>
      </c>
      <c r="C620" s="7" t="s">
        <v>1329</v>
      </c>
      <c r="D620" s="8" t="s">
        <v>367</v>
      </c>
      <c r="E620" s="8">
        <f>SUMIF('Simpanan Wajib'!C:C,'All Simpanan '!C:C,'Simpanan Wajib'!E:E)</f>
        <v>0</v>
      </c>
      <c r="F620" s="4">
        <f>SUMIF('Simpanan Pokok'!C:C,'All Simpanan '!C:C,'Simpanan Pokok'!E:E)</f>
        <v>0</v>
      </c>
      <c r="G620" s="4">
        <f>SUMIF('Simpanan Khusus'!C:C,'All Simpanan '!C:C,'Simpanan Khusus'!E:E)</f>
        <v>0</v>
      </c>
      <c r="H620" s="4">
        <f>SUMIF('Simpanan Sukarela'!C:C,'All Simpanan '!C:C,'Simpanan Sukarela'!E:E)</f>
        <v>0</v>
      </c>
      <c r="I620" s="4">
        <f>SUMIF('Simpanan Sukarela Berjangka'!B:B,'All Simpanan '!C:C,'Simpanan Sukarela Berjangka'!K:K)</f>
        <v>0</v>
      </c>
      <c r="J620" s="4">
        <f t="shared" si="9"/>
        <v>0</v>
      </c>
      <c r="K620" s="35" t="s">
        <v>1576</v>
      </c>
    </row>
    <row r="621" spans="1:11" ht="15.5" x14ac:dyDescent="0.35">
      <c r="A621" s="5">
        <v>619</v>
      </c>
      <c r="B621" s="6" t="s">
        <v>1330</v>
      </c>
      <c r="C621" s="7" t="s">
        <v>1331</v>
      </c>
      <c r="D621" s="8" t="s">
        <v>49</v>
      </c>
      <c r="E621" s="8">
        <f>SUMIF('Simpanan Wajib'!C:C,'All Simpanan '!C:C,'Simpanan Wajib'!E:E)</f>
        <v>0</v>
      </c>
      <c r="F621" s="4">
        <f>SUMIF('Simpanan Pokok'!C:C,'All Simpanan '!C:C,'Simpanan Pokok'!E:E)</f>
        <v>0</v>
      </c>
      <c r="G621" s="4">
        <f>SUMIF('Simpanan Khusus'!C:C,'All Simpanan '!C:C,'Simpanan Khusus'!E:E)</f>
        <v>-100000</v>
      </c>
      <c r="H621" s="4">
        <f>SUMIF('Simpanan Sukarela'!C:C,'All Simpanan '!C:C,'Simpanan Sukarela'!E:E)</f>
        <v>-4103</v>
      </c>
      <c r="I621" s="4">
        <f>SUMIF('Simpanan Sukarela Berjangka'!B:B,'All Simpanan '!C:C,'Simpanan Sukarela Berjangka'!K:K)</f>
        <v>0</v>
      </c>
      <c r="J621" s="4">
        <f t="shared" si="9"/>
        <v>-104103</v>
      </c>
      <c r="K621" s="35" t="s">
        <v>1578</v>
      </c>
    </row>
    <row r="622" spans="1:11" ht="15.5" x14ac:dyDescent="0.35">
      <c r="A622" s="5">
        <v>620</v>
      </c>
      <c r="B622" s="6" t="s">
        <v>1332</v>
      </c>
      <c r="C622" s="7" t="s">
        <v>1333</v>
      </c>
      <c r="D622" s="8" t="s">
        <v>49</v>
      </c>
      <c r="E622" s="8">
        <f>SUMIF('Simpanan Wajib'!C:C,'All Simpanan '!C:C,'Simpanan Wajib'!E:E)</f>
        <v>0</v>
      </c>
      <c r="F622" s="4">
        <f>SUMIF('Simpanan Pokok'!C:C,'All Simpanan '!C:C,'Simpanan Pokok'!E:E)</f>
        <v>50000</v>
      </c>
      <c r="G622" s="4">
        <f>SUMIF('Simpanan Khusus'!C:C,'All Simpanan '!C:C,'Simpanan Khusus'!E:E)</f>
        <v>0</v>
      </c>
      <c r="H622" s="4">
        <f>SUMIF('Simpanan Sukarela'!C:C,'All Simpanan '!C:C,'Simpanan Sukarela'!E:E)</f>
        <v>2052</v>
      </c>
      <c r="I622" s="4">
        <f>SUMIF('Simpanan Sukarela Berjangka'!B:B,'All Simpanan '!C:C,'Simpanan Sukarela Berjangka'!K:K)</f>
        <v>0</v>
      </c>
      <c r="J622" s="4">
        <f t="shared" si="9"/>
        <v>52052</v>
      </c>
      <c r="K622" s="35" t="s">
        <v>1578</v>
      </c>
    </row>
    <row r="623" spans="1:11" ht="15.5" x14ac:dyDescent="0.35">
      <c r="A623" s="5">
        <v>621</v>
      </c>
      <c r="B623" s="6" t="s">
        <v>1334</v>
      </c>
      <c r="C623" s="7" t="s">
        <v>1335</v>
      </c>
      <c r="D623" s="8" t="s">
        <v>49</v>
      </c>
      <c r="E623" s="8">
        <f>SUMIF('Simpanan Wajib'!C:C,'All Simpanan '!C:C,'Simpanan Wajib'!E:E)</f>
        <v>-100000</v>
      </c>
      <c r="F623" s="4">
        <f>SUMIF('Simpanan Pokok'!C:C,'All Simpanan '!C:C,'Simpanan Pokok'!E:E)</f>
        <v>0</v>
      </c>
      <c r="G623" s="4">
        <f>SUMIF('Simpanan Khusus'!C:C,'All Simpanan '!C:C,'Simpanan Khusus'!E:E)</f>
        <v>0</v>
      </c>
      <c r="H623" s="4">
        <f>SUMIF('Simpanan Sukarela'!C:C,'All Simpanan '!C:C,'Simpanan Sukarela'!E:E)</f>
        <v>-4103</v>
      </c>
      <c r="I623" s="4">
        <f>SUMIF('Simpanan Sukarela Berjangka'!B:B,'All Simpanan '!C:C,'Simpanan Sukarela Berjangka'!K:K)</f>
        <v>0</v>
      </c>
      <c r="J623" s="4">
        <f t="shared" si="9"/>
        <v>-104103</v>
      </c>
      <c r="K623" s="35" t="s">
        <v>1578</v>
      </c>
    </row>
    <row r="624" spans="1:11" ht="15.5" x14ac:dyDescent="0.35">
      <c r="A624" s="5">
        <v>622</v>
      </c>
      <c r="B624" s="6" t="s">
        <v>1336</v>
      </c>
      <c r="C624" s="7" t="s">
        <v>1337</v>
      </c>
      <c r="D624" s="8" t="s">
        <v>113</v>
      </c>
      <c r="E624" s="8">
        <f>SUMIF('Simpanan Wajib'!C:C,'All Simpanan '!C:C,'Simpanan Wajib'!E:E)</f>
        <v>2150000</v>
      </c>
      <c r="F624" s="4">
        <f>SUMIF('Simpanan Pokok'!C:C,'All Simpanan '!C:C,'Simpanan Pokok'!E:E)</f>
        <v>0</v>
      </c>
      <c r="G624" s="4">
        <f>SUMIF('Simpanan Khusus'!C:C,'All Simpanan '!C:C,'Simpanan Khusus'!E:E)</f>
        <v>0</v>
      </c>
      <c r="H624" s="4">
        <f>SUMIF('Simpanan Sukarela'!C:C,'All Simpanan '!C:C,'Simpanan Sukarela'!E:E)</f>
        <v>321584.31671278446</v>
      </c>
      <c r="I624" s="4">
        <f>SUMIF('Simpanan Sukarela Berjangka'!B:B,'All Simpanan '!C:C,'Simpanan Sukarela Berjangka'!K:K)</f>
        <v>0</v>
      </c>
      <c r="J624" s="4">
        <f t="shared" si="9"/>
        <v>2471584.3167127846</v>
      </c>
      <c r="K624" s="35" t="s">
        <v>1578</v>
      </c>
    </row>
    <row r="625" spans="1:11" ht="15.5" x14ac:dyDescent="0.35">
      <c r="A625" s="5">
        <v>623</v>
      </c>
      <c r="B625" s="6" t="s">
        <v>1338</v>
      </c>
      <c r="C625" s="7" t="s">
        <v>1339</v>
      </c>
      <c r="D625" s="8" t="s">
        <v>136</v>
      </c>
      <c r="E625" s="8">
        <f>SUMIF('Simpanan Wajib'!C:C,'All Simpanan '!C:C,'Simpanan Wajib'!E:E)</f>
        <v>400000</v>
      </c>
      <c r="F625" s="4">
        <f>SUMIF('Simpanan Pokok'!C:C,'All Simpanan '!C:C,'Simpanan Pokok'!E:E)</f>
        <v>200000</v>
      </c>
      <c r="G625" s="4">
        <f>SUMIF('Simpanan Khusus'!C:C,'All Simpanan '!C:C,'Simpanan Khusus'!E:E)</f>
        <v>0</v>
      </c>
      <c r="H625" s="4">
        <f>SUMIF('Simpanan Sukarela'!C:C,'All Simpanan '!C:C,'Simpanan Sukarela'!E:E)</f>
        <v>137069.93782773582</v>
      </c>
      <c r="I625" s="4">
        <f>SUMIF('Simpanan Sukarela Berjangka'!B:B,'All Simpanan '!C:C,'Simpanan Sukarela Berjangka'!K:K)</f>
        <v>0</v>
      </c>
      <c r="J625" s="4">
        <f t="shared" si="9"/>
        <v>737069.93782773579</v>
      </c>
      <c r="K625" s="35" t="s">
        <v>1578</v>
      </c>
    </row>
    <row r="626" spans="1:11" ht="15.5" x14ac:dyDescent="0.35">
      <c r="A626" s="5">
        <v>624</v>
      </c>
      <c r="B626" s="6" t="s">
        <v>1340</v>
      </c>
      <c r="C626" s="7" t="s">
        <v>1341</v>
      </c>
      <c r="D626" s="8" t="s">
        <v>136</v>
      </c>
      <c r="E626" s="8">
        <f>SUMIF('Simpanan Wajib'!C:C,'All Simpanan '!C:C,'Simpanan Wajib'!E:E)</f>
        <v>0</v>
      </c>
      <c r="F626" s="4">
        <f>SUMIF('Simpanan Pokok'!C:C,'All Simpanan '!C:C,'Simpanan Pokok'!E:E)</f>
        <v>0</v>
      </c>
      <c r="G626" s="4">
        <f>SUMIF('Simpanan Khusus'!C:C,'All Simpanan '!C:C,'Simpanan Khusus'!E:E)</f>
        <v>0</v>
      </c>
      <c r="H626" s="4">
        <f>SUMIF('Simpanan Sukarela'!C:C,'All Simpanan '!C:C,'Simpanan Sukarela'!E:E)</f>
        <v>1084033.5387792753</v>
      </c>
      <c r="I626" s="4">
        <f>SUMIF('Simpanan Sukarela Berjangka'!B:B,'All Simpanan '!C:C,'Simpanan Sukarela Berjangka'!K:K)</f>
        <v>0</v>
      </c>
      <c r="J626" s="4">
        <f t="shared" si="9"/>
        <v>1084033.5387792753</v>
      </c>
      <c r="K626" s="35" t="s">
        <v>1579</v>
      </c>
    </row>
    <row r="627" spans="1:11" ht="15.5" x14ac:dyDescent="0.35">
      <c r="A627" s="5">
        <v>625</v>
      </c>
      <c r="B627" s="6" t="s">
        <v>1342</v>
      </c>
      <c r="C627" s="7" t="s">
        <v>1343</v>
      </c>
      <c r="D627" s="8" t="s">
        <v>136</v>
      </c>
      <c r="E627" s="8">
        <f>SUMIF('Simpanan Wajib'!C:C,'All Simpanan '!C:C,'Simpanan Wajib'!E:E)</f>
        <v>9700000</v>
      </c>
      <c r="F627" s="4">
        <f>SUMIF('Simpanan Pokok'!C:C,'All Simpanan '!C:C,'Simpanan Pokok'!E:E)</f>
        <v>200000</v>
      </c>
      <c r="G627" s="4">
        <f>SUMIF('Simpanan Khusus'!C:C,'All Simpanan '!C:C,'Simpanan Khusus'!E:E)</f>
        <v>550000</v>
      </c>
      <c r="H627" s="4">
        <f>SUMIF('Simpanan Sukarela'!C:C,'All Simpanan '!C:C,'Simpanan Sukarela'!E:E)</f>
        <v>971019.91355306306</v>
      </c>
      <c r="I627" s="4">
        <f>SUMIF('Simpanan Sukarela Berjangka'!B:B,'All Simpanan '!C:C,'Simpanan Sukarela Berjangka'!K:K)</f>
        <v>0</v>
      </c>
      <c r="J627" s="4">
        <f t="shared" si="9"/>
        <v>11421019.913553063</v>
      </c>
      <c r="K627" s="35" t="s">
        <v>1579</v>
      </c>
    </row>
    <row r="628" spans="1:11" ht="15.5" x14ac:dyDescent="0.35">
      <c r="A628" s="5">
        <v>626</v>
      </c>
      <c r="B628" s="6" t="s">
        <v>1344</v>
      </c>
      <c r="C628" s="7" t="s">
        <v>1345</v>
      </c>
      <c r="D628" s="8" t="s">
        <v>98</v>
      </c>
      <c r="E628" s="8">
        <f>SUMIF('Simpanan Wajib'!C:C,'All Simpanan '!C:C,'Simpanan Wajib'!E:E)</f>
        <v>0</v>
      </c>
      <c r="F628" s="4">
        <f>SUMIF('Simpanan Pokok'!C:C,'All Simpanan '!C:C,'Simpanan Pokok'!E:E)</f>
        <v>0</v>
      </c>
      <c r="G628" s="4">
        <f>SUMIF('Simpanan Khusus'!C:C,'All Simpanan '!C:C,'Simpanan Khusus'!E:E)</f>
        <v>0</v>
      </c>
      <c r="H628" s="4">
        <f>SUMIF('Simpanan Sukarela'!C:C,'All Simpanan '!C:C,'Simpanan Sukarela'!E:E)</f>
        <v>0</v>
      </c>
      <c r="I628" s="4">
        <f>SUMIF('Simpanan Sukarela Berjangka'!B:B,'All Simpanan '!C:C,'Simpanan Sukarela Berjangka'!K:K)</f>
        <v>0</v>
      </c>
      <c r="J628" s="4">
        <f t="shared" si="9"/>
        <v>0</v>
      </c>
      <c r="K628" s="35" t="s">
        <v>1579</v>
      </c>
    </row>
    <row r="629" spans="1:11" ht="15.5" x14ac:dyDescent="0.35">
      <c r="A629" s="5">
        <v>627</v>
      </c>
      <c r="B629" s="6" t="s">
        <v>1346</v>
      </c>
      <c r="C629" s="7" t="s">
        <v>1347</v>
      </c>
      <c r="D629" s="8" t="s">
        <v>324</v>
      </c>
      <c r="E629" s="8">
        <f>SUMIF('Simpanan Wajib'!C:C,'All Simpanan '!C:C,'Simpanan Wajib'!E:E)</f>
        <v>0</v>
      </c>
      <c r="F629" s="4">
        <f>SUMIF('Simpanan Pokok'!C:C,'All Simpanan '!C:C,'Simpanan Pokok'!E:E)</f>
        <v>0</v>
      </c>
      <c r="G629" s="4">
        <f>SUMIF('Simpanan Khusus'!C:C,'All Simpanan '!C:C,'Simpanan Khusus'!E:E)</f>
        <v>0</v>
      </c>
      <c r="H629" s="4">
        <f>SUMIF('Simpanan Sukarela'!C:C,'All Simpanan '!C:C,'Simpanan Sukarela'!E:E)</f>
        <v>0</v>
      </c>
      <c r="I629" s="4">
        <f>SUMIF('Simpanan Sukarela Berjangka'!B:B,'All Simpanan '!C:C,'Simpanan Sukarela Berjangka'!K:K)</f>
        <v>0</v>
      </c>
      <c r="J629" s="4">
        <f t="shared" si="9"/>
        <v>0</v>
      </c>
      <c r="K629" s="35" t="s">
        <v>1579</v>
      </c>
    </row>
    <row r="630" spans="1:11" ht="15.5" x14ac:dyDescent="0.35">
      <c r="A630" s="5">
        <v>628</v>
      </c>
      <c r="B630" s="6" t="s">
        <v>1348</v>
      </c>
      <c r="C630" s="7" t="s">
        <v>1349</v>
      </c>
      <c r="D630" s="8" t="s">
        <v>77</v>
      </c>
      <c r="E630" s="8">
        <f>SUMIF('Simpanan Wajib'!C:C,'All Simpanan '!C:C,'Simpanan Wajib'!E:E)</f>
        <v>0</v>
      </c>
      <c r="F630" s="4">
        <f>SUMIF('Simpanan Pokok'!C:C,'All Simpanan '!C:C,'Simpanan Pokok'!E:E)</f>
        <v>0</v>
      </c>
      <c r="G630" s="4">
        <f>SUMIF('Simpanan Khusus'!C:C,'All Simpanan '!C:C,'Simpanan Khusus'!E:E)</f>
        <v>0</v>
      </c>
      <c r="H630" s="4">
        <f>SUMIF('Simpanan Sukarela'!C:C,'All Simpanan '!C:C,'Simpanan Sukarela'!E:E)</f>
        <v>0</v>
      </c>
      <c r="I630" s="4">
        <f>SUMIF('Simpanan Sukarela Berjangka'!B:B,'All Simpanan '!C:C,'Simpanan Sukarela Berjangka'!K:K)</f>
        <v>0</v>
      </c>
      <c r="J630" s="4">
        <f t="shared" si="9"/>
        <v>0</v>
      </c>
      <c r="K630" s="35" t="s">
        <v>1579</v>
      </c>
    </row>
    <row r="631" spans="1:11" ht="15.5" x14ac:dyDescent="0.35">
      <c r="A631" s="5">
        <v>629</v>
      </c>
      <c r="B631" s="6" t="s">
        <v>1350</v>
      </c>
      <c r="C631" s="7" t="s">
        <v>1351</v>
      </c>
      <c r="D631" s="8" t="s">
        <v>11</v>
      </c>
      <c r="E631" s="8">
        <f>SUMIF('Simpanan Wajib'!C:C,'All Simpanan '!C:C,'Simpanan Wajib'!E:E)</f>
        <v>3025000</v>
      </c>
      <c r="F631" s="4">
        <f>SUMIF('Simpanan Pokok'!C:C,'All Simpanan '!C:C,'Simpanan Pokok'!E:E)</f>
        <v>0</v>
      </c>
      <c r="G631" s="4">
        <f>SUMIF('Simpanan Khusus'!C:C,'All Simpanan '!C:C,'Simpanan Khusus'!E:E)</f>
        <v>0</v>
      </c>
      <c r="H631" s="4">
        <f>SUMIF('Simpanan Sukarela'!C:C,'All Simpanan '!C:C,'Simpanan Sukarela'!E:E)</f>
        <v>821234.8186002624</v>
      </c>
      <c r="I631" s="4">
        <f>SUMIF('Simpanan Sukarela Berjangka'!B:B,'All Simpanan '!C:C,'Simpanan Sukarela Berjangka'!K:K)</f>
        <v>0</v>
      </c>
      <c r="J631" s="4">
        <f t="shared" si="9"/>
        <v>3846234.8186002625</v>
      </c>
      <c r="K631" s="35" t="s">
        <v>1578</v>
      </c>
    </row>
    <row r="632" spans="1:11" ht="15.5" x14ac:dyDescent="0.35">
      <c r="A632" s="5">
        <v>630</v>
      </c>
      <c r="B632" s="6" t="s">
        <v>1352</v>
      </c>
      <c r="C632" s="7" t="s">
        <v>1353</v>
      </c>
      <c r="D632" s="8" t="s">
        <v>11</v>
      </c>
      <c r="E632" s="8">
        <f>SUMIF('Simpanan Wajib'!C:C,'All Simpanan '!C:C,'Simpanan Wajib'!E:E)</f>
        <v>0</v>
      </c>
      <c r="F632" s="4">
        <f>SUMIF('Simpanan Pokok'!C:C,'All Simpanan '!C:C,'Simpanan Pokok'!E:E)</f>
        <v>0</v>
      </c>
      <c r="G632" s="4">
        <f>SUMIF('Simpanan Khusus'!C:C,'All Simpanan '!C:C,'Simpanan Khusus'!E:E)</f>
        <v>0</v>
      </c>
      <c r="H632" s="4">
        <f>SUMIF('Simpanan Sukarela'!C:C,'All Simpanan '!C:C,'Simpanan Sukarela'!E:E)</f>
        <v>0</v>
      </c>
      <c r="I632" s="4">
        <f>SUMIF('Simpanan Sukarela Berjangka'!B:B,'All Simpanan '!C:C,'Simpanan Sukarela Berjangka'!K:K)</f>
        <v>0</v>
      </c>
      <c r="J632" s="4">
        <f t="shared" si="9"/>
        <v>0</v>
      </c>
      <c r="K632" s="35" t="s">
        <v>1578</v>
      </c>
    </row>
    <row r="633" spans="1:11" ht="15.5" x14ac:dyDescent="0.35">
      <c r="A633" s="5">
        <v>631</v>
      </c>
      <c r="B633" s="6" t="s">
        <v>1354</v>
      </c>
      <c r="C633" s="7" t="s">
        <v>1355</v>
      </c>
      <c r="D633" s="8" t="s">
        <v>11</v>
      </c>
      <c r="E633" s="8">
        <f>SUMIF('Simpanan Wajib'!C:C,'All Simpanan '!C:C,'Simpanan Wajib'!E:E)</f>
        <v>0</v>
      </c>
      <c r="F633" s="4">
        <f>SUMIF('Simpanan Pokok'!C:C,'All Simpanan '!C:C,'Simpanan Pokok'!E:E)</f>
        <v>0</v>
      </c>
      <c r="G633" s="4">
        <f>SUMIF('Simpanan Khusus'!C:C,'All Simpanan '!C:C,'Simpanan Khusus'!E:E)</f>
        <v>0</v>
      </c>
      <c r="H633" s="4">
        <f>SUMIF('Simpanan Sukarela'!C:C,'All Simpanan '!C:C,'Simpanan Sukarela'!E:E)</f>
        <v>0</v>
      </c>
      <c r="I633" s="4">
        <f>SUMIF('Simpanan Sukarela Berjangka'!B:B,'All Simpanan '!C:C,'Simpanan Sukarela Berjangka'!K:K)</f>
        <v>0</v>
      </c>
      <c r="J633" s="4">
        <f t="shared" si="9"/>
        <v>0</v>
      </c>
      <c r="K633" s="35" t="s">
        <v>1578</v>
      </c>
    </row>
    <row r="634" spans="1:11" ht="15.5" x14ac:dyDescent="0.35">
      <c r="A634" s="5">
        <v>632</v>
      </c>
      <c r="B634" s="6" t="s">
        <v>1356</v>
      </c>
      <c r="C634" s="7" t="s">
        <v>1357</v>
      </c>
      <c r="D634" s="8" t="s">
        <v>11</v>
      </c>
      <c r="E634" s="8">
        <f>SUMIF('Simpanan Wajib'!C:C,'All Simpanan '!C:C,'Simpanan Wajib'!E:E)</f>
        <v>450000</v>
      </c>
      <c r="F634" s="4">
        <f>SUMIF('Simpanan Pokok'!C:C,'All Simpanan '!C:C,'Simpanan Pokok'!E:E)</f>
        <v>0</v>
      </c>
      <c r="G634" s="4">
        <f>SUMIF('Simpanan Khusus'!C:C,'All Simpanan '!C:C,'Simpanan Khusus'!E:E)</f>
        <v>0</v>
      </c>
      <c r="H634" s="4">
        <f>SUMIF('Simpanan Sukarela'!C:C,'All Simpanan '!C:C,'Simpanan Sukarela'!E:E)</f>
        <v>162284.16104959993</v>
      </c>
      <c r="I634" s="4">
        <f>SUMIF('Simpanan Sukarela Berjangka'!B:B,'All Simpanan '!C:C,'Simpanan Sukarela Berjangka'!K:K)</f>
        <v>0</v>
      </c>
      <c r="J634" s="4">
        <f t="shared" si="9"/>
        <v>612284.16104959999</v>
      </c>
      <c r="K634" s="35" t="s">
        <v>1578</v>
      </c>
    </row>
    <row r="635" spans="1:11" ht="15.5" x14ac:dyDescent="0.35">
      <c r="A635" s="5">
        <v>633</v>
      </c>
      <c r="B635" s="6" t="s">
        <v>1358</v>
      </c>
      <c r="C635" s="7" t="s">
        <v>1359</v>
      </c>
      <c r="D635" s="8" t="s">
        <v>374</v>
      </c>
      <c r="E635" s="8">
        <f>SUMIF('Simpanan Wajib'!C:C,'All Simpanan '!C:C,'Simpanan Wajib'!E:E)</f>
        <v>14250000</v>
      </c>
      <c r="F635" s="4">
        <f>SUMIF('Simpanan Pokok'!C:C,'All Simpanan '!C:C,'Simpanan Pokok'!E:E)</f>
        <v>0</v>
      </c>
      <c r="G635" s="4">
        <f>SUMIF('Simpanan Khusus'!C:C,'All Simpanan '!C:C,'Simpanan Khusus'!E:E)</f>
        <v>0</v>
      </c>
      <c r="H635" s="4">
        <f>SUMIF('Simpanan Sukarela'!C:C,'All Simpanan '!C:C,'Simpanan Sukarela'!E:E)</f>
        <v>852062.69690184854</v>
      </c>
      <c r="I635" s="4">
        <f>SUMIF('Simpanan Sukarela Berjangka'!B:B,'All Simpanan '!C:C,'Simpanan Sukarela Berjangka'!K:K)</f>
        <v>0</v>
      </c>
      <c r="J635" s="4">
        <f t="shared" si="9"/>
        <v>15102062.696901849</v>
      </c>
      <c r="K635" s="35" t="s">
        <v>1579</v>
      </c>
    </row>
    <row r="636" spans="1:11" ht="15.5" x14ac:dyDescent="0.35">
      <c r="A636" s="5">
        <v>634</v>
      </c>
      <c r="B636" s="6" t="s">
        <v>1360</v>
      </c>
      <c r="C636" s="7" t="s">
        <v>1361</v>
      </c>
      <c r="D636" s="8" t="s">
        <v>429</v>
      </c>
      <c r="E636" s="8">
        <f>SUMIF('Simpanan Wajib'!C:C,'All Simpanan '!C:C,'Simpanan Wajib'!E:E)</f>
        <v>0</v>
      </c>
      <c r="F636" s="4">
        <f>SUMIF('Simpanan Pokok'!C:C,'All Simpanan '!C:C,'Simpanan Pokok'!E:E)</f>
        <v>0</v>
      </c>
      <c r="G636" s="4">
        <f>SUMIF('Simpanan Khusus'!C:C,'All Simpanan '!C:C,'Simpanan Khusus'!E:E)</f>
        <v>0</v>
      </c>
      <c r="H636" s="4">
        <f>SUMIF('Simpanan Sukarela'!C:C,'All Simpanan '!C:C,'Simpanan Sukarela'!E:E)</f>
        <v>1188807.3858094465</v>
      </c>
      <c r="I636" s="4">
        <f>SUMIF('Simpanan Sukarela Berjangka'!B:B,'All Simpanan '!C:C,'Simpanan Sukarela Berjangka'!K:K)</f>
        <v>0</v>
      </c>
      <c r="J636" s="4">
        <f t="shared" si="9"/>
        <v>1188807.3858094465</v>
      </c>
      <c r="K636" s="35" t="s">
        <v>1579</v>
      </c>
    </row>
    <row r="637" spans="1:11" ht="15.5" x14ac:dyDescent="0.35">
      <c r="A637" s="5">
        <v>635</v>
      </c>
      <c r="B637" s="6" t="s">
        <v>1362</v>
      </c>
      <c r="C637" s="7" t="s">
        <v>1363</v>
      </c>
      <c r="D637" s="8" t="s">
        <v>429</v>
      </c>
      <c r="E637" s="8">
        <f>SUMIF('Simpanan Wajib'!C:C,'All Simpanan '!C:C,'Simpanan Wajib'!E:E)</f>
        <v>13500000</v>
      </c>
      <c r="F637" s="4">
        <f>SUMIF('Simpanan Pokok'!C:C,'All Simpanan '!C:C,'Simpanan Pokok'!E:E)</f>
        <v>0</v>
      </c>
      <c r="G637" s="4">
        <f>SUMIF('Simpanan Khusus'!C:C,'All Simpanan '!C:C,'Simpanan Khusus'!E:E)</f>
        <v>0</v>
      </c>
      <c r="H637" s="4">
        <f>SUMIF('Simpanan Sukarela'!C:C,'All Simpanan '!C:C,'Simpanan Sukarela'!E:E)</f>
        <v>1188808.3992154805</v>
      </c>
      <c r="I637" s="4">
        <f>SUMIF('Simpanan Sukarela Berjangka'!B:B,'All Simpanan '!C:C,'Simpanan Sukarela Berjangka'!K:K)</f>
        <v>0</v>
      </c>
      <c r="J637" s="4">
        <f t="shared" si="9"/>
        <v>14688808.39921548</v>
      </c>
      <c r="K637" s="35" t="s">
        <v>1579</v>
      </c>
    </row>
    <row r="638" spans="1:11" ht="15.5" x14ac:dyDescent="0.35">
      <c r="A638" s="5">
        <v>636</v>
      </c>
      <c r="B638" s="6" t="s">
        <v>1364</v>
      </c>
      <c r="C638" s="7" t="s">
        <v>1365</v>
      </c>
      <c r="D638" s="8" t="s">
        <v>429</v>
      </c>
      <c r="E638" s="8">
        <f>SUMIF('Simpanan Wajib'!C:C,'All Simpanan '!C:C,'Simpanan Wajib'!E:E)</f>
        <v>13500000</v>
      </c>
      <c r="F638" s="4">
        <f>SUMIF('Simpanan Pokok'!C:C,'All Simpanan '!C:C,'Simpanan Pokok'!E:E)</f>
        <v>0</v>
      </c>
      <c r="G638" s="4">
        <f>SUMIF('Simpanan Khusus'!C:C,'All Simpanan '!C:C,'Simpanan Khusus'!E:E)</f>
        <v>0</v>
      </c>
      <c r="H638" s="4">
        <f>SUMIF('Simpanan Sukarela'!C:C,'All Simpanan '!C:C,'Simpanan Sukarela'!E:E)</f>
        <v>1188808.3992154805</v>
      </c>
      <c r="I638" s="4">
        <f>SUMIF('Simpanan Sukarela Berjangka'!B:B,'All Simpanan '!C:C,'Simpanan Sukarela Berjangka'!K:K)</f>
        <v>0</v>
      </c>
      <c r="J638" s="4">
        <f t="shared" si="9"/>
        <v>14688808.39921548</v>
      </c>
      <c r="K638" s="35" t="s">
        <v>1579</v>
      </c>
    </row>
    <row r="639" spans="1:11" ht="15.5" x14ac:dyDescent="0.35">
      <c r="A639" s="5">
        <v>637</v>
      </c>
      <c r="B639" s="6" t="s">
        <v>1366</v>
      </c>
      <c r="C639" s="7" t="s">
        <v>1367</v>
      </c>
      <c r="D639" s="8" t="s">
        <v>429</v>
      </c>
      <c r="E639" s="8">
        <f>SUMIF('Simpanan Wajib'!C:C,'All Simpanan '!C:C,'Simpanan Wajib'!E:E)</f>
        <v>13500000</v>
      </c>
      <c r="F639" s="4">
        <f>SUMIF('Simpanan Pokok'!C:C,'All Simpanan '!C:C,'Simpanan Pokok'!E:E)</f>
        <v>0</v>
      </c>
      <c r="G639" s="4">
        <f>SUMIF('Simpanan Khusus'!C:C,'All Simpanan '!C:C,'Simpanan Khusus'!E:E)</f>
        <v>0</v>
      </c>
      <c r="H639" s="4">
        <f>SUMIF('Simpanan Sukarela'!C:C,'All Simpanan '!C:C,'Simpanan Sukarela'!E:E)</f>
        <v>1188808.3992154805</v>
      </c>
      <c r="I639" s="4">
        <f>SUMIF('Simpanan Sukarela Berjangka'!B:B,'All Simpanan '!C:C,'Simpanan Sukarela Berjangka'!K:K)</f>
        <v>0</v>
      </c>
      <c r="J639" s="4">
        <f t="shared" si="9"/>
        <v>14688808.39921548</v>
      </c>
      <c r="K639" s="35" t="s">
        <v>1579</v>
      </c>
    </row>
    <row r="640" spans="1:11" ht="15.5" x14ac:dyDescent="0.35">
      <c r="A640" s="5">
        <v>638</v>
      </c>
      <c r="B640" s="6" t="s">
        <v>1368</v>
      </c>
      <c r="C640" s="7" t="s">
        <v>1369</v>
      </c>
      <c r="D640" s="8" t="s">
        <v>429</v>
      </c>
      <c r="E640" s="8">
        <f>SUMIF('Simpanan Wajib'!C:C,'All Simpanan '!C:C,'Simpanan Wajib'!E:E)</f>
        <v>13500000</v>
      </c>
      <c r="F640" s="4">
        <f>SUMIF('Simpanan Pokok'!C:C,'All Simpanan '!C:C,'Simpanan Pokok'!E:E)</f>
        <v>0</v>
      </c>
      <c r="G640" s="4">
        <f>SUMIF('Simpanan Khusus'!C:C,'All Simpanan '!C:C,'Simpanan Khusus'!E:E)</f>
        <v>0</v>
      </c>
      <c r="H640" s="4">
        <f>SUMIF('Simpanan Sukarela'!C:C,'All Simpanan '!C:C,'Simpanan Sukarela'!E:E)</f>
        <v>351200.95015490626</v>
      </c>
      <c r="I640" s="4">
        <f>SUMIF('Simpanan Sukarela Berjangka'!B:B,'All Simpanan '!C:C,'Simpanan Sukarela Berjangka'!K:K)</f>
        <v>0</v>
      </c>
      <c r="J640" s="4">
        <f t="shared" si="9"/>
        <v>13851200.950154906</v>
      </c>
      <c r="K640" s="35" t="s">
        <v>1579</v>
      </c>
    </row>
    <row r="641" spans="1:11" ht="15.5" x14ac:dyDescent="0.35">
      <c r="A641" s="5">
        <v>639</v>
      </c>
      <c r="B641" s="6" t="s">
        <v>1370</v>
      </c>
      <c r="C641" s="7" t="s">
        <v>1371</v>
      </c>
      <c r="D641" s="8" t="s">
        <v>429</v>
      </c>
      <c r="E641" s="8">
        <f>SUMIF('Simpanan Wajib'!C:C,'All Simpanan '!C:C,'Simpanan Wajib'!E:E)</f>
        <v>13500000</v>
      </c>
      <c r="F641" s="4">
        <f>SUMIF('Simpanan Pokok'!C:C,'All Simpanan '!C:C,'Simpanan Pokok'!E:E)</f>
        <v>0</v>
      </c>
      <c r="G641" s="4">
        <f>SUMIF('Simpanan Khusus'!C:C,'All Simpanan '!C:C,'Simpanan Khusus'!E:E)</f>
        <v>0</v>
      </c>
      <c r="H641" s="4">
        <f>SUMIF('Simpanan Sukarela'!C:C,'All Simpanan '!C:C,'Simpanan Sukarela'!E:E)</f>
        <v>1188808.3992154805</v>
      </c>
      <c r="I641" s="4">
        <f>SUMIF('Simpanan Sukarela Berjangka'!B:B,'All Simpanan '!C:C,'Simpanan Sukarela Berjangka'!K:K)</f>
        <v>0</v>
      </c>
      <c r="J641" s="4">
        <f t="shared" si="9"/>
        <v>14688808.39921548</v>
      </c>
      <c r="K641" s="35" t="s">
        <v>1579</v>
      </c>
    </row>
    <row r="642" spans="1:11" ht="15.5" x14ac:dyDescent="0.35">
      <c r="A642" s="5">
        <v>640</v>
      </c>
      <c r="B642" s="6" t="s">
        <v>1372</v>
      </c>
      <c r="C642" s="7" t="s">
        <v>1373</v>
      </c>
      <c r="D642" s="8" t="s">
        <v>429</v>
      </c>
      <c r="E642" s="8">
        <f>SUMIF('Simpanan Wajib'!C:C,'All Simpanan '!C:C,'Simpanan Wajib'!E:E)</f>
        <v>13500000</v>
      </c>
      <c r="F642" s="4">
        <f>SUMIF('Simpanan Pokok'!C:C,'All Simpanan '!C:C,'Simpanan Pokok'!E:E)</f>
        <v>0</v>
      </c>
      <c r="G642" s="4">
        <f>SUMIF('Simpanan Khusus'!C:C,'All Simpanan '!C:C,'Simpanan Khusus'!E:E)</f>
        <v>0</v>
      </c>
      <c r="H642" s="4">
        <f>SUMIF('Simpanan Sukarela'!C:C,'All Simpanan '!C:C,'Simpanan Sukarela'!E:E)</f>
        <v>1188808.3992154805</v>
      </c>
      <c r="I642" s="4">
        <f>SUMIF('Simpanan Sukarela Berjangka'!B:B,'All Simpanan '!C:C,'Simpanan Sukarela Berjangka'!K:K)</f>
        <v>0</v>
      </c>
      <c r="J642" s="4">
        <f t="shared" si="9"/>
        <v>14688808.39921548</v>
      </c>
      <c r="K642" s="35" t="s">
        <v>1579</v>
      </c>
    </row>
    <row r="643" spans="1:11" ht="15.5" x14ac:dyDescent="0.35">
      <c r="A643" s="5">
        <v>641</v>
      </c>
      <c r="B643" s="6" t="s">
        <v>1374</v>
      </c>
      <c r="C643" s="7" t="s">
        <v>1375</v>
      </c>
      <c r="D643" s="8" t="s">
        <v>98</v>
      </c>
      <c r="E643" s="8">
        <f>SUMIF('Simpanan Wajib'!C:C,'All Simpanan '!C:C,'Simpanan Wajib'!E:E)</f>
        <v>0</v>
      </c>
      <c r="F643" s="4">
        <f>SUMIF('Simpanan Pokok'!C:C,'All Simpanan '!C:C,'Simpanan Pokok'!E:E)</f>
        <v>0</v>
      </c>
      <c r="G643" s="4">
        <f>SUMIF('Simpanan Khusus'!C:C,'All Simpanan '!C:C,'Simpanan Khusus'!E:E)</f>
        <v>0</v>
      </c>
      <c r="H643" s="4">
        <f>SUMIF('Simpanan Sukarela'!C:C,'All Simpanan '!C:C,'Simpanan Sukarela'!E:E)</f>
        <v>0</v>
      </c>
      <c r="I643" s="4">
        <f>SUMIF('Simpanan Sukarela Berjangka'!B:B,'All Simpanan '!C:C,'Simpanan Sukarela Berjangka'!K:K)</f>
        <v>0</v>
      </c>
      <c r="J643" s="4">
        <f t="shared" si="9"/>
        <v>0</v>
      </c>
      <c r="K643" s="35" t="s">
        <v>1579</v>
      </c>
    </row>
    <row r="644" spans="1:11" ht="15.5" x14ac:dyDescent="0.35">
      <c r="A644" s="5">
        <v>642</v>
      </c>
      <c r="B644" s="6" t="s">
        <v>1376</v>
      </c>
      <c r="C644" s="7" t="s">
        <v>1377</v>
      </c>
      <c r="D644" s="8" t="s">
        <v>22</v>
      </c>
      <c r="E644" s="8">
        <f>SUMIF('Simpanan Wajib'!C:C,'All Simpanan '!C:C,'Simpanan Wajib'!E:E)</f>
        <v>0</v>
      </c>
      <c r="F644" s="4">
        <f>SUMIF('Simpanan Pokok'!C:C,'All Simpanan '!C:C,'Simpanan Pokok'!E:E)</f>
        <v>0</v>
      </c>
      <c r="G644" s="4">
        <f>SUMIF('Simpanan Khusus'!C:C,'All Simpanan '!C:C,'Simpanan Khusus'!E:E)</f>
        <v>0</v>
      </c>
      <c r="H644" s="4">
        <f>SUMIF('Simpanan Sukarela'!C:C,'All Simpanan '!C:C,'Simpanan Sukarela'!E:E)</f>
        <v>0</v>
      </c>
      <c r="I644" s="4">
        <f>SUMIF('Simpanan Sukarela Berjangka'!B:B,'All Simpanan '!C:C,'Simpanan Sukarela Berjangka'!K:K)</f>
        <v>0</v>
      </c>
      <c r="J644" s="4">
        <f t="shared" ref="J644:J707" si="10">SUM(E644:I644)</f>
        <v>0</v>
      </c>
      <c r="K644" s="35" t="s">
        <v>1579</v>
      </c>
    </row>
    <row r="645" spans="1:11" ht="15.5" x14ac:dyDescent="0.35">
      <c r="A645" s="5">
        <v>643</v>
      </c>
      <c r="B645" s="6" t="s">
        <v>1378</v>
      </c>
      <c r="C645" s="7" t="s">
        <v>1379</v>
      </c>
      <c r="D645" s="8" t="s">
        <v>303</v>
      </c>
      <c r="E645" s="8">
        <f>SUMIF('Simpanan Wajib'!C:C,'All Simpanan '!C:C,'Simpanan Wajib'!E:E)</f>
        <v>0</v>
      </c>
      <c r="F645" s="4">
        <f>SUMIF('Simpanan Pokok'!C:C,'All Simpanan '!C:C,'Simpanan Pokok'!E:E)</f>
        <v>0</v>
      </c>
      <c r="G645" s="4">
        <f>SUMIF('Simpanan Khusus'!C:C,'All Simpanan '!C:C,'Simpanan Khusus'!E:E)</f>
        <v>0</v>
      </c>
      <c r="H645" s="4">
        <f>SUMIF('Simpanan Sukarela'!C:C,'All Simpanan '!C:C,'Simpanan Sukarela'!E:E)</f>
        <v>235319.56466044969</v>
      </c>
      <c r="I645" s="4">
        <f>SUMIF('Simpanan Sukarela Berjangka'!B:B,'All Simpanan '!C:C,'Simpanan Sukarela Berjangka'!K:K)</f>
        <v>0</v>
      </c>
      <c r="J645" s="4">
        <f t="shared" si="10"/>
        <v>235319.56466044969</v>
      </c>
      <c r="K645" s="35" t="s">
        <v>1578</v>
      </c>
    </row>
    <row r="646" spans="1:11" ht="15.5" x14ac:dyDescent="0.35">
      <c r="A646" s="5">
        <v>644</v>
      </c>
      <c r="B646" s="6" t="s">
        <v>1380</v>
      </c>
      <c r="C646" s="7" t="s">
        <v>1381</v>
      </c>
      <c r="D646" s="8" t="s">
        <v>49</v>
      </c>
      <c r="E646" s="8">
        <f>SUMIF('Simpanan Wajib'!C:C,'All Simpanan '!C:C,'Simpanan Wajib'!E:E)</f>
        <v>1300000</v>
      </c>
      <c r="F646" s="4">
        <f>SUMIF('Simpanan Pokok'!C:C,'All Simpanan '!C:C,'Simpanan Pokok'!E:E)</f>
        <v>0</v>
      </c>
      <c r="G646" s="4">
        <f>SUMIF('Simpanan Khusus'!C:C,'All Simpanan '!C:C,'Simpanan Khusus'!E:E)</f>
        <v>0</v>
      </c>
      <c r="H646" s="4">
        <f>SUMIF('Simpanan Sukarela'!C:C,'All Simpanan '!C:C,'Simpanan Sukarela'!E:E)</f>
        <v>318679</v>
      </c>
      <c r="I646" s="4">
        <f>SUMIF('Simpanan Sukarela Berjangka'!B:B,'All Simpanan '!C:C,'Simpanan Sukarela Berjangka'!K:K)</f>
        <v>0</v>
      </c>
      <c r="J646" s="4">
        <f t="shared" si="10"/>
        <v>1618679</v>
      </c>
      <c r="K646" s="35" t="s">
        <v>1578</v>
      </c>
    </row>
    <row r="647" spans="1:11" ht="15.5" x14ac:dyDescent="0.35">
      <c r="A647" s="5">
        <v>645</v>
      </c>
      <c r="B647" s="6" t="s">
        <v>1382</v>
      </c>
      <c r="C647" s="7" t="s">
        <v>1383</v>
      </c>
      <c r="D647" s="8" t="s">
        <v>49</v>
      </c>
      <c r="E647" s="8">
        <f>SUMIF('Simpanan Wajib'!C:C,'All Simpanan '!C:C,'Simpanan Wajib'!E:E)</f>
        <v>0</v>
      </c>
      <c r="F647" s="4">
        <f>SUMIF('Simpanan Pokok'!C:C,'All Simpanan '!C:C,'Simpanan Pokok'!E:E)</f>
        <v>0</v>
      </c>
      <c r="G647" s="4">
        <f>SUMIF('Simpanan Khusus'!C:C,'All Simpanan '!C:C,'Simpanan Khusus'!E:E)</f>
        <v>0</v>
      </c>
      <c r="H647" s="4">
        <f>SUMIF('Simpanan Sukarela'!C:C,'All Simpanan '!C:C,'Simpanan Sukarela'!E:E)</f>
        <v>34776.253203405475</v>
      </c>
      <c r="I647" s="4">
        <f>SUMIF('Simpanan Sukarela Berjangka'!B:B,'All Simpanan '!C:C,'Simpanan Sukarela Berjangka'!K:K)</f>
        <v>0</v>
      </c>
      <c r="J647" s="4">
        <f t="shared" si="10"/>
        <v>34776.253203405475</v>
      </c>
      <c r="K647" s="35" t="s">
        <v>1578</v>
      </c>
    </row>
    <row r="648" spans="1:11" ht="15.5" x14ac:dyDescent="0.35">
      <c r="A648" s="5">
        <v>646</v>
      </c>
      <c r="B648" s="6" t="s">
        <v>1384</v>
      </c>
      <c r="C648" s="7" t="s">
        <v>1385</v>
      </c>
      <c r="D648" s="8" t="s">
        <v>128</v>
      </c>
      <c r="E648" s="8">
        <f>SUMIF('Simpanan Wajib'!C:C,'All Simpanan '!C:C,'Simpanan Wajib'!E:E)</f>
        <v>9050000</v>
      </c>
      <c r="F648" s="4">
        <f>SUMIF('Simpanan Pokok'!C:C,'All Simpanan '!C:C,'Simpanan Pokok'!E:E)</f>
        <v>0</v>
      </c>
      <c r="G648" s="4">
        <f>SUMIF('Simpanan Khusus'!C:C,'All Simpanan '!C:C,'Simpanan Khusus'!E:E)</f>
        <v>250000</v>
      </c>
      <c r="H648" s="4">
        <f>SUMIF('Simpanan Sukarela'!C:C,'All Simpanan '!C:C,'Simpanan Sukarela'!E:E)</f>
        <v>0</v>
      </c>
      <c r="I648" s="4">
        <f>SUMIF('Simpanan Sukarela Berjangka'!B:B,'All Simpanan '!C:C,'Simpanan Sukarela Berjangka'!K:K)</f>
        <v>0</v>
      </c>
      <c r="J648" s="4">
        <f t="shared" si="10"/>
        <v>9300000</v>
      </c>
      <c r="K648" s="35" t="s">
        <v>1579</v>
      </c>
    </row>
    <row r="649" spans="1:11" ht="15.5" x14ac:dyDescent="0.35">
      <c r="A649" s="5">
        <v>647</v>
      </c>
      <c r="B649" s="6" t="s">
        <v>1386</v>
      </c>
      <c r="C649" s="7" t="s">
        <v>1387</v>
      </c>
      <c r="D649" s="8" t="s">
        <v>128</v>
      </c>
      <c r="E649" s="8">
        <f>SUMIF('Simpanan Wajib'!C:C,'All Simpanan '!C:C,'Simpanan Wajib'!E:E)</f>
        <v>200000</v>
      </c>
      <c r="F649" s="4">
        <f>SUMIF('Simpanan Pokok'!C:C,'All Simpanan '!C:C,'Simpanan Pokok'!E:E)</f>
        <v>0</v>
      </c>
      <c r="G649" s="4">
        <f>SUMIF('Simpanan Khusus'!C:C,'All Simpanan '!C:C,'Simpanan Khusus'!E:E)</f>
        <v>0</v>
      </c>
      <c r="H649" s="4">
        <f>SUMIF('Simpanan Sukarela'!C:C,'All Simpanan '!C:C,'Simpanan Sukarela'!E:E)</f>
        <v>23745.631233419146</v>
      </c>
      <c r="I649" s="4">
        <f>SUMIF('Simpanan Sukarela Berjangka'!B:B,'All Simpanan '!C:C,'Simpanan Sukarela Berjangka'!K:K)</f>
        <v>0</v>
      </c>
      <c r="J649" s="4">
        <f t="shared" si="10"/>
        <v>223745.63123341915</v>
      </c>
      <c r="K649" s="35" t="s">
        <v>1578</v>
      </c>
    </row>
    <row r="650" spans="1:11" ht="15.5" x14ac:dyDescent="0.35">
      <c r="A650" s="5">
        <v>648</v>
      </c>
      <c r="B650" s="6" t="s">
        <v>1388</v>
      </c>
      <c r="C650" s="7" t="s">
        <v>1389</v>
      </c>
      <c r="D650" s="8" t="s">
        <v>128</v>
      </c>
      <c r="E650" s="8">
        <f>SUMIF('Simpanan Wajib'!C:C,'All Simpanan '!C:C,'Simpanan Wajib'!E:E)</f>
        <v>-100000</v>
      </c>
      <c r="F650" s="4">
        <f>SUMIF('Simpanan Pokok'!C:C,'All Simpanan '!C:C,'Simpanan Pokok'!E:E)</f>
        <v>0</v>
      </c>
      <c r="G650" s="4">
        <f>SUMIF('Simpanan Khusus'!C:C,'All Simpanan '!C:C,'Simpanan Khusus'!E:E)</f>
        <v>0</v>
      </c>
      <c r="H650" s="4">
        <f>SUMIF('Simpanan Sukarela'!C:C,'All Simpanan '!C:C,'Simpanan Sukarela'!E:E)</f>
        <v>-4103</v>
      </c>
      <c r="I650" s="4">
        <f>SUMIF('Simpanan Sukarela Berjangka'!B:B,'All Simpanan '!C:C,'Simpanan Sukarela Berjangka'!K:K)</f>
        <v>0</v>
      </c>
      <c r="J650" s="4">
        <f t="shared" si="10"/>
        <v>-104103</v>
      </c>
      <c r="K650" s="35" t="s">
        <v>1578</v>
      </c>
    </row>
    <row r="651" spans="1:11" ht="15.5" x14ac:dyDescent="0.35">
      <c r="A651" s="5">
        <v>649</v>
      </c>
      <c r="B651" s="6" t="s">
        <v>1390</v>
      </c>
      <c r="C651" s="7" t="s">
        <v>1391</v>
      </c>
      <c r="D651" s="8" t="s">
        <v>49</v>
      </c>
      <c r="E651" s="8">
        <f>SUMIF('Simpanan Wajib'!C:C,'All Simpanan '!C:C,'Simpanan Wajib'!E:E)</f>
        <v>-100000</v>
      </c>
      <c r="F651" s="4">
        <f>SUMIF('Simpanan Pokok'!C:C,'All Simpanan '!C:C,'Simpanan Pokok'!E:E)</f>
        <v>0</v>
      </c>
      <c r="G651" s="4">
        <f>SUMIF('Simpanan Khusus'!C:C,'All Simpanan '!C:C,'Simpanan Khusus'!E:E)</f>
        <v>0</v>
      </c>
      <c r="H651" s="4">
        <f>SUMIF('Simpanan Sukarela'!C:C,'All Simpanan '!C:C,'Simpanan Sukarela'!E:E)</f>
        <v>-4103</v>
      </c>
      <c r="I651" s="4">
        <f>SUMIF('Simpanan Sukarela Berjangka'!B:B,'All Simpanan '!C:C,'Simpanan Sukarela Berjangka'!K:K)</f>
        <v>0</v>
      </c>
      <c r="J651" s="4">
        <f t="shared" si="10"/>
        <v>-104103</v>
      </c>
      <c r="K651" s="35" t="s">
        <v>1578</v>
      </c>
    </row>
    <row r="652" spans="1:11" ht="15.5" x14ac:dyDescent="0.35">
      <c r="A652" s="5">
        <v>650</v>
      </c>
      <c r="B652" s="6" t="s">
        <v>1392</v>
      </c>
      <c r="C652" s="7" t="s">
        <v>1393</v>
      </c>
      <c r="D652" s="8" t="s">
        <v>49</v>
      </c>
      <c r="E652" s="8">
        <f>SUMIF('Simpanan Wajib'!C:C,'All Simpanan '!C:C,'Simpanan Wajib'!E:E)</f>
        <v>0</v>
      </c>
      <c r="F652" s="4">
        <f>SUMIF('Simpanan Pokok'!C:C,'All Simpanan '!C:C,'Simpanan Pokok'!E:E)</f>
        <v>0</v>
      </c>
      <c r="G652" s="4">
        <f>SUMIF('Simpanan Khusus'!C:C,'All Simpanan '!C:C,'Simpanan Khusus'!E:E)</f>
        <v>0</v>
      </c>
      <c r="H652" s="4">
        <f>SUMIF('Simpanan Sukarela'!C:C,'All Simpanan '!C:C,'Simpanan Sukarela'!E:E)</f>
        <v>0</v>
      </c>
      <c r="I652" s="4">
        <f>SUMIF('Simpanan Sukarela Berjangka'!B:B,'All Simpanan '!C:C,'Simpanan Sukarela Berjangka'!K:K)</f>
        <v>0</v>
      </c>
      <c r="J652" s="4">
        <f t="shared" si="10"/>
        <v>0</v>
      </c>
      <c r="K652" s="35" t="s">
        <v>1578</v>
      </c>
    </row>
    <row r="653" spans="1:11" ht="15.5" x14ac:dyDescent="0.35">
      <c r="A653" s="5">
        <v>651</v>
      </c>
      <c r="B653" s="6" t="s">
        <v>1394</v>
      </c>
      <c r="C653" s="7" t="s">
        <v>1395</v>
      </c>
      <c r="D653" s="8" t="s">
        <v>136</v>
      </c>
      <c r="E653" s="8">
        <f>SUMIF('Simpanan Wajib'!C:C,'All Simpanan '!C:C,'Simpanan Wajib'!E:E)</f>
        <v>0</v>
      </c>
      <c r="F653" s="4">
        <f>SUMIF('Simpanan Pokok'!C:C,'All Simpanan '!C:C,'Simpanan Pokok'!E:E)</f>
        <v>0</v>
      </c>
      <c r="G653" s="4">
        <f>SUMIF('Simpanan Khusus'!C:C,'All Simpanan '!C:C,'Simpanan Khusus'!E:E)</f>
        <v>0</v>
      </c>
      <c r="H653" s="4">
        <f>SUMIF('Simpanan Sukarela'!C:C,'All Simpanan '!C:C,'Simpanan Sukarela'!E:E)</f>
        <v>0.39397890027612448</v>
      </c>
      <c r="I653" s="4">
        <f>SUMIF('Simpanan Sukarela Berjangka'!B:B,'All Simpanan '!C:C,'Simpanan Sukarela Berjangka'!K:K)</f>
        <v>0</v>
      </c>
      <c r="J653" s="4">
        <f t="shared" si="10"/>
        <v>0.39397890027612448</v>
      </c>
      <c r="K653" s="35" t="s">
        <v>1576</v>
      </c>
    </row>
    <row r="654" spans="1:11" ht="15.5" x14ac:dyDescent="0.35">
      <c r="A654" s="5">
        <v>652</v>
      </c>
      <c r="B654" s="6" t="s">
        <v>1396</v>
      </c>
      <c r="C654" s="7" t="s">
        <v>1397</v>
      </c>
      <c r="D654" s="8" t="s">
        <v>41</v>
      </c>
      <c r="E654" s="8">
        <f>SUMIF('Simpanan Wajib'!C:C,'All Simpanan '!C:C,'Simpanan Wajib'!E:E)</f>
        <v>0</v>
      </c>
      <c r="F654" s="4">
        <f>SUMIF('Simpanan Pokok'!C:C,'All Simpanan '!C:C,'Simpanan Pokok'!E:E)</f>
        <v>0</v>
      </c>
      <c r="G654" s="4">
        <f>SUMIF('Simpanan Khusus'!C:C,'All Simpanan '!C:C,'Simpanan Khusus'!E:E)</f>
        <v>0</v>
      </c>
      <c r="H654" s="4">
        <f>SUMIF('Simpanan Sukarela'!C:C,'All Simpanan '!C:C,'Simpanan Sukarela'!E:E)</f>
        <v>32185.811036850675</v>
      </c>
      <c r="I654" s="4">
        <f>SUMIF('Simpanan Sukarela Berjangka'!B:B,'All Simpanan '!C:C,'Simpanan Sukarela Berjangka'!K:K)</f>
        <v>0</v>
      </c>
      <c r="J654" s="4">
        <f t="shared" si="10"/>
        <v>32185.811036850675</v>
      </c>
      <c r="K654" s="35" t="s">
        <v>1578</v>
      </c>
    </row>
    <row r="655" spans="1:11" ht="15.5" x14ac:dyDescent="0.35">
      <c r="A655" s="5">
        <v>653</v>
      </c>
      <c r="B655" s="6" t="s">
        <v>1398</v>
      </c>
      <c r="C655" s="7" t="s">
        <v>1399</v>
      </c>
      <c r="D655" s="8" t="s">
        <v>429</v>
      </c>
      <c r="E655" s="8">
        <f>SUMIF('Simpanan Wajib'!C:C,'All Simpanan '!C:C,'Simpanan Wajib'!E:E)</f>
        <v>0</v>
      </c>
      <c r="F655" s="4">
        <f>SUMIF('Simpanan Pokok'!C:C,'All Simpanan '!C:C,'Simpanan Pokok'!E:E)</f>
        <v>0</v>
      </c>
      <c r="G655" s="4">
        <f>SUMIF('Simpanan Khusus'!C:C,'All Simpanan '!C:C,'Simpanan Khusus'!E:E)</f>
        <v>0</v>
      </c>
      <c r="H655" s="4">
        <f>SUMIF('Simpanan Sukarela'!C:C,'All Simpanan '!C:C,'Simpanan Sukarela'!E:E)</f>
        <v>0</v>
      </c>
      <c r="I655" s="4">
        <f>SUMIF('Simpanan Sukarela Berjangka'!B:B,'All Simpanan '!C:C,'Simpanan Sukarela Berjangka'!K:K)</f>
        <v>0</v>
      </c>
      <c r="J655" s="4">
        <f t="shared" si="10"/>
        <v>0</v>
      </c>
      <c r="K655" s="35" t="s">
        <v>1579</v>
      </c>
    </row>
    <row r="656" spans="1:11" ht="15.5" x14ac:dyDescent="0.35">
      <c r="A656" s="5">
        <v>654</v>
      </c>
      <c r="B656" s="6" t="s">
        <v>1400</v>
      </c>
      <c r="C656" s="7" t="s">
        <v>1401</v>
      </c>
      <c r="D656" s="8" t="s">
        <v>19</v>
      </c>
      <c r="E656" s="8">
        <f>SUMIF('Simpanan Wajib'!C:C,'All Simpanan '!C:C,'Simpanan Wajib'!E:E)</f>
        <v>0</v>
      </c>
      <c r="F656" s="4">
        <f>SUMIF('Simpanan Pokok'!C:C,'All Simpanan '!C:C,'Simpanan Pokok'!E:E)</f>
        <v>0</v>
      </c>
      <c r="G656" s="4">
        <f>SUMIF('Simpanan Khusus'!C:C,'All Simpanan '!C:C,'Simpanan Khusus'!E:E)</f>
        <v>0</v>
      </c>
      <c r="H656" s="4">
        <f>SUMIF('Simpanan Sukarela'!C:C,'All Simpanan '!C:C,'Simpanan Sukarela'!E:E)</f>
        <v>0</v>
      </c>
      <c r="I656" s="4">
        <f>SUMIF('Simpanan Sukarela Berjangka'!B:B,'All Simpanan '!C:C,'Simpanan Sukarela Berjangka'!K:K)</f>
        <v>0</v>
      </c>
      <c r="J656" s="4">
        <f t="shared" si="10"/>
        <v>0</v>
      </c>
      <c r="K656" s="35" t="s">
        <v>1576</v>
      </c>
    </row>
    <row r="657" spans="1:11" ht="15.5" x14ac:dyDescent="0.35">
      <c r="A657" s="5">
        <v>655</v>
      </c>
      <c r="B657" s="6" t="s">
        <v>1402</v>
      </c>
      <c r="C657" s="7" t="s">
        <v>1403</v>
      </c>
      <c r="D657" s="8" t="s">
        <v>136</v>
      </c>
      <c r="E657" s="8">
        <f>SUMIF('Simpanan Wajib'!C:C,'All Simpanan '!C:C,'Simpanan Wajib'!E:E)</f>
        <v>8800000</v>
      </c>
      <c r="F657" s="4">
        <f>SUMIF('Simpanan Pokok'!C:C,'All Simpanan '!C:C,'Simpanan Pokok'!E:E)</f>
        <v>200000</v>
      </c>
      <c r="G657" s="4">
        <f>SUMIF('Simpanan Khusus'!C:C,'All Simpanan '!C:C,'Simpanan Khusus'!E:E)</f>
        <v>870000</v>
      </c>
      <c r="H657" s="4">
        <f>SUMIF('Simpanan Sukarela'!C:C,'All Simpanan '!C:C,'Simpanan Sukarela'!E:E)</f>
        <v>770674.79174029082</v>
      </c>
      <c r="I657" s="4">
        <f>SUMIF('Simpanan Sukarela Berjangka'!B:B,'All Simpanan '!C:C,'Simpanan Sukarela Berjangka'!K:K)</f>
        <v>0</v>
      </c>
      <c r="J657" s="4">
        <f t="shared" si="10"/>
        <v>10640674.791740291</v>
      </c>
      <c r="K657" s="35" t="s">
        <v>1579</v>
      </c>
    </row>
    <row r="658" spans="1:11" ht="15.5" x14ac:dyDescent="0.35">
      <c r="A658" s="5">
        <v>656</v>
      </c>
      <c r="B658" s="6" t="s">
        <v>1404</v>
      </c>
      <c r="C658" s="7" t="s">
        <v>1405</v>
      </c>
      <c r="D658" s="8" t="s">
        <v>49</v>
      </c>
      <c r="E658" s="8">
        <f>SUMIF('Simpanan Wajib'!C:C,'All Simpanan '!C:C,'Simpanan Wajib'!E:E)</f>
        <v>0</v>
      </c>
      <c r="F658" s="4">
        <f>SUMIF('Simpanan Pokok'!C:C,'All Simpanan '!C:C,'Simpanan Pokok'!E:E)</f>
        <v>0</v>
      </c>
      <c r="G658" s="4">
        <f>SUMIF('Simpanan Khusus'!C:C,'All Simpanan '!C:C,'Simpanan Khusus'!E:E)</f>
        <v>0</v>
      </c>
      <c r="H658" s="4">
        <f>SUMIF('Simpanan Sukarela'!C:C,'All Simpanan '!C:C,'Simpanan Sukarela'!E:E)</f>
        <v>86818</v>
      </c>
      <c r="I658" s="4">
        <f>SUMIF('Simpanan Sukarela Berjangka'!B:B,'All Simpanan '!C:C,'Simpanan Sukarela Berjangka'!K:K)</f>
        <v>0</v>
      </c>
      <c r="J658" s="4">
        <f t="shared" si="10"/>
        <v>86818</v>
      </c>
      <c r="K658" s="35" t="s">
        <v>1578</v>
      </c>
    </row>
    <row r="659" spans="1:11" ht="15.5" x14ac:dyDescent="0.35">
      <c r="A659" s="5">
        <v>657</v>
      </c>
      <c r="B659" s="6" t="s">
        <v>1406</v>
      </c>
      <c r="C659" s="7" t="s">
        <v>1407</v>
      </c>
      <c r="D659" s="8" t="s">
        <v>92</v>
      </c>
      <c r="E659" s="8">
        <f>SUMIF('Simpanan Wajib'!C:C,'All Simpanan '!C:C,'Simpanan Wajib'!E:E)</f>
        <v>21200000</v>
      </c>
      <c r="F659" s="4">
        <f>SUMIF('Simpanan Pokok'!C:C,'All Simpanan '!C:C,'Simpanan Pokok'!E:E)</f>
        <v>0</v>
      </c>
      <c r="G659" s="4">
        <f>SUMIF('Simpanan Khusus'!C:C,'All Simpanan '!C:C,'Simpanan Khusus'!E:E)</f>
        <v>0</v>
      </c>
      <c r="H659" s="4">
        <f>SUMIF('Simpanan Sukarela'!C:C,'All Simpanan '!C:C,'Simpanan Sukarela'!E:E)</f>
        <v>1305390.657092338</v>
      </c>
      <c r="I659" s="4">
        <f>SUMIF('Simpanan Sukarela Berjangka'!B:B,'All Simpanan '!C:C,'Simpanan Sukarela Berjangka'!K:K)</f>
        <v>0</v>
      </c>
      <c r="J659" s="4">
        <f t="shared" si="10"/>
        <v>22505390.657092337</v>
      </c>
      <c r="K659" s="35" t="s">
        <v>1579</v>
      </c>
    </row>
    <row r="660" spans="1:11" ht="15.5" x14ac:dyDescent="0.35">
      <c r="A660" s="5">
        <v>658</v>
      </c>
      <c r="B660" s="6" t="s">
        <v>1408</v>
      </c>
      <c r="C660" s="7" t="s">
        <v>1409</v>
      </c>
      <c r="D660" s="8" t="s">
        <v>92</v>
      </c>
      <c r="E660" s="8">
        <f>SUMIF('Simpanan Wajib'!C:C,'All Simpanan '!C:C,'Simpanan Wajib'!E:E)</f>
        <v>-150000</v>
      </c>
      <c r="F660" s="4">
        <f>SUMIF('Simpanan Pokok'!C:C,'All Simpanan '!C:C,'Simpanan Pokok'!E:E)</f>
        <v>0</v>
      </c>
      <c r="G660" s="4">
        <f>SUMIF('Simpanan Khusus'!C:C,'All Simpanan '!C:C,'Simpanan Khusus'!E:E)</f>
        <v>0</v>
      </c>
      <c r="H660" s="4">
        <f>SUMIF('Simpanan Sukarela'!C:C,'All Simpanan '!C:C,'Simpanan Sukarela'!E:E)</f>
        <v>159039.93437113264</v>
      </c>
      <c r="I660" s="4">
        <f>SUMIF('Simpanan Sukarela Berjangka'!B:B,'All Simpanan '!C:C,'Simpanan Sukarela Berjangka'!K:K)</f>
        <v>0</v>
      </c>
      <c r="J660" s="4">
        <f t="shared" si="10"/>
        <v>9039.9343711326364</v>
      </c>
      <c r="K660" s="35" t="s">
        <v>1576</v>
      </c>
    </row>
    <row r="661" spans="1:11" ht="15.5" x14ac:dyDescent="0.35">
      <c r="A661" s="5">
        <v>659</v>
      </c>
      <c r="B661" s="6" t="s">
        <v>1410</v>
      </c>
      <c r="C661" s="7" t="s">
        <v>1411</v>
      </c>
      <c r="D661" s="8" t="s">
        <v>108</v>
      </c>
      <c r="E661" s="8">
        <f>SUMIF('Simpanan Wajib'!C:C,'All Simpanan '!C:C,'Simpanan Wajib'!E:E)</f>
        <v>0</v>
      </c>
      <c r="F661" s="4">
        <f>SUMIF('Simpanan Pokok'!C:C,'All Simpanan '!C:C,'Simpanan Pokok'!E:E)</f>
        <v>0</v>
      </c>
      <c r="G661" s="4">
        <f>SUMIF('Simpanan Khusus'!C:C,'All Simpanan '!C:C,'Simpanan Khusus'!E:E)</f>
        <v>0</v>
      </c>
      <c r="H661" s="4">
        <f>SUMIF('Simpanan Sukarela'!C:C,'All Simpanan '!C:C,'Simpanan Sukarela'!E:E)</f>
        <v>0</v>
      </c>
      <c r="I661" s="4">
        <f>SUMIF('Simpanan Sukarela Berjangka'!B:B,'All Simpanan '!C:C,'Simpanan Sukarela Berjangka'!K:K)</f>
        <v>0</v>
      </c>
      <c r="J661" s="4">
        <f t="shared" si="10"/>
        <v>0</v>
      </c>
      <c r="K661" s="35" t="s">
        <v>1579</v>
      </c>
    </row>
    <row r="662" spans="1:11" ht="15.5" x14ac:dyDescent="0.35">
      <c r="A662" s="5">
        <v>660</v>
      </c>
      <c r="B662" s="6" t="s">
        <v>1412</v>
      </c>
      <c r="C662" s="7" t="s">
        <v>1413</v>
      </c>
      <c r="D662" s="8" t="s">
        <v>128</v>
      </c>
      <c r="E662" s="8">
        <f>SUMIF('Simpanan Wajib'!C:C,'All Simpanan '!C:C,'Simpanan Wajib'!E:E)</f>
        <v>11850000</v>
      </c>
      <c r="F662" s="4">
        <f>SUMIF('Simpanan Pokok'!C:C,'All Simpanan '!C:C,'Simpanan Pokok'!E:E)</f>
        <v>200000</v>
      </c>
      <c r="G662" s="4">
        <f>SUMIF('Simpanan Khusus'!C:C,'All Simpanan '!C:C,'Simpanan Khusus'!E:E)</f>
        <v>800000</v>
      </c>
      <c r="H662" s="4">
        <f>SUMIF('Simpanan Sukarela'!C:C,'All Simpanan '!C:C,'Simpanan Sukarela'!E:E)</f>
        <v>1010371.2479977988</v>
      </c>
      <c r="I662" s="4">
        <f>SUMIF('Simpanan Sukarela Berjangka'!B:B,'All Simpanan '!C:C,'Simpanan Sukarela Berjangka'!K:K)</f>
        <v>0</v>
      </c>
      <c r="J662" s="4">
        <f t="shared" si="10"/>
        <v>13860371.247997798</v>
      </c>
      <c r="K662" s="35" t="s">
        <v>1579</v>
      </c>
    </row>
    <row r="663" spans="1:11" ht="15.5" x14ac:dyDescent="0.35">
      <c r="A663" s="5">
        <v>661</v>
      </c>
      <c r="B663" s="6" t="s">
        <v>1414</v>
      </c>
      <c r="C663" s="7" t="s">
        <v>1415</v>
      </c>
      <c r="D663" s="8" t="s">
        <v>128</v>
      </c>
      <c r="E663" s="8">
        <f>SUMIF('Simpanan Wajib'!C:C,'All Simpanan '!C:C,'Simpanan Wajib'!E:E)</f>
        <v>0</v>
      </c>
      <c r="F663" s="4">
        <f>SUMIF('Simpanan Pokok'!C:C,'All Simpanan '!C:C,'Simpanan Pokok'!E:E)</f>
        <v>0</v>
      </c>
      <c r="G663" s="4">
        <f>SUMIF('Simpanan Khusus'!C:C,'All Simpanan '!C:C,'Simpanan Khusus'!E:E)</f>
        <v>0</v>
      </c>
      <c r="H663" s="4">
        <f>SUMIF('Simpanan Sukarela'!C:C,'All Simpanan '!C:C,'Simpanan Sukarela'!E:E)</f>
        <v>0</v>
      </c>
      <c r="I663" s="4">
        <f>SUMIF('Simpanan Sukarela Berjangka'!B:B,'All Simpanan '!C:C,'Simpanan Sukarela Berjangka'!K:K)</f>
        <v>0</v>
      </c>
      <c r="J663" s="4">
        <f t="shared" si="10"/>
        <v>0</v>
      </c>
      <c r="K663" s="35" t="s">
        <v>1579</v>
      </c>
    </row>
    <row r="664" spans="1:11" ht="15.5" x14ac:dyDescent="0.35">
      <c r="A664" s="5">
        <v>662</v>
      </c>
      <c r="B664" s="6" t="s">
        <v>1416</v>
      </c>
      <c r="C664" s="7" t="s">
        <v>1417</v>
      </c>
      <c r="D664" s="8" t="s">
        <v>303</v>
      </c>
      <c r="E664" s="8">
        <f>SUMIF('Simpanan Wajib'!C:C,'All Simpanan '!C:C,'Simpanan Wajib'!E:E)</f>
        <v>0</v>
      </c>
      <c r="F664" s="4">
        <f>SUMIF('Simpanan Pokok'!C:C,'All Simpanan '!C:C,'Simpanan Pokok'!E:E)</f>
        <v>0</v>
      </c>
      <c r="G664" s="4">
        <f>SUMIF('Simpanan Khusus'!C:C,'All Simpanan '!C:C,'Simpanan Khusus'!E:E)</f>
        <v>0</v>
      </c>
      <c r="H664" s="4">
        <f>SUMIF('Simpanan Sukarela'!C:C,'All Simpanan '!C:C,'Simpanan Sukarela'!E:E)</f>
        <v>0</v>
      </c>
      <c r="I664" s="4">
        <f>SUMIF('Simpanan Sukarela Berjangka'!B:B,'All Simpanan '!C:C,'Simpanan Sukarela Berjangka'!K:K)</f>
        <v>0</v>
      </c>
      <c r="J664" s="4">
        <f t="shared" si="10"/>
        <v>0</v>
      </c>
      <c r="K664" s="35" t="s">
        <v>1579</v>
      </c>
    </row>
    <row r="665" spans="1:11" ht="15.5" x14ac:dyDescent="0.35">
      <c r="A665" s="5">
        <v>663</v>
      </c>
      <c r="B665" s="6" t="s">
        <v>1418</v>
      </c>
      <c r="C665" s="7" t="s">
        <v>1419</v>
      </c>
      <c r="D665" s="8" t="s">
        <v>429</v>
      </c>
      <c r="E665" s="8">
        <f>SUMIF('Simpanan Wajib'!C:C,'All Simpanan '!C:C,'Simpanan Wajib'!E:E)</f>
        <v>10800000</v>
      </c>
      <c r="F665" s="4">
        <f>SUMIF('Simpanan Pokok'!C:C,'All Simpanan '!C:C,'Simpanan Pokok'!E:E)</f>
        <v>0</v>
      </c>
      <c r="G665" s="4">
        <f>SUMIF('Simpanan Khusus'!C:C,'All Simpanan '!C:C,'Simpanan Khusus'!E:E)</f>
        <v>0</v>
      </c>
      <c r="H665" s="4">
        <f>SUMIF('Simpanan Sukarela'!C:C,'All Simpanan '!C:C,'Simpanan Sukarela'!E:E)</f>
        <v>674402.63802341651</v>
      </c>
      <c r="I665" s="4">
        <f>SUMIF('Simpanan Sukarela Berjangka'!B:B,'All Simpanan '!C:C,'Simpanan Sukarela Berjangka'!K:K)</f>
        <v>0</v>
      </c>
      <c r="J665" s="4">
        <f t="shared" si="10"/>
        <v>11474402.638023417</v>
      </c>
      <c r="K665" s="35" t="s">
        <v>1579</v>
      </c>
    </row>
    <row r="666" spans="1:11" ht="15.5" x14ac:dyDescent="0.35">
      <c r="A666" s="5">
        <v>664</v>
      </c>
      <c r="B666" s="6" t="s">
        <v>1420</v>
      </c>
      <c r="C666" s="7" t="s">
        <v>1421</v>
      </c>
      <c r="D666" s="8" t="s">
        <v>429</v>
      </c>
      <c r="E666" s="8">
        <f>SUMIF('Simpanan Wajib'!C:C,'All Simpanan '!C:C,'Simpanan Wajib'!E:E)</f>
        <v>10800000</v>
      </c>
      <c r="F666" s="4">
        <f>SUMIF('Simpanan Pokok'!C:C,'All Simpanan '!C:C,'Simpanan Pokok'!E:E)</f>
        <v>0</v>
      </c>
      <c r="G666" s="4">
        <f>SUMIF('Simpanan Khusus'!C:C,'All Simpanan '!C:C,'Simpanan Khusus'!E:E)</f>
        <v>0</v>
      </c>
      <c r="H666" s="4">
        <f>SUMIF('Simpanan Sukarela'!C:C,'All Simpanan '!C:C,'Simpanan Sukarela'!E:E)</f>
        <v>674402.63802341651</v>
      </c>
      <c r="I666" s="4">
        <f>SUMIF('Simpanan Sukarela Berjangka'!B:B,'All Simpanan '!C:C,'Simpanan Sukarela Berjangka'!K:K)</f>
        <v>0</v>
      </c>
      <c r="J666" s="4">
        <f t="shared" si="10"/>
        <v>11474402.638023417</v>
      </c>
      <c r="K666" s="35" t="s">
        <v>1579</v>
      </c>
    </row>
    <row r="667" spans="1:11" ht="15.5" x14ac:dyDescent="0.35">
      <c r="A667" s="5">
        <v>665</v>
      </c>
      <c r="B667" s="6" t="s">
        <v>1422</v>
      </c>
      <c r="C667" s="7" t="s">
        <v>1423</v>
      </c>
      <c r="D667" s="8" t="s">
        <v>136</v>
      </c>
      <c r="E667" s="8">
        <f>SUMIF('Simpanan Wajib'!C:C,'All Simpanan '!C:C,'Simpanan Wajib'!E:E)</f>
        <v>7100000</v>
      </c>
      <c r="F667" s="4">
        <f>SUMIF('Simpanan Pokok'!C:C,'All Simpanan '!C:C,'Simpanan Pokok'!E:E)</f>
        <v>200000</v>
      </c>
      <c r="G667" s="4">
        <f>SUMIF('Simpanan Khusus'!C:C,'All Simpanan '!C:C,'Simpanan Khusus'!E:E)</f>
        <v>600000</v>
      </c>
      <c r="H667" s="4">
        <f>SUMIF('Simpanan Sukarela'!C:C,'All Simpanan '!C:C,'Simpanan Sukarela'!E:E)</f>
        <v>515978.07407675765</v>
      </c>
      <c r="I667" s="4">
        <f>SUMIF('Simpanan Sukarela Berjangka'!B:B,'All Simpanan '!C:C,'Simpanan Sukarela Berjangka'!K:K)</f>
        <v>0</v>
      </c>
      <c r="J667" s="4">
        <f t="shared" si="10"/>
        <v>8415978.0740767568</v>
      </c>
      <c r="K667" s="35" t="s">
        <v>1579</v>
      </c>
    </row>
    <row r="668" spans="1:11" ht="15.5" x14ac:dyDescent="0.35">
      <c r="A668" s="5">
        <v>666</v>
      </c>
      <c r="B668" s="6" t="s">
        <v>1424</v>
      </c>
      <c r="C668" s="7" t="s">
        <v>1425</v>
      </c>
      <c r="D668" s="8" t="s">
        <v>215</v>
      </c>
      <c r="E668" s="8">
        <f>SUMIF('Simpanan Wajib'!C:C,'All Simpanan '!C:C,'Simpanan Wajib'!E:E)</f>
        <v>11100000</v>
      </c>
      <c r="F668" s="4">
        <f>SUMIF('Simpanan Pokok'!C:C,'All Simpanan '!C:C,'Simpanan Pokok'!E:E)</f>
        <v>0</v>
      </c>
      <c r="G668" s="4">
        <f>SUMIF('Simpanan Khusus'!C:C,'All Simpanan '!C:C,'Simpanan Khusus'!E:E)</f>
        <v>0</v>
      </c>
      <c r="H668" s="4">
        <f>SUMIF('Simpanan Sukarela'!C:C,'All Simpanan '!C:C,'Simpanan Sukarela'!E:E)</f>
        <v>679337.87594562629</v>
      </c>
      <c r="I668" s="4">
        <f>SUMIF('Simpanan Sukarela Berjangka'!B:B,'All Simpanan '!C:C,'Simpanan Sukarela Berjangka'!K:K)</f>
        <v>0</v>
      </c>
      <c r="J668" s="4">
        <f t="shared" si="10"/>
        <v>11779337.875945626</v>
      </c>
      <c r="K668" s="35" t="s">
        <v>1579</v>
      </c>
    </row>
    <row r="669" spans="1:11" ht="15.5" x14ac:dyDescent="0.35">
      <c r="A669" s="5">
        <v>667</v>
      </c>
      <c r="B669" s="6" t="s">
        <v>1426</v>
      </c>
      <c r="C669" s="7" t="s">
        <v>1427</v>
      </c>
      <c r="D669" s="8" t="s">
        <v>215</v>
      </c>
      <c r="E669" s="8">
        <f>SUMIF('Simpanan Wajib'!C:C,'All Simpanan '!C:C,'Simpanan Wajib'!E:E)</f>
        <v>11100000</v>
      </c>
      <c r="F669" s="4">
        <f>SUMIF('Simpanan Pokok'!C:C,'All Simpanan '!C:C,'Simpanan Pokok'!E:E)</f>
        <v>0</v>
      </c>
      <c r="G669" s="4">
        <f>SUMIF('Simpanan Khusus'!C:C,'All Simpanan '!C:C,'Simpanan Khusus'!E:E)</f>
        <v>0</v>
      </c>
      <c r="H669" s="4">
        <f>SUMIF('Simpanan Sukarela'!C:C,'All Simpanan '!C:C,'Simpanan Sukarela'!E:E)</f>
        <v>679337.87594562629</v>
      </c>
      <c r="I669" s="4">
        <f>SUMIF('Simpanan Sukarela Berjangka'!B:B,'All Simpanan '!C:C,'Simpanan Sukarela Berjangka'!K:K)</f>
        <v>0</v>
      </c>
      <c r="J669" s="4">
        <f t="shared" si="10"/>
        <v>11779337.875945626</v>
      </c>
      <c r="K669" s="35" t="s">
        <v>1579</v>
      </c>
    </row>
    <row r="670" spans="1:11" ht="15.5" x14ac:dyDescent="0.35">
      <c r="A670" s="5">
        <v>668</v>
      </c>
      <c r="B670" s="6" t="s">
        <v>1428</v>
      </c>
      <c r="C670" s="7" t="s">
        <v>1429</v>
      </c>
      <c r="D670" s="8" t="s">
        <v>159</v>
      </c>
      <c r="E670" s="8">
        <f>SUMIF('Simpanan Wajib'!C:C,'All Simpanan '!C:C,'Simpanan Wajib'!E:E)</f>
        <v>11100000</v>
      </c>
      <c r="F670" s="4">
        <f>SUMIF('Simpanan Pokok'!C:C,'All Simpanan '!C:C,'Simpanan Pokok'!E:E)</f>
        <v>0</v>
      </c>
      <c r="G670" s="4">
        <f>SUMIF('Simpanan Khusus'!C:C,'All Simpanan '!C:C,'Simpanan Khusus'!E:E)</f>
        <v>0</v>
      </c>
      <c r="H670" s="4">
        <f>SUMIF('Simpanan Sukarela'!C:C,'All Simpanan '!C:C,'Simpanan Sukarela'!E:E)</f>
        <v>667101.34697191813</v>
      </c>
      <c r="I670" s="4">
        <f>SUMIF('Simpanan Sukarela Berjangka'!B:B,'All Simpanan '!C:C,'Simpanan Sukarela Berjangka'!K:K)</f>
        <v>0</v>
      </c>
      <c r="J670" s="4">
        <f t="shared" si="10"/>
        <v>11767101.346971918</v>
      </c>
      <c r="K670" s="35" t="s">
        <v>1579</v>
      </c>
    </row>
    <row r="671" spans="1:11" ht="15.5" x14ac:dyDescent="0.35">
      <c r="A671" s="5">
        <v>669</v>
      </c>
      <c r="B671" s="6" t="s">
        <v>1430</v>
      </c>
      <c r="C671" s="7" t="s">
        <v>1431</v>
      </c>
      <c r="D671" s="8"/>
      <c r="E671" s="8">
        <f>SUMIF('Simpanan Wajib'!C:C,'All Simpanan '!C:C,'Simpanan Wajib'!E:E)</f>
        <v>100000</v>
      </c>
      <c r="F671" s="4">
        <f>SUMIF('Simpanan Pokok'!C:C,'All Simpanan '!C:C,'Simpanan Pokok'!E:E)</f>
        <v>0</v>
      </c>
      <c r="G671" s="4">
        <f>SUMIF('Simpanan Khusus'!C:C,'All Simpanan '!C:C,'Simpanan Khusus'!E:E)</f>
        <v>0</v>
      </c>
      <c r="H671" s="4">
        <f>SUMIF('Simpanan Sukarela'!C:C,'All Simpanan '!C:C,'Simpanan Sukarela'!E:E)</f>
        <v>10343.25</v>
      </c>
      <c r="I671" s="4">
        <f>SUMIF('Simpanan Sukarela Berjangka'!B:B,'All Simpanan '!C:C,'Simpanan Sukarela Berjangka'!K:K)</f>
        <v>0</v>
      </c>
      <c r="J671" s="4">
        <f t="shared" si="10"/>
        <v>110343.25</v>
      </c>
      <c r="K671" s="35" t="s">
        <v>1578</v>
      </c>
    </row>
    <row r="672" spans="1:11" ht="15.5" x14ac:dyDescent="0.35">
      <c r="A672" s="5">
        <v>670</v>
      </c>
      <c r="B672" s="6" t="s">
        <v>1432</v>
      </c>
      <c r="C672" s="7" t="s">
        <v>1433</v>
      </c>
      <c r="D672" s="8" t="s">
        <v>524</v>
      </c>
      <c r="E672" s="8">
        <f>SUMIF('Simpanan Wajib'!C:C,'All Simpanan '!C:C,'Simpanan Wajib'!E:E)</f>
        <v>0</v>
      </c>
      <c r="F672" s="4">
        <f>SUMIF('Simpanan Pokok'!C:C,'All Simpanan '!C:C,'Simpanan Pokok'!E:E)</f>
        <v>0</v>
      </c>
      <c r="G672" s="4">
        <f>SUMIF('Simpanan Khusus'!C:C,'All Simpanan '!C:C,'Simpanan Khusus'!E:E)</f>
        <v>0</v>
      </c>
      <c r="H672" s="4">
        <f>SUMIF('Simpanan Sukarela'!C:C,'All Simpanan '!C:C,'Simpanan Sukarela'!E:E)</f>
        <v>0</v>
      </c>
      <c r="I672" s="4">
        <f>SUMIF('Simpanan Sukarela Berjangka'!B:B,'All Simpanan '!C:C,'Simpanan Sukarela Berjangka'!K:K)</f>
        <v>0</v>
      </c>
      <c r="J672" s="4">
        <f t="shared" si="10"/>
        <v>0</v>
      </c>
      <c r="K672" s="35" t="s">
        <v>1576</v>
      </c>
    </row>
    <row r="673" spans="1:11" ht="15.5" x14ac:dyDescent="0.35">
      <c r="A673" s="5">
        <v>671</v>
      </c>
      <c r="B673" s="6" t="s">
        <v>1434</v>
      </c>
      <c r="C673" s="7" t="s">
        <v>1435</v>
      </c>
      <c r="D673" s="8" t="s">
        <v>136</v>
      </c>
      <c r="E673" s="8">
        <f>SUMIF('Simpanan Wajib'!C:C,'All Simpanan '!C:C,'Simpanan Wajib'!E:E)</f>
        <v>7100000</v>
      </c>
      <c r="F673" s="4">
        <f>SUMIF('Simpanan Pokok'!C:C,'All Simpanan '!C:C,'Simpanan Pokok'!E:E)</f>
        <v>200000</v>
      </c>
      <c r="G673" s="4">
        <f>SUMIF('Simpanan Khusus'!C:C,'All Simpanan '!C:C,'Simpanan Khusus'!E:E)</f>
        <v>1250000</v>
      </c>
      <c r="H673" s="4">
        <f>SUMIF('Simpanan Sukarela'!C:C,'All Simpanan '!C:C,'Simpanan Sukarela'!E:E)</f>
        <v>486745.70500473562</v>
      </c>
      <c r="I673" s="4">
        <f>SUMIF('Simpanan Sukarela Berjangka'!B:B,'All Simpanan '!C:C,'Simpanan Sukarela Berjangka'!K:K)</f>
        <v>0</v>
      </c>
      <c r="J673" s="4">
        <f t="shared" si="10"/>
        <v>9036745.7050047349</v>
      </c>
      <c r="K673" s="35" t="s">
        <v>1579</v>
      </c>
    </row>
    <row r="674" spans="1:11" ht="15.5" x14ac:dyDescent="0.35">
      <c r="A674" s="5">
        <v>672</v>
      </c>
      <c r="B674" s="6" t="s">
        <v>1436</v>
      </c>
      <c r="C674" s="7" t="s">
        <v>1437</v>
      </c>
      <c r="D674" s="8" t="s">
        <v>52</v>
      </c>
      <c r="E674" s="8">
        <f>SUMIF('Simpanan Wajib'!C:C,'All Simpanan '!C:C,'Simpanan Wajib'!E:E)</f>
        <v>100000</v>
      </c>
      <c r="F674" s="4">
        <f>SUMIF('Simpanan Pokok'!C:C,'All Simpanan '!C:C,'Simpanan Pokok'!E:E)</f>
        <v>0</v>
      </c>
      <c r="G674" s="4">
        <f>SUMIF('Simpanan Khusus'!C:C,'All Simpanan '!C:C,'Simpanan Khusus'!E:E)</f>
        <v>0</v>
      </c>
      <c r="H674" s="4">
        <f>SUMIF('Simpanan Sukarela'!C:C,'All Simpanan '!C:C,'Simpanan Sukarela'!E:E)</f>
        <v>72873</v>
      </c>
      <c r="I674" s="4">
        <f>SUMIF('Simpanan Sukarela Berjangka'!B:B,'All Simpanan '!C:C,'Simpanan Sukarela Berjangka'!K:K)</f>
        <v>0</v>
      </c>
      <c r="J674" s="4">
        <f t="shared" si="10"/>
        <v>172873</v>
      </c>
      <c r="K674" s="35" t="s">
        <v>1578</v>
      </c>
    </row>
    <row r="675" spans="1:11" ht="15.5" x14ac:dyDescent="0.35">
      <c r="A675" s="5">
        <v>673</v>
      </c>
      <c r="B675" s="6" t="s">
        <v>1438</v>
      </c>
      <c r="C675" s="7" t="s">
        <v>1439</v>
      </c>
      <c r="D675" s="8" t="s">
        <v>303</v>
      </c>
      <c r="E675" s="8">
        <f>SUMIF('Simpanan Wajib'!C:C,'All Simpanan '!C:C,'Simpanan Wajib'!E:E)</f>
        <v>4900000</v>
      </c>
      <c r="F675" s="4">
        <f>SUMIF('Simpanan Pokok'!C:C,'All Simpanan '!C:C,'Simpanan Pokok'!E:E)</f>
        <v>0</v>
      </c>
      <c r="G675" s="4">
        <f>SUMIF('Simpanan Khusus'!C:C,'All Simpanan '!C:C,'Simpanan Khusus'!E:E)</f>
        <v>0</v>
      </c>
      <c r="H675" s="4">
        <f>SUMIF('Simpanan Sukarela'!C:C,'All Simpanan '!C:C,'Simpanan Sukarela'!E:E)</f>
        <v>316375.81720975612</v>
      </c>
      <c r="I675" s="4">
        <f>SUMIF('Simpanan Sukarela Berjangka'!B:B,'All Simpanan '!C:C,'Simpanan Sukarela Berjangka'!K:K)</f>
        <v>0</v>
      </c>
      <c r="J675" s="4">
        <f t="shared" si="10"/>
        <v>5216375.817209756</v>
      </c>
      <c r="K675" s="35" t="s">
        <v>1579</v>
      </c>
    </row>
    <row r="676" spans="1:11" ht="15.5" x14ac:dyDescent="0.35">
      <c r="A676" s="5">
        <v>674</v>
      </c>
      <c r="B676" s="6" t="s">
        <v>1440</v>
      </c>
      <c r="C676" s="7" t="s">
        <v>1441</v>
      </c>
      <c r="D676" s="8" t="s">
        <v>65</v>
      </c>
      <c r="E676" s="8">
        <f>SUMIF('Simpanan Wajib'!C:C,'All Simpanan '!C:C,'Simpanan Wajib'!E:E)</f>
        <v>6600000</v>
      </c>
      <c r="F676" s="4">
        <f>SUMIF('Simpanan Pokok'!C:C,'All Simpanan '!C:C,'Simpanan Pokok'!E:E)</f>
        <v>0</v>
      </c>
      <c r="G676" s="4">
        <f>SUMIF('Simpanan Khusus'!C:C,'All Simpanan '!C:C,'Simpanan Khusus'!E:E)</f>
        <v>0</v>
      </c>
      <c r="H676" s="4">
        <f>SUMIF('Simpanan Sukarela'!C:C,'All Simpanan '!C:C,'Simpanan Sukarela'!E:E)</f>
        <v>323078.83420773339</v>
      </c>
      <c r="I676" s="4">
        <f>SUMIF('Simpanan Sukarela Berjangka'!B:B,'All Simpanan '!C:C,'Simpanan Sukarela Berjangka'!K:K)</f>
        <v>0</v>
      </c>
      <c r="J676" s="4">
        <f t="shared" si="10"/>
        <v>6923078.8342077332</v>
      </c>
      <c r="K676" s="35" t="s">
        <v>1579</v>
      </c>
    </row>
    <row r="677" spans="1:11" ht="15.5" x14ac:dyDescent="0.35">
      <c r="A677" s="5">
        <v>675</v>
      </c>
      <c r="B677" s="6" t="s">
        <v>1442</v>
      </c>
      <c r="C677" s="7" t="s">
        <v>1443</v>
      </c>
      <c r="D677" s="8" t="s">
        <v>1444</v>
      </c>
      <c r="E677" s="8">
        <f>SUMIF('Simpanan Wajib'!C:C,'All Simpanan '!C:C,'Simpanan Wajib'!E:E)</f>
        <v>9300000</v>
      </c>
      <c r="F677" s="4">
        <f>SUMIF('Simpanan Pokok'!C:C,'All Simpanan '!C:C,'Simpanan Pokok'!E:E)</f>
        <v>0</v>
      </c>
      <c r="G677" s="4">
        <f>SUMIF('Simpanan Khusus'!C:C,'All Simpanan '!C:C,'Simpanan Khusus'!E:E)</f>
        <v>750000</v>
      </c>
      <c r="H677" s="4">
        <f>SUMIF('Simpanan Sukarela'!C:C,'All Simpanan '!C:C,'Simpanan Sukarela'!E:E)</f>
        <v>404293.96977295791</v>
      </c>
      <c r="I677" s="4">
        <f>SUMIF('Simpanan Sukarela Berjangka'!B:B,'All Simpanan '!C:C,'Simpanan Sukarela Berjangka'!K:K)</f>
        <v>0</v>
      </c>
      <c r="J677" s="4">
        <f t="shared" si="10"/>
        <v>10454293.969772957</v>
      </c>
      <c r="K677" s="35" t="s">
        <v>1579</v>
      </c>
    </row>
    <row r="678" spans="1:11" ht="15.5" x14ac:dyDescent="0.35">
      <c r="A678" s="5">
        <v>676</v>
      </c>
      <c r="B678" s="6" t="s">
        <v>1445</v>
      </c>
      <c r="C678" s="7" t="s">
        <v>1446</v>
      </c>
      <c r="D678" s="8" t="s">
        <v>136</v>
      </c>
      <c r="E678" s="8">
        <f>SUMIF('Simpanan Wajib'!C:C,'All Simpanan '!C:C,'Simpanan Wajib'!E:E)</f>
        <v>0</v>
      </c>
      <c r="F678" s="4">
        <f>SUMIF('Simpanan Pokok'!C:C,'All Simpanan '!C:C,'Simpanan Pokok'!E:E)</f>
        <v>200000</v>
      </c>
      <c r="G678" s="4">
        <f>SUMIF('Simpanan Khusus'!C:C,'All Simpanan '!C:C,'Simpanan Khusus'!E:E)</f>
        <v>0</v>
      </c>
      <c r="H678" s="4">
        <f>SUMIF('Simpanan Sukarela'!C:C,'All Simpanan '!C:C,'Simpanan Sukarela'!E:E)</f>
        <v>0</v>
      </c>
      <c r="I678" s="4">
        <f>SUMIF('Simpanan Sukarela Berjangka'!B:B,'All Simpanan '!C:C,'Simpanan Sukarela Berjangka'!K:K)</f>
        <v>0</v>
      </c>
      <c r="J678" s="4">
        <f t="shared" si="10"/>
        <v>200000</v>
      </c>
      <c r="K678" s="35" t="s">
        <v>1576</v>
      </c>
    </row>
    <row r="679" spans="1:11" ht="15.5" x14ac:dyDescent="0.35">
      <c r="A679" s="5">
        <v>677</v>
      </c>
      <c r="B679" s="6" t="s">
        <v>1447</v>
      </c>
      <c r="C679" s="7" t="s">
        <v>1448</v>
      </c>
      <c r="D679" s="8" t="s">
        <v>751</v>
      </c>
      <c r="E679" s="8">
        <f>SUMIF('Simpanan Wajib'!C:C,'All Simpanan '!C:C,'Simpanan Wajib'!E:E)</f>
        <v>0</v>
      </c>
      <c r="F679" s="4">
        <f>SUMIF('Simpanan Pokok'!C:C,'All Simpanan '!C:C,'Simpanan Pokok'!E:E)</f>
        <v>0</v>
      </c>
      <c r="G679" s="4">
        <f>SUMIF('Simpanan Khusus'!C:C,'All Simpanan '!C:C,'Simpanan Khusus'!E:E)</f>
        <v>0</v>
      </c>
      <c r="H679" s="4">
        <f>SUMIF('Simpanan Sukarela'!C:C,'All Simpanan '!C:C,'Simpanan Sukarela'!E:E)</f>
        <v>0</v>
      </c>
      <c r="I679" s="4">
        <f>SUMIF('Simpanan Sukarela Berjangka'!B:B,'All Simpanan '!C:C,'Simpanan Sukarela Berjangka'!K:K)</f>
        <v>0</v>
      </c>
      <c r="J679" s="4">
        <f t="shared" si="10"/>
        <v>0</v>
      </c>
      <c r="K679" s="35" t="s">
        <v>1579</v>
      </c>
    </row>
    <row r="680" spans="1:11" ht="15.5" x14ac:dyDescent="0.35">
      <c r="A680" s="5">
        <v>678</v>
      </c>
      <c r="B680" s="6" t="s">
        <v>1449</v>
      </c>
      <c r="C680" s="7" t="s">
        <v>1450</v>
      </c>
      <c r="D680" s="8" t="s">
        <v>751</v>
      </c>
      <c r="E680" s="8">
        <f>SUMIF('Simpanan Wajib'!C:C,'All Simpanan '!C:C,'Simpanan Wajib'!E:E)</f>
        <v>6000000</v>
      </c>
      <c r="F680" s="4">
        <f>SUMIF('Simpanan Pokok'!C:C,'All Simpanan '!C:C,'Simpanan Pokok'!E:E)</f>
        <v>0</v>
      </c>
      <c r="G680" s="4">
        <f>SUMIF('Simpanan Khusus'!C:C,'All Simpanan '!C:C,'Simpanan Khusus'!E:E)</f>
        <v>0</v>
      </c>
      <c r="H680" s="4">
        <f>SUMIF('Simpanan Sukarela'!C:C,'All Simpanan '!C:C,'Simpanan Sukarela'!E:E)</f>
        <v>218980.53628388816</v>
      </c>
      <c r="I680" s="4">
        <f>SUMIF('Simpanan Sukarela Berjangka'!B:B,'All Simpanan '!C:C,'Simpanan Sukarela Berjangka'!K:K)</f>
        <v>0</v>
      </c>
      <c r="J680" s="4">
        <f t="shared" si="10"/>
        <v>6218980.5362838879</v>
      </c>
      <c r="K680" s="35" t="s">
        <v>1579</v>
      </c>
    </row>
    <row r="681" spans="1:11" ht="15.5" x14ac:dyDescent="0.35">
      <c r="A681" s="5">
        <v>679</v>
      </c>
      <c r="B681" s="6" t="s">
        <v>1451</v>
      </c>
      <c r="C681" s="7" t="s">
        <v>1452</v>
      </c>
      <c r="D681" s="8" t="s">
        <v>136</v>
      </c>
      <c r="E681" s="8">
        <f>SUMIF('Simpanan Wajib'!C:C,'All Simpanan '!C:C,'Simpanan Wajib'!E:E)</f>
        <v>0</v>
      </c>
      <c r="F681" s="4">
        <f>SUMIF('Simpanan Pokok'!C:C,'All Simpanan '!C:C,'Simpanan Pokok'!E:E)</f>
        <v>0</v>
      </c>
      <c r="G681" s="4">
        <f>SUMIF('Simpanan Khusus'!C:C,'All Simpanan '!C:C,'Simpanan Khusus'!E:E)</f>
        <v>0</v>
      </c>
      <c r="H681" s="4">
        <f>SUMIF('Simpanan Sukarela'!C:C,'All Simpanan '!C:C,'Simpanan Sukarela'!E:E)</f>
        <v>71658.764089283562</v>
      </c>
      <c r="I681" s="4">
        <f>SUMIF('Simpanan Sukarela Berjangka'!B:B,'All Simpanan '!C:C,'Simpanan Sukarela Berjangka'!K:K)</f>
        <v>0</v>
      </c>
      <c r="J681" s="4">
        <f t="shared" si="10"/>
        <v>71658.764089283562</v>
      </c>
      <c r="K681" s="35" t="s">
        <v>1576</v>
      </c>
    </row>
    <row r="682" spans="1:11" ht="15.5" x14ac:dyDescent="0.35">
      <c r="A682" s="5">
        <v>680</v>
      </c>
      <c r="B682" s="6" t="s">
        <v>1453</v>
      </c>
      <c r="C682" s="7" t="s">
        <v>1454</v>
      </c>
      <c r="D682" s="8" t="s">
        <v>321</v>
      </c>
      <c r="E682" s="8">
        <f>SUMIF('Simpanan Wajib'!C:C,'All Simpanan '!C:C,'Simpanan Wajib'!E:E)</f>
        <v>9300000</v>
      </c>
      <c r="F682" s="4">
        <f>SUMIF('Simpanan Pokok'!C:C,'All Simpanan '!C:C,'Simpanan Pokok'!E:E)</f>
        <v>0</v>
      </c>
      <c r="G682" s="4">
        <f>SUMIF('Simpanan Khusus'!C:C,'All Simpanan '!C:C,'Simpanan Khusus'!E:E)</f>
        <v>0</v>
      </c>
      <c r="H682" s="4">
        <f>SUMIF('Simpanan Sukarela'!C:C,'All Simpanan '!C:C,'Simpanan Sukarela'!E:E)</f>
        <v>375098.2311058765</v>
      </c>
      <c r="I682" s="4">
        <f>SUMIF('Simpanan Sukarela Berjangka'!B:B,'All Simpanan '!C:C,'Simpanan Sukarela Berjangka'!K:K)</f>
        <v>0</v>
      </c>
      <c r="J682" s="4">
        <f t="shared" si="10"/>
        <v>9675098.2311058771</v>
      </c>
      <c r="K682" s="35" t="s">
        <v>1579</v>
      </c>
    </row>
    <row r="683" spans="1:11" ht="15.5" x14ac:dyDescent="0.35">
      <c r="A683" s="5">
        <v>681</v>
      </c>
      <c r="B683" s="6" t="s">
        <v>1455</v>
      </c>
      <c r="C683" s="7" t="s">
        <v>1456</v>
      </c>
      <c r="D683" s="8" t="s">
        <v>22</v>
      </c>
      <c r="E683" s="8">
        <f>SUMIF('Simpanan Wajib'!C:C,'All Simpanan '!C:C,'Simpanan Wajib'!E:E)</f>
        <v>9300000</v>
      </c>
      <c r="F683" s="4">
        <f>SUMIF('Simpanan Pokok'!C:C,'All Simpanan '!C:C,'Simpanan Pokok'!E:E)</f>
        <v>0</v>
      </c>
      <c r="G683" s="4">
        <f>SUMIF('Simpanan Khusus'!C:C,'All Simpanan '!C:C,'Simpanan Khusus'!E:E)</f>
        <v>0</v>
      </c>
      <c r="H683" s="4">
        <f>SUMIF('Simpanan Sukarela'!C:C,'All Simpanan '!C:C,'Simpanan Sukarela'!E:E)</f>
        <v>375098.2311058765</v>
      </c>
      <c r="I683" s="4">
        <f>SUMIF('Simpanan Sukarela Berjangka'!B:B,'All Simpanan '!C:C,'Simpanan Sukarela Berjangka'!K:K)</f>
        <v>259999999.99000001</v>
      </c>
      <c r="J683" s="4">
        <f t="shared" si="10"/>
        <v>269675098.22110587</v>
      </c>
      <c r="K683" s="35" t="s">
        <v>1579</v>
      </c>
    </row>
    <row r="684" spans="1:11" ht="15.5" x14ac:dyDescent="0.35">
      <c r="A684" s="5">
        <v>682</v>
      </c>
      <c r="B684" s="6" t="s">
        <v>1457</v>
      </c>
      <c r="C684" s="7" t="s">
        <v>34</v>
      </c>
      <c r="D684" s="8" t="s">
        <v>238</v>
      </c>
      <c r="E684" s="8">
        <f>SUMIF('Simpanan Wajib'!C:C,'All Simpanan '!C:C,'Simpanan Wajib'!E:E)</f>
        <v>9300000</v>
      </c>
      <c r="F684" s="4">
        <f>SUMIF('Simpanan Pokok'!C:C,'All Simpanan '!C:C,'Simpanan Pokok'!E:E)</f>
        <v>0</v>
      </c>
      <c r="G684" s="4">
        <f>SUMIF('Simpanan Khusus'!C:C,'All Simpanan '!C:C,'Simpanan Khusus'!E:E)</f>
        <v>750000</v>
      </c>
      <c r="H684" s="4">
        <f>SUMIF('Simpanan Sukarela'!C:C,'All Simpanan '!C:C,'Simpanan Sukarela'!E:E)</f>
        <v>386475.07673264307</v>
      </c>
      <c r="I684" s="4">
        <f>SUMIF('Simpanan Sukarela Berjangka'!B:B,'All Simpanan '!C:C,'Simpanan Sukarela Berjangka'!K:K)</f>
        <v>106750000</v>
      </c>
      <c r="J684" s="4">
        <f t="shared" si="10"/>
        <v>117186475.07673264</v>
      </c>
      <c r="K684" s="35" t="s">
        <v>1579</v>
      </c>
    </row>
    <row r="685" spans="1:11" ht="15.5" x14ac:dyDescent="0.35">
      <c r="A685" s="5">
        <v>683</v>
      </c>
      <c r="B685" s="6" t="s">
        <v>1458</v>
      </c>
      <c r="C685" s="7" t="s">
        <v>1459</v>
      </c>
      <c r="D685" s="8" t="s">
        <v>303</v>
      </c>
      <c r="E685" s="8">
        <f>SUMIF('Simpanan Wajib'!C:C,'All Simpanan '!C:C,'Simpanan Wajib'!E:E)</f>
        <v>9300000</v>
      </c>
      <c r="F685" s="4">
        <f>SUMIF('Simpanan Pokok'!C:C,'All Simpanan '!C:C,'Simpanan Pokok'!E:E)</f>
        <v>0</v>
      </c>
      <c r="G685" s="4">
        <f>SUMIF('Simpanan Khusus'!C:C,'All Simpanan '!C:C,'Simpanan Khusus'!E:E)</f>
        <v>0</v>
      </c>
      <c r="H685" s="4">
        <f>SUMIF('Simpanan Sukarela'!C:C,'All Simpanan '!C:C,'Simpanan Sukarela'!E:E)</f>
        <v>375098.2311058765</v>
      </c>
      <c r="I685" s="4">
        <f>SUMIF('Simpanan Sukarela Berjangka'!B:B,'All Simpanan '!C:C,'Simpanan Sukarela Berjangka'!K:K)</f>
        <v>0</v>
      </c>
      <c r="J685" s="4">
        <f t="shared" si="10"/>
        <v>9675098.2311058771</v>
      </c>
      <c r="K685" s="35" t="s">
        <v>1579</v>
      </c>
    </row>
    <row r="686" spans="1:11" ht="15.5" x14ac:dyDescent="0.35">
      <c r="A686" s="5">
        <v>684</v>
      </c>
      <c r="B686" s="6" t="s">
        <v>1460</v>
      </c>
      <c r="C686" s="7" t="s">
        <v>1461</v>
      </c>
      <c r="D686" s="8" t="s">
        <v>80</v>
      </c>
      <c r="E686" s="8">
        <f>SUMIF('Simpanan Wajib'!C:C,'All Simpanan '!C:C,'Simpanan Wajib'!E:E)</f>
        <v>150000</v>
      </c>
      <c r="F686" s="4">
        <f>SUMIF('Simpanan Pokok'!C:C,'All Simpanan '!C:C,'Simpanan Pokok'!E:E)</f>
        <v>0</v>
      </c>
      <c r="G686" s="4">
        <f>SUMIF('Simpanan Khusus'!C:C,'All Simpanan '!C:C,'Simpanan Khusus'!E:E)</f>
        <v>0</v>
      </c>
      <c r="H686" s="4">
        <f>SUMIF('Simpanan Sukarela'!C:C,'All Simpanan '!C:C,'Simpanan Sukarela'!E:E)</f>
        <v>0</v>
      </c>
      <c r="I686" s="4">
        <f>SUMIF('Simpanan Sukarela Berjangka'!B:B,'All Simpanan '!C:C,'Simpanan Sukarela Berjangka'!K:K)</f>
        <v>0</v>
      </c>
      <c r="J686" s="4">
        <f t="shared" si="10"/>
        <v>150000</v>
      </c>
      <c r="K686" s="35" t="s">
        <v>1576</v>
      </c>
    </row>
    <row r="687" spans="1:11" ht="15.5" x14ac:dyDescent="0.35">
      <c r="A687" s="5">
        <v>685</v>
      </c>
      <c r="B687" s="6" t="s">
        <v>1462</v>
      </c>
      <c r="C687" s="7" t="s">
        <v>1463</v>
      </c>
      <c r="D687" s="8" t="s">
        <v>80</v>
      </c>
      <c r="E687" s="8">
        <f>SUMIF('Simpanan Wajib'!C:C,'All Simpanan '!C:C,'Simpanan Wajib'!E:E)</f>
        <v>0</v>
      </c>
      <c r="F687" s="4">
        <f>SUMIF('Simpanan Pokok'!C:C,'All Simpanan '!C:C,'Simpanan Pokok'!E:E)</f>
        <v>0</v>
      </c>
      <c r="G687" s="4">
        <f>SUMIF('Simpanan Khusus'!C:C,'All Simpanan '!C:C,'Simpanan Khusus'!E:E)</f>
        <v>0</v>
      </c>
      <c r="H687" s="4">
        <f>SUMIF('Simpanan Sukarela'!C:C,'All Simpanan '!C:C,'Simpanan Sukarela'!E:E)</f>
        <v>43822</v>
      </c>
      <c r="I687" s="4">
        <f>SUMIF('Simpanan Sukarela Berjangka'!B:B,'All Simpanan '!C:C,'Simpanan Sukarela Berjangka'!K:K)</f>
        <v>0</v>
      </c>
      <c r="J687" s="4">
        <f t="shared" si="10"/>
        <v>43822</v>
      </c>
      <c r="K687" s="35" t="s">
        <v>1578</v>
      </c>
    </row>
    <row r="688" spans="1:11" ht="15.5" x14ac:dyDescent="0.35">
      <c r="A688" s="5">
        <v>686</v>
      </c>
      <c r="B688" s="6" t="s">
        <v>1464</v>
      </c>
      <c r="C688" s="7" t="s">
        <v>1465</v>
      </c>
      <c r="D688" s="8" t="s">
        <v>80</v>
      </c>
      <c r="E688" s="8">
        <f>SUMIF('Simpanan Wajib'!C:C,'All Simpanan '!C:C,'Simpanan Wajib'!E:E)</f>
        <v>150000</v>
      </c>
      <c r="F688" s="4">
        <f>SUMIF('Simpanan Pokok'!C:C,'All Simpanan '!C:C,'Simpanan Pokok'!E:E)</f>
        <v>0</v>
      </c>
      <c r="G688" s="4">
        <f>SUMIF('Simpanan Khusus'!C:C,'All Simpanan '!C:C,'Simpanan Khusus'!E:E)</f>
        <v>0</v>
      </c>
      <c r="H688" s="4">
        <f>SUMIF('Simpanan Sukarela'!C:C,'All Simpanan '!C:C,'Simpanan Sukarela'!E:E)</f>
        <v>0</v>
      </c>
      <c r="I688" s="4">
        <f>SUMIF('Simpanan Sukarela Berjangka'!B:B,'All Simpanan '!C:C,'Simpanan Sukarela Berjangka'!K:K)</f>
        <v>0</v>
      </c>
      <c r="J688" s="4">
        <f t="shared" si="10"/>
        <v>150000</v>
      </c>
      <c r="K688" s="35" t="s">
        <v>1576</v>
      </c>
    </row>
    <row r="689" spans="1:11" ht="15.5" x14ac:dyDescent="0.35">
      <c r="A689" s="5">
        <v>687</v>
      </c>
      <c r="B689" s="6" t="s">
        <v>1466</v>
      </c>
      <c r="C689" s="7" t="s">
        <v>1467</v>
      </c>
      <c r="D689" s="8" t="s">
        <v>238</v>
      </c>
      <c r="E689" s="8">
        <f>SUMIF('Simpanan Wajib'!C:C,'All Simpanan '!C:C,'Simpanan Wajib'!E:E)</f>
        <v>9300000</v>
      </c>
      <c r="F689" s="4">
        <f>SUMIF('Simpanan Pokok'!C:C,'All Simpanan '!C:C,'Simpanan Pokok'!E:E)</f>
        <v>0</v>
      </c>
      <c r="G689" s="4">
        <f>SUMIF('Simpanan Khusus'!C:C,'All Simpanan '!C:C,'Simpanan Khusus'!E:E)</f>
        <v>0</v>
      </c>
      <c r="H689" s="4">
        <f>SUMIF('Simpanan Sukarela'!C:C,'All Simpanan '!C:C,'Simpanan Sukarela'!E:E)</f>
        <v>375098.2311058765</v>
      </c>
      <c r="I689" s="4">
        <f>SUMIF('Simpanan Sukarela Berjangka'!B:B,'All Simpanan '!C:C,'Simpanan Sukarela Berjangka'!K:K)</f>
        <v>0</v>
      </c>
      <c r="J689" s="4">
        <f t="shared" si="10"/>
        <v>9675098.2311058771</v>
      </c>
      <c r="K689" s="35" t="s">
        <v>1579</v>
      </c>
    </row>
    <row r="690" spans="1:11" ht="15.5" x14ac:dyDescent="0.35">
      <c r="A690" s="5">
        <v>688</v>
      </c>
      <c r="B690" s="6" t="s">
        <v>1468</v>
      </c>
      <c r="C690" s="7" t="s">
        <v>1469</v>
      </c>
      <c r="D690" s="8" t="s">
        <v>119</v>
      </c>
      <c r="E690" s="8">
        <f>SUMIF('Simpanan Wajib'!C:C,'All Simpanan '!C:C,'Simpanan Wajib'!E:E)</f>
        <v>9300000</v>
      </c>
      <c r="F690" s="4">
        <f>SUMIF('Simpanan Pokok'!C:C,'All Simpanan '!C:C,'Simpanan Pokok'!E:E)</f>
        <v>0</v>
      </c>
      <c r="G690" s="4">
        <f>SUMIF('Simpanan Khusus'!C:C,'All Simpanan '!C:C,'Simpanan Khusus'!E:E)</f>
        <v>0</v>
      </c>
      <c r="H690" s="4">
        <f>SUMIF('Simpanan Sukarela'!C:C,'All Simpanan '!C:C,'Simpanan Sukarela'!E:E)</f>
        <v>375098.2311058765</v>
      </c>
      <c r="I690" s="4">
        <f>SUMIF('Simpanan Sukarela Berjangka'!B:B,'All Simpanan '!C:C,'Simpanan Sukarela Berjangka'!K:K)</f>
        <v>0</v>
      </c>
      <c r="J690" s="4">
        <f t="shared" si="10"/>
        <v>9675098.2311058771</v>
      </c>
      <c r="K690" s="35" t="s">
        <v>1579</v>
      </c>
    </row>
    <row r="691" spans="1:11" ht="15.5" x14ac:dyDescent="0.35">
      <c r="A691" s="5">
        <v>689</v>
      </c>
      <c r="B691" s="6" t="s">
        <v>1470</v>
      </c>
      <c r="C691" s="7" t="s">
        <v>1471</v>
      </c>
      <c r="D691" s="8" t="s">
        <v>318</v>
      </c>
      <c r="E691" s="8">
        <f>SUMIF('Simpanan Wajib'!C:C,'All Simpanan '!C:C,'Simpanan Wajib'!E:E)</f>
        <v>0</v>
      </c>
      <c r="F691" s="4">
        <f>SUMIF('Simpanan Pokok'!C:C,'All Simpanan '!C:C,'Simpanan Pokok'!E:E)</f>
        <v>0</v>
      </c>
      <c r="G691" s="4">
        <f>SUMIF('Simpanan Khusus'!C:C,'All Simpanan '!C:C,'Simpanan Khusus'!E:E)</f>
        <v>0</v>
      </c>
      <c r="H691" s="4">
        <f>SUMIF('Simpanan Sukarela'!C:C,'All Simpanan '!C:C,'Simpanan Sukarela'!E:E)</f>
        <v>0</v>
      </c>
      <c r="I691" s="4">
        <f>SUMIF('Simpanan Sukarela Berjangka'!B:B,'All Simpanan '!C:C,'Simpanan Sukarela Berjangka'!K:K)</f>
        <v>0</v>
      </c>
      <c r="J691" s="4">
        <f t="shared" si="10"/>
        <v>0</v>
      </c>
      <c r="K691" s="35" t="s">
        <v>1579</v>
      </c>
    </row>
    <row r="692" spans="1:11" ht="15.5" x14ac:dyDescent="0.35">
      <c r="A692" s="5">
        <v>690</v>
      </c>
      <c r="B692" s="6" t="s">
        <v>1472</v>
      </c>
      <c r="C692" s="7" t="s">
        <v>1473</v>
      </c>
      <c r="D692" s="8" t="s">
        <v>551</v>
      </c>
      <c r="E692" s="8">
        <f>SUMIF('Simpanan Wajib'!C:C,'All Simpanan '!C:C,'Simpanan Wajib'!E:E)</f>
        <v>0</v>
      </c>
      <c r="F692" s="4">
        <f>SUMIF('Simpanan Pokok'!C:C,'All Simpanan '!C:C,'Simpanan Pokok'!E:E)</f>
        <v>0</v>
      </c>
      <c r="G692" s="4">
        <f>SUMIF('Simpanan Khusus'!C:C,'All Simpanan '!C:C,'Simpanan Khusus'!E:E)</f>
        <v>0</v>
      </c>
      <c r="H692" s="4">
        <f>SUMIF('Simpanan Sukarela'!C:C,'All Simpanan '!C:C,'Simpanan Sukarela'!E:E)</f>
        <v>86904</v>
      </c>
      <c r="I692" s="4">
        <f>SUMIF('Simpanan Sukarela Berjangka'!B:B,'All Simpanan '!C:C,'Simpanan Sukarela Berjangka'!K:K)</f>
        <v>0</v>
      </c>
      <c r="J692" s="4">
        <f t="shared" si="10"/>
        <v>86904</v>
      </c>
      <c r="K692" s="35" t="s">
        <v>1578</v>
      </c>
    </row>
    <row r="693" spans="1:11" ht="15.5" x14ac:dyDescent="0.35">
      <c r="A693" s="5">
        <v>691</v>
      </c>
      <c r="B693" s="6" t="s">
        <v>1474</v>
      </c>
      <c r="C693" s="7" t="s">
        <v>1475</v>
      </c>
      <c r="D693" s="8" t="s">
        <v>1444</v>
      </c>
      <c r="E693" s="8">
        <f>SUMIF('Simpanan Wajib'!C:C,'All Simpanan '!C:C,'Simpanan Wajib'!E:E)</f>
        <v>0</v>
      </c>
      <c r="F693" s="4">
        <f>SUMIF('Simpanan Pokok'!C:C,'All Simpanan '!C:C,'Simpanan Pokok'!E:E)</f>
        <v>0</v>
      </c>
      <c r="G693" s="4">
        <f>SUMIF('Simpanan Khusus'!C:C,'All Simpanan '!C:C,'Simpanan Khusus'!E:E)</f>
        <v>0</v>
      </c>
      <c r="H693" s="4">
        <f>SUMIF('Simpanan Sukarela'!C:C,'All Simpanan '!C:C,'Simpanan Sukarela'!E:E)</f>
        <v>0</v>
      </c>
      <c r="I693" s="4">
        <f>SUMIF('Simpanan Sukarela Berjangka'!B:B,'All Simpanan '!C:C,'Simpanan Sukarela Berjangka'!K:K)</f>
        <v>0</v>
      </c>
      <c r="J693" s="4">
        <f t="shared" si="10"/>
        <v>0</v>
      </c>
      <c r="K693" s="35" t="s">
        <v>1579</v>
      </c>
    </row>
    <row r="694" spans="1:11" ht="15.5" x14ac:dyDescent="0.35">
      <c r="A694" s="5">
        <v>692</v>
      </c>
      <c r="B694" s="6" t="s">
        <v>1476</v>
      </c>
      <c r="C694" s="7" t="s">
        <v>1477</v>
      </c>
      <c r="D694" s="8" t="s">
        <v>1478</v>
      </c>
      <c r="E694" s="8">
        <f>SUMIF('Simpanan Wajib'!C:C,'All Simpanan '!C:C,'Simpanan Wajib'!E:E)</f>
        <v>9300000</v>
      </c>
      <c r="F694" s="4">
        <f>SUMIF('Simpanan Pokok'!C:C,'All Simpanan '!C:C,'Simpanan Pokok'!E:E)</f>
        <v>0</v>
      </c>
      <c r="G694" s="4">
        <f>SUMIF('Simpanan Khusus'!C:C,'All Simpanan '!C:C,'Simpanan Khusus'!E:E)</f>
        <v>500000</v>
      </c>
      <c r="H694" s="4">
        <f>SUMIF('Simpanan Sukarela'!C:C,'All Simpanan '!C:C,'Simpanan Sukarela'!E:E)</f>
        <v>381801.24810385372</v>
      </c>
      <c r="I694" s="4">
        <f>SUMIF('Simpanan Sukarela Berjangka'!B:B,'All Simpanan '!C:C,'Simpanan Sukarela Berjangka'!K:K)</f>
        <v>0</v>
      </c>
      <c r="J694" s="4">
        <f t="shared" si="10"/>
        <v>10181801.248103853</v>
      </c>
      <c r="K694" s="35" t="s">
        <v>1579</v>
      </c>
    </row>
    <row r="695" spans="1:11" ht="15.5" x14ac:dyDescent="0.35">
      <c r="A695" s="5">
        <v>693</v>
      </c>
      <c r="B695" s="6" t="s">
        <v>1479</v>
      </c>
      <c r="C695" s="7" t="s">
        <v>1480</v>
      </c>
      <c r="D695" s="8" t="s">
        <v>116</v>
      </c>
      <c r="E695" s="8">
        <f>SUMIF('Simpanan Wajib'!C:C,'All Simpanan '!C:C,'Simpanan Wajib'!E:E)</f>
        <v>9300000</v>
      </c>
      <c r="F695" s="4">
        <f>SUMIF('Simpanan Pokok'!C:C,'All Simpanan '!C:C,'Simpanan Pokok'!E:E)</f>
        <v>0</v>
      </c>
      <c r="G695" s="4">
        <f>SUMIF('Simpanan Khusus'!C:C,'All Simpanan '!C:C,'Simpanan Khusus'!E:E)</f>
        <v>0</v>
      </c>
      <c r="H695" s="4">
        <f>SUMIF('Simpanan Sukarela'!C:C,'All Simpanan '!C:C,'Simpanan Sukarela'!E:E)</f>
        <v>375098.2311058765</v>
      </c>
      <c r="I695" s="4">
        <f>SUMIF('Simpanan Sukarela Berjangka'!B:B,'All Simpanan '!C:C,'Simpanan Sukarela Berjangka'!K:K)</f>
        <v>0</v>
      </c>
      <c r="J695" s="4">
        <f t="shared" si="10"/>
        <v>9675098.2311058771</v>
      </c>
      <c r="K695" s="35" t="s">
        <v>1579</v>
      </c>
    </row>
    <row r="696" spans="1:11" ht="15.5" x14ac:dyDescent="0.35">
      <c r="A696" s="5">
        <v>694</v>
      </c>
      <c r="B696" s="6" t="s">
        <v>1481</v>
      </c>
      <c r="C696" s="7" t="s">
        <v>1482</v>
      </c>
      <c r="D696" s="8" t="s">
        <v>131</v>
      </c>
      <c r="E696" s="8">
        <f>SUMIF('Simpanan Wajib'!C:C,'All Simpanan '!C:C,'Simpanan Wajib'!E:E)</f>
        <v>9300000</v>
      </c>
      <c r="F696" s="4">
        <f>SUMIF('Simpanan Pokok'!C:C,'All Simpanan '!C:C,'Simpanan Pokok'!E:E)</f>
        <v>0</v>
      </c>
      <c r="G696" s="4">
        <f>SUMIF('Simpanan Khusus'!C:C,'All Simpanan '!C:C,'Simpanan Khusus'!E:E)</f>
        <v>0</v>
      </c>
      <c r="H696" s="4">
        <f>SUMIF('Simpanan Sukarela'!C:C,'All Simpanan '!C:C,'Simpanan Sukarela'!E:E)</f>
        <v>375098.2311058765</v>
      </c>
      <c r="I696" s="4">
        <f>SUMIF('Simpanan Sukarela Berjangka'!B:B,'All Simpanan '!C:C,'Simpanan Sukarela Berjangka'!K:K)</f>
        <v>0</v>
      </c>
      <c r="J696" s="4">
        <f t="shared" si="10"/>
        <v>9675098.2311058771</v>
      </c>
      <c r="K696" s="35" t="s">
        <v>1579</v>
      </c>
    </row>
    <row r="697" spans="1:11" ht="15.5" x14ac:dyDescent="0.35">
      <c r="A697" s="5">
        <v>695</v>
      </c>
      <c r="B697" s="6" t="s">
        <v>1483</v>
      </c>
      <c r="C697" s="7" t="s">
        <v>1484</v>
      </c>
      <c r="D697" s="8" t="s">
        <v>22</v>
      </c>
      <c r="E697" s="8">
        <f>SUMIF('Simpanan Wajib'!C:C,'All Simpanan '!C:C,'Simpanan Wajib'!E:E)</f>
        <v>9300000</v>
      </c>
      <c r="F697" s="4">
        <f>SUMIF('Simpanan Pokok'!C:C,'All Simpanan '!C:C,'Simpanan Pokok'!E:E)</f>
        <v>0</v>
      </c>
      <c r="G697" s="4">
        <f>SUMIF('Simpanan Khusus'!C:C,'All Simpanan '!C:C,'Simpanan Khusus'!E:E)</f>
        <v>0</v>
      </c>
      <c r="H697" s="4">
        <f>SUMIF('Simpanan Sukarela'!C:C,'All Simpanan '!C:C,'Simpanan Sukarela'!E:E)</f>
        <v>375098.2311058765</v>
      </c>
      <c r="I697" s="4">
        <f>SUMIF('Simpanan Sukarela Berjangka'!B:B,'All Simpanan '!C:C,'Simpanan Sukarela Berjangka'!K:K)</f>
        <v>0</v>
      </c>
      <c r="J697" s="4">
        <f t="shared" si="10"/>
        <v>9675098.2311058771</v>
      </c>
      <c r="K697" s="35" t="s">
        <v>1579</v>
      </c>
    </row>
    <row r="698" spans="1:11" ht="15.5" x14ac:dyDescent="0.35">
      <c r="A698" s="5">
        <v>696</v>
      </c>
      <c r="B698" s="6" t="s">
        <v>1485</v>
      </c>
      <c r="C698" s="7" t="s">
        <v>1486</v>
      </c>
      <c r="D698" s="8" t="s">
        <v>119</v>
      </c>
      <c r="E698" s="8">
        <f>SUMIF('Simpanan Wajib'!C:C,'All Simpanan '!C:C,'Simpanan Wajib'!E:E)</f>
        <v>9300000</v>
      </c>
      <c r="F698" s="4">
        <f>SUMIF('Simpanan Pokok'!C:C,'All Simpanan '!C:C,'Simpanan Pokok'!E:E)</f>
        <v>0</v>
      </c>
      <c r="G698" s="4">
        <f>SUMIF('Simpanan Khusus'!C:C,'All Simpanan '!C:C,'Simpanan Khusus'!E:E)</f>
        <v>500000</v>
      </c>
      <c r="H698" s="4">
        <f>SUMIF('Simpanan Sukarela'!C:C,'All Simpanan '!C:C,'Simpanan Sukarela'!E:E)</f>
        <v>378449.73960486508</v>
      </c>
      <c r="I698" s="4">
        <f>SUMIF('Simpanan Sukarela Berjangka'!B:B,'All Simpanan '!C:C,'Simpanan Sukarela Berjangka'!K:K)</f>
        <v>0</v>
      </c>
      <c r="J698" s="4">
        <f t="shared" si="10"/>
        <v>10178449.739604864</v>
      </c>
      <c r="K698" s="35" t="s">
        <v>1579</v>
      </c>
    </row>
    <row r="699" spans="1:11" ht="15.5" x14ac:dyDescent="0.35">
      <c r="A699" s="5">
        <v>697</v>
      </c>
      <c r="B699" s="6" t="s">
        <v>1487</v>
      </c>
      <c r="C699" s="7" t="s">
        <v>1488</v>
      </c>
      <c r="D699" s="8" t="s">
        <v>136</v>
      </c>
      <c r="E699" s="8">
        <f>SUMIF('Simpanan Wajib'!C:C,'All Simpanan '!C:C,'Simpanan Wajib'!E:E)</f>
        <v>5700000</v>
      </c>
      <c r="F699" s="4">
        <f>SUMIF('Simpanan Pokok'!C:C,'All Simpanan '!C:C,'Simpanan Pokok'!E:E)</f>
        <v>200000</v>
      </c>
      <c r="G699" s="4">
        <f>SUMIF('Simpanan Khusus'!C:C,'All Simpanan '!C:C,'Simpanan Khusus'!E:E)</f>
        <v>400000</v>
      </c>
      <c r="H699" s="4">
        <f>SUMIF('Simpanan Sukarela'!C:C,'All Simpanan '!C:C,'Simpanan Sukarela'!E:E)</f>
        <v>225023.21089784362</v>
      </c>
      <c r="I699" s="4">
        <f>SUMIF('Simpanan Sukarela Berjangka'!B:B,'All Simpanan '!C:C,'Simpanan Sukarela Berjangka'!K:K)</f>
        <v>0</v>
      </c>
      <c r="J699" s="4">
        <f t="shared" si="10"/>
        <v>6525023.2108978434</v>
      </c>
      <c r="K699" s="35" t="s">
        <v>1579</v>
      </c>
    </row>
    <row r="700" spans="1:11" ht="15.5" x14ac:dyDescent="0.35">
      <c r="A700" s="5">
        <v>698</v>
      </c>
      <c r="B700" s="6" t="s">
        <v>1489</v>
      </c>
      <c r="C700" s="7" t="s">
        <v>1490</v>
      </c>
      <c r="D700" s="8"/>
      <c r="E700" s="8">
        <f>SUMIF('Simpanan Wajib'!C:C,'All Simpanan '!C:C,'Simpanan Wajib'!E:E)</f>
        <v>-100000</v>
      </c>
      <c r="F700" s="4">
        <f>SUMIF('Simpanan Pokok'!C:C,'All Simpanan '!C:C,'Simpanan Pokok'!E:E)</f>
        <v>0</v>
      </c>
      <c r="G700" s="4">
        <f>SUMIF('Simpanan Khusus'!C:C,'All Simpanan '!C:C,'Simpanan Khusus'!E:E)</f>
        <v>0</v>
      </c>
      <c r="H700" s="4">
        <f>SUMIF('Simpanan Sukarela'!C:C,'All Simpanan '!C:C,'Simpanan Sukarela'!E:E)</f>
        <v>63913</v>
      </c>
      <c r="I700" s="4">
        <f>SUMIF('Simpanan Sukarela Berjangka'!B:B,'All Simpanan '!C:C,'Simpanan Sukarela Berjangka'!K:K)</f>
        <v>0</v>
      </c>
      <c r="J700" s="4">
        <f t="shared" si="10"/>
        <v>-36087</v>
      </c>
      <c r="K700" s="35" t="s">
        <v>1576</v>
      </c>
    </row>
    <row r="701" spans="1:11" ht="15.5" x14ac:dyDescent="0.35">
      <c r="A701" s="5">
        <v>699</v>
      </c>
      <c r="B701" s="6" t="s">
        <v>1491</v>
      </c>
      <c r="C701" s="7" t="s">
        <v>1492</v>
      </c>
      <c r="D701" s="8"/>
      <c r="E701" s="8">
        <f>SUMIF('Simpanan Wajib'!C:C,'All Simpanan '!C:C,'Simpanan Wajib'!E:E)</f>
        <v>2600000</v>
      </c>
      <c r="F701" s="4">
        <f>SUMIF('Simpanan Pokok'!C:C,'All Simpanan '!C:C,'Simpanan Pokok'!E:E)</f>
        <v>200000</v>
      </c>
      <c r="G701" s="4">
        <f>SUMIF('Simpanan Khusus'!C:C,'All Simpanan '!C:C,'Simpanan Khusus'!E:E)</f>
        <v>225000</v>
      </c>
      <c r="H701" s="4">
        <f>SUMIF('Simpanan Sukarela'!C:C,'All Simpanan '!C:C,'Simpanan Sukarela'!E:E)</f>
        <v>163525.00803300136</v>
      </c>
      <c r="I701" s="4">
        <f>SUMIF('Simpanan Sukarela Berjangka'!B:B,'All Simpanan '!C:C,'Simpanan Sukarela Berjangka'!K:K)</f>
        <v>0</v>
      </c>
      <c r="J701" s="4">
        <f t="shared" si="10"/>
        <v>3188525.0080330013</v>
      </c>
      <c r="K701" s="35" t="s">
        <v>1579</v>
      </c>
    </row>
    <row r="702" spans="1:11" ht="15.5" x14ac:dyDescent="0.35">
      <c r="A702" s="5">
        <v>700</v>
      </c>
      <c r="B702" s="6" t="s">
        <v>1493</v>
      </c>
      <c r="C702" s="7" t="s">
        <v>1494</v>
      </c>
      <c r="D702" s="8"/>
      <c r="E702" s="8">
        <f>SUMIF('Simpanan Wajib'!C:C,'All Simpanan '!C:C,'Simpanan Wajib'!E:E)</f>
        <v>100000</v>
      </c>
      <c r="F702" s="4">
        <f>SUMIF('Simpanan Pokok'!C:C,'All Simpanan '!C:C,'Simpanan Pokok'!E:E)</f>
        <v>0</v>
      </c>
      <c r="G702" s="4">
        <f>SUMIF('Simpanan Khusus'!C:C,'All Simpanan '!C:C,'Simpanan Khusus'!E:E)</f>
        <v>0</v>
      </c>
      <c r="H702" s="4">
        <f>SUMIF('Simpanan Sukarela'!C:C,'All Simpanan '!C:C,'Simpanan Sukarela'!E:E)</f>
        <v>63338</v>
      </c>
      <c r="I702" s="4">
        <f>SUMIF('Simpanan Sukarela Berjangka'!B:B,'All Simpanan '!C:C,'Simpanan Sukarela Berjangka'!K:K)</f>
        <v>0</v>
      </c>
      <c r="J702" s="4">
        <f t="shared" si="10"/>
        <v>163338</v>
      </c>
      <c r="K702" s="35" t="s">
        <v>1576</v>
      </c>
    </row>
    <row r="703" spans="1:11" ht="15.5" x14ac:dyDescent="0.35">
      <c r="A703" s="5">
        <v>701</v>
      </c>
      <c r="B703" s="6" t="s">
        <v>1495</v>
      </c>
      <c r="C703" s="7" t="s">
        <v>1496</v>
      </c>
      <c r="D703" s="8"/>
      <c r="E703" s="8">
        <f>SUMIF('Simpanan Wajib'!C:C,'All Simpanan '!C:C,'Simpanan Wajib'!E:E)</f>
        <v>0</v>
      </c>
      <c r="F703" s="4">
        <f>SUMIF('Simpanan Pokok'!C:C,'All Simpanan '!C:C,'Simpanan Pokok'!E:E)</f>
        <v>0</v>
      </c>
      <c r="G703" s="4">
        <f>SUMIF('Simpanan Khusus'!C:C,'All Simpanan '!C:C,'Simpanan Khusus'!E:E)</f>
        <v>0</v>
      </c>
      <c r="H703" s="4">
        <f>SUMIF('Simpanan Sukarela'!C:C,'All Simpanan '!C:C,'Simpanan Sukarela'!E:E)</f>
        <v>62977</v>
      </c>
      <c r="I703" s="4">
        <f>SUMIF('Simpanan Sukarela Berjangka'!B:B,'All Simpanan '!C:C,'Simpanan Sukarela Berjangka'!K:K)</f>
        <v>0</v>
      </c>
      <c r="J703" s="4">
        <f t="shared" si="10"/>
        <v>62977</v>
      </c>
      <c r="K703" s="35" t="s">
        <v>1576</v>
      </c>
    </row>
    <row r="704" spans="1:11" ht="15.5" x14ac:dyDescent="0.35">
      <c r="A704" s="5">
        <v>702</v>
      </c>
      <c r="B704" s="6" t="s">
        <v>1497</v>
      </c>
      <c r="C704" s="7" t="s">
        <v>1498</v>
      </c>
      <c r="D704" s="8"/>
      <c r="E704" s="8">
        <f>SUMIF('Simpanan Wajib'!C:C,'All Simpanan '!C:C,'Simpanan Wajib'!E:E)</f>
        <v>0</v>
      </c>
      <c r="F704" s="4">
        <f>SUMIF('Simpanan Pokok'!C:C,'All Simpanan '!C:C,'Simpanan Pokok'!E:E)</f>
        <v>0</v>
      </c>
      <c r="G704" s="4">
        <f>SUMIF('Simpanan Khusus'!C:C,'All Simpanan '!C:C,'Simpanan Khusus'!E:E)</f>
        <v>0</v>
      </c>
      <c r="H704" s="4">
        <f>SUMIF('Simpanan Sukarela'!C:C,'All Simpanan '!C:C,'Simpanan Sukarela'!E:E)</f>
        <v>63938</v>
      </c>
      <c r="I704" s="4">
        <f>SUMIF('Simpanan Sukarela Berjangka'!B:B,'All Simpanan '!C:C,'Simpanan Sukarela Berjangka'!K:K)</f>
        <v>0</v>
      </c>
      <c r="J704" s="4">
        <f t="shared" si="10"/>
        <v>63938</v>
      </c>
      <c r="K704" s="35" t="s">
        <v>1576</v>
      </c>
    </row>
    <row r="705" spans="1:11" ht="15.5" x14ac:dyDescent="0.35">
      <c r="A705" s="5">
        <v>703</v>
      </c>
      <c r="B705" s="6" t="s">
        <v>1499</v>
      </c>
      <c r="C705" s="7" t="s">
        <v>1500</v>
      </c>
      <c r="D705" s="8"/>
      <c r="E705" s="8">
        <f>SUMIF('Simpanan Wajib'!C:C,'All Simpanan '!C:C,'Simpanan Wajib'!E:E)</f>
        <v>0</v>
      </c>
      <c r="F705" s="4">
        <f>SUMIF('Simpanan Pokok'!C:C,'All Simpanan '!C:C,'Simpanan Pokok'!E:E)</f>
        <v>0</v>
      </c>
      <c r="G705" s="4">
        <f>SUMIF('Simpanan Khusus'!C:C,'All Simpanan '!C:C,'Simpanan Khusus'!E:E)</f>
        <v>0</v>
      </c>
      <c r="H705" s="4">
        <f>SUMIF('Simpanan Sukarela'!C:C,'All Simpanan '!C:C,'Simpanan Sukarela'!E:E)</f>
        <v>60183</v>
      </c>
      <c r="I705" s="4">
        <f>SUMIF('Simpanan Sukarela Berjangka'!B:B,'All Simpanan '!C:C,'Simpanan Sukarela Berjangka'!K:K)</f>
        <v>0</v>
      </c>
      <c r="J705" s="4">
        <f t="shared" si="10"/>
        <v>60183</v>
      </c>
      <c r="K705" s="35" t="s">
        <v>1576</v>
      </c>
    </row>
    <row r="706" spans="1:11" ht="15.5" x14ac:dyDescent="0.35">
      <c r="A706" s="5">
        <v>704</v>
      </c>
      <c r="B706" s="6" t="s">
        <v>1501</v>
      </c>
      <c r="C706" s="7" t="s">
        <v>1502</v>
      </c>
      <c r="D706" s="8" t="s">
        <v>136</v>
      </c>
      <c r="E706" s="8">
        <f>SUMIF('Simpanan Wajib'!C:C,'All Simpanan '!C:C,'Simpanan Wajib'!E:E)</f>
        <v>0</v>
      </c>
      <c r="F706" s="4">
        <f>SUMIF('Simpanan Pokok'!C:C,'All Simpanan '!C:C,'Simpanan Pokok'!E:E)</f>
        <v>0</v>
      </c>
      <c r="G706" s="4">
        <f>SUMIF('Simpanan Khusus'!C:C,'All Simpanan '!C:C,'Simpanan Khusus'!E:E)</f>
        <v>0</v>
      </c>
      <c r="H706" s="4">
        <f>SUMIF('Simpanan Sukarela'!C:C,'All Simpanan '!C:C,'Simpanan Sukarela'!E:E)</f>
        <v>174946.72317278472</v>
      </c>
      <c r="I706" s="4">
        <f>SUMIF('Simpanan Sukarela Berjangka'!B:B,'All Simpanan '!C:C,'Simpanan Sukarela Berjangka'!K:K)</f>
        <v>0</v>
      </c>
      <c r="J706" s="4">
        <f t="shared" si="10"/>
        <v>174946.72317278472</v>
      </c>
      <c r="K706" s="35" t="s">
        <v>1579</v>
      </c>
    </row>
    <row r="707" spans="1:11" ht="15.5" x14ac:dyDescent="0.35">
      <c r="A707" s="5">
        <v>705</v>
      </c>
      <c r="B707" s="6" t="s">
        <v>1503</v>
      </c>
      <c r="C707" s="7" t="s">
        <v>1504</v>
      </c>
      <c r="D707" s="8" t="s">
        <v>14</v>
      </c>
      <c r="E707" s="8">
        <f>SUMIF('Simpanan Wajib'!C:C,'All Simpanan '!C:C,'Simpanan Wajib'!E:E)</f>
        <v>13250000</v>
      </c>
      <c r="F707" s="4">
        <f>SUMIF('Simpanan Pokok'!C:C,'All Simpanan '!C:C,'Simpanan Pokok'!E:E)</f>
        <v>0</v>
      </c>
      <c r="G707" s="4">
        <f>SUMIF('Simpanan Khusus'!C:C,'All Simpanan '!C:C,'Simpanan Khusus'!E:E)</f>
        <v>0</v>
      </c>
      <c r="H707" s="4">
        <f>SUMIF('Simpanan Sukarela'!C:C,'All Simpanan '!C:C,'Simpanan Sukarela'!E:E)</f>
        <v>479977.22932654375</v>
      </c>
      <c r="I707" s="4">
        <f>SUMIF('Simpanan Sukarela Berjangka'!B:B,'All Simpanan '!C:C,'Simpanan Sukarela Berjangka'!K:K)</f>
        <v>0</v>
      </c>
      <c r="J707" s="4">
        <f t="shared" si="10"/>
        <v>13729977.229326544</v>
      </c>
      <c r="K707" s="35" t="s">
        <v>1578</v>
      </c>
    </row>
    <row r="708" spans="1:11" ht="15.5" x14ac:dyDescent="0.35">
      <c r="A708" s="5">
        <v>706</v>
      </c>
      <c r="B708" s="6" t="s">
        <v>1505</v>
      </c>
      <c r="C708" s="7" t="s">
        <v>1506</v>
      </c>
      <c r="D708" s="8" t="s">
        <v>751</v>
      </c>
      <c r="E708" s="8">
        <f>SUMIF('Simpanan Wajib'!C:C,'All Simpanan '!C:C,'Simpanan Wajib'!E:E)</f>
        <v>4700000</v>
      </c>
      <c r="F708" s="4">
        <f>SUMIF('Simpanan Pokok'!C:C,'All Simpanan '!C:C,'Simpanan Pokok'!E:E)</f>
        <v>0</v>
      </c>
      <c r="G708" s="4">
        <f>SUMIF('Simpanan Khusus'!C:C,'All Simpanan '!C:C,'Simpanan Khusus'!E:E)</f>
        <v>350000</v>
      </c>
      <c r="H708" s="4">
        <f>SUMIF('Simpanan Sukarela'!C:C,'All Simpanan '!C:C,'Simpanan Sukarela'!E:E)</f>
        <v>114371.43975772616</v>
      </c>
      <c r="I708" s="4">
        <f>SUMIF('Simpanan Sukarela Berjangka'!B:B,'All Simpanan '!C:C,'Simpanan Sukarela Berjangka'!K:K)</f>
        <v>0</v>
      </c>
      <c r="J708" s="4">
        <f t="shared" ref="J708:J748" si="11">SUM(E708:I708)</f>
        <v>5164371.4397577262</v>
      </c>
      <c r="K708" s="35" t="s">
        <v>1579</v>
      </c>
    </row>
    <row r="709" spans="1:11" ht="15.5" x14ac:dyDescent="0.35">
      <c r="A709" s="5">
        <v>707</v>
      </c>
      <c r="B709" s="6" t="s">
        <v>1507</v>
      </c>
      <c r="C709" s="7" t="s">
        <v>1508</v>
      </c>
      <c r="D709" s="8"/>
      <c r="E709" s="8">
        <f>SUMIF('Simpanan Wajib'!C:C,'All Simpanan '!C:C,'Simpanan Wajib'!E:E)</f>
        <v>150000</v>
      </c>
      <c r="F709" s="4">
        <f>SUMIF('Simpanan Pokok'!C:C,'All Simpanan '!C:C,'Simpanan Pokok'!E:E)</f>
        <v>0</v>
      </c>
      <c r="G709" s="4">
        <f>SUMIF('Simpanan Khusus'!C:C,'All Simpanan '!C:C,'Simpanan Khusus'!E:E)</f>
        <v>0</v>
      </c>
      <c r="H709" s="4">
        <f>SUMIF('Simpanan Sukarela'!C:C,'All Simpanan '!C:C,'Simpanan Sukarela'!E:E)</f>
        <v>0</v>
      </c>
      <c r="I709" s="4">
        <f>SUMIF('Simpanan Sukarela Berjangka'!B:B,'All Simpanan '!C:C,'Simpanan Sukarela Berjangka'!K:K)</f>
        <v>0</v>
      </c>
      <c r="J709" s="4">
        <f t="shared" si="11"/>
        <v>150000</v>
      </c>
      <c r="K709" s="35" t="s">
        <v>1578</v>
      </c>
    </row>
    <row r="710" spans="1:11" ht="15.5" x14ac:dyDescent="0.35">
      <c r="A710" s="5">
        <v>708</v>
      </c>
      <c r="B710" s="6" t="s">
        <v>1509</v>
      </c>
      <c r="C710" s="7" t="s">
        <v>1510</v>
      </c>
      <c r="D710" s="8" t="s">
        <v>374</v>
      </c>
      <c r="E710" s="8">
        <f>SUMIF('Simpanan Wajib'!C:C,'All Simpanan '!C:C,'Simpanan Wajib'!E:E)</f>
        <v>0</v>
      </c>
      <c r="F710" s="4">
        <f>SUMIF('Simpanan Pokok'!C:C,'All Simpanan '!C:C,'Simpanan Pokok'!E:E)</f>
        <v>0</v>
      </c>
      <c r="G710" s="4">
        <f>SUMIF('Simpanan Khusus'!C:C,'All Simpanan '!C:C,'Simpanan Khusus'!E:E)</f>
        <v>0</v>
      </c>
      <c r="H710" s="4">
        <f>SUMIF('Simpanan Sukarela'!C:C,'All Simpanan '!C:C,'Simpanan Sukarela'!E:E)</f>
        <v>0</v>
      </c>
      <c r="I710" s="4">
        <f>SUMIF('Simpanan Sukarela Berjangka'!B:B,'All Simpanan '!C:C,'Simpanan Sukarela Berjangka'!K:K)</f>
        <v>0</v>
      </c>
      <c r="J710" s="4">
        <f t="shared" si="11"/>
        <v>0</v>
      </c>
      <c r="K710" s="35" t="s">
        <v>1579</v>
      </c>
    </row>
    <row r="711" spans="1:11" ht="15.5" x14ac:dyDescent="0.35">
      <c r="A711" s="5">
        <v>709</v>
      </c>
      <c r="B711" s="6" t="s">
        <v>1511</v>
      </c>
      <c r="C711" s="7" t="s">
        <v>1512</v>
      </c>
      <c r="D711" s="8" t="s">
        <v>215</v>
      </c>
      <c r="E711" s="8">
        <f>SUMIF('Simpanan Wajib'!C:C,'All Simpanan '!C:C,'Simpanan Wajib'!E:E)</f>
        <v>11500000</v>
      </c>
      <c r="F711" s="4">
        <f>SUMIF('Simpanan Pokok'!C:C,'All Simpanan '!C:C,'Simpanan Pokok'!E:E)</f>
        <v>400000</v>
      </c>
      <c r="G711" s="4">
        <f>SUMIF('Simpanan Khusus'!C:C,'All Simpanan '!C:C,'Simpanan Khusus'!E:E)</f>
        <v>0</v>
      </c>
      <c r="H711" s="4">
        <f>SUMIF('Simpanan Sukarela'!C:C,'All Simpanan '!C:C,'Simpanan Sukarela'!E:E)</f>
        <v>272848.77033851785</v>
      </c>
      <c r="I711" s="4">
        <f>SUMIF('Simpanan Sukarela Berjangka'!B:B,'All Simpanan '!C:C,'Simpanan Sukarela Berjangka'!K:K)</f>
        <v>0</v>
      </c>
      <c r="J711" s="4">
        <f t="shared" si="11"/>
        <v>12172848.770338519</v>
      </c>
      <c r="K711" s="35" t="s">
        <v>1579</v>
      </c>
    </row>
    <row r="712" spans="1:11" ht="15.5" x14ac:dyDescent="0.35">
      <c r="A712" s="5">
        <v>710</v>
      </c>
      <c r="B712" s="6" t="s">
        <v>1513</v>
      </c>
      <c r="C712" s="7" t="s">
        <v>1514</v>
      </c>
      <c r="D712" s="8" t="s">
        <v>136</v>
      </c>
      <c r="E712" s="8">
        <f>SUMIF('Simpanan Wajib'!C:C,'All Simpanan '!C:C,'Simpanan Wajib'!E:E)</f>
        <v>4300000</v>
      </c>
      <c r="F712" s="4">
        <f>SUMIF('Simpanan Pokok'!C:C,'All Simpanan '!C:C,'Simpanan Pokok'!E:E)</f>
        <v>200000</v>
      </c>
      <c r="G712" s="4">
        <f>SUMIF('Simpanan Khusus'!C:C,'All Simpanan '!C:C,'Simpanan Khusus'!E:E)</f>
        <v>100000</v>
      </c>
      <c r="H712" s="4">
        <f>SUMIF('Simpanan Sukarela'!C:C,'All Simpanan '!C:C,'Simpanan Sukarela'!E:E)</f>
        <v>98408.491515801492</v>
      </c>
      <c r="I712" s="4">
        <f>SUMIF('Simpanan Sukarela Berjangka'!B:B,'All Simpanan '!C:C,'Simpanan Sukarela Berjangka'!K:K)</f>
        <v>0</v>
      </c>
      <c r="J712" s="4">
        <f t="shared" si="11"/>
        <v>4698408.4915158013</v>
      </c>
      <c r="K712" s="35" t="s">
        <v>1579</v>
      </c>
    </row>
    <row r="713" spans="1:11" ht="15.5" x14ac:dyDescent="0.35">
      <c r="A713" s="5">
        <v>711</v>
      </c>
      <c r="B713" s="6" t="s">
        <v>1515</v>
      </c>
      <c r="C713" s="7" t="s">
        <v>1516</v>
      </c>
      <c r="D713" s="8" t="s">
        <v>136</v>
      </c>
      <c r="E713" s="8">
        <f>SUMIF('Simpanan Wajib'!C:C,'All Simpanan '!C:C,'Simpanan Wajib'!E:E)</f>
        <v>4300000</v>
      </c>
      <c r="F713" s="4">
        <f>SUMIF('Simpanan Pokok'!C:C,'All Simpanan '!C:C,'Simpanan Pokok'!E:E)</f>
        <v>200000</v>
      </c>
      <c r="G713" s="4">
        <f>SUMIF('Simpanan Khusus'!C:C,'All Simpanan '!C:C,'Simpanan Khusus'!E:E)</f>
        <v>300000</v>
      </c>
      <c r="H713" s="4">
        <f>SUMIF('Simpanan Sukarela'!C:C,'All Simpanan '!C:C,'Simpanan Sukarela'!E:E)</f>
        <v>102959.43244771493</v>
      </c>
      <c r="I713" s="4">
        <f>SUMIF('Simpanan Sukarela Berjangka'!B:B,'All Simpanan '!C:C,'Simpanan Sukarela Berjangka'!K:K)</f>
        <v>0</v>
      </c>
      <c r="J713" s="4">
        <f t="shared" si="11"/>
        <v>4902959.4324477147</v>
      </c>
      <c r="K713" s="35" t="s">
        <v>1579</v>
      </c>
    </row>
    <row r="714" spans="1:11" ht="15.5" x14ac:dyDescent="0.35">
      <c r="A714" s="5">
        <v>712</v>
      </c>
      <c r="B714" s="6" t="s">
        <v>1517</v>
      </c>
      <c r="C714" s="7" t="s">
        <v>1518</v>
      </c>
      <c r="D714" s="8" t="s">
        <v>136</v>
      </c>
      <c r="E714" s="8">
        <f>SUMIF('Simpanan Wajib'!C:C,'All Simpanan '!C:C,'Simpanan Wajib'!E:E)</f>
        <v>3100000</v>
      </c>
      <c r="F714" s="4">
        <f>SUMIF('Simpanan Pokok'!C:C,'All Simpanan '!C:C,'Simpanan Pokok'!E:E)</f>
        <v>200000</v>
      </c>
      <c r="G714" s="4">
        <f>SUMIF('Simpanan Khusus'!C:C,'All Simpanan '!C:C,'Simpanan Khusus'!E:E)</f>
        <v>500000</v>
      </c>
      <c r="H714" s="4">
        <f>SUMIF('Simpanan Sukarela'!C:C,'All Simpanan '!C:C,'Simpanan Sukarela'!E:E)</f>
        <v>111655.0712752906</v>
      </c>
      <c r="I714" s="4">
        <f>SUMIF('Simpanan Sukarela Berjangka'!B:B,'All Simpanan '!C:C,'Simpanan Sukarela Berjangka'!K:K)</f>
        <v>0</v>
      </c>
      <c r="J714" s="4">
        <f t="shared" si="11"/>
        <v>3911655.0712752906</v>
      </c>
      <c r="K714" s="35" t="s">
        <v>1579</v>
      </c>
    </row>
    <row r="715" spans="1:11" ht="15.5" x14ac:dyDescent="0.35">
      <c r="A715" s="5">
        <v>713</v>
      </c>
      <c r="B715" s="6" t="s">
        <v>1519</v>
      </c>
      <c r="C715" s="7" t="s">
        <v>1520</v>
      </c>
      <c r="D715" s="8" t="s">
        <v>303</v>
      </c>
      <c r="E715" s="8">
        <f>SUMIF('Simpanan Wajib'!C:C,'All Simpanan '!C:C,'Simpanan Wajib'!E:E)</f>
        <v>4200000</v>
      </c>
      <c r="F715" s="4">
        <f>SUMIF('Simpanan Pokok'!C:C,'All Simpanan '!C:C,'Simpanan Pokok'!E:E)</f>
        <v>0</v>
      </c>
      <c r="G715" s="4">
        <f>SUMIF('Simpanan Khusus'!C:C,'All Simpanan '!C:C,'Simpanan Khusus'!E:E)</f>
        <v>0</v>
      </c>
      <c r="H715" s="4">
        <f>SUMIF('Simpanan Sukarela'!C:C,'All Simpanan '!C:C,'Simpanan Sukarela'!E:E)</f>
        <v>82815.611220849358</v>
      </c>
      <c r="I715" s="4">
        <f>SUMIF('Simpanan Sukarela Berjangka'!B:B,'All Simpanan '!C:C,'Simpanan Sukarela Berjangka'!K:K)</f>
        <v>0</v>
      </c>
      <c r="J715" s="4">
        <f t="shared" si="11"/>
        <v>4282815.6112208497</v>
      </c>
      <c r="K715" s="35" t="s">
        <v>1579</v>
      </c>
    </row>
    <row r="716" spans="1:11" ht="15.5" x14ac:dyDescent="0.35">
      <c r="A716" s="5">
        <v>714</v>
      </c>
      <c r="B716" s="6" t="s">
        <v>1521</v>
      </c>
      <c r="C716" s="7" t="s">
        <v>1522</v>
      </c>
      <c r="D716" s="8" t="s">
        <v>524</v>
      </c>
      <c r="E716" s="8">
        <f>SUMIF('Simpanan Wajib'!C:C,'All Simpanan '!C:C,'Simpanan Wajib'!E:E)</f>
        <v>0</v>
      </c>
      <c r="F716" s="4">
        <f>SUMIF('Simpanan Pokok'!C:C,'All Simpanan '!C:C,'Simpanan Pokok'!E:E)</f>
        <v>0</v>
      </c>
      <c r="G716" s="4">
        <f>SUMIF('Simpanan Khusus'!C:C,'All Simpanan '!C:C,'Simpanan Khusus'!E:E)</f>
        <v>0</v>
      </c>
      <c r="H716" s="4">
        <f>SUMIF('Simpanan Sukarela'!C:C,'All Simpanan '!C:C,'Simpanan Sukarela'!E:E)</f>
        <v>414072.98907407676</v>
      </c>
      <c r="I716" s="4">
        <f>SUMIF('Simpanan Sukarela Berjangka'!B:B,'All Simpanan '!C:C,'Simpanan Sukarela Berjangka'!K:K)</f>
        <v>0</v>
      </c>
      <c r="J716" s="4">
        <f t="shared" si="11"/>
        <v>414072.98907407676</v>
      </c>
      <c r="K716" s="35" t="s">
        <v>1579</v>
      </c>
    </row>
    <row r="717" spans="1:11" ht="15.5" x14ac:dyDescent="0.35">
      <c r="A717" s="5">
        <v>715</v>
      </c>
      <c r="B717" s="6" t="s">
        <v>1523</v>
      </c>
      <c r="C717" s="7" t="s">
        <v>1524</v>
      </c>
      <c r="D717" s="8" t="s">
        <v>215</v>
      </c>
      <c r="E717" s="8">
        <f>SUMIF('Simpanan Wajib'!C:C,'All Simpanan '!C:C,'Simpanan Wajib'!E:E)</f>
        <v>0</v>
      </c>
      <c r="F717" s="4">
        <f>SUMIF('Simpanan Pokok'!C:C,'All Simpanan '!C:C,'Simpanan Pokok'!E:E)</f>
        <v>0</v>
      </c>
      <c r="G717" s="4">
        <f>SUMIF('Simpanan Khusus'!C:C,'All Simpanan '!C:C,'Simpanan Khusus'!E:E)</f>
        <v>0</v>
      </c>
      <c r="H717" s="4">
        <f>SUMIF('Simpanan Sukarela'!C:C,'All Simpanan '!C:C,'Simpanan Sukarela'!E:E)</f>
        <v>0</v>
      </c>
      <c r="I717" s="4">
        <f>SUMIF('Simpanan Sukarela Berjangka'!B:B,'All Simpanan '!C:C,'Simpanan Sukarela Berjangka'!K:K)</f>
        <v>0</v>
      </c>
      <c r="J717" s="4">
        <f t="shared" si="11"/>
        <v>0</v>
      </c>
      <c r="K717" s="35" t="s">
        <v>1576</v>
      </c>
    </row>
    <row r="718" spans="1:11" ht="15.5" x14ac:dyDescent="0.35">
      <c r="A718" s="5">
        <v>716</v>
      </c>
      <c r="B718" s="6" t="s">
        <v>1525</v>
      </c>
      <c r="C718" s="7" t="s">
        <v>1526</v>
      </c>
      <c r="D718" s="8" t="s">
        <v>290</v>
      </c>
      <c r="E718" s="8">
        <f>SUMIF('Simpanan Wajib'!C:C,'All Simpanan '!C:C,'Simpanan Wajib'!E:E)</f>
        <v>8750000</v>
      </c>
      <c r="F718" s="4">
        <f>SUMIF('Simpanan Pokok'!C:C,'All Simpanan '!C:C,'Simpanan Pokok'!E:E)</f>
        <v>0</v>
      </c>
      <c r="G718" s="4">
        <f>SUMIF('Simpanan Khusus'!C:C,'All Simpanan '!C:C,'Simpanan Khusus'!E:E)</f>
        <v>0</v>
      </c>
      <c r="H718" s="4">
        <f>SUMIF('Simpanan Sukarela'!C:C,'All Simpanan '!C:C,'Simpanan Sukarela'!E:E)</f>
        <v>60997</v>
      </c>
      <c r="I718" s="4">
        <f>SUMIF('Simpanan Sukarela Berjangka'!B:B,'All Simpanan '!C:C,'Simpanan Sukarela Berjangka'!K:K)</f>
        <v>0</v>
      </c>
      <c r="J718" s="4">
        <f t="shared" si="11"/>
        <v>8810997</v>
      </c>
      <c r="K718" s="35" t="s">
        <v>1579</v>
      </c>
    </row>
    <row r="719" spans="1:11" ht="15.5" x14ac:dyDescent="0.35">
      <c r="A719" s="5">
        <v>717</v>
      </c>
      <c r="B719" s="6" t="s">
        <v>1527</v>
      </c>
      <c r="C719" s="7" t="s">
        <v>1528</v>
      </c>
      <c r="D719" s="8" t="s">
        <v>128</v>
      </c>
      <c r="E719" s="8">
        <f>SUMIF('Simpanan Wajib'!C:C,'All Simpanan '!C:C,'Simpanan Wajib'!E:E)</f>
        <v>0</v>
      </c>
      <c r="F719" s="4">
        <f>SUMIF('Simpanan Pokok'!C:C,'All Simpanan '!C:C,'Simpanan Pokok'!E:E)</f>
        <v>0</v>
      </c>
      <c r="G719" s="4">
        <f>SUMIF('Simpanan Khusus'!C:C,'All Simpanan '!C:C,'Simpanan Khusus'!E:E)</f>
        <v>0</v>
      </c>
      <c r="H719" s="4">
        <f>SUMIF('Simpanan Sukarela'!C:C,'All Simpanan '!C:C,'Simpanan Sukarela'!E:E)</f>
        <v>0</v>
      </c>
      <c r="I719" s="4">
        <f>SUMIF('Simpanan Sukarela Berjangka'!B:B,'All Simpanan '!C:C,'Simpanan Sukarela Berjangka'!K:K)</f>
        <v>0</v>
      </c>
      <c r="J719" s="4">
        <f t="shared" si="11"/>
        <v>0</v>
      </c>
      <c r="K719" s="35" t="s">
        <v>1579</v>
      </c>
    </row>
    <row r="720" spans="1:11" ht="15.5" x14ac:dyDescent="0.35">
      <c r="A720" s="5">
        <v>724</v>
      </c>
      <c r="B720" s="6" t="s">
        <v>1529</v>
      </c>
      <c r="C720" s="7" t="s">
        <v>1530</v>
      </c>
      <c r="D720" s="8" t="s">
        <v>524</v>
      </c>
      <c r="E720" s="8">
        <f>SUMIF('Simpanan Wajib'!C:C,'All Simpanan '!C:C,'Simpanan Wajib'!E:E)</f>
        <v>0</v>
      </c>
      <c r="F720" s="4">
        <f>SUMIF('Simpanan Pokok'!C:C,'All Simpanan '!C:C,'Simpanan Pokok'!E:E)</f>
        <v>0</v>
      </c>
      <c r="G720" s="4">
        <f>SUMIF('Simpanan Khusus'!C:C,'All Simpanan '!C:C,'Simpanan Khusus'!E:E)</f>
        <v>0</v>
      </c>
      <c r="H720" s="4">
        <f>SUMIF('Simpanan Sukarela'!C:C,'All Simpanan '!C:C,'Simpanan Sukarela'!E:E)</f>
        <v>0</v>
      </c>
      <c r="I720" s="4">
        <f>SUMIF('Simpanan Sukarela Berjangka'!B:B,'All Simpanan '!C:C,'Simpanan Sukarela Berjangka'!K:K)</f>
        <v>0</v>
      </c>
      <c r="J720" s="4">
        <f t="shared" si="11"/>
        <v>0</v>
      </c>
      <c r="K720" s="35" t="s">
        <v>1579</v>
      </c>
    </row>
    <row r="721" spans="1:11" ht="15.5" x14ac:dyDescent="0.35">
      <c r="A721" s="5">
        <v>725</v>
      </c>
      <c r="B721" s="6" t="s">
        <v>1531</v>
      </c>
      <c r="C721" s="7" t="s">
        <v>1532</v>
      </c>
      <c r="D721" s="8" t="s">
        <v>524</v>
      </c>
      <c r="E721" s="8">
        <f>SUMIF('Simpanan Wajib'!C:C,'All Simpanan '!C:C,'Simpanan Wajib'!E:E)</f>
        <v>11500000</v>
      </c>
      <c r="F721" s="4">
        <f>SUMIF('Simpanan Pokok'!C:C,'All Simpanan '!C:C,'Simpanan Pokok'!E:E)</f>
        <v>0</v>
      </c>
      <c r="G721" s="4">
        <f>SUMIF('Simpanan Khusus'!C:C,'All Simpanan '!C:C,'Simpanan Khusus'!E:E)</f>
        <v>0</v>
      </c>
      <c r="H721" s="4">
        <f>SUMIF('Simpanan Sukarela'!C:C,'All Simpanan '!C:C,'Simpanan Sukarela'!E:E)</f>
        <v>80436.203975726792</v>
      </c>
      <c r="I721" s="4">
        <f>SUMIF('Simpanan Sukarela Berjangka'!B:B,'All Simpanan '!C:C,'Simpanan Sukarela Berjangka'!K:K)</f>
        <v>0</v>
      </c>
      <c r="J721" s="4">
        <f t="shared" si="11"/>
        <v>11580436.203975726</v>
      </c>
      <c r="K721" s="35" t="s">
        <v>1579</v>
      </c>
    </row>
    <row r="722" spans="1:11" ht="15.5" x14ac:dyDescent="0.35">
      <c r="A722" s="5">
        <v>726</v>
      </c>
      <c r="B722" s="6" t="s">
        <v>1533</v>
      </c>
      <c r="C722" s="7" t="s">
        <v>1534</v>
      </c>
      <c r="D722" s="8" t="s">
        <v>751</v>
      </c>
      <c r="E722" s="8">
        <f>SUMIF('Simpanan Wajib'!C:C,'All Simpanan '!C:C,'Simpanan Wajib'!E:E)</f>
        <v>0</v>
      </c>
      <c r="F722" s="4">
        <f>SUMIF('Simpanan Pokok'!C:C,'All Simpanan '!C:C,'Simpanan Pokok'!E:E)</f>
        <v>0</v>
      </c>
      <c r="G722" s="4">
        <f>SUMIF('Simpanan Khusus'!C:C,'All Simpanan '!C:C,'Simpanan Khusus'!E:E)</f>
        <v>0</v>
      </c>
      <c r="H722" s="4">
        <f>SUMIF('Simpanan Sukarela'!C:C,'All Simpanan '!C:C,'Simpanan Sukarela'!E:E)</f>
        <v>-0.36260445008701936</v>
      </c>
      <c r="I722" s="4">
        <f>SUMIF('Simpanan Sukarela Berjangka'!B:B,'All Simpanan '!C:C,'Simpanan Sukarela Berjangka'!K:K)</f>
        <v>0</v>
      </c>
      <c r="J722" s="4">
        <f t="shared" si="11"/>
        <v>-0.36260445008701936</v>
      </c>
      <c r="K722" s="35" t="s">
        <v>1576</v>
      </c>
    </row>
    <row r="723" spans="1:11" ht="15.5" x14ac:dyDescent="0.35">
      <c r="A723" s="5">
        <v>718</v>
      </c>
      <c r="B723" s="6" t="s">
        <v>1535</v>
      </c>
      <c r="C723" s="7" t="s">
        <v>1536</v>
      </c>
      <c r="D723" s="8" t="s">
        <v>324</v>
      </c>
      <c r="E723" s="8">
        <f>SUMIF('Simpanan Wajib'!C:C,'All Simpanan '!C:C,'Simpanan Wajib'!E:E)</f>
        <v>150000</v>
      </c>
      <c r="F723" s="4">
        <f>SUMIF('Simpanan Pokok'!C:C,'All Simpanan '!C:C,'Simpanan Pokok'!E:E)</f>
        <v>0</v>
      </c>
      <c r="G723" s="4">
        <f>SUMIF('Simpanan Khusus'!C:C,'All Simpanan '!C:C,'Simpanan Khusus'!E:E)</f>
        <v>0</v>
      </c>
      <c r="H723" s="4">
        <f>SUMIF('Simpanan Sukarela'!C:C,'All Simpanan '!C:C,'Simpanan Sukarela'!E:E)</f>
        <v>0.14589453852750012</v>
      </c>
      <c r="I723" s="4">
        <f>SUMIF('Simpanan Sukarela Berjangka'!B:B,'All Simpanan '!C:C,'Simpanan Sukarela Berjangka'!K:K)</f>
        <v>0</v>
      </c>
      <c r="J723" s="4">
        <f t="shared" si="11"/>
        <v>150000.14589453852</v>
      </c>
      <c r="K723" s="35" t="s">
        <v>1576</v>
      </c>
    </row>
    <row r="724" spans="1:11" ht="15.5" x14ac:dyDescent="0.35">
      <c r="A724" s="5">
        <v>719</v>
      </c>
      <c r="B724" s="6" t="s">
        <v>1537</v>
      </c>
      <c r="C724" s="7" t="s">
        <v>1538</v>
      </c>
      <c r="D724" s="8" t="s">
        <v>377</v>
      </c>
      <c r="E724" s="8">
        <f>SUMIF('Simpanan Wajib'!C:C,'All Simpanan '!C:C,'Simpanan Wajib'!E:E)</f>
        <v>0</v>
      </c>
      <c r="F724" s="4">
        <f>SUMIF('Simpanan Pokok'!C:C,'All Simpanan '!C:C,'Simpanan Pokok'!E:E)</f>
        <v>0</v>
      </c>
      <c r="G724" s="4">
        <f>SUMIF('Simpanan Khusus'!C:C,'All Simpanan '!C:C,'Simpanan Khusus'!E:E)</f>
        <v>0</v>
      </c>
      <c r="H724" s="4">
        <f>SUMIF('Simpanan Sukarela'!C:C,'All Simpanan '!C:C,'Simpanan Sukarela'!E:E)</f>
        <v>0</v>
      </c>
      <c r="I724" s="4">
        <f>SUMIF('Simpanan Sukarela Berjangka'!B:B,'All Simpanan '!C:C,'Simpanan Sukarela Berjangka'!K:K)</f>
        <v>0</v>
      </c>
      <c r="J724" s="4">
        <f t="shared" si="11"/>
        <v>0</v>
      </c>
      <c r="K724" s="35" t="s">
        <v>1576</v>
      </c>
    </row>
    <row r="725" spans="1:11" ht="15.5" x14ac:dyDescent="0.35">
      <c r="A725" s="5">
        <v>720</v>
      </c>
      <c r="B725" s="6" t="s">
        <v>1539</v>
      </c>
      <c r="C725" s="7" t="s">
        <v>1540</v>
      </c>
      <c r="D725" s="8" t="s">
        <v>260</v>
      </c>
      <c r="E725" s="8">
        <f>SUMIF('Simpanan Wajib'!C:C,'All Simpanan '!C:C,'Simpanan Wajib'!E:E)</f>
        <v>6300000</v>
      </c>
      <c r="F725" s="4">
        <f>SUMIF('Simpanan Pokok'!C:C,'All Simpanan '!C:C,'Simpanan Pokok'!E:E)</f>
        <v>0</v>
      </c>
      <c r="G725" s="4">
        <f>SUMIF('Simpanan Khusus'!C:C,'All Simpanan '!C:C,'Simpanan Khusus'!E:E)</f>
        <v>0</v>
      </c>
      <c r="H725" s="4">
        <f>SUMIF('Simpanan Sukarela'!C:C,'All Simpanan '!C:C,'Simpanan Sukarela'!E:E)</f>
        <v>28152.67139150438</v>
      </c>
      <c r="I725" s="4">
        <f>SUMIF('Simpanan Sukarela Berjangka'!B:B,'All Simpanan '!C:C,'Simpanan Sukarela Berjangka'!K:K)</f>
        <v>0</v>
      </c>
      <c r="J725" s="4">
        <f t="shared" si="11"/>
        <v>6328152.6713915048</v>
      </c>
      <c r="K725" s="35" t="s">
        <v>1579</v>
      </c>
    </row>
    <row r="726" spans="1:11" ht="15.5" x14ac:dyDescent="0.35">
      <c r="A726" s="5">
        <v>721</v>
      </c>
      <c r="B726" s="6" t="s">
        <v>1541</v>
      </c>
      <c r="C726" s="7" t="s">
        <v>1542</v>
      </c>
      <c r="D726" s="8" t="s">
        <v>95</v>
      </c>
      <c r="E726" s="8">
        <f>SUMIF('Simpanan Wajib'!C:C,'All Simpanan '!C:C,'Simpanan Wajib'!E:E)</f>
        <v>6200000</v>
      </c>
      <c r="F726" s="4">
        <f>SUMIF('Simpanan Pokok'!C:C,'All Simpanan '!C:C,'Simpanan Pokok'!E:E)</f>
        <v>0</v>
      </c>
      <c r="G726" s="4">
        <f>SUMIF('Simpanan Khusus'!C:C,'All Simpanan '!C:C,'Simpanan Khusus'!E:E)</f>
        <v>450000</v>
      </c>
      <c r="H726" s="4">
        <f>SUMIF('Simpanan Sukarela'!C:C,'All Simpanan '!C:C,'Simpanan Sukarela'!E:E)</f>
        <v>30833.878190695272</v>
      </c>
      <c r="I726" s="4">
        <f>SUMIF('Simpanan Sukarela Berjangka'!B:B,'All Simpanan '!C:C,'Simpanan Sukarela Berjangka'!K:K)</f>
        <v>0</v>
      </c>
      <c r="J726" s="4">
        <f t="shared" si="11"/>
        <v>6680833.8781906953</v>
      </c>
      <c r="K726" s="35" t="s">
        <v>1579</v>
      </c>
    </row>
    <row r="727" spans="1:11" ht="15.5" x14ac:dyDescent="0.35">
      <c r="A727" s="5">
        <v>723</v>
      </c>
      <c r="B727" s="6" t="s">
        <v>1543</v>
      </c>
      <c r="C727" s="7" t="s">
        <v>1544</v>
      </c>
      <c r="D727" s="8" t="s">
        <v>98</v>
      </c>
      <c r="E727" s="8">
        <f>SUMIF('Simpanan Wajib'!C:C,'All Simpanan '!C:C,'Simpanan Wajib'!E:E)</f>
        <v>0</v>
      </c>
      <c r="F727" s="4">
        <f>SUMIF('Simpanan Pokok'!C:C,'All Simpanan '!C:C,'Simpanan Pokok'!E:E)</f>
        <v>0</v>
      </c>
      <c r="G727" s="4">
        <f>SUMIF('Simpanan Khusus'!C:C,'All Simpanan '!C:C,'Simpanan Khusus'!E:E)</f>
        <v>0</v>
      </c>
      <c r="H727" s="4">
        <f>SUMIF('Simpanan Sukarela'!C:C,'All Simpanan '!C:C,'Simpanan Sukarela'!E:E)</f>
        <v>0</v>
      </c>
      <c r="I727" s="4">
        <f>SUMIF('Simpanan Sukarela Berjangka'!B:B,'All Simpanan '!C:C,'Simpanan Sukarela Berjangka'!K:K)</f>
        <v>0</v>
      </c>
      <c r="J727" s="4">
        <f t="shared" si="11"/>
        <v>0</v>
      </c>
      <c r="K727" s="35" t="s">
        <v>1579</v>
      </c>
    </row>
    <row r="728" spans="1:11" ht="15.5" x14ac:dyDescent="0.35">
      <c r="A728" s="5">
        <v>724</v>
      </c>
      <c r="B728" s="6" t="s">
        <v>1545</v>
      </c>
      <c r="C728" s="7" t="s">
        <v>1546</v>
      </c>
      <c r="D728" s="8" t="s">
        <v>238</v>
      </c>
      <c r="E728" s="8">
        <f>SUMIF('Simpanan Wajib'!C:C,'All Simpanan '!C:C,'Simpanan Wajib'!E:E)</f>
        <v>7500000</v>
      </c>
      <c r="F728" s="4">
        <f>SUMIF('Simpanan Pokok'!C:C,'All Simpanan '!C:C,'Simpanan Pokok'!E:E)</f>
        <v>0</v>
      </c>
      <c r="G728" s="4">
        <f>SUMIF('Simpanan Khusus'!C:C,'All Simpanan '!C:C,'Simpanan Khusus'!E:E)</f>
        <v>0</v>
      </c>
      <c r="H728" s="4">
        <f>SUMIF('Simpanan Sukarela'!C:C,'All Simpanan '!C:C,'Simpanan Sukarela'!E:E)</f>
        <v>20109.050993931698</v>
      </c>
      <c r="I728" s="4">
        <f>SUMIF('Simpanan Sukarela Berjangka'!B:B,'All Simpanan '!C:C,'Simpanan Sukarela Berjangka'!K:K)</f>
        <v>0</v>
      </c>
      <c r="J728" s="4">
        <f t="shared" si="11"/>
        <v>7520109.0509939315</v>
      </c>
      <c r="K728" s="35" t="s">
        <v>1579</v>
      </c>
    </row>
    <row r="729" spans="1:11" ht="15.5" x14ac:dyDescent="0.35">
      <c r="A729" s="5">
        <v>725</v>
      </c>
      <c r="B729" s="6" t="s">
        <v>1547</v>
      </c>
      <c r="C729" s="7" t="s">
        <v>1548</v>
      </c>
      <c r="D729" s="8" t="s">
        <v>98</v>
      </c>
      <c r="E729" s="8">
        <f>SUMIF('Simpanan Wajib'!C:C,'All Simpanan '!C:C,'Simpanan Wajib'!E:E)</f>
        <v>1300000</v>
      </c>
      <c r="F729" s="4">
        <f>SUMIF('Simpanan Pokok'!C:C,'All Simpanan '!C:C,'Simpanan Pokok'!E:E)</f>
        <v>200000</v>
      </c>
      <c r="G729" s="4">
        <f>SUMIF('Simpanan Khusus'!C:C,'All Simpanan '!C:C,'Simpanan Khusus'!E:E)</f>
        <v>100000</v>
      </c>
      <c r="H729" s="4">
        <f>SUMIF('Simpanan Sukarela'!C:C,'All Simpanan '!C:C,'Simpanan Sukarela'!E:E)</f>
        <v>5362.413598381786</v>
      </c>
      <c r="I729" s="4">
        <f>SUMIF('Simpanan Sukarela Berjangka'!B:B,'All Simpanan '!C:C,'Simpanan Sukarela Berjangka'!K:K)</f>
        <v>0</v>
      </c>
      <c r="J729" s="4">
        <f t="shared" si="11"/>
        <v>1605362.4135983817</v>
      </c>
      <c r="K729" s="35" t="s">
        <v>1579</v>
      </c>
    </row>
    <row r="730" spans="1:11" ht="15.5" x14ac:dyDescent="0.35">
      <c r="A730" s="5">
        <v>726</v>
      </c>
      <c r="B730" s="6" t="s">
        <v>1549</v>
      </c>
      <c r="C730" s="7" t="s">
        <v>1550</v>
      </c>
      <c r="D730" s="8" t="s">
        <v>25</v>
      </c>
      <c r="E730" s="8">
        <f>SUMIF('Simpanan Wajib'!C:C,'All Simpanan '!C:C,'Simpanan Wajib'!E:E)</f>
        <v>1300000</v>
      </c>
      <c r="F730" s="4">
        <f>SUMIF('Simpanan Pokok'!C:C,'All Simpanan '!C:C,'Simpanan Pokok'!E:E)</f>
        <v>200000</v>
      </c>
      <c r="G730" s="4">
        <f>SUMIF('Simpanan Khusus'!C:C,'All Simpanan '!C:C,'Simpanan Khusus'!E:E)</f>
        <v>300000</v>
      </c>
      <c r="H730" s="4">
        <f>SUMIF('Simpanan Sukarela'!C:C,'All Simpanan '!C:C,'Simpanan Sukarela'!E:E)</f>
        <v>8043.6203975726794</v>
      </c>
      <c r="I730" s="4">
        <f>SUMIF('Simpanan Sukarela Berjangka'!B:B,'All Simpanan '!C:C,'Simpanan Sukarela Berjangka'!K:K)</f>
        <v>0</v>
      </c>
      <c r="J730" s="4">
        <f t="shared" si="11"/>
        <v>1808043.6203975726</v>
      </c>
      <c r="K730" s="35" t="s">
        <v>1579</v>
      </c>
    </row>
    <row r="731" spans="1:11" ht="15.5" x14ac:dyDescent="0.35">
      <c r="A731" s="5">
        <v>727</v>
      </c>
      <c r="B731" s="6" t="s">
        <v>1551</v>
      </c>
      <c r="C731" s="7" t="s">
        <v>1552</v>
      </c>
      <c r="D731" s="8" t="s">
        <v>159</v>
      </c>
      <c r="E731" s="8">
        <f>SUMIF('Simpanan Wajib'!C:C,'All Simpanan '!C:C,'Simpanan Wajib'!E:E)</f>
        <v>1200000</v>
      </c>
      <c r="F731" s="4">
        <f>SUMIF('Simpanan Pokok'!C:C,'All Simpanan '!C:C,'Simpanan Pokok'!E:E)</f>
        <v>200000</v>
      </c>
      <c r="G731" s="4">
        <f>SUMIF('Simpanan Khusus'!C:C,'All Simpanan '!C:C,'Simpanan Khusus'!E:E)</f>
        <v>0</v>
      </c>
      <c r="H731" s="4">
        <f>SUMIF('Simpanan Sukarela'!C:C,'All Simpanan '!C:C,'Simpanan Sukarela'!E:E)</f>
        <v>4021.8101987863397</v>
      </c>
      <c r="I731" s="4">
        <f>SUMIF('Simpanan Sukarela Berjangka'!B:B,'All Simpanan '!C:C,'Simpanan Sukarela Berjangka'!K:K)</f>
        <v>0</v>
      </c>
      <c r="J731" s="4">
        <f t="shared" si="11"/>
        <v>1404021.8101987864</v>
      </c>
      <c r="K731" s="35" t="s">
        <v>1579</v>
      </c>
    </row>
    <row r="732" spans="1:11" ht="15.5" x14ac:dyDescent="0.35">
      <c r="A732" s="5">
        <v>728</v>
      </c>
      <c r="B732" s="5"/>
      <c r="C732" s="7" t="s">
        <v>1553</v>
      </c>
      <c r="D732" s="8" t="s">
        <v>136</v>
      </c>
      <c r="E732" s="8">
        <f>SUMIF('Simpanan Wajib'!C:C,'All Simpanan '!C:C,'Simpanan Wajib'!E:E)</f>
        <v>0</v>
      </c>
      <c r="F732" s="4">
        <f>SUMIF('Simpanan Pokok'!C:C,'All Simpanan '!C:C,'Simpanan Pokok'!E:E)</f>
        <v>0</v>
      </c>
      <c r="G732" s="4">
        <f>SUMIF('Simpanan Khusus'!C:C,'All Simpanan '!C:C,'Simpanan Khusus'!E:E)</f>
        <v>0</v>
      </c>
      <c r="H732" s="4">
        <f>SUMIF('Simpanan Sukarela'!C:C,'All Simpanan '!C:C,'Simpanan Sukarela'!E:E)</f>
        <v>0</v>
      </c>
      <c r="I732" s="4">
        <f>SUMIF('Simpanan Sukarela Berjangka'!B:B,'All Simpanan '!C:C,'Simpanan Sukarela Berjangka'!K:K)</f>
        <v>0</v>
      </c>
      <c r="J732" s="4">
        <f t="shared" si="11"/>
        <v>0</v>
      </c>
      <c r="K732" s="35" t="s">
        <v>1579</v>
      </c>
    </row>
    <row r="733" spans="1:11" ht="15.5" x14ac:dyDescent="0.35">
      <c r="A733" s="5">
        <v>729</v>
      </c>
      <c r="B733" s="5"/>
      <c r="C733" s="7" t="s">
        <v>1554</v>
      </c>
      <c r="D733" s="8" t="s">
        <v>136</v>
      </c>
      <c r="E733" s="8">
        <f>SUMIF('Simpanan Wajib'!C:C,'All Simpanan '!C:C,'Simpanan Wajib'!E:E)</f>
        <v>1950000</v>
      </c>
      <c r="F733" s="4">
        <f>SUMIF('Simpanan Pokok'!C:C,'All Simpanan '!C:C,'Simpanan Pokok'!E:E)</f>
        <v>200000</v>
      </c>
      <c r="G733" s="4">
        <f>SUMIF('Simpanan Khusus'!C:C,'All Simpanan '!C:C,'Simpanan Khusus'!E:E)</f>
        <v>0</v>
      </c>
      <c r="H733" s="4">
        <f>SUMIF('Simpanan Sukarela'!C:C,'All Simpanan '!C:C,'Simpanan Sukarela'!E:E)</f>
        <v>0</v>
      </c>
      <c r="I733" s="4">
        <f>SUMIF('Simpanan Sukarela Berjangka'!B:B,'All Simpanan '!C:C,'Simpanan Sukarela Berjangka'!K:K)</f>
        <v>0</v>
      </c>
      <c r="J733" s="4">
        <f t="shared" si="11"/>
        <v>2150000</v>
      </c>
      <c r="K733" s="35" t="s">
        <v>1579</v>
      </c>
    </row>
    <row r="734" spans="1:11" ht="15.5" x14ac:dyDescent="0.35">
      <c r="A734" s="5">
        <v>730</v>
      </c>
      <c r="B734" s="5"/>
      <c r="C734" s="7" t="s">
        <v>1555</v>
      </c>
      <c r="D734" s="8" t="s">
        <v>108</v>
      </c>
      <c r="E734" s="8">
        <f>SUMIF('Simpanan Wajib'!C:C,'All Simpanan '!C:C,'Simpanan Wajib'!E:E)</f>
        <v>900000</v>
      </c>
      <c r="F734" s="4">
        <f>SUMIF('Simpanan Pokok'!C:C,'All Simpanan '!C:C,'Simpanan Pokok'!E:E)</f>
        <v>200000</v>
      </c>
      <c r="G734" s="4">
        <f>SUMIF('Simpanan Khusus'!C:C,'All Simpanan '!C:C,'Simpanan Khusus'!E:E)</f>
        <v>100000</v>
      </c>
      <c r="H734" s="4">
        <f>SUMIF('Simpanan Sukarela'!C:C,'All Simpanan '!C:C,'Simpanan Sukarela'!E:E)</f>
        <v>0</v>
      </c>
      <c r="I734" s="4">
        <f>SUMIF('Simpanan Sukarela Berjangka'!B:B,'All Simpanan '!C:C,'Simpanan Sukarela Berjangka'!K:K)</f>
        <v>0</v>
      </c>
      <c r="J734" s="4">
        <f t="shared" si="11"/>
        <v>1200000</v>
      </c>
      <c r="K734" s="35" t="s">
        <v>1579</v>
      </c>
    </row>
    <row r="735" spans="1:11" ht="15.5" x14ac:dyDescent="0.35">
      <c r="A735" s="5">
        <v>731</v>
      </c>
      <c r="B735" s="5"/>
      <c r="C735" s="7" t="s">
        <v>1556</v>
      </c>
      <c r="D735" s="8" t="s">
        <v>1444</v>
      </c>
      <c r="E735" s="8">
        <f>SUMIF('Simpanan Wajib'!C:C,'All Simpanan '!C:C,'Simpanan Wajib'!E:E)</f>
        <v>1300000</v>
      </c>
      <c r="F735" s="4">
        <f>SUMIF('Simpanan Pokok'!C:C,'All Simpanan '!C:C,'Simpanan Pokok'!E:E)</f>
        <v>200000</v>
      </c>
      <c r="G735" s="4">
        <f>SUMIF('Simpanan Khusus'!C:C,'All Simpanan '!C:C,'Simpanan Khusus'!E:E)</f>
        <v>250000</v>
      </c>
      <c r="H735" s="4">
        <f>SUMIF('Simpanan Sukarela'!C:C,'All Simpanan '!C:C,'Simpanan Sukarela'!E:E)</f>
        <v>0</v>
      </c>
      <c r="I735" s="4">
        <f>SUMIF('Simpanan Sukarela Berjangka'!B:B,'All Simpanan '!C:C,'Simpanan Sukarela Berjangka'!K:K)</f>
        <v>0</v>
      </c>
      <c r="J735" s="4">
        <f t="shared" si="11"/>
        <v>1750000</v>
      </c>
      <c r="K735" s="35" t="s">
        <v>1579</v>
      </c>
    </row>
    <row r="736" spans="1:11" ht="15.5" x14ac:dyDescent="0.35">
      <c r="A736" s="5">
        <v>732</v>
      </c>
      <c r="B736" s="5"/>
      <c r="C736" s="7" t="s">
        <v>1557</v>
      </c>
      <c r="D736" s="8" t="s">
        <v>136</v>
      </c>
      <c r="E736" s="8">
        <f>SUMIF('Simpanan Wajib'!C:C,'All Simpanan '!C:C,'Simpanan Wajib'!E:E)</f>
        <v>450000</v>
      </c>
      <c r="F736" s="4">
        <f>SUMIF('Simpanan Pokok'!C:C,'All Simpanan '!C:C,'Simpanan Pokok'!E:E)</f>
        <v>0</v>
      </c>
      <c r="G736" s="4">
        <f>SUMIF('Simpanan Khusus'!C:C,'All Simpanan '!C:C,'Simpanan Khusus'!E:E)</f>
        <v>0</v>
      </c>
      <c r="H736" s="4">
        <f>SUMIF('Simpanan Sukarela'!C:C,'All Simpanan '!C:C,'Simpanan Sukarela'!E:E)</f>
        <v>0</v>
      </c>
      <c r="I736" s="4">
        <f>SUMIF('Simpanan Sukarela Berjangka'!B:B,'All Simpanan '!C:C,'Simpanan Sukarela Berjangka'!K:K)</f>
        <v>0</v>
      </c>
      <c r="J736" s="4">
        <f t="shared" si="11"/>
        <v>450000</v>
      </c>
      <c r="K736" s="35" t="s">
        <v>1579</v>
      </c>
    </row>
    <row r="737" spans="1:11" ht="15.5" x14ac:dyDescent="0.35">
      <c r="A737" s="5">
        <v>733</v>
      </c>
      <c r="B737" s="5"/>
      <c r="C737" s="7" t="s">
        <v>1558</v>
      </c>
      <c r="D737" s="8" t="s">
        <v>25</v>
      </c>
      <c r="E737" s="8">
        <f>SUMIF('Simpanan Wajib'!C:C,'All Simpanan '!C:C,'Simpanan Wajib'!E:E)</f>
        <v>300000</v>
      </c>
      <c r="F737" s="4">
        <f>SUMIF('Simpanan Pokok'!C:C,'All Simpanan '!C:C,'Simpanan Pokok'!E:E)</f>
        <v>0</v>
      </c>
      <c r="G737" s="4">
        <f>SUMIF('Simpanan Khusus'!C:C,'All Simpanan '!C:C,'Simpanan Khusus'!E:E)</f>
        <v>0</v>
      </c>
      <c r="H737" s="4">
        <f>SUMIF('Simpanan Sukarela'!C:C,'All Simpanan '!C:C,'Simpanan Sukarela'!E:E)</f>
        <v>0</v>
      </c>
      <c r="I737" s="4">
        <f>SUMIF('Simpanan Sukarela Berjangka'!B:B,'All Simpanan '!C:C,'Simpanan Sukarela Berjangka'!K:K)</f>
        <v>0</v>
      </c>
      <c r="J737" s="4">
        <f t="shared" si="11"/>
        <v>300000</v>
      </c>
      <c r="K737" s="35" t="s">
        <v>1579</v>
      </c>
    </row>
    <row r="738" spans="1:11" ht="15.5" x14ac:dyDescent="0.35">
      <c r="A738" s="5">
        <v>734</v>
      </c>
      <c r="B738" s="5"/>
      <c r="C738" s="7" t="s">
        <v>1559</v>
      </c>
      <c r="D738" s="8" t="s">
        <v>25</v>
      </c>
      <c r="E738" s="8">
        <f>SUMIF('Simpanan Wajib'!C:C,'All Simpanan '!C:C,'Simpanan Wajib'!E:E)</f>
        <v>300000</v>
      </c>
      <c r="F738" s="4">
        <f>SUMIF('Simpanan Pokok'!C:C,'All Simpanan '!C:C,'Simpanan Pokok'!E:E)</f>
        <v>0</v>
      </c>
      <c r="G738" s="4">
        <f>SUMIF('Simpanan Khusus'!C:C,'All Simpanan '!C:C,'Simpanan Khusus'!E:E)</f>
        <v>0</v>
      </c>
      <c r="H738" s="4">
        <f>SUMIF('Simpanan Sukarela'!C:C,'All Simpanan '!C:C,'Simpanan Sukarela'!E:E)</f>
        <v>0</v>
      </c>
      <c r="I738" s="4">
        <f>SUMIF('Simpanan Sukarela Berjangka'!B:B,'All Simpanan '!C:C,'Simpanan Sukarela Berjangka'!K:K)</f>
        <v>0</v>
      </c>
      <c r="J738" s="4">
        <f t="shared" si="11"/>
        <v>300000</v>
      </c>
      <c r="K738" s="35" t="s">
        <v>1579</v>
      </c>
    </row>
    <row r="739" spans="1:11" ht="15.5" x14ac:dyDescent="0.35">
      <c r="A739" s="5">
        <v>735</v>
      </c>
      <c r="B739" s="5"/>
      <c r="C739" s="7" t="s">
        <v>1560</v>
      </c>
      <c r="D739" s="8" t="s">
        <v>25</v>
      </c>
      <c r="E739" s="8">
        <f>SUMIF('Simpanan Wajib'!C:C,'All Simpanan '!C:C,'Simpanan Wajib'!E:E)</f>
        <v>300000</v>
      </c>
      <c r="F739" s="4">
        <f>SUMIF('Simpanan Pokok'!C:C,'All Simpanan '!C:C,'Simpanan Pokok'!E:E)</f>
        <v>0</v>
      </c>
      <c r="G739" s="4">
        <f>SUMIF('Simpanan Khusus'!C:C,'All Simpanan '!C:C,'Simpanan Khusus'!E:E)</f>
        <v>0</v>
      </c>
      <c r="H739" s="4">
        <f>SUMIF('Simpanan Sukarela'!C:C,'All Simpanan '!C:C,'Simpanan Sukarela'!E:E)</f>
        <v>0</v>
      </c>
      <c r="I739" s="4">
        <f>SUMIF('Simpanan Sukarela Berjangka'!B:B,'All Simpanan '!C:C,'Simpanan Sukarela Berjangka'!K:K)</f>
        <v>0</v>
      </c>
      <c r="J739" s="4">
        <f t="shared" si="11"/>
        <v>300000</v>
      </c>
      <c r="K739" s="35" t="s">
        <v>1579</v>
      </c>
    </row>
    <row r="740" spans="1:11" ht="15.5" x14ac:dyDescent="0.35">
      <c r="A740" s="5">
        <v>736</v>
      </c>
      <c r="B740" s="5"/>
      <c r="C740" s="7" t="s">
        <v>1561</v>
      </c>
      <c r="D740" s="8" t="s">
        <v>25</v>
      </c>
      <c r="E740" s="8">
        <f>SUMIF('Simpanan Wajib'!C:C,'All Simpanan '!C:C,'Simpanan Wajib'!E:E)</f>
        <v>0</v>
      </c>
      <c r="F740" s="4">
        <f>SUMIF('Simpanan Pokok'!C:C,'All Simpanan '!C:C,'Simpanan Pokok'!E:E)</f>
        <v>0</v>
      </c>
      <c r="G740" s="4">
        <f>SUMIF('Simpanan Khusus'!C:C,'All Simpanan '!C:C,'Simpanan Khusus'!E:E)</f>
        <v>0</v>
      </c>
      <c r="H740" s="4">
        <f>SUMIF('Simpanan Sukarela'!C:C,'All Simpanan '!C:C,'Simpanan Sukarela'!E:E)</f>
        <v>0</v>
      </c>
      <c r="I740" s="4">
        <f>SUMIF('Simpanan Sukarela Berjangka'!B:B,'All Simpanan '!C:C,'Simpanan Sukarela Berjangka'!K:K)</f>
        <v>0</v>
      </c>
      <c r="J740" s="4">
        <f t="shared" si="11"/>
        <v>0</v>
      </c>
      <c r="K740" s="35" t="s">
        <v>1579</v>
      </c>
    </row>
    <row r="741" spans="1:11" ht="15.5" x14ac:dyDescent="0.35">
      <c r="A741" s="5">
        <v>737</v>
      </c>
      <c r="B741" s="5"/>
      <c r="C741" s="7" t="s">
        <v>1562</v>
      </c>
      <c r="D741" s="8" t="s">
        <v>25</v>
      </c>
      <c r="E741" s="8">
        <f>SUMIF('Simpanan Wajib'!C:C,'All Simpanan '!C:C,'Simpanan Wajib'!E:E)</f>
        <v>300000</v>
      </c>
      <c r="F741" s="4">
        <f>SUMIF('Simpanan Pokok'!C:C,'All Simpanan '!C:C,'Simpanan Pokok'!E:E)</f>
        <v>0</v>
      </c>
      <c r="G741" s="4">
        <f>SUMIF('Simpanan Khusus'!C:C,'All Simpanan '!C:C,'Simpanan Khusus'!E:E)</f>
        <v>0</v>
      </c>
      <c r="H741" s="4">
        <f>SUMIF('Simpanan Sukarela'!C:C,'All Simpanan '!C:C,'Simpanan Sukarela'!E:E)</f>
        <v>0</v>
      </c>
      <c r="I741" s="4">
        <f>SUMIF('Simpanan Sukarela Berjangka'!B:B,'All Simpanan '!C:C,'Simpanan Sukarela Berjangka'!K:K)</f>
        <v>0</v>
      </c>
      <c r="J741" s="4">
        <f t="shared" si="11"/>
        <v>300000</v>
      </c>
      <c r="K741" s="35" t="s">
        <v>1579</v>
      </c>
    </row>
    <row r="742" spans="1:11" ht="15.5" x14ac:dyDescent="0.35">
      <c r="A742" s="5">
        <v>738</v>
      </c>
      <c r="B742" s="5"/>
      <c r="C742" s="7" t="s">
        <v>1563</v>
      </c>
      <c r="D742" s="8" t="s">
        <v>25</v>
      </c>
      <c r="E742" s="8">
        <f>SUMIF('Simpanan Wajib'!C:C,'All Simpanan '!C:C,'Simpanan Wajib'!E:E)</f>
        <v>0</v>
      </c>
      <c r="F742" s="4">
        <f>SUMIF('Simpanan Pokok'!C:C,'All Simpanan '!C:C,'Simpanan Pokok'!E:E)</f>
        <v>0</v>
      </c>
      <c r="G742" s="4">
        <f>SUMIF('Simpanan Khusus'!C:C,'All Simpanan '!C:C,'Simpanan Khusus'!E:E)</f>
        <v>0</v>
      </c>
      <c r="H742" s="4">
        <f>SUMIF('Simpanan Sukarela'!C:C,'All Simpanan '!C:C,'Simpanan Sukarela'!E:E)</f>
        <v>0</v>
      </c>
      <c r="I742" s="4">
        <f>SUMIF('Simpanan Sukarela Berjangka'!B:B,'All Simpanan '!C:C,'Simpanan Sukarela Berjangka'!K:K)</f>
        <v>0</v>
      </c>
      <c r="J742" s="4">
        <f t="shared" si="11"/>
        <v>0</v>
      </c>
      <c r="K742" s="35" t="s">
        <v>1579</v>
      </c>
    </row>
    <row r="743" spans="1:11" ht="15.5" x14ac:dyDescent="0.35">
      <c r="A743" s="5">
        <v>739</v>
      </c>
      <c r="B743" s="5"/>
      <c r="C743" s="7" t="s">
        <v>1564</v>
      </c>
      <c r="D743" s="8" t="s">
        <v>318</v>
      </c>
      <c r="E743" s="8">
        <f>SUMIF('Simpanan Wajib'!C:C,'All Simpanan '!C:C,'Simpanan Wajib'!E:E)</f>
        <v>300000</v>
      </c>
      <c r="F743" s="4">
        <f>SUMIF('Simpanan Pokok'!C:C,'All Simpanan '!C:C,'Simpanan Pokok'!E:E)</f>
        <v>0</v>
      </c>
      <c r="G743" s="4">
        <f>SUMIF('Simpanan Khusus'!C:C,'All Simpanan '!C:C,'Simpanan Khusus'!E:E)</f>
        <v>0</v>
      </c>
      <c r="H743" s="4">
        <f>SUMIF('Simpanan Sukarela'!C:C,'All Simpanan '!C:C,'Simpanan Sukarela'!E:E)</f>
        <v>0</v>
      </c>
      <c r="I743" s="4">
        <f>SUMIF('Simpanan Sukarela Berjangka'!B:B,'All Simpanan '!C:C,'Simpanan Sukarela Berjangka'!K:K)</f>
        <v>15945000</v>
      </c>
      <c r="J743" s="4">
        <f t="shared" si="11"/>
        <v>16245000</v>
      </c>
      <c r="K743" s="35" t="s">
        <v>1579</v>
      </c>
    </row>
    <row r="744" spans="1:11" ht="15.5" x14ac:dyDescent="0.35">
      <c r="A744" s="5">
        <v>740</v>
      </c>
      <c r="B744" s="5"/>
      <c r="C744" s="7" t="s">
        <v>1565</v>
      </c>
      <c r="D744" s="8" t="s">
        <v>318</v>
      </c>
      <c r="E744" s="8">
        <f>SUMIF('Simpanan Wajib'!C:C,'All Simpanan '!C:C,'Simpanan Wajib'!E:E)</f>
        <v>300000</v>
      </c>
      <c r="F744" s="4">
        <f>SUMIF('Simpanan Pokok'!C:C,'All Simpanan '!C:C,'Simpanan Pokok'!E:E)</f>
        <v>0</v>
      </c>
      <c r="G744" s="4">
        <f>SUMIF('Simpanan Khusus'!C:C,'All Simpanan '!C:C,'Simpanan Khusus'!E:E)</f>
        <v>0</v>
      </c>
      <c r="H744" s="4">
        <f>SUMIF('Simpanan Sukarela'!C:C,'All Simpanan '!C:C,'Simpanan Sukarela'!E:E)</f>
        <v>0</v>
      </c>
      <c r="I744" s="4">
        <f>SUMIF('Simpanan Sukarela Berjangka'!B:B,'All Simpanan '!C:C,'Simpanan Sukarela Berjangka'!K:K)</f>
        <v>0</v>
      </c>
      <c r="J744" s="4">
        <f t="shared" si="11"/>
        <v>300000</v>
      </c>
      <c r="K744" s="35" t="s">
        <v>1579</v>
      </c>
    </row>
    <row r="745" spans="1:11" ht="15.5" x14ac:dyDescent="0.35">
      <c r="A745" s="5">
        <v>741</v>
      </c>
      <c r="B745" s="5"/>
      <c r="C745" s="7" t="s">
        <v>1566</v>
      </c>
      <c r="D745" s="8" t="s">
        <v>318</v>
      </c>
      <c r="E745" s="8">
        <f>SUMIF('Simpanan Wajib'!C:C,'All Simpanan '!C:C,'Simpanan Wajib'!E:E)</f>
        <v>300000</v>
      </c>
      <c r="F745" s="4">
        <f>SUMIF('Simpanan Pokok'!C:C,'All Simpanan '!C:C,'Simpanan Pokok'!E:E)</f>
        <v>0</v>
      </c>
      <c r="G745" s="4">
        <f>SUMIF('Simpanan Khusus'!C:C,'All Simpanan '!C:C,'Simpanan Khusus'!E:E)</f>
        <v>0</v>
      </c>
      <c r="H745" s="4">
        <f>SUMIF('Simpanan Sukarela'!C:C,'All Simpanan '!C:C,'Simpanan Sukarela'!E:E)</f>
        <v>0</v>
      </c>
      <c r="I745" s="4">
        <f>SUMIF('Simpanan Sukarela Berjangka'!B:B,'All Simpanan '!C:C,'Simpanan Sukarela Berjangka'!K:K)</f>
        <v>0</v>
      </c>
      <c r="J745" s="4">
        <f t="shared" si="11"/>
        <v>300000</v>
      </c>
      <c r="K745" s="35" t="s">
        <v>1579</v>
      </c>
    </row>
    <row r="746" spans="1:11" ht="15.5" x14ac:dyDescent="0.35">
      <c r="A746" s="5">
        <v>742</v>
      </c>
      <c r="B746" s="5"/>
      <c r="C746" s="7" t="s">
        <v>1567</v>
      </c>
      <c r="D746" s="8" t="s">
        <v>318</v>
      </c>
      <c r="E746" s="8">
        <f>SUMIF('Simpanan Wajib'!C:C,'All Simpanan '!C:C,'Simpanan Wajib'!E:E)</f>
        <v>0</v>
      </c>
      <c r="F746" s="4">
        <f>SUMIF('Simpanan Pokok'!C:C,'All Simpanan '!C:C,'Simpanan Pokok'!E:E)</f>
        <v>0</v>
      </c>
      <c r="G746" s="4">
        <f>SUMIF('Simpanan Khusus'!C:C,'All Simpanan '!C:C,'Simpanan Khusus'!E:E)</f>
        <v>0</v>
      </c>
      <c r="H746" s="4">
        <f>SUMIF('Simpanan Sukarela'!C:C,'All Simpanan '!C:C,'Simpanan Sukarela'!E:E)</f>
        <v>0</v>
      </c>
      <c r="I746" s="4">
        <f>SUMIF('Simpanan Sukarela Berjangka'!B:B,'All Simpanan '!C:C,'Simpanan Sukarela Berjangka'!K:K)</f>
        <v>0</v>
      </c>
      <c r="J746" s="4">
        <f t="shared" si="11"/>
        <v>0</v>
      </c>
      <c r="K746" s="35" t="s">
        <v>1579</v>
      </c>
    </row>
    <row r="747" spans="1:11" ht="15.5" x14ac:dyDescent="0.35">
      <c r="A747" s="5">
        <v>743</v>
      </c>
      <c r="B747" s="5"/>
      <c r="C747" s="7" t="s">
        <v>1568</v>
      </c>
      <c r="D747" s="8" t="s">
        <v>128</v>
      </c>
      <c r="E747" s="8">
        <f>SUMIF('Simpanan Wajib'!C:C,'All Simpanan '!C:C,'Simpanan Wajib'!E:E)</f>
        <v>1900000</v>
      </c>
      <c r="F747" s="4">
        <f>SUMIF('Simpanan Pokok'!C:C,'All Simpanan '!C:C,'Simpanan Pokok'!E:E)</f>
        <v>200000</v>
      </c>
      <c r="G747" s="4">
        <f>SUMIF('Simpanan Khusus'!C:C,'All Simpanan '!C:C,'Simpanan Khusus'!E:E)</f>
        <v>0</v>
      </c>
      <c r="H747" s="4">
        <f>SUMIF('Simpanan Sukarela'!C:C,'All Simpanan '!C:C,'Simpanan Sukarela'!E:E)</f>
        <v>0</v>
      </c>
      <c r="I747" s="4">
        <f>SUMIF('Simpanan Sukarela Berjangka'!B:B,'All Simpanan '!C:C,'Simpanan Sukarela Berjangka'!K:K)</f>
        <v>0</v>
      </c>
      <c r="J747" s="4">
        <f t="shared" si="11"/>
        <v>2100000</v>
      </c>
      <c r="K747" s="35" t="s">
        <v>1579</v>
      </c>
    </row>
    <row r="748" spans="1:11" ht="15.5" x14ac:dyDescent="0.35">
      <c r="A748" s="5">
        <v>744</v>
      </c>
      <c r="B748" s="5"/>
      <c r="C748" s="7" t="s">
        <v>1569</v>
      </c>
      <c r="D748" s="8" t="s">
        <v>751</v>
      </c>
      <c r="E748" s="8">
        <f>SUMIF('Simpanan Wajib'!C:C,'All Simpanan '!C:C,'Simpanan Wajib'!E:E)</f>
        <v>0</v>
      </c>
      <c r="F748" s="4">
        <f>SUMIF('Simpanan Pokok'!C:C,'All Simpanan '!C:C,'Simpanan Pokok'!E:E)</f>
        <v>0</v>
      </c>
      <c r="G748" s="4">
        <f>SUMIF('Simpanan Khusus'!C:C,'All Simpanan '!C:C,'Simpanan Khusus'!E:E)</f>
        <v>0</v>
      </c>
      <c r="H748" s="4">
        <f>SUMIF('Simpanan Sukarela'!C:C,'All Simpanan '!C:C,'Simpanan Sukarela'!E:E)</f>
        <v>0</v>
      </c>
      <c r="I748" s="4">
        <f>SUMIF('Simpanan Sukarela Berjangka'!B:B,'All Simpanan '!C:C,'Simpanan Sukarela Berjangka'!K:K)</f>
        <v>0</v>
      </c>
      <c r="J748" s="4">
        <f t="shared" si="11"/>
        <v>0</v>
      </c>
      <c r="K748" s="35" t="s">
        <v>1579</v>
      </c>
    </row>
    <row r="749" spans="1:11" x14ac:dyDescent="0.35">
      <c r="A749" s="37" t="s">
        <v>1570</v>
      </c>
      <c r="B749" s="38"/>
      <c r="C749" s="38"/>
      <c r="D749" s="39"/>
      <c r="E749" s="32">
        <f t="shared" ref="E749:H749" si="12">SUM(E3:E748)</f>
        <v>2639574326</v>
      </c>
      <c r="F749" s="33">
        <f t="shared" si="12"/>
        <v>10300000</v>
      </c>
      <c r="G749" s="33">
        <f t="shared" si="12"/>
        <v>65346500</v>
      </c>
      <c r="H749" s="33">
        <f t="shared" si="12"/>
        <v>375867182.28072923</v>
      </c>
      <c r="I749" s="33">
        <f>SUM(I3:I748)</f>
        <v>409157499.99000001</v>
      </c>
      <c r="J749" s="33">
        <f>SUM(J3:J748)</f>
        <v>3500245508.2707329</v>
      </c>
      <c r="K749" s="33"/>
    </row>
  </sheetData>
  <mergeCells count="2">
    <mergeCell ref="E1:J1"/>
    <mergeCell ref="K1:K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65E9-6661-4889-9483-1C25AAB034DC}">
  <sheetPr>
    <tabColor theme="5" tint="0.59999389629810485"/>
  </sheetPr>
  <dimension ref="A1:R782"/>
  <sheetViews>
    <sheetView showGridLines="0" view="pageBreakPreview" zoomScale="85" zoomScaleNormal="85" zoomScaleSheetLayoutView="85" workbookViewId="0">
      <pane ySplit="2" topLeftCell="A34" activePane="bottomLeft" state="frozen"/>
      <selection pane="bottomLeft" activeCell="C16" sqref="C16"/>
    </sheetView>
  </sheetViews>
  <sheetFormatPr defaultRowHeight="14.5" x14ac:dyDescent="0.35"/>
  <cols>
    <col min="1" max="1" width="4.90625" bestFit="1" customWidth="1"/>
    <col min="2" max="2" width="8.90625" hidden="1" customWidth="1"/>
    <col min="3" max="3" width="21.453125" customWidth="1"/>
    <col min="4" max="4" width="9.7265625" customWidth="1"/>
    <col min="5" max="5" width="14.7265625" customWidth="1"/>
    <col min="6" max="6" width="14" customWidth="1"/>
    <col min="7" max="7" width="12.6328125" customWidth="1"/>
    <col min="8" max="9" width="12.81640625" customWidth="1"/>
    <col min="10" max="10" width="12.36328125" customWidth="1"/>
    <col min="11" max="11" width="13.1796875" customWidth="1"/>
    <col min="12" max="12" width="11.54296875" customWidth="1"/>
    <col min="13" max="13" width="13.36328125" customWidth="1"/>
    <col min="14" max="15" width="14.453125" customWidth="1"/>
    <col min="16" max="16" width="13.7265625" customWidth="1"/>
    <col min="17" max="17" width="14.1796875" customWidth="1"/>
    <col min="18" max="18" width="15.90625" customWidth="1"/>
  </cols>
  <sheetData>
    <row r="1" spans="1:18" ht="31.5" customHeight="1" x14ac:dyDescent="0.35">
      <c r="A1" s="179" t="s">
        <v>0</v>
      </c>
      <c r="B1" s="46"/>
      <c r="C1" s="179" t="s">
        <v>2</v>
      </c>
      <c r="D1" s="170" t="s">
        <v>3</v>
      </c>
      <c r="E1" s="170" t="s">
        <v>1838</v>
      </c>
      <c r="F1" s="177" t="s">
        <v>1839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8" t="s">
        <v>1820</v>
      </c>
    </row>
    <row r="2" spans="1:18" s="87" customFormat="1" ht="33.5" customHeight="1" x14ac:dyDescent="0.35">
      <c r="A2" s="179"/>
      <c r="B2" s="85" t="s">
        <v>1</v>
      </c>
      <c r="C2" s="179"/>
      <c r="D2" s="170"/>
      <c r="E2" s="170"/>
      <c r="F2" s="86" t="s">
        <v>1795</v>
      </c>
      <c r="G2" s="86" t="s">
        <v>1802</v>
      </c>
      <c r="H2" s="86" t="s">
        <v>1797</v>
      </c>
      <c r="I2" s="86" t="s">
        <v>1798</v>
      </c>
      <c r="J2" s="86" t="s">
        <v>1799</v>
      </c>
      <c r="K2" s="86" t="s">
        <v>1800</v>
      </c>
      <c r="L2" s="86" t="s">
        <v>1801</v>
      </c>
      <c r="M2" s="86" t="s">
        <v>1803</v>
      </c>
      <c r="N2" s="86" t="s">
        <v>1805</v>
      </c>
      <c r="O2" s="86" t="s">
        <v>1806</v>
      </c>
      <c r="P2" s="86" t="s">
        <v>1807</v>
      </c>
      <c r="Q2" s="86" t="s">
        <v>1808</v>
      </c>
      <c r="R2" s="178"/>
    </row>
    <row r="3" spans="1:18" s="142" customFormat="1" x14ac:dyDescent="0.35">
      <c r="A3" s="138">
        <v>1</v>
      </c>
      <c r="B3" s="2" t="s">
        <v>9</v>
      </c>
      <c r="C3" s="139" t="s">
        <v>1973</v>
      </c>
      <c r="D3" s="140" t="s">
        <v>11</v>
      </c>
      <c r="E3" s="141">
        <v>17240660</v>
      </c>
      <c r="F3" s="9">
        <v>150000</v>
      </c>
      <c r="G3" s="9">
        <v>150000</v>
      </c>
      <c r="H3" s="9">
        <v>150000</v>
      </c>
      <c r="I3" s="9">
        <v>150000</v>
      </c>
      <c r="J3" s="9">
        <v>150000</v>
      </c>
      <c r="K3" s="9">
        <v>150000</v>
      </c>
      <c r="L3" s="9">
        <v>150000</v>
      </c>
      <c r="M3" s="9">
        <v>150000</v>
      </c>
      <c r="N3" s="9">
        <v>150000</v>
      </c>
      <c r="O3" s="141">
        <v>150000</v>
      </c>
      <c r="P3" s="141">
        <v>150000</v>
      </c>
      <c r="Q3" s="141">
        <v>150000</v>
      </c>
      <c r="R3" s="141">
        <f>SUM(E3:Q3)</f>
        <v>19040660</v>
      </c>
    </row>
    <row r="4" spans="1:18" x14ac:dyDescent="0.35">
      <c r="A4" s="5">
        <v>2</v>
      </c>
      <c r="B4" s="6" t="s">
        <v>12</v>
      </c>
      <c r="C4" s="7" t="s">
        <v>1582</v>
      </c>
      <c r="D4" s="8" t="s">
        <v>14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/>
      <c r="R4" s="9">
        <f t="shared" ref="R4:R66" si="0">SUM(E4:Q4)</f>
        <v>0</v>
      </c>
    </row>
    <row r="5" spans="1:18" x14ac:dyDescent="0.35">
      <c r="A5" s="5">
        <v>3</v>
      </c>
      <c r="B5" s="6" t="s">
        <v>15</v>
      </c>
      <c r="C5" s="7" t="s">
        <v>16</v>
      </c>
      <c r="D5" s="8"/>
      <c r="E5" s="9">
        <v>150000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/>
      <c r="R5" s="9">
        <f t="shared" si="0"/>
        <v>150000</v>
      </c>
    </row>
    <row r="6" spans="1:18" s="142" customFormat="1" x14ac:dyDescent="0.35">
      <c r="A6" s="143">
        <v>4</v>
      </c>
      <c r="B6" s="6" t="s">
        <v>17</v>
      </c>
      <c r="C6" s="144" t="s">
        <v>1855</v>
      </c>
      <c r="D6" s="145" t="s">
        <v>19</v>
      </c>
      <c r="E6" s="141">
        <v>10609532</v>
      </c>
      <c r="F6" s="9">
        <v>150000</v>
      </c>
      <c r="G6" s="9">
        <v>150000</v>
      </c>
      <c r="H6" s="9">
        <v>150000</v>
      </c>
      <c r="I6" s="9">
        <v>150000</v>
      </c>
      <c r="J6" s="9">
        <v>150000</v>
      </c>
      <c r="K6" s="9">
        <v>150000</v>
      </c>
      <c r="L6" s="9">
        <v>150000</v>
      </c>
      <c r="M6" s="9">
        <v>150000</v>
      </c>
      <c r="N6" s="9">
        <v>150000</v>
      </c>
      <c r="O6" s="141">
        <v>150000</v>
      </c>
      <c r="P6" s="141">
        <v>150000</v>
      </c>
      <c r="Q6" s="141">
        <v>150000</v>
      </c>
      <c r="R6" s="141">
        <f t="shared" si="0"/>
        <v>12409532</v>
      </c>
    </row>
    <row r="7" spans="1:18" x14ac:dyDescent="0.35">
      <c r="A7" s="5">
        <v>5</v>
      </c>
      <c r="B7" s="94" t="s">
        <v>20</v>
      </c>
      <c r="C7" s="7" t="s">
        <v>21</v>
      </c>
      <c r="D7" s="8" t="s">
        <v>22</v>
      </c>
      <c r="E7" s="9">
        <v>24852898</v>
      </c>
      <c r="F7" s="92">
        <v>150000</v>
      </c>
      <c r="G7" s="92">
        <v>150000</v>
      </c>
      <c r="H7" s="9">
        <v>150000</v>
      </c>
      <c r="I7" s="9">
        <v>150000</v>
      </c>
      <c r="J7" s="9">
        <v>150000</v>
      </c>
      <c r="K7" s="9">
        <v>150000</v>
      </c>
      <c r="L7" s="9">
        <v>150000</v>
      </c>
      <c r="M7" s="92">
        <v>150000</v>
      </c>
      <c r="N7" s="92">
        <v>150000</v>
      </c>
      <c r="O7" s="9">
        <v>0</v>
      </c>
      <c r="P7" s="9">
        <v>-26202898</v>
      </c>
      <c r="Q7" s="9"/>
      <c r="R7" s="9">
        <f t="shared" si="0"/>
        <v>0</v>
      </c>
    </row>
    <row r="8" spans="1:18" x14ac:dyDescent="0.35">
      <c r="A8" s="5">
        <v>6</v>
      </c>
      <c r="B8" s="94" t="s">
        <v>23</v>
      </c>
      <c r="C8" s="7" t="s">
        <v>1757</v>
      </c>
      <c r="D8" s="8" t="s">
        <v>25</v>
      </c>
      <c r="E8" s="9">
        <v>37699463</v>
      </c>
      <c r="F8" s="92">
        <v>500000</v>
      </c>
      <c r="G8" s="92">
        <v>500000</v>
      </c>
      <c r="H8" s="9">
        <v>500000</v>
      </c>
      <c r="I8" s="9">
        <v>500000</v>
      </c>
      <c r="J8" s="9">
        <v>500000</v>
      </c>
      <c r="K8" s="9">
        <v>500000</v>
      </c>
      <c r="L8" s="9">
        <v>500000</v>
      </c>
      <c r="M8" s="92">
        <v>500000</v>
      </c>
      <c r="N8" s="9">
        <v>0</v>
      </c>
      <c r="O8" s="9">
        <v>-41699463</v>
      </c>
      <c r="P8" s="9">
        <v>0</v>
      </c>
      <c r="Q8" s="9"/>
      <c r="R8" s="9">
        <f t="shared" si="0"/>
        <v>0</v>
      </c>
    </row>
    <row r="9" spans="1:18" x14ac:dyDescent="0.35">
      <c r="A9" s="5">
        <v>7</v>
      </c>
      <c r="B9" s="6" t="s">
        <v>39</v>
      </c>
      <c r="C9" s="7" t="s">
        <v>1583</v>
      </c>
      <c r="D9" s="8" t="s">
        <v>41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/>
      <c r="R9" s="9">
        <f t="shared" si="0"/>
        <v>0</v>
      </c>
    </row>
    <row r="10" spans="1:18" s="93" customFormat="1" ht="14" customHeight="1" x14ac:dyDescent="0.35">
      <c r="A10" s="89">
        <v>8</v>
      </c>
      <c r="B10" s="94" t="s">
        <v>42</v>
      </c>
      <c r="C10" s="90" t="s">
        <v>1749</v>
      </c>
      <c r="D10" s="91" t="s">
        <v>14</v>
      </c>
      <c r="E10" s="92">
        <v>34674262</v>
      </c>
      <c r="F10" s="92">
        <v>250000</v>
      </c>
      <c r="G10" s="92">
        <v>250000</v>
      </c>
      <c r="H10" s="9">
        <v>250000</v>
      </c>
      <c r="I10" s="9">
        <v>250000</v>
      </c>
      <c r="J10" s="9">
        <v>250000</v>
      </c>
      <c r="K10" s="9">
        <v>250000</v>
      </c>
      <c r="L10" s="9">
        <v>250000</v>
      </c>
      <c r="M10" s="92">
        <v>250000</v>
      </c>
      <c r="N10" s="92">
        <v>250000</v>
      </c>
      <c r="O10" s="92">
        <v>250000</v>
      </c>
      <c r="P10" s="92">
        <v>250000</v>
      </c>
      <c r="Q10" s="92">
        <v>250000</v>
      </c>
      <c r="R10" s="92">
        <f t="shared" si="0"/>
        <v>37674262</v>
      </c>
    </row>
    <row r="11" spans="1:18" x14ac:dyDescent="0.35">
      <c r="A11" s="5">
        <v>9</v>
      </c>
      <c r="B11" s="6" t="s">
        <v>44</v>
      </c>
      <c r="C11" s="7" t="s">
        <v>45</v>
      </c>
      <c r="D11" s="8" t="s">
        <v>46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/>
      <c r="R11" s="9">
        <f t="shared" si="0"/>
        <v>0</v>
      </c>
    </row>
    <row r="12" spans="1:18" x14ac:dyDescent="0.35">
      <c r="A12" s="5">
        <v>10</v>
      </c>
      <c r="B12" s="6" t="s">
        <v>47</v>
      </c>
      <c r="C12" s="7" t="s">
        <v>48</v>
      </c>
      <c r="D12" s="8" t="s">
        <v>49</v>
      </c>
      <c r="E12" s="9">
        <v>250000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/>
      <c r="R12" s="9">
        <f t="shared" si="0"/>
        <v>250000</v>
      </c>
    </row>
    <row r="13" spans="1:18" x14ac:dyDescent="0.35">
      <c r="A13" s="5">
        <v>11</v>
      </c>
      <c r="B13" s="6" t="s">
        <v>50</v>
      </c>
      <c r="C13" s="7" t="s">
        <v>1584</v>
      </c>
      <c r="D13" s="8" t="s">
        <v>52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/>
      <c r="R13" s="9">
        <f t="shared" si="0"/>
        <v>0</v>
      </c>
    </row>
    <row r="14" spans="1:18" x14ac:dyDescent="0.35">
      <c r="A14" s="5">
        <v>12</v>
      </c>
      <c r="B14" s="6" t="s">
        <v>53</v>
      </c>
      <c r="C14" s="7" t="s">
        <v>1585</v>
      </c>
      <c r="D14" s="8" t="s">
        <v>55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/>
      <c r="R14" s="9">
        <f t="shared" si="0"/>
        <v>0</v>
      </c>
    </row>
    <row r="15" spans="1:18" x14ac:dyDescent="0.35">
      <c r="A15" s="5">
        <v>13</v>
      </c>
      <c r="B15" s="6" t="s">
        <v>56</v>
      </c>
      <c r="C15" s="7" t="s">
        <v>57</v>
      </c>
      <c r="D15" s="8" t="s">
        <v>49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/>
      <c r="R15" s="9">
        <f t="shared" si="0"/>
        <v>0</v>
      </c>
    </row>
    <row r="16" spans="1:18" s="93" customFormat="1" x14ac:dyDescent="0.35">
      <c r="A16" s="89">
        <v>14</v>
      </c>
      <c r="B16" s="94" t="s">
        <v>58</v>
      </c>
      <c r="C16" s="90" t="s">
        <v>1781</v>
      </c>
      <c r="D16" s="91" t="s">
        <v>60</v>
      </c>
      <c r="E16" s="92">
        <v>44697275</v>
      </c>
      <c r="F16" s="92">
        <v>350000</v>
      </c>
      <c r="G16" s="92">
        <v>350000</v>
      </c>
      <c r="H16" s="9">
        <v>350000</v>
      </c>
      <c r="I16" s="9">
        <v>350000</v>
      </c>
      <c r="J16" s="9">
        <v>350000</v>
      </c>
      <c r="K16" s="9">
        <v>350000</v>
      </c>
      <c r="L16" s="9">
        <v>350000</v>
      </c>
      <c r="M16" s="92">
        <v>350000</v>
      </c>
      <c r="N16" s="92">
        <v>350000</v>
      </c>
      <c r="O16" s="92">
        <v>350000</v>
      </c>
      <c r="P16" s="92">
        <v>350000</v>
      </c>
      <c r="Q16" s="92">
        <v>350000</v>
      </c>
      <c r="R16" s="92">
        <f t="shared" si="0"/>
        <v>48897275</v>
      </c>
    </row>
    <row r="17" spans="1:18" x14ac:dyDescent="0.35">
      <c r="A17" s="5">
        <v>15</v>
      </c>
      <c r="B17" s="6" t="s">
        <v>61</v>
      </c>
      <c r="C17" s="7" t="s">
        <v>62</v>
      </c>
      <c r="D17" s="8" t="s">
        <v>49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/>
      <c r="R17" s="9">
        <f t="shared" si="0"/>
        <v>0</v>
      </c>
    </row>
    <row r="18" spans="1:18" x14ac:dyDescent="0.35">
      <c r="A18" s="5">
        <v>16</v>
      </c>
      <c r="B18" s="6" t="s">
        <v>63</v>
      </c>
      <c r="C18" s="7" t="s">
        <v>1586</v>
      </c>
      <c r="D18" s="8" t="s">
        <v>65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/>
      <c r="R18" s="9">
        <f t="shared" si="0"/>
        <v>0</v>
      </c>
    </row>
    <row r="19" spans="1:18" x14ac:dyDescent="0.35">
      <c r="A19" s="5">
        <v>17</v>
      </c>
      <c r="B19" s="6" t="s">
        <v>66</v>
      </c>
      <c r="C19" s="7" t="s">
        <v>1587</v>
      </c>
      <c r="D19" s="8" t="s">
        <v>25</v>
      </c>
      <c r="E19" s="9">
        <v>77549876</v>
      </c>
      <c r="F19" s="9">
        <v>-77549876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/>
      <c r="R19" s="9">
        <f t="shared" si="0"/>
        <v>0</v>
      </c>
    </row>
    <row r="20" spans="1:18" x14ac:dyDescent="0.35">
      <c r="A20" s="5">
        <v>18</v>
      </c>
      <c r="B20" s="6" t="s">
        <v>68</v>
      </c>
      <c r="C20" s="7" t="s">
        <v>1588</v>
      </c>
      <c r="D20" s="8" t="s">
        <v>19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/>
      <c r="R20" s="9">
        <f t="shared" si="0"/>
        <v>0</v>
      </c>
    </row>
    <row r="21" spans="1:18" x14ac:dyDescent="0.35">
      <c r="A21" s="5">
        <v>19</v>
      </c>
      <c r="B21" s="6" t="s">
        <v>70</v>
      </c>
      <c r="C21" s="7" t="s">
        <v>1589</v>
      </c>
      <c r="D21" s="8" t="s">
        <v>72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/>
      <c r="R21" s="9">
        <f t="shared" si="0"/>
        <v>0</v>
      </c>
    </row>
    <row r="22" spans="1:18" x14ac:dyDescent="0.35">
      <c r="A22" s="5">
        <v>20</v>
      </c>
      <c r="B22" s="6" t="s">
        <v>73</v>
      </c>
      <c r="C22" s="7" t="s">
        <v>1590</v>
      </c>
      <c r="D22" s="8" t="s">
        <v>72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/>
      <c r="R22" s="9">
        <f t="shared" si="0"/>
        <v>0</v>
      </c>
    </row>
    <row r="23" spans="1:18" x14ac:dyDescent="0.35">
      <c r="A23" s="5">
        <v>21</v>
      </c>
      <c r="B23" s="6" t="s">
        <v>75</v>
      </c>
      <c r="C23" s="7" t="s">
        <v>1591</v>
      </c>
      <c r="D23" s="8" t="s">
        <v>77</v>
      </c>
      <c r="E23" s="9">
        <v>250000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/>
      <c r="R23" s="9">
        <f t="shared" si="0"/>
        <v>250000</v>
      </c>
    </row>
    <row r="24" spans="1:18" x14ac:dyDescent="0.35">
      <c r="A24" s="5">
        <v>22</v>
      </c>
      <c r="B24" s="6" t="s">
        <v>78</v>
      </c>
      <c r="C24" s="18" t="s">
        <v>79</v>
      </c>
      <c r="D24" s="8" t="s">
        <v>80</v>
      </c>
      <c r="E24" s="9">
        <v>-150000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/>
      <c r="R24" s="9">
        <f t="shared" si="0"/>
        <v>-150000</v>
      </c>
    </row>
    <row r="25" spans="1:18" x14ac:dyDescent="0.35">
      <c r="A25" s="5">
        <v>23</v>
      </c>
      <c r="B25" s="6" t="s">
        <v>81</v>
      </c>
      <c r="C25" s="7" t="s">
        <v>1592</v>
      </c>
      <c r="D25" s="8" t="s">
        <v>83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/>
      <c r="R25" s="9">
        <f t="shared" si="0"/>
        <v>0</v>
      </c>
    </row>
    <row r="26" spans="1:18" x14ac:dyDescent="0.35">
      <c r="A26" s="5">
        <v>24</v>
      </c>
      <c r="B26" s="6" t="s">
        <v>84</v>
      </c>
      <c r="C26" s="18" t="s">
        <v>1593</v>
      </c>
      <c r="D26" s="8" t="s">
        <v>72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/>
      <c r="R26" s="9">
        <f t="shared" si="0"/>
        <v>0</v>
      </c>
    </row>
    <row r="27" spans="1:18" s="93" customFormat="1" x14ac:dyDescent="0.35">
      <c r="A27" s="89">
        <v>25</v>
      </c>
      <c r="B27" s="94" t="s">
        <v>86</v>
      </c>
      <c r="C27" s="90" t="s">
        <v>1974</v>
      </c>
      <c r="D27" s="91" t="s">
        <v>65</v>
      </c>
      <c r="E27" s="92">
        <v>13231788</v>
      </c>
      <c r="F27" s="92">
        <v>100000</v>
      </c>
      <c r="G27" s="92">
        <v>100000</v>
      </c>
      <c r="H27" s="9">
        <v>100000</v>
      </c>
      <c r="I27" s="9">
        <v>100000</v>
      </c>
      <c r="J27" s="9">
        <v>100000</v>
      </c>
      <c r="K27" s="9">
        <v>100000</v>
      </c>
      <c r="L27" s="9">
        <v>100000</v>
      </c>
      <c r="M27" s="92">
        <v>100000</v>
      </c>
      <c r="N27" s="92">
        <v>100000</v>
      </c>
      <c r="O27" s="92">
        <v>100000</v>
      </c>
      <c r="P27" s="92">
        <v>100000</v>
      </c>
      <c r="Q27" s="92">
        <v>100000</v>
      </c>
      <c r="R27" s="92">
        <f t="shared" si="0"/>
        <v>14431788</v>
      </c>
    </row>
    <row r="28" spans="1:18" x14ac:dyDescent="0.35">
      <c r="A28" s="5">
        <v>26</v>
      </c>
      <c r="B28" s="6" t="s">
        <v>88</v>
      </c>
      <c r="C28" s="7" t="s">
        <v>1975</v>
      </c>
      <c r="D28" s="8" t="s">
        <v>80</v>
      </c>
      <c r="E28" s="9">
        <v>800000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/>
      <c r="R28" s="9">
        <f t="shared" si="0"/>
        <v>800000</v>
      </c>
    </row>
    <row r="29" spans="1:18" s="142" customFormat="1" x14ac:dyDescent="0.35">
      <c r="A29" s="143">
        <v>27</v>
      </c>
      <c r="B29" s="6" t="s">
        <v>90</v>
      </c>
      <c r="C29" s="144" t="s">
        <v>1976</v>
      </c>
      <c r="D29" s="145" t="s">
        <v>92</v>
      </c>
      <c r="E29" s="141">
        <v>18900000</v>
      </c>
      <c r="F29" s="9">
        <v>150000</v>
      </c>
      <c r="G29" s="9">
        <v>150000</v>
      </c>
      <c r="H29" s="9">
        <v>150000</v>
      </c>
      <c r="I29" s="9">
        <v>150000</v>
      </c>
      <c r="J29" s="9">
        <v>150000</v>
      </c>
      <c r="K29" s="9">
        <v>150000</v>
      </c>
      <c r="L29" s="9">
        <v>150000</v>
      </c>
      <c r="M29" s="9">
        <v>150000</v>
      </c>
      <c r="N29" s="9">
        <v>150000</v>
      </c>
      <c r="O29" s="141">
        <v>150000</v>
      </c>
      <c r="P29" s="141">
        <v>150000</v>
      </c>
      <c r="Q29" s="141">
        <v>150000</v>
      </c>
      <c r="R29" s="141">
        <f t="shared" si="0"/>
        <v>20700000</v>
      </c>
    </row>
    <row r="30" spans="1:18" x14ac:dyDescent="0.35">
      <c r="A30" s="5">
        <v>28</v>
      </c>
      <c r="B30" s="6" t="s">
        <v>93</v>
      </c>
      <c r="C30" s="7" t="s">
        <v>1594</v>
      </c>
      <c r="D30" s="8" t="s">
        <v>95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/>
      <c r="R30" s="9">
        <f t="shared" si="0"/>
        <v>0</v>
      </c>
    </row>
    <row r="31" spans="1:18" s="93" customFormat="1" x14ac:dyDescent="0.35">
      <c r="A31" s="89">
        <v>29</v>
      </c>
      <c r="B31" s="94" t="s">
        <v>96</v>
      </c>
      <c r="C31" s="90" t="s">
        <v>1977</v>
      </c>
      <c r="D31" s="91" t="s">
        <v>98</v>
      </c>
      <c r="E31" s="92">
        <v>4600000</v>
      </c>
      <c r="F31" s="9">
        <v>0</v>
      </c>
      <c r="G31" s="92">
        <v>0</v>
      </c>
      <c r="H31" s="92">
        <v>0</v>
      </c>
      <c r="I31" s="9">
        <v>0</v>
      </c>
      <c r="J31" s="92">
        <v>0</v>
      </c>
      <c r="K31" s="92">
        <v>0</v>
      </c>
      <c r="L31" s="92">
        <v>0</v>
      </c>
      <c r="M31" s="92">
        <v>350000</v>
      </c>
      <c r="N31" s="92">
        <v>350000</v>
      </c>
      <c r="O31" s="92">
        <v>350000</v>
      </c>
      <c r="P31" s="92">
        <v>350000</v>
      </c>
      <c r="Q31" s="92">
        <v>350000</v>
      </c>
      <c r="R31" s="92">
        <f t="shared" si="0"/>
        <v>6350000</v>
      </c>
    </row>
    <row r="32" spans="1:18" x14ac:dyDescent="0.35">
      <c r="A32" s="5">
        <v>30</v>
      </c>
      <c r="B32" s="6" t="s">
        <v>99</v>
      </c>
      <c r="C32" s="7" t="s">
        <v>1595</v>
      </c>
      <c r="D32" s="8" t="s">
        <v>41</v>
      </c>
      <c r="E32" s="9">
        <v>67026138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/>
      <c r="R32" s="9">
        <f t="shared" si="0"/>
        <v>67026138</v>
      </c>
    </row>
    <row r="33" spans="1:18" s="142" customFormat="1" x14ac:dyDescent="0.35">
      <c r="A33" s="143">
        <v>31</v>
      </c>
      <c r="B33" s="6" t="s">
        <v>101</v>
      </c>
      <c r="C33" s="144" t="s">
        <v>1978</v>
      </c>
      <c r="D33" s="145" t="s">
        <v>103</v>
      </c>
      <c r="E33" s="141">
        <v>12814161</v>
      </c>
      <c r="F33" s="9">
        <v>150000</v>
      </c>
      <c r="G33" s="9">
        <v>150000</v>
      </c>
      <c r="H33" s="9">
        <v>150000</v>
      </c>
      <c r="I33" s="9">
        <v>150000</v>
      </c>
      <c r="J33" s="9">
        <v>150000</v>
      </c>
      <c r="K33" s="9">
        <v>150000</v>
      </c>
      <c r="L33" s="9">
        <v>150000</v>
      </c>
      <c r="M33" s="9">
        <v>150000</v>
      </c>
      <c r="N33" s="9">
        <v>150000</v>
      </c>
      <c r="O33" s="141">
        <v>150000</v>
      </c>
      <c r="P33" s="141">
        <v>150000</v>
      </c>
      <c r="Q33" s="141">
        <v>150000</v>
      </c>
      <c r="R33" s="141">
        <f t="shared" si="0"/>
        <v>14614161</v>
      </c>
    </row>
    <row r="34" spans="1:18" x14ac:dyDescent="0.35">
      <c r="A34" s="5">
        <v>32</v>
      </c>
      <c r="B34" s="6" t="s">
        <v>104</v>
      </c>
      <c r="C34" s="7" t="s">
        <v>1596</v>
      </c>
      <c r="D34" s="8" t="s">
        <v>95</v>
      </c>
      <c r="E34" s="9">
        <v>26027980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/>
      <c r="R34" s="9">
        <f t="shared" si="0"/>
        <v>26027980</v>
      </c>
    </row>
    <row r="35" spans="1:18" s="93" customFormat="1" x14ac:dyDescent="0.35">
      <c r="A35" s="89">
        <v>33</v>
      </c>
      <c r="B35" s="94" t="s">
        <v>106</v>
      </c>
      <c r="C35" s="90" t="s">
        <v>1766</v>
      </c>
      <c r="D35" s="91" t="s">
        <v>108</v>
      </c>
      <c r="E35" s="92">
        <v>47029884</v>
      </c>
      <c r="F35" s="92">
        <v>350000</v>
      </c>
      <c r="G35" s="92">
        <v>350000</v>
      </c>
      <c r="H35" s="9">
        <v>350000</v>
      </c>
      <c r="I35" s="9">
        <v>350000</v>
      </c>
      <c r="J35" s="9">
        <v>350000</v>
      </c>
      <c r="K35" s="9">
        <v>350000</v>
      </c>
      <c r="L35" s="9">
        <v>350000</v>
      </c>
      <c r="M35" s="92">
        <v>350000</v>
      </c>
      <c r="N35" s="92">
        <v>350000</v>
      </c>
      <c r="O35" s="92">
        <v>350000</v>
      </c>
      <c r="P35" s="92">
        <v>350000</v>
      </c>
      <c r="Q35" s="92">
        <v>350000</v>
      </c>
      <c r="R35" s="92">
        <f t="shared" si="0"/>
        <v>51229884</v>
      </c>
    </row>
    <row r="36" spans="1:18" s="93" customFormat="1" x14ac:dyDescent="0.35">
      <c r="A36" s="89">
        <v>34</v>
      </c>
      <c r="B36" s="94" t="s">
        <v>109</v>
      </c>
      <c r="C36" s="90" t="s">
        <v>1774</v>
      </c>
      <c r="D36" s="91" t="s">
        <v>72</v>
      </c>
      <c r="E36" s="92">
        <v>40939498</v>
      </c>
      <c r="F36" s="92">
        <v>350000</v>
      </c>
      <c r="G36" s="92">
        <v>350000</v>
      </c>
      <c r="H36" s="9">
        <v>350000</v>
      </c>
      <c r="I36" s="9">
        <v>350000</v>
      </c>
      <c r="J36" s="9">
        <v>350000</v>
      </c>
      <c r="K36" s="9">
        <v>350000</v>
      </c>
      <c r="L36" s="9">
        <v>350000</v>
      </c>
      <c r="M36" s="92">
        <v>350000</v>
      </c>
      <c r="N36" s="92">
        <v>350000</v>
      </c>
      <c r="O36" s="92">
        <v>350000</v>
      </c>
      <c r="P36" s="92">
        <v>350000</v>
      </c>
      <c r="Q36" s="92">
        <v>350000</v>
      </c>
      <c r="R36" s="92">
        <f t="shared" si="0"/>
        <v>45139498</v>
      </c>
    </row>
    <row r="37" spans="1:18" s="142" customFormat="1" x14ac:dyDescent="0.35">
      <c r="A37" s="143">
        <v>35</v>
      </c>
      <c r="B37" s="6" t="s">
        <v>111</v>
      </c>
      <c r="C37" s="144" t="s">
        <v>1857</v>
      </c>
      <c r="D37" s="145" t="s">
        <v>113</v>
      </c>
      <c r="E37" s="141">
        <v>25567478</v>
      </c>
      <c r="F37" s="9">
        <v>250000</v>
      </c>
      <c r="G37" s="9">
        <v>250000</v>
      </c>
      <c r="H37" s="9">
        <v>250000</v>
      </c>
      <c r="I37" s="9">
        <v>250000</v>
      </c>
      <c r="J37" s="9">
        <v>250000</v>
      </c>
      <c r="K37" s="9">
        <v>250000</v>
      </c>
      <c r="L37" s="9">
        <v>250000</v>
      </c>
      <c r="M37" s="9">
        <v>250000</v>
      </c>
      <c r="N37" s="9">
        <v>250000</v>
      </c>
      <c r="O37" s="141">
        <v>250000</v>
      </c>
      <c r="P37" s="141">
        <v>250000</v>
      </c>
      <c r="Q37" s="141">
        <v>250000</v>
      </c>
      <c r="R37" s="141">
        <f t="shared" si="0"/>
        <v>28567478</v>
      </c>
    </row>
    <row r="38" spans="1:18" s="104" customFormat="1" x14ac:dyDescent="0.35">
      <c r="A38" s="100">
        <v>36</v>
      </c>
      <c r="B38" s="94" t="s">
        <v>114</v>
      </c>
      <c r="C38" s="101" t="s">
        <v>1979</v>
      </c>
      <c r="D38" s="102" t="s">
        <v>116</v>
      </c>
      <c r="E38" s="103">
        <v>39095000</v>
      </c>
      <c r="F38" s="92">
        <v>350000</v>
      </c>
      <c r="G38" s="92">
        <v>350000</v>
      </c>
      <c r="H38" s="9">
        <v>350000</v>
      </c>
      <c r="I38" s="9">
        <v>350000</v>
      </c>
      <c r="J38" s="9">
        <v>350000</v>
      </c>
      <c r="K38" s="9">
        <v>350000</v>
      </c>
      <c r="L38" s="103">
        <v>350000</v>
      </c>
      <c r="M38" s="103">
        <v>350000</v>
      </c>
      <c r="N38" s="103">
        <v>350000</v>
      </c>
      <c r="O38" s="103">
        <v>350000</v>
      </c>
      <c r="P38" s="103">
        <v>350000</v>
      </c>
      <c r="Q38" s="103">
        <v>350000</v>
      </c>
      <c r="R38" s="103">
        <f t="shared" si="0"/>
        <v>43295000</v>
      </c>
    </row>
    <row r="39" spans="1:18" s="104" customFormat="1" x14ac:dyDescent="0.35">
      <c r="A39" s="100">
        <v>37</v>
      </c>
      <c r="B39" s="94" t="s">
        <v>117</v>
      </c>
      <c r="C39" s="101" t="s">
        <v>1597</v>
      </c>
      <c r="D39" s="102" t="s">
        <v>119</v>
      </c>
      <c r="E39" s="103">
        <v>36018134</v>
      </c>
      <c r="F39" s="92">
        <v>250000</v>
      </c>
      <c r="G39" s="92">
        <v>250000</v>
      </c>
      <c r="H39" s="9">
        <v>250000</v>
      </c>
      <c r="I39" s="9">
        <v>250000</v>
      </c>
      <c r="J39" s="9">
        <v>250000</v>
      </c>
      <c r="K39" s="103">
        <v>250000</v>
      </c>
      <c r="L39" s="103">
        <v>250000</v>
      </c>
      <c r="M39" s="103">
        <v>250000</v>
      </c>
      <c r="N39" s="103">
        <v>250000</v>
      </c>
      <c r="O39" s="103">
        <v>250000</v>
      </c>
      <c r="P39" s="103">
        <v>250000</v>
      </c>
      <c r="Q39" s="103">
        <v>250000</v>
      </c>
      <c r="R39" s="103">
        <f t="shared" si="0"/>
        <v>39018134</v>
      </c>
    </row>
    <row r="40" spans="1:18" s="93" customFormat="1" x14ac:dyDescent="0.35">
      <c r="A40" s="89">
        <v>38</v>
      </c>
      <c r="B40" s="94" t="s">
        <v>120</v>
      </c>
      <c r="C40" s="90" t="s">
        <v>1960</v>
      </c>
      <c r="D40" s="91" t="s">
        <v>108</v>
      </c>
      <c r="E40" s="92">
        <v>52878542</v>
      </c>
      <c r="F40" s="92">
        <v>350000</v>
      </c>
      <c r="G40" s="92">
        <v>350000</v>
      </c>
      <c r="H40" s="9">
        <v>350000</v>
      </c>
      <c r="I40" s="9">
        <v>350000</v>
      </c>
      <c r="J40" s="9">
        <v>350000</v>
      </c>
      <c r="K40" s="9">
        <v>350000</v>
      </c>
      <c r="L40" s="9">
        <v>350000</v>
      </c>
      <c r="M40" s="92">
        <v>350000</v>
      </c>
      <c r="N40" s="92">
        <v>350000</v>
      </c>
      <c r="O40" s="92">
        <v>350000</v>
      </c>
      <c r="P40" s="92">
        <v>350000</v>
      </c>
      <c r="Q40" s="92">
        <v>350000</v>
      </c>
      <c r="R40" s="92">
        <f t="shared" si="0"/>
        <v>57078542</v>
      </c>
    </row>
    <row r="41" spans="1:18" x14ac:dyDescent="0.35">
      <c r="A41" s="5">
        <v>39</v>
      </c>
      <c r="B41" s="6" t="s">
        <v>121</v>
      </c>
      <c r="C41" s="7" t="s">
        <v>1598</v>
      </c>
      <c r="D41" s="8" t="s">
        <v>123</v>
      </c>
      <c r="E41" s="9">
        <v>3375000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/>
      <c r="R41" s="9">
        <f t="shared" si="0"/>
        <v>3375000</v>
      </c>
    </row>
    <row r="42" spans="1:18" x14ac:dyDescent="0.35">
      <c r="A42" s="5">
        <v>40</v>
      </c>
      <c r="B42" s="6" t="s">
        <v>124</v>
      </c>
      <c r="C42" s="7" t="s">
        <v>1599</v>
      </c>
      <c r="D42" s="8" t="s">
        <v>11</v>
      </c>
      <c r="E42" s="9">
        <v>19034067</v>
      </c>
      <c r="F42" s="9">
        <v>150000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/>
      <c r="R42" s="9">
        <f t="shared" si="0"/>
        <v>19184067</v>
      </c>
    </row>
    <row r="43" spans="1:18" s="142" customFormat="1" x14ac:dyDescent="0.35">
      <c r="A43" s="143">
        <v>41</v>
      </c>
      <c r="B43" s="6" t="s">
        <v>126</v>
      </c>
      <c r="C43" s="144" t="s">
        <v>1934</v>
      </c>
      <c r="D43" s="145" t="s">
        <v>128</v>
      </c>
      <c r="E43" s="141">
        <v>27913302</v>
      </c>
      <c r="F43" s="9">
        <v>350000</v>
      </c>
      <c r="G43" s="9">
        <v>350000</v>
      </c>
      <c r="H43" s="9">
        <v>350000</v>
      </c>
      <c r="I43" s="9">
        <v>350000</v>
      </c>
      <c r="J43" s="9">
        <v>350000</v>
      </c>
      <c r="K43" s="9">
        <v>350000</v>
      </c>
      <c r="L43" s="9">
        <v>350000</v>
      </c>
      <c r="M43" s="9">
        <v>350000</v>
      </c>
      <c r="N43" s="9">
        <v>350000</v>
      </c>
      <c r="O43" s="141">
        <v>350000</v>
      </c>
      <c r="P43" s="141">
        <v>350000</v>
      </c>
      <c r="Q43" s="141">
        <v>350000</v>
      </c>
      <c r="R43" s="141">
        <f t="shared" si="0"/>
        <v>32113302</v>
      </c>
    </row>
    <row r="44" spans="1:18" s="93" customFormat="1" x14ac:dyDescent="0.35">
      <c r="A44" s="89">
        <v>42</v>
      </c>
      <c r="B44" s="94" t="s">
        <v>129</v>
      </c>
      <c r="C44" s="90" t="s">
        <v>1980</v>
      </c>
      <c r="D44" s="91" t="s">
        <v>131</v>
      </c>
      <c r="E44" s="92">
        <v>71130464</v>
      </c>
      <c r="F44" s="92">
        <v>500000</v>
      </c>
      <c r="G44" s="92">
        <v>500000</v>
      </c>
      <c r="H44" s="9">
        <v>500000</v>
      </c>
      <c r="I44" s="9">
        <v>500000</v>
      </c>
      <c r="J44" s="9">
        <v>500000</v>
      </c>
      <c r="K44" s="9">
        <v>500000</v>
      </c>
      <c r="L44" s="9">
        <v>500000</v>
      </c>
      <c r="M44" s="92">
        <v>500000</v>
      </c>
      <c r="N44" s="92">
        <v>500000</v>
      </c>
      <c r="O44" s="92">
        <v>500000</v>
      </c>
      <c r="P44" s="92">
        <v>500000</v>
      </c>
      <c r="Q44" s="92">
        <v>500000</v>
      </c>
      <c r="R44" s="92">
        <f t="shared" si="0"/>
        <v>77130464</v>
      </c>
    </row>
    <row r="45" spans="1:18" x14ac:dyDescent="0.35">
      <c r="A45" s="5">
        <v>43</v>
      </c>
      <c r="B45" s="6" t="s">
        <v>132</v>
      </c>
      <c r="C45" s="7" t="s">
        <v>1600</v>
      </c>
      <c r="D45" s="8" t="s">
        <v>77</v>
      </c>
      <c r="E45" s="9">
        <v>-450000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/>
      <c r="R45" s="9">
        <f t="shared" si="0"/>
        <v>-450000</v>
      </c>
    </row>
    <row r="46" spans="1:18" s="142" customFormat="1" x14ac:dyDescent="0.35">
      <c r="A46" s="143">
        <v>44</v>
      </c>
      <c r="B46" s="6" t="s">
        <v>134</v>
      </c>
      <c r="C46" s="144" t="s">
        <v>1860</v>
      </c>
      <c r="D46" s="145" t="s">
        <v>136</v>
      </c>
      <c r="E46" s="141">
        <v>21995858</v>
      </c>
      <c r="F46" s="9">
        <v>150000</v>
      </c>
      <c r="G46" s="9">
        <v>150000</v>
      </c>
      <c r="H46" s="9">
        <v>150000</v>
      </c>
      <c r="I46" s="9">
        <v>150000</v>
      </c>
      <c r="J46" s="9">
        <v>150000</v>
      </c>
      <c r="K46" s="9">
        <v>150000</v>
      </c>
      <c r="L46" s="9">
        <v>150000</v>
      </c>
      <c r="M46" s="9">
        <v>150000</v>
      </c>
      <c r="N46" s="9">
        <v>150000</v>
      </c>
      <c r="O46" s="141">
        <v>150000</v>
      </c>
      <c r="P46" s="141">
        <v>150000</v>
      </c>
      <c r="Q46" s="141">
        <v>150000</v>
      </c>
      <c r="R46" s="141">
        <f t="shared" si="0"/>
        <v>23795858</v>
      </c>
    </row>
    <row r="47" spans="1:18" x14ac:dyDescent="0.35">
      <c r="A47" s="5">
        <v>45</v>
      </c>
      <c r="B47" s="6" t="s">
        <v>137</v>
      </c>
      <c r="C47" s="7" t="s">
        <v>138</v>
      </c>
      <c r="D47" s="8" t="s">
        <v>49</v>
      </c>
      <c r="E47" s="9">
        <v>345000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/>
      <c r="R47" s="9">
        <f t="shared" si="0"/>
        <v>345000</v>
      </c>
    </row>
    <row r="48" spans="1:18" s="142" customFormat="1" x14ac:dyDescent="0.35">
      <c r="A48" s="143">
        <v>46</v>
      </c>
      <c r="B48" s="6" t="s">
        <v>139</v>
      </c>
      <c r="C48" s="144" t="s">
        <v>1858</v>
      </c>
      <c r="D48" s="145" t="s">
        <v>141</v>
      </c>
      <c r="E48" s="141">
        <v>55171058</v>
      </c>
      <c r="F48" s="9">
        <v>350000</v>
      </c>
      <c r="G48" s="9">
        <v>350000</v>
      </c>
      <c r="H48" s="9">
        <v>350000</v>
      </c>
      <c r="I48" s="9">
        <v>350000</v>
      </c>
      <c r="J48" s="9">
        <v>350000</v>
      </c>
      <c r="K48" s="9">
        <v>350000</v>
      </c>
      <c r="L48" s="9">
        <v>350000</v>
      </c>
      <c r="M48" s="9">
        <v>350000</v>
      </c>
      <c r="N48" s="9">
        <v>350000</v>
      </c>
      <c r="O48" s="141">
        <v>350000</v>
      </c>
      <c r="P48" s="141">
        <v>350000</v>
      </c>
      <c r="Q48" s="141">
        <v>350000</v>
      </c>
      <c r="R48" s="141">
        <f t="shared" si="0"/>
        <v>59371058</v>
      </c>
    </row>
    <row r="49" spans="1:18" s="142" customFormat="1" x14ac:dyDescent="0.35">
      <c r="A49" s="143">
        <v>47</v>
      </c>
      <c r="B49" s="6" t="s">
        <v>142</v>
      </c>
      <c r="C49" s="144" t="s">
        <v>1859</v>
      </c>
      <c r="D49" s="145" t="s">
        <v>144</v>
      </c>
      <c r="E49" s="141">
        <v>36191147</v>
      </c>
      <c r="F49" s="9">
        <v>250000</v>
      </c>
      <c r="G49" s="9">
        <v>250000</v>
      </c>
      <c r="H49" s="9">
        <v>250000</v>
      </c>
      <c r="I49" s="9">
        <v>250000</v>
      </c>
      <c r="J49" s="9">
        <v>250000</v>
      </c>
      <c r="K49" s="9">
        <v>250000</v>
      </c>
      <c r="L49" s="9">
        <v>250000</v>
      </c>
      <c r="M49" s="9">
        <v>250000</v>
      </c>
      <c r="N49" s="9">
        <v>250000</v>
      </c>
      <c r="O49" s="141">
        <v>250000</v>
      </c>
      <c r="P49" s="141">
        <v>250000</v>
      </c>
      <c r="Q49" s="141">
        <v>250000</v>
      </c>
      <c r="R49" s="141">
        <f t="shared" si="0"/>
        <v>39191147</v>
      </c>
    </row>
    <row r="50" spans="1:18" s="142" customFormat="1" x14ac:dyDescent="0.35">
      <c r="A50" s="143">
        <v>48</v>
      </c>
      <c r="B50" s="6" t="s">
        <v>145</v>
      </c>
      <c r="C50" s="144" t="s">
        <v>1981</v>
      </c>
      <c r="D50" s="145" t="s">
        <v>77</v>
      </c>
      <c r="E50" s="141">
        <v>300000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550000</v>
      </c>
      <c r="L50" s="9">
        <v>350000</v>
      </c>
      <c r="M50" s="9">
        <v>350000</v>
      </c>
      <c r="N50" s="9">
        <v>350000</v>
      </c>
      <c r="O50" s="141">
        <v>350000</v>
      </c>
      <c r="P50" s="141">
        <v>350000</v>
      </c>
      <c r="Q50" s="141">
        <v>350000</v>
      </c>
      <c r="R50" s="141">
        <f t="shared" si="0"/>
        <v>2950000</v>
      </c>
    </row>
    <row r="51" spans="1:18" s="93" customFormat="1" x14ac:dyDescent="0.35">
      <c r="A51" s="89">
        <v>49</v>
      </c>
      <c r="B51" s="94" t="s">
        <v>147</v>
      </c>
      <c r="C51" s="90" t="s">
        <v>1944</v>
      </c>
      <c r="D51" s="91" t="s">
        <v>60</v>
      </c>
      <c r="E51" s="92">
        <v>52884577</v>
      </c>
      <c r="F51" s="92">
        <v>350000</v>
      </c>
      <c r="G51" s="92">
        <v>350000</v>
      </c>
      <c r="H51" s="9">
        <v>350000</v>
      </c>
      <c r="I51" s="9">
        <v>350000</v>
      </c>
      <c r="J51" s="9">
        <v>350000</v>
      </c>
      <c r="K51" s="9">
        <v>350000</v>
      </c>
      <c r="L51" s="9">
        <v>350000</v>
      </c>
      <c r="M51" s="92">
        <v>350000</v>
      </c>
      <c r="N51" s="92">
        <v>350000</v>
      </c>
      <c r="O51" s="92">
        <v>350000</v>
      </c>
      <c r="P51" s="92">
        <v>350000</v>
      </c>
      <c r="Q51" s="92">
        <v>350000</v>
      </c>
      <c r="R51" s="92">
        <f t="shared" si="0"/>
        <v>57084577</v>
      </c>
    </row>
    <row r="52" spans="1:18" s="142" customFormat="1" x14ac:dyDescent="0.35">
      <c r="A52" s="143">
        <v>50</v>
      </c>
      <c r="B52" s="6" t="s">
        <v>149</v>
      </c>
      <c r="C52" s="144" t="s">
        <v>1982</v>
      </c>
      <c r="D52" s="145" t="s">
        <v>46</v>
      </c>
      <c r="E52" s="141">
        <v>23678235</v>
      </c>
      <c r="F52" s="9">
        <v>150000</v>
      </c>
      <c r="G52" s="9">
        <v>150000</v>
      </c>
      <c r="H52" s="9">
        <v>150000</v>
      </c>
      <c r="I52" s="9">
        <v>150000</v>
      </c>
      <c r="J52" s="9">
        <v>150000</v>
      </c>
      <c r="K52" s="9">
        <v>150000</v>
      </c>
      <c r="L52" s="9">
        <v>150000</v>
      </c>
      <c r="M52" s="9">
        <v>150000</v>
      </c>
      <c r="N52" s="9">
        <v>150000</v>
      </c>
      <c r="O52" s="141">
        <v>150000</v>
      </c>
      <c r="P52" s="141">
        <v>150000</v>
      </c>
      <c r="Q52" s="141">
        <v>150000</v>
      </c>
      <c r="R52" s="141">
        <f t="shared" si="0"/>
        <v>25478235</v>
      </c>
    </row>
    <row r="53" spans="1:18" x14ac:dyDescent="0.35">
      <c r="A53" s="5">
        <v>51</v>
      </c>
      <c r="B53" s="6" t="s">
        <v>151</v>
      </c>
      <c r="C53" s="7" t="s">
        <v>152</v>
      </c>
      <c r="D53" s="8" t="s">
        <v>49</v>
      </c>
      <c r="E53" s="9">
        <v>195000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/>
      <c r="R53" s="9">
        <f t="shared" si="0"/>
        <v>195000</v>
      </c>
    </row>
    <row r="54" spans="1:18" s="93" customFormat="1" x14ac:dyDescent="0.35">
      <c r="A54" s="89">
        <v>52</v>
      </c>
      <c r="B54" s="94" t="s">
        <v>153</v>
      </c>
      <c r="C54" s="90" t="s">
        <v>1946</v>
      </c>
      <c r="D54" s="91" t="s">
        <v>72</v>
      </c>
      <c r="E54" s="92">
        <v>37815979</v>
      </c>
      <c r="F54" s="92">
        <v>250000</v>
      </c>
      <c r="G54" s="92">
        <v>250000</v>
      </c>
      <c r="H54" s="9">
        <v>250000</v>
      </c>
      <c r="I54" s="9">
        <v>250000</v>
      </c>
      <c r="J54" s="9">
        <v>250000</v>
      </c>
      <c r="K54" s="9">
        <v>250000</v>
      </c>
      <c r="L54" s="9">
        <v>250000</v>
      </c>
      <c r="M54" s="92">
        <v>250000</v>
      </c>
      <c r="N54" s="92">
        <v>250000</v>
      </c>
      <c r="O54" s="92">
        <v>250000</v>
      </c>
      <c r="P54" s="92">
        <v>250000</v>
      </c>
      <c r="Q54" s="92">
        <v>250000</v>
      </c>
      <c r="R54" s="92">
        <f t="shared" si="0"/>
        <v>40815979</v>
      </c>
    </row>
    <row r="55" spans="1:18" x14ac:dyDescent="0.35">
      <c r="A55" s="5">
        <v>53</v>
      </c>
      <c r="B55" s="6" t="s">
        <v>155</v>
      </c>
      <c r="C55" s="7" t="s">
        <v>1601</v>
      </c>
      <c r="D55" s="8" t="s">
        <v>49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/>
      <c r="R55" s="9">
        <f t="shared" si="0"/>
        <v>0</v>
      </c>
    </row>
    <row r="56" spans="1:18" s="142" customFormat="1" x14ac:dyDescent="0.35">
      <c r="A56" s="143">
        <v>54</v>
      </c>
      <c r="B56" s="6" t="s">
        <v>157</v>
      </c>
      <c r="C56" s="144" t="s">
        <v>1983</v>
      </c>
      <c r="D56" s="145" t="s">
        <v>159</v>
      </c>
      <c r="E56" s="141">
        <v>33725000</v>
      </c>
      <c r="F56" s="9">
        <v>250000</v>
      </c>
      <c r="G56" s="9">
        <v>250000</v>
      </c>
      <c r="H56" s="9">
        <v>250000</v>
      </c>
      <c r="I56" s="9">
        <v>250000</v>
      </c>
      <c r="J56" s="9">
        <v>250000</v>
      </c>
      <c r="K56" s="9">
        <v>250000</v>
      </c>
      <c r="L56" s="9">
        <v>250000</v>
      </c>
      <c r="M56" s="9">
        <v>250000</v>
      </c>
      <c r="N56" s="9">
        <v>250000</v>
      </c>
      <c r="O56" s="141">
        <v>250000</v>
      </c>
      <c r="P56" s="141">
        <v>250000</v>
      </c>
      <c r="Q56" s="141">
        <v>250000</v>
      </c>
      <c r="R56" s="141">
        <f t="shared" si="0"/>
        <v>36725000</v>
      </c>
    </row>
    <row r="57" spans="1:18" x14ac:dyDescent="0.35">
      <c r="A57" s="5">
        <v>55</v>
      </c>
      <c r="B57" s="6" t="s">
        <v>160</v>
      </c>
      <c r="C57" s="7" t="s">
        <v>161</v>
      </c>
      <c r="D57" s="8" t="s">
        <v>95</v>
      </c>
      <c r="E57" s="9">
        <v>150000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/>
      <c r="R57" s="9">
        <f t="shared" si="0"/>
        <v>150000</v>
      </c>
    </row>
    <row r="58" spans="1:18" x14ac:dyDescent="0.35">
      <c r="A58" s="5">
        <v>56</v>
      </c>
      <c r="B58" s="6" t="s">
        <v>162</v>
      </c>
      <c r="C58" s="7" t="s">
        <v>1602</v>
      </c>
      <c r="D58" s="8" t="s">
        <v>49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/>
      <c r="R58" s="9">
        <f t="shared" si="0"/>
        <v>0</v>
      </c>
    </row>
    <row r="59" spans="1:18" x14ac:dyDescent="0.35">
      <c r="A59" s="5">
        <v>57</v>
      </c>
      <c r="B59" s="6" t="s">
        <v>164</v>
      </c>
      <c r="C59" s="7" t="s">
        <v>1603</v>
      </c>
      <c r="D59" s="8" t="s">
        <v>166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/>
      <c r="R59" s="9">
        <f t="shared" si="0"/>
        <v>0</v>
      </c>
    </row>
    <row r="60" spans="1:18" x14ac:dyDescent="0.35">
      <c r="A60" s="5">
        <v>58</v>
      </c>
      <c r="B60" s="6" t="s">
        <v>167</v>
      </c>
      <c r="C60" s="7" t="s">
        <v>168</v>
      </c>
      <c r="D60" s="8" t="s">
        <v>169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/>
      <c r="R60" s="9">
        <f t="shared" si="0"/>
        <v>0</v>
      </c>
    </row>
    <row r="61" spans="1:18" x14ac:dyDescent="0.35">
      <c r="A61" s="5">
        <v>59</v>
      </c>
      <c r="B61" s="6" t="s">
        <v>170</v>
      </c>
      <c r="C61" s="7" t="s">
        <v>171</v>
      </c>
      <c r="D61" s="8" t="s">
        <v>49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/>
      <c r="R61" s="9">
        <f t="shared" si="0"/>
        <v>0</v>
      </c>
    </row>
    <row r="62" spans="1:18" x14ac:dyDescent="0.35">
      <c r="A62" s="5">
        <v>60</v>
      </c>
      <c r="B62" s="6" t="s">
        <v>172</v>
      </c>
      <c r="C62" s="7" t="s">
        <v>173</v>
      </c>
      <c r="D62" s="8" t="s">
        <v>19</v>
      </c>
      <c r="E62" s="9">
        <v>5919993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/>
      <c r="R62" s="9">
        <f t="shared" si="0"/>
        <v>5919993</v>
      </c>
    </row>
    <row r="63" spans="1:18" x14ac:dyDescent="0.35">
      <c r="A63" s="5">
        <v>61</v>
      </c>
      <c r="B63" s="6" t="s">
        <v>174</v>
      </c>
      <c r="C63" s="7" t="s">
        <v>1604</v>
      </c>
      <c r="D63" s="8" t="s">
        <v>14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/>
      <c r="R63" s="9">
        <f t="shared" si="0"/>
        <v>0</v>
      </c>
    </row>
    <row r="64" spans="1:18" x14ac:dyDescent="0.35">
      <c r="A64" s="5">
        <v>62</v>
      </c>
      <c r="B64" s="6" t="s">
        <v>176</v>
      </c>
      <c r="C64" s="7" t="s">
        <v>177</v>
      </c>
      <c r="D64" s="8" t="s">
        <v>136</v>
      </c>
      <c r="E64" s="9">
        <v>150000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/>
      <c r="R64" s="9">
        <f t="shared" si="0"/>
        <v>150000</v>
      </c>
    </row>
    <row r="65" spans="1:18" x14ac:dyDescent="0.35">
      <c r="A65" s="5">
        <v>63</v>
      </c>
      <c r="B65" s="6" t="s">
        <v>178</v>
      </c>
      <c r="C65" s="7" t="s">
        <v>179</v>
      </c>
      <c r="D65" s="8" t="s">
        <v>49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/>
      <c r="R65" s="9">
        <f t="shared" si="0"/>
        <v>0</v>
      </c>
    </row>
    <row r="66" spans="1:18" s="93" customFormat="1" x14ac:dyDescent="0.35">
      <c r="A66" s="89">
        <v>64</v>
      </c>
      <c r="B66" s="6" t="s">
        <v>180</v>
      </c>
      <c r="C66" s="90" t="s">
        <v>1984</v>
      </c>
      <c r="D66" s="91" t="s">
        <v>46</v>
      </c>
      <c r="E66" s="92">
        <v>29511013</v>
      </c>
      <c r="F66" s="9">
        <v>250000</v>
      </c>
      <c r="G66" s="9">
        <v>250000</v>
      </c>
      <c r="H66" s="9">
        <v>250000</v>
      </c>
      <c r="I66" s="9">
        <v>250000</v>
      </c>
      <c r="J66" s="9">
        <v>250000</v>
      </c>
      <c r="K66" s="9">
        <v>250000</v>
      </c>
      <c r="L66" s="9">
        <v>250000</v>
      </c>
      <c r="M66" s="9">
        <v>250000</v>
      </c>
      <c r="N66" s="9">
        <v>250000</v>
      </c>
      <c r="O66" s="141">
        <v>250000</v>
      </c>
      <c r="P66" s="92">
        <v>250000</v>
      </c>
      <c r="Q66" s="92">
        <v>250000</v>
      </c>
      <c r="R66" s="92">
        <f t="shared" si="0"/>
        <v>32511013</v>
      </c>
    </row>
    <row r="67" spans="1:18" s="142" customFormat="1" x14ac:dyDescent="0.35">
      <c r="A67" s="143">
        <v>65</v>
      </c>
      <c r="B67" s="6" t="s">
        <v>182</v>
      </c>
      <c r="C67" s="144" t="s">
        <v>1985</v>
      </c>
      <c r="D67" s="145" t="s">
        <v>19</v>
      </c>
      <c r="E67" s="141">
        <v>30694515</v>
      </c>
      <c r="F67" s="9">
        <v>350000</v>
      </c>
      <c r="G67" s="9">
        <v>350000</v>
      </c>
      <c r="H67" s="9">
        <v>350000</v>
      </c>
      <c r="I67" s="9">
        <v>350000</v>
      </c>
      <c r="J67" s="9">
        <v>350000</v>
      </c>
      <c r="K67" s="9">
        <v>350000</v>
      </c>
      <c r="L67" s="9">
        <v>350000</v>
      </c>
      <c r="M67" s="9">
        <v>350000</v>
      </c>
      <c r="N67" s="9">
        <v>350000</v>
      </c>
      <c r="O67" s="141">
        <v>350000</v>
      </c>
      <c r="P67" s="141">
        <v>350000</v>
      </c>
      <c r="Q67" s="141">
        <v>350000</v>
      </c>
      <c r="R67" s="141">
        <f t="shared" ref="R67:R130" si="1">SUM(E67:Q67)</f>
        <v>34894515</v>
      </c>
    </row>
    <row r="68" spans="1:18" x14ac:dyDescent="0.35">
      <c r="A68" s="5">
        <v>66</v>
      </c>
      <c r="B68" s="6" t="s">
        <v>184</v>
      </c>
      <c r="C68" s="7" t="s">
        <v>185</v>
      </c>
      <c r="D68" s="8" t="s">
        <v>72</v>
      </c>
      <c r="E68" s="9">
        <v>350000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/>
      <c r="R68" s="9">
        <f t="shared" si="1"/>
        <v>350000</v>
      </c>
    </row>
    <row r="69" spans="1:18" s="93" customFormat="1" x14ac:dyDescent="0.35">
      <c r="A69" s="89">
        <v>67</v>
      </c>
      <c r="B69" s="94" t="s">
        <v>186</v>
      </c>
      <c r="C69" s="90" t="s">
        <v>1986</v>
      </c>
      <c r="D69" s="91" t="s">
        <v>95</v>
      </c>
      <c r="E69" s="92">
        <v>42684477</v>
      </c>
      <c r="F69" s="92">
        <v>350000</v>
      </c>
      <c r="G69" s="92">
        <v>350000</v>
      </c>
      <c r="H69" s="9">
        <v>350000</v>
      </c>
      <c r="I69" s="9">
        <v>350000</v>
      </c>
      <c r="J69" s="9">
        <v>350000</v>
      </c>
      <c r="K69" s="9">
        <v>350000</v>
      </c>
      <c r="L69" s="9">
        <v>350000</v>
      </c>
      <c r="M69" s="92">
        <v>350000</v>
      </c>
      <c r="N69" s="92">
        <v>350000</v>
      </c>
      <c r="O69" s="92">
        <v>350000</v>
      </c>
      <c r="P69" s="92">
        <v>350000</v>
      </c>
      <c r="Q69" s="92">
        <v>350000</v>
      </c>
      <c r="R69" s="92">
        <f t="shared" si="1"/>
        <v>46884477</v>
      </c>
    </row>
    <row r="70" spans="1:18" x14ac:dyDescent="0.35">
      <c r="A70" s="5">
        <v>68</v>
      </c>
      <c r="B70" s="6" t="s">
        <v>188</v>
      </c>
      <c r="C70" s="7" t="s">
        <v>1605</v>
      </c>
      <c r="D70" s="8" t="s">
        <v>49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/>
      <c r="R70" s="9">
        <f t="shared" si="1"/>
        <v>0</v>
      </c>
    </row>
    <row r="71" spans="1:18" s="142" customFormat="1" x14ac:dyDescent="0.35">
      <c r="A71" s="143">
        <v>69</v>
      </c>
      <c r="B71" s="6" t="s">
        <v>190</v>
      </c>
      <c r="C71" s="144" t="s">
        <v>1864</v>
      </c>
      <c r="D71" s="145" t="s">
        <v>141</v>
      </c>
      <c r="E71" s="141">
        <v>20633939</v>
      </c>
      <c r="F71" s="9">
        <v>150000</v>
      </c>
      <c r="G71" s="9">
        <v>150000</v>
      </c>
      <c r="H71" s="9">
        <v>150000</v>
      </c>
      <c r="I71" s="9">
        <v>150000</v>
      </c>
      <c r="J71" s="9">
        <v>150000</v>
      </c>
      <c r="K71" s="9">
        <v>150000</v>
      </c>
      <c r="L71" s="9">
        <v>150000</v>
      </c>
      <c r="M71" s="9">
        <v>150000</v>
      </c>
      <c r="N71" s="9">
        <v>150000</v>
      </c>
      <c r="O71" s="141">
        <v>150000</v>
      </c>
      <c r="P71" s="141">
        <v>150000</v>
      </c>
      <c r="Q71" s="141">
        <v>150000</v>
      </c>
      <c r="R71" s="141">
        <f t="shared" si="1"/>
        <v>22433939</v>
      </c>
    </row>
    <row r="72" spans="1:18" s="142" customFormat="1" x14ac:dyDescent="0.35">
      <c r="A72" s="143">
        <v>70</v>
      </c>
      <c r="B72" s="6" t="s">
        <v>192</v>
      </c>
      <c r="C72" s="144" t="s">
        <v>1987</v>
      </c>
      <c r="D72" s="145" t="s">
        <v>136</v>
      </c>
      <c r="E72" s="141">
        <v>25614881</v>
      </c>
      <c r="F72" s="9">
        <v>150000</v>
      </c>
      <c r="G72" s="9">
        <v>150000</v>
      </c>
      <c r="H72" s="9">
        <v>150000</v>
      </c>
      <c r="I72" s="9">
        <v>150000</v>
      </c>
      <c r="J72" s="9">
        <v>150000</v>
      </c>
      <c r="K72" s="9">
        <v>150000</v>
      </c>
      <c r="L72" s="9">
        <v>150000</v>
      </c>
      <c r="M72" s="9">
        <v>150000</v>
      </c>
      <c r="N72" s="9">
        <v>150000</v>
      </c>
      <c r="O72" s="141">
        <v>150000</v>
      </c>
      <c r="P72" s="141">
        <v>150000</v>
      </c>
      <c r="Q72" s="141">
        <v>150000</v>
      </c>
      <c r="R72" s="141">
        <f t="shared" si="1"/>
        <v>27414881</v>
      </c>
    </row>
    <row r="73" spans="1:18" x14ac:dyDescent="0.35">
      <c r="A73" s="5">
        <v>71</v>
      </c>
      <c r="B73" s="6" t="s">
        <v>194</v>
      </c>
      <c r="C73" s="7" t="s">
        <v>1988</v>
      </c>
      <c r="D73" s="8" t="s">
        <v>123</v>
      </c>
      <c r="E73" s="9">
        <v>4352980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/>
      <c r="R73" s="9">
        <f t="shared" si="1"/>
        <v>4352980</v>
      </c>
    </row>
    <row r="74" spans="1:18" s="142" customFormat="1" x14ac:dyDescent="0.35">
      <c r="A74" s="143">
        <v>72</v>
      </c>
      <c r="B74" s="6" t="s">
        <v>196</v>
      </c>
      <c r="C74" s="144" t="s">
        <v>1865</v>
      </c>
      <c r="D74" s="145" t="s">
        <v>198</v>
      </c>
      <c r="E74" s="141">
        <v>38482113</v>
      </c>
      <c r="F74" s="9">
        <v>500000</v>
      </c>
      <c r="G74" s="9">
        <v>500000</v>
      </c>
      <c r="H74" s="9">
        <v>500000</v>
      </c>
      <c r="I74" s="9">
        <v>500000</v>
      </c>
      <c r="J74" s="9">
        <v>500000</v>
      </c>
      <c r="K74" s="9">
        <v>500000</v>
      </c>
      <c r="L74" s="9">
        <v>500000</v>
      </c>
      <c r="M74" s="9">
        <v>500000</v>
      </c>
      <c r="N74" s="9">
        <v>500000</v>
      </c>
      <c r="O74" s="141">
        <v>500000</v>
      </c>
      <c r="P74" s="141">
        <v>500000</v>
      </c>
      <c r="Q74" s="141">
        <v>500000</v>
      </c>
      <c r="R74" s="141">
        <f t="shared" si="1"/>
        <v>44482113</v>
      </c>
    </row>
    <row r="75" spans="1:18" x14ac:dyDescent="0.35">
      <c r="A75" s="5">
        <v>73</v>
      </c>
      <c r="B75" s="6" t="s">
        <v>199</v>
      </c>
      <c r="C75" s="7" t="s">
        <v>1606</v>
      </c>
      <c r="D75" s="8" t="s">
        <v>201</v>
      </c>
      <c r="E75" s="9">
        <v>724127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/>
      <c r="R75" s="9">
        <f t="shared" si="1"/>
        <v>724127</v>
      </c>
    </row>
    <row r="76" spans="1:18" s="142" customFormat="1" x14ac:dyDescent="0.35">
      <c r="A76" s="143">
        <v>74</v>
      </c>
      <c r="B76" s="6" t="s">
        <v>202</v>
      </c>
      <c r="C76" s="144" t="s">
        <v>1866</v>
      </c>
      <c r="D76" s="145" t="s">
        <v>144</v>
      </c>
      <c r="E76" s="141">
        <v>21957208</v>
      </c>
      <c r="F76" s="9">
        <v>150000</v>
      </c>
      <c r="G76" s="9">
        <v>150000</v>
      </c>
      <c r="H76" s="9">
        <v>150000</v>
      </c>
      <c r="I76" s="9">
        <v>150000</v>
      </c>
      <c r="J76" s="9">
        <v>150000</v>
      </c>
      <c r="K76" s="9">
        <v>150000</v>
      </c>
      <c r="L76" s="9">
        <v>150000</v>
      </c>
      <c r="M76" s="9">
        <v>150000</v>
      </c>
      <c r="N76" s="9">
        <v>150000</v>
      </c>
      <c r="O76" s="141">
        <v>150000</v>
      </c>
      <c r="P76" s="141">
        <v>150000</v>
      </c>
      <c r="Q76" s="141">
        <v>150000</v>
      </c>
      <c r="R76" s="141">
        <f t="shared" si="1"/>
        <v>23757208</v>
      </c>
    </row>
    <row r="77" spans="1:18" x14ac:dyDescent="0.35">
      <c r="A77" s="5">
        <v>75</v>
      </c>
      <c r="B77" s="6" t="s">
        <v>204</v>
      </c>
      <c r="C77" s="7" t="s">
        <v>205</v>
      </c>
      <c r="D77" s="8" t="s">
        <v>77</v>
      </c>
      <c r="E77" s="9">
        <v>100000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/>
      <c r="R77" s="9">
        <f t="shared" si="1"/>
        <v>100000</v>
      </c>
    </row>
    <row r="78" spans="1:18" s="142" customFormat="1" x14ac:dyDescent="0.35">
      <c r="A78" s="143">
        <v>76</v>
      </c>
      <c r="B78" s="6" t="s">
        <v>206</v>
      </c>
      <c r="C78" s="144" t="s">
        <v>1989</v>
      </c>
      <c r="D78" s="145" t="s">
        <v>77</v>
      </c>
      <c r="E78" s="141">
        <v>31407578</v>
      </c>
      <c r="F78" s="9">
        <v>350000</v>
      </c>
      <c r="G78" s="9">
        <v>350000</v>
      </c>
      <c r="H78" s="9">
        <v>350000</v>
      </c>
      <c r="I78" s="9">
        <v>350000</v>
      </c>
      <c r="J78" s="9">
        <v>350000</v>
      </c>
      <c r="K78" s="9">
        <v>350000</v>
      </c>
      <c r="L78" s="9">
        <v>350000</v>
      </c>
      <c r="M78" s="9">
        <v>350000</v>
      </c>
      <c r="N78" s="9">
        <v>350000</v>
      </c>
      <c r="O78" s="141">
        <v>350000</v>
      </c>
      <c r="P78" s="141">
        <v>350000</v>
      </c>
      <c r="Q78" s="141">
        <v>350000</v>
      </c>
      <c r="R78" s="141">
        <f t="shared" si="1"/>
        <v>35607578</v>
      </c>
    </row>
    <row r="79" spans="1:18" s="93" customFormat="1" x14ac:dyDescent="0.35">
      <c r="A79" s="89">
        <v>77</v>
      </c>
      <c r="B79" s="94" t="s">
        <v>208</v>
      </c>
      <c r="C79" s="90" t="s">
        <v>1990</v>
      </c>
      <c r="D79" s="91" t="s">
        <v>210</v>
      </c>
      <c r="E79" s="92">
        <v>34964030</v>
      </c>
      <c r="F79" s="92">
        <v>500000</v>
      </c>
      <c r="G79" s="92">
        <v>500000</v>
      </c>
      <c r="H79" s="9">
        <v>500000</v>
      </c>
      <c r="I79" s="9">
        <v>500000</v>
      </c>
      <c r="J79" s="9">
        <v>500000</v>
      </c>
      <c r="K79" s="9">
        <v>500000</v>
      </c>
      <c r="L79" s="9">
        <v>500000</v>
      </c>
      <c r="M79" s="92">
        <v>500000</v>
      </c>
      <c r="N79" s="92">
        <v>500000</v>
      </c>
      <c r="O79" s="92">
        <v>500000</v>
      </c>
      <c r="P79" s="92">
        <v>500000</v>
      </c>
      <c r="Q79" s="92">
        <v>500000</v>
      </c>
      <c r="R79" s="92">
        <f t="shared" si="1"/>
        <v>40964030</v>
      </c>
    </row>
    <row r="80" spans="1:18" x14ac:dyDescent="0.35">
      <c r="A80" s="5">
        <v>78</v>
      </c>
      <c r="B80" s="6" t="s">
        <v>211</v>
      </c>
      <c r="C80" s="7" t="s">
        <v>212</v>
      </c>
      <c r="D80" s="8" t="s">
        <v>65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/>
      <c r="R80" s="9">
        <f t="shared" si="1"/>
        <v>0</v>
      </c>
    </row>
    <row r="81" spans="1:18" s="93" customFormat="1" x14ac:dyDescent="0.35">
      <c r="A81" s="89">
        <v>79</v>
      </c>
      <c r="B81" s="94" t="s">
        <v>213</v>
      </c>
      <c r="C81" s="90" t="s">
        <v>1991</v>
      </c>
      <c r="D81" s="91" t="s">
        <v>215</v>
      </c>
      <c r="E81" s="92">
        <v>20816599</v>
      </c>
      <c r="F81" s="9">
        <v>0</v>
      </c>
      <c r="G81" s="92">
        <v>350000</v>
      </c>
      <c r="H81" s="92">
        <v>350000</v>
      </c>
      <c r="I81" s="9">
        <v>350000</v>
      </c>
      <c r="J81" s="92">
        <v>350000</v>
      </c>
      <c r="K81" s="9">
        <v>350000</v>
      </c>
      <c r="L81" s="9">
        <v>350000</v>
      </c>
      <c r="M81" s="92">
        <v>350000</v>
      </c>
      <c r="N81" s="92">
        <v>350000</v>
      </c>
      <c r="O81" s="92">
        <v>350000</v>
      </c>
      <c r="P81" s="92">
        <v>350000</v>
      </c>
      <c r="Q81" s="92">
        <v>350000</v>
      </c>
      <c r="R81" s="92">
        <f t="shared" si="1"/>
        <v>24666599</v>
      </c>
    </row>
    <row r="82" spans="1:18" s="142" customFormat="1" x14ac:dyDescent="0.35">
      <c r="A82" s="143">
        <v>80</v>
      </c>
      <c r="B82" s="6" t="s">
        <v>216</v>
      </c>
      <c r="C82" s="144" t="s">
        <v>1992</v>
      </c>
      <c r="D82" s="145" t="s">
        <v>136</v>
      </c>
      <c r="E82" s="141">
        <v>16198751</v>
      </c>
      <c r="F82" s="9">
        <v>100000</v>
      </c>
      <c r="G82" s="9">
        <v>100000</v>
      </c>
      <c r="H82" s="9">
        <v>100000</v>
      </c>
      <c r="I82" s="9">
        <v>100000</v>
      </c>
      <c r="J82" s="9">
        <v>100000</v>
      </c>
      <c r="K82" s="9">
        <v>100000</v>
      </c>
      <c r="L82" s="9">
        <v>100000</v>
      </c>
      <c r="M82" s="9">
        <v>100000</v>
      </c>
      <c r="N82" s="9">
        <v>100000</v>
      </c>
      <c r="O82" s="141">
        <v>100000</v>
      </c>
      <c r="P82" s="141">
        <v>100000</v>
      </c>
      <c r="Q82" s="141">
        <v>100000</v>
      </c>
      <c r="R82" s="141">
        <f t="shared" si="1"/>
        <v>17398751</v>
      </c>
    </row>
    <row r="83" spans="1:18" x14ac:dyDescent="0.35">
      <c r="A83" s="5">
        <v>81</v>
      </c>
      <c r="B83" s="6" t="s">
        <v>218</v>
      </c>
      <c r="C83" s="7" t="s">
        <v>1631</v>
      </c>
      <c r="D83" s="8" t="s">
        <v>80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/>
      <c r="R83" s="9">
        <f t="shared" si="1"/>
        <v>0</v>
      </c>
    </row>
    <row r="84" spans="1:18" x14ac:dyDescent="0.35">
      <c r="A84" s="5">
        <v>82</v>
      </c>
      <c r="B84" s="6" t="s">
        <v>220</v>
      </c>
      <c r="C84" s="7" t="s">
        <v>221</v>
      </c>
      <c r="D84" s="8" t="s">
        <v>136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/>
      <c r="R84" s="9">
        <f t="shared" si="1"/>
        <v>0</v>
      </c>
    </row>
    <row r="85" spans="1:18" x14ac:dyDescent="0.35">
      <c r="A85" s="5">
        <v>83</v>
      </c>
      <c r="B85" s="6" t="s">
        <v>222</v>
      </c>
      <c r="C85" s="7" t="s">
        <v>1680</v>
      </c>
      <c r="D85" s="8" t="s">
        <v>166</v>
      </c>
      <c r="E85" s="9">
        <v>3741961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/>
      <c r="R85" s="9">
        <f t="shared" si="1"/>
        <v>3741961</v>
      </c>
    </row>
    <row r="86" spans="1:18" x14ac:dyDescent="0.35">
      <c r="A86" s="5">
        <v>84</v>
      </c>
      <c r="B86" s="6" t="s">
        <v>224</v>
      </c>
      <c r="C86" s="7" t="s">
        <v>225</v>
      </c>
      <c r="D86" s="8" t="s">
        <v>49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/>
      <c r="R86" s="9">
        <f t="shared" si="1"/>
        <v>0</v>
      </c>
    </row>
    <row r="87" spans="1:18" s="142" customFormat="1" x14ac:dyDescent="0.35">
      <c r="A87" s="143">
        <v>85</v>
      </c>
      <c r="B87" s="6" t="s">
        <v>226</v>
      </c>
      <c r="C87" s="144" t="s">
        <v>1993</v>
      </c>
      <c r="D87" s="145" t="s">
        <v>228</v>
      </c>
      <c r="E87" s="141">
        <v>9100000</v>
      </c>
      <c r="F87" s="9">
        <v>150000</v>
      </c>
      <c r="G87" s="9">
        <v>150000</v>
      </c>
      <c r="H87" s="9">
        <v>150000</v>
      </c>
      <c r="I87" s="9">
        <v>150000</v>
      </c>
      <c r="J87" s="9">
        <v>150000</v>
      </c>
      <c r="K87" s="9">
        <v>150000</v>
      </c>
      <c r="L87" s="9">
        <v>150000</v>
      </c>
      <c r="M87" s="9">
        <v>150000</v>
      </c>
      <c r="N87" s="9">
        <v>150000</v>
      </c>
      <c r="O87" s="141">
        <v>150000</v>
      </c>
      <c r="P87" s="141">
        <v>150000</v>
      </c>
      <c r="Q87" s="141">
        <v>150000</v>
      </c>
      <c r="R87" s="141">
        <f t="shared" si="1"/>
        <v>10900000</v>
      </c>
    </row>
    <row r="88" spans="1:18" x14ac:dyDescent="0.35">
      <c r="A88" s="5">
        <v>86</v>
      </c>
      <c r="B88" s="6" t="s">
        <v>229</v>
      </c>
      <c r="C88" s="7" t="s">
        <v>1632</v>
      </c>
      <c r="D88" s="8" t="s">
        <v>231</v>
      </c>
      <c r="E88" s="9">
        <v>3417478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/>
      <c r="R88" s="9">
        <f t="shared" si="1"/>
        <v>3417478</v>
      </c>
    </row>
    <row r="89" spans="1:18" x14ac:dyDescent="0.35">
      <c r="A89" s="5">
        <v>87</v>
      </c>
      <c r="B89" s="6" t="s">
        <v>232</v>
      </c>
      <c r="C89" s="7" t="s">
        <v>233</v>
      </c>
      <c r="D89" s="8" t="s">
        <v>159</v>
      </c>
      <c r="E89" s="9">
        <v>145000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/>
      <c r="R89" s="9">
        <f t="shared" si="1"/>
        <v>145000</v>
      </c>
    </row>
    <row r="90" spans="1:18" s="142" customFormat="1" x14ac:dyDescent="0.35">
      <c r="A90" s="143">
        <v>88</v>
      </c>
      <c r="B90" s="6" t="s">
        <v>234</v>
      </c>
      <c r="C90" s="144" t="s">
        <v>1951</v>
      </c>
      <c r="D90" s="145" t="s">
        <v>95</v>
      </c>
      <c r="E90" s="141">
        <v>18145000</v>
      </c>
      <c r="F90" s="92">
        <v>350000</v>
      </c>
      <c r="G90" s="9">
        <v>350000</v>
      </c>
      <c r="H90" s="9">
        <v>350000</v>
      </c>
      <c r="I90" s="9">
        <v>350000</v>
      </c>
      <c r="J90" s="9">
        <v>0</v>
      </c>
      <c r="K90" s="9">
        <v>0</v>
      </c>
      <c r="L90" s="9">
        <v>0</v>
      </c>
      <c r="M90" s="9">
        <v>350000</v>
      </c>
      <c r="N90" s="9">
        <v>350000</v>
      </c>
      <c r="O90" s="141">
        <v>350000</v>
      </c>
      <c r="P90" s="141">
        <v>350000</v>
      </c>
      <c r="Q90" s="141">
        <v>350000</v>
      </c>
      <c r="R90" s="141">
        <f t="shared" si="1"/>
        <v>21295000</v>
      </c>
    </row>
    <row r="91" spans="1:18" s="93" customFormat="1" x14ac:dyDescent="0.35">
      <c r="A91" s="89">
        <v>89</v>
      </c>
      <c r="B91" s="94" t="s">
        <v>236</v>
      </c>
      <c r="C91" s="90" t="s">
        <v>1754</v>
      </c>
      <c r="D91" s="91" t="s">
        <v>238</v>
      </c>
      <c r="E91" s="92">
        <v>39237174</v>
      </c>
      <c r="F91" s="92">
        <v>250000</v>
      </c>
      <c r="G91" s="92">
        <v>250000</v>
      </c>
      <c r="H91" s="9">
        <v>250000</v>
      </c>
      <c r="I91" s="9">
        <v>250000</v>
      </c>
      <c r="J91" s="9">
        <v>250000</v>
      </c>
      <c r="K91" s="9">
        <v>250000</v>
      </c>
      <c r="L91" s="9">
        <v>250000</v>
      </c>
      <c r="M91" s="92">
        <v>250000</v>
      </c>
      <c r="N91" s="92">
        <v>250000</v>
      </c>
      <c r="O91" s="92">
        <v>250000</v>
      </c>
      <c r="P91" s="92">
        <v>250000</v>
      </c>
      <c r="Q91" s="92">
        <v>250000</v>
      </c>
      <c r="R91" s="92">
        <f t="shared" si="1"/>
        <v>42237174</v>
      </c>
    </row>
    <row r="92" spans="1:18" x14ac:dyDescent="0.35">
      <c r="A92" s="5">
        <v>90</v>
      </c>
      <c r="B92" s="6" t="s">
        <v>239</v>
      </c>
      <c r="C92" s="7" t="s">
        <v>1994</v>
      </c>
      <c r="D92" s="8" t="s">
        <v>198</v>
      </c>
      <c r="E92" s="9">
        <v>9252980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/>
      <c r="R92" s="9">
        <f t="shared" si="1"/>
        <v>9252980</v>
      </c>
    </row>
    <row r="93" spans="1:18" x14ac:dyDescent="0.35">
      <c r="A93" s="5">
        <v>91</v>
      </c>
      <c r="B93" s="6" t="s">
        <v>241</v>
      </c>
      <c r="C93" s="7" t="s">
        <v>1681</v>
      </c>
      <c r="D93" s="8" t="s">
        <v>77</v>
      </c>
      <c r="E93" s="9">
        <v>350000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/>
      <c r="R93" s="9">
        <f t="shared" si="1"/>
        <v>350000</v>
      </c>
    </row>
    <row r="94" spans="1:18" x14ac:dyDescent="0.35">
      <c r="A94" s="5">
        <v>92</v>
      </c>
      <c r="B94" s="6" t="s">
        <v>243</v>
      </c>
      <c r="C94" s="7" t="s">
        <v>1995</v>
      </c>
      <c r="D94" s="8" t="s">
        <v>123</v>
      </c>
      <c r="E94" s="9">
        <v>7746114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/>
      <c r="R94" s="9">
        <f t="shared" si="1"/>
        <v>7746114</v>
      </c>
    </row>
    <row r="95" spans="1:18" x14ac:dyDescent="0.35">
      <c r="A95" s="5">
        <v>93</v>
      </c>
      <c r="B95" s="6" t="s">
        <v>245</v>
      </c>
      <c r="C95" s="7" t="s">
        <v>1633</v>
      </c>
      <c r="D95" s="8" t="s">
        <v>41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/>
      <c r="R95" s="9">
        <f t="shared" si="1"/>
        <v>0</v>
      </c>
    </row>
    <row r="96" spans="1:18" x14ac:dyDescent="0.35">
      <c r="A96" s="5">
        <v>94</v>
      </c>
      <c r="B96" s="6" t="s">
        <v>247</v>
      </c>
      <c r="C96" s="7" t="s">
        <v>1996</v>
      </c>
      <c r="D96" s="8" t="s">
        <v>123</v>
      </c>
      <c r="E96" s="9">
        <v>11460815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/>
      <c r="R96" s="9">
        <f t="shared" si="1"/>
        <v>11460815</v>
      </c>
    </row>
    <row r="97" spans="1:18" s="93" customFormat="1" x14ac:dyDescent="0.35">
      <c r="A97" s="89">
        <v>95</v>
      </c>
      <c r="B97" s="94" t="s">
        <v>249</v>
      </c>
      <c r="C97" s="90" t="s">
        <v>1997</v>
      </c>
      <c r="D97" s="91" t="s">
        <v>25</v>
      </c>
      <c r="E97" s="92">
        <v>25443744</v>
      </c>
      <c r="F97" s="92">
        <v>150000</v>
      </c>
      <c r="G97" s="92">
        <v>150000</v>
      </c>
      <c r="H97" s="9">
        <v>150000</v>
      </c>
      <c r="I97" s="9">
        <v>150000</v>
      </c>
      <c r="J97" s="9">
        <v>150000</v>
      </c>
      <c r="K97" s="9">
        <v>150000</v>
      </c>
      <c r="L97" s="9">
        <v>150000</v>
      </c>
      <c r="M97" s="92">
        <v>150000</v>
      </c>
      <c r="N97" s="92">
        <v>150000</v>
      </c>
      <c r="O97" s="92">
        <v>150000</v>
      </c>
      <c r="P97" s="92">
        <v>150000</v>
      </c>
      <c r="Q97" s="92">
        <v>150000</v>
      </c>
      <c r="R97" s="92">
        <f t="shared" si="1"/>
        <v>27243744</v>
      </c>
    </row>
    <row r="98" spans="1:18" x14ac:dyDescent="0.35">
      <c r="A98" s="5">
        <v>96</v>
      </c>
      <c r="B98" s="6" t="s">
        <v>251</v>
      </c>
      <c r="C98" s="7" t="s">
        <v>252</v>
      </c>
      <c r="D98" s="8" t="s">
        <v>253</v>
      </c>
      <c r="E98" s="9">
        <v>-100000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/>
      <c r="R98" s="9">
        <f t="shared" si="1"/>
        <v>-100000</v>
      </c>
    </row>
    <row r="99" spans="1:18" x14ac:dyDescent="0.35">
      <c r="A99" s="5">
        <v>97</v>
      </c>
      <c r="B99" s="6" t="s">
        <v>254</v>
      </c>
      <c r="C99" s="7" t="s">
        <v>1870</v>
      </c>
      <c r="D99" s="8" t="s">
        <v>98</v>
      </c>
      <c r="E99" s="9">
        <v>46310800</v>
      </c>
      <c r="F99" s="9">
        <v>350000</v>
      </c>
      <c r="G99" s="9">
        <v>350000</v>
      </c>
      <c r="H99" s="9">
        <v>350000</v>
      </c>
      <c r="I99" s="9">
        <v>350000</v>
      </c>
      <c r="J99" s="9">
        <v>350000</v>
      </c>
      <c r="K99" s="9">
        <v>350000</v>
      </c>
      <c r="L99" s="9">
        <v>0</v>
      </c>
      <c r="M99" s="9">
        <v>-48410800</v>
      </c>
      <c r="N99" s="9">
        <v>0</v>
      </c>
      <c r="O99" s="9">
        <v>0</v>
      </c>
      <c r="P99" s="9">
        <v>0</v>
      </c>
      <c r="Q99" s="9"/>
      <c r="R99" s="9">
        <f t="shared" si="1"/>
        <v>0</v>
      </c>
    </row>
    <row r="100" spans="1:18" x14ac:dyDescent="0.35">
      <c r="A100" s="5">
        <v>98</v>
      </c>
      <c r="B100" s="94" t="s">
        <v>256</v>
      </c>
      <c r="C100" s="7" t="s">
        <v>1682</v>
      </c>
      <c r="D100" s="8" t="s">
        <v>25</v>
      </c>
      <c r="E100" s="9">
        <v>59261930</v>
      </c>
      <c r="F100" s="92">
        <v>350000</v>
      </c>
      <c r="G100" s="92">
        <v>350000</v>
      </c>
      <c r="H100" s="9">
        <v>350000</v>
      </c>
      <c r="I100" s="9">
        <v>350000</v>
      </c>
      <c r="J100" s="9">
        <v>350000</v>
      </c>
      <c r="K100" s="9">
        <v>350000</v>
      </c>
      <c r="L100" s="9">
        <v>350000</v>
      </c>
      <c r="M100" s="92">
        <v>350000</v>
      </c>
      <c r="N100" s="92">
        <v>350000</v>
      </c>
      <c r="O100" s="9">
        <v>0</v>
      </c>
      <c r="P100" s="9">
        <v>0</v>
      </c>
      <c r="Q100" s="9">
        <v>-62411930</v>
      </c>
      <c r="R100" s="9">
        <f t="shared" si="1"/>
        <v>0</v>
      </c>
    </row>
    <row r="101" spans="1:18" s="93" customFormat="1" x14ac:dyDescent="0.35">
      <c r="A101" s="89">
        <v>99</v>
      </c>
      <c r="B101" s="94" t="s">
        <v>258</v>
      </c>
      <c r="C101" s="90" t="s">
        <v>1913</v>
      </c>
      <c r="D101" s="91" t="s">
        <v>260</v>
      </c>
      <c r="E101" s="92">
        <v>36804821</v>
      </c>
      <c r="F101" s="92">
        <v>250000</v>
      </c>
      <c r="G101" s="92">
        <v>250000</v>
      </c>
      <c r="H101" s="9">
        <v>250000</v>
      </c>
      <c r="I101" s="9">
        <v>250000</v>
      </c>
      <c r="J101" s="9">
        <v>250000</v>
      </c>
      <c r="K101" s="9">
        <v>250000</v>
      </c>
      <c r="L101" s="9">
        <v>250000</v>
      </c>
      <c r="M101" s="92">
        <v>250000</v>
      </c>
      <c r="N101" s="92">
        <v>250000</v>
      </c>
      <c r="O101" s="92">
        <v>250000</v>
      </c>
      <c r="P101" s="92">
        <v>250000</v>
      </c>
      <c r="Q101" s="92">
        <v>250000</v>
      </c>
      <c r="R101" s="92">
        <f t="shared" si="1"/>
        <v>39804821</v>
      </c>
    </row>
    <row r="102" spans="1:18" s="142" customFormat="1" x14ac:dyDescent="0.35">
      <c r="A102" s="143">
        <v>100</v>
      </c>
      <c r="B102" s="6" t="s">
        <v>261</v>
      </c>
      <c r="C102" s="144" t="s">
        <v>1871</v>
      </c>
      <c r="D102" s="145" t="s">
        <v>136</v>
      </c>
      <c r="E102" s="141">
        <v>21770858</v>
      </c>
      <c r="F102" s="9">
        <v>150000</v>
      </c>
      <c r="G102" s="9">
        <v>150000</v>
      </c>
      <c r="H102" s="9">
        <v>150000</v>
      </c>
      <c r="I102" s="9">
        <v>150000</v>
      </c>
      <c r="J102" s="9">
        <v>150000</v>
      </c>
      <c r="K102" s="9">
        <v>150000</v>
      </c>
      <c r="L102" s="9">
        <v>150000</v>
      </c>
      <c r="M102" s="9">
        <v>150000</v>
      </c>
      <c r="N102" s="9">
        <v>150000</v>
      </c>
      <c r="O102" s="141">
        <v>150000</v>
      </c>
      <c r="P102" s="141">
        <v>150000</v>
      </c>
      <c r="Q102" s="141">
        <v>150000</v>
      </c>
      <c r="R102" s="141">
        <f t="shared" si="1"/>
        <v>23570858</v>
      </c>
    </row>
    <row r="103" spans="1:18" x14ac:dyDescent="0.35">
      <c r="A103" s="5">
        <v>101</v>
      </c>
      <c r="B103" s="6" t="s">
        <v>263</v>
      </c>
      <c r="C103" s="7" t="s">
        <v>264</v>
      </c>
      <c r="D103" s="8" t="s">
        <v>49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/>
      <c r="R103" s="9">
        <f t="shared" si="1"/>
        <v>0</v>
      </c>
    </row>
    <row r="104" spans="1:18" x14ac:dyDescent="0.35">
      <c r="A104" s="5">
        <v>102</v>
      </c>
      <c r="B104" s="6" t="s">
        <v>265</v>
      </c>
      <c r="C104" s="7" t="s">
        <v>1683</v>
      </c>
      <c r="D104" s="8" t="s">
        <v>267</v>
      </c>
      <c r="E104" s="9">
        <v>1050000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/>
      <c r="R104" s="9">
        <f t="shared" si="1"/>
        <v>1050000</v>
      </c>
    </row>
    <row r="105" spans="1:18" s="93" customFormat="1" x14ac:dyDescent="0.35">
      <c r="A105" s="89">
        <v>103</v>
      </c>
      <c r="B105" s="94" t="s">
        <v>268</v>
      </c>
      <c r="C105" s="90" t="s">
        <v>1872</v>
      </c>
      <c r="D105" s="91" t="s">
        <v>270</v>
      </c>
      <c r="E105" s="92">
        <v>24036013</v>
      </c>
      <c r="F105" s="9">
        <v>250000</v>
      </c>
      <c r="G105" s="92">
        <v>250000</v>
      </c>
      <c r="H105" s="92">
        <v>250000</v>
      </c>
      <c r="I105" s="9">
        <v>250000</v>
      </c>
      <c r="J105" s="92">
        <v>250000</v>
      </c>
      <c r="K105" s="9">
        <v>250000</v>
      </c>
      <c r="L105" s="9">
        <v>250000</v>
      </c>
      <c r="M105" s="92">
        <v>250000</v>
      </c>
      <c r="N105" s="92">
        <v>250000</v>
      </c>
      <c r="O105" s="92">
        <v>250000</v>
      </c>
      <c r="P105" s="92">
        <v>250000</v>
      </c>
      <c r="Q105" s="92">
        <v>250000</v>
      </c>
      <c r="R105" s="92">
        <f t="shared" si="1"/>
        <v>27036013</v>
      </c>
    </row>
    <row r="106" spans="1:18" x14ac:dyDescent="0.35">
      <c r="A106" s="5">
        <v>104</v>
      </c>
      <c r="B106" s="6" t="s">
        <v>271</v>
      </c>
      <c r="C106" s="7" t="s">
        <v>272</v>
      </c>
      <c r="D106" s="8" t="s">
        <v>46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/>
      <c r="R106" s="9">
        <f t="shared" si="1"/>
        <v>0</v>
      </c>
    </row>
    <row r="107" spans="1:18" x14ac:dyDescent="0.35">
      <c r="A107" s="5">
        <v>105</v>
      </c>
      <c r="B107" s="6" t="s">
        <v>273</v>
      </c>
      <c r="C107" s="7" t="s">
        <v>1684</v>
      </c>
      <c r="D107" s="8" t="s">
        <v>166</v>
      </c>
      <c r="E107" s="9">
        <v>13686528</v>
      </c>
      <c r="F107" s="9">
        <v>0</v>
      </c>
      <c r="G107" s="9">
        <v>-13686528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/>
      <c r="R107" s="9">
        <f t="shared" si="1"/>
        <v>0</v>
      </c>
    </row>
    <row r="108" spans="1:18" s="142" customFormat="1" x14ac:dyDescent="0.35">
      <c r="A108" s="143">
        <v>106</v>
      </c>
      <c r="B108" s="6" t="s">
        <v>275</v>
      </c>
      <c r="C108" s="144" t="s">
        <v>1998</v>
      </c>
      <c r="D108" s="145" t="s">
        <v>83</v>
      </c>
      <c r="E108" s="141">
        <v>39775160</v>
      </c>
      <c r="F108" s="9">
        <v>350000</v>
      </c>
      <c r="G108" s="9">
        <v>350000</v>
      </c>
      <c r="H108" s="9">
        <v>350000</v>
      </c>
      <c r="I108" s="9">
        <v>350000</v>
      </c>
      <c r="J108" s="9">
        <v>350000</v>
      </c>
      <c r="K108" s="9">
        <v>350000</v>
      </c>
      <c r="L108" s="9">
        <v>350000</v>
      </c>
      <c r="M108" s="9">
        <v>350000</v>
      </c>
      <c r="N108" s="9">
        <v>350000</v>
      </c>
      <c r="O108" s="141">
        <v>350000</v>
      </c>
      <c r="P108" s="141">
        <v>350000</v>
      </c>
      <c r="Q108" s="141">
        <v>350000</v>
      </c>
      <c r="R108" s="141">
        <f t="shared" si="1"/>
        <v>43975160</v>
      </c>
    </row>
    <row r="109" spans="1:18" s="93" customFormat="1" x14ac:dyDescent="0.35">
      <c r="A109" s="89">
        <v>107</v>
      </c>
      <c r="B109" s="94" t="s">
        <v>277</v>
      </c>
      <c r="C109" s="90" t="s">
        <v>1773</v>
      </c>
      <c r="D109" s="91" t="s">
        <v>72</v>
      </c>
      <c r="E109" s="92">
        <v>35639498</v>
      </c>
      <c r="F109" s="92">
        <v>250000</v>
      </c>
      <c r="G109" s="92">
        <v>250000</v>
      </c>
      <c r="H109" s="9">
        <v>250000</v>
      </c>
      <c r="I109" s="9">
        <v>250000</v>
      </c>
      <c r="J109" s="9">
        <v>250000</v>
      </c>
      <c r="K109" s="9">
        <v>250000</v>
      </c>
      <c r="L109" s="9">
        <v>250000</v>
      </c>
      <c r="M109" s="92">
        <v>250000</v>
      </c>
      <c r="N109" s="92">
        <v>250000</v>
      </c>
      <c r="O109" s="92">
        <v>250000</v>
      </c>
      <c r="P109" s="92">
        <v>250000</v>
      </c>
      <c r="Q109" s="92">
        <v>250000</v>
      </c>
      <c r="R109" s="92">
        <f t="shared" si="1"/>
        <v>38639498</v>
      </c>
    </row>
    <row r="110" spans="1:18" s="142" customFormat="1" x14ac:dyDescent="0.35">
      <c r="A110" s="143">
        <v>108</v>
      </c>
      <c r="B110" s="6" t="s">
        <v>279</v>
      </c>
      <c r="C110" s="144" t="s">
        <v>1874</v>
      </c>
      <c r="D110" s="145" t="s">
        <v>46</v>
      </c>
      <c r="E110" s="141">
        <v>35058538</v>
      </c>
      <c r="F110" s="9">
        <v>250000</v>
      </c>
      <c r="G110" s="9">
        <v>250000</v>
      </c>
      <c r="H110" s="9">
        <v>250000</v>
      </c>
      <c r="I110" s="9">
        <v>250000</v>
      </c>
      <c r="J110" s="9">
        <v>250000</v>
      </c>
      <c r="K110" s="9">
        <v>250000</v>
      </c>
      <c r="L110" s="9">
        <v>250000</v>
      </c>
      <c r="M110" s="9">
        <v>250000</v>
      </c>
      <c r="N110" s="9">
        <v>250000</v>
      </c>
      <c r="O110" s="141">
        <v>250000</v>
      </c>
      <c r="P110" s="141">
        <v>250000</v>
      </c>
      <c r="Q110" s="141">
        <v>250000</v>
      </c>
      <c r="R110" s="141">
        <f t="shared" si="1"/>
        <v>38058538</v>
      </c>
    </row>
    <row r="111" spans="1:18" x14ac:dyDescent="0.35">
      <c r="A111" s="5">
        <v>109</v>
      </c>
      <c r="B111" s="6" t="s">
        <v>281</v>
      </c>
      <c r="C111" s="7" t="s">
        <v>1685</v>
      </c>
      <c r="D111" s="8" t="s">
        <v>72</v>
      </c>
      <c r="E111" s="9">
        <v>300000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/>
      <c r="R111" s="9">
        <f t="shared" si="1"/>
        <v>300000</v>
      </c>
    </row>
    <row r="112" spans="1:18" x14ac:dyDescent="0.35">
      <c r="A112" s="5">
        <v>110</v>
      </c>
      <c r="B112" s="6" t="s">
        <v>283</v>
      </c>
      <c r="C112" s="7" t="s">
        <v>1999</v>
      </c>
      <c r="D112" s="8" t="s">
        <v>285</v>
      </c>
      <c r="E112" s="9">
        <v>3689498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/>
      <c r="R112" s="9">
        <f t="shared" si="1"/>
        <v>3689498</v>
      </c>
    </row>
    <row r="113" spans="1:18" x14ac:dyDescent="0.35">
      <c r="A113" s="5">
        <v>111</v>
      </c>
      <c r="B113" s="6" t="s">
        <v>286</v>
      </c>
      <c r="C113" s="7" t="s">
        <v>287</v>
      </c>
      <c r="D113" s="8" t="s">
        <v>113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/>
      <c r="R113" s="9">
        <f t="shared" si="1"/>
        <v>0</v>
      </c>
    </row>
    <row r="114" spans="1:18" x14ac:dyDescent="0.35">
      <c r="A114" s="5">
        <v>112</v>
      </c>
      <c r="B114" s="94" t="s">
        <v>288</v>
      </c>
      <c r="C114" s="7" t="s">
        <v>289</v>
      </c>
      <c r="D114" s="8" t="s">
        <v>290</v>
      </c>
      <c r="E114" s="9">
        <v>36529733</v>
      </c>
      <c r="F114" s="92">
        <v>250000</v>
      </c>
      <c r="G114" s="92">
        <v>250000</v>
      </c>
      <c r="H114" s="9">
        <v>250000</v>
      </c>
      <c r="I114" s="9">
        <v>250000</v>
      </c>
      <c r="J114" s="9">
        <v>250000</v>
      </c>
      <c r="K114" s="9">
        <v>250000</v>
      </c>
      <c r="L114" s="9">
        <v>250000</v>
      </c>
      <c r="M114" s="92">
        <v>250000</v>
      </c>
      <c r="N114" s="9">
        <v>-38529733</v>
      </c>
      <c r="O114" s="9">
        <v>0</v>
      </c>
      <c r="P114" s="9">
        <v>0</v>
      </c>
      <c r="Q114" s="9"/>
      <c r="R114" s="9">
        <f t="shared" si="1"/>
        <v>0</v>
      </c>
    </row>
    <row r="115" spans="1:18" s="142" customFormat="1" x14ac:dyDescent="0.35">
      <c r="A115" s="143">
        <v>113</v>
      </c>
      <c r="B115" s="6" t="s">
        <v>291</v>
      </c>
      <c r="C115" s="144" t="s">
        <v>1933</v>
      </c>
      <c r="D115" s="145" t="s">
        <v>128</v>
      </c>
      <c r="E115" s="141">
        <v>45191972</v>
      </c>
      <c r="F115" s="9">
        <v>350000</v>
      </c>
      <c r="G115" s="9">
        <v>350000</v>
      </c>
      <c r="H115" s="9">
        <v>350000</v>
      </c>
      <c r="I115" s="9">
        <v>350000</v>
      </c>
      <c r="J115" s="9">
        <v>350000</v>
      </c>
      <c r="K115" s="9">
        <v>350000</v>
      </c>
      <c r="L115" s="9">
        <v>350000</v>
      </c>
      <c r="M115" s="9">
        <v>350000</v>
      </c>
      <c r="N115" s="9">
        <v>350000</v>
      </c>
      <c r="O115" s="141">
        <v>350000</v>
      </c>
      <c r="P115" s="141">
        <v>350000</v>
      </c>
      <c r="Q115" s="141">
        <v>350000</v>
      </c>
      <c r="R115" s="141">
        <f t="shared" si="1"/>
        <v>49391972</v>
      </c>
    </row>
    <row r="116" spans="1:18" s="93" customFormat="1" x14ac:dyDescent="0.35">
      <c r="A116" s="89">
        <v>114</v>
      </c>
      <c r="B116" s="94" t="s">
        <v>293</v>
      </c>
      <c r="C116" s="90" t="s">
        <v>1779</v>
      </c>
      <c r="D116" s="91" t="s">
        <v>295</v>
      </c>
      <c r="E116" s="92">
        <v>38111918</v>
      </c>
      <c r="F116" s="92">
        <v>250000</v>
      </c>
      <c r="G116" s="92">
        <v>250000</v>
      </c>
      <c r="H116" s="9">
        <v>250000</v>
      </c>
      <c r="I116" s="9">
        <v>250000</v>
      </c>
      <c r="J116" s="9">
        <v>250000</v>
      </c>
      <c r="K116" s="9">
        <v>250000</v>
      </c>
      <c r="L116" s="9">
        <v>250000</v>
      </c>
      <c r="M116" s="92">
        <v>250000</v>
      </c>
      <c r="N116" s="92">
        <v>250000</v>
      </c>
      <c r="O116" s="92">
        <v>250000</v>
      </c>
      <c r="P116" s="92">
        <v>250000</v>
      </c>
      <c r="Q116" s="92">
        <v>250000</v>
      </c>
      <c r="R116" s="92">
        <f t="shared" si="1"/>
        <v>41111918</v>
      </c>
    </row>
    <row r="117" spans="1:18" x14ac:dyDescent="0.35">
      <c r="A117" s="5">
        <v>115</v>
      </c>
      <c r="B117" s="6" t="s">
        <v>296</v>
      </c>
      <c r="C117" s="7" t="s">
        <v>297</v>
      </c>
      <c r="D117" s="8" t="s">
        <v>49</v>
      </c>
      <c r="E117" s="9">
        <v>670000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/>
      <c r="R117" s="9">
        <f t="shared" si="1"/>
        <v>670000</v>
      </c>
    </row>
    <row r="118" spans="1:18" x14ac:dyDescent="0.35">
      <c r="A118" s="5">
        <v>116</v>
      </c>
      <c r="B118" s="6" t="s">
        <v>298</v>
      </c>
      <c r="C118" s="7" t="s">
        <v>1686</v>
      </c>
      <c r="D118" s="8" t="s">
        <v>300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/>
      <c r="R118" s="9">
        <f t="shared" si="1"/>
        <v>0</v>
      </c>
    </row>
    <row r="119" spans="1:18" s="93" customFormat="1" x14ac:dyDescent="0.35">
      <c r="A119" s="89">
        <v>117</v>
      </c>
      <c r="B119" s="94" t="s">
        <v>301</v>
      </c>
      <c r="C119" s="90" t="s">
        <v>2000</v>
      </c>
      <c r="D119" s="91" t="s">
        <v>303</v>
      </c>
      <c r="E119" s="92">
        <v>30840660</v>
      </c>
      <c r="F119" s="92">
        <v>350000</v>
      </c>
      <c r="G119" s="92">
        <v>350000</v>
      </c>
      <c r="H119" s="9">
        <v>350000</v>
      </c>
      <c r="I119" s="9">
        <v>350000</v>
      </c>
      <c r="J119" s="9">
        <v>350000</v>
      </c>
      <c r="K119" s="9">
        <v>350000</v>
      </c>
      <c r="L119" s="9">
        <v>350000</v>
      </c>
      <c r="M119" s="92">
        <v>350000</v>
      </c>
      <c r="N119" s="92">
        <v>350000</v>
      </c>
      <c r="O119" s="92">
        <v>350000</v>
      </c>
      <c r="P119" s="92">
        <v>350000</v>
      </c>
      <c r="Q119" s="92">
        <v>350000</v>
      </c>
      <c r="R119" s="92">
        <f t="shared" si="1"/>
        <v>35040660</v>
      </c>
    </row>
    <row r="120" spans="1:18" x14ac:dyDescent="0.35">
      <c r="A120" s="5">
        <v>118</v>
      </c>
      <c r="B120" s="6" t="s">
        <v>304</v>
      </c>
      <c r="C120" s="7" t="s">
        <v>2207</v>
      </c>
      <c r="D120" s="8" t="s">
        <v>136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/>
      <c r="R120" s="9">
        <f t="shared" si="1"/>
        <v>0</v>
      </c>
    </row>
    <row r="121" spans="1:18" x14ac:dyDescent="0.35">
      <c r="A121" s="5">
        <v>119</v>
      </c>
      <c r="B121" s="6" t="s">
        <v>306</v>
      </c>
      <c r="C121" s="7" t="s">
        <v>1687</v>
      </c>
      <c r="D121" s="8" t="s">
        <v>60</v>
      </c>
      <c r="E121" s="9">
        <v>350000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/>
      <c r="R121" s="9">
        <f t="shared" si="1"/>
        <v>350000</v>
      </c>
    </row>
    <row r="122" spans="1:18" x14ac:dyDescent="0.35">
      <c r="A122" s="5">
        <v>120</v>
      </c>
      <c r="B122" s="6" t="s">
        <v>308</v>
      </c>
      <c r="C122" s="7" t="s">
        <v>309</v>
      </c>
      <c r="D122" s="8" t="s">
        <v>131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/>
      <c r="R122" s="9">
        <f t="shared" si="1"/>
        <v>0</v>
      </c>
    </row>
    <row r="123" spans="1:18" s="93" customFormat="1" x14ac:dyDescent="0.35">
      <c r="A123" s="89">
        <v>121</v>
      </c>
      <c r="B123" s="94" t="s">
        <v>310</v>
      </c>
      <c r="C123" s="90" t="s">
        <v>2001</v>
      </c>
      <c r="D123" s="91" t="s">
        <v>25</v>
      </c>
      <c r="E123" s="92">
        <v>38053066</v>
      </c>
      <c r="F123" s="92">
        <v>350000</v>
      </c>
      <c r="G123" s="92">
        <v>350000</v>
      </c>
      <c r="H123" s="9">
        <v>350000</v>
      </c>
      <c r="I123" s="9">
        <v>350000</v>
      </c>
      <c r="J123" s="9">
        <v>350000</v>
      </c>
      <c r="K123" s="9">
        <v>350000</v>
      </c>
      <c r="L123" s="9">
        <v>350000</v>
      </c>
      <c r="M123" s="92">
        <v>350000</v>
      </c>
      <c r="N123" s="92">
        <v>350000</v>
      </c>
      <c r="O123" s="92">
        <v>350000</v>
      </c>
      <c r="P123" s="92">
        <v>350000</v>
      </c>
      <c r="Q123" s="92">
        <v>350000</v>
      </c>
      <c r="R123" s="92">
        <f t="shared" si="1"/>
        <v>42253066</v>
      </c>
    </row>
    <row r="124" spans="1:18" s="93" customFormat="1" x14ac:dyDescent="0.35">
      <c r="A124" s="89">
        <v>122</v>
      </c>
      <c r="B124" s="94" t="s">
        <v>312</v>
      </c>
      <c r="C124" s="90" t="s">
        <v>1775</v>
      </c>
      <c r="D124" s="91" t="s">
        <v>72</v>
      </c>
      <c r="E124" s="92">
        <v>38491804</v>
      </c>
      <c r="F124" s="92">
        <v>250000</v>
      </c>
      <c r="G124" s="92">
        <v>250000</v>
      </c>
      <c r="H124" s="9">
        <v>250000</v>
      </c>
      <c r="I124" s="9">
        <v>250000</v>
      </c>
      <c r="J124" s="9">
        <v>250000</v>
      </c>
      <c r="K124" s="9">
        <v>250000</v>
      </c>
      <c r="L124" s="9">
        <v>250000</v>
      </c>
      <c r="M124" s="92">
        <v>250000</v>
      </c>
      <c r="N124" s="92">
        <v>250000</v>
      </c>
      <c r="O124" s="92">
        <v>250000</v>
      </c>
      <c r="P124" s="92">
        <v>250000</v>
      </c>
      <c r="Q124" s="92">
        <v>250000</v>
      </c>
      <c r="R124" s="92">
        <f t="shared" si="1"/>
        <v>41491804</v>
      </c>
    </row>
    <row r="125" spans="1:18" s="104" customFormat="1" x14ac:dyDescent="0.35">
      <c r="A125" s="100">
        <v>123</v>
      </c>
      <c r="B125" s="94" t="s">
        <v>314</v>
      </c>
      <c r="C125" s="101" t="s">
        <v>1877</v>
      </c>
      <c r="D125" s="102" t="s">
        <v>25</v>
      </c>
      <c r="E125" s="103">
        <v>68123471</v>
      </c>
      <c r="F125" s="92">
        <v>500000</v>
      </c>
      <c r="G125" s="92">
        <v>500000</v>
      </c>
      <c r="H125" s="9">
        <v>500000</v>
      </c>
      <c r="I125" s="9">
        <v>500000</v>
      </c>
      <c r="J125" s="9">
        <v>500000</v>
      </c>
      <c r="K125" s="103">
        <v>500000</v>
      </c>
      <c r="L125" s="103">
        <v>500000</v>
      </c>
      <c r="M125" s="103">
        <v>500000</v>
      </c>
      <c r="N125" s="103">
        <v>500000</v>
      </c>
      <c r="O125" s="103">
        <v>500000</v>
      </c>
      <c r="P125" s="103">
        <v>500000</v>
      </c>
      <c r="Q125" s="103">
        <v>500000</v>
      </c>
      <c r="R125" s="103">
        <f t="shared" si="1"/>
        <v>74123471</v>
      </c>
    </row>
    <row r="126" spans="1:18" x14ac:dyDescent="0.35">
      <c r="A126" s="5">
        <v>124</v>
      </c>
      <c r="B126" s="6" t="s">
        <v>316</v>
      </c>
      <c r="C126" s="7" t="s">
        <v>1688</v>
      </c>
      <c r="D126" s="8" t="s">
        <v>318</v>
      </c>
      <c r="E126" s="9">
        <v>500000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/>
      <c r="R126" s="9">
        <f t="shared" si="1"/>
        <v>500000</v>
      </c>
    </row>
    <row r="127" spans="1:18" s="104" customFormat="1" x14ac:dyDescent="0.35">
      <c r="A127" s="100">
        <v>125</v>
      </c>
      <c r="B127" s="94" t="s">
        <v>319</v>
      </c>
      <c r="C127" s="101" t="s">
        <v>1776</v>
      </c>
      <c r="D127" s="102" t="s">
        <v>321</v>
      </c>
      <c r="E127" s="103">
        <v>24576609</v>
      </c>
      <c r="F127" s="92">
        <v>150000</v>
      </c>
      <c r="G127" s="92">
        <v>150000</v>
      </c>
      <c r="H127" s="9">
        <v>150000</v>
      </c>
      <c r="I127" s="9">
        <v>150000</v>
      </c>
      <c r="J127" s="92">
        <v>150000</v>
      </c>
      <c r="K127" s="103">
        <v>150000</v>
      </c>
      <c r="L127" s="103">
        <v>150000</v>
      </c>
      <c r="M127" s="103">
        <v>150000</v>
      </c>
      <c r="N127" s="103">
        <v>150000</v>
      </c>
      <c r="O127" s="103">
        <v>150000</v>
      </c>
      <c r="P127" s="103">
        <v>150000</v>
      </c>
      <c r="Q127" s="103">
        <v>150000</v>
      </c>
      <c r="R127" s="103">
        <f t="shared" si="1"/>
        <v>26376609</v>
      </c>
    </row>
    <row r="128" spans="1:18" x14ac:dyDescent="0.35">
      <c r="A128" s="5">
        <v>126</v>
      </c>
      <c r="B128" s="6" t="s">
        <v>322</v>
      </c>
      <c r="C128" s="7" t="s">
        <v>1634</v>
      </c>
      <c r="D128" s="8" t="s">
        <v>324</v>
      </c>
      <c r="E128" s="9">
        <v>250000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/>
      <c r="R128" s="9">
        <f t="shared" si="1"/>
        <v>250000</v>
      </c>
    </row>
    <row r="129" spans="1:18" s="142" customFormat="1" x14ac:dyDescent="0.35">
      <c r="A129" s="143">
        <v>127</v>
      </c>
      <c r="B129" s="6" t="s">
        <v>325</v>
      </c>
      <c r="C129" s="144" t="s">
        <v>326</v>
      </c>
      <c r="D129" s="145" t="s">
        <v>270</v>
      </c>
      <c r="E129" s="141">
        <v>21995858</v>
      </c>
      <c r="F129" s="9">
        <v>150000</v>
      </c>
      <c r="G129" s="9">
        <v>150000</v>
      </c>
      <c r="H129" s="9">
        <v>150000</v>
      </c>
      <c r="I129" s="9">
        <v>150000</v>
      </c>
      <c r="J129" s="9">
        <v>150000</v>
      </c>
      <c r="K129" s="9">
        <v>150000</v>
      </c>
      <c r="L129" s="9">
        <v>150000</v>
      </c>
      <c r="M129" s="9">
        <v>150000</v>
      </c>
      <c r="N129" s="9">
        <v>150000</v>
      </c>
      <c r="O129" s="141">
        <v>150000</v>
      </c>
      <c r="P129" s="141">
        <v>150000</v>
      </c>
      <c r="Q129" s="141">
        <v>0</v>
      </c>
      <c r="R129" s="141">
        <f t="shared" si="1"/>
        <v>23645858</v>
      </c>
    </row>
    <row r="130" spans="1:18" s="142" customFormat="1" x14ac:dyDescent="0.35">
      <c r="A130" s="143">
        <v>128</v>
      </c>
      <c r="B130" s="6" t="s">
        <v>327</v>
      </c>
      <c r="C130" s="144" t="s">
        <v>1879</v>
      </c>
      <c r="D130" s="145" t="s">
        <v>136</v>
      </c>
      <c r="E130" s="141">
        <v>21845858</v>
      </c>
      <c r="F130" s="9">
        <v>150000</v>
      </c>
      <c r="G130" s="9">
        <v>150000</v>
      </c>
      <c r="H130" s="9">
        <v>150000</v>
      </c>
      <c r="I130" s="9">
        <v>150000</v>
      </c>
      <c r="J130" s="9">
        <v>150000</v>
      </c>
      <c r="K130" s="9">
        <v>150000</v>
      </c>
      <c r="L130" s="9">
        <v>150000</v>
      </c>
      <c r="M130" s="9">
        <v>150000</v>
      </c>
      <c r="N130" s="9">
        <v>150000</v>
      </c>
      <c r="O130" s="141">
        <v>150000</v>
      </c>
      <c r="P130" s="141">
        <v>150000</v>
      </c>
      <c r="Q130" s="141">
        <v>150000</v>
      </c>
      <c r="R130" s="141">
        <f t="shared" si="1"/>
        <v>23645858</v>
      </c>
    </row>
    <row r="131" spans="1:18" s="93" customFormat="1" x14ac:dyDescent="0.35">
      <c r="A131" s="89">
        <v>129</v>
      </c>
      <c r="B131" s="94" t="s">
        <v>329</v>
      </c>
      <c r="C131" s="90" t="s">
        <v>1788</v>
      </c>
      <c r="D131" s="91" t="s">
        <v>136</v>
      </c>
      <c r="E131" s="92">
        <v>49092861</v>
      </c>
      <c r="F131" s="92">
        <v>350000</v>
      </c>
      <c r="G131" s="92">
        <v>350000</v>
      </c>
      <c r="H131" s="9">
        <v>350000</v>
      </c>
      <c r="I131" s="9">
        <v>350000</v>
      </c>
      <c r="J131" s="9">
        <v>350000</v>
      </c>
      <c r="K131" s="9">
        <v>350000</v>
      </c>
      <c r="L131" s="9">
        <v>350000</v>
      </c>
      <c r="M131" s="92">
        <v>350000</v>
      </c>
      <c r="N131" s="92">
        <v>350000</v>
      </c>
      <c r="O131" s="92">
        <v>350000</v>
      </c>
      <c r="P131" s="92">
        <v>350000</v>
      </c>
      <c r="Q131" s="92">
        <v>350000</v>
      </c>
      <c r="R131" s="92">
        <f t="shared" ref="R131:R194" si="2">SUM(E131:Q131)</f>
        <v>53292861</v>
      </c>
    </row>
    <row r="132" spans="1:18" s="104" customFormat="1" x14ac:dyDescent="0.35">
      <c r="A132" s="100">
        <v>130</v>
      </c>
      <c r="B132" s="94" t="s">
        <v>331</v>
      </c>
      <c r="C132" s="101" t="s">
        <v>2002</v>
      </c>
      <c r="D132" s="102" t="s">
        <v>333</v>
      </c>
      <c r="E132" s="103">
        <v>19853973</v>
      </c>
      <c r="F132" s="92">
        <v>150000</v>
      </c>
      <c r="G132" s="92">
        <v>150000</v>
      </c>
      <c r="H132" s="9">
        <v>150000</v>
      </c>
      <c r="I132" s="9">
        <v>150000</v>
      </c>
      <c r="J132" s="9">
        <v>150000</v>
      </c>
      <c r="K132" s="103">
        <v>150000</v>
      </c>
      <c r="L132" s="103">
        <v>150000</v>
      </c>
      <c r="M132" s="103">
        <v>150000</v>
      </c>
      <c r="N132" s="103">
        <v>150000</v>
      </c>
      <c r="O132" s="103">
        <v>150000</v>
      </c>
      <c r="P132" s="103">
        <v>150000</v>
      </c>
      <c r="Q132" s="103">
        <v>150000</v>
      </c>
      <c r="R132" s="103">
        <f t="shared" si="2"/>
        <v>21653973</v>
      </c>
    </row>
    <row r="133" spans="1:18" s="93" customFormat="1" x14ac:dyDescent="0.35">
      <c r="A133" s="89">
        <v>131</v>
      </c>
      <c r="B133" s="94" t="s">
        <v>334</v>
      </c>
      <c r="C133" s="90" t="s">
        <v>2003</v>
      </c>
      <c r="D133" s="91" t="s">
        <v>60</v>
      </c>
      <c r="E133" s="92">
        <v>23989161</v>
      </c>
      <c r="F133" s="92">
        <v>150000</v>
      </c>
      <c r="G133" s="92">
        <v>150000</v>
      </c>
      <c r="H133" s="9">
        <v>150000</v>
      </c>
      <c r="I133" s="9">
        <v>150000</v>
      </c>
      <c r="J133" s="9">
        <v>150000</v>
      </c>
      <c r="K133" s="9">
        <v>150000</v>
      </c>
      <c r="L133" s="9">
        <v>150000</v>
      </c>
      <c r="M133" s="92">
        <v>150000</v>
      </c>
      <c r="N133" s="92">
        <v>150000</v>
      </c>
      <c r="O133" s="92">
        <v>150000</v>
      </c>
      <c r="P133" s="92">
        <v>150000</v>
      </c>
      <c r="Q133" s="92">
        <v>150000</v>
      </c>
      <c r="R133" s="92">
        <f t="shared" si="2"/>
        <v>25789161</v>
      </c>
    </row>
    <row r="134" spans="1:18" x14ac:dyDescent="0.35">
      <c r="A134" s="5">
        <v>132</v>
      </c>
      <c r="B134" s="6" t="s">
        <v>336</v>
      </c>
      <c r="C134" s="7" t="s">
        <v>1689</v>
      </c>
      <c r="D134" s="8" t="s">
        <v>41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/>
      <c r="R134" s="9">
        <f t="shared" si="2"/>
        <v>0</v>
      </c>
    </row>
    <row r="135" spans="1:18" x14ac:dyDescent="0.35">
      <c r="A135" s="5">
        <v>133</v>
      </c>
      <c r="B135" s="6" t="s">
        <v>338</v>
      </c>
      <c r="C135" s="7" t="s">
        <v>1690</v>
      </c>
      <c r="D135" s="8" t="s">
        <v>49</v>
      </c>
      <c r="E135" s="9">
        <v>545000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/>
      <c r="R135" s="9">
        <f t="shared" si="2"/>
        <v>545000</v>
      </c>
    </row>
    <row r="136" spans="1:18" x14ac:dyDescent="0.35">
      <c r="A136" s="5">
        <v>134</v>
      </c>
      <c r="B136" s="6" t="s">
        <v>340</v>
      </c>
      <c r="C136" s="7" t="s">
        <v>1616</v>
      </c>
      <c r="D136" s="8" t="s">
        <v>136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/>
      <c r="R136" s="9">
        <f t="shared" si="2"/>
        <v>0</v>
      </c>
    </row>
    <row r="137" spans="1:18" s="93" customFormat="1" x14ac:dyDescent="0.35">
      <c r="A137" s="89">
        <v>135</v>
      </c>
      <c r="B137" s="94" t="s">
        <v>342</v>
      </c>
      <c r="C137" s="90" t="s">
        <v>1777</v>
      </c>
      <c r="D137" s="91" t="s">
        <v>303</v>
      </c>
      <c r="E137" s="92">
        <v>25114242</v>
      </c>
      <c r="F137" s="92">
        <v>150000</v>
      </c>
      <c r="G137" s="92">
        <v>150000</v>
      </c>
      <c r="H137" s="9">
        <v>150000</v>
      </c>
      <c r="I137" s="9">
        <v>150000</v>
      </c>
      <c r="J137" s="9">
        <v>150000</v>
      </c>
      <c r="K137" s="9">
        <v>150000</v>
      </c>
      <c r="L137" s="9">
        <v>150000</v>
      </c>
      <c r="M137" s="92">
        <v>150000</v>
      </c>
      <c r="N137" s="92">
        <v>150000</v>
      </c>
      <c r="O137" s="92">
        <v>150000</v>
      </c>
      <c r="P137" s="92">
        <v>150000</v>
      </c>
      <c r="Q137" s="92">
        <v>150000</v>
      </c>
      <c r="R137" s="92">
        <f t="shared" si="2"/>
        <v>26914242</v>
      </c>
    </row>
    <row r="138" spans="1:18" s="93" customFormat="1" x14ac:dyDescent="0.35">
      <c r="A138" s="89">
        <v>136</v>
      </c>
      <c r="B138" s="94" t="s">
        <v>344</v>
      </c>
      <c r="C138" s="90" t="s">
        <v>1747</v>
      </c>
      <c r="D138" s="91" t="s">
        <v>95</v>
      </c>
      <c r="E138" s="92">
        <v>19584532</v>
      </c>
      <c r="F138" s="92">
        <v>150000</v>
      </c>
      <c r="G138" s="92">
        <v>150000</v>
      </c>
      <c r="H138" s="9">
        <v>150000</v>
      </c>
      <c r="I138" s="9">
        <v>150000</v>
      </c>
      <c r="J138" s="9">
        <v>150000</v>
      </c>
      <c r="K138" s="9">
        <v>150000</v>
      </c>
      <c r="L138" s="9">
        <v>150000</v>
      </c>
      <c r="M138" s="92">
        <v>150000</v>
      </c>
      <c r="N138" s="92">
        <v>150000</v>
      </c>
      <c r="O138" s="92">
        <v>150000</v>
      </c>
      <c r="P138" s="92">
        <v>150000</v>
      </c>
      <c r="Q138" s="92">
        <v>150000</v>
      </c>
      <c r="R138" s="92">
        <f t="shared" si="2"/>
        <v>21384532</v>
      </c>
    </row>
    <row r="139" spans="1:18" x14ac:dyDescent="0.35">
      <c r="A139" s="5">
        <v>137</v>
      </c>
      <c r="B139" s="6" t="s">
        <v>346</v>
      </c>
      <c r="C139" s="7" t="s">
        <v>1635</v>
      </c>
      <c r="D139" s="8" t="s">
        <v>98</v>
      </c>
      <c r="E139" s="9">
        <v>750000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/>
      <c r="R139" s="9">
        <f t="shared" si="2"/>
        <v>750000</v>
      </c>
    </row>
    <row r="140" spans="1:18" s="142" customFormat="1" x14ac:dyDescent="0.35">
      <c r="A140" s="143">
        <v>138</v>
      </c>
      <c r="B140" s="6" t="s">
        <v>348</v>
      </c>
      <c r="C140" s="144" t="s">
        <v>1881</v>
      </c>
      <c r="D140" s="145" t="s">
        <v>98</v>
      </c>
      <c r="E140" s="141">
        <v>21414667</v>
      </c>
      <c r="F140" s="9">
        <v>150000</v>
      </c>
      <c r="G140" s="9">
        <v>150000</v>
      </c>
      <c r="H140" s="9">
        <v>150000</v>
      </c>
      <c r="I140" s="9">
        <v>150000</v>
      </c>
      <c r="J140" s="9">
        <v>150000</v>
      </c>
      <c r="K140" s="9">
        <v>150000</v>
      </c>
      <c r="L140" s="9">
        <v>150000</v>
      </c>
      <c r="M140" s="9">
        <v>150000</v>
      </c>
      <c r="N140" s="9">
        <v>150000</v>
      </c>
      <c r="O140" s="141">
        <v>150000</v>
      </c>
      <c r="P140" s="141">
        <v>150000</v>
      </c>
      <c r="Q140" s="141">
        <v>150000</v>
      </c>
      <c r="R140" s="141">
        <f t="shared" si="2"/>
        <v>23214667</v>
      </c>
    </row>
    <row r="141" spans="1:18" s="93" customFormat="1" x14ac:dyDescent="0.35">
      <c r="A141" s="89">
        <v>139</v>
      </c>
      <c r="B141" s="94" t="s">
        <v>350</v>
      </c>
      <c r="C141" s="90" t="s">
        <v>1790</v>
      </c>
      <c r="D141" s="91" t="s">
        <v>14</v>
      </c>
      <c r="E141" s="92">
        <v>21845858</v>
      </c>
      <c r="F141" s="92">
        <v>150000</v>
      </c>
      <c r="G141" s="92">
        <v>150000</v>
      </c>
      <c r="H141" s="9">
        <v>150000</v>
      </c>
      <c r="I141" s="9">
        <v>150000</v>
      </c>
      <c r="J141" s="9">
        <v>150000</v>
      </c>
      <c r="K141" s="9">
        <v>150000</v>
      </c>
      <c r="L141" s="9">
        <v>150000</v>
      </c>
      <c r="M141" s="92">
        <v>150000</v>
      </c>
      <c r="N141" s="92">
        <v>150000</v>
      </c>
      <c r="O141" s="92">
        <v>150000</v>
      </c>
      <c r="P141" s="92">
        <v>150000</v>
      </c>
      <c r="Q141" s="92">
        <v>150000</v>
      </c>
      <c r="R141" s="92">
        <f t="shared" si="2"/>
        <v>23645858</v>
      </c>
    </row>
    <row r="142" spans="1:18" x14ac:dyDescent="0.35">
      <c r="A142" s="5">
        <v>140</v>
      </c>
      <c r="B142" s="6" t="s">
        <v>352</v>
      </c>
      <c r="C142" s="7" t="s">
        <v>353</v>
      </c>
      <c r="D142" s="8" t="s">
        <v>354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/>
      <c r="R142" s="9">
        <f t="shared" si="2"/>
        <v>0</v>
      </c>
    </row>
    <row r="143" spans="1:18" x14ac:dyDescent="0.35">
      <c r="A143" s="5">
        <v>141</v>
      </c>
      <c r="B143" s="6" t="s">
        <v>355</v>
      </c>
      <c r="C143" s="7" t="s">
        <v>1691</v>
      </c>
      <c r="D143" s="8" t="s">
        <v>166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/>
      <c r="R143" s="9">
        <f t="shared" si="2"/>
        <v>0</v>
      </c>
    </row>
    <row r="144" spans="1:18" x14ac:dyDescent="0.35">
      <c r="A144" s="5">
        <v>142</v>
      </c>
      <c r="B144" s="6" t="s">
        <v>357</v>
      </c>
      <c r="C144" s="7" t="s">
        <v>1692</v>
      </c>
      <c r="D144" s="8" t="s">
        <v>19</v>
      </c>
      <c r="E144" s="9">
        <v>4425000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/>
      <c r="R144" s="9">
        <f t="shared" si="2"/>
        <v>4425000</v>
      </c>
    </row>
    <row r="145" spans="1:18" x14ac:dyDescent="0.35">
      <c r="A145" s="5">
        <v>143</v>
      </c>
      <c r="B145" s="6" t="s">
        <v>359</v>
      </c>
      <c r="C145" s="7" t="s">
        <v>1693</v>
      </c>
      <c r="D145" s="8" t="s">
        <v>136</v>
      </c>
      <c r="E145" s="9">
        <v>-350000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/>
      <c r="R145" s="9">
        <f t="shared" si="2"/>
        <v>-350000</v>
      </c>
    </row>
    <row r="146" spans="1:18" x14ac:dyDescent="0.35">
      <c r="A146" s="5">
        <v>144</v>
      </c>
      <c r="B146" s="6" t="s">
        <v>361</v>
      </c>
      <c r="C146" s="7" t="s">
        <v>362</v>
      </c>
      <c r="D146" s="8" t="s">
        <v>72</v>
      </c>
      <c r="E146" s="9">
        <v>250000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/>
      <c r="R146" s="9">
        <f t="shared" si="2"/>
        <v>250000</v>
      </c>
    </row>
    <row r="147" spans="1:18" x14ac:dyDescent="0.35">
      <c r="A147" s="5">
        <v>145</v>
      </c>
      <c r="B147" s="6" t="s">
        <v>363</v>
      </c>
      <c r="C147" s="7" t="s">
        <v>1607</v>
      </c>
      <c r="D147" s="8" t="s">
        <v>14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/>
      <c r="R147" s="9">
        <f t="shared" si="2"/>
        <v>0</v>
      </c>
    </row>
    <row r="148" spans="1:18" s="93" customFormat="1" x14ac:dyDescent="0.35">
      <c r="A148" s="89">
        <v>146</v>
      </c>
      <c r="B148" s="94" t="s">
        <v>365</v>
      </c>
      <c r="C148" s="90" t="s">
        <v>1970</v>
      </c>
      <c r="D148" s="91" t="s">
        <v>367</v>
      </c>
      <c r="E148" s="92">
        <v>55483869</v>
      </c>
      <c r="F148" s="92">
        <v>350000</v>
      </c>
      <c r="G148" s="92">
        <v>350000</v>
      </c>
      <c r="H148" s="9">
        <v>350000</v>
      </c>
      <c r="I148" s="9">
        <v>350000</v>
      </c>
      <c r="J148" s="9">
        <v>350000</v>
      </c>
      <c r="K148" s="9">
        <v>350000</v>
      </c>
      <c r="L148" s="9">
        <v>350000</v>
      </c>
      <c r="M148" s="92">
        <v>350000</v>
      </c>
      <c r="N148" s="92">
        <v>350000</v>
      </c>
      <c r="O148" s="92">
        <v>350000</v>
      </c>
      <c r="P148" s="92">
        <v>350000</v>
      </c>
      <c r="Q148" s="92">
        <v>350000</v>
      </c>
      <c r="R148" s="92">
        <f t="shared" si="2"/>
        <v>59683869</v>
      </c>
    </row>
    <row r="149" spans="1:18" x14ac:dyDescent="0.35">
      <c r="A149" s="5">
        <v>147</v>
      </c>
      <c r="B149" s="94" t="s">
        <v>368</v>
      </c>
      <c r="C149" s="7" t="s">
        <v>1912</v>
      </c>
      <c r="D149" s="8" t="s">
        <v>198</v>
      </c>
      <c r="E149" s="9">
        <v>16042646</v>
      </c>
      <c r="F149" s="92">
        <v>150000</v>
      </c>
      <c r="G149" s="92">
        <v>150000</v>
      </c>
      <c r="H149" s="9">
        <v>150000</v>
      </c>
      <c r="I149" s="9">
        <v>150000</v>
      </c>
      <c r="J149" s="9">
        <v>150000</v>
      </c>
      <c r="K149" s="9">
        <v>150000</v>
      </c>
      <c r="L149" s="9">
        <v>0</v>
      </c>
      <c r="M149" s="9">
        <v>-16942646</v>
      </c>
      <c r="N149" s="9">
        <v>0</v>
      </c>
      <c r="O149" s="9">
        <v>0</v>
      </c>
      <c r="P149" s="9">
        <v>0</v>
      </c>
      <c r="Q149" s="9"/>
      <c r="R149" s="9">
        <f t="shared" si="2"/>
        <v>0</v>
      </c>
    </row>
    <row r="150" spans="1:18" x14ac:dyDescent="0.35">
      <c r="A150" s="5">
        <v>148</v>
      </c>
      <c r="B150" s="6" t="s">
        <v>370</v>
      </c>
      <c r="C150" s="7" t="s">
        <v>1636</v>
      </c>
      <c r="D150" s="8" t="s">
        <v>72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/>
      <c r="R150" s="9">
        <f t="shared" si="2"/>
        <v>0</v>
      </c>
    </row>
    <row r="151" spans="1:18" s="142" customFormat="1" x14ac:dyDescent="0.35">
      <c r="A151" s="143">
        <v>149</v>
      </c>
      <c r="B151" s="6" t="s">
        <v>372</v>
      </c>
      <c r="C151" s="144" t="s">
        <v>2004</v>
      </c>
      <c r="D151" s="145" t="s">
        <v>374</v>
      </c>
      <c r="E151" s="141">
        <v>22885147</v>
      </c>
      <c r="F151" s="9">
        <v>150000</v>
      </c>
      <c r="G151" s="9">
        <v>150000</v>
      </c>
      <c r="H151" s="9">
        <v>150000</v>
      </c>
      <c r="I151" s="9">
        <v>150000</v>
      </c>
      <c r="J151" s="9">
        <v>150000</v>
      </c>
      <c r="K151" s="9">
        <v>150000</v>
      </c>
      <c r="L151" s="9">
        <v>150000</v>
      </c>
      <c r="M151" s="9">
        <v>150000</v>
      </c>
      <c r="N151" s="9">
        <v>150000</v>
      </c>
      <c r="O151" s="141">
        <v>150000</v>
      </c>
      <c r="P151" s="141">
        <v>150000</v>
      </c>
      <c r="Q151" s="141">
        <v>150000</v>
      </c>
      <c r="R151" s="141">
        <f t="shared" si="2"/>
        <v>24685147</v>
      </c>
    </row>
    <row r="152" spans="1:18" x14ac:dyDescent="0.35">
      <c r="A152" s="5">
        <v>150</v>
      </c>
      <c r="B152" s="6" t="s">
        <v>375</v>
      </c>
      <c r="C152" s="7" t="s">
        <v>1694</v>
      </c>
      <c r="D152" s="8" t="s">
        <v>377</v>
      </c>
      <c r="E152" s="9">
        <v>65091653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/>
      <c r="R152" s="9">
        <f t="shared" si="2"/>
        <v>65091653</v>
      </c>
    </row>
    <row r="153" spans="1:18" s="93" customFormat="1" x14ac:dyDescent="0.35">
      <c r="A153" s="89">
        <v>151</v>
      </c>
      <c r="B153" s="94" t="s">
        <v>378</v>
      </c>
      <c r="C153" s="90" t="s">
        <v>2005</v>
      </c>
      <c r="D153" s="91"/>
      <c r="E153" s="92">
        <v>53443284</v>
      </c>
      <c r="F153" s="92">
        <v>350000</v>
      </c>
      <c r="G153" s="92">
        <v>350000</v>
      </c>
      <c r="H153" s="9">
        <v>350000</v>
      </c>
      <c r="I153" s="9">
        <v>350000</v>
      </c>
      <c r="J153" s="9">
        <v>350000</v>
      </c>
      <c r="K153" s="9">
        <v>350000</v>
      </c>
      <c r="L153" s="9">
        <v>350000</v>
      </c>
      <c r="M153" s="92">
        <v>350000</v>
      </c>
      <c r="N153" s="92">
        <v>350000</v>
      </c>
      <c r="O153" s="92">
        <v>350000</v>
      </c>
      <c r="P153" s="92">
        <v>350000</v>
      </c>
      <c r="Q153" s="92">
        <v>350000</v>
      </c>
      <c r="R153" s="92">
        <f t="shared" si="2"/>
        <v>57643284</v>
      </c>
    </row>
    <row r="154" spans="1:18" s="93" customFormat="1" x14ac:dyDescent="0.35">
      <c r="A154" s="89">
        <v>152</v>
      </c>
      <c r="B154" s="94" t="s">
        <v>380</v>
      </c>
      <c r="C154" s="90" t="s">
        <v>1772</v>
      </c>
      <c r="D154" s="91" t="s">
        <v>72</v>
      </c>
      <c r="E154" s="92">
        <v>36500255</v>
      </c>
      <c r="F154" s="92">
        <v>250000</v>
      </c>
      <c r="G154" s="92">
        <v>250000</v>
      </c>
      <c r="H154" s="9">
        <v>250000</v>
      </c>
      <c r="I154" s="9">
        <v>250000</v>
      </c>
      <c r="J154" s="9">
        <v>250000</v>
      </c>
      <c r="K154" s="9">
        <v>250000</v>
      </c>
      <c r="L154" s="9">
        <v>250000</v>
      </c>
      <c r="M154" s="92">
        <v>250000</v>
      </c>
      <c r="N154" s="92">
        <v>250000</v>
      </c>
      <c r="O154" s="92">
        <v>250000</v>
      </c>
      <c r="P154" s="92">
        <v>250000</v>
      </c>
      <c r="Q154" s="92">
        <v>250000</v>
      </c>
      <c r="R154" s="92">
        <f t="shared" si="2"/>
        <v>39500255</v>
      </c>
    </row>
    <row r="155" spans="1:18" s="93" customFormat="1" x14ac:dyDescent="0.35">
      <c r="A155" s="89">
        <v>153</v>
      </c>
      <c r="B155" s="94" t="s">
        <v>382</v>
      </c>
      <c r="C155" s="90" t="s">
        <v>2006</v>
      </c>
      <c r="D155" s="91" t="s">
        <v>367</v>
      </c>
      <c r="E155" s="92">
        <v>24056743</v>
      </c>
      <c r="F155" s="92">
        <v>150000</v>
      </c>
      <c r="G155" s="92">
        <v>150000</v>
      </c>
      <c r="H155" s="9">
        <v>150000</v>
      </c>
      <c r="I155" s="9">
        <v>150000</v>
      </c>
      <c r="J155" s="9">
        <v>150000</v>
      </c>
      <c r="K155" s="9">
        <v>150000</v>
      </c>
      <c r="L155" s="9">
        <v>150000</v>
      </c>
      <c r="M155" s="92">
        <v>150000</v>
      </c>
      <c r="N155" s="92">
        <v>150000</v>
      </c>
      <c r="O155" s="92">
        <v>150000</v>
      </c>
      <c r="P155" s="92">
        <v>150000</v>
      </c>
      <c r="Q155" s="92">
        <v>150000</v>
      </c>
      <c r="R155" s="92">
        <f t="shared" si="2"/>
        <v>25856743</v>
      </c>
    </row>
    <row r="156" spans="1:18" x14ac:dyDescent="0.35">
      <c r="A156" s="5">
        <v>154</v>
      </c>
      <c r="B156" s="6" t="s">
        <v>384</v>
      </c>
      <c r="C156" s="7" t="s">
        <v>385</v>
      </c>
      <c r="D156" s="8" t="s">
        <v>19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/>
      <c r="R156" s="9">
        <f t="shared" si="2"/>
        <v>0</v>
      </c>
    </row>
    <row r="157" spans="1:18" s="142" customFormat="1" x14ac:dyDescent="0.35">
      <c r="A157" s="143">
        <v>155</v>
      </c>
      <c r="B157" s="6" t="s">
        <v>386</v>
      </c>
      <c r="C157" s="144" t="s">
        <v>2007</v>
      </c>
      <c r="D157" s="145" t="s">
        <v>98</v>
      </c>
      <c r="E157" s="141">
        <v>23892478</v>
      </c>
      <c r="F157" s="9">
        <v>250000</v>
      </c>
      <c r="G157" s="9">
        <v>250000</v>
      </c>
      <c r="H157" s="9">
        <v>250000</v>
      </c>
      <c r="I157" s="9">
        <v>250000</v>
      </c>
      <c r="J157" s="9">
        <v>250000</v>
      </c>
      <c r="K157" s="9">
        <v>250000</v>
      </c>
      <c r="L157" s="9">
        <v>250000</v>
      </c>
      <c r="M157" s="9">
        <v>250000</v>
      </c>
      <c r="N157" s="9">
        <v>250000</v>
      </c>
      <c r="O157" s="141">
        <v>250000</v>
      </c>
      <c r="P157" s="141">
        <v>250000</v>
      </c>
      <c r="Q157" s="141">
        <v>250000</v>
      </c>
      <c r="R157" s="141">
        <f t="shared" si="2"/>
        <v>26892478</v>
      </c>
    </row>
    <row r="158" spans="1:18" s="93" customFormat="1" x14ac:dyDescent="0.35">
      <c r="A158" s="89">
        <v>156</v>
      </c>
      <c r="B158" s="94" t="s">
        <v>388</v>
      </c>
      <c r="C158" s="90" t="s">
        <v>2008</v>
      </c>
      <c r="D158" s="91" t="s">
        <v>22</v>
      </c>
      <c r="E158" s="92">
        <v>26399256</v>
      </c>
      <c r="F158" s="92">
        <v>150000</v>
      </c>
      <c r="G158" s="92">
        <v>150000</v>
      </c>
      <c r="H158" s="9">
        <v>150000</v>
      </c>
      <c r="I158" s="9">
        <v>150000</v>
      </c>
      <c r="J158" s="9">
        <v>150000</v>
      </c>
      <c r="K158" s="9">
        <v>150000</v>
      </c>
      <c r="L158" s="9">
        <v>150000</v>
      </c>
      <c r="M158" s="92">
        <v>150000</v>
      </c>
      <c r="N158" s="92">
        <v>150000</v>
      </c>
      <c r="O158" s="92">
        <v>150000</v>
      </c>
      <c r="P158" s="92">
        <v>150000</v>
      </c>
      <c r="Q158" s="92">
        <v>150000</v>
      </c>
      <c r="R158" s="92">
        <f t="shared" si="2"/>
        <v>28199256</v>
      </c>
    </row>
    <row r="159" spans="1:18" x14ac:dyDescent="0.35">
      <c r="A159" s="5">
        <v>157</v>
      </c>
      <c r="B159" s="6" t="s">
        <v>390</v>
      </c>
      <c r="C159" s="7" t="s">
        <v>391</v>
      </c>
      <c r="D159" s="8" t="s">
        <v>77</v>
      </c>
      <c r="E159" s="9">
        <v>900000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/>
      <c r="R159" s="9">
        <f t="shared" si="2"/>
        <v>900000</v>
      </c>
    </row>
    <row r="160" spans="1:18" x14ac:dyDescent="0.35">
      <c r="A160" s="5">
        <v>158</v>
      </c>
      <c r="B160" s="6" t="s">
        <v>392</v>
      </c>
      <c r="C160" s="7" t="s">
        <v>1695</v>
      </c>
      <c r="D160" s="8" t="s">
        <v>166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/>
      <c r="R160" s="9">
        <f t="shared" si="2"/>
        <v>0</v>
      </c>
    </row>
    <row r="161" spans="1:18" x14ac:dyDescent="0.35">
      <c r="A161" s="5">
        <v>159</v>
      </c>
      <c r="B161" s="6" t="s">
        <v>394</v>
      </c>
      <c r="C161" s="7" t="s">
        <v>395</v>
      </c>
      <c r="D161" s="8" t="s">
        <v>267</v>
      </c>
      <c r="E161" s="9">
        <v>445000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/>
      <c r="R161" s="9">
        <f t="shared" si="2"/>
        <v>445000</v>
      </c>
    </row>
    <row r="162" spans="1:18" s="142" customFormat="1" x14ac:dyDescent="0.35">
      <c r="A162" s="143">
        <v>160</v>
      </c>
      <c r="B162" s="6" t="s">
        <v>396</v>
      </c>
      <c r="C162" s="144" t="s">
        <v>1907</v>
      </c>
      <c r="D162" s="145" t="s">
        <v>46</v>
      </c>
      <c r="E162" s="141">
        <v>18759933</v>
      </c>
      <c r="F162" s="9">
        <v>150000</v>
      </c>
      <c r="G162" s="9">
        <v>150000</v>
      </c>
      <c r="H162" s="9">
        <v>150000</v>
      </c>
      <c r="I162" s="9">
        <v>150000</v>
      </c>
      <c r="J162" s="9">
        <v>150000</v>
      </c>
      <c r="K162" s="9">
        <v>150000</v>
      </c>
      <c r="L162" s="9">
        <v>150000</v>
      </c>
      <c r="M162" s="9">
        <v>150000</v>
      </c>
      <c r="N162" s="9">
        <v>150000</v>
      </c>
      <c r="O162" s="141">
        <v>150000</v>
      </c>
      <c r="P162" s="141">
        <v>150000</v>
      </c>
      <c r="Q162" s="141">
        <v>150000</v>
      </c>
      <c r="R162" s="141">
        <f t="shared" si="2"/>
        <v>20559933</v>
      </c>
    </row>
    <row r="163" spans="1:18" s="142" customFormat="1" x14ac:dyDescent="0.35">
      <c r="A163" s="143">
        <v>161</v>
      </c>
      <c r="B163" s="6" t="s">
        <v>398</v>
      </c>
      <c r="C163" s="144" t="s">
        <v>1882</v>
      </c>
      <c r="D163" s="145" t="s">
        <v>98</v>
      </c>
      <c r="E163" s="141">
        <v>22440323</v>
      </c>
      <c r="F163" s="9">
        <v>150000</v>
      </c>
      <c r="G163" s="9">
        <v>150000</v>
      </c>
      <c r="H163" s="9">
        <v>150000</v>
      </c>
      <c r="I163" s="9">
        <v>150000</v>
      </c>
      <c r="J163" s="9">
        <v>150000</v>
      </c>
      <c r="K163" s="9">
        <v>150000</v>
      </c>
      <c r="L163" s="9">
        <v>150000</v>
      </c>
      <c r="M163" s="9">
        <v>150000</v>
      </c>
      <c r="N163" s="9">
        <v>150000</v>
      </c>
      <c r="O163" s="141">
        <v>150000</v>
      </c>
      <c r="P163" s="141">
        <v>150000</v>
      </c>
      <c r="Q163" s="141">
        <v>150000</v>
      </c>
      <c r="R163" s="141">
        <f t="shared" si="2"/>
        <v>24240323</v>
      </c>
    </row>
    <row r="164" spans="1:18" x14ac:dyDescent="0.35">
      <c r="A164" s="5">
        <v>162</v>
      </c>
      <c r="B164" s="6" t="s">
        <v>400</v>
      </c>
      <c r="C164" s="7" t="s">
        <v>1696</v>
      </c>
      <c r="D164" s="8" t="s">
        <v>41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/>
      <c r="R164" s="9">
        <f t="shared" si="2"/>
        <v>0</v>
      </c>
    </row>
    <row r="165" spans="1:18" x14ac:dyDescent="0.35">
      <c r="A165" s="5">
        <v>163</v>
      </c>
      <c r="B165" s="6" t="s">
        <v>402</v>
      </c>
      <c r="C165" s="7" t="s">
        <v>1697</v>
      </c>
      <c r="D165" s="8" t="s">
        <v>303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/>
      <c r="R165" s="9">
        <f t="shared" si="2"/>
        <v>0</v>
      </c>
    </row>
    <row r="166" spans="1:18" x14ac:dyDescent="0.35">
      <c r="A166" s="5">
        <v>164</v>
      </c>
      <c r="B166" s="6" t="s">
        <v>404</v>
      </c>
      <c r="C166" s="7" t="s">
        <v>2227</v>
      </c>
      <c r="D166" s="8" t="s">
        <v>406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/>
      <c r="R166" s="9">
        <f t="shared" si="2"/>
        <v>0</v>
      </c>
    </row>
    <row r="167" spans="1:18" s="142" customFormat="1" x14ac:dyDescent="0.35">
      <c r="A167" s="143">
        <v>165</v>
      </c>
      <c r="B167" s="167" t="s">
        <v>407</v>
      </c>
      <c r="C167" s="144" t="s">
        <v>2009</v>
      </c>
      <c r="D167" s="145" t="s">
        <v>198</v>
      </c>
      <c r="E167" s="141">
        <v>28825000</v>
      </c>
      <c r="F167" s="141">
        <v>250000</v>
      </c>
      <c r="G167" s="141">
        <v>250000</v>
      </c>
      <c r="H167" s="141">
        <v>250000</v>
      </c>
      <c r="I167" s="141">
        <v>250000</v>
      </c>
      <c r="J167" s="141">
        <v>250000</v>
      </c>
      <c r="K167" s="141">
        <v>250000</v>
      </c>
      <c r="L167" s="141">
        <v>250000</v>
      </c>
      <c r="M167" s="141">
        <v>250000</v>
      </c>
      <c r="N167" s="141">
        <v>250000</v>
      </c>
      <c r="O167" s="141">
        <v>250000</v>
      </c>
      <c r="P167" s="141">
        <v>250000</v>
      </c>
      <c r="Q167" s="141">
        <v>250000</v>
      </c>
      <c r="R167" s="141">
        <f t="shared" si="2"/>
        <v>31825000</v>
      </c>
    </row>
    <row r="168" spans="1:18" s="93" customFormat="1" x14ac:dyDescent="0.35">
      <c r="A168" s="89">
        <v>166</v>
      </c>
      <c r="B168" s="94" t="s">
        <v>409</v>
      </c>
      <c r="C168" s="90" t="s">
        <v>2010</v>
      </c>
      <c r="D168" s="91" t="s">
        <v>25</v>
      </c>
      <c r="E168" s="92">
        <v>44528397</v>
      </c>
      <c r="F168" s="92">
        <v>350000</v>
      </c>
      <c r="G168" s="92">
        <v>350000</v>
      </c>
      <c r="H168" s="9">
        <v>350000</v>
      </c>
      <c r="I168" s="9">
        <v>350000</v>
      </c>
      <c r="J168" s="9">
        <v>350000</v>
      </c>
      <c r="K168" s="9">
        <v>350000</v>
      </c>
      <c r="L168" s="9">
        <v>350000</v>
      </c>
      <c r="M168" s="92">
        <v>350000</v>
      </c>
      <c r="N168" s="92">
        <v>350000</v>
      </c>
      <c r="O168" s="92">
        <v>350000</v>
      </c>
      <c r="P168" s="92">
        <v>350000</v>
      </c>
      <c r="Q168" s="92">
        <v>350000</v>
      </c>
      <c r="R168" s="92">
        <f t="shared" si="2"/>
        <v>48728397</v>
      </c>
    </row>
    <row r="169" spans="1:18" x14ac:dyDescent="0.35">
      <c r="A169" s="5">
        <v>167</v>
      </c>
      <c r="B169" s="6" t="s">
        <v>411</v>
      </c>
      <c r="C169" s="7" t="s">
        <v>1637</v>
      </c>
      <c r="D169" s="8" t="s">
        <v>77</v>
      </c>
      <c r="E169" s="9">
        <v>150000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/>
      <c r="R169" s="9">
        <f t="shared" si="2"/>
        <v>150000</v>
      </c>
    </row>
    <row r="170" spans="1:18" x14ac:dyDescent="0.35">
      <c r="A170" s="5">
        <v>168</v>
      </c>
      <c r="B170" s="6" t="s">
        <v>413</v>
      </c>
      <c r="C170" s="7" t="s">
        <v>414</v>
      </c>
      <c r="D170" s="8" t="s">
        <v>201</v>
      </c>
      <c r="E170" s="9">
        <v>60000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/>
      <c r="R170" s="9">
        <f t="shared" si="2"/>
        <v>60000</v>
      </c>
    </row>
    <row r="171" spans="1:18" x14ac:dyDescent="0.35">
      <c r="A171" s="5">
        <v>169</v>
      </c>
      <c r="B171" s="6" t="s">
        <v>415</v>
      </c>
      <c r="C171" s="7" t="s">
        <v>1698</v>
      </c>
      <c r="D171" s="8" t="s">
        <v>318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/>
      <c r="R171" s="9">
        <f t="shared" si="2"/>
        <v>0</v>
      </c>
    </row>
    <row r="172" spans="1:18" x14ac:dyDescent="0.35">
      <c r="A172" s="5">
        <v>170</v>
      </c>
      <c r="B172" s="6" t="s">
        <v>417</v>
      </c>
      <c r="C172" s="7" t="s">
        <v>418</v>
      </c>
      <c r="D172" s="8" t="s">
        <v>144</v>
      </c>
      <c r="E172" s="9">
        <v>370000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/>
      <c r="R172" s="9">
        <f t="shared" si="2"/>
        <v>370000</v>
      </c>
    </row>
    <row r="173" spans="1:18" x14ac:dyDescent="0.35">
      <c r="A173" s="5">
        <v>171</v>
      </c>
      <c r="B173" s="6" t="s">
        <v>419</v>
      </c>
      <c r="C173" s="7" t="s">
        <v>1699</v>
      </c>
      <c r="D173" s="8" t="s">
        <v>166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/>
      <c r="R173" s="9">
        <f t="shared" si="2"/>
        <v>0</v>
      </c>
    </row>
    <row r="174" spans="1:18" s="142" customFormat="1" x14ac:dyDescent="0.35">
      <c r="A174" s="143">
        <v>172</v>
      </c>
      <c r="B174" s="6" t="s">
        <v>421</v>
      </c>
      <c r="C174" s="144" t="s">
        <v>2011</v>
      </c>
      <c r="D174" s="145" t="s">
        <v>136</v>
      </c>
      <c r="E174" s="141">
        <v>2250000</v>
      </c>
      <c r="F174" s="9">
        <v>250000</v>
      </c>
      <c r="G174" s="9">
        <v>250000</v>
      </c>
      <c r="H174" s="9">
        <v>250000</v>
      </c>
      <c r="I174" s="9">
        <v>250000</v>
      </c>
      <c r="J174" s="9">
        <v>250000</v>
      </c>
      <c r="K174" s="9">
        <v>250000</v>
      </c>
      <c r="L174" s="9">
        <v>250000</v>
      </c>
      <c r="M174" s="9">
        <v>250000</v>
      </c>
      <c r="N174" s="9">
        <v>250000</v>
      </c>
      <c r="O174" s="141">
        <v>250000</v>
      </c>
      <c r="P174" s="141">
        <v>250000</v>
      </c>
      <c r="Q174" s="141">
        <v>250000</v>
      </c>
      <c r="R174" s="141">
        <f t="shared" si="2"/>
        <v>5250000</v>
      </c>
    </row>
    <row r="175" spans="1:18" x14ac:dyDescent="0.35">
      <c r="A175" s="5">
        <v>173</v>
      </c>
      <c r="B175" s="6" t="s">
        <v>423</v>
      </c>
      <c r="C175" s="7" t="s">
        <v>1700</v>
      </c>
      <c r="D175" s="8" t="s">
        <v>136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/>
      <c r="R175" s="9">
        <f t="shared" si="2"/>
        <v>0</v>
      </c>
    </row>
    <row r="176" spans="1:18" x14ac:dyDescent="0.35">
      <c r="A176" s="5">
        <v>174</v>
      </c>
      <c r="B176" s="6" t="s">
        <v>425</v>
      </c>
      <c r="C176" s="7" t="s">
        <v>1701</v>
      </c>
      <c r="D176" s="8" t="s">
        <v>267</v>
      </c>
      <c r="E176" s="9">
        <v>1877980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/>
      <c r="R176" s="9">
        <f t="shared" si="2"/>
        <v>1877980</v>
      </c>
    </row>
    <row r="177" spans="1:18" x14ac:dyDescent="0.35">
      <c r="A177" s="5">
        <v>175</v>
      </c>
      <c r="B177" s="6" t="s">
        <v>427</v>
      </c>
      <c r="C177" s="7" t="s">
        <v>1702</v>
      </c>
      <c r="D177" s="8" t="s">
        <v>429</v>
      </c>
      <c r="E177" s="9">
        <v>150000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/>
      <c r="R177" s="9">
        <f t="shared" si="2"/>
        <v>150000</v>
      </c>
    </row>
    <row r="178" spans="1:18" x14ac:dyDescent="0.35">
      <c r="A178" s="5">
        <v>176</v>
      </c>
      <c r="B178" s="6" t="s">
        <v>430</v>
      </c>
      <c r="C178" s="7" t="s">
        <v>431</v>
      </c>
      <c r="D178" s="8" t="s">
        <v>98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/>
      <c r="R178" s="9">
        <f t="shared" si="2"/>
        <v>0</v>
      </c>
    </row>
    <row r="179" spans="1:18" s="93" customFormat="1" x14ac:dyDescent="0.35">
      <c r="A179" s="89">
        <v>177</v>
      </c>
      <c r="B179" s="94" t="s">
        <v>432</v>
      </c>
      <c r="C179" s="90" t="s">
        <v>1969</v>
      </c>
      <c r="D179" s="91" t="s">
        <v>108</v>
      </c>
      <c r="E179" s="92">
        <v>25242036</v>
      </c>
      <c r="F179" s="92">
        <v>150000</v>
      </c>
      <c r="G179" s="92">
        <v>150000</v>
      </c>
      <c r="H179" s="9">
        <v>150000</v>
      </c>
      <c r="I179" s="9">
        <v>150000</v>
      </c>
      <c r="J179" s="9">
        <v>150000</v>
      </c>
      <c r="K179" s="9">
        <v>150000</v>
      </c>
      <c r="L179" s="9">
        <v>150000</v>
      </c>
      <c r="M179" s="92">
        <v>150000</v>
      </c>
      <c r="N179" s="92">
        <v>150000</v>
      </c>
      <c r="O179" s="92">
        <v>150000</v>
      </c>
      <c r="P179" s="92">
        <v>150000</v>
      </c>
      <c r="Q179" s="92">
        <v>150000</v>
      </c>
      <c r="R179" s="92">
        <f t="shared" si="2"/>
        <v>27042036</v>
      </c>
    </row>
    <row r="180" spans="1:18" x14ac:dyDescent="0.35">
      <c r="A180" s="5">
        <v>178</v>
      </c>
      <c r="B180" s="6" t="s">
        <v>434</v>
      </c>
      <c r="C180" s="7" t="s">
        <v>435</v>
      </c>
      <c r="D180" s="8" t="s">
        <v>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/>
      <c r="R180" s="9">
        <f t="shared" si="2"/>
        <v>0</v>
      </c>
    </row>
    <row r="181" spans="1:18" x14ac:dyDescent="0.35">
      <c r="A181" s="5">
        <v>179</v>
      </c>
      <c r="B181" s="6" t="s">
        <v>436</v>
      </c>
      <c r="C181" s="7" t="s">
        <v>1638</v>
      </c>
      <c r="D181" s="8" t="s">
        <v>198</v>
      </c>
      <c r="E181" s="9">
        <v>13750000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/>
      <c r="R181" s="9">
        <f t="shared" si="2"/>
        <v>13750000</v>
      </c>
    </row>
    <row r="182" spans="1:18" x14ac:dyDescent="0.35">
      <c r="A182" s="5">
        <v>180</v>
      </c>
      <c r="B182" s="6" t="s">
        <v>438</v>
      </c>
      <c r="C182" s="7" t="s">
        <v>1703</v>
      </c>
      <c r="D182" s="8" t="s">
        <v>55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/>
      <c r="R182" s="9">
        <f t="shared" si="2"/>
        <v>0</v>
      </c>
    </row>
    <row r="183" spans="1:18" s="93" customFormat="1" x14ac:dyDescent="0.35">
      <c r="A183" s="89">
        <v>181</v>
      </c>
      <c r="B183" s="94" t="s">
        <v>440</v>
      </c>
      <c r="C183" s="90" t="s">
        <v>2012</v>
      </c>
      <c r="D183" s="91" t="s">
        <v>22</v>
      </c>
      <c r="E183" s="92">
        <v>21095858</v>
      </c>
      <c r="F183" s="92">
        <v>150000</v>
      </c>
      <c r="G183" s="92">
        <v>150000</v>
      </c>
      <c r="H183" s="9">
        <v>150000</v>
      </c>
      <c r="I183" s="9">
        <v>150000</v>
      </c>
      <c r="J183" s="9">
        <v>150000</v>
      </c>
      <c r="K183" s="9">
        <v>150000</v>
      </c>
      <c r="L183" s="9">
        <v>150000</v>
      </c>
      <c r="M183" s="92">
        <v>150000</v>
      </c>
      <c r="N183" s="92">
        <v>150000</v>
      </c>
      <c r="O183" s="92">
        <v>150000</v>
      </c>
      <c r="P183" s="92">
        <v>150000</v>
      </c>
      <c r="Q183" s="92">
        <v>150000</v>
      </c>
      <c r="R183" s="92">
        <f t="shared" si="2"/>
        <v>22895858</v>
      </c>
    </row>
    <row r="184" spans="1:18" s="93" customFormat="1" x14ac:dyDescent="0.35">
      <c r="A184" s="89">
        <v>182</v>
      </c>
      <c r="B184" s="94" t="s">
        <v>442</v>
      </c>
      <c r="C184" s="90" t="s">
        <v>2013</v>
      </c>
      <c r="D184" s="91" t="s">
        <v>72</v>
      </c>
      <c r="E184" s="92">
        <v>45192947</v>
      </c>
      <c r="F184" s="92">
        <v>250000</v>
      </c>
      <c r="G184" s="92">
        <v>250000</v>
      </c>
      <c r="H184" s="9">
        <v>250000</v>
      </c>
      <c r="I184" s="9">
        <v>250000</v>
      </c>
      <c r="J184" s="9">
        <v>250000</v>
      </c>
      <c r="K184" s="9">
        <v>250000</v>
      </c>
      <c r="L184" s="9">
        <v>250000</v>
      </c>
      <c r="M184" s="92">
        <v>250000</v>
      </c>
      <c r="N184" s="92">
        <v>250000</v>
      </c>
      <c r="O184" s="92">
        <v>250000</v>
      </c>
      <c r="P184" s="92">
        <v>250000</v>
      </c>
      <c r="Q184" s="92">
        <v>250000</v>
      </c>
      <c r="R184" s="92">
        <f t="shared" si="2"/>
        <v>48192947</v>
      </c>
    </row>
    <row r="185" spans="1:18" x14ac:dyDescent="0.35">
      <c r="A185" s="5">
        <v>183</v>
      </c>
      <c r="B185" s="6" t="s">
        <v>444</v>
      </c>
      <c r="C185" s="7" t="s">
        <v>445</v>
      </c>
      <c r="D185" s="8" t="s">
        <v>446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/>
      <c r="R185" s="9">
        <f t="shared" si="2"/>
        <v>0</v>
      </c>
    </row>
    <row r="186" spans="1:18" x14ac:dyDescent="0.35">
      <c r="A186" s="5">
        <v>184</v>
      </c>
      <c r="B186" s="6" t="s">
        <v>447</v>
      </c>
      <c r="C186" s="7" t="s">
        <v>1639</v>
      </c>
      <c r="D186" s="8" t="s">
        <v>136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/>
      <c r="R186" s="9">
        <f t="shared" si="2"/>
        <v>0</v>
      </c>
    </row>
    <row r="187" spans="1:18" s="93" customFormat="1" x14ac:dyDescent="0.35">
      <c r="A187" s="89">
        <v>185</v>
      </c>
      <c r="B187" s="94" t="s">
        <v>449</v>
      </c>
      <c r="C187" s="90" t="s">
        <v>2014</v>
      </c>
      <c r="D187" s="91" t="s">
        <v>238</v>
      </c>
      <c r="E187" s="92">
        <v>41697316</v>
      </c>
      <c r="F187" s="92">
        <v>250000</v>
      </c>
      <c r="G187" s="92">
        <v>250000</v>
      </c>
      <c r="H187" s="9">
        <v>250000</v>
      </c>
      <c r="I187" s="9">
        <v>250000</v>
      </c>
      <c r="J187" s="9">
        <v>250000</v>
      </c>
      <c r="K187" s="9">
        <v>250000</v>
      </c>
      <c r="L187" s="9">
        <v>250000</v>
      </c>
      <c r="M187" s="92">
        <v>250000</v>
      </c>
      <c r="N187" s="92">
        <v>250000</v>
      </c>
      <c r="O187" s="92">
        <v>250000</v>
      </c>
      <c r="P187" s="92">
        <v>250000</v>
      </c>
      <c r="Q187" s="92">
        <v>250000</v>
      </c>
      <c r="R187" s="92">
        <f t="shared" si="2"/>
        <v>44697316</v>
      </c>
    </row>
    <row r="188" spans="1:18" s="93" customFormat="1" x14ac:dyDescent="0.35">
      <c r="A188" s="89">
        <v>186</v>
      </c>
      <c r="B188" s="94" t="s">
        <v>451</v>
      </c>
      <c r="C188" s="90" t="s">
        <v>2015</v>
      </c>
      <c r="D188" s="91" t="s">
        <v>303</v>
      </c>
      <c r="E188" s="92">
        <v>30687151</v>
      </c>
      <c r="F188" s="92">
        <v>250000</v>
      </c>
      <c r="G188" s="92">
        <v>250000</v>
      </c>
      <c r="H188" s="9">
        <v>250000</v>
      </c>
      <c r="I188" s="9">
        <v>250000</v>
      </c>
      <c r="J188" s="9">
        <v>250000</v>
      </c>
      <c r="K188" s="9">
        <v>250000</v>
      </c>
      <c r="L188" s="9">
        <v>250000</v>
      </c>
      <c r="M188" s="92">
        <v>250000</v>
      </c>
      <c r="N188" s="92">
        <v>250000</v>
      </c>
      <c r="O188" s="92">
        <v>250000</v>
      </c>
      <c r="P188" s="92">
        <v>250000</v>
      </c>
      <c r="Q188" s="92">
        <v>250000</v>
      </c>
      <c r="R188" s="92">
        <f t="shared" si="2"/>
        <v>33687151</v>
      </c>
    </row>
    <row r="189" spans="1:18" s="142" customFormat="1" x14ac:dyDescent="0.35">
      <c r="A189" s="143">
        <v>187</v>
      </c>
      <c r="B189" s="6" t="s">
        <v>453</v>
      </c>
      <c r="C189" s="144" t="s">
        <v>2016</v>
      </c>
      <c r="D189" s="145" t="s">
        <v>83</v>
      </c>
      <c r="E189" s="141">
        <v>22739393</v>
      </c>
      <c r="F189" s="9">
        <v>150000</v>
      </c>
      <c r="G189" s="9">
        <v>150000</v>
      </c>
      <c r="H189" s="9">
        <v>150000</v>
      </c>
      <c r="I189" s="9">
        <v>150000</v>
      </c>
      <c r="J189" s="9">
        <v>150000</v>
      </c>
      <c r="K189" s="9">
        <v>150000</v>
      </c>
      <c r="L189" s="9">
        <v>150000</v>
      </c>
      <c r="M189" s="9">
        <v>150000</v>
      </c>
      <c r="N189" s="9">
        <v>150000</v>
      </c>
      <c r="O189" s="141">
        <v>150000</v>
      </c>
      <c r="P189" s="141">
        <v>150000</v>
      </c>
      <c r="Q189" s="141">
        <v>150000</v>
      </c>
      <c r="R189" s="141">
        <f t="shared" si="2"/>
        <v>24539393</v>
      </c>
    </row>
    <row r="190" spans="1:18" x14ac:dyDescent="0.35">
      <c r="A190" s="5">
        <v>188</v>
      </c>
      <c r="B190" s="6" t="s">
        <v>455</v>
      </c>
      <c r="C190" s="7" t="s">
        <v>1704</v>
      </c>
      <c r="D190" s="8" t="s">
        <v>457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/>
      <c r="R190" s="9">
        <f t="shared" si="2"/>
        <v>0</v>
      </c>
    </row>
    <row r="191" spans="1:18" s="93" customFormat="1" x14ac:dyDescent="0.35">
      <c r="A191" s="89">
        <v>189</v>
      </c>
      <c r="B191" s="94" t="s">
        <v>458</v>
      </c>
      <c r="C191" s="90" t="s">
        <v>1752</v>
      </c>
      <c r="D191" s="91" t="s">
        <v>108</v>
      </c>
      <c r="E191" s="92">
        <v>34526249</v>
      </c>
      <c r="F191" s="92">
        <v>250000</v>
      </c>
      <c r="G191" s="92">
        <v>250000</v>
      </c>
      <c r="H191" s="9">
        <v>250000</v>
      </c>
      <c r="I191" s="9">
        <v>250000</v>
      </c>
      <c r="J191" s="9">
        <v>250000</v>
      </c>
      <c r="K191" s="9">
        <v>250000</v>
      </c>
      <c r="L191" s="9">
        <v>250000</v>
      </c>
      <c r="M191" s="92">
        <v>250000</v>
      </c>
      <c r="N191" s="92">
        <v>250000</v>
      </c>
      <c r="O191" s="92">
        <v>250000</v>
      </c>
      <c r="P191" s="92">
        <v>250000</v>
      </c>
      <c r="Q191" s="92">
        <v>250000</v>
      </c>
      <c r="R191" s="92">
        <f t="shared" si="2"/>
        <v>37526249</v>
      </c>
    </row>
    <row r="192" spans="1:18" x14ac:dyDescent="0.35">
      <c r="A192" s="5">
        <v>190</v>
      </c>
      <c r="B192" s="6" t="s">
        <v>460</v>
      </c>
      <c r="C192" s="7" t="s">
        <v>1706</v>
      </c>
      <c r="D192" s="8" t="s">
        <v>95</v>
      </c>
      <c r="E192" s="9">
        <v>31047025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/>
      <c r="R192" s="9">
        <f t="shared" si="2"/>
        <v>31047025</v>
      </c>
    </row>
    <row r="193" spans="1:18" x14ac:dyDescent="0.35">
      <c r="A193" s="5">
        <v>191</v>
      </c>
      <c r="B193" s="6" t="s">
        <v>462</v>
      </c>
      <c r="C193" s="7" t="s">
        <v>1617</v>
      </c>
      <c r="D193" s="8" t="s">
        <v>41</v>
      </c>
      <c r="E193" s="9">
        <v>250000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/>
      <c r="R193" s="9">
        <f t="shared" si="2"/>
        <v>250000</v>
      </c>
    </row>
    <row r="194" spans="1:18" x14ac:dyDescent="0.35">
      <c r="A194" s="5">
        <v>192</v>
      </c>
      <c r="B194" s="6" t="s">
        <v>464</v>
      </c>
      <c r="C194" s="7" t="s">
        <v>1618</v>
      </c>
      <c r="D194" s="8" t="s">
        <v>198</v>
      </c>
      <c r="E194" s="9">
        <v>14325000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/>
      <c r="R194" s="9">
        <f t="shared" si="2"/>
        <v>14325000</v>
      </c>
    </row>
    <row r="195" spans="1:18" s="142" customFormat="1" x14ac:dyDescent="0.35">
      <c r="A195" s="143">
        <v>193</v>
      </c>
      <c r="B195" s="6" t="s">
        <v>466</v>
      </c>
      <c r="C195" s="144" t="s">
        <v>1928</v>
      </c>
      <c r="D195" s="145" t="s">
        <v>128</v>
      </c>
      <c r="E195" s="141">
        <v>14250000</v>
      </c>
      <c r="F195" s="9">
        <v>250000</v>
      </c>
      <c r="G195" s="9">
        <v>250000</v>
      </c>
      <c r="H195" s="9">
        <v>250000</v>
      </c>
      <c r="I195" s="9">
        <v>250000</v>
      </c>
      <c r="J195" s="9">
        <v>250000</v>
      </c>
      <c r="K195" s="9">
        <v>250000</v>
      </c>
      <c r="L195" s="9">
        <v>250000</v>
      </c>
      <c r="M195" s="9">
        <v>250000</v>
      </c>
      <c r="N195" s="9">
        <v>250000</v>
      </c>
      <c r="O195" s="141">
        <v>250000</v>
      </c>
      <c r="P195" s="141">
        <v>250000</v>
      </c>
      <c r="Q195" s="141">
        <v>250000</v>
      </c>
      <c r="R195" s="141">
        <f t="shared" ref="R195:R258" si="3">SUM(E195:Q195)</f>
        <v>17250000</v>
      </c>
    </row>
    <row r="196" spans="1:18" x14ac:dyDescent="0.35">
      <c r="A196" s="5">
        <v>194</v>
      </c>
      <c r="B196" s="6" t="s">
        <v>468</v>
      </c>
      <c r="C196" s="7" t="s">
        <v>1705</v>
      </c>
      <c r="D196" s="8" t="s">
        <v>367</v>
      </c>
      <c r="E196" s="9">
        <v>3150000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/>
      <c r="R196" s="9">
        <f t="shared" si="3"/>
        <v>3150000</v>
      </c>
    </row>
    <row r="197" spans="1:18" x14ac:dyDescent="0.35">
      <c r="A197" s="5">
        <v>195</v>
      </c>
      <c r="B197" s="6" t="s">
        <v>470</v>
      </c>
      <c r="C197" s="7" t="s">
        <v>1640</v>
      </c>
      <c r="D197" s="8" t="s">
        <v>429</v>
      </c>
      <c r="E197" s="9">
        <v>250000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/>
      <c r="R197" s="9">
        <f t="shared" si="3"/>
        <v>250000</v>
      </c>
    </row>
    <row r="198" spans="1:18" s="142" customFormat="1" x14ac:dyDescent="0.35">
      <c r="A198" s="143">
        <v>196</v>
      </c>
      <c r="B198" s="6" t="s">
        <v>472</v>
      </c>
      <c r="C198" s="144" t="s">
        <v>1887</v>
      </c>
      <c r="D198" s="145" t="s">
        <v>474</v>
      </c>
      <c r="E198" s="141">
        <v>495000</v>
      </c>
      <c r="F198" s="9">
        <v>150000</v>
      </c>
      <c r="G198" s="9">
        <v>150000</v>
      </c>
      <c r="H198" s="9">
        <v>150000</v>
      </c>
      <c r="I198" s="9">
        <v>150000</v>
      </c>
      <c r="J198" s="9">
        <v>150000</v>
      </c>
      <c r="K198" s="9">
        <v>150000</v>
      </c>
      <c r="L198" s="9">
        <v>150000</v>
      </c>
      <c r="M198" s="9">
        <v>150000</v>
      </c>
      <c r="N198" s="9">
        <v>150000</v>
      </c>
      <c r="O198" s="141">
        <v>150000</v>
      </c>
      <c r="P198" s="141">
        <v>150000</v>
      </c>
      <c r="Q198" s="141">
        <v>150000</v>
      </c>
      <c r="R198" s="141">
        <f t="shared" si="3"/>
        <v>2295000</v>
      </c>
    </row>
    <row r="199" spans="1:18" x14ac:dyDescent="0.35">
      <c r="A199" s="5">
        <v>197</v>
      </c>
      <c r="B199" s="6" t="s">
        <v>475</v>
      </c>
      <c r="C199" s="7" t="s">
        <v>1619</v>
      </c>
      <c r="D199" s="8" t="s">
        <v>60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/>
      <c r="R199" s="9">
        <f t="shared" si="3"/>
        <v>0</v>
      </c>
    </row>
    <row r="200" spans="1:18" x14ac:dyDescent="0.35">
      <c r="A200" s="5">
        <v>198</v>
      </c>
      <c r="B200" s="6" t="s">
        <v>477</v>
      </c>
      <c r="C200" s="7" t="s">
        <v>1796</v>
      </c>
      <c r="D200" s="8" t="s">
        <v>103</v>
      </c>
      <c r="E200" s="9">
        <v>36877980</v>
      </c>
      <c r="F200" s="9">
        <v>350000</v>
      </c>
      <c r="G200" s="9">
        <v>350000</v>
      </c>
      <c r="H200" s="9">
        <v>350000</v>
      </c>
      <c r="I200" s="9">
        <v>350000</v>
      </c>
      <c r="J200" s="9">
        <v>350000</v>
      </c>
      <c r="K200" s="9">
        <v>350000</v>
      </c>
      <c r="L200" s="9">
        <v>350000</v>
      </c>
      <c r="M200" s="9">
        <v>350000</v>
      </c>
      <c r="N200" s="9">
        <v>350000</v>
      </c>
      <c r="O200" s="9">
        <v>0</v>
      </c>
      <c r="P200" s="9">
        <v>0</v>
      </c>
      <c r="Q200" s="9"/>
      <c r="R200" s="9">
        <f t="shared" si="3"/>
        <v>40027980</v>
      </c>
    </row>
    <row r="201" spans="1:18" s="142" customFormat="1" x14ac:dyDescent="0.35">
      <c r="A201" s="143">
        <v>199</v>
      </c>
      <c r="B201" s="6" t="s">
        <v>479</v>
      </c>
      <c r="C201" s="144" t="s">
        <v>1885</v>
      </c>
      <c r="D201" s="145" t="s">
        <v>136</v>
      </c>
      <c r="E201" s="141">
        <v>32380222</v>
      </c>
      <c r="F201" s="9">
        <v>250000</v>
      </c>
      <c r="G201" s="9">
        <v>250000</v>
      </c>
      <c r="H201" s="9">
        <v>250000</v>
      </c>
      <c r="I201" s="9">
        <v>250000</v>
      </c>
      <c r="J201" s="9">
        <v>250000</v>
      </c>
      <c r="K201" s="9">
        <v>250000</v>
      </c>
      <c r="L201" s="9">
        <v>250000</v>
      </c>
      <c r="M201" s="9">
        <v>250000</v>
      </c>
      <c r="N201" s="9">
        <v>250000</v>
      </c>
      <c r="O201" s="141">
        <v>250000</v>
      </c>
      <c r="P201" s="141">
        <v>250000</v>
      </c>
      <c r="Q201" s="141">
        <v>250000</v>
      </c>
      <c r="R201" s="141">
        <f t="shared" si="3"/>
        <v>35380222</v>
      </c>
    </row>
    <row r="202" spans="1:18" x14ac:dyDescent="0.35">
      <c r="A202" s="5">
        <v>200</v>
      </c>
      <c r="B202" s="6" t="s">
        <v>481</v>
      </c>
      <c r="C202" s="7" t="s">
        <v>1620</v>
      </c>
      <c r="D202" s="8" t="s">
        <v>49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/>
      <c r="R202" s="9">
        <f t="shared" si="3"/>
        <v>0</v>
      </c>
    </row>
    <row r="203" spans="1:18" s="134" customFormat="1" x14ac:dyDescent="0.35">
      <c r="A203" s="135">
        <v>201</v>
      </c>
      <c r="B203" s="109" t="s">
        <v>483</v>
      </c>
      <c r="C203" s="136" t="s">
        <v>1950</v>
      </c>
      <c r="D203" s="137" t="s">
        <v>19</v>
      </c>
      <c r="E203" s="133">
        <v>41869812</v>
      </c>
      <c r="F203" s="92">
        <v>350000</v>
      </c>
      <c r="G203" s="110">
        <v>-42219812</v>
      </c>
      <c r="H203" s="110">
        <v>0</v>
      </c>
      <c r="I203" s="9">
        <v>0</v>
      </c>
      <c r="J203" s="110">
        <v>0</v>
      </c>
      <c r="K203" s="110">
        <v>0</v>
      </c>
      <c r="L203" s="110">
        <v>0</v>
      </c>
      <c r="M203" s="110">
        <v>0</v>
      </c>
      <c r="N203" s="110">
        <v>0</v>
      </c>
      <c r="O203" s="133">
        <v>0</v>
      </c>
      <c r="P203" s="133"/>
      <c r="Q203" s="133"/>
      <c r="R203" s="133">
        <f t="shared" si="3"/>
        <v>0</v>
      </c>
    </row>
    <row r="204" spans="1:18" x14ac:dyDescent="0.35">
      <c r="A204" s="5">
        <v>202</v>
      </c>
      <c r="B204" s="6" t="s">
        <v>485</v>
      </c>
      <c r="C204" s="7" t="s">
        <v>486</v>
      </c>
      <c r="D204" s="8" t="s">
        <v>215</v>
      </c>
      <c r="E204" s="9">
        <v>55000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/>
      <c r="R204" s="9">
        <f t="shared" si="3"/>
        <v>55000</v>
      </c>
    </row>
    <row r="205" spans="1:18" s="93" customFormat="1" x14ac:dyDescent="0.35">
      <c r="A205" s="89">
        <v>203</v>
      </c>
      <c r="B205" s="94" t="s">
        <v>487</v>
      </c>
      <c r="C205" s="90" t="s">
        <v>2017</v>
      </c>
      <c r="D205" s="91" t="s">
        <v>25</v>
      </c>
      <c r="E205" s="92">
        <v>34855222</v>
      </c>
      <c r="F205" s="92">
        <v>250000</v>
      </c>
      <c r="G205" s="92">
        <v>250000</v>
      </c>
      <c r="H205" s="9">
        <v>250000</v>
      </c>
      <c r="I205" s="9">
        <v>250000</v>
      </c>
      <c r="J205" s="9">
        <v>250000</v>
      </c>
      <c r="K205" s="9">
        <v>250000</v>
      </c>
      <c r="L205" s="9">
        <v>250000</v>
      </c>
      <c r="M205" s="92">
        <v>250000</v>
      </c>
      <c r="N205" s="92">
        <v>250000</v>
      </c>
      <c r="O205" s="92">
        <v>250000</v>
      </c>
      <c r="P205" s="92">
        <v>250000</v>
      </c>
      <c r="Q205" s="92">
        <v>250000</v>
      </c>
      <c r="R205" s="92">
        <f t="shared" si="3"/>
        <v>37855222</v>
      </c>
    </row>
    <row r="206" spans="1:18" s="93" customFormat="1" x14ac:dyDescent="0.35">
      <c r="A206" s="89">
        <v>204</v>
      </c>
      <c r="B206" s="94" t="s">
        <v>489</v>
      </c>
      <c r="C206" s="90" t="s">
        <v>2018</v>
      </c>
      <c r="D206" s="91" t="s">
        <v>25</v>
      </c>
      <c r="E206" s="92">
        <v>29606383</v>
      </c>
      <c r="F206" s="92">
        <v>250000</v>
      </c>
      <c r="G206" s="92">
        <v>250000</v>
      </c>
      <c r="H206" s="9">
        <v>250000</v>
      </c>
      <c r="I206" s="9">
        <v>250000</v>
      </c>
      <c r="J206" s="9">
        <v>250000</v>
      </c>
      <c r="K206" s="9">
        <v>250000</v>
      </c>
      <c r="L206" s="9">
        <v>250000</v>
      </c>
      <c r="M206" s="92">
        <v>250000</v>
      </c>
      <c r="N206" s="92">
        <v>250000</v>
      </c>
      <c r="O206" s="92">
        <v>250000</v>
      </c>
      <c r="P206" s="92">
        <v>250000</v>
      </c>
      <c r="Q206" s="92">
        <v>250000</v>
      </c>
      <c r="R206" s="92">
        <f t="shared" si="3"/>
        <v>32606383</v>
      </c>
    </row>
    <row r="207" spans="1:18" x14ac:dyDescent="0.35">
      <c r="A207" s="5">
        <v>205</v>
      </c>
      <c r="B207" s="6" t="s">
        <v>491</v>
      </c>
      <c r="C207" s="7" t="s">
        <v>492</v>
      </c>
      <c r="D207" s="8" t="s">
        <v>19</v>
      </c>
      <c r="E207" s="9">
        <v>4350000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/>
      <c r="R207" s="9">
        <f t="shared" si="3"/>
        <v>4350000</v>
      </c>
    </row>
    <row r="208" spans="1:18" x14ac:dyDescent="0.35">
      <c r="A208" s="5">
        <v>206</v>
      </c>
      <c r="B208" s="6" t="s">
        <v>493</v>
      </c>
      <c r="C208" s="7" t="s">
        <v>2223</v>
      </c>
      <c r="D208" s="8" t="s">
        <v>95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/>
      <c r="R208" s="9">
        <f t="shared" si="3"/>
        <v>0</v>
      </c>
    </row>
    <row r="209" spans="1:18" x14ac:dyDescent="0.35">
      <c r="A209" s="5">
        <v>207</v>
      </c>
      <c r="B209" s="6" t="s">
        <v>495</v>
      </c>
      <c r="C209" s="7" t="s">
        <v>496</v>
      </c>
      <c r="D209" s="8" t="s">
        <v>159</v>
      </c>
      <c r="E209" s="9">
        <v>145000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/>
      <c r="R209" s="9">
        <f t="shared" si="3"/>
        <v>145000</v>
      </c>
    </row>
    <row r="210" spans="1:18" x14ac:dyDescent="0.35">
      <c r="A210" s="5">
        <v>208</v>
      </c>
      <c r="B210" s="6" t="s">
        <v>497</v>
      </c>
      <c r="C210" s="7" t="s">
        <v>2224</v>
      </c>
      <c r="D210" s="8" t="s">
        <v>49</v>
      </c>
      <c r="E210" s="9">
        <v>72800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/>
      <c r="R210" s="9">
        <f t="shared" si="3"/>
        <v>72800</v>
      </c>
    </row>
    <row r="211" spans="1:18" s="93" customFormat="1" x14ac:dyDescent="0.35">
      <c r="A211" s="89">
        <v>209</v>
      </c>
      <c r="B211" s="94" t="s">
        <v>499</v>
      </c>
      <c r="C211" s="90" t="s">
        <v>1947</v>
      </c>
      <c r="D211" s="91" t="s">
        <v>128</v>
      </c>
      <c r="E211" s="92">
        <v>36345858</v>
      </c>
      <c r="F211" s="9">
        <v>350000</v>
      </c>
      <c r="G211" s="92">
        <v>350000</v>
      </c>
      <c r="H211" s="92">
        <v>350000</v>
      </c>
      <c r="I211" s="9">
        <v>350000</v>
      </c>
      <c r="J211" s="92">
        <v>350000</v>
      </c>
      <c r="K211" s="9">
        <v>350000</v>
      </c>
      <c r="L211" s="9">
        <v>350000</v>
      </c>
      <c r="M211" s="92">
        <v>350000</v>
      </c>
      <c r="N211" s="92">
        <v>350000</v>
      </c>
      <c r="O211" s="92">
        <v>350000</v>
      </c>
      <c r="P211" s="92">
        <v>350000</v>
      </c>
      <c r="Q211" s="92">
        <v>350000</v>
      </c>
      <c r="R211" s="92">
        <f t="shared" si="3"/>
        <v>40545858</v>
      </c>
    </row>
    <row r="212" spans="1:18" s="142" customFormat="1" x14ac:dyDescent="0.35">
      <c r="A212" s="143">
        <v>210</v>
      </c>
      <c r="B212" s="6" t="s">
        <v>501</v>
      </c>
      <c r="C212" s="144" t="s">
        <v>1930</v>
      </c>
      <c r="D212" s="145" t="s">
        <v>128</v>
      </c>
      <c r="E212" s="141">
        <v>36621642</v>
      </c>
      <c r="F212" s="9">
        <v>250000</v>
      </c>
      <c r="G212" s="9">
        <v>250000</v>
      </c>
      <c r="H212" s="9">
        <v>250000</v>
      </c>
      <c r="I212" s="9">
        <v>250000</v>
      </c>
      <c r="J212" s="9">
        <v>250000</v>
      </c>
      <c r="K212" s="9">
        <v>250000</v>
      </c>
      <c r="L212" s="9">
        <v>250000</v>
      </c>
      <c r="M212" s="9">
        <v>250000</v>
      </c>
      <c r="N212" s="9">
        <v>250000</v>
      </c>
      <c r="O212" s="141">
        <v>250000</v>
      </c>
      <c r="P212" s="141">
        <v>250000</v>
      </c>
      <c r="Q212" s="141">
        <v>250000</v>
      </c>
      <c r="R212" s="141">
        <f t="shared" si="3"/>
        <v>39621642</v>
      </c>
    </row>
    <row r="213" spans="1:18" s="93" customFormat="1" x14ac:dyDescent="0.35">
      <c r="A213" s="89">
        <v>211</v>
      </c>
      <c r="B213" s="94" t="s">
        <v>503</v>
      </c>
      <c r="C213" s="90" t="s">
        <v>2019</v>
      </c>
      <c r="D213" s="91" t="s">
        <v>25</v>
      </c>
      <c r="E213" s="92">
        <v>25200447</v>
      </c>
      <c r="F213" s="92">
        <v>150000</v>
      </c>
      <c r="G213" s="92">
        <v>150000</v>
      </c>
      <c r="H213" s="9">
        <v>150000</v>
      </c>
      <c r="I213" s="9">
        <v>150000</v>
      </c>
      <c r="J213" s="9">
        <v>150000</v>
      </c>
      <c r="K213" s="9">
        <v>150000</v>
      </c>
      <c r="L213" s="9">
        <v>150000</v>
      </c>
      <c r="M213" s="92">
        <v>150000</v>
      </c>
      <c r="N213" s="92">
        <v>150000</v>
      </c>
      <c r="O213" s="92">
        <v>150000</v>
      </c>
      <c r="P213" s="92">
        <v>150000</v>
      </c>
      <c r="Q213" s="92">
        <v>150000</v>
      </c>
      <c r="R213" s="92">
        <f t="shared" si="3"/>
        <v>27000447</v>
      </c>
    </row>
    <row r="214" spans="1:18" s="142" customFormat="1" x14ac:dyDescent="0.35">
      <c r="A214" s="143">
        <v>212</v>
      </c>
      <c r="B214" s="167" t="s">
        <v>505</v>
      </c>
      <c r="C214" s="144" t="s">
        <v>2020</v>
      </c>
      <c r="D214" s="145" t="s">
        <v>95</v>
      </c>
      <c r="E214" s="141">
        <v>29016000</v>
      </c>
      <c r="F214" s="141">
        <v>250000</v>
      </c>
      <c r="G214" s="141">
        <v>250000</v>
      </c>
      <c r="H214" s="141">
        <v>250000</v>
      </c>
      <c r="I214" s="141">
        <v>250000</v>
      </c>
      <c r="J214" s="141">
        <v>250000</v>
      </c>
      <c r="K214" s="141">
        <v>250000</v>
      </c>
      <c r="L214" s="141">
        <v>250000</v>
      </c>
      <c r="M214" s="141">
        <v>250000</v>
      </c>
      <c r="N214" s="141">
        <v>250000</v>
      </c>
      <c r="O214" s="141">
        <v>250000</v>
      </c>
      <c r="P214" s="141">
        <v>250000</v>
      </c>
      <c r="Q214" s="141">
        <v>250000</v>
      </c>
      <c r="R214" s="141">
        <f t="shared" si="3"/>
        <v>32016000</v>
      </c>
    </row>
    <row r="215" spans="1:18" x14ac:dyDescent="0.35">
      <c r="A215" s="5">
        <v>213</v>
      </c>
      <c r="B215" s="6" t="s">
        <v>507</v>
      </c>
      <c r="C215" s="7" t="s">
        <v>1707</v>
      </c>
      <c r="D215" s="8" t="s">
        <v>303</v>
      </c>
      <c r="E215" s="9">
        <v>12425457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/>
      <c r="R215" s="9">
        <f t="shared" si="3"/>
        <v>12425457</v>
      </c>
    </row>
    <row r="216" spans="1:18" x14ac:dyDescent="0.35">
      <c r="A216" s="5">
        <v>214</v>
      </c>
      <c r="B216" s="6" t="s">
        <v>509</v>
      </c>
      <c r="C216" s="7" t="s">
        <v>510</v>
      </c>
      <c r="D216" s="8" t="s">
        <v>65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/>
      <c r="R216" s="9">
        <f t="shared" si="3"/>
        <v>0</v>
      </c>
    </row>
    <row r="217" spans="1:18" s="93" customFormat="1" x14ac:dyDescent="0.35">
      <c r="A217" s="89">
        <v>215</v>
      </c>
      <c r="B217" s="94" t="s">
        <v>511</v>
      </c>
      <c r="C217" s="90" t="s">
        <v>1768</v>
      </c>
      <c r="D217" s="91" t="s">
        <v>406</v>
      </c>
      <c r="E217" s="92">
        <v>41972107</v>
      </c>
      <c r="F217" s="92">
        <v>350000</v>
      </c>
      <c r="G217" s="92">
        <v>350000</v>
      </c>
      <c r="H217" s="9">
        <v>350000</v>
      </c>
      <c r="I217" s="9">
        <v>350000</v>
      </c>
      <c r="J217" s="9">
        <v>350000</v>
      </c>
      <c r="K217" s="9">
        <v>350000</v>
      </c>
      <c r="L217" s="9">
        <v>350000</v>
      </c>
      <c r="M217" s="92">
        <v>350000</v>
      </c>
      <c r="N217" s="92">
        <v>350000</v>
      </c>
      <c r="O217" s="92">
        <v>350000</v>
      </c>
      <c r="P217" s="92">
        <v>350000</v>
      </c>
      <c r="Q217" s="92">
        <v>350000</v>
      </c>
      <c r="R217" s="92">
        <f t="shared" si="3"/>
        <v>46172107</v>
      </c>
    </row>
    <row r="218" spans="1:18" x14ac:dyDescent="0.35">
      <c r="A218" s="5">
        <v>216</v>
      </c>
      <c r="B218" s="6" t="s">
        <v>513</v>
      </c>
      <c r="C218" s="7" t="s">
        <v>1641</v>
      </c>
      <c r="D218" s="8" t="s">
        <v>60</v>
      </c>
      <c r="E218" s="9">
        <v>21502980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/>
      <c r="R218" s="9">
        <f t="shared" si="3"/>
        <v>21502980</v>
      </c>
    </row>
    <row r="219" spans="1:18" x14ac:dyDescent="0.35">
      <c r="A219" s="5">
        <v>217</v>
      </c>
      <c r="B219" s="6" t="s">
        <v>515</v>
      </c>
      <c r="C219" s="7" t="s">
        <v>1621</v>
      </c>
      <c r="D219" s="8" t="s">
        <v>253</v>
      </c>
      <c r="E219" s="9">
        <v>950000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/>
      <c r="R219" s="9">
        <f t="shared" si="3"/>
        <v>950000</v>
      </c>
    </row>
    <row r="220" spans="1:18" x14ac:dyDescent="0.35">
      <c r="A220" s="5">
        <v>218</v>
      </c>
      <c r="B220" s="6" t="s">
        <v>517</v>
      </c>
      <c r="C220" s="7" t="s">
        <v>1708</v>
      </c>
      <c r="D220" s="8" t="s">
        <v>519</v>
      </c>
      <c r="E220" s="9">
        <v>1550000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/>
      <c r="R220" s="9">
        <f t="shared" si="3"/>
        <v>1550000</v>
      </c>
    </row>
    <row r="221" spans="1:18" x14ac:dyDescent="0.35">
      <c r="A221" s="5">
        <v>219</v>
      </c>
      <c r="B221" s="6" t="s">
        <v>520</v>
      </c>
      <c r="C221" s="7" t="s">
        <v>1622</v>
      </c>
      <c r="D221" s="8" t="s">
        <v>166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/>
      <c r="R221" s="9">
        <f t="shared" si="3"/>
        <v>0</v>
      </c>
    </row>
    <row r="222" spans="1:18" x14ac:dyDescent="0.35">
      <c r="A222" s="5">
        <v>220</v>
      </c>
      <c r="B222" s="6" t="s">
        <v>522</v>
      </c>
      <c r="C222" s="7" t="s">
        <v>1608</v>
      </c>
      <c r="D222" s="8" t="s">
        <v>524</v>
      </c>
      <c r="E222" s="9">
        <v>1000000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/>
      <c r="R222" s="9">
        <f t="shared" si="3"/>
        <v>1000000</v>
      </c>
    </row>
    <row r="223" spans="1:18" x14ac:dyDescent="0.35">
      <c r="A223" s="5">
        <v>221</v>
      </c>
      <c r="B223" s="6" t="s">
        <v>525</v>
      </c>
      <c r="C223" s="7" t="s">
        <v>526</v>
      </c>
      <c r="D223" s="8" t="s">
        <v>98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/>
      <c r="R223" s="9">
        <f t="shared" si="3"/>
        <v>0</v>
      </c>
    </row>
    <row r="224" spans="1:18" s="93" customFormat="1" x14ac:dyDescent="0.35">
      <c r="A224" s="89">
        <v>222</v>
      </c>
      <c r="B224" s="94" t="s">
        <v>527</v>
      </c>
      <c r="C224" s="90" t="s">
        <v>1786</v>
      </c>
      <c r="D224" s="91" t="s">
        <v>95</v>
      </c>
      <c r="E224" s="92">
        <v>53986636</v>
      </c>
      <c r="F224" s="92">
        <v>350000</v>
      </c>
      <c r="G224" s="92">
        <v>350000</v>
      </c>
      <c r="H224" s="9">
        <v>350000</v>
      </c>
      <c r="I224" s="9">
        <v>350000</v>
      </c>
      <c r="J224" s="9">
        <v>350000</v>
      </c>
      <c r="K224" s="9">
        <v>350000</v>
      </c>
      <c r="L224" s="9">
        <v>350000</v>
      </c>
      <c r="M224" s="92">
        <v>350000</v>
      </c>
      <c r="N224" s="92">
        <v>350000</v>
      </c>
      <c r="O224" s="92">
        <v>350000</v>
      </c>
      <c r="P224" s="92">
        <v>350000</v>
      </c>
      <c r="Q224" s="92">
        <v>350000</v>
      </c>
      <c r="R224" s="92">
        <f t="shared" si="3"/>
        <v>58186636</v>
      </c>
    </row>
    <row r="225" spans="1:18" s="142" customFormat="1" x14ac:dyDescent="0.35">
      <c r="A225" s="143">
        <v>223</v>
      </c>
      <c r="B225" s="6" t="s">
        <v>529</v>
      </c>
      <c r="C225" s="144" t="s">
        <v>1888</v>
      </c>
      <c r="D225" s="145" t="s">
        <v>354</v>
      </c>
      <c r="E225" s="141">
        <v>33306004</v>
      </c>
      <c r="F225" s="9">
        <v>250000</v>
      </c>
      <c r="G225" s="9">
        <v>250000</v>
      </c>
      <c r="H225" s="9">
        <v>250000</v>
      </c>
      <c r="I225" s="9">
        <v>250000</v>
      </c>
      <c r="J225" s="9">
        <v>250000</v>
      </c>
      <c r="K225" s="9">
        <v>250000</v>
      </c>
      <c r="L225" s="9">
        <v>250000</v>
      </c>
      <c r="M225" s="9">
        <v>250000</v>
      </c>
      <c r="N225" s="9">
        <v>250000</v>
      </c>
      <c r="O225" s="141">
        <v>250000</v>
      </c>
      <c r="P225" s="141">
        <v>250000</v>
      </c>
      <c r="Q225" s="141">
        <v>250000</v>
      </c>
      <c r="R225" s="141">
        <f t="shared" si="3"/>
        <v>36306004</v>
      </c>
    </row>
    <row r="226" spans="1:18" s="142" customFormat="1" x14ac:dyDescent="0.35">
      <c r="A226" s="143">
        <v>224</v>
      </c>
      <c r="B226" s="6" t="s">
        <v>531</v>
      </c>
      <c r="C226" s="144" t="s">
        <v>1889</v>
      </c>
      <c r="D226" s="145" t="s">
        <v>98</v>
      </c>
      <c r="E226" s="141">
        <v>16720845</v>
      </c>
      <c r="F226" s="9">
        <v>500000</v>
      </c>
      <c r="G226" s="9">
        <v>500000</v>
      </c>
      <c r="H226" s="9">
        <v>500000</v>
      </c>
      <c r="I226" s="9">
        <v>500000</v>
      </c>
      <c r="J226" s="9">
        <v>500000</v>
      </c>
      <c r="K226" s="9">
        <v>500000</v>
      </c>
      <c r="L226" s="9">
        <v>500000</v>
      </c>
      <c r="M226" s="9">
        <v>500000</v>
      </c>
      <c r="N226" s="9">
        <v>500000</v>
      </c>
      <c r="O226" s="141">
        <v>500000</v>
      </c>
      <c r="P226" s="141">
        <v>500000</v>
      </c>
      <c r="Q226" s="141">
        <v>500000</v>
      </c>
      <c r="R226" s="141">
        <f t="shared" si="3"/>
        <v>22720845</v>
      </c>
    </row>
    <row r="227" spans="1:18" x14ac:dyDescent="0.35">
      <c r="A227" s="5">
        <v>225</v>
      </c>
      <c r="B227" s="6" t="s">
        <v>533</v>
      </c>
      <c r="C227" s="7" t="s">
        <v>1642</v>
      </c>
      <c r="D227" s="8" t="s">
        <v>11</v>
      </c>
      <c r="E227" s="9">
        <v>18009933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/>
      <c r="R227" s="9">
        <f t="shared" si="3"/>
        <v>18009933</v>
      </c>
    </row>
    <row r="228" spans="1:18" x14ac:dyDescent="0.35">
      <c r="A228" s="5">
        <v>226</v>
      </c>
      <c r="B228" s="6" t="s">
        <v>535</v>
      </c>
      <c r="C228" s="7" t="s">
        <v>1623</v>
      </c>
      <c r="D228" s="8" t="s">
        <v>49</v>
      </c>
      <c r="E228" s="9">
        <v>345000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/>
      <c r="R228" s="9">
        <f t="shared" si="3"/>
        <v>345000</v>
      </c>
    </row>
    <row r="229" spans="1:18" s="93" customFormat="1" x14ac:dyDescent="0.35">
      <c r="A229" s="89">
        <v>227</v>
      </c>
      <c r="B229" s="94" t="s">
        <v>537</v>
      </c>
      <c r="C229" s="90" t="s">
        <v>1765</v>
      </c>
      <c r="D229" s="91" t="s">
        <v>25</v>
      </c>
      <c r="E229" s="92">
        <v>47592141</v>
      </c>
      <c r="F229" s="92">
        <v>500000</v>
      </c>
      <c r="G229" s="92">
        <v>500000</v>
      </c>
      <c r="H229" s="9">
        <v>500000</v>
      </c>
      <c r="I229" s="9">
        <v>500000</v>
      </c>
      <c r="J229" s="9">
        <v>500000</v>
      </c>
      <c r="K229" s="9">
        <v>500000</v>
      </c>
      <c r="L229" s="9">
        <v>500000</v>
      </c>
      <c r="M229" s="92">
        <v>500000</v>
      </c>
      <c r="N229" s="92">
        <v>500000</v>
      </c>
      <c r="O229" s="92">
        <v>500000</v>
      </c>
      <c r="P229" s="92">
        <v>500000</v>
      </c>
      <c r="Q229" s="92">
        <v>500000</v>
      </c>
      <c r="R229" s="92">
        <f t="shared" si="3"/>
        <v>53592141</v>
      </c>
    </row>
    <row r="230" spans="1:18" s="93" customFormat="1" x14ac:dyDescent="0.35">
      <c r="A230" s="89">
        <v>228</v>
      </c>
      <c r="B230" s="94" t="s">
        <v>539</v>
      </c>
      <c r="C230" s="90" t="s">
        <v>1769</v>
      </c>
      <c r="D230" s="91" t="s">
        <v>406</v>
      </c>
      <c r="E230" s="92">
        <v>34342879</v>
      </c>
      <c r="F230" s="92">
        <v>250000</v>
      </c>
      <c r="G230" s="92">
        <v>250000</v>
      </c>
      <c r="H230" s="9">
        <v>250000</v>
      </c>
      <c r="I230" s="9">
        <v>250000</v>
      </c>
      <c r="J230" s="9">
        <v>250000</v>
      </c>
      <c r="K230" s="9">
        <v>250000</v>
      </c>
      <c r="L230" s="9">
        <v>250000</v>
      </c>
      <c r="M230" s="92">
        <v>250000</v>
      </c>
      <c r="N230" s="92">
        <v>250000</v>
      </c>
      <c r="O230" s="92">
        <v>250000</v>
      </c>
      <c r="P230" s="92">
        <v>250000</v>
      </c>
      <c r="Q230" s="92">
        <v>250000</v>
      </c>
      <c r="R230" s="92">
        <f t="shared" si="3"/>
        <v>37342879</v>
      </c>
    </row>
    <row r="231" spans="1:18" x14ac:dyDescent="0.35">
      <c r="A231" s="5">
        <v>229</v>
      </c>
      <c r="B231" s="6" t="s">
        <v>541</v>
      </c>
      <c r="C231" s="7" t="s">
        <v>1716</v>
      </c>
      <c r="D231" s="8" t="s">
        <v>46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/>
      <c r="R231" s="9">
        <f t="shared" si="3"/>
        <v>0</v>
      </c>
    </row>
    <row r="232" spans="1:18" x14ac:dyDescent="0.35">
      <c r="A232" s="5">
        <v>230</v>
      </c>
      <c r="B232" s="6" t="s">
        <v>543</v>
      </c>
      <c r="C232" s="7" t="s">
        <v>1717</v>
      </c>
      <c r="D232" s="8" t="s">
        <v>318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/>
      <c r="R232" s="9">
        <f t="shared" si="3"/>
        <v>0</v>
      </c>
    </row>
    <row r="233" spans="1:18" x14ac:dyDescent="0.35">
      <c r="A233" s="5">
        <v>231</v>
      </c>
      <c r="B233" s="6" t="s">
        <v>545</v>
      </c>
      <c r="C233" s="7" t="s">
        <v>1643</v>
      </c>
      <c r="D233" s="8" t="s">
        <v>77</v>
      </c>
      <c r="E233" s="9">
        <v>750000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/>
      <c r="R233" s="9">
        <f t="shared" si="3"/>
        <v>750000</v>
      </c>
    </row>
    <row r="234" spans="1:18" x14ac:dyDescent="0.35">
      <c r="A234" s="5">
        <v>232</v>
      </c>
      <c r="B234" s="6" t="s">
        <v>547</v>
      </c>
      <c r="C234" s="7" t="s">
        <v>548</v>
      </c>
      <c r="D234" s="8" t="s">
        <v>123</v>
      </c>
      <c r="E234" s="9">
        <v>550000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/>
      <c r="R234" s="9">
        <f t="shared" si="3"/>
        <v>550000</v>
      </c>
    </row>
    <row r="235" spans="1:18" x14ac:dyDescent="0.35">
      <c r="A235" s="5">
        <v>233</v>
      </c>
      <c r="B235" s="6" t="s">
        <v>549</v>
      </c>
      <c r="C235" s="7" t="s">
        <v>550</v>
      </c>
      <c r="D235" s="8" t="s">
        <v>551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/>
      <c r="R235" s="9">
        <f t="shared" si="3"/>
        <v>0</v>
      </c>
    </row>
    <row r="236" spans="1:18" s="142" customFormat="1" x14ac:dyDescent="0.35">
      <c r="A236" s="143">
        <v>234</v>
      </c>
      <c r="B236" s="6" t="s">
        <v>552</v>
      </c>
      <c r="C236" s="144" t="s">
        <v>2021</v>
      </c>
      <c r="D236" s="145" t="s">
        <v>198</v>
      </c>
      <c r="E236" s="141">
        <v>25999750</v>
      </c>
      <c r="F236" s="9">
        <v>250000</v>
      </c>
      <c r="G236" s="9">
        <v>250000</v>
      </c>
      <c r="H236" s="9">
        <v>250000</v>
      </c>
      <c r="I236" s="9">
        <v>250000</v>
      </c>
      <c r="J236" s="9">
        <v>250000</v>
      </c>
      <c r="K236" s="9">
        <v>250000</v>
      </c>
      <c r="L236" s="9">
        <v>250000</v>
      </c>
      <c r="M236" s="9">
        <v>250000</v>
      </c>
      <c r="N236" s="9">
        <v>250000</v>
      </c>
      <c r="O236" s="141">
        <v>250000</v>
      </c>
      <c r="P236" s="141">
        <v>250000</v>
      </c>
      <c r="Q236" s="141">
        <v>250000</v>
      </c>
      <c r="R236" s="141">
        <f t="shared" si="3"/>
        <v>28999750</v>
      </c>
    </row>
    <row r="237" spans="1:18" x14ac:dyDescent="0.35">
      <c r="A237" s="5">
        <v>235</v>
      </c>
      <c r="B237" s="6" t="s">
        <v>554</v>
      </c>
      <c r="C237" s="7" t="s">
        <v>555</v>
      </c>
      <c r="D237" s="8" t="s">
        <v>46</v>
      </c>
      <c r="E237" s="9">
        <v>4942309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/>
      <c r="R237" s="9">
        <f t="shared" si="3"/>
        <v>4942309</v>
      </c>
    </row>
    <row r="238" spans="1:18" s="142" customFormat="1" x14ac:dyDescent="0.35">
      <c r="A238" s="143">
        <v>236</v>
      </c>
      <c r="B238" s="6" t="s">
        <v>556</v>
      </c>
      <c r="C238" s="144" t="s">
        <v>1892</v>
      </c>
      <c r="D238" s="145" t="s">
        <v>270</v>
      </c>
      <c r="E238" s="141">
        <v>22825000</v>
      </c>
      <c r="F238" s="9">
        <v>250000</v>
      </c>
      <c r="G238" s="9">
        <v>250000</v>
      </c>
      <c r="H238" s="9">
        <v>250000</v>
      </c>
      <c r="I238" s="9">
        <v>250000</v>
      </c>
      <c r="J238" s="9">
        <v>250000</v>
      </c>
      <c r="K238" s="9">
        <v>250000</v>
      </c>
      <c r="L238" s="9">
        <v>250000</v>
      </c>
      <c r="M238" s="9">
        <v>250000</v>
      </c>
      <c r="N238" s="9">
        <v>250000</v>
      </c>
      <c r="O238" s="141">
        <v>250000</v>
      </c>
      <c r="P238" s="141">
        <v>250000</v>
      </c>
      <c r="Q238" s="141">
        <v>250000</v>
      </c>
      <c r="R238" s="141">
        <f t="shared" si="3"/>
        <v>25825000</v>
      </c>
    </row>
    <row r="239" spans="1:18" x14ac:dyDescent="0.35">
      <c r="A239" s="5">
        <v>237</v>
      </c>
      <c r="B239" s="6" t="s">
        <v>558</v>
      </c>
      <c r="C239" s="7" t="s">
        <v>1718</v>
      </c>
      <c r="D239" s="8" t="s">
        <v>49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/>
      <c r="R239" s="9">
        <f t="shared" si="3"/>
        <v>0</v>
      </c>
    </row>
    <row r="240" spans="1:18" x14ac:dyDescent="0.35">
      <c r="A240" s="5">
        <v>238</v>
      </c>
      <c r="B240" s="6" t="s">
        <v>560</v>
      </c>
      <c r="C240" s="7" t="s">
        <v>561</v>
      </c>
      <c r="D240" s="8" t="s">
        <v>11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/>
      <c r="R240" s="9">
        <f t="shared" si="3"/>
        <v>0</v>
      </c>
    </row>
    <row r="241" spans="1:18" x14ac:dyDescent="0.35">
      <c r="A241" s="5">
        <v>239</v>
      </c>
      <c r="B241" s="6" t="s">
        <v>562</v>
      </c>
      <c r="C241" s="7" t="s">
        <v>1719</v>
      </c>
      <c r="D241" s="8" t="s">
        <v>19</v>
      </c>
      <c r="E241" s="9">
        <v>7828200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/>
      <c r="R241" s="9">
        <f t="shared" si="3"/>
        <v>7828200</v>
      </c>
    </row>
    <row r="242" spans="1:18" s="142" customFormat="1" x14ac:dyDescent="0.35">
      <c r="A242" s="143">
        <v>240</v>
      </c>
      <c r="B242" s="6" t="s">
        <v>564</v>
      </c>
      <c r="C242" s="144" t="s">
        <v>2022</v>
      </c>
      <c r="D242" s="145" t="s">
        <v>98</v>
      </c>
      <c r="E242" s="141">
        <v>19675000</v>
      </c>
      <c r="F242" s="9">
        <v>250000</v>
      </c>
      <c r="G242" s="9">
        <v>250000</v>
      </c>
      <c r="H242" s="9">
        <v>250000</v>
      </c>
      <c r="I242" s="9">
        <v>250000</v>
      </c>
      <c r="J242" s="9">
        <v>250000</v>
      </c>
      <c r="K242" s="9">
        <v>250000</v>
      </c>
      <c r="L242" s="9">
        <v>250000</v>
      </c>
      <c r="M242" s="9">
        <v>250000</v>
      </c>
      <c r="N242" s="9">
        <v>250000</v>
      </c>
      <c r="O242" s="141">
        <v>250000</v>
      </c>
      <c r="P242" s="141">
        <v>250000</v>
      </c>
      <c r="Q242" s="141">
        <v>250000</v>
      </c>
      <c r="R242" s="141">
        <f t="shared" si="3"/>
        <v>22675000</v>
      </c>
    </row>
    <row r="243" spans="1:18" s="93" customFormat="1" x14ac:dyDescent="0.35">
      <c r="A243" s="89">
        <v>241</v>
      </c>
      <c r="B243" s="94" t="s">
        <v>566</v>
      </c>
      <c r="C243" s="90" t="s">
        <v>2023</v>
      </c>
      <c r="D243" s="91" t="s">
        <v>22</v>
      </c>
      <c r="E243" s="92">
        <v>77857727</v>
      </c>
      <c r="F243" s="92">
        <v>500000</v>
      </c>
      <c r="G243" s="92">
        <v>500000</v>
      </c>
      <c r="H243" s="9">
        <v>500000</v>
      </c>
      <c r="I243" s="9">
        <v>500000</v>
      </c>
      <c r="J243" s="9">
        <v>500000</v>
      </c>
      <c r="K243" s="9">
        <v>500000</v>
      </c>
      <c r="L243" s="9">
        <v>500000</v>
      </c>
      <c r="M243" s="92">
        <v>500000</v>
      </c>
      <c r="N243" s="92">
        <v>500000</v>
      </c>
      <c r="O243" s="92">
        <v>500000</v>
      </c>
      <c r="P243" s="92">
        <v>500000</v>
      </c>
      <c r="Q243" s="92">
        <v>500000</v>
      </c>
      <c r="R243" s="92">
        <f t="shared" si="3"/>
        <v>83857727</v>
      </c>
    </row>
    <row r="244" spans="1:18" s="142" customFormat="1" x14ac:dyDescent="0.35">
      <c r="A244" s="143">
        <v>242</v>
      </c>
      <c r="B244" s="6" t="s">
        <v>568</v>
      </c>
      <c r="C244" s="144" t="s">
        <v>1926</v>
      </c>
      <c r="D244" s="145" t="s">
        <v>128</v>
      </c>
      <c r="E244" s="141">
        <v>38094022</v>
      </c>
      <c r="F244" s="9">
        <v>250000</v>
      </c>
      <c r="G244" s="9">
        <v>250000</v>
      </c>
      <c r="H244" s="9">
        <v>250000</v>
      </c>
      <c r="I244" s="9">
        <v>250000</v>
      </c>
      <c r="J244" s="9">
        <v>250000</v>
      </c>
      <c r="K244" s="9">
        <v>250000</v>
      </c>
      <c r="L244" s="9">
        <v>250000</v>
      </c>
      <c r="M244" s="9">
        <v>250000</v>
      </c>
      <c r="N244" s="9">
        <v>250000</v>
      </c>
      <c r="O244" s="141">
        <v>250000</v>
      </c>
      <c r="P244" s="141">
        <v>250000</v>
      </c>
      <c r="Q244" s="141">
        <v>250000</v>
      </c>
      <c r="R244" s="141">
        <f t="shared" si="3"/>
        <v>41094022</v>
      </c>
    </row>
    <row r="245" spans="1:18" s="142" customFormat="1" x14ac:dyDescent="0.35">
      <c r="A245" s="143">
        <v>243</v>
      </c>
      <c r="B245" s="6" t="s">
        <v>570</v>
      </c>
      <c r="C245" s="144" t="s">
        <v>2024</v>
      </c>
      <c r="D245" s="145" t="s">
        <v>141</v>
      </c>
      <c r="E245" s="141">
        <v>22650255</v>
      </c>
      <c r="F245" s="9">
        <v>150000</v>
      </c>
      <c r="G245" s="9">
        <v>150000</v>
      </c>
      <c r="H245" s="9">
        <v>150000</v>
      </c>
      <c r="I245" s="9">
        <v>150000</v>
      </c>
      <c r="J245" s="9">
        <v>150000</v>
      </c>
      <c r="K245" s="9">
        <v>150000</v>
      </c>
      <c r="L245" s="9">
        <v>150000</v>
      </c>
      <c r="M245" s="9">
        <v>150000</v>
      </c>
      <c r="N245" s="9">
        <v>150000</v>
      </c>
      <c r="O245" s="141">
        <v>150000</v>
      </c>
      <c r="P245" s="141">
        <v>150000</v>
      </c>
      <c r="Q245" s="141">
        <v>150000</v>
      </c>
      <c r="R245" s="141">
        <f t="shared" si="3"/>
        <v>24450255</v>
      </c>
    </row>
    <row r="246" spans="1:18" s="142" customFormat="1" x14ac:dyDescent="0.35">
      <c r="A246" s="143">
        <v>244</v>
      </c>
      <c r="B246" s="6" t="s">
        <v>572</v>
      </c>
      <c r="C246" s="144" t="s">
        <v>1929</v>
      </c>
      <c r="D246" s="145" t="s">
        <v>574</v>
      </c>
      <c r="E246" s="141">
        <v>16709933</v>
      </c>
      <c r="F246" s="9">
        <v>150000</v>
      </c>
      <c r="G246" s="9">
        <v>150000</v>
      </c>
      <c r="H246" s="9">
        <v>150000</v>
      </c>
      <c r="I246" s="9">
        <v>150000</v>
      </c>
      <c r="J246" s="9">
        <v>150000</v>
      </c>
      <c r="K246" s="9">
        <v>150000</v>
      </c>
      <c r="L246" s="9">
        <v>150000</v>
      </c>
      <c r="M246" s="9">
        <v>150000</v>
      </c>
      <c r="N246" s="9">
        <v>150000</v>
      </c>
      <c r="O246" s="141">
        <v>150000</v>
      </c>
      <c r="P246" s="141">
        <v>150000</v>
      </c>
      <c r="Q246" s="141">
        <v>150000</v>
      </c>
      <c r="R246" s="141">
        <f t="shared" si="3"/>
        <v>18509933</v>
      </c>
    </row>
    <row r="247" spans="1:18" x14ac:dyDescent="0.35">
      <c r="A247" s="5">
        <v>245</v>
      </c>
      <c r="B247" s="94" t="s">
        <v>575</v>
      </c>
      <c r="C247" s="7" t="s">
        <v>576</v>
      </c>
      <c r="D247" s="8" t="s">
        <v>290</v>
      </c>
      <c r="E247" s="9">
        <v>34799256</v>
      </c>
      <c r="F247" s="92">
        <v>250000</v>
      </c>
      <c r="G247" s="92">
        <v>250000</v>
      </c>
      <c r="H247" s="9">
        <v>250000</v>
      </c>
      <c r="I247" s="9">
        <v>250000</v>
      </c>
      <c r="J247" s="9">
        <v>250000</v>
      </c>
      <c r="K247" s="9">
        <v>250000</v>
      </c>
      <c r="L247" s="9">
        <v>250000</v>
      </c>
      <c r="M247" s="92">
        <v>250000</v>
      </c>
      <c r="N247" s="92">
        <v>250000</v>
      </c>
      <c r="O247" s="92">
        <v>250000</v>
      </c>
      <c r="P247" s="9">
        <v>250000</v>
      </c>
      <c r="Q247" s="9">
        <v>0</v>
      </c>
      <c r="R247" s="9">
        <f t="shared" si="3"/>
        <v>37549256</v>
      </c>
    </row>
    <row r="248" spans="1:18" s="93" customFormat="1" x14ac:dyDescent="0.35">
      <c r="A248" s="89">
        <v>246</v>
      </c>
      <c r="B248" s="94" t="s">
        <v>577</v>
      </c>
      <c r="C248" s="90" t="s">
        <v>2025</v>
      </c>
      <c r="D248" s="91" t="s">
        <v>303</v>
      </c>
      <c r="E248" s="92">
        <v>22313505</v>
      </c>
      <c r="F248" s="92">
        <v>150000</v>
      </c>
      <c r="G248" s="92">
        <v>150000</v>
      </c>
      <c r="H248" s="9">
        <v>150000</v>
      </c>
      <c r="I248" s="9">
        <v>150000</v>
      </c>
      <c r="J248" s="9">
        <v>150000</v>
      </c>
      <c r="K248" s="9">
        <v>150000</v>
      </c>
      <c r="L248" s="9">
        <v>150000</v>
      </c>
      <c r="M248" s="92">
        <v>150000</v>
      </c>
      <c r="N248" s="92">
        <v>150000</v>
      </c>
      <c r="O248" s="92">
        <v>150000</v>
      </c>
      <c r="P248" s="92">
        <v>150000</v>
      </c>
      <c r="Q248" s="92">
        <v>150000</v>
      </c>
      <c r="R248" s="92">
        <f t="shared" si="3"/>
        <v>24113505</v>
      </c>
    </row>
    <row r="249" spans="1:18" x14ac:dyDescent="0.35">
      <c r="A249" s="5">
        <v>247</v>
      </c>
      <c r="B249" s="6" t="s">
        <v>579</v>
      </c>
      <c r="C249" s="7" t="s">
        <v>1644</v>
      </c>
      <c r="D249" s="8" t="s">
        <v>198</v>
      </c>
      <c r="E249" s="9">
        <v>15389498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/>
      <c r="R249" s="9">
        <f t="shared" si="3"/>
        <v>15389498</v>
      </c>
    </row>
    <row r="250" spans="1:18" s="93" customFormat="1" x14ac:dyDescent="0.35">
      <c r="A250" s="89">
        <v>248</v>
      </c>
      <c r="B250" s="94" t="s">
        <v>581</v>
      </c>
      <c r="C250" s="90" t="s">
        <v>2026</v>
      </c>
      <c r="D250" s="91" t="s">
        <v>98</v>
      </c>
      <c r="E250" s="92">
        <v>25550000</v>
      </c>
      <c r="F250" s="92">
        <v>250000</v>
      </c>
      <c r="G250" s="92">
        <v>250000</v>
      </c>
      <c r="H250" s="9">
        <v>250000</v>
      </c>
      <c r="I250" s="9">
        <v>250000</v>
      </c>
      <c r="J250" s="9">
        <v>250000</v>
      </c>
      <c r="K250" s="9">
        <v>250000</v>
      </c>
      <c r="L250" s="9">
        <v>250000</v>
      </c>
      <c r="M250" s="92">
        <v>250000</v>
      </c>
      <c r="N250" s="92">
        <v>250000</v>
      </c>
      <c r="O250" s="92">
        <v>250000</v>
      </c>
      <c r="P250" s="92">
        <v>250000</v>
      </c>
      <c r="Q250" s="92">
        <v>250000</v>
      </c>
      <c r="R250" s="92">
        <f t="shared" si="3"/>
        <v>28550000</v>
      </c>
    </row>
    <row r="251" spans="1:18" x14ac:dyDescent="0.35">
      <c r="A251" s="5">
        <v>249</v>
      </c>
      <c r="B251" s="6" t="s">
        <v>583</v>
      </c>
      <c r="C251" s="7" t="s">
        <v>584</v>
      </c>
      <c r="D251" s="8" t="s">
        <v>49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/>
      <c r="R251" s="9">
        <f t="shared" si="3"/>
        <v>0</v>
      </c>
    </row>
    <row r="252" spans="1:18" x14ac:dyDescent="0.35">
      <c r="A252" s="5">
        <v>250</v>
      </c>
      <c r="B252" s="6" t="s">
        <v>585</v>
      </c>
      <c r="C252" s="7" t="s">
        <v>586</v>
      </c>
      <c r="D252" s="8" t="s">
        <v>166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/>
      <c r="R252" s="9">
        <f t="shared" si="3"/>
        <v>0</v>
      </c>
    </row>
    <row r="253" spans="1:18" s="142" customFormat="1" x14ac:dyDescent="0.35">
      <c r="A253" s="143">
        <v>251</v>
      </c>
      <c r="B253" s="6" t="s">
        <v>587</v>
      </c>
      <c r="C253" s="144" t="s">
        <v>2027</v>
      </c>
      <c r="D253" s="145" t="s">
        <v>19</v>
      </c>
      <c r="E253" s="141">
        <v>9750000</v>
      </c>
      <c r="F253" s="9">
        <v>150000</v>
      </c>
      <c r="G253" s="9">
        <v>150000</v>
      </c>
      <c r="H253" s="9">
        <v>150000</v>
      </c>
      <c r="I253" s="9">
        <v>150000</v>
      </c>
      <c r="J253" s="9">
        <v>150000</v>
      </c>
      <c r="K253" s="9">
        <v>150000</v>
      </c>
      <c r="L253" s="9">
        <v>150000</v>
      </c>
      <c r="M253" s="9">
        <v>150000</v>
      </c>
      <c r="N253" s="9">
        <v>150000</v>
      </c>
      <c r="O253" s="141">
        <v>150000</v>
      </c>
      <c r="P253" s="141">
        <v>150000</v>
      </c>
      <c r="Q253" s="141">
        <v>150000</v>
      </c>
      <c r="R253" s="141">
        <f t="shared" si="3"/>
        <v>11550000</v>
      </c>
    </row>
    <row r="254" spans="1:18" x14ac:dyDescent="0.35">
      <c r="A254" s="5">
        <v>252</v>
      </c>
      <c r="B254" s="6" t="s">
        <v>589</v>
      </c>
      <c r="C254" s="7" t="s">
        <v>590</v>
      </c>
      <c r="D254" s="8" t="s">
        <v>72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/>
      <c r="R254" s="9">
        <f t="shared" si="3"/>
        <v>0</v>
      </c>
    </row>
    <row r="255" spans="1:18" x14ac:dyDescent="0.35">
      <c r="A255" s="5">
        <v>253</v>
      </c>
      <c r="B255" s="6" t="s">
        <v>591</v>
      </c>
      <c r="C255" s="7" t="s">
        <v>592</v>
      </c>
      <c r="D255" s="8" t="s">
        <v>98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/>
      <c r="R255" s="9">
        <f t="shared" si="3"/>
        <v>0</v>
      </c>
    </row>
    <row r="256" spans="1:18" x14ac:dyDescent="0.35">
      <c r="A256" s="5">
        <v>254</v>
      </c>
      <c r="B256" s="6" t="s">
        <v>593</v>
      </c>
      <c r="C256" s="7" t="s">
        <v>2228</v>
      </c>
      <c r="D256" s="8" t="s">
        <v>119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/>
      <c r="R256" s="9">
        <f t="shared" si="3"/>
        <v>0</v>
      </c>
    </row>
    <row r="257" spans="1:18" x14ac:dyDescent="0.35">
      <c r="A257" s="5">
        <v>255</v>
      </c>
      <c r="B257" s="6" t="s">
        <v>595</v>
      </c>
      <c r="C257" s="7" t="s">
        <v>1721</v>
      </c>
      <c r="D257" s="8" t="s">
        <v>201</v>
      </c>
      <c r="E257" s="9">
        <v>55000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/>
      <c r="R257" s="9">
        <f t="shared" si="3"/>
        <v>55000</v>
      </c>
    </row>
    <row r="258" spans="1:18" x14ac:dyDescent="0.35">
      <c r="A258" s="5">
        <v>256</v>
      </c>
      <c r="B258" s="6" t="s">
        <v>597</v>
      </c>
      <c r="C258" s="7" t="s">
        <v>1722</v>
      </c>
      <c r="D258" s="8" t="s">
        <v>98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/>
      <c r="R258" s="9">
        <f t="shared" si="3"/>
        <v>0</v>
      </c>
    </row>
    <row r="259" spans="1:18" x14ac:dyDescent="0.35">
      <c r="A259" s="5">
        <v>257</v>
      </c>
      <c r="B259" s="6" t="s">
        <v>599</v>
      </c>
      <c r="C259" s="7" t="s">
        <v>2229</v>
      </c>
      <c r="D259" s="8" t="s">
        <v>98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/>
      <c r="R259" s="9">
        <f t="shared" ref="R259:R322" si="4">SUM(E259:Q259)</f>
        <v>0</v>
      </c>
    </row>
    <row r="260" spans="1:18" s="104" customFormat="1" x14ac:dyDescent="0.35">
      <c r="A260" s="100">
        <v>258</v>
      </c>
      <c r="B260" s="94" t="s">
        <v>601</v>
      </c>
      <c r="C260" s="101" t="s">
        <v>1849</v>
      </c>
      <c r="D260" s="102" t="s">
        <v>25</v>
      </c>
      <c r="E260" s="103">
        <v>16704146</v>
      </c>
      <c r="F260" s="92">
        <v>350000</v>
      </c>
      <c r="G260" s="92">
        <v>350000</v>
      </c>
      <c r="H260" s="9">
        <v>350000</v>
      </c>
      <c r="I260" s="9">
        <v>350000</v>
      </c>
      <c r="J260" s="9">
        <v>350000</v>
      </c>
      <c r="K260" s="103">
        <v>350000</v>
      </c>
      <c r="L260" s="103">
        <v>350000</v>
      </c>
      <c r="M260" s="103">
        <v>350000</v>
      </c>
      <c r="N260" s="103">
        <v>350000</v>
      </c>
      <c r="O260" s="103">
        <v>350000</v>
      </c>
      <c r="P260" s="103">
        <v>350000</v>
      </c>
      <c r="Q260" s="103">
        <v>350000</v>
      </c>
      <c r="R260" s="103">
        <f t="shared" si="4"/>
        <v>20904146</v>
      </c>
    </row>
    <row r="261" spans="1:18" s="93" customFormat="1" x14ac:dyDescent="0.35">
      <c r="A261" s="89">
        <v>259</v>
      </c>
      <c r="B261" s="94" t="s">
        <v>603</v>
      </c>
      <c r="C261" s="90" t="s">
        <v>2028</v>
      </c>
      <c r="D261" s="91" t="s">
        <v>131</v>
      </c>
      <c r="E261" s="92">
        <v>41104126</v>
      </c>
      <c r="F261" s="92">
        <v>250000</v>
      </c>
      <c r="G261" s="92">
        <v>250000</v>
      </c>
      <c r="H261" s="9">
        <v>250000</v>
      </c>
      <c r="I261" s="9">
        <v>250000</v>
      </c>
      <c r="J261" s="9">
        <v>250000</v>
      </c>
      <c r="K261" s="9">
        <v>250000</v>
      </c>
      <c r="L261" s="9">
        <v>250000</v>
      </c>
      <c r="M261" s="92">
        <v>250000</v>
      </c>
      <c r="N261" s="92">
        <v>250000</v>
      </c>
      <c r="O261" s="92">
        <v>250000</v>
      </c>
      <c r="P261" s="92">
        <v>250000</v>
      </c>
      <c r="Q261" s="92">
        <v>250000</v>
      </c>
      <c r="R261" s="92">
        <f t="shared" si="4"/>
        <v>44104126</v>
      </c>
    </row>
    <row r="262" spans="1:18" x14ac:dyDescent="0.35">
      <c r="A262" s="5">
        <v>260</v>
      </c>
      <c r="B262" s="6" t="s">
        <v>605</v>
      </c>
      <c r="C262" s="7" t="s">
        <v>606</v>
      </c>
      <c r="D262" s="8" t="s">
        <v>60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/>
      <c r="R262" s="9">
        <f t="shared" si="4"/>
        <v>0</v>
      </c>
    </row>
    <row r="263" spans="1:18" s="93" customFormat="1" x14ac:dyDescent="0.35">
      <c r="A263" s="89">
        <v>261</v>
      </c>
      <c r="B263" s="94" t="s">
        <v>607</v>
      </c>
      <c r="C263" s="90" t="s">
        <v>1755</v>
      </c>
      <c r="D263" s="91" t="s">
        <v>238</v>
      </c>
      <c r="E263" s="92">
        <v>24786773</v>
      </c>
      <c r="F263" s="92">
        <v>150000</v>
      </c>
      <c r="G263" s="92">
        <v>150000</v>
      </c>
      <c r="H263" s="9">
        <v>150000</v>
      </c>
      <c r="I263" s="9">
        <v>150000</v>
      </c>
      <c r="J263" s="9">
        <v>150000</v>
      </c>
      <c r="K263" s="9">
        <v>150000</v>
      </c>
      <c r="L263" s="9">
        <v>150000</v>
      </c>
      <c r="M263" s="92">
        <v>150000</v>
      </c>
      <c r="N263" s="92">
        <v>150000</v>
      </c>
      <c r="O263" s="92">
        <v>150000</v>
      </c>
      <c r="P263" s="92">
        <v>150000</v>
      </c>
      <c r="Q263" s="92">
        <v>150000</v>
      </c>
      <c r="R263" s="92">
        <f t="shared" si="4"/>
        <v>26586773</v>
      </c>
    </row>
    <row r="264" spans="1:18" s="93" customFormat="1" x14ac:dyDescent="0.35">
      <c r="A264" s="89">
        <v>262</v>
      </c>
      <c r="B264" s="94" t="s">
        <v>609</v>
      </c>
      <c r="C264" s="90" t="s">
        <v>1789</v>
      </c>
      <c r="D264" s="91" t="s">
        <v>14</v>
      </c>
      <c r="E264" s="92">
        <v>62397002</v>
      </c>
      <c r="F264" s="92">
        <v>500000</v>
      </c>
      <c r="G264" s="92">
        <v>500000</v>
      </c>
      <c r="H264" s="9">
        <v>500000</v>
      </c>
      <c r="I264" s="9">
        <v>500000</v>
      </c>
      <c r="J264" s="9">
        <v>500000</v>
      </c>
      <c r="K264" s="9">
        <v>500000</v>
      </c>
      <c r="L264" s="9">
        <v>500000</v>
      </c>
      <c r="M264" s="92">
        <v>500000</v>
      </c>
      <c r="N264" s="92">
        <v>500000</v>
      </c>
      <c r="O264" s="92">
        <v>500000</v>
      </c>
      <c r="P264" s="92">
        <v>500000</v>
      </c>
      <c r="Q264" s="92">
        <v>500000</v>
      </c>
      <c r="R264" s="92">
        <f t="shared" si="4"/>
        <v>68397002</v>
      </c>
    </row>
    <row r="265" spans="1:18" s="142" customFormat="1" x14ac:dyDescent="0.35">
      <c r="A265" s="143">
        <v>263</v>
      </c>
      <c r="B265" s="6" t="s">
        <v>611</v>
      </c>
      <c r="C265" s="144" t="s">
        <v>1894</v>
      </c>
      <c r="D265" s="145" t="s">
        <v>136</v>
      </c>
      <c r="E265" s="141">
        <v>46347002</v>
      </c>
      <c r="F265" s="9">
        <v>350000</v>
      </c>
      <c r="G265" s="9">
        <v>350000</v>
      </c>
      <c r="H265" s="9">
        <v>350000</v>
      </c>
      <c r="I265" s="9">
        <v>350000</v>
      </c>
      <c r="J265" s="9">
        <v>350000</v>
      </c>
      <c r="K265" s="9">
        <v>350000</v>
      </c>
      <c r="L265" s="9">
        <v>350000</v>
      </c>
      <c r="M265" s="9">
        <v>350000</v>
      </c>
      <c r="N265" s="9">
        <v>350000</v>
      </c>
      <c r="O265" s="141">
        <v>350000</v>
      </c>
      <c r="P265" s="141">
        <v>350000</v>
      </c>
      <c r="Q265" s="141">
        <v>350000</v>
      </c>
      <c r="R265" s="141">
        <f t="shared" si="4"/>
        <v>50547002</v>
      </c>
    </row>
    <row r="266" spans="1:18" s="142" customFormat="1" x14ac:dyDescent="0.35">
      <c r="A266" s="143">
        <v>264</v>
      </c>
      <c r="B266" s="6" t="s">
        <v>613</v>
      </c>
      <c r="C266" s="144" t="s">
        <v>2029</v>
      </c>
      <c r="D266" s="145" t="s">
        <v>98</v>
      </c>
      <c r="E266" s="141">
        <v>25665346</v>
      </c>
      <c r="F266" s="9">
        <v>150000</v>
      </c>
      <c r="G266" s="9">
        <v>150000</v>
      </c>
      <c r="H266" s="9">
        <v>150000</v>
      </c>
      <c r="I266" s="9">
        <v>150000</v>
      </c>
      <c r="J266" s="9">
        <v>150000</v>
      </c>
      <c r="K266" s="9">
        <v>150000</v>
      </c>
      <c r="L266" s="9">
        <v>150000</v>
      </c>
      <c r="M266" s="9">
        <v>150000</v>
      </c>
      <c r="N266" s="9">
        <v>150000</v>
      </c>
      <c r="O266" s="141">
        <v>150000</v>
      </c>
      <c r="P266" s="141">
        <v>150000</v>
      </c>
      <c r="Q266" s="141">
        <v>150000</v>
      </c>
      <c r="R266" s="141">
        <f t="shared" si="4"/>
        <v>27465346</v>
      </c>
    </row>
    <row r="267" spans="1:18" x14ac:dyDescent="0.35">
      <c r="A267" s="5">
        <v>265</v>
      </c>
      <c r="B267" s="6" t="s">
        <v>615</v>
      </c>
      <c r="C267" s="7" t="s">
        <v>1723</v>
      </c>
      <c r="D267" s="8" t="s">
        <v>119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/>
      <c r="R267" s="9">
        <f t="shared" si="4"/>
        <v>0</v>
      </c>
    </row>
    <row r="268" spans="1:18" s="93" customFormat="1" x14ac:dyDescent="0.35">
      <c r="A268" s="89">
        <v>266</v>
      </c>
      <c r="B268" s="94" t="s">
        <v>617</v>
      </c>
      <c r="C268" s="90" t="s">
        <v>1758</v>
      </c>
      <c r="D268" s="91" t="s">
        <v>25</v>
      </c>
      <c r="E268" s="92">
        <v>25923960</v>
      </c>
      <c r="F268" s="92">
        <v>150000</v>
      </c>
      <c r="G268" s="92">
        <v>150000</v>
      </c>
      <c r="H268" s="9">
        <v>150000</v>
      </c>
      <c r="I268" s="9">
        <v>150000</v>
      </c>
      <c r="J268" s="9">
        <v>150000</v>
      </c>
      <c r="K268" s="9">
        <v>150000</v>
      </c>
      <c r="L268" s="9">
        <v>150000</v>
      </c>
      <c r="M268" s="92">
        <v>150000</v>
      </c>
      <c r="N268" s="92">
        <v>150000</v>
      </c>
      <c r="O268" s="92">
        <v>150000</v>
      </c>
      <c r="P268" s="92">
        <v>150000</v>
      </c>
      <c r="Q268" s="92">
        <v>150000</v>
      </c>
      <c r="R268" s="92">
        <f t="shared" si="4"/>
        <v>27723960</v>
      </c>
    </row>
    <row r="269" spans="1:18" x14ac:dyDescent="0.35">
      <c r="A269" s="5">
        <v>267</v>
      </c>
      <c r="B269" s="6" t="s">
        <v>619</v>
      </c>
      <c r="C269" s="7" t="s">
        <v>620</v>
      </c>
      <c r="D269" s="8" t="s">
        <v>65</v>
      </c>
      <c r="E269" s="9">
        <v>150000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/>
      <c r="R269" s="9">
        <f t="shared" si="4"/>
        <v>150000</v>
      </c>
    </row>
    <row r="270" spans="1:18" x14ac:dyDescent="0.35">
      <c r="A270" s="5">
        <v>268</v>
      </c>
      <c r="B270" s="6" t="s">
        <v>621</v>
      </c>
      <c r="C270" s="7" t="s">
        <v>622</v>
      </c>
      <c r="D270" s="8" t="s">
        <v>166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/>
      <c r="R270" s="9">
        <f t="shared" si="4"/>
        <v>0</v>
      </c>
    </row>
    <row r="271" spans="1:18" s="142" customFormat="1" x14ac:dyDescent="0.35">
      <c r="A271" s="143">
        <v>269</v>
      </c>
      <c r="B271" s="6" t="s">
        <v>623</v>
      </c>
      <c r="C271" s="144" t="s">
        <v>1895</v>
      </c>
      <c r="D271" s="145" t="s">
        <v>136</v>
      </c>
      <c r="E271" s="141">
        <v>21920858</v>
      </c>
      <c r="F271" s="9">
        <v>150000</v>
      </c>
      <c r="G271" s="9">
        <v>150000</v>
      </c>
      <c r="H271" s="9">
        <v>150000</v>
      </c>
      <c r="I271" s="9">
        <v>150000</v>
      </c>
      <c r="J271" s="9">
        <v>150000</v>
      </c>
      <c r="K271" s="9">
        <v>150000</v>
      </c>
      <c r="L271" s="9">
        <v>150000</v>
      </c>
      <c r="M271" s="9">
        <v>150000</v>
      </c>
      <c r="N271" s="9">
        <v>150000</v>
      </c>
      <c r="O271" s="141">
        <v>150000</v>
      </c>
      <c r="P271" s="141">
        <v>150000</v>
      </c>
      <c r="Q271" s="141">
        <v>150000</v>
      </c>
      <c r="R271" s="141">
        <f t="shared" si="4"/>
        <v>23720858</v>
      </c>
    </row>
    <row r="272" spans="1:18" x14ac:dyDescent="0.35">
      <c r="A272" s="5">
        <v>270</v>
      </c>
      <c r="B272" s="6" t="s">
        <v>625</v>
      </c>
      <c r="C272" s="7" t="s">
        <v>626</v>
      </c>
      <c r="D272" s="8" t="s">
        <v>429</v>
      </c>
      <c r="E272" s="9">
        <v>250000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/>
      <c r="R272" s="9">
        <f t="shared" si="4"/>
        <v>250000</v>
      </c>
    </row>
    <row r="273" spans="1:18" s="93" customFormat="1" x14ac:dyDescent="0.35">
      <c r="A273" s="89">
        <v>271</v>
      </c>
      <c r="B273" s="94" t="s">
        <v>627</v>
      </c>
      <c r="C273" s="90" t="s">
        <v>2030</v>
      </c>
      <c r="D273" s="91" t="s">
        <v>119</v>
      </c>
      <c r="E273" s="92">
        <v>34522362</v>
      </c>
      <c r="F273" s="92">
        <v>250000</v>
      </c>
      <c r="G273" s="92">
        <v>250000</v>
      </c>
      <c r="H273" s="9">
        <v>250000</v>
      </c>
      <c r="I273" s="9">
        <v>250000</v>
      </c>
      <c r="J273" s="9">
        <v>250000</v>
      </c>
      <c r="K273" s="9">
        <v>250000</v>
      </c>
      <c r="L273" s="9">
        <v>250000</v>
      </c>
      <c r="M273" s="92">
        <v>250000</v>
      </c>
      <c r="N273" s="92">
        <v>250000</v>
      </c>
      <c r="O273" s="92">
        <v>250000</v>
      </c>
      <c r="P273" s="92">
        <v>250000</v>
      </c>
      <c r="Q273" s="92">
        <v>250000</v>
      </c>
      <c r="R273" s="92">
        <f t="shared" si="4"/>
        <v>37522362</v>
      </c>
    </row>
    <row r="274" spans="1:18" s="93" customFormat="1" x14ac:dyDescent="0.35">
      <c r="A274" s="89">
        <v>272</v>
      </c>
      <c r="B274" s="94" t="s">
        <v>629</v>
      </c>
      <c r="C274" s="90" t="s">
        <v>2031</v>
      </c>
      <c r="D274" s="91" t="s">
        <v>238</v>
      </c>
      <c r="E274" s="92">
        <v>22145858</v>
      </c>
      <c r="F274" s="92">
        <v>150000</v>
      </c>
      <c r="G274" s="92">
        <v>150000</v>
      </c>
      <c r="H274" s="9">
        <v>150000</v>
      </c>
      <c r="I274" s="9">
        <v>150000</v>
      </c>
      <c r="J274" s="9">
        <v>150000</v>
      </c>
      <c r="K274" s="9">
        <v>150000</v>
      </c>
      <c r="L274" s="9">
        <v>150000</v>
      </c>
      <c r="M274" s="92">
        <v>150000</v>
      </c>
      <c r="N274" s="92">
        <v>150000</v>
      </c>
      <c r="O274" s="92">
        <v>150000</v>
      </c>
      <c r="P274" s="92">
        <v>150000</v>
      </c>
      <c r="Q274" s="92">
        <v>150000</v>
      </c>
      <c r="R274" s="92">
        <f t="shared" si="4"/>
        <v>23945858</v>
      </c>
    </row>
    <row r="275" spans="1:18" x14ac:dyDescent="0.35">
      <c r="A275" s="5">
        <v>273</v>
      </c>
      <c r="B275" s="6" t="s">
        <v>631</v>
      </c>
      <c r="C275" s="7" t="s">
        <v>632</v>
      </c>
      <c r="D275" s="8" t="s">
        <v>65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/>
      <c r="R275" s="9">
        <f t="shared" si="4"/>
        <v>0</v>
      </c>
    </row>
    <row r="276" spans="1:18" x14ac:dyDescent="0.35">
      <c r="A276" s="5">
        <v>274</v>
      </c>
      <c r="B276" s="6" t="s">
        <v>633</v>
      </c>
      <c r="C276" s="7" t="s">
        <v>1624</v>
      </c>
      <c r="D276" s="8" t="s">
        <v>119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/>
      <c r="R276" s="9">
        <f t="shared" si="4"/>
        <v>0</v>
      </c>
    </row>
    <row r="277" spans="1:18" x14ac:dyDescent="0.35">
      <c r="A277" s="5">
        <v>275</v>
      </c>
      <c r="B277" s="6" t="s">
        <v>635</v>
      </c>
      <c r="C277" s="7" t="s">
        <v>636</v>
      </c>
      <c r="D277" s="8" t="s">
        <v>136</v>
      </c>
      <c r="E277" s="9">
        <v>270000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/>
      <c r="R277" s="9">
        <f t="shared" si="4"/>
        <v>270000</v>
      </c>
    </row>
    <row r="278" spans="1:18" x14ac:dyDescent="0.35">
      <c r="A278" s="5">
        <v>276</v>
      </c>
      <c r="B278" s="6" t="s">
        <v>637</v>
      </c>
      <c r="C278" s="7" t="s">
        <v>638</v>
      </c>
      <c r="D278" s="8" t="s">
        <v>49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/>
      <c r="R278" s="9">
        <f t="shared" si="4"/>
        <v>0</v>
      </c>
    </row>
    <row r="279" spans="1:18" s="93" customFormat="1" x14ac:dyDescent="0.35">
      <c r="A279" s="89">
        <v>277</v>
      </c>
      <c r="B279" s="94" t="s">
        <v>639</v>
      </c>
      <c r="C279" s="90" t="s">
        <v>2032</v>
      </c>
      <c r="D279" s="91" t="s">
        <v>25</v>
      </c>
      <c r="E279" s="92">
        <v>37345858</v>
      </c>
      <c r="F279" s="92">
        <v>350000</v>
      </c>
      <c r="G279" s="92">
        <v>350000</v>
      </c>
      <c r="H279" s="9">
        <v>350000</v>
      </c>
      <c r="I279" s="9">
        <v>350000</v>
      </c>
      <c r="J279" s="9">
        <v>350000</v>
      </c>
      <c r="K279" s="9">
        <v>350000</v>
      </c>
      <c r="L279" s="9">
        <v>350000</v>
      </c>
      <c r="M279" s="92">
        <v>350000</v>
      </c>
      <c r="N279" s="92">
        <v>350000</v>
      </c>
      <c r="O279" s="92">
        <v>350000</v>
      </c>
      <c r="P279" s="92">
        <v>350000</v>
      </c>
      <c r="Q279" s="92">
        <v>350000</v>
      </c>
      <c r="R279" s="92">
        <f t="shared" si="4"/>
        <v>41545858</v>
      </c>
    </row>
    <row r="280" spans="1:18" x14ac:dyDescent="0.35">
      <c r="A280" s="5">
        <v>278</v>
      </c>
      <c r="B280" s="6" t="s">
        <v>641</v>
      </c>
      <c r="C280" s="7" t="s">
        <v>1679</v>
      </c>
      <c r="D280" s="8" t="s">
        <v>19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/>
      <c r="R280" s="9">
        <f t="shared" si="4"/>
        <v>0</v>
      </c>
    </row>
    <row r="281" spans="1:18" s="93" customFormat="1" x14ac:dyDescent="0.35">
      <c r="A281" s="89">
        <v>279</v>
      </c>
      <c r="B281" s="94" t="s">
        <v>643</v>
      </c>
      <c r="C281" s="90" t="s">
        <v>1759</v>
      </c>
      <c r="D281" s="91" t="s">
        <v>318</v>
      </c>
      <c r="E281" s="92">
        <v>63164163</v>
      </c>
      <c r="F281" s="92">
        <v>500000</v>
      </c>
      <c r="G281" s="92">
        <v>500000</v>
      </c>
      <c r="H281" s="9">
        <v>500000</v>
      </c>
      <c r="I281" s="9">
        <v>500000</v>
      </c>
      <c r="J281" s="9">
        <v>500000</v>
      </c>
      <c r="K281" s="9">
        <v>500000</v>
      </c>
      <c r="L281" s="9">
        <v>500000</v>
      </c>
      <c r="M281" s="92">
        <v>500000</v>
      </c>
      <c r="N281" s="92">
        <v>500000</v>
      </c>
      <c r="O281" s="92">
        <v>500000</v>
      </c>
      <c r="P281" s="92">
        <v>500000</v>
      </c>
      <c r="Q281" s="92">
        <v>500000</v>
      </c>
      <c r="R281" s="92">
        <f t="shared" si="4"/>
        <v>69164163</v>
      </c>
    </row>
    <row r="282" spans="1:18" x14ac:dyDescent="0.35">
      <c r="A282" s="5">
        <v>280</v>
      </c>
      <c r="B282" s="6" t="s">
        <v>645</v>
      </c>
      <c r="C282" s="7" t="s">
        <v>1724</v>
      </c>
      <c r="D282" s="8" t="s">
        <v>300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/>
      <c r="R282" s="9">
        <f t="shared" si="4"/>
        <v>0</v>
      </c>
    </row>
    <row r="283" spans="1:18" s="93" customFormat="1" x14ac:dyDescent="0.35">
      <c r="A283" s="89">
        <v>281</v>
      </c>
      <c r="B283" s="94" t="s">
        <v>647</v>
      </c>
      <c r="C283" s="90" t="s">
        <v>1850</v>
      </c>
      <c r="D283" s="91" t="s">
        <v>649</v>
      </c>
      <c r="E283" s="92">
        <v>0</v>
      </c>
      <c r="F283" s="9">
        <v>0</v>
      </c>
      <c r="G283" s="92">
        <v>100000</v>
      </c>
      <c r="H283" s="9">
        <v>100000</v>
      </c>
      <c r="I283" s="9">
        <v>100000</v>
      </c>
      <c r="J283" s="9">
        <v>100000</v>
      </c>
      <c r="K283" s="9">
        <v>100000</v>
      </c>
      <c r="L283" s="9">
        <v>100000</v>
      </c>
      <c r="M283" s="92">
        <v>100000</v>
      </c>
      <c r="N283" s="92">
        <v>100000</v>
      </c>
      <c r="O283" s="92">
        <v>100000</v>
      </c>
      <c r="P283" s="92">
        <v>100000</v>
      </c>
      <c r="Q283" s="92">
        <v>100000</v>
      </c>
      <c r="R283" s="92">
        <f t="shared" si="4"/>
        <v>1100000</v>
      </c>
    </row>
    <row r="284" spans="1:18" s="93" customFormat="1" x14ac:dyDescent="0.35">
      <c r="A284" s="89">
        <v>282</v>
      </c>
      <c r="B284" s="94" t="s">
        <v>650</v>
      </c>
      <c r="C284" s="90" t="s">
        <v>2033</v>
      </c>
      <c r="D284" s="91" t="s">
        <v>72</v>
      </c>
      <c r="E284" s="92">
        <v>22350424</v>
      </c>
      <c r="F284" s="92">
        <v>150000</v>
      </c>
      <c r="G284" s="92">
        <v>150000</v>
      </c>
      <c r="H284" s="9">
        <v>150000</v>
      </c>
      <c r="I284" s="9">
        <v>150000</v>
      </c>
      <c r="J284" s="9">
        <v>150000</v>
      </c>
      <c r="K284" s="9">
        <v>150000</v>
      </c>
      <c r="L284" s="9">
        <v>150000</v>
      </c>
      <c r="M284" s="92">
        <v>150000</v>
      </c>
      <c r="N284" s="92">
        <v>150000</v>
      </c>
      <c r="O284" s="92">
        <v>150000</v>
      </c>
      <c r="P284" s="92">
        <v>150000</v>
      </c>
      <c r="Q284" s="92">
        <v>150000</v>
      </c>
      <c r="R284" s="92">
        <f t="shared" si="4"/>
        <v>24150424</v>
      </c>
    </row>
    <row r="285" spans="1:18" x14ac:dyDescent="0.35">
      <c r="A285" s="5">
        <v>283</v>
      </c>
      <c r="B285" s="94" t="s">
        <v>652</v>
      </c>
      <c r="C285" s="7" t="s">
        <v>653</v>
      </c>
      <c r="D285" s="8" t="s">
        <v>72</v>
      </c>
      <c r="E285" s="9">
        <v>18700000</v>
      </c>
      <c r="F285" s="92">
        <v>150000</v>
      </c>
      <c r="G285" s="92">
        <v>150000</v>
      </c>
      <c r="H285" s="9">
        <v>-19000000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/>
      <c r="R285" s="9">
        <f t="shared" si="4"/>
        <v>0</v>
      </c>
    </row>
    <row r="286" spans="1:18" x14ac:dyDescent="0.35">
      <c r="A286" s="5">
        <v>284</v>
      </c>
      <c r="B286" s="94" t="s">
        <v>654</v>
      </c>
      <c r="C286" s="7" t="s">
        <v>655</v>
      </c>
      <c r="D286" s="8" t="s">
        <v>14</v>
      </c>
      <c r="E286" s="9">
        <v>30252410</v>
      </c>
      <c r="F286" s="92">
        <v>250000</v>
      </c>
      <c r="G286" s="92">
        <v>250000</v>
      </c>
      <c r="H286" s="9">
        <v>250000</v>
      </c>
      <c r="I286" s="9">
        <v>250000</v>
      </c>
      <c r="J286" s="9">
        <v>250000</v>
      </c>
      <c r="K286" s="9">
        <v>250000</v>
      </c>
      <c r="L286" s="9">
        <v>250000</v>
      </c>
      <c r="M286" s="9">
        <v>-32002410</v>
      </c>
      <c r="N286" s="9">
        <v>0</v>
      </c>
      <c r="O286" s="9">
        <v>0</v>
      </c>
      <c r="P286" s="9">
        <v>0</v>
      </c>
      <c r="Q286" s="9"/>
      <c r="R286" s="9">
        <f t="shared" si="4"/>
        <v>0</v>
      </c>
    </row>
    <row r="287" spans="1:18" s="93" customFormat="1" x14ac:dyDescent="0.35">
      <c r="A287" s="89">
        <v>285</v>
      </c>
      <c r="B287" s="94" t="s">
        <v>656</v>
      </c>
      <c r="C287" s="90" t="s">
        <v>2034</v>
      </c>
      <c r="D287" s="91" t="s">
        <v>25</v>
      </c>
      <c r="E287" s="92">
        <v>31425000</v>
      </c>
      <c r="F287" s="92">
        <v>250000</v>
      </c>
      <c r="G287" s="92">
        <v>250000</v>
      </c>
      <c r="H287" s="9">
        <v>250000</v>
      </c>
      <c r="I287" s="9">
        <v>250000</v>
      </c>
      <c r="J287" s="9">
        <v>250000</v>
      </c>
      <c r="K287" s="9">
        <v>250000</v>
      </c>
      <c r="L287" s="9">
        <v>250000</v>
      </c>
      <c r="M287" s="92">
        <v>250000</v>
      </c>
      <c r="N287" s="92">
        <v>250000</v>
      </c>
      <c r="O287" s="92">
        <v>250000</v>
      </c>
      <c r="P287" s="92">
        <v>250000</v>
      </c>
      <c r="Q287" s="92">
        <v>250000</v>
      </c>
      <c r="R287" s="92">
        <f t="shared" si="4"/>
        <v>34425000</v>
      </c>
    </row>
    <row r="288" spans="1:18" x14ac:dyDescent="0.35">
      <c r="A288" s="5">
        <v>286</v>
      </c>
      <c r="B288" s="6" t="s">
        <v>658</v>
      </c>
      <c r="C288" s="7" t="s">
        <v>659</v>
      </c>
      <c r="D288" s="8" t="s">
        <v>136</v>
      </c>
      <c r="E288" s="9">
        <v>200000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/>
      <c r="R288" s="9">
        <f t="shared" si="4"/>
        <v>200000</v>
      </c>
    </row>
    <row r="289" spans="1:18" s="93" customFormat="1" x14ac:dyDescent="0.35">
      <c r="A289" s="89">
        <v>287</v>
      </c>
      <c r="B289" s="94" t="s">
        <v>660</v>
      </c>
      <c r="C289" s="90" t="s">
        <v>2035</v>
      </c>
      <c r="D289" s="91" t="s">
        <v>25</v>
      </c>
      <c r="E289" s="92">
        <v>56009170</v>
      </c>
      <c r="F289" s="92">
        <v>350000</v>
      </c>
      <c r="G289" s="92">
        <v>350000</v>
      </c>
      <c r="H289" s="9">
        <v>350000</v>
      </c>
      <c r="I289" s="9">
        <v>350000</v>
      </c>
      <c r="J289" s="9">
        <v>350000</v>
      </c>
      <c r="K289" s="9">
        <v>350000</v>
      </c>
      <c r="L289" s="9">
        <v>350000</v>
      </c>
      <c r="M289" s="92">
        <v>350000</v>
      </c>
      <c r="N289" s="92">
        <v>350000</v>
      </c>
      <c r="O289" s="92">
        <v>350000</v>
      </c>
      <c r="P289" s="92">
        <v>350000</v>
      </c>
      <c r="Q289" s="92">
        <v>350000</v>
      </c>
      <c r="R289" s="92">
        <f t="shared" si="4"/>
        <v>60209170</v>
      </c>
    </row>
    <row r="290" spans="1:18" ht="14" customHeight="1" x14ac:dyDescent="0.35">
      <c r="A290" s="5">
        <v>288</v>
      </c>
      <c r="B290" s="6" t="s">
        <v>662</v>
      </c>
      <c r="C290" s="7" t="s">
        <v>663</v>
      </c>
      <c r="D290" s="8" t="s">
        <v>14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/>
      <c r="R290" s="9">
        <f t="shared" si="4"/>
        <v>0</v>
      </c>
    </row>
    <row r="291" spans="1:18" s="134" customFormat="1" x14ac:dyDescent="0.35">
      <c r="A291" s="135">
        <v>289</v>
      </c>
      <c r="B291" s="105" t="s">
        <v>664</v>
      </c>
      <c r="C291" s="166" t="s">
        <v>1784</v>
      </c>
      <c r="D291" s="137" t="s">
        <v>95</v>
      </c>
      <c r="E291" s="133">
        <v>22656215</v>
      </c>
      <c r="F291" s="92">
        <v>150000</v>
      </c>
      <c r="G291" s="106">
        <v>150000</v>
      </c>
      <c r="H291" s="106">
        <v>150000</v>
      </c>
      <c r="I291" s="9">
        <v>150000</v>
      </c>
      <c r="J291" s="106">
        <v>150000</v>
      </c>
      <c r="K291" s="106">
        <v>150000</v>
      </c>
      <c r="L291" s="106">
        <v>-23556215</v>
      </c>
      <c r="M291" s="9">
        <v>0</v>
      </c>
      <c r="N291" s="9">
        <v>0</v>
      </c>
      <c r="O291" s="133">
        <v>0</v>
      </c>
      <c r="P291" s="133"/>
      <c r="Q291" s="133"/>
      <c r="R291" s="133">
        <f t="shared" si="4"/>
        <v>0</v>
      </c>
    </row>
    <row r="292" spans="1:18" x14ac:dyDescent="0.35">
      <c r="A292" s="5">
        <v>290</v>
      </c>
      <c r="B292" s="6" t="s">
        <v>666</v>
      </c>
      <c r="C292" s="7" t="s">
        <v>1725</v>
      </c>
      <c r="D292" s="8" t="s">
        <v>374</v>
      </c>
      <c r="E292" s="9">
        <v>17378868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/>
      <c r="R292" s="9">
        <f t="shared" si="4"/>
        <v>17378868</v>
      </c>
    </row>
    <row r="293" spans="1:18" s="134" customFormat="1" x14ac:dyDescent="0.35">
      <c r="A293" s="135">
        <v>291</v>
      </c>
      <c r="B293" s="105" t="s">
        <v>668</v>
      </c>
      <c r="C293" s="136" t="s">
        <v>1840</v>
      </c>
      <c r="D293" s="137" t="s">
        <v>144</v>
      </c>
      <c r="E293" s="133">
        <v>43920000</v>
      </c>
      <c r="F293" s="92">
        <v>500000</v>
      </c>
      <c r="G293" s="106">
        <v>500000</v>
      </c>
      <c r="H293" s="106">
        <v>500000</v>
      </c>
      <c r="I293" s="9">
        <v>500000</v>
      </c>
      <c r="J293" s="106">
        <v>500000</v>
      </c>
      <c r="K293" s="106">
        <v>500000</v>
      </c>
      <c r="L293" s="106">
        <v>-46920000</v>
      </c>
      <c r="M293" s="9">
        <v>0</v>
      </c>
      <c r="N293" s="9">
        <v>0</v>
      </c>
      <c r="O293" s="133">
        <v>0</v>
      </c>
      <c r="P293" s="133"/>
      <c r="Q293" s="133"/>
      <c r="R293" s="133">
        <f t="shared" si="4"/>
        <v>0</v>
      </c>
    </row>
    <row r="294" spans="1:18" x14ac:dyDescent="0.35">
      <c r="A294" s="5">
        <v>292</v>
      </c>
      <c r="B294" s="6" t="s">
        <v>670</v>
      </c>
      <c r="C294" s="7" t="s">
        <v>671</v>
      </c>
      <c r="D294" s="8" t="s">
        <v>253</v>
      </c>
      <c r="E294" s="9">
        <v>100000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/>
      <c r="R294" s="9">
        <f t="shared" si="4"/>
        <v>100000</v>
      </c>
    </row>
    <row r="295" spans="1:18" x14ac:dyDescent="0.35">
      <c r="A295" s="5">
        <v>293</v>
      </c>
      <c r="B295" s="6" t="s">
        <v>672</v>
      </c>
      <c r="C295" s="7" t="s">
        <v>673</v>
      </c>
      <c r="D295" s="8" t="s">
        <v>49</v>
      </c>
      <c r="E295" s="9">
        <v>295000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/>
      <c r="R295" s="9">
        <f t="shared" si="4"/>
        <v>295000</v>
      </c>
    </row>
    <row r="296" spans="1:18" x14ac:dyDescent="0.35">
      <c r="A296" s="5">
        <v>294</v>
      </c>
      <c r="B296" s="6" t="s">
        <v>674</v>
      </c>
      <c r="C296" s="7" t="s">
        <v>1726</v>
      </c>
      <c r="D296" s="8" t="s">
        <v>131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/>
      <c r="R296" s="9">
        <f t="shared" si="4"/>
        <v>0</v>
      </c>
    </row>
    <row r="297" spans="1:18" x14ac:dyDescent="0.35">
      <c r="A297" s="5">
        <v>295</v>
      </c>
      <c r="B297" s="6" t="s">
        <v>676</v>
      </c>
      <c r="C297" s="7" t="s">
        <v>1645</v>
      </c>
      <c r="D297" s="8" t="s">
        <v>95</v>
      </c>
      <c r="E297" s="9">
        <v>100000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/>
      <c r="R297" s="9">
        <f t="shared" si="4"/>
        <v>100000</v>
      </c>
    </row>
    <row r="298" spans="1:18" s="142" customFormat="1" x14ac:dyDescent="0.35">
      <c r="A298" s="143">
        <v>296</v>
      </c>
      <c r="B298" s="6" t="s">
        <v>678</v>
      </c>
      <c r="C298" s="144" t="s">
        <v>1901</v>
      </c>
      <c r="D298" s="145" t="s">
        <v>136</v>
      </c>
      <c r="E298" s="141">
        <v>20413906</v>
      </c>
      <c r="F298" s="9">
        <v>150000</v>
      </c>
      <c r="G298" s="9">
        <v>150000</v>
      </c>
      <c r="H298" s="9">
        <v>150000</v>
      </c>
      <c r="I298" s="9">
        <v>150000</v>
      </c>
      <c r="J298" s="9">
        <v>150000</v>
      </c>
      <c r="K298" s="9">
        <v>150000</v>
      </c>
      <c r="L298" s="9">
        <v>150000</v>
      </c>
      <c r="M298" s="9">
        <v>150000</v>
      </c>
      <c r="N298" s="9">
        <v>150000</v>
      </c>
      <c r="O298" s="141">
        <v>150000</v>
      </c>
      <c r="P298" s="141">
        <v>150000</v>
      </c>
      <c r="Q298" s="141">
        <v>150000</v>
      </c>
      <c r="R298" s="141">
        <f t="shared" si="4"/>
        <v>22213906</v>
      </c>
    </row>
    <row r="299" spans="1:18" x14ac:dyDescent="0.35">
      <c r="A299" s="5">
        <v>297</v>
      </c>
      <c r="B299" s="6" t="s">
        <v>680</v>
      </c>
      <c r="C299" s="7" t="s">
        <v>1609</v>
      </c>
      <c r="D299" s="8" t="s">
        <v>166</v>
      </c>
      <c r="E299" s="9">
        <v>5845353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/>
      <c r="R299" s="9">
        <f t="shared" si="4"/>
        <v>5845353</v>
      </c>
    </row>
    <row r="300" spans="1:18" x14ac:dyDescent="0.35">
      <c r="A300" s="5">
        <v>298</v>
      </c>
      <c r="B300" s="6" t="s">
        <v>682</v>
      </c>
      <c r="C300" s="7" t="s">
        <v>2230</v>
      </c>
      <c r="D300" s="8" t="s">
        <v>524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/>
      <c r="R300" s="9">
        <f t="shared" si="4"/>
        <v>0</v>
      </c>
    </row>
    <row r="301" spans="1:18" x14ac:dyDescent="0.35">
      <c r="A301" s="5">
        <v>299</v>
      </c>
      <c r="B301" s="6" t="s">
        <v>684</v>
      </c>
      <c r="C301" s="7" t="s">
        <v>2036</v>
      </c>
      <c r="D301" s="8" t="s">
        <v>367</v>
      </c>
      <c r="E301" s="9">
        <v>28817111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/>
      <c r="R301" s="9">
        <f t="shared" si="4"/>
        <v>28817111</v>
      </c>
    </row>
    <row r="302" spans="1:18" x14ac:dyDescent="0.35">
      <c r="A302" s="5">
        <v>300</v>
      </c>
      <c r="B302" s="6" t="s">
        <v>686</v>
      </c>
      <c r="C302" s="7" t="s">
        <v>1727</v>
      </c>
      <c r="D302" s="8" t="s">
        <v>141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/>
      <c r="R302" s="9">
        <f t="shared" si="4"/>
        <v>0</v>
      </c>
    </row>
    <row r="303" spans="1:18" x14ac:dyDescent="0.35">
      <c r="A303" s="5">
        <v>301</v>
      </c>
      <c r="B303" s="6" t="s">
        <v>688</v>
      </c>
      <c r="C303" s="7" t="s">
        <v>689</v>
      </c>
      <c r="D303" s="8" t="s">
        <v>169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/>
      <c r="R303" s="9">
        <f t="shared" si="4"/>
        <v>0</v>
      </c>
    </row>
    <row r="304" spans="1:18" x14ac:dyDescent="0.35">
      <c r="A304" s="5">
        <v>302</v>
      </c>
      <c r="B304" s="6" t="s">
        <v>690</v>
      </c>
      <c r="C304" s="7" t="s">
        <v>691</v>
      </c>
      <c r="D304" s="8" t="s">
        <v>52</v>
      </c>
      <c r="E304" s="9">
        <v>100000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/>
      <c r="R304" s="9">
        <f t="shared" si="4"/>
        <v>100000</v>
      </c>
    </row>
    <row r="305" spans="1:18" s="93" customFormat="1" x14ac:dyDescent="0.35">
      <c r="A305" s="89">
        <v>303</v>
      </c>
      <c r="B305" s="94" t="s">
        <v>692</v>
      </c>
      <c r="C305" s="90" t="s">
        <v>2037</v>
      </c>
      <c r="D305" s="91" t="s">
        <v>22</v>
      </c>
      <c r="E305" s="92">
        <v>21269063</v>
      </c>
      <c r="F305" s="92">
        <v>150000</v>
      </c>
      <c r="G305" s="92">
        <v>150000</v>
      </c>
      <c r="H305" s="9">
        <v>150000</v>
      </c>
      <c r="I305" s="9">
        <v>150000</v>
      </c>
      <c r="J305" s="9">
        <v>150000</v>
      </c>
      <c r="K305" s="9">
        <v>150000</v>
      </c>
      <c r="L305" s="9">
        <v>150000</v>
      </c>
      <c r="M305" s="92">
        <v>150000</v>
      </c>
      <c r="N305" s="92">
        <v>150000</v>
      </c>
      <c r="O305" s="92">
        <v>150000</v>
      </c>
      <c r="P305" s="92">
        <v>150000</v>
      </c>
      <c r="Q305" s="92">
        <v>150000</v>
      </c>
      <c r="R305" s="92">
        <f t="shared" si="4"/>
        <v>23069063</v>
      </c>
    </row>
    <row r="306" spans="1:18" s="93" customFormat="1" x14ac:dyDescent="0.35">
      <c r="A306" s="89">
        <v>304</v>
      </c>
      <c r="B306" s="94" t="s">
        <v>694</v>
      </c>
      <c r="C306" s="90" t="s">
        <v>2038</v>
      </c>
      <c r="D306" s="91" t="s">
        <v>72</v>
      </c>
      <c r="E306" s="92">
        <v>34723838</v>
      </c>
      <c r="F306" s="92">
        <v>250000</v>
      </c>
      <c r="G306" s="92">
        <v>250000</v>
      </c>
      <c r="H306" s="9">
        <v>250000</v>
      </c>
      <c r="I306" s="9">
        <v>250000</v>
      </c>
      <c r="J306" s="9">
        <v>250000</v>
      </c>
      <c r="K306" s="9">
        <v>250000</v>
      </c>
      <c r="L306" s="9">
        <v>250000</v>
      </c>
      <c r="M306" s="92">
        <v>250000</v>
      </c>
      <c r="N306" s="92">
        <v>250000</v>
      </c>
      <c r="O306" s="92">
        <v>250000</v>
      </c>
      <c r="P306" s="92">
        <v>250000</v>
      </c>
      <c r="Q306" s="92">
        <v>250000</v>
      </c>
      <c r="R306" s="92">
        <f t="shared" si="4"/>
        <v>37723838</v>
      </c>
    </row>
    <row r="307" spans="1:18" x14ac:dyDescent="0.35">
      <c r="A307" s="5">
        <v>305</v>
      </c>
      <c r="B307" s="6" t="s">
        <v>696</v>
      </c>
      <c r="C307" s="7" t="s">
        <v>1728</v>
      </c>
      <c r="D307" s="8" t="s">
        <v>698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/>
      <c r="R307" s="9">
        <f t="shared" si="4"/>
        <v>0</v>
      </c>
    </row>
    <row r="308" spans="1:18" s="93" customFormat="1" x14ac:dyDescent="0.35">
      <c r="A308" s="89">
        <v>306</v>
      </c>
      <c r="B308" s="94" t="s">
        <v>699</v>
      </c>
      <c r="C308" s="90" t="s">
        <v>2039</v>
      </c>
      <c r="D308" s="91" t="s">
        <v>60</v>
      </c>
      <c r="E308" s="92">
        <v>47548200</v>
      </c>
      <c r="F308" s="92">
        <v>350000</v>
      </c>
      <c r="G308" s="92">
        <v>350000</v>
      </c>
      <c r="H308" s="9">
        <v>350000</v>
      </c>
      <c r="I308" s="9">
        <v>350000</v>
      </c>
      <c r="J308" s="9">
        <v>350000</v>
      </c>
      <c r="K308" s="9">
        <v>350000</v>
      </c>
      <c r="L308" s="9">
        <v>350000</v>
      </c>
      <c r="M308" s="92">
        <v>350000</v>
      </c>
      <c r="N308" s="92">
        <v>350000</v>
      </c>
      <c r="O308" s="92">
        <v>350000</v>
      </c>
      <c r="P308" s="92">
        <v>350000</v>
      </c>
      <c r="Q308" s="92">
        <v>350000</v>
      </c>
      <c r="R308" s="92">
        <f t="shared" si="4"/>
        <v>51748200</v>
      </c>
    </row>
    <row r="309" spans="1:18" x14ac:dyDescent="0.35">
      <c r="A309" s="5">
        <v>307</v>
      </c>
      <c r="B309" s="6" t="s">
        <v>701</v>
      </c>
      <c r="C309" s="7" t="s">
        <v>1729</v>
      </c>
      <c r="D309" s="8" t="s">
        <v>41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/>
      <c r="R309" s="9">
        <f t="shared" si="4"/>
        <v>0</v>
      </c>
    </row>
    <row r="310" spans="1:18" x14ac:dyDescent="0.35">
      <c r="A310" s="5">
        <v>308</v>
      </c>
      <c r="B310" s="6" t="s">
        <v>703</v>
      </c>
      <c r="C310" s="7" t="s">
        <v>1730</v>
      </c>
      <c r="D310" s="8" t="s">
        <v>41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/>
      <c r="R310" s="9">
        <f t="shared" si="4"/>
        <v>0</v>
      </c>
    </row>
    <row r="311" spans="1:18" x14ac:dyDescent="0.35">
      <c r="A311" s="5">
        <v>309</v>
      </c>
      <c r="B311" s="6" t="s">
        <v>705</v>
      </c>
      <c r="C311" s="7" t="s">
        <v>1731</v>
      </c>
      <c r="D311" s="8" t="s">
        <v>131</v>
      </c>
      <c r="E311" s="9">
        <v>250000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/>
      <c r="R311" s="9">
        <f t="shared" si="4"/>
        <v>250000</v>
      </c>
    </row>
    <row r="312" spans="1:18" s="142" customFormat="1" x14ac:dyDescent="0.35">
      <c r="A312" s="143">
        <v>310</v>
      </c>
      <c r="B312" s="6" t="s">
        <v>707</v>
      </c>
      <c r="C312" s="144" t="s">
        <v>2040</v>
      </c>
      <c r="D312" s="145" t="s">
        <v>98</v>
      </c>
      <c r="E312" s="141">
        <v>26219336</v>
      </c>
      <c r="F312" s="9">
        <v>150000</v>
      </c>
      <c r="G312" s="9">
        <v>150000</v>
      </c>
      <c r="H312" s="9">
        <v>150000</v>
      </c>
      <c r="I312" s="9">
        <v>150000</v>
      </c>
      <c r="J312" s="9">
        <v>150000</v>
      </c>
      <c r="K312" s="9">
        <v>150000</v>
      </c>
      <c r="L312" s="9">
        <v>150000</v>
      </c>
      <c r="M312" s="9">
        <v>150000</v>
      </c>
      <c r="N312" s="9">
        <v>150000</v>
      </c>
      <c r="O312" s="141">
        <v>150000</v>
      </c>
      <c r="P312" s="141">
        <v>150000</v>
      </c>
      <c r="Q312" s="141">
        <v>150000</v>
      </c>
      <c r="R312" s="141">
        <f t="shared" si="4"/>
        <v>28019336</v>
      </c>
    </row>
    <row r="313" spans="1:18" x14ac:dyDescent="0.35">
      <c r="A313" s="5">
        <v>311</v>
      </c>
      <c r="B313" s="6" t="s">
        <v>709</v>
      </c>
      <c r="C313" s="7" t="s">
        <v>2225</v>
      </c>
      <c r="D313" s="8" t="s">
        <v>49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/>
      <c r="R313" s="9">
        <f t="shared" si="4"/>
        <v>0</v>
      </c>
    </row>
    <row r="314" spans="1:18" x14ac:dyDescent="0.35">
      <c r="A314" s="5">
        <v>312</v>
      </c>
      <c r="B314" s="6" t="s">
        <v>711</v>
      </c>
      <c r="C314" s="7" t="s">
        <v>1732</v>
      </c>
      <c r="D314" s="8" t="s">
        <v>52</v>
      </c>
      <c r="E314" s="9">
        <v>700000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/>
      <c r="R314" s="9">
        <f t="shared" si="4"/>
        <v>700000</v>
      </c>
    </row>
    <row r="315" spans="1:18" x14ac:dyDescent="0.35">
      <c r="A315" s="5">
        <v>313</v>
      </c>
      <c r="B315" s="94" t="s">
        <v>713</v>
      </c>
      <c r="C315" s="7" t="s">
        <v>1767</v>
      </c>
      <c r="D315" s="8" t="s">
        <v>60</v>
      </c>
      <c r="E315" s="9">
        <v>50012250</v>
      </c>
      <c r="F315" s="92">
        <v>250000</v>
      </c>
      <c r="G315" s="92">
        <v>250000</v>
      </c>
      <c r="H315" s="9">
        <v>250000</v>
      </c>
      <c r="I315" s="9">
        <v>250000</v>
      </c>
      <c r="J315" s="9">
        <v>250000</v>
      </c>
      <c r="K315" s="9">
        <v>0</v>
      </c>
      <c r="L315" s="9">
        <v>0</v>
      </c>
      <c r="M315" s="9">
        <v>0</v>
      </c>
      <c r="N315" s="9">
        <v>0</v>
      </c>
      <c r="O315" s="9">
        <v>-51262250</v>
      </c>
      <c r="P315" s="9">
        <v>0</v>
      </c>
      <c r="Q315" s="9"/>
      <c r="R315" s="9">
        <f t="shared" si="4"/>
        <v>0</v>
      </c>
    </row>
    <row r="316" spans="1:18" s="93" customFormat="1" x14ac:dyDescent="0.35">
      <c r="A316" s="89">
        <v>314</v>
      </c>
      <c r="B316" s="94" t="s">
        <v>715</v>
      </c>
      <c r="C316" s="90" t="s">
        <v>2041</v>
      </c>
      <c r="D316" s="91" t="s">
        <v>22</v>
      </c>
      <c r="E316" s="92">
        <v>25623756</v>
      </c>
      <c r="F316" s="92">
        <v>150000</v>
      </c>
      <c r="G316" s="92">
        <v>150000</v>
      </c>
      <c r="H316" s="9">
        <v>150000</v>
      </c>
      <c r="I316" s="9">
        <v>150000</v>
      </c>
      <c r="J316" s="9">
        <v>150000</v>
      </c>
      <c r="K316" s="9">
        <v>150000</v>
      </c>
      <c r="L316" s="9">
        <v>150000</v>
      </c>
      <c r="M316" s="92">
        <v>150000</v>
      </c>
      <c r="N316" s="92">
        <v>150000</v>
      </c>
      <c r="O316" s="92">
        <v>150000</v>
      </c>
      <c r="P316" s="92">
        <v>150000</v>
      </c>
      <c r="Q316" s="92">
        <v>150000</v>
      </c>
      <c r="R316" s="92">
        <f t="shared" si="4"/>
        <v>27423756</v>
      </c>
    </row>
    <row r="317" spans="1:18" x14ac:dyDescent="0.35">
      <c r="A317" s="5">
        <v>315</v>
      </c>
      <c r="B317" s="6" t="s">
        <v>717</v>
      </c>
      <c r="C317" s="7" t="s">
        <v>1733</v>
      </c>
      <c r="D317" s="8" t="s">
        <v>49</v>
      </c>
      <c r="E317" s="9">
        <v>500000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/>
      <c r="R317" s="9">
        <f t="shared" si="4"/>
        <v>500000</v>
      </c>
    </row>
    <row r="318" spans="1:18" x14ac:dyDescent="0.35">
      <c r="A318" s="5">
        <v>316</v>
      </c>
      <c r="B318" s="6" t="s">
        <v>719</v>
      </c>
      <c r="C318" s="7" t="s">
        <v>720</v>
      </c>
      <c r="D318" s="8" t="s">
        <v>77</v>
      </c>
      <c r="E318" s="9">
        <v>2336518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/>
      <c r="R318" s="9">
        <f t="shared" si="4"/>
        <v>2336518</v>
      </c>
    </row>
    <row r="319" spans="1:18" s="125" customFormat="1" x14ac:dyDescent="0.35">
      <c r="A319" s="126">
        <v>317</v>
      </c>
      <c r="B319" s="20" t="s">
        <v>721</v>
      </c>
      <c r="C319" s="127" t="s">
        <v>2042</v>
      </c>
      <c r="D319" s="128" t="s">
        <v>166</v>
      </c>
      <c r="E319" s="124">
        <v>19084520</v>
      </c>
      <c r="F319" s="9">
        <v>0</v>
      </c>
      <c r="G319" s="70">
        <v>0</v>
      </c>
      <c r="H319" s="70">
        <v>0</v>
      </c>
      <c r="I319" s="9">
        <v>0</v>
      </c>
      <c r="J319" s="70">
        <v>200000</v>
      </c>
      <c r="K319" s="70">
        <v>0</v>
      </c>
      <c r="L319" s="70">
        <v>100000</v>
      </c>
      <c r="M319" s="70">
        <v>100000</v>
      </c>
      <c r="N319" s="70">
        <v>100000</v>
      </c>
      <c r="O319" s="70">
        <v>100000</v>
      </c>
      <c r="P319" s="124"/>
      <c r="Q319" s="124">
        <v>200000</v>
      </c>
      <c r="R319" s="124">
        <f t="shared" si="4"/>
        <v>19884520</v>
      </c>
    </row>
    <row r="320" spans="1:18" x14ac:dyDescent="0.35">
      <c r="A320" s="5">
        <v>318</v>
      </c>
      <c r="B320" s="6" t="s">
        <v>723</v>
      </c>
      <c r="C320" s="7" t="s">
        <v>724</v>
      </c>
      <c r="D320" s="8" t="s">
        <v>72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/>
      <c r="R320" s="9">
        <f t="shared" si="4"/>
        <v>0</v>
      </c>
    </row>
    <row r="321" spans="1:18" x14ac:dyDescent="0.35">
      <c r="A321" s="5">
        <v>319</v>
      </c>
      <c r="B321" s="6" t="s">
        <v>725</v>
      </c>
      <c r="C321" s="7" t="s">
        <v>1734</v>
      </c>
      <c r="D321" s="8" t="s">
        <v>551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/>
      <c r="R321" s="9">
        <f t="shared" si="4"/>
        <v>0</v>
      </c>
    </row>
    <row r="322" spans="1:18" s="142" customFormat="1" x14ac:dyDescent="0.35">
      <c r="A322" s="143">
        <v>320</v>
      </c>
      <c r="B322" s="6" t="s">
        <v>727</v>
      </c>
      <c r="C322" s="144" t="s">
        <v>2043</v>
      </c>
      <c r="D322" s="145" t="s">
        <v>136</v>
      </c>
      <c r="E322" s="141">
        <v>18995858</v>
      </c>
      <c r="F322" s="9">
        <v>250000</v>
      </c>
      <c r="G322" s="9">
        <v>250000</v>
      </c>
      <c r="H322" s="9">
        <v>250000</v>
      </c>
      <c r="I322" s="9">
        <v>250000</v>
      </c>
      <c r="J322" s="9">
        <v>250000</v>
      </c>
      <c r="K322" s="9">
        <v>250000</v>
      </c>
      <c r="L322" s="9">
        <v>250000</v>
      </c>
      <c r="M322" s="9">
        <v>250000</v>
      </c>
      <c r="N322" s="9">
        <v>250000</v>
      </c>
      <c r="O322" s="141">
        <v>250000</v>
      </c>
      <c r="P322" s="141">
        <v>250000</v>
      </c>
      <c r="Q322" s="141">
        <v>250000</v>
      </c>
      <c r="R322" s="141">
        <f t="shared" si="4"/>
        <v>21995858</v>
      </c>
    </row>
    <row r="323" spans="1:18" x14ac:dyDescent="0.35">
      <c r="A323" s="5">
        <v>321</v>
      </c>
      <c r="B323" s="94" t="s">
        <v>729</v>
      </c>
      <c r="C323" s="7" t="s">
        <v>1735</v>
      </c>
      <c r="D323" s="8" t="s">
        <v>131</v>
      </c>
      <c r="E323" s="9">
        <v>75147982</v>
      </c>
      <c r="F323" s="92">
        <v>500000</v>
      </c>
      <c r="G323" s="92">
        <v>500000</v>
      </c>
      <c r="H323" s="9">
        <v>500000</v>
      </c>
      <c r="I323" s="9">
        <v>500000</v>
      </c>
      <c r="J323" s="9">
        <v>500000</v>
      </c>
      <c r="K323" s="9">
        <v>500000</v>
      </c>
      <c r="L323" s="9">
        <v>500000</v>
      </c>
      <c r="M323" s="9">
        <v>0</v>
      </c>
      <c r="N323" s="9">
        <v>0</v>
      </c>
      <c r="O323" s="9">
        <v>0</v>
      </c>
      <c r="P323" s="9">
        <v>0</v>
      </c>
      <c r="Q323" s="9"/>
      <c r="R323" s="9">
        <f t="shared" ref="R323:R386" si="5">SUM(E323:Q323)</f>
        <v>78647982</v>
      </c>
    </row>
    <row r="324" spans="1:18" x14ac:dyDescent="0.35">
      <c r="A324" s="5">
        <v>322</v>
      </c>
      <c r="B324" s="6" t="s">
        <v>731</v>
      </c>
      <c r="C324" s="7" t="s">
        <v>1646</v>
      </c>
      <c r="D324" s="8" t="s">
        <v>198</v>
      </c>
      <c r="E324" s="9">
        <v>1650000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/>
      <c r="R324" s="9">
        <f t="shared" si="5"/>
        <v>1650000</v>
      </c>
    </row>
    <row r="325" spans="1:18" x14ac:dyDescent="0.35">
      <c r="A325" s="5">
        <v>323</v>
      </c>
      <c r="B325" s="6" t="s">
        <v>733</v>
      </c>
      <c r="C325" s="7" t="s">
        <v>734</v>
      </c>
      <c r="D325" s="8" t="s">
        <v>49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/>
      <c r="R325" s="9">
        <f t="shared" si="5"/>
        <v>0</v>
      </c>
    </row>
    <row r="326" spans="1:18" x14ac:dyDescent="0.35">
      <c r="A326" s="5">
        <v>324</v>
      </c>
      <c r="B326" s="6" t="s">
        <v>735</v>
      </c>
      <c r="C326" s="7" t="s">
        <v>1736</v>
      </c>
      <c r="D326" s="8" t="s">
        <v>11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/>
      <c r="R326" s="9">
        <f t="shared" si="5"/>
        <v>0</v>
      </c>
    </row>
    <row r="327" spans="1:18" x14ac:dyDescent="0.35">
      <c r="A327" s="5">
        <v>325</v>
      </c>
      <c r="B327" s="6" t="s">
        <v>737</v>
      </c>
      <c r="C327" s="7" t="s">
        <v>738</v>
      </c>
      <c r="D327" s="8" t="s">
        <v>574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/>
      <c r="R327" s="9">
        <f t="shared" si="5"/>
        <v>0</v>
      </c>
    </row>
    <row r="328" spans="1:18" s="93" customFormat="1" x14ac:dyDescent="0.35">
      <c r="A328" s="89">
        <v>326</v>
      </c>
      <c r="B328" s="94" t="s">
        <v>739</v>
      </c>
      <c r="C328" s="90" t="s">
        <v>2044</v>
      </c>
      <c r="D328" s="91" t="s">
        <v>72</v>
      </c>
      <c r="E328" s="92">
        <v>26544922</v>
      </c>
      <c r="F328" s="92">
        <v>150000</v>
      </c>
      <c r="G328" s="92">
        <v>150000</v>
      </c>
      <c r="H328" s="9">
        <v>150000</v>
      </c>
      <c r="I328" s="9">
        <v>150000</v>
      </c>
      <c r="J328" s="9">
        <v>150000</v>
      </c>
      <c r="K328" s="9">
        <v>150000</v>
      </c>
      <c r="L328" s="9">
        <v>150000</v>
      </c>
      <c r="M328" s="92">
        <v>150000</v>
      </c>
      <c r="N328" s="92">
        <v>150000</v>
      </c>
      <c r="O328" s="92">
        <v>150000</v>
      </c>
      <c r="P328" s="92">
        <v>150000</v>
      </c>
      <c r="Q328" s="92">
        <v>150000</v>
      </c>
      <c r="R328" s="92">
        <f t="shared" si="5"/>
        <v>28344922</v>
      </c>
    </row>
    <row r="329" spans="1:18" x14ac:dyDescent="0.35">
      <c r="A329" s="5">
        <v>327</v>
      </c>
      <c r="B329" s="6" t="s">
        <v>741</v>
      </c>
      <c r="C329" s="7" t="s">
        <v>1737</v>
      </c>
      <c r="D329" s="8" t="s">
        <v>166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/>
      <c r="R329" s="9">
        <f t="shared" si="5"/>
        <v>0</v>
      </c>
    </row>
    <row r="330" spans="1:18" s="93" customFormat="1" x14ac:dyDescent="0.35">
      <c r="A330" s="89">
        <v>328</v>
      </c>
      <c r="B330" s="94" t="s">
        <v>743</v>
      </c>
      <c r="C330" s="90" t="s">
        <v>1647</v>
      </c>
      <c r="D330" s="91" t="s">
        <v>52</v>
      </c>
      <c r="E330" s="92">
        <v>0</v>
      </c>
      <c r="F330" s="9">
        <v>0</v>
      </c>
      <c r="G330" s="92">
        <v>0</v>
      </c>
      <c r="H330" s="92">
        <v>0</v>
      </c>
      <c r="I330" s="9">
        <v>550000</v>
      </c>
      <c r="J330" s="92">
        <v>550000</v>
      </c>
      <c r="K330" s="9">
        <v>350000</v>
      </c>
      <c r="L330" s="9">
        <v>350000</v>
      </c>
      <c r="M330" s="92">
        <v>350000</v>
      </c>
      <c r="N330" s="92">
        <v>350000</v>
      </c>
      <c r="O330" s="92">
        <v>350000</v>
      </c>
      <c r="P330" s="92">
        <v>350000</v>
      </c>
      <c r="Q330" s="92">
        <v>350000</v>
      </c>
      <c r="R330" s="92">
        <f t="shared" si="5"/>
        <v>3550000</v>
      </c>
    </row>
    <row r="331" spans="1:18" x14ac:dyDescent="0.35">
      <c r="A331" s="5">
        <v>329</v>
      </c>
      <c r="B331" s="6" t="s">
        <v>745</v>
      </c>
      <c r="C331" s="7" t="s">
        <v>746</v>
      </c>
      <c r="D331" s="8" t="s">
        <v>49</v>
      </c>
      <c r="E331" s="9">
        <v>150000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/>
      <c r="R331" s="9">
        <f t="shared" si="5"/>
        <v>150000</v>
      </c>
    </row>
    <row r="332" spans="1:18" x14ac:dyDescent="0.35">
      <c r="A332" s="5">
        <v>330</v>
      </c>
      <c r="B332" s="6" t="s">
        <v>747</v>
      </c>
      <c r="C332" s="7" t="s">
        <v>1648</v>
      </c>
      <c r="D332" s="8" t="s">
        <v>41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/>
      <c r="R332" s="9">
        <f t="shared" si="5"/>
        <v>0</v>
      </c>
    </row>
    <row r="333" spans="1:18" x14ac:dyDescent="0.35">
      <c r="A333" s="5">
        <v>331</v>
      </c>
      <c r="B333" s="6" t="s">
        <v>749</v>
      </c>
      <c r="C333" s="7" t="s">
        <v>750</v>
      </c>
      <c r="D333" s="8" t="s">
        <v>751</v>
      </c>
      <c r="E333" s="9">
        <v>19071897</v>
      </c>
      <c r="F333" s="9">
        <v>-19071897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/>
      <c r="R333" s="9">
        <f t="shared" si="5"/>
        <v>0</v>
      </c>
    </row>
    <row r="334" spans="1:18" x14ac:dyDescent="0.35">
      <c r="A334" s="5">
        <v>332</v>
      </c>
      <c r="B334" s="6" t="s">
        <v>752</v>
      </c>
      <c r="C334" s="7" t="s">
        <v>753</v>
      </c>
      <c r="D334" s="8" t="s">
        <v>159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/>
      <c r="R334" s="9">
        <f t="shared" si="5"/>
        <v>0</v>
      </c>
    </row>
    <row r="335" spans="1:18" s="142" customFormat="1" x14ac:dyDescent="0.35">
      <c r="A335" s="143">
        <v>333</v>
      </c>
      <c r="B335" s="6" t="s">
        <v>754</v>
      </c>
      <c r="C335" s="144" t="s">
        <v>1916</v>
      </c>
      <c r="D335" s="145" t="s">
        <v>354</v>
      </c>
      <c r="E335" s="141">
        <v>34438168</v>
      </c>
      <c r="F335" s="9">
        <v>250000</v>
      </c>
      <c r="G335" s="9">
        <v>250000</v>
      </c>
      <c r="H335" s="9">
        <v>250000</v>
      </c>
      <c r="I335" s="9">
        <v>250000</v>
      </c>
      <c r="J335" s="9">
        <v>250000</v>
      </c>
      <c r="K335" s="9">
        <v>250000</v>
      </c>
      <c r="L335" s="9">
        <v>250000</v>
      </c>
      <c r="M335" s="9">
        <v>250000</v>
      </c>
      <c r="N335" s="9">
        <v>250000</v>
      </c>
      <c r="O335" s="141">
        <v>250000</v>
      </c>
      <c r="P335" s="141">
        <v>250000</v>
      </c>
      <c r="Q335" s="141">
        <v>250000</v>
      </c>
      <c r="R335" s="141">
        <f t="shared" si="5"/>
        <v>37438168</v>
      </c>
    </row>
    <row r="336" spans="1:18" x14ac:dyDescent="0.35">
      <c r="A336" s="5">
        <v>334</v>
      </c>
      <c r="B336" s="6" t="s">
        <v>756</v>
      </c>
      <c r="C336" s="7" t="s">
        <v>1738</v>
      </c>
      <c r="D336" s="8" t="s">
        <v>166</v>
      </c>
      <c r="E336" s="9">
        <v>606500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/>
      <c r="R336" s="9">
        <f t="shared" si="5"/>
        <v>606500</v>
      </c>
    </row>
    <row r="337" spans="1:18" s="93" customFormat="1" x14ac:dyDescent="0.35">
      <c r="A337" s="89">
        <v>335</v>
      </c>
      <c r="B337" s="94" t="s">
        <v>758</v>
      </c>
      <c r="C337" s="90" t="s">
        <v>2045</v>
      </c>
      <c r="D337" s="91" t="s">
        <v>238</v>
      </c>
      <c r="E337" s="92">
        <v>38651521</v>
      </c>
      <c r="F337" s="92">
        <v>250000</v>
      </c>
      <c r="G337" s="92">
        <v>250000</v>
      </c>
      <c r="H337" s="9">
        <v>250000</v>
      </c>
      <c r="I337" s="9">
        <v>250000</v>
      </c>
      <c r="J337" s="9">
        <v>250000</v>
      </c>
      <c r="K337" s="9">
        <v>250000</v>
      </c>
      <c r="L337" s="9">
        <v>250000</v>
      </c>
      <c r="M337" s="92">
        <v>250000</v>
      </c>
      <c r="N337" s="92">
        <v>250000</v>
      </c>
      <c r="O337" s="92">
        <v>250000</v>
      </c>
      <c r="P337" s="92">
        <v>250000</v>
      </c>
      <c r="Q337" s="92">
        <v>250000</v>
      </c>
      <c r="R337" s="92">
        <f t="shared" si="5"/>
        <v>41651521</v>
      </c>
    </row>
    <row r="338" spans="1:18" x14ac:dyDescent="0.35">
      <c r="A338" s="5">
        <v>336</v>
      </c>
      <c r="B338" s="6" t="s">
        <v>760</v>
      </c>
      <c r="C338" s="7" t="s">
        <v>1739</v>
      </c>
      <c r="D338" s="8" t="s">
        <v>72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/>
      <c r="R338" s="9">
        <f t="shared" si="5"/>
        <v>0</v>
      </c>
    </row>
    <row r="339" spans="1:18" x14ac:dyDescent="0.35">
      <c r="A339" s="5">
        <v>337</v>
      </c>
      <c r="B339" s="6" t="s">
        <v>762</v>
      </c>
      <c r="C339" s="7" t="s">
        <v>2226</v>
      </c>
      <c r="D339" s="8" t="s">
        <v>551</v>
      </c>
      <c r="E339" s="9">
        <v>-350000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/>
      <c r="R339" s="9">
        <f t="shared" si="5"/>
        <v>-350000</v>
      </c>
    </row>
    <row r="340" spans="1:18" x14ac:dyDescent="0.35">
      <c r="A340" s="5">
        <v>338</v>
      </c>
      <c r="B340" s="6" t="s">
        <v>764</v>
      </c>
      <c r="C340" s="7" t="s">
        <v>765</v>
      </c>
      <c r="D340" s="8" t="s">
        <v>201</v>
      </c>
      <c r="E340" s="9">
        <v>135000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/>
      <c r="R340" s="9">
        <f t="shared" si="5"/>
        <v>135000</v>
      </c>
    </row>
    <row r="341" spans="1:18" x14ac:dyDescent="0.35">
      <c r="A341" s="5">
        <v>339</v>
      </c>
      <c r="B341" s="6" t="s">
        <v>766</v>
      </c>
      <c r="C341" s="7" t="s">
        <v>2231</v>
      </c>
      <c r="D341" s="8" t="s">
        <v>22</v>
      </c>
      <c r="E341" s="9">
        <v>3500000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/>
      <c r="R341" s="9">
        <f t="shared" si="5"/>
        <v>3500000</v>
      </c>
    </row>
    <row r="342" spans="1:18" s="104" customFormat="1" x14ac:dyDescent="0.35">
      <c r="A342" s="100">
        <v>340</v>
      </c>
      <c r="B342" s="94" t="s">
        <v>768</v>
      </c>
      <c r="C342" s="101" t="s">
        <v>1761</v>
      </c>
      <c r="D342" s="102" t="s">
        <v>318</v>
      </c>
      <c r="E342" s="103">
        <v>41603235</v>
      </c>
      <c r="F342" s="92">
        <v>350000</v>
      </c>
      <c r="G342" s="92">
        <v>350000</v>
      </c>
      <c r="H342" s="9">
        <v>350000</v>
      </c>
      <c r="I342" s="9">
        <v>350000</v>
      </c>
      <c r="J342" s="9">
        <v>350000</v>
      </c>
      <c r="K342" s="103">
        <v>350000</v>
      </c>
      <c r="L342" s="103">
        <v>350000</v>
      </c>
      <c r="M342" s="103">
        <v>350000</v>
      </c>
      <c r="N342" s="103">
        <v>350000</v>
      </c>
      <c r="O342" s="103">
        <v>350000</v>
      </c>
      <c r="P342" s="103">
        <v>350000</v>
      </c>
      <c r="Q342" s="103">
        <v>350000</v>
      </c>
      <c r="R342" s="103">
        <f t="shared" si="5"/>
        <v>45803235</v>
      </c>
    </row>
    <row r="343" spans="1:18" x14ac:dyDescent="0.35">
      <c r="A343" s="5">
        <v>341</v>
      </c>
      <c r="B343" s="6" t="s">
        <v>770</v>
      </c>
      <c r="C343" s="7" t="s">
        <v>771</v>
      </c>
      <c r="D343" s="8" t="s">
        <v>123</v>
      </c>
      <c r="E343" s="9">
        <v>23075911</v>
      </c>
      <c r="F343" s="9">
        <v>150000</v>
      </c>
      <c r="G343" s="9">
        <v>0</v>
      </c>
      <c r="H343" s="9">
        <v>-23225911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/>
      <c r="R343" s="9">
        <f t="shared" si="5"/>
        <v>0</v>
      </c>
    </row>
    <row r="344" spans="1:18" x14ac:dyDescent="0.35">
      <c r="A344" s="5">
        <v>342</v>
      </c>
      <c r="B344" s="6" t="s">
        <v>772</v>
      </c>
      <c r="C344" s="7" t="s">
        <v>773</v>
      </c>
      <c r="D344" s="8" t="s">
        <v>519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/>
      <c r="R344" s="9">
        <f t="shared" si="5"/>
        <v>0</v>
      </c>
    </row>
    <row r="345" spans="1:18" x14ac:dyDescent="0.35">
      <c r="A345" s="5">
        <v>343</v>
      </c>
      <c r="B345" s="6" t="s">
        <v>774</v>
      </c>
      <c r="C345" s="7" t="s">
        <v>775</v>
      </c>
      <c r="D345" s="8" t="s">
        <v>215</v>
      </c>
      <c r="E345" s="9">
        <v>1095000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/>
      <c r="R345" s="9">
        <f t="shared" si="5"/>
        <v>1095000</v>
      </c>
    </row>
    <row r="346" spans="1:18" s="142" customFormat="1" x14ac:dyDescent="0.35">
      <c r="A346" s="143">
        <v>344</v>
      </c>
      <c r="B346" s="6" t="s">
        <v>776</v>
      </c>
      <c r="C346" s="144" t="s">
        <v>1900</v>
      </c>
      <c r="D346" s="145" t="s">
        <v>136</v>
      </c>
      <c r="E346" s="141">
        <v>20413906</v>
      </c>
      <c r="F346" s="9">
        <v>150000</v>
      </c>
      <c r="G346" s="9">
        <v>150000</v>
      </c>
      <c r="H346" s="9">
        <v>150000</v>
      </c>
      <c r="I346" s="9">
        <v>150000</v>
      </c>
      <c r="J346" s="9">
        <v>150000</v>
      </c>
      <c r="K346" s="9">
        <v>150000</v>
      </c>
      <c r="L346" s="9">
        <v>150000</v>
      </c>
      <c r="M346" s="9">
        <v>150000</v>
      </c>
      <c r="N346" s="9">
        <v>150000</v>
      </c>
      <c r="O346" s="141">
        <v>150000</v>
      </c>
      <c r="P346" s="141">
        <v>150000</v>
      </c>
      <c r="Q346" s="141">
        <v>150000</v>
      </c>
      <c r="R346" s="141">
        <f t="shared" si="5"/>
        <v>22213906</v>
      </c>
    </row>
    <row r="347" spans="1:18" x14ac:dyDescent="0.35">
      <c r="A347" s="5">
        <v>345</v>
      </c>
      <c r="B347" s="6" t="s">
        <v>778</v>
      </c>
      <c r="C347" s="7" t="s">
        <v>1940</v>
      </c>
      <c r="D347" s="8" t="s">
        <v>136</v>
      </c>
      <c r="E347" s="9">
        <v>0</v>
      </c>
      <c r="F347" s="9">
        <v>0</v>
      </c>
      <c r="G347" s="9">
        <v>0</v>
      </c>
      <c r="H347" s="9"/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/>
      <c r="R347" s="9">
        <f t="shared" si="5"/>
        <v>0</v>
      </c>
    </row>
    <row r="348" spans="1:18" x14ac:dyDescent="0.35">
      <c r="A348" s="5">
        <v>346</v>
      </c>
      <c r="B348" s="6" t="s">
        <v>780</v>
      </c>
      <c r="C348" s="7" t="s">
        <v>2232</v>
      </c>
      <c r="D348" s="8" t="s">
        <v>46</v>
      </c>
      <c r="E348" s="9">
        <v>1000000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/>
      <c r="R348" s="9">
        <f t="shared" si="5"/>
        <v>1000000</v>
      </c>
    </row>
    <row r="349" spans="1:18" x14ac:dyDescent="0.35">
      <c r="A349" s="5">
        <v>347</v>
      </c>
      <c r="B349" s="6" t="s">
        <v>782</v>
      </c>
      <c r="C349" s="7" t="s">
        <v>783</v>
      </c>
      <c r="D349" s="8" t="s">
        <v>141</v>
      </c>
      <c r="E349" s="9">
        <v>-150000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/>
      <c r="R349" s="9">
        <f t="shared" si="5"/>
        <v>-150000</v>
      </c>
    </row>
    <row r="350" spans="1:18" x14ac:dyDescent="0.35">
      <c r="A350" s="5">
        <v>348</v>
      </c>
      <c r="B350" s="6" t="s">
        <v>784</v>
      </c>
      <c r="C350" s="7" t="s">
        <v>2233</v>
      </c>
      <c r="D350" s="8" t="s">
        <v>60</v>
      </c>
      <c r="E350" s="9">
        <v>1200000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/>
      <c r="R350" s="9">
        <f t="shared" si="5"/>
        <v>1200000</v>
      </c>
    </row>
    <row r="351" spans="1:18" s="104" customFormat="1" x14ac:dyDescent="0.35">
      <c r="A351" s="100">
        <v>349</v>
      </c>
      <c r="B351" s="94" t="s">
        <v>786</v>
      </c>
      <c r="C351" s="101" t="s">
        <v>2046</v>
      </c>
      <c r="D351" s="102" t="s">
        <v>290</v>
      </c>
      <c r="E351" s="103">
        <v>39098998</v>
      </c>
      <c r="F351" s="92">
        <v>250000</v>
      </c>
      <c r="G351" s="92">
        <v>250000</v>
      </c>
      <c r="H351" s="9">
        <v>250000</v>
      </c>
      <c r="I351" s="9">
        <v>250000</v>
      </c>
      <c r="J351" s="9">
        <v>250000</v>
      </c>
      <c r="K351" s="103">
        <v>250000</v>
      </c>
      <c r="L351" s="103">
        <v>250000</v>
      </c>
      <c r="M351" s="103">
        <v>250000</v>
      </c>
      <c r="N351" s="103">
        <v>250000</v>
      </c>
      <c r="O351" s="103">
        <v>250000</v>
      </c>
      <c r="P351" s="103">
        <v>250000</v>
      </c>
      <c r="Q351" s="103">
        <v>250000</v>
      </c>
      <c r="R351" s="103">
        <f t="shared" si="5"/>
        <v>42098998</v>
      </c>
    </row>
    <row r="352" spans="1:18" x14ac:dyDescent="0.35">
      <c r="A352" s="5">
        <v>350</v>
      </c>
      <c r="B352" s="6" t="s">
        <v>788</v>
      </c>
      <c r="C352" s="7" t="s">
        <v>2234</v>
      </c>
      <c r="D352" s="8" t="s">
        <v>46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/>
      <c r="R352" s="9">
        <f t="shared" si="5"/>
        <v>0</v>
      </c>
    </row>
    <row r="353" spans="1:18" x14ac:dyDescent="0.35">
      <c r="A353" s="5">
        <v>351</v>
      </c>
      <c r="B353" s="6" t="s">
        <v>790</v>
      </c>
      <c r="C353" s="7" t="s">
        <v>791</v>
      </c>
      <c r="D353" s="8" t="s">
        <v>41</v>
      </c>
      <c r="E353" s="9">
        <v>3450000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/>
      <c r="R353" s="9">
        <f t="shared" si="5"/>
        <v>3450000</v>
      </c>
    </row>
    <row r="354" spans="1:18" x14ac:dyDescent="0.35">
      <c r="A354" s="5">
        <v>352</v>
      </c>
      <c r="B354" s="6" t="s">
        <v>792</v>
      </c>
      <c r="C354" s="7" t="s">
        <v>1611</v>
      </c>
      <c r="D354" s="8" t="s">
        <v>77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/>
      <c r="R354" s="9">
        <f t="shared" si="5"/>
        <v>0</v>
      </c>
    </row>
    <row r="355" spans="1:18" s="93" customFormat="1" x14ac:dyDescent="0.35">
      <c r="A355" s="89">
        <v>353</v>
      </c>
      <c r="B355" s="94" t="s">
        <v>794</v>
      </c>
      <c r="C355" s="90" t="s">
        <v>1852</v>
      </c>
      <c r="D355" s="91" t="s">
        <v>95</v>
      </c>
      <c r="E355" s="92">
        <v>51809920</v>
      </c>
      <c r="F355" s="92">
        <v>350000</v>
      </c>
      <c r="G355" s="92">
        <v>350000</v>
      </c>
      <c r="H355" s="9">
        <v>350000</v>
      </c>
      <c r="I355" s="9">
        <v>350000</v>
      </c>
      <c r="J355" s="9">
        <v>350000</v>
      </c>
      <c r="K355" s="9">
        <v>350000</v>
      </c>
      <c r="L355" s="9">
        <v>350000</v>
      </c>
      <c r="M355" s="92">
        <v>350000</v>
      </c>
      <c r="N355" s="92">
        <v>350000</v>
      </c>
      <c r="O355" s="92">
        <v>350000</v>
      </c>
      <c r="P355" s="92">
        <v>350000</v>
      </c>
      <c r="Q355" s="92">
        <v>350000</v>
      </c>
      <c r="R355" s="92">
        <f t="shared" si="5"/>
        <v>56009920</v>
      </c>
    </row>
    <row r="356" spans="1:18" x14ac:dyDescent="0.35">
      <c r="A356" s="5">
        <v>354</v>
      </c>
      <c r="B356" s="6" t="s">
        <v>796</v>
      </c>
      <c r="C356" s="7" t="s">
        <v>1746</v>
      </c>
      <c r="D356" s="8" t="s">
        <v>551</v>
      </c>
      <c r="E356" s="9">
        <v>73402694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/>
      <c r="R356" s="9">
        <f t="shared" si="5"/>
        <v>73402694</v>
      </c>
    </row>
    <row r="357" spans="1:18" s="104" customFormat="1" x14ac:dyDescent="0.35">
      <c r="A357" s="100">
        <v>355</v>
      </c>
      <c r="B357" s="94" t="s">
        <v>798</v>
      </c>
      <c r="C357" s="101" t="s">
        <v>2047</v>
      </c>
      <c r="D357" s="102" t="s">
        <v>22</v>
      </c>
      <c r="E357" s="103">
        <v>37869319</v>
      </c>
      <c r="F357" s="92">
        <v>250000</v>
      </c>
      <c r="G357" s="92">
        <v>250000</v>
      </c>
      <c r="H357" s="9">
        <v>250000</v>
      </c>
      <c r="I357" s="9">
        <v>250000</v>
      </c>
      <c r="J357" s="9">
        <v>250000</v>
      </c>
      <c r="K357" s="103">
        <v>250000</v>
      </c>
      <c r="L357" s="103">
        <v>250000</v>
      </c>
      <c r="M357" s="103">
        <v>250000</v>
      </c>
      <c r="N357" s="103">
        <v>250000</v>
      </c>
      <c r="O357" s="103">
        <v>250000</v>
      </c>
      <c r="P357" s="103">
        <v>250000</v>
      </c>
      <c r="Q357" s="103">
        <v>250000</v>
      </c>
      <c r="R357" s="103">
        <f t="shared" si="5"/>
        <v>40869319</v>
      </c>
    </row>
    <row r="358" spans="1:18" s="142" customFormat="1" x14ac:dyDescent="0.35">
      <c r="A358" s="143">
        <v>356</v>
      </c>
      <c r="B358" s="6" t="s">
        <v>800</v>
      </c>
      <c r="C358" s="144" t="s">
        <v>2048</v>
      </c>
      <c r="D358" s="145" t="s">
        <v>19</v>
      </c>
      <c r="E358" s="141">
        <v>36992947</v>
      </c>
      <c r="F358" s="9">
        <v>250000</v>
      </c>
      <c r="G358" s="9">
        <v>250000</v>
      </c>
      <c r="H358" s="9">
        <v>250000</v>
      </c>
      <c r="I358" s="9">
        <v>250000</v>
      </c>
      <c r="J358" s="9">
        <v>250000</v>
      </c>
      <c r="K358" s="9">
        <v>250000</v>
      </c>
      <c r="L358" s="9">
        <v>250000</v>
      </c>
      <c r="M358" s="9">
        <v>250000</v>
      </c>
      <c r="N358" s="9">
        <v>250000</v>
      </c>
      <c r="O358" s="141">
        <v>250000</v>
      </c>
      <c r="P358" s="141">
        <v>250000</v>
      </c>
      <c r="Q358" s="141">
        <v>250000</v>
      </c>
      <c r="R358" s="141">
        <f t="shared" si="5"/>
        <v>39992947</v>
      </c>
    </row>
    <row r="359" spans="1:18" x14ac:dyDescent="0.35">
      <c r="A359" s="5">
        <v>357</v>
      </c>
      <c r="B359" s="6" t="s">
        <v>802</v>
      </c>
      <c r="C359" s="7" t="s">
        <v>1745</v>
      </c>
      <c r="D359" s="8" t="s">
        <v>55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/>
      <c r="R359" s="9">
        <f t="shared" si="5"/>
        <v>0</v>
      </c>
    </row>
    <row r="360" spans="1:18" s="93" customFormat="1" x14ac:dyDescent="0.35">
      <c r="A360" s="89">
        <v>358</v>
      </c>
      <c r="B360" s="94" t="s">
        <v>804</v>
      </c>
      <c r="C360" s="90" t="s">
        <v>1750</v>
      </c>
      <c r="D360" s="91" t="s">
        <v>14</v>
      </c>
      <c r="E360" s="92">
        <v>34672002</v>
      </c>
      <c r="F360" s="92">
        <v>250000</v>
      </c>
      <c r="G360" s="92">
        <v>250000</v>
      </c>
      <c r="H360" s="9">
        <v>250000</v>
      </c>
      <c r="I360" s="9">
        <v>250000</v>
      </c>
      <c r="J360" s="9">
        <v>250000</v>
      </c>
      <c r="K360" s="9">
        <v>250000</v>
      </c>
      <c r="L360" s="9">
        <v>250000</v>
      </c>
      <c r="M360" s="92">
        <v>250000</v>
      </c>
      <c r="N360" s="92">
        <v>250000</v>
      </c>
      <c r="O360" s="92">
        <v>250000</v>
      </c>
      <c r="P360" s="92">
        <v>250000</v>
      </c>
      <c r="Q360" s="92">
        <v>250000</v>
      </c>
      <c r="R360" s="92">
        <f t="shared" si="5"/>
        <v>37672002</v>
      </c>
    </row>
    <row r="361" spans="1:18" s="142" customFormat="1" x14ac:dyDescent="0.35">
      <c r="A361" s="143">
        <v>359</v>
      </c>
      <c r="B361" s="6" t="s">
        <v>806</v>
      </c>
      <c r="C361" s="144" t="s">
        <v>1902</v>
      </c>
      <c r="D361" s="145" t="s">
        <v>98</v>
      </c>
      <c r="E361" s="141">
        <v>21911919</v>
      </c>
      <c r="F361" s="9">
        <v>150000</v>
      </c>
      <c r="G361" s="9">
        <v>150000</v>
      </c>
      <c r="H361" s="9">
        <v>150000</v>
      </c>
      <c r="I361" s="9">
        <v>150000</v>
      </c>
      <c r="J361" s="9">
        <v>150000</v>
      </c>
      <c r="K361" s="9">
        <v>150000</v>
      </c>
      <c r="L361" s="9">
        <v>150000</v>
      </c>
      <c r="M361" s="9">
        <v>150000</v>
      </c>
      <c r="N361" s="9">
        <v>150000</v>
      </c>
      <c r="O361" s="141">
        <v>150000</v>
      </c>
      <c r="P361" s="141">
        <v>150000</v>
      </c>
      <c r="Q361" s="141">
        <v>150000</v>
      </c>
      <c r="R361" s="141">
        <f t="shared" si="5"/>
        <v>23711919</v>
      </c>
    </row>
    <row r="362" spans="1:18" x14ac:dyDescent="0.35">
      <c r="A362" s="5">
        <v>360</v>
      </c>
      <c r="B362" s="6" t="s">
        <v>808</v>
      </c>
      <c r="C362" s="7" t="s">
        <v>1649</v>
      </c>
      <c r="D362" s="8" t="s">
        <v>41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/>
      <c r="R362" s="9">
        <f t="shared" si="5"/>
        <v>0</v>
      </c>
    </row>
    <row r="363" spans="1:18" x14ac:dyDescent="0.35">
      <c r="A363" s="5">
        <v>361</v>
      </c>
      <c r="B363" s="94" t="s">
        <v>810</v>
      </c>
      <c r="C363" s="7" t="s">
        <v>1780</v>
      </c>
      <c r="D363" s="8" t="s">
        <v>131</v>
      </c>
      <c r="E363" s="9">
        <v>74835223</v>
      </c>
      <c r="F363" s="92">
        <v>500000</v>
      </c>
      <c r="G363" s="92">
        <v>500000</v>
      </c>
      <c r="H363" s="9">
        <v>500000</v>
      </c>
      <c r="I363" s="9">
        <v>500000</v>
      </c>
      <c r="J363" s="9">
        <v>-76835223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/>
      <c r="R363" s="9">
        <f t="shared" si="5"/>
        <v>0</v>
      </c>
    </row>
    <row r="364" spans="1:18" s="93" customFormat="1" x14ac:dyDescent="0.35">
      <c r="A364" s="89">
        <v>362</v>
      </c>
      <c r="B364" s="94" t="s">
        <v>812</v>
      </c>
      <c r="C364" s="90" t="s">
        <v>1942</v>
      </c>
      <c r="D364" s="91" t="s">
        <v>60</v>
      </c>
      <c r="E364" s="92">
        <v>0</v>
      </c>
      <c r="F364" s="9">
        <v>0</v>
      </c>
      <c r="G364" s="92">
        <v>0</v>
      </c>
      <c r="H364" s="92">
        <v>0</v>
      </c>
      <c r="I364" s="9">
        <v>0</v>
      </c>
      <c r="J364" s="92">
        <v>350000</v>
      </c>
      <c r="K364" s="9">
        <v>350000</v>
      </c>
      <c r="L364" s="9">
        <v>350000</v>
      </c>
      <c r="M364" s="92">
        <v>350000</v>
      </c>
      <c r="N364" s="92">
        <v>350000</v>
      </c>
      <c r="O364" s="92">
        <v>350000</v>
      </c>
      <c r="P364" s="92">
        <v>350000</v>
      </c>
      <c r="Q364" s="92">
        <v>350000</v>
      </c>
      <c r="R364" s="92">
        <f t="shared" si="5"/>
        <v>2800000</v>
      </c>
    </row>
    <row r="365" spans="1:18" s="93" customFormat="1" x14ac:dyDescent="0.35">
      <c r="A365" s="89">
        <v>363</v>
      </c>
      <c r="B365" s="94" t="s">
        <v>814</v>
      </c>
      <c r="C365" s="90" t="s">
        <v>815</v>
      </c>
      <c r="D365" s="91" t="s">
        <v>238</v>
      </c>
      <c r="E365" s="92">
        <v>20005960</v>
      </c>
      <c r="F365" s="92">
        <v>150000</v>
      </c>
      <c r="G365" s="92">
        <v>150000</v>
      </c>
      <c r="H365" s="9">
        <v>150000</v>
      </c>
      <c r="I365" s="9">
        <v>150000</v>
      </c>
      <c r="J365" s="9">
        <v>150000</v>
      </c>
      <c r="K365" s="9">
        <v>150000</v>
      </c>
      <c r="L365" s="9">
        <v>150000</v>
      </c>
      <c r="M365" s="92">
        <v>150000</v>
      </c>
      <c r="N365" s="92">
        <v>150000</v>
      </c>
      <c r="O365" s="92">
        <v>150000</v>
      </c>
      <c r="P365" s="92">
        <v>150000</v>
      </c>
      <c r="Q365" s="92">
        <v>150000</v>
      </c>
      <c r="R365" s="92">
        <f t="shared" si="5"/>
        <v>21805960</v>
      </c>
    </row>
    <row r="366" spans="1:18" s="93" customFormat="1" x14ac:dyDescent="0.35">
      <c r="A366" s="89">
        <v>364</v>
      </c>
      <c r="B366" s="94" t="s">
        <v>816</v>
      </c>
      <c r="C366" s="90" t="s">
        <v>1961</v>
      </c>
      <c r="D366" s="91" t="s">
        <v>198</v>
      </c>
      <c r="E366" s="92">
        <v>40463348</v>
      </c>
      <c r="F366" s="92">
        <v>350000</v>
      </c>
      <c r="G366" s="92">
        <v>350000</v>
      </c>
      <c r="H366" s="9">
        <v>350000</v>
      </c>
      <c r="I366" s="9">
        <v>350000</v>
      </c>
      <c r="J366" s="9">
        <v>350000</v>
      </c>
      <c r="K366" s="9">
        <v>350000</v>
      </c>
      <c r="L366" s="9">
        <v>350000</v>
      </c>
      <c r="M366" s="92">
        <v>350000</v>
      </c>
      <c r="N366" s="92">
        <v>350000</v>
      </c>
      <c r="O366" s="92">
        <v>350000</v>
      </c>
      <c r="P366" s="92">
        <v>350000</v>
      </c>
      <c r="Q366" s="92">
        <v>350000</v>
      </c>
      <c r="R366" s="92">
        <f t="shared" si="5"/>
        <v>44663348</v>
      </c>
    </row>
    <row r="367" spans="1:18" x14ac:dyDescent="0.35">
      <c r="A367" s="5">
        <v>365</v>
      </c>
      <c r="B367" s="6" t="s">
        <v>818</v>
      </c>
      <c r="C367" s="7" t="s">
        <v>2235</v>
      </c>
      <c r="D367" s="8" t="s">
        <v>92</v>
      </c>
      <c r="E367" s="9">
        <v>17777980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/>
      <c r="R367" s="9">
        <f t="shared" si="5"/>
        <v>17777980</v>
      </c>
    </row>
    <row r="368" spans="1:18" s="93" customFormat="1" x14ac:dyDescent="0.35">
      <c r="A368" s="89">
        <v>366</v>
      </c>
      <c r="B368" s="94" t="s">
        <v>820</v>
      </c>
      <c r="C368" s="90" t="s">
        <v>2049</v>
      </c>
      <c r="D368" s="91" t="s">
        <v>22</v>
      </c>
      <c r="E368" s="92">
        <v>31888231</v>
      </c>
      <c r="F368" s="92">
        <v>250000</v>
      </c>
      <c r="G368" s="92">
        <v>250000</v>
      </c>
      <c r="H368" s="9">
        <v>250000</v>
      </c>
      <c r="I368" s="9">
        <v>250000</v>
      </c>
      <c r="J368" s="9">
        <v>250000</v>
      </c>
      <c r="K368" s="9">
        <v>250000</v>
      </c>
      <c r="L368" s="9">
        <v>250000</v>
      </c>
      <c r="M368" s="92">
        <v>250000</v>
      </c>
      <c r="N368" s="92">
        <v>250000</v>
      </c>
      <c r="O368" s="92">
        <v>250000</v>
      </c>
      <c r="P368" s="92">
        <v>250000</v>
      </c>
      <c r="Q368" s="92">
        <v>250000</v>
      </c>
      <c r="R368" s="92">
        <f t="shared" si="5"/>
        <v>34888231</v>
      </c>
    </row>
    <row r="369" spans="1:18" x14ac:dyDescent="0.35">
      <c r="A369" s="5">
        <v>367</v>
      </c>
      <c r="B369" s="6" t="s">
        <v>822</v>
      </c>
      <c r="C369" s="7" t="s">
        <v>823</v>
      </c>
      <c r="D369" s="8" t="s">
        <v>11</v>
      </c>
      <c r="E369" s="9">
        <v>1641653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/>
      <c r="R369" s="9">
        <f t="shared" si="5"/>
        <v>1641653</v>
      </c>
    </row>
    <row r="370" spans="1:18" s="93" customFormat="1" x14ac:dyDescent="0.35">
      <c r="A370" s="89">
        <v>368</v>
      </c>
      <c r="B370" s="94" t="s">
        <v>824</v>
      </c>
      <c r="C370" s="90" t="s">
        <v>2050</v>
      </c>
      <c r="D370" s="91" t="s">
        <v>367</v>
      </c>
      <c r="E370" s="92">
        <v>25793093</v>
      </c>
      <c r="F370" s="92">
        <v>150000</v>
      </c>
      <c r="G370" s="92">
        <v>150000</v>
      </c>
      <c r="H370" s="9">
        <v>150000</v>
      </c>
      <c r="I370" s="9">
        <v>150000</v>
      </c>
      <c r="J370" s="9">
        <v>150000</v>
      </c>
      <c r="K370" s="9">
        <v>150000</v>
      </c>
      <c r="L370" s="9">
        <v>150000</v>
      </c>
      <c r="M370" s="92">
        <v>150000</v>
      </c>
      <c r="N370" s="92">
        <v>150000</v>
      </c>
      <c r="O370" s="92">
        <v>150000</v>
      </c>
      <c r="P370" s="92">
        <v>150000</v>
      </c>
      <c r="Q370" s="92">
        <v>150000</v>
      </c>
      <c r="R370" s="92">
        <f t="shared" si="5"/>
        <v>27593093</v>
      </c>
    </row>
    <row r="371" spans="1:18" s="142" customFormat="1" x14ac:dyDescent="0.35">
      <c r="A371" s="143">
        <v>369</v>
      </c>
      <c r="B371" s="6" t="s">
        <v>826</v>
      </c>
      <c r="C371" s="144" t="s">
        <v>2051</v>
      </c>
      <c r="D371" s="145" t="s">
        <v>828</v>
      </c>
      <c r="E371" s="141">
        <v>56734919</v>
      </c>
      <c r="F371" s="9">
        <v>350000</v>
      </c>
      <c r="G371" s="9">
        <v>350000</v>
      </c>
      <c r="H371" s="9">
        <v>350000</v>
      </c>
      <c r="I371" s="9">
        <v>350000</v>
      </c>
      <c r="J371" s="9">
        <v>350000</v>
      </c>
      <c r="K371" s="9">
        <v>350000</v>
      </c>
      <c r="L371" s="9">
        <v>350000</v>
      </c>
      <c r="M371" s="9">
        <v>350000</v>
      </c>
      <c r="N371" s="9">
        <v>350000</v>
      </c>
      <c r="O371" s="141">
        <v>350000</v>
      </c>
      <c r="P371" s="141">
        <v>350000</v>
      </c>
      <c r="Q371" s="141">
        <v>350000</v>
      </c>
      <c r="R371" s="141">
        <f t="shared" si="5"/>
        <v>60934919</v>
      </c>
    </row>
    <row r="372" spans="1:18" s="142" customFormat="1" x14ac:dyDescent="0.35">
      <c r="A372" s="143">
        <v>370</v>
      </c>
      <c r="B372" s="6" t="s">
        <v>829</v>
      </c>
      <c r="C372" s="144" t="s">
        <v>2052</v>
      </c>
      <c r="D372" s="145" t="s">
        <v>136</v>
      </c>
      <c r="E372" s="141">
        <v>21652747</v>
      </c>
      <c r="F372" s="9">
        <v>350000</v>
      </c>
      <c r="G372" s="9">
        <v>350000</v>
      </c>
      <c r="H372" s="9">
        <v>350000</v>
      </c>
      <c r="I372" s="9">
        <v>350000</v>
      </c>
      <c r="J372" s="9">
        <v>350000</v>
      </c>
      <c r="K372" s="9">
        <v>350000</v>
      </c>
      <c r="L372" s="9">
        <v>350000</v>
      </c>
      <c r="M372" s="9">
        <v>350000</v>
      </c>
      <c r="N372" s="9">
        <v>350000</v>
      </c>
      <c r="O372" s="141">
        <v>350000</v>
      </c>
      <c r="P372" s="141">
        <v>350000</v>
      </c>
      <c r="Q372" s="141">
        <v>350000</v>
      </c>
      <c r="R372" s="141">
        <f t="shared" si="5"/>
        <v>25852747</v>
      </c>
    </row>
    <row r="373" spans="1:18" s="93" customFormat="1" x14ac:dyDescent="0.35">
      <c r="A373" s="89">
        <v>371</v>
      </c>
      <c r="B373" s="94" t="s">
        <v>831</v>
      </c>
      <c r="C373" s="90" t="s">
        <v>2053</v>
      </c>
      <c r="D373" s="91" t="s">
        <v>60</v>
      </c>
      <c r="E373" s="92">
        <v>58045785</v>
      </c>
      <c r="F373" s="92">
        <v>350000</v>
      </c>
      <c r="G373" s="92">
        <v>350000</v>
      </c>
      <c r="H373" s="9">
        <v>350000</v>
      </c>
      <c r="I373" s="9">
        <v>350000</v>
      </c>
      <c r="J373" s="9">
        <v>350000</v>
      </c>
      <c r="K373" s="9">
        <v>350000</v>
      </c>
      <c r="L373" s="9">
        <v>350000</v>
      </c>
      <c r="M373" s="92">
        <v>350000</v>
      </c>
      <c r="N373" s="92">
        <v>350000</v>
      </c>
      <c r="O373" s="92">
        <v>350000</v>
      </c>
      <c r="P373" s="92">
        <v>350000</v>
      </c>
      <c r="Q373" s="92">
        <v>350000</v>
      </c>
      <c r="R373" s="92">
        <f t="shared" si="5"/>
        <v>62245785</v>
      </c>
    </row>
    <row r="374" spans="1:18" s="93" customFormat="1" x14ac:dyDescent="0.35">
      <c r="A374" s="89">
        <v>372</v>
      </c>
      <c r="B374" s="94" t="s">
        <v>833</v>
      </c>
      <c r="C374" s="90" t="s">
        <v>2054</v>
      </c>
      <c r="D374" s="91" t="s">
        <v>25</v>
      </c>
      <c r="E374" s="92">
        <v>34570840</v>
      </c>
      <c r="F374" s="92">
        <v>250000</v>
      </c>
      <c r="G374" s="92">
        <v>250000</v>
      </c>
      <c r="H374" s="9">
        <v>250000</v>
      </c>
      <c r="I374" s="9">
        <v>250000</v>
      </c>
      <c r="J374" s="9">
        <v>250000</v>
      </c>
      <c r="K374" s="9">
        <v>250000</v>
      </c>
      <c r="L374" s="9">
        <v>250000</v>
      </c>
      <c r="M374" s="92">
        <v>250000</v>
      </c>
      <c r="N374" s="92">
        <v>250000</v>
      </c>
      <c r="O374" s="92">
        <v>250000</v>
      </c>
      <c r="P374" s="92">
        <v>250000</v>
      </c>
      <c r="Q374" s="92">
        <v>250000</v>
      </c>
      <c r="R374" s="92">
        <f t="shared" si="5"/>
        <v>37570840</v>
      </c>
    </row>
    <row r="375" spans="1:18" x14ac:dyDescent="0.35">
      <c r="A375" s="5">
        <v>373</v>
      </c>
      <c r="B375" s="6" t="s">
        <v>835</v>
      </c>
      <c r="C375" s="7" t="s">
        <v>836</v>
      </c>
      <c r="D375" s="8" t="s">
        <v>65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/>
      <c r="R375" s="9">
        <f t="shared" si="5"/>
        <v>0</v>
      </c>
    </row>
    <row r="376" spans="1:18" x14ac:dyDescent="0.35">
      <c r="A376" s="5">
        <v>374</v>
      </c>
      <c r="B376" s="6" t="s">
        <v>837</v>
      </c>
      <c r="C376" s="7" t="s">
        <v>1744</v>
      </c>
      <c r="D376" s="8" t="s">
        <v>166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/>
      <c r="R376" s="9">
        <f t="shared" si="5"/>
        <v>0</v>
      </c>
    </row>
    <row r="377" spans="1:18" s="142" customFormat="1" x14ac:dyDescent="0.35">
      <c r="A377" s="143">
        <v>375</v>
      </c>
      <c r="B377" s="6" t="s">
        <v>839</v>
      </c>
      <c r="C377" s="144" t="s">
        <v>2055</v>
      </c>
      <c r="D377" s="145" t="s">
        <v>92</v>
      </c>
      <c r="E377" s="141">
        <v>25252117</v>
      </c>
      <c r="F377" s="9">
        <v>150000</v>
      </c>
      <c r="G377" s="9">
        <v>150000</v>
      </c>
      <c r="H377" s="9">
        <v>150000</v>
      </c>
      <c r="I377" s="9">
        <v>150000</v>
      </c>
      <c r="J377" s="9">
        <v>150000</v>
      </c>
      <c r="K377" s="9">
        <v>150000</v>
      </c>
      <c r="L377" s="9">
        <v>150000</v>
      </c>
      <c r="M377" s="9">
        <v>150000</v>
      </c>
      <c r="N377" s="9">
        <v>150000</v>
      </c>
      <c r="O377" s="141">
        <v>150000</v>
      </c>
      <c r="P377" s="141">
        <v>150000</v>
      </c>
      <c r="Q377" s="141">
        <v>150000</v>
      </c>
      <c r="R377" s="141">
        <f t="shared" si="5"/>
        <v>27052117</v>
      </c>
    </row>
    <row r="378" spans="1:18" s="142" customFormat="1" x14ac:dyDescent="0.35">
      <c r="A378" s="143">
        <v>376</v>
      </c>
      <c r="B378" s="6" t="s">
        <v>841</v>
      </c>
      <c r="C378" s="144" t="s">
        <v>2056</v>
      </c>
      <c r="D378" s="145" t="s">
        <v>136</v>
      </c>
      <c r="E378" s="141">
        <v>30987174</v>
      </c>
      <c r="F378" s="9">
        <v>350000</v>
      </c>
      <c r="G378" s="9">
        <v>350000</v>
      </c>
      <c r="H378" s="9">
        <v>350000</v>
      </c>
      <c r="I378" s="9">
        <v>350000</v>
      </c>
      <c r="J378" s="9">
        <v>350000</v>
      </c>
      <c r="K378" s="9">
        <v>350000</v>
      </c>
      <c r="L378" s="9">
        <v>350000</v>
      </c>
      <c r="M378" s="9">
        <v>350000</v>
      </c>
      <c r="N378" s="9">
        <v>350000</v>
      </c>
      <c r="O378" s="141">
        <v>350000</v>
      </c>
      <c r="P378" s="141">
        <v>350000</v>
      </c>
      <c r="Q378" s="141">
        <v>350000</v>
      </c>
      <c r="R378" s="141">
        <f t="shared" si="5"/>
        <v>35187174</v>
      </c>
    </row>
    <row r="379" spans="1:18" x14ac:dyDescent="0.35">
      <c r="A379" s="5">
        <v>377</v>
      </c>
      <c r="B379" s="6" t="s">
        <v>843</v>
      </c>
      <c r="C379" s="7" t="s">
        <v>1612</v>
      </c>
      <c r="D379" s="8" t="s">
        <v>98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/>
      <c r="R379" s="9">
        <f t="shared" si="5"/>
        <v>0</v>
      </c>
    </row>
    <row r="380" spans="1:18" x14ac:dyDescent="0.35">
      <c r="A380" s="5">
        <v>378</v>
      </c>
      <c r="B380" s="6" t="s">
        <v>845</v>
      </c>
      <c r="C380" s="7" t="s">
        <v>1613</v>
      </c>
      <c r="D380" s="8" t="s">
        <v>52</v>
      </c>
      <c r="E380" s="9">
        <v>500000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/>
      <c r="R380" s="9">
        <f t="shared" si="5"/>
        <v>500000</v>
      </c>
    </row>
    <row r="381" spans="1:18" x14ac:dyDescent="0.35">
      <c r="A381" s="5">
        <v>379</v>
      </c>
      <c r="B381" s="6" t="s">
        <v>847</v>
      </c>
      <c r="C381" s="7" t="s">
        <v>848</v>
      </c>
      <c r="D381" s="8" t="s">
        <v>25</v>
      </c>
      <c r="E381" s="9">
        <v>32914378</v>
      </c>
      <c r="F381" s="9">
        <v>-32914378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/>
      <c r="R381" s="9">
        <f t="shared" si="5"/>
        <v>0</v>
      </c>
    </row>
    <row r="382" spans="1:18" x14ac:dyDescent="0.35">
      <c r="A382" s="5">
        <v>380</v>
      </c>
      <c r="B382" s="6" t="s">
        <v>849</v>
      </c>
      <c r="C382" s="7" t="s">
        <v>850</v>
      </c>
      <c r="D382" s="8" t="s">
        <v>851</v>
      </c>
      <c r="E382" s="9">
        <v>61400000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/>
      <c r="R382" s="9">
        <f t="shared" si="5"/>
        <v>61400000</v>
      </c>
    </row>
    <row r="383" spans="1:18" x14ac:dyDescent="0.35">
      <c r="A383" s="5">
        <v>381</v>
      </c>
      <c r="B383" s="6" t="s">
        <v>852</v>
      </c>
      <c r="C383" s="7" t="s">
        <v>1743</v>
      </c>
      <c r="D383" s="8" t="s">
        <v>19</v>
      </c>
      <c r="E383" s="9">
        <v>5835211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/>
      <c r="R383" s="9">
        <f t="shared" si="5"/>
        <v>5835211</v>
      </c>
    </row>
    <row r="384" spans="1:18" x14ac:dyDescent="0.35">
      <c r="A384" s="5">
        <v>382</v>
      </c>
      <c r="B384" s="6" t="s">
        <v>854</v>
      </c>
      <c r="C384" s="7" t="s">
        <v>2236</v>
      </c>
      <c r="D384" s="8" t="s">
        <v>95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/>
      <c r="R384" s="9">
        <f t="shared" si="5"/>
        <v>0</v>
      </c>
    </row>
    <row r="385" spans="1:18" s="93" customFormat="1" x14ac:dyDescent="0.35">
      <c r="A385" s="89">
        <v>383</v>
      </c>
      <c r="B385" s="94" t="s">
        <v>856</v>
      </c>
      <c r="C385" s="90" t="s">
        <v>1756</v>
      </c>
      <c r="D385" s="91" t="s">
        <v>25</v>
      </c>
      <c r="E385" s="92">
        <v>32464901</v>
      </c>
      <c r="F385" s="92">
        <v>250000</v>
      </c>
      <c r="G385" s="92">
        <v>250000</v>
      </c>
      <c r="H385" s="9">
        <v>250000</v>
      </c>
      <c r="I385" s="9">
        <v>250000</v>
      </c>
      <c r="J385" s="9">
        <v>250000</v>
      </c>
      <c r="K385" s="9">
        <v>250000</v>
      </c>
      <c r="L385" s="9">
        <v>250000</v>
      </c>
      <c r="M385" s="92">
        <v>250000</v>
      </c>
      <c r="N385" s="92">
        <v>250000</v>
      </c>
      <c r="O385" s="92">
        <v>250000</v>
      </c>
      <c r="P385" s="92">
        <v>250000</v>
      </c>
      <c r="Q385" s="92">
        <v>250000</v>
      </c>
      <c r="R385" s="92">
        <f t="shared" si="5"/>
        <v>35464901</v>
      </c>
    </row>
    <row r="386" spans="1:18" s="142" customFormat="1" x14ac:dyDescent="0.35">
      <c r="A386" s="143">
        <v>384</v>
      </c>
      <c r="B386" s="6" t="s">
        <v>858</v>
      </c>
      <c r="C386" s="144" t="s">
        <v>1904</v>
      </c>
      <c r="D386" s="145" t="s">
        <v>698</v>
      </c>
      <c r="E386" s="141">
        <v>38953217</v>
      </c>
      <c r="F386" s="9">
        <v>350000</v>
      </c>
      <c r="G386" s="9">
        <v>350000</v>
      </c>
      <c r="H386" s="9">
        <v>350000</v>
      </c>
      <c r="I386" s="9">
        <v>350000</v>
      </c>
      <c r="J386" s="9">
        <v>350000</v>
      </c>
      <c r="K386" s="9">
        <v>350000</v>
      </c>
      <c r="L386" s="9">
        <v>350000</v>
      </c>
      <c r="M386" s="9">
        <v>350000</v>
      </c>
      <c r="N386" s="9">
        <v>350000</v>
      </c>
      <c r="O386" s="141">
        <v>350000</v>
      </c>
      <c r="P386" s="141">
        <v>350000</v>
      </c>
      <c r="Q386" s="141">
        <v>350000</v>
      </c>
      <c r="R386" s="141">
        <f t="shared" si="5"/>
        <v>43153217</v>
      </c>
    </row>
    <row r="387" spans="1:18" s="142" customFormat="1" x14ac:dyDescent="0.35">
      <c r="A387" s="143">
        <v>385</v>
      </c>
      <c r="B387" s="6" t="s">
        <v>860</v>
      </c>
      <c r="C387" s="144" t="s">
        <v>1905</v>
      </c>
      <c r="D387" s="145" t="s">
        <v>77</v>
      </c>
      <c r="E387" s="141">
        <v>36880222</v>
      </c>
      <c r="F387" s="9">
        <v>250000</v>
      </c>
      <c r="G387" s="9">
        <v>250000</v>
      </c>
      <c r="H387" s="9">
        <v>250000</v>
      </c>
      <c r="I387" s="9">
        <v>250000</v>
      </c>
      <c r="J387" s="9">
        <v>250000</v>
      </c>
      <c r="K387" s="9">
        <v>250000</v>
      </c>
      <c r="L387" s="9">
        <v>250000</v>
      </c>
      <c r="M387" s="9">
        <v>250000</v>
      </c>
      <c r="N387" s="9">
        <v>250000</v>
      </c>
      <c r="O387" s="141">
        <v>250000</v>
      </c>
      <c r="P387" s="141">
        <v>250000</v>
      </c>
      <c r="Q387" s="141">
        <v>250000</v>
      </c>
      <c r="R387" s="141">
        <f t="shared" ref="R387:R450" si="6">SUM(E387:Q387)</f>
        <v>39880222</v>
      </c>
    </row>
    <row r="388" spans="1:18" s="93" customFormat="1" x14ac:dyDescent="0.35">
      <c r="A388" s="89">
        <v>386</v>
      </c>
      <c r="B388" s="94" t="s">
        <v>862</v>
      </c>
      <c r="C388" s="90" t="s">
        <v>2057</v>
      </c>
      <c r="D388" s="91" t="s">
        <v>25</v>
      </c>
      <c r="E388" s="92">
        <v>32270858</v>
      </c>
      <c r="F388" s="92">
        <v>250000</v>
      </c>
      <c r="G388" s="92">
        <v>250000</v>
      </c>
      <c r="H388" s="9">
        <v>250000</v>
      </c>
      <c r="I388" s="9">
        <v>250000</v>
      </c>
      <c r="J388" s="9">
        <v>250000</v>
      </c>
      <c r="K388" s="9">
        <v>250000</v>
      </c>
      <c r="L388" s="9">
        <v>250000</v>
      </c>
      <c r="M388" s="92">
        <v>250000</v>
      </c>
      <c r="N388" s="92">
        <v>250000</v>
      </c>
      <c r="O388" s="92">
        <v>250000</v>
      </c>
      <c r="P388" s="92">
        <v>250000</v>
      </c>
      <c r="Q388" s="92">
        <v>250000</v>
      </c>
      <c r="R388" s="92">
        <f t="shared" si="6"/>
        <v>35270858</v>
      </c>
    </row>
    <row r="389" spans="1:18" x14ac:dyDescent="0.35">
      <c r="A389" s="5">
        <v>387</v>
      </c>
      <c r="B389" s="6" t="s">
        <v>864</v>
      </c>
      <c r="C389" s="7" t="s">
        <v>865</v>
      </c>
      <c r="D389" s="8" t="s">
        <v>49</v>
      </c>
      <c r="E389" s="9">
        <v>395000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/>
      <c r="R389" s="9">
        <f t="shared" si="6"/>
        <v>395000</v>
      </c>
    </row>
    <row r="390" spans="1:18" x14ac:dyDescent="0.35">
      <c r="A390" s="5">
        <v>388</v>
      </c>
      <c r="B390" s="94" t="s">
        <v>866</v>
      </c>
      <c r="C390" s="7" t="s">
        <v>1650</v>
      </c>
      <c r="D390" s="8" t="s">
        <v>367</v>
      </c>
      <c r="E390" s="9">
        <v>9000000</v>
      </c>
      <c r="F390" s="92">
        <v>250000</v>
      </c>
      <c r="G390" s="92">
        <v>250000</v>
      </c>
      <c r="H390" s="9">
        <v>250000</v>
      </c>
      <c r="I390" s="9">
        <v>250000</v>
      </c>
      <c r="J390" s="9">
        <v>250000</v>
      </c>
      <c r="K390" s="9">
        <v>250000</v>
      </c>
      <c r="L390" s="9">
        <v>250000</v>
      </c>
      <c r="M390" s="9">
        <v>-10750000</v>
      </c>
      <c r="N390" s="9">
        <v>0</v>
      </c>
      <c r="O390" s="9">
        <v>0</v>
      </c>
      <c r="P390" s="9">
        <v>0</v>
      </c>
      <c r="Q390" s="9"/>
      <c r="R390" s="9">
        <f t="shared" si="6"/>
        <v>0</v>
      </c>
    </row>
    <row r="391" spans="1:18" x14ac:dyDescent="0.35">
      <c r="A391" s="5">
        <v>389</v>
      </c>
      <c r="B391" s="6" t="s">
        <v>868</v>
      </c>
      <c r="C391" s="7" t="s">
        <v>869</v>
      </c>
      <c r="D391" s="8" t="s">
        <v>169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/>
      <c r="R391" s="9">
        <f t="shared" si="6"/>
        <v>0</v>
      </c>
    </row>
    <row r="392" spans="1:18" x14ac:dyDescent="0.35">
      <c r="A392" s="5">
        <v>390</v>
      </c>
      <c r="B392" s="6" t="s">
        <v>870</v>
      </c>
      <c r="C392" s="7" t="s">
        <v>1651</v>
      </c>
      <c r="D392" s="8" t="s">
        <v>80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/>
      <c r="R392" s="9">
        <f t="shared" si="6"/>
        <v>0</v>
      </c>
    </row>
    <row r="393" spans="1:18" x14ac:dyDescent="0.35">
      <c r="A393" s="5">
        <v>391</v>
      </c>
      <c r="B393" s="6" t="s">
        <v>872</v>
      </c>
      <c r="C393" s="7" t="s">
        <v>873</v>
      </c>
      <c r="D393" s="8" t="s">
        <v>354</v>
      </c>
      <c r="E393" s="9">
        <v>3370000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-3370000</v>
      </c>
      <c r="M393" s="9">
        <v>0</v>
      </c>
      <c r="N393" s="9">
        <v>0</v>
      </c>
      <c r="O393" s="9">
        <v>0</v>
      </c>
      <c r="P393" s="9">
        <v>0</v>
      </c>
      <c r="Q393" s="9"/>
      <c r="R393" s="9">
        <f t="shared" si="6"/>
        <v>0</v>
      </c>
    </row>
    <row r="394" spans="1:18" x14ac:dyDescent="0.35">
      <c r="A394" s="5">
        <v>392</v>
      </c>
      <c r="B394" s="6" t="s">
        <v>874</v>
      </c>
      <c r="C394" s="7" t="s">
        <v>875</v>
      </c>
      <c r="D394" s="8" t="s">
        <v>231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/>
      <c r="R394" s="9">
        <f t="shared" si="6"/>
        <v>0</v>
      </c>
    </row>
    <row r="395" spans="1:18" x14ac:dyDescent="0.35">
      <c r="A395" s="5">
        <v>393</v>
      </c>
      <c r="B395" s="6" t="s">
        <v>876</v>
      </c>
      <c r="C395" s="7" t="s">
        <v>877</v>
      </c>
      <c r="D395" s="8" t="s">
        <v>65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/>
      <c r="R395" s="9">
        <f t="shared" si="6"/>
        <v>0</v>
      </c>
    </row>
    <row r="396" spans="1:18" s="142" customFormat="1" x14ac:dyDescent="0.35">
      <c r="A396" s="143">
        <v>394</v>
      </c>
      <c r="B396" s="6" t="s">
        <v>878</v>
      </c>
      <c r="C396" s="144" t="s">
        <v>1914</v>
      </c>
      <c r="D396" s="145" t="s">
        <v>95</v>
      </c>
      <c r="E396" s="141">
        <v>19750000</v>
      </c>
      <c r="F396" s="92">
        <v>250000</v>
      </c>
      <c r="G396" s="9">
        <v>250000</v>
      </c>
      <c r="H396" s="9">
        <v>250000</v>
      </c>
      <c r="I396" s="9">
        <v>250000</v>
      </c>
      <c r="J396" s="9">
        <v>250000</v>
      </c>
      <c r="K396" s="9">
        <v>250000</v>
      </c>
      <c r="L396" s="9">
        <v>250000</v>
      </c>
      <c r="M396" s="9">
        <v>250000</v>
      </c>
      <c r="N396" s="9">
        <v>250000</v>
      </c>
      <c r="O396" s="141">
        <v>250000</v>
      </c>
      <c r="P396" s="141">
        <v>250000</v>
      </c>
      <c r="Q396" s="141">
        <v>250000</v>
      </c>
      <c r="R396" s="141">
        <f t="shared" si="6"/>
        <v>22750000</v>
      </c>
    </row>
    <row r="397" spans="1:18" s="142" customFormat="1" x14ac:dyDescent="0.35">
      <c r="A397" s="143">
        <v>395</v>
      </c>
      <c r="B397" s="6" t="s">
        <v>880</v>
      </c>
      <c r="C397" s="144" t="s">
        <v>1880</v>
      </c>
      <c r="D397" s="145" t="s">
        <v>123</v>
      </c>
      <c r="E397" s="141">
        <v>17080000</v>
      </c>
      <c r="F397" s="9">
        <v>150000</v>
      </c>
      <c r="G397" s="9">
        <v>150000</v>
      </c>
      <c r="H397" s="9">
        <v>150000</v>
      </c>
      <c r="I397" s="9">
        <v>150000</v>
      </c>
      <c r="J397" s="9">
        <v>150000</v>
      </c>
      <c r="K397" s="9">
        <v>150000</v>
      </c>
      <c r="L397" s="9">
        <v>150000</v>
      </c>
      <c r="M397" s="9">
        <v>150000</v>
      </c>
      <c r="N397" s="9">
        <v>150000</v>
      </c>
      <c r="O397" s="141">
        <v>150000</v>
      </c>
      <c r="P397" s="141">
        <v>150000</v>
      </c>
      <c r="Q397" s="141">
        <v>150000</v>
      </c>
      <c r="R397" s="141">
        <f t="shared" si="6"/>
        <v>18880000</v>
      </c>
    </row>
    <row r="398" spans="1:18" s="142" customFormat="1" x14ac:dyDescent="0.35">
      <c r="A398" s="143">
        <v>396</v>
      </c>
      <c r="B398" s="6" t="s">
        <v>882</v>
      </c>
      <c r="C398" s="144" t="s">
        <v>1890</v>
      </c>
      <c r="D398" s="145" t="s">
        <v>215</v>
      </c>
      <c r="E398" s="141">
        <v>39380000</v>
      </c>
      <c r="F398" s="9">
        <v>0</v>
      </c>
      <c r="G398" s="9">
        <v>350000</v>
      </c>
      <c r="H398" s="9">
        <v>350000</v>
      </c>
      <c r="I398" s="9">
        <v>350000</v>
      </c>
      <c r="J398" s="9">
        <v>350000</v>
      </c>
      <c r="K398" s="9">
        <v>350000</v>
      </c>
      <c r="L398" s="9">
        <v>350000</v>
      </c>
      <c r="M398" s="9">
        <v>350000</v>
      </c>
      <c r="N398" s="9">
        <v>350000</v>
      </c>
      <c r="O398" s="141">
        <v>350000</v>
      </c>
      <c r="P398" s="141">
        <v>350000</v>
      </c>
      <c r="Q398" s="141">
        <v>350000</v>
      </c>
      <c r="R398" s="141">
        <f t="shared" si="6"/>
        <v>43230000</v>
      </c>
    </row>
    <row r="399" spans="1:18" x14ac:dyDescent="0.35">
      <c r="A399" s="5">
        <v>397</v>
      </c>
      <c r="B399" s="6" t="s">
        <v>884</v>
      </c>
      <c r="C399" s="7" t="s">
        <v>885</v>
      </c>
      <c r="D399" s="8" t="s">
        <v>123</v>
      </c>
      <c r="E399" s="9">
        <v>2390000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/>
      <c r="R399" s="9">
        <f t="shared" si="6"/>
        <v>2390000</v>
      </c>
    </row>
    <row r="400" spans="1:18" s="93" customFormat="1" x14ac:dyDescent="0.35">
      <c r="A400" s="89">
        <v>398</v>
      </c>
      <c r="B400" s="94" t="s">
        <v>886</v>
      </c>
      <c r="C400" s="90" t="s">
        <v>2058</v>
      </c>
      <c r="D400" s="91" t="s">
        <v>318</v>
      </c>
      <c r="E400" s="92">
        <v>20250000</v>
      </c>
      <c r="F400" s="92">
        <v>150000</v>
      </c>
      <c r="G400" s="92">
        <v>150000</v>
      </c>
      <c r="H400" s="9">
        <v>150000</v>
      </c>
      <c r="I400" s="9">
        <v>150000</v>
      </c>
      <c r="J400" s="9">
        <v>150000</v>
      </c>
      <c r="K400" s="9">
        <v>150000</v>
      </c>
      <c r="L400" s="9">
        <v>150000</v>
      </c>
      <c r="M400" s="92">
        <v>150000</v>
      </c>
      <c r="N400" s="92">
        <v>150000</v>
      </c>
      <c r="O400" s="92">
        <v>150000</v>
      </c>
      <c r="P400" s="92">
        <v>150000</v>
      </c>
      <c r="Q400" s="92">
        <v>150000</v>
      </c>
      <c r="R400" s="92">
        <f t="shared" si="6"/>
        <v>22050000</v>
      </c>
    </row>
    <row r="401" spans="1:18" x14ac:dyDescent="0.35">
      <c r="A401" s="5">
        <v>399</v>
      </c>
      <c r="B401" s="6" t="s">
        <v>887</v>
      </c>
      <c r="C401" s="7" t="s">
        <v>888</v>
      </c>
      <c r="D401" s="8" t="s">
        <v>551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/>
      <c r="R401" s="9">
        <f t="shared" si="6"/>
        <v>0</v>
      </c>
    </row>
    <row r="402" spans="1:18" x14ac:dyDescent="0.35">
      <c r="A402" s="5">
        <v>400</v>
      </c>
      <c r="B402" s="6" t="s">
        <v>889</v>
      </c>
      <c r="C402" s="7" t="s">
        <v>1652</v>
      </c>
      <c r="D402" s="8" t="s">
        <v>95</v>
      </c>
      <c r="E402" s="9">
        <v>500000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/>
      <c r="R402" s="9">
        <f t="shared" si="6"/>
        <v>500000</v>
      </c>
    </row>
    <row r="403" spans="1:18" s="142" customFormat="1" x14ac:dyDescent="0.35">
      <c r="A403" s="143">
        <v>401</v>
      </c>
      <c r="B403" s="6" t="s">
        <v>891</v>
      </c>
      <c r="C403" s="144" t="s">
        <v>2059</v>
      </c>
      <c r="D403" s="145" t="s">
        <v>95</v>
      </c>
      <c r="E403" s="141">
        <v>8250000</v>
      </c>
      <c r="F403" s="9">
        <v>250000</v>
      </c>
      <c r="G403" s="9">
        <v>250000</v>
      </c>
      <c r="H403" s="9">
        <v>250000</v>
      </c>
      <c r="I403" s="9">
        <v>250000</v>
      </c>
      <c r="J403" s="9">
        <v>250000</v>
      </c>
      <c r="K403" s="9">
        <v>250000</v>
      </c>
      <c r="L403" s="9">
        <v>250000</v>
      </c>
      <c r="M403" s="9">
        <v>250000</v>
      </c>
      <c r="N403" s="9">
        <v>250000</v>
      </c>
      <c r="O403" s="141">
        <v>250000</v>
      </c>
      <c r="P403" s="141">
        <v>250000</v>
      </c>
      <c r="Q403" s="141">
        <v>250000</v>
      </c>
      <c r="R403" s="141">
        <f t="shared" si="6"/>
        <v>11250000</v>
      </c>
    </row>
    <row r="404" spans="1:18" x14ac:dyDescent="0.35">
      <c r="A404" s="5">
        <v>402</v>
      </c>
      <c r="B404" s="6" t="s">
        <v>893</v>
      </c>
      <c r="C404" s="18" t="s">
        <v>894</v>
      </c>
      <c r="D404" s="8" t="s">
        <v>19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/>
      <c r="R404" s="9">
        <f t="shared" si="6"/>
        <v>0</v>
      </c>
    </row>
    <row r="405" spans="1:18" x14ac:dyDescent="0.35">
      <c r="A405" s="5">
        <v>403</v>
      </c>
      <c r="B405" s="6" t="s">
        <v>895</v>
      </c>
      <c r="C405" s="7" t="s">
        <v>1742</v>
      </c>
      <c r="D405" s="8" t="s">
        <v>253</v>
      </c>
      <c r="E405" s="9">
        <v>750000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/>
      <c r="R405" s="9">
        <f t="shared" si="6"/>
        <v>750000</v>
      </c>
    </row>
    <row r="406" spans="1:18" x14ac:dyDescent="0.35">
      <c r="A406" s="5">
        <v>404</v>
      </c>
      <c r="B406" s="6" t="s">
        <v>897</v>
      </c>
      <c r="C406" s="7" t="s">
        <v>898</v>
      </c>
      <c r="D406" s="8"/>
      <c r="E406" s="9">
        <v>250000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/>
      <c r="R406" s="9">
        <f t="shared" si="6"/>
        <v>250000</v>
      </c>
    </row>
    <row r="407" spans="1:18" x14ac:dyDescent="0.35">
      <c r="A407" s="5">
        <v>405</v>
      </c>
      <c r="B407" s="6" t="s">
        <v>899</v>
      </c>
      <c r="C407" s="7" t="s">
        <v>1741</v>
      </c>
      <c r="D407" s="8" t="s">
        <v>77</v>
      </c>
      <c r="E407" s="9">
        <v>300000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/>
      <c r="R407" s="9">
        <f t="shared" si="6"/>
        <v>300000</v>
      </c>
    </row>
    <row r="408" spans="1:18" x14ac:dyDescent="0.35">
      <c r="A408" s="5">
        <v>406</v>
      </c>
      <c r="B408" s="6" t="s">
        <v>901</v>
      </c>
      <c r="C408" s="7" t="s">
        <v>1740</v>
      </c>
      <c r="D408" s="8" t="s">
        <v>41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/>
      <c r="R408" s="9">
        <f t="shared" si="6"/>
        <v>0</v>
      </c>
    </row>
    <row r="409" spans="1:18" s="142" customFormat="1" x14ac:dyDescent="0.35">
      <c r="A409" s="143">
        <v>407</v>
      </c>
      <c r="B409" s="6" t="s">
        <v>903</v>
      </c>
      <c r="C409" s="144" t="s">
        <v>2060</v>
      </c>
      <c r="D409" s="145" t="s">
        <v>905</v>
      </c>
      <c r="E409" s="141">
        <v>11395000</v>
      </c>
      <c r="F409" s="9">
        <v>150000</v>
      </c>
      <c r="G409" s="9">
        <v>150000</v>
      </c>
      <c r="H409" s="9">
        <v>150000</v>
      </c>
      <c r="I409" s="9">
        <v>150000</v>
      </c>
      <c r="J409" s="9">
        <v>150000</v>
      </c>
      <c r="K409" s="9">
        <v>150000</v>
      </c>
      <c r="L409" s="9">
        <v>150000</v>
      </c>
      <c r="M409" s="9">
        <v>150000</v>
      </c>
      <c r="N409" s="9">
        <v>150000</v>
      </c>
      <c r="O409" s="141">
        <v>150000</v>
      </c>
      <c r="P409" s="141">
        <v>150000</v>
      </c>
      <c r="Q409" s="141">
        <v>150000</v>
      </c>
      <c r="R409" s="141">
        <f t="shared" si="6"/>
        <v>13195000</v>
      </c>
    </row>
    <row r="410" spans="1:18" s="93" customFormat="1" x14ac:dyDescent="0.35">
      <c r="A410" s="89">
        <v>408</v>
      </c>
      <c r="B410" s="94" t="s">
        <v>906</v>
      </c>
      <c r="C410" s="90" t="s">
        <v>1748</v>
      </c>
      <c r="D410" s="91" t="s">
        <v>131</v>
      </c>
      <c r="E410" s="92">
        <v>30970000</v>
      </c>
      <c r="F410" s="92">
        <v>250000</v>
      </c>
      <c r="G410" s="92">
        <v>250000</v>
      </c>
      <c r="H410" s="9">
        <v>250000</v>
      </c>
      <c r="I410" s="9">
        <v>250000</v>
      </c>
      <c r="J410" s="9">
        <v>250000</v>
      </c>
      <c r="K410" s="9">
        <v>250000</v>
      </c>
      <c r="L410" s="9">
        <v>250000</v>
      </c>
      <c r="M410" s="92">
        <v>250000</v>
      </c>
      <c r="N410" s="92">
        <v>250000</v>
      </c>
      <c r="O410" s="92">
        <v>250000</v>
      </c>
      <c r="P410" s="92">
        <v>250000</v>
      </c>
      <c r="Q410" s="92">
        <v>250000</v>
      </c>
      <c r="R410" s="92">
        <f t="shared" si="6"/>
        <v>33970000</v>
      </c>
    </row>
    <row r="411" spans="1:18" x14ac:dyDescent="0.35">
      <c r="A411" s="5">
        <v>409</v>
      </c>
      <c r="B411" s="98" t="s">
        <v>908</v>
      </c>
      <c r="C411" s="7" t="s">
        <v>1867</v>
      </c>
      <c r="D411" s="8" t="s">
        <v>228</v>
      </c>
      <c r="E411" s="9">
        <v>31975000</v>
      </c>
      <c r="F411" s="9">
        <v>250000</v>
      </c>
      <c r="G411" s="99">
        <v>250000</v>
      </c>
      <c r="H411" s="99">
        <v>250000</v>
      </c>
      <c r="I411" s="9">
        <v>250000</v>
      </c>
      <c r="J411" s="99">
        <f>250000-33225000</f>
        <v>-32975000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/>
      <c r="R411" s="9">
        <f t="shared" si="6"/>
        <v>0</v>
      </c>
    </row>
    <row r="412" spans="1:18" s="104" customFormat="1" x14ac:dyDescent="0.35">
      <c r="A412" s="100">
        <v>410</v>
      </c>
      <c r="B412" s="94" t="s">
        <v>910</v>
      </c>
      <c r="C412" s="101" t="s">
        <v>2061</v>
      </c>
      <c r="D412" s="102" t="s">
        <v>290</v>
      </c>
      <c r="E412" s="103">
        <v>32150000</v>
      </c>
      <c r="F412" s="92">
        <v>250000</v>
      </c>
      <c r="G412" s="92">
        <v>250000</v>
      </c>
      <c r="H412" s="9">
        <v>250000</v>
      </c>
      <c r="I412" s="9">
        <v>250000</v>
      </c>
      <c r="J412" s="9">
        <v>250000</v>
      </c>
      <c r="K412" s="103">
        <v>250000</v>
      </c>
      <c r="L412" s="103">
        <v>250000</v>
      </c>
      <c r="M412" s="103">
        <v>250000</v>
      </c>
      <c r="N412" s="103">
        <v>250000</v>
      </c>
      <c r="O412" s="103">
        <v>250000</v>
      </c>
      <c r="P412" s="103">
        <v>250000</v>
      </c>
      <c r="Q412" s="103">
        <v>250000</v>
      </c>
      <c r="R412" s="103">
        <f t="shared" si="6"/>
        <v>35150000</v>
      </c>
    </row>
    <row r="413" spans="1:18" x14ac:dyDescent="0.35">
      <c r="A413" s="5">
        <v>411</v>
      </c>
      <c r="B413" s="6" t="s">
        <v>912</v>
      </c>
      <c r="C413" s="7" t="s">
        <v>913</v>
      </c>
      <c r="D413" s="8" t="s">
        <v>92</v>
      </c>
      <c r="E413" s="9">
        <v>250000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/>
      <c r="R413" s="9">
        <f t="shared" si="6"/>
        <v>250000</v>
      </c>
    </row>
    <row r="414" spans="1:18" s="93" customFormat="1" x14ac:dyDescent="0.35">
      <c r="A414" s="89">
        <v>412</v>
      </c>
      <c r="B414" s="94" t="s">
        <v>914</v>
      </c>
      <c r="C414" s="90" t="s">
        <v>1753</v>
      </c>
      <c r="D414" s="91" t="s">
        <v>260</v>
      </c>
      <c r="E414" s="92">
        <v>23495000</v>
      </c>
      <c r="F414" s="92">
        <v>250000</v>
      </c>
      <c r="G414" s="92">
        <v>250000</v>
      </c>
      <c r="H414" s="9">
        <v>250000</v>
      </c>
      <c r="I414" s="9">
        <v>250000</v>
      </c>
      <c r="J414" s="9">
        <v>250000</v>
      </c>
      <c r="K414" s="9">
        <v>250000</v>
      </c>
      <c r="L414" s="9">
        <v>250000</v>
      </c>
      <c r="M414" s="92">
        <v>250000</v>
      </c>
      <c r="N414" s="92">
        <v>250000</v>
      </c>
      <c r="O414" s="92">
        <v>250000</v>
      </c>
      <c r="P414" s="92">
        <v>250000</v>
      </c>
      <c r="Q414" s="92">
        <v>250000</v>
      </c>
      <c r="R414" s="92">
        <f t="shared" si="6"/>
        <v>26495000</v>
      </c>
    </row>
    <row r="415" spans="1:18" x14ac:dyDescent="0.35">
      <c r="A415" s="5">
        <v>413</v>
      </c>
      <c r="B415" s="6" t="s">
        <v>916</v>
      </c>
      <c r="C415" s="7" t="s">
        <v>917</v>
      </c>
      <c r="D415" s="8" t="s">
        <v>46</v>
      </c>
      <c r="E415" s="9">
        <v>1970000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/>
      <c r="R415" s="9">
        <f t="shared" si="6"/>
        <v>1970000</v>
      </c>
    </row>
    <row r="416" spans="1:18" x14ac:dyDescent="0.35">
      <c r="A416" s="5">
        <v>414</v>
      </c>
      <c r="B416" s="6" t="s">
        <v>918</v>
      </c>
      <c r="C416" s="7" t="s">
        <v>1653</v>
      </c>
      <c r="D416" s="8" t="s">
        <v>128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/>
      <c r="R416" s="9">
        <f t="shared" si="6"/>
        <v>0</v>
      </c>
    </row>
    <row r="417" spans="1:18" s="93" customFormat="1" x14ac:dyDescent="0.35">
      <c r="A417" s="89">
        <v>415</v>
      </c>
      <c r="B417" s="94" t="s">
        <v>920</v>
      </c>
      <c r="C417" s="90" t="s">
        <v>2062</v>
      </c>
      <c r="D417" s="91" t="s">
        <v>72</v>
      </c>
      <c r="E417" s="92">
        <v>32095000</v>
      </c>
      <c r="F417" s="92">
        <v>250000</v>
      </c>
      <c r="G417" s="92">
        <v>250000</v>
      </c>
      <c r="H417" s="9">
        <v>250000</v>
      </c>
      <c r="I417" s="9">
        <v>250000</v>
      </c>
      <c r="J417" s="9">
        <v>250000</v>
      </c>
      <c r="K417" s="9">
        <v>250000</v>
      </c>
      <c r="L417" s="9">
        <v>250000</v>
      </c>
      <c r="M417" s="92">
        <v>250000</v>
      </c>
      <c r="N417" s="92">
        <v>250000</v>
      </c>
      <c r="O417" s="92">
        <v>250000</v>
      </c>
      <c r="P417" s="92">
        <v>250000</v>
      </c>
      <c r="Q417" s="92">
        <v>250000</v>
      </c>
      <c r="R417" s="92">
        <f t="shared" si="6"/>
        <v>35095000</v>
      </c>
    </row>
    <row r="418" spans="1:18" x14ac:dyDescent="0.35">
      <c r="A418" s="5">
        <v>416</v>
      </c>
      <c r="B418" s="6" t="s">
        <v>922</v>
      </c>
      <c r="C418" s="7" t="s">
        <v>1654</v>
      </c>
      <c r="D418" s="8" t="s">
        <v>41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/>
      <c r="R418" s="9">
        <f t="shared" si="6"/>
        <v>0</v>
      </c>
    </row>
    <row r="419" spans="1:18" x14ac:dyDescent="0.35">
      <c r="A419" s="5">
        <v>417</v>
      </c>
      <c r="B419" s="6" t="s">
        <v>924</v>
      </c>
      <c r="C419" s="7" t="s">
        <v>1720</v>
      </c>
      <c r="D419" s="8" t="s">
        <v>141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/>
      <c r="R419" s="9">
        <f t="shared" si="6"/>
        <v>0</v>
      </c>
    </row>
    <row r="420" spans="1:18" x14ac:dyDescent="0.35">
      <c r="A420" s="5">
        <v>418</v>
      </c>
      <c r="B420" s="6" t="s">
        <v>926</v>
      </c>
      <c r="C420" s="7" t="s">
        <v>1715</v>
      </c>
      <c r="D420" s="8" t="s">
        <v>77</v>
      </c>
      <c r="E420" s="9">
        <v>445000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/>
      <c r="R420" s="9">
        <f t="shared" si="6"/>
        <v>445000</v>
      </c>
    </row>
    <row r="421" spans="1:18" x14ac:dyDescent="0.35">
      <c r="A421" s="5">
        <v>419</v>
      </c>
      <c r="B421" s="6" t="s">
        <v>928</v>
      </c>
      <c r="C421" s="7" t="s">
        <v>929</v>
      </c>
      <c r="D421" s="8"/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/>
      <c r="R421" s="9">
        <f t="shared" si="6"/>
        <v>0</v>
      </c>
    </row>
    <row r="422" spans="1:18" x14ac:dyDescent="0.35">
      <c r="A422" s="5">
        <v>420</v>
      </c>
      <c r="B422" s="6" t="s">
        <v>930</v>
      </c>
      <c r="C422" s="7" t="s">
        <v>1714</v>
      </c>
      <c r="D422" s="8" t="s">
        <v>83</v>
      </c>
      <c r="E422" s="9">
        <v>750000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/>
      <c r="R422" s="9">
        <f t="shared" si="6"/>
        <v>750000</v>
      </c>
    </row>
    <row r="423" spans="1:18" x14ac:dyDescent="0.35">
      <c r="A423" s="5">
        <v>421</v>
      </c>
      <c r="B423" s="6" t="s">
        <v>932</v>
      </c>
      <c r="C423" s="7" t="s">
        <v>2237</v>
      </c>
      <c r="D423" s="8" t="s">
        <v>92</v>
      </c>
      <c r="E423" s="9">
        <v>100000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/>
      <c r="R423" s="9">
        <f t="shared" si="6"/>
        <v>100000</v>
      </c>
    </row>
    <row r="424" spans="1:18" s="142" customFormat="1" x14ac:dyDescent="0.35">
      <c r="A424" s="143">
        <v>422</v>
      </c>
      <c r="B424" s="6" t="s">
        <v>934</v>
      </c>
      <c r="C424" s="144" t="s">
        <v>1873</v>
      </c>
      <c r="D424" s="145" t="s">
        <v>936</v>
      </c>
      <c r="E424" s="141">
        <v>49695000</v>
      </c>
      <c r="F424" s="9">
        <v>500000</v>
      </c>
      <c r="G424" s="9">
        <v>500000</v>
      </c>
      <c r="H424" s="9">
        <v>500000</v>
      </c>
      <c r="I424" s="9">
        <v>500000</v>
      </c>
      <c r="J424" s="9">
        <v>500000</v>
      </c>
      <c r="K424" s="9">
        <v>500000</v>
      </c>
      <c r="L424" s="9">
        <v>500000</v>
      </c>
      <c r="M424" s="9">
        <v>500000</v>
      </c>
      <c r="N424" s="9">
        <v>500000</v>
      </c>
      <c r="O424" s="141">
        <v>500000</v>
      </c>
      <c r="P424" s="141">
        <v>500000</v>
      </c>
      <c r="Q424" s="141">
        <v>500000</v>
      </c>
      <c r="R424" s="141">
        <f t="shared" si="6"/>
        <v>55695000</v>
      </c>
    </row>
    <row r="425" spans="1:18" s="142" customFormat="1" x14ac:dyDescent="0.35">
      <c r="A425" s="143">
        <v>423</v>
      </c>
      <c r="B425" s="6" t="s">
        <v>937</v>
      </c>
      <c r="C425" s="144" t="s">
        <v>1883</v>
      </c>
      <c r="D425" s="145" t="s">
        <v>92</v>
      </c>
      <c r="E425" s="141">
        <v>18095000</v>
      </c>
      <c r="F425" s="9">
        <v>150000</v>
      </c>
      <c r="G425" s="9">
        <v>150000</v>
      </c>
      <c r="H425" s="9">
        <v>150000</v>
      </c>
      <c r="I425" s="9">
        <v>150000</v>
      </c>
      <c r="J425" s="9">
        <v>150000</v>
      </c>
      <c r="K425" s="9">
        <v>150000</v>
      </c>
      <c r="L425" s="9">
        <v>150000</v>
      </c>
      <c r="M425" s="9">
        <v>150000</v>
      </c>
      <c r="N425" s="9">
        <v>150000</v>
      </c>
      <c r="O425" s="141">
        <v>150000</v>
      </c>
      <c r="P425" s="141">
        <v>150000</v>
      </c>
      <c r="Q425" s="141">
        <v>150000</v>
      </c>
      <c r="R425" s="141">
        <f t="shared" si="6"/>
        <v>19895000</v>
      </c>
    </row>
    <row r="426" spans="1:18" s="142" customFormat="1" x14ac:dyDescent="0.35">
      <c r="A426" s="143">
        <v>424</v>
      </c>
      <c r="B426" s="6" t="s">
        <v>939</v>
      </c>
      <c r="C426" s="144" t="s">
        <v>1884</v>
      </c>
      <c r="D426" s="145" t="s">
        <v>198</v>
      </c>
      <c r="E426" s="141">
        <v>17370000</v>
      </c>
      <c r="F426" s="9">
        <v>250000</v>
      </c>
      <c r="G426" s="9">
        <v>250000</v>
      </c>
      <c r="H426" s="9">
        <v>250000</v>
      </c>
      <c r="I426" s="9">
        <v>250000</v>
      </c>
      <c r="J426" s="9">
        <v>250000</v>
      </c>
      <c r="K426" s="9">
        <v>250000</v>
      </c>
      <c r="L426" s="9">
        <v>250000</v>
      </c>
      <c r="M426" s="9">
        <v>250000</v>
      </c>
      <c r="N426" s="9">
        <v>250000</v>
      </c>
      <c r="O426" s="141">
        <v>250000</v>
      </c>
      <c r="P426" s="141">
        <v>250000</v>
      </c>
      <c r="Q426" s="141">
        <v>250000</v>
      </c>
      <c r="R426" s="141">
        <f t="shared" si="6"/>
        <v>20370000</v>
      </c>
    </row>
    <row r="427" spans="1:18" s="93" customFormat="1" x14ac:dyDescent="0.35">
      <c r="A427" s="89">
        <v>425</v>
      </c>
      <c r="B427" s="94" t="s">
        <v>941</v>
      </c>
      <c r="C427" s="90" t="s">
        <v>1845</v>
      </c>
      <c r="D427" s="91" t="s">
        <v>406</v>
      </c>
      <c r="E427" s="92">
        <v>31595000</v>
      </c>
      <c r="F427" s="92">
        <v>250000</v>
      </c>
      <c r="G427" s="92">
        <v>250000</v>
      </c>
      <c r="H427" s="9">
        <v>250000</v>
      </c>
      <c r="I427" s="9">
        <v>250000</v>
      </c>
      <c r="J427" s="9">
        <v>250000</v>
      </c>
      <c r="K427" s="9">
        <v>250000</v>
      </c>
      <c r="L427" s="9">
        <v>250000</v>
      </c>
      <c r="M427" s="92">
        <v>250000</v>
      </c>
      <c r="N427" s="92">
        <v>250000</v>
      </c>
      <c r="O427" s="92">
        <v>250000</v>
      </c>
      <c r="P427" s="92">
        <v>250000</v>
      </c>
      <c r="Q427" s="92">
        <v>250000</v>
      </c>
      <c r="R427" s="92">
        <f t="shared" si="6"/>
        <v>34595000</v>
      </c>
    </row>
    <row r="428" spans="1:18" s="142" customFormat="1" x14ac:dyDescent="0.35">
      <c r="A428" s="143">
        <v>426</v>
      </c>
      <c r="B428" s="6" t="s">
        <v>943</v>
      </c>
      <c r="C428" s="144" t="s">
        <v>2063</v>
      </c>
      <c r="D428" s="145" t="s">
        <v>19</v>
      </c>
      <c r="E428" s="141">
        <v>27070000</v>
      </c>
      <c r="F428" s="9">
        <v>250000</v>
      </c>
      <c r="G428" s="9">
        <v>250000</v>
      </c>
      <c r="H428" s="9">
        <v>250000</v>
      </c>
      <c r="I428" s="9">
        <v>250000</v>
      </c>
      <c r="J428" s="9">
        <v>250000</v>
      </c>
      <c r="K428" s="9">
        <v>250000</v>
      </c>
      <c r="L428" s="9">
        <v>250000</v>
      </c>
      <c r="M428" s="9">
        <v>250000</v>
      </c>
      <c r="N428" s="9">
        <v>250000</v>
      </c>
      <c r="O428" s="141">
        <v>250000</v>
      </c>
      <c r="P428" s="141">
        <v>250000</v>
      </c>
      <c r="Q428" s="141">
        <v>250000</v>
      </c>
      <c r="R428" s="141">
        <f t="shared" si="6"/>
        <v>30070000</v>
      </c>
    </row>
    <row r="429" spans="1:18" s="142" customFormat="1" x14ac:dyDescent="0.35">
      <c r="A429" s="143">
        <v>427</v>
      </c>
      <c r="B429" s="6" t="s">
        <v>945</v>
      </c>
      <c r="C429" s="144" t="s">
        <v>1917</v>
      </c>
      <c r="D429" s="145" t="s">
        <v>354</v>
      </c>
      <c r="E429" s="141">
        <v>18295000</v>
      </c>
      <c r="F429" s="9">
        <v>150000</v>
      </c>
      <c r="G429" s="9">
        <v>150000</v>
      </c>
      <c r="H429" s="9">
        <v>150000</v>
      </c>
      <c r="I429" s="9">
        <v>150000</v>
      </c>
      <c r="J429" s="9">
        <v>150000</v>
      </c>
      <c r="K429" s="9">
        <v>150000</v>
      </c>
      <c r="L429" s="9">
        <v>150000</v>
      </c>
      <c r="M429" s="9">
        <v>150000</v>
      </c>
      <c r="N429" s="9">
        <v>150000</v>
      </c>
      <c r="O429" s="141">
        <v>150000</v>
      </c>
      <c r="P429" s="141">
        <v>150000</v>
      </c>
      <c r="Q429" s="141">
        <v>150000</v>
      </c>
      <c r="R429" s="141">
        <f t="shared" si="6"/>
        <v>20095000</v>
      </c>
    </row>
    <row r="430" spans="1:18" x14ac:dyDescent="0.35">
      <c r="A430" s="5">
        <v>428</v>
      </c>
      <c r="B430" s="6" t="s">
        <v>947</v>
      </c>
      <c r="C430" s="7" t="s">
        <v>1655</v>
      </c>
      <c r="D430" s="8" t="s">
        <v>41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/>
      <c r="R430" s="9">
        <f t="shared" si="6"/>
        <v>0</v>
      </c>
    </row>
    <row r="431" spans="1:18" s="93" customFormat="1" x14ac:dyDescent="0.35">
      <c r="A431" s="89">
        <v>429</v>
      </c>
      <c r="B431" s="94" t="s">
        <v>949</v>
      </c>
      <c r="C431" s="90" t="s">
        <v>1847</v>
      </c>
      <c r="D431" s="91" t="s">
        <v>238</v>
      </c>
      <c r="E431" s="92">
        <v>17845000</v>
      </c>
      <c r="F431" s="92">
        <v>150000</v>
      </c>
      <c r="G431" s="92">
        <v>150000</v>
      </c>
      <c r="H431" s="9">
        <v>150000</v>
      </c>
      <c r="I431" s="9">
        <v>150000</v>
      </c>
      <c r="J431" s="9">
        <v>150000</v>
      </c>
      <c r="K431" s="9">
        <v>150000</v>
      </c>
      <c r="L431" s="9">
        <v>150000</v>
      </c>
      <c r="M431" s="92">
        <v>150000</v>
      </c>
      <c r="N431" s="92">
        <v>150000</v>
      </c>
      <c r="O431" s="92">
        <v>150000</v>
      </c>
      <c r="P431" s="92">
        <v>150000</v>
      </c>
      <c r="Q431" s="92">
        <v>150000</v>
      </c>
      <c r="R431" s="92">
        <f t="shared" si="6"/>
        <v>19645000</v>
      </c>
    </row>
    <row r="432" spans="1:18" s="142" customFormat="1" x14ac:dyDescent="0.35">
      <c r="A432" s="143">
        <v>430</v>
      </c>
      <c r="B432" s="6" t="s">
        <v>951</v>
      </c>
      <c r="C432" s="144" t="s">
        <v>2064</v>
      </c>
      <c r="D432" s="145" t="s">
        <v>72</v>
      </c>
      <c r="E432" s="141">
        <v>26820000</v>
      </c>
      <c r="F432" s="9">
        <v>250000</v>
      </c>
      <c r="G432" s="9">
        <v>250000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250000</v>
      </c>
      <c r="N432" s="9">
        <v>250000</v>
      </c>
      <c r="O432" s="141">
        <v>250000</v>
      </c>
      <c r="P432" s="141">
        <v>250000</v>
      </c>
      <c r="Q432" s="141">
        <v>250000</v>
      </c>
      <c r="R432" s="141">
        <f t="shared" si="6"/>
        <v>28570000</v>
      </c>
    </row>
    <row r="433" spans="1:18" s="93" customFormat="1" x14ac:dyDescent="0.35">
      <c r="A433" s="89">
        <v>431</v>
      </c>
      <c r="B433" s="6" t="s">
        <v>953</v>
      </c>
      <c r="C433" s="90" t="s">
        <v>1908</v>
      </c>
      <c r="D433" s="91" t="s">
        <v>267</v>
      </c>
      <c r="E433" s="92">
        <v>27970000</v>
      </c>
      <c r="F433" s="9">
        <v>250000</v>
      </c>
      <c r="G433" s="9">
        <v>250000</v>
      </c>
      <c r="H433" s="9">
        <v>250000</v>
      </c>
      <c r="I433" s="9">
        <v>250000</v>
      </c>
      <c r="J433" s="9">
        <v>250000</v>
      </c>
      <c r="K433" s="9">
        <v>250000</v>
      </c>
      <c r="L433" s="9">
        <v>250000</v>
      </c>
      <c r="M433" s="9">
        <v>250000</v>
      </c>
      <c r="N433" s="9">
        <v>250000</v>
      </c>
      <c r="O433" s="141">
        <v>250000</v>
      </c>
      <c r="P433" s="92">
        <v>250000</v>
      </c>
      <c r="Q433" s="92">
        <v>250000</v>
      </c>
      <c r="R433" s="92">
        <f t="shared" si="6"/>
        <v>30970000</v>
      </c>
    </row>
    <row r="434" spans="1:18" s="142" customFormat="1" x14ac:dyDescent="0.35">
      <c r="A434" s="143">
        <v>432</v>
      </c>
      <c r="B434" s="6" t="s">
        <v>955</v>
      </c>
      <c r="C434" s="144" t="s">
        <v>2065</v>
      </c>
      <c r="D434" s="145" t="s">
        <v>19</v>
      </c>
      <c r="E434" s="141">
        <v>19645000</v>
      </c>
      <c r="F434" s="9">
        <v>150000</v>
      </c>
      <c r="G434" s="9">
        <v>150000</v>
      </c>
      <c r="H434" s="9">
        <v>150000</v>
      </c>
      <c r="I434" s="9">
        <v>150000</v>
      </c>
      <c r="J434" s="9">
        <v>150000</v>
      </c>
      <c r="K434" s="9">
        <v>150000</v>
      </c>
      <c r="L434" s="9">
        <v>150000</v>
      </c>
      <c r="M434" s="9">
        <v>150000</v>
      </c>
      <c r="N434" s="9">
        <v>150000</v>
      </c>
      <c r="O434" s="141">
        <v>150000</v>
      </c>
      <c r="P434" s="141">
        <v>150000</v>
      </c>
      <c r="Q434" s="141">
        <v>150000</v>
      </c>
      <c r="R434" s="141">
        <f t="shared" si="6"/>
        <v>21445000</v>
      </c>
    </row>
    <row r="435" spans="1:18" s="93" customFormat="1" x14ac:dyDescent="0.35">
      <c r="A435" s="89">
        <v>433</v>
      </c>
      <c r="B435" s="94" t="s">
        <v>957</v>
      </c>
      <c r="C435" s="90" t="s">
        <v>1771</v>
      </c>
      <c r="D435" s="91" t="s">
        <v>406</v>
      </c>
      <c r="E435" s="92">
        <v>31895000</v>
      </c>
      <c r="F435" s="92">
        <v>250000</v>
      </c>
      <c r="G435" s="92">
        <v>250000</v>
      </c>
      <c r="H435" s="9">
        <v>250000</v>
      </c>
      <c r="I435" s="9">
        <v>250000</v>
      </c>
      <c r="J435" s="9">
        <v>250000</v>
      </c>
      <c r="K435" s="9">
        <v>250000</v>
      </c>
      <c r="L435" s="9">
        <v>250000</v>
      </c>
      <c r="M435" s="92">
        <v>250000</v>
      </c>
      <c r="N435" s="92">
        <v>250000</v>
      </c>
      <c r="O435" s="92">
        <v>250000</v>
      </c>
      <c r="P435" s="92">
        <v>250000</v>
      </c>
      <c r="Q435" s="92">
        <v>250000</v>
      </c>
      <c r="R435" s="92">
        <f t="shared" si="6"/>
        <v>34895000</v>
      </c>
    </row>
    <row r="436" spans="1:18" x14ac:dyDescent="0.35">
      <c r="A436" s="5">
        <v>434</v>
      </c>
      <c r="B436" s="94" t="s">
        <v>959</v>
      </c>
      <c r="C436" s="7" t="s">
        <v>1656</v>
      </c>
      <c r="D436" s="8" t="s">
        <v>98</v>
      </c>
      <c r="E436" s="9">
        <v>27995000</v>
      </c>
      <c r="F436" s="92">
        <v>250000</v>
      </c>
      <c r="G436" s="92">
        <v>250000</v>
      </c>
      <c r="H436" s="9">
        <v>250000</v>
      </c>
      <c r="I436" s="9">
        <v>250000</v>
      </c>
      <c r="J436" s="9">
        <v>250000</v>
      </c>
      <c r="K436" s="9">
        <v>250000</v>
      </c>
      <c r="L436" s="9">
        <v>250000</v>
      </c>
      <c r="M436" s="92">
        <v>250000</v>
      </c>
      <c r="N436" s="92">
        <v>250000</v>
      </c>
      <c r="O436" s="9">
        <v>0</v>
      </c>
      <c r="P436" s="9">
        <v>0</v>
      </c>
      <c r="Q436" s="9"/>
      <c r="R436" s="9">
        <f t="shared" si="6"/>
        <v>30245000</v>
      </c>
    </row>
    <row r="437" spans="1:18" x14ac:dyDescent="0.35">
      <c r="A437" s="5">
        <v>435</v>
      </c>
      <c r="B437" s="6" t="s">
        <v>961</v>
      </c>
      <c r="C437" s="7" t="s">
        <v>962</v>
      </c>
      <c r="D437" s="8" t="s">
        <v>374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/>
      <c r="R437" s="9">
        <f t="shared" si="6"/>
        <v>0</v>
      </c>
    </row>
    <row r="438" spans="1:18" x14ac:dyDescent="0.35">
      <c r="A438" s="5">
        <v>436</v>
      </c>
      <c r="B438" s="6" t="s">
        <v>963</v>
      </c>
      <c r="C438" s="7" t="s">
        <v>964</v>
      </c>
      <c r="D438" s="8" t="s">
        <v>136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/>
      <c r="R438" s="9">
        <f t="shared" si="6"/>
        <v>0</v>
      </c>
    </row>
    <row r="439" spans="1:18" x14ac:dyDescent="0.35">
      <c r="A439" s="5">
        <v>437</v>
      </c>
      <c r="B439" s="6" t="s">
        <v>965</v>
      </c>
      <c r="C439" s="7" t="s">
        <v>1657</v>
      </c>
      <c r="D439" s="8" t="s">
        <v>77</v>
      </c>
      <c r="E439" s="9">
        <v>-750000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/>
      <c r="R439" s="9">
        <f t="shared" si="6"/>
        <v>-750000</v>
      </c>
    </row>
    <row r="440" spans="1:18" x14ac:dyDescent="0.35">
      <c r="A440" s="5">
        <v>438</v>
      </c>
      <c r="B440" s="6" t="s">
        <v>967</v>
      </c>
      <c r="C440" s="7" t="s">
        <v>1625</v>
      </c>
      <c r="D440" s="8" t="s">
        <v>374</v>
      </c>
      <c r="E440" s="9">
        <v>-1200000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/>
      <c r="R440" s="9">
        <f t="shared" si="6"/>
        <v>-1200000</v>
      </c>
    </row>
    <row r="441" spans="1:18" s="93" customFormat="1" x14ac:dyDescent="0.35">
      <c r="A441" s="89">
        <v>439</v>
      </c>
      <c r="B441" s="94" t="s">
        <v>969</v>
      </c>
      <c r="C441" s="90" t="s">
        <v>2066</v>
      </c>
      <c r="D441" s="91" t="s">
        <v>19</v>
      </c>
      <c r="E441" s="92">
        <v>19895000</v>
      </c>
      <c r="F441" s="92">
        <v>150000</v>
      </c>
      <c r="G441" s="92">
        <v>150000</v>
      </c>
      <c r="H441" s="9">
        <v>150000</v>
      </c>
      <c r="I441" s="9">
        <v>150000</v>
      </c>
      <c r="J441" s="9">
        <v>150000</v>
      </c>
      <c r="K441" s="9">
        <v>150000</v>
      </c>
      <c r="L441" s="9">
        <v>150000</v>
      </c>
      <c r="M441" s="92">
        <v>150000</v>
      </c>
      <c r="N441" s="92">
        <v>150000</v>
      </c>
      <c r="O441" s="92">
        <v>150000</v>
      </c>
      <c r="P441" s="92">
        <v>150000</v>
      </c>
      <c r="Q441" s="92">
        <v>150000</v>
      </c>
      <c r="R441" s="92">
        <f t="shared" si="6"/>
        <v>21695000</v>
      </c>
    </row>
    <row r="442" spans="1:18" x14ac:dyDescent="0.35">
      <c r="A442" s="5">
        <v>440</v>
      </c>
      <c r="B442" s="6" t="s">
        <v>971</v>
      </c>
      <c r="C442" s="7" t="s">
        <v>1658</v>
      </c>
      <c r="D442" s="8" t="s">
        <v>14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/>
      <c r="R442" s="9">
        <f t="shared" si="6"/>
        <v>0</v>
      </c>
    </row>
    <row r="443" spans="1:18" x14ac:dyDescent="0.35">
      <c r="A443" s="5">
        <v>441</v>
      </c>
      <c r="B443" s="94" t="s">
        <v>973</v>
      </c>
      <c r="C443" s="7" t="s">
        <v>1770</v>
      </c>
      <c r="D443" s="8" t="s">
        <v>406</v>
      </c>
      <c r="E443" s="9">
        <v>26375000</v>
      </c>
      <c r="F443" s="92">
        <v>250000</v>
      </c>
      <c r="G443" s="92">
        <v>250000</v>
      </c>
      <c r="H443" s="9">
        <v>250000</v>
      </c>
      <c r="I443" s="9">
        <v>250000</v>
      </c>
      <c r="J443" s="9">
        <v>250000</v>
      </c>
      <c r="K443" s="9">
        <v>0</v>
      </c>
      <c r="L443" s="9">
        <v>0</v>
      </c>
      <c r="M443" s="9">
        <v>-27625000</v>
      </c>
      <c r="N443" s="9">
        <v>0</v>
      </c>
      <c r="O443" s="9">
        <v>0</v>
      </c>
      <c r="P443" s="9">
        <v>0</v>
      </c>
      <c r="Q443" s="9"/>
      <c r="R443" s="9">
        <f t="shared" si="6"/>
        <v>0</v>
      </c>
    </row>
    <row r="444" spans="1:18" s="142" customFormat="1" x14ac:dyDescent="0.35">
      <c r="A444" s="143">
        <v>442</v>
      </c>
      <c r="B444" s="6" t="s">
        <v>975</v>
      </c>
      <c r="C444" s="144" t="s">
        <v>1906</v>
      </c>
      <c r="D444" s="145" t="s">
        <v>92</v>
      </c>
      <c r="E444" s="141">
        <v>17695000</v>
      </c>
      <c r="F444" s="9">
        <v>150000</v>
      </c>
      <c r="G444" s="9">
        <v>150000</v>
      </c>
      <c r="H444" s="9">
        <v>150000</v>
      </c>
      <c r="I444" s="9">
        <v>150000</v>
      </c>
      <c r="J444" s="9">
        <v>150000</v>
      </c>
      <c r="K444" s="9">
        <v>150000</v>
      </c>
      <c r="L444" s="9">
        <v>150000</v>
      </c>
      <c r="M444" s="9">
        <v>150000</v>
      </c>
      <c r="N444" s="9">
        <v>150000</v>
      </c>
      <c r="O444" s="141">
        <v>150000</v>
      </c>
      <c r="P444" s="141">
        <v>150000</v>
      </c>
      <c r="Q444" s="141">
        <v>150000</v>
      </c>
      <c r="R444" s="141">
        <f t="shared" si="6"/>
        <v>19495000</v>
      </c>
    </row>
    <row r="445" spans="1:18" x14ac:dyDescent="0.35">
      <c r="A445" s="5">
        <v>443</v>
      </c>
      <c r="B445" s="6" t="s">
        <v>977</v>
      </c>
      <c r="C445" s="7" t="s">
        <v>978</v>
      </c>
      <c r="D445" s="8" t="s">
        <v>60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/>
      <c r="R445" s="9">
        <f t="shared" si="6"/>
        <v>0</v>
      </c>
    </row>
    <row r="446" spans="1:18" x14ac:dyDescent="0.35">
      <c r="A446" s="5">
        <v>444</v>
      </c>
      <c r="B446" s="6" t="s">
        <v>979</v>
      </c>
      <c r="C446" s="7" t="s">
        <v>980</v>
      </c>
      <c r="D446" s="8" t="s">
        <v>92</v>
      </c>
      <c r="E446" s="9">
        <v>100000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/>
      <c r="R446" s="9">
        <f t="shared" si="6"/>
        <v>100000</v>
      </c>
    </row>
    <row r="447" spans="1:18" x14ac:dyDescent="0.35">
      <c r="A447" s="5">
        <v>445</v>
      </c>
      <c r="B447" s="6" t="s">
        <v>981</v>
      </c>
      <c r="C447" s="7" t="s">
        <v>2067</v>
      </c>
      <c r="D447" s="8" t="s">
        <v>983</v>
      </c>
      <c r="E447" s="9">
        <v>4495000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/>
      <c r="R447" s="9">
        <f t="shared" si="6"/>
        <v>4495000</v>
      </c>
    </row>
    <row r="448" spans="1:18" x14ac:dyDescent="0.35">
      <c r="A448" s="5">
        <v>446</v>
      </c>
      <c r="B448" s="6" t="s">
        <v>984</v>
      </c>
      <c r="C448" s="7" t="s">
        <v>985</v>
      </c>
      <c r="D448" s="8" t="s">
        <v>60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/>
      <c r="R448" s="9">
        <f t="shared" si="6"/>
        <v>0</v>
      </c>
    </row>
    <row r="449" spans="1:18" x14ac:dyDescent="0.35">
      <c r="A449" s="5">
        <v>447</v>
      </c>
      <c r="B449" s="6" t="s">
        <v>986</v>
      </c>
      <c r="C449" s="7" t="s">
        <v>1626</v>
      </c>
      <c r="D449" s="8" t="s">
        <v>49</v>
      </c>
      <c r="E449" s="9">
        <v>12995000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/>
      <c r="R449" s="9">
        <f t="shared" si="6"/>
        <v>12995000</v>
      </c>
    </row>
    <row r="450" spans="1:18" s="104" customFormat="1" x14ac:dyDescent="0.35">
      <c r="A450" s="100">
        <v>448</v>
      </c>
      <c r="B450" s="94" t="s">
        <v>988</v>
      </c>
      <c r="C450" s="101" t="s">
        <v>1764</v>
      </c>
      <c r="D450" s="102" t="s">
        <v>333</v>
      </c>
      <c r="E450" s="103">
        <v>16095000</v>
      </c>
      <c r="F450" s="92">
        <v>150000</v>
      </c>
      <c r="G450" s="92">
        <v>150000</v>
      </c>
      <c r="H450" s="9">
        <v>150000</v>
      </c>
      <c r="I450" s="9">
        <v>150000</v>
      </c>
      <c r="J450" s="9">
        <v>150000</v>
      </c>
      <c r="K450" s="103">
        <v>150000</v>
      </c>
      <c r="L450" s="103">
        <v>150000</v>
      </c>
      <c r="M450" s="103">
        <v>150000</v>
      </c>
      <c r="N450" s="103">
        <v>150000</v>
      </c>
      <c r="O450" s="103">
        <v>150000</v>
      </c>
      <c r="P450" s="103">
        <v>150000</v>
      </c>
      <c r="Q450" s="103">
        <v>150000</v>
      </c>
      <c r="R450" s="103">
        <f t="shared" si="6"/>
        <v>17895000</v>
      </c>
    </row>
    <row r="451" spans="1:18" s="93" customFormat="1" x14ac:dyDescent="0.35">
      <c r="A451" s="89">
        <v>449</v>
      </c>
      <c r="B451" s="94" t="s">
        <v>990</v>
      </c>
      <c r="C451" s="90" t="s">
        <v>2068</v>
      </c>
      <c r="D451" s="91" t="s">
        <v>119</v>
      </c>
      <c r="E451" s="92">
        <v>50039480</v>
      </c>
      <c r="F451" s="92">
        <v>350000</v>
      </c>
      <c r="G451" s="92">
        <v>350000</v>
      </c>
      <c r="H451" s="92">
        <v>350000</v>
      </c>
      <c r="I451" s="9">
        <v>350000</v>
      </c>
      <c r="J451" s="92">
        <v>350000</v>
      </c>
      <c r="K451" s="92">
        <v>350000</v>
      </c>
      <c r="L451" s="92">
        <v>350000</v>
      </c>
      <c r="M451" s="92">
        <v>350000</v>
      </c>
      <c r="N451" s="92">
        <v>350000</v>
      </c>
      <c r="O451" s="92">
        <v>350000</v>
      </c>
      <c r="P451" s="92">
        <v>350000</v>
      </c>
      <c r="Q451" s="92">
        <v>350000</v>
      </c>
      <c r="R451" s="92">
        <f t="shared" ref="R451:R514" si="7">SUM(E451:Q451)</f>
        <v>54239480</v>
      </c>
    </row>
    <row r="452" spans="1:18" s="93" customFormat="1" x14ac:dyDescent="0.35">
      <c r="A452" s="89">
        <v>450</v>
      </c>
      <c r="B452" s="94" t="s">
        <v>992</v>
      </c>
      <c r="C452" s="90" t="s">
        <v>1787</v>
      </c>
      <c r="D452" s="91" t="s">
        <v>119</v>
      </c>
      <c r="E452" s="92">
        <v>18975000</v>
      </c>
      <c r="F452" s="92">
        <v>150000</v>
      </c>
      <c r="G452" s="92">
        <v>150000</v>
      </c>
      <c r="H452" s="9">
        <v>150000</v>
      </c>
      <c r="I452" s="9">
        <v>150000</v>
      </c>
      <c r="J452" s="9">
        <v>150000</v>
      </c>
      <c r="K452" s="9">
        <v>150000</v>
      </c>
      <c r="L452" s="9">
        <v>150000</v>
      </c>
      <c r="M452" s="92">
        <v>150000</v>
      </c>
      <c r="N452" s="92">
        <v>150000</v>
      </c>
      <c r="O452" s="92">
        <v>150000</v>
      </c>
      <c r="P452" s="92">
        <v>150000</v>
      </c>
      <c r="Q452" s="92">
        <v>150000</v>
      </c>
      <c r="R452" s="92">
        <f t="shared" si="7"/>
        <v>20775000</v>
      </c>
    </row>
    <row r="453" spans="1:18" s="93" customFormat="1" x14ac:dyDescent="0.35">
      <c r="A453" s="89">
        <v>451</v>
      </c>
      <c r="B453" s="94" t="s">
        <v>994</v>
      </c>
      <c r="C453" s="90" t="s">
        <v>1763</v>
      </c>
      <c r="D453" s="91" t="s">
        <v>318</v>
      </c>
      <c r="E453" s="92">
        <v>19120000</v>
      </c>
      <c r="F453" s="92">
        <v>150000</v>
      </c>
      <c r="G453" s="92">
        <v>150000</v>
      </c>
      <c r="H453" s="9">
        <v>150000</v>
      </c>
      <c r="I453" s="9">
        <v>150000</v>
      </c>
      <c r="J453" s="9">
        <v>150000</v>
      </c>
      <c r="K453" s="9">
        <v>150000</v>
      </c>
      <c r="L453" s="9">
        <v>150000</v>
      </c>
      <c r="M453" s="92">
        <v>150000</v>
      </c>
      <c r="N453" s="92">
        <v>150000</v>
      </c>
      <c r="O453" s="92">
        <v>150000</v>
      </c>
      <c r="P453" s="92">
        <v>150000</v>
      </c>
      <c r="Q453" s="92">
        <v>150000</v>
      </c>
      <c r="R453" s="92">
        <f t="shared" si="7"/>
        <v>20920000</v>
      </c>
    </row>
    <row r="454" spans="1:18" x14ac:dyDescent="0.35">
      <c r="A454" s="5">
        <v>452</v>
      </c>
      <c r="B454" s="6" t="s">
        <v>996</v>
      </c>
      <c r="C454" s="7" t="s">
        <v>997</v>
      </c>
      <c r="D454" s="8" t="s">
        <v>300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/>
      <c r="R454" s="9">
        <f t="shared" si="7"/>
        <v>0</v>
      </c>
    </row>
    <row r="455" spans="1:18" x14ac:dyDescent="0.35">
      <c r="A455" s="5">
        <v>453</v>
      </c>
      <c r="B455" s="6" t="s">
        <v>998</v>
      </c>
      <c r="C455" s="7" t="s">
        <v>999</v>
      </c>
      <c r="D455" s="8" t="s">
        <v>49</v>
      </c>
      <c r="E455" s="9">
        <v>445000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/>
      <c r="R455" s="9">
        <f t="shared" si="7"/>
        <v>445000</v>
      </c>
    </row>
    <row r="456" spans="1:18" s="93" customFormat="1" x14ac:dyDescent="0.35">
      <c r="A456" s="89">
        <v>454</v>
      </c>
      <c r="B456" s="94" t="s">
        <v>1000</v>
      </c>
      <c r="C456" s="90" t="s">
        <v>2069</v>
      </c>
      <c r="D456" s="91" t="s">
        <v>14</v>
      </c>
      <c r="E456" s="92">
        <v>18775000</v>
      </c>
      <c r="F456" s="92">
        <v>150000</v>
      </c>
      <c r="G456" s="92">
        <v>150000</v>
      </c>
      <c r="H456" s="9">
        <v>150000</v>
      </c>
      <c r="I456" s="9">
        <v>150000</v>
      </c>
      <c r="J456" s="9">
        <v>150000</v>
      </c>
      <c r="K456" s="9">
        <v>150000</v>
      </c>
      <c r="L456" s="9">
        <v>150000</v>
      </c>
      <c r="M456" s="92">
        <v>150000</v>
      </c>
      <c r="N456" s="92">
        <v>150000</v>
      </c>
      <c r="O456" s="92">
        <v>150000</v>
      </c>
      <c r="P456" s="92">
        <v>150000</v>
      </c>
      <c r="Q456" s="92">
        <v>150000</v>
      </c>
      <c r="R456" s="92">
        <f t="shared" si="7"/>
        <v>20575000</v>
      </c>
    </row>
    <row r="457" spans="1:18" x14ac:dyDescent="0.35">
      <c r="A457" s="5">
        <v>455</v>
      </c>
      <c r="B457" s="6" t="s">
        <v>1002</v>
      </c>
      <c r="C457" s="7" t="s">
        <v>1003</v>
      </c>
      <c r="D457" s="8" t="s">
        <v>136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/>
      <c r="R457" s="9">
        <f t="shared" si="7"/>
        <v>0</v>
      </c>
    </row>
    <row r="458" spans="1:18" x14ac:dyDescent="0.35">
      <c r="A458" s="5">
        <v>456</v>
      </c>
      <c r="B458" s="6" t="s">
        <v>1004</v>
      </c>
      <c r="C458" s="7" t="s">
        <v>1005</v>
      </c>
      <c r="D458" s="8" t="s">
        <v>169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/>
      <c r="R458" s="9">
        <f t="shared" si="7"/>
        <v>0</v>
      </c>
    </row>
    <row r="459" spans="1:18" x14ac:dyDescent="0.35">
      <c r="A459" s="5">
        <v>457</v>
      </c>
      <c r="B459" s="6" t="s">
        <v>1006</v>
      </c>
      <c r="C459" s="7" t="s">
        <v>1659</v>
      </c>
      <c r="D459" s="8" t="s">
        <v>14</v>
      </c>
      <c r="E459" s="9">
        <v>350000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/>
      <c r="R459" s="9">
        <f t="shared" si="7"/>
        <v>350000</v>
      </c>
    </row>
    <row r="460" spans="1:18" x14ac:dyDescent="0.35">
      <c r="A460" s="5">
        <v>458</v>
      </c>
      <c r="B460" s="94" t="s">
        <v>1008</v>
      </c>
      <c r="C460" s="7" t="s">
        <v>1783</v>
      </c>
      <c r="D460" s="8" t="s">
        <v>60</v>
      </c>
      <c r="E460" s="9">
        <v>29545000</v>
      </c>
      <c r="F460" s="92">
        <v>250000</v>
      </c>
      <c r="G460" s="92">
        <v>250000</v>
      </c>
      <c r="H460" s="9">
        <v>250000</v>
      </c>
      <c r="I460" s="9">
        <v>250000</v>
      </c>
      <c r="J460" s="9">
        <v>250000</v>
      </c>
      <c r="K460" s="9">
        <v>250000</v>
      </c>
      <c r="L460" s="9">
        <v>250000</v>
      </c>
      <c r="M460" s="92">
        <v>250000</v>
      </c>
      <c r="N460" s="92">
        <v>250000</v>
      </c>
      <c r="O460" s="9">
        <v>250000</v>
      </c>
      <c r="P460" s="9">
        <v>0</v>
      </c>
      <c r="Q460" s="9">
        <v>-32045000</v>
      </c>
      <c r="R460" s="9">
        <f t="shared" si="7"/>
        <v>0</v>
      </c>
    </row>
    <row r="461" spans="1:18" x14ac:dyDescent="0.35">
      <c r="A461" s="5">
        <v>459</v>
      </c>
      <c r="B461" s="6" t="s">
        <v>1010</v>
      </c>
      <c r="C461" s="7" t="s">
        <v>1660</v>
      </c>
      <c r="D461" s="8" t="s">
        <v>60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/>
      <c r="R461" s="9">
        <f t="shared" si="7"/>
        <v>0</v>
      </c>
    </row>
    <row r="462" spans="1:18" s="93" customFormat="1" x14ac:dyDescent="0.35">
      <c r="A462" s="89">
        <v>460</v>
      </c>
      <c r="B462" s="94" t="s">
        <v>1012</v>
      </c>
      <c r="C462" s="90" t="s">
        <v>2070</v>
      </c>
      <c r="D462" s="91" t="s">
        <v>60</v>
      </c>
      <c r="E462" s="92">
        <v>29625000</v>
      </c>
      <c r="F462" s="92">
        <v>250000</v>
      </c>
      <c r="G462" s="92">
        <v>250000</v>
      </c>
      <c r="H462" s="9">
        <v>250000</v>
      </c>
      <c r="I462" s="9">
        <v>250000</v>
      </c>
      <c r="J462" s="9">
        <v>250000</v>
      </c>
      <c r="K462" s="9">
        <v>250000</v>
      </c>
      <c r="L462" s="9">
        <v>250000</v>
      </c>
      <c r="M462" s="92">
        <v>250000</v>
      </c>
      <c r="N462" s="92">
        <v>250000</v>
      </c>
      <c r="O462" s="92">
        <v>250000</v>
      </c>
      <c r="P462" s="92">
        <v>250000</v>
      </c>
      <c r="Q462" s="92">
        <v>250000</v>
      </c>
      <c r="R462" s="92">
        <f t="shared" si="7"/>
        <v>32625000</v>
      </c>
    </row>
    <row r="463" spans="1:18" x14ac:dyDescent="0.35">
      <c r="A463" s="5">
        <v>461</v>
      </c>
      <c r="B463" s="6" t="s">
        <v>1014</v>
      </c>
      <c r="C463" s="7" t="s">
        <v>1661</v>
      </c>
      <c r="D463" s="8" t="s">
        <v>60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/>
      <c r="R463" s="9">
        <f t="shared" si="7"/>
        <v>0</v>
      </c>
    </row>
    <row r="464" spans="1:18" s="93" customFormat="1" x14ac:dyDescent="0.35">
      <c r="A464" s="89">
        <v>462</v>
      </c>
      <c r="B464" s="94" t="s">
        <v>1016</v>
      </c>
      <c r="C464" s="90" t="s">
        <v>2071</v>
      </c>
      <c r="D464" s="91" t="s">
        <v>367</v>
      </c>
      <c r="E464" s="92">
        <v>29420000</v>
      </c>
      <c r="F464" s="92">
        <v>250000</v>
      </c>
      <c r="G464" s="92">
        <v>250000</v>
      </c>
      <c r="H464" s="9">
        <v>250000</v>
      </c>
      <c r="I464" s="9">
        <v>250000</v>
      </c>
      <c r="J464" s="9">
        <v>250000</v>
      </c>
      <c r="K464" s="9">
        <v>250000</v>
      </c>
      <c r="L464" s="9">
        <v>250000</v>
      </c>
      <c r="M464" s="92">
        <v>250000</v>
      </c>
      <c r="N464" s="92">
        <v>250000</v>
      </c>
      <c r="O464" s="92">
        <v>250000</v>
      </c>
      <c r="P464" s="92">
        <v>250000</v>
      </c>
      <c r="Q464" s="92">
        <v>250000</v>
      </c>
      <c r="R464" s="92">
        <f t="shared" si="7"/>
        <v>32420000</v>
      </c>
    </row>
    <row r="465" spans="1:18" s="142" customFormat="1" x14ac:dyDescent="0.35">
      <c r="A465" s="143">
        <v>463</v>
      </c>
      <c r="B465" s="6" t="s">
        <v>1018</v>
      </c>
      <c r="C465" s="144" t="s">
        <v>1854</v>
      </c>
      <c r="D465" s="145" t="s">
        <v>198</v>
      </c>
      <c r="E465" s="141">
        <v>13745000</v>
      </c>
      <c r="F465" s="9">
        <v>250000</v>
      </c>
      <c r="G465" s="9">
        <v>250000</v>
      </c>
      <c r="H465" s="9">
        <v>250000</v>
      </c>
      <c r="I465" s="9">
        <v>250000</v>
      </c>
      <c r="J465" s="9">
        <v>250000</v>
      </c>
      <c r="K465" s="9">
        <v>250000</v>
      </c>
      <c r="L465" s="9">
        <v>250000</v>
      </c>
      <c r="M465" s="9">
        <v>250000</v>
      </c>
      <c r="N465" s="9">
        <v>250000</v>
      </c>
      <c r="O465" s="141">
        <v>250000</v>
      </c>
      <c r="P465" s="141">
        <v>250000</v>
      </c>
      <c r="Q465" s="141">
        <v>250000</v>
      </c>
      <c r="R465" s="141">
        <f t="shared" si="7"/>
        <v>16745000</v>
      </c>
    </row>
    <row r="466" spans="1:18" s="142" customFormat="1" x14ac:dyDescent="0.35">
      <c r="A466" s="143">
        <v>464</v>
      </c>
      <c r="B466" s="6" t="s">
        <v>1020</v>
      </c>
      <c r="C466" s="144" t="s">
        <v>2072</v>
      </c>
      <c r="D466" s="145" t="s">
        <v>198</v>
      </c>
      <c r="E466" s="141">
        <v>28995000</v>
      </c>
      <c r="F466" s="9">
        <v>250000</v>
      </c>
      <c r="G466" s="9">
        <v>250000</v>
      </c>
      <c r="H466" s="9">
        <v>250000</v>
      </c>
      <c r="I466" s="9">
        <v>250000</v>
      </c>
      <c r="J466" s="9">
        <v>250000</v>
      </c>
      <c r="K466" s="9">
        <v>250000</v>
      </c>
      <c r="L466" s="9">
        <v>250000</v>
      </c>
      <c r="M466" s="9">
        <v>250000</v>
      </c>
      <c r="N466" s="9">
        <v>250000</v>
      </c>
      <c r="O466" s="141">
        <v>250000</v>
      </c>
      <c r="P466" s="141">
        <v>250000</v>
      </c>
      <c r="Q466" s="141">
        <v>250000</v>
      </c>
      <c r="R466" s="141">
        <f t="shared" si="7"/>
        <v>31995000</v>
      </c>
    </row>
    <row r="467" spans="1:18" x14ac:dyDescent="0.35">
      <c r="A467" s="5">
        <v>465</v>
      </c>
      <c r="B467" s="6" t="s">
        <v>1022</v>
      </c>
      <c r="C467" s="7" t="s">
        <v>1662</v>
      </c>
      <c r="D467" s="8" t="s">
        <v>49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/>
      <c r="R467" s="9">
        <f t="shared" si="7"/>
        <v>0</v>
      </c>
    </row>
    <row r="468" spans="1:18" x14ac:dyDescent="0.35">
      <c r="A468" s="5">
        <v>466</v>
      </c>
      <c r="B468" s="6" t="s">
        <v>1024</v>
      </c>
      <c r="C468" s="7" t="s">
        <v>1663</v>
      </c>
      <c r="D468" s="8" t="s">
        <v>123</v>
      </c>
      <c r="E468" s="9">
        <v>7495000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/>
      <c r="R468" s="9">
        <f t="shared" si="7"/>
        <v>7495000</v>
      </c>
    </row>
    <row r="469" spans="1:18" s="142" customFormat="1" x14ac:dyDescent="0.35">
      <c r="A469" s="143">
        <v>467</v>
      </c>
      <c r="B469" s="6" t="s">
        <v>1026</v>
      </c>
      <c r="C469" s="144" t="s">
        <v>2073</v>
      </c>
      <c r="D469" s="145" t="s">
        <v>77</v>
      </c>
      <c r="E469" s="141">
        <v>14270000</v>
      </c>
      <c r="F469" s="9">
        <v>250000</v>
      </c>
      <c r="G469" s="9">
        <v>250000</v>
      </c>
      <c r="H469" s="9">
        <v>250000</v>
      </c>
      <c r="I469" s="9">
        <v>250000</v>
      </c>
      <c r="J469" s="9">
        <v>250000</v>
      </c>
      <c r="K469" s="9">
        <v>250000</v>
      </c>
      <c r="L469" s="9">
        <v>250000</v>
      </c>
      <c r="M469" s="9">
        <v>250000</v>
      </c>
      <c r="N469" s="9">
        <v>250000</v>
      </c>
      <c r="O469" s="141">
        <v>250000</v>
      </c>
      <c r="P469" s="141">
        <v>250000</v>
      </c>
      <c r="Q469" s="141">
        <v>250000</v>
      </c>
      <c r="R469" s="141">
        <f t="shared" si="7"/>
        <v>17270000</v>
      </c>
    </row>
    <row r="470" spans="1:18" s="142" customFormat="1" x14ac:dyDescent="0.35">
      <c r="A470" s="143">
        <v>468</v>
      </c>
      <c r="B470" s="6" t="s">
        <v>1028</v>
      </c>
      <c r="C470" s="144" t="s">
        <v>1875</v>
      </c>
      <c r="D470" s="145" t="s">
        <v>141</v>
      </c>
      <c r="E470" s="141">
        <v>24170000</v>
      </c>
      <c r="F470" s="9">
        <v>250000</v>
      </c>
      <c r="G470" s="9">
        <v>250000</v>
      </c>
      <c r="H470" s="9">
        <v>250000</v>
      </c>
      <c r="I470" s="9">
        <v>250000</v>
      </c>
      <c r="J470" s="9">
        <v>250000</v>
      </c>
      <c r="K470" s="9">
        <v>250000</v>
      </c>
      <c r="L470" s="9">
        <v>250000</v>
      </c>
      <c r="M470" s="9">
        <v>250000</v>
      </c>
      <c r="N470" s="9">
        <v>250000</v>
      </c>
      <c r="O470" s="141">
        <v>250000</v>
      </c>
      <c r="P470" s="141">
        <v>250000</v>
      </c>
      <c r="Q470" s="141">
        <v>250000</v>
      </c>
      <c r="R470" s="141">
        <f t="shared" si="7"/>
        <v>27170000</v>
      </c>
    </row>
    <row r="471" spans="1:18" x14ac:dyDescent="0.35">
      <c r="A471" s="5">
        <v>469</v>
      </c>
      <c r="B471" s="6" t="s">
        <v>1030</v>
      </c>
      <c r="C471" s="7" t="s">
        <v>1664</v>
      </c>
      <c r="D471" s="8" t="s">
        <v>141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/>
      <c r="R471" s="9">
        <f t="shared" si="7"/>
        <v>0</v>
      </c>
    </row>
    <row r="472" spans="1:18" x14ac:dyDescent="0.35">
      <c r="A472" s="5">
        <v>470</v>
      </c>
      <c r="B472" s="6" t="s">
        <v>1032</v>
      </c>
      <c r="C472" s="7" t="s">
        <v>1665</v>
      </c>
      <c r="D472" s="8" t="s">
        <v>253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/>
      <c r="R472" s="9">
        <f t="shared" si="7"/>
        <v>0</v>
      </c>
    </row>
    <row r="473" spans="1:18" s="93" customFormat="1" x14ac:dyDescent="0.35">
      <c r="A473" s="89">
        <v>471</v>
      </c>
      <c r="B473" s="94" t="s">
        <v>1034</v>
      </c>
      <c r="C473" s="90" t="s">
        <v>2074</v>
      </c>
      <c r="D473" s="91" t="s">
        <v>131</v>
      </c>
      <c r="E473" s="92">
        <v>1500000</v>
      </c>
      <c r="F473" s="9">
        <v>0</v>
      </c>
      <c r="G473" s="92">
        <v>0</v>
      </c>
      <c r="H473" s="92">
        <v>0</v>
      </c>
      <c r="I473" s="9">
        <v>0</v>
      </c>
      <c r="J473" s="92">
        <v>0</v>
      </c>
      <c r="K473" s="92">
        <v>0</v>
      </c>
      <c r="L473" s="92">
        <v>250000</v>
      </c>
      <c r="M473" s="92">
        <v>250000</v>
      </c>
      <c r="N473" s="92">
        <v>250000</v>
      </c>
      <c r="O473" s="92">
        <v>250000</v>
      </c>
      <c r="P473" s="92">
        <v>250000</v>
      </c>
      <c r="Q473" s="92">
        <v>250000</v>
      </c>
      <c r="R473" s="92">
        <f t="shared" si="7"/>
        <v>3000000</v>
      </c>
    </row>
    <row r="474" spans="1:18" x14ac:dyDescent="0.35">
      <c r="A474" s="5">
        <v>472</v>
      </c>
      <c r="B474" s="6" t="s">
        <v>1036</v>
      </c>
      <c r="C474" s="7" t="s">
        <v>1666</v>
      </c>
      <c r="D474" s="8" t="s">
        <v>46</v>
      </c>
      <c r="E474" s="9">
        <v>225000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/>
      <c r="R474" s="9">
        <f t="shared" si="7"/>
        <v>225000</v>
      </c>
    </row>
    <row r="475" spans="1:18" x14ac:dyDescent="0.35">
      <c r="A475" s="5">
        <v>473</v>
      </c>
      <c r="B475" s="6" t="s">
        <v>1038</v>
      </c>
      <c r="C475" s="7" t="s">
        <v>1667</v>
      </c>
      <c r="D475" s="8" t="s">
        <v>253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/>
      <c r="R475" s="9">
        <f t="shared" si="7"/>
        <v>0</v>
      </c>
    </row>
    <row r="476" spans="1:18" x14ac:dyDescent="0.35">
      <c r="A476" s="5">
        <v>474</v>
      </c>
      <c r="B476" s="94" t="s">
        <v>1040</v>
      </c>
      <c r="C476" s="7" t="s">
        <v>1668</v>
      </c>
      <c r="D476" s="8" t="s">
        <v>95</v>
      </c>
      <c r="E476" s="9">
        <v>28000000</v>
      </c>
      <c r="F476" s="92">
        <v>250000</v>
      </c>
      <c r="G476" s="92">
        <v>250000</v>
      </c>
      <c r="H476" s="9">
        <v>250000</v>
      </c>
      <c r="I476" s="9">
        <v>250000</v>
      </c>
      <c r="J476" s="9">
        <v>250000</v>
      </c>
      <c r="K476" s="9">
        <v>250000</v>
      </c>
      <c r="L476" s="9">
        <v>0</v>
      </c>
      <c r="M476" s="9">
        <v>-29500000</v>
      </c>
      <c r="N476" s="9">
        <v>0</v>
      </c>
      <c r="O476" s="9">
        <v>0</v>
      </c>
      <c r="P476" s="9">
        <v>0</v>
      </c>
      <c r="Q476" s="9"/>
      <c r="R476" s="9">
        <f t="shared" si="7"/>
        <v>0</v>
      </c>
    </row>
    <row r="477" spans="1:18" s="93" customFormat="1" x14ac:dyDescent="0.35">
      <c r="A477" s="89">
        <v>475</v>
      </c>
      <c r="B477" s="94" t="s">
        <v>1042</v>
      </c>
      <c r="C477" s="90" t="s">
        <v>1785</v>
      </c>
      <c r="D477" s="91" t="s">
        <v>95</v>
      </c>
      <c r="E477" s="92">
        <v>26775000</v>
      </c>
      <c r="F477" s="92">
        <v>250000</v>
      </c>
      <c r="G477" s="92">
        <v>250000</v>
      </c>
      <c r="H477" s="9">
        <v>250000</v>
      </c>
      <c r="I477" s="9">
        <v>250000</v>
      </c>
      <c r="J477" s="9">
        <v>250000</v>
      </c>
      <c r="K477" s="9">
        <v>250000</v>
      </c>
      <c r="L477" s="9">
        <v>250000</v>
      </c>
      <c r="M477" s="92">
        <v>250000</v>
      </c>
      <c r="N477" s="92">
        <v>250000</v>
      </c>
      <c r="O477" s="92">
        <v>250000</v>
      </c>
      <c r="P477" s="92">
        <v>250000</v>
      </c>
      <c r="Q477" s="92">
        <v>250000</v>
      </c>
      <c r="R477" s="92">
        <f t="shared" si="7"/>
        <v>29775000</v>
      </c>
    </row>
    <row r="478" spans="1:18" x14ac:dyDescent="0.35">
      <c r="A478" s="5">
        <v>476</v>
      </c>
      <c r="B478" s="6" t="s">
        <v>1044</v>
      </c>
      <c r="C478" s="7" t="s">
        <v>1669</v>
      </c>
      <c r="D478" s="8" t="s">
        <v>141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/>
      <c r="R478" s="9">
        <f t="shared" si="7"/>
        <v>0</v>
      </c>
    </row>
    <row r="479" spans="1:18" x14ac:dyDescent="0.35">
      <c r="A479" s="5">
        <v>477</v>
      </c>
      <c r="B479" s="6" t="s">
        <v>1046</v>
      </c>
      <c r="C479" s="7" t="s">
        <v>1670</v>
      </c>
      <c r="D479" s="8" t="s">
        <v>123</v>
      </c>
      <c r="E479" s="9">
        <v>5995000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/>
      <c r="R479" s="9">
        <f t="shared" si="7"/>
        <v>5995000</v>
      </c>
    </row>
    <row r="480" spans="1:18" x14ac:dyDescent="0.35">
      <c r="A480" s="5">
        <v>478</v>
      </c>
      <c r="B480" s="6" t="s">
        <v>1048</v>
      </c>
      <c r="C480" s="7" t="s">
        <v>1713</v>
      </c>
      <c r="D480" s="8" t="s">
        <v>201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/>
      <c r="R480" s="9">
        <f t="shared" si="7"/>
        <v>0</v>
      </c>
    </row>
    <row r="481" spans="1:18" x14ac:dyDescent="0.35">
      <c r="A481" s="5">
        <v>479</v>
      </c>
      <c r="B481" s="6" t="s">
        <v>1050</v>
      </c>
      <c r="C481" s="7" t="s">
        <v>1712</v>
      </c>
      <c r="D481" s="8" t="s">
        <v>77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/>
      <c r="R481" s="9">
        <f t="shared" si="7"/>
        <v>0</v>
      </c>
    </row>
    <row r="482" spans="1:18" x14ac:dyDescent="0.35">
      <c r="A482" s="5">
        <v>480</v>
      </c>
      <c r="B482" s="6" t="s">
        <v>1052</v>
      </c>
      <c r="C482" s="7" t="s">
        <v>1614</v>
      </c>
      <c r="D482" s="8" t="s">
        <v>49</v>
      </c>
      <c r="E482" s="9">
        <v>3625000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/>
      <c r="R482" s="9">
        <f t="shared" si="7"/>
        <v>3625000</v>
      </c>
    </row>
    <row r="483" spans="1:18" s="104" customFormat="1" x14ac:dyDescent="0.35">
      <c r="A483" s="100">
        <v>481</v>
      </c>
      <c r="B483" s="94" t="s">
        <v>1054</v>
      </c>
      <c r="C483" s="101" t="s">
        <v>1782</v>
      </c>
      <c r="D483" s="102" t="s">
        <v>60</v>
      </c>
      <c r="E483" s="103">
        <v>29520000</v>
      </c>
      <c r="F483" s="92">
        <v>250000</v>
      </c>
      <c r="G483" s="92">
        <v>250000</v>
      </c>
      <c r="H483" s="9">
        <v>250000</v>
      </c>
      <c r="I483" s="9">
        <v>250000</v>
      </c>
      <c r="J483" s="9">
        <v>250000</v>
      </c>
      <c r="K483" s="103">
        <v>250000</v>
      </c>
      <c r="L483" s="103">
        <v>250000</v>
      </c>
      <c r="M483" s="103">
        <v>250000</v>
      </c>
      <c r="N483" s="103">
        <v>250000</v>
      </c>
      <c r="O483" s="103">
        <v>250000</v>
      </c>
      <c r="P483" s="103">
        <v>250000</v>
      </c>
      <c r="Q483" s="103">
        <v>250000</v>
      </c>
      <c r="R483" s="103">
        <f t="shared" si="7"/>
        <v>32520000</v>
      </c>
    </row>
    <row r="484" spans="1:18" s="104" customFormat="1" x14ac:dyDescent="0.35">
      <c r="A484" s="100">
        <v>482</v>
      </c>
      <c r="B484" s="94" t="s">
        <v>1056</v>
      </c>
      <c r="C484" s="101" t="s">
        <v>1778</v>
      </c>
      <c r="D484" s="102" t="s">
        <v>303</v>
      </c>
      <c r="E484" s="103">
        <v>18220000</v>
      </c>
      <c r="F484" s="92">
        <v>150000</v>
      </c>
      <c r="G484" s="92">
        <v>150000</v>
      </c>
      <c r="H484" s="9">
        <v>150000</v>
      </c>
      <c r="I484" s="9">
        <v>150000</v>
      </c>
      <c r="J484" s="9">
        <v>150000</v>
      </c>
      <c r="K484" s="9">
        <v>150000</v>
      </c>
      <c r="L484" s="103">
        <v>150000</v>
      </c>
      <c r="M484" s="103">
        <v>150000</v>
      </c>
      <c r="N484" s="103">
        <v>150000</v>
      </c>
      <c r="O484" s="103">
        <v>150000</v>
      </c>
      <c r="P484" s="103">
        <v>150000</v>
      </c>
      <c r="Q484" s="103">
        <v>150000</v>
      </c>
      <c r="R484" s="103">
        <f t="shared" si="7"/>
        <v>20020000</v>
      </c>
    </row>
    <row r="485" spans="1:18" x14ac:dyDescent="0.35">
      <c r="A485" s="5">
        <v>483</v>
      </c>
      <c r="B485" s="6" t="s">
        <v>1058</v>
      </c>
      <c r="C485" s="7" t="s">
        <v>1059</v>
      </c>
      <c r="D485" s="8" t="s">
        <v>300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/>
      <c r="R485" s="9">
        <f t="shared" si="7"/>
        <v>0</v>
      </c>
    </row>
    <row r="486" spans="1:18" x14ac:dyDescent="0.35">
      <c r="A486" s="5">
        <v>484</v>
      </c>
      <c r="B486" s="6" t="s">
        <v>1060</v>
      </c>
      <c r="C486" s="7" t="s">
        <v>1061</v>
      </c>
      <c r="D486" s="8" t="s">
        <v>65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/>
      <c r="R486" s="9">
        <f t="shared" si="7"/>
        <v>0</v>
      </c>
    </row>
    <row r="487" spans="1:18" s="104" customFormat="1" x14ac:dyDescent="0.35">
      <c r="A487" s="100">
        <v>485</v>
      </c>
      <c r="B487" s="94" t="s">
        <v>1062</v>
      </c>
      <c r="C487" s="101" t="s">
        <v>2075</v>
      </c>
      <c r="D487" s="102" t="s">
        <v>321</v>
      </c>
      <c r="E487" s="103">
        <v>28995000</v>
      </c>
      <c r="F487" s="92">
        <v>250000</v>
      </c>
      <c r="G487" s="92">
        <v>250000</v>
      </c>
      <c r="H487" s="9">
        <v>250000</v>
      </c>
      <c r="I487" s="9">
        <v>250000</v>
      </c>
      <c r="J487" s="9">
        <v>250000</v>
      </c>
      <c r="K487" s="103">
        <v>250000</v>
      </c>
      <c r="L487" s="103">
        <v>250000</v>
      </c>
      <c r="M487" s="103">
        <v>250000</v>
      </c>
      <c r="N487" s="103">
        <v>250000</v>
      </c>
      <c r="O487" s="103">
        <v>250000</v>
      </c>
      <c r="P487" s="103">
        <v>250000</v>
      </c>
      <c r="Q487" s="103">
        <v>250000</v>
      </c>
      <c r="R487" s="103">
        <f t="shared" si="7"/>
        <v>31995000</v>
      </c>
    </row>
    <row r="488" spans="1:18" s="142" customFormat="1" x14ac:dyDescent="0.35">
      <c r="A488" s="143">
        <v>486</v>
      </c>
      <c r="B488" s="6" t="s">
        <v>1064</v>
      </c>
      <c r="C488" s="144" t="s">
        <v>1891</v>
      </c>
      <c r="D488" s="145" t="s">
        <v>136</v>
      </c>
      <c r="E488" s="141">
        <v>16307047</v>
      </c>
      <c r="F488" s="9">
        <v>100000</v>
      </c>
      <c r="G488" s="9">
        <v>100000</v>
      </c>
      <c r="H488" s="9">
        <v>100000</v>
      </c>
      <c r="I488" s="9">
        <v>100000</v>
      </c>
      <c r="J488" s="9">
        <v>100000</v>
      </c>
      <c r="K488" s="9">
        <v>100000</v>
      </c>
      <c r="L488" s="9">
        <v>100000</v>
      </c>
      <c r="M488" s="9">
        <v>100000</v>
      </c>
      <c r="N488" s="9">
        <v>100000</v>
      </c>
      <c r="O488" s="141">
        <v>100000</v>
      </c>
      <c r="P488" s="141">
        <v>100000</v>
      </c>
      <c r="Q488" s="141">
        <v>100000</v>
      </c>
      <c r="R488" s="141">
        <f t="shared" si="7"/>
        <v>17507047</v>
      </c>
    </row>
    <row r="489" spans="1:18" x14ac:dyDescent="0.35">
      <c r="A489" s="5">
        <v>525</v>
      </c>
      <c r="B489" s="6" t="s">
        <v>1066</v>
      </c>
      <c r="C489" s="7" t="s">
        <v>1067</v>
      </c>
      <c r="D489" s="8" t="s">
        <v>144</v>
      </c>
      <c r="E489" s="9">
        <v>2395000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/>
      <c r="R489" s="9">
        <f t="shared" si="7"/>
        <v>2395000</v>
      </c>
    </row>
    <row r="490" spans="1:18" s="93" customFormat="1" x14ac:dyDescent="0.35">
      <c r="A490" s="89">
        <v>487</v>
      </c>
      <c r="B490" s="94" t="s">
        <v>1068</v>
      </c>
      <c r="C490" s="90" t="s">
        <v>2076</v>
      </c>
      <c r="D490" s="91" t="s">
        <v>238</v>
      </c>
      <c r="E490" s="92">
        <v>24595000</v>
      </c>
      <c r="F490" s="92">
        <v>250000</v>
      </c>
      <c r="G490" s="92">
        <v>250000</v>
      </c>
      <c r="H490" s="9">
        <v>250000</v>
      </c>
      <c r="I490" s="9">
        <v>250000</v>
      </c>
      <c r="J490" s="9">
        <v>250000</v>
      </c>
      <c r="K490" s="9">
        <v>250000</v>
      </c>
      <c r="L490" s="9">
        <v>250000</v>
      </c>
      <c r="M490" s="92">
        <v>250000</v>
      </c>
      <c r="N490" s="92">
        <v>250000</v>
      </c>
      <c r="O490" s="92">
        <v>250000</v>
      </c>
      <c r="P490" s="92">
        <v>250000</v>
      </c>
      <c r="Q490" s="92">
        <v>250000</v>
      </c>
      <c r="R490" s="92">
        <f t="shared" si="7"/>
        <v>27595000</v>
      </c>
    </row>
    <row r="491" spans="1:18" x14ac:dyDescent="0.35">
      <c r="A491" s="5">
        <v>488</v>
      </c>
      <c r="B491" s="6" t="s">
        <v>1070</v>
      </c>
      <c r="C491" s="7" t="s">
        <v>1071</v>
      </c>
      <c r="D491" s="8" t="s">
        <v>300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/>
      <c r="R491" s="9">
        <f t="shared" si="7"/>
        <v>0</v>
      </c>
    </row>
    <row r="492" spans="1:18" s="104" customFormat="1" x14ac:dyDescent="0.35">
      <c r="A492" s="100">
        <v>489</v>
      </c>
      <c r="B492" s="94" t="s">
        <v>1072</v>
      </c>
      <c r="C492" s="101" t="s">
        <v>2077</v>
      </c>
      <c r="D492" s="102" t="s">
        <v>290</v>
      </c>
      <c r="E492" s="103">
        <v>11745000</v>
      </c>
      <c r="F492" s="92">
        <v>100000</v>
      </c>
      <c r="G492" s="92">
        <v>100000</v>
      </c>
      <c r="H492" s="9">
        <v>100000</v>
      </c>
      <c r="I492" s="9">
        <v>100000</v>
      </c>
      <c r="J492" s="9">
        <v>100000</v>
      </c>
      <c r="K492" s="103">
        <v>100000</v>
      </c>
      <c r="L492" s="103">
        <v>100000</v>
      </c>
      <c r="M492" s="103">
        <v>100000</v>
      </c>
      <c r="N492" s="103">
        <v>100000</v>
      </c>
      <c r="O492" s="103">
        <v>100000</v>
      </c>
      <c r="P492" s="103">
        <v>100000</v>
      </c>
      <c r="Q492" s="103">
        <v>100000</v>
      </c>
      <c r="R492" s="103">
        <f t="shared" si="7"/>
        <v>12945000</v>
      </c>
    </row>
    <row r="493" spans="1:18" s="93" customFormat="1" x14ac:dyDescent="0.35">
      <c r="A493" s="89">
        <v>490</v>
      </c>
      <c r="B493" s="94" t="s">
        <v>1074</v>
      </c>
      <c r="C493" s="90" t="s">
        <v>2078</v>
      </c>
      <c r="D493" s="91" t="s">
        <v>25</v>
      </c>
      <c r="E493" s="92">
        <v>11745000</v>
      </c>
      <c r="F493" s="92">
        <v>100000</v>
      </c>
      <c r="G493" s="92">
        <v>100000</v>
      </c>
      <c r="H493" s="9">
        <v>100000</v>
      </c>
      <c r="I493" s="9">
        <v>100000</v>
      </c>
      <c r="J493" s="9">
        <v>100000</v>
      </c>
      <c r="K493" s="9">
        <v>100000</v>
      </c>
      <c r="L493" s="9">
        <v>100000</v>
      </c>
      <c r="M493" s="92">
        <v>100000</v>
      </c>
      <c r="N493" s="92">
        <v>100000</v>
      </c>
      <c r="O493" s="92">
        <v>100000</v>
      </c>
      <c r="P493" s="92">
        <v>100000</v>
      </c>
      <c r="Q493" s="92">
        <v>100000</v>
      </c>
      <c r="R493" s="92">
        <f t="shared" si="7"/>
        <v>12945000</v>
      </c>
    </row>
    <row r="494" spans="1:18" x14ac:dyDescent="0.35">
      <c r="A494" s="5">
        <v>491</v>
      </c>
      <c r="B494" s="6" t="s">
        <v>1076</v>
      </c>
      <c r="C494" s="7" t="s">
        <v>1627</v>
      </c>
      <c r="D494" s="8" t="s">
        <v>300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/>
      <c r="R494" s="9">
        <f t="shared" si="7"/>
        <v>0</v>
      </c>
    </row>
    <row r="495" spans="1:18" s="93" customFormat="1" x14ac:dyDescent="0.35">
      <c r="A495" s="89">
        <v>492</v>
      </c>
      <c r="B495" s="94" t="s">
        <v>1078</v>
      </c>
      <c r="C495" s="90" t="s">
        <v>1851</v>
      </c>
      <c r="D495" s="91" t="s">
        <v>25</v>
      </c>
      <c r="E495" s="92">
        <v>11745000</v>
      </c>
      <c r="F495" s="92">
        <v>100000</v>
      </c>
      <c r="G495" s="92">
        <v>100000</v>
      </c>
      <c r="H495" s="9">
        <v>100000</v>
      </c>
      <c r="I495" s="9">
        <v>100000</v>
      </c>
      <c r="J495" s="9">
        <v>100000</v>
      </c>
      <c r="K495" s="9">
        <v>100000</v>
      </c>
      <c r="L495" s="9">
        <v>100000</v>
      </c>
      <c r="M495" s="92">
        <v>100000</v>
      </c>
      <c r="N495" s="92">
        <v>100000</v>
      </c>
      <c r="O495" s="92">
        <v>100000</v>
      </c>
      <c r="P495" s="92">
        <v>100000</v>
      </c>
      <c r="Q495" s="92">
        <v>100000</v>
      </c>
      <c r="R495" s="92">
        <f t="shared" si="7"/>
        <v>12945000</v>
      </c>
    </row>
    <row r="496" spans="1:18" s="93" customFormat="1" x14ac:dyDescent="0.35">
      <c r="A496" s="89">
        <v>493</v>
      </c>
      <c r="B496" s="94" t="s">
        <v>1080</v>
      </c>
      <c r="C496" s="90" t="s">
        <v>2079</v>
      </c>
      <c r="D496" s="91" t="s">
        <v>300</v>
      </c>
      <c r="E496" s="92">
        <v>11745000</v>
      </c>
      <c r="F496" s="92">
        <v>100000</v>
      </c>
      <c r="G496" s="92">
        <v>100000</v>
      </c>
      <c r="H496" s="9">
        <v>100000</v>
      </c>
      <c r="I496" s="9">
        <v>100000</v>
      </c>
      <c r="J496" s="9">
        <v>100000</v>
      </c>
      <c r="K496" s="9">
        <v>100000</v>
      </c>
      <c r="L496" s="9">
        <v>100000</v>
      </c>
      <c r="M496" s="92">
        <v>100000</v>
      </c>
      <c r="N496" s="92">
        <v>100000</v>
      </c>
      <c r="O496" s="92">
        <v>100000</v>
      </c>
      <c r="P496" s="92">
        <v>100000</v>
      </c>
      <c r="Q496" s="92">
        <v>100000</v>
      </c>
      <c r="R496" s="92">
        <f t="shared" si="7"/>
        <v>12945000</v>
      </c>
    </row>
    <row r="497" spans="1:18" x14ac:dyDescent="0.35">
      <c r="A497" s="5">
        <v>494</v>
      </c>
      <c r="B497" s="6" t="s">
        <v>1082</v>
      </c>
      <c r="C497" s="7" t="s">
        <v>1083</v>
      </c>
      <c r="D497" s="8" t="s">
        <v>318</v>
      </c>
      <c r="E497" s="9">
        <v>100000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/>
      <c r="R497" s="9">
        <f t="shared" si="7"/>
        <v>100000</v>
      </c>
    </row>
    <row r="498" spans="1:18" x14ac:dyDescent="0.35">
      <c r="A498" s="5">
        <v>495</v>
      </c>
      <c r="B498" s="6" t="s">
        <v>1084</v>
      </c>
      <c r="C498" s="7" t="s">
        <v>1085</v>
      </c>
      <c r="D498" s="8" t="s">
        <v>318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/>
      <c r="R498" s="9">
        <f t="shared" si="7"/>
        <v>0</v>
      </c>
    </row>
    <row r="499" spans="1:18" s="93" customFormat="1" x14ac:dyDescent="0.35">
      <c r="A499" s="89">
        <v>496</v>
      </c>
      <c r="B499" s="94" t="s">
        <v>1086</v>
      </c>
      <c r="C499" s="90" t="s">
        <v>2080</v>
      </c>
      <c r="D499" s="91" t="s">
        <v>25</v>
      </c>
      <c r="E499" s="92">
        <v>18170000</v>
      </c>
      <c r="F499" s="92">
        <v>150000</v>
      </c>
      <c r="G499" s="92">
        <v>150000</v>
      </c>
      <c r="H499" s="9">
        <v>150000</v>
      </c>
      <c r="I499" s="9">
        <v>150000</v>
      </c>
      <c r="J499" s="9">
        <v>150000</v>
      </c>
      <c r="K499" s="9">
        <v>150000</v>
      </c>
      <c r="L499" s="9">
        <v>150000</v>
      </c>
      <c r="M499" s="92">
        <v>150000</v>
      </c>
      <c r="N499" s="92">
        <v>150000</v>
      </c>
      <c r="O499" s="92">
        <v>150000</v>
      </c>
      <c r="P499" s="92">
        <v>150000</v>
      </c>
      <c r="Q499" s="92">
        <v>150000</v>
      </c>
      <c r="R499" s="92">
        <f t="shared" si="7"/>
        <v>19970000</v>
      </c>
    </row>
    <row r="500" spans="1:18" x14ac:dyDescent="0.35">
      <c r="A500" s="5">
        <v>497</v>
      </c>
      <c r="B500" s="6" t="s">
        <v>1088</v>
      </c>
      <c r="C500" s="7" t="s">
        <v>1089</v>
      </c>
      <c r="D500" s="8" t="s">
        <v>318</v>
      </c>
      <c r="E500" s="9">
        <v>3295000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/>
      <c r="R500" s="9">
        <f t="shared" si="7"/>
        <v>3295000</v>
      </c>
    </row>
    <row r="501" spans="1:18" s="104" customFormat="1" x14ac:dyDescent="0.35">
      <c r="A501" s="100">
        <v>498</v>
      </c>
      <c r="B501" s="94" t="s">
        <v>1090</v>
      </c>
      <c r="C501" s="101" t="s">
        <v>1943</v>
      </c>
      <c r="D501" s="102" t="s">
        <v>321</v>
      </c>
      <c r="E501" s="103">
        <v>17445000</v>
      </c>
      <c r="F501" s="92">
        <v>250000</v>
      </c>
      <c r="G501" s="92">
        <v>250000</v>
      </c>
      <c r="H501" s="9">
        <v>250000</v>
      </c>
      <c r="I501" s="9">
        <v>250000</v>
      </c>
      <c r="J501" s="9">
        <v>250000</v>
      </c>
      <c r="K501" s="9">
        <v>250000</v>
      </c>
      <c r="L501" s="103">
        <v>250000</v>
      </c>
      <c r="M501" s="103">
        <v>250000</v>
      </c>
      <c r="N501" s="103">
        <v>250000</v>
      </c>
      <c r="O501" s="103">
        <v>250000</v>
      </c>
      <c r="P501" s="103">
        <v>250000</v>
      </c>
      <c r="Q501" s="103">
        <v>250000</v>
      </c>
      <c r="R501" s="103">
        <f t="shared" si="7"/>
        <v>20445000</v>
      </c>
    </row>
    <row r="502" spans="1:18" x14ac:dyDescent="0.35">
      <c r="A502" s="5">
        <v>499</v>
      </c>
      <c r="B502" s="6" t="s">
        <v>1092</v>
      </c>
      <c r="C502" s="7" t="s">
        <v>1093</v>
      </c>
      <c r="D502" s="8" t="s">
        <v>49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/>
      <c r="R502" s="9">
        <f t="shared" si="7"/>
        <v>0</v>
      </c>
    </row>
    <row r="503" spans="1:18" x14ac:dyDescent="0.35">
      <c r="A503" s="5">
        <v>500</v>
      </c>
      <c r="B503" s="6" t="s">
        <v>1094</v>
      </c>
      <c r="C503" s="7" t="s">
        <v>1095</v>
      </c>
      <c r="D503" s="8" t="s">
        <v>144</v>
      </c>
      <c r="E503" s="9">
        <v>200000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/>
      <c r="R503" s="9">
        <f t="shared" si="7"/>
        <v>200000</v>
      </c>
    </row>
    <row r="504" spans="1:18" s="93" customFormat="1" x14ac:dyDescent="0.35">
      <c r="A504" s="89">
        <v>501</v>
      </c>
      <c r="B504" s="94" t="s">
        <v>1096</v>
      </c>
      <c r="C504" s="90" t="s">
        <v>1846</v>
      </c>
      <c r="D504" s="91" t="s">
        <v>22</v>
      </c>
      <c r="E504" s="92">
        <v>11445000</v>
      </c>
      <c r="F504" s="92">
        <v>100000</v>
      </c>
      <c r="G504" s="92">
        <v>100000</v>
      </c>
      <c r="H504" s="9">
        <v>100000</v>
      </c>
      <c r="I504" s="9">
        <v>100000</v>
      </c>
      <c r="J504" s="9">
        <v>100000</v>
      </c>
      <c r="K504" s="9">
        <v>100000</v>
      </c>
      <c r="L504" s="9">
        <v>100000</v>
      </c>
      <c r="M504" s="92">
        <v>100000</v>
      </c>
      <c r="N504" s="92">
        <v>100000</v>
      </c>
      <c r="O504" s="92">
        <v>100000</v>
      </c>
      <c r="P504" s="92">
        <v>100000</v>
      </c>
      <c r="Q504" s="92">
        <v>100000</v>
      </c>
      <c r="R504" s="92">
        <f t="shared" si="7"/>
        <v>12645000</v>
      </c>
    </row>
    <row r="505" spans="1:18" x14ac:dyDescent="0.35">
      <c r="A505" s="5">
        <v>502</v>
      </c>
      <c r="B505" s="6" t="s">
        <v>1098</v>
      </c>
      <c r="C505" s="7" t="s">
        <v>1099</v>
      </c>
      <c r="D505" s="8" t="s">
        <v>169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/>
      <c r="R505" s="9">
        <f t="shared" si="7"/>
        <v>0</v>
      </c>
    </row>
    <row r="506" spans="1:18" s="142" customFormat="1" x14ac:dyDescent="0.35">
      <c r="A506" s="143">
        <v>503</v>
      </c>
      <c r="B506" s="6" t="s">
        <v>1100</v>
      </c>
      <c r="C506" s="144" t="s">
        <v>2081</v>
      </c>
      <c r="D506" s="145" t="s">
        <v>136</v>
      </c>
      <c r="E506" s="141">
        <v>11825000</v>
      </c>
      <c r="F506" s="9">
        <v>100000</v>
      </c>
      <c r="G506" s="9">
        <v>100000</v>
      </c>
      <c r="H506" s="9">
        <v>100000</v>
      </c>
      <c r="I506" s="9">
        <v>100000</v>
      </c>
      <c r="J506" s="9">
        <v>100000</v>
      </c>
      <c r="K506" s="9">
        <v>100000</v>
      </c>
      <c r="L506" s="9">
        <v>100000</v>
      </c>
      <c r="M506" s="9">
        <v>100000</v>
      </c>
      <c r="N506" s="9">
        <v>100000</v>
      </c>
      <c r="O506" s="141">
        <v>100000</v>
      </c>
      <c r="P506" s="141">
        <v>100000</v>
      </c>
      <c r="Q506" s="141">
        <v>100000</v>
      </c>
      <c r="R506" s="141">
        <f t="shared" si="7"/>
        <v>13025000</v>
      </c>
    </row>
    <row r="507" spans="1:18" s="142" customFormat="1" x14ac:dyDescent="0.35">
      <c r="A507" s="143">
        <v>504</v>
      </c>
      <c r="B507" s="6" t="s">
        <v>1102</v>
      </c>
      <c r="C507" s="144" t="s">
        <v>1948</v>
      </c>
      <c r="D507" s="145" t="s">
        <v>128</v>
      </c>
      <c r="E507" s="141">
        <v>11925000</v>
      </c>
      <c r="F507" s="9">
        <v>100000</v>
      </c>
      <c r="G507" s="9">
        <v>100000</v>
      </c>
      <c r="H507" s="9">
        <v>100000</v>
      </c>
      <c r="I507" s="9">
        <v>100000</v>
      </c>
      <c r="J507" s="9">
        <v>100000</v>
      </c>
      <c r="K507" s="9">
        <v>100000</v>
      </c>
      <c r="L507" s="9">
        <v>100000</v>
      </c>
      <c r="M507" s="9">
        <v>100000</v>
      </c>
      <c r="N507" s="9">
        <v>100000</v>
      </c>
      <c r="O507" s="141">
        <v>100000</v>
      </c>
      <c r="P507" s="141">
        <v>100000</v>
      </c>
      <c r="Q507" s="141">
        <v>100000</v>
      </c>
      <c r="R507" s="141">
        <f t="shared" si="7"/>
        <v>13125000</v>
      </c>
    </row>
    <row r="508" spans="1:18" s="142" customFormat="1" x14ac:dyDescent="0.35">
      <c r="A508" s="143">
        <v>505</v>
      </c>
      <c r="B508" s="6" t="s">
        <v>1104</v>
      </c>
      <c r="C508" s="144" t="s">
        <v>1863</v>
      </c>
      <c r="D508" s="145" t="s">
        <v>136</v>
      </c>
      <c r="E508" s="141">
        <v>11825000</v>
      </c>
      <c r="F508" s="9">
        <v>100000</v>
      </c>
      <c r="G508" s="9">
        <v>100000</v>
      </c>
      <c r="H508" s="9">
        <v>100000</v>
      </c>
      <c r="I508" s="9">
        <v>100000</v>
      </c>
      <c r="J508" s="9">
        <v>100000</v>
      </c>
      <c r="K508" s="9">
        <v>100000</v>
      </c>
      <c r="L508" s="9">
        <v>100000</v>
      </c>
      <c r="M508" s="9">
        <v>100000</v>
      </c>
      <c r="N508" s="9">
        <v>100000</v>
      </c>
      <c r="O508" s="141">
        <v>100000</v>
      </c>
      <c r="P508" s="141">
        <v>100000</v>
      </c>
      <c r="Q508" s="141">
        <v>100000</v>
      </c>
      <c r="R508" s="141">
        <f t="shared" si="7"/>
        <v>13025000</v>
      </c>
    </row>
    <row r="509" spans="1:18" x14ac:dyDescent="0.35">
      <c r="A509" s="5">
        <v>506</v>
      </c>
      <c r="B509" s="6" t="s">
        <v>1106</v>
      </c>
      <c r="C509" s="7" t="s">
        <v>1107</v>
      </c>
      <c r="D509" s="8" t="s">
        <v>144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/>
      <c r="R509" s="9">
        <f t="shared" si="7"/>
        <v>0</v>
      </c>
    </row>
    <row r="510" spans="1:18" x14ac:dyDescent="0.35">
      <c r="A510" s="5">
        <v>507</v>
      </c>
      <c r="B510" s="6" t="s">
        <v>1108</v>
      </c>
      <c r="C510" s="7" t="s">
        <v>2218</v>
      </c>
      <c r="D510" s="8" t="s">
        <v>524</v>
      </c>
      <c r="E510" s="9">
        <v>500000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/>
      <c r="R510" s="9">
        <f t="shared" si="7"/>
        <v>500000</v>
      </c>
    </row>
    <row r="511" spans="1:18" x14ac:dyDescent="0.35">
      <c r="A511" s="5">
        <v>508</v>
      </c>
      <c r="B511" s="6" t="s">
        <v>1110</v>
      </c>
      <c r="C511" s="7" t="s">
        <v>1111</v>
      </c>
      <c r="D511" s="8" t="s">
        <v>751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/>
      <c r="R511" s="9">
        <f t="shared" si="7"/>
        <v>0</v>
      </c>
    </row>
    <row r="512" spans="1:18" x14ac:dyDescent="0.35">
      <c r="A512" s="5">
        <v>509</v>
      </c>
      <c r="B512" s="6" t="s">
        <v>1112</v>
      </c>
      <c r="C512" s="7" t="s">
        <v>1628</v>
      </c>
      <c r="D512" s="8" t="s">
        <v>751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/>
      <c r="R512" s="9">
        <f t="shared" si="7"/>
        <v>0</v>
      </c>
    </row>
    <row r="513" spans="1:18" x14ac:dyDescent="0.35">
      <c r="A513" s="5">
        <v>510</v>
      </c>
      <c r="B513" s="6" t="s">
        <v>1114</v>
      </c>
      <c r="C513" s="7" t="s">
        <v>1115</v>
      </c>
      <c r="D513" s="8" t="s">
        <v>49</v>
      </c>
      <c r="E513" s="9">
        <v>100000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/>
      <c r="R513" s="9">
        <f t="shared" si="7"/>
        <v>100000</v>
      </c>
    </row>
    <row r="514" spans="1:18" s="142" customFormat="1" x14ac:dyDescent="0.35">
      <c r="A514" s="143">
        <v>511</v>
      </c>
      <c r="B514" s="6" t="s">
        <v>1116</v>
      </c>
      <c r="C514" s="144" t="s">
        <v>2082</v>
      </c>
      <c r="D514" s="145" t="s">
        <v>83</v>
      </c>
      <c r="E514" s="141">
        <v>17470000</v>
      </c>
      <c r="F514" s="9">
        <v>150000</v>
      </c>
      <c r="G514" s="9">
        <v>150000</v>
      </c>
      <c r="H514" s="9">
        <v>150000</v>
      </c>
      <c r="I514" s="9">
        <v>150000</v>
      </c>
      <c r="J514" s="9">
        <v>150000</v>
      </c>
      <c r="K514" s="9">
        <v>150000</v>
      </c>
      <c r="L514" s="9">
        <v>150000</v>
      </c>
      <c r="M514" s="9">
        <v>150000</v>
      </c>
      <c r="N514" s="9">
        <v>150000</v>
      </c>
      <c r="O514" s="141">
        <v>150000</v>
      </c>
      <c r="P514" s="141">
        <v>150000</v>
      </c>
      <c r="Q514" s="141">
        <v>150000</v>
      </c>
      <c r="R514" s="141">
        <f t="shared" si="7"/>
        <v>19270000</v>
      </c>
    </row>
    <row r="515" spans="1:18" s="93" customFormat="1" x14ac:dyDescent="0.35">
      <c r="A515" s="89">
        <v>512</v>
      </c>
      <c r="B515" s="94" t="s">
        <v>1118</v>
      </c>
      <c r="C515" s="90" t="s">
        <v>2083</v>
      </c>
      <c r="D515" s="91" t="s">
        <v>72</v>
      </c>
      <c r="E515" s="92">
        <v>26545000</v>
      </c>
      <c r="F515" s="92">
        <v>250000</v>
      </c>
      <c r="G515" s="92">
        <v>250000</v>
      </c>
      <c r="H515" s="9">
        <v>250000</v>
      </c>
      <c r="I515" s="9">
        <v>250000</v>
      </c>
      <c r="J515" s="9">
        <v>250000</v>
      </c>
      <c r="K515" s="9">
        <v>250000</v>
      </c>
      <c r="L515" s="9">
        <v>250000</v>
      </c>
      <c r="M515" s="92">
        <v>250000</v>
      </c>
      <c r="N515" s="92">
        <v>250000</v>
      </c>
      <c r="O515" s="92">
        <v>250000</v>
      </c>
      <c r="P515" s="92">
        <v>250000</v>
      </c>
      <c r="Q515" s="92">
        <v>250000</v>
      </c>
      <c r="R515" s="92">
        <f t="shared" ref="R515:R578" si="8">SUM(E515:Q515)</f>
        <v>29545000</v>
      </c>
    </row>
    <row r="516" spans="1:18" x14ac:dyDescent="0.35">
      <c r="A516" s="5">
        <v>513</v>
      </c>
      <c r="B516" s="6" t="s">
        <v>1120</v>
      </c>
      <c r="C516" s="7" t="s">
        <v>1671</v>
      </c>
      <c r="D516" s="8" t="s">
        <v>49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/>
      <c r="R516" s="9">
        <f t="shared" si="8"/>
        <v>0</v>
      </c>
    </row>
    <row r="517" spans="1:18" s="142" customFormat="1" x14ac:dyDescent="0.35">
      <c r="A517" s="143">
        <v>514</v>
      </c>
      <c r="B517" s="6" t="s">
        <v>1122</v>
      </c>
      <c r="C517" s="144" t="s">
        <v>1896</v>
      </c>
      <c r="D517" s="145" t="s">
        <v>136</v>
      </c>
      <c r="E517" s="141">
        <v>17845000</v>
      </c>
      <c r="F517" s="9">
        <v>150000</v>
      </c>
      <c r="G517" s="9">
        <v>150000</v>
      </c>
      <c r="H517" s="9">
        <v>150000</v>
      </c>
      <c r="I517" s="9">
        <v>150000</v>
      </c>
      <c r="J517" s="9">
        <v>150000</v>
      </c>
      <c r="K517" s="9">
        <v>150000</v>
      </c>
      <c r="L517" s="9">
        <v>150000</v>
      </c>
      <c r="M517" s="9">
        <v>150000</v>
      </c>
      <c r="N517" s="9">
        <v>150000</v>
      </c>
      <c r="O517" s="141">
        <v>150000</v>
      </c>
      <c r="P517" s="141">
        <v>150000</v>
      </c>
      <c r="Q517" s="141">
        <v>150000</v>
      </c>
      <c r="R517" s="141">
        <f t="shared" si="8"/>
        <v>19645000</v>
      </c>
    </row>
    <row r="518" spans="1:18" s="93" customFormat="1" x14ac:dyDescent="0.35">
      <c r="A518" s="89">
        <v>515</v>
      </c>
      <c r="B518" s="94" t="s">
        <v>1124</v>
      </c>
      <c r="C518" s="90" t="s">
        <v>2084</v>
      </c>
      <c r="D518" s="91" t="s">
        <v>116</v>
      </c>
      <c r="E518" s="92">
        <v>18220000</v>
      </c>
      <c r="F518" s="92">
        <v>150000</v>
      </c>
      <c r="G518" s="92">
        <v>150000</v>
      </c>
      <c r="H518" s="92">
        <v>150000</v>
      </c>
      <c r="I518" s="9">
        <v>150000</v>
      </c>
      <c r="J518" s="92">
        <v>150000</v>
      </c>
      <c r="K518" s="92">
        <v>150000</v>
      </c>
      <c r="L518" s="92">
        <v>150000</v>
      </c>
      <c r="M518" s="92">
        <v>150000</v>
      </c>
      <c r="N518" s="92">
        <v>150000</v>
      </c>
      <c r="O518" s="92">
        <v>150000</v>
      </c>
      <c r="P518" s="92">
        <v>150000</v>
      </c>
      <c r="Q518" s="92">
        <v>150000</v>
      </c>
      <c r="R518" s="92">
        <f t="shared" si="8"/>
        <v>20020000</v>
      </c>
    </row>
    <row r="519" spans="1:18" s="93" customFormat="1" x14ac:dyDescent="0.35">
      <c r="A519" s="89">
        <v>516</v>
      </c>
      <c r="B519" s="94" t="s">
        <v>1126</v>
      </c>
      <c r="C519" s="90" t="s">
        <v>2085</v>
      </c>
      <c r="D519" s="91" t="s">
        <v>303</v>
      </c>
      <c r="E519" s="92">
        <v>23220000</v>
      </c>
      <c r="F519" s="92">
        <v>250000</v>
      </c>
      <c r="G519" s="92">
        <v>250000</v>
      </c>
      <c r="H519" s="92">
        <v>250000</v>
      </c>
      <c r="I519" s="9">
        <v>250000</v>
      </c>
      <c r="J519" s="92">
        <v>250000</v>
      </c>
      <c r="K519" s="92">
        <v>250000</v>
      </c>
      <c r="L519" s="92">
        <v>250000</v>
      </c>
      <c r="M519" s="92">
        <v>250000</v>
      </c>
      <c r="N519" s="92">
        <v>250000</v>
      </c>
      <c r="O519" s="92">
        <v>250000</v>
      </c>
      <c r="P519" s="92">
        <v>250000</v>
      </c>
      <c r="Q519" s="92">
        <v>250000</v>
      </c>
      <c r="R519" s="92">
        <f t="shared" si="8"/>
        <v>26220000</v>
      </c>
    </row>
    <row r="520" spans="1:18" s="93" customFormat="1" x14ac:dyDescent="0.35">
      <c r="A520" s="89">
        <v>517</v>
      </c>
      <c r="B520" s="94" t="s">
        <v>1128</v>
      </c>
      <c r="C520" s="90" t="s">
        <v>2086</v>
      </c>
      <c r="D520" s="91" t="s">
        <v>72</v>
      </c>
      <c r="E520" s="92">
        <v>25845000</v>
      </c>
      <c r="F520" s="92">
        <v>250000</v>
      </c>
      <c r="G520" s="92">
        <v>250000</v>
      </c>
      <c r="H520" s="9">
        <v>250000</v>
      </c>
      <c r="I520" s="9">
        <v>250000</v>
      </c>
      <c r="J520" s="9">
        <v>250000</v>
      </c>
      <c r="K520" s="9">
        <v>250000</v>
      </c>
      <c r="L520" s="9">
        <v>250000</v>
      </c>
      <c r="M520" s="92">
        <v>250000</v>
      </c>
      <c r="N520" s="92">
        <v>250000</v>
      </c>
      <c r="O520" s="92">
        <v>250000</v>
      </c>
      <c r="P520" s="92">
        <v>250000</v>
      </c>
      <c r="Q520" s="92">
        <v>250000</v>
      </c>
      <c r="R520" s="92">
        <f t="shared" si="8"/>
        <v>28845000</v>
      </c>
    </row>
    <row r="521" spans="1:18" s="93" customFormat="1" x14ac:dyDescent="0.35">
      <c r="A521" s="89">
        <v>518</v>
      </c>
      <c r="B521" s="94" t="s">
        <v>1130</v>
      </c>
      <c r="C521" s="90" t="s">
        <v>1842</v>
      </c>
      <c r="D521" s="91" t="s">
        <v>19</v>
      </c>
      <c r="E521" s="92">
        <v>13795000</v>
      </c>
      <c r="F521" s="92">
        <v>250000</v>
      </c>
      <c r="G521" s="92">
        <v>250000</v>
      </c>
      <c r="H521" s="9">
        <v>250000</v>
      </c>
      <c r="I521" s="9">
        <v>250000</v>
      </c>
      <c r="J521" s="9">
        <v>250000</v>
      </c>
      <c r="K521" s="9">
        <v>250000</v>
      </c>
      <c r="L521" s="9">
        <v>250000</v>
      </c>
      <c r="M521" s="92">
        <v>250000</v>
      </c>
      <c r="N521" s="92">
        <v>250000</v>
      </c>
      <c r="O521" s="92">
        <v>250000</v>
      </c>
      <c r="P521" s="92">
        <v>250000</v>
      </c>
      <c r="Q521" s="92">
        <v>250000</v>
      </c>
      <c r="R521" s="92">
        <f t="shared" si="8"/>
        <v>16795000</v>
      </c>
    </row>
    <row r="522" spans="1:18" s="142" customFormat="1" x14ac:dyDescent="0.35">
      <c r="A522" s="143">
        <v>519</v>
      </c>
      <c r="B522" s="6" t="s">
        <v>1132</v>
      </c>
      <c r="C522" s="144" t="s">
        <v>2087</v>
      </c>
      <c r="D522" s="145" t="s">
        <v>19</v>
      </c>
      <c r="E522" s="141">
        <v>13795000</v>
      </c>
      <c r="F522" s="9">
        <v>250000</v>
      </c>
      <c r="G522" s="9">
        <v>250000</v>
      </c>
      <c r="H522" s="9">
        <v>250000</v>
      </c>
      <c r="I522" s="9">
        <v>250000</v>
      </c>
      <c r="J522" s="9">
        <v>250000</v>
      </c>
      <c r="K522" s="9">
        <v>250000</v>
      </c>
      <c r="L522" s="9">
        <v>250000</v>
      </c>
      <c r="M522" s="9">
        <v>250000</v>
      </c>
      <c r="N522" s="9">
        <v>250000</v>
      </c>
      <c r="O522" s="141">
        <v>250000</v>
      </c>
      <c r="P522" s="141">
        <v>250000</v>
      </c>
      <c r="Q522" s="141">
        <v>250000</v>
      </c>
      <c r="R522" s="141">
        <f t="shared" si="8"/>
        <v>16795000</v>
      </c>
    </row>
    <row r="523" spans="1:18" s="142" customFormat="1" x14ac:dyDescent="0.35">
      <c r="A523" s="143">
        <v>520</v>
      </c>
      <c r="B523" s="6" t="s">
        <v>1134</v>
      </c>
      <c r="C523" s="144" t="s">
        <v>2088</v>
      </c>
      <c r="D523" s="145" t="s">
        <v>198</v>
      </c>
      <c r="E523" s="141">
        <v>25595000</v>
      </c>
      <c r="F523" s="9">
        <v>250000</v>
      </c>
      <c r="G523" s="9">
        <v>250000</v>
      </c>
      <c r="H523" s="9">
        <v>250000</v>
      </c>
      <c r="I523" s="9">
        <v>250000</v>
      </c>
      <c r="J523" s="9">
        <v>250000</v>
      </c>
      <c r="K523" s="9">
        <v>250000</v>
      </c>
      <c r="L523" s="9">
        <v>250000</v>
      </c>
      <c r="M523" s="9">
        <v>250000</v>
      </c>
      <c r="N523" s="9">
        <v>250000</v>
      </c>
      <c r="O523" s="141">
        <v>250000</v>
      </c>
      <c r="P523" s="141">
        <v>250000</v>
      </c>
      <c r="Q523" s="141">
        <v>250000</v>
      </c>
      <c r="R523" s="141">
        <f t="shared" si="8"/>
        <v>28595000</v>
      </c>
    </row>
    <row r="524" spans="1:18" s="142" customFormat="1" x14ac:dyDescent="0.35">
      <c r="A524" s="143">
        <v>521</v>
      </c>
      <c r="B524" s="6" t="s">
        <v>1136</v>
      </c>
      <c r="C524" s="146" t="s">
        <v>2089</v>
      </c>
      <c r="D524" s="145" t="s">
        <v>123</v>
      </c>
      <c r="E524" s="141">
        <v>13800000</v>
      </c>
      <c r="F524" s="9">
        <v>250000</v>
      </c>
      <c r="G524" s="9">
        <v>250000</v>
      </c>
      <c r="H524" s="9">
        <v>250000</v>
      </c>
      <c r="I524" s="9">
        <v>250000</v>
      </c>
      <c r="J524" s="9">
        <v>250000</v>
      </c>
      <c r="K524" s="9">
        <v>250000</v>
      </c>
      <c r="L524" s="9">
        <v>250000</v>
      </c>
      <c r="M524" s="9">
        <v>250000</v>
      </c>
      <c r="N524" s="9">
        <v>250000</v>
      </c>
      <c r="O524" s="141">
        <v>250000</v>
      </c>
      <c r="P524" s="141">
        <v>250000</v>
      </c>
      <c r="Q524" s="141">
        <v>250000</v>
      </c>
      <c r="R524" s="141">
        <f t="shared" si="8"/>
        <v>16800000</v>
      </c>
    </row>
    <row r="525" spans="1:18" s="93" customFormat="1" x14ac:dyDescent="0.35">
      <c r="A525" s="89">
        <v>522</v>
      </c>
      <c r="B525" s="94" t="s">
        <v>1138</v>
      </c>
      <c r="C525" s="90" t="s">
        <v>2090</v>
      </c>
      <c r="D525" s="91" t="s">
        <v>95</v>
      </c>
      <c r="E525" s="92">
        <v>26450000</v>
      </c>
      <c r="F525" s="92">
        <v>250000</v>
      </c>
      <c r="G525" s="92">
        <v>250000</v>
      </c>
      <c r="H525" s="9">
        <v>250000</v>
      </c>
      <c r="I525" s="9">
        <v>250000</v>
      </c>
      <c r="J525" s="9">
        <v>250000</v>
      </c>
      <c r="K525" s="9">
        <v>250000</v>
      </c>
      <c r="L525" s="9">
        <v>250000</v>
      </c>
      <c r="M525" s="92">
        <v>250000</v>
      </c>
      <c r="N525" s="92">
        <v>250000</v>
      </c>
      <c r="O525" s="92">
        <v>250000</v>
      </c>
      <c r="P525" s="92">
        <v>250000</v>
      </c>
      <c r="Q525" s="92">
        <v>250000</v>
      </c>
      <c r="R525" s="92">
        <f t="shared" si="8"/>
        <v>29450000</v>
      </c>
    </row>
    <row r="526" spans="1:18" x14ac:dyDescent="0.35">
      <c r="A526" s="5">
        <v>523</v>
      </c>
      <c r="B526" s="6" t="s">
        <v>1140</v>
      </c>
      <c r="C526" s="7" t="s">
        <v>1141</v>
      </c>
      <c r="D526" s="8" t="s">
        <v>49</v>
      </c>
      <c r="E526" s="9">
        <v>2595000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/>
      <c r="R526" s="9">
        <f t="shared" si="8"/>
        <v>2595000</v>
      </c>
    </row>
    <row r="527" spans="1:18" x14ac:dyDescent="0.35">
      <c r="A527" s="5">
        <v>524</v>
      </c>
      <c r="B527" s="6" t="s">
        <v>1142</v>
      </c>
      <c r="C527" s="7" t="s">
        <v>1143</v>
      </c>
      <c r="D527" s="8" t="s">
        <v>49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/>
      <c r="R527" s="9">
        <f t="shared" si="8"/>
        <v>0</v>
      </c>
    </row>
    <row r="528" spans="1:18" x14ac:dyDescent="0.35">
      <c r="A528" s="5">
        <v>526</v>
      </c>
      <c r="B528" s="6" t="s">
        <v>1144</v>
      </c>
      <c r="C528" s="7" t="s">
        <v>1145</v>
      </c>
      <c r="D528" s="8" t="s">
        <v>303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/>
      <c r="R528" s="9">
        <f t="shared" si="8"/>
        <v>0</v>
      </c>
    </row>
    <row r="529" spans="1:18" x14ac:dyDescent="0.35">
      <c r="A529" s="5">
        <v>527</v>
      </c>
      <c r="B529" s="6" t="s">
        <v>1146</v>
      </c>
      <c r="C529" s="7" t="s">
        <v>1147</v>
      </c>
      <c r="D529" s="8" t="s">
        <v>698</v>
      </c>
      <c r="E529" s="9">
        <v>150000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/>
      <c r="R529" s="9">
        <f t="shared" si="8"/>
        <v>150000</v>
      </c>
    </row>
    <row r="530" spans="1:18" x14ac:dyDescent="0.35">
      <c r="A530" s="5">
        <v>528</v>
      </c>
      <c r="B530" s="6" t="s">
        <v>1148</v>
      </c>
      <c r="C530" s="7" t="s">
        <v>1149</v>
      </c>
      <c r="D530" s="8" t="s">
        <v>60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/>
      <c r="R530" s="9">
        <f t="shared" si="8"/>
        <v>0</v>
      </c>
    </row>
    <row r="531" spans="1:18" s="142" customFormat="1" x14ac:dyDescent="0.35">
      <c r="A531" s="143">
        <v>529</v>
      </c>
      <c r="B531" s="6" t="s">
        <v>1150</v>
      </c>
      <c r="C531" s="144" t="s">
        <v>1878</v>
      </c>
      <c r="D531" s="145" t="s">
        <v>98</v>
      </c>
      <c r="E531" s="141">
        <v>26295000</v>
      </c>
      <c r="F531" s="9">
        <v>250000</v>
      </c>
      <c r="G531" s="9">
        <v>250000</v>
      </c>
      <c r="H531" s="9">
        <v>250000</v>
      </c>
      <c r="I531" s="9">
        <v>250000</v>
      </c>
      <c r="J531" s="9">
        <v>250000</v>
      </c>
      <c r="K531" s="9">
        <v>250000</v>
      </c>
      <c r="L531" s="9">
        <v>250000</v>
      </c>
      <c r="M531" s="9">
        <v>250000</v>
      </c>
      <c r="N531" s="9">
        <v>250000</v>
      </c>
      <c r="O531" s="141">
        <v>250000</v>
      </c>
      <c r="P531" s="141">
        <v>250000</v>
      </c>
      <c r="Q531" s="141">
        <v>250000</v>
      </c>
      <c r="R531" s="141">
        <f t="shared" si="8"/>
        <v>29295000</v>
      </c>
    </row>
    <row r="532" spans="1:18" x14ac:dyDescent="0.35">
      <c r="A532" s="5">
        <v>530</v>
      </c>
      <c r="B532" s="6" t="s">
        <v>1152</v>
      </c>
      <c r="C532" s="7" t="s">
        <v>1153</v>
      </c>
      <c r="D532" s="8" t="s">
        <v>300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/>
      <c r="R532" s="9">
        <f t="shared" si="8"/>
        <v>0</v>
      </c>
    </row>
    <row r="533" spans="1:18" s="93" customFormat="1" x14ac:dyDescent="0.35">
      <c r="A533" s="89">
        <v>531</v>
      </c>
      <c r="B533" s="94" t="s">
        <v>1154</v>
      </c>
      <c r="C533" s="90" t="s">
        <v>2091</v>
      </c>
      <c r="D533" s="91" t="s">
        <v>25</v>
      </c>
      <c r="E533" s="92">
        <v>15145000</v>
      </c>
      <c r="F533" s="92">
        <v>150000</v>
      </c>
      <c r="G533" s="92">
        <v>150000</v>
      </c>
      <c r="H533" s="9">
        <v>150000</v>
      </c>
      <c r="I533" s="9">
        <v>150000</v>
      </c>
      <c r="J533" s="9">
        <v>150000</v>
      </c>
      <c r="K533" s="9">
        <v>150000</v>
      </c>
      <c r="L533" s="9">
        <v>150000</v>
      </c>
      <c r="M533" s="92">
        <v>150000</v>
      </c>
      <c r="N533" s="92">
        <v>150000</v>
      </c>
      <c r="O533" s="92">
        <v>150000</v>
      </c>
      <c r="P533" s="92">
        <v>150000</v>
      </c>
      <c r="Q533" s="92">
        <v>150000</v>
      </c>
      <c r="R533" s="92">
        <f t="shared" si="8"/>
        <v>16945000</v>
      </c>
    </row>
    <row r="534" spans="1:18" s="93" customFormat="1" x14ac:dyDescent="0.35">
      <c r="A534" s="89">
        <v>532</v>
      </c>
      <c r="B534" s="94" t="s">
        <v>1156</v>
      </c>
      <c r="C534" s="90" t="s">
        <v>1762</v>
      </c>
      <c r="D534" s="91" t="s">
        <v>318</v>
      </c>
      <c r="E534" s="92">
        <v>12995000</v>
      </c>
      <c r="F534" s="92">
        <v>150000</v>
      </c>
      <c r="G534" s="92">
        <v>150000</v>
      </c>
      <c r="H534" s="9">
        <v>150000</v>
      </c>
      <c r="I534" s="9">
        <v>150000</v>
      </c>
      <c r="J534" s="9">
        <v>150000</v>
      </c>
      <c r="K534" s="9">
        <v>150000</v>
      </c>
      <c r="L534" s="9">
        <v>150000</v>
      </c>
      <c r="M534" s="92">
        <v>150000</v>
      </c>
      <c r="N534" s="92">
        <v>150000</v>
      </c>
      <c r="O534" s="92">
        <v>150000</v>
      </c>
      <c r="P534" s="92">
        <v>150000</v>
      </c>
      <c r="Q534" s="92">
        <v>150000</v>
      </c>
      <c r="R534" s="92">
        <f t="shared" si="8"/>
        <v>14795000</v>
      </c>
    </row>
    <row r="535" spans="1:18" x14ac:dyDescent="0.35">
      <c r="A535" s="5">
        <v>533</v>
      </c>
      <c r="B535" s="6" t="s">
        <v>1158</v>
      </c>
      <c r="C535" s="7" t="s">
        <v>1159</v>
      </c>
      <c r="D535" s="8" t="s">
        <v>19</v>
      </c>
      <c r="E535" s="9">
        <v>11745000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/>
      <c r="R535" s="9">
        <f t="shared" si="8"/>
        <v>11745000</v>
      </c>
    </row>
    <row r="536" spans="1:18" s="104" customFormat="1" x14ac:dyDescent="0.35">
      <c r="A536" s="100">
        <v>534</v>
      </c>
      <c r="B536" s="94" t="s">
        <v>1160</v>
      </c>
      <c r="C536" s="101" t="s">
        <v>2092</v>
      </c>
      <c r="D536" s="102" t="s">
        <v>303</v>
      </c>
      <c r="E536" s="103">
        <v>15095000</v>
      </c>
      <c r="F536" s="92">
        <v>250000</v>
      </c>
      <c r="G536" s="92">
        <v>250000</v>
      </c>
      <c r="H536" s="9">
        <v>250000</v>
      </c>
      <c r="I536" s="9">
        <v>250000</v>
      </c>
      <c r="J536" s="9">
        <v>250000</v>
      </c>
      <c r="K536" s="103">
        <v>250000</v>
      </c>
      <c r="L536" s="103">
        <v>250000</v>
      </c>
      <c r="M536" s="103">
        <v>250000</v>
      </c>
      <c r="N536" s="103">
        <v>250000</v>
      </c>
      <c r="O536" s="103">
        <v>250000</v>
      </c>
      <c r="P536" s="103">
        <v>250000</v>
      </c>
      <c r="Q536" s="103">
        <v>250000</v>
      </c>
      <c r="R536" s="103">
        <f t="shared" si="8"/>
        <v>18095000</v>
      </c>
    </row>
    <row r="537" spans="1:18" x14ac:dyDescent="0.35">
      <c r="A537" s="5">
        <v>535</v>
      </c>
      <c r="B537" s="6" t="s">
        <v>1162</v>
      </c>
      <c r="C537" s="7" t="s">
        <v>1629</v>
      </c>
      <c r="D537" s="8" t="s">
        <v>318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/>
      <c r="R537" s="9">
        <f t="shared" si="8"/>
        <v>0</v>
      </c>
    </row>
    <row r="538" spans="1:18" s="88" customFormat="1" x14ac:dyDescent="0.35">
      <c r="A538" s="19">
        <v>536</v>
      </c>
      <c r="B538" s="6" t="s">
        <v>1164</v>
      </c>
      <c r="C538" s="21" t="s">
        <v>2093</v>
      </c>
      <c r="D538" s="22" t="s">
        <v>136</v>
      </c>
      <c r="E538" s="70">
        <v>9900000</v>
      </c>
      <c r="F538" s="9">
        <v>100000</v>
      </c>
      <c r="G538" s="9">
        <v>0</v>
      </c>
      <c r="H538" s="9">
        <v>100000</v>
      </c>
      <c r="I538" s="9">
        <v>100000</v>
      </c>
      <c r="J538" s="9">
        <v>0</v>
      </c>
      <c r="K538" s="9">
        <v>100000</v>
      </c>
      <c r="L538" s="70">
        <v>200000</v>
      </c>
      <c r="M538" s="70">
        <f>100000+100000</f>
        <v>200000</v>
      </c>
      <c r="N538" s="9">
        <v>0</v>
      </c>
      <c r="O538" s="9">
        <v>0</v>
      </c>
      <c r="P538" s="70">
        <f>100000+100000</f>
        <v>200000</v>
      </c>
      <c r="Q538" s="70">
        <f>300000</f>
        <v>300000</v>
      </c>
      <c r="R538" s="70">
        <f t="shared" si="8"/>
        <v>11200000</v>
      </c>
    </row>
    <row r="539" spans="1:18" s="125" customFormat="1" x14ac:dyDescent="0.35">
      <c r="A539" s="126">
        <v>537</v>
      </c>
      <c r="B539" s="129" t="s">
        <v>1166</v>
      </c>
      <c r="C539" s="127" t="s">
        <v>2094</v>
      </c>
      <c r="D539" s="128" t="s">
        <v>751</v>
      </c>
      <c r="E539" s="124">
        <v>10775000</v>
      </c>
      <c r="F539" s="124">
        <v>100000</v>
      </c>
      <c r="G539" s="124">
        <v>100000</v>
      </c>
      <c r="H539" s="124">
        <v>100000</v>
      </c>
      <c r="I539" s="124">
        <v>100000</v>
      </c>
      <c r="J539" s="124">
        <v>100000</v>
      </c>
      <c r="K539" s="124">
        <v>100000</v>
      </c>
      <c r="L539" s="124">
        <v>100000</v>
      </c>
      <c r="M539" s="124">
        <v>100000</v>
      </c>
      <c r="N539" s="124">
        <v>100000</v>
      </c>
      <c r="O539" s="124">
        <v>100000</v>
      </c>
      <c r="P539" s="124">
        <v>100000</v>
      </c>
      <c r="Q539" s="124">
        <v>100000</v>
      </c>
      <c r="R539" s="124">
        <f t="shared" si="8"/>
        <v>11975000</v>
      </c>
    </row>
    <row r="540" spans="1:18" x14ac:dyDescent="0.35">
      <c r="A540" s="5">
        <v>538</v>
      </c>
      <c r="B540" s="6" t="s">
        <v>1168</v>
      </c>
      <c r="C540" s="7" t="s">
        <v>1169</v>
      </c>
      <c r="D540" s="8" t="s">
        <v>113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/>
      <c r="R540" s="9">
        <f t="shared" si="8"/>
        <v>0</v>
      </c>
    </row>
    <row r="541" spans="1:18" s="142" customFormat="1" x14ac:dyDescent="0.35">
      <c r="A541" s="143">
        <v>539</v>
      </c>
      <c r="B541" s="6" t="s">
        <v>1170</v>
      </c>
      <c r="C541" s="144" t="s">
        <v>2095</v>
      </c>
      <c r="D541" s="145" t="s">
        <v>136</v>
      </c>
      <c r="E541" s="141">
        <v>37100000</v>
      </c>
      <c r="F541" s="9">
        <v>350000</v>
      </c>
      <c r="G541" s="9">
        <v>350000</v>
      </c>
      <c r="H541" s="9">
        <v>350000</v>
      </c>
      <c r="I541" s="9">
        <v>350000</v>
      </c>
      <c r="J541" s="9">
        <v>350000</v>
      </c>
      <c r="K541" s="9">
        <v>350000</v>
      </c>
      <c r="L541" s="9">
        <v>350000</v>
      </c>
      <c r="M541" s="9">
        <v>350000</v>
      </c>
      <c r="N541" s="9">
        <v>350000</v>
      </c>
      <c r="O541" s="141">
        <v>350000</v>
      </c>
      <c r="P541" s="141">
        <v>350000</v>
      </c>
      <c r="Q541" s="141">
        <v>350000</v>
      </c>
      <c r="R541" s="141">
        <f t="shared" si="8"/>
        <v>41300000</v>
      </c>
    </row>
    <row r="542" spans="1:18" s="142" customFormat="1" x14ac:dyDescent="0.35">
      <c r="A542" s="143">
        <v>540</v>
      </c>
      <c r="B542" s="6" t="s">
        <v>1172</v>
      </c>
      <c r="C542" s="144" t="s">
        <v>2096</v>
      </c>
      <c r="D542" s="145" t="s">
        <v>136</v>
      </c>
      <c r="E542" s="141">
        <v>15250000</v>
      </c>
      <c r="F542" s="9">
        <v>150000</v>
      </c>
      <c r="G542" s="9">
        <v>150000</v>
      </c>
      <c r="H542" s="9">
        <v>150000</v>
      </c>
      <c r="I542" s="9">
        <v>150000</v>
      </c>
      <c r="J542" s="9">
        <v>150000</v>
      </c>
      <c r="K542" s="9">
        <v>150000</v>
      </c>
      <c r="L542" s="9">
        <v>150000</v>
      </c>
      <c r="M542" s="9">
        <v>150000</v>
      </c>
      <c r="N542" s="9">
        <v>150000</v>
      </c>
      <c r="O542" s="141">
        <v>150000</v>
      </c>
      <c r="P542" s="141">
        <v>150000</v>
      </c>
      <c r="Q542" s="141">
        <v>150000</v>
      </c>
      <c r="R542" s="141">
        <f t="shared" si="8"/>
        <v>17050000</v>
      </c>
    </row>
    <row r="543" spans="1:18" s="142" customFormat="1" x14ac:dyDescent="0.35">
      <c r="A543" s="143">
        <v>541</v>
      </c>
      <c r="B543" s="6" t="s">
        <v>1174</v>
      </c>
      <c r="C543" s="144" t="s">
        <v>1899</v>
      </c>
      <c r="D543" s="145" t="s">
        <v>374</v>
      </c>
      <c r="E543" s="141">
        <v>15975000</v>
      </c>
      <c r="F543" s="9">
        <v>150000</v>
      </c>
      <c r="G543" s="9">
        <v>150000</v>
      </c>
      <c r="H543" s="9">
        <v>150000</v>
      </c>
      <c r="I543" s="9">
        <v>150000</v>
      </c>
      <c r="J543" s="9">
        <v>150000</v>
      </c>
      <c r="K543" s="9">
        <v>150000</v>
      </c>
      <c r="L543" s="9">
        <v>150000</v>
      </c>
      <c r="M543" s="9">
        <v>150000</v>
      </c>
      <c r="N543" s="9">
        <v>150000</v>
      </c>
      <c r="O543" s="141">
        <v>150000</v>
      </c>
      <c r="P543" s="141">
        <v>150000</v>
      </c>
      <c r="Q543" s="141">
        <v>150000</v>
      </c>
      <c r="R543" s="141">
        <f t="shared" si="8"/>
        <v>17775000</v>
      </c>
    </row>
    <row r="544" spans="1:18" s="93" customFormat="1" x14ac:dyDescent="0.35">
      <c r="A544" s="89">
        <v>542</v>
      </c>
      <c r="B544" s="94" t="s">
        <v>1176</v>
      </c>
      <c r="C544" s="90" t="s">
        <v>2097</v>
      </c>
      <c r="D544" s="91" t="s">
        <v>295</v>
      </c>
      <c r="E544" s="92">
        <v>14350000</v>
      </c>
      <c r="F544" s="92">
        <v>150000</v>
      </c>
      <c r="G544" s="92">
        <v>150000</v>
      </c>
      <c r="H544" s="9">
        <v>150000</v>
      </c>
      <c r="I544" s="9">
        <v>150000</v>
      </c>
      <c r="J544" s="9">
        <v>150000</v>
      </c>
      <c r="K544" s="9">
        <v>150000</v>
      </c>
      <c r="L544" s="9">
        <v>150000</v>
      </c>
      <c r="M544" s="92">
        <v>150000</v>
      </c>
      <c r="N544" s="92">
        <v>150000</v>
      </c>
      <c r="O544" s="92">
        <v>150000</v>
      </c>
      <c r="P544" s="92">
        <v>150000</v>
      </c>
      <c r="Q544" s="92">
        <v>150000</v>
      </c>
      <c r="R544" s="92">
        <f t="shared" si="8"/>
        <v>16150000</v>
      </c>
    </row>
    <row r="545" spans="1:18" x14ac:dyDescent="0.35">
      <c r="A545" s="5">
        <v>543</v>
      </c>
      <c r="B545" s="6" t="s">
        <v>1178</v>
      </c>
      <c r="C545" s="7" t="s">
        <v>1179</v>
      </c>
      <c r="D545" s="8" t="s">
        <v>136</v>
      </c>
      <c r="E545" s="9">
        <v>-100000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/>
      <c r="R545" s="9">
        <f t="shared" si="8"/>
        <v>-100000</v>
      </c>
    </row>
    <row r="546" spans="1:18" s="142" customFormat="1" x14ac:dyDescent="0.35">
      <c r="A546" s="143">
        <v>544</v>
      </c>
      <c r="B546" s="6" t="s">
        <v>1180</v>
      </c>
      <c r="C546" s="144" t="s">
        <v>2098</v>
      </c>
      <c r="D546" s="145" t="s">
        <v>136</v>
      </c>
      <c r="E546" s="141">
        <v>9900000</v>
      </c>
      <c r="F546" s="9">
        <v>100000</v>
      </c>
      <c r="G546" s="9">
        <v>100000</v>
      </c>
      <c r="H546" s="9">
        <v>100000</v>
      </c>
      <c r="I546" s="9">
        <v>100000</v>
      </c>
      <c r="J546" s="9">
        <v>100000</v>
      </c>
      <c r="K546" s="9">
        <v>100000</v>
      </c>
      <c r="L546" s="9">
        <v>100000</v>
      </c>
      <c r="M546" s="9">
        <v>100000</v>
      </c>
      <c r="N546" s="9">
        <v>100000</v>
      </c>
      <c r="O546" s="141">
        <v>100000</v>
      </c>
      <c r="P546" s="141">
        <v>100000</v>
      </c>
      <c r="Q546" s="141">
        <v>100000</v>
      </c>
      <c r="R546" s="141">
        <f t="shared" si="8"/>
        <v>11100000</v>
      </c>
    </row>
    <row r="547" spans="1:18" x14ac:dyDescent="0.35">
      <c r="A547" s="5">
        <v>545</v>
      </c>
      <c r="B547" s="6" t="s">
        <v>1182</v>
      </c>
      <c r="C547" s="7" t="s">
        <v>1183</v>
      </c>
      <c r="D547" s="8" t="s">
        <v>136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/>
      <c r="R547" s="9">
        <f t="shared" si="8"/>
        <v>0</v>
      </c>
    </row>
    <row r="548" spans="1:18" s="162" customFormat="1" x14ac:dyDescent="0.35">
      <c r="A548" s="158">
        <v>546</v>
      </c>
      <c r="B548" s="20" t="s">
        <v>1184</v>
      </c>
      <c r="C548" s="159" t="s">
        <v>2099</v>
      </c>
      <c r="D548" s="160" t="s">
        <v>136</v>
      </c>
      <c r="E548" s="161">
        <v>100000</v>
      </c>
      <c r="F548" s="9">
        <v>0</v>
      </c>
      <c r="G548" s="70">
        <v>0</v>
      </c>
      <c r="H548" s="70">
        <v>0</v>
      </c>
      <c r="I548" s="9">
        <v>0</v>
      </c>
      <c r="J548" s="70">
        <v>0</v>
      </c>
      <c r="K548" s="70">
        <v>200000</v>
      </c>
      <c r="L548" s="70">
        <v>100000</v>
      </c>
      <c r="M548" s="70">
        <f>100000+100000</f>
        <v>200000</v>
      </c>
      <c r="N548" s="9">
        <v>0</v>
      </c>
      <c r="O548" s="161">
        <v>0</v>
      </c>
      <c r="P548" s="161">
        <v>200000</v>
      </c>
      <c r="Q548" s="161">
        <f>200000</f>
        <v>200000</v>
      </c>
      <c r="R548" s="161">
        <f t="shared" si="8"/>
        <v>1000000</v>
      </c>
    </row>
    <row r="549" spans="1:18" x14ac:dyDescent="0.35">
      <c r="A549" s="5">
        <v>547</v>
      </c>
      <c r="B549" s="6" t="s">
        <v>1186</v>
      </c>
      <c r="C549" s="7" t="s">
        <v>1187</v>
      </c>
      <c r="D549" s="8" t="s">
        <v>169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/>
      <c r="R549" s="9">
        <f t="shared" si="8"/>
        <v>0</v>
      </c>
    </row>
    <row r="550" spans="1:18" s="142" customFormat="1" x14ac:dyDescent="0.35">
      <c r="A550" s="143">
        <v>548</v>
      </c>
      <c r="B550" s="6" t="s">
        <v>1188</v>
      </c>
      <c r="C550" s="144" t="s">
        <v>2100</v>
      </c>
      <c r="D550" s="145" t="s">
        <v>136</v>
      </c>
      <c r="E550" s="141">
        <v>9900000</v>
      </c>
      <c r="F550" s="9">
        <v>100000</v>
      </c>
      <c r="G550" s="9">
        <v>100000</v>
      </c>
      <c r="H550" s="9">
        <v>100000</v>
      </c>
      <c r="I550" s="9">
        <v>100000</v>
      </c>
      <c r="J550" s="9">
        <v>100000</v>
      </c>
      <c r="K550" s="9">
        <v>100000</v>
      </c>
      <c r="L550" s="9">
        <v>100000</v>
      </c>
      <c r="M550" s="9">
        <v>100000</v>
      </c>
      <c r="N550" s="9">
        <v>100000</v>
      </c>
      <c r="O550" s="141">
        <v>100000</v>
      </c>
      <c r="P550" s="141">
        <v>100000</v>
      </c>
      <c r="Q550" s="141">
        <v>100000</v>
      </c>
      <c r="R550" s="141">
        <f t="shared" si="8"/>
        <v>11100000</v>
      </c>
    </row>
    <row r="551" spans="1:18" s="93" customFormat="1" x14ac:dyDescent="0.35">
      <c r="A551" s="89">
        <v>549</v>
      </c>
      <c r="B551" s="94" t="s">
        <v>1190</v>
      </c>
      <c r="C551" s="90" t="s">
        <v>2101</v>
      </c>
      <c r="D551" s="91" t="s">
        <v>303</v>
      </c>
      <c r="E551" s="92">
        <v>14150000</v>
      </c>
      <c r="F551" s="92">
        <v>150000</v>
      </c>
      <c r="G551" s="92">
        <v>150000</v>
      </c>
      <c r="H551" s="9">
        <v>150000</v>
      </c>
      <c r="I551" s="9">
        <v>150000</v>
      </c>
      <c r="J551" s="9">
        <v>150000</v>
      </c>
      <c r="K551" s="9">
        <v>150000</v>
      </c>
      <c r="L551" s="9">
        <v>150000</v>
      </c>
      <c r="M551" s="92">
        <v>150000</v>
      </c>
      <c r="N551" s="92">
        <v>150000</v>
      </c>
      <c r="O551" s="92">
        <v>150000</v>
      </c>
      <c r="P551" s="92">
        <v>150000</v>
      </c>
      <c r="Q551" s="92">
        <v>150000</v>
      </c>
      <c r="R551" s="92">
        <f t="shared" si="8"/>
        <v>15950000</v>
      </c>
    </row>
    <row r="552" spans="1:18" s="162" customFormat="1" x14ac:dyDescent="0.35">
      <c r="A552" s="158">
        <v>550</v>
      </c>
      <c r="B552" s="6" t="s">
        <v>1192</v>
      </c>
      <c r="C552" s="159" t="s">
        <v>2102</v>
      </c>
      <c r="D552" s="160" t="s">
        <v>136</v>
      </c>
      <c r="E552" s="161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70">
        <v>100000</v>
      </c>
      <c r="N552" s="9">
        <v>0</v>
      </c>
      <c r="O552" s="161">
        <v>0</v>
      </c>
      <c r="P552" s="161">
        <v>200000</v>
      </c>
      <c r="Q552" s="161">
        <f>200000</f>
        <v>200000</v>
      </c>
      <c r="R552" s="161">
        <f t="shared" si="8"/>
        <v>500000</v>
      </c>
    </row>
    <row r="553" spans="1:18" x14ac:dyDescent="0.35">
      <c r="A553" s="5">
        <v>551</v>
      </c>
      <c r="B553" s="6" t="s">
        <v>1194</v>
      </c>
      <c r="C553" s="7" t="s">
        <v>1195</v>
      </c>
      <c r="D553" s="8" t="s">
        <v>136</v>
      </c>
      <c r="E553" s="9">
        <v>2500000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/>
      <c r="R553" s="9">
        <f t="shared" si="8"/>
        <v>2500000</v>
      </c>
    </row>
    <row r="554" spans="1:18" x14ac:dyDescent="0.35">
      <c r="A554" s="5">
        <v>552</v>
      </c>
      <c r="B554" s="6" t="s">
        <v>1196</v>
      </c>
      <c r="C554" s="7" t="s">
        <v>1197</v>
      </c>
      <c r="D554" s="8" t="s">
        <v>136</v>
      </c>
      <c r="E554" s="9">
        <v>6500000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/>
      <c r="R554" s="9">
        <f t="shared" si="8"/>
        <v>6500000</v>
      </c>
    </row>
    <row r="555" spans="1:18" x14ac:dyDescent="0.35">
      <c r="A555" s="5">
        <v>553</v>
      </c>
      <c r="B555" s="6" t="s">
        <v>1198</v>
      </c>
      <c r="C555" s="7" t="s">
        <v>1199</v>
      </c>
      <c r="D555" s="8" t="s">
        <v>136</v>
      </c>
      <c r="E555" s="9">
        <v>250000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/>
      <c r="R555" s="9">
        <f t="shared" si="8"/>
        <v>250000</v>
      </c>
    </row>
    <row r="556" spans="1:18" x14ac:dyDescent="0.35">
      <c r="A556" s="5">
        <v>554</v>
      </c>
      <c r="B556" s="6" t="s">
        <v>1200</v>
      </c>
      <c r="C556" s="7" t="s">
        <v>1201</v>
      </c>
      <c r="D556" s="8" t="s">
        <v>141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/>
      <c r="R556" s="9">
        <f t="shared" si="8"/>
        <v>0</v>
      </c>
    </row>
    <row r="557" spans="1:18" x14ac:dyDescent="0.35">
      <c r="A557" s="5">
        <v>555</v>
      </c>
      <c r="B557" s="6" t="s">
        <v>1202</v>
      </c>
      <c r="C557" s="7" t="s">
        <v>1203</v>
      </c>
      <c r="D557" s="8" t="s">
        <v>49</v>
      </c>
      <c r="E557" s="9">
        <v>1700000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/>
      <c r="R557" s="9">
        <f t="shared" si="8"/>
        <v>1700000</v>
      </c>
    </row>
    <row r="558" spans="1:18" x14ac:dyDescent="0.35">
      <c r="A558" s="5">
        <v>556</v>
      </c>
      <c r="B558" s="6" t="s">
        <v>1204</v>
      </c>
      <c r="C558" s="7" t="s">
        <v>1205</v>
      </c>
      <c r="D558" s="8" t="s">
        <v>128</v>
      </c>
      <c r="E558" s="9">
        <v>9100000</v>
      </c>
      <c r="F558" s="9">
        <v>0</v>
      </c>
      <c r="G558" s="9">
        <v>0</v>
      </c>
      <c r="H558" s="9">
        <v>-9200000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/>
      <c r="R558" s="9">
        <f t="shared" si="8"/>
        <v>-100000</v>
      </c>
    </row>
    <row r="559" spans="1:18" x14ac:dyDescent="0.35">
      <c r="A559" s="5">
        <v>557</v>
      </c>
      <c r="B559" s="6" t="s">
        <v>1206</v>
      </c>
      <c r="C559" s="7" t="s">
        <v>1207</v>
      </c>
      <c r="D559" s="8" t="s">
        <v>49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/>
      <c r="R559" s="9">
        <f t="shared" si="8"/>
        <v>0</v>
      </c>
    </row>
    <row r="560" spans="1:18" s="142" customFormat="1" x14ac:dyDescent="0.35">
      <c r="A560" s="143">
        <v>558</v>
      </c>
      <c r="B560" s="6" t="s">
        <v>1208</v>
      </c>
      <c r="C560" s="144" t="s">
        <v>1932</v>
      </c>
      <c r="D560" s="145" t="s">
        <v>128</v>
      </c>
      <c r="E560" s="141">
        <v>10100000</v>
      </c>
      <c r="F560" s="9">
        <v>100000</v>
      </c>
      <c r="G560" s="9">
        <v>100000</v>
      </c>
      <c r="H560" s="9">
        <v>100000</v>
      </c>
      <c r="I560" s="9">
        <v>100000</v>
      </c>
      <c r="J560" s="9">
        <v>100000</v>
      </c>
      <c r="K560" s="9">
        <v>100000</v>
      </c>
      <c r="L560" s="9">
        <v>100000</v>
      </c>
      <c r="M560" s="9">
        <v>100000</v>
      </c>
      <c r="N560" s="9">
        <v>100000</v>
      </c>
      <c r="O560" s="141">
        <v>100000</v>
      </c>
      <c r="P560" s="141">
        <v>100000</v>
      </c>
      <c r="Q560" s="141">
        <v>100000</v>
      </c>
      <c r="R560" s="141">
        <f t="shared" si="8"/>
        <v>11300000</v>
      </c>
    </row>
    <row r="561" spans="1:18" x14ac:dyDescent="0.35">
      <c r="A561" s="5">
        <v>559</v>
      </c>
      <c r="B561" s="6" t="s">
        <v>1210</v>
      </c>
      <c r="C561" s="7" t="s">
        <v>1211</v>
      </c>
      <c r="D561" s="8" t="s">
        <v>128</v>
      </c>
      <c r="E561" s="9">
        <v>4900000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/>
      <c r="R561" s="9">
        <f t="shared" si="8"/>
        <v>4900000</v>
      </c>
    </row>
    <row r="562" spans="1:18" s="142" customFormat="1" x14ac:dyDescent="0.35">
      <c r="A562" s="143">
        <v>560</v>
      </c>
      <c r="B562" s="6" t="s">
        <v>1212</v>
      </c>
      <c r="C562" s="144" t="s">
        <v>2103</v>
      </c>
      <c r="D562" s="145" t="s">
        <v>1214</v>
      </c>
      <c r="E562" s="141">
        <v>15150000</v>
      </c>
      <c r="F562" s="9">
        <v>350000</v>
      </c>
      <c r="G562" s="9">
        <v>350000</v>
      </c>
      <c r="H562" s="9">
        <v>350000</v>
      </c>
      <c r="I562" s="9">
        <v>350000</v>
      </c>
      <c r="J562" s="9">
        <v>350000</v>
      </c>
      <c r="K562" s="9">
        <v>350000</v>
      </c>
      <c r="L562" s="9">
        <v>350000</v>
      </c>
      <c r="M562" s="9">
        <v>350000</v>
      </c>
      <c r="N562" s="9">
        <v>350000</v>
      </c>
      <c r="O562" s="141">
        <v>350000</v>
      </c>
      <c r="P562" s="141">
        <v>350000</v>
      </c>
      <c r="Q562" s="141">
        <v>350000</v>
      </c>
      <c r="R562" s="141">
        <f t="shared" si="8"/>
        <v>19350000</v>
      </c>
    </row>
    <row r="563" spans="1:18" x14ac:dyDescent="0.35">
      <c r="A563" s="5">
        <v>561</v>
      </c>
      <c r="B563" s="6" t="s">
        <v>1215</v>
      </c>
      <c r="C563" s="7" t="s">
        <v>1216</v>
      </c>
      <c r="D563" s="8" t="s">
        <v>49</v>
      </c>
      <c r="E563" s="9">
        <v>100000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/>
      <c r="R563" s="9">
        <f t="shared" si="8"/>
        <v>100000</v>
      </c>
    </row>
    <row r="564" spans="1:18" x14ac:dyDescent="0.35">
      <c r="A564" s="5">
        <v>562</v>
      </c>
      <c r="B564" s="6" t="s">
        <v>1217</v>
      </c>
      <c r="C564" s="7" t="s">
        <v>1218</v>
      </c>
      <c r="D564" s="8" t="s">
        <v>49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/>
      <c r="R564" s="9">
        <f t="shared" si="8"/>
        <v>0</v>
      </c>
    </row>
    <row r="565" spans="1:18" x14ac:dyDescent="0.35">
      <c r="A565" s="5">
        <v>563</v>
      </c>
      <c r="B565" s="6" t="s">
        <v>1219</v>
      </c>
      <c r="C565" s="7" t="s">
        <v>1220</v>
      </c>
      <c r="D565" s="8" t="s">
        <v>49</v>
      </c>
      <c r="E565" s="9">
        <v>-100000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/>
      <c r="R565" s="9">
        <f t="shared" si="8"/>
        <v>-100000</v>
      </c>
    </row>
    <row r="566" spans="1:18" x14ac:dyDescent="0.35">
      <c r="A566" s="5">
        <v>564</v>
      </c>
      <c r="B566" s="6" t="s">
        <v>1221</v>
      </c>
      <c r="C566" s="7" t="s">
        <v>1222</v>
      </c>
      <c r="D566" s="8" t="s">
        <v>49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/>
      <c r="R566" s="9">
        <f t="shared" si="8"/>
        <v>0</v>
      </c>
    </row>
    <row r="567" spans="1:18" x14ac:dyDescent="0.35">
      <c r="A567" s="5">
        <v>565</v>
      </c>
      <c r="B567" s="6" t="s">
        <v>1223</v>
      </c>
      <c r="C567" s="7" t="s">
        <v>1224</v>
      </c>
      <c r="D567" s="8" t="s">
        <v>49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/>
      <c r="R567" s="9">
        <f t="shared" si="8"/>
        <v>0</v>
      </c>
    </row>
    <row r="568" spans="1:18" x14ac:dyDescent="0.35">
      <c r="A568" s="5">
        <v>566</v>
      </c>
      <c r="B568" s="6" t="s">
        <v>1225</v>
      </c>
      <c r="C568" s="7" t="s">
        <v>1226</v>
      </c>
      <c r="D568" s="8" t="s">
        <v>698</v>
      </c>
      <c r="E568" s="9">
        <v>250000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/>
      <c r="R568" s="9">
        <f t="shared" si="8"/>
        <v>250000</v>
      </c>
    </row>
    <row r="569" spans="1:18" x14ac:dyDescent="0.35">
      <c r="A569" s="5">
        <v>567</v>
      </c>
      <c r="B569" s="6" t="s">
        <v>1227</v>
      </c>
      <c r="C569" s="7" t="s">
        <v>1228</v>
      </c>
      <c r="D569" s="8" t="s">
        <v>72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/>
      <c r="R569" s="9">
        <f t="shared" si="8"/>
        <v>0</v>
      </c>
    </row>
    <row r="570" spans="1:18" s="142" customFormat="1" x14ac:dyDescent="0.35">
      <c r="A570" s="143">
        <v>568</v>
      </c>
      <c r="B570" s="6" t="s">
        <v>1229</v>
      </c>
      <c r="C570" s="144" t="s">
        <v>1877</v>
      </c>
      <c r="D570" s="145" t="s">
        <v>231</v>
      </c>
      <c r="E570" s="141">
        <v>22200000</v>
      </c>
      <c r="F570" s="9">
        <v>250000</v>
      </c>
      <c r="G570" s="9">
        <v>250000</v>
      </c>
      <c r="H570" s="9">
        <v>250000</v>
      </c>
      <c r="I570" s="9">
        <v>250000</v>
      </c>
      <c r="J570" s="9">
        <v>250000</v>
      </c>
      <c r="K570" s="9">
        <v>250000</v>
      </c>
      <c r="L570" s="9">
        <v>250000</v>
      </c>
      <c r="M570" s="9">
        <v>250000</v>
      </c>
      <c r="N570" s="9">
        <v>250000</v>
      </c>
      <c r="O570" s="141">
        <v>250000</v>
      </c>
      <c r="P570" s="141">
        <v>250000</v>
      </c>
      <c r="Q570" s="141">
        <v>250000</v>
      </c>
      <c r="R570" s="141">
        <f t="shared" si="8"/>
        <v>25200000</v>
      </c>
    </row>
    <row r="571" spans="1:18" x14ac:dyDescent="0.35">
      <c r="A571" s="5">
        <v>569</v>
      </c>
      <c r="B571" s="6" t="s">
        <v>1231</v>
      </c>
      <c r="C571" s="7" t="s">
        <v>1232</v>
      </c>
      <c r="D571" s="8" t="s">
        <v>46</v>
      </c>
      <c r="E571" s="9">
        <v>200000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/>
      <c r="R571" s="9">
        <f t="shared" si="8"/>
        <v>200000</v>
      </c>
    </row>
    <row r="572" spans="1:18" x14ac:dyDescent="0.35">
      <c r="A572" s="5">
        <v>570</v>
      </c>
      <c r="B572" s="6" t="s">
        <v>1233</v>
      </c>
      <c r="C572" s="7" t="s">
        <v>1234</v>
      </c>
      <c r="D572" s="8" t="s">
        <v>95</v>
      </c>
      <c r="E572" s="9">
        <v>8450000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/>
      <c r="R572" s="9">
        <f t="shared" si="8"/>
        <v>8450000</v>
      </c>
    </row>
    <row r="573" spans="1:18" x14ac:dyDescent="0.35">
      <c r="A573" s="5">
        <v>571</v>
      </c>
      <c r="B573" s="6" t="s">
        <v>1235</v>
      </c>
      <c r="C573" s="7" t="s">
        <v>1236</v>
      </c>
      <c r="D573" s="8" t="s">
        <v>77</v>
      </c>
      <c r="E573" s="9">
        <v>15350000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/>
      <c r="R573" s="9">
        <f t="shared" si="8"/>
        <v>15350000</v>
      </c>
    </row>
    <row r="574" spans="1:18" s="93" customFormat="1" x14ac:dyDescent="0.35">
      <c r="A574" s="89">
        <v>572</v>
      </c>
      <c r="B574" s="6" t="s">
        <v>1237</v>
      </c>
      <c r="C574" s="90" t="s">
        <v>2104</v>
      </c>
      <c r="D574" s="91" t="s">
        <v>98</v>
      </c>
      <c r="E574" s="92">
        <v>14700000</v>
      </c>
      <c r="F574" s="9">
        <v>150000</v>
      </c>
      <c r="G574" s="9">
        <v>150000</v>
      </c>
      <c r="H574" s="9">
        <v>150000</v>
      </c>
      <c r="I574" s="9">
        <v>150000</v>
      </c>
      <c r="J574" s="9">
        <v>150000</v>
      </c>
      <c r="K574" s="9">
        <v>150000</v>
      </c>
      <c r="L574" s="9">
        <v>150000</v>
      </c>
      <c r="M574" s="9">
        <v>150000</v>
      </c>
      <c r="N574" s="9">
        <v>150000</v>
      </c>
      <c r="O574" s="141">
        <v>150000</v>
      </c>
      <c r="P574" s="92">
        <v>150000</v>
      </c>
      <c r="Q574" s="92">
        <v>150000</v>
      </c>
      <c r="R574" s="92">
        <f t="shared" si="8"/>
        <v>16500000</v>
      </c>
    </row>
    <row r="575" spans="1:18" s="142" customFormat="1" x14ac:dyDescent="0.35">
      <c r="A575" s="143">
        <v>573</v>
      </c>
      <c r="B575" s="6" t="s">
        <v>1238</v>
      </c>
      <c r="C575" s="144" t="s">
        <v>2105</v>
      </c>
      <c r="D575" s="145" t="s">
        <v>83</v>
      </c>
      <c r="E575" s="141">
        <v>19700000</v>
      </c>
      <c r="F575" s="9">
        <v>250000</v>
      </c>
      <c r="G575" s="9">
        <v>250000</v>
      </c>
      <c r="H575" s="9">
        <v>250000</v>
      </c>
      <c r="I575" s="9">
        <v>250000</v>
      </c>
      <c r="J575" s="9">
        <v>250000</v>
      </c>
      <c r="K575" s="9">
        <v>250000</v>
      </c>
      <c r="L575" s="9">
        <v>250000</v>
      </c>
      <c r="M575" s="9">
        <v>250000</v>
      </c>
      <c r="N575" s="9">
        <v>250000</v>
      </c>
      <c r="O575" s="141">
        <v>250000</v>
      </c>
      <c r="P575" s="141">
        <v>250000</v>
      </c>
      <c r="Q575" s="141">
        <v>250000</v>
      </c>
      <c r="R575" s="141">
        <f t="shared" si="8"/>
        <v>22700000</v>
      </c>
    </row>
    <row r="576" spans="1:18" s="93" customFormat="1" x14ac:dyDescent="0.35">
      <c r="A576" s="89">
        <v>574</v>
      </c>
      <c r="B576" s="94" t="s">
        <v>1240</v>
      </c>
      <c r="C576" s="90" t="s">
        <v>2106</v>
      </c>
      <c r="D576" s="91" t="s">
        <v>72</v>
      </c>
      <c r="E576" s="92">
        <v>22350000</v>
      </c>
      <c r="F576" s="92">
        <v>250000</v>
      </c>
      <c r="G576" s="92">
        <v>250000</v>
      </c>
      <c r="H576" s="9">
        <v>250000</v>
      </c>
      <c r="I576" s="9">
        <v>250000</v>
      </c>
      <c r="J576" s="9">
        <v>250000</v>
      </c>
      <c r="K576" s="9">
        <v>250000</v>
      </c>
      <c r="L576" s="9">
        <v>250000</v>
      </c>
      <c r="M576" s="92">
        <v>250000</v>
      </c>
      <c r="N576" s="92">
        <v>250000</v>
      </c>
      <c r="O576" s="92">
        <v>250000</v>
      </c>
      <c r="P576" s="92">
        <v>250000</v>
      </c>
      <c r="Q576" s="92">
        <v>250000</v>
      </c>
      <c r="R576" s="92">
        <f t="shared" si="8"/>
        <v>25350000</v>
      </c>
    </row>
    <row r="577" spans="1:18" s="142" customFormat="1" x14ac:dyDescent="0.35">
      <c r="A577" s="143">
        <v>575</v>
      </c>
      <c r="B577" s="6" t="s">
        <v>1242</v>
      </c>
      <c r="C577" s="144" t="s">
        <v>2107</v>
      </c>
      <c r="D577" s="145" t="s">
        <v>270</v>
      </c>
      <c r="E577" s="141">
        <v>12850000</v>
      </c>
      <c r="F577" s="9">
        <v>250000</v>
      </c>
      <c r="G577" s="9">
        <v>250000</v>
      </c>
      <c r="H577" s="9">
        <v>250000</v>
      </c>
      <c r="I577" s="9">
        <v>250000</v>
      </c>
      <c r="J577" s="9">
        <v>250000</v>
      </c>
      <c r="K577" s="9">
        <v>250000</v>
      </c>
      <c r="L577" s="9">
        <v>250000</v>
      </c>
      <c r="M577" s="9">
        <v>250000</v>
      </c>
      <c r="N577" s="9">
        <v>250000</v>
      </c>
      <c r="O577" s="141">
        <v>250000</v>
      </c>
      <c r="P577" s="141">
        <v>250000</v>
      </c>
      <c r="Q577" s="141">
        <v>250000</v>
      </c>
      <c r="R577" s="141">
        <f t="shared" si="8"/>
        <v>15850000</v>
      </c>
    </row>
    <row r="578" spans="1:18" x14ac:dyDescent="0.35">
      <c r="A578" s="5">
        <v>576</v>
      </c>
      <c r="B578" s="6" t="s">
        <v>1244</v>
      </c>
      <c r="C578" s="7" t="s">
        <v>1245</v>
      </c>
      <c r="D578" s="8" t="s">
        <v>49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/>
      <c r="R578" s="9">
        <f t="shared" si="8"/>
        <v>0</v>
      </c>
    </row>
    <row r="579" spans="1:18" x14ac:dyDescent="0.35">
      <c r="A579" s="5">
        <v>577</v>
      </c>
      <c r="B579" s="94" t="s">
        <v>1246</v>
      </c>
      <c r="C579" s="7" t="s">
        <v>1247</v>
      </c>
      <c r="D579" s="8" t="s">
        <v>95</v>
      </c>
      <c r="E579" s="9">
        <v>22350000</v>
      </c>
      <c r="F579" s="92">
        <v>-22100000</v>
      </c>
      <c r="G579" s="92">
        <v>250000</v>
      </c>
      <c r="H579" s="9">
        <v>250000</v>
      </c>
      <c r="I579" s="9">
        <v>250000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/>
      <c r="R579" s="9">
        <f t="shared" ref="R579:R642" si="9">SUM(E579:Q579)</f>
        <v>1000000</v>
      </c>
    </row>
    <row r="580" spans="1:18" x14ac:dyDescent="0.35">
      <c r="A580" s="5">
        <v>578</v>
      </c>
      <c r="B580" s="6" t="s">
        <v>1248</v>
      </c>
      <c r="C580" s="7" t="s">
        <v>1249</v>
      </c>
      <c r="D580" s="8" t="s">
        <v>77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/>
      <c r="R580" s="9">
        <f t="shared" si="9"/>
        <v>0</v>
      </c>
    </row>
    <row r="581" spans="1:18" x14ac:dyDescent="0.35">
      <c r="A581" s="5">
        <v>579</v>
      </c>
      <c r="B581" s="6" t="s">
        <v>1250</v>
      </c>
      <c r="C581" s="7" t="s">
        <v>1251</v>
      </c>
      <c r="D581" s="8" t="s">
        <v>77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/>
      <c r="R581" s="9">
        <f t="shared" si="9"/>
        <v>0</v>
      </c>
    </row>
    <row r="582" spans="1:18" x14ac:dyDescent="0.35">
      <c r="A582" s="5">
        <v>580</v>
      </c>
      <c r="B582" s="6" t="s">
        <v>1252</v>
      </c>
      <c r="C582" s="7" t="s">
        <v>1253</v>
      </c>
      <c r="D582" s="8" t="s">
        <v>60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/>
      <c r="R582" s="9">
        <f t="shared" si="9"/>
        <v>0</v>
      </c>
    </row>
    <row r="583" spans="1:18" x14ac:dyDescent="0.35">
      <c r="A583" s="5">
        <v>581</v>
      </c>
      <c r="B583" s="94" t="s">
        <v>1254</v>
      </c>
      <c r="C583" s="7" t="s">
        <v>1255</v>
      </c>
      <c r="D583" s="8" t="s">
        <v>131</v>
      </c>
      <c r="E583" s="9">
        <v>22350000</v>
      </c>
      <c r="F583" s="92">
        <v>250000</v>
      </c>
      <c r="G583" s="92">
        <v>250000</v>
      </c>
      <c r="H583" s="9">
        <v>250000</v>
      </c>
      <c r="I583" s="9">
        <v>250000</v>
      </c>
      <c r="J583" s="9">
        <v>250000</v>
      </c>
      <c r="K583" s="9">
        <v>250000</v>
      </c>
      <c r="L583" s="9">
        <v>250000</v>
      </c>
      <c r="M583" s="92">
        <v>250000</v>
      </c>
      <c r="N583" s="92">
        <v>250000</v>
      </c>
      <c r="O583" s="9">
        <v>0</v>
      </c>
      <c r="P583" s="9">
        <v>-24600000</v>
      </c>
      <c r="Q583" s="9"/>
      <c r="R583" s="9">
        <f t="shared" si="9"/>
        <v>0</v>
      </c>
    </row>
    <row r="584" spans="1:18" x14ac:dyDescent="0.35">
      <c r="A584" s="5">
        <v>582</v>
      </c>
      <c r="B584" s="6" t="s">
        <v>1256</v>
      </c>
      <c r="C584" s="7" t="s">
        <v>1257</v>
      </c>
      <c r="D584" s="8" t="s">
        <v>123</v>
      </c>
      <c r="E584" s="9">
        <v>2250000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/>
      <c r="R584" s="9">
        <f t="shared" si="9"/>
        <v>2250000</v>
      </c>
    </row>
    <row r="585" spans="1:18" x14ac:dyDescent="0.35">
      <c r="A585" s="5">
        <v>583</v>
      </c>
      <c r="B585" s="6" t="s">
        <v>1258</v>
      </c>
      <c r="C585" s="7" t="s">
        <v>1259</v>
      </c>
      <c r="D585" s="8" t="s">
        <v>72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/>
      <c r="R585" s="9">
        <f t="shared" si="9"/>
        <v>0</v>
      </c>
    </row>
    <row r="586" spans="1:18" x14ac:dyDescent="0.35">
      <c r="A586" s="5">
        <v>584</v>
      </c>
      <c r="B586" s="6" t="s">
        <v>1260</v>
      </c>
      <c r="C586" s="7" t="s">
        <v>1261</v>
      </c>
      <c r="D586" s="8" t="s">
        <v>60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/>
      <c r="R586" s="9">
        <f t="shared" si="9"/>
        <v>0</v>
      </c>
    </row>
    <row r="587" spans="1:18" x14ac:dyDescent="0.35">
      <c r="A587" s="5">
        <v>585</v>
      </c>
      <c r="B587" s="6" t="s">
        <v>1262</v>
      </c>
      <c r="C587" s="7" t="s">
        <v>1263</v>
      </c>
      <c r="D587" s="8" t="s">
        <v>49</v>
      </c>
      <c r="E587" s="9">
        <v>-100000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/>
      <c r="R587" s="9">
        <f t="shared" si="9"/>
        <v>-100000</v>
      </c>
    </row>
    <row r="588" spans="1:18" s="142" customFormat="1" x14ac:dyDescent="0.35">
      <c r="A588" s="143">
        <v>586</v>
      </c>
      <c r="B588" s="6" t="s">
        <v>1264</v>
      </c>
      <c r="C588" s="144" t="s">
        <v>1949</v>
      </c>
      <c r="D588" s="145" t="s">
        <v>128</v>
      </c>
      <c r="E588" s="141">
        <v>9950000</v>
      </c>
      <c r="F588" s="9">
        <v>100000</v>
      </c>
      <c r="G588" s="9">
        <v>100000</v>
      </c>
      <c r="H588" s="9">
        <v>100000</v>
      </c>
      <c r="I588" s="9">
        <v>100000</v>
      </c>
      <c r="J588" s="9">
        <v>100000</v>
      </c>
      <c r="K588" s="9">
        <v>100000</v>
      </c>
      <c r="L588" s="9">
        <v>100000</v>
      </c>
      <c r="M588" s="9">
        <v>100000</v>
      </c>
      <c r="N588" s="9">
        <v>100000</v>
      </c>
      <c r="O588" s="141">
        <v>100000</v>
      </c>
      <c r="P588" s="141">
        <v>100000</v>
      </c>
      <c r="Q588" s="141">
        <v>100000</v>
      </c>
      <c r="R588" s="141">
        <f t="shared" si="9"/>
        <v>11150000</v>
      </c>
    </row>
    <row r="589" spans="1:18" s="142" customFormat="1" x14ac:dyDescent="0.35">
      <c r="A589" s="143">
        <v>587</v>
      </c>
      <c r="B589" s="6" t="s">
        <v>1266</v>
      </c>
      <c r="C589" s="144" t="s">
        <v>1886</v>
      </c>
      <c r="D589" s="145" t="s">
        <v>136</v>
      </c>
      <c r="E589" s="141">
        <v>9950000</v>
      </c>
      <c r="F589" s="9">
        <v>100000</v>
      </c>
      <c r="G589" s="9">
        <v>100000</v>
      </c>
      <c r="H589" s="9">
        <v>100000</v>
      </c>
      <c r="I589" s="9">
        <v>100000</v>
      </c>
      <c r="J589" s="9">
        <v>100000</v>
      </c>
      <c r="K589" s="9">
        <v>100000</v>
      </c>
      <c r="L589" s="9">
        <v>100000</v>
      </c>
      <c r="M589" s="9">
        <v>100000</v>
      </c>
      <c r="N589" s="9">
        <v>100000</v>
      </c>
      <c r="O589" s="141">
        <v>100000</v>
      </c>
      <c r="P589" s="141">
        <v>100000</v>
      </c>
      <c r="Q589" s="141">
        <v>100000</v>
      </c>
      <c r="R589" s="141">
        <f t="shared" si="9"/>
        <v>11150000</v>
      </c>
    </row>
    <row r="590" spans="1:18" s="142" customFormat="1" x14ac:dyDescent="0.35">
      <c r="A590" s="143">
        <v>588</v>
      </c>
      <c r="B590" s="6" t="s">
        <v>1268</v>
      </c>
      <c r="C590" s="144" t="s">
        <v>1868</v>
      </c>
      <c r="D590" s="145" t="s">
        <v>136</v>
      </c>
      <c r="E590" s="141">
        <v>9950000</v>
      </c>
      <c r="F590" s="9">
        <v>100000</v>
      </c>
      <c r="G590" s="9">
        <v>100000</v>
      </c>
      <c r="H590" s="9">
        <v>100000</v>
      </c>
      <c r="I590" s="9">
        <v>100000</v>
      </c>
      <c r="J590" s="9">
        <v>100000</v>
      </c>
      <c r="K590" s="9">
        <v>100000</v>
      </c>
      <c r="L590" s="9">
        <v>100000</v>
      </c>
      <c r="M590" s="9">
        <v>100000</v>
      </c>
      <c r="N590" s="9">
        <v>100000</v>
      </c>
      <c r="O590" s="141">
        <v>100000</v>
      </c>
      <c r="P590" s="141">
        <v>100000</v>
      </c>
      <c r="Q590" s="141">
        <v>100000</v>
      </c>
      <c r="R590" s="141">
        <f t="shared" si="9"/>
        <v>11150000</v>
      </c>
    </row>
    <row r="591" spans="1:18" s="142" customFormat="1" x14ac:dyDescent="0.35">
      <c r="A591" s="143">
        <v>589</v>
      </c>
      <c r="B591" s="6" t="s">
        <v>1270</v>
      </c>
      <c r="C591" s="144" t="s">
        <v>1876</v>
      </c>
      <c r="D591" s="145" t="s">
        <v>136</v>
      </c>
      <c r="E591" s="141">
        <v>9950000</v>
      </c>
      <c r="F591" s="9">
        <v>100000</v>
      </c>
      <c r="G591" s="9">
        <v>100000</v>
      </c>
      <c r="H591" s="9">
        <v>100000</v>
      </c>
      <c r="I591" s="9">
        <v>100000</v>
      </c>
      <c r="J591" s="9">
        <v>100000</v>
      </c>
      <c r="K591" s="9">
        <v>100000</v>
      </c>
      <c r="L591" s="9">
        <v>100000</v>
      </c>
      <c r="M591" s="9">
        <v>100000</v>
      </c>
      <c r="N591" s="9">
        <v>100000</v>
      </c>
      <c r="O591" s="141">
        <v>100000</v>
      </c>
      <c r="P591" s="141">
        <v>100000</v>
      </c>
      <c r="Q591" s="141">
        <v>100000</v>
      </c>
      <c r="R591" s="141">
        <f t="shared" si="9"/>
        <v>11150000</v>
      </c>
    </row>
    <row r="592" spans="1:18" s="142" customFormat="1" x14ac:dyDescent="0.35">
      <c r="A592" s="143">
        <v>590</v>
      </c>
      <c r="B592" s="6" t="s">
        <v>1272</v>
      </c>
      <c r="C592" s="144" t="s">
        <v>2108</v>
      </c>
      <c r="D592" s="145" t="s">
        <v>429</v>
      </c>
      <c r="E592" s="141">
        <v>14250000</v>
      </c>
      <c r="F592" s="9">
        <v>150000</v>
      </c>
      <c r="G592" s="9">
        <v>150000</v>
      </c>
      <c r="H592" s="9">
        <v>150000</v>
      </c>
      <c r="I592" s="9">
        <v>150000</v>
      </c>
      <c r="J592" s="9">
        <v>150000</v>
      </c>
      <c r="K592" s="9">
        <v>150000</v>
      </c>
      <c r="L592" s="9">
        <v>150000</v>
      </c>
      <c r="M592" s="9">
        <v>150000</v>
      </c>
      <c r="N592" s="9">
        <v>150000</v>
      </c>
      <c r="O592" s="141">
        <v>150000</v>
      </c>
      <c r="P592" s="141">
        <v>150000</v>
      </c>
      <c r="Q592" s="141">
        <v>150000</v>
      </c>
      <c r="R592" s="141">
        <f t="shared" si="9"/>
        <v>16050000</v>
      </c>
    </row>
    <row r="593" spans="1:18" x14ac:dyDescent="0.35">
      <c r="A593" s="5">
        <v>591</v>
      </c>
      <c r="B593" s="6" t="s">
        <v>1274</v>
      </c>
      <c r="C593" s="7" t="s">
        <v>1672</v>
      </c>
      <c r="D593" s="8" t="s">
        <v>46</v>
      </c>
      <c r="E593" s="9">
        <v>300000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/>
      <c r="R593" s="9">
        <f t="shared" si="9"/>
        <v>300000</v>
      </c>
    </row>
    <row r="594" spans="1:18" x14ac:dyDescent="0.35">
      <c r="A594" s="5">
        <v>592</v>
      </c>
      <c r="B594" s="6" t="s">
        <v>1276</v>
      </c>
      <c r="C594" s="7" t="s">
        <v>1277</v>
      </c>
      <c r="D594" s="8" t="s">
        <v>128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/>
      <c r="R594" s="9">
        <f t="shared" si="9"/>
        <v>0</v>
      </c>
    </row>
    <row r="595" spans="1:18" x14ac:dyDescent="0.35">
      <c r="A595" s="5">
        <v>593</v>
      </c>
      <c r="B595" s="94" t="s">
        <v>1278</v>
      </c>
      <c r="C595" s="7" t="s">
        <v>1844</v>
      </c>
      <c r="D595" s="8" t="s">
        <v>406</v>
      </c>
      <c r="E595" s="9">
        <v>22350000</v>
      </c>
      <c r="F595" s="92">
        <v>250000</v>
      </c>
      <c r="G595" s="92">
        <v>250000</v>
      </c>
      <c r="H595" s="9">
        <v>250000</v>
      </c>
      <c r="I595" s="9">
        <v>250000</v>
      </c>
      <c r="J595" s="9">
        <v>250000</v>
      </c>
      <c r="K595" s="9">
        <v>0</v>
      </c>
      <c r="L595" s="9">
        <v>0</v>
      </c>
      <c r="M595" s="9">
        <v>-23600000</v>
      </c>
      <c r="N595" s="9">
        <v>0</v>
      </c>
      <c r="O595" s="9">
        <v>0</v>
      </c>
      <c r="P595" s="9">
        <v>0</v>
      </c>
      <c r="Q595" s="9"/>
      <c r="R595" s="9">
        <f t="shared" si="9"/>
        <v>0</v>
      </c>
    </row>
    <row r="596" spans="1:18" x14ac:dyDescent="0.35">
      <c r="A596" s="5">
        <v>594</v>
      </c>
      <c r="B596" s="6" t="s">
        <v>1280</v>
      </c>
      <c r="C596" s="7" t="s">
        <v>1281</v>
      </c>
      <c r="D596" s="8" t="s">
        <v>41</v>
      </c>
      <c r="E596" s="9">
        <v>250000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/>
      <c r="R596" s="9">
        <f t="shared" si="9"/>
        <v>250000</v>
      </c>
    </row>
    <row r="597" spans="1:18" s="142" customFormat="1" x14ac:dyDescent="0.35">
      <c r="A597" s="143">
        <v>595</v>
      </c>
      <c r="B597" s="6" t="s">
        <v>1282</v>
      </c>
      <c r="C597" s="144" t="s">
        <v>1927</v>
      </c>
      <c r="D597" s="145" t="s">
        <v>128</v>
      </c>
      <c r="E597" s="141">
        <v>10050000</v>
      </c>
      <c r="F597" s="9">
        <v>100000</v>
      </c>
      <c r="G597" s="9">
        <v>100000</v>
      </c>
      <c r="H597" s="9">
        <v>100000</v>
      </c>
      <c r="I597" s="9">
        <v>100000</v>
      </c>
      <c r="J597" s="9">
        <v>100000</v>
      </c>
      <c r="K597" s="9">
        <v>100000</v>
      </c>
      <c r="L597" s="9">
        <v>100000</v>
      </c>
      <c r="M597" s="9">
        <v>100000</v>
      </c>
      <c r="N597" s="9">
        <v>100000</v>
      </c>
      <c r="O597" s="141">
        <v>100000</v>
      </c>
      <c r="P597" s="141">
        <v>100000</v>
      </c>
      <c r="Q597" s="141">
        <v>100000</v>
      </c>
      <c r="R597" s="141">
        <f t="shared" si="9"/>
        <v>11250000</v>
      </c>
    </row>
    <row r="598" spans="1:18" x14ac:dyDescent="0.35">
      <c r="A598" s="5">
        <v>596</v>
      </c>
      <c r="B598" s="6" t="s">
        <v>1284</v>
      </c>
      <c r="C598" s="7" t="s">
        <v>1673</v>
      </c>
      <c r="D598" s="8" t="s">
        <v>60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/>
      <c r="R598" s="9">
        <f t="shared" si="9"/>
        <v>0</v>
      </c>
    </row>
    <row r="599" spans="1:18" x14ac:dyDescent="0.35">
      <c r="A599" s="5">
        <v>597</v>
      </c>
      <c r="B599" s="6" t="s">
        <v>1286</v>
      </c>
      <c r="C599" s="7" t="s">
        <v>1287</v>
      </c>
      <c r="D599" s="8" t="s">
        <v>49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/>
      <c r="R599" s="9">
        <f t="shared" si="9"/>
        <v>0</v>
      </c>
    </row>
    <row r="600" spans="1:18" s="162" customFormat="1" x14ac:dyDescent="0.35">
      <c r="A600" s="158">
        <v>598</v>
      </c>
      <c r="B600" s="20" t="s">
        <v>1288</v>
      </c>
      <c r="C600" s="159" t="s">
        <v>2109</v>
      </c>
      <c r="D600" s="160" t="s">
        <v>136</v>
      </c>
      <c r="E600" s="161">
        <v>9900000</v>
      </c>
      <c r="F600" s="70">
        <v>100000</v>
      </c>
      <c r="G600" s="9">
        <v>0</v>
      </c>
      <c r="H600" s="9">
        <v>100000</v>
      </c>
      <c r="I600" s="9">
        <v>100000</v>
      </c>
      <c r="J600" s="70"/>
      <c r="K600" s="9">
        <v>200000</v>
      </c>
      <c r="L600" s="9">
        <v>100000</v>
      </c>
      <c r="M600" s="70">
        <f>100000+100000</f>
        <v>200000</v>
      </c>
      <c r="N600" s="9">
        <v>0</v>
      </c>
      <c r="O600" s="161">
        <v>0</v>
      </c>
      <c r="P600" s="161">
        <v>200000</v>
      </c>
      <c r="Q600" s="161">
        <f>200000</f>
        <v>200000</v>
      </c>
      <c r="R600" s="161">
        <f t="shared" si="9"/>
        <v>11100000</v>
      </c>
    </row>
    <row r="601" spans="1:18" x14ac:dyDescent="0.35">
      <c r="A601" s="5">
        <v>599</v>
      </c>
      <c r="B601" s="6" t="s">
        <v>1290</v>
      </c>
      <c r="C601" s="7" t="s">
        <v>1291</v>
      </c>
      <c r="D601" s="8" t="s">
        <v>169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/>
      <c r="R601" s="9">
        <f t="shared" si="9"/>
        <v>0</v>
      </c>
    </row>
    <row r="602" spans="1:18" x14ac:dyDescent="0.35">
      <c r="A602" s="5">
        <v>600</v>
      </c>
      <c r="B602" s="6" t="s">
        <v>1292</v>
      </c>
      <c r="C602" s="7" t="s">
        <v>1293</v>
      </c>
      <c r="D602" s="8" t="s">
        <v>169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/>
      <c r="R602" s="9">
        <f t="shared" si="9"/>
        <v>0</v>
      </c>
    </row>
    <row r="603" spans="1:18" s="134" customFormat="1" x14ac:dyDescent="0.35">
      <c r="A603" s="135">
        <v>601</v>
      </c>
      <c r="B603" s="6" t="s">
        <v>1294</v>
      </c>
      <c r="C603" s="136" t="s">
        <v>1295</v>
      </c>
      <c r="D603" s="137" t="s">
        <v>136</v>
      </c>
      <c r="E603" s="133">
        <v>100000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133">
        <v>0</v>
      </c>
      <c r="P603" s="133">
        <v>0</v>
      </c>
      <c r="Q603" s="133"/>
      <c r="R603" s="133">
        <f t="shared" si="9"/>
        <v>100000</v>
      </c>
    </row>
    <row r="604" spans="1:18" x14ac:dyDescent="0.35">
      <c r="A604" s="5">
        <v>602</v>
      </c>
      <c r="B604" s="6" t="s">
        <v>1296</v>
      </c>
      <c r="C604" s="7" t="s">
        <v>1297</v>
      </c>
      <c r="D604" s="8" t="s">
        <v>136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/>
      <c r="R604" s="9">
        <f t="shared" si="9"/>
        <v>0</v>
      </c>
    </row>
    <row r="605" spans="1:18" x14ac:dyDescent="0.35">
      <c r="A605" s="5">
        <v>603</v>
      </c>
      <c r="B605" s="6" t="s">
        <v>1298</v>
      </c>
      <c r="C605" s="7" t="s">
        <v>1299</v>
      </c>
      <c r="D605" s="8" t="s">
        <v>136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/>
      <c r="R605" s="9">
        <f t="shared" si="9"/>
        <v>0</v>
      </c>
    </row>
    <row r="606" spans="1:18" x14ac:dyDescent="0.35">
      <c r="A606" s="5">
        <v>604</v>
      </c>
      <c r="B606" s="6" t="s">
        <v>1300</v>
      </c>
      <c r="C606" s="7" t="s">
        <v>1301</v>
      </c>
      <c r="D606" s="8" t="s">
        <v>136</v>
      </c>
      <c r="E606" s="9">
        <v>2400000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/>
      <c r="R606" s="9">
        <f t="shared" si="9"/>
        <v>2400000</v>
      </c>
    </row>
    <row r="607" spans="1:18" x14ac:dyDescent="0.35">
      <c r="A607" s="5">
        <v>605</v>
      </c>
      <c r="B607" s="6" t="s">
        <v>1302</v>
      </c>
      <c r="C607" s="7" t="s">
        <v>1303</v>
      </c>
      <c r="D607" s="8" t="s">
        <v>169</v>
      </c>
      <c r="E607" s="9">
        <v>-100000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/>
      <c r="R607" s="9">
        <f t="shared" si="9"/>
        <v>-100000</v>
      </c>
    </row>
    <row r="608" spans="1:18" s="142" customFormat="1" x14ac:dyDescent="0.35">
      <c r="A608" s="143">
        <v>606</v>
      </c>
      <c r="B608" s="6" t="s">
        <v>1304</v>
      </c>
      <c r="C608" s="144" t="s">
        <v>2110</v>
      </c>
      <c r="D608" s="145" t="s">
        <v>136</v>
      </c>
      <c r="E608" s="141">
        <v>9600000</v>
      </c>
      <c r="F608" s="9">
        <v>100000</v>
      </c>
      <c r="G608" s="9">
        <v>100000</v>
      </c>
      <c r="H608" s="9">
        <v>100000</v>
      </c>
      <c r="I608" s="9">
        <v>100000</v>
      </c>
      <c r="J608" s="9">
        <v>100000</v>
      </c>
      <c r="K608" s="9">
        <v>100000</v>
      </c>
      <c r="L608" s="9">
        <v>100000</v>
      </c>
      <c r="M608" s="9">
        <v>100000</v>
      </c>
      <c r="N608" s="9">
        <v>100000</v>
      </c>
      <c r="O608" s="141">
        <v>100000</v>
      </c>
      <c r="P608" s="141">
        <v>100000</v>
      </c>
      <c r="Q608" s="141">
        <v>100000</v>
      </c>
      <c r="R608" s="141">
        <f t="shared" si="9"/>
        <v>10800000</v>
      </c>
    </row>
    <row r="609" spans="1:18" s="104" customFormat="1" x14ac:dyDescent="0.35">
      <c r="A609" s="100">
        <v>607</v>
      </c>
      <c r="B609" s="20" t="s">
        <v>1306</v>
      </c>
      <c r="C609" s="101" t="s">
        <v>2111</v>
      </c>
      <c r="D609" s="102" t="s">
        <v>136</v>
      </c>
      <c r="E609" s="103">
        <v>9800000</v>
      </c>
      <c r="F609" s="70">
        <v>100000</v>
      </c>
      <c r="G609" s="9">
        <v>0</v>
      </c>
      <c r="H609" s="9">
        <v>100000</v>
      </c>
      <c r="I609" s="9">
        <v>0</v>
      </c>
      <c r="J609" s="9">
        <v>100000</v>
      </c>
      <c r="K609" s="9">
        <v>300000</v>
      </c>
      <c r="L609" s="9">
        <v>100000</v>
      </c>
      <c r="M609" s="9">
        <v>100000</v>
      </c>
      <c r="N609" s="9">
        <v>100000</v>
      </c>
      <c r="O609" s="103">
        <v>100000</v>
      </c>
      <c r="P609" s="103">
        <v>100000</v>
      </c>
      <c r="Q609" s="103">
        <v>100000</v>
      </c>
      <c r="R609" s="103">
        <f t="shared" si="9"/>
        <v>11000000</v>
      </c>
    </row>
    <row r="610" spans="1:18" s="142" customFormat="1" x14ac:dyDescent="0.35">
      <c r="A610" s="143">
        <v>608</v>
      </c>
      <c r="B610" s="6" t="s">
        <v>1308</v>
      </c>
      <c r="C610" s="144" t="s">
        <v>2112</v>
      </c>
      <c r="D610" s="145" t="s">
        <v>19</v>
      </c>
      <c r="E610" s="141">
        <v>8550000</v>
      </c>
      <c r="F610" s="9">
        <v>150000</v>
      </c>
      <c r="G610" s="9">
        <v>150000</v>
      </c>
      <c r="H610" s="9">
        <v>150000</v>
      </c>
      <c r="I610" s="9">
        <v>150000</v>
      </c>
      <c r="J610" s="9">
        <v>150000</v>
      </c>
      <c r="K610" s="9">
        <v>150000</v>
      </c>
      <c r="L610" s="9">
        <v>150000</v>
      </c>
      <c r="M610" s="9">
        <v>150000</v>
      </c>
      <c r="N610" s="9">
        <v>150000</v>
      </c>
      <c r="O610" s="141">
        <v>150000</v>
      </c>
      <c r="P610" s="141">
        <v>150000</v>
      </c>
      <c r="Q610" s="141">
        <v>150000</v>
      </c>
      <c r="R610" s="141">
        <f t="shared" si="9"/>
        <v>10350000</v>
      </c>
    </row>
    <row r="611" spans="1:18" s="142" customFormat="1" x14ac:dyDescent="0.35">
      <c r="A611" s="143">
        <v>609</v>
      </c>
      <c r="B611" s="6" t="s">
        <v>1310</v>
      </c>
      <c r="C611" s="144" t="s">
        <v>1869</v>
      </c>
      <c r="D611" s="145" t="s">
        <v>136</v>
      </c>
      <c r="E611" s="141">
        <v>22100000</v>
      </c>
      <c r="F611" s="9">
        <v>250000</v>
      </c>
      <c r="G611" s="9">
        <v>250000</v>
      </c>
      <c r="H611" s="9">
        <v>250000</v>
      </c>
      <c r="I611" s="9">
        <v>250000</v>
      </c>
      <c r="J611" s="9">
        <v>250000</v>
      </c>
      <c r="K611" s="9">
        <v>250000</v>
      </c>
      <c r="L611" s="9">
        <v>250000</v>
      </c>
      <c r="M611" s="9">
        <v>250000</v>
      </c>
      <c r="N611" s="9">
        <v>250000</v>
      </c>
      <c r="O611" s="141">
        <v>250000</v>
      </c>
      <c r="P611" s="141">
        <v>250000</v>
      </c>
      <c r="Q611" s="141">
        <v>250000</v>
      </c>
      <c r="R611" s="141">
        <f t="shared" si="9"/>
        <v>25100000</v>
      </c>
    </row>
    <row r="612" spans="1:18" s="93" customFormat="1" x14ac:dyDescent="0.35">
      <c r="A612" s="89">
        <v>610</v>
      </c>
      <c r="B612" s="94" t="s">
        <v>1312</v>
      </c>
      <c r="C612" s="90" t="s">
        <v>2113</v>
      </c>
      <c r="D612" s="91" t="s">
        <v>72</v>
      </c>
      <c r="E612" s="92">
        <v>22350000</v>
      </c>
      <c r="F612" s="92">
        <v>250000</v>
      </c>
      <c r="G612" s="92">
        <v>250000</v>
      </c>
      <c r="H612" s="9">
        <v>250000</v>
      </c>
      <c r="I612" s="9">
        <v>250000</v>
      </c>
      <c r="J612" s="9">
        <v>250000</v>
      </c>
      <c r="K612" s="9">
        <v>250000</v>
      </c>
      <c r="L612" s="9">
        <v>250000</v>
      </c>
      <c r="M612" s="92">
        <v>250000</v>
      </c>
      <c r="N612" s="92">
        <v>250000</v>
      </c>
      <c r="O612" s="92">
        <v>250000</v>
      </c>
      <c r="P612" s="92">
        <v>250000</v>
      </c>
      <c r="Q612" s="92">
        <v>250000</v>
      </c>
      <c r="R612" s="92">
        <f t="shared" si="9"/>
        <v>25350000</v>
      </c>
    </row>
    <row r="613" spans="1:18" s="142" customFormat="1" x14ac:dyDescent="0.35">
      <c r="A613" s="143">
        <v>611</v>
      </c>
      <c r="B613" s="6" t="s">
        <v>1314</v>
      </c>
      <c r="C613" s="144" t="s">
        <v>2114</v>
      </c>
      <c r="D613" s="145" t="s">
        <v>77</v>
      </c>
      <c r="E613" s="141">
        <v>22450000</v>
      </c>
      <c r="F613" s="9">
        <v>250000</v>
      </c>
      <c r="G613" s="9">
        <v>250000</v>
      </c>
      <c r="H613" s="9">
        <v>250000</v>
      </c>
      <c r="I613" s="9">
        <v>250000</v>
      </c>
      <c r="J613" s="9">
        <v>250000</v>
      </c>
      <c r="K613" s="9">
        <v>250000</v>
      </c>
      <c r="L613" s="9">
        <v>250000</v>
      </c>
      <c r="M613" s="9">
        <v>250000</v>
      </c>
      <c r="N613" s="9">
        <v>250000</v>
      </c>
      <c r="O613" s="141">
        <v>250000</v>
      </c>
      <c r="P613" s="141">
        <v>250000</v>
      </c>
      <c r="Q613" s="141">
        <v>250000</v>
      </c>
      <c r="R613" s="141">
        <f t="shared" si="9"/>
        <v>25450000</v>
      </c>
    </row>
    <row r="614" spans="1:18" s="134" customFormat="1" x14ac:dyDescent="0.35">
      <c r="A614" s="135">
        <v>612</v>
      </c>
      <c r="B614" s="94" t="s">
        <v>1316</v>
      </c>
      <c r="C614" s="136" t="s">
        <v>1317</v>
      </c>
      <c r="D614" s="137" t="s">
        <v>136</v>
      </c>
      <c r="E614" s="133">
        <v>22100000</v>
      </c>
      <c r="F614" s="92">
        <v>250000</v>
      </c>
      <c r="G614" s="92">
        <v>250000</v>
      </c>
      <c r="H614" s="92">
        <v>250000</v>
      </c>
      <c r="I614" s="9">
        <v>250000</v>
      </c>
      <c r="J614" s="92">
        <v>250000</v>
      </c>
      <c r="K614" s="9">
        <v>250000</v>
      </c>
      <c r="L614" s="9">
        <v>250000</v>
      </c>
      <c r="M614" s="92">
        <v>250000</v>
      </c>
      <c r="N614" s="92">
        <v>250000</v>
      </c>
      <c r="O614" s="133">
        <v>250000</v>
      </c>
      <c r="P614" s="133">
        <v>0</v>
      </c>
      <c r="Q614" s="133">
        <v>-24600000</v>
      </c>
      <c r="R614" s="133">
        <f t="shared" si="9"/>
        <v>0</v>
      </c>
    </row>
    <row r="615" spans="1:18" x14ac:dyDescent="0.35">
      <c r="A615" s="5">
        <v>613</v>
      </c>
      <c r="B615" s="6" t="s">
        <v>1318</v>
      </c>
      <c r="C615" s="7" t="s">
        <v>1711</v>
      </c>
      <c r="D615" s="8" t="s">
        <v>367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/>
      <c r="R615" s="9">
        <f t="shared" si="9"/>
        <v>0</v>
      </c>
    </row>
    <row r="616" spans="1:18" x14ac:dyDescent="0.35">
      <c r="A616" s="5">
        <v>614</v>
      </c>
      <c r="B616" s="6" t="s">
        <v>1320</v>
      </c>
      <c r="C616" s="7" t="s">
        <v>1674</v>
      </c>
      <c r="D616" s="8" t="s">
        <v>41</v>
      </c>
      <c r="E616" s="9">
        <v>250000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/>
      <c r="R616" s="9">
        <f t="shared" si="9"/>
        <v>250000</v>
      </c>
    </row>
    <row r="617" spans="1:18" x14ac:dyDescent="0.35">
      <c r="A617" s="5">
        <v>615</v>
      </c>
      <c r="B617" s="6" t="s">
        <v>1322</v>
      </c>
      <c r="C617" s="7" t="s">
        <v>1675</v>
      </c>
      <c r="D617" s="8" t="s">
        <v>131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/>
      <c r="R617" s="9">
        <f t="shared" si="9"/>
        <v>0</v>
      </c>
    </row>
    <row r="618" spans="1:18" x14ac:dyDescent="0.35">
      <c r="A618" s="5">
        <v>616</v>
      </c>
      <c r="B618" s="6" t="s">
        <v>1324</v>
      </c>
      <c r="C618" s="7" t="s">
        <v>1325</v>
      </c>
      <c r="D618" s="8" t="s">
        <v>41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/>
      <c r="R618" s="9">
        <f t="shared" si="9"/>
        <v>0</v>
      </c>
    </row>
    <row r="619" spans="1:18" x14ac:dyDescent="0.35">
      <c r="A619" s="5">
        <v>617</v>
      </c>
      <c r="B619" s="6" t="s">
        <v>1326</v>
      </c>
      <c r="C619" s="7" t="s">
        <v>1676</v>
      </c>
      <c r="D619" s="8" t="s">
        <v>367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/>
      <c r="R619" s="9">
        <f t="shared" si="9"/>
        <v>0</v>
      </c>
    </row>
    <row r="620" spans="1:18" x14ac:dyDescent="0.35">
      <c r="A620" s="5">
        <v>618</v>
      </c>
      <c r="B620" s="6" t="s">
        <v>1328</v>
      </c>
      <c r="C620" s="7" t="s">
        <v>1677</v>
      </c>
      <c r="D620" s="8" t="s">
        <v>367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/>
      <c r="R620" s="9">
        <f t="shared" si="9"/>
        <v>0</v>
      </c>
    </row>
    <row r="621" spans="1:18" x14ac:dyDescent="0.35">
      <c r="A621" s="5">
        <v>619</v>
      </c>
      <c r="B621" s="6" t="s">
        <v>1330</v>
      </c>
      <c r="C621" s="7" t="s">
        <v>1331</v>
      </c>
      <c r="D621" s="8" t="s">
        <v>49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/>
      <c r="R621" s="9">
        <f t="shared" si="9"/>
        <v>0</v>
      </c>
    </row>
    <row r="622" spans="1:18" x14ac:dyDescent="0.35">
      <c r="A622" s="5">
        <v>620</v>
      </c>
      <c r="B622" s="6" t="s">
        <v>1332</v>
      </c>
      <c r="C622" s="7" t="s">
        <v>1333</v>
      </c>
      <c r="D622" s="8" t="s">
        <v>49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/>
      <c r="R622" s="9">
        <f t="shared" si="9"/>
        <v>0</v>
      </c>
    </row>
    <row r="623" spans="1:18" x14ac:dyDescent="0.35">
      <c r="A623" s="5">
        <v>621</v>
      </c>
      <c r="B623" s="6" t="s">
        <v>1334</v>
      </c>
      <c r="C623" s="7" t="s">
        <v>1335</v>
      </c>
      <c r="D623" s="8" t="s">
        <v>49</v>
      </c>
      <c r="E623" s="9">
        <v>-100000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/>
      <c r="R623" s="9">
        <f t="shared" si="9"/>
        <v>-100000</v>
      </c>
    </row>
    <row r="624" spans="1:18" x14ac:dyDescent="0.35">
      <c r="A624" s="5">
        <v>622</v>
      </c>
      <c r="B624" s="6" t="s">
        <v>1336</v>
      </c>
      <c r="C624" s="7" t="s">
        <v>1337</v>
      </c>
      <c r="D624" s="8" t="s">
        <v>113</v>
      </c>
      <c r="E624" s="9">
        <v>2150000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/>
      <c r="R624" s="9">
        <f t="shared" si="9"/>
        <v>2150000</v>
      </c>
    </row>
    <row r="625" spans="1:18" x14ac:dyDescent="0.35">
      <c r="A625" s="5">
        <v>623</v>
      </c>
      <c r="B625" s="6" t="s">
        <v>1338</v>
      </c>
      <c r="C625" s="7" t="s">
        <v>1339</v>
      </c>
      <c r="D625" s="8" t="s">
        <v>136</v>
      </c>
      <c r="E625" s="9">
        <v>400000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/>
      <c r="R625" s="9">
        <f t="shared" si="9"/>
        <v>400000</v>
      </c>
    </row>
    <row r="626" spans="1:18" s="88" customFormat="1" x14ac:dyDescent="0.35">
      <c r="A626" s="19">
        <v>624</v>
      </c>
      <c r="B626" s="20" t="s">
        <v>1340</v>
      </c>
      <c r="C626" s="21" t="s">
        <v>2115</v>
      </c>
      <c r="D626" s="22" t="s">
        <v>136</v>
      </c>
      <c r="E626" s="70">
        <v>9800000</v>
      </c>
      <c r="F626" s="70">
        <v>100000</v>
      </c>
      <c r="G626" s="9">
        <v>0</v>
      </c>
      <c r="H626" s="9">
        <v>100000</v>
      </c>
      <c r="I626" s="9">
        <v>100000</v>
      </c>
      <c r="J626" s="70"/>
      <c r="K626" s="9">
        <v>100000</v>
      </c>
      <c r="L626" s="9">
        <v>200000</v>
      </c>
      <c r="M626" s="70">
        <f>100000+100000</f>
        <v>200000</v>
      </c>
      <c r="N626" s="9">
        <v>0</v>
      </c>
      <c r="O626" s="9">
        <v>0</v>
      </c>
      <c r="P626" s="70">
        <f>100000+100000</f>
        <v>200000</v>
      </c>
      <c r="Q626" s="70">
        <f>300000</f>
        <v>300000</v>
      </c>
      <c r="R626" s="70">
        <f t="shared" si="9"/>
        <v>11100000</v>
      </c>
    </row>
    <row r="627" spans="1:18" s="88" customFormat="1" x14ac:dyDescent="0.35">
      <c r="A627" s="19">
        <v>625</v>
      </c>
      <c r="B627" s="20" t="s">
        <v>1342</v>
      </c>
      <c r="C627" s="21" t="s">
        <v>2116</v>
      </c>
      <c r="D627" s="22" t="s">
        <v>136</v>
      </c>
      <c r="E627" s="70">
        <v>9700000</v>
      </c>
      <c r="F627" s="70">
        <v>100000</v>
      </c>
      <c r="G627" s="9">
        <v>0</v>
      </c>
      <c r="H627" s="9">
        <v>100000</v>
      </c>
      <c r="I627" s="9">
        <v>100000</v>
      </c>
      <c r="J627" s="70"/>
      <c r="K627" s="9">
        <v>100000</v>
      </c>
      <c r="L627" s="9">
        <v>200000</v>
      </c>
      <c r="M627" s="70">
        <f>100000+100000</f>
        <v>200000</v>
      </c>
      <c r="N627" s="9">
        <v>0</v>
      </c>
      <c r="O627" s="9">
        <v>0</v>
      </c>
      <c r="P627" s="70">
        <f>100000+100000</f>
        <v>200000</v>
      </c>
      <c r="Q627" s="70">
        <f>300000</f>
        <v>300000</v>
      </c>
      <c r="R627" s="70">
        <f t="shared" si="9"/>
        <v>11000000</v>
      </c>
    </row>
    <row r="628" spans="1:18" s="142" customFormat="1" x14ac:dyDescent="0.35">
      <c r="A628" s="143">
        <v>626</v>
      </c>
      <c r="B628" s="6" t="s">
        <v>1344</v>
      </c>
      <c r="C628" s="144" t="s">
        <v>2117</v>
      </c>
      <c r="D628" s="145" t="s">
        <v>98</v>
      </c>
      <c r="E628" s="141">
        <v>22350000</v>
      </c>
      <c r="F628" s="9">
        <v>250000</v>
      </c>
      <c r="G628" s="9">
        <v>250000</v>
      </c>
      <c r="H628" s="9">
        <v>250000</v>
      </c>
      <c r="I628" s="9">
        <v>250000</v>
      </c>
      <c r="J628" s="9">
        <v>250000</v>
      </c>
      <c r="K628" s="9">
        <v>250000</v>
      </c>
      <c r="L628" s="9">
        <v>250000</v>
      </c>
      <c r="M628" s="9">
        <v>250000</v>
      </c>
      <c r="N628" s="9">
        <v>250000</v>
      </c>
      <c r="O628" s="141">
        <v>250000</v>
      </c>
      <c r="P628" s="141">
        <v>250000</v>
      </c>
      <c r="Q628" s="141">
        <v>250000</v>
      </c>
      <c r="R628" s="141">
        <f t="shared" si="9"/>
        <v>25350000</v>
      </c>
    </row>
    <row r="629" spans="1:18" s="142" customFormat="1" x14ac:dyDescent="0.35">
      <c r="A629" s="143">
        <v>627</v>
      </c>
      <c r="B629" s="6" t="s">
        <v>1346</v>
      </c>
      <c r="C629" s="144" t="s">
        <v>2118</v>
      </c>
      <c r="D629" s="145" t="s">
        <v>324</v>
      </c>
      <c r="E629" s="141">
        <v>14250000</v>
      </c>
      <c r="F629" s="9">
        <v>150000</v>
      </c>
      <c r="G629" s="9">
        <v>150000</v>
      </c>
      <c r="H629" s="9">
        <v>150000</v>
      </c>
      <c r="I629" s="9">
        <v>150000</v>
      </c>
      <c r="J629" s="9">
        <v>150000</v>
      </c>
      <c r="K629" s="9">
        <v>150000</v>
      </c>
      <c r="L629" s="9">
        <v>150000</v>
      </c>
      <c r="M629" s="9">
        <v>150000</v>
      </c>
      <c r="N629" s="9">
        <v>150000</v>
      </c>
      <c r="O629" s="141">
        <v>150000</v>
      </c>
      <c r="P629" s="141">
        <v>150000</v>
      </c>
      <c r="Q629" s="141">
        <v>150000</v>
      </c>
      <c r="R629" s="141">
        <f t="shared" si="9"/>
        <v>16050000</v>
      </c>
    </row>
    <row r="630" spans="1:18" s="142" customFormat="1" x14ac:dyDescent="0.35">
      <c r="A630" s="143">
        <v>628</v>
      </c>
      <c r="B630" s="6" t="s">
        <v>1348</v>
      </c>
      <c r="C630" s="144" t="s">
        <v>2119</v>
      </c>
      <c r="D630" s="145" t="s">
        <v>77</v>
      </c>
      <c r="E630" s="141">
        <v>14400000</v>
      </c>
      <c r="F630" s="9">
        <v>150000</v>
      </c>
      <c r="G630" s="9">
        <v>150000</v>
      </c>
      <c r="H630" s="9">
        <v>150000</v>
      </c>
      <c r="I630" s="9">
        <v>150000</v>
      </c>
      <c r="J630" s="9">
        <v>150000</v>
      </c>
      <c r="K630" s="9">
        <v>150000</v>
      </c>
      <c r="L630" s="9">
        <v>150000</v>
      </c>
      <c r="M630" s="9">
        <v>150000</v>
      </c>
      <c r="N630" s="9">
        <v>150000</v>
      </c>
      <c r="O630" s="141">
        <v>150000</v>
      </c>
      <c r="P630" s="141">
        <v>150000</v>
      </c>
      <c r="Q630" s="141">
        <v>150000</v>
      </c>
      <c r="R630" s="141">
        <f t="shared" si="9"/>
        <v>16200000</v>
      </c>
    </row>
    <row r="631" spans="1:18" x14ac:dyDescent="0.35">
      <c r="A631" s="5">
        <v>629</v>
      </c>
      <c r="B631" s="6" t="s">
        <v>1350</v>
      </c>
      <c r="C631" s="7" t="s">
        <v>1351</v>
      </c>
      <c r="D631" s="8" t="s">
        <v>11</v>
      </c>
      <c r="E631" s="9">
        <v>3025000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/>
      <c r="R631" s="9">
        <f t="shared" si="9"/>
        <v>3025000</v>
      </c>
    </row>
    <row r="632" spans="1:18" x14ac:dyDescent="0.35">
      <c r="A632" s="5">
        <v>630</v>
      </c>
      <c r="B632" s="6" t="s">
        <v>1352</v>
      </c>
      <c r="C632" s="7" t="s">
        <v>1678</v>
      </c>
      <c r="D632" s="8" t="s">
        <v>11</v>
      </c>
      <c r="E632" s="9">
        <v>450000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/>
      <c r="R632" s="9">
        <f t="shared" si="9"/>
        <v>450000</v>
      </c>
    </row>
    <row r="633" spans="1:18" x14ac:dyDescent="0.35">
      <c r="A633" s="5">
        <v>631</v>
      </c>
      <c r="B633" s="6" t="s">
        <v>1354</v>
      </c>
      <c r="C633" s="7" t="s">
        <v>1710</v>
      </c>
      <c r="D633" s="8" t="s">
        <v>11</v>
      </c>
      <c r="E633" s="9">
        <v>450000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/>
      <c r="R633" s="9">
        <f t="shared" si="9"/>
        <v>450000</v>
      </c>
    </row>
    <row r="634" spans="1:18" x14ac:dyDescent="0.35">
      <c r="A634" s="5">
        <v>632</v>
      </c>
      <c r="B634" s="6" t="s">
        <v>1356</v>
      </c>
      <c r="C634" s="7" t="s">
        <v>1357</v>
      </c>
      <c r="D634" s="8" t="s">
        <v>11</v>
      </c>
      <c r="E634" s="9">
        <v>450000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/>
      <c r="R634" s="9">
        <f t="shared" si="9"/>
        <v>450000</v>
      </c>
    </row>
    <row r="635" spans="1:18" s="142" customFormat="1" x14ac:dyDescent="0.35">
      <c r="A635" s="143">
        <v>633</v>
      </c>
      <c r="B635" s="6" t="s">
        <v>1358</v>
      </c>
      <c r="C635" s="144" t="s">
        <v>2120</v>
      </c>
      <c r="D635" s="145" t="s">
        <v>374</v>
      </c>
      <c r="E635" s="141">
        <v>14250000</v>
      </c>
      <c r="F635" s="9">
        <v>150000</v>
      </c>
      <c r="G635" s="9">
        <v>150000</v>
      </c>
      <c r="H635" s="9">
        <v>150000</v>
      </c>
      <c r="I635" s="9">
        <v>150000</v>
      </c>
      <c r="J635" s="9">
        <v>150000</v>
      </c>
      <c r="K635" s="9">
        <v>150000</v>
      </c>
      <c r="L635" s="9">
        <v>150000</v>
      </c>
      <c r="M635" s="9">
        <v>150000</v>
      </c>
      <c r="N635" s="9">
        <v>150000</v>
      </c>
      <c r="O635" s="141">
        <v>150000</v>
      </c>
      <c r="P635" s="141">
        <v>150000</v>
      </c>
      <c r="Q635" s="141">
        <v>150000</v>
      </c>
      <c r="R635" s="141">
        <f t="shared" si="9"/>
        <v>16050000</v>
      </c>
    </row>
    <row r="636" spans="1:18" s="142" customFormat="1" x14ac:dyDescent="0.35">
      <c r="A636" s="143">
        <v>634</v>
      </c>
      <c r="B636" s="6" t="s">
        <v>1360</v>
      </c>
      <c r="C636" s="144" t="s">
        <v>1862</v>
      </c>
      <c r="D636" s="145" t="s">
        <v>429</v>
      </c>
      <c r="E636" s="141">
        <v>13500000</v>
      </c>
      <c r="F636" s="9">
        <v>150000</v>
      </c>
      <c r="G636" s="9">
        <v>150000</v>
      </c>
      <c r="H636" s="9">
        <v>150000</v>
      </c>
      <c r="I636" s="9">
        <v>150000</v>
      </c>
      <c r="J636" s="9">
        <v>150000</v>
      </c>
      <c r="K636" s="9">
        <v>150000</v>
      </c>
      <c r="L636" s="9">
        <v>150000</v>
      </c>
      <c r="M636" s="9">
        <v>150000</v>
      </c>
      <c r="N636" s="9">
        <v>150000</v>
      </c>
      <c r="O636" s="141">
        <v>150000</v>
      </c>
      <c r="P636" s="141">
        <v>150000</v>
      </c>
      <c r="Q636" s="141">
        <v>150000</v>
      </c>
      <c r="R636" s="141">
        <f t="shared" si="9"/>
        <v>15300000</v>
      </c>
    </row>
    <row r="637" spans="1:18" s="142" customFormat="1" x14ac:dyDescent="0.35">
      <c r="A637" s="143">
        <v>635</v>
      </c>
      <c r="B637" s="6" t="s">
        <v>1362</v>
      </c>
      <c r="C637" s="144" t="s">
        <v>2121</v>
      </c>
      <c r="D637" s="145" t="s">
        <v>429</v>
      </c>
      <c r="E637" s="141">
        <v>13500000</v>
      </c>
      <c r="F637" s="9">
        <v>150000</v>
      </c>
      <c r="G637" s="9">
        <v>150000</v>
      </c>
      <c r="H637" s="9">
        <v>150000</v>
      </c>
      <c r="I637" s="9">
        <v>150000</v>
      </c>
      <c r="J637" s="9">
        <v>150000</v>
      </c>
      <c r="K637" s="9">
        <v>150000</v>
      </c>
      <c r="L637" s="9">
        <v>150000</v>
      </c>
      <c r="M637" s="9">
        <v>150000</v>
      </c>
      <c r="N637" s="9">
        <v>150000</v>
      </c>
      <c r="O637" s="141">
        <v>150000</v>
      </c>
      <c r="P637" s="141">
        <v>150000</v>
      </c>
      <c r="Q637" s="141">
        <v>150000</v>
      </c>
      <c r="R637" s="141">
        <f t="shared" si="9"/>
        <v>15300000</v>
      </c>
    </row>
    <row r="638" spans="1:18" s="142" customFormat="1" x14ac:dyDescent="0.35">
      <c r="A638" s="143">
        <v>636</v>
      </c>
      <c r="B638" s="6" t="s">
        <v>1364</v>
      </c>
      <c r="C638" s="144" t="s">
        <v>2122</v>
      </c>
      <c r="D638" s="145" t="s">
        <v>429</v>
      </c>
      <c r="E638" s="141">
        <v>13500000</v>
      </c>
      <c r="F638" s="9">
        <v>150000</v>
      </c>
      <c r="G638" s="9">
        <v>150000</v>
      </c>
      <c r="H638" s="9">
        <v>150000</v>
      </c>
      <c r="I638" s="9">
        <v>150000</v>
      </c>
      <c r="J638" s="9">
        <v>150000</v>
      </c>
      <c r="K638" s="9">
        <v>150000</v>
      </c>
      <c r="L638" s="9">
        <v>150000</v>
      </c>
      <c r="M638" s="9">
        <v>150000</v>
      </c>
      <c r="N638" s="9">
        <v>150000</v>
      </c>
      <c r="O638" s="141">
        <v>150000</v>
      </c>
      <c r="P638" s="141">
        <v>150000</v>
      </c>
      <c r="Q638" s="141">
        <v>150000</v>
      </c>
      <c r="R638" s="141">
        <f t="shared" si="9"/>
        <v>15300000</v>
      </c>
    </row>
    <row r="639" spans="1:18" s="142" customFormat="1" x14ac:dyDescent="0.35">
      <c r="A639" s="143">
        <v>637</v>
      </c>
      <c r="B639" s="6" t="s">
        <v>1366</v>
      </c>
      <c r="C639" s="144" t="s">
        <v>2123</v>
      </c>
      <c r="D639" s="145" t="s">
        <v>429</v>
      </c>
      <c r="E639" s="141">
        <v>13500000</v>
      </c>
      <c r="F639" s="9">
        <v>150000</v>
      </c>
      <c r="G639" s="9">
        <v>150000</v>
      </c>
      <c r="H639" s="9">
        <v>150000</v>
      </c>
      <c r="I639" s="9">
        <v>150000</v>
      </c>
      <c r="J639" s="9">
        <v>150000</v>
      </c>
      <c r="K639" s="9">
        <v>150000</v>
      </c>
      <c r="L639" s="9">
        <v>150000</v>
      </c>
      <c r="M639" s="9">
        <v>150000</v>
      </c>
      <c r="N639" s="9">
        <v>150000</v>
      </c>
      <c r="O639" s="141">
        <v>150000</v>
      </c>
      <c r="P639" s="141">
        <v>150000</v>
      </c>
      <c r="Q639" s="141">
        <v>150000</v>
      </c>
      <c r="R639" s="141">
        <f t="shared" si="9"/>
        <v>15300000</v>
      </c>
    </row>
    <row r="640" spans="1:18" s="142" customFormat="1" x14ac:dyDescent="0.35">
      <c r="A640" s="143">
        <v>638</v>
      </c>
      <c r="B640" s="6" t="s">
        <v>1368</v>
      </c>
      <c r="C640" s="144" t="s">
        <v>2124</v>
      </c>
      <c r="D640" s="145" t="s">
        <v>429</v>
      </c>
      <c r="E640" s="141">
        <v>13500000</v>
      </c>
      <c r="F640" s="9">
        <v>150000</v>
      </c>
      <c r="G640" s="9">
        <v>150000</v>
      </c>
      <c r="H640" s="9">
        <v>150000</v>
      </c>
      <c r="I640" s="9">
        <v>150000</v>
      </c>
      <c r="J640" s="9">
        <v>150000</v>
      </c>
      <c r="K640" s="9">
        <v>150000</v>
      </c>
      <c r="L640" s="9">
        <v>150000</v>
      </c>
      <c r="M640" s="9">
        <v>150000</v>
      </c>
      <c r="N640" s="9">
        <v>150000</v>
      </c>
      <c r="O640" s="141">
        <v>150000</v>
      </c>
      <c r="P640" s="141">
        <v>150000</v>
      </c>
      <c r="Q640" s="141">
        <v>150000</v>
      </c>
      <c r="R640" s="141">
        <f t="shared" si="9"/>
        <v>15300000</v>
      </c>
    </row>
    <row r="641" spans="1:18" s="142" customFormat="1" x14ac:dyDescent="0.35">
      <c r="A641" s="143">
        <v>639</v>
      </c>
      <c r="B641" s="6" t="s">
        <v>1370</v>
      </c>
      <c r="C641" s="144" t="s">
        <v>1918</v>
      </c>
      <c r="D641" s="145" t="s">
        <v>429</v>
      </c>
      <c r="E641" s="141">
        <v>13500000</v>
      </c>
      <c r="F641" s="9">
        <v>150000</v>
      </c>
      <c r="G641" s="9">
        <v>150000</v>
      </c>
      <c r="H641" s="9">
        <v>150000</v>
      </c>
      <c r="I641" s="9">
        <v>150000</v>
      </c>
      <c r="J641" s="9">
        <v>150000</v>
      </c>
      <c r="K641" s="9">
        <v>150000</v>
      </c>
      <c r="L641" s="9">
        <v>150000</v>
      </c>
      <c r="M641" s="9">
        <v>150000</v>
      </c>
      <c r="N641" s="9">
        <v>150000</v>
      </c>
      <c r="O641" s="141">
        <v>150000</v>
      </c>
      <c r="P641" s="141">
        <v>150000</v>
      </c>
      <c r="Q641" s="141">
        <v>150000</v>
      </c>
      <c r="R641" s="141">
        <f t="shared" si="9"/>
        <v>15300000</v>
      </c>
    </row>
    <row r="642" spans="1:18" s="142" customFormat="1" x14ac:dyDescent="0.35">
      <c r="A642" s="143">
        <v>640</v>
      </c>
      <c r="B642" s="6" t="s">
        <v>1372</v>
      </c>
      <c r="C642" s="144" t="s">
        <v>2125</v>
      </c>
      <c r="D642" s="145" t="s">
        <v>429</v>
      </c>
      <c r="E642" s="141">
        <v>13500000</v>
      </c>
      <c r="F642" s="9">
        <v>150000</v>
      </c>
      <c r="G642" s="9">
        <v>150000</v>
      </c>
      <c r="H642" s="9">
        <v>150000</v>
      </c>
      <c r="I642" s="9">
        <v>150000</v>
      </c>
      <c r="J642" s="9">
        <v>150000</v>
      </c>
      <c r="K642" s="9">
        <v>150000</v>
      </c>
      <c r="L642" s="9">
        <v>150000</v>
      </c>
      <c r="M642" s="9">
        <v>150000</v>
      </c>
      <c r="N642" s="9">
        <v>150000</v>
      </c>
      <c r="O642" s="141">
        <v>150000</v>
      </c>
      <c r="P642" s="141">
        <v>150000</v>
      </c>
      <c r="Q642" s="141">
        <v>150000</v>
      </c>
      <c r="R642" s="141">
        <f t="shared" si="9"/>
        <v>15300000</v>
      </c>
    </row>
    <row r="643" spans="1:18" s="142" customFormat="1" x14ac:dyDescent="0.35">
      <c r="A643" s="143">
        <v>641</v>
      </c>
      <c r="B643" s="6" t="s">
        <v>1374</v>
      </c>
      <c r="C643" s="144" t="s">
        <v>1897</v>
      </c>
      <c r="D643" s="145" t="s">
        <v>98</v>
      </c>
      <c r="E643" s="141">
        <v>10700000</v>
      </c>
      <c r="F643" s="9">
        <v>150000</v>
      </c>
      <c r="G643" s="9">
        <v>150000</v>
      </c>
      <c r="H643" s="9">
        <v>150000</v>
      </c>
      <c r="I643" s="9">
        <v>150000</v>
      </c>
      <c r="J643" s="9">
        <v>150000</v>
      </c>
      <c r="K643" s="9">
        <v>150000</v>
      </c>
      <c r="L643" s="9">
        <v>150000</v>
      </c>
      <c r="M643" s="9">
        <v>150000</v>
      </c>
      <c r="N643" s="9">
        <v>150000</v>
      </c>
      <c r="O643" s="141">
        <v>150000</v>
      </c>
      <c r="P643" s="141">
        <v>150000</v>
      </c>
      <c r="Q643" s="141">
        <v>150000</v>
      </c>
      <c r="R643" s="141">
        <f t="shared" ref="R643:R706" si="10">SUM(E643:Q643)</f>
        <v>12500000</v>
      </c>
    </row>
    <row r="644" spans="1:18" s="93" customFormat="1" x14ac:dyDescent="0.35">
      <c r="A644" s="89">
        <v>642</v>
      </c>
      <c r="B644" s="94" t="s">
        <v>1376</v>
      </c>
      <c r="C644" s="90" t="s">
        <v>1843</v>
      </c>
      <c r="D644" s="91" t="s">
        <v>22</v>
      </c>
      <c r="E644" s="92">
        <v>18500000</v>
      </c>
      <c r="F644" s="92">
        <v>250000</v>
      </c>
      <c r="G644" s="92">
        <v>250000</v>
      </c>
      <c r="H644" s="92">
        <v>250000</v>
      </c>
      <c r="I644" s="9">
        <v>250000</v>
      </c>
      <c r="J644" s="92">
        <v>250000</v>
      </c>
      <c r="K644" s="9">
        <v>250000</v>
      </c>
      <c r="L644" s="9">
        <v>250000</v>
      </c>
      <c r="M644" s="92">
        <v>250000</v>
      </c>
      <c r="N644" s="92">
        <v>250000</v>
      </c>
      <c r="O644" s="92">
        <v>250000</v>
      </c>
      <c r="P644" s="92">
        <v>250000</v>
      </c>
      <c r="Q644" s="92">
        <v>250000</v>
      </c>
      <c r="R644" s="92">
        <f t="shared" si="10"/>
        <v>21500000</v>
      </c>
    </row>
    <row r="645" spans="1:18" x14ac:dyDescent="0.35">
      <c r="A645" s="5">
        <v>643</v>
      </c>
      <c r="B645" s="6" t="s">
        <v>1378</v>
      </c>
      <c r="C645" s="7" t="s">
        <v>1379</v>
      </c>
      <c r="D645" s="8" t="s">
        <v>303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/>
      <c r="R645" s="9">
        <f t="shared" si="10"/>
        <v>0</v>
      </c>
    </row>
    <row r="646" spans="1:18" x14ac:dyDescent="0.35">
      <c r="A646" s="5">
        <v>644</v>
      </c>
      <c r="B646" s="6" t="s">
        <v>1380</v>
      </c>
      <c r="C646" s="7" t="s">
        <v>1381</v>
      </c>
      <c r="D646" s="8" t="s">
        <v>49</v>
      </c>
      <c r="E646" s="9">
        <v>1300000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/>
      <c r="R646" s="9">
        <f t="shared" si="10"/>
        <v>1300000</v>
      </c>
    </row>
    <row r="647" spans="1:18" x14ac:dyDescent="0.35">
      <c r="A647" s="5">
        <v>645</v>
      </c>
      <c r="B647" s="6" t="s">
        <v>1382</v>
      </c>
      <c r="C647" s="7" t="s">
        <v>1383</v>
      </c>
      <c r="D647" s="8" t="s">
        <v>49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/>
      <c r="R647" s="9">
        <f t="shared" si="10"/>
        <v>0</v>
      </c>
    </row>
    <row r="648" spans="1:18" s="154" customFormat="1" x14ac:dyDescent="0.35">
      <c r="A648" s="150">
        <v>646</v>
      </c>
      <c r="B648" s="20" t="s">
        <v>1384</v>
      </c>
      <c r="C648" s="151" t="s">
        <v>1385</v>
      </c>
      <c r="D648" s="152" t="s">
        <v>128</v>
      </c>
      <c r="E648" s="153">
        <v>9050000</v>
      </c>
      <c r="F648" s="9">
        <v>0</v>
      </c>
      <c r="G648" s="70">
        <v>200000</v>
      </c>
      <c r="H648" s="9">
        <v>0</v>
      </c>
      <c r="I648" s="9">
        <v>0</v>
      </c>
      <c r="J648" s="70">
        <v>200000</v>
      </c>
      <c r="K648" s="9">
        <v>0</v>
      </c>
      <c r="L648" s="9">
        <v>200000</v>
      </c>
      <c r="M648" s="70">
        <v>100000</v>
      </c>
      <c r="N648" s="70">
        <v>100000</v>
      </c>
      <c r="O648" s="153">
        <v>100000</v>
      </c>
      <c r="P648" s="153">
        <v>0</v>
      </c>
      <c r="Q648" s="153">
        <f>300000</f>
        <v>300000</v>
      </c>
      <c r="R648" s="153">
        <f t="shared" si="10"/>
        <v>10250000</v>
      </c>
    </row>
    <row r="649" spans="1:18" s="154" customFormat="1" x14ac:dyDescent="0.35">
      <c r="A649" s="150">
        <v>647</v>
      </c>
      <c r="B649" s="20" t="s">
        <v>1386</v>
      </c>
      <c r="C649" s="151" t="s">
        <v>2126</v>
      </c>
      <c r="D649" s="152" t="s">
        <v>128</v>
      </c>
      <c r="E649" s="153">
        <v>200000</v>
      </c>
      <c r="F649" s="9">
        <v>0</v>
      </c>
      <c r="G649" s="70">
        <v>100000</v>
      </c>
      <c r="H649" s="9">
        <v>0</v>
      </c>
      <c r="I649" s="9">
        <v>0</v>
      </c>
      <c r="J649" s="70">
        <v>200000</v>
      </c>
      <c r="K649" s="9">
        <v>0</v>
      </c>
      <c r="L649" s="9">
        <v>200000</v>
      </c>
      <c r="M649" s="70">
        <v>100000</v>
      </c>
      <c r="N649" s="70">
        <v>100000</v>
      </c>
      <c r="O649" s="153">
        <v>100000</v>
      </c>
      <c r="P649" s="153">
        <v>0</v>
      </c>
      <c r="Q649" s="153">
        <f>300000</f>
        <v>300000</v>
      </c>
      <c r="R649" s="153">
        <f t="shared" si="10"/>
        <v>1300000</v>
      </c>
    </row>
    <row r="650" spans="1:18" x14ac:dyDescent="0.35">
      <c r="A650" s="5">
        <v>648</v>
      </c>
      <c r="B650" s="6" t="s">
        <v>1388</v>
      </c>
      <c r="C650" s="7" t="s">
        <v>1389</v>
      </c>
      <c r="D650" s="8" t="s">
        <v>128</v>
      </c>
      <c r="E650" s="9">
        <v>-100000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/>
      <c r="R650" s="9">
        <f t="shared" si="10"/>
        <v>-100000</v>
      </c>
    </row>
    <row r="651" spans="1:18" x14ac:dyDescent="0.35">
      <c r="A651" s="5">
        <v>649</v>
      </c>
      <c r="B651" s="6" t="s">
        <v>1390</v>
      </c>
      <c r="C651" s="7" t="s">
        <v>1391</v>
      </c>
      <c r="D651" s="8" t="s">
        <v>49</v>
      </c>
      <c r="E651" s="9">
        <v>-100000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/>
      <c r="R651" s="9">
        <f t="shared" si="10"/>
        <v>-100000</v>
      </c>
    </row>
    <row r="652" spans="1:18" x14ac:dyDescent="0.35">
      <c r="A652" s="5">
        <v>650</v>
      </c>
      <c r="B652" s="6" t="s">
        <v>1392</v>
      </c>
      <c r="C652" s="7" t="s">
        <v>1709</v>
      </c>
      <c r="D652" s="8" t="s">
        <v>49</v>
      </c>
      <c r="E652" s="9">
        <v>-100000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/>
      <c r="R652" s="9">
        <f t="shared" si="10"/>
        <v>-100000</v>
      </c>
    </row>
    <row r="653" spans="1:18" s="134" customFormat="1" x14ac:dyDescent="0.35">
      <c r="A653" s="135">
        <v>651</v>
      </c>
      <c r="B653" s="6" t="s">
        <v>1394</v>
      </c>
      <c r="C653" s="136" t="s">
        <v>1395</v>
      </c>
      <c r="D653" s="137" t="s">
        <v>136</v>
      </c>
      <c r="E653" s="133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133">
        <v>0</v>
      </c>
      <c r="P653" s="133">
        <v>0</v>
      </c>
      <c r="Q653" s="133"/>
      <c r="R653" s="133">
        <f t="shared" si="10"/>
        <v>0</v>
      </c>
    </row>
    <row r="654" spans="1:18" s="134" customFormat="1" x14ac:dyDescent="0.35">
      <c r="A654" s="135">
        <v>652</v>
      </c>
      <c r="B654" s="6" t="s">
        <v>1396</v>
      </c>
      <c r="C654" s="136" t="s">
        <v>1397</v>
      </c>
      <c r="D654" s="137" t="s">
        <v>41</v>
      </c>
      <c r="E654" s="133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133">
        <v>0</v>
      </c>
      <c r="P654" s="133">
        <v>0</v>
      </c>
      <c r="Q654" s="133"/>
      <c r="R654" s="133">
        <f t="shared" si="10"/>
        <v>0</v>
      </c>
    </row>
    <row r="655" spans="1:18" s="142" customFormat="1" x14ac:dyDescent="0.35">
      <c r="A655" s="143">
        <v>653</v>
      </c>
      <c r="B655" s="6" t="s">
        <v>1398</v>
      </c>
      <c r="C655" s="144" t="s">
        <v>1898</v>
      </c>
      <c r="D655" s="145" t="s">
        <v>429</v>
      </c>
      <c r="E655" s="141">
        <v>22400000</v>
      </c>
      <c r="F655" s="9">
        <v>250000</v>
      </c>
      <c r="G655" s="9">
        <v>250000</v>
      </c>
      <c r="H655" s="9">
        <v>250000</v>
      </c>
      <c r="I655" s="9">
        <v>250000</v>
      </c>
      <c r="J655" s="9">
        <v>250000</v>
      </c>
      <c r="K655" s="9">
        <v>250000</v>
      </c>
      <c r="L655" s="9">
        <v>250000</v>
      </c>
      <c r="M655" s="9">
        <v>250000</v>
      </c>
      <c r="N655" s="9">
        <v>250000</v>
      </c>
      <c r="O655" s="141">
        <v>250000</v>
      </c>
      <c r="P655" s="141">
        <v>250000</v>
      </c>
      <c r="Q655" s="141">
        <v>250000</v>
      </c>
      <c r="R655" s="141">
        <f t="shared" si="10"/>
        <v>25400000</v>
      </c>
    </row>
    <row r="656" spans="1:18" x14ac:dyDescent="0.35">
      <c r="A656" s="5">
        <v>654</v>
      </c>
      <c r="B656" s="6" t="s">
        <v>1400</v>
      </c>
      <c r="C656" s="7" t="s">
        <v>2185</v>
      </c>
      <c r="D656" s="8" t="s">
        <v>19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/>
      <c r="R656" s="9">
        <f t="shared" si="10"/>
        <v>0</v>
      </c>
    </row>
    <row r="657" spans="1:18" s="88" customFormat="1" x14ac:dyDescent="0.35">
      <c r="A657" s="19">
        <v>655</v>
      </c>
      <c r="B657" s="20" t="s">
        <v>1402</v>
      </c>
      <c r="C657" s="21" t="s">
        <v>2127</v>
      </c>
      <c r="D657" s="22" t="s">
        <v>136</v>
      </c>
      <c r="E657" s="70">
        <v>8800000</v>
      </c>
      <c r="F657" s="70">
        <v>100000</v>
      </c>
      <c r="G657" s="9">
        <v>0</v>
      </c>
      <c r="H657" s="9">
        <v>100000</v>
      </c>
      <c r="I657" s="9">
        <v>100000</v>
      </c>
      <c r="J657" s="70"/>
      <c r="K657" s="9">
        <v>100000</v>
      </c>
      <c r="L657" s="9">
        <v>200000</v>
      </c>
      <c r="M657" s="70">
        <f>100000+100000</f>
        <v>200000</v>
      </c>
      <c r="N657" s="9">
        <v>0</v>
      </c>
      <c r="O657" s="9">
        <v>0</v>
      </c>
      <c r="P657" s="70">
        <f>100000+100000</f>
        <v>200000</v>
      </c>
      <c r="Q657" s="70">
        <f>300000</f>
        <v>300000</v>
      </c>
      <c r="R657" s="70">
        <f t="shared" si="10"/>
        <v>10100000</v>
      </c>
    </row>
    <row r="658" spans="1:18" x14ac:dyDescent="0.35">
      <c r="A658" s="5">
        <v>656</v>
      </c>
      <c r="B658" s="6" t="s">
        <v>1404</v>
      </c>
      <c r="C658" s="7" t="s">
        <v>1405</v>
      </c>
      <c r="D658" s="8" t="s">
        <v>49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/>
      <c r="R658" s="9">
        <f t="shared" si="10"/>
        <v>0</v>
      </c>
    </row>
    <row r="659" spans="1:18" s="142" customFormat="1" x14ac:dyDescent="0.35">
      <c r="A659" s="143">
        <v>657</v>
      </c>
      <c r="B659" s="6" t="s">
        <v>1406</v>
      </c>
      <c r="C659" s="144" t="s">
        <v>1853</v>
      </c>
      <c r="D659" s="145" t="s">
        <v>92</v>
      </c>
      <c r="E659" s="141">
        <v>21200000</v>
      </c>
      <c r="F659" s="9">
        <v>250000</v>
      </c>
      <c r="G659" s="9">
        <v>250000</v>
      </c>
      <c r="H659" s="9">
        <v>250000</v>
      </c>
      <c r="I659" s="9">
        <v>250000</v>
      </c>
      <c r="J659" s="9">
        <v>250000</v>
      </c>
      <c r="K659" s="9">
        <v>250000</v>
      </c>
      <c r="L659" s="9">
        <v>250000</v>
      </c>
      <c r="M659" s="9">
        <v>250000</v>
      </c>
      <c r="N659" s="9">
        <v>250000</v>
      </c>
      <c r="O659" s="141">
        <v>250000</v>
      </c>
      <c r="P659" s="141">
        <v>250000</v>
      </c>
      <c r="Q659" s="141">
        <v>250000</v>
      </c>
      <c r="R659" s="141">
        <f t="shared" si="10"/>
        <v>24200000</v>
      </c>
    </row>
    <row r="660" spans="1:18" x14ac:dyDescent="0.35">
      <c r="A660" s="5">
        <v>658</v>
      </c>
      <c r="B660" s="6" t="s">
        <v>1408</v>
      </c>
      <c r="C660" s="7" t="s">
        <v>1409</v>
      </c>
      <c r="D660" s="8" t="s">
        <v>92</v>
      </c>
      <c r="E660" s="9">
        <v>-150000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/>
      <c r="R660" s="9">
        <f t="shared" si="10"/>
        <v>-150000</v>
      </c>
    </row>
    <row r="661" spans="1:18" s="93" customFormat="1" x14ac:dyDescent="0.35">
      <c r="A661" s="89">
        <v>659</v>
      </c>
      <c r="B661" s="94" t="s">
        <v>1410</v>
      </c>
      <c r="C661" s="90" t="s">
        <v>1968</v>
      </c>
      <c r="D661" s="91" t="s">
        <v>108</v>
      </c>
      <c r="E661" s="92">
        <v>8100000</v>
      </c>
      <c r="F661" s="92">
        <v>100000</v>
      </c>
      <c r="G661" s="92">
        <v>100000</v>
      </c>
      <c r="H661" s="9">
        <v>100000</v>
      </c>
      <c r="I661" s="9">
        <v>100000</v>
      </c>
      <c r="J661" s="9">
        <v>100000</v>
      </c>
      <c r="K661" s="9">
        <v>100000</v>
      </c>
      <c r="L661" s="9">
        <v>100000</v>
      </c>
      <c r="M661" s="92">
        <v>100000</v>
      </c>
      <c r="N661" s="92">
        <v>100000</v>
      </c>
      <c r="O661" s="92">
        <v>100000</v>
      </c>
      <c r="P661" s="92">
        <v>100000</v>
      </c>
      <c r="Q661" s="92">
        <v>100000</v>
      </c>
      <c r="R661" s="92">
        <f t="shared" si="10"/>
        <v>9300000</v>
      </c>
    </row>
    <row r="662" spans="1:18" s="142" customFormat="1" x14ac:dyDescent="0.35">
      <c r="A662" s="143">
        <v>660</v>
      </c>
      <c r="B662" s="6" t="s">
        <v>1412</v>
      </c>
      <c r="C662" s="144" t="s">
        <v>2128</v>
      </c>
      <c r="D662" s="145" t="s">
        <v>128</v>
      </c>
      <c r="E662" s="141">
        <v>11850000</v>
      </c>
      <c r="F662" s="9">
        <v>150000</v>
      </c>
      <c r="G662" s="9">
        <v>150000</v>
      </c>
      <c r="H662" s="9">
        <v>150000</v>
      </c>
      <c r="I662" s="9">
        <v>150000</v>
      </c>
      <c r="J662" s="9">
        <v>150000</v>
      </c>
      <c r="K662" s="9">
        <v>150000</v>
      </c>
      <c r="L662" s="9">
        <v>150000</v>
      </c>
      <c r="M662" s="9">
        <v>150000</v>
      </c>
      <c r="N662" s="9">
        <v>150000</v>
      </c>
      <c r="O662" s="141">
        <v>150000</v>
      </c>
      <c r="P662" s="141">
        <v>150000</v>
      </c>
      <c r="Q662" s="141">
        <v>150000</v>
      </c>
      <c r="R662" s="141">
        <f t="shared" si="10"/>
        <v>13650000</v>
      </c>
    </row>
    <row r="663" spans="1:18" s="142" customFormat="1" x14ac:dyDescent="0.35">
      <c r="A663" s="143">
        <v>661</v>
      </c>
      <c r="B663" s="6" t="s">
        <v>1414</v>
      </c>
      <c r="C663" s="144" t="s">
        <v>1893</v>
      </c>
      <c r="D663" s="145" t="s">
        <v>128</v>
      </c>
      <c r="E663" s="141">
        <v>11700000</v>
      </c>
      <c r="F663" s="9">
        <v>150000</v>
      </c>
      <c r="G663" s="9">
        <v>150000</v>
      </c>
      <c r="H663" s="9">
        <v>150000</v>
      </c>
      <c r="I663" s="9">
        <v>150000</v>
      </c>
      <c r="J663" s="9">
        <v>150000</v>
      </c>
      <c r="K663" s="9">
        <v>150000</v>
      </c>
      <c r="L663" s="9">
        <v>150000</v>
      </c>
      <c r="M663" s="9">
        <v>150000</v>
      </c>
      <c r="N663" s="9">
        <v>150000</v>
      </c>
      <c r="O663" s="141">
        <v>150000</v>
      </c>
      <c r="P663" s="141">
        <v>150000</v>
      </c>
      <c r="Q663" s="141">
        <v>150000</v>
      </c>
      <c r="R663" s="141">
        <f t="shared" si="10"/>
        <v>13500000</v>
      </c>
    </row>
    <row r="664" spans="1:18" s="93" customFormat="1" x14ac:dyDescent="0.35">
      <c r="A664" s="89">
        <v>662</v>
      </c>
      <c r="B664" s="94" t="s">
        <v>1416</v>
      </c>
      <c r="C664" s="90" t="s">
        <v>1967</v>
      </c>
      <c r="D664" s="91" t="s">
        <v>303</v>
      </c>
      <c r="E664" s="92">
        <v>11400000</v>
      </c>
      <c r="F664" s="92">
        <v>150000</v>
      </c>
      <c r="G664" s="92">
        <v>150000</v>
      </c>
      <c r="H664" s="9">
        <v>150000</v>
      </c>
      <c r="I664" s="9">
        <v>150000</v>
      </c>
      <c r="J664" s="9">
        <v>150000</v>
      </c>
      <c r="K664" s="9">
        <v>150000</v>
      </c>
      <c r="L664" s="9">
        <v>150000</v>
      </c>
      <c r="M664" s="92">
        <v>150000</v>
      </c>
      <c r="N664" s="92">
        <v>150000</v>
      </c>
      <c r="O664" s="92">
        <v>150000</v>
      </c>
      <c r="P664" s="92">
        <v>150000</v>
      </c>
      <c r="Q664" s="92">
        <v>150000</v>
      </c>
      <c r="R664" s="92">
        <f t="shared" si="10"/>
        <v>13200000</v>
      </c>
    </row>
    <row r="665" spans="1:18" s="142" customFormat="1" x14ac:dyDescent="0.35">
      <c r="A665" s="143">
        <v>663</v>
      </c>
      <c r="B665" s="6" t="s">
        <v>1418</v>
      </c>
      <c r="C665" s="144" t="s">
        <v>2129</v>
      </c>
      <c r="D665" s="145" t="s">
        <v>429</v>
      </c>
      <c r="E665" s="141">
        <v>10800000</v>
      </c>
      <c r="F665" s="9">
        <v>150000</v>
      </c>
      <c r="G665" s="9">
        <v>150000</v>
      </c>
      <c r="H665" s="9">
        <v>150000</v>
      </c>
      <c r="I665" s="9">
        <v>150000</v>
      </c>
      <c r="J665" s="9">
        <v>150000</v>
      </c>
      <c r="K665" s="9">
        <v>150000</v>
      </c>
      <c r="L665" s="9">
        <v>150000</v>
      </c>
      <c r="M665" s="9">
        <v>150000</v>
      </c>
      <c r="N665" s="9">
        <v>150000</v>
      </c>
      <c r="O665" s="141">
        <v>150000</v>
      </c>
      <c r="P665" s="141">
        <v>150000</v>
      </c>
      <c r="Q665" s="141">
        <v>150000</v>
      </c>
      <c r="R665" s="141">
        <f t="shared" si="10"/>
        <v>12600000</v>
      </c>
    </row>
    <row r="666" spans="1:18" s="142" customFormat="1" x14ac:dyDescent="0.35">
      <c r="A666" s="143">
        <v>664</v>
      </c>
      <c r="B666" s="6" t="s">
        <v>1420</v>
      </c>
      <c r="C666" s="144" t="s">
        <v>2130</v>
      </c>
      <c r="D666" s="145" t="s">
        <v>429</v>
      </c>
      <c r="E666" s="141">
        <v>10800000</v>
      </c>
      <c r="F666" s="9">
        <v>150000</v>
      </c>
      <c r="G666" s="9">
        <v>150000</v>
      </c>
      <c r="H666" s="9">
        <v>150000</v>
      </c>
      <c r="I666" s="9">
        <v>150000</v>
      </c>
      <c r="J666" s="9">
        <v>150000</v>
      </c>
      <c r="K666" s="9">
        <v>150000</v>
      </c>
      <c r="L666" s="9">
        <v>150000</v>
      </c>
      <c r="M666" s="9">
        <v>150000</v>
      </c>
      <c r="N666" s="9">
        <v>150000</v>
      </c>
      <c r="O666" s="141">
        <v>150000</v>
      </c>
      <c r="P666" s="141">
        <v>150000</v>
      </c>
      <c r="Q666" s="141">
        <v>150000</v>
      </c>
      <c r="R666" s="141">
        <f t="shared" si="10"/>
        <v>12600000</v>
      </c>
    </row>
    <row r="667" spans="1:18" s="142" customFormat="1" x14ac:dyDescent="0.35">
      <c r="A667" s="143">
        <v>665</v>
      </c>
      <c r="B667" s="6" t="s">
        <v>1422</v>
      </c>
      <c r="C667" s="144" t="s">
        <v>2131</v>
      </c>
      <c r="D667" s="145" t="s">
        <v>136</v>
      </c>
      <c r="E667" s="141">
        <v>7100000</v>
      </c>
      <c r="F667" s="9">
        <v>100000</v>
      </c>
      <c r="G667" s="9">
        <v>100000</v>
      </c>
      <c r="H667" s="9">
        <v>100000</v>
      </c>
      <c r="I667" s="9">
        <v>100000</v>
      </c>
      <c r="J667" s="9">
        <v>100000</v>
      </c>
      <c r="K667" s="9">
        <v>100000</v>
      </c>
      <c r="L667" s="9">
        <v>100000</v>
      </c>
      <c r="M667" s="9">
        <v>100000</v>
      </c>
      <c r="N667" s="9">
        <v>100000</v>
      </c>
      <c r="O667" s="141">
        <v>100000</v>
      </c>
      <c r="P667" s="141">
        <v>100000</v>
      </c>
      <c r="Q667" s="141">
        <v>100000</v>
      </c>
      <c r="R667" s="141">
        <f t="shared" si="10"/>
        <v>8300000</v>
      </c>
    </row>
    <row r="668" spans="1:18" s="142" customFormat="1" x14ac:dyDescent="0.35">
      <c r="A668" s="143">
        <v>666</v>
      </c>
      <c r="B668" s="6" t="s">
        <v>1424</v>
      </c>
      <c r="C668" s="144" t="s">
        <v>1856</v>
      </c>
      <c r="D668" s="145" t="s">
        <v>215</v>
      </c>
      <c r="E668" s="141">
        <v>11100000</v>
      </c>
      <c r="F668" s="9">
        <v>0</v>
      </c>
      <c r="G668" s="9">
        <v>150000</v>
      </c>
      <c r="H668" s="9">
        <v>150000</v>
      </c>
      <c r="I668" s="9">
        <v>150000</v>
      </c>
      <c r="J668" s="9">
        <v>150000</v>
      </c>
      <c r="K668" s="9">
        <v>150000</v>
      </c>
      <c r="L668" s="9">
        <v>150000</v>
      </c>
      <c r="M668" s="9">
        <v>150000</v>
      </c>
      <c r="N668" s="9">
        <v>150000</v>
      </c>
      <c r="O668" s="141">
        <v>150000</v>
      </c>
      <c r="P668" s="141">
        <v>150000</v>
      </c>
      <c r="Q668" s="141">
        <v>150000</v>
      </c>
      <c r="R668" s="141">
        <f t="shared" si="10"/>
        <v>12750000</v>
      </c>
    </row>
    <row r="669" spans="1:18" s="142" customFormat="1" x14ac:dyDescent="0.35">
      <c r="A669" s="143">
        <v>667</v>
      </c>
      <c r="B669" s="6" t="s">
        <v>1426</v>
      </c>
      <c r="C669" s="144" t="s">
        <v>2132</v>
      </c>
      <c r="D669" s="145" t="s">
        <v>215</v>
      </c>
      <c r="E669" s="141">
        <v>11100000</v>
      </c>
      <c r="F669" s="9">
        <v>0</v>
      </c>
      <c r="G669" s="9">
        <v>150000</v>
      </c>
      <c r="H669" s="9">
        <v>150000</v>
      </c>
      <c r="I669" s="9">
        <v>150000</v>
      </c>
      <c r="J669" s="9">
        <v>150000</v>
      </c>
      <c r="K669" s="9">
        <v>150000</v>
      </c>
      <c r="L669" s="9">
        <v>150000</v>
      </c>
      <c r="M669" s="9">
        <v>150000</v>
      </c>
      <c r="N669" s="9">
        <v>150000</v>
      </c>
      <c r="O669" s="141">
        <v>150000</v>
      </c>
      <c r="P669" s="141">
        <v>150000</v>
      </c>
      <c r="Q669" s="141">
        <v>150000</v>
      </c>
      <c r="R669" s="141">
        <f t="shared" si="10"/>
        <v>12750000</v>
      </c>
    </row>
    <row r="670" spans="1:18" s="142" customFormat="1" x14ac:dyDescent="0.35">
      <c r="A670" s="143">
        <v>668</v>
      </c>
      <c r="B670" s="6" t="s">
        <v>1428</v>
      </c>
      <c r="C670" s="144" t="s">
        <v>2133</v>
      </c>
      <c r="D670" s="145" t="s">
        <v>159</v>
      </c>
      <c r="E670" s="141">
        <v>11100000</v>
      </c>
      <c r="F670" s="9">
        <v>150000</v>
      </c>
      <c r="G670" s="9">
        <v>150000</v>
      </c>
      <c r="H670" s="9">
        <v>150000</v>
      </c>
      <c r="I670" s="9">
        <v>150000</v>
      </c>
      <c r="J670" s="9">
        <v>150000</v>
      </c>
      <c r="K670" s="9">
        <v>150000</v>
      </c>
      <c r="L670" s="9">
        <v>150000</v>
      </c>
      <c r="M670" s="9">
        <v>150000</v>
      </c>
      <c r="N670" s="9">
        <v>150000</v>
      </c>
      <c r="O670" s="141">
        <v>150000</v>
      </c>
      <c r="P670" s="141">
        <v>150000</v>
      </c>
      <c r="Q670" s="141">
        <v>150000</v>
      </c>
      <c r="R670" s="141">
        <f t="shared" si="10"/>
        <v>12900000</v>
      </c>
    </row>
    <row r="671" spans="1:18" x14ac:dyDescent="0.35">
      <c r="A671" s="5">
        <v>669</v>
      </c>
      <c r="B671" s="6" t="s">
        <v>1430</v>
      </c>
      <c r="C671" s="7" t="s">
        <v>1431</v>
      </c>
      <c r="D671" s="8"/>
      <c r="E671" s="9">
        <v>100000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/>
      <c r="R671" s="9">
        <f t="shared" si="10"/>
        <v>100000</v>
      </c>
    </row>
    <row r="672" spans="1:18" s="134" customFormat="1" x14ac:dyDescent="0.35">
      <c r="A672" s="135">
        <v>670</v>
      </c>
      <c r="B672" s="6" t="s">
        <v>1432</v>
      </c>
      <c r="C672" s="136" t="s">
        <v>1433</v>
      </c>
      <c r="D672" s="137" t="s">
        <v>524</v>
      </c>
      <c r="E672" s="133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133">
        <v>0</v>
      </c>
      <c r="P672" s="133">
        <v>0</v>
      </c>
      <c r="Q672" s="133"/>
      <c r="R672" s="133">
        <f t="shared" si="10"/>
        <v>0</v>
      </c>
    </row>
    <row r="673" spans="1:18" s="142" customFormat="1" x14ac:dyDescent="0.35">
      <c r="A673" s="143">
        <v>671</v>
      </c>
      <c r="B673" s="20" t="s">
        <v>1434</v>
      </c>
      <c r="C673" s="144" t="s">
        <v>2134</v>
      </c>
      <c r="D673" s="145" t="s">
        <v>136</v>
      </c>
      <c r="E673" s="141">
        <v>7100000</v>
      </c>
      <c r="F673" s="9">
        <v>100000</v>
      </c>
      <c r="G673" s="9">
        <v>0</v>
      </c>
      <c r="H673" s="9">
        <v>100000</v>
      </c>
      <c r="I673" s="9">
        <v>0</v>
      </c>
      <c r="J673" s="9">
        <v>100000</v>
      </c>
      <c r="K673" s="9">
        <v>300000</v>
      </c>
      <c r="L673" s="9">
        <v>100000</v>
      </c>
      <c r="M673" s="9">
        <v>100000</v>
      </c>
      <c r="N673" s="9">
        <v>100000</v>
      </c>
      <c r="O673" s="141">
        <v>100000</v>
      </c>
      <c r="P673" s="141">
        <v>100000</v>
      </c>
      <c r="Q673" s="141">
        <v>100000</v>
      </c>
      <c r="R673" s="141">
        <f t="shared" si="10"/>
        <v>8300000</v>
      </c>
    </row>
    <row r="674" spans="1:18" x14ac:dyDescent="0.35">
      <c r="A674" s="5">
        <v>672</v>
      </c>
      <c r="B674" s="6" t="s">
        <v>1436</v>
      </c>
      <c r="C674" s="7" t="s">
        <v>1437</v>
      </c>
      <c r="D674" s="8" t="s">
        <v>52</v>
      </c>
      <c r="E674" s="9">
        <v>100000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/>
      <c r="R674" s="9">
        <f t="shared" si="10"/>
        <v>100000</v>
      </c>
    </row>
    <row r="675" spans="1:18" x14ac:dyDescent="0.35">
      <c r="A675" s="5">
        <v>673</v>
      </c>
      <c r="B675" s="6" t="s">
        <v>1438</v>
      </c>
      <c r="C675" s="7" t="s">
        <v>1439</v>
      </c>
      <c r="D675" s="8" t="s">
        <v>303</v>
      </c>
      <c r="E675" s="9">
        <v>4900000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/>
      <c r="R675" s="9">
        <f t="shared" si="10"/>
        <v>4900000</v>
      </c>
    </row>
    <row r="676" spans="1:18" s="93" customFormat="1" x14ac:dyDescent="0.35">
      <c r="A676" s="89">
        <v>674</v>
      </c>
      <c r="B676" s="94" t="s">
        <v>1440</v>
      </c>
      <c r="C676" s="90" t="s">
        <v>2135</v>
      </c>
      <c r="D676" s="91" t="s">
        <v>65</v>
      </c>
      <c r="E676" s="92">
        <v>6600000</v>
      </c>
      <c r="F676" s="92">
        <v>100000</v>
      </c>
      <c r="G676" s="92">
        <v>100000</v>
      </c>
      <c r="H676" s="9">
        <v>100000</v>
      </c>
      <c r="I676" s="9">
        <v>100000</v>
      </c>
      <c r="J676" s="9">
        <v>100000</v>
      </c>
      <c r="K676" s="9">
        <v>100000</v>
      </c>
      <c r="L676" s="9">
        <v>100000</v>
      </c>
      <c r="M676" s="92">
        <v>100000</v>
      </c>
      <c r="N676" s="92">
        <v>100000</v>
      </c>
      <c r="O676" s="92">
        <v>100000</v>
      </c>
      <c r="P676" s="92">
        <v>100000</v>
      </c>
      <c r="Q676" s="92">
        <v>100000</v>
      </c>
      <c r="R676" s="92">
        <f t="shared" si="10"/>
        <v>7800000</v>
      </c>
    </row>
    <row r="677" spans="1:18" s="104" customFormat="1" x14ac:dyDescent="0.35">
      <c r="A677" s="100">
        <v>675</v>
      </c>
      <c r="B677" s="94" t="s">
        <v>1442</v>
      </c>
      <c r="C677" s="101" t="s">
        <v>2136</v>
      </c>
      <c r="D677" s="102" t="s">
        <v>1444</v>
      </c>
      <c r="E677" s="103">
        <v>9300000</v>
      </c>
      <c r="F677" s="92">
        <v>150000</v>
      </c>
      <c r="G677" s="92">
        <v>150000</v>
      </c>
      <c r="H677" s="9">
        <v>150000</v>
      </c>
      <c r="I677" s="9">
        <v>150000</v>
      </c>
      <c r="J677" s="9">
        <v>150000</v>
      </c>
      <c r="K677" s="103">
        <v>150000</v>
      </c>
      <c r="L677" s="103">
        <v>150000</v>
      </c>
      <c r="M677" s="103">
        <v>150000</v>
      </c>
      <c r="N677" s="103">
        <v>150000</v>
      </c>
      <c r="O677" s="103">
        <v>150000</v>
      </c>
      <c r="P677" s="103">
        <v>150000</v>
      </c>
      <c r="Q677" s="103">
        <v>150000</v>
      </c>
      <c r="R677" s="103">
        <f t="shared" si="10"/>
        <v>11100000</v>
      </c>
    </row>
    <row r="678" spans="1:18" x14ac:dyDescent="0.35">
      <c r="A678" s="5">
        <v>676</v>
      </c>
      <c r="B678" s="6" t="s">
        <v>1445</v>
      </c>
      <c r="C678" s="7" t="s">
        <v>1446</v>
      </c>
      <c r="D678" s="8" t="s">
        <v>136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/>
      <c r="R678" s="9">
        <f t="shared" si="10"/>
        <v>0</v>
      </c>
    </row>
    <row r="679" spans="1:18" s="125" customFormat="1" x14ac:dyDescent="0.35">
      <c r="A679" s="126">
        <v>677</v>
      </c>
      <c r="B679" s="129" t="s">
        <v>1447</v>
      </c>
      <c r="C679" s="127" t="s">
        <v>2137</v>
      </c>
      <c r="D679" s="128" t="s">
        <v>751</v>
      </c>
      <c r="E679" s="124">
        <v>6000000</v>
      </c>
      <c r="F679" s="124">
        <v>100000</v>
      </c>
      <c r="G679" s="124">
        <v>100000</v>
      </c>
      <c r="H679" s="124">
        <v>100000</v>
      </c>
      <c r="I679" s="124">
        <v>100000</v>
      </c>
      <c r="J679" s="124">
        <v>100000</v>
      </c>
      <c r="K679" s="124">
        <v>100000</v>
      </c>
      <c r="L679" s="124">
        <v>100000</v>
      </c>
      <c r="M679" s="124">
        <v>100000</v>
      </c>
      <c r="N679" s="124">
        <v>100000</v>
      </c>
      <c r="O679" s="124">
        <v>100000</v>
      </c>
      <c r="P679" s="124">
        <v>100000</v>
      </c>
      <c r="Q679" s="124">
        <v>100000</v>
      </c>
      <c r="R679" s="124">
        <f t="shared" si="10"/>
        <v>7200000</v>
      </c>
    </row>
    <row r="680" spans="1:18" s="125" customFormat="1" x14ac:dyDescent="0.35">
      <c r="A680" s="126">
        <v>678</v>
      </c>
      <c r="B680" s="129" t="s">
        <v>1449</v>
      </c>
      <c r="C680" s="127" t="s">
        <v>2138</v>
      </c>
      <c r="D680" s="128" t="s">
        <v>751</v>
      </c>
      <c r="E680" s="124">
        <v>6000000</v>
      </c>
      <c r="F680" s="124">
        <v>100000</v>
      </c>
      <c r="G680" s="124">
        <v>100000</v>
      </c>
      <c r="H680" s="124">
        <v>100000</v>
      </c>
      <c r="I680" s="124">
        <v>100000</v>
      </c>
      <c r="J680" s="124">
        <v>100000</v>
      </c>
      <c r="K680" s="124">
        <v>100000</v>
      </c>
      <c r="L680" s="124">
        <v>100000</v>
      </c>
      <c r="M680" s="124">
        <v>100000</v>
      </c>
      <c r="N680" s="124">
        <v>100000</v>
      </c>
      <c r="O680" s="124">
        <v>100000</v>
      </c>
      <c r="P680" s="124">
        <v>100000</v>
      </c>
      <c r="Q680" s="124">
        <v>100000</v>
      </c>
      <c r="R680" s="124">
        <f t="shared" si="10"/>
        <v>7200000</v>
      </c>
    </row>
    <row r="681" spans="1:18" x14ac:dyDescent="0.35">
      <c r="A681" s="5">
        <v>679</v>
      </c>
      <c r="B681" s="6" t="s">
        <v>1451</v>
      </c>
      <c r="C681" s="7" t="s">
        <v>1452</v>
      </c>
      <c r="D681" s="8" t="s">
        <v>136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/>
      <c r="R681" s="9">
        <f t="shared" si="10"/>
        <v>0</v>
      </c>
    </row>
    <row r="682" spans="1:18" s="104" customFormat="1" x14ac:dyDescent="0.35">
      <c r="A682" s="100">
        <v>680</v>
      </c>
      <c r="B682" s="94" t="s">
        <v>1453</v>
      </c>
      <c r="C682" s="101" t="s">
        <v>2139</v>
      </c>
      <c r="D682" s="102" t="s">
        <v>321</v>
      </c>
      <c r="E682" s="103">
        <v>9300000</v>
      </c>
      <c r="F682" s="92">
        <v>150000</v>
      </c>
      <c r="G682" s="92">
        <v>150000</v>
      </c>
      <c r="H682" s="9">
        <v>150000</v>
      </c>
      <c r="I682" s="9">
        <v>150000</v>
      </c>
      <c r="J682" s="9">
        <v>150000</v>
      </c>
      <c r="K682" s="103">
        <v>150000</v>
      </c>
      <c r="L682" s="103">
        <v>150000</v>
      </c>
      <c r="M682" s="103">
        <v>150000</v>
      </c>
      <c r="N682" s="103">
        <v>150000</v>
      </c>
      <c r="O682" s="103">
        <v>150000</v>
      </c>
      <c r="P682" s="103">
        <v>150000</v>
      </c>
      <c r="Q682" s="103">
        <v>150000</v>
      </c>
      <c r="R682" s="103">
        <f t="shared" si="10"/>
        <v>11100000</v>
      </c>
    </row>
    <row r="683" spans="1:18" s="104" customFormat="1" x14ac:dyDescent="0.35">
      <c r="A683" s="100">
        <v>681</v>
      </c>
      <c r="B683" s="94" t="s">
        <v>1455</v>
      </c>
      <c r="C683" s="101" t="s">
        <v>2140</v>
      </c>
      <c r="D683" s="102" t="s">
        <v>22</v>
      </c>
      <c r="E683" s="103">
        <v>9300000</v>
      </c>
      <c r="F683" s="92">
        <v>150000</v>
      </c>
      <c r="G683" s="92">
        <v>150000</v>
      </c>
      <c r="H683" s="9">
        <v>150000</v>
      </c>
      <c r="I683" s="9">
        <v>150000</v>
      </c>
      <c r="J683" s="9">
        <v>150000</v>
      </c>
      <c r="K683" s="103">
        <v>150000</v>
      </c>
      <c r="L683" s="103">
        <v>150000</v>
      </c>
      <c r="M683" s="103">
        <v>150000</v>
      </c>
      <c r="N683" s="103">
        <v>150000</v>
      </c>
      <c r="O683" s="103">
        <v>150000</v>
      </c>
      <c r="P683" s="103">
        <v>150000</v>
      </c>
      <c r="Q683" s="103">
        <v>150000</v>
      </c>
      <c r="R683" s="103">
        <f t="shared" si="10"/>
        <v>11100000</v>
      </c>
    </row>
    <row r="684" spans="1:18" s="104" customFormat="1" x14ac:dyDescent="0.35">
      <c r="A684" s="100">
        <v>682</v>
      </c>
      <c r="B684" s="94" t="s">
        <v>1457</v>
      </c>
      <c r="C684" s="101" t="s">
        <v>2141</v>
      </c>
      <c r="D684" s="102" t="s">
        <v>238</v>
      </c>
      <c r="E684" s="103">
        <v>9300000</v>
      </c>
      <c r="F684" s="92">
        <v>150000</v>
      </c>
      <c r="G684" s="92">
        <v>150000</v>
      </c>
      <c r="H684" s="9">
        <v>150000</v>
      </c>
      <c r="I684" s="9">
        <v>150000</v>
      </c>
      <c r="J684" s="9">
        <v>150000</v>
      </c>
      <c r="K684" s="103">
        <v>150000</v>
      </c>
      <c r="L684" s="103">
        <v>150000</v>
      </c>
      <c r="M684" s="103">
        <v>150000</v>
      </c>
      <c r="N684" s="103">
        <v>150000</v>
      </c>
      <c r="O684" s="103">
        <v>150000</v>
      </c>
      <c r="P684" s="103">
        <v>150000</v>
      </c>
      <c r="Q684" s="103">
        <v>150000</v>
      </c>
      <c r="R684" s="103">
        <f t="shared" si="10"/>
        <v>11100000</v>
      </c>
    </row>
    <row r="685" spans="1:18" s="104" customFormat="1" x14ac:dyDescent="0.35">
      <c r="A685" s="100">
        <v>683</v>
      </c>
      <c r="B685" s="94" t="s">
        <v>1458</v>
      </c>
      <c r="C685" s="101" t="s">
        <v>2142</v>
      </c>
      <c r="D685" s="102" t="s">
        <v>303</v>
      </c>
      <c r="E685" s="103">
        <v>9300000</v>
      </c>
      <c r="F685" s="92">
        <v>150000</v>
      </c>
      <c r="G685" s="92">
        <v>150000</v>
      </c>
      <c r="H685" s="9">
        <v>150000</v>
      </c>
      <c r="I685" s="9">
        <v>150000</v>
      </c>
      <c r="J685" s="9">
        <v>150000</v>
      </c>
      <c r="K685" s="103">
        <v>150000</v>
      </c>
      <c r="L685" s="103">
        <v>150000</v>
      </c>
      <c r="M685" s="103">
        <v>150000</v>
      </c>
      <c r="N685" s="103">
        <v>150000</v>
      </c>
      <c r="O685" s="103">
        <v>150000</v>
      </c>
      <c r="P685" s="103">
        <v>150000</v>
      </c>
      <c r="Q685" s="103">
        <v>150000</v>
      </c>
      <c r="R685" s="103">
        <f t="shared" si="10"/>
        <v>11100000</v>
      </c>
    </row>
    <row r="686" spans="1:18" s="104" customFormat="1" x14ac:dyDescent="0.35">
      <c r="A686" s="100">
        <v>684</v>
      </c>
      <c r="B686" s="94" t="s">
        <v>1460</v>
      </c>
      <c r="C686" s="101" t="s">
        <v>2143</v>
      </c>
      <c r="D686" s="102" t="s">
        <v>80</v>
      </c>
      <c r="E686" s="103">
        <v>150000</v>
      </c>
      <c r="F686" s="9">
        <v>0</v>
      </c>
      <c r="G686" s="92">
        <v>0</v>
      </c>
      <c r="H686" s="92">
        <v>0</v>
      </c>
      <c r="I686" s="9">
        <v>0</v>
      </c>
      <c r="J686" s="92">
        <v>150000</v>
      </c>
      <c r="K686" s="103">
        <v>150000</v>
      </c>
      <c r="L686" s="103">
        <v>150000</v>
      </c>
      <c r="M686" s="103">
        <v>150000</v>
      </c>
      <c r="N686" s="103">
        <v>150000</v>
      </c>
      <c r="O686" s="103">
        <v>150000</v>
      </c>
      <c r="P686" s="103">
        <v>150000</v>
      </c>
      <c r="Q686" s="103">
        <v>150000</v>
      </c>
      <c r="R686" s="103">
        <f t="shared" si="10"/>
        <v>1350000</v>
      </c>
    </row>
    <row r="687" spans="1:18" x14ac:dyDescent="0.35">
      <c r="A687" s="5">
        <v>685</v>
      </c>
      <c r="B687" s="6" t="s">
        <v>1462</v>
      </c>
      <c r="C687" s="7" t="s">
        <v>1463</v>
      </c>
      <c r="D687" s="8" t="s">
        <v>80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/>
      <c r="R687" s="9">
        <f t="shared" si="10"/>
        <v>0</v>
      </c>
    </row>
    <row r="688" spans="1:18" s="93" customFormat="1" x14ac:dyDescent="0.35">
      <c r="A688" s="89">
        <v>686</v>
      </c>
      <c r="B688" s="94" t="s">
        <v>1464</v>
      </c>
      <c r="C688" s="90" t="s">
        <v>1848</v>
      </c>
      <c r="D688" s="91" t="s">
        <v>80</v>
      </c>
      <c r="E688" s="92">
        <v>150000</v>
      </c>
      <c r="F688" s="9">
        <v>0</v>
      </c>
      <c r="G688" s="92">
        <v>100000</v>
      </c>
      <c r="H688" s="9">
        <v>100000</v>
      </c>
      <c r="I688" s="9">
        <v>100000</v>
      </c>
      <c r="J688" s="9">
        <v>100000</v>
      </c>
      <c r="K688" s="9">
        <v>100000</v>
      </c>
      <c r="L688" s="9">
        <v>100000</v>
      </c>
      <c r="M688" s="92">
        <v>100000</v>
      </c>
      <c r="N688" s="92">
        <v>100000</v>
      </c>
      <c r="O688" s="92">
        <v>100000</v>
      </c>
      <c r="P688" s="92">
        <v>100000</v>
      </c>
      <c r="Q688" s="92">
        <v>100000</v>
      </c>
      <c r="R688" s="92">
        <f t="shared" si="10"/>
        <v>1250000</v>
      </c>
    </row>
    <row r="689" spans="1:18" s="104" customFormat="1" x14ac:dyDescent="0.35">
      <c r="A689" s="100">
        <v>687</v>
      </c>
      <c r="B689" s="94" t="s">
        <v>1466</v>
      </c>
      <c r="C689" s="101" t="s">
        <v>2144</v>
      </c>
      <c r="D689" s="102" t="s">
        <v>238</v>
      </c>
      <c r="E689" s="103">
        <v>9300000</v>
      </c>
      <c r="F689" s="92">
        <v>150000</v>
      </c>
      <c r="G689" s="92">
        <v>150000</v>
      </c>
      <c r="H689" s="9">
        <v>150000</v>
      </c>
      <c r="I689" s="9">
        <v>150000</v>
      </c>
      <c r="J689" s="9">
        <v>150000</v>
      </c>
      <c r="K689" s="103">
        <v>150000</v>
      </c>
      <c r="L689" s="103">
        <v>150000</v>
      </c>
      <c r="M689" s="103">
        <v>150000</v>
      </c>
      <c r="N689" s="103">
        <v>150000</v>
      </c>
      <c r="O689" s="103">
        <v>150000</v>
      </c>
      <c r="P689" s="103">
        <v>150000</v>
      </c>
      <c r="Q689" s="103">
        <v>150000</v>
      </c>
      <c r="R689" s="103">
        <f t="shared" si="10"/>
        <v>11100000</v>
      </c>
    </row>
    <row r="690" spans="1:18" s="104" customFormat="1" x14ac:dyDescent="0.35">
      <c r="A690" s="100">
        <v>688</v>
      </c>
      <c r="B690" s="94" t="s">
        <v>1468</v>
      </c>
      <c r="C690" s="101" t="s">
        <v>2145</v>
      </c>
      <c r="D690" s="102" t="s">
        <v>119</v>
      </c>
      <c r="E690" s="103">
        <v>9300000</v>
      </c>
      <c r="F690" s="92">
        <v>150000</v>
      </c>
      <c r="G690" s="92">
        <v>150000</v>
      </c>
      <c r="H690" s="9">
        <v>150000</v>
      </c>
      <c r="I690" s="9">
        <v>150000</v>
      </c>
      <c r="J690" s="9">
        <v>150000</v>
      </c>
      <c r="K690" s="103">
        <v>150000</v>
      </c>
      <c r="L690" s="103">
        <v>150000</v>
      </c>
      <c r="M690" s="103">
        <v>150000</v>
      </c>
      <c r="N690" s="103">
        <v>150000</v>
      </c>
      <c r="O690" s="103">
        <v>150000</v>
      </c>
      <c r="P690" s="103">
        <v>150000</v>
      </c>
      <c r="Q690" s="103">
        <v>150000</v>
      </c>
      <c r="R690" s="103">
        <f t="shared" si="10"/>
        <v>11100000</v>
      </c>
    </row>
    <row r="691" spans="1:18" s="104" customFormat="1" x14ac:dyDescent="0.35">
      <c r="A691" s="100">
        <v>689</v>
      </c>
      <c r="B691" s="94" t="s">
        <v>1470</v>
      </c>
      <c r="C691" s="101" t="s">
        <v>1760</v>
      </c>
      <c r="D691" s="102" t="s">
        <v>318</v>
      </c>
      <c r="E691" s="103">
        <v>9300000</v>
      </c>
      <c r="F691" s="92">
        <v>150000</v>
      </c>
      <c r="G691" s="92">
        <v>150000</v>
      </c>
      <c r="H691" s="9">
        <v>150000</v>
      </c>
      <c r="I691" s="9">
        <v>150000</v>
      </c>
      <c r="J691" s="9">
        <v>150000</v>
      </c>
      <c r="K691" s="103">
        <v>150000</v>
      </c>
      <c r="L691" s="103">
        <v>150000</v>
      </c>
      <c r="M691" s="103">
        <v>150000</v>
      </c>
      <c r="N691" s="103">
        <v>150000</v>
      </c>
      <c r="O691" s="103">
        <v>150000</v>
      </c>
      <c r="P691" s="103">
        <v>150000</v>
      </c>
      <c r="Q691" s="103">
        <v>150000</v>
      </c>
      <c r="R691" s="103">
        <f t="shared" si="10"/>
        <v>11100000</v>
      </c>
    </row>
    <row r="692" spans="1:18" x14ac:dyDescent="0.35">
      <c r="A692" s="5">
        <v>690</v>
      </c>
      <c r="B692" s="6" t="s">
        <v>1472</v>
      </c>
      <c r="C692" s="7" t="s">
        <v>1630</v>
      </c>
      <c r="D692" s="8" t="s">
        <v>551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/>
      <c r="R692" s="9">
        <f t="shared" si="10"/>
        <v>0</v>
      </c>
    </row>
    <row r="693" spans="1:18" s="104" customFormat="1" x14ac:dyDescent="0.35">
      <c r="A693" s="100">
        <v>691</v>
      </c>
      <c r="B693" s="94" t="s">
        <v>1474</v>
      </c>
      <c r="C693" s="101" t="s">
        <v>1751</v>
      </c>
      <c r="D693" s="102" t="s">
        <v>1444</v>
      </c>
      <c r="E693" s="103">
        <v>9300000</v>
      </c>
      <c r="F693" s="92">
        <v>150000</v>
      </c>
      <c r="G693" s="92">
        <v>150000</v>
      </c>
      <c r="H693" s="9">
        <v>150000</v>
      </c>
      <c r="I693" s="9">
        <v>150000</v>
      </c>
      <c r="J693" s="9">
        <v>150000</v>
      </c>
      <c r="K693" s="103">
        <v>150000</v>
      </c>
      <c r="L693" s="103">
        <v>150000</v>
      </c>
      <c r="M693" s="103">
        <v>150000</v>
      </c>
      <c r="N693" s="103">
        <v>150000</v>
      </c>
      <c r="O693" s="103">
        <v>150000</v>
      </c>
      <c r="P693" s="103">
        <v>150000</v>
      </c>
      <c r="Q693" s="103">
        <v>150000</v>
      </c>
      <c r="R693" s="103">
        <f t="shared" si="10"/>
        <v>11100000</v>
      </c>
    </row>
    <row r="694" spans="1:18" s="104" customFormat="1" x14ac:dyDescent="0.35">
      <c r="A694" s="100">
        <v>692</v>
      </c>
      <c r="B694" s="94" t="s">
        <v>1476</v>
      </c>
      <c r="C694" s="101" t="s">
        <v>2146</v>
      </c>
      <c r="D694" s="102" t="s">
        <v>1478</v>
      </c>
      <c r="E694" s="103">
        <v>9300000</v>
      </c>
      <c r="F694" s="92">
        <v>150000</v>
      </c>
      <c r="G694" s="92">
        <v>150000</v>
      </c>
      <c r="H694" s="9">
        <v>150000</v>
      </c>
      <c r="I694" s="9">
        <v>150000</v>
      </c>
      <c r="J694" s="9">
        <v>150000</v>
      </c>
      <c r="K694" s="103">
        <v>150000</v>
      </c>
      <c r="L694" s="103">
        <v>150000</v>
      </c>
      <c r="M694" s="103">
        <v>150000</v>
      </c>
      <c r="N694" s="103">
        <v>150000</v>
      </c>
      <c r="O694" s="103">
        <v>150000</v>
      </c>
      <c r="P694" s="103">
        <v>150000</v>
      </c>
      <c r="Q694" s="103">
        <v>150000</v>
      </c>
      <c r="R694" s="103">
        <f t="shared" si="10"/>
        <v>11100000</v>
      </c>
    </row>
    <row r="695" spans="1:18" s="93" customFormat="1" x14ac:dyDescent="0.35">
      <c r="A695" s="89">
        <v>693</v>
      </c>
      <c r="B695" s="94" t="s">
        <v>1479</v>
      </c>
      <c r="C695" s="90" t="s">
        <v>2147</v>
      </c>
      <c r="D695" s="91" t="s">
        <v>116</v>
      </c>
      <c r="E695" s="92">
        <v>9300000</v>
      </c>
      <c r="F695" s="92">
        <v>150000</v>
      </c>
      <c r="G695" s="92">
        <v>150000</v>
      </c>
      <c r="H695" s="9">
        <v>150000</v>
      </c>
      <c r="I695" s="9">
        <v>150000</v>
      </c>
      <c r="J695" s="9">
        <v>150000</v>
      </c>
      <c r="K695" s="103">
        <v>150000</v>
      </c>
      <c r="L695" s="103">
        <v>150000</v>
      </c>
      <c r="M695" s="103">
        <v>150000</v>
      </c>
      <c r="N695" s="103">
        <v>150000</v>
      </c>
      <c r="O695" s="103">
        <v>150000</v>
      </c>
      <c r="P695" s="92">
        <v>150000</v>
      </c>
      <c r="Q695" s="92">
        <v>150000</v>
      </c>
      <c r="R695" s="92">
        <f t="shared" si="10"/>
        <v>11100000</v>
      </c>
    </row>
    <row r="696" spans="1:18" s="93" customFormat="1" x14ac:dyDescent="0.35">
      <c r="A696" s="89">
        <v>694</v>
      </c>
      <c r="B696" s="94" t="s">
        <v>1481</v>
      </c>
      <c r="C696" s="90" t="s">
        <v>2148</v>
      </c>
      <c r="D696" s="91" t="s">
        <v>131</v>
      </c>
      <c r="E696" s="92">
        <v>9300000</v>
      </c>
      <c r="F696" s="92">
        <v>150000</v>
      </c>
      <c r="G696" s="92">
        <v>150000</v>
      </c>
      <c r="H696" s="9">
        <v>150000</v>
      </c>
      <c r="I696" s="9">
        <v>150000</v>
      </c>
      <c r="J696" s="9">
        <v>150000</v>
      </c>
      <c r="K696" s="9">
        <v>150000</v>
      </c>
      <c r="L696" s="9">
        <v>150000</v>
      </c>
      <c r="M696" s="92">
        <v>150000</v>
      </c>
      <c r="N696" s="92">
        <v>150000</v>
      </c>
      <c r="O696" s="92">
        <v>150000</v>
      </c>
      <c r="P696" s="92">
        <v>150000</v>
      </c>
      <c r="Q696" s="92">
        <v>150000</v>
      </c>
      <c r="R696" s="92">
        <f t="shared" si="10"/>
        <v>11100000</v>
      </c>
    </row>
    <row r="697" spans="1:18" s="104" customFormat="1" x14ac:dyDescent="0.35">
      <c r="A697" s="100">
        <v>695</v>
      </c>
      <c r="B697" s="94" t="s">
        <v>1483</v>
      </c>
      <c r="C697" s="101" t="s">
        <v>2149</v>
      </c>
      <c r="D697" s="102" t="s">
        <v>22</v>
      </c>
      <c r="E697" s="103">
        <v>9300000</v>
      </c>
      <c r="F697" s="92">
        <v>150000</v>
      </c>
      <c r="G697" s="92">
        <v>150000</v>
      </c>
      <c r="H697" s="9">
        <v>150000</v>
      </c>
      <c r="I697" s="9">
        <v>150000</v>
      </c>
      <c r="J697" s="9">
        <v>150000</v>
      </c>
      <c r="K697" s="103">
        <v>150000</v>
      </c>
      <c r="L697" s="103">
        <v>150000</v>
      </c>
      <c r="M697" s="103">
        <v>150000</v>
      </c>
      <c r="N697" s="103">
        <v>150000</v>
      </c>
      <c r="O697" s="103">
        <v>150000</v>
      </c>
      <c r="P697" s="103">
        <v>150000</v>
      </c>
      <c r="Q697" s="103">
        <v>150000</v>
      </c>
      <c r="R697" s="103">
        <f t="shared" si="10"/>
        <v>11100000</v>
      </c>
    </row>
    <row r="698" spans="1:18" s="104" customFormat="1" x14ac:dyDescent="0.35">
      <c r="A698" s="100">
        <v>696</v>
      </c>
      <c r="B698" s="94" t="s">
        <v>1485</v>
      </c>
      <c r="C698" s="101" t="s">
        <v>2150</v>
      </c>
      <c r="D698" s="102" t="s">
        <v>119</v>
      </c>
      <c r="E698" s="103">
        <v>9300000</v>
      </c>
      <c r="F698" s="92">
        <v>150000</v>
      </c>
      <c r="G698" s="92">
        <v>150000</v>
      </c>
      <c r="H698" s="9">
        <v>150000</v>
      </c>
      <c r="I698" s="9">
        <v>150000</v>
      </c>
      <c r="J698" s="9">
        <v>150000</v>
      </c>
      <c r="K698" s="103">
        <v>150000</v>
      </c>
      <c r="L698" s="103">
        <v>150000</v>
      </c>
      <c r="M698" s="103">
        <v>150000</v>
      </c>
      <c r="N698" s="103">
        <v>150000</v>
      </c>
      <c r="O698" s="103">
        <v>150000</v>
      </c>
      <c r="P698" s="103">
        <v>150000</v>
      </c>
      <c r="Q698" s="103">
        <v>150000</v>
      </c>
      <c r="R698" s="103">
        <f t="shared" si="10"/>
        <v>11100000</v>
      </c>
    </row>
    <row r="699" spans="1:18" s="88" customFormat="1" x14ac:dyDescent="0.35">
      <c r="A699" s="19">
        <v>697</v>
      </c>
      <c r="B699" s="20" t="s">
        <v>1487</v>
      </c>
      <c r="C699" s="21" t="s">
        <v>2151</v>
      </c>
      <c r="D699" s="22" t="s">
        <v>136</v>
      </c>
      <c r="E699" s="70">
        <v>5700000</v>
      </c>
      <c r="F699" s="70">
        <v>100000</v>
      </c>
      <c r="G699" s="9">
        <v>0</v>
      </c>
      <c r="H699" s="9">
        <v>100000</v>
      </c>
      <c r="I699" s="9">
        <v>100000</v>
      </c>
      <c r="J699" s="70"/>
      <c r="K699" s="9">
        <v>100000</v>
      </c>
      <c r="L699" s="9">
        <v>200000</v>
      </c>
      <c r="M699" s="70">
        <f>100000+100000</f>
        <v>200000</v>
      </c>
      <c r="N699" s="9">
        <v>0</v>
      </c>
      <c r="O699" s="9">
        <v>0</v>
      </c>
      <c r="P699" s="70">
        <f>100000+100000</f>
        <v>200000</v>
      </c>
      <c r="Q699" s="70">
        <f>300000</f>
        <v>300000</v>
      </c>
      <c r="R699" s="70">
        <f t="shared" si="10"/>
        <v>7000000</v>
      </c>
    </row>
    <row r="700" spans="1:18" x14ac:dyDescent="0.35">
      <c r="A700" s="5">
        <v>698</v>
      </c>
      <c r="B700" s="6" t="s">
        <v>1489</v>
      </c>
      <c r="C700" s="7" t="s">
        <v>1490</v>
      </c>
      <c r="D700" s="8"/>
      <c r="E700" s="9">
        <v>-100000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/>
      <c r="R700" s="9">
        <f t="shared" si="10"/>
        <v>-100000</v>
      </c>
    </row>
    <row r="701" spans="1:18" x14ac:dyDescent="0.35">
      <c r="A701" s="5">
        <v>699</v>
      </c>
      <c r="B701" s="6" t="s">
        <v>1491</v>
      </c>
      <c r="C701" s="7" t="s">
        <v>1492</v>
      </c>
      <c r="D701" s="8"/>
      <c r="E701" s="9">
        <v>2600000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/>
      <c r="R701" s="9">
        <f t="shared" si="10"/>
        <v>2600000</v>
      </c>
    </row>
    <row r="702" spans="1:18" x14ac:dyDescent="0.35">
      <c r="A702" s="5">
        <v>700</v>
      </c>
      <c r="B702" s="6" t="s">
        <v>1493</v>
      </c>
      <c r="C702" s="7" t="s">
        <v>1494</v>
      </c>
      <c r="D702" s="8"/>
      <c r="E702" s="9">
        <v>100000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/>
      <c r="R702" s="9">
        <f t="shared" si="10"/>
        <v>100000</v>
      </c>
    </row>
    <row r="703" spans="1:18" s="134" customFormat="1" x14ac:dyDescent="0.35">
      <c r="A703" s="135">
        <v>701</v>
      </c>
      <c r="B703" s="6" t="s">
        <v>1495</v>
      </c>
      <c r="C703" s="136" t="s">
        <v>1496</v>
      </c>
      <c r="D703" s="137"/>
      <c r="E703" s="133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133">
        <v>0</v>
      </c>
      <c r="P703" s="133">
        <v>0</v>
      </c>
      <c r="Q703" s="133"/>
      <c r="R703" s="133">
        <f t="shared" si="10"/>
        <v>0</v>
      </c>
    </row>
    <row r="704" spans="1:18" s="134" customFormat="1" x14ac:dyDescent="0.35">
      <c r="A704" s="135">
        <v>702</v>
      </c>
      <c r="B704" s="6" t="s">
        <v>1497</v>
      </c>
      <c r="C704" s="136" t="s">
        <v>1498</v>
      </c>
      <c r="D704" s="137"/>
      <c r="E704" s="133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133">
        <v>0</v>
      </c>
      <c r="P704" s="133">
        <v>0</v>
      </c>
      <c r="Q704" s="133"/>
      <c r="R704" s="133">
        <f t="shared" si="10"/>
        <v>0</v>
      </c>
    </row>
    <row r="705" spans="1:18" s="134" customFormat="1" x14ac:dyDescent="0.35">
      <c r="A705" s="135">
        <v>703</v>
      </c>
      <c r="B705" s="6" t="s">
        <v>1499</v>
      </c>
      <c r="C705" s="136" t="s">
        <v>1500</v>
      </c>
      <c r="D705" s="137"/>
      <c r="E705" s="133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133">
        <v>0</v>
      </c>
      <c r="P705" s="133">
        <v>0</v>
      </c>
      <c r="Q705" s="133"/>
      <c r="R705" s="133">
        <f t="shared" si="10"/>
        <v>0</v>
      </c>
    </row>
    <row r="706" spans="1:18" s="88" customFormat="1" x14ac:dyDescent="0.35">
      <c r="A706" s="19">
        <v>704</v>
      </c>
      <c r="B706" s="20" t="s">
        <v>1501</v>
      </c>
      <c r="C706" s="21" t="s">
        <v>2152</v>
      </c>
      <c r="D706" s="22" t="s">
        <v>136</v>
      </c>
      <c r="E706" s="70">
        <v>5500000</v>
      </c>
      <c r="F706" s="70">
        <v>100000</v>
      </c>
      <c r="G706" s="9">
        <v>0</v>
      </c>
      <c r="H706" s="9">
        <v>100000</v>
      </c>
      <c r="I706" s="9">
        <v>100000</v>
      </c>
      <c r="J706" s="70"/>
      <c r="K706" s="9">
        <v>100000</v>
      </c>
      <c r="L706" s="9">
        <v>200000</v>
      </c>
      <c r="M706" s="70">
        <f>100000+100000</f>
        <v>200000</v>
      </c>
      <c r="N706" s="9">
        <v>0</v>
      </c>
      <c r="O706" s="9">
        <v>0</v>
      </c>
      <c r="P706" s="70">
        <f>100000+100000</f>
        <v>200000</v>
      </c>
      <c r="Q706" s="70">
        <f>300000</f>
        <v>300000</v>
      </c>
      <c r="R706" s="70">
        <f t="shared" si="10"/>
        <v>6800000</v>
      </c>
    </row>
    <row r="707" spans="1:18" x14ac:dyDescent="0.35">
      <c r="A707" s="5">
        <v>705</v>
      </c>
      <c r="B707" s="6" t="s">
        <v>1503</v>
      </c>
      <c r="C707" s="7" t="s">
        <v>1504</v>
      </c>
      <c r="D707" s="8" t="s">
        <v>14</v>
      </c>
      <c r="E707" s="9">
        <v>13250000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-13250000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/>
      <c r="R707" s="9">
        <f t="shared" ref="R707:R770" si="11">SUM(E707:Q707)</f>
        <v>0</v>
      </c>
    </row>
    <row r="708" spans="1:18" s="125" customFormat="1" x14ac:dyDescent="0.35">
      <c r="A708" s="126">
        <v>706</v>
      </c>
      <c r="B708" s="129" t="s">
        <v>1505</v>
      </c>
      <c r="C708" s="127" t="s">
        <v>2153</v>
      </c>
      <c r="D708" s="128" t="s">
        <v>751</v>
      </c>
      <c r="E708" s="124">
        <v>4700000</v>
      </c>
      <c r="F708" s="124">
        <v>100000</v>
      </c>
      <c r="G708" s="124">
        <v>100000</v>
      </c>
      <c r="H708" s="124">
        <v>100000</v>
      </c>
      <c r="I708" s="124">
        <v>100000</v>
      </c>
      <c r="J708" s="124">
        <v>100000</v>
      </c>
      <c r="K708" s="124">
        <v>100000</v>
      </c>
      <c r="L708" s="124">
        <v>100000</v>
      </c>
      <c r="M708" s="124">
        <v>100000</v>
      </c>
      <c r="N708" s="124">
        <v>100000</v>
      </c>
      <c r="O708" s="124">
        <v>100000</v>
      </c>
      <c r="P708" s="124">
        <v>100000</v>
      </c>
      <c r="Q708" s="124">
        <v>100000</v>
      </c>
      <c r="R708" s="124">
        <f t="shared" si="11"/>
        <v>5900000</v>
      </c>
    </row>
    <row r="709" spans="1:18" x14ac:dyDescent="0.35">
      <c r="A709" s="5">
        <v>707</v>
      </c>
      <c r="B709" s="6" t="s">
        <v>1507</v>
      </c>
      <c r="C709" s="7" t="s">
        <v>1508</v>
      </c>
      <c r="D709" s="8"/>
      <c r="E709" s="9">
        <v>150000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/>
      <c r="R709" s="9">
        <f t="shared" si="11"/>
        <v>150000</v>
      </c>
    </row>
    <row r="710" spans="1:18" s="142" customFormat="1" x14ac:dyDescent="0.35">
      <c r="A710" s="143">
        <v>708</v>
      </c>
      <c r="B710" s="6" t="s">
        <v>1509</v>
      </c>
      <c r="C710" s="144" t="s">
        <v>1861</v>
      </c>
      <c r="D710" s="145" t="s">
        <v>374</v>
      </c>
      <c r="E710" s="141">
        <v>6750000</v>
      </c>
      <c r="F710" s="9">
        <v>150000</v>
      </c>
      <c r="G710" s="9">
        <v>150000</v>
      </c>
      <c r="H710" s="9">
        <v>150000</v>
      </c>
      <c r="I710" s="9">
        <v>150000</v>
      </c>
      <c r="J710" s="9">
        <v>150000</v>
      </c>
      <c r="K710" s="9">
        <v>150000</v>
      </c>
      <c r="L710" s="9">
        <v>150000</v>
      </c>
      <c r="M710" s="9">
        <v>150000</v>
      </c>
      <c r="N710" s="9">
        <v>150000</v>
      </c>
      <c r="O710" s="141">
        <v>150000</v>
      </c>
      <c r="P710" s="141">
        <v>150000</v>
      </c>
      <c r="Q710" s="141">
        <v>150000</v>
      </c>
      <c r="R710" s="141">
        <f t="shared" si="11"/>
        <v>8550000</v>
      </c>
    </row>
    <row r="711" spans="1:18" s="142" customFormat="1" x14ac:dyDescent="0.35">
      <c r="A711" s="143">
        <v>709</v>
      </c>
      <c r="B711" s="6" t="s">
        <v>1511</v>
      </c>
      <c r="C711" s="144" t="s">
        <v>2154</v>
      </c>
      <c r="D711" s="145" t="s">
        <v>215</v>
      </c>
      <c r="E711" s="141">
        <v>11500000</v>
      </c>
      <c r="F711" s="9">
        <v>0</v>
      </c>
      <c r="G711" s="9">
        <v>250000</v>
      </c>
      <c r="H711" s="9">
        <v>250000</v>
      </c>
      <c r="I711" s="9">
        <v>250000</v>
      </c>
      <c r="J711" s="9">
        <v>250000</v>
      </c>
      <c r="K711" s="9">
        <v>250000</v>
      </c>
      <c r="L711" s="9">
        <v>250000</v>
      </c>
      <c r="M711" s="9">
        <v>250000</v>
      </c>
      <c r="N711" s="9">
        <v>250000</v>
      </c>
      <c r="O711" s="141">
        <v>250000</v>
      </c>
      <c r="P711" s="141">
        <v>250000</v>
      </c>
      <c r="Q711" s="141">
        <v>250000</v>
      </c>
      <c r="R711" s="141">
        <f t="shared" si="11"/>
        <v>14250000</v>
      </c>
    </row>
    <row r="712" spans="1:18" s="88" customFormat="1" x14ac:dyDescent="0.35">
      <c r="A712" s="19">
        <v>710</v>
      </c>
      <c r="B712" s="20" t="s">
        <v>1513</v>
      </c>
      <c r="C712" s="21" t="s">
        <v>2155</v>
      </c>
      <c r="D712" s="22" t="s">
        <v>136</v>
      </c>
      <c r="E712" s="70">
        <v>4300000</v>
      </c>
      <c r="F712" s="70">
        <v>100000</v>
      </c>
      <c r="G712" s="9">
        <v>0</v>
      </c>
      <c r="H712" s="9">
        <v>100000</v>
      </c>
      <c r="I712" s="9">
        <v>100000</v>
      </c>
      <c r="J712" s="70"/>
      <c r="K712" s="9">
        <v>100000</v>
      </c>
      <c r="L712" s="9">
        <v>200000</v>
      </c>
      <c r="M712" s="70">
        <f>100000+100000</f>
        <v>200000</v>
      </c>
      <c r="N712" s="9">
        <v>0</v>
      </c>
      <c r="O712" s="9">
        <v>0</v>
      </c>
      <c r="P712" s="70">
        <f t="shared" ref="P712:P713" si="12">100000+100000</f>
        <v>200000</v>
      </c>
      <c r="Q712" s="70">
        <f>300000</f>
        <v>300000</v>
      </c>
      <c r="R712" s="70">
        <f t="shared" si="11"/>
        <v>5600000</v>
      </c>
    </row>
    <row r="713" spans="1:18" s="88" customFormat="1" x14ac:dyDescent="0.35">
      <c r="A713" s="19">
        <v>711</v>
      </c>
      <c r="B713" s="20" t="s">
        <v>1515</v>
      </c>
      <c r="C713" s="21" t="s">
        <v>2156</v>
      </c>
      <c r="D713" s="22" t="s">
        <v>136</v>
      </c>
      <c r="E713" s="70">
        <v>4300000</v>
      </c>
      <c r="F713" s="70">
        <v>100000</v>
      </c>
      <c r="G713" s="9">
        <v>0</v>
      </c>
      <c r="H713" s="9">
        <v>100000</v>
      </c>
      <c r="I713" s="9">
        <v>100000</v>
      </c>
      <c r="J713" s="70"/>
      <c r="K713" s="9">
        <v>100000</v>
      </c>
      <c r="L713" s="9">
        <v>200000</v>
      </c>
      <c r="M713" s="70">
        <f>100000+100000</f>
        <v>200000</v>
      </c>
      <c r="N713" s="9">
        <v>0</v>
      </c>
      <c r="O713" s="9">
        <v>0</v>
      </c>
      <c r="P713" s="70">
        <f t="shared" si="12"/>
        <v>200000</v>
      </c>
      <c r="Q713" s="70">
        <f>300000</f>
        <v>300000</v>
      </c>
      <c r="R713" s="70">
        <f t="shared" si="11"/>
        <v>5600000</v>
      </c>
    </row>
    <row r="714" spans="1:18" x14ac:dyDescent="0.35">
      <c r="A714" s="5">
        <v>712</v>
      </c>
      <c r="B714" s="6" t="s">
        <v>1517</v>
      </c>
      <c r="C714" s="7" t="s">
        <v>1518</v>
      </c>
      <c r="D714" s="8" t="s">
        <v>136</v>
      </c>
      <c r="E714" s="9">
        <v>3100000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/>
      <c r="R714" s="9">
        <f t="shared" si="11"/>
        <v>3100000</v>
      </c>
    </row>
    <row r="715" spans="1:18" s="93" customFormat="1" x14ac:dyDescent="0.35">
      <c r="A715" s="89">
        <v>713</v>
      </c>
      <c r="B715" s="94" t="s">
        <v>1519</v>
      </c>
      <c r="C715" s="90" t="s">
        <v>2157</v>
      </c>
      <c r="D715" s="91" t="s">
        <v>303</v>
      </c>
      <c r="E715" s="92">
        <v>4200000</v>
      </c>
      <c r="F715" s="92">
        <v>100000</v>
      </c>
      <c r="G715" s="92">
        <v>100000</v>
      </c>
      <c r="H715" s="92">
        <v>100000</v>
      </c>
      <c r="I715" s="9">
        <v>100000</v>
      </c>
      <c r="J715" s="92">
        <v>100000</v>
      </c>
      <c r="K715" s="92">
        <v>100000</v>
      </c>
      <c r="L715" s="92">
        <v>100000</v>
      </c>
      <c r="M715" s="92">
        <v>100000</v>
      </c>
      <c r="N715" s="92">
        <v>100000</v>
      </c>
      <c r="O715" s="92">
        <v>100000</v>
      </c>
      <c r="P715" s="92">
        <v>100000</v>
      </c>
      <c r="Q715" s="92">
        <v>100000</v>
      </c>
      <c r="R715" s="92">
        <f t="shared" si="11"/>
        <v>5400000</v>
      </c>
    </row>
    <row r="716" spans="1:18" x14ac:dyDescent="0.35">
      <c r="A716" s="5">
        <v>714</v>
      </c>
      <c r="B716" s="94" t="s">
        <v>1521</v>
      </c>
      <c r="C716" s="7" t="s">
        <v>1794</v>
      </c>
      <c r="D716" s="8" t="s">
        <v>524</v>
      </c>
      <c r="E716" s="9">
        <v>20500000</v>
      </c>
      <c r="F716" s="92">
        <v>500000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/>
      <c r="R716" s="9">
        <f t="shared" si="11"/>
        <v>21000000</v>
      </c>
    </row>
    <row r="717" spans="1:18" x14ac:dyDescent="0.35">
      <c r="A717" s="5">
        <v>715</v>
      </c>
      <c r="B717" s="6" t="s">
        <v>1523</v>
      </c>
      <c r="C717" s="7" t="s">
        <v>1524</v>
      </c>
      <c r="D717" s="8" t="s">
        <v>215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/>
      <c r="R717" s="9">
        <f t="shared" si="11"/>
        <v>0</v>
      </c>
    </row>
    <row r="718" spans="1:18" s="104" customFormat="1" x14ac:dyDescent="0.35">
      <c r="A718" s="100">
        <v>716</v>
      </c>
      <c r="B718" s="94" t="s">
        <v>1525</v>
      </c>
      <c r="C718" s="101" t="s">
        <v>2158</v>
      </c>
      <c r="D718" s="102" t="s">
        <v>290</v>
      </c>
      <c r="E718" s="103">
        <v>8750000</v>
      </c>
      <c r="F718" s="92">
        <v>350000</v>
      </c>
      <c r="G718" s="92">
        <v>350000</v>
      </c>
      <c r="H718" s="9">
        <v>350000</v>
      </c>
      <c r="I718" s="9">
        <v>350000</v>
      </c>
      <c r="J718" s="9">
        <v>350000</v>
      </c>
      <c r="K718" s="103">
        <v>350000</v>
      </c>
      <c r="L718" s="103">
        <v>350000</v>
      </c>
      <c r="M718" s="103">
        <v>350000</v>
      </c>
      <c r="N718" s="103">
        <v>350000</v>
      </c>
      <c r="O718" s="103">
        <v>350000</v>
      </c>
      <c r="P718" s="103">
        <v>350000</v>
      </c>
      <c r="Q718" s="103">
        <v>350000</v>
      </c>
      <c r="R718" s="103">
        <f t="shared" si="11"/>
        <v>12950000</v>
      </c>
    </row>
    <row r="719" spans="1:18" s="142" customFormat="1" x14ac:dyDescent="0.35">
      <c r="A719" s="143">
        <v>717</v>
      </c>
      <c r="B719" s="6" t="s">
        <v>1527</v>
      </c>
      <c r="C719" s="144" t="s">
        <v>1964</v>
      </c>
      <c r="D719" s="145" t="s">
        <v>128</v>
      </c>
      <c r="E719" s="141">
        <v>8550000</v>
      </c>
      <c r="F719" s="9">
        <v>350000</v>
      </c>
      <c r="G719" s="9">
        <v>350000</v>
      </c>
      <c r="H719" s="9">
        <v>350000</v>
      </c>
      <c r="I719" s="9">
        <v>350000</v>
      </c>
      <c r="J719" s="9">
        <v>350000</v>
      </c>
      <c r="K719" s="9">
        <v>350000</v>
      </c>
      <c r="L719" s="9">
        <v>350000</v>
      </c>
      <c r="M719" s="9">
        <v>350000</v>
      </c>
      <c r="N719" s="9">
        <v>350000</v>
      </c>
      <c r="O719" s="141">
        <v>350000</v>
      </c>
      <c r="P719" s="141">
        <v>350000</v>
      </c>
      <c r="Q719" s="141">
        <v>350000</v>
      </c>
      <c r="R719" s="141">
        <f t="shared" si="11"/>
        <v>12750000</v>
      </c>
    </row>
    <row r="720" spans="1:18" x14ac:dyDescent="0.35">
      <c r="A720" s="5">
        <v>724</v>
      </c>
      <c r="B720" s="94" t="s">
        <v>1529</v>
      </c>
      <c r="C720" s="7" t="s">
        <v>1915</v>
      </c>
      <c r="D720" s="8" t="s">
        <v>524</v>
      </c>
      <c r="E720" s="9">
        <v>11500000</v>
      </c>
      <c r="F720" s="92">
        <v>500000</v>
      </c>
      <c r="G720" s="92">
        <v>500000</v>
      </c>
      <c r="H720" s="92">
        <v>500000</v>
      </c>
      <c r="I720" s="9">
        <v>500000</v>
      </c>
      <c r="J720" s="92">
        <v>500000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/>
      <c r="R720" s="9">
        <f t="shared" si="11"/>
        <v>14000000</v>
      </c>
    </row>
    <row r="721" spans="1:18" s="93" customFormat="1" x14ac:dyDescent="0.35">
      <c r="A721" s="89">
        <v>725</v>
      </c>
      <c r="B721" s="94" t="s">
        <v>1531</v>
      </c>
      <c r="C721" s="90" t="s">
        <v>1532</v>
      </c>
      <c r="D721" s="91" t="s">
        <v>524</v>
      </c>
      <c r="E721" s="92">
        <v>11500000</v>
      </c>
      <c r="F721" s="92">
        <v>500000</v>
      </c>
      <c r="G721" s="92">
        <v>500000</v>
      </c>
      <c r="H721" s="92">
        <v>500000</v>
      </c>
      <c r="I721" s="9">
        <v>500000</v>
      </c>
      <c r="J721" s="92">
        <v>0</v>
      </c>
      <c r="K721" s="92">
        <v>0</v>
      </c>
      <c r="L721" s="92">
        <v>0</v>
      </c>
      <c r="M721" s="92">
        <v>1500000</v>
      </c>
      <c r="N721" s="92">
        <v>500000</v>
      </c>
      <c r="O721" s="92">
        <v>500000</v>
      </c>
      <c r="P721" s="92">
        <v>500000</v>
      </c>
      <c r="Q721" s="92">
        <v>500000</v>
      </c>
      <c r="R721" s="92">
        <f t="shared" si="11"/>
        <v>17000000</v>
      </c>
    </row>
    <row r="722" spans="1:18" s="134" customFormat="1" x14ac:dyDescent="0.35">
      <c r="A722" s="135">
        <v>726</v>
      </c>
      <c r="B722" s="6" t="s">
        <v>1533</v>
      </c>
      <c r="C722" s="136" t="s">
        <v>1534</v>
      </c>
      <c r="D722" s="137" t="s">
        <v>751</v>
      </c>
      <c r="E722" s="133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133">
        <v>0</v>
      </c>
      <c r="P722" s="133">
        <v>0</v>
      </c>
      <c r="Q722" s="133"/>
      <c r="R722" s="133">
        <f t="shared" si="11"/>
        <v>0</v>
      </c>
    </row>
    <row r="723" spans="1:18" s="134" customFormat="1" x14ac:dyDescent="0.35">
      <c r="A723" s="135">
        <v>718</v>
      </c>
      <c r="B723" s="6" t="s">
        <v>1535</v>
      </c>
      <c r="C723" s="136" t="s">
        <v>1536</v>
      </c>
      <c r="D723" s="137" t="s">
        <v>324</v>
      </c>
      <c r="E723" s="133">
        <v>150000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133">
        <v>0</v>
      </c>
      <c r="P723" s="133">
        <v>0</v>
      </c>
      <c r="Q723" s="133"/>
      <c r="R723" s="133">
        <f t="shared" si="11"/>
        <v>150000</v>
      </c>
    </row>
    <row r="724" spans="1:18" s="134" customFormat="1" x14ac:dyDescent="0.35">
      <c r="A724" s="135">
        <v>719</v>
      </c>
      <c r="B724" s="6" t="s">
        <v>1537</v>
      </c>
      <c r="C724" s="136" t="s">
        <v>1538</v>
      </c>
      <c r="D724" s="137" t="s">
        <v>377</v>
      </c>
      <c r="E724" s="133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133">
        <v>0</v>
      </c>
      <c r="P724" s="133">
        <v>0</v>
      </c>
      <c r="Q724" s="133"/>
      <c r="R724" s="133">
        <f t="shared" si="11"/>
        <v>0</v>
      </c>
    </row>
    <row r="725" spans="1:18" s="104" customFormat="1" x14ac:dyDescent="0.35">
      <c r="A725" s="100">
        <v>720</v>
      </c>
      <c r="B725" s="94" t="s">
        <v>1539</v>
      </c>
      <c r="C725" s="101" t="s">
        <v>2159</v>
      </c>
      <c r="D725" s="102" t="s">
        <v>260</v>
      </c>
      <c r="E725" s="103">
        <v>6300000</v>
      </c>
      <c r="F725" s="92">
        <v>350000</v>
      </c>
      <c r="G725" s="92">
        <v>350000</v>
      </c>
      <c r="H725" s="9">
        <v>350000</v>
      </c>
      <c r="I725" s="9">
        <v>350000</v>
      </c>
      <c r="J725" s="9">
        <v>350000</v>
      </c>
      <c r="K725" s="103">
        <v>350000</v>
      </c>
      <c r="L725" s="103">
        <v>350000</v>
      </c>
      <c r="M725" s="103">
        <v>350000</v>
      </c>
      <c r="N725" s="103">
        <v>350000</v>
      </c>
      <c r="O725" s="103">
        <v>350000</v>
      </c>
      <c r="P725" s="103">
        <v>350000</v>
      </c>
      <c r="Q725" s="103">
        <v>350000</v>
      </c>
      <c r="R725" s="103">
        <f t="shared" si="11"/>
        <v>10500000</v>
      </c>
    </row>
    <row r="726" spans="1:18" s="142" customFormat="1" x14ac:dyDescent="0.35">
      <c r="A726" s="143">
        <v>721</v>
      </c>
      <c r="B726" s="6" t="s">
        <v>1541</v>
      </c>
      <c r="C726" s="144" t="s">
        <v>2160</v>
      </c>
      <c r="D726" s="145" t="s">
        <v>95</v>
      </c>
      <c r="E726" s="141">
        <v>6200000</v>
      </c>
      <c r="F726" s="9">
        <v>250000</v>
      </c>
      <c r="G726" s="9">
        <v>250000</v>
      </c>
      <c r="H726" s="9">
        <v>250000</v>
      </c>
      <c r="I726" s="9">
        <v>250000</v>
      </c>
      <c r="J726" s="9">
        <v>250000</v>
      </c>
      <c r="K726" s="9">
        <v>250000</v>
      </c>
      <c r="L726" s="9">
        <v>250000</v>
      </c>
      <c r="M726" s="9">
        <v>250000</v>
      </c>
      <c r="N726" s="9">
        <v>250000</v>
      </c>
      <c r="O726" s="141">
        <v>250000</v>
      </c>
      <c r="P726" s="141">
        <v>250000</v>
      </c>
      <c r="Q726" s="141">
        <v>250000</v>
      </c>
      <c r="R726" s="141">
        <f t="shared" si="11"/>
        <v>9200000</v>
      </c>
    </row>
    <row r="727" spans="1:18" s="142" customFormat="1" x14ac:dyDescent="0.35">
      <c r="A727" s="143">
        <v>723</v>
      </c>
      <c r="B727" s="6" t="s">
        <v>1543</v>
      </c>
      <c r="C727" s="144" t="s">
        <v>1903</v>
      </c>
      <c r="D727" s="145" t="s">
        <v>98</v>
      </c>
      <c r="E727" s="141">
        <v>2550000</v>
      </c>
      <c r="F727" s="9">
        <v>150000</v>
      </c>
      <c r="G727" s="9">
        <v>150000</v>
      </c>
      <c r="H727" s="9">
        <v>150000</v>
      </c>
      <c r="I727" s="9">
        <v>150000</v>
      </c>
      <c r="J727" s="9">
        <v>150000</v>
      </c>
      <c r="K727" s="9">
        <v>150000</v>
      </c>
      <c r="L727" s="9">
        <v>150000</v>
      </c>
      <c r="M727" s="9">
        <v>150000</v>
      </c>
      <c r="N727" s="9">
        <v>150000</v>
      </c>
      <c r="O727" s="141">
        <v>150000</v>
      </c>
      <c r="P727" s="141">
        <v>150000</v>
      </c>
      <c r="Q727" s="141">
        <v>150000</v>
      </c>
      <c r="R727" s="141">
        <f t="shared" si="11"/>
        <v>4350000</v>
      </c>
    </row>
    <row r="728" spans="1:18" s="104" customFormat="1" x14ac:dyDescent="0.35">
      <c r="A728" s="100">
        <v>724</v>
      </c>
      <c r="B728" s="94" t="s">
        <v>1545</v>
      </c>
      <c r="C728" s="101" t="s">
        <v>2161</v>
      </c>
      <c r="D728" s="102" t="s">
        <v>238</v>
      </c>
      <c r="E728" s="103">
        <v>7500000</v>
      </c>
      <c r="F728" s="92">
        <v>500000</v>
      </c>
      <c r="G728" s="92">
        <v>500000</v>
      </c>
      <c r="H728" s="9">
        <v>500000</v>
      </c>
      <c r="I728" s="9">
        <v>500000</v>
      </c>
      <c r="J728" s="9">
        <v>500000</v>
      </c>
      <c r="K728" s="103">
        <v>500000</v>
      </c>
      <c r="L728" s="103">
        <v>500000</v>
      </c>
      <c r="M728" s="103">
        <v>500000</v>
      </c>
      <c r="N728" s="103">
        <v>500000</v>
      </c>
      <c r="O728" s="103">
        <v>500000</v>
      </c>
      <c r="P728" s="103">
        <v>500000</v>
      </c>
      <c r="Q728" s="103">
        <v>500000</v>
      </c>
      <c r="R728" s="103">
        <f t="shared" si="11"/>
        <v>13500000</v>
      </c>
    </row>
    <row r="729" spans="1:18" s="93" customFormat="1" x14ac:dyDescent="0.35">
      <c r="A729" s="89">
        <v>725</v>
      </c>
      <c r="B729" s="6" t="s">
        <v>1547</v>
      </c>
      <c r="C729" s="90" t="s">
        <v>2162</v>
      </c>
      <c r="D729" s="91" t="s">
        <v>98</v>
      </c>
      <c r="E729" s="92">
        <v>1300000</v>
      </c>
      <c r="F729" s="9">
        <v>100000</v>
      </c>
      <c r="G729" s="9">
        <v>100000</v>
      </c>
      <c r="H729" s="9">
        <v>100000</v>
      </c>
      <c r="I729" s="9">
        <v>100000</v>
      </c>
      <c r="J729" s="9">
        <v>100000</v>
      </c>
      <c r="K729" s="9">
        <v>100000</v>
      </c>
      <c r="L729" s="9">
        <v>100000</v>
      </c>
      <c r="M729" s="9">
        <v>100000</v>
      </c>
      <c r="N729" s="9">
        <v>100000</v>
      </c>
      <c r="O729" s="141">
        <v>100000</v>
      </c>
      <c r="P729" s="92">
        <v>100000</v>
      </c>
      <c r="Q729" s="92">
        <v>100000</v>
      </c>
      <c r="R729" s="92">
        <f t="shared" si="11"/>
        <v>2500000</v>
      </c>
    </row>
    <row r="730" spans="1:18" s="93" customFormat="1" x14ac:dyDescent="0.35">
      <c r="A730" s="89">
        <v>726</v>
      </c>
      <c r="B730" s="94" t="s">
        <v>1549</v>
      </c>
      <c r="C730" s="90" t="s">
        <v>2163</v>
      </c>
      <c r="D730" s="91" t="s">
        <v>25</v>
      </c>
      <c r="E730" s="92">
        <v>1300000</v>
      </c>
      <c r="F730" s="92">
        <v>100000</v>
      </c>
      <c r="G730" s="92">
        <v>100000</v>
      </c>
      <c r="H730" s="9">
        <v>100000</v>
      </c>
      <c r="I730" s="9">
        <v>100000</v>
      </c>
      <c r="J730" s="9">
        <v>100000</v>
      </c>
      <c r="K730" s="9">
        <v>100000</v>
      </c>
      <c r="L730" s="9">
        <v>100000</v>
      </c>
      <c r="M730" s="92">
        <v>100000</v>
      </c>
      <c r="N730" s="92">
        <v>100000</v>
      </c>
      <c r="O730" s="92">
        <v>100000</v>
      </c>
      <c r="P730" s="92">
        <v>100000</v>
      </c>
      <c r="Q730" s="92">
        <v>100000</v>
      </c>
      <c r="R730" s="92">
        <f t="shared" si="11"/>
        <v>2500000</v>
      </c>
    </row>
    <row r="731" spans="1:18" s="142" customFormat="1" x14ac:dyDescent="0.35">
      <c r="A731" s="143">
        <v>727</v>
      </c>
      <c r="B731" s="6" t="s">
        <v>1551</v>
      </c>
      <c r="C731" s="144" t="s">
        <v>1931</v>
      </c>
      <c r="D731" s="145" t="s">
        <v>159</v>
      </c>
      <c r="E731" s="141">
        <v>1200000</v>
      </c>
      <c r="F731" s="9">
        <v>100000</v>
      </c>
      <c r="G731" s="9">
        <v>100000</v>
      </c>
      <c r="H731" s="9">
        <v>100000</v>
      </c>
      <c r="I731" s="9">
        <v>100000</v>
      </c>
      <c r="J731" s="9">
        <v>100000</v>
      </c>
      <c r="K731" s="9">
        <v>100000</v>
      </c>
      <c r="L731" s="9">
        <v>100000</v>
      </c>
      <c r="M731" s="9">
        <v>100000</v>
      </c>
      <c r="N731" s="9">
        <v>100000</v>
      </c>
      <c r="O731" s="141">
        <v>100000</v>
      </c>
      <c r="P731" s="141">
        <v>100000</v>
      </c>
      <c r="Q731" s="141">
        <v>100000</v>
      </c>
      <c r="R731" s="141">
        <f t="shared" si="11"/>
        <v>2400000</v>
      </c>
    </row>
    <row r="732" spans="1:18" s="142" customFormat="1" x14ac:dyDescent="0.35">
      <c r="A732" s="143">
        <v>728</v>
      </c>
      <c r="B732" s="5"/>
      <c r="C732" s="144" t="s">
        <v>2164</v>
      </c>
      <c r="D732" s="145" t="s">
        <v>136</v>
      </c>
      <c r="E732" s="141">
        <v>1800000</v>
      </c>
      <c r="F732" s="9">
        <v>150000</v>
      </c>
      <c r="G732" s="9">
        <v>150000</v>
      </c>
      <c r="H732" s="9">
        <v>150000</v>
      </c>
      <c r="I732" s="9">
        <v>150000</v>
      </c>
      <c r="J732" s="9">
        <v>150000</v>
      </c>
      <c r="K732" s="9">
        <v>150000</v>
      </c>
      <c r="L732" s="9">
        <v>150000</v>
      </c>
      <c r="M732" s="9">
        <v>150000</v>
      </c>
      <c r="N732" s="9">
        <v>150000</v>
      </c>
      <c r="O732" s="141">
        <v>150000</v>
      </c>
      <c r="P732" s="141">
        <v>150000</v>
      </c>
      <c r="Q732" s="141">
        <v>150000</v>
      </c>
      <c r="R732" s="141">
        <f t="shared" si="11"/>
        <v>3600000</v>
      </c>
    </row>
    <row r="733" spans="1:18" s="142" customFormat="1" x14ac:dyDescent="0.35">
      <c r="A733" s="143">
        <v>729</v>
      </c>
      <c r="B733" s="5"/>
      <c r="C733" s="144" t="s">
        <v>2165</v>
      </c>
      <c r="D733" s="145" t="s">
        <v>136</v>
      </c>
      <c r="E733" s="141">
        <v>1950000</v>
      </c>
      <c r="F733" s="9">
        <v>150000</v>
      </c>
      <c r="G733" s="9">
        <v>150000</v>
      </c>
      <c r="H733" s="9">
        <v>150000</v>
      </c>
      <c r="I733" s="9">
        <v>150000</v>
      </c>
      <c r="J733" s="9">
        <v>150000</v>
      </c>
      <c r="K733" s="9">
        <v>150000</v>
      </c>
      <c r="L733" s="9">
        <v>150000</v>
      </c>
      <c r="M733" s="9">
        <v>150000</v>
      </c>
      <c r="N733" s="9">
        <v>150000</v>
      </c>
      <c r="O733" s="141">
        <v>150000</v>
      </c>
      <c r="P733" s="141">
        <v>150000</v>
      </c>
      <c r="Q733" s="141">
        <v>150000</v>
      </c>
      <c r="R733" s="141">
        <f t="shared" si="11"/>
        <v>3750000</v>
      </c>
    </row>
    <row r="734" spans="1:18" s="93" customFormat="1" x14ac:dyDescent="0.35">
      <c r="A734" s="89">
        <v>730</v>
      </c>
      <c r="B734" s="89"/>
      <c r="C734" s="90" t="s">
        <v>2166</v>
      </c>
      <c r="D734" s="91" t="s">
        <v>108</v>
      </c>
      <c r="E734" s="92">
        <v>900000</v>
      </c>
      <c r="F734" s="92">
        <v>100000</v>
      </c>
      <c r="G734" s="92">
        <v>100000</v>
      </c>
      <c r="H734" s="9">
        <v>100000</v>
      </c>
      <c r="I734" s="9">
        <v>100000</v>
      </c>
      <c r="J734" s="9">
        <v>100000</v>
      </c>
      <c r="K734" s="9">
        <v>100000</v>
      </c>
      <c r="L734" s="9">
        <v>100000</v>
      </c>
      <c r="M734" s="92">
        <v>100000</v>
      </c>
      <c r="N734" s="92">
        <v>100000</v>
      </c>
      <c r="O734" s="92">
        <v>100000</v>
      </c>
      <c r="P734" s="92">
        <v>100000</v>
      </c>
      <c r="Q734" s="92">
        <v>100000</v>
      </c>
      <c r="R734" s="92">
        <f t="shared" si="11"/>
        <v>2100000</v>
      </c>
    </row>
    <row r="735" spans="1:18" s="93" customFormat="1" x14ac:dyDescent="0.35">
      <c r="A735" s="89">
        <v>731</v>
      </c>
      <c r="B735" s="89"/>
      <c r="C735" s="90" t="s">
        <v>2167</v>
      </c>
      <c r="D735" s="91" t="s">
        <v>1444</v>
      </c>
      <c r="E735" s="92">
        <v>1300000</v>
      </c>
      <c r="F735" s="92">
        <v>100000</v>
      </c>
      <c r="G735" s="92">
        <v>100000</v>
      </c>
      <c r="H735" s="9">
        <v>100000</v>
      </c>
      <c r="I735" s="9">
        <v>100000</v>
      </c>
      <c r="J735" s="9">
        <v>100000</v>
      </c>
      <c r="K735" s="9">
        <v>100000</v>
      </c>
      <c r="L735" s="9">
        <v>100000</v>
      </c>
      <c r="M735" s="92">
        <v>100000</v>
      </c>
      <c r="N735" s="92">
        <v>100000</v>
      </c>
      <c r="O735" s="92">
        <v>100000</v>
      </c>
      <c r="P735" s="92">
        <v>100000</v>
      </c>
      <c r="Q735" s="92">
        <v>100000</v>
      </c>
      <c r="R735" s="92">
        <f t="shared" si="11"/>
        <v>2500000</v>
      </c>
    </row>
    <row r="736" spans="1:18" s="142" customFormat="1" x14ac:dyDescent="0.35">
      <c r="A736" s="143">
        <v>732</v>
      </c>
      <c r="B736" s="5"/>
      <c r="C736" s="144" t="s">
        <v>2168</v>
      </c>
      <c r="D736" s="145" t="s">
        <v>136</v>
      </c>
      <c r="E736" s="141">
        <v>450000</v>
      </c>
      <c r="F736" s="9">
        <v>150000</v>
      </c>
      <c r="G736" s="9">
        <v>150000</v>
      </c>
      <c r="H736" s="9">
        <v>150000</v>
      </c>
      <c r="I736" s="9">
        <v>150000</v>
      </c>
      <c r="J736" s="9">
        <v>150000</v>
      </c>
      <c r="K736" s="9">
        <v>150000</v>
      </c>
      <c r="L736" s="9">
        <v>150000</v>
      </c>
      <c r="M736" s="9">
        <v>150000</v>
      </c>
      <c r="N736" s="9">
        <v>150000</v>
      </c>
      <c r="O736" s="141">
        <v>150000</v>
      </c>
      <c r="P736" s="141">
        <v>150000</v>
      </c>
      <c r="Q736" s="141">
        <v>150000</v>
      </c>
      <c r="R736" s="141">
        <f t="shared" si="11"/>
        <v>2250000</v>
      </c>
    </row>
    <row r="737" spans="1:18" s="93" customFormat="1" x14ac:dyDescent="0.35">
      <c r="A737" s="89">
        <v>733</v>
      </c>
      <c r="B737" s="89"/>
      <c r="C737" s="90" t="s">
        <v>2169</v>
      </c>
      <c r="D737" s="91" t="s">
        <v>25</v>
      </c>
      <c r="E737" s="92">
        <v>300000</v>
      </c>
      <c r="F737" s="92">
        <v>300000</v>
      </c>
      <c r="G737" s="92">
        <f t="shared" ref="G737:G746" si="13">100000-200000</f>
        <v>-100000</v>
      </c>
      <c r="H737" s="9">
        <v>100000</v>
      </c>
      <c r="I737" s="9">
        <v>100000</v>
      </c>
      <c r="J737" s="9">
        <v>100000</v>
      </c>
      <c r="K737" s="9">
        <v>100000</v>
      </c>
      <c r="L737" s="9">
        <v>100000</v>
      </c>
      <c r="M737" s="92">
        <v>100000</v>
      </c>
      <c r="N737" s="92">
        <v>100000</v>
      </c>
      <c r="O737" s="92">
        <v>100000</v>
      </c>
      <c r="P737" s="92">
        <v>100000</v>
      </c>
      <c r="Q737" s="92">
        <v>100000</v>
      </c>
      <c r="R737" s="92">
        <f t="shared" si="11"/>
        <v>1500000</v>
      </c>
    </row>
    <row r="738" spans="1:18" s="93" customFormat="1" x14ac:dyDescent="0.35">
      <c r="A738" s="89">
        <v>734</v>
      </c>
      <c r="B738" s="89"/>
      <c r="C738" s="90" t="s">
        <v>2170</v>
      </c>
      <c r="D738" s="91" t="s">
        <v>25</v>
      </c>
      <c r="E738" s="92">
        <v>300000</v>
      </c>
      <c r="F738" s="92">
        <v>300000</v>
      </c>
      <c r="G738" s="92">
        <f t="shared" si="13"/>
        <v>-100000</v>
      </c>
      <c r="H738" s="9">
        <v>100000</v>
      </c>
      <c r="I738" s="9">
        <v>100000</v>
      </c>
      <c r="J738" s="9">
        <v>100000</v>
      </c>
      <c r="K738" s="9">
        <v>100000</v>
      </c>
      <c r="L738" s="9">
        <v>100000</v>
      </c>
      <c r="M738" s="92">
        <v>100000</v>
      </c>
      <c r="N738" s="92">
        <v>100000</v>
      </c>
      <c r="O738" s="92">
        <v>100000</v>
      </c>
      <c r="P738" s="92">
        <v>100000</v>
      </c>
      <c r="Q738" s="92">
        <v>100000</v>
      </c>
      <c r="R738" s="92">
        <f t="shared" si="11"/>
        <v>1500000</v>
      </c>
    </row>
    <row r="739" spans="1:18" s="93" customFormat="1" x14ac:dyDescent="0.35">
      <c r="A739" s="89">
        <v>735</v>
      </c>
      <c r="B739" s="89"/>
      <c r="C739" s="90" t="s">
        <v>2171</v>
      </c>
      <c r="D739" s="91" t="s">
        <v>25</v>
      </c>
      <c r="E739" s="92">
        <v>300000</v>
      </c>
      <c r="F739" s="92">
        <v>300000</v>
      </c>
      <c r="G739" s="92">
        <f t="shared" si="13"/>
        <v>-100000</v>
      </c>
      <c r="H739" s="9">
        <v>100000</v>
      </c>
      <c r="I739" s="9">
        <v>100000</v>
      </c>
      <c r="J739" s="9">
        <v>100000</v>
      </c>
      <c r="K739" s="9">
        <v>100000</v>
      </c>
      <c r="L739" s="9">
        <v>100000</v>
      </c>
      <c r="M739" s="92">
        <v>100000</v>
      </c>
      <c r="N739" s="92">
        <v>100000</v>
      </c>
      <c r="O739" s="92">
        <v>100000</v>
      </c>
      <c r="P739" s="92">
        <v>100000</v>
      </c>
      <c r="Q739" s="92">
        <v>100000</v>
      </c>
      <c r="R739" s="92">
        <f t="shared" si="11"/>
        <v>1500000</v>
      </c>
    </row>
    <row r="740" spans="1:18" s="93" customFormat="1" x14ac:dyDescent="0.35">
      <c r="A740" s="89">
        <v>736</v>
      </c>
      <c r="B740" s="89"/>
      <c r="C740" s="90" t="s">
        <v>1791</v>
      </c>
      <c r="D740" s="91" t="s">
        <v>25</v>
      </c>
      <c r="E740" s="92">
        <v>300000</v>
      </c>
      <c r="F740" s="92">
        <v>300000</v>
      </c>
      <c r="G740" s="92">
        <f t="shared" si="13"/>
        <v>-100000</v>
      </c>
      <c r="H740" s="9">
        <v>100000</v>
      </c>
      <c r="I740" s="9">
        <v>100000</v>
      </c>
      <c r="J740" s="9">
        <v>100000</v>
      </c>
      <c r="K740" s="9">
        <v>100000</v>
      </c>
      <c r="L740" s="9">
        <v>100000</v>
      </c>
      <c r="M740" s="92">
        <v>100000</v>
      </c>
      <c r="N740" s="92">
        <v>100000</v>
      </c>
      <c r="O740" s="92">
        <v>100000</v>
      </c>
      <c r="P740" s="92">
        <v>100000</v>
      </c>
      <c r="Q740" s="92">
        <v>100000</v>
      </c>
      <c r="R740" s="92">
        <f t="shared" si="11"/>
        <v>1500000</v>
      </c>
    </row>
    <row r="741" spans="1:18" s="93" customFormat="1" x14ac:dyDescent="0.35">
      <c r="A741" s="89">
        <v>737</v>
      </c>
      <c r="B741" s="89"/>
      <c r="C741" s="90" t="s">
        <v>2172</v>
      </c>
      <c r="D741" s="91" t="s">
        <v>25</v>
      </c>
      <c r="E741" s="92">
        <v>300000</v>
      </c>
      <c r="F741" s="92">
        <v>300000</v>
      </c>
      <c r="G741" s="92">
        <f t="shared" si="13"/>
        <v>-100000</v>
      </c>
      <c r="H741" s="9">
        <v>100000</v>
      </c>
      <c r="I741" s="9">
        <v>100000</v>
      </c>
      <c r="J741" s="9">
        <v>100000</v>
      </c>
      <c r="K741" s="9">
        <v>100000</v>
      </c>
      <c r="L741" s="9">
        <v>100000</v>
      </c>
      <c r="M741" s="92">
        <v>100000</v>
      </c>
      <c r="N741" s="92">
        <v>100000</v>
      </c>
      <c r="O741" s="92">
        <v>100000</v>
      </c>
      <c r="P741" s="92">
        <v>100000</v>
      </c>
      <c r="Q741" s="92">
        <v>100000</v>
      </c>
      <c r="R741" s="92">
        <f t="shared" si="11"/>
        <v>1500000</v>
      </c>
    </row>
    <row r="742" spans="1:18" s="93" customFormat="1" x14ac:dyDescent="0.35">
      <c r="A742" s="89">
        <v>738</v>
      </c>
      <c r="B742" s="89"/>
      <c r="C742" s="90" t="s">
        <v>1792</v>
      </c>
      <c r="D742" s="91" t="s">
        <v>25</v>
      </c>
      <c r="E742" s="92">
        <v>300000</v>
      </c>
      <c r="F742" s="92">
        <v>300000</v>
      </c>
      <c r="G742" s="92">
        <f t="shared" si="13"/>
        <v>-100000</v>
      </c>
      <c r="H742" s="9">
        <v>100000</v>
      </c>
      <c r="I742" s="9">
        <v>100000</v>
      </c>
      <c r="J742" s="9">
        <v>100000</v>
      </c>
      <c r="K742" s="9">
        <v>100000</v>
      </c>
      <c r="L742" s="9">
        <v>100000</v>
      </c>
      <c r="M742" s="92">
        <v>100000</v>
      </c>
      <c r="N742" s="92">
        <v>100000</v>
      </c>
      <c r="O742" s="92">
        <v>100000</v>
      </c>
      <c r="P742" s="92">
        <v>100000</v>
      </c>
      <c r="Q742" s="92">
        <v>100000</v>
      </c>
      <c r="R742" s="92">
        <f t="shared" si="11"/>
        <v>1500000</v>
      </c>
    </row>
    <row r="743" spans="1:18" s="93" customFormat="1" x14ac:dyDescent="0.35">
      <c r="A743" s="89">
        <v>739</v>
      </c>
      <c r="B743" s="89"/>
      <c r="C743" s="90" t="s">
        <v>2173</v>
      </c>
      <c r="D743" s="91" t="s">
        <v>318</v>
      </c>
      <c r="E743" s="92">
        <v>300000</v>
      </c>
      <c r="F743" s="92">
        <v>300000</v>
      </c>
      <c r="G743" s="92">
        <f t="shared" si="13"/>
        <v>-100000</v>
      </c>
      <c r="H743" s="9">
        <v>100000</v>
      </c>
      <c r="I743" s="9">
        <v>100000</v>
      </c>
      <c r="J743" s="9">
        <v>100000</v>
      </c>
      <c r="K743" s="9">
        <v>100000</v>
      </c>
      <c r="L743" s="9">
        <v>100000</v>
      </c>
      <c r="M743" s="92">
        <v>100000</v>
      </c>
      <c r="N743" s="92">
        <v>100000</v>
      </c>
      <c r="O743" s="92">
        <v>100000</v>
      </c>
      <c r="P743" s="92">
        <v>100000</v>
      </c>
      <c r="Q743" s="92">
        <v>100000</v>
      </c>
      <c r="R743" s="92">
        <f t="shared" si="11"/>
        <v>1500000</v>
      </c>
    </row>
    <row r="744" spans="1:18" s="93" customFormat="1" x14ac:dyDescent="0.35">
      <c r="A744" s="89">
        <v>740</v>
      </c>
      <c r="B744" s="89"/>
      <c r="C744" s="90" t="s">
        <v>2174</v>
      </c>
      <c r="D744" s="91" t="s">
        <v>318</v>
      </c>
      <c r="E744" s="92">
        <v>300000</v>
      </c>
      <c r="F744" s="92">
        <v>300000</v>
      </c>
      <c r="G744" s="92">
        <f t="shared" si="13"/>
        <v>-100000</v>
      </c>
      <c r="H744" s="9">
        <v>100000</v>
      </c>
      <c r="I744" s="9">
        <v>100000</v>
      </c>
      <c r="J744" s="9">
        <v>100000</v>
      </c>
      <c r="K744" s="9">
        <v>100000</v>
      </c>
      <c r="L744" s="9">
        <v>100000</v>
      </c>
      <c r="M744" s="92">
        <v>100000</v>
      </c>
      <c r="N744" s="92">
        <v>100000</v>
      </c>
      <c r="O744" s="92">
        <v>100000</v>
      </c>
      <c r="P744" s="92">
        <v>100000</v>
      </c>
      <c r="Q744" s="92">
        <v>100000</v>
      </c>
      <c r="R744" s="92">
        <f t="shared" si="11"/>
        <v>1500000</v>
      </c>
    </row>
    <row r="745" spans="1:18" s="104" customFormat="1" x14ac:dyDescent="0.35">
      <c r="A745" s="100">
        <v>741</v>
      </c>
      <c r="B745" s="89"/>
      <c r="C745" s="101" t="s">
        <v>1959</v>
      </c>
      <c r="D745" s="102" t="s">
        <v>318</v>
      </c>
      <c r="E745" s="103">
        <v>300000</v>
      </c>
      <c r="F745" s="92">
        <v>300000</v>
      </c>
      <c r="G745" s="92">
        <f t="shared" si="13"/>
        <v>-100000</v>
      </c>
      <c r="H745" s="9">
        <v>100000</v>
      </c>
      <c r="I745" s="9">
        <v>100000</v>
      </c>
      <c r="J745" s="9">
        <v>100000</v>
      </c>
      <c r="K745" s="103">
        <v>100000</v>
      </c>
      <c r="L745" s="103">
        <v>100000</v>
      </c>
      <c r="M745" s="103">
        <v>100000</v>
      </c>
      <c r="N745" s="103">
        <v>100000</v>
      </c>
      <c r="O745" s="103">
        <v>100000</v>
      </c>
      <c r="P745" s="103">
        <v>100000</v>
      </c>
      <c r="Q745" s="103">
        <v>100000</v>
      </c>
      <c r="R745" s="103">
        <f>SUM(E745:Q745)</f>
        <v>1500000</v>
      </c>
    </row>
    <row r="746" spans="1:18" x14ac:dyDescent="0.35">
      <c r="A746" s="5">
        <v>742</v>
      </c>
      <c r="B746" s="89"/>
      <c r="C746" s="7" t="s">
        <v>1793</v>
      </c>
      <c r="D746" s="8" t="s">
        <v>318</v>
      </c>
      <c r="E746" s="9">
        <v>300000</v>
      </c>
      <c r="F746" s="92">
        <v>300000</v>
      </c>
      <c r="G746" s="92">
        <f t="shared" si="13"/>
        <v>-100000</v>
      </c>
      <c r="H746" s="9">
        <v>100000</v>
      </c>
      <c r="I746" s="9">
        <v>100000</v>
      </c>
      <c r="J746" s="9">
        <v>100000</v>
      </c>
      <c r="K746" s="103">
        <v>100000</v>
      </c>
      <c r="L746" s="103">
        <v>100000</v>
      </c>
      <c r="M746" s="103">
        <v>100000</v>
      </c>
      <c r="N746" s="103">
        <v>100000</v>
      </c>
      <c r="O746" s="9">
        <v>0</v>
      </c>
      <c r="P746" s="103">
        <v>0</v>
      </c>
      <c r="Q746" s="9">
        <v>-1200000</v>
      </c>
      <c r="R746" s="9">
        <f t="shared" si="11"/>
        <v>0</v>
      </c>
    </row>
    <row r="747" spans="1:18" s="154" customFormat="1" x14ac:dyDescent="0.35">
      <c r="A747" s="150">
        <v>743</v>
      </c>
      <c r="B747" s="19"/>
      <c r="C747" s="151" t="s">
        <v>2175</v>
      </c>
      <c r="D747" s="152" t="s">
        <v>128</v>
      </c>
      <c r="E747" s="153">
        <v>1900000</v>
      </c>
      <c r="F747" s="9">
        <v>0</v>
      </c>
      <c r="G747" s="70">
        <v>200000</v>
      </c>
      <c r="H747" s="9">
        <v>0</v>
      </c>
      <c r="I747" s="9">
        <v>0</v>
      </c>
      <c r="J747" s="70">
        <v>200000</v>
      </c>
      <c r="K747" s="9">
        <v>0</v>
      </c>
      <c r="L747" s="9">
        <v>200000</v>
      </c>
      <c r="M747" s="70">
        <v>100000</v>
      </c>
      <c r="N747" s="70">
        <v>100000</v>
      </c>
      <c r="O747" s="153">
        <v>100000</v>
      </c>
      <c r="P747" s="153">
        <v>0</v>
      </c>
      <c r="Q747" s="153">
        <f>300000</f>
        <v>300000</v>
      </c>
      <c r="R747" s="153">
        <f t="shared" si="11"/>
        <v>3100000</v>
      </c>
    </row>
    <row r="748" spans="1:18" s="125" customFormat="1" x14ac:dyDescent="0.35">
      <c r="A748" s="126">
        <v>744</v>
      </c>
      <c r="B748" s="126"/>
      <c r="C748" s="127" t="s">
        <v>2176</v>
      </c>
      <c r="D748" s="128" t="s">
        <v>751</v>
      </c>
      <c r="E748" s="124">
        <v>200000</v>
      </c>
      <c r="F748" s="124">
        <v>100000</v>
      </c>
      <c r="G748" s="124">
        <v>100000</v>
      </c>
      <c r="H748" s="124">
        <v>100000</v>
      </c>
      <c r="I748" s="124">
        <v>100000</v>
      </c>
      <c r="J748" s="124">
        <v>100000</v>
      </c>
      <c r="K748" s="124">
        <v>100000</v>
      </c>
      <c r="L748" s="124">
        <v>100000</v>
      </c>
      <c r="M748" s="124">
        <v>100000</v>
      </c>
      <c r="N748" s="124">
        <v>100000</v>
      </c>
      <c r="O748" s="124">
        <v>100000</v>
      </c>
      <c r="P748" s="124">
        <v>100000</v>
      </c>
      <c r="Q748" s="124">
        <v>100000</v>
      </c>
      <c r="R748" s="124">
        <f t="shared" si="11"/>
        <v>1400000</v>
      </c>
    </row>
    <row r="749" spans="1:18" s="125" customFormat="1" x14ac:dyDescent="0.35">
      <c r="A749" s="121">
        <v>745</v>
      </c>
      <c r="B749" s="121"/>
      <c r="C749" s="122" t="s">
        <v>2177</v>
      </c>
      <c r="D749" s="123" t="s">
        <v>751</v>
      </c>
      <c r="E749" s="124"/>
      <c r="F749" s="124">
        <v>100000</v>
      </c>
      <c r="G749" s="124">
        <v>100000</v>
      </c>
      <c r="H749" s="124">
        <v>100000</v>
      </c>
      <c r="I749" s="124">
        <v>100000</v>
      </c>
      <c r="J749" s="124">
        <v>100000</v>
      </c>
      <c r="K749" s="124">
        <v>100000</v>
      </c>
      <c r="L749" s="124">
        <v>100000</v>
      </c>
      <c r="M749" s="124">
        <v>100000</v>
      </c>
      <c r="N749" s="124">
        <v>100000</v>
      </c>
      <c r="O749" s="124">
        <v>100000</v>
      </c>
      <c r="P749" s="124">
        <v>100000</v>
      </c>
      <c r="Q749" s="124">
        <v>100000</v>
      </c>
      <c r="R749" s="124">
        <f t="shared" si="11"/>
        <v>1200000</v>
      </c>
    </row>
    <row r="750" spans="1:18" s="154" customFormat="1" x14ac:dyDescent="0.35">
      <c r="A750" s="155">
        <v>746</v>
      </c>
      <c r="B750" s="68"/>
      <c r="C750" s="156" t="s">
        <v>2178</v>
      </c>
      <c r="D750" s="157" t="s">
        <v>1924</v>
      </c>
      <c r="E750" s="153"/>
      <c r="F750" s="9">
        <v>0</v>
      </c>
      <c r="G750" s="70">
        <v>100000</v>
      </c>
      <c r="H750" s="9">
        <v>0</v>
      </c>
      <c r="I750" s="9">
        <v>0</v>
      </c>
      <c r="J750" s="70">
        <v>200000</v>
      </c>
      <c r="K750" s="9">
        <v>0</v>
      </c>
      <c r="L750" s="9">
        <v>200000</v>
      </c>
      <c r="M750" s="70">
        <v>100000</v>
      </c>
      <c r="N750" s="70">
        <v>100000</v>
      </c>
      <c r="O750" s="153">
        <v>100000</v>
      </c>
      <c r="P750" s="153">
        <v>0</v>
      </c>
      <c r="Q750" s="153">
        <f>300000</f>
        <v>300000</v>
      </c>
      <c r="R750" s="153">
        <f t="shared" si="11"/>
        <v>1100000</v>
      </c>
    </row>
    <row r="751" spans="1:18" s="125" customFormat="1" x14ac:dyDescent="0.35">
      <c r="A751" s="121">
        <v>747</v>
      </c>
      <c r="B751" s="121"/>
      <c r="C751" s="122" t="s">
        <v>2179</v>
      </c>
      <c r="D751" s="123" t="s">
        <v>751</v>
      </c>
      <c r="E751" s="124"/>
      <c r="F751" s="124">
        <v>0</v>
      </c>
      <c r="G751" s="124">
        <v>100000</v>
      </c>
      <c r="H751" s="124">
        <v>100000</v>
      </c>
      <c r="I751" s="124">
        <v>100000</v>
      </c>
      <c r="J751" s="124">
        <v>100000</v>
      </c>
      <c r="K751" s="124">
        <v>100000</v>
      </c>
      <c r="L751" s="124">
        <v>100000</v>
      </c>
      <c r="M751" s="124">
        <v>100000</v>
      </c>
      <c r="N751" s="124">
        <v>100000</v>
      </c>
      <c r="O751" s="124">
        <v>100000</v>
      </c>
      <c r="P751" s="124">
        <v>100000</v>
      </c>
      <c r="Q751" s="124">
        <v>100000</v>
      </c>
      <c r="R751" s="124">
        <f t="shared" si="11"/>
        <v>1100000</v>
      </c>
    </row>
    <row r="752" spans="1:18" s="125" customFormat="1" x14ac:dyDescent="0.35">
      <c r="A752" s="121">
        <v>748</v>
      </c>
      <c r="B752" s="121"/>
      <c r="C752" s="122" t="s">
        <v>2180</v>
      </c>
      <c r="D752" s="123" t="s">
        <v>751</v>
      </c>
      <c r="E752" s="124"/>
      <c r="F752" s="124">
        <v>0</v>
      </c>
      <c r="G752" s="124">
        <v>100000</v>
      </c>
      <c r="H752" s="124">
        <v>100000</v>
      </c>
      <c r="I752" s="124">
        <v>100000</v>
      </c>
      <c r="J752" s="124">
        <v>100000</v>
      </c>
      <c r="K752" s="124">
        <v>100000</v>
      </c>
      <c r="L752" s="124">
        <v>100000</v>
      </c>
      <c r="M752" s="124">
        <v>100000</v>
      </c>
      <c r="N752" s="124">
        <v>100000</v>
      </c>
      <c r="O752" s="124">
        <v>100000</v>
      </c>
      <c r="P752" s="124">
        <v>100000</v>
      </c>
      <c r="Q752" s="124">
        <v>100000</v>
      </c>
      <c r="R752" s="124">
        <f t="shared" si="11"/>
        <v>1100000</v>
      </c>
    </row>
    <row r="753" spans="1:18" s="104" customFormat="1" x14ac:dyDescent="0.35">
      <c r="A753" s="52">
        <v>749</v>
      </c>
      <c r="B753" s="95"/>
      <c r="C753" s="107" t="s">
        <v>1841</v>
      </c>
      <c r="D753" s="108"/>
      <c r="E753" s="103"/>
      <c r="F753" s="9">
        <v>0</v>
      </c>
      <c r="G753" s="92">
        <v>100000</v>
      </c>
      <c r="H753" s="9">
        <v>100000</v>
      </c>
      <c r="I753" s="9">
        <v>100000</v>
      </c>
      <c r="J753" s="9">
        <v>100000</v>
      </c>
      <c r="K753" s="9">
        <v>100000</v>
      </c>
      <c r="L753" s="9">
        <v>100000</v>
      </c>
      <c r="M753" s="92">
        <v>100000</v>
      </c>
      <c r="N753" s="92">
        <v>100000</v>
      </c>
      <c r="O753" s="103">
        <v>100000</v>
      </c>
      <c r="P753" s="103">
        <v>100000</v>
      </c>
      <c r="Q753" s="103">
        <v>100000</v>
      </c>
      <c r="R753" s="103">
        <f t="shared" si="11"/>
        <v>1100000</v>
      </c>
    </row>
    <row r="754" spans="1:18" s="142" customFormat="1" x14ac:dyDescent="0.35">
      <c r="A754" s="147">
        <v>750</v>
      </c>
      <c r="B754" s="52"/>
      <c r="C754" s="148" t="s">
        <v>1909</v>
      </c>
      <c r="D754" s="149"/>
      <c r="E754" s="141"/>
      <c r="F754" s="9">
        <v>350000</v>
      </c>
      <c r="G754" s="9">
        <v>150000</v>
      </c>
      <c r="H754" s="9">
        <v>150000</v>
      </c>
      <c r="I754" s="9">
        <v>150000</v>
      </c>
      <c r="J754" s="9">
        <v>150000</v>
      </c>
      <c r="K754" s="9">
        <v>150000</v>
      </c>
      <c r="L754" s="9">
        <v>150000</v>
      </c>
      <c r="M754" s="9">
        <v>150000</v>
      </c>
      <c r="N754" s="9">
        <v>150000</v>
      </c>
      <c r="O754" s="141">
        <v>150000</v>
      </c>
      <c r="P754" s="141">
        <v>150000</v>
      </c>
      <c r="Q754" s="141">
        <v>150000</v>
      </c>
      <c r="R754" s="141">
        <f t="shared" si="11"/>
        <v>2000000</v>
      </c>
    </row>
    <row r="755" spans="1:18" s="142" customFormat="1" x14ac:dyDescent="0.35">
      <c r="A755" s="147">
        <v>751</v>
      </c>
      <c r="B755" s="52"/>
      <c r="C755" s="148" t="s">
        <v>1910</v>
      </c>
      <c r="D755" s="149" t="s">
        <v>1937</v>
      </c>
      <c r="E755" s="141"/>
      <c r="F755" s="9">
        <v>450000</v>
      </c>
      <c r="G755" s="9">
        <v>450000</v>
      </c>
      <c r="H755" s="9">
        <v>450000</v>
      </c>
      <c r="I755" s="9">
        <v>450000</v>
      </c>
      <c r="J755" s="9">
        <v>450000</v>
      </c>
      <c r="K755" s="9">
        <v>450000</v>
      </c>
      <c r="L755" s="9">
        <v>450000</v>
      </c>
      <c r="M755" s="9">
        <v>450000</v>
      </c>
      <c r="N755" s="9">
        <v>450000</v>
      </c>
      <c r="O755" s="141">
        <v>450000</v>
      </c>
      <c r="P755" s="141">
        <v>450000</v>
      </c>
      <c r="Q755" s="141">
        <v>450000</v>
      </c>
      <c r="R755" s="141">
        <f t="shared" si="11"/>
        <v>5400000</v>
      </c>
    </row>
    <row r="756" spans="1:18" s="142" customFormat="1" x14ac:dyDescent="0.35">
      <c r="A756" s="147">
        <v>752</v>
      </c>
      <c r="B756" s="52"/>
      <c r="C756" s="148" t="s">
        <v>1911</v>
      </c>
      <c r="D756" s="149" t="s">
        <v>1924</v>
      </c>
      <c r="E756" s="141"/>
      <c r="F756" s="9">
        <v>0</v>
      </c>
      <c r="G756" s="9">
        <v>150000</v>
      </c>
      <c r="H756" s="9">
        <v>150000</v>
      </c>
      <c r="I756" s="9">
        <v>150000</v>
      </c>
      <c r="J756" s="9">
        <v>150000</v>
      </c>
      <c r="K756" s="9">
        <v>150000</v>
      </c>
      <c r="L756" s="9">
        <v>150000</v>
      </c>
      <c r="M756" s="9">
        <v>150000</v>
      </c>
      <c r="N756" s="9">
        <v>150000</v>
      </c>
      <c r="O756" s="141">
        <v>150000</v>
      </c>
      <c r="P756" s="141">
        <v>150000</v>
      </c>
      <c r="Q756" s="141">
        <v>150000</v>
      </c>
      <c r="R756" s="141">
        <f t="shared" si="11"/>
        <v>1650000</v>
      </c>
    </row>
    <row r="757" spans="1:18" s="134" customFormat="1" x14ac:dyDescent="0.35">
      <c r="A757" s="130">
        <v>753</v>
      </c>
      <c r="B757" s="52"/>
      <c r="C757" s="131" t="s">
        <v>1954</v>
      </c>
      <c r="D757" s="132" t="s">
        <v>1937</v>
      </c>
      <c r="E757" s="133"/>
      <c r="F757" s="9">
        <v>0</v>
      </c>
      <c r="G757" s="9"/>
      <c r="H757" s="9"/>
      <c r="I757" s="9">
        <v>150000</v>
      </c>
      <c r="J757" s="9">
        <v>350000</v>
      </c>
      <c r="K757" s="9">
        <v>350000</v>
      </c>
      <c r="L757" s="9">
        <v>350000</v>
      </c>
      <c r="M757" s="9">
        <v>350000</v>
      </c>
      <c r="N757" s="9">
        <v>350000</v>
      </c>
      <c r="O757" s="133">
        <v>350000</v>
      </c>
      <c r="P757" s="133">
        <v>0</v>
      </c>
      <c r="Q757" s="133"/>
      <c r="R757" s="133">
        <f t="shared" si="11"/>
        <v>2250000</v>
      </c>
    </row>
    <row r="758" spans="1:18" s="93" customFormat="1" x14ac:dyDescent="0.35">
      <c r="A758" s="52">
        <v>754</v>
      </c>
      <c r="B758" s="95"/>
      <c r="C758" s="96" t="s">
        <v>1966</v>
      </c>
      <c r="D758" s="97" t="s">
        <v>1921</v>
      </c>
      <c r="E758" s="92"/>
      <c r="F758" s="9">
        <v>0</v>
      </c>
      <c r="G758" s="92"/>
      <c r="H758" s="92"/>
      <c r="I758" s="9">
        <v>0</v>
      </c>
      <c r="J758" s="92">
        <v>350000</v>
      </c>
      <c r="K758" s="92">
        <v>350000</v>
      </c>
      <c r="L758" s="92">
        <v>350000</v>
      </c>
      <c r="M758" s="92">
        <v>350000</v>
      </c>
      <c r="N758" s="92">
        <v>350000</v>
      </c>
      <c r="O758" s="92">
        <v>350000</v>
      </c>
      <c r="P758" s="92">
        <v>350000</v>
      </c>
      <c r="Q758" s="92">
        <v>350000</v>
      </c>
      <c r="R758" s="9">
        <f t="shared" si="11"/>
        <v>2800000</v>
      </c>
    </row>
    <row r="759" spans="1:18" s="125" customFormat="1" x14ac:dyDescent="0.35">
      <c r="A759" s="121">
        <v>755</v>
      </c>
      <c r="B759" s="121"/>
      <c r="C759" s="122" t="s">
        <v>2181</v>
      </c>
      <c r="D759" s="123" t="s">
        <v>751</v>
      </c>
      <c r="E759" s="124"/>
      <c r="F759" s="124">
        <v>0</v>
      </c>
      <c r="G759" s="124"/>
      <c r="H759" s="124"/>
      <c r="I759" s="124">
        <v>0</v>
      </c>
      <c r="J759" s="124">
        <v>100000</v>
      </c>
      <c r="K759" s="124">
        <v>100000</v>
      </c>
      <c r="L759" s="124">
        <v>100000</v>
      </c>
      <c r="M759" s="124">
        <v>100000</v>
      </c>
      <c r="N759" s="124">
        <v>100000</v>
      </c>
      <c r="O759" s="124">
        <v>100000</v>
      </c>
      <c r="P759" s="124">
        <v>100000</v>
      </c>
      <c r="Q759" s="124">
        <v>100000</v>
      </c>
      <c r="R759" s="124">
        <f t="shared" si="11"/>
        <v>800000</v>
      </c>
    </row>
    <row r="760" spans="1:18" s="142" customFormat="1" x14ac:dyDescent="0.35">
      <c r="A760" s="147">
        <v>756</v>
      </c>
      <c r="B760" s="52"/>
      <c r="C760" s="148" t="s">
        <v>1925</v>
      </c>
      <c r="D760" s="149" t="s">
        <v>1924</v>
      </c>
      <c r="E760" s="141"/>
      <c r="F760" s="9">
        <v>0</v>
      </c>
      <c r="G760" s="9"/>
      <c r="H760" s="9"/>
      <c r="I760" s="9">
        <v>0</v>
      </c>
      <c r="J760" s="9">
        <v>150000</v>
      </c>
      <c r="K760" s="9">
        <v>150000</v>
      </c>
      <c r="L760" s="9">
        <v>150000</v>
      </c>
      <c r="M760" s="9">
        <v>150000</v>
      </c>
      <c r="N760" s="9">
        <v>150000</v>
      </c>
      <c r="O760" s="141">
        <v>150000</v>
      </c>
      <c r="P760" s="141">
        <v>150000</v>
      </c>
      <c r="Q760" s="141">
        <v>150000</v>
      </c>
      <c r="R760" s="141">
        <f t="shared" si="11"/>
        <v>1200000</v>
      </c>
    </row>
    <row r="761" spans="1:18" s="142" customFormat="1" x14ac:dyDescent="0.35">
      <c r="A761" s="147">
        <v>757</v>
      </c>
      <c r="B761" s="52"/>
      <c r="C761" s="148" t="s">
        <v>1922</v>
      </c>
      <c r="D761" s="149" t="s">
        <v>1923</v>
      </c>
      <c r="E761" s="141"/>
      <c r="F761" s="9">
        <v>0</v>
      </c>
      <c r="G761" s="9"/>
      <c r="H761" s="9"/>
      <c r="I761" s="9">
        <v>0</v>
      </c>
      <c r="J761" s="9">
        <v>100000</v>
      </c>
      <c r="K761" s="9">
        <v>100000</v>
      </c>
      <c r="L761" s="9">
        <v>100000</v>
      </c>
      <c r="M761" s="9">
        <v>100000</v>
      </c>
      <c r="N761" s="9">
        <v>100000</v>
      </c>
      <c r="O761" s="141">
        <v>100000</v>
      </c>
      <c r="P761" s="141">
        <v>100000</v>
      </c>
      <c r="Q761" s="141">
        <v>100000</v>
      </c>
      <c r="R761" s="141">
        <f t="shared" si="11"/>
        <v>800000</v>
      </c>
    </row>
    <row r="762" spans="1:18" s="142" customFormat="1" x14ac:dyDescent="0.35">
      <c r="A762" s="147">
        <v>758</v>
      </c>
      <c r="B762" s="52"/>
      <c r="C762" s="148" t="s">
        <v>1935</v>
      </c>
      <c r="D762" s="149" t="s">
        <v>1936</v>
      </c>
      <c r="E762" s="141"/>
      <c r="F762" s="9">
        <v>0</v>
      </c>
      <c r="G762" s="9"/>
      <c r="H762" s="9"/>
      <c r="I762" s="9">
        <v>0</v>
      </c>
      <c r="J762" s="9"/>
      <c r="K762" s="9">
        <v>150000</v>
      </c>
      <c r="L762" s="9">
        <v>150000</v>
      </c>
      <c r="M762" s="9">
        <v>150000</v>
      </c>
      <c r="N762" s="9">
        <v>150000</v>
      </c>
      <c r="O762" s="141">
        <v>150000</v>
      </c>
      <c r="P762" s="141">
        <v>150000</v>
      </c>
      <c r="Q762" s="141">
        <v>150000</v>
      </c>
      <c r="R762" s="141">
        <f t="shared" si="11"/>
        <v>1050000</v>
      </c>
    </row>
    <row r="763" spans="1:18" s="93" customFormat="1" x14ac:dyDescent="0.35">
      <c r="A763" s="52">
        <v>759</v>
      </c>
      <c r="B763" s="95"/>
      <c r="C763" s="96" t="s">
        <v>1938</v>
      </c>
      <c r="D763" s="97"/>
      <c r="E763" s="92"/>
      <c r="F763" s="9">
        <v>0</v>
      </c>
      <c r="G763" s="92"/>
      <c r="H763" s="92"/>
      <c r="I763" s="9">
        <v>0</v>
      </c>
      <c r="J763" s="92"/>
      <c r="K763" s="92"/>
      <c r="L763" s="92">
        <v>100000</v>
      </c>
      <c r="M763" s="92">
        <v>100000</v>
      </c>
      <c r="N763" s="92">
        <v>100000</v>
      </c>
      <c r="O763" s="92">
        <v>100000</v>
      </c>
      <c r="P763" s="92">
        <v>100000</v>
      </c>
      <c r="Q763" s="92">
        <v>100000</v>
      </c>
      <c r="R763" s="9">
        <f t="shared" si="11"/>
        <v>600000</v>
      </c>
    </row>
    <row r="764" spans="1:18" s="93" customFormat="1" x14ac:dyDescent="0.35">
      <c r="A764" s="52">
        <v>760</v>
      </c>
      <c r="B764" s="95"/>
      <c r="C764" s="96" t="s">
        <v>1939</v>
      </c>
      <c r="D764" s="97"/>
      <c r="E764" s="92"/>
      <c r="F764" s="9">
        <v>0</v>
      </c>
      <c r="G764" s="92"/>
      <c r="H764" s="92"/>
      <c r="I764" s="9">
        <v>0</v>
      </c>
      <c r="J764" s="92"/>
      <c r="K764" s="92"/>
      <c r="L764" s="92">
        <v>100000</v>
      </c>
      <c r="M764" s="92">
        <v>100000</v>
      </c>
      <c r="N764" s="92">
        <v>100000</v>
      </c>
      <c r="O764" s="92">
        <v>100000</v>
      </c>
      <c r="P764" s="92">
        <v>100000</v>
      </c>
      <c r="Q764" s="92">
        <v>100000</v>
      </c>
      <c r="R764" s="9">
        <f t="shared" si="11"/>
        <v>600000</v>
      </c>
    </row>
    <row r="765" spans="1:18" s="162" customFormat="1" x14ac:dyDescent="0.35">
      <c r="A765" s="163">
        <v>761</v>
      </c>
      <c r="B765" s="68"/>
      <c r="C765" s="164" t="s">
        <v>2183</v>
      </c>
      <c r="D765" s="165"/>
      <c r="E765" s="161"/>
      <c r="F765" s="9">
        <v>0</v>
      </c>
      <c r="G765" s="70"/>
      <c r="H765" s="70"/>
      <c r="I765" s="9">
        <v>0</v>
      </c>
      <c r="J765" s="70"/>
      <c r="K765" s="70"/>
      <c r="L765" s="70">
        <v>100000</v>
      </c>
      <c r="M765" s="70">
        <f>100000+100000</f>
        <v>200000</v>
      </c>
      <c r="N765" s="9">
        <v>0</v>
      </c>
      <c r="O765" s="161">
        <v>0</v>
      </c>
      <c r="P765" s="161">
        <v>200000</v>
      </c>
      <c r="Q765" s="161">
        <f>200000</f>
        <v>200000</v>
      </c>
      <c r="R765" s="161">
        <f t="shared" si="11"/>
        <v>700000</v>
      </c>
    </row>
    <row r="766" spans="1:18" s="142" customFormat="1" x14ac:dyDescent="0.35">
      <c r="A766" s="147">
        <v>762</v>
      </c>
      <c r="B766" s="52"/>
      <c r="C766" s="148" t="s">
        <v>1941</v>
      </c>
      <c r="D766" s="149"/>
      <c r="E766" s="141"/>
      <c r="F766" s="9">
        <v>0</v>
      </c>
      <c r="G766" s="9"/>
      <c r="H766" s="9"/>
      <c r="I766" s="9">
        <v>0</v>
      </c>
      <c r="J766" s="9"/>
      <c r="K766" s="9"/>
      <c r="L766" s="9">
        <v>150000</v>
      </c>
      <c r="M766" s="9">
        <v>150000</v>
      </c>
      <c r="N766" s="9">
        <v>150000</v>
      </c>
      <c r="O766" s="141">
        <v>150000</v>
      </c>
      <c r="P766" s="141">
        <v>150000</v>
      </c>
      <c r="Q766" s="141">
        <v>150000</v>
      </c>
      <c r="R766" s="141">
        <f t="shared" si="11"/>
        <v>900000</v>
      </c>
    </row>
    <row r="767" spans="1:18" s="125" customFormat="1" x14ac:dyDescent="0.35">
      <c r="A767" s="121">
        <v>763</v>
      </c>
      <c r="B767" s="121"/>
      <c r="C767" s="122" t="s">
        <v>2182</v>
      </c>
      <c r="D767" s="123"/>
      <c r="E767" s="124"/>
      <c r="F767" s="124">
        <v>0</v>
      </c>
      <c r="G767" s="124"/>
      <c r="H767" s="124"/>
      <c r="I767" s="124">
        <v>0</v>
      </c>
      <c r="J767" s="124"/>
      <c r="K767" s="124"/>
      <c r="L767" s="124">
        <v>100000</v>
      </c>
      <c r="M767" s="124">
        <v>100000</v>
      </c>
      <c r="N767" s="124">
        <v>100000</v>
      </c>
      <c r="O767" s="124">
        <v>100000</v>
      </c>
      <c r="P767" s="124">
        <v>100000</v>
      </c>
      <c r="Q767" s="124">
        <v>100000</v>
      </c>
      <c r="R767" s="124">
        <f t="shared" si="11"/>
        <v>600000</v>
      </c>
    </row>
    <row r="768" spans="1:18" s="104" customFormat="1" x14ac:dyDescent="0.35">
      <c r="A768" s="52">
        <v>764</v>
      </c>
      <c r="B768" s="52"/>
      <c r="C768" s="107" t="s">
        <v>1945</v>
      </c>
      <c r="D768" s="108"/>
      <c r="E768" s="103"/>
      <c r="F768" s="9">
        <v>0</v>
      </c>
      <c r="G768" s="9"/>
      <c r="H768" s="9"/>
      <c r="I768" s="9">
        <v>0</v>
      </c>
      <c r="J768" s="9"/>
      <c r="K768" s="9"/>
      <c r="L768" s="9"/>
      <c r="M768" s="9"/>
      <c r="N768" s="9">
        <v>150000</v>
      </c>
      <c r="O768" s="103">
        <v>150000</v>
      </c>
      <c r="P768" s="103">
        <v>150000</v>
      </c>
      <c r="Q768" s="103">
        <v>150000</v>
      </c>
      <c r="R768" s="9">
        <f t="shared" si="11"/>
        <v>600000</v>
      </c>
    </row>
    <row r="769" spans="1:18" x14ac:dyDescent="0.35">
      <c r="A769" s="52">
        <v>765</v>
      </c>
      <c r="B769" s="52"/>
      <c r="C769" s="53" t="s">
        <v>1953</v>
      </c>
      <c r="D769" s="54" t="s">
        <v>1952</v>
      </c>
      <c r="E769" s="9"/>
      <c r="F769" s="9"/>
      <c r="G769" s="9">
        <v>50000</v>
      </c>
      <c r="H769" s="9">
        <v>-50000</v>
      </c>
      <c r="I769" s="9">
        <v>0</v>
      </c>
      <c r="J769" s="9"/>
      <c r="K769" s="9"/>
      <c r="L769" s="9"/>
      <c r="M769" s="9"/>
      <c r="N769" s="9"/>
      <c r="O769" s="9"/>
      <c r="P769" s="9">
        <v>0</v>
      </c>
      <c r="Q769" s="9"/>
      <c r="R769" s="9">
        <f t="shared" si="11"/>
        <v>0</v>
      </c>
    </row>
    <row r="770" spans="1:18" x14ac:dyDescent="0.35">
      <c r="A770" s="52">
        <v>766</v>
      </c>
      <c r="B770" s="52"/>
      <c r="C770" s="53" t="s">
        <v>2188</v>
      </c>
      <c r="D770" s="54" t="s">
        <v>1952</v>
      </c>
      <c r="E770" s="9"/>
      <c r="F770" s="9"/>
      <c r="G770" s="9">
        <v>100000</v>
      </c>
      <c r="H770" s="9">
        <v>-100000</v>
      </c>
      <c r="I770" s="9">
        <v>0</v>
      </c>
      <c r="J770" s="9"/>
      <c r="K770" s="9"/>
      <c r="L770" s="9"/>
      <c r="M770" s="9"/>
      <c r="N770" s="9"/>
      <c r="O770" s="9"/>
      <c r="P770" s="9">
        <v>0</v>
      </c>
      <c r="Q770" s="9"/>
      <c r="R770" s="9">
        <f t="shared" si="11"/>
        <v>0</v>
      </c>
    </row>
    <row r="771" spans="1:18" s="93" customFormat="1" x14ac:dyDescent="0.35">
      <c r="A771" s="95">
        <v>767</v>
      </c>
      <c r="B771" s="95"/>
      <c r="C771" s="96" t="s">
        <v>1962</v>
      </c>
      <c r="D771" s="97" t="s">
        <v>1812</v>
      </c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>
        <v>100000</v>
      </c>
      <c r="Q771" s="92">
        <v>100000</v>
      </c>
      <c r="R771" s="9">
        <f t="shared" ref="R771:R773" si="14">SUM(E771:Q771)</f>
        <v>200000</v>
      </c>
    </row>
    <row r="772" spans="1:18" s="93" customFormat="1" x14ac:dyDescent="0.35">
      <c r="A772" s="95">
        <v>768</v>
      </c>
      <c r="B772" s="95"/>
      <c r="C772" s="96" t="s">
        <v>1963</v>
      </c>
      <c r="D772" s="97" t="s">
        <v>1812</v>
      </c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>
        <v>350000</v>
      </c>
      <c r="Q772" s="92">
        <v>350000</v>
      </c>
      <c r="R772" s="9">
        <f t="shared" si="14"/>
        <v>700000</v>
      </c>
    </row>
    <row r="773" spans="1:18" s="88" customFormat="1" x14ac:dyDescent="0.35">
      <c r="A773" s="68">
        <v>769</v>
      </c>
      <c r="B773" s="68"/>
      <c r="C773" s="56" t="s">
        <v>1965</v>
      </c>
      <c r="D773" s="57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>
        <v>100000</v>
      </c>
      <c r="Q773" s="70">
        <f>300000</f>
        <v>300000</v>
      </c>
      <c r="R773" s="9">
        <f t="shared" si="14"/>
        <v>400000</v>
      </c>
    </row>
    <row r="774" spans="1:18" x14ac:dyDescent="0.35">
      <c r="A774" s="178" t="s">
        <v>36</v>
      </c>
      <c r="B774" s="178"/>
      <c r="C774" s="178"/>
      <c r="D774" s="178"/>
      <c r="E774" s="24">
        <f>SUM(E3:E770)</f>
        <v>9139269830</v>
      </c>
      <c r="F774" s="24">
        <f t="shared" ref="F774:H774" si="15">SUM(F3:F770)</f>
        <v>-72886151</v>
      </c>
      <c r="G774" s="24">
        <f>SUM(G3:G770)</f>
        <v>19293660</v>
      </c>
      <c r="H774" s="24">
        <f t="shared" si="15"/>
        <v>25574089</v>
      </c>
      <c r="I774" s="24">
        <f>SUM(I3:I770)</f>
        <v>77650000</v>
      </c>
      <c r="J774" s="24">
        <f>SUM(J3:J761)</f>
        <v>-32310223</v>
      </c>
      <c r="K774" s="24">
        <f>SUM(K3:K762)</f>
        <v>64100000</v>
      </c>
      <c r="L774" s="24">
        <f>SUM(L3:L767)</f>
        <v>3803785</v>
      </c>
      <c r="M774" s="24">
        <f>SUM(M3:M767)</f>
        <v>-109730856</v>
      </c>
      <c r="N774" s="24">
        <f t="shared" ref="N774:O774" si="16">SUM(N3:N773)</f>
        <v>36670267</v>
      </c>
      <c r="O774" s="24">
        <f t="shared" si="16"/>
        <v>-19211713</v>
      </c>
      <c r="P774" s="24">
        <f>SUM(P3:P773)</f>
        <v>24547102</v>
      </c>
      <c r="Q774" s="24">
        <f>SUM(Q3:Q773)</f>
        <v>-42906930</v>
      </c>
      <c r="R774" s="24">
        <f>SUM(R3:R773)</f>
        <v>9113862860</v>
      </c>
    </row>
    <row r="775" spans="1:18" s="29" customFormat="1" x14ac:dyDescent="0.35">
      <c r="E775" s="29">
        <v>9138619830</v>
      </c>
      <c r="F775" s="29">
        <f>79000000-151886151</f>
        <v>-72886151</v>
      </c>
      <c r="G775" s="29">
        <f>77200000-57906340</f>
        <v>19293660</v>
      </c>
      <c r="H775" s="29">
        <f>77300000-51725911</f>
        <v>25574089</v>
      </c>
      <c r="I775" s="29">
        <v>77650000</v>
      </c>
      <c r="J775" s="29">
        <f>77750000-110060223</f>
        <v>-32310223</v>
      </c>
      <c r="K775" s="29">
        <f>77350000-13250000</f>
        <v>64100000</v>
      </c>
      <c r="L775" s="29">
        <f>77650000-73846215</f>
        <v>3803785</v>
      </c>
      <c r="M775" s="29">
        <f>79100000-188830856</f>
        <v>-109730856</v>
      </c>
      <c r="N775" s="29">
        <f>75200000-38529733</f>
        <v>36670267</v>
      </c>
      <c r="O775" s="29">
        <f>73750000-92961713</f>
        <v>-19211713</v>
      </c>
      <c r="P775" s="29">
        <f>75350000-50802898</f>
        <v>24547102</v>
      </c>
      <c r="Q775" s="29">
        <f>77350000-120256930</f>
        <v>-42906930</v>
      </c>
      <c r="R775" s="29">
        <v>9113212860</v>
      </c>
    </row>
    <row r="776" spans="1:18" s="29" customFormat="1" x14ac:dyDescent="0.35">
      <c r="E776" s="29">
        <f>E774-E775</f>
        <v>650000</v>
      </c>
      <c r="F776" s="29">
        <f>F774-F775</f>
        <v>0</v>
      </c>
      <c r="G776" s="29">
        <f>G774-G775</f>
        <v>0</v>
      </c>
      <c r="H776" s="29">
        <f t="shared" ref="H776:L776" si="17">H774-H775</f>
        <v>0</v>
      </c>
      <c r="I776" s="29">
        <f t="shared" si="17"/>
        <v>0</v>
      </c>
      <c r="J776" s="29">
        <f>J774-J775</f>
        <v>0</v>
      </c>
      <c r="K776" s="29">
        <f t="shared" si="17"/>
        <v>0</v>
      </c>
      <c r="L776" s="29">
        <f t="shared" si="17"/>
        <v>0</v>
      </c>
      <c r="M776" s="29">
        <f t="shared" ref="M776:R776" si="18">M774-M775</f>
        <v>0</v>
      </c>
      <c r="N776" s="29">
        <f t="shared" si="18"/>
        <v>0</v>
      </c>
      <c r="O776" s="29">
        <f t="shared" si="18"/>
        <v>0</v>
      </c>
      <c r="P776" s="29">
        <f t="shared" si="18"/>
        <v>0</v>
      </c>
      <c r="Q776" s="29">
        <f t="shared" si="18"/>
        <v>0</v>
      </c>
      <c r="R776" s="29">
        <f t="shared" si="18"/>
        <v>650000</v>
      </c>
    </row>
    <row r="778" spans="1:18" x14ac:dyDescent="0.35">
      <c r="N778" s="73"/>
    </row>
    <row r="781" spans="1:18" x14ac:dyDescent="0.35">
      <c r="C781" t="s">
        <v>1919</v>
      </c>
    </row>
    <row r="782" spans="1:18" x14ac:dyDescent="0.35">
      <c r="C782" t="s">
        <v>1920</v>
      </c>
    </row>
  </sheetData>
  <autoFilter ref="F2:Q776" xr:uid="{491D65E9-6661-4889-9483-1C25AAB034DC}"/>
  <mergeCells count="7">
    <mergeCell ref="F1:Q1"/>
    <mergeCell ref="R1:R2"/>
    <mergeCell ref="A774:D774"/>
    <mergeCell ref="E1:E2"/>
    <mergeCell ref="D1:D2"/>
    <mergeCell ref="C1:C2"/>
    <mergeCell ref="A1:A2"/>
  </mergeCells>
  <phoneticPr fontId="13" type="noConversion"/>
  <pageMargins left="0.7" right="0.7" top="0.75" bottom="0.75" header="0.3" footer="0.3"/>
  <pageSetup paperSize="9" scale="3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E6A3-1E51-4AA1-AD09-01920C4F1CEA}">
  <sheetPr>
    <tabColor rgb="FF92D050"/>
  </sheetPr>
  <dimension ref="A1:R772"/>
  <sheetViews>
    <sheetView zoomScale="80" zoomScaleNormal="80" workbookViewId="0">
      <selection activeCell="C9" sqref="C9"/>
    </sheetView>
  </sheetViews>
  <sheetFormatPr defaultRowHeight="14.5" x14ac:dyDescent="0.35"/>
  <cols>
    <col min="3" max="3" width="33.81640625" customWidth="1"/>
    <col min="4" max="4" width="12.90625" customWidth="1"/>
    <col min="5" max="5" width="11.81640625" style="113" customWidth="1"/>
    <col min="6" max="6" width="10.6328125" style="29" hidden="1" customWidth="1"/>
    <col min="7" max="7" width="11.54296875" style="29" hidden="1" customWidth="1"/>
    <col min="8" max="13" width="9.7265625" style="29" hidden="1" customWidth="1"/>
    <col min="14" max="14" width="10.81640625" style="29" hidden="1" customWidth="1"/>
    <col min="15" max="15" width="10.453125" hidden="1" customWidth="1"/>
    <col min="16" max="16" width="10.6328125" hidden="1" customWidth="1"/>
    <col min="17" max="17" width="10.81640625" customWidth="1"/>
    <col min="18" max="18" width="12.90625" customWidth="1"/>
  </cols>
  <sheetData>
    <row r="1" spans="1:18" ht="28" customHeight="1" x14ac:dyDescent="0.35">
      <c r="A1" s="184" t="s">
        <v>0</v>
      </c>
      <c r="B1" s="186" t="s">
        <v>1</v>
      </c>
      <c r="C1" s="188" t="s">
        <v>2</v>
      </c>
      <c r="D1" s="189" t="s">
        <v>3</v>
      </c>
      <c r="E1" s="182" t="s">
        <v>1804</v>
      </c>
      <c r="F1" s="190" t="s">
        <v>1813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2"/>
      <c r="R1" s="180" t="s">
        <v>1811</v>
      </c>
    </row>
    <row r="2" spans="1:18" ht="15" thickBot="1" x14ac:dyDescent="0.4">
      <c r="A2" s="185"/>
      <c r="B2" s="187"/>
      <c r="C2" s="188"/>
      <c r="D2" s="189"/>
      <c r="E2" s="183"/>
      <c r="F2" s="58" t="s">
        <v>1795</v>
      </c>
      <c r="G2" s="58" t="s">
        <v>1802</v>
      </c>
      <c r="H2" s="58" t="s">
        <v>1797</v>
      </c>
      <c r="I2" s="58" t="s">
        <v>1798</v>
      </c>
      <c r="J2" s="58" t="s">
        <v>1799</v>
      </c>
      <c r="K2" s="58" t="s">
        <v>1800</v>
      </c>
      <c r="L2" s="58" t="s">
        <v>1801</v>
      </c>
      <c r="M2" s="58" t="s">
        <v>1803</v>
      </c>
      <c r="N2" s="58" t="s">
        <v>1805</v>
      </c>
      <c r="O2" s="58" t="s">
        <v>1806</v>
      </c>
      <c r="P2" s="58" t="s">
        <v>1807</v>
      </c>
      <c r="Q2" s="58" t="s">
        <v>1808</v>
      </c>
      <c r="R2" s="181"/>
    </row>
    <row r="3" spans="1:18" x14ac:dyDescent="0.35">
      <c r="A3" s="1">
        <v>1</v>
      </c>
      <c r="B3" s="48" t="s">
        <v>9</v>
      </c>
      <c r="C3" s="139" t="s">
        <v>1973</v>
      </c>
      <c r="D3" s="54" t="s">
        <v>11</v>
      </c>
      <c r="E3" s="111">
        <v>5000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>
        <f>E3+F3+G3+H3+I3+J3+K3+L3+M3+N3+O3+P3+Q3</f>
        <v>5000</v>
      </c>
    </row>
    <row r="4" spans="1:18" x14ac:dyDescent="0.35">
      <c r="A4" s="5">
        <f>A3+1</f>
        <v>2</v>
      </c>
      <c r="B4" s="49" t="s">
        <v>12</v>
      </c>
      <c r="C4" s="7" t="s">
        <v>1582</v>
      </c>
      <c r="D4" s="54" t="s">
        <v>14</v>
      </c>
      <c r="E4" s="111">
        <v>0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>
        <f t="shared" ref="R4:R67" si="0">E4+F4+G4+H4+I4+J4+K4+L4+M4+N4+O4+P4+Q4</f>
        <v>0</v>
      </c>
    </row>
    <row r="5" spans="1:18" x14ac:dyDescent="0.35">
      <c r="A5" s="5">
        <f t="shared" ref="A5:A68" si="1">A4+1</f>
        <v>3</v>
      </c>
      <c r="B5" s="49" t="s">
        <v>15</v>
      </c>
      <c r="C5" s="7" t="s">
        <v>16</v>
      </c>
      <c r="D5" s="54"/>
      <c r="E5" s="111">
        <v>0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>
        <f t="shared" si="0"/>
        <v>0</v>
      </c>
    </row>
    <row r="6" spans="1:18" x14ac:dyDescent="0.35">
      <c r="A6" s="5">
        <f t="shared" si="1"/>
        <v>4</v>
      </c>
      <c r="B6" s="49" t="s">
        <v>17</v>
      </c>
      <c r="C6" s="144" t="s">
        <v>1855</v>
      </c>
      <c r="D6" s="54" t="s">
        <v>19</v>
      </c>
      <c r="E6" s="111">
        <v>5000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>
        <f t="shared" si="0"/>
        <v>5000</v>
      </c>
    </row>
    <row r="7" spans="1:18" x14ac:dyDescent="0.35">
      <c r="A7" s="5">
        <f t="shared" si="1"/>
        <v>5</v>
      </c>
      <c r="B7" s="49" t="s">
        <v>20</v>
      </c>
      <c r="C7" s="7" t="s">
        <v>21</v>
      </c>
      <c r="D7" s="54" t="s">
        <v>22</v>
      </c>
      <c r="E7" s="111">
        <v>5000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>
        <v>-5000</v>
      </c>
      <c r="Q7" s="58"/>
      <c r="R7" s="58">
        <f t="shared" si="0"/>
        <v>0</v>
      </c>
    </row>
    <row r="8" spans="1:18" x14ac:dyDescent="0.35">
      <c r="A8" s="5">
        <f t="shared" si="1"/>
        <v>6</v>
      </c>
      <c r="B8" s="49" t="s">
        <v>23</v>
      </c>
      <c r="C8" s="7" t="s">
        <v>1757</v>
      </c>
      <c r="D8" s="54" t="s">
        <v>25</v>
      </c>
      <c r="E8" s="111">
        <v>5000</v>
      </c>
      <c r="F8" s="58"/>
      <c r="G8" s="58"/>
      <c r="H8" s="58"/>
      <c r="I8" s="58"/>
      <c r="J8" s="58"/>
      <c r="K8" s="58"/>
      <c r="L8" s="58"/>
      <c r="M8" s="58"/>
      <c r="N8" s="58"/>
      <c r="O8" s="58">
        <v>-5000</v>
      </c>
      <c r="P8" s="58"/>
      <c r="Q8" s="58"/>
      <c r="R8" s="58">
        <f t="shared" si="0"/>
        <v>0</v>
      </c>
    </row>
    <row r="9" spans="1:18" x14ac:dyDescent="0.35">
      <c r="A9" s="5">
        <f t="shared" si="1"/>
        <v>7</v>
      </c>
      <c r="B9" s="49" t="s">
        <v>39</v>
      </c>
      <c r="C9" s="7" t="s">
        <v>1583</v>
      </c>
      <c r="D9" s="54" t="s">
        <v>41</v>
      </c>
      <c r="E9" s="111">
        <v>0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>
        <f t="shared" si="0"/>
        <v>0</v>
      </c>
    </row>
    <row r="10" spans="1:18" x14ac:dyDescent="0.35">
      <c r="A10" s="5">
        <f t="shared" si="1"/>
        <v>8</v>
      </c>
      <c r="B10" s="49" t="s">
        <v>42</v>
      </c>
      <c r="C10" s="90" t="s">
        <v>1749</v>
      </c>
      <c r="D10" s="54" t="s">
        <v>14</v>
      </c>
      <c r="E10" s="111">
        <v>5000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>
        <f t="shared" si="0"/>
        <v>5000</v>
      </c>
    </row>
    <row r="11" spans="1:18" x14ac:dyDescent="0.35">
      <c r="A11" s="5">
        <f t="shared" si="1"/>
        <v>9</v>
      </c>
      <c r="B11" s="49" t="s">
        <v>44</v>
      </c>
      <c r="C11" s="7" t="s">
        <v>45</v>
      </c>
      <c r="D11" s="54" t="s">
        <v>46</v>
      </c>
      <c r="E11" s="111">
        <v>0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>
        <f t="shared" si="0"/>
        <v>0</v>
      </c>
    </row>
    <row r="12" spans="1:18" x14ac:dyDescent="0.35">
      <c r="A12" s="5">
        <f t="shared" si="1"/>
        <v>10</v>
      </c>
      <c r="B12" s="49" t="s">
        <v>47</v>
      </c>
      <c r="C12" s="7" t="s">
        <v>48</v>
      </c>
      <c r="D12" s="54" t="s">
        <v>49</v>
      </c>
      <c r="E12" s="111">
        <v>0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>
        <f t="shared" si="0"/>
        <v>0</v>
      </c>
    </row>
    <row r="13" spans="1:18" x14ac:dyDescent="0.35">
      <c r="A13" s="5">
        <f t="shared" si="1"/>
        <v>11</v>
      </c>
      <c r="B13" s="49" t="s">
        <v>50</v>
      </c>
      <c r="C13" s="7" t="s">
        <v>1584</v>
      </c>
      <c r="D13" s="54" t="s">
        <v>52</v>
      </c>
      <c r="E13" s="111">
        <v>0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>
        <f t="shared" si="0"/>
        <v>0</v>
      </c>
    </row>
    <row r="14" spans="1:18" x14ac:dyDescent="0.35">
      <c r="A14" s="5">
        <f t="shared" si="1"/>
        <v>12</v>
      </c>
      <c r="B14" s="49" t="s">
        <v>53</v>
      </c>
      <c r="C14" s="7" t="s">
        <v>1585</v>
      </c>
      <c r="D14" s="54" t="s">
        <v>55</v>
      </c>
      <c r="E14" s="111">
        <v>0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>
        <f t="shared" si="0"/>
        <v>0</v>
      </c>
    </row>
    <row r="15" spans="1:18" x14ac:dyDescent="0.35">
      <c r="A15" s="5">
        <f t="shared" si="1"/>
        <v>13</v>
      </c>
      <c r="B15" s="49" t="s">
        <v>56</v>
      </c>
      <c r="C15" s="7" t="s">
        <v>57</v>
      </c>
      <c r="D15" s="54" t="s">
        <v>49</v>
      </c>
      <c r="E15" s="111">
        <v>0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>
        <f t="shared" si="0"/>
        <v>0</v>
      </c>
    </row>
    <row r="16" spans="1:18" x14ac:dyDescent="0.35">
      <c r="A16" s="5">
        <f t="shared" si="1"/>
        <v>14</v>
      </c>
      <c r="B16" s="49" t="s">
        <v>58</v>
      </c>
      <c r="C16" s="90" t="s">
        <v>1781</v>
      </c>
      <c r="D16" s="54" t="s">
        <v>60</v>
      </c>
      <c r="E16" s="111">
        <v>5000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>
        <f t="shared" si="0"/>
        <v>5000</v>
      </c>
    </row>
    <row r="17" spans="1:18" x14ac:dyDescent="0.35">
      <c r="A17" s="5">
        <f t="shared" si="1"/>
        <v>15</v>
      </c>
      <c r="B17" s="49" t="s">
        <v>61</v>
      </c>
      <c r="C17" s="7" t="s">
        <v>62</v>
      </c>
      <c r="D17" s="54" t="s">
        <v>49</v>
      </c>
      <c r="E17" s="111">
        <v>0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>
        <f t="shared" si="0"/>
        <v>0</v>
      </c>
    </row>
    <row r="18" spans="1:18" x14ac:dyDescent="0.35">
      <c r="A18" s="5">
        <f t="shared" si="1"/>
        <v>16</v>
      </c>
      <c r="B18" s="49" t="s">
        <v>63</v>
      </c>
      <c r="C18" s="7" t="s">
        <v>1586</v>
      </c>
      <c r="D18" s="54" t="s">
        <v>65</v>
      </c>
      <c r="E18" s="111">
        <v>0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>
        <f t="shared" si="0"/>
        <v>0</v>
      </c>
    </row>
    <row r="19" spans="1:18" x14ac:dyDescent="0.35">
      <c r="A19" s="5">
        <f t="shared" si="1"/>
        <v>17</v>
      </c>
      <c r="B19" s="49" t="s">
        <v>66</v>
      </c>
      <c r="C19" s="7" t="s">
        <v>1587</v>
      </c>
      <c r="D19" s="54" t="s">
        <v>25</v>
      </c>
      <c r="E19" s="111">
        <v>5000</v>
      </c>
      <c r="F19" s="58">
        <v>-5000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>
        <f t="shared" si="0"/>
        <v>0</v>
      </c>
    </row>
    <row r="20" spans="1:18" x14ac:dyDescent="0.35">
      <c r="A20" s="5">
        <f t="shared" si="1"/>
        <v>18</v>
      </c>
      <c r="B20" s="49" t="s">
        <v>68</v>
      </c>
      <c r="C20" s="7" t="s">
        <v>1588</v>
      </c>
      <c r="D20" s="54" t="s">
        <v>19</v>
      </c>
      <c r="E20" s="111">
        <v>0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>
        <f t="shared" si="0"/>
        <v>0</v>
      </c>
    </row>
    <row r="21" spans="1:18" x14ac:dyDescent="0.35">
      <c r="A21" s="5">
        <f t="shared" si="1"/>
        <v>19</v>
      </c>
      <c r="B21" s="49" t="s">
        <v>70</v>
      </c>
      <c r="C21" s="7" t="s">
        <v>1589</v>
      </c>
      <c r="D21" s="54" t="s">
        <v>72</v>
      </c>
      <c r="E21" s="111">
        <v>0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>
        <f t="shared" si="0"/>
        <v>0</v>
      </c>
    </row>
    <row r="22" spans="1:18" x14ac:dyDescent="0.35">
      <c r="A22" s="5">
        <f t="shared" si="1"/>
        <v>20</v>
      </c>
      <c r="B22" s="49" t="s">
        <v>73</v>
      </c>
      <c r="C22" s="7" t="s">
        <v>1590</v>
      </c>
      <c r="D22" s="54" t="s">
        <v>72</v>
      </c>
      <c r="E22" s="111">
        <v>0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>
        <f t="shared" si="0"/>
        <v>0</v>
      </c>
    </row>
    <row r="23" spans="1:18" x14ac:dyDescent="0.35">
      <c r="A23" s="5">
        <f t="shared" si="1"/>
        <v>21</v>
      </c>
      <c r="B23" s="49" t="s">
        <v>75</v>
      </c>
      <c r="C23" s="7" t="s">
        <v>1591</v>
      </c>
      <c r="D23" s="54" t="s">
        <v>77</v>
      </c>
      <c r="E23" s="111">
        <v>0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>
        <f t="shared" si="0"/>
        <v>0</v>
      </c>
    </row>
    <row r="24" spans="1:18" x14ac:dyDescent="0.35">
      <c r="A24" s="5">
        <f t="shared" si="1"/>
        <v>22</v>
      </c>
      <c r="B24" s="49" t="s">
        <v>78</v>
      </c>
      <c r="C24" s="18" t="s">
        <v>79</v>
      </c>
      <c r="D24" s="54" t="s">
        <v>80</v>
      </c>
      <c r="E24" s="111">
        <v>0</v>
      </c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>
        <f t="shared" si="0"/>
        <v>0</v>
      </c>
    </row>
    <row r="25" spans="1:18" x14ac:dyDescent="0.35">
      <c r="A25" s="5">
        <f t="shared" si="1"/>
        <v>23</v>
      </c>
      <c r="B25" s="49" t="s">
        <v>81</v>
      </c>
      <c r="C25" s="7" t="s">
        <v>1592</v>
      </c>
      <c r="D25" s="54" t="s">
        <v>83</v>
      </c>
      <c r="E25" s="111">
        <v>0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>
        <f t="shared" si="0"/>
        <v>0</v>
      </c>
    </row>
    <row r="26" spans="1:18" x14ac:dyDescent="0.35">
      <c r="A26" s="5">
        <f t="shared" si="1"/>
        <v>24</v>
      </c>
      <c r="B26" s="49" t="s">
        <v>84</v>
      </c>
      <c r="C26" s="18" t="s">
        <v>1593</v>
      </c>
      <c r="D26" s="54" t="s">
        <v>72</v>
      </c>
      <c r="E26" s="111">
        <v>0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>
        <f t="shared" si="0"/>
        <v>0</v>
      </c>
    </row>
    <row r="27" spans="1:18" x14ac:dyDescent="0.35">
      <c r="A27" s="5">
        <f t="shared" si="1"/>
        <v>25</v>
      </c>
      <c r="B27" s="49" t="s">
        <v>86</v>
      </c>
      <c r="C27" s="90" t="s">
        <v>1974</v>
      </c>
      <c r="D27" s="54" t="s">
        <v>65</v>
      </c>
      <c r="E27" s="111">
        <v>5000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>
        <f t="shared" si="0"/>
        <v>5000</v>
      </c>
    </row>
    <row r="28" spans="1:18" x14ac:dyDescent="0.35">
      <c r="A28" s="5">
        <f t="shared" si="1"/>
        <v>26</v>
      </c>
      <c r="B28" s="49" t="s">
        <v>88</v>
      </c>
      <c r="C28" s="7" t="s">
        <v>1975</v>
      </c>
      <c r="D28" s="54" t="s">
        <v>80</v>
      </c>
      <c r="E28" s="111">
        <v>0</v>
      </c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>
        <f t="shared" si="0"/>
        <v>0</v>
      </c>
    </row>
    <row r="29" spans="1:18" x14ac:dyDescent="0.35">
      <c r="A29" s="5">
        <f t="shared" si="1"/>
        <v>27</v>
      </c>
      <c r="B29" s="49" t="s">
        <v>90</v>
      </c>
      <c r="C29" s="144" t="s">
        <v>1976</v>
      </c>
      <c r="D29" s="54" t="s">
        <v>92</v>
      </c>
      <c r="E29" s="111">
        <v>5000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>
        <f t="shared" si="0"/>
        <v>5000</v>
      </c>
    </row>
    <row r="30" spans="1:18" x14ac:dyDescent="0.35">
      <c r="A30" s="5">
        <f t="shared" si="1"/>
        <v>28</v>
      </c>
      <c r="B30" s="49" t="s">
        <v>93</v>
      </c>
      <c r="C30" s="7" t="s">
        <v>1594</v>
      </c>
      <c r="D30" s="54" t="s">
        <v>95</v>
      </c>
      <c r="E30" s="111">
        <v>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>
        <f t="shared" si="0"/>
        <v>0</v>
      </c>
    </row>
    <row r="31" spans="1:18" x14ac:dyDescent="0.35">
      <c r="A31" s="5">
        <f t="shared" si="1"/>
        <v>29</v>
      </c>
      <c r="B31" s="49" t="s">
        <v>96</v>
      </c>
      <c r="C31" s="90" t="s">
        <v>1977</v>
      </c>
      <c r="D31" s="54" t="s">
        <v>98</v>
      </c>
      <c r="E31" s="111">
        <v>200000</v>
      </c>
      <c r="F31" s="58"/>
      <c r="G31" s="58"/>
      <c r="H31" s="58"/>
      <c r="I31" s="58"/>
      <c r="J31" s="58"/>
      <c r="K31" s="58"/>
      <c r="L31" s="58"/>
      <c r="M31" s="58">
        <v>200000</v>
      </c>
      <c r="N31" s="58"/>
      <c r="O31" s="58"/>
      <c r="P31" s="58"/>
      <c r="Q31" s="58"/>
      <c r="R31" s="58">
        <f t="shared" si="0"/>
        <v>400000</v>
      </c>
    </row>
    <row r="32" spans="1:18" x14ac:dyDescent="0.35">
      <c r="A32" s="5">
        <f t="shared" si="1"/>
        <v>30</v>
      </c>
      <c r="B32" s="49" t="s">
        <v>99</v>
      </c>
      <c r="C32" s="7" t="s">
        <v>1595</v>
      </c>
      <c r="D32" s="54" t="s">
        <v>41</v>
      </c>
      <c r="E32" s="111">
        <v>5000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>
        <f t="shared" si="0"/>
        <v>5000</v>
      </c>
    </row>
    <row r="33" spans="1:18" x14ac:dyDescent="0.35">
      <c r="A33" s="5">
        <f t="shared" si="1"/>
        <v>31</v>
      </c>
      <c r="B33" s="49" t="s">
        <v>101</v>
      </c>
      <c r="C33" s="144" t="s">
        <v>1978</v>
      </c>
      <c r="D33" s="54" t="s">
        <v>103</v>
      </c>
      <c r="E33" s="111">
        <v>5000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>
        <f t="shared" si="0"/>
        <v>5000</v>
      </c>
    </row>
    <row r="34" spans="1:18" x14ac:dyDescent="0.35">
      <c r="A34" s="5">
        <f t="shared" si="1"/>
        <v>32</v>
      </c>
      <c r="B34" s="49" t="s">
        <v>104</v>
      </c>
      <c r="C34" s="7" t="s">
        <v>1596</v>
      </c>
      <c r="D34" s="54" t="s">
        <v>95</v>
      </c>
      <c r="E34" s="111">
        <v>5000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>
        <f t="shared" si="0"/>
        <v>5000</v>
      </c>
    </row>
    <row r="35" spans="1:18" x14ac:dyDescent="0.35">
      <c r="A35" s="5">
        <f t="shared" si="1"/>
        <v>33</v>
      </c>
      <c r="B35" s="49" t="s">
        <v>106</v>
      </c>
      <c r="C35" s="90" t="s">
        <v>1766</v>
      </c>
      <c r="D35" s="54" t="s">
        <v>108</v>
      </c>
      <c r="E35" s="111">
        <v>5000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>
        <f t="shared" si="0"/>
        <v>5000</v>
      </c>
    </row>
    <row r="36" spans="1:18" x14ac:dyDescent="0.35">
      <c r="A36" s="5">
        <f t="shared" si="1"/>
        <v>34</v>
      </c>
      <c r="B36" s="49" t="s">
        <v>109</v>
      </c>
      <c r="C36" s="90" t="s">
        <v>1774</v>
      </c>
      <c r="D36" s="54" t="s">
        <v>72</v>
      </c>
      <c r="E36" s="111">
        <v>5000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>
        <f t="shared" si="0"/>
        <v>5000</v>
      </c>
    </row>
    <row r="37" spans="1:18" x14ac:dyDescent="0.35">
      <c r="A37" s="5">
        <f t="shared" si="1"/>
        <v>35</v>
      </c>
      <c r="B37" s="49" t="s">
        <v>111</v>
      </c>
      <c r="C37" s="144" t="s">
        <v>1857</v>
      </c>
      <c r="D37" s="54" t="s">
        <v>113</v>
      </c>
      <c r="E37" s="111">
        <v>5000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>
        <f t="shared" si="0"/>
        <v>5000</v>
      </c>
    </row>
    <row r="38" spans="1:18" x14ac:dyDescent="0.35">
      <c r="A38" s="5">
        <f t="shared" si="1"/>
        <v>36</v>
      </c>
      <c r="B38" s="49" t="s">
        <v>114</v>
      </c>
      <c r="C38" s="101" t="s">
        <v>1979</v>
      </c>
      <c r="D38" s="54" t="s">
        <v>116</v>
      </c>
      <c r="E38" s="111">
        <v>5000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>
        <f t="shared" si="0"/>
        <v>5000</v>
      </c>
    </row>
    <row r="39" spans="1:18" x14ac:dyDescent="0.35">
      <c r="A39" s="5">
        <f t="shared" si="1"/>
        <v>37</v>
      </c>
      <c r="B39" s="49" t="s">
        <v>117</v>
      </c>
      <c r="C39" s="101" t="s">
        <v>1597</v>
      </c>
      <c r="D39" s="54" t="s">
        <v>119</v>
      </c>
      <c r="E39" s="111">
        <v>5000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>
        <f t="shared" si="0"/>
        <v>5000</v>
      </c>
    </row>
    <row r="40" spans="1:18" x14ac:dyDescent="0.35">
      <c r="A40" s="5">
        <f t="shared" si="1"/>
        <v>38</v>
      </c>
      <c r="B40" s="49" t="s">
        <v>120</v>
      </c>
      <c r="C40" s="90" t="s">
        <v>1960</v>
      </c>
      <c r="D40" s="54" t="s">
        <v>108</v>
      </c>
      <c r="E40" s="111">
        <v>5000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>
        <f t="shared" si="0"/>
        <v>5000</v>
      </c>
    </row>
    <row r="41" spans="1:18" x14ac:dyDescent="0.35">
      <c r="A41" s="5">
        <f t="shared" si="1"/>
        <v>39</v>
      </c>
      <c r="B41" s="49" t="s">
        <v>121</v>
      </c>
      <c r="C41" s="7" t="s">
        <v>1598</v>
      </c>
      <c r="D41" s="54" t="s">
        <v>123</v>
      </c>
      <c r="E41" s="111">
        <v>5000</v>
      </c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>
        <f t="shared" si="0"/>
        <v>5000</v>
      </c>
    </row>
    <row r="42" spans="1:18" x14ac:dyDescent="0.35">
      <c r="A42" s="5">
        <f t="shared" si="1"/>
        <v>40</v>
      </c>
      <c r="B42" s="49" t="s">
        <v>124</v>
      </c>
      <c r="C42" s="7" t="s">
        <v>1599</v>
      </c>
      <c r="D42" s="54" t="s">
        <v>11</v>
      </c>
      <c r="E42" s="111">
        <v>5000</v>
      </c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>
        <f t="shared" si="0"/>
        <v>5000</v>
      </c>
    </row>
    <row r="43" spans="1:18" x14ac:dyDescent="0.35">
      <c r="A43" s="5">
        <f t="shared" si="1"/>
        <v>41</v>
      </c>
      <c r="B43" s="49" t="s">
        <v>126</v>
      </c>
      <c r="C43" s="144" t="s">
        <v>1934</v>
      </c>
      <c r="D43" s="54" t="s">
        <v>128</v>
      </c>
      <c r="E43" s="111">
        <v>10000</v>
      </c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>
        <f t="shared" si="0"/>
        <v>10000</v>
      </c>
    </row>
    <row r="44" spans="1:18" x14ac:dyDescent="0.35">
      <c r="A44" s="5">
        <f t="shared" si="1"/>
        <v>42</v>
      </c>
      <c r="B44" s="49" t="s">
        <v>129</v>
      </c>
      <c r="C44" s="90" t="s">
        <v>1980</v>
      </c>
      <c r="D44" s="54" t="s">
        <v>131</v>
      </c>
      <c r="E44" s="111">
        <v>5000</v>
      </c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>
        <f t="shared" si="0"/>
        <v>5000</v>
      </c>
    </row>
    <row r="45" spans="1:18" x14ac:dyDescent="0.35">
      <c r="A45" s="5">
        <f t="shared" si="1"/>
        <v>43</v>
      </c>
      <c r="B45" s="49" t="s">
        <v>132</v>
      </c>
      <c r="C45" s="7" t="s">
        <v>1600</v>
      </c>
      <c r="D45" s="54" t="s">
        <v>77</v>
      </c>
      <c r="E45" s="111">
        <v>0</v>
      </c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>
        <f t="shared" si="0"/>
        <v>0</v>
      </c>
    </row>
    <row r="46" spans="1:18" x14ac:dyDescent="0.35">
      <c r="A46" s="5">
        <f t="shared" si="1"/>
        <v>44</v>
      </c>
      <c r="B46" s="49" t="s">
        <v>134</v>
      </c>
      <c r="C46" s="144" t="s">
        <v>1860</v>
      </c>
      <c r="D46" s="54" t="s">
        <v>136</v>
      </c>
      <c r="E46" s="111">
        <v>5000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>
        <f t="shared" si="0"/>
        <v>5000</v>
      </c>
    </row>
    <row r="47" spans="1:18" x14ac:dyDescent="0.35">
      <c r="A47" s="5">
        <f t="shared" si="1"/>
        <v>45</v>
      </c>
      <c r="B47" s="49" t="s">
        <v>137</v>
      </c>
      <c r="C47" s="7" t="s">
        <v>138</v>
      </c>
      <c r="D47" s="54" t="s">
        <v>49</v>
      </c>
      <c r="E47" s="111">
        <v>5000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>
        <f t="shared" si="0"/>
        <v>5000</v>
      </c>
    </row>
    <row r="48" spans="1:18" x14ac:dyDescent="0.35">
      <c r="A48" s="5">
        <f t="shared" si="1"/>
        <v>46</v>
      </c>
      <c r="B48" s="49" t="s">
        <v>139</v>
      </c>
      <c r="C48" s="144" t="s">
        <v>1858</v>
      </c>
      <c r="D48" s="54" t="s">
        <v>141</v>
      </c>
      <c r="E48" s="111">
        <v>5000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>
        <f t="shared" si="0"/>
        <v>5000</v>
      </c>
    </row>
    <row r="49" spans="1:18" x14ac:dyDescent="0.35">
      <c r="A49" s="5">
        <f t="shared" si="1"/>
        <v>47</v>
      </c>
      <c r="B49" s="49" t="s">
        <v>142</v>
      </c>
      <c r="C49" s="144" t="s">
        <v>1859</v>
      </c>
      <c r="D49" s="54" t="s">
        <v>144</v>
      </c>
      <c r="E49" s="111">
        <v>5000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>
        <f t="shared" si="0"/>
        <v>5000</v>
      </c>
    </row>
    <row r="50" spans="1:18" x14ac:dyDescent="0.35">
      <c r="A50" s="5">
        <f t="shared" si="1"/>
        <v>48</v>
      </c>
      <c r="B50" s="49" t="s">
        <v>145</v>
      </c>
      <c r="C50" s="144" t="s">
        <v>1981</v>
      </c>
      <c r="D50" s="54" t="s">
        <v>77</v>
      </c>
      <c r="E50" s="111">
        <v>0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>
        <f t="shared" si="0"/>
        <v>0</v>
      </c>
    </row>
    <row r="51" spans="1:18" x14ac:dyDescent="0.35">
      <c r="A51" s="5">
        <f t="shared" si="1"/>
        <v>49</v>
      </c>
      <c r="B51" s="49" t="s">
        <v>147</v>
      </c>
      <c r="C51" s="90" t="s">
        <v>1944</v>
      </c>
      <c r="D51" s="54" t="s">
        <v>60</v>
      </c>
      <c r="E51" s="111">
        <v>5000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>
        <f t="shared" si="0"/>
        <v>5000</v>
      </c>
    </row>
    <row r="52" spans="1:18" x14ac:dyDescent="0.35">
      <c r="A52" s="5">
        <f t="shared" si="1"/>
        <v>50</v>
      </c>
      <c r="B52" s="49" t="s">
        <v>149</v>
      </c>
      <c r="C52" s="144" t="s">
        <v>1982</v>
      </c>
      <c r="D52" s="54" t="s">
        <v>46</v>
      </c>
      <c r="E52" s="111">
        <v>5000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>
        <f t="shared" si="0"/>
        <v>5000</v>
      </c>
    </row>
    <row r="53" spans="1:18" x14ac:dyDescent="0.35">
      <c r="A53" s="5">
        <f t="shared" si="1"/>
        <v>51</v>
      </c>
      <c r="B53" s="49" t="s">
        <v>151</v>
      </c>
      <c r="C53" s="7" t="s">
        <v>152</v>
      </c>
      <c r="D53" s="54" t="s">
        <v>49</v>
      </c>
      <c r="E53" s="111">
        <v>5000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>
        <f t="shared" si="0"/>
        <v>5000</v>
      </c>
    </row>
    <row r="54" spans="1:18" x14ac:dyDescent="0.35">
      <c r="A54" s="5">
        <f t="shared" si="1"/>
        <v>52</v>
      </c>
      <c r="B54" s="49" t="s">
        <v>153</v>
      </c>
      <c r="C54" s="90" t="s">
        <v>1946</v>
      </c>
      <c r="D54" s="54" t="s">
        <v>72</v>
      </c>
      <c r="E54" s="111">
        <v>5000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>
        <f t="shared" si="0"/>
        <v>5000</v>
      </c>
    </row>
    <row r="55" spans="1:18" x14ac:dyDescent="0.35">
      <c r="A55" s="5">
        <f t="shared" si="1"/>
        <v>53</v>
      </c>
      <c r="B55" s="49" t="s">
        <v>155</v>
      </c>
      <c r="C55" s="7" t="s">
        <v>1601</v>
      </c>
      <c r="D55" s="54" t="s">
        <v>49</v>
      </c>
      <c r="E55" s="111">
        <v>5000</v>
      </c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>
        <f t="shared" si="0"/>
        <v>5000</v>
      </c>
    </row>
    <row r="56" spans="1:18" x14ac:dyDescent="0.35">
      <c r="A56" s="5">
        <f t="shared" si="1"/>
        <v>54</v>
      </c>
      <c r="B56" s="49" t="s">
        <v>157</v>
      </c>
      <c r="C56" s="144" t="s">
        <v>1983</v>
      </c>
      <c r="D56" s="54" t="s">
        <v>159</v>
      </c>
      <c r="E56" s="111">
        <v>5000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>
        <f t="shared" si="0"/>
        <v>5000</v>
      </c>
    </row>
    <row r="57" spans="1:18" x14ac:dyDescent="0.35">
      <c r="A57" s="5">
        <f t="shared" si="1"/>
        <v>55</v>
      </c>
      <c r="B57" s="49" t="s">
        <v>160</v>
      </c>
      <c r="C57" s="7" t="s">
        <v>161</v>
      </c>
      <c r="D57" s="54" t="s">
        <v>95</v>
      </c>
      <c r="E57" s="111">
        <v>0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>
        <f t="shared" si="0"/>
        <v>0</v>
      </c>
    </row>
    <row r="58" spans="1:18" x14ac:dyDescent="0.35">
      <c r="A58" s="5">
        <f t="shared" si="1"/>
        <v>56</v>
      </c>
      <c r="B58" s="49" t="s">
        <v>162</v>
      </c>
      <c r="C58" s="7" t="s">
        <v>1602</v>
      </c>
      <c r="D58" s="54" t="s">
        <v>49</v>
      </c>
      <c r="E58" s="111">
        <v>0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>
        <f t="shared" si="0"/>
        <v>0</v>
      </c>
    </row>
    <row r="59" spans="1:18" x14ac:dyDescent="0.35">
      <c r="A59" s="5">
        <f t="shared" si="1"/>
        <v>57</v>
      </c>
      <c r="B59" s="49" t="s">
        <v>164</v>
      </c>
      <c r="C59" s="7" t="s">
        <v>1603</v>
      </c>
      <c r="D59" s="54" t="s">
        <v>166</v>
      </c>
      <c r="E59" s="111">
        <v>0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>
        <f t="shared" si="0"/>
        <v>0</v>
      </c>
    </row>
    <row r="60" spans="1:18" x14ac:dyDescent="0.35">
      <c r="A60" s="5">
        <f t="shared" si="1"/>
        <v>58</v>
      </c>
      <c r="B60" s="49" t="s">
        <v>167</v>
      </c>
      <c r="C60" s="7" t="s">
        <v>168</v>
      </c>
      <c r="D60" s="54" t="s">
        <v>169</v>
      </c>
      <c r="E60" s="111">
        <v>100000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>
        <f t="shared" si="0"/>
        <v>100000</v>
      </c>
    </row>
    <row r="61" spans="1:18" x14ac:dyDescent="0.35">
      <c r="A61" s="5">
        <f t="shared" si="1"/>
        <v>59</v>
      </c>
      <c r="B61" s="49" t="s">
        <v>170</v>
      </c>
      <c r="C61" s="7" t="s">
        <v>171</v>
      </c>
      <c r="D61" s="54" t="s">
        <v>49</v>
      </c>
      <c r="E61" s="111">
        <v>0</v>
      </c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>
        <f t="shared" si="0"/>
        <v>0</v>
      </c>
    </row>
    <row r="62" spans="1:18" x14ac:dyDescent="0.35">
      <c r="A62" s="5">
        <f t="shared" si="1"/>
        <v>60</v>
      </c>
      <c r="B62" s="49" t="s">
        <v>172</v>
      </c>
      <c r="C62" s="7" t="s">
        <v>173</v>
      </c>
      <c r="D62" s="54" t="s">
        <v>19</v>
      </c>
      <c r="E62" s="111">
        <v>5000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>
        <f t="shared" si="0"/>
        <v>5000</v>
      </c>
    </row>
    <row r="63" spans="1:18" x14ac:dyDescent="0.35">
      <c r="A63" s="5">
        <f t="shared" si="1"/>
        <v>61</v>
      </c>
      <c r="B63" s="49" t="s">
        <v>174</v>
      </c>
      <c r="C63" s="7" t="s">
        <v>1604</v>
      </c>
      <c r="D63" s="54" t="s">
        <v>14</v>
      </c>
      <c r="E63" s="111">
        <v>0</v>
      </c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>
        <f t="shared" si="0"/>
        <v>0</v>
      </c>
    </row>
    <row r="64" spans="1:18" x14ac:dyDescent="0.35">
      <c r="A64" s="5">
        <f t="shared" si="1"/>
        <v>62</v>
      </c>
      <c r="B64" s="49" t="s">
        <v>176</v>
      </c>
      <c r="C64" s="7" t="s">
        <v>177</v>
      </c>
      <c r="D64" s="54" t="s">
        <v>136</v>
      </c>
      <c r="E64" s="111">
        <v>0</v>
      </c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>
        <f t="shared" si="0"/>
        <v>0</v>
      </c>
    </row>
    <row r="65" spans="1:18" x14ac:dyDescent="0.35">
      <c r="A65" s="5">
        <f t="shared" si="1"/>
        <v>63</v>
      </c>
      <c r="B65" s="49" t="s">
        <v>178</v>
      </c>
      <c r="C65" s="7" t="s">
        <v>179</v>
      </c>
      <c r="D65" s="54" t="s">
        <v>49</v>
      </c>
      <c r="E65" s="111">
        <v>0</v>
      </c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>
        <f t="shared" si="0"/>
        <v>0</v>
      </c>
    </row>
    <row r="66" spans="1:18" x14ac:dyDescent="0.35">
      <c r="A66" s="5">
        <f t="shared" si="1"/>
        <v>64</v>
      </c>
      <c r="B66" s="49" t="s">
        <v>180</v>
      </c>
      <c r="C66" s="90" t="s">
        <v>1984</v>
      </c>
      <c r="D66" s="54" t="s">
        <v>46</v>
      </c>
      <c r="E66" s="111">
        <v>5000</v>
      </c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>
        <f t="shared" si="0"/>
        <v>5000</v>
      </c>
    </row>
    <row r="67" spans="1:18" x14ac:dyDescent="0.35">
      <c r="A67" s="5">
        <f t="shared" si="1"/>
        <v>65</v>
      </c>
      <c r="B67" s="49" t="s">
        <v>182</v>
      </c>
      <c r="C67" s="144" t="s">
        <v>1985</v>
      </c>
      <c r="D67" s="54" t="s">
        <v>19</v>
      </c>
      <c r="E67" s="111">
        <v>5000</v>
      </c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>
        <f t="shared" si="0"/>
        <v>5000</v>
      </c>
    </row>
    <row r="68" spans="1:18" x14ac:dyDescent="0.35">
      <c r="A68" s="5">
        <f t="shared" si="1"/>
        <v>66</v>
      </c>
      <c r="B68" s="49" t="s">
        <v>184</v>
      </c>
      <c r="C68" s="7" t="s">
        <v>185</v>
      </c>
      <c r="D68" s="54" t="s">
        <v>72</v>
      </c>
      <c r="E68" s="111">
        <v>0</v>
      </c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>
        <f t="shared" ref="R68:R131" si="2">E68+F68+G68+H68+I68+J68+K68+L68+M68+N68+O68+P68+Q68</f>
        <v>0</v>
      </c>
    </row>
    <row r="69" spans="1:18" x14ac:dyDescent="0.35">
      <c r="A69" s="5">
        <f t="shared" ref="A69:A132" si="3">A68+1</f>
        <v>67</v>
      </c>
      <c r="B69" s="49" t="s">
        <v>186</v>
      </c>
      <c r="C69" s="90" t="s">
        <v>1986</v>
      </c>
      <c r="D69" s="54" t="s">
        <v>95</v>
      </c>
      <c r="E69" s="111">
        <v>5000</v>
      </c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>
        <f t="shared" si="2"/>
        <v>5000</v>
      </c>
    </row>
    <row r="70" spans="1:18" x14ac:dyDescent="0.35">
      <c r="A70" s="5">
        <f t="shared" si="3"/>
        <v>68</v>
      </c>
      <c r="B70" s="49" t="s">
        <v>188</v>
      </c>
      <c r="C70" s="7" t="s">
        <v>1605</v>
      </c>
      <c r="D70" s="54" t="s">
        <v>49</v>
      </c>
      <c r="E70" s="111">
        <v>0</v>
      </c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>
        <f t="shared" si="2"/>
        <v>0</v>
      </c>
    </row>
    <row r="71" spans="1:18" x14ac:dyDescent="0.35">
      <c r="A71" s="5">
        <f t="shared" si="3"/>
        <v>69</v>
      </c>
      <c r="B71" s="49" t="s">
        <v>190</v>
      </c>
      <c r="C71" s="144" t="s">
        <v>1864</v>
      </c>
      <c r="D71" s="54" t="s">
        <v>141</v>
      </c>
      <c r="E71" s="111">
        <v>5000</v>
      </c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>
        <f t="shared" si="2"/>
        <v>5000</v>
      </c>
    </row>
    <row r="72" spans="1:18" x14ac:dyDescent="0.35">
      <c r="A72" s="5">
        <f t="shared" si="3"/>
        <v>70</v>
      </c>
      <c r="B72" s="49" t="s">
        <v>192</v>
      </c>
      <c r="C72" s="144" t="s">
        <v>1987</v>
      </c>
      <c r="D72" s="54" t="s">
        <v>136</v>
      </c>
      <c r="E72" s="111">
        <v>5000</v>
      </c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>
        <f t="shared" si="2"/>
        <v>5000</v>
      </c>
    </row>
    <row r="73" spans="1:18" x14ac:dyDescent="0.35">
      <c r="A73" s="5">
        <f t="shared" si="3"/>
        <v>71</v>
      </c>
      <c r="B73" s="49" t="s">
        <v>194</v>
      </c>
      <c r="C73" s="7" t="s">
        <v>1988</v>
      </c>
      <c r="D73" s="54" t="s">
        <v>123</v>
      </c>
      <c r="E73" s="111">
        <v>5000</v>
      </c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>
        <f t="shared" si="2"/>
        <v>5000</v>
      </c>
    </row>
    <row r="74" spans="1:18" x14ac:dyDescent="0.35">
      <c r="A74" s="5">
        <f t="shared" si="3"/>
        <v>72</v>
      </c>
      <c r="B74" s="49" t="s">
        <v>196</v>
      </c>
      <c r="C74" s="144" t="s">
        <v>1865</v>
      </c>
      <c r="D74" s="54" t="s">
        <v>198</v>
      </c>
      <c r="E74" s="111">
        <v>5000</v>
      </c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>
        <f t="shared" si="2"/>
        <v>5000</v>
      </c>
    </row>
    <row r="75" spans="1:18" x14ac:dyDescent="0.35">
      <c r="A75" s="5">
        <f t="shared" si="3"/>
        <v>73</v>
      </c>
      <c r="B75" s="49" t="s">
        <v>199</v>
      </c>
      <c r="C75" s="7" t="s">
        <v>1606</v>
      </c>
      <c r="D75" s="54" t="s">
        <v>201</v>
      </c>
      <c r="E75" s="111">
        <v>5000</v>
      </c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>
        <f t="shared" si="2"/>
        <v>5000</v>
      </c>
    </row>
    <row r="76" spans="1:18" x14ac:dyDescent="0.35">
      <c r="A76" s="5">
        <f t="shared" si="3"/>
        <v>74</v>
      </c>
      <c r="B76" s="49" t="s">
        <v>202</v>
      </c>
      <c r="C76" s="144" t="s">
        <v>1866</v>
      </c>
      <c r="D76" s="54" t="s">
        <v>144</v>
      </c>
      <c r="E76" s="111">
        <v>5000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>
        <f t="shared" si="2"/>
        <v>5000</v>
      </c>
    </row>
    <row r="77" spans="1:18" x14ac:dyDescent="0.35">
      <c r="A77" s="5">
        <f t="shared" si="3"/>
        <v>75</v>
      </c>
      <c r="B77" s="49" t="s">
        <v>204</v>
      </c>
      <c r="C77" s="7" t="s">
        <v>205</v>
      </c>
      <c r="D77" s="54" t="s">
        <v>77</v>
      </c>
      <c r="E77" s="111">
        <v>0</v>
      </c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>
        <f t="shared" si="2"/>
        <v>0</v>
      </c>
    </row>
    <row r="78" spans="1:18" x14ac:dyDescent="0.35">
      <c r="A78" s="5">
        <f t="shared" si="3"/>
        <v>76</v>
      </c>
      <c r="B78" s="49" t="s">
        <v>206</v>
      </c>
      <c r="C78" s="144" t="s">
        <v>1989</v>
      </c>
      <c r="D78" s="54" t="s">
        <v>77</v>
      </c>
      <c r="E78" s="111">
        <v>5000</v>
      </c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>
        <f t="shared" si="2"/>
        <v>5000</v>
      </c>
    </row>
    <row r="79" spans="1:18" x14ac:dyDescent="0.35">
      <c r="A79" s="5">
        <f t="shared" si="3"/>
        <v>77</v>
      </c>
      <c r="B79" s="49" t="s">
        <v>208</v>
      </c>
      <c r="C79" s="90" t="s">
        <v>1990</v>
      </c>
      <c r="D79" s="54" t="s">
        <v>210</v>
      </c>
      <c r="E79" s="111">
        <v>5000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>
        <f t="shared" si="2"/>
        <v>5000</v>
      </c>
    </row>
    <row r="80" spans="1:18" x14ac:dyDescent="0.35">
      <c r="A80" s="5">
        <f t="shared" si="3"/>
        <v>78</v>
      </c>
      <c r="B80" s="49" t="s">
        <v>211</v>
      </c>
      <c r="C80" s="7" t="s">
        <v>212</v>
      </c>
      <c r="D80" s="54" t="s">
        <v>65</v>
      </c>
      <c r="E80" s="111">
        <v>0</v>
      </c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>
        <f t="shared" si="2"/>
        <v>0</v>
      </c>
    </row>
    <row r="81" spans="1:18" x14ac:dyDescent="0.35">
      <c r="A81" s="5">
        <f t="shared" si="3"/>
        <v>79</v>
      </c>
      <c r="B81" s="49" t="s">
        <v>213</v>
      </c>
      <c r="C81" s="90" t="s">
        <v>1991</v>
      </c>
      <c r="D81" s="54" t="s">
        <v>215</v>
      </c>
      <c r="E81" s="111">
        <v>5000</v>
      </c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>
        <f t="shared" si="2"/>
        <v>5000</v>
      </c>
    </row>
    <row r="82" spans="1:18" x14ac:dyDescent="0.35">
      <c r="A82" s="5">
        <f t="shared" si="3"/>
        <v>80</v>
      </c>
      <c r="B82" s="49" t="s">
        <v>216</v>
      </c>
      <c r="C82" s="144" t="s">
        <v>1992</v>
      </c>
      <c r="D82" s="54" t="s">
        <v>136</v>
      </c>
      <c r="E82" s="111">
        <v>5000</v>
      </c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>
        <f t="shared" si="2"/>
        <v>5000</v>
      </c>
    </row>
    <row r="83" spans="1:18" x14ac:dyDescent="0.35">
      <c r="A83" s="5">
        <f t="shared" si="3"/>
        <v>81</v>
      </c>
      <c r="B83" s="49" t="s">
        <v>218</v>
      </c>
      <c r="C83" s="7" t="s">
        <v>1631</v>
      </c>
      <c r="D83" s="54" t="s">
        <v>80</v>
      </c>
      <c r="E83" s="111">
        <v>0</v>
      </c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>
        <f t="shared" si="2"/>
        <v>0</v>
      </c>
    </row>
    <row r="84" spans="1:18" x14ac:dyDescent="0.35">
      <c r="A84" s="5">
        <f t="shared" si="3"/>
        <v>82</v>
      </c>
      <c r="B84" s="49" t="s">
        <v>220</v>
      </c>
      <c r="C84" s="7" t="s">
        <v>221</v>
      </c>
      <c r="D84" s="54" t="s">
        <v>136</v>
      </c>
      <c r="E84" s="111">
        <v>0</v>
      </c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>
        <f t="shared" si="2"/>
        <v>0</v>
      </c>
    </row>
    <row r="85" spans="1:18" x14ac:dyDescent="0.35">
      <c r="A85" s="5">
        <f t="shared" si="3"/>
        <v>83</v>
      </c>
      <c r="B85" s="49" t="s">
        <v>222</v>
      </c>
      <c r="C85" s="7" t="s">
        <v>1680</v>
      </c>
      <c r="D85" s="54" t="s">
        <v>166</v>
      </c>
      <c r="E85" s="111">
        <v>5000</v>
      </c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>
        <f t="shared" si="2"/>
        <v>5000</v>
      </c>
    </row>
    <row r="86" spans="1:18" x14ac:dyDescent="0.35">
      <c r="A86" s="5">
        <f t="shared" si="3"/>
        <v>84</v>
      </c>
      <c r="B86" s="49" t="s">
        <v>224</v>
      </c>
      <c r="C86" s="7" t="s">
        <v>225</v>
      </c>
      <c r="D86" s="54" t="s">
        <v>49</v>
      </c>
      <c r="E86" s="111">
        <v>0</v>
      </c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>
        <f t="shared" si="2"/>
        <v>0</v>
      </c>
    </row>
    <row r="87" spans="1:18" x14ac:dyDescent="0.35">
      <c r="A87" s="5">
        <f t="shared" si="3"/>
        <v>85</v>
      </c>
      <c r="B87" s="49" t="s">
        <v>226</v>
      </c>
      <c r="C87" s="144" t="s">
        <v>1993</v>
      </c>
      <c r="D87" s="54" t="s">
        <v>228</v>
      </c>
      <c r="E87" s="111">
        <v>200000</v>
      </c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>
        <f t="shared" si="2"/>
        <v>200000</v>
      </c>
    </row>
    <row r="88" spans="1:18" x14ac:dyDescent="0.35">
      <c r="A88" s="5">
        <f t="shared" si="3"/>
        <v>86</v>
      </c>
      <c r="B88" s="49" t="s">
        <v>229</v>
      </c>
      <c r="C88" s="7" t="s">
        <v>1632</v>
      </c>
      <c r="D88" s="54" t="s">
        <v>231</v>
      </c>
      <c r="E88" s="111">
        <v>5000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>
        <f t="shared" si="2"/>
        <v>5000</v>
      </c>
    </row>
    <row r="89" spans="1:18" x14ac:dyDescent="0.35">
      <c r="A89" s="5">
        <f t="shared" si="3"/>
        <v>87</v>
      </c>
      <c r="B89" s="49" t="s">
        <v>232</v>
      </c>
      <c r="C89" s="7" t="s">
        <v>233</v>
      </c>
      <c r="D89" s="54" t="s">
        <v>159</v>
      </c>
      <c r="E89" s="111">
        <v>5000</v>
      </c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>
        <f t="shared" si="2"/>
        <v>5000</v>
      </c>
    </row>
    <row r="90" spans="1:18" x14ac:dyDescent="0.35">
      <c r="A90" s="5">
        <f t="shared" si="3"/>
        <v>88</v>
      </c>
      <c r="B90" s="49" t="s">
        <v>234</v>
      </c>
      <c r="C90" s="144" t="s">
        <v>1951</v>
      </c>
      <c r="D90" s="54" t="s">
        <v>95</v>
      </c>
      <c r="E90" s="111">
        <v>5000</v>
      </c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>
        <f t="shared" si="2"/>
        <v>5000</v>
      </c>
    </row>
    <row r="91" spans="1:18" x14ac:dyDescent="0.35">
      <c r="A91" s="5">
        <f t="shared" si="3"/>
        <v>89</v>
      </c>
      <c r="B91" s="49" t="s">
        <v>236</v>
      </c>
      <c r="C91" s="90" t="s">
        <v>1754</v>
      </c>
      <c r="D91" s="54" t="s">
        <v>238</v>
      </c>
      <c r="E91" s="111">
        <v>5000</v>
      </c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>
        <f t="shared" si="2"/>
        <v>5000</v>
      </c>
    </row>
    <row r="92" spans="1:18" x14ac:dyDescent="0.35">
      <c r="A92" s="5">
        <f t="shared" si="3"/>
        <v>90</v>
      </c>
      <c r="B92" s="49" t="s">
        <v>239</v>
      </c>
      <c r="C92" s="7" t="s">
        <v>1994</v>
      </c>
      <c r="D92" s="54" t="s">
        <v>198</v>
      </c>
      <c r="E92" s="111">
        <v>5000</v>
      </c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>
        <f t="shared" si="2"/>
        <v>5000</v>
      </c>
    </row>
    <row r="93" spans="1:18" x14ac:dyDescent="0.35">
      <c r="A93" s="5">
        <f t="shared" si="3"/>
        <v>91</v>
      </c>
      <c r="B93" s="49" t="s">
        <v>241</v>
      </c>
      <c r="C93" s="7" t="s">
        <v>1681</v>
      </c>
      <c r="D93" s="54" t="s">
        <v>77</v>
      </c>
      <c r="E93" s="111">
        <v>0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>
        <f t="shared" si="2"/>
        <v>0</v>
      </c>
    </row>
    <row r="94" spans="1:18" x14ac:dyDescent="0.35">
      <c r="A94" s="5">
        <f t="shared" si="3"/>
        <v>92</v>
      </c>
      <c r="B94" s="49" t="s">
        <v>243</v>
      </c>
      <c r="C94" s="7" t="s">
        <v>1995</v>
      </c>
      <c r="D94" s="54" t="s">
        <v>123</v>
      </c>
      <c r="E94" s="111">
        <v>5000</v>
      </c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>
        <f t="shared" si="2"/>
        <v>5000</v>
      </c>
    </row>
    <row r="95" spans="1:18" x14ac:dyDescent="0.35">
      <c r="A95" s="5">
        <f t="shared" si="3"/>
        <v>93</v>
      </c>
      <c r="B95" s="49" t="s">
        <v>245</v>
      </c>
      <c r="C95" s="7" t="s">
        <v>1633</v>
      </c>
      <c r="D95" s="54" t="s">
        <v>41</v>
      </c>
      <c r="E95" s="111">
        <v>0</v>
      </c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>
        <f t="shared" si="2"/>
        <v>0</v>
      </c>
    </row>
    <row r="96" spans="1:18" x14ac:dyDescent="0.35">
      <c r="A96" s="5">
        <f t="shared" si="3"/>
        <v>94</v>
      </c>
      <c r="B96" s="49" t="s">
        <v>247</v>
      </c>
      <c r="C96" s="7" t="s">
        <v>1996</v>
      </c>
      <c r="D96" s="54" t="s">
        <v>123</v>
      </c>
      <c r="E96" s="111">
        <v>5000</v>
      </c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>
        <f t="shared" si="2"/>
        <v>5000</v>
      </c>
    </row>
    <row r="97" spans="1:18" x14ac:dyDescent="0.35">
      <c r="A97" s="5">
        <f t="shared" si="3"/>
        <v>95</v>
      </c>
      <c r="B97" s="49" t="s">
        <v>249</v>
      </c>
      <c r="C97" s="90" t="s">
        <v>1997</v>
      </c>
      <c r="D97" s="54" t="s">
        <v>25</v>
      </c>
      <c r="E97" s="111">
        <v>5000</v>
      </c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>
        <f t="shared" si="2"/>
        <v>5000</v>
      </c>
    </row>
    <row r="98" spans="1:18" x14ac:dyDescent="0.35">
      <c r="A98" s="5">
        <f t="shared" si="3"/>
        <v>96</v>
      </c>
      <c r="B98" s="49" t="s">
        <v>251</v>
      </c>
      <c r="C98" s="7" t="s">
        <v>252</v>
      </c>
      <c r="D98" s="54" t="s">
        <v>253</v>
      </c>
      <c r="E98" s="111">
        <v>0</v>
      </c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>
        <f t="shared" si="2"/>
        <v>0</v>
      </c>
    </row>
    <row r="99" spans="1:18" x14ac:dyDescent="0.35">
      <c r="A99" s="5">
        <f t="shared" si="3"/>
        <v>97</v>
      </c>
      <c r="B99" s="49" t="s">
        <v>254</v>
      </c>
      <c r="C99" s="7" t="s">
        <v>1870</v>
      </c>
      <c r="D99" s="54" t="s">
        <v>98</v>
      </c>
      <c r="E99" s="111">
        <v>5000</v>
      </c>
      <c r="F99" s="58"/>
      <c r="G99" s="58"/>
      <c r="H99" s="58"/>
      <c r="I99" s="58"/>
      <c r="J99" s="58"/>
      <c r="K99" s="58"/>
      <c r="L99" s="58"/>
      <c r="M99" s="58">
        <v>-5000</v>
      </c>
      <c r="N99" s="58"/>
      <c r="O99" s="58"/>
      <c r="P99" s="58"/>
      <c r="Q99" s="58"/>
      <c r="R99" s="58">
        <f t="shared" si="2"/>
        <v>0</v>
      </c>
    </row>
    <row r="100" spans="1:18" x14ac:dyDescent="0.35">
      <c r="A100" s="5">
        <f t="shared" si="3"/>
        <v>98</v>
      </c>
      <c r="B100" s="49" t="s">
        <v>256</v>
      </c>
      <c r="C100" s="7" t="s">
        <v>1682</v>
      </c>
      <c r="D100" s="54" t="s">
        <v>25</v>
      </c>
      <c r="E100" s="111">
        <v>5000</v>
      </c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>
        <v>-5000</v>
      </c>
      <c r="R100" s="58">
        <f t="shared" si="2"/>
        <v>0</v>
      </c>
    </row>
    <row r="101" spans="1:18" x14ac:dyDescent="0.35">
      <c r="A101" s="5">
        <f t="shared" si="3"/>
        <v>99</v>
      </c>
      <c r="B101" s="49" t="s">
        <v>258</v>
      </c>
      <c r="C101" s="90" t="s">
        <v>1913</v>
      </c>
      <c r="D101" s="54" t="s">
        <v>260</v>
      </c>
      <c r="E101" s="111">
        <v>5000</v>
      </c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>
        <f t="shared" si="2"/>
        <v>5000</v>
      </c>
    </row>
    <row r="102" spans="1:18" x14ac:dyDescent="0.35">
      <c r="A102" s="5">
        <f t="shared" si="3"/>
        <v>100</v>
      </c>
      <c r="B102" s="49" t="s">
        <v>261</v>
      </c>
      <c r="C102" s="144" t="s">
        <v>1871</v>
      </c>
      <c r="D102" s="54" t="s">
        <v>136</v>
      </c>
      <c r="E102" s="111">
        <v>5000</v>
      </c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>
        <f t="shared" si="2"/>
        <v>5000</v>
      </c>
    </row>
    <row r="103" spans="1:18" x14ac:dyDescent="0.35">
      <c r="A103" s="5">
        <f t="shared" si="3"/>
        <v>101</v>
      </c>
      <c r="B103" s="49" t="s">
        <v>263</v>
      </c>
      <c r="C103" s="7" t="s">
        <v>264</v>
      </c>
      <c r="D103" s="54" t="s">
        <v>49</v>
      </c>
      <c r="E103" s="111">
        <v>0</v>
      </c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>
        <f t="shared" si="2"/>
        <v>0</v>
      </c>
    </row>
    <row r="104" spans="1:18" x14ac:dyDescent="0.35">
      <c r="A104" s="5">
        <f t="shared" si="3"/>
        <v>102</v>
      </c>
      <c r="B104" s="49" t="s">
        <v>265</v>
      </c>
      <c r="C104" s="7" t="s">
        <v>1683</v>
      </c>
      <c r="D104" s="54" t="s">
        <v>267</v>
      </c>
      <c r="E104" s="111">
        <v>0</v>
      </c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>
        <f t="shared" si="2"/>
        <v>0</v>
      </c>
    </row>
    <row r="105" spans="1:18" x14ac:dyDescent="0.35">
      <c r="A105" s="5">
        <f t="shared" si="3"/>
        <v>103</v>
      </c>
      <c r="B105" s="49" t="s">
        <v>268</v>
      </c>
      <c r="C105" s="90" t="s">
        <v>1872</v>
      </c>
      <c r="D105" s="54" t="s">
        <v>270</v>
      </c>
      <c r="E105" s="111">
        <v>5000</v>
      </c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>
        <f t="shared" si="2"/>
        <v>5000</v>
      </c>
    </row>
    <row r="106" spans="1:18" x14ac:dyDescent="0.35">
      <c r="A106" s="5">
        <f t="shared" si="3"/>
        <v>104</v>
      </c>
      <c r="B106" s="49" t="s">
        <v>271</v>
      </c>
      <c r="C106" s="7" t="s">
        <v>272</v>
      </c>
      <c r="D106" s="54" t="s">
        <v>46</v>
      </c>
      <c r="E106" s="111">
        <v>0</v>
      </c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>
        <f t="shared" si="2"/>
        <v>0</v>
      </c>
    </row>
    <row r="107" spans="1:18" x14ac:dyDescent="0.35">
      <c r="A107" s="5">
        <f t="shared" si="3"/>
        <v>105</v>
      </c>
      <c r="B107" s="49" t="s">
        <v>273</v>
      </c>
      <c r="C107" s="7" t="s">
        <v>1684</v>
      </c>
      <c r="D107" s="54" t="s">
        <v>166</v>
      </c>
      <c r="E107" s="111">
        <v>5000</v>
      </c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>
        <f t="shared" si="2"/>
        <v>5000</v>
      </c>
    </row>
    <row r="108" spans="1:18" x14ac:dyDescent="0.35">
      <c r="A108" s="5">
        <f t="shared" si="3"/>
        <v>106</v>
      </c>
      <c r="B108" s="49" t="s">
        <v>275</v>
      </c>
      <c r="C108" s="144" t="s">
        <v>1998</v>
      </c>
      <c r="D108" s="54" t="s">
        <v>83</v>
      </c>
      <c r="E108" s="111">
        <v>5000</v>
      </c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>
        <f t="shared" si="2"/>
        <v>5000</v>
      </c>
    </row>
    <row r="109" spans="1:18" x14ac:dyDescent="0.35">
      <c r="A109" s="5">
        <f t="shared" si="3"/>
        <v>107</v>
      </c>
      <c r="B109" s="49" t="s">
        <v>277</v>
      </c>
      <c r="C109" s="90" t="s">
        <v>1773</v>
      </c>
      <c r="D109" s="54" t="s">
        <v>72</v>
      </c>
      <c r="E109" s="111">
        <v>5000</v>
      </c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>
        <f t="shared" si="2"/>
        <v>5000</v>
      </c>
    </row>
    <row r="110" spans="1:18" x14ac:dyDescent="0.35">
      <c r="A110" s="5">
        <f t="shared" si="3"/>
        <v>108</v>
      </c>
      <c r="B110" s="49" t="s">
        <v>279</v>
      </c>
      <c r="C110" s="144" t="s">
        <v>1874</v>
      </c>
      <c r="D110" s="54" t="s">
        <v>46</v>
      </c>
      <c r="E110" s="111">
        <v>5000</v>
      </c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>
        <f t="shared" si="2"/>
        <v>5000</v>
      </c>
    </row>
    <row r="111" spans="1:18" x14ac:dyDescent="0.35">
      <c r="A111" s="5">
        <f t="shared" si="3"/>
        <v>109</v>
      </c>
      <c r="B111" s="49" t="s">
        <v>281</v>
      </c>
      <c r="C111" s="7" t="s">
        <v>1685</v>
      </c>
      <c r="D111" s="54" t="s">
        <v>72</v>
      </c>
      <c r="E111" s="111">
        <v>0</v>
      </c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>
        <f t="shared" si="2"/>
        <v>0</v>
      </c>
    </row>
    <row r="112" spans="1:18" x14ac:dyDescent="0.35">
      <c r="A112" s="5">
        <f t="shared" si="3"/>
        <v>110</v>
      </c>
      <c r="B112" s="49" t="s">
        <v>283</v>
      </c>
      <c r="C112" s="7" t="s">
        <v>1999</v>
      </c>
      <c r="D112" s="54" t="s">
        <v>285</v>
      </c>
      <c r="E112" s="111">
        <v>5000</v>
      </c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>
        <f t="shared" si="2"/>
        <v>5000</v>
      </c>
    </row>
    <row r="113" spans="1:18" x14ac:dyDescent="0.35">
      <c r="A113" s="5">
        <f t="shared" si="3"/>
        <v>111</v>
      </c>
      <c r="B113" s="49" t="s">
        <v>286</v>
      </c>
      <c r="C113" s="7" t="s">
        <v>287</v>
      </c>
      <c r="D113" s="54" t="s">
        <v>113</v>
      </c>
      <c r="E113" s="111">
        <v>0</v>
      </c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>
        <f t="shared" si="2"/>
        <v>0</v>
      </c>
    </row>
    <row r="114" spans="1:18" x14ac:dyDescent="0.35">
      <c r="A114" s="5">
        <f t="shared" si="3"/>
        <v>112</v>
      </c>
      <c r="B114" s="49" t="s">
        <v>288</v>
      </c>
      <c r="C114" s="7" t="s">
        <v>289</v>
      </c>
      <c r="D114" s="54" t="s">
        <v>290</v>
      </c>
      <c r="E114" s="111">
        <v>5000</v>
      </c>
      <c r="F114" s="58"/>
      <c r="G114" s="58"/>
      <c r="H114" s="58"/>
      <c r="I114" s="58"/>
      <c r="J114" s="58"/>
      <c r="K114" s="58"/>
      <c r="L114" s="58"/>
      <c r="M114" s="58"/>
      <c r="N114" s="58">
        <v>-5000</v>
      </c>
      <c r="O114" s="58"/>
      <c r="P114" s="58"/>
      <c r="Q114" s="58"/>
      <c r="R114" s="58">
        <f>E114+F114+G114+H114+I114+J114+K114+L114+M114+N114+O114+P114+Q114</f>
        <v>0</v>
      </c>
    </row>
    <row r="115" spans="1:18" x14ac:dyDescent="0.35">
      <c r="A115" s="5">
        <f t="shared" si="3"/>
        <v>113</v>
      </c>
      <c r="B115" s="49" t="s">
        <v>291</v>
      </c>
      <c r="C115" s="144" t="s">
        <v>1933</v>
      </c>
      <c r="D115" s="54" t="s">
        <v>128</v>
      </c>
      <c r="E115" s="111">
        <v>5000</v>
      </c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>
        <f t="shared" si="2"/>
        <v>5000</v>
      </c>
    </row>
    <row r="116" spans="1:18" x14ac:dyDescent="0.35">
      <c r="A116" s="5">
        <f t="shared" si="3"/>
        <v>114</v>
      </c>
      <c r="B116" s="49" t="s">
        <v>293</v>
      </c>
      <c r="C116" s="90" t="s">
        <v>1779</v>
      </c>
      <c r="D116" s="54" t="s">
        <v>295</v>
      </c>
      <c r="E116" s="111">
        <v>5000</v>
      </c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>
        <f t="shared" si="2"/>
        <v>5000</v>
      </c>
    </row>
    <row r="117" spans="1:18" x14ac:dyDescent="0.35">
      <c r="A117" s="5">
        <f t="shared" si="3"/>
        <v>115</v>
      </c>
      <c r="B117" s="49" t="s">
        <v>296</v>
      </c>
      <c r="C117" s="7" t="s">
        <v>297</v>
      </c>
      <c r="D117" s="54" t="s">
        <v>49</v>
      </c>
      <c r="E117" s="111">
        <v>5000</v>
      </c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>
        <f t="shared" si="2"/>
        <v>5000</v>
      </c>
    </row>
    <row r="118" spans="1:18" x14ac:dyDescent="0.35">
      <c r="A118" s="5">
        <f t="shared" si="3"/>
        <v>116</v>
      </c>
      <c r="B118" s="49" t="s">
        <v>298</v>
      </c>
      <c r="C118" s="7" t="s">
        <v>1686</v>
      </c>
      <c r="D118" s="54" t="s">
        <v>300</v>
      </c>
      <c r="E118" s="111">
        <v>0</v>
      </c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>
        <f t="shared" si="2"/>
        <v>0</v>
      </c>
    </row>
    <row r="119" spans="1:18" x14ac:dyDescent="0.35">
      <c r="A119" s="5">
        <f t="shared" si="3"/>
        <v>117</v>
      </c>
      <c r="B119" s="49" t="s">
        <v>301</v>
      </c>
      <c r="C119" s="90" t="s">
        <v>2000</v>
      </c>
      <c r="D119" s="54" t="s">
        <v>303</v>
      </c>
      <c r="E119" s="111">
        <v>5000</v>
      </c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>
        <f t="shared" si="2"/>
        <v>5000</v>
      </c>
    </row>
    <row r="120" spans="1:18" x14ac:dyDescent="0.35">
      <c r="A120" s="5">
        <f t="shared" si="3"/>
        <v>118</v>
      </c>
      <c r="B120" s="49" t="s">
        <v>304</v>
      </c>
      <c r="C120" s="7" t="s">
        <v>2207</v>
      </c>
      <c r="D120" s="54" t="s">
        <v>136</v>
      </c>
      <c r="E120" s="111">
        <v>0</v>
      </c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>
        <f t="shared" si="2"/>
        <v>0</v>
      </c>
    </row>
    <row r="121" spans="1:18" x14ac:dyDescent="0.35">
      <c r="A121" s="5">
        <f t="shared" si="3"/>
        <v>119</v>
      </c>
      <c r="B121" s="49" t="s">
        <v>306</v>
      </c>
      <c r="C121" s="7" t="s">
        <v>1687</v>
      </c>
      <c r="D121" s="54" t="s">
        <v>60</v>
      </c>
      <c r="E121" s="111">
        <v>0</v>
      </c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>
        <f t="shared" si="2"/>
        <v>0</v>
      </c>
    </row>
    <row r="122" spans="1:18" x14ac:dyDescent="0.35">
      <c r="A122" s="5">
        <f t="shared" si="3"/>
        <v>120</v>
      </c>
      <c r="B122" s="49" t="s">
        <v>308</v>
      </c>
      <c r="C122" s="7" t="s">
        <v>309</v>
      </c>
      <c r="D122" s="54" t="s">
        <v>131</v>
      </c>
      <c r="E122" s="111">
        <v>0</v>
      </c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>
        <f t="shared" si="2"/>
        <v>0</v>
      </c>
    </row>
    <row r="123" spans="1:18" x14ac:dyDescent="0.35">
      <c r="A123" s="5">
        <f t="shared" si="3"/>
        <v>121</v>
      </c>
      <c r="B123" s="49" t="s">
        <v>310</v>
      </c>
      <c r="C123" s="90" t="s">
        <v>2001</v>
      </c>
      <c r="D123" s="54" t="s">
        <v>25</v>
      </c>
      <c r="E123" s="111">
        <v>5000</v>
      </c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>
        <f t="shared" si="2"/>
        <v>5000</v>
      </c>
    </row>
    <row r="124" spans="1:18" x14ac:dyDescent="0.35">
      <c r="A124" s="5">
        <f t="shared" si="3"/>
        <v>122</v>
      </c>
      <c r="B124" s="49" t="s">
        <v>312</v>
      </c>
      <c r="C124" s="90" t="s">
        <v>1775</v>
      </c>
      <c r="D124" s="54" t="s">
        <v>72</v>
      </c>
      <c r="E124" s="111">
        <v>5000</v>
      </c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>
        <f t="shared" si="2"/>
        <v>5000</v>
      </c>
    </row>
    <row r="125" spans="1:18" x14ac:dyDescent="0.35">
      <c r="A125" s="5">
        <f t="shared" si="3"/>
        <v>123</v>
      </c>
      <c r="B125" s="49" t="s">
        <v>314</v>
      </c>
      <c r="C125" s="101" t="s">
        <v>1877</v>
      </c>
      <c r="D125" s="54" t="s">
        <v>25</v>
      </c>
      <c r="E125" s="111">
        <v>5000</v>
      </c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>
        <f t="shared" si="2"/>
        <v>5000</v>
      </c>
    </row>
    <row r="126" spans="1:18" x14ac:dyDescent="0.35">
      <c r="A126" s="5">
        <f t="shared" si="3"/>
        <v>124</v>
      </c>
      <c r="B126" s="49" t="s">
        <v>316</v>
      </c>
      <c r="C126" s="7" t="s">
        <v>1688</v>
      </c>
      <c r="D126" s="54" t="s">
        <v>318</v>
      </c>
      <c r="E126" s="111">
        <v>0</v>
      </c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>
        <f t="shared" si="2"/>
        <v>0</v>
      </c>
    </row>
    <row r="127" spans="1:18" x14ac:dyDescent="0.35">
      <c r="A127" s="5">
        <f t="shared" si="3"/>
        <v>125</v>
      </c>
      <c r="B127" s="49" t="s">
        <v>319</v>
      </c>
      <c r="C127" s="101" t="s">
        <v>1776</v>
      </c>
      <c r="D127" s="54" t="s">
        <v>321</v>
      </c>
      <c r="E127" s="111">
        <v>5000</v>
      </c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>
        <f t="shared" si="2"/>
        <v>5000</v>
      </c>
    </row>
    <row r="128" spans="1:18" x14ac:dyDescent="0.35">
      <c r="A128" s="5">
        <f t="shared" si="3"/>
        <v>126</v>
      </c>
      <c r="B128" s="49" t="s">
        <v>322</v>
      </c>
      <c r="C128" s="7" t="s">
        <v>1634</v>
      </c>
      <c r="D128" s="54" t="s">
        <v>324</v>
      </c>
      <c r="E128" s="111">
        <v>0</v>
      </c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>
        <f t="shared" si="2"/>
        <v>0</v>
      </c>
    </row>
    <row r="129" spans="1:18" x14ac:dyDescent="0.35">
      <c r="A129" s="5">
        <f t="shared" si="3"/>
        <v>127</v>
      </c>
      <c r="B129" s="49" t="s">
        <v>325</v>
      </c>
      <c r="C129" s="144" t="s">
        <v>326</v>
      </c>
      <c r="D129" s="54" t="s">
        <v>270</v>
      </c>
      <c r="E129" s="111">
        <v>5000</v>
      </c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>
        <f t="shared" si="2"/>
        <v>5000</v>
      </c>
    </row>
    <row r="130" spans="1:18" x14ac:dyDescent="0.35">
      <c r="A130" s="5">
        <f t="shared" si="3"/>
        <v>128</v>
      </c>
      <c r="B130" s="49" t="s">
        <v>327</v>
      </c>
      <c r="C130" s="144" t="s">
        <v>1879</v>
      </c>
      <c r="D130" s="54" t="s">
        <v>136</v>
      </c>
      <c r="E130" s="111">
        <v>5000</v>
      </c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>
        <f t="shared" si="2"/>
        <v>5000</v>
      </c>
    </row>
    <row r="131" spans="1:18" x14ac:dyDescent="0.35">
      <c r="A131" s="5">
        <f t="shared" si="3"/>
        <v>129</v>
      </c>
      <c r="B131" s="49" t="s">
        <v>329</v>
      </c>
      <c r="C131" s="90" t="s">
        <v>1788</v>
      </c>
      <c r="D131" s="54" t="s">
        <v>136</v>
      </c>
      <c r="E131" s="111">
        <v>5000</v>
      </c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>
        <f t="shared" si="2"/>
        <v>5000</v>
      </c>
    </row>
    <row r="132" spans="1:18" x14ac:dyDescent="0.35">
      <c r="A132" s="5">
        <f t="shared" si="3"/>
        <v>130</v>
      </c>
      <c r="B132" s="49" t="s">
        <v>331</v>
      </c>
      <c r="C132" s="101" t="s">
        <v>2002</v>
      </c>
      <c r="D132" s="54" t="s">
        <v>333</v>
      </c>
      <c r="E132" s="111">
        <v>5000</v>
      </c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>
        <f t="shared" ref="R132:R195" si="4">E132+F132+G132+H132+I132+J132+K132+L132+M132+N132+O132+P132+Q132</f>
        <v>5000</v>
      </c>
    </row>
    <row r="133" spans="1:18" x14ac:dyDescent="0.35">
      <c r="A133" s="5">
        <f t="shared" ref="A133:A196" si="5">A132+1</f>
        <v>131</v>
      </c>
      <c r="B133" s="49" t="s">
        <v>334</v>
      </c>
      <c r="C133" s="90" t="s">
        <v>2003</v>
      </c>
      <c r="D133" s="54" t="s">
        <v>60</v>
      </c>
      <c r="E133" s="111">
        <v>5000</v>
      </c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>
        <f t="shared" si="4"/>
        <v>5000</v>
      </c>
    </row>
    <row r="134" spans="1:18" x14ac:dyDescent="0.35">
      <c r="A134" s="5">
        <f t="shared" si="5"/>
        <v>132</v>
      </c>
      <c r="B134" s="49" t="s">
        <v>336</v>
      </c>
      <c r="C134" s="7" t="s">
        <v>1689</v>
      </c>
      <c r="D134" s="54" t="s">
        <v>41</v>
      </c>
      <c r="E134" s="111">
        <v>0</v>
      </c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>
        <f t="shared" si="4"/>
        <v>0</v>
      </c>
    </row>
    <row r="135" spans="1:18" x14ac:dyDescent="0.35">
      <c r="A135" s="5">
        <f t="shared" si="5"/>
        <v>133</v>
      </c>
      <c r="B135" s="49" t="s">
        <v>338</v>
      </c>
      <c r="C135" s="7" t="s">
        <v>1690</v>
      </c>
      <c r="D135" s="54" t="s">
        <v>49</v>
      </c>
      <c r="E135" s="111">
        <v>5000</v>
      </c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>
        <f t="shared" si="4"/>
        <v>5000</v>
      </c>
    </row>
    <row r="136" spans="1:18" x14ac:dyDescent="0.35">
      <c r="A136" s="5">
        <f t="shared" si="5"/>
        <v>134</v>
      </c>
      <c r="B136" s="49" t="s">
        <v>340</v>
      </c>
      <c r="C136" s="7" t="s">
        <v>1616</v>
      </c>
      <c r="D136" s="54" t="s">
        <v>136</v>
      </c>
      <c r="E136" s="111">
        <v>0</v>
      </c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>
        <f t="shared" si="4"/>
        <v>0</v>
      </c>
    </row>
    <row r="137" spans="1:18" x14ac:dyDescent="0.35">
      <c r="A137" s="5">
        <f t="shared" si="5"/>
        <v>135</v>
      </c>
      <c r="B137" s="49" t="s">
        <v>342</v>
      </c>
      <c r="C137" s="90" t="s">
        <v>1777</v>
      </c>
      <c r="D137" s="54" t="s">
        <v>303</v>
      </c>
      <c r="E137" s="111">
        <v>5000</v>
      </c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>
        <f t="shared" si="4"/>
        <v>5000</v>
      </c>
    </row>
    <row r="138" spans="1:18" x14ac:dyDescent="0.35">
      <c r="A138" s="5">
        <f t="shared" si="5"/>
        <v>136</v>
      </c>
      <c r="B138" s="49" t="s">
        <v>344</v>
      </c>
      <c r="C138" s="90" t="s">
        <v>1747</v>
      </c>
      <c r="D138" s="54" t="s">
        <v>95</v>
      </c>
      <c r="E138" s="111">
        <v>5000</v>
      </c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>
        <f t="shared" si="4"/>
        <v>5000</v>
      </c>
    </row>
    <row r="139" spans="1:18" x14ac:dyDescent="0.35">
      <c r="A139" s="5">
        <f t="shared" si="5"/>
        <v>137</v>
      </c>
      <c r="B139" s="49" t="s">
        <v>346</v>
      </c>
      <c r="C139" s="7" t="s">
        <v>1635</v>
      </c>
      <c r="D139" s="54" t="s">
        <v>98</v>
      </c>
      <c r="E139" s="111">
        <v>0</v>
      </c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>
        <f t="shared" si="4"/>
        <v>0</v>
      </c>
    </row>
    <row r="140" spans="1:18" x14ac:dyDescent="0.35">
      <c r="A140" s="5">
        <f t="shared" si="5"/>
        <v>138</v>
      </c>
      <c r="B140" s="49" t="s">
        <v>348</v>
      </c>
      <c r="C140" s="144" t="s">
        <v>1881</v>
      </c>
      <c r="D140" s="54" t="s">
        <v>98</v>
      </c>
      <c r="E140" s="111">
        <v>5000</v>
      </c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>
        <f t="shared" si="4"/>
        <v>5000</v>
      </c>
    </row>
    <row r="141" spans="1:18" x14ac:dyDescent="0.35">
      <c r="A141" s="5">
        <f t="shared" si="5"/>
        <v>139</v>
      </c>
      <c r="B141" s="49" t="s">
        <v>350</v>
      </c>
      <c r="C141" s="90" t="s">
        <v>1790</v>
      </c>
      <c r="D141" s="54" t="s">
        <v>14</v>
      </c>
      <c r="E141" s="111">
        <v>5000</v>
      </c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>
        <f t="shared" si="4"/>
        <v>5000</v>
      </c>
    </row>
    <row r="142" spans="1:18" x14ac:dyDescent="0.35">
      <c r="A142" s="5">
        <f t="shared" si="5"/>
        <v>140</v>
      </c>
      <c r="B142" s="49" t="s">
        <v>352</v>
      </c>
      <c r="C142" s="7" t="s">
        <v>353</v>
      </c>
      <c r="D142" s="54" t="s">
        <v>354</v>
      </c>
      <c r="E142" s="111">
        <v>0</v>
      </c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>
        <f t="shared" si="4"/>
        <v>0</v>
      </c>
    </row>
    <row r="143" spans="1:18" x14ac:dyDescent="0.35">
      <c r="A143" s="5">
        <f t="shared" si="5"/>
        <v>141</v>
      </c>
      <c r="B143" s="49" t="s">
        <v>355</v>
      </c>
      <c r="C143" s="7" t="s">
        <v>1691</v>
      </c>
      <c r="D143" s="54" t="s">
        <v>166</v>
      </c>
      <c r="E143" s="111">
        <v>0</v>
      </c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>
        <f t="shared" si="4"/>
        <v>0</v>
      </c>
    </row>
    <row r="144" spans="1:18" x14ac:dyDescent="0.35">
      <c r="A144" s="5">
        <f t="shared" si="5"/>
        <v>142</v>
      </c>
      <c r="B144" s="49" t="s">
        <v>357</v>
      </c>
      <c r="C144" s="7" t="s">
        <v>1692</v>
      </c>
      <c r="D144" s="54" t="s">
        <v>19</v>
      </c>
      <c r="E144" s="111">
        <v>5000</v>
      </c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>
        <f t="shared" si="4"/>
        <v>5000</v>
      </c>
    </row>
    <row r="145" spans="1:18" x14ac:dyDescent="0.35">
      <c r="A145" s="5">
        <f t="shared" si="5"/>
        <v>143</v>
      </c>
      <c r="B145" s="49" t="s">
        <v>359</v>
      </c>
      <c r="C145" s="7" t="s">
        <v>1693</v>
      </c>
      <c r="D145" s="54" t="s">
        <v>136</v>
      </c>
      <c r="E145" s="111">
        <v>0</v>
      </c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>
        <f t="shared" si="4"/>
        <v>0</v>
      </c>
    </row>
    <row r="146" spans="1:18" x14ac:dyDescent="0.35">
      <c r="A146" s="5">
        <f t="shared" si="5"/>
        <v>144</v>
      </c>
      <c r="B146" s="49" t="s">
        <v>361</v>
      </c>
      <c r="C146" s="7" t="s">
        <v>362</v>
      </c>
      <c r="D146" s="54" t="s">
        <v>72</v>
      </c>
      <c r="E146" s="111">
        <v>0</v>
      </c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>
        <f t="shared" si="4"/>
        <v>0</v>
      </c>
    </row>
    <row r="147" spans="1:18" x14ac:dyDescent="0.35">
      <c r="A147" s="5">
        <f t="shared" si="5"/>
        <v>145</v>
      </c>
      <c r="B147" s="49" t="s">
        <v>363</v>
      </c>
      <c r="C147" s="7" t="s">
        <v>1607</v>
      </c>
      <c r="D147" s="54" t="s">
        <v>14</v>
      </c>
      <c r="E147" s="111">
        <v>0</v>
      </c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>
        <f t="shared" si="4"/>
        <v>0</v>
      </c>
    </row>
    <row r="148" spans="1:18" x14ac:dyDescent="0.35">
      <c r="A148" s="5">
        <f t="shared" si="5"/>
        <v>146</v>
      </c>
      <c r="B148" s="49" t="s">
        <v>365</v>
      </c>
      <c r="C148" s="90" t="s">
        <v>1970</v>
      </c>
      <c r="D148" s="54" t="s">
        <v>367</v>
      </c>
      <c r="E148" s="111">
        <v>5000</v>
      </c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>
        <f t="shared" si="4"/>
        <v>5000</v>
      </c>
    </row>
    <row r="149" spans="1:18" x14ac:dyDescent="0.35">
      <c r="A149" s="5">
        <f t="shared" si="5"/>
        <v>147</v>
      </c>
      <c r="B149" s="49" t="s">
        <v>368</v>
      </c>
      <c r="C149" s="7" t="s">
        <v>1912</v>
      </c>
      <c r="D149" s="54" t="s">
        <v>198</v>
      </c>
      <c r="E149" s="111">
        <v>5000</v>
      </c>
      <c r="F149" s="58"/>
      <c r="G149" s="58"/>
      <c r="H149" s="58"/>
      <c r="I149" s="58"/>
      <c r="J149" s="58"/>
      <c r="K149" s="58"/>
      <c r="L149" s="58"/>
      <c r="M149" s="58">
        <v>-5000</v>
      </c>
      <c r="N149" s="58"/>
      <c r="O149" s="58"/>
      <c r="P149" s="58"/>
      <c r="Q149" s="58"/>
      <c r="R149" s="58">
        <f t="shared" si="4"/>
        <v>0</v>
      </c>
    </row>
    <row r="150" spans="1:18" x14ac:dyDescent="0.35">
      <c r="A150" s="5">
        <f t="shared" si="5"/>
        <v>148</v>
      </c>
      <c r="B150" s="49" t="s">
        <v>370</v>
      </c>
      <c r="C150" s="7" t="s">
        <v>1636</v>
      </c>
      <c r="D150" s="54" t="s">
        <v>72</v>
      </c>
      <c r="E150" s="111">
        <v>0</v>
      </c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>
        <f t="shared" si="4"/>
        <v>0</v>
      </c>
    </row>
    <row r="151" spans="1:18" x14ac:dyDescent="0.35">
      <c r="A151" s="5">
        <f t="shared" si="5"/>
        <v>149</v>
      </c>
      <c r="B151" s="49" t="s">
        <v>372</v>
      </c>
      <c r="C151" s="144" t="s">
        <v>2004</v>
      </c>
      <c r="D151" s="54" t="s">
        <v>374</v>
      </c>
      <c r="E151" s="111">
        <v>5000</v>
      </c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>
        <f t="shared" si="4"/>
        <v>5000</v>
      </c>
    </row>
    <row r="152" spans="1:18" x14ac:dyDescent="0.35">
      <c r="A152" s="5">
        <f t="shared" si="5"/>
        <v>150</v>
      </c>
      <c r="B152" s="49" t="s">
        <v>375</v>
      </c>
      <c r="C152" s="7" t="s">
        <v>1694</v>
      </c>
      <c r="D152" s="54" t="s">
        <v>377</v>
      </c>
      <c r="E152" s="111">
        <v>5000</v>
      </c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>
        <f t="shared" si="4"/>
        <v>5000</v>
      </c>
    </row>
    <row r="153" spans="1:18" x14ac:dyDescent="0.35">
      <c r="A153" s="5">
        <f t="shared" si="5"/>
        <v>151</v>
      </c>
      <c r="B153" s="49" t="s">
        <v>378</v>
      </c>
      <c r="C153" s="90" t="s">
        <v>2005</v>
      </c>
      <c r="D153" s="54" t="s">
        <v>72</v>
      </c>
      <c r="E153" s="111">
        <v>5000</v>
      </c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>
        <f t="shared" si="4"/>
        <v>5000</v>
      </c>
    </row>
    <row r="154" spans="1:18" x14ac:dyDescent="0.35">
      <c r="A154" s="5">
        <f t="shared" si="5"/>
        <v>152</v>
      </c>
      <c r="B154" s="49" t="s">
        <v>380</v>
      </c>
      <c r="C154" s="90" t="s">
        <v>1772</v>
      </c>
      <c r="D154" s="54" t="s">
        <v>72</v>
      </c>
      <c r="E154" s="111">
        <v>5000</v>
      </c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>
        <f t="shared" si="4"/>
        <v>5000</v>
      </c>
    </row>
    <row r="155" spans="1:18" x14ac:dyDescent="0.35">
      <c r="A155" s="5">
        <f t="shared" si="5"/>
        <v>153</v>
      </c>
      <c r="B155" s="49" t="s">
        <v>382</v>
      </c>
      <c r="C155" s="90" t="s">
        <v>2006</v>
      </c>
      <c r="D155" s="54" t="s">
        <v>367</v>
      </c>
      <c r="E155" s="111">
        <v>5000</v>
      </c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>
        <f t="shared" si="4"/>
        <v>5000</v>
      </c>
    </row>
    <row r="156" spans="1:18" x14ac:dyDescent="0.35">
      <c r="A156" s="5">
        <f t="shared" si="5"/>
        <v>154</v>
      </c>
      <c r="B156" s="49" t="s">
        <v>384</v>
      </c>
      <c r="C156" s="7" t="s">
        <v>385</v>
      </c>
      <c r="D156" s="54" t="s">
        <v>19</v>
      </c>
      <c r="E156" s="111">
        <v>0</v>
      </c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>
        <f t="shared" si="4"/>
        <v>0</v>
      </c>
    </row>
    <row r="157" spans="1:18" x14ac:dyDescent="0.35">
      <c r="A157" s="5">
        <f t="shared" si="5"/>
        <v>155</v>
      </c>
      <c r="B157" s="49" t="s">
        <v>386</v>
      </c>
      <c r="C157" s="144" t="s">
        <v>2007</v>
      </c>
      <c r="D157" s="54" t="s">
        <v>98</v>
      </c>
      <c r="E157" s="111">
        <v>5000</v>
      </c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>
        <f t="shared" si="4"/>
        <v>5000</v>
      </c>
    </row>
    <row r="158" spans="1:18" x14ac:dyDescent="0.35">
      <c r="A158" s="5">
        <f t="shared" si="5"/>
        <v>156</v>
      </c>
      <c r="B158" s="49" t="s">
        <v>388</v>
      </c>
      <c r="C158" s="90" t="s">
        <v>2008</v>
      </c>
      <c r="D158" s="54" t="s">
        <v>22</v>
      </c>
      <c r="E158" s="111">
        <v>5000</v>
      </c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>
        <f t="shared" si="4"/>
        <v>5000</v>
      </c>
    </row>
    <row r="159" spans="1:18" x14ac:dyDescent="0.35">
      <c r="A159" s="5">
        <f t="shared" si="5"/>
        <v>157</v>
      </c>
      <c r="B159" s="49" t="s">
        <v>390</v>
      </c>
      <c r="C159" s="7" t="s">
        <v>391</v>
      </c>
      <c r="D159" s="54" t="s">
        <v>77</v>
      </c>
      <c r="E159" s="111">
        <v>5000</v>
      </c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>
        <f t="shared" si="4"/>
        <v>5000</v>
      </c>
    </row>
    <row r="160" spans="1:18" x14ac:dyDescent="0.35">
      <c r="A160" s="5">
        <f t="shared" si="5"/>
        <v>158</v>
      </c>
      <c r="B160" s="49" t="s">
        <v>392</v>
      </c>
      <c r="C160" s="7" t="s">
        <v>1695</v>
      </c>
      <c r="D160" s="54" t="s">
        <v>166</v>
      </c>
      <c r="E160" s="111">
        <v>0</v>
      </c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>
        <f t="shared" si="4"/>
        <v>0</v>
      </c>
    </row>
    <row r="161" spans="1:18" x14ac:dyDescent="0.35">
      <c r="A161" s="5">
        <f t="shared" si="5"/>
        <v>159</v>
      </c>
      <c r="B161" s="49" t="s">
        <v>394</v>
      </c>
      <c r="C161" s="7" t="s">
        <v>395</v>
      </c>
      <c r="D161" s="54" t="s">
        <v>267</v>
      </c>
      <c r="E161" s="111">
        <v>5000</v>
      </c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>
        <f t="shared" si="4"/>
        <v>5000</v>
      </c>
    </row>
    <row r="162" spans="1:18" x14ac:dyDescent="0.35">
      <c r="A162" s="5">
        <f t="shared" si="5"/>
        <v>160</v>
      </c>
      <c r="B162" s="49" t="s">
        <v>396</v>
      </c>
      <c r="C162" s="144" t="s">
        <v>1907</v>
      </c>
      <c r="D162" s="54" t="s">
        <v>46</v>
      </c>
      <c r="E162" s="111">
        <v>5000</v>
      </c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>
        <f t="shared" si="4"/>
        <v>5000</v>
      </c>
    </row>
    <row r="163" spans="1:18" x14ac:dyDescent="0.35">
      <c r="A163" s="5">
        <f t="shared" si="5"/>
        <v>161</v>
      </c>
      <c r="B163" s="49" t="s">
        <v>398</v>
      </c>
      <c r="C163" s="144" t="s">
        <v>1882</v>
      </c>
      <c r="D163" s="54" t="s">
        <v>98</v>
      </c>
      <c r="E163" s="111">
        <v>5000</v>
      </c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>
        <f t="shared" si="4"/>
        <v>5000</v>
      </c>
    </row>
    <row r="164" spans="1:18" x14ac:dyDescent="0.35">
      <c r="A164" s="5">
        <f t="shared" si="5"/>
        <v>162</v>
      </c>
      <c r="B164" s="49" t="s">
        <v>400</v>
      </c>
      <c r="C164" s="7" t="s">
        <v>1696</v>
      </c>
      <c r="D164" s="54" t="s">
        <v>41</v>
      </c>
      <c r="E164" s="111">
        <v>0</v>
      </c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>
        <f t="shared" si="4"/>
        <v>0</v>
      </c>
    </row>
    <row r="165" spans="1:18" x14ac:dyDescent="0.35">
      <c r="A165" s="5">
        <f t="shared" si="5"/>
        <v>163</v>
      </c>
      <c r="B165" s="49" t="s">
        <v>402</v>
      </c>
      <c r="C165" s="7" t="s">
        <v>1697</v>
      </c>
      <c r="D165" s="54" t="s">
        <v>303</v>
      </c>
      <c r="E165" s="111">
        <v>0</v>
      </c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>
        <f t="shared" si="4"/>
        <v>0</v>
      </c>
    </row>
    <row r="166" spans="1:18" x14ac:dyDescent="0.35">
      <c r="A166" s="5">
        <f t="shared" si="5"/>
        <v>164</v>
      </c>
      <c r="B166" s="49" t="s">
        <v>404</v>
      </c>
      <c r="C166" s="7" t="s">
        <v>2227</v>
      </c>
      <c r="D166" s="54" t="s">
        <v>406</v>
      </c>
      <c r="E166" s="111">
        <v>0</v>
      </c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>
        <f t="shared" si="4"/>
        <v>0</v>
      </c>
    </row>
    <row r="167" spans="1:18" x14ac:dyDescent="0.35">
      <c r="A167" s="5">
        <f t="shared" si="5"/>
        <v>165</v>
      </c>
      <c r="B167" s="49" t="s">
        <v>407</v>
      </c>
      <c r="C167" s="144" t="s">
        <v>2009</v>
      </c>
      <c r="D167" s="54" t="s">
        <v>198</v>
      </c>
      <c r="E167" s="111">
        <v>5000</v>
      </c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>
        <f t="shared" si="4"/>
        <v>5000</v>
      </c>
    </row>
    <row r="168" spans="1:18" x14ac:dyDescent="0.35">
      <c r="A168" s="5">
        <f t="shared" si="5"/>
        <v>166</v>
      </c>
      <c r="B168" s="49" t="s">
        <v>409</v>
      </c>
      <c r="C168" s="90" t="s">
        <v>2010</v>
      </c>
      <c r="D168" s="54" t="s">
        <v>25</v>
      </c>
      <c r="E168" s="111">
        <v>5000</v>
      </c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>
        <f t="shared" si="4"/>
        <v>5000</v>
      </c>
    </row>
    <row r="169" spans="1:18" x14ac:dyDescent="0.35">
      <c r="A169" s="5">
        <f t="shared" si="5"/>
        <v>167</v>
      </c>
      <c r="B169" s="49" t="s">
        <v>411</v>
      </c>
      <c r="C169" s="7" t="s">
        <v>1637</v>
      </c>
      <c r="D169" s="54" t="s">
        <v>77</v>
      </c>
      <c r="E169" s="111">
        <v>0</v>
      </c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>
        <f t="shared" si="4"/>
        <v>0</v>
      </c>
    </row>
    <row r="170" spans="1:18" x14ac:dyDescent="0.35">
      <c r="A170" s="5">
        <f t="shared" si="5"/>
        <v>168</v>
      </c>
      <c r="B170" s="49" t="s">
        <v>413</v>
      </c>
      <c r="C170" s="7" t="s">
        <v>414</v>
      </c>
      <c r="D170" s="54" t="s">
        <v>201</v>
      </c>
      <c r="E170" s="111">
        <v>5000</v>
      </c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>
        <f t="shared" si="4"/>
        <v>5000</v>
      </c>
    </row>
    <row r="171" spans="1:18" x14ac:dyDescent="0.35">
      <c r="A171" s="5">
        <f t="shared" si="5"/>
        <v>169</v>
      </c>
      <c r="B171" s="49" t="s">
        <v>415</v>
      </c>
      <c r="C171" s="7" t="s">
        <v>1698</v>
      </c>
      <c r="D171" s="54" t="s">
        <v>318</v>
      </c>
      <c r="E171" s="111">
        <v>0</v>
      </c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>
        <f t="shared" si="4"/>
        <v>0</v>
      </c>
    </row>
    <row r="172" spans="1:18" x14ac:dyDescent="0.35">
      <c r="A172" s="5">
        <f t="shared" si="5"/>
        <v>170</v>
      </c>
      <c r="B172" s="49" t="s">
        <v>417</v>
      </c>
      <c r="C172" s="7" t="s">
        <v>418</v>
      </c>
      <c r="D172" s="54" t="s">
        <v>144</v>
      </c>
      <c r="E172" s="111">
        <v>5000</v>
      </c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>
        <f t="shared" si="4"/>
        <v>5000</v>
      </c>
    </row>
    <row r="173" spans="1:18" x14ac:dyDescent="0.35">
      <c r="A173" s="5">
        <f t="shared" si="5"/>
        <v>171</v>
      </c>
      <c r="B173" s="49" t="s">
        <v>419</v>
      </c>
      <c r="C173" s="7" t="s">
        <v>1699</v>
      </c>
      <c r="D173" s="54" t="s">
        <v>166</v>
      </c>
      <c r="E173" s="111">
        <v>0</v>
      </c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>
        <f t="shared" si="4"/>
        <v>0</v>
      </c>
    </row>
    <row r="174" spans="1:18" x14ac:dyDescent="0.35">
      <c r="A174" s="5">
        <f t="shared" si="5"/>
        <v>172</v>
      </c>
      <c r="B174" s="49" t="s">
        <v>421</v>
      </c>
      <c r="C174" s="144" t="s">
        <v>2011</v>
      </c>
      <c r="D174" s="54" t="s">
        <v>136</v>
      </c>
      <c r="E174" s="111">
        <v>250000</v>
      </c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>
        <f t="shared" si="4"/>
        <v>250000</v>
      </c>
    </row>
    <row r="175" spans="1:18" x14ac:dyDescent="0.35">
      <c r="A175" s="5">
        <f t="shared" si="5"/>
        <v>173</v>
      </c>
      <c r="B175" s="49" t="s">
        <v>423</v>
      </c>
      <c r="C175" s="7" t="s">
        <v>1700</v>
      </c>
      <c r="D175" s="54" t="s">
        <v>136</v>
      </c>
      <c r="E175" s="111">
        <v>0</v>
      </c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>
        <f t="shared" si="4"/>
        <v>0</v>
      </c>
    </row>
    <row r="176" spans="1:18" x14ac:dyDescent="0.35">
      <c r="A176" s="5">
        <f t="shared" si="5"/>
        <v>174</v>
      </c>
      <c r="B176" s="49" t="s">
        <v>425</v>
      </c>
      <c r="C176" s="7" t="s">
        <v>1701</v>
      </c>
      <c r="D176" s="54" t="s">
        <v>267</v>
      </c>
      <c r="E176" s="111">
        <v>5000</v>
      </c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>
        <f t="shared" si="4"/>
        <v>5000</v>
      </c>
    </row>
    <row r="177" spans="1:18" x14ac:dyDescent="0.35">
      <c r="A177" s="5">
        <f t="shared" si="5"/>
        <v>175</v>
      </c>
      <c r="B177" s="49" t="s">
        <v>427</v>
      </c>
      <c r="C177" s="7" t="s">
        <v>1702</v>
      </c>
      <c r="D177" s="54" t="s">
        <v>429</v>
      </c>
      <c r="E177" s="111">
        <v>0</v>
      </c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>
        <f t="shared" si="4"/>
        <v>0</v>
      </c>
    </row>
    <row r="178" spans="1:18" x14ac:dyDescent="0.35">
      <c r="A178" s="5">
        <f t="shared" si="5"/>
        <v>176</v>
      </c>
      <c r="B178" s="49" t="s">
        <v>430</v>
      </c>
      <c r="C178" s="7" t="s">
        <v>431</v>
      </c>
      <c r="D178" s="54" t="s">
        <v>98</v>
      </c>
      <c r="E178" s="111">
        <v>0</v>
      </c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>
        <f t="shared" si="4"/>
        <v>0</v>
      </c>
    </row>
    <row r="179" spans="1:18" x14ac:dyDescent="0.35">
      <c r="A179" s="5">
        <f t="shared" si="5"/>
        <v>177</v>
      </c>
      <c r="B179" s="49" t="s">
        <v>432</v>
      </c>
      <c r="C179" s="90" t="s">
        <v>1969</v>
      </c>
      <c r="D179" s="54" t="s">
        <v>108</v>
      </c>
      <c r="E179" s="111">
        <v>5000</v>
      </c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>
        <f t="shared" si="4"/>
        <v>5000</v>
      </c>
    </row>
    <row r="180" spans="1:18" x14ac:dyDescent="0.35">
      <c r="A180" s="5">
        <f t="shared" si="5"/>
        <v>178</v>
      </c>
      <c r="B180" s="49" t="s">
        <v>434</v>
      </c>
      <c r="C180" s="7" t="s">
        <v>435</v>
      </c>
      <c r="D180" s="54" t="s">
        <v>77</v>
      </c>
      <c r="E180" s="111">
        <v>0</v>
      </c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>
        <f t="shared" si="4"/>
        <v>0</v>
      </c>
    </row>
    <row r="181" spans="1:18" x14ac:dyDescent="0.35">
      <c r="A181" s="5">
        <f t="shared" si="5"/>
        <v>179</v>
      </c>
      <c r="B181" s="49" t="s">
        <v>436</v>
      </c>
      <c r="C181" s="7" t="s">
        <v>1638</v>
      </c>
      <c r="D181" s="54" t="s">
        <v>198</v>
      </c>
      <c r="E181" s="111">
        <v>5000</v>
      </c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>
        <f t="shared" si="4"/>
        <v>5000</v>
      </c>
    </row>
    <row r="182" spans="1:18" x14ac:dyDescent="0.35">
      <c r="A182" s="5">
        <f t="shared" si="5"/>
        <v>180</v>
      </c>
      <c r="B182" s="49" t="s">
        <v>438</v>
      </c>
      <c r="C182" s="7" t="s">
        <v>1703</v>
      </c>
      <c r="D182" s="54" t="s">
        <v>55</v>
      </c>
      <c r="E182" s="111">
        <v>0</v>
      </c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>
        <f t="shared" si="4"/>
        <v>0</v>
      </c>
    </row>
    <row r="183" spans="1:18" x14ac:dyDescent="0.35">
      <c r="A183" s="5">
        <f t="shared" si="5"/>
        <v>181</v>
      </c>
      <c r="B183" s="49" t="s">
        <v>440</v>
      </c>
      <c r="C183" s="90" t="s">
        <v>2012</v>
      </c>
      <c r="D183" s="54" t="s">
        <v>22</v>
      </c>
      <c r="E183" s="111">
        <v>5000</v>
      </c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>
        <f t="shared" si="4"/>
        <v>5000</v>
      </c>
    </row>
    <row r="184" spans="1:18" x14ac:dyDescent="0.35">
      <c r="A184" s="5">
        <f t="shared" si="5"/>
        <v>182</v>
      </c>
      <c r="B184" s="49" t="s">
        <v>442</v>
      </c>
      <c r="C184" s="90" t="s">
        <v>2013</v>
      </c>
      <c r="D184" s="54" t="s">
        <v>72</v>
      </c>
      <c r="E184" s="111">
        <v>5000</v>
      </c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>
        <f t="shared" si="4"/>
        <v>5000</v>
      </c>
    </row>
    <row r="185" spans="1:18" x14ac:dyDescent="0.35">
      <c r="A185" s="5">
        <f t="shared" si="5"/>
        <v>183</v>
      </c>
      <c r="B185" s="49" t="s">
        <v>444</v>
      </c>
      <c r="C185" s="7" t="s">
        <v>445</v>
      </c>
      <c r="D185" s="54" t="s">
        <v>446</v>
      </c>
      <c r="E185" s="111">
        <v>0</v>
      </c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>
        <v>200000</v>
      </c>
      <c r="Q185" s="58"/>
      <c r="R185" s="58">
        <f t="shared" si="4"/>
        <v>200000</v>
      </c>
    </row>
    <row r="186" spans="1:18" x14ac:dyDescent="0.35">
      <c r="A186" s="5">
        <f t="shared" si="5"/>
        <v>184</v>
      </c>
      <c r="B186" s="49" t="s">
        <v>447</v>
      </c>
      <c r="C186" s="7" t="s">
        <v>1639</v>
      </c>
      <c r="D186" s="54" t="s">
        <v>136</v>
      </c>
      <c r="E186" s="111">
        <v>0</v>
      </c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>
        <f t="shared" si="4"/>
        <v>0</v>
      </c>
    </row>
    <row r="187" spans="1:18" x14ac:dyDescent="0.35">
      <c r="A187" s="5">
        <f t="shared" si="5"/>
        <v>185</v>
      </c>
      <c r="B187" s="49" t="s">
        <v>449</v>
      </c>
      <c r="C187" s="90" t="s">
        <v>2014</v>
      </c>
      <c r="D187" s="54" t="s">
        <v>238</v>
      </c>
      <c r="E187" s="111">
        <v>5000</v>
      </c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>
        <f t="shared" si="4"/>
        <v>5000</v>
      </c>
    </row>
    <row r="188" spans="1:18" x14ac:dyDescent="0.35">
      <c r="A188" s="5">
        <f t="shared" si="5"/>
        <v>186</v>
      </c>
      <c r="B188" s="49" t="s">
        <v>451</v>
      </c>
      <c r="C188" s="90" t="s">
        <v>2015</v>
      </c>
      <c r="D188" s="54" t="s">
        <v>303</v>
      </c>
      <c r="E188" s="111">
        <v>5000</v>
      </c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>
        <f t="shared" si="4"/>
        <v>5000</v>
      </c>
    </row>
    <row r="189" spans="1:18" x14ac:dyDescent="0.35">
      <c r="A189" s="5">
        <f t="shared" si="5"/>
        <v>187</v>
      </c>
      <c r="B189" s="49" t="s">
        <v>453</v>
      </c>
      <c r="C189" s="144" t="s">
        <v>2016</v>
      </c>
      <c r="D189" s="54" t="s">
        <v>83</v>
      </c>
      <c r="E189" s="111">
        <v>5000</v>
      </c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>
        <f t="shared" si="4"/>
        <v>5000</v>
      </c>
    </row>
    <row r="190" spans="1:18" x14ac:dyDescent="0.35">
      <c r="A190" s="5">
        <f t="shared" si="5"/>
        <v>188</v>
      </c>
      <c r="B190" s="49" t="s">
        <v>455</v>
      </c>
      <c r="C190" s="7" t="s">
        <v>1704</v>
      </c>
      <c r="D190" s="54" t="s">
        <v>457</v>
      </c>
      <c r="E190" s="111">
        <v>0</v>
      </c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>
        <f t="shared" si="4"/>
        <v>0</v>
      </c>
    </row>
    <row r="191" spans="1:18" x14ac:dyDescent="0.35">
      <c r="A191" s="5">
        <f t="shared" si="5"/>
        <v>189</v>
      </c>
      <c r="B191" s="49" t="s">
        <v>458</v>
      </c>
      <c r="C191" s="90" t="s">
        <v>1752</v>
      </c>
      <c r="D191" s="54" t="s">
        <v>108</v>
      </c>
      <c r="E191" s="111">
        <v>5000</v>
      </c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>
        <f t="shared" si="4"/>
        <v>5000</v>
      </c>
    </row>
    <row r="192" spans="1:18" x14ac:dyDescent="0.35">
      <c r="A192" s="5">
        <f t="shared" si="5"/>
        <v>190</v>
      </c>
      <c r="B192" s="49" t="s">
        <v>460</v>
      </c>
      <c r="C192" s="7" t="s">
        <v>1706</v>
      </c>
      <c r="D192" s="54" t="s">
        <v>95</v>
      </c>
      <c r="E192" s="111">
        <v>5000</v>
      </c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>
        <f t="shared" si="4"/>
        <v>5000</v>
      </c>
    </row>
    <row r="193" spans="1:18" x14ac:dyDescent="0.35">
      <c r="A193" s="5">
        <f t="shared" si="5"/>
        <v>191</v>
      </c>
      <c r="B193" s="49" t="s">
        <v>462</v>
      </c>
      <c r="C193" s="7" t="s">
        <v>1617</v>
      </c>
      <c r="D193" s="54" t="s">
        <v>41</v>
      </c>
      <c r="E193" s="111">
        <v>0</v>
      </c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>
        <f t="shared" si="4"/>
        <v>0</v>
      </c>
    </row>
    <row r="194" spans="1:18" x14ac:dyDescent="0.35">
      <c r="A194" s="5">
        <f t="shared" si="5"/>
        <v>192</v>
      </c>
      <c r="B194" s="49" t="s">
        <v>464</v>
      </c>
      <c r="C194" s="7" t="s">
        <v>1618</v>
      </c>
      <c r="D194" s="54" t="s">
        <v>198</v>
      </c>
      <c r="E194" s="111">
        <v>5000</v>
      </c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>
        <f t="shared" si="4"/>
        <v>5000</v>
      </c>
    </row>
    <row r="195" spans="1:18" x14ac:dyDescent="0.35">
      <c r="A195" s="5">
        <f t="shared" si="5"/>
        <v>193</v>
      </c>
      <c r="B195" s="49" t="s">
        <v>466</v>
      </c>
      <c r="C195" s="144" t="s">
        <v>1928</v>
      </c>
      <c r="D195" s="54" t="s">
        <v>128</v>
      </c>
      <c r="E195" s="111">
        <v>0</v>
      </c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>
        <f t="shared" si="4"/>
        <v>0</v>
      </c>
    </row>
    <row r="196" spans="1:18" x14ac:dyDescent="0.35">
      <c r="A196" s="5">
        <f t="shared" si="5"/>
        <v>194</v>
      </c>
      <c r="B196" s="49" t="s">
        <v>468</v>
      </c>
      <c r="C196" s="7" t="s">
        <v>1705</v>
      </c>
      <c r="D196" s="54" t="s">
        <v>367</v>
      </c>
      <c r="E196" s="111">
        <v>0</v>
      </c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>
        <f t="shared" ref="R196:R259" si="6">E196+F196+G196+H196+I196+J196+K196+L196+M196+N196+O196+P196+Q196</f>
        <v>0</v>
      </c>
    </row>
    <row r="197" spans="1:18" x14ac:dyDescent="0.35">
      <c r="A197" s="5">
        <f t="shared" ref="A197:A260" si="7">A196+1</f>
        <v>195</v>
      </c>
      <c r="B197" s="49" t="s">
        <v>470</v>
      </c>
      <c r="C197" s="7" t="s">
        <v>1640</v>
      </c>
      <c r="D197" s="54" t="s">
        <v>429</v>
      </c>
      <c r="E197" s="111">
        <v>0</v>
      </c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>
        <f t="shared" si="6"/>
        <v>0</v>
      </c>
    </row>
    <row r="198" spans="1:18" x14ac:dyDescent="0.35">
      <c r="A198" s="5">
        <f t="shared" si="7"/>
        <v>196</v>
      </c>
      <c r="B198" s="49" t="s">
        <v>472</v>
      </c>
      <c r="C198" s="144" t="s">
        <v>1887</v>
      </c>
      <c r="D198" s="54" t="s">
        <v>474</v>
      </c>
      <c r="E198" s="111">
        <v>5000</v>
      </c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>
        <f t="shared" si="6"/>
        <v>5000</v>
      </c>
    </row>
    <row r="199" spans="1:18" x14ac:dyDescent="0.35">
      <c r="A199" s="5">
        <f t="shared" si="7"/>
        <v>197</v>
      </c>
      <c r="B199" s="49" t="s">
        <v>475</v>
      </c>
      <c r="C199" s="7" t="s">
        <v>1619</v>
      </c>
      <c r="D199" s="54" t="s">
        <v>60</v>
      </c>
      <c r="E199" s="111">
        <v>0</v>
      </c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>
        <f t="shared" si="6"/>
        <v>0</v>
      </c>
    </row>
    <row r="200" spans="1:18" x14ac:dyDescent="0.35">
      <c r="A200" s="5">
        <f t="shared" si="7"/>
        <v>198</v>
      </c>
      <c r="B200" s="49" t="s">
        <v>477</v>
      </c>
      <c r="C200" s="7" t="s">
        <v>1796</v>
      </c>
      <c r="D200" s="54" t="s">
        <v>103</v>
      </c>
      <c r="E200" s="111">
        <v>5000</v>
      </c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>
        <f t="shared" si="6"/>
        <v>5000</v>
      </c>
    </row>
    <row r="201" spans="1:18" x14ac:dyDescent="0.35">
      <c r="A201" s="5">
        <f t="shared" si="7"/>
        <v>199</v>
      </c>
      <c r="B201" s="49" t="s">
        <v>479</v>
      </c>
      <c r="C201" s="144" t="s">
        <v>1885</v>
      </c>
      <c r="D201" s="54" t="s">
        <v>136</v>
      </c>
      <c r="E201" s="111">
        <v>5000</v>
      </c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>
        <f t="shared" si="6"/>
        <v>5000</v>
      </c>
    </row>
    <row r="202" spans="1:18" x14ac:dyDescent="0.35">
      <c r="A202" s="5">
        <f t="shared" si="7"/>
        <v>200</v>
      </c>
      <c r="B202" s="49" t="s">
        <v>481</v>
      </c>
      <c r="C202" s="7" t="s">
        <v>1620</v>
      </c>
      <c r="D202" s="54" t="s">
        <v>49</v>
      </c>
      <c r="E202" s="111">
        <v>0</v>
      </c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>
        <f t="shared" si="6"/>
        <v>0</v>
      </c>
    </row>
    <row r="203" spans="1:18" x14ac:dyDescent="0.35">
      <c r="A203" s="5">
        <f t="shared" si="7"/>
        <v>201</v>
      </c>
      <c r="B203" s="49" t="s">
        <v>483</v>
      </c>
      <c r="C203" s="136" t="s">
        <v>1950</v>
      </c>
      <c r="D203" s="54" t="s">
        <v>19</v>
      </c>
      <c r="E203" s="111">
        <v>5000</v>
      </c>
      <c r="F203" s="58"/>
      <c r="G203" s="58">
        <v>-5000</v>
      </c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>
        <f t="shared" si="6"/>
        <v>0</v>
      </c>
    </row>
    <row r="204" spans="1:18" x14ac:dyDescent="0.35">
      <c r="A204" s="5">
        <f t="shared" si="7"/>
        <v>202</v>
      </c>
      <c r="B204" s="49" t="s">
        <v>485</v>
      </c>
      <c r="C204" s="7" t="s">
        <v>486</v>
      </c>
      <c r="D204" s="54" t="s">
        <v>215</v>
      </c>
      <c r="E204" s="111">
        <v>5000</v>
      </c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>
        <f t="shared" si="6"/>
        <v>5000</v>
      </c>
    </row>
    <row r="205" spans="1:18" x14ac:dyDescent="0.35">
      <c r="A205" s="5">
        <f t="shared" si="7"/>
        <v>203</v>
      </c>
      <c r="B205" s="49" t="s">
        <v>487</v>
      </c>
      <c r="C205" s="90" t="s">
        <v>2017</v>
      </c>
      <c r="D205" s="54" t="s">
        <v>25</v>
      </c>
      <c r="E205" s="111">
        <v>5000</v>
      </c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>
        <f t="shared" si="6"/>
        <v>5000</v>
      </c>
    </row>
    <row r="206" spans="1:18" x14ac:dyDescent="0.35">
      <c r="A206" s="5">
        <f t="shared" si="7"/>
        <v>204</v>
      </c>
      <c r="B206" s="49" t="s">
        <v>489</v>
      </c>
      <c r="C206" s="90" t="s">
        <v>2018</v>
      </c>
      <c r="D206" s="54" t="s">
        <v>25</v>
      </c>
      <c r="E206" s="111">
        <v>5000</v>
      </c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>
        <f t="shared" si="6"/>
        <v>5000</v>
      </c>
    </row>
    <row r="207" spans="1:18" x14ac:dyDescent="0.35">
      <c r="A207" s="5">
        <f t="shared" si="7"/>
        <v>205</v>
      </c>
      <c r="B207" s="49" t="s">
        <v>491</v>
      </c>
      <c r="C207" s="7" t="s">
        <v>492</v>
      </c>
      <c r="D207" s="54" t="s">
        <v>19</v>
      </c>
      <c r="E207" s="111">
        <v>5000</v>
      </c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>
        <f t="shared" si="6"/>
        <v>5000</v>
      </c>
    </row>
    <row r="208" spans="1:18" x14ac:dyDescent="0.35">
      <c r="A208" s="5">
        <f t="shared" si="7"/>
        <v>206</v>
      </c>
      <c r="B208" s="49" t="s">
        <v>493</v>
      </c>
      <c r="C208" s="7" t="s">
        <v>2223</v>
      </c>
      <c r="D208" s="54" t="s">
        <v>95</v>
      </c>
      <c r="E208" s="111">
        <v>0</v>
      </c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>
        <f t="shared" si="6"/>
        <v>0</v>
      </c>
    </row>
    <row r="209" spans="1:18" x14ac:dyDescent="0.35">
      <c r="A209" s="5">
        <f t="shared" si="7"/>
        <v>207</v>
      </c>
      <c r="B209" s="49" t="s">
        <v>495</v>
      </c>
      <c r="C209" s="7" t="s">
        <v>496</v>
      </c>
      <c r="D209" s="54" t="s">
        <v>159</v>
      </c>
      <c r="E209" s="111">
        <v>5000</v>
      </c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>
        <f t="shared" si="6"/>
        <v>5000</v>
      </c>
    </row>
    <row r="210" spans="1:18" x14ac:dyDescent="0.35">
      <c r="A210" s="5">
        <f t="shared" si="7"/>
        <v>208</v>
      </c>
      <c r="B210" s="49" t="s">
        <v>497</v>
      </c>
      <c r="C210" s="7" t="s">
        <v>2224</v>
      </c>
      <c r="D210" s="54" t="s">
        <v>49</v>
      </c>
      <c r="E210" s="111">
        <v>5000</v>
      </c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>
        <f t="shared" si="6"/>
        <v>5000</v>
      </c>
    </row>
    <row r="211" spans="1:18" x14ac:dyDescent="0.35">
      <c r="A211" s="5">
        <f t="shared" si="7"/>
        <v>209</v>
      </c>
      <c r="B211" s="50" t="s">
        <v>499</v>
      </c>
      <c r="C211" s="90" t="s">
        <v>1947</v>
      </c>
      <c r="D211" s="57" t="s">
        <v>128</v>
      </c>
      <c r="E211" s="111">
        <v>5000</v>
      </c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>
        <f t="shared" si="6"/>
        <v>5000</v>
      </c>
    </row>
    <row r="212" spans="1:18" x14ac:dyDescent="0.35">
      <c r="A212" s="5">
        <f t="shared" si="7"/>
        <v>210</v>
      </c>
      <c r="B212" s="49" t="s">
        <v>501</v>
      </c>
      <c r="C212" s="144" t="s">
        <v>1930</v>
      </c>
      <c r="D212" s="54" t="s">
        <v>128</v>
      </c>
      <c r="E212" s="111">
        <v>5000</v>
      </c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>
        <f t="shared" si="6"/>
        <v>5000</v>
      </c>
    </row>
    <row r="213" spans="1:18" x14ac:dyDescent="0.35">
      <c r="A213" s="5">
        <f t="shared" si="7"/>
        <v>211</v>
      </c>
      <c r="B213" s="49" t="s">
        <v>503</v>
      </c>
      <c r="C213" s="90" t="s">
        <v>2019</v>
      </c>
      <c r="D213" s="54" t="s">
        <v>25</v>
      </c>
      <c r="E213" s="111">
        <v>5000</v>
      </c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>
        <f t="shared" si="6"/>
        <v>5000</v>
      </c>
    </row>
    <row r="214" spans="1:18" x14ac:dyDescent="0.35">
      <c r="A214" s="5">
        <f t="shared" si="7"/>
        <v>212</v>
      </c>
      <c r="B214" s="49" t="s">
        <v>505</v>
      </c>
      <c r="C214" s="144" t="s">
        <v>2020</v>
      </c>
      <c r="D214" s="54" t="s">
        <v>95</v>
      </c>
      <c r="E214" s="111">
        <v>5000</v>
      </c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>
        <f t="shared" si="6"/>
        <v>5000</v>
      </c>
    </row>
    <row r="215" spans="1:18" x14ac:dyDescent="0.35">
      <c r="A215" s="5">
        <f t="shared" si="7"/>
        <v>213</v>
      </c>
      <c r="B215" s="49" t="s">
        <v>507</v>
      </c>
      <c r="C215" s="7" t="s">
        <v>1707</v>
      </c>
      <c r="D215" s="54" t="s">
        <v>303</v>
      </c>
      <c r="E215" s="111">
        <v>5000</v>
      </c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>
        <f t="shared" si="6"/>
        <v>5000</v>
      </c>
    </row>
    <row r="216" spans="1:18" x14ac:dyDescent="0.35">
      <c r="A216" s="5">
        <f t="shared" si="7"/>
        <v>214</v>
      </c>
      <c r="B216" s="49" t="s">
        <v>509</v>
      </c>
      <c r="C216" s="7" t="s">
        <v>510</v>
      </c>
      <c r="D216" s="54" t="s">
        <v>65</v>
      </c>
      <c r="E216" s="111">
        <v>0</v>
      </c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>
        <f t="shared" si="6"/>
        <v>0</v>
      </c>
    </row>
    <row r="217" spans="1:18" x14ac:dyDescent="0.35">
      <c r="A217" s="5">
        <f t="shared" si="7"/>
        <v>215</v>
      </c>
      <c r="B217" s="49" t="s">
        <v>511</v>
      </c>
      <c r="C217" s="90" t="s">
        <v>1768</v>
      </c>
      <c r="D217" s="54" t="s">
        <v>406</v>
      </c>
      <c r="E217" s="111">
        <v>5000</v>
      </c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>
        <f t="shared" si="6"/>
        <v>5000</v>
      </c>
    </row>
    <row r="218" spans="1:18" x14ac:dyDescent="0.35">
      <c r="A218" s="5">
        <f t="shared" si="7"/>
        <v>216</v>
      </c>
      <c r="B218" s="49" t="s">
        <v>513</v>
      </c>
      <c r="C218" s="7" t="s">
        <v>1641</v>
      </c>
      <c r="D218" s="54" t="s">
        <v>60</v>
      </c>
      <c r="E218" s="111">
        <v>5000</v>
      </c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>
        <f t="shared" si="6"/>
        <v>5000</v>
      </c>
    </row>
    <row r="219" spans="1:18" x14ac:dyDescent="0.35">
      <c r="A219" s="5">
        <f t="shared" si="7"/>
        <v>217</v>
      </c>
      <c r="B219" s="49" t="s">
        <v>515</v>
      </c>
      <c r="C219" s="7" t="s">
        <v>1621</v>
      </c>
      <c r="D219" s="54" t="s">
        <v>253</v>
      </c>
      <c r="E219" s="111">
        <v>0</v>
      </c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>
        <f t="shared" si="6"/>
        <v>0</v>
      </c>
    </row>
    <row r="220" spans="1:18" x14ac:dyDescent="0.35">
      <c r="A220" s="5">
        <f t="shared" si="7"/>
        <v>218</v>
      </c>
      <c r="B220" s="49" t="s">
        <v>517</v>
      </c>
      <c r="C220" s="7" t="s">
        <v>1708</v>
      </c>
      <c r="D220" s="54" t="s">
        <v>519</v>
      </c>
      <c r="E220" s="111">
        <v>0</v>
      </c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>
        <f t="shared" si="6"/>
        <v>0</v>
      </c>
    </row>
    <row r="221" spans="1:18" x14ac:dyDescent="0.35">
      <c r="A221" s="5">
        <f t="shared" si="7"/>
        <v>219</v>
      </c>
      <c r="B221" s="49" t="s">
        <v>520</v>
      </c>
      <c r="C221" s="7" t="s">
        <v>1622</v>
      </c>
      <c r="D221" s="54" t="s">
        <v>166</v>
      </c>
      <c r="E221" s="111">
        <v>0</v>
      </c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>
        <f t="shared" si="6"/>
        <v>0</v>
      </c>
    </row>
    <row r="222" spans="1:18" x14ac:dyDescent="0.35">
      <c r="A222" s="5">
        <f t="shared" si="7"/>
        <v>220</v>
      </c>
      <c r="B222" s="49" t="s">
        <v>522</v>
      </c>
      <c r="C222" s="7" t="s">
        <v>1608</v>
      </c>
      <c r="D222" s="54" t="s">
        <v>524</v>
      </c>
      <c r="E222" s="111">
        <v>0</v>
      </c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>
        <f t="shared" si="6"/>
        <v>0</v>
      </c>
    </row>
    <row r="223" spans="1:18" x14ac:dyDescent="0.35">
      <c r="A223" s="5">
        <f t="shared" si="7"/>
        <v>221</v>
      </c>
      <c r="B223" s="49" t="s">
        <v>525</v>
      </c>
      <c r="C223" s="7" t="s">
        <v>526</v>
      </c>
      <c r="D223" s="54" t="s">
        <v>98</v>
      </c>
      <c r="E223" s="111">
        <v>0</v>
      </c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>
        <f t="shared" si="6"/>
        <v>0</v>
      </c>
    </row>
    <row r="224" spans="1:18" x14ac:dyDescent="0.35">
      <c r="A224" s="5">
        <f t="shared" si="7"/>
        <v>222</v>
      </c>
      <c r="B224" s="49" t="s">
        <v>527</v>
      </c>
      <c r="C224" s="90" t="s">
        <v>1786</v>
      </c>
      <c r="D224" s="54" t="s">
        <v>95</v>
      </c>
      <c r="E224" s="111">
        <v>5000</v>
      </c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>
        <f t="shared" si="6"/>
        <v>5000</v>
      </c>
    </row>
    <row r="225" spans="1:18" x14ac:dyDescent="0.35">
      <c r="A225" s="5">
        <f t="shared" si="7"/>
        <v>223</v>
      </c>
      <c r="B225" s="49" t="s">
        <v>529</v>
      </c>
      <c r="C225" s="144" t="s">
        <v>1888</v>
      </c>
      <c r="D225" s="54" t="s">
        <v>354</v>
      </c>
      <c r="E225" s="111">
        <v>5000</v>
      </c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>
        <f t="shared" si="6"/>
        <v>5000</v>
      </c>
    </row>
    <row r="226" spans="1:18" x14ac:dyDescent="0.35">
      <c r="A226" s="5">
        <f t="shared" si="7"/>
        <v>224</v>
      </c>
      <c r="B226" s="49" t="s">
        <v>531</v>
      </c>
      <c r="C226" s="144" t="s">
        <v>1889</v>
      </c>
      <c r="D226" s="54" t="s">
        <v>98</v>
      </c>
      <c r="E226" s="111">
        <v>5000</v>
      </c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>
        <f t="shared" si="6"/>
        <v>5000</v>
      </c>
    </row>
    <row r="227" spans="1:18" x14ac:dyDescent="0.35">
      <c r="A227" s="5">
        <f t="shared" si="7"/>
        <v>225</v>
      </c>
      <c r="B227" s="49" t="s">
        <v>533</v>
      </c>
      <c r="C227" s="7" t="s">
        <v>1642</v>
      </c>
      <c r="D227" s="54" t="s">
        <v>11</v>
      </c>
      <c r="E227" s="111">
        <v>5000</v>
      </c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>
        <f t="shared" si="6"/>
        <v>5000</v>
      </c>
    </row>
    <row r="228" spans="1:18" x14ac:dyDescent="0.35">
      <c r="A228" s="5">
        <f t="shared" si="7"/>
        <v>226</v>
      </c>
      <c r="B228" s="49" t="s">
        <v>535</v>
      </c>
      <c r="C228" s="7" t="s">
        <v>1623</v>
      </c>
      <c r="D228" s="54" t="s">
        <v>49</v>
      </c>
      <c r="E228" s="111">
        <v>5000</v>
      </c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>
        <f t="shared" si="6"/>
        <v>5000</v>
      </c>
    </row>
    <row r="229" spans="1:18" x14ac:dyDescent="0.35">
      <c r="A229" s="5">
        <f t="shared" si="7"/>
        <v>227</v>
      </c>
      <c r="B229" s="49" t="s">
        <v>537</v>
      </c>
      <c r="C229" s="90" t="s">
        <v>1765</v>
      </c>
      <c r="D229" s="54" t="s">
        <v>25</v>
      </c>
      <c r="E229" s="111">
        <v>5000</v>
      </c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>
        <f t="shared" si="6"/>
        <v>5000</v>
      </c>
    </row>
    <row r="230" spans="1:18" x14ac:dyDescent="0.35">
      <c r="A230" s="5">
        <f t="shared" si="7"/>
        <v>228</v>
      </c>
      <c r="B230" s="49" t="s">
        <v>539</v>
      </c>
      <c r="C230" s="90" t="s">
        <v>1769</v>
      </c>
      <c r="D230" s="54" t="s">
        <v>406</v>
      </c>
      <c r="E230" s="111">
        <v>5000</v>
      </c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>
        <f t="shared" si="6"/>
        <v>5000</v>
      </c>
    </row>
    <row r="231" spans="1:18" x14ac:dyDescent="0.35">
      <c r="A231" s="5">
        <f t="shared" si="7"/>
        <v>229</v>
      </c>
      <c r="B231" s="49" t="s">
        <v>541</v>
      </c>
      <c r="C231" s="7" t="s">
        <v>1716</v>
      </c>
      <c r="D231" s="54" t="s">
        <v>46</v>
      </c>
      <c r="E231" s="111">
        <v>0</v>
      </c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>
        <f t="shared" si="6"/>
        <v>0</v>
      </c>
    </row>
    <row r="232" spans="1:18" x14ac:dyDescent="0.35">
      <c r="A232" s="5">
        <f t="shared" si="7"/>
        <v>230</v>
      </c>
      <c r="B232" s="49" t="s">
        <v>543</v>
      </c>
      <c r="C232" s="7" t="s">
        <v>1717</v>
      </c>
      <c r="D232" s="54" t="s">
        <v>318</v>
      </c>
      <c r="E232" s="111">
        <v>0</v>
      </c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>
        <f t="shared" si="6"/>
        <v>0</v>
      </c>
    </row>
    <row r="233" spans="1:18" x14ac:dyDescent="0.35">
      <c r="A233" s="5">
        <f t="shared" si="7"/>
        <v>231</v>
      </c>
      <c r="B233" s="49" t="s">
        <v>545</v>
      </c>
      <c r="C233" s="7" t="s">
        <v>1643</v>
      </c>
      <c r="D233" s="54" t="s">
        <v>77</v>
      </c>
      <c r="E233" s="111">
        <v>0</v>
      </c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>
        <f t="shared" si="6"/>
        <v>0</v>
      </c>
    </row>
    <row r="234" spans="1:18" x14ac:dyDescent="0.35">
      <c r="A234" s="5">
        <f t="shared" si="7"/>
        <v>232</v>
      </c>
      <c r="B234" s="49" t="s">
        <v>547</v>
      </c>
      <c r="C234" s="7" t="s">
        <v>548</v>
      </c>
      <c r="D234" s="54" t="s">
        <v>123</v>
      </c>
      <c r="E234" s="111">
        <v>0</v>
      </c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>
        <f t="shared" si="6"/>
        <v>0</v>
      </c>
    </row>
    <row r="235" spans="1:18" x14ac:dyDescent="0.35">
      <c r="A235" s="5">
        <f t="shared" si="7"/>
        <v>233</v>
      </c>
      <c r="B235" s="49" t="s">
        <v>549</v>
      </c>
      <c r="C235" s="7" t="s">
        <v>550</v>
      </c>
      <c r="D235" s="54" t="s">
        <v>551</v>
      </c>
      <c r="E235" s="111">
        <v>0</v>
      </c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>
        <f t="shared" si="6"/>
        <v>0</v>
      </c>
    </row>
    <row r="236" spans="1:18" x14ac:dyDescent="0.35">
      <c r="A236" s="5">
        <f t="shared" si="7"/>
        <v>234</v>
      </c>
      <c r="B236" s="49" t="s">
        <v>552</v>
      </c>
      <c r="C236" s="144" t="s">
        <v>2021</v>
      </c>
      <c r="D236" s="54" t="s">
        <v>198</v>
      </c>
      <c r="E236" s="111">
        <v>5000</v>
      </c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>
        <f t="shared" si="6"/>
        <v>5000</v>
      </c>
    </row>
    <row r="237" spans="1:18" x14ac:dyDescent="0.35">
      <c r="A237" s="5">
        <f t="shared" si="7"/>
        <v>235</v>
      </c>
      <c r="B237" s="49" t="s">
        <v>554</v>
      </c>
      <c r="C237" s="7" t="s">
        <v>555</v>
      </c>
      <c r="D237" s="54" t="s">
        <v>46</v>
      </c>
      <c r="E237" s="111">
        <v>5000</v>
      </c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>
        <f t="shared" si="6"/>
        <v>5000</v>
      </c>
    </row>
    <row r="238" spans="1:18" x14ac:dyDescent="0.35">
      <c r="A238" s="5">
        <f t="shared" si="7"/>
        <v>236</v>
      </c>
      <c r="B238" s="49" t="s">
        <v>556</v>
      </c>
      <c r="C238" s="144" t="s">
        <v>1892</v>
      </c>
      <c r="D238" s="54" t="s">
        <v>270</v>
      </c>
      <c r="E238" s="111">
        <v>5000</v>
      </c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>
        <f t="shared" si="6"/>
        <v>5000</v>
      </c>
    </row>
    <row r="239" spans="1:18" x14ac:dyDescent="0.35">
      <c r="A239" s="5">
        <f t="shared" si="7"/>
        <v>237</v>
      </c>
      <c r="B239" s="49" t="s">
        <v>558</v>
      </c>
      <c r="C239" s="7" t="s">
        <v>1718</v>
      </c>
      <c r="D239" s="54" t="s">
        <v>49</v>
      </c>
      <c r="E239" s="111">
        <v>0</v>
      </c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>
        <f t="shared" si="6"/>
        <v>0</v>
      </c>
    </row>
    <row r="240" spans="1:18" x14ac:dyDescent="0.35">
      <c r="A240" s="5">
        <f t="shared" si="7"/>
        <v>238</v>
      </c>
      <c r="B240" s="49" t="s">
        <v>560</v>
      </c>
      <c r="C240" s="7" t="s">
        <v>561</v>
      </c>
      <c r="D240" s="54" t="s">
        <v>11</v>
      </c>
      <c r="E240" s="111">
        <v>0</v>
      </c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>
        <f t="shared" si="6"/>
        <v>0</v>
      </c>
    </row>
    <row r="241" spans="1:18" x14ac:dyDescent="0.35">
      <c r="A241" s="5">
        <f t="shared" si="7"/>
        <v>239</v>
      </c>
      <c r="B241" s="49" t="s">
        <v>562</v>
      </c>
      <c r="C241" s="7" t="s">
        <v>1719</v>
      </c>
      <c r="D241" s="54" t="s">
        <v>19</v>
      </c>
      <c r="E241" s="111">
        <v>5000</v>
      </c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>
        <f t="shared" si="6"/>
        <v>5000</v>
      </c>
    </row>
    <row r="242" spans="1:18" x14ac:dyDescent="0.35">
      <c r="A242" s="5">
        <f t="shared" si="7"/>
        <v>240</v>
      </c>
      <c r="B242" s="49" t="s">
        <v>564</v>
      </c>
      <c r="C242" s="144" t="s">
        <v>2022</v>
      </c>
      <c r="D242" s="54" t="s">
        <v>98</v>
      </c>
      <c r="E242" s="111">
        <v>5000</v>
      </c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>
        <f t="shared" si="6"/>
        <v>5000</v>
      </c>
    </row>
    <row r="243" spans="1:18" x14ac:dyDescent="0.35">
      <c r="A243" s="5">
        <f t="shared" si="7"/>
        <v>241</v>
      </c>
      <c r="B243" s="49" t="s">
        <v>566</v>
      </c>
      <c r="C243" s="90" t="s">
        <v>2023</v>
      </c>
      <c r="D243" s="54" t="s">
        <v>22</v>
      </c>
      <c r="E243" s="111">
        <v>5000</v>
      </c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>
        <f t="shared" si="6"/>
        <v>5000</v>
      </c>
    </row>
    <row r="244" spans="1:18" x14ac:dyDescent="0.35">
      <c r="A244" s="5">
        <f t="shared" si="7"/>
        <v>242</v>
      </c>
      <c r="B244" s="49" t="s">
        <v>568</v>
      </c>
      <c r="C244" s="144" t="s">
        <v>1926</v>
      </c>
      <c r="D244" s="54" t="s">
        <v>128</v>
      </c>
      <c r="E244" s="111">
        <v>5000</v>
      </c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>
        <f t="shared" si="6"/>
        <v>5000</v>
      </c>
    </row>
    <row r="245" spans="1:18" x14ac:dyDescent="0.35">
      <c r="A245" s="5">
        <f t="shared" si="7"/>
        <v>243</v>
      </c>
      <c r="B245" s="49" t="s">
        <v>570</v>
      </c>
      <c r="C245" s="144" t="s">
        <v>2024</v>
      </c>
      <c r="D245" s="54" t="s">
        <v>141</v>
      </c>
      <c r="E245" s="111">
        <v>5000</v>
      </c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>
        <f t="shared" si="6"/>
        <v>5000</v>
      </c>
    </row>
    <row r="246" spans="1:18" x14ac:dyDescent="0.35">
      <c r="A246" s="5">
        <f t="shared" si="7"/>
        <v>244</v>
      </c>
      <c r="B246" s="49" t="s">
        <v>572</v>
      </c>
      <c r="C246" s="144" t="s">
        <v>1929</v>
      </c>
      <c r="D246" s="54" t="s">
        <v>574</v>
      </c>
      <c r="E246" s="111">
        <v>5000</v>
      </c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>
        <f t="shared" si="6"/>
        <v>5000</v>
      </c>
    </row>
    <row r="247" spans="1:18" x14ac:dyDescent="0.35">
      <c r="A247" s="5">
        <f t="shared" si="7"/>
        <v>245</v>
      </c>
      <c r="B247" s="49" t="s">
        <v>575</v>
      </c>
      <c r="C247" s="7" t="s">
        <v>576</v>
      </c>
      <c r="D247" s="54" t="s">
        <v>290</v>
      </c>
      <c r="E247" s="111">
        <v>5000</v>
      </c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>
        <f t="shared" si="6"/>
        <v>5000</v>
      </c>
    </row>
    <row r="248" spans="1:18" x14ac:dyDescent="0.35">
      <c r="A248" s="5">
        <f t="shared" si="7"/>
        <v>246</v>
      </c>
      <c r="B248" s="49" t="s">
        <v>577</v>
      </c>
      <c r="C248" s="90" t="s">
        <v>2025</v>
      </c>
      <c r="D248" s="54" t="s">
        <v>303</v>
      </c>
      <c r="E248" s="111">
        <v>5000</v>
      </c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>
        <f t="shared" si="6"/>
        <v>5000</v>
      </c>
    </row>
    <row r="249" spans="1:18" x14ac:dyDescent="0.35">
      <c r="A249" s="5">
        <f t="shared" si="7"/>
        <v>247</v>
      </c>
      <c r="B249" s="49" t="s">
        <v>579</v>
      </c>
      <c r="C249" s="7" t="s">
        <v>1644</v>
      </c>
      <c r="D249" s="54" t="s">
        <v>198</v>
      </c>
      <c r="E249" s="111">
        <v>5000</v>
      </c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>
        <f t="shared" si="6"/>
        <v>5000</v>
      </c>
    </row>
    <row r="250" spans="1:18" x14ac:dyDescent="0.35">
      <c r="A250" s="5">
        <f t="shared" si="7"/>
        <v>248</v>
      </c>
      <c r="B250" s="49" t="s">
        <v>581</v>
      </c>
      <c r="C250" s="90" t="s">
        <v>2026</v>
      </c>
      <c r="D250" s="54" t="s">
        <v>98</v>
      </c>
      <c r="E250" s="111">
        <v>5000</v>
      </c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>
        <f t="shared" si="6"/>
        <v>5000</v>
      </c>
    </row>
    <row r="251" spans="1:18" x14ac:dyDescent="0.35">
      <c r="A251" s="5">
        <f t="shared" si="7"/>
        <v>249</v>
      </c>
      <c r="B251" s="49" t="s">
        <v>583</v>
      </c>
      <c r="C251" s="7" t="s">
        <v>584</v>
      </c>
      <c r="D251" s="54" t="s">
        <v>49</v>
      </c>
      <c r="E251" s="111">
        <v>0</v>
      </c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>
        <f t="shared" si="6"/>
        <v>0</v>
      </c>
    </row>
    <row r="252" spans="1:18" x14ac:dyDescent="0.35">
      <c r="A252" s="5">
        <f t="shared" si="7"/>
        <v>250</v>
      </c>
      <c r="B252" s="49" t="s">
        <v>585</v>
      </c>
      <c r="C252" s="7" t="s">
        <v>586</v>
      </c>
      <c r="D252" s="54" t="s">
        <v>166</v>
      </c>
      <c r="E252" s="111">
        <v>5000</v>
      </c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>
        <f t="shared" si="6"/>
        <v>5000</v>
      </c>
    </row>
    <row r="253" spans="1:18" x14ac:dyDescent="0.35">
      <c r="A253" s="5">
        <f t="shared" si="7"/>
        <v>251</v>
      </c>
      <c r="B253" s="49" t="s">
        <v>587</v>
      </c>
      <c r="C253" s="144" t="s">
        <v>2027</v>
      </c>
      <c r="D253" s="54" t="s">
        <v>19</v>
      </c>
      <c r="E253" s="111">
        <v>5000</v>
      </c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>
        <f t="shared" si="6"/>
        <v>5000</v>
      </c>
    </row>
    <row r="254" spans="1:18" x14ac:dyDescent="0.35">
      <c r="A254" s="5">
        <f t="shared" si="7"/>
        <v>252</v>
      </c>
      <c r="B254" s="49" t="s">
        <v>589</v>
      </c>
      <c r="C254" s="7" t="s">
        <v>590</v>
      </c>
      <c r="D254" s="54" t="s">
        <v>72</v>
      </c>
      <c r="E254" s="111">
        <v>0</v>
      </c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>
        <f t="shared" si="6"/>
        <v>0</v>
      </c>
    </row>
    <row r="255" spans="1:18" x14ac:dyDescent="0.35">
      <c r="A255" s="5">
        <f t="shared" si="7"/>
        <v>253</v>
      </c>
      <c r="B255" s="49" t="s">
        <v>591</v>
      </c>
      <c r="C255" s="7" t="s">
        <v>592</v>
      </c>
      <c r="D255" s="54" t="s">
        <v>98</v>
      </c>
      <c r="E255" s="111">
        <v>0</v>
      </c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>
        <f t="shared" si="6"/>
        <v>0</v>
      </c>
    </row>
    <row r="256" spans="1:18" x14ac:dyDescent="0.35">
      <c r="A256" s="5">
        <f t="shared" si="7"/>
        <v>254</v>
      </c>
      <c r="B256" s="49" t="s">
        <v>593</v>
      </c>
      <c r="C256" s="7" t="s">
        <v>2228</v>
      </c>
      <c r="D256" s="54" t="s">
        <v>119</v>
      </c>
      <c r="E256" s="111">
        <v>0</v>
      </c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>
        <f t="shared" si="6"/>
        <v>0</v>
      </c>
    </row>
    <row r="257" spans="1:18" x14ac:dyDescent="0.35">
      <c r="A257" s="5">
        <f t="shared" si="7"/>
        <v>255</v>
      </c>
      <c r="B257" s="49" t="s">
        <v>595</v>
      </c>
      <c r="C257" s="7" t="s">
        <v>1721</v>
      </c>
      <c r="D257" s="54" t="s">
        <v>201</v>
      </c>
      <c r="E257" s="111">
        <v>5000</v>
      </c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>
        <f t="shared" si="6"/>
        <v>5000</v>
      </c>
    </row>
    <row r="258" spans="1:18" x14ac:dyDescent="0.35">
      <c r="A258" s="5">
        <f t="shared" si="7"/>
        <v>256</v>
      </c>
      <c r="B258" s="49" t="s">
        <v>597</v>
      </c>
      <c r="C258" s="7" t="s">
        <v>1722</v>
      </c>
      <c r="D258" s="54" t="s">
        <v>98</v>
      </c>
      <c r="E258" s="111">
        <v>0</v>
      </c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>
        <f t="shared" si="6"/>
        <v>0</v>
      </c>
    </row>
    <row r="259" spans="1:18" x14ac:dyDescent="0.35">
      <c r="A259" s="5">
        <f t="shared" si="7"/>
        <v>257</v>
      </c>
      <c r="B259" s="49" t="s">
        <v>599</v>
      </c>
      <c r="C259" s="7" t="s">
        <v>2229</v>
      </c>
      <c r="D259" s="54" t="s">
        <v>98</v>
      </c>
      <c r="E259" s="111">
        <v>0</v>
      </c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>
        <f t="shared" si="6"/>
        <v>0</v>
      </c>
    </row>
    <row r="260" spans="1:18" x14ac:dyDescent="0.35">
      <c r="A260" s="5">
        <f t="shared" si="7"/>
        <v>258</v>
      </c>
      <c r="B260" s="49" t="s">
        <v>601</v>
      </c>
      <c r="C260" s="101" t="s">
        <v>1849</v>
      </c>
      <c r="D260" s="54" t="s">
        <v>25</v>
      </c>
      <c r="E260" s="111">
        <v>5000</v>
      </c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>
        <f t="shared" ref="R260:R323" si="8">E260+F260+G260+H260+I260+J260+K260+L260+M260+N260+O260+P260+Q260</f>
        <v>5000</v>
      </c>
    </row>
    <row r="261" spans="1:18" x14ac:dyDescent="0.35">
      <c r="A261" s="5">
        <f t="shared" ref="A261:A324" si="9">A260+1</f>
        <v>259</v>
      </c>
      <c r="B261" s="49" t="s">
        <v>603</v>
      </c>
      <c r="C261" s="90" t="s">
        <v>2028</v>
      </c>
      <c r="D261" s="54" t="s">
        <v>131</v>
      </c>
      <c r="E261" s="111">
        <v>5000</v>
      </c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>
        <f t="shared" si="8"/>
        <v>5000</v>
      </c>
    </row>
    <row r="262" spans="1:18" x14ac:dyDescent="0.35">
      <c r="A262" s="5">
        <f t="shared" si="9"/>
        <v>260</v>
      </c>
      <c r="B262" s="49" t="s">
        <v>605</v>
      </c>
      <c r="C262" s="7" t="s">
        <v>606</v>
      </c>
      <c r="D262" s="54" t="s">
        <v>60</v>
      </c>
      <c r="E262" s="111">
        <v>0</v>
      </c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>
        <f t="shared" si="8"/>
        <v>0</v>
      </c>
    </row>
    <row r="263" spans="1:18" x14ac:dyDescent="0.35">
      <c r="A263" s="5">
        <f t="shared" si="9"/>
        <v>261</v>
      </c>
      <c r="B263" s="49" t="s">
        <v>607</v>
      </c>
      <c r="C263" s="90" t="s">
        <v>1755</v>
      </c>
      <c r="D263" s="54" t="s">
        <v>238</v>
      </c>
      <c r="E263" s="111">
        <v>5000</v>
      </c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>
        <f t="shared" si="8"/>
        <v>5000</v>
      </c>
    </row>
    <row r="264" spans="1:18" x14ac:dyDescent="0.35">
      <c r="A264" s="5">
        <f t="shared" si="9"/>
        <v>262</v>
      </c>
      <c r="B264" s="49" t="s">
        <v>609</v>
      </c>
      <c r="C264" s="90" t="s">
        <v>1789</v>
      </c>
      <c r="D264" s="54" t="s">
        <v>14</v>
      </c>
      <c r="E264" s="111">
        <v>5000</v>
      </c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>
        <f t="shared" si="8"/>
        <v>5000</v>
      </c>
    </row>
    <row r="265" spans="1:18" x14ac:dyDescent="0.35">
      <c r="A265" s="5">
        <f t="shared" si="9"/>
        <v>263</v>
      </c>
      <c r="B265" s="49" t="s">
        <v>611</v>
      </c>
      <c r="C265" s="144" t="s">
        <v>1894</v>
      </c>
      <c r="D265" s="54" t="s">
        <v>136</v>
      </c>
      <c r="E265" s="111">
        <v>5000</v>
      </c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>
        <f t="shared" si="8"/>
        <v>5000</v>
      </c>
    </row>
    <row r="266" spans="1:18" x14ac:dyDescent="0.35">
      <c r="A266" s="5">
        <f t="shared" si="9"/>
        <v>264</v>
      </c>
      <c r="B266" s="49" t="s">
        <v>613</v>
      </c>
      <c r="C266" s="144" t="s">
        <v>2029</v>
      </c>
      <c r="D266" s="54" t="s">
        <v>98</v>
      </c>
      <c r="E266" s="111">
        <v>5000</v>
      </c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>
        <f t="shared" si="8"/>
        <v>5000</v>
      </c>
    </row>
    <row r="267" spans="1:18" x14ac:dyDescent="0.35">
      <c r="A267" s="5">
        <f t="shared" si="9"/>
        <v>265</v>
      </c>
      <c r="B267" s="49" t="s">
        <v>615</v>
      </c>
      <c r="C267" s="7" t="s">
        <v>1723</v>
      </c>
      <c r="D267" s="54" t="s">
        <v>119</v>
      </c>
      <c r="E267" s="111">
        <v>0</v>
      </c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>
        <f t="shared" si="8"/>
        <v>0</v>
      </c>
    </row>
    <row r="268" spans="1:18" x14ac:dyDescent="0.35">
      <c r="A268" s="5">
        <f t="shared" si="9"/>
        <v>266</v>
      </c>
      <c r="B268" s="49" t="s">
        <v>617</v>
      </c>
      <c r="C268" s="90" t="s">
        <v>1758</v>
      </c>
      <c r="D268" s="54" t="s">
        <v>25</v>
      </c>
      <c r="E268" s="111">
        <v>5000</v>
      </c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>
        <f t="shared" si="8"/>
        <v>5000</v>
      </c>
    </row>
    <row r="269" spans="1:18" x14ac:dyDescent="0.35">
      <c r="A269" s="5">
        <f t="shared" si="9"/>
        <v>267</v>
      </c>
      <c r="B269" s="49" t="s">
        <v>619</v>
      </c>
      <c r="C269" s="7" t="s">
        <v>620</v>
      </c>
      <c r="D269" s="54" t="s">
        <v>65</v>
      </c>
      <c r="E269" s="111">
        <v>0</v>
      </c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>
        <f t="shared" si="8"/>
        <v>0</v>
      </c>
    </row>
    <row r="270" spans="1:18" x14ac:dyDescent="0.35">
      <c r="A270" s="5">
        <f t="shared" si="9"/>
        <v>268</v>
      </c>
      <c r="B270" s="49" t="s">
        <v>621</v>
      </c>
      <c r="C270" s="7" t="s">
        <v>622</v>
      </c>
      <c r="D270" s="54" t="s">
        <v>166</v>
      </c>
      <c r="E270" s="111">
        <v>0</v>
      </c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>
        <f t="shared" si="8"/>
        <v>0</v>
      </c>
    </row>
    <row r="271" spans="1:18" x14ac:dyDescent="0.35">
      <c r="A271" s="5">
        <f t="shared" si="9"/>
        <v>269</v>
      </c>
      <c r="B271" s="49" t="s">
        <v>623</v>
      </c>
      <c r="C271" s="144" t="s">
        <v>1895</v>
      </c>
      <c r="D271" s="54" t="s">
        <v>136</v>
      </c>
      <c r="E271" s="111">
        <v>5000</v>
      </c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>
        <f t="shared" si="8"/>
        <v>5000</v>
      </c>
    </row>
    <row r="272" spans="1:18" x14ac:dyDescent="0.35">
      <c r="A272" s="5">
        <f t="shared" si="9"/>
        <v>270</v>
      </c>
      <c r="B272" s="49" t="s">
        <v>625</v>
      </c>
      <c r="C272" s="7" t="s">
        <v>626</v>
      </c>
      <c r="D272" s="54" t="s">
        <v>429</v>
      </c>
      <c r="E272" s="111">
        <v>0</v>
      </c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>
        <f t="shared" si="8"/>
        <v>0</v>
      </c>
    </row>
    <row r="273" spans="1:18" x14ac:dyDescent="0.35">
      <c r="A273" s="5">
        <f t="shared" si="9"/>
        <v>271</v>
      </c>
      <c r="B273" s="49" t="s">
        <v>627</v>
      </c>
      <c r="C273" s="90" t="s">
        <v>2030</v>
      </c>
      <c r="D273" s="54" t="s">
        <v>119</v>
      </c>
      <c r="E273" s="111">
        <v>5000</v>
      </c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>
        <f t="shared" si="8"/>
        <v>5000</v>
      </c>
    </row>
    <row r="274" spans="1:18" x14ac:dyDescent="0.35">
      <c r="A274" s="5">
        <f t="shared" si="9"/>
        <v>272</v>
      </c>
      <c r="B274" s="49" t="s">
        <v>629</v>
      </c>
      <c r="C274" s="90" t="s">
        <v>2031</v>
      </c>
      <c r="D274" s="54" t="s">
        <v>238</v>
      </c>
      <c r="E274" s="111">
        <v>5000</v>
      </c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>
        <f t="shared" si="8"/>
        <v>5000</v>
      </c>
    </row>
    <row r="275" spans="1:18" x14ac:dyDescent="0.35">
      <c r="A275" s="5">
        <f t="shared" si="9"/>
        <v>273</v>
      </c>
      <c r="B275" s="49" t="s">
        <v>631</v>
      </c>
      <c r="C275" s="7" t="s">
        <v>632</v>
      </c>
      <c r="D275" s="54" t="s">
        <v>65</v>
      </c>
      <c r="E275" s="111">
        <v>0</v>
      </c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>
        <f t="shared" si="8"/>
        <v>0</v>
      </c>
    </row>
    <row r="276" spans="1:18" x14ac:dyDescent="0.35">
      <c r="A276" s="5">
        <f t="shared" si="9"/>
        <v>274</v>
      </c>
      <c r="B276" s="49" t="s">
        <v>633</v>
      </c>
      <c r="C276" s="7" t="s">
        <v>1624</v>
      </c>
      <c r="D276" s="54" t="s">
        <v>119</v>
      </c>
      <c r="E276" s="111">
        <v>0</v>
      </c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>
        <f t="shared" si="8"/>
        <v>0</v>
      </c>
    </row>
    <row r="277" spans="1:18" x14ac:dyDescent="0.35">
      <c r="A277" s="5">
        <f t="shared" si="9"/>
        <v>275</v>
      </c>
      <c r="B277" s="49" t="s">
        <v>635</v>
      </c>
      <c r="C277" s="7" t="s">
        <v>636</v>
      </c>
      <c r="D277" s="54" t="s">
        <v>136</v>
      </c>
      <c r="E277" s="111">
        <v>0</v>
      </c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>
        <f t="shared" si="8"/>
        <v>0</v>
      </c>
    </row>
    <row r="278" spans="1:18" x14ac:dyDescent="0.35">
      <c r="A278" s="5">
        <f t="shared" si="9"/>
        <v>276</v>
      </c>
      <c r="B278" s="49" t="s">
        <v>637</v>
      </c>
      <c r="C278" s="7" t="s">
        <v>638</v>
      </c>
      <c r="D278" s="54" t="s">
        <v>49</v>
      </c>
      <c r="E278" s="111">
        <v>0</v>
      </c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>
        <f t="shared" si="8"/>
        <v>0</v>
      </c>
    </row>
    <row r="279" spans="1:18" x14ac:dyDescent="0.35">
      <c r="A279" s="5">
        <f t="shared" si="9"/>
        <v>277</v>
      </c>
      <c r="B279" s="49" t="s">
        <v>639</v>
      </c>
      <c r="C279" s="90" t="s">
        <v>2032</v>
      </c>
      <c r="D279" s="54" t="s">
        <v>25</v>
      </c>
      <c r="E279" s="111">
        <v>5000</v>
      </c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>
        <f t="shared" si="8"/>
        <v>5000</v>
      </c>
    </row>
    <row r="280" spans="1:18" x14ac:dyDescent="0.35">
      <c r="A280" s="5">
        <f t="shared" si="9"/>
        <v>278</v>
      </c>
      <c r="B280" s="49" t="s">
        <v>641</v>
      </c>
      <c r="C280" s="7" t="s">
        <v>1679</v>
      </c>
      <c r="D280" s="54" t="s">
        <v>19</v>
      </c>
      <c r="E280" s="111">
        <v>0</v>
      </c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>
        <f t="shared" si="8"/>
        <v>0</v>
      </c>
    </row>
    <row r="281" spans="1:18" x14ac:dyDescent="0.35">
      <c r="A281" s="5">
        <f t="shared" si="9"/>
        <v>279</v>
      </c>
      <c r="B281" s="49" t="s">
        <v>643</v>
      </c>
      <c r="C281" s="90" t="s">
        <v>1759</v>
      </c>
      <c r="D281" s="54" t="s">
        <v>318</v>
      </c>
      <c r="E281" s="111">
        <v>5000</v>
      </c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>
        <f t="shared" si="8"/>
        <v>5000</v>
      </c>
    </row>
    <row r="282" spans="1:18" x14ac:dyDescent="0.35">
      <c r="A282" s="5">
        <f t="shared" si="9"/>
        <v>280</v>
      </c>
      <c r="B282" s="49" t="s">
        <v>645</v>
      </c>
      <c r="C282" s="7" t="s">
        <v>1724</v>
      </c>
      <c r="D282" s="54" t="s">
        <v>300</v>
      </c>
      <c r="E282" s="111">
        <v>0</v>
      </c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>
        <f t="shared" si="8"/>
        <v>0</v>
      </c>
    </row>
    <row r="283" spans="1:18" x14ac:dyDescent="0.35">
      <c r="A283" s="5">
        <f t="shared" si="9"/>
        <v>281</v>
      </c>
      <c r="B283" s="49" t="s">
        <v>647</v>
      </c>
      <c r="C283" s="90" t="s">
        <v>1850</v>
      </c>
      <c r="D283" s="54" t="s">
        <v>649</v>
      </c>
      <c r="E283" s="111">
        <v>0</v>
      </c>
      <c r="F283" s="58"/>
      <c r="G283" s="58">
        <v>200000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>
        <f t="shared" si="8"/>
        <v>200000</v>
      </c>
    </row>
    <row r="284" spans="1:18" x14ac:dyDescent="0.35">
      <c r="A284" s="5">
        <f t="shared" si="9"/>
        <v>282</v>
      </c>
      <c r="B284" s="49" t="s">
        <v>650</v>
      </c>
      <c r="C284" s="90" t="s">
        <v>2033</v>
      </c>
      <c r="D284" s="54" t="s">
        <v>72</v>
      </c>
      <c r="E284" s="111">
        <v>5000</v>
      </c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>
        <f t="shared" si="8"/>
        <v>5000</v>
      </c>
    </row>
    <row r="285" spans="1:18" x14ac:dyDescent="0.35">
      <c r="A285" s="5">
        <f t="shared" si="9"/>
        <v>283</v>
      </c>
      <c r="B285" s="49" t="s">
        <v>652</v>
      </c>
      <c r="C285" s="7" t="s">
        <v>653</v>
      </c>
      <c r="D285" s="54" t="s">
        <v>72</v>
      </c>
      <c r="E285" s="111">
        <v>5000</v>
      </c>
      <c r="F285" s="58"/>
      <c r="G285" s="58"/>
      <c r="H285" s="58">
        <v>-5000</v>
      </c>
      <c r="I285" s="58"/>
      <c r="J285" s="58"/>
      <c r="K285" s="58"/>
      <c r="L285" s="58"/>
      <c r="M285" s="58"/>
      <c r="N285" s="58"/>
      <c r="O285" s="58"/>
      <c r="P285" s="58"/>
      <c r="Q285" s="58"/>
      <c r="R285" s="58">
        <f t="shared" si="8"/>
        <v>0</v>
      </c>
    </row>
    <row r="286" spans="1:18" x14ac:dyDescent="0.35">
      <c r="A286" s="5">
        <f t="shared" si="9"/>
        <v>284</v>
      </c>
      <c r="B286" s="49" t="s">
        <v>654</v>
      </c>
      <c r="C286" s="7" t="s">
        <v>655</v>
      </c>
      <c r="D286" s="54" t="s">
        <v>14</v>
      </c>
      <c r="E286" s="111">
        <v>5000</v>
      </c>
      <c r="F286" s="58"/>
      <c r="G286" s="58"/>
      <c r="H286" s="58"/>
      <c r="I286" s="58"/>
      <c r="J286" s="58"/>
      <c r="K286" s="58"/>
      <c r="L286" s="58"/>
      <c r="M286" s="58">
        <v>-5000</v>
      </c>
      <c r="N286" s="58"/>
      <c r="O286" s="58"/>
      <c r="P286" s="58"/>
      <c r="Q286" s="58"/>
      <c r="R286" s="58">
        <f t="shared" si="8"/>
        <v>0</v>
      </c>
    </row>
    <row r="287" spans="1:18" x14ac:dyDescent="0.35">
      <c r="A287" s="5">
        <f t="shared" si="9"/>
        <v>285</v>
      </c>
      <c r="B287" s="49" t="s">
        <v>656</v>
      </c>
      <c r="C287" s="90" t="s">
        <v>2034</v>
      </c>
      <c r="D287" s="54" t="s">
        <v>25</v>
      </c>
      <c r="E287" s="111">
        <v>5000</v>
      </c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>
        <f t="shared" si="8"/>
        <v>5000</v>
      </c>
    </row>
    <row r="288" spans="1:18" x14ac:dyDescent="0.35">
      <c r="A288" s="5">
        <f t="shared" si="9"/>
        <v>286</v>
      </c>
      <c r="B288" s="49" t="s">
        <v>658</v>
      </c>
      <c r="C288" s="7" t="s">
        <v>659</v>
      </c>
      <c r="D288" s="54" t="s">
        <v>136</v>
      </c>
      <c r="E288" s="111">
        <v>0</v>
      </c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>
        <f t="shared" si="8"/>
        <v>0</v>
      </c>
    </row>
    <row r="289" spans="1:18" x14ac:dyDescent="0.35">
      <c r="A289" s="5">
        <f t="shared" si="9"/>
        <v>287</v>
      </c>
      <c r="B289" s="49" t="s">
        <v>660</v>
      </c>
      <c r="C289" s="90" t="s">
        <v>2035</v>
      </c>
      <c r="D289" s="54" t="s">
        <v>25</v>
      </c>
      <c r="E289" s="111">
        <v>5000</v>
      </c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>
        <f t="shared" si="8"/>
        <v>5000</v>
      </c>
    </row>
    <row r="290" spans="1:18" x14ac:dyDescent="0.35">
      <c r="A290" s="5">
        <f t="shared" si="9"/>
        <v>288</v>
      </c>
      <c r="B290" s="49" t="s">
        <v>662</v>
      </c>
      <c r="C290" s="7" t="s">
        <v>663</v>
      </c>
      <c r="D290" s="54" t="s">
        <v>14</v>
      </c>
      <c r="E290" s="111">
        <v>0</v>
      </c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>
        <f t="shared" si="8"/>
        <v>0</v>
      </c>
    </row>
    <row r="291" spans="1:18" x14ac:dyDescent="0.35">
      <c r="A291" s="5">
        <f t="shared" si="9"/>
        <v>289</v>
      </c>
      <c r="B291" s="49" t="s">
        <v>664</v>
      </c>
      <c r="C291" s="166" t="s">
        <v>1784</v>
      </c>
      <c r="D291" s="54" t="s">
        <v>95</v>
      </c>
      <c r="E291" s="111">
        <v>5000</v>
      </c>
      <c r="F291" s="58"/>
      <c r="G291" s="58"/>
      <c r="H291" s="58"/>
      <c r="I291" s="58"/>
      <c r="J291" s="58"/>
      <c r="K291" s="58"/>
      <c r="L291" s="58">
        <v>-5000</v>
      </c>
      <c r="M291" s="58"/>
      <c r="N291" s="58"/>
      <c r="O291" s="58"/>
      <c r="P291" s="58"/>
      <c r="Q291" s="58"/>
      <c r="R291" s="58">
        <f t="shared" si="8"/>
        <v>0</v>
      </c>
    </row>
    <row r="292" spans="1:18" x14ac:dyDescent="0.35">
      <c r="A292" s="5">
        <f t="shared" si="9"/>
        <v>290</v>
      </c>
      <c r="B292" s="49" t="s">
        <v>666</v>
      </c>
      <c r="C292" s="7" t="s">
        <v>1725</v>
      </c>
      <c r="D292" s="54" t="s">
        <v>374</v>
      </c>
      <c r="E292" s="111">
        <v>5000</v>
      </c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>
        <f t="shared" si="8"/>
        <v>5000</v>
      </c>
    </row>
    <row r="293" spans="1:18" x14ac:dyDescent="0.35">
      <c r="A293" s="5">
        <f t="shared" si="9"/>
        <v>291</v>
      </c>
      <c r="B293" s="49" t="s">
        <v>668</v>
      </c>
      <c r="C293" s="136" t="s">
        <v>1840</v>
      </c>
      <c r="D293" s="54" t="s">
        <v>144</v>
      </c>
      <c r="E293" s="111">
        <v>205000</v>
      </c>
      <c r="F293" s="58"/>
      <c r="G293" s="58"/>
      <c r="H293" s="58"/>
      <c r="I293" s="58"/>
      <c r="J293" s="58"/>
      <c r="K293" s="58"/>
      <c r="L293" s="58">
        <v>-205000</v>
      </c>
      <c r="M293" s="58"/>
      <c r="N293" s="58"/>
      <c r="O293" s="58"/>
      <c r="P293" s="58"/>
      <c r="Q293" s="58"/>
      <c r="R293" s="58">
        <f t="shared" si="8"/>
        <v>0</v>
      </c>
    </row>
    <row r="294" spans="1:18" x14ac:dyDescent="0.35">
      <c r="A294" s="5">
        <f t="shared" si="9"/>
        <v>292</v>
      </c>
      <c r="B294" s="49" t="s">
        <v>670</v>
      </c>
      <c r="C294" s="7" t="s">
        <v>671</v>
      </c>
      <c r="D294" s="54" t="s">
        <v>253</v>
      </c>
      <c r="E294" s="111">
        <v>0</v>
      </c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>
        <f t="shared" si="8"/>
        <v>0</v>
      </c>
    </row>
    <row r="295" spans="1:18" x14ac:dyDescent="0.35">
      <c r="A295" s="5">
        <f t="shared" si="9"/>
        <v>293</v>
      </c>
      <c r="B295" s="49" t="s">
        <v>672</v>
      </c>
      <c r="C295" s="7" t="s">
        <v>673</v>
      </c>
      <c r="D295" s="54" t="s">
        <v>49</v>
      </c>
      <c r="E295" s="111">
        <v>5000</v>
      </c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>
        <f t="shared" si="8"/>
        <v>5000</v>
      </c>
    </row>
    <row r="296" spans="1:18" x14ac:dyDescent="0.35">
      <c r="A296" s="5">
        <f t="shared" si="9"/>
        <v>294</v>
      </c>
      <c r="B296" s="49" t="s">
        <v>674</v>
      </c>
      <c r="C296" s="7" t="s">
        <v>1726</v>
      </c>
      <c r="D296" s="54" t="s">
        <v>131</v>
      </c>
      <c r="E296" s="111">
        <v>0</v>
      </c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>
        <f t="shared" si="8"/>
        <v>0</v>
      </c>
    </row>
    <row r="297" spans="1:18" x14ac:dyDescent="0.35">
      <c r="A297" s="5">
        <f t="shared" si="9"/>
        <v>295</v>
      </c>
      <c r="B297" s="49" t="s">
        <v>676</v>
      </c>
      <c r="C297" s="7" t="s">
        <v>1645</v>
      </c>
      <c r="D297" s="54" t="s">
        <v>95</v>
      </c>
      <c r="E297" s="111">
        <v>0</v>
      </c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>
        <f t="shared" si="8"/>
        <v>0</v>
      </c>
    </row>
    <row r="298" spans="1:18" x14ac:dyDescent="0.35">
      <c r="A298" s="5">
        <f t="shared" si="9"/>
        <v>296</v>
      </c>
      <c r="B298" s="49" t="s">
        <v>678</v>
      </c>
      <c r="C298" s="144" t="s">
        <v>1901</v>
      </c>
      <c r="D298" s="54" t="s">
        <v>136</v>
      </c>
      <c r="E298" s="111">
        <v>5000</v>
      </c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>
        <f t="shared" si="8"/>
        <v>5000</v>
      </c>
    </row>
    <row r="299" spans="1:18" x14ac:dyDescent="0.35">
      <c r="A299" s="5">
        <f t="shared" si="9"/>
        <v>297</v>
      </c>
      <c r="B299" s="49" t="s">
        <v>680</v>
      </c>
      <c r="C299" s="7" t="s">
        <v>1609</v>
      </c>
      <c r="D299" s="54" t="s">
        <v>166</v>
      </c>
      <c r="E299" s="111">
        <v>5000</v>
      </c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>
        <f t="shared" si="8"/>
        <v>5000</v>
      </c>
    </row>
    <row r="300" spans="1:18" x14ac:dyDescent="0.35">
      <c r="A300" s="5">
        <f t="shared" si="9"/>
        <v>298</v>
      </c>
      <c r="B300" s="49" t="s">
        <v>682</v>
      </c>
      <c r="C300" s="7" t="s">
        <v>2230</v>
      </c>
      <c r="D300" s="54" t="s">
        <v>524</v>
      </c>
      <c r="E300" s="111">
        <v>0</v>
      </c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>
        <f t="shared" si="8"/>
        <v>0</v>
      </c>
    </row>
    <row r="301" spans="1:18" x14ac:dyDescent="0.35">
      <c r="A301" s="5">
        <f t="shared" si="9"/>
        <v>299</v>
      </c>
      <c r="B301" s="49" t="s">
        <v>684</v>
      </c>
      <c r="C301" s="7" t="s">
        <v>2036</v>
      </c>
      <c r="D301" s="54" t="s">
        <v>367</v>
      </c>
      <c r="E301" s="111">
        <v>5000</v>
      </c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>
        <f t="shared" si="8"/>
        <v>5000</v>
      </c>
    </row>
    <row r="302" spans="1:18" x14ac:dyDescent="0.35">
      <c r="A302" s="5">
        <f t="shared" si="9"/>
        <v>300</v>
      </c>
      <c r="B302" s="49" t="s">
        <v>686</v>
      </c>
      <c r="C302" s="7" t="s">
        <v>1727</v>
      </c>
      <c r="D302" s="54" t="s">
        <v>141</v>
      </c>
      <c r="E302" s="111">
        <v>0</v>
      </c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>
        <f t="shared" si="8"/>
        <v>0</v>
      </c>
    </row>
    <row r="303" spans="1:18" x14ac:dyDescent="0.35">
      <c r="A303" s="5">
        <f t="shared" si="9"/>
        <v>301</v>
      </c>
      <c r="B303" s="49" t="s">
        <v>688</v>
      </c>
      <c r="C303" s="7" t="s">
        <v>689</v>
      </c>
      <c r="D303" s="54" t="s">
        <v>169</v>
      </c>
      <c r="E303" s="111">
        <v>0</v>
      </c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>
        <f t="shared" si="8"/>
        <v>0</v>
      </c>
    </row>
    <row r="304" spans="1:18" x14ac:dyDescent="0.35">
      <c r="A304" s="5">
        <f t="shared" si="9"/>
        <v>302</v>
      </c>
      <c r="B304" s="49" t="s">
        <v>690</v>
      </c>
      <c r="C304" s="7" t="s">
        <v>691</v>
      </c>
      <c r="D304" s="54" t="s">
        <v>52</v>
      </c>
      <c r="E304" s="111">
        <v>0</v>
      </c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>
        <f t="shared" si="8"/>
        <v>0</v>
      </c>
    </row>
    <row r="305" spans="1:18" x14ac:dyDescent="0.35">
      <c r="A305" s="5">
        <f t="shared" si="9"/>
        <v>303</v>
      </c>
      <c r="B305" s="49" t="s">
        <v>692</v>
      </c>
      <c r="C305" s="90" t="s">
        <v>2037</v>
      </c>
      <c r="D305" s="54" t="s">
        <v>22</v>
      </c>
      <c r="E305" s="111">
        <v>5000</v>
      </c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>
        <f t="shared" si="8"/>
        <v>5000</v>
      </c>
    </row>
    <row r="306" spans="1:18" x14ac:dyDescent="0.35">
      <c r="A306" s="5">
        <f t="shared" si="9"/>
        <v>304</v>
      </c>
      <c r="B306" s="49" t="s">
        <v>694</v>
      </c>
      <c r="C306" s="90" t="s">
        <v>2038</v>
      </c>
      <c r="D306" s="54" t="s">
        <v>72</v>
      </c>
      <c r="E306" s="111">
        <v>5000</v>
      </c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>
        <f t="shared" si="8"/>
        <v>5000</v>
      </c>
    </row>
    <row r="307" spans="1:18" x14ac:dyDescent="0.35">
      <c r="A307" s="5">
        <f t="shared" si="9"/>
        <v>305</v>
      </c>
      <c r="B307" s="49" t="s">
        <v>696</v>
      </c>
      <c r="C307" s="7" t="s">
        <v>1728</v>
      </c>
      <c r="D307" s="54" t="s">
        <v>698</v>
      </c>
      <c r="E307" s="111">
        <v>0</v>
      </c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>
        <f t="shared" si="8"/>
        <v>0</v>
      </c>
    </row>
    <row r="308" spans="1:18" x14ac:dyDescent="0.35">
      <c r="A308" s="5">
        <f t="shared" si="9"/>
        <v>306</v>
      </c>
      <c r="B308" s="49" t="s">
        <v>699</v>
      </c>
      <c r="C308" s="90" t="s">
        <v>2039</v>
      </c>
      <c r="D308" s="54" t="s">
        <v>60</v>
      </c>
      <c r="E308" s="111">
        <v>5000</v>
      </c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>
        <f t="shared" si="8"/>
        <v>5000</v>
      </c>
    </row>
    <row r="309" spans="1:18" x14ac:dyDescent="0.35">
      <c r="A309" s="5">
        <f t="shared" si="9"/>
        <v>307</v>
      </c>
      <c r="B309" s="49" t="s">
        <v>701</v>
      </c>
      <c r="C309" s="7" t="s">
        <v>1729</v>
      </c>
      <c r="D309" s="54" t="s">
        <v>41</v>
      </c>
      <c r="E309" s="111">
        <v>0</v>
      </c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>
        <f t="shared" si="8"/>
        <v>0</v>
      </c>
    </row>
    <row r="310" spans="1:18" x14ac:dyDescent="0.35">
      <c r="A310" s="5">
        <f t="shared" si="9"/>
        <v>308</v>
      </c>
      <c r="B310" s="49" t="s">
        <v>703</v>
      </c>
      <c r="C310" s="7" t="s">
        <v>1730</v>
      </c>
      <c r="D310" s="54" t="s">
        <v>41</v>
      </c>
      <c r="E310" s="111">
        <v>0</v>
      </c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>
        <f t="shared" si="8"/>
        <v>0</v>
      </c>
    </row>
    <row r="311" spans="1:18" x14ac:dyDescent="0.35">
      <c r="A311" s="5">
        <f t="shared" si="9"/>
        <v>309</v>
      </c>
      <c r="B311" s="49" t="s">
        <v>705</v>
      </c>
      <c r="C311" s="7" t="s">
        <v>1731</v>
      </c>
      <c r="D311" s="54" t="s">
        <v>131</v>
      </c>
      <c r="E311" s="111">
        <v>0</v>
      </c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>
        <f t="shared" si="8"/>
        <v>0</v>
      </c>
    </row>
    <row r="312" spans="1:18" x14ac:dyDescent="0.35">
      <c r="A312" s="5">
        <f t="shared" si="9"/>
        <v>310</v>
      </c>
      <c r="B312" s="49" t="s">
        <v>707</v>
      </c>
      <c r="C312" s="144" t="s">
        <v>2040</v>
      </c>
      <c r="D312" s="54" t="s">
        <v>98</v>
      </c>
      <c r="E312" s="111">
        <v>5000</v>
      </c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>
        <f t="shared" si="8"/>
        <v>5000</v>
      </c>
    </row>
    <row r="313" spans="1:18" x14ac:dyDescent="0.35">
      <c r="A313" s="5">
        <f t="shared" si="9"/>
        <v>311</v>
      </c>
      <c r="B313" s="49" t="s">
        <v>709</v>
      </c>
      <c r="C313" s="7" t="s">
        <v>2225</v>
      </c>
      <c r="D313" s="54" t="s">
        <v>49</v>
      </c>
      <c r="E313" s="111">
        <v>0</v>
      </c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>
        <f t="shared" si="8"/>
        <v>0</v>
      </c>
    </row>
    <row r="314" spans="1:18" x14ac:dyDescent="0.35">
      <c r="A314" s="5">
        <f t="shared" si="9"/>
        <v>312</v>
      </c>
      <c r="B314" s="49" t="s">
        <v>711</v>
      </c>
      <c r="C314" s="7" t="s">
        <v>1732</v>
      </c>
      <c r="D314" s="54" t="s">
        <v>52</v>
      </c>
      <c r="E314" s="111">
        <v>0</v>
      </c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>
        <f t="shared" si="8"/>
        <v>0</v>
      </c>
    </row>
    <row r="315" spans="1:18" x14ac:dyDescent="0.35">
      <c r="A315" s="5">
        <f t="shared" si="9"/>
        <v>313</v>
      </c>
      <c r="B315" s="49" t="s">
        <v>713</v>
      </c>
      <c r="C315" s="7" t="s">
        <v>1767</v>
      </c>
      <c r="D315" s="54" t="s">
        <v>60</v>
      </c>
      <c r="E315" s="111">
        <v>5000</v>
      </c>
      <c r="F315" s="58"/>
      <c r="G315" s="58"/>
      <c r="H315" s="58"/>
      <c r="I315" s="58"/>
      <c r="J315" s="58"/>
      <c r="K315" s="58"/>
      <c r="L315" s="58"/>
      <c r="M315" s="58"/>
      <c r="N315" s="58"/>
      <c r="O315" s="58">
        <v>-5000</v>
      </c>
      <c r="P315" s="58"/>
      <c r="Q315" s="58"/>
      <c r="R315" s="58">
        <f t="shared" si="8"/>
        <v>0</v>
      </c>
    </row>
    <row r="316" spans="1:18" x14ac:dyDescent="0.35">
      <c r="A316" s="5">
        <f t="shared" si="9"/>
        <v>314</v>
      </c>
      <c r="B316" s="49" t="s">
        <v>715</v>
      </c>
      <c r="C316" s="90" t="s">
        <v>2041</v>
      </c>
      <c r="D316" s="54" t="s">
        <v>22</v>
      </c>
      <c r="E316" s="111">
        <v>5000</v>
      </c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>
        <f t="shared" si="8"/>
        <v>5000</v>
      </c>
    </row>
    <row r="317" spans="1:18" x14ac:dyDescent="0.35">
      <c r="A317" s="5">
        <f t="shared" si="9"/>
        <v>315</v>
      </c>
      <c r="B317" s="49" t="s">
        <v>717</v>
      </c>
      <c r="C317" s="7" t="s">
        <v>1733</v>
      </c>
      <c r="D317" s="54" t="s">
        <v>49</v>
      </c>
      <c r="E317" s="111">
        <v>0</v>
      </c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>
        <f t="shared" si="8"/>
        <v>0</v>
      </c>
    </row>
    <row r="318" spans="1:18" x14ac:dyDescent="0.35">
      <c r="A318" s="5">
        <f t="shared" si="9"/>
        <v>316</v>
      </c>
      <c r="B318" s="49" t="s">
        <v>719</v>
      </c>
      <c r="C318" s="7" t="s">
        <v>720</v>
      </c>
      <c r="D318" s="54" t="s">
        <v>77</v>
      </c>
      <c r="E318" s="111">
        <v>5000</v>
      </c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>
        <f t="shared" si="8"/>
        <v>5000</v>
      </c>
    </row>
    <row r="319" spans="1:18" x14ac:dyDescent="0.35">
      <c r="A319" s="5">
        <f t="shared" si="9"/>
        <v>317</v>
      </c>
      <c r="B319" s="49" t="s">
        <v>721</v>
      </c>
      <c r="C319" s="127" t="s">
        <v>2042</v>
      </c>
      <c r="D319" s="54" t="s">
        <v>166</v>
      </c>
      <c r="E319" s="111">
        <v>5000</v>
      </c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>
        <f t="shared" si="8"/>
        <v>5000</v>
      </c>
    </row>
    <row r="320" spans="1:18" x14ac:dyDescent="0.35">
      <c r="A320" s="5">
        <f t="shared" si="9"/>
        <v>318</v>
      </c>
      <c r="B320" s="49" t="s">
        <v>723</v>
      </c>
      <c r="C320" s="7" t="s">
        <v>724</v>
      </c>
      <c r="D320" s="54" t="s">
        <v>72</v>
      </c>
      <c r="E320" s="111">
        <v>0</v>
      </c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>
        <f t="shared" si="8"/>
        <v>0</v>
      </c>
    </row>
    <row r="321" spans="1:18" x14ac:dyDescent="0.35">
      <c r="A321" s="5">
        <f t="shared" si="9"/>
        <v>319</v>
      </c>
      <c r="B321" s="49" t="s">
        <v>725</v>
      </c>
      <c r="C321" s="7" t="s">
        <v>1734</v>
      </c>
      <c r="D321" s="54" t="s">
        <v>551</v>
      </c>
      <c r="E321" s="111">
        <v>0</v>
      </c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>
        <f t="shared" si="8"/>
        <v>0</v>
      </c>
    </row>
    <row r="322" spans="1:18" x14ac:dyDescent="0.35">
      <c r="A322" s="5">
        <f t="shared" si="9"/>
        <v>320</v>
      </c>
      <c r="B322" s="49" t="s">
        <v>727</v>
      </c>
      <c r="C322" s="144" t="s">
        <v>2043</v>
      </c>
      <c r="D322" s="54" t="s">
        <v>136</v>
      </c>
      <c r="E322" s="111">
        <v>5000</v>
      </c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>
        <f t="shared" si="8"/>
        <v>5000</v>
      </c>
    </row>
    <row r="323" spans="1:18" x14ac:dyDescent="0.35">
      <c r="A323" s="5">
        <f t="shared" si="9"/>
        <v>321</v>
      </c>
      <c r="B323" s="49" t="s">
        <v>729</v>
      </c>
      <c r="C323" s="7" t="s">
        <v>1735</v>
      </c>
      <c r="D323" s="54" t="s">
        <v>131</v>
      </c>
      <c r="E323" s="111">
        <v>5000</v>
      </c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>
        <f t="shared" si="8"/>
        <v>5000</v>
      </c>
    </row>
    <row r="324" spans="1:18" x14ac:dyDescent="0.35">
      <c r="A324" s="5">
        <f t="shared" si="9"/>
        <v>322</v>
      </c>
      <c r="B324" s="49" t="s">
        <v>731</v>
      </c>
      <c r="C324" s="7" t="s">
        <v>1646</v>
      </c>
      <c r="D324" s="54" t="s">
        <v>198</v>
      </c>
      <c r="E324" s="111">
        <v>0</v>
      </c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>
        <f t="shared" ref="R324:R387" si="10">E324+F324+G324+H324+I324+J324+K324+L324+M324+N324+O324+P324+Q324</f>
        <v>0</v>
      </c>
    </row>
    <row r="325" spans="1:18" x14ac:dyDescent="0.35">
      <c r="A325" s="5">
        <f t="shared" ref="A325:A388" si="11">A324+1</f>
        <v>323</v>
      </c>
      <c r="B325" s="49" t="s">
        <v>733</v>
      </c>
      <c r="C325" s="7" t="s">
        <v>734</v>
      </c>
      <c r="D325" s="54" t="s">
        <v>49</v>
      </c>
      <c r="E325" s="111">
        <v>0</v>
      </c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>
        <f t="shared" si="10"/>
        <v>0</v>
      </c>
    </row>
    <row r="326" spans="1:18" x14ac:dyDescent="0.35">
      <c r="A326" s="5">
        <f t="shared" si="11"/>
        <v>324</v>
      </c>
      <c r="B326" s="49" t="s">
        <v>735</v>
      </c>
      <c r="C326" s="7" t="s">
        <v>1736</v>
      </c>
      <c r="D326" s="54" t="s">
        <v>11</v>
      </c>
      <c r="E326" s="111">
        <v>0</v>
      </c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>
        <f t="shared" si="10"/>
        <v>0</v>
      </c>
    </row>
    <row r="327" spans="1:18" x14ac:dyDescent="0.35">
      <c r="A327" s="5">
        <f t="shared" si="11"/>
        <v>325</v>
      </c>
      <c r="B327" s="49" t="s">
        <v>737</v>
      </c>
      <c r="C327" s="7" t="s">
        <v>738</v>
      </c>
      <c r="D327" s="54" t="s">
        <v>574</v>
      </c>
      <c r="E327" s="111">
        <v>0</v>
      </c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>
        <f t="shared" si="10"/>
        <v>0</v>
      </c>
    </row>
    <row r="328" spans="1:18" x14ac:dyDescent="0.35">
      <c r="A328" s="5">
        <f t="shared" si="11"/>
        <v>326</v>
      </c>
      <c r="B328" s="49" t="s">
        <v>739</v>
      </c>
      <c r="C328" s="90" t="s">
        <v>2044</v>
      </c>
      <c r="D328" s="54" t="s">
        <v>72</v>
      </c>
      <c r="E328" s="111">
        <v>5000</v>
      </c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>
        <f t="shared" si="10"/>
        <v>5000</v>
      </c>
    </row>
    <row r="329" spans="1:18" x14ac:dyDescent="0.35">
      <c r="A329" s="5">
        <f t="shared" si="11"/>
        <v>327</v>
      </c>
      <c r="B329" s="49" t="s">
        <v>741</v>
      </c>
      <c r="C329" s="7" t="s">
        <v>1737</v>
      </c>
      <c r="D329" s="54" t="s">
        <v>166</v>
      </c>
      <c r="E329" s="111">
        <v>0</v>
      </c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>
        <f t="shared" si="10"/>
        <v>0</v>
      </c>
    </row>
    <row r="330" spans="1:18" x14ac:dyDescent="0.35">
      <c r="A330" s="5">
        <f t="shared" si="11"/>
        <v>328</v>
      </c>
      <c r="B330" s="49" t="s">
        <v>743</v>
      </c>
      <c r="C330" s="90" t="s">
        <v>1647</v>
      </c>
      <c r="D330" s="54" t="s">
        <v>52</v>
      </c>
      <c r="E330" s="111">
        <v>0</v>
      </c>
      <c r="F330" s="58"/>
      <c r="G330" s="58"/>
      <c r="H330" s="58"/>
      <c r="I330" s="58">
        <v>200000</v>
      </c>
      <c r="J330" s="58"/>
      <c r="K330" s="58"/>
      <c r="L330" s="58"/>
      <c r="M330" s="58"/>
      <c r="N330" s="58"/>
      <c r="O330" s="58"/>
      <c r="P330" s="58"/>
      <c r="Q330" s="58"/>
      <c r="R330" s="58">
        <f t="shared" si="10"/>
        <v>200000</v>
      </c>
    </row>
    <row r="331" spans="1:18" x14ac:dyDescent="0.35">
      <c r="A331" s="5">
        <f t="shared" si="11"/>
        <v>329</v>
      </c>
      <c r="B331" s="49" t="s">
        <v>745</v>
      </c>
      <c r="C331" s="7" t="s">
        <v>746</v>
      </c>
      <c r="D331" s="54" t="s">
        <v>49</v>
      </c>
      <c r="E331" s="111">
        <v>0</v>
      </c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>
        <f t="shared" si="10"/>
        <v>0</v>
      </c>
    </row>
    <row r="332" spans="1:18" x14ac:dyDescent="0.35">
      <c r="A332" s="5">
        <f t="shared" si="11"/>
        <v>330</v>
      </c>
      <c r="B332" s="49" t="s">
        <v>747</v>
      </c>
      <c r="C332" s="7" t="s">
        <v>1648</v>
      </c>
      <c r="D332" s="54" t="s">
        <v>41</v>
      </c>
      <c r="E332" s="111">
        <v>0</v>
      </c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>
        <f t="shared" si="10"/>
        <v>0</v>
      </c>
    </row>
    <row r="333" spans="1:18" x14ac:dyDescent="0.35">
      <c r="A333" s="5">
        <f t="shared" si="11"/>
        <v>331</v>
      </c>
      <c r="B333" s="49" t="s">
        <v>749</v>
      </c>
      <c r="C333" s="7" t="s">
        <v>750</v>
      </c>
      <c r="D333" s="54" t="s">
        <v>751</v>
      </c>
      <c r="E333" s="111">
        <v>5000</v>
      </c>
      <c r="F333" s="58">
        <v>-5000</v>
      </c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>
        <f t="shared" si="10"/>
        <v>0</v>
      </c>
    </row>
    <row r="334" spans="1:18" x14ac:dyDescent="0.35">
      <c r="A334" s="5">
        <f t="shared" si="11"/>
        <v>332</v>
      </c>
      <c r="B334" s="49" t="s">
        <v>752</v>
      </c>
      <c r="C334" s="7" t="s">
        <v>753</v>
      </c>
      <c r="D334" s="54" t="s">
        <v>159</v>
      </c>
      <c r="E334" s="111">
        <v>0</v>
      </c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>
        <f t="shared" si="10"/>
        <v>0</v>
      </c>
    </row>
    <row r="335" spans="1:18" x14ac:dyDescent="0.35">
      <c r="A335" s="5">
        <f t="shared" si="11"/>
        <v>333</v>
      </c>
      <c r="B335" s="49" t="s">
        <v>754</v>
      </c>
      <c r="C335" s="144" t="s">
        <v>1916</v>
      </c>
      <c r="D335" s="54" t="s">
        <v>354</v>
      </c>
      <c r="E335" s="111">
        <v>5000</v>
      </c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>
        <f t="shared" si="10"/>
        <v>5000</v>
      </c>
    </row>
    <row r="336" spans="1:18" x14ac:dyDescent="0.35">
      <c r="A336" s="5">
        <f t="shared" si="11"/>
        <v>334</v>
      </c>
      <c r="B336" s="49" t="s">
        <v>756</v>
      </c>
      <c r="C336" s="7" t="s">
        <v>1738</v>
      </c>
      <c r="D336" s="54" t="s">
        <v>166</v>
      </c>
      <c r="E336" s="111">
        <v>5000</v>
      </c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>
        <f t="shared" si="10"/>
        <v>5000</v>
      </c>
    </row>
    <row r="337" spans="1:18" x14ac:dyDescent="0.35">
      <c r="A337" s="5">
        <f t="shared" si="11"/>
        <v>335</v>
      </c>
      <c r="B337" s="49" t="s">
        <v>758</v>
      </c>
      <c r="C337" s="90" t="s">
        <v>2045</v>
      </c>
      <c r="D337" s="54" t="s">
        <v>238</v>
      </c>
      <c r="E337" s="111">
        <v>5000</v>
      </c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>
        <f t="shared" si="10"/>
        <v>5000</v>
      </c>
    </row>
    <row r="338" spans="1:18" x14ac:dyDescent="0.35">
      <c r="A338" s="5">
        <f t="shared" si="11"/>
        <v>336</v>
      </c>
      <c r="B338" s="49" t="s">
        <v>760</v>
      </c>
      <c r="C338" s="7" t="s">
        <v>1739</v>
      </c>
      <c r="D338" s="54" t="s">
        <v>72</v>
      </c>
      <c r="E338" s="111">
        <v>0</v>
      </c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>
        <f t="shared" si="10"/>
        <v>0</v>
      </c>
    </row>
    <row r="339" spans="1:18" x14ac:dyDescent="0.35">
      <c r="A339" s="5">
        <f t="shared" si="11"/>
        <v>337</v>
      </c>
      <c r="B339" s="49" t="s">
        <v>762</v>
      </c>
      <c r="C339" s="7" t="s">
        <v>1610</v>
      </c>
      <c r="D339" s="54" t="s">
        <v>551</v>
      </c>
      <c r="E339" s="111">
        <v>0</v>
      </c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>
        <f t="shared" si="10"/>
        <v>0</v>
      </c>
    </row>
    <row r="340" spans="1:18" x14ac:dyDescent="0.35">
      <c r="A340" s="5">
        <f t="shared" si="11"/>
        <v>338</v>
      </c>
      <c r="B340" s="49" t="s">
        <v>764</v>
      </c>
      <c r="C340" s="7" t="s">
        <v>765</v>
      </c>
      <c r="D340" s="54" t="s">
        <v>201</v>
      </c>
      <c r="E340" s="111">
        <v>5000</v>
      </c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>
        <f t="shared" si="10"/>
        <v>5000</v>
      </c>
    </row>
    <row r="341" spans="1:18" x14ac:dyDescent="0.35">
      <c r="A341" s="5">
        <f t="shared" si="11"/>
        <v>339</v>
      </c>
      <c r="B341" s="49" t="s">
        <v>766</v>
      </c>
      <c r="C341" s="7" t="s">
        <v>2231</v>
      </c>
      <c r="D341" s="54" t="s">
        <v>22</v>
      </c>
      <c r="E341" s="111">
        <v>0</v>
      </c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>
        <f t="shared" si="10"/>
        <v>0</v>
      </c>
    </row>
    <row r="342" spans="1:18" x14ac:dyDescent="0.35">
      <c r="A342" s="5">
        <f t="shared" si="11"/>
        <v>340</v>
      </c>
      <c r="B342" s="49" t="s">
        <v>768</v>
      </c>
      <c r="C342" s="101" t="s">
        <v>1761</v>
      </c>
      <c r="D342" s="54" t="s">
        <v>318</v>
      </c>
      <c r="E342" s="111">
        <v>5000</v>
      </c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>
        <f t="shared" si="10"/>
        <v>5000</v>
      </c>
    </row>
    <row r="343" spans="1:18" x14ac:dyDescent="0.35">
      <c r="A343" s="5">
        <f t="shared" si="11"/>
        <v>341</v>
      </c>
      <c r="B343" s="49" t="s">
        <v>770</v>
      </c>
      <c r="C343" s="7" t="s">
        <v>771</v>
      </c>
      <c r="D343" s="54" t="s">
        <v>123</v>
      </c>
      <c r="E343" s="111">
        <v>5000</v>
      </c>
      <c r="F343" s="58"/>
      <c r="G343" s="58"/>
      <c r="H343" s="58">
        <v>-5000</v>
      </c>
      <c r="I343" s="58"/>
      <c r="J343" s="58"/>
      <c r="K343" s="58"/>
      <c r="L343" s="58"/>
      <c r="M343" s="58"/>
      <c r="N343" s="58"/>
      <c r="O343" s="58"/>
      <c r="P343" s="58"/>
      <c r="Q343" s="58"/>
      <c r="R343" s="58">
        <f t="shared" si="10"/>
        <v>0</v>
      </c>
    </row>
    <row r="344" spans="1:18" x14ac:dyDescent="0.35">
      <c r="A344" s="5">
        <f t="shared" si="11"/>
        <v>342</v>
      </c>
      <c r="B344" s="49" t="s">
        <v>772</v>
      </c>
      <c r="C344" s="7" t="s">
        <v>773</v>
      </c>
      <c r="D344" s="54" t="s">
        <v>519</v>
      </c>
      <c r="E344" s="111">
        <v>0</v>
      </c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>
        <f t="shared" si="10"/>
        <v>0</v>
      </c>
    </row>
    <row r="345" spans="1:18" x14ac:dyDescent="0.35">
      <c r="A345" s="5">
        <f t="shared" si="11"/>
        <v>343</v>
      </c>
      <c r="B345" s="49" t="s">
        <v>774</v>
      </c>
      <c r="C345" s="7" t="s">
        <v>775</v>
      </c>
      <c r="D345" s="54" t="s">
        <v>215</v>
      </c>
      <c r="E345" s="111">
        <v>5000</v>
      </c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>
        <f t="shared" si="10"/>
        <v>5000</v>
      </c>
    </row>
    <row r="346" spans="1:18" x14ac:dyDescent="0.35">
      <c r="A346" s="5">
        <f t="shared" si="11"/>
        <v>344</v>
      </c>
      <c r="B346" s="49" t="s">
        <v>776</v>
      </c>
      <c r="C346" s="144" t="s">
        <v>1900</v>
      </c>
      <c r="D346" s="54" t="s">
        <v>136</v>
      </c>
      <c r="E346" s="111">
        <v>5000</v>
      </c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>
        <f t="shared" si="10"/>
        <v>5000</v>
      </c>
    </row>
    <row r="347" spans="1:18" x14ac:dyDescent="0.35">
      <c r="A347" s="5">
        <f t="shared" si="11"/>
        <v>345</v>
      </c>
      <c r="B347" s="49" t="s">
        <v>778</v>
      </c>
      <c r="C347" s="7" t="s">
        <v>1940</v>
      </c>
      <c r="D347" s="54" t="s">
        <v>136</v>
      </c>
      <c r="E347" s="111">
        <v>0</v>
      </c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>
        <f t="shared" si="10"/>
        <v>0</v>
      </c>
    </row>
    <row r="348" spans="1:18" x14ac:dyDescent="0.35">
      <c r="A348" s="5">
        <f t="shared" si="11"/>
        <v>346</v>
      </c>
      <c r="B348" s="49" t="s">
        <v>780</v>
      </c>
      <c r="C348" s="7" t="s">
        <v>2232</v>
      </c>
      <c r="D348" s="54" t="s">
        <v>46</v>
      </c>
      <c r="E348" s="111">
        <v>0</v>
      </c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>
        <f t="shared" si="10"/>
        <v>0</v>
      </c>
    </row>
    <row r="349" spans="1:18" x14ac:dyDescent="0.35">
      <c r="A349" s="5">
        <f t="shared" si="11"/>
        <v>347</v>
      </c>
      <c r="B349" s="49" t="s">
        <v>782</v>
      </c>
      <c r="C349" s="7" t="s">
        <v>783</v>
      </c>
      <c r="D349" s="54" t="s">
        <v>141</v>
      </c>
      <c r="E349" s="111">
        <v>0</v>
      </c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>
        <f t="shared" si="10"/>
        <v>0</v>
      </c>
    </row>
    <row r="350" spans="1:18" x14ac:dyDescent="0.35">
      <c r="A350" s="5">
        <f t="shared" si="11"/>
        <v>348</v>
      </c>
      <c r="B350" s="49" t="s">
        <v>784</v>
      </c>
      <c r="C350" s="7" t="s">
        <v>2233</v>
      </c>
      <c r="D350" s="54" t="s">
        <v>60</v>
      </c>
      <c r="E350" s="111">
        <v>0</v>
      </c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>
        <f t="shared" si="10"/>
        <v>0</v>
      </c>
    </row>
    <row r="351" spans="1:18" x14ac:dyDescent="0.35">
      <c r="A351" s="5">
        <f t="shared" si="11"/>
        <v>349</v>
      </c>
      <c r="B351" s="49" t="s">
        <v>786</v>
      </c>
      <c r="C351" s="101" t="s">
        <v>2046</v>
      </c>
      <c r="D351" s="54" t="s">
        <v>290</v>
      </c>
      <c r="E351" s="111">
        <v>5000</v>
      </c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>
        <f t="shared" si="10"/>
        <v>5000</v>
      </c>
    </row>
    <row r="352" spans="1:18" x14ac:dyDescent="0.35">
      <c r="A352" s="5">
        <f t="shared" si="11"/>
        <v>350</v>
      </c>
      <c r="B352" s="49" t="s">
        <v>788</v>
      </c>
      <c r="C352" s="7" t="s">
        <v>2234</v>
      </c>
      <c r="D352" s="54" t="s">
        <v>46</v>
      </c>
      <c r="E352" s="111">
        <v>-195000</v>
      </c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>
        <f t="shared" si="10"/>
        <v>-195000</v>
      </c>
    </row>
    <row r="353" spans="1:18" x14ac:dyDescent="0.35">
      <c r="A353" s="5">
        <f t="shared" si="11"/>
        <v>351</v>
      </c>
      <c r="B353" s="49" t="s">
        <v>790</v>
      </c>
      <c r="C353" s="7" t="s">
        <v>791</v>
      </c>
      <c r="D353" s="54" t="s">
        <v>41</v>
      </c>
      <c r="E353" s="111">
        <v>0</v>
      </c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>
        <f t="shared" si="10"/>
        <v>0</v>
      </c>
    </row>
    <row r="354" spans="1:18" x14ac:dyDescent="0.35">
      <c r="A354" s="5">
        <f t="shared" si="11"/>
        <v>352</v>
      </c>
      <c r="B354" s="49" t="s">
        <v>792</v>
      </c>
      <c r="C354" s="7" t="s">
        <v>1611</v>
      </c>
      <c r="D354" s="54" t="s">
        <v>77</v>
      </c>
      <c r="E354" s="111">
        <v>0</v>
      </c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>
        <f t="shared" si="10"/>
        <v>0</v>
      </c>
    </row>
    <row r="355" spans="1:18" x14ac:dyDescent="0.35">
      <c r="A355" s="5">
        <f t="shared" si="11"/>
        <v>353</v>
      </c>
      <c r="B355" s="49" t="s">
        <v>794</v>
      </c>
      <c r="C355" s="90" t="s">
        <v>1852</v>
      </c>
      <c r="D355" s="54" t="s">
        <v>95</v>
      </c>
      <c r="E355" s="111">
        <v>5000</v>
      </c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>
        <f t="shared" si="10"/>
        <v>5000</v>
      </c>
    </row>
    <row r="356" spans="1:18" x14ac:dyDescent="0.35">
      <c r="A356" s="5">
        <f t="shared" si="11"/>
        <v>354</v>
      </c>
      <c r="B356" s="49" t="s">
        <v>796</v>
      </c>
      <c r="C356" s="7" t="s">
        <v>1746</v>
      </c>
      <c r="D356" s="54" t="s">
        <v>551</v>
      </c>
      <c r="E356" s="111">
        <v>5000</v>
      </c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>
        <f t="shared" si="10"/>
        <v>5000</v>
      </c>
    </row>
    <row r="357" spans="1:18" x14ac:dyDescent="0.35">
      <c r="A357" s="5">
        <f t="shared" si="11"/>
        <v>355</v>
      </c>
      <c r="B357" s="49" t="s">
        <v>798</v>
      </c>
      <c r="C357" s="101" t="s">
        <v>2047</v>
      </c>
      <c r="D357" s="54" t="s">
        <v>22</v>
      </c>
      <c r="E357" s="111">
        <v>5000</v>
      </c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>
        <f t="shared" si="10"/>
        <v>5000</v>
      </c>
    </row>
    <row r="358" spans="1:18" x14ac:dyDescent="0.35">
      <c r="A358" s="5">
        <f t="shared" si="11"/>
        <v>356</v>
      </c>
      <c r="B358" s="49" t="s">
        <v>800</v>
      </c>
      <c r="C358" s="144" t="s">
        <v>2048</v>
      </c>
      <c r="D358" s="54" t="s">
        <v>19</v>
      </c>
      <c r="E358" s="111">
        <v>5000</v>
      </c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>
        <f t="shared" si="10"/>
        <v>5000</v>
      </c>
    </row>
    <row r="359" spans="1:18" x14ac:dyDescent="0.35">
      <c r="A359" s="5">
        <f t="shared" si="11"/>
        <v>357</v>
      </c>
      <c r="B359" s="49" t="s">
        <v>802</v>
      </c>
      <c r="C359" s="7" t="s">
        <v>1745</v>
      </c>
      <c r="D359" s="54" t="s">
        <v>55</v>
      </c>
      <c r="E359" s="111">
        <v>0</v>
      </c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>
        <f t="shared" si="10"/>
        <v>0</v>
      </c>
    </row>
    <row r="360" spans="1:18" x14ac:dyDescent="0.35">
      <c r="A360" s="5">
        <f t="shared" si="11"/>
        <v>358</v>
      </c>
      <c r="B360" s="49" t="s">
        <v>804</v>
      </c>
      <c r="C360" s="90" t="s">
        <v>1750</v>
      </c>
      <c r="D360" s="54" t="s">
        <v>14</v>
      </c>
      <c r="E360" s="111">
        <v>5000</v>
      </c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>
        <f t="shared" si="10"/>
        <v>5000</v>
      </c>
    </row>
    <row r="361" spans="1:18" x14ac:dyDescent="0.35">
      <c r="A361" s="5">
        <f t="shared" si="11"/>
        <v>359</v>
      </c>
      <c r="B361" s="49" t="s">
        <v>806</v>
      </c>
      <c r="C361" s="144" t="s">
        <v>1902</v>
      </c>
      <c r="D361" s="54" t="s">
        <v>98</v>
      </c>
      <c r="E361" s="111">
        <v>5000</v>
      </c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>
        <f t="shared" si="10"/>
        <v>5000</v>
      </c>
    </row>
    <row r="362" spans="1:18" x14ac:dyDescent="0.35">
      <c r="A362" s="5">
        <f t="shared" si="11"/>
        <v>360</v>
      </c>
      <c r="B362" s="49" t="s">
        <v>808</v>
      </c>
      <c r="C362" s="7" t="s">
        <v>1649</v>
      </c>
      <c r="D362" s="54" t="s">
        <v>41</v>
      </c>
      <c r="E362" s="111">
        <v>0</v>
      </c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>
        <f t="shared" si="10"/>
        <v>0</v>
      </c>
    </row>
    <row r="363" spans="1:18" x14ac:dyDescent="0.35">
      <c r="A363" s="5">
        <f t="shared" si="11"/>
        <v>361</v>
      </c>
      <c r="B363" s="49" t="s">
        <v>810</v>
      </c>
      <c r="C363" s="7" t="s">
        <v>1780</v>
      </c>
      <c r="D363" s="54" t="s">
        <v>131</v>
      </c>
      <c r="E363" s="111">
        <v>5000</v>
      </c>
      <c r="F363" s="58"/>
      <c r="G363" s="58"/>
      <c r="H363" s="58"/>
      <c r="I363" s="58"/>
      <c r="J363" s="58">
        <v>-5000</v>
      </c>
      <c r="K363" s="58"/>
      <c r="L363" s="58"/>
      <c r="M363" s="58"/>
      <c r="N363" s="58"/>
      <c r="O363" s="58"/>
      <c r="P363" s="58"/>
      <c r="Q363" s="58"/>
      <c r="R363" s="58">
        <f t="shared" si="10"/>
        <v>0</v>
      </c>
    </row>
    <row r="364" spans="1:18" x14ac:dyDescent="0.35">
      <c r="A364" s="5">
        <f t="shared" si="11"/>
        <v>362</v>
      </c>
      <c r="B364" s="49" t="s">
        <v>812</v>
      </c>
      <c r="C364" s="90" t="s">
        <v>1942</v>
      </c>
      <c r="D364" s="54" t="s">
        <v>60</v>
      </c>
      <c r="E364" s="111">
        <v>0</v>
      </c>
      <c r="F364" s="58"/>
      <c r="G364" s="58"/>
      <c r="H364" s="58"/>
      <c r="I364" s="58"/>
      <c r="J364" s="58">
        <v>200000</v>
      </c>
      <c r="K364" s="58"/>
      <c r="L364" s="58"/>
      <c r="M364" s="58"/>
      <c r="N364" s="58"/>
      <c r="O364" s="58"/>
      <c r="P364" s="58"/>
      <c r="Q364" s="58"/>
      <c r="R364" s="58">
        <f t="shared" si="10"/>
        <v>200000</v>
      </c>
    </row>
    <row r="365" spans="1:18" x14ac:dyDescent="0.35">
      <c r="A365" s="5">
        <f t="shared" si="11"/>
        <v>363</v>
      </c>
      <c r="B365" s="49" t="s">
        <v>814</v>
      </c>
      <c r="C365" s="90" t="s">
        <v>815</v>
      </c>
      <c r="D365" s="54" t="s">
        <v>238</v>
      </c>
      <c r="E365" s="111">
        <v>5000</v>
      </c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>
        <f t="shared" si="10"/>
        <v>5000</v>
      </c>
    </row>
    <row r="366" spans="1:18" x14ac:dyDescent="0.35">
      <c r="A366" s="5">
        <f t="shared" si="11"/>
        <v>364</v>
      </c>
      <c r="B366" s="49" t="s">
        <v>816</v>
      </c>
      <c r="C366" s="90" t="s">
        <v>1961</v>
      </c>
      <c r="D366" s="54" t="s">
        <v>198</v>
      </c>
      <c r="E366" s="111">
        <v>5000</v>
      </c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>
        <f t="shared" si="10"/>
        <v>5000</v>
      </c>
    </row>
    <row r="367" spans="1:18" x14ac:dyDescent="0.35">
      <c r="A367" s="5">
        <f t="shared" si="11"/>
        <v>365</v>
      </c>
      <c r="B367" s="49" t="s">
        <v>818</v>
      </c>
      <c r="C367" s="7" t="s">
        <v>2235</v>
      </c>
      <c r="D367" s="54" t="s">
        <v>92</v>
      </c>
      <c r="E367" s="111">
        <v>5000</v>
      </c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>
        <f t="shared" si="10"/>
        <v>5000</v>
      </c>
    </row>
    <row r="368" spans="1:18" x14ac:dyDescent="0.35">
      <c r="A368" s="5">
        <f t="shared" si="11"/>
        <v>366</v>
      </c>
      <c r="B368" s="49" t="s">
        <v>820</v>
      </c>
      <c r="C368" s="90" t="s">
        <v>2049</v>
      </c>
      <c r="D368" s="54" t="s">
        <v>22</v>
      </c>
      <c r="E368" s="111">
        <v>5000</v>
      </c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>
        <f t="shared" si="10"/>
        <v>5000</v>
      </c>
    </row>
    <row r="369" spans="1:18" x14ac:dyDescent="0.35">
      <c r="A369" s="5">
        <f t="shared" si="11"/>
        <v>367</v>
      </c>
      <c r="B369" s="49" t="s">
        <v>822</v>
      </c>
      <c r="C369" s="7" t="s">
        <v>823</v>
      </c>
      <c r="D369" s="54" t="s">
        <v>11</v>
      </c>
      <c r="E369" s="111">
        <v>5000</v>
      </c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>
        <f t="shared" si="10"/>
        <v>5000</v>
      </c>
    </row>
    <row r="370" spans="1:18" x14ac:dyDescent="0.35">
      <c r="A370" s="5">
        <f t="shared" si="11"/>
        <v>368</v>
      </c>
      <c r="B370" s="49" t="s">
        <v>824</v>
      </c>
      <c r="C370" s="90" t="s">
        <v>2050</v>
      </c>
      <c r="D370" s="54" t="s">
        <v>367</v>
      </c>
      <c r="E370" s="111">
        <v>5000</v>
      </c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>
        <f t="shared" si="10"/>
        <v>5000</v>
      </c>
    </row>
    <row r="371" spans="1:18" x14ac:dyDescent="0.35">
      <c r="A371" s="5">
        <f t="shared" si="11"/>
        <v>369</v>
      </c>
      <c r="B371" s="49" t="s">
        <v>826</v>
      </c>
      <c r="C371" s="144" t="s">
        <v>2051</v>
      </c>
      <c r="D371" s="54" t="s">
        <v>828</v>
      </c>
      <c r="E371" s="111">
        <v>5000</v>
      </c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>
        <f t="shared" si="10"/>
        <v>5000</v>
      </c>
    </row>
    <row r="372" spans="1:18" x14ac:dyDescent="0.35">
      <c r="A372" s="5">
        <f t="shared" si="11"/>
        <v>370</v>
      </c>
      <c r="B372" s="49" t="s">
        <v>829</v>
      </c>
      <c r="C372" s="144" t="s">
        <v>2052</v>
      </c>
      <c r="D372" s="54" t="s">
        <v>136</v>
      </c>
      <c r="E372" s="111">
        <v>5000</v>
      </c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>
        <f t="shared" si="10"/>
        <v>5000</v>
      </c>
    </row>
    <row r="373" spans="1:18" x14ac:dyDescent="0.35">
      <c r="A373" s="5">
        <f t="shared" si="11"/>
        <v>371</v>
      </c>
      <c r="B373" s="49" t="s">
        <v>831</v>
      </c>
      <c r="C373" s="90" t="s">
        <v>2053</v>
      </c>
      <c r="D373" s="54" t="s">
        <v>60</v>
      </c>
      <c r="E373" s="111">
        <v>5000</v>
      </c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>
        <f t="shared" si="10"/>
        <v>5000</v>
      </c>
    </row>
    <row r="374" spans="1:18" x14ac:dyDescent="0.35">
      <c r="A374" s="5">
        <f t="shared" si="11"/>
        <v>372</v>
      </c>
      <c r="B374" s="49" t="s">
        <v>833</v>
      </c>
      <c r="C374" s="90" t="s">
        <v>2054</v>
      </c>
      <c r="D374" s="54" t="s">
        <v>25</v>
      </c>
      <c r="E374" s="111">
        <v>5000</v>
      </c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>
        <f t="shared" si="10"/>
        <v>5000</v>
      </c>
    </row>
    <row r="375" spans="1:18" x14ac:dyDescent="0.35">
      <c r="A375" s="5">
        <f t="shared" si="11"/>
        <v>373</v>
      </c>
      <c r="B375" s="49" t="s">
        <v>835</v>
      </c>
      <c r="C375" s="7" t="s">
        <v>836</v>
      </c>
      <c r="D375" s="54" t="s">
        <v>65</v>
      </c>
      <c r="E375" s="111">
        <v>0</v>
      </c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>
        <f t="shared" si="10"/>
        <v>0</v>
      </c>
    </row>
    <row r="376" spans="1:18" x14ac:dyDescent="0.35">
      <c r="A376" s="5">
        <f t="shared" si="11"/>
        <v>374</v>
      </c>
      <c r="B376" s="49" t="s">
        <v>837</v>
      </c>
      <c r="C376" s="7" t="s">
        <v>1744</v>
      </c>
      <c r="D376" s="54" t="s">
        <v>166</v>
      </c>
      <c r="E376" s="111">
        <v>0</v>
      </c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>
        <f t="shared" si="10"/>
        <v>0</v>
      </c>
    </row>
    <row r="377" spans="1:18" x14ac:dyDescent="0.35">
      <c r="A377" s="5">
        <f t="shared" si="11"/>
        <v>375</v>
      </c>
      <c r="B377" s="49" t="s">
        <v>839</v>
      </c>
      <c r="C377" s="144" t="s">
        <v>2055</v>
      </c>
      <c r="D377" s="54" t="s">
        <v>92</v>
      </c>
      <c r="E377" s="111">
        <v>5000</v>
      </c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>
        <f t="shared" si="10"/>
        <v>5000</v>
      </c>
    </row>
    <row r="378" spans="1:18" x14ac:dyDescent="0.35">
      <c r="A378" s="5">
        <f t="shared" si="11"/>
        <v>376</v>
      </c>
      <c r="B378" s="49" t="s">
        <v>841</v>
      </c>
      <c r="C378" s="144" t="s">
        <v>2056</v>
      </c>
      <c r="D378" s="54" t="s">
        <v>136</v>
      </c>
      <c r="E378" s="111">
        <v>5000</v>
      </c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>
        <f t="shared" si="10"/>
        <v>5000</v>
      </c>
    </row>
    <row r="379" spans="1:18" x14ac:dyDescent="0.35">
      <c r="A379" s="5">
        <f t="shared" si="11"/>
        <v>377</v>
      </c>
      <c r="B379" s="49" t="s">
        <v>843</v>
      </c>
      <c r="C379" s="7" t="s">
        <v>1612</v>
      </c>
      <c r="D379" s="54" t="s">
        <v>98</v>
      </c>
      <c r="E379" s="111">
        <v>0</v>
      </c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>
        <f t="shared" si="10"/>
        <v>0</v>
      </c>
    </row>
    <row r="380" spans="1:18" x14ac:dyDescent="0.35">
      <c r="A380" s="5">
        <f t="shared" si="11"/>
        <v>378</v>
      </c>
      <c r="B380" s="49" t="s">
        <v>845</v>
      </c>
      <c r="C380" s="7" t="s">
        <v>1613</v>
      </c>
      <c r="D380" s="54" t="s">
        <v>52</v>
      </c>
      <c r="E380" s="111">
        <v>0</v>
      </c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>
        <f t="shared" si="10"/>
        <v>0</v>
      </c>
    </row>
    <row r="381" spans="1:18" x14ac:dyDescent="0.35">
      <c r="A381" s="5">
        <f t="shared" si="11"/>
        <v>379</v>
      </c>
      <c r="B381" s="49" t="s">
        <v>847</v>
      </c>
      <c r="C381" s="7" t="s">
        <v>848</v>
      </c>
      <c r="D381" s="54" t="s">
        <v>25</v>
      </c>
      <c r="E381" s="111">
        <v>5000</v>
      </c>
      <c r="F381" s="58">
        <v>-5000</v>
      </c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>
        <f t="shared" si="10"/>
        <v>0</v>
      </c>
    </row>
    <row r="382" spans="1:18" x14ac:dyDescent="0.35">
      <c r="A382" s="5">
        <f t="shared" si="11"/>
        <v>380</v>
      </c>
      <c r="B382" s="49" t="s">
        <v>849</v>
      </c>
      <c r="C382" s="7" t="s">
        <v>850</v>
      </c>
      <c r="D382" s="54" t="s">
        <v>851</v>
      </c>
      <c r="E382" s="111">
        <v>5000</v>
      </c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>
        <f t="shared" si="10"/>
        <v>5000</v>
      </c>
    </row>
    <row r="383" spans="1:18" x14ac:dyDescent="0.35">
      <c r="A383" s="5">
        <f t="shared" si="11"/>
        <v>381</v>
      </c>
      <c r="B383" s="49" t="s">
        <v>852</v>
      </c>
      <c r="C383" s="7" t="s">
        <v>1743</v>
      </c>
      <c r="D383" s="54" t="s">
        <v>19</v>
      </c>
      <c r="E383" s="111">
        <v>5000</v>
      </c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>
        <f t="shared" si="10"/>
        <v>5000</v>
      </c>
    </row>
    <row r="384" spans="1:18" x14ac:dyDescent="0.35">
      <c r="A384" s="5">
        <f t="shared" si="11"/>
        <v>382</v>
      </c>
      <c r="B384" s="49" t="s">
        <v>854</v>
      </c>
      <c r="C384" s="7" t="s">
        <v>2236</v>
      </c>
      <c r="D384" s="54" t="s">
        <v>95</v>
      </c>
      <c r="E384" s="111">
        <v>0</v>
      </c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>
        <f t="shared" si="10"/>
        <v>0</v>
      </c>
    </row>
    <row r="385" spans="1:18" x14ac:dyDescent="0.35">
      <c r="A385" s="5">
        <f t="shared" si="11"/>
        <v>383</v>
      </c>
      <c r="B385" s="49" t="s">
        <v>856</v>
      </c>
      <c r="C385" s="90" t="s">
        <v>1756</v>
      </c>
      <c r="D385" s="54" t="s">
        <v>25</v>
      </c>
      <c r="E385" s="111">
        <v>5000</v>
      </c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>
        <f t="shared" si="10"/>
        <v>5000</v>
      </c>
    </row>
    <row r="386" spans="1:18" x14ac:dyDescent="0.35">
      <c r="A386" s="5">
        <f t="shared" si="11"/>
        <v>384</v>
      </c>
      <c r="B386" s="49" t="s">
        <v>858</v>
      </c>
      <c r="C386" s="144" t="s">
        <v>1904</v>
      </c>
      <c r="D386" s="54" t="s">
        <v>698</v>
      </c>
      <c r="E386" s="111">
        <v>5000</v>
      </c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>
        <f t="shared" si="10"/>
        <v>5000</v>
      </c>
    </row>
    <row r="387" spans="1:18" x14ac:dyDescent="0.35">
      <c r="A387" s="5">
        <f t="shared" si="11"/>
        <v>385</v>
      </c>
      <c r="B387" s="49" t="s">
        <v>860</v>
      </c>
      <c r="C387" s="144" t="s">
        <v>1905</v>
      </c>
      <c r="D387" s="54" t="s">
        <v>77</v>
      </c>
      <c r="E387" s="111">
        <v>5000</v>
      </c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>
        <f t="shared" si="10"/>
        <v>5000</v>
      </c>
    </row>
    <row r="388" spans="1:18" x14ac:dyDescent="0.35">
      <c r="A388" s="5">
        <f t="shared" si="11"/>
        <v>386</v>
      </c>
      <c r="B388" s="49" t="s">
        <v>862</v>
      </c>
      <c r="C388" s="90" t="s">
        <v>2057</v>
      </c>
      <c r="D388" s="54" t="s">
        <v>25</v>
      </c>
      <c r="E388" s="111">
        <v>5000</v>
      </c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>
        <f t="shared" ref="R388:R451" si="12">E388+F388+G388+H388+I388+J388+K388+L388+M388+N388+O388+P388+Q388</f>
        <v>5000</v>
      </c>
    </row>
    <row r="389" spans="1:18" x14ac:dyDescent="0.35">
      <c r="A389" s="5">
        <f t="shared" ref="A389:A452" si="13">A388+1</f>
        <v>387</v>
      </c>
      <c r="B389" s="49" t="s">
        <v>864</v>
      </c>
      <c r="C389" s="7" t="s">
        <v>865</v>
      </c>
      <c r="D389" s="54" t="s">
        <v>49</v>
      </c>
      <c r="E389" s="111">
        <v>5000</v>
      </c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>
        <f t="shared" si="12"/>
        <v>5000</v>
      </c>
    </row>
    <row r="390" spans="1:18" x14ac:dyDescent="0.35">
      <c r="A390" s="5">
        <f t="shared" si="13"/>
        <v>388</v>
      </c>
      <c r="B390" s="49" t="s">
        <v>866</v>
      </c>
      <c r="C390" s="7" t="s">
        <v>1650</v>
      </c>
      <c r="D390" s="54" t="s">
        <v>367</v>
      </c>
      <c r="E390" s="111">
        <v>0</v>
      </c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>
        <f t="shared" si="12"/>
        <v>0</v>
      </c>
    </row>
    <row r="391" spans="1:18" x14ac:dyDescent="0.35">
      <c r="A391" s="5">
        <f t="shared" si="13"/>
        <v>389</v>
      </c>
      <c r="B391" s="49" t="s">
        <v>868</v>
      </c>
      <c r="C391" s="7" t="s">
        <v>869</v>
      </c>
      <c r="D391" s="54" t="s">
        <v>169</v>
      </c>
      <c r="E391" s="111">
        <v>0</v>
      </c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>
        <f t="shared" si="12"/>
        <v>0</v>
      </c>
    </row>
    <row r="392" spans="1:18" x14ac:dyDescent="0.35">
      <c r="A392" s="5">
        <f t="shared" si="13"/>
        <v>390</v>
      </c>
      <c r="B392" s="49" t="s">
        <v>870</v>
      </c>
      <c r="C392" s="7" t="s">
        <v>1651</v>
      </c>
      <c r="D392" s="54" t="s">
        <v>80</v>
      </c>
      <c r="E392" s="111">
        <v>0</v>
      </c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>
        <f t="shared" si="12"/>
        <v>0</v>
      </c>
    </row>
    <row r="393" spans="1:18" x14ac:dyDescent="0.35">
      <c r="A393" s="5">
        <f t="shared" si="13"/>
        <v>391</v>
      </c>
      <c r="B393" s="49" t="s">
        <v>872</v>
      </c>
      <c r="C393" s="7" t="s">
        <v>873</v>
      </c>
      <c r="D393" s="54" t="s">
        <v>354</v>
      </c>
      <c r="E393" s="111">
        <v>5000</v>
      </c>
      <c r="F393" s="58"/>
      <c r="G393" s="58"/>
      <c r="H393" s="58"/>
      <c r="I393" s="58"/>
      <c r="J393" s="58"/>
      <c r="K393" s="58"/>
      <c r="L393" s="58">
        <v>-5000</v>
      </c>
      <c r="M393" s="58"/>
      <c r="N393" s="58"/>
      <c r="O393" s="58"/>
      <c r="P393" s="58"/>
      <c r="Q393" s="58"/>
      <c r="R393" s="58">
        <f t="shared" si="12"/>
        <v>0</v>
      </c>
    </row>
    <row r="394" spans="1:18" x14ac:dyDescent="0.35">
      <c r="A394" s="5">
        <f t="shared" si="13"/>
        <v>392</v>
      </c>
      <c r="B394" s="49" t="s">
        <v>874</v>
      </c>
      <c r="C394" s="7" t="s">
        <v>875</v>
      </c>
      <c r="D394" s="54" t="s">
        <v>231</v>
      </c>
      <c r="E394" s="111">
        <v>0</v>
      </c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>
        <f t="shared" si="12"/>
        <v>0</v>
      </c>
    </row>
    <row r="395" spans="1:18" x14ac:dyDescent="0.35">
      <c r="A395" s="5">
        <f t="shared" si="13"/>
        <v>393</v>
      </c>
      <c r="B395" s="49" t="s">
        <v>876</v>
      </c>
      <c r="C395" s="7" t="s">
        <v>877</v>
      </c>
      <c r="D395" s="54" t="s">
        <v>65</v>
      </c>
      <c r="E395" s="111">
        <v>5000</v>
      </c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>
        <f t="shared" si="12"/>
        <v>5000</v>
      </c>
    </row>
    <row r="396" spans="1:18" x14ac:dyDescent="0.35">
      <c r="A396" s="5">
        <f t="shared" si="13"/>
        <v>394</v>
      </c>
      <c r="B396" s="49" t="s">
        <v>878</v>
      </c>
      <c r="C396" s="144" t="s">
        <v>1914</v>
      </c>
      <c r="D396" s="54" t="s">
        <v>95</v>
      </c>
      <c r="E396" s="111">
        <v>5000</v>
      </c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>
        <f t="shared" si="12"/>
        <v>5000</v>
      </c>
    </row>
    <row r="397" spans="1:18" x14ac:dyDescent="0.35">
      <c r="A397" s="5">
        <f t="shared" si="13"/>
        <v>395</v>
      </c>
      <c r="B397" s="49" t="s">
        <v>880</v>
      </c>
      <c r="C397" s="144" t="s">
        <v>1880</v>
      </c>
      <c r="D397" s="54" t="s">
        <v>123</v>
      </c>
      <c r="E397" s="111">
        <v>5000</v>
      </c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>
        <f t="shared" si="12"/>
        <v>5000</v>
      </c>
    </row>
    <row r="398" spans="1:18" x14ac:dyDescent="0.35">
      <c r="A398" s="5">
        <f t="shared" si="13"/>
        <v>396</v>
      </c>
      <c r="B398" s="49" t="s">
        <v>882</v>
      </c>
      <c r="C398" s="144" t="s">
        <v>1890</v>
      </c>
      <c r="D398" s="54" t="s">
        <v>215</v>
      </c>
      <c r="E398" s="111">
        <v>5000</v>
      </c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>
        <f t="shared" si="12"/>
        <v>5000</v>
      </c>
    </row>
    <row r="399" spans="1:18" x14ac:dyDescent="0.35">
      <c r="A399" s="5">
        <f t="shared" si="13"/>
        <v>397</v>
      </c>
      <c r="B399" s="49" t="s">
        <v>884</v>
      </c>
      <c r="C399" s="7" t="s">
        <v>885</v>
      </c>
      <c r="D399" s="54" t="s">
        <v>123</v>
      </c>
      <c r="E399" s="111">
        <v>5000</v>
      </c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>
        <f t="shared" si="12"/>
        <v>5000</v>
      </c>
    </row>
    <row r="400" spans="1:18" x14ac:dyDescent="0.35">
      <c r="A400" s="5">
        <f t="shared" si="13"/>
        <v>398</v>
      </c>
      <c r="B400" s="49" t="s">
        <v>886</v>
      </c>
      <c r="C400" s="90" t="s">
        <v>2058</v>
      </c>
      <c r="D400" s="54" t="s">
        <v>318</v>
      </c>
      <c r="E400" s="111">
        <v>5000</v>
      </c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>
        <f t="shared" si="12"/>
        <v>5000</v>
      </c>
    </row>
    <row r="401" spans="1:18" x14ac:dyDescent="0.35">
      <c r="A401" s="5">
        <f t="shared" si="13"/>
        <v>399</v>
      </c>
      <c r="B401" s="49" t="s">
        <v>887</v>
      </c>
      <c r="C401" s="7" t="s">
        <v>888</v>
      </c>
      <c r="D401" s="54" t="s">
        <v>551</v>
      </c>
      <c r="E401" s="111">
        <v>0</v>
      </c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>
        <f t="shared" si="12"/>
        <v>0</v>
      </c>
    </row>
    <row r="402" spans="1:18" x14ac:dyDescent="0.35">
      <c r="A402" s="5">
        <f t="shared" si="13"/>
        <v>400</v>
      </c>
      <c r="B402" s="49" t="s">
        <v>889</v>
      </c>
      <c r="C402" s="7" t="s">
        <v>1652</v>
      </c>
      <c r="D402" s="54" t="s">
        <v>95</v>
      </c>
      <c r="E402" s="111">
        <v>0</v>
      </c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>
        <f t="shared" si="12"/>
        <v>0</v>
      </c>
    </row>
    <row r="403" spans="1:18" x14ac:dyDescent="0.35">
      <c r="A403" s="5">
        <f t="shared" si="13"/>
        <v>401</v>
      </c>
      <c r="B403" s="49" t="s">
        <v>891</v>
      </c>
      <c r="C403" s="144" t="s">
        <v>2059</v>
      </c>
      <c r="D403" s="54" t="s">
        <v>95</v>
      </c>
      <c r="E403" s="111">
        <v>0</v>
      </c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>
        <f t="shared" si="12"/>
        <v>0</v>
      </c>
    </row>
    <row r="404" spans="1:18" x14ac:dyDescent="0.35">
      <c r="A404" s="5">
        <f t="shared" si="13"/>
        <v>402</v>
      </c>
      <c r="B404" s="49" t="s">
        <v>893</v>
      </c>
      <c r="C404" s="18" t="s">
        <v>894</v>
      </c>
      <c r="D404" s="54" t="s">
        <v>19</v>
      </c>
      <c r="E404" s="111">
        <v>0</v>
      </c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>
        <f t="shared" si="12"/>
        <v>0</v>
      </c>
    </row>
    <row r="405" spans="1:18" x14ac:dyDescent="0.35">
      <c r="A405" s="5">
        <f t="shared" si="13"/>
        <v>403</v>
      </c>
      <c r="B405" s="49" t="s">
        <v>895</v>
      </c>
      <c r="C405" s="7" t="s">
        <v>1742</v>
      </c>
      <c r="D405" s="54" t="s">
        <v>253</v>
      </c>
      <c r="E405" s="111">
        <v>0</v>
      </c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>
        <f t="shared" si="12"/>
        <v>0</v>
      </c>
    </row>
    <row r="406" spans="1:18" x14ac:dyDescent="0.35">
      <c r="A406" s="5">
        <f t="shared" si="13"/>
        <v>404</v>
      </c>
      <c r="B406" s="49" t="s">
        <v>897</v>
      </c>
      <c r="C406" s="7" t="s">
        <v>898</v>
      </c>
      <c r="D406" s="54"/>
      <c r="E406" s="111">
        <v>0</v>
      </c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>
        <f t="shared" si="12"/>
        <v>0</v>
      </c>
    </row>
    <row r="407" spans="1:18" x14ac:dyDescent="0.35">
      <c r="A407" s="5">
        <f t="shared" si="13"/>
        <v>405</v>
      </c>
      <c r="B407" s="49" t="s">
        <v>899</v>
      </c>
      <c r="C407" s="7" t="s">
        <v>1741</v>
      </c>
      <c r="D407" s="54" t="s">
        <v>77</v>
      </c>
      <c r="E407" s="111">
        <v>0</v>
      </c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>
        <f t="shared" si="12"/>
        <v>0</v>
      </c>
    </row>
    <row r="408" spans="1:18" x14ac:dyDescent="0.35">
      <c r="A408" s="5">
        <f t="shared" si="13"/>
        <v>406</v>
      </c>
      <c r="B408" s="49" t="s">
        <v>901</v>
      </c>
      <c r="C408" s="7" t="s">
        <v>1740</v>
      </c>
      <c r="D408" s="54" t="s">
        <v>41</v>
      </c>
      <c r="E408" s="111">
        <v>0</v>
      </c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>
        <f t="shared" si="12"/>
        <v>0</v>
      </c>
    </row>
    <row r="409" spans="1:18" x14ac:dyDescent="0.35">
      <c r="A409" s="5">
        <f t="shared" si="13"/>
        <v>407</v>
      </c>
      <c r="B409" s="49" t="s">
        <v>903</v>
      </c>
      <c r="C409" s="144" t="s">
        <v>2060</v>
      </c>
      <c r="D409" s="54" t="s">
        <v>905</v>
      </c>
      <c r="E409" s="111">
        <v>5000</v>
      </c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>
        <f t="shared" si="12"/>
        <v>5000</v>
      </c>
    </row>
    <row r="410" spans="1:18" x14ac:dyDescent="0.35">
      <c r="A410" s="5">
        <f t="shared" si="13"/>
        <v>408</v>
      </c>
      <c r="B410" s="49" t="s">
        <v>906</v>
      </c>
      <c r="C410" s="90" t="s">
        <v>1748</v>
      </c>
      <c r="D410" s="54" t="s">
        <v>131</v>
      </c>
      <c r="E410" s="111">
        <v>5000</v>
      </c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>
        <f t="shared" si="12"/>
        <v>5000</v>
      </c>
    </row>
    <row r="411" spans="1:18" x14ac:dyDescent="0.35">
      <c r="A411" s="5">
        <f t="shared" si="13"/>
        <v>409</v>
      </c>
      <c r="B411" s="49" t="s">
        <v>908</v>
      </c>
      <c r="C411" s="7" t="s">
        <v>1867</v>
      </c>
      <c r="D411" s="54" t="s">
        <v>228</v>
      </c>
      <c r="E411" s="111">
        <v>0</v>
      </c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>
        <f t="shared" si="12"/>
        <v>0</v>
      </c>
    </row>
    <row r="412" spans="1:18" x14ac:dyDescent="0.35">
      <c r="A412" s="5">
        <f t="shared" si="13"/>
        <v>410</v>
      </c>
      <c r="B412" s="49" t="s">
        <v>910</v>
      </c>
      <c r="C412" s="101" t="s">
        <v>2061</v>
      </c>
      <c r="D412" s="54" t="s">
        <v>290</v>
      </c>
      <c r="E412" s="111">
        <v>0</v>
      </c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>
        <f t="shared" si="12"/>
        <v>0</v>
      </c>
    </row>
    <row r="413" spans="1:18" x14ac:dyDescent="0.35">
      <c r="A413" s="5">
        <f t="shared" si="13"/>
        <v>411</v>
      </c>
      <c r="B413" s="49" t="s">
        <v>912</v>
      </c>
      <c r="C413" s="7" t="s">
        <v>913</v>
      </c>
      <c r="D413" s="54" t="s">
        <v>92</v>
      </c>
      <c r="E413" s="111">
        <v>0</v>
      </c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>
        <f t="shared" si="12"/>
        <v>0</v>
      </c>
    </row>
    <row r="414" spans="1:18" x14ac:dyDescent="0.35">
      <c r="A414" s="5">
        <f t="shared" si="13"/>
        <v>412</v>
      </c>
      <c r="B414" s="49" t="s">
        <v>914</v>
      </c>
      <c r="C414" s="90" t="s">
        <v>1753</v>
      </c>
      <c r="D414" s="54" t="s">
        <v>260</v>
      </c>
      <c r="E414" s="111">
        <v>5000</v>
      </c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>
        <f t="shared" si="12"/>
        <v>5000</v>
      </c>
    </row>
    <row r="415" spans="1:18" x14ac:dyDescent="0.35">
      <c r="A415" s="5">
        <f t="shared" si="13"/>
        <v>413</v>
      </c>
      <c r="B415" s="49" t="s">
        <v>916</v>
      </c>
      <c r="C415" s="7" t="s">
        <v>917</v>
      </c>
      <c r="D415" s="54" t="s">
        <v>46</v>
      </c>
      <c r="E415" s="111">
        <v>5000</v>
      </c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>
        <f t="shared" si="12"/>
        <v>5000</v>
      </c>
    </row>
    <row r="416" spans="1:18" x14ac:dyDescent="0.35">
      <c r="A416" s="5">
        <f t="shared" si="13"/>
        <v>414</v>
      </c>
      <c r="B416" s="49" t="s">
        <v>918</v>
      </c>
      <c r="C416" s="7" t="s">
        <v>1653</v>
      </c>
      <c r="D416" s="54" t="s">
        <v>128</v>
      </c>
      <c r="E416" s="111">
        <v>0</v>
      </c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>
        <f t="shared" si="12"/>
        <v>0</v>
      </c>
    </row>
    <row r="417" spans="1:18" x14ac:dyDescent="0.35">
      <c r="A417" s="5">
        <f t="shared" si="13"/>
        <v>415</v>
      </c>
      <c r="B417" s="49" t="s">
        <v>920</v>
      </c>
      <c r="C417" s="90" t="s">
        <v>2062</v>
      </c>
      <c r="D417" s="54" t="s">
        <v>72</v>
      </c>
      <c r="E417" s="111">
        <v>5000</v>
      </c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>
        <f t="shared" si="12"/>
        <v>5000</v>
      </c>
    </row>
    <row r="418" spans="1:18" x14ac:dyDescent="0.35">
      <c r="A418" s="5">
        <f t="shared" si="13"/>
        <v>416</v>
      </c>
      <c r="B418" s="49" t="s">
        <v>922</v>
      </c>
      <c r="C418" s="7" t="s">
        <v>1654</v>
      </c>
      <c r="D418" s="54" t="s">
        <v>41</v>
      </c>
      <c r="E418" s="111">
        <v>0</v>
      </c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>
        <f t="shared" si="12"/>
        <v>0</v>
      </c>
    </row>
    <row r="419" spans="1:18" x14ac:dyDescent="0.35">
      <c r="A419" s="5">
        <f t="shared" si="13"/>
        <v>417</v>
      </c>
      <c r="B419" s="49" t="s">
        <v>924</v>
      </c>
      <c r="C419" s="7" t="s">
        <v>1720</v>
      </c>
      <c r="D419" s="54" t="s">
        <v>141</v>
      </c>
      <c r="E419" s="111">
        <v>0</v>
      </c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>
        <f t="shared" si="12"/>
        <v>0</v>
      </c>
    </row>
    <row r="420" spans="1:18" x14ac:dyDescent="0.35">
      <c r="A420" s="5">
        <f t="shared" si="13"/>
        <v>418</v>
      </c>
      <c r="B420" s="49" t="s">
        <v>926</v>
      </c>
      <c r="C420" s="7" t="s">
        <v>1715</v>
      </c>
      <c r="D420" s="54" t="s">
        <v>77</v>
      </c>
      <c r="E420" s="111">
        <v>5000</v>
      </c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>
        <f t="shared" si="12"/>
        <v>5000</v>
      </c>
    </row>
    <row r="421" spans="1:18" x14ac:dyDescent="0.35">
      <c r="A421" s="5">
        <f t="shared" si="13"/>
        <v>419</v>
      </c>
      <c r="B421" s="49" t="s">
        <v>928</v>
      </c>
      <c r="C421" s="7" t="s">
        <v>929</v>
      </c>
      <c r="D421" s="54"/>
      <c r="E421" s="111">
        <v>0</v>
      </c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>
        <f t="shared" si="12"/>
        <v>0</v>
      </c>
    </row>
    <row r="422" spans="1:18" x14ac:dyDescent="0.35">
      <c r="A422" s="5">
        <f t="shared" si="13"/>
        <v>420</v>
      </c>
      <c r="B422" s="49" t="s">
        <v>930</v>
      </c>
      <c r="C422" s="7" t="s">
        <v>1714</v>
      </c>
      <c r="D422" s="54" t="s">
        <v>83</v>
      </c>
      <c r="E422" s="111">
        <v>0</v>
      </c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>
        <f t="shared" si="12"/>
        <v>0</v>
      </c>
    </row>
    <row r="423" spans="1:18" x14ac:dyDescent="0.35">
      <c r="A423" s="5">
        <f t="shared" si="13"/>
        <v>421</v>
      </c>
      <c r="B423" s="49" t="s">
        <v>932</v>
      </c>
      <c r="C423" s="7" t="s">
        <v>2237</v>
      </c>
      <c r="D423" s="54" t="s">
        <v>92</v>
      </c>
      <c r="E423" s="111">
        <v>0</v>
      </c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>
        <f t="shared" si="12"/>
        <v>0</v>
      </c>
    </row>
    <row r="424" spans="1:18" x14ac:dyDescent="0.35">
      <c r="A424" s="5">
        <f t="shared" si="13"/>
        <v>422</v>
      </c>
      <c r="B424" s="49" t="s">
        <v>934</v>
      </c>
      <c r="C424" s="144" t="s">
        <v>1873</v>
      </c>
      <c r="D424" s="54" t="s">
        <v>936</v>
      </c>
      <c r="E424" s="111">
        <v>5000</v>
      </c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>
        <f t="shared" si="12"/>
        <v>5000</v>
      </c>
    </row>
    <row r="425" spans="1:18" x14ac:dyDescent="0.35">
      <c r="A425" s="5">
        <f t="shared" si="13"/>
        <v>423</v>
      </c>
      <c r="B425" s="49" t="s">
        <v>937</v>
      </c>
      <c r="C425" s="144" t="s">
        <v>1883</v>
      </c>
      <c r="D425" s="54" t="s">
        <v>92</v>
      </c>
      <c r="E425" s="111">
        <v>5000</v>
      </c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>
        <f t="shared" si="12"/>
        <v>5000</v>
      </c>
    </row>
    <row r="426" spans="1:18" x14ac:dyDescent="0.35">
      <c r="A426" s="5">
        <f t="shared" si="13"/>
        <v>424</v>
      </c>
      <c r="B426" s="49" t="s">
        <v>939</v>
      </c>
      <c r="C426" s="144" t="s">
        <v>1884</v>
      </c>
      <c r="D426" s="54" t="s">
        <v>198</v>
      </c>
      <c r="E426" s="111">
        <v>5000</v>
      </c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>
        <f t="shared" si="12"/>
        <v>5000</v>
      </c>
    </row>
    <row r="427" spans="1:18" x14ac:dyDescent="0.35">
      <c r="A427" s="5">
        <f t="shared" si="13"/>
        <v>425</v>
      </c>
      <c r="B427" s="49" t="s">
        <v>941</v>
      </c>
      <c r="C427" s="90" t="s">
        <v>1845</v>
      </c>
      <c r="D427" s="54" t="s">
        <v>406</v>
      </c>
      <c r="E427" s="111">
        <v>5000</v>
      </c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>
        <f t="shared" si="12"/>
        <v>5000</v>
      </c>
    </row>
    <row r="428" spans="1:18" x14ac:dyDescent="0.35">
      <c r="A428" s="5">
        <f t="shared" si="13"/>
        <v>426</v>
      </c>
      <c r="B428" s="49" t="s">
        <v>943</v>
      </c>
      <c r="C428" s="144" t="s">
        <v>2063</v>
      </c>
      <c r="D428" s="54" t="s">
        <v>19</v>
      </c>
      <c r="E428" s="111">
        <v>5000</v>
      </c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>
        <f t="shared" si="12"/>
        <v>5000</v>
      </c>
    </row>
    <row r="429" spans="1:18" x14ac:dyDescent="0.35">
      <c r="A429" s="5">
        <f t="shared" si="13"/>
        <v>427</v>
      </c>
      <c r="B429" s="49" t="s">
        <v>945</v>
      </c>
      <c r="C429" s="144" t="s">
        <v>1917</v>
      </c>
      <c r="D429" s="54" t="s">
        <v>354</v>
      </c>
      <c r="E429" s="111">
        <v>5000</v>
      </c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>
        <f t="shared" si="12"/>
        <v>5000</v>
      </c>
    </row>
    <row r="430" spans="1:18" x14ac:dyDescent="0.35">
      <c r="A430" s="5">
        <f t="shared" si="13"/>
        <v>428</v>
      </c>
      <c r="B430" s="49" t="s">
        <v>947</v>
      </c>
      <c r="C430" s="7" t="s">
        <v>1655</v>
      </c>
      <c r="D430" s="54" t="s">
        <v>41</v>
      </c>
      <c r="E430" s="111">
        <v>0</v>
      </c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>
        <f t="shared" si="12"/>
        <v>0</v>
      </c>
    </row>
    <row r="431" spans="1:18" x14ac:dyDescent="0.35">
      <c r="A431" s="5">
        <f t="shared" si="13"/>
        <v>429</v>
      </c>
      <c r="B431" s="49" t="s">
        <v>949</v>
      </c>
      <c r="C431" s="90" t="s">
        <v>1847</v>
      </c>
      <c r="D431" s="54" t="s">
        <v>238</v>
      </c>
      <c r="E431" s="111">
        <v>5000</v>
      </c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>
        <f t="shared" si="12"/>
        <v>5000</v>
      </c>
    </row>
    <row r="432" spans="1:18" x14ac:dyDescent="0.35">
      <c r="A432" s="5">
        <f t="shared" si="13"/>
        <v>430</v>
      </c>
      <c r="B432" s="49" t="s">
        <v>951</v>
      </c>
      <c r="C432" s="144" t="s">
        <v>2064</v>
      </c>
      <c r="D432" s="54" t="s">
        <v>72</v>
      </c>
      <c r="E432" s="111">
        <v>5000</v>
      </c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>
        <f t="shared" si="12"/>
        <v>5000</v>
      </c>
    </row>
    <row r="433" spans="1:18" x14ac:dyDescent="0.35">
      <c r="A433" s="5">
        <f t="shared" si="13"/>
        <v>431</v>
      </c>
      <c r="B433" s="49" t="s">
        <v>953</v>
      </c>
      <c r="C433" s="90" t="s">
        <v>1908</v>
      </c>
      <c r="D433" s="54" t="s">
        <v>267</v>
      </c>
      <c r="E433" s="111">
        <v>5000</v>
      </c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>
        <f t="shared" si="12"/>
        <v>5000</v>
      </c>
    </row>
    <row r="434" spans="1:18" x14ac:dyDescent="0.35">
      <c r="A434" s="5">
        <f t="shared" si="13"/>
        <v>432</v>
      </c>
      <c r="B434" s="49" t="s">
        <v>955</v>
      </c>
      <c r="C434" s="144" t="s">
        <v>2065</v>
      </c>
      <c r="D434" s="54" t="s">
        <v>19</v>
      </c>
      <c r="E434" s="111">
        <v>5000</v>
      </c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>
        <f t="shared" si="12"/>
        <v>5000</v>
      </c>
    </row>
    <row r="435" spans="1:18" x14ac:dyDescent="0.35">
      <c r="A435" s="5">
        <f t="shared" si="13"/>
        <v>433</v>
      </c>
      <c r="B435" s="49" t="s">
        <v>957</v>
      </c>
      <c r="C435" s="90" t="s">
        <v>1771</v>
      </c>
      <c r="D435" s="54" t="s">
        <v>406</v>
      </c>
      <c r="E435" s="111">
        <v>5000</v>
      </c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>
        <f t="shared" si="12"/>
        <v>5000</v>
      </c>
    </row>
    <row r="436" spans="1:18" x14ac:dyDescent="0.35">
      <c r="A436" s="5">
        <f t="shared" si="13"/>
        <v>434</v>
      </c>
      <c r="B436" s="49" t="s">
        <v>959</v>
      </c>
      <c r="C436" s="7" t="s">
        <v>1656</v>
      </c>
      <c r="D436" s="54" t="s">
        <v>98</v>
      </c>
      <c r="E436" s="111">
        <v>5000</v>
      </c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>
        <f t="shared" si="12"/>
        <v>5000</v>
      </c>
    </row>
    <row r="437" spans="1:18" x14ac:dyDescent="0.35">
      <c r="A437" s="5">
        <f t="shared" si="13"/>
        <v>435</v>
      </c>
      <c r="B437" s="49" t="s">
        <v>961</v>
      </c>
      <c r="C437" s="7" t="s">
        <v>962</v>
      </c>
      <c r="D437" s="54" t="s">
        <v>374</v>
      </c>
      <c r="E437" s="111">
        <v>0</v>
      </c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>
        <f t="shared" si="12"/>
        <v>0</v>
      </c>
    </row>
    <row r="438" spans="1:18" x14ac:dyDescent="0.35">
      <c r="A438" s="5">
        <f t="shared" si="13"/>
        <v>436</v>
      </c>
      <c r="B438" s="49" t="s">
        <v>963</v>
      </c>
      <c r="C438" s="7" t="s">
        <v>964</v>
      </c>
      <c r="D438" s="54" t="s">
        <v>136</v>
      </c>
      <c r="E438" s="111">
        <v>0</v>
      </c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>
        <f t="shared" si="12"/>
        <v>0</v>
      </c>
    </row>
    <row r="439" spans="1:18" x14ac:dyDescent="0.35">
      <c r="A439" s="5">
        <f t="shared" si="13"/>
        <v>437</v>
      </c>
      <c r="B439" s="49" t="s">
        <v>965</v>
      </c>
      <c r="C439" s="7" t="s">
        <v>1657</v>
      </c>
      <c r="D439" s="54" t="s">
        <v>77</v>
      </c>
      <c r="E439" s="111">
        <v>0</v>
      </c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>
        <f t="shared" si="12"/>
        <v>0</v>
      </c>
    </row>
    <row r="440" spans="1:18" x14ac:dyDescent="0.35">
      <c r="A440" s="5">
        <f t="shared" si="13"/>
        <v>438</v>
      </c>
      <c r="B440" s="49" t="s">
        <v>967</v>
      </c>
      <c r="C440" s="7" t="s">
        <v>1625</v>
      </c>
      <c r="D440" s="54" t="s">
        <v>374</v>
      </c>
      <c r="E440" s="111">
        <v>0</v>
      </c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>
        <f t="shared" si="12"/>
        <v>0</v>
      </c>
    </row>
    <row r="441" spans="1:18" x14ac:dyDescent="0.35">
      <c r="A441" s="5">
        <f t="shared" si="13"/>
        <v>439</v>
      </c>
      <c r="B441" s="49" t="s">
        <v>969</v>
      </c>
      <c r="C441" s="90" t="s">
        <v>2066</v>
      </c>
      <c r="D441" s="54" t="s">
        <v>19</v>
      </c>
      <c r="E441" s="111">
        <v>5000</v>
      </c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>
        <f t="shared" si="12"/>
        <v>5000</v>
      </c>
    </row>
    <row r="442" spans="1:18" x14ac:dyDescent="0.35">
      <c r="A442" s="5">
        <f t="shared" si="13"/>
        <v>440</v>
      </c>
      <c r="B442" s="49" t="s">
        <v>971</v>
      </c>
      <c r="C442" s="7" t="s">
        <v>1658</v>
      </c>
      <c r="D442" s="54" t="s">
        <v>14</v>
      </c>
      <c r="E442" s="111">
        <v>0</v>
      </c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>
        <f t="shared" si="12"/>
        <v>0</v>
      </c>
    </row>
    <row r="443" spans="1:18" x14ac:dyDescent="0.35">
      <c r="A443" s="5">
        <f t="shared" si="13"/>
        <v>441</v>
      </c>
      <c r="B443" s="49" t="s">
        <v>973</v>
      </c>
      <c r="C443" s="7" t="s">
        <v>1770</v>
      </c>
      <c r="D443" s="54" t="s">
        <v>406</v>
      </c>
      <c r="E443" s="111">
        <v>0</v>
      </c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>
        <f t="shared" si="12"/>
        <v>0</v>
      </c>
    </row>
    <row r="444" spans="1:18" x14ac:dyDescent="0.35">
      <c r="A444" s="5">
        <f t="shared" si="13"/>
        <v>442</v>
      </c>
      <c r="B444" s="49" t="s">
        <v>975</v>
      </c>
      <c r="C444" s="144" t="s">
        <v>1906</v>
      </c>
      <c r="D444" s="54" t="s">
        <v>92</v>
      </c>
      <c r="E444" s="111">
        <v>5000</v>
      </c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>
        <f t="shared" si="12"/>
        <v>5000</v>
      </c>
    </row>
    <row r="445" spans="1:18" x14ac:dyDescent="0.35">
      <c r="A445" s="5">
        <f t="shared" si="13"/>
        <v>443</v>
      </c>
      <c r="B445" s="49" t="s">
        <v>977</v>
      </c>
      <c r="C445" s="7" t="s">
        <v>978</v>
      </c>
      <c r="D445" s="54" t="s">
        <v>60</v>
      </c>
      <c r="E445" s="111">
        <v>0</v>
      </c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>
        <f t="shared" si="12"/>
        <v>0</v>
      </c>
    </row>
    <row r="446" spans="1:18" x14ac:dyDescent="0.35">
      <c r="A446" s="5">
        <f t="shared" si="13"/>
        <v>444</v>
      </c>
      <c r="B446" s="49" t="s">
        <v>979</v>
      </c>
      <c r="C446" s="7" t="s">
        <v>980</v>
      </c>
      <c r="D446" s="54" t="s">
        <v>92</v>
      </c>
      <c r="E446" s="111">
        <v>0</v>
      </c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>
        <f t="shared" si="12"/>
        <v>0</v>
      </c>
    </row>
    <row r="447" spans="1:18" x14ac:dyDescent="0.35">
      <c r="A447" s="5">
        <f t="shared" si="13"/>
        <v>445</v>
      </c>
      <c r="B447" s="49" t="s">
        <v>981</v>
      </c>
      <c r="C447" s="7" t="s">
        <v>2067</v>
      </c>
      <c r="D447" s="54" t="s">
        <v>983</v>
      </c>
      <c r="E447" s="111">
        <v>5000</v>
      </c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>
        <f t="shared" si="12"/>
        <v>5000</v>
      </c>
    </row>
    <row r="448" spans="1:18" x14ac:dyDescent="0.35">
      <c r="A448" s="5">
        <f t="shared" si="13"/>
        <v>446</v>
      </c>
      <c r="B448" s="49" t="s">
        <v>984</v>
      </c>
      <c r="C448" s="7" t="s">
        <v>985</v>
      </c>
      <c r="D448" s="54" t="s">
        <v>60</v>
      </c>
      <c r="E448" s="111">
        <v>0</v>
      </c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>
        <f t="shared" si="12"/>
        <v>0</v>
      </c>
    </row>
    <row r="449" spans="1:18" x14ac:dyDescent="0.35">
      <c r="A449" s="5">
        <f t="shared" si="13"/>
        <v>447</v>
      </c>
      <c r="B449" s="49" t="s">
        <v>986</v>
      </c>
      <c r="C449" s="7" t="s">
        <v>1626</v>
      </c>
      <c r="D449" s="54" t="s">
        <v>49</v>
      </c>
      <c r="E449" s="111">
        <v>5000</v>
      </c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>
        <f t="shared" si="12"/>
        <v>5000</v>
      </c>
    </row>
    <row r="450" spans="1:18" x14ac:dyDescent="0.35">
      <c r="A450" s="5">
        <f t="shared" si="13"/>
        <v>448</v>
      </c>
      <c r="B450" s="49" t="s">
        <v>988</v>
      </c>
      <c r="C450" s="101" t="s">
        <v>1764</v>
      </c>
      <c r="D450" s="54" t="s">
        <v>333</v>
      </c>
      <c r="E450" s="111">
        <v>5000</v>
      </c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>
        <f t="shared" si="12"/>
        <v>5000</v>
      </c>
    </row>
    <row r="451" spans="1:18" x14ac:dyDescent="0.35">
      <c r="A451" s="5">
        <f t="shared" si="13"/>
        <v>449</v>
      </c>
      <c r="B451" s="49" t="s">
        <v>990</v>
      </c>
      <c r="C451" s="90" t="s">
        <v>2068</v>
      </c>
      <c r="D451" s="54" t="s">
        <v>119</v>
      </c>
      <c r="E451" s="111">
        <v>5000</v>
      </c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>
        <f t="shared" si="12"/>
        <v>5000</v>
      </c>
    </row>
    <row r="452" spans="1:18" x14ac:dyDescent="0.35">
      <c r="A452" s="5">
        <f t="shared" si="13"/>
        <v>450</v>
      </c>
      <c r="B452" s="49" t="s">
        <v>992</v>
      </c>
      <c r="C452" s="90" t="s">
        <v>1787</v>
      </c>
      <c r="D452" s="54" t="s">
        <v>119</v>
      </c>
      <c r="E452" s="111">
        <v>0</v>
      </c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>
        <f t="shared" ref="R452:R515" si="14">E452+F452+G452+H452+I452+J452+K452+L452+M452+N452+O452+P452+Q452</f>
        <v>0</v>
      </c>
    </row>
    <row r="453" spans="1:18" x14ac:dyDescent="0.35">
      <c r="A453" s="5">
        <f t="shared" ref="A453:A516" si="15">A452+1</f>
        <v>451</v>
      </c>
      <c r="B453" s="49" t="s">
        <v>994</v>
      </c>
      <c r="C453" s="90" t="s">
        <v>1763</v>
      </c>
      <c r="D453" s="54" t="s">
        <v>318</v>
      </c>
      <c r="E453" s="111">
        <v>5000</v>
      </c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>
        <f t="shared" si="14"/>
        <v>5000</v>
      </c>
    </row>
    <row r="454" spans="1:18" x14ac:dyDescent="0.35">
      <c r="A454" s="5">
        <f t="shared" si="15"/>
        <v>452</v>
      </c>
      <c r="B454" s="49" t="s">
        <v>996</v>
      </c>
      <c r="C454" s="7" t="s">
        <v>997</v>
      </c>
      <c r="D454" s="54" t="s">
        <v>300</v>
      </c>
      <c r="E454" s="111">
        <v>0</v>
      </c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>
        <f t="shared" si="14"/>
        <v>0</v>
      </c>
    </row>
    <row r="455" spans="1:18" x14ac:dyDescent="0.35">
      <c r="A455" s="5">
        <f t="shared" si="15"/>
        <v>453</v>
      </c>
      <c r="B455" s="49" t="s">
        <v>998</v>
      </c>
      <c r="C455" s="7" t="s">
        <v>999</v>
      </c>
      <c r="D455" s="54" t="s">
        <v>49</v>
      </c>
      <c r="E455" s="111">
        <v>5000</v>
      </c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>
        <f t="shared" si="14"/>
        <v>5000</v>
      </c>
    </row>
    <row r="456" spans="1:18" x14ac:dyDescent="0.35">
      <c r="A456" s="5">
        <f t="shared" si="15"/>
        <v>454</v>
      </c>
      <c r="B456" s="49" t="s">
        <v>1000</v>
      </c>
      <c r="C456" s="90" t="s">
        <v>2069</v>
      </c>
      <c r="D456" s="54" t="s">
        <v>14</v>
      </c>
      <c r="E456" s="111">
        <v>5000</v>
      </c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>
        <f t="shared" si="14"/>
        <v>5000</v>
      </c>
    </row>
    <row r="457" spans="1:18" x14ac:dyDescent="0.35">
      <c r="A457" s="5">
        <f t="shared" si="15"/>
        <v>455</v>
      </c>
      <c r="B457" s="49" t="s">
        <v>1002</v>
      </c>
      <c r="C457" s="7" t="s">
        <v>1003</v>
      </c>
      <c r="D457" s="54" t="s">
        <v>136</v>
      </c>
      <c r="E457" s="111">
        <v>0</v>
      </c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>
        <f t="shared" si="14"/>
        <v>0</v>
      </c>
    </row>
    <row r="458" spans="1:18" x14ac:dyDescent="0.35">
      <c r="A458" s="5">
        <f t="shared" si="15"/>
        <v>456</v>
      </c>
      <c r="B458" s="49" t="s">
        <v>1004</v>
      </c>
      <c r="C458" s="7" t="s">
        <v>1005</v>
      </c>
      <c r="D458" s="54" t="s">
        <v>169</v>
      </c>
      <c r="E458" s="111">
        <v>0</v>
      </c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>
        <f t="shared" si="14"/>
        <v>0</v>
      </c>
    </row>
    <row r="459" spans="1:18" x14ac:dyDescent="0.35">
      <c r="A459" s="5">
        <f t="shared" si="15"/>
        <v>457</v>
      </c>
      <c r="B459" s="49" t="s">
        <v>1006</v>
      </c>
      <c r="C459" s="7" t="s">
        <v>1659</v>
      </c>
      <c r="D459" s="54" t="s">
        <v>14</v>
      </c>
      <c r="E459" s="111">
        <v>0</v>
      </c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>
        <f t="shared" si="14"/>
        <v>0</v>
      </c>
    </row>
    <row r="460" spans="1:18" x14ac:dyDescent="0.35">
      <c r="A460" s="5">
        <f t="shared" si="15"/>
        <v>458</v>
      </c>
      <c r="B460" s="49" t="s">
        <v>1008</v>
      </c>
      <c r="C460" s="7" t="s">
        <v>1783</v>
      </c>
      <c r="D460" s="54" t="s">
        <v>60</v>
      </c>
      <c r="E460" s="111">
        <v>5000</v>
      </c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>
        <v>-5000</v>
      </c>
      <c r="R460" s="58">
        <f t="shared" si="14"/>
        <v>0</v>
      </c>
    </row>
    <row r="461" spans="1:18" x14ac:dyDescent="0.35">
      <c r="A461" s="5">
        <f t="shared" si="15"/>
        <v>459</v>
      </c>
      <c r="B461" s="49" t="s">
        <v>1010</v>
      </c>
      <c r="C461" s="7" t="s">
        <v>1660</v>
      </c>
      <c r="D461" s="54" t="s">
        <v>60</v>
      </c>
      <c r="E461" s="111">
        <v>0</v>
      </c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>
        <f t="shared" si="14"/>
        <v>0</v>
      </c>
    </row>
    <row r="462" spans="1:18" x14ac:dyDescent="0.35">
      <c r="A462" s="5">
        <f t="shared" si="15"/>
        <v>460</v>
      </c>
      <c r="B462" s="49" t="s">
        <v>1012</v>
      </c>
      <c r="C462" s="90" t="s">
        <v>2070</v>
      </c>
      <c r="D462" s="54" t="s">
        <v>60</v>
      </c>
      <c r="E462" s="111">
        <v>0</v>
      </c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>
        <f t="shared" si="14"/>
        <v>0</v>
      </c>
    </row>
    <row r="463" spans="1:18" x14ac:dyDescent="0.35">
      <c r="A463" s="5">
        <f t="shared" si="15"/>
        <v>461</v>
      </c>
      <c r="B463" s="49" t="s">
        <v>1014</v>
      </c>
      <c r="C463" s="7" t="s">
        <v>1661</v>
      </c>
      <c r="D463" s="54" t="s">
        <v>60</v>
      </c>
      <c r="E463" s="111">
        <v>0</v>
      </c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>
        <f t="shared" si="14"/>
        <v>0</v>
      </c>
    </row>
    <row r="464" spans="1:18" x14ac:dyDescent="0.35">
      <c r="A464" s="5">
        <f t="shared" si="15"/>
        <v>462</v>
      </c>
      <c r="B464" s="49" t="s">
        <v>1016</v>
      </c>
      <c r="C464" s="90" t="s">
        <v>2071</v>
      </c>
      <c r="D464" s="54" t="s">
        <v>367</v>
      </c>
      <c r="E464" s="111">
        <v>5000</v>
      </c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>
        <f t="shared" si="14"/>
        <v>5000</v>
      </c>
    </row>
    <row r="465" spans="1:18" x14ac:dyDescent="0.35">
      <c r="A465" s="5">
        <f t="shared" si="15"/>
        <v>463</v>
      </c>
      <c r="B465" s="49" t="s">
        <v>1018</v>
      </c>
      <c r="C465" s="144" t="s">
        <v>1854</v>
      </c>
      <c r="D465" s="54" t="s">
        <v>198</v>
      </c>
      <c r="E465" s="111">
        <v>5000</v>
      </c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>
        <f t="shared" si="14"/>
        <v>5000</v>
      </c>
    </row>
    <row r="466" spans="1:18" x14ac:dyDescent="0.35">
      <c r="A466" s="5">
        <f t="shared" si="15"/>
        <v>464</v>
      </c>
      <c r="B466" s="49" t="s">
        <v>1020</v>
      </c>
      <c r="C466" s="144" t="s">
        <v>2072</v>
      </c>
      <c r="D466" s="54" t="s">
        <v>198</v>
      </c>
      <c r="E466" s="111">
        <v>5000</v>
      </c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>
        <f t="shared" si="14"/>
        <v>5000</v>
      </c>
    </row>
    <row r="467" spans="1:18" x14ac:dyDescent="0.35">
      <c r="A467" s="5">
        <f t="shared" si="15"/>
        <v>465</v>
      </c>
      <c r="B467" s="49" t="s">
        <v>1022</v>
      </c>
      <c r="C467" s="7" t="s">
        <v>1662</v>
      </c>
      <c r="D467" s="54" t="s">
        <v>49</v>
      </c>
      <c r="E467" s="111">
        <v>0</v>
      </c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>
        <f t="shared" si="14"/>
        <v>0</v>
      </c>
    </row>
    <row r="468" spans="1:18" x14ac:dyDescent="0.35">
      <c r="A468" s="5">
        <f t="shared" si="15"/>
        <v>466</v>
      </c>
      <c r="B468" s="49" t="s">
        <v>1024</v>
      </c>
      <c r="C468" s="7" t="s">
        <v>1663</v>
      </c>
      <c r="D468" s="54" t="s">
        <v>123</v>
      </c>
      <c r="E468" s="111">
        <v>5000</v>
      </c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>
        <f t="shared" si="14"/>
        <v>5000</v>
      </c>
    </row>
    <row r="469" spans="1:18" x14ac:dyDescent="0.35">
      <c r="A469" s="5">
        <f t="shared" si="15"/>
        <v>467</v>
      </c>
      <c r="B469" s="49" t="s">
        <v>1026</v>
      </c>
      <c r="C469" s="144" t="s">
        <v>2073</v>
      </c>
      <c r="D469" s="54" t="s">
        <v>77</v>
      </c>
      <c r="E469" s="111">
        <v>5000</v>
      </c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>
        <f t="shared" si="14"/>
        <v>5000</v>
      </c>
    </row>
    <row r="470" spans="1:18" x14ac:dyDescent="0.35">
      <c r="A470" s="5">
        <f t="shared" si="15"/>
        <v>468</v>
      </c>
      <c r="B470" s="49" t="s">
        <v>1028</v>
      </c>
      <c r="C470" s="144" t="s">
        <v>1875</v>
      </c>
      <c r="D470" s="54" t="s">
        <v>141</v>
      </c>
      <c r="E470" s="111">
        <v>5000</v>
      </c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>
        <f t="shared" si="14"/>
        <v>5000</v>
      </c>
    </row>
    <row r="471" spans="1:18" x14ac:dyDescent="0.35">
      <c r="A471" s="5">
        <f t="shared" si="15"/>
        <v>469</v>
      </c>
      <c r="B471" s="49" t="s">
        <v>1030</v>
      </c>
      <c r="C471" s="7" t="s">
        <v>1664</v>
      </c>
      <c r="D471" s="54" t="s">
        <v>141</v>
      </c>
      <c r="E471" s="111">
        <v>0</v>
      </c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>
        <f t="shared" si="14"/>
        <v>0</v>
      </c>
    </row>
    <row r="472" spans="1:18" x14ac:dyDescent="0.35">
      <c r="A472" s="5">
        <f t="shared" si="15"/>
        <v>470</v>
      </c>
      <c r="B472" s="49" t="s">
        <v>1032</v>
      </c>
      <c r="C472" s="7" t="s">
        <v>1665</v>
      </c>
      <c r="D472" s="54" t="s">
        <v>253</v>
      </c>
      <c r="E472" s="111">
        <v>0</v>
      </c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>
        <f t="shared" si="14"/>
        <v>0</v>
      </c>
    </row>
    <row r="473" spans="1:18" x14ac:dyDescent="0.35">
      <c r="A473" s="5">
        <f t="shared" si="15"/>
        <v>471</v>
      </c>
      <c r="B473" s="49" t="s">
        <v>1034</v>
      </c>
      <c r="C473" s="90" t="s">
        <v>2074</v>
      </c>
      <c r="D473" s="54" t="s">
        <v>131</v>
      </c>
      <c r="E473" s="111">
        <v>0</v>
      </c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>
        <f t="shared" si="14"/>
        <v>0</v>
      </c>
    </row>
    <row r="474" spans="1:18" x14ac:dyDescent="0.35">
      <c r="A474" s="5">
        <f t="shared" si="15"/>
        <v>472</v>
      </c>
      <c r="B474" s="49" t="s">
        <v>1036</v>
      </c>
      <c r="C474" s="7" t="s">
        <v>1666</v>
      </c>
      <c r="D474" s="54" t="s">
        <v>46</v>
      </c>
      <c r="E474" s="111">
        <v>0</v>
      </c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>
        <f t="shared" si="14"/>
        <v>0</v>
      </c>
    </row>
    <row r="475" spans="1:18" x14ac:dyDescent="0.35">
      <c r="A475" s="5">
        <f t="shared" si="15"/>
        <v>473</v>
      </c>
      <c r="B475" s="49" t="s">
        <v>1038</v>
      </c>
      <c r="C475" s="7" t="s">
        <v>1667</v>
      </c>
      <c r="D475" s="54" t="s">
        <v>253</v>
      </c>
      <c r="E475" s="111">
        <v>0</v>
      </c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>
        <f t="shared" si="14"/>
        <v>0</v>
      </c>
    </row>
    <row r="476" spans="1:18" x14ac:dyDescent="0.35">
      <c r="A476" s="5">
        <f t="shared" si="15"/>
        <v>474</v>
      </c>
      <c r="B476" s="49" t="s">
        <v>1040</v>
      </c>
      <c r="C476" s="7" t="s">
        <v>1668</v>
      </c>
      <c r="D476" s="54" t="s">
        <v>95</v>
      </c>
      <c r="E476" s="111">
        <v>0</v>
      </c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>
        <f t="shared" si="14"/>
        <v>0</v>
      </c>
    </row>
    <row r="477" spans="1:18" x14ac:dyDescent="0.35">
      <c r="A477" s="5">
        <f t="shared" si="15"/>
        <v>475</v>
      </c>
      <c r="B477" s="49" t="s">
        <v>1042</v>
      </c>
      <c r="C477" s="90" t="s">
        <v>1785</v>
      </c>
      <c r="D477" s="54" t="s">
        <v>95</v>
      </c>
      <c r="E477" s="111">
        <v>0</v>
      </c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>
        <f t="shared" si="14"/>
        <v>0</v>
      </c>
    </row>
    <row r="478" spans="1:18" x14ac:dyDescent="0.35">
      <c r="A478" s="5">
        <f t="shared" si="15"/>
        <v>476</v>
      </c>
      <c r="B478" s="49" t="s">
        <v>1044</v>
      </c>
      <c r="C478" s="7" t="s">
        <v>1669</v>
      </c>
      <c r="D478" s="54" t="s">
        <v>141</v>
      </c>
      <c r="E478" s="111">
        <v>0</v>
      </c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>
        <f t="shared" si="14"/>
        <v>0</v>
      </c>
    </row>
    <row r="479" spans="1:18" x14ac:dyDescent="0.35">
      <c r="A479" s="5">
        <f t="shared" si="15"/>
        <v>477</v>
      </c>
      <c r="B479" s="49" t="s">
        <v>1046</v>
      </c>
      <c r="C479" s="7" t="s">
        <v>1670</v>
      </c>
      <c r="D479" s="54" t="s">
        <v>123</v>
      </c>
      <c r="E479" s="111">
        <v>5000</v>
      </c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>
        <f t="shared" si="14"/>
        <v>5000</v>
      </c>
    </row>
    <row r="480" spans="1:18" x14ac:dyDescent="0.35">
      <c r="A480" s="5">
        <f t="shared" si="15"/>
        <v>478</v>
      </c>
      <c r="B480" s="49" t="s">
        <v>1048</v>
      </c>
      <c r="C480" s="7" t="s">
        <v>1713</v>
      </c>
      <c r="D480" s="54" t="s">
        <v>201</v>
      </c>
      <c r="E480" s="111">
        <v>0</v>
      </c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>
        <f t="shared" si="14"/>
        <v>0</v>
      </c>
    </row>
    <row r="481" spans="1:18" x14ac:dyDescent="0.35">
      <c r="A481" s="5">
        <f t="shared" si="15"/>
        <v>479</v>
      </c>
      <c r="B481" s="49" t="s">
        <v>1050</v>
      </c>
      <c r="C481" s="7" t="s">
        <v>1712</v>
      </c>
      <c r="D481" s="54" t="s">
        <v>77</v>
      </c>
      <c r="E481" s="111">
        <v>0</v>
      </c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>
        <f t="shared" si="14"/>
        <v>0</v>
      </c>
    </row>
    <row r="482" spans="1:18" x14ac:dyDescent="0.35">
      <c r="A482" s="5">
        <f t="shared" si="15"/>
        <v>480</v>
      </c>
      <c r="B482" s="49" t="s">
        <v>1052</v>
      </c>
      <c r="C482" s="7" t="s">
        <v>1614</v>
      </c>
      <c r="D482" s="54" t="s">
        <v>49</v>
      </c>
      <c r="E482" s="111">
        <v>0</v>
      </c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>
        <f t="shared" si="14"/>
        <v>0</v>
      </c>
    </row>
    <row r="483" spans="1:18" x14ac:dyDescent="0.35">
      <c r="A483" s="5">
        <f t="shared" si="15"/>
        <v>481</v>
      </c>
      <c r="B483" s="49" t="s">
        <v>1054</v>
      </c>
      <c r="C483" s="101" t="s">
        <v>1782</v>
      </c>
      <c r="D483" s="54" t="s">
        <v>60</v>
      </c>
      <c r="E483" s="111">
        <v>5000</v>
      </c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>
        <f t="shared" si="14"/>
        <v>5000</v>
      </c>
    </row>
    <row r="484" spans="1:18" x14ac:dyDescent="0.35">
      <c r="A484" s="5">
        <f t="shared" si="15"/>
        <v>482</v>
      </c>
      <c r="B484" s="49" t="s">
        <v>1056</v>
      </c>
      <c r="C484" s="101" t="s">
        <v>1778</v>
      </c>
      <c r="D484" s="54" t="s">
        <v>303</v>
      </c>
      <c r="E484" s="111">
        <v>5000</v>
      </c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>
        <f t="shared" si="14"/>
        <v>5000</v>
      </c>
    </row>
    <row r="485" spans="1:18" x14ac:dyDescent="0.35">
      <c r="A485" s="5">
        <f t="shared" si="15"/>
        <v>483</v>
      </c>
      <c r="B485" s="49" t="s">
        <v>1058</v>
      </c>
      <c r="C485" s="7" t="s">
        <v>1059</v>
      </c>
      <c r="D485" s="54" t="s">
        <v>300</v>
      </c>
      <c r="E485" s="111">
        <v>0</v>
      </c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>
        <f t="shared" si="14"/>
        <v>0</v>
      </c>
    </row>
    <row r="486" spans="1:18" x14ac:dyDescent="0.35">
      <c r="A486" s="5">
        <f t="shared" si="15"/>
        <v>484</v>
      </c>
      <c r="B486" s="49" t="s">
        <v>1060</v>
      </c>
      <c r="C486" s="7" t="s">
        <v>1061</v>
      </c>
      <c r="D486" s="54" t="s">
        <v>65</v>
      </c>
      <c r="E486" s="111">
        <v>0</v>
      </c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>
        <f t="shared" si="14"/>
        <v>0</v>
      </c>
    </row>
    <row r="487" spans="1:18" x14ac:dyDescent="0.35">
      <c r="A487" s="5">
        <f t="shared" si="15"/>
        <v>485</v>
      </c>
      <c r="B487" s="49" t="s">
        <v>1062</v>
      </c>
      <c r="C487" s="101" t="s">
        <v>2075</v>
      </c>
      <c r="D487" s="54" t="s">
        <v>321</v>
      </c>
      <c r="E487" s="111">
        <v>5000</v>
      </c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>
        <f t="shared" si="14"/>
        <v>5000</v>
      </c>
    </row>
    <row r="488" spans="1:18" x14ac:dyDescent="0.35">
      <c r="A488" s="5">
        <f t="shared" si="15"/>
        <v>486</v>
      </c>
      <c r="B488" s="49" t="s">
        <v>1064</v>
      </c>
      <c r="C488" s="144" t="s">
        <v>1891</v>
      </c>
      <c r="D488" s="54" t="s">
        <v>136</v>
      </c>
      <c r="E488" s="111">
        <v>10000</v>
      </c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>
        <f t="shared" si="14"/>
        <v>10000</v>
      </c>
    </row>
    <row r="489" spans="1:18" x14ac:dyDescent="0.35">
      <c r="A489" s="5">
        <f t="shared" si="15"/>
        <v>487</v>
      </c>
      <c r="B489" s="49" t="s">
        <v>1066</v>
      </c>
      <c r="C489" s="7" t="s">
        <v>1067</v>
      </c>
      <c r="D489" s="54" t="s">
        <v>144</v>
      </c>
      <c r="E489" s="111">
        <v>5000</v>
      </c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>
        <f t="shared" si="14"/>
        <v>5000</v>
      </c>
    </row>
    <row r="490" spans="1:18" x14ac:dyDescent="0.35">
      <c r="A490" s="5">
        <f t="shared" si="15"/>
        <v>488</v>
      </c>
      <c r="B490" s="49" t="s">
        <v>1068</v>
      </c>
      <c r="C490" s="90" t="s">
        <v>2076</v>
      </c>
      <c r="D490" s="54" t="s">
        <v>238</v>
      </c>
      <c r="E490" s="111">
        <v>5000</v>
      </c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>
        <f t="shared" si="14"/>
        <v>5000</v>
      </c>
    </row>
    <row r="491" spans="1:18" x14ac:dyDescent="0.35">
      <c r="A491" s="5">
        <f t="shared" si="15"/>
        <v>489</v>
      </c>
      <c r="B491" s="49" t="s">
        <v>1070</v>
      </c>
      <c r="C491" s="7" t="s">
        <v>1071</v>
      </c>
      <c r="D491" s="54" t="s">
        <v>300</v>
      </c>
      <c r="E491" s="111">
        <v>0</v>
      </c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>
        <f t="shared" si="14"/>
        <v>0</v>
      </c>
    </row>
    <row r="492" spans="1:18" x14ac:dyDescent="0.35">
      <c r="A492" s="5">
        <f t="shared" si="15"/>
        <v>490</v>
      </c>
      <c r="B492" s="49" t="s">
        <v>1072</v>
      </c>
      <c r="C492" s="101" t="s">
        <v>2077</v>
      </c>
      <c r="D492" s="54" t="s">
        <v>290</v>
      </c>
      <c r="E492" s="111">
        <v>5000</v>
      </c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>
        <f t="shared" si="14"/>
        <v>5000</v>
      </c>
    </row>
    <row r="493" spans="1:18" x14ac:dyDescent="0.35">
      <c r="A493" s="5">
        <f t="shared" si="15"/>
        <v>491</v>
      </c>
      <c r="B493" s="49" t="s">
        <v>1074</v>
      </c>
      <c r="C493" s="90" t="s">
        <v>2078</v>
      </c>
      <c r="D493" s="54" t="s">
        <v>25</v>
      </c>
      <c r="E493" s="111">
        <v>5000</v>
      </c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>
        <f t="shared" si="14"/>
        <v>5000</v>
      </c>
    </row>
    <row r="494" spans="1:18" x14ac:dyDescent="0.35">
      <c r="A494" s="5">
        <f t="shared" si="15"/>
        <v>492</v>
      </c>
      <c r="B494" s="49" t="s">
        <v>1076</v>
      </c>
      <c r="C494" s="7" t="s">
        <v>1627</v>
      </c>
      <c r="D494" s="54" t="s">
        <v>300</v>
      </c>
      <c r="E494" s="111">
        <v>0</v>
      </c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>
        <f t="shared" si="14"/>
        <v>0</v>
      </c>
    </row>
    <row r="495" spans="1:18" x14ac:dyDescent="0.35">
      <c r="A495" s="5">
        <f t="shared" si="15"/>
        <v>493</v>
      </c>
      <c r="B495" s="49" t="s">
        <v>1078</v>
      </c>
      <c r="C495" s="90" t="s">
        <v>1851</v>
      </c>
      <c r="D495" s="54" t="s">
        <v>25</v>
      </c>
      <c r="E495" s="111">
        <v>5000</v>
      </c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>
        <f t="shared" si="14"/>
        <v>5000</v>
      </c>
    </row>
    <row r="496" spans="1:18" x14ac:dyDescent="0.35">
      <c r="A496" s="5">
        <f t="shared" si="15"/>
        <v>494</v>
      </c>
      <c r="B496" s="49" t="s">
        <v>1080</v>
      </c>
      <c r="C496" s="90" t="s">
        <v>2079</v>
      </c>
      <c r="D496" s="54" t="s">
        <v>300</v>
      </c>
      <c r="E496" s="111">
        <v>5000</v>
      </c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>
        <f t="shared" si="14"/>
        <v>5000</v>
      </c>
    </row>
    <row r="497" spans="1:18" x14ac:dyDescent="0.35">
      <c r="A497" s="5">
        <f t="shared" si="15"/>
        <v>495</v>
      </c>
      <c r="B497" s="49" t="s">
        <v>1082</v>
      </c>
      <c r="C497" s="7" t="s">
        <v>1083</v>
      </c>
      <c r="D497" s="54" t="s">
        <v>318</v>
      </c>
      <c r="E497" s="111">
        <v>0</v>
      </c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>
        <f t="shared" si="14"/>
        <v>0</v>
      </c>
    </row>
    <row r="498" spans="1:18" x14ac:dyDescent="0.35">
      <c r="A498" s="5">
        <f t="shared" si="15"/>
        <v>496</v>
      </c>
      <c r="B498" s="49" t="s">
        <v>1084</v>
      </c>
      <c r="C498" s="7" t="s">
        <v>1085</v>
      </c>
      <c r="D498" s="54" t="s">
        <v>318</v>
      </c>
      <c r="E498" s="111">
        <v>0</v>
      </c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>
        <f t="shared" si="14"/>
        <v>0</v>
      </c>
    </row>
    <row r="499" spans="1:18" x14ac:dyDescent="0.35">
      <c r="A499" s="5">
        <f t="shared" si="15"/>
        <v>497</v>
      </c>
      <c r="B499" s="49" t="s">
        <v>1086</v>
      </c>
      <c r="C499" s="90" t="s">
        <v>2080</v>
      </c>
      <c r="D499" s="54" t="s">
        <v>25</v>
      </c>
      <c r="E499" s="111">
        <v>5000</v>
      </c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>
        <f t="shared" si="14"/>
        <v>5000</v>
      </c>
    </row>
    <row r="500" spans="1:18" x14ac:dyDescent="0.35">
      <c r="A500" s="5">
        <f t="shared" si="15"/>
        <v>498</v>
      </c>
      <c r="B500" s="49" t="s">
        <v>1088</v>
      </c>
      <c r="C500" s="7" t="s">
        <v>1089</v>
      </c>
      <c r="D500" s="54" t="s">
        <v>318</v>
      </c>
      <c r="E500" s="111">
        <v>5000</v>
      </c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>
        <f t="shared" si="14"/>
        <v>5000</v>
      </c>
    </row>
    <row r="501" spans="1:18" x14ac:dyDescent="0.35">
      <c r="A501" s="5">
        <f t="shared" si="15"/>
        <v>499</v>
      </c>
      <c r="B501" s="49" t="s">
        <v>1090</v>
      </c>
      <c r="C501" s="101" t="s">
        <v>1943</v>
      </c>
      <c r="D501" s="54" t="s">
        <v>321</v>
      </c>
      <c r="E501" s="111">
        <v>5000</v>
      </c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>
        <f t="shared" si="14"/>
        <v>5000</v>
      </c>
    </row>
    <row r="502" spans="1:18" x14ac:dyDescent="0.35">
      <c r="A502" s="5">
        <f t="shared" si="15"/>
        <v>500</v>
      </c>
      <c r="B502" s="49" t="s">
        <v>1092</v>
      </c>
      <c r="C502" s="7" t="s">
        <v>1093</v>
      </c>
      <c r="D502" s="54" t="s">
        <v>49</v>
      </c>
      <c r="E502" s="111">
        <v>0</v>
      </c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>
        <f t="shared" si="14"/>
        <v>0</v>
      </c>
    </row>
    <row r="503" spans="1:18" x14ac:dyDescent="0.35">
      <c r="A503" s="5">
        <f t="shared" si="15"/>
        <v>501</v>
      </c>
      <c r="B503" s="49" t="s">
        <v>1094</v>
      </c>
      <c r="C503" s="7" t="s">
        <v>1095</v>
      </c>
      <c r="D503" s="54" t="s">
        <v>144</v>
      </c>
      <c r="E503" s="111">
        <v>0</v>
      </c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>
        <f t="shared" si="14"/>
        <v>0</v>
      </c>
    </row>
    <row r="504" spans="1:18" x14ac:dyDescent="0.35">
      <c r="A504" s="5">
        <f t="shared" si="15"/>
        <v>502</v>
      </c>
      <c r="B504" s="49" t="s">
        <v>1096</v>
      </c>
      <c r="C504" s="90" t="s">
        <v>1846</v>
      </c>
      <c r="D504" s="54" t="s">
        <v>22</v>
      </c>
      <c r="E504" s="111">
        <v>5000</v>
      </c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>
        <f t="shared" si="14"/>
        <v>5000</v>
      </c>
    </row>
    <row r="505" spans="1:18" x14ac:dyDescent="0.35">
      <c r="A505" s="5">
        <f t="shared" si="15"/>
        <v>503</v>
      </c>
      <c r="B505" s="49" t="s">
        <v>1098</v>
      </c>
      <c r="C505" s="7" t="s">
        <v>1099</v>
      </c>
      <c r="D505" s="54" t="s">
        <v>169</v>
      </c>
      <c r="E505" s="111">
        <v>0</v>
      </c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>
        <f t="shared" si="14"/>
        <v>0</v>
      </c>
    </row>
    <row r="506" spans="1:18" x14ac:dyDescent="0.35">
      <c r="A506" s="5">
        <f t="shared" si="15"/>
        <v>504</v>
      </c>
      <c r="B506" s="49" t="s">
        <v>1100</v>
      </c>
      <c r="C506" s="144" t="s">
        <v>2081</v>
      </c>
      <c r="D506" s="54" t="s">
        <v>136</v>
      </c>
      <c r="E506" s="111">
        <v>5000</v>
      </c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>
        <f t="shared" si="14"/>
        <v>5000</v>
      </c>
    </row>
    <row r="507" spans="1:18" x14ac:dyDescent="0.35">
      <c r="A507" s="5">
        <f t="shared" si="15"/>
        <v>505</v>
      </c>
      <c r="B507" s="49" t="s">
        <v>1102</v>
      </c>
      <c r="C507" s="144" t="s">
        <v>1948</v>
      </c>
      <c r="D507" s="54" t="s">
        <v>128</v>
      </c>
      <c r="E507" s="111">
        <v>5000</v>
      </c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>
        <f t="shared" si="14"/>
        <v>5000</v>
      </c>
    </row>
    <row r="508" spans="1:18" x14ac:dyDescent="0.35">
      <c r="A508" s="5">
        <f t="shared" si="15"/>
        <v>506</v>
      </c>
      <c r="B508" s="49" t="s">
        <v>1104</v>
      </c>
      <c r="C508" s="144" t="s">
        <v>1863</v>
      </c>
      <c r="D508" s="54" t="s">
        <v>136</v>
      </c>
      <c r="E508" s="111">
        <v>5000</v>
      </c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>
        <f t="shared" si="14"/>
        <v>5000</v>
      </c>
    </row>
    <row r="509" spans="1:18" x14ac:dyDescent="0.35">
      <c r="A509" s="5">
        <f t="shared" si="15"/>
        <v>507</v>
      </c>
      <c r="B509" s="49" t="s">
        <v>1106</v>
      </c>
      <c r="C509" s="7" t="s">
        <v>1107</v>
      </c>
      <c r="D509" s="54" t="s">
        <v>144</v>
      </c>
      <c r="E509" s="111">
        <v>0</v>
      </c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>
        <f t="shared" si="14"/>
        <v>0</v>
      </c>
    </row>
    <row r="510" spans="1:18" x14ac:dyDescent="0.35">
      <c r="A510" s="5">
        <f t="shared" si="15"/>
        <v>508</v>
      </c>
      <c r="B510" s="49" t="s">
        <v>1108</v>
      </c>
      <c r="C510" s="7" t="s">
        <v>1615</v>
      </c>
      <c r="D510" s="54" t="s">
        <v>524</v>
      </c>
      <c r="E510" s="111">
        <v>0</v>
      </c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>
        <f t="shared" si="14"/>
        <v>0</v>
      </c>
    </row>
    <row r="511" spans="1:18" x14ac:dyDescent="0.35">
      <c r="A511" s="5">
        <f t="shared" si="15"/>
        <v>509</v>
      </c>
      <c r="B511" s="49" t="s">
        <v>1110</v>
      </c>
      <c r="C511" s="7" t="s">
        <v>1111</v>
      </c>
      <c r="D511" s="54" t="s">
        <v>751</v>
      </c>
      <c r="E511" s="111">
        <v>0</v>
      </c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>
        <f t="shared" si="14"/>
        <v>0</v>
      </c>
    </row>
    <row r="512" spans="1:18" x14ac:dyDescent="0.35">
      <c r="A512" s="5">
        <f t="shared" si="15"/>
        <v>510</v>
      </c>
      <c r="B512" s="49" t="s">
        <v>1112</v>
      </c>
      <c r="C512" s="7" t="s">
        <v>1628</v>
      </c>
      <c r="D512" s="54" t="s">
        <v>751</v>
      </c>
      <c r="E512" s="111">
        <v>0</v>
      </c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>
        <f t="shared" si="14"/>
        <v>0</v>
      </c>
    </row>
    <row r="513" spans="1:18" x14ac:dyDescent="0.35">
      <c r="A513" s="5">
        <f t="shared" si="15"/>
        <v>511</v>
      </c>
      <c r="B513" s="49" t="s">
        <v>1114</v>
      </c>
      <c r="C513" s="7" t="s">
        <v>1115</v>
      </c>
      <c r="D513" s="54" t="s">
        <v>49</v>
      </c>
      <c r="E513" s="111">
        <v>5000</v>
      </c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>
        <f t="shared" si="14"/>
        <v>5000</v>
      </c>
    </row>
    <row r="514" spans="1:18" x14ac:dyDescent="0.35">
      <c r="A514" s="5">
        <f t="shared" si="15"/>
        <v>512</v>
      </c>
      <c r="B514" s="49" t="s">
        <v>1116</v>
      </c>
      <c r="C514" s="144" t="s">
        <v>2082</v>
      </c>
      <c r="D514" s="54" t="s">
        <v>83</v>
      </c>
      <c r="E514" s="111">
        <v>5000</v>
      </c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>
        <f t="shared" si="14"/>
        <v>5000</v>
      </c>
    </row>
    <row r="515" spans="1:18" x14ac:dyDescent="0.35">
      <c r="A515" s="5">
        <f t="shared" si="15"/>
        <v>513</v>
      </c>
      <c r="B515" s="49" t="s">
        <v>1118</v>
      </c>
      <c r="C515" s="90" t="s">
        <v>2083</v>
      </c>
      <c r="D515" s="54" t="s">
        <v>72</v>
      </c>
      <c r="E515" s="111">
        <v>5000</v>
      </c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>
        <f t="shared" si="14"/>
        <v>5000</v>
      </c>
    </row>
    <row r="516" spans="1:18" x14ac:dyDescent="0.35">
      <c r="A516" s="5">
        <f t="shared" si="15"/>
        <v>514</v>
      </c>
      <c r="B516" s="49" t="s">
        <v>1120</v>
      </c>
      <c r="C516" s="7" t="s">
        <v>1671</v>
      </c>
      <c r="D516" s="54" t="s">
        <v>49</v>
      </c>
      <c r="E516" s="111">
        <v>0</v>
      </c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>
        <f t="shared" ref="R516:R579" si="16">E516+F516+G516+H516+I516+J516+K516+L516+M516+N516+O516+P516+Q516</f>
        <v>0</v>
      </c>
    </row>
    <row r="517" spans="1:18" x14ac:dyDescent="0.35">
      <c r="A517" s="5">
        <f t="shared" ref="A517:A580" si="17">A516+1</f>
        <v>515</v>
      </c>
      <c r="B517" s="49" t="s">
        <v>1122</v>
      </c>
      <c r="C517" s="144" t="s">
        <v>1896</v>
      </c>
      <c r="D517" s="54" t="s">
        <v>136</v>
      </c>
      <c r="E517" s="111">
        <v>5000</v>
      </c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>
        <f t="shared" si="16"/>
        <v>5000</v>
      </c>
    </row>
    <row r="518" spans="1:18" x14ac:dyDescent="0.35">
      <c r="A518" s="5">
        <f t="shared" si="17"/>
        <v>516</v>
      </c>
      <c r="B518" s="49" t="s">
        <v>1124</v>
      </c>
      <c r="C518" s="90" t="s">
        <v>2084</v>
      </c>
      <c r="D518" s="54" t="s">
        <v>116</v>
      </c>
      <c r="E518" s="111">
        <v>5000</v>
      </c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>
        <f t="shared" si="16"/>
        <v>5000</v>
      </c>
    </row>
    <row r="519" spans="1:18" x14ac:dyDescent="0.35">
      <c r="A519" s="5">
        <f t="shared" si="17"/>
        <v>517</v>
      </c>
      <c r="B519" s="49" t="s">
        <v>1126</v>
      </c>
      <c r="C519" s="90" t="s">
        <v>2085</v>
      </c>
      <c r="D519" s="54" t="s">
        <v>303</v>
      </c>
      <c r="E519" s="111">
        <v>5000</v>
      </c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>
        <f t="shared" si="16"/>
        <v>5000</v>
      </c>
    </row>
    <row r="520" spans="1:18" x14ac:dyDescent="0.35">
      <c r="A520" s="5">
        <f t="shared" si="17"/>
        <v>518</v>
      </c>
      <c r="B520" s="49" t="s">
        <v>1128</v>
      </c>
      <c r="C520" s="90" t="s">
        <v>2086</v>
      </c>
      <c r="D520" s="54" t="s">
        <v>72</v>
      </c>
      <c r="E520" s="111">
        <v>5000</v>
      </c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>
        <f t="shared" si="16"/>
        <v>5000</v>
      </c>
    </row>
    <row r="521" spans="1:18" x14ac:dyDescent="0.35">
      <c r="A521" s="5">
        <f t="shared" si="17"/>
        <v>519</v>
      </c>
      <c r="B521" s="49" t="s">
        <v>1130</v>
      </c>
      <c r="C521" s="90" t="s">
        <v>1842</v>
      </c>
      <c r="D521" s="54" t="s">
        <v>19</v>
      </c>
      <c r="E521" s="111">
        <v>5000</v>
      </c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>
        <f t="shared" si="16"/>
        <v>5000</v>
      </c>
    </row>
    <row r="522" spans="1:18" x14ac:dyDescent="0.35">
      <c r="A522" s="5">
        <f t="shared" si="17"/>
        <v>520</v>
      </c>
      <c r="B522" s="49" t="s">
        <v>1132</v>
      </c>
      <c r="C522" s="144" t="s">
        <v>2087</v>
      </c>
      <c r="D522" s="54" t="s">
        <v>19</v>
      </c>
      <c r="E522" s="111">
        <v>5000</v>
      </c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>
        <f t="shared" si="16"/>
        <v>5000</v>
      </c>
    </row>
    <row r="523" spans="1:18" x14ac:dyDescent="0.35">
      <c r="A523" s="5">
        <f t="shared" si="17"/>
        <v>521</v>
      </c>
      <c r="B523" s="49" t="s">
        <v>1134</v>
      </c>
      <c r="C523" s="144" t="s">
        <v>2088</v>
      </c>
      <c r="D523" s="54" t="s">
        <v>198</v>
      </c>
      <c r="E523" s="111">
        <v>5000</v>
      </c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>
        <f t="shared" si="16"/>
        <v>5000</v>
      </c>
    </row>
    <row r="524" spans="1:18" x14ac:dyDescent="0.35">
      <c r="A524" s="5">
        <f t="shared" si="17"/>
        <v>522</v>
      </c>
      <c r="B524" s="49" t="s">
        <v>1136</v>
      </c>
      <c r="C524" s="146" t="s">
        <v>2089</v>
      </c>
      <c r="D524" s="54" t="s">
        <v>123</v>
      </c>
      <c r="E524" s="111">
        <v>0</v>
      </c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>
        <f t="shared" si="16"/>
        <v>0</v>
      </c>
    </row>
    <row r="525" spans="1:18" x14ac:dyDescent="0.35">
      <c r="A525" s="5">
        <f t="shared" si="17"/>
        <v>523</v>
      </c>
      <c r="B525" s="49" t="s">
        <v>1138</v>
      </c>
      <c r="C525" s="90" t="s">
        <v>2090</v>
      </c>
      <c r="D525" s="54" t="s">
        <v>95</v>
      </c>
      <c r="E525" s="111">
        <v>0</v>
      </c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>
        <f t="shared" si="16"/>
        <v>0</v>
      </c>
    </row>
    <row r="526" spans="1:18" x14ac:dyDescent="0.35">
      <c r="A526" s="5">
        <f t="shared" si="17"/>
        <v>524</v>
      </c>
      <c r="B526" s="49" t="s">
        <v>1140</v>
      </c>
      <c r="C526" s="7" t="s">
        <v>1141</v>
      </c>
      <c r="D526" s="54" t="s">
        <v>49</v>
      </c>
      <c r="E526" s="111">
        <v>5000</v>
      </c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>
        <f t="shared" si="16"/>
        <v>5000</v>
      </c>
    </row>
    <row r="527" spans="1:18" x14ac:dyDescent="0.35">
      <c r="A527" s="5">
        <f t="shared" si="17"/>
        <v>525</v>
      </c>
      <c r="B527" s="49" t="s">
        <v>1142</v>
      </c>
      <c r="C527" s="7" t="s">
        <v>1143</v>
      </c>
      <c r="D527" s="54" t="s">
        <v>49</v>
      </c>
      <c r="E527" s="111">
        <v>0</v>
      </c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>
        <f t="shared" si="16"/>
        <v>0</v>
      </c>
    </row>
    <row r="528" spans="1:18" x14ac:dyDescent="0.35">
      <c r="A528" s="5">
        <f t="shared" si="17"/>
        <v>526</v>
      </c>
      <c r="B528" s="49" t="s">
        <v>1144</v>
      </c>
      <c r="C528" s="7" t="s">
        <v>1145</v>
      </c>
      <c r="D528" s="54" t="s">
        <v>303</v>
      </c>
      <c r="E528" s="111">
        <v>0</v>
      </c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>
        <f t="shared" si="16"/>
        <v>0</v>
      </c>
    </row>
    <row r="529" spans="1:18" x14ac:dyDescent="0.35">
      <c r="A529" s="5">
        <f t="shared" si="17"/>
        <v>527</v>
      </c>
      <c r="B529" s="49" t="s">
        <v>1146</v>
      </c>
      <c r="C529" s="7" t="s">
        <v>1147</v>
      </c>
      <c r="D529" s="54" t="s">
        <v>698</v>
      </c>
      <c r="E529" s="111">
        <v>0</v>
      </c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>
        <f t="shared" si="16"/>
        <v>0</v>
      </c>
    </row>
    <row r="530" spans="1:18" x14ac:dyDescent="0.35">
      <c r="A530" s="5">
        <f t="shared" si="17"/>
        <v>528</v>
      </c>
      <c r="B530" s="49" t="s">
        <v>1148</v>
      </c>
      <c r="C530" s="7" t="s">
        <v>1149</v>
      </c>
      <c r="D530" s="54" t="s">
        <v>60</v>
      </c>
      <c r="E530" s="111">
        <v>0</v>
      </c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>
        <f t="shared" si="16"/>
        <v>0</v>
      </c>
    </row>
    <row r="531" spans="1:18" x14ac:dyDescent="0.35">
      <c r="A531" s="5">
        <f t="shared" si="17"/>
        <v>529</v>
      </c>
      <c r="B531" s="49" t="s">
        <v>1150</v>
      </c>
      <c r="C531" s="144" t="s">
        <v>1878</v>
      </c>
      <c r="D531" s="54" t="s">
        <v>98</v>
      </c>
      <c r="E531" s="111">
        <v>5000</v>
      </c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>
        <f t="shared" si="16"/>
        <v>5000</v>
      </c>
    </row>
    <row r="532" spans="1:18" x14ac:dyDescent="0.35">
      <c r="A532" s="5">
        <f t="shared" si="17"/>
        <v>530</v>
      </c>
      <c r="B532" s="49" t="s">
        <v>1152</v>
      </c>
      <c r="C532" s="7" t="s">
        <v>1153</v>
      </c>
      <c r="D532" s="54" t="s">
        <v>300</v>
      </c>
      <c r="E532" s="111">
        <v>0</v>
      </c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>
        <f t="shared" si="16"/>
        <v>0</v>
      </c>
    </row>
    <row r="533" spans="1:18" x14ac:dyDescent="0.35">
      <c r="A533" s="5">
        <f t="shared" si="17"/>
        <v>531</v>
      </c>
      <c r="B533" s="49" t="s">
        <v>1154</v>
      </c>
      <c r="C533" s="90" t="s">
        <v>2091</v>
      </c>
      <c r="D533" s="54" t="s">
        <v>25</v>
      </c>
      <c r="E533" s="111">
        <v>5000</v>
      </c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>
        <f t="shared" si="16"/>
        <v>5000</v>
      </c>
    </row>
    <row r="534" spans="1:18" x14ac:dyDescent="0.35">
      <c r="A534" s="5">
        <f t="shared" si="17"/>
        <v>532</v>
      </c>
      <c r="B534" s="49" t="s">
        <v>1156</v>
      </c>
      <c r="C534" s="90" t="s">
        <v>1762</v>
      </c>
      <c r="D534" s="54" t="s">
        <v>318</v>
      </c>
      <c r="E534" s="111">
        <v>5000</v>
      </c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>
        <f t="shared" si="16"/>
        <v>5000</v>
      </c>
    </row>
    <row r="535" spans="1:18" x14ac:dyDescent="0.35">
      <c r="A535" s="5">
        <f t="shared" si="17"/>
        <v>533</v>
      </c>
      <c r="B535" s="49" t="s">
        <v>1158</v>
      </c>
      <c r="C535" s="7" t="s">
        <v>1159</v>
      </c>
      <c r="D535" s="54" t="s">
        <v>19</v>
      </c>
      <c r="E535" s="111">
        <v>5000</v>
      </c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>
        <f t="shared" si="16"/>
        <v>5000</v>
      </c>
    </row>
    <row r="536" spans="1:18" x14ac:dyDescent="0.35">
      <c r="A536" s="5">
        <f t="shared" si="17"/>
        <v>534</v>
      </c>
      <c r="B536" s="49" t="s">
        <v>1160</v>
      </c>
      <c r="C536" s="101" t="s">
        <v>2092</v>
      </c>
      <c r="D536" s="54" t="s">
        <v>303</v>
      </c>
      <c r="E536" s="111">
        <v>5000</v>
      </c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>
        <f t="shared" si="16"/>
        <v>5000</v>
      </c>
    </row>
    <row r="537" spans="1:18" x14ac:dyDescent="0.35">
      <c r="A537" s="5">
        <f t="shared" si="17"/>
        <v>535</v>
      </c>
      <c r="B537" s="49" t="s">
        <v>1162</v>
      </c>
      <c r="C537" s="7" t="s">
        <v>1629</v>
      </c>
      <c r="D537" s="54" t="s">
        <v>318</v>
      </c>
      <c r="E537" s="111">
        <v>0</v>
      </c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>
        <f t="shared" si="16"/>
        <v>0</v>
      </c>
    </row>
    <row r="538" spans="1:18" x14ac:dyDescent="0.35">
      <c r="A538" s="5">
        <f t="shared" si="17"/>
        <v>536</v>
      </c>
      <c r="B538" s="49" t="s">
        <v>1164</v>
      </c>
      <c r="C538" s="21" t="s">
        <v>2093</v>
      </c>
      <c r="D538" s="54" t="s">
        <v>136</v>
      </c>
      <c r="E538" s="111">
        <v>0</v>
      </c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>
        <f t="shared" si="16"/>
        <v>0</v>
      </c>
    </row>
    <row r="539" spans="1:18" x14ac:dyDescent="0.35">
      <c r="A539" s="5">
        <f t="shared" si="17"/>
        <v>537</v>
      </c>
      <c r="B539" s="49" t="s">
        <v>1166</v>
      </c>
      <c r="C539" s="127" t="s">
        <v>2094</v>
      </c>
      <c r="D539" s="54" t="s">
        <v>751</v>
      </c>
      <c r="E539" s="111">
        <v>0</v>
      </c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>
        <f t="shared" si="16"/>
        <v>0</v>
      </c>
    </row>
    <row r="540" spans="1:18" x14ac:dyDescent="0.35">
      <c r="A540" s="5">
        <f t="shared" si="17"/>
        <v>538</v>
      </c>
      <c r="B540" s="49" t="s">
        <v>1168</v>
      </c>
      <c r="C540" s="7" t="s">
        <v>1169</v>
      </c>
      <c r="D540" s="54" t="s">
        <v>113</v>
      </c>
      <c r="E540" s="111">
        <v>0</v>
      </c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>
        <f t="shared" si="16"/>
        <v>0</v>
      </c>
    </row>
    <row r="541" spans="1:18" x14ac:dyDescent="0.35">
      <c r="A541" s="5">
        <f t="shared" si="17"/>
        <v>539</v>
      </c>
      <c r="B541" s="49" t="s">
        <v>1170</v>
      </c>
      <c r="C541" s="144" t="s">
        <v>2095</v>
      </c>
      <c r="D541" s="54" t="s">
        <v>136</v>
      </c>
      <c r="E541" s="111">
        <v>0</v>
      </c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>
        <f t="shared" si="16"/>
        <v>0</v>
      </c>
    </row>
    <row r="542" spans="1:18" x14ac:dyDescent="0.35">
      <c r="A542" s="5">
        <f t="shared" si="17"/>
        <v>540</v>
      </c>
      <c r="B542" s="49" t="s">
        <v>1172</v>
      </c>
      <c r="C542" s="144" t="s">
        <v>2096</v>
      </c>
      <c r="D542" s="54" t="s">
        <v>136</v>
      </c>
      <c r="E542" s="111">
        <v>50000</v>
      </c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>
        <f t="shared" si="16"/>
        <v>50000</v>
      </c>
    </row>
    <row r="543" spans="1:18" x14ac:dyDescent="0.35">
      <c r="A543" s="5">
        <f t="shared" si="17"/>
        <v>541</v>
      </c>
      <c r="B543" s="49" t="s">
        <v>1174</v>
      </c>
      <c r="C543" s="144" t="s">
        <v>1899</v>
      </c>
      <c r="D543" s="54" t="s">
        <v>374</v>
      </c>
      <c r="E543" s="111">
        <v>0</v>
      </c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>
        <f t="shared" si="16"/>
        <v>0</v>
      </c>
    </row>
    <row r="544" spans="1:18" x14ac:dyDescent="0.35">
      <c r="A544" s="5">
        <f t="shared" si="17"/>
        <v>542</v>
      </c>
      <c r="B544" s="49" t="s">
        <v>1176</v>
      </c>
      <c r="C544" s="90" t="s">
        <v>2097</v>
      </c>
      <c r="D544" s="54" t="s">
        <v>295</v>
      </c>
      <c r="E544" s="111">
        <v>200000</v>
      </c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>
        <f t="shared" si="16"/>
        <v>200000</v>
      </c>
    </row>
    <row r="545" spans="1:18" x14ac:dyDescent="0.35">
      <c r="A545" s="5">
        <f t="shared" si="17"/>
        <v>543</v>
      </c>
      <c r="B545" s="49" t="s">
        <v>1178</v>
      </c>
      <c r="C545" s="7" t="s">
        <v>1179</v>
      </c>
      <c r="D545" s="54" t="s">
        <v>136</v>
      </c>
      <c r="E545" s="111">
        <v>0</v>
      </c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>
        <f t="shared" si="16"/>
        <v>0</v>
      </c>
    </row>
    <row r="546" spans="1:18" x14ac:dyDescent="0.35">
      <c r="A546" s="5">
        <f t="shared" si="17"/>
        <v>544</v>
      </c>
      <c r="B546" s="49" t="s">
        <v>1180</v>
      </c>
      <c r="C546" s="144" t="s">
        <v>2098</v>
      </c>
      <c r="D546" s="54" t="s">
        <v>136</v>
      </c>
      <c r="E546" s="111">
        <v>200000</v>
      </c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>
        <f t="shared" si="16"/>
        <v>200000</v>
      </c>
    </row>
    <row r="547" spans="1:18" x14ac:dyDescent="0.35">
      <c r="A547" s="5">
        <f t="shared" si="17"/>
        <v>545</v>
      </c>
      <c r="B547" s="49" t="s">
        <v>1182</v>
      </c>
      <c r="C547" s="7" t="s">
        <v>1183</v>
      </c>
      <c r="D547" s="54" t="s">
        <v>136</v>
      </c>
      <c r="E547" s="111">
        <v>0</v>
      </c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>
        <f t="shared" si="16"/>
        <v>0</v>
      </c>
    </row>
    <row r="548" spans="1:18" x14ac:dyDescent="0.35">
      <c r="A548" s="5">
        <f t="shared" si="17"/>
        <v>546</v>
      </c>
      <c r="B548" s="49" t="s">
        <v>1184</v>
      </c>
      <c r="C548" s="159" t="s">
        <v>2099</v>
      </c>
      <c r="D548" s="54" t="s">
        <v>136</v>
      </c>
      <c r="E548" s="111">
        <v>0</v>
      </c>
      <c r="F548" s="58"/>
      <c r="G548" s="58"/>
      <c r="H548" s="58"/>
      <c r="I548" s="58"/>
      <c r="J548" s="58"/>
      <c r="K548" s="58">
        <v>200000</v>
      </c>
      <c r="L548" s="58"/>
      <c r="M548" s="58"/>
      <c r="N548" s="58"/>
      <c r="O548" s="58"/>
      <c r="P548" s="58"/>
      <c r="Q548" s="58"/>
      <c r="R548" s="58">
        <f t="shared" si="16"/>
        <v>200000</v>
      </c>
    </row>
    <row r="549" spans="1:18" x14ac:dyDescent="0.35">
      <c r="A549" s="5">
        <f t="shared" si="17"/>
        <v>547</v>
      </c>
      <c r="B549" s="49" t="s">
        <v>1186</v>
      </c>
      <c r="C549" s="7" t="s">
        <v>1187</v>
      </c>
      <c r="D549" s="54" t="s">
        <v>169</v>
      </c>
      <c r="E549" s="111">
        <v>0</v>
      </c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>
        <f t="shared" si="16"/>
        <v>0</v>
      </c>
    </row>
    <row r="550" spans="1:18" x14ac:dyDescent="0.35">
      <c r="A550" s="5">
        <f t="shared" si="17"/>
        <v>548</v>
      </c>
      <c r="B550" s="49" t="s">
        <v>1188</v>
      </c>
      <c r="C550" s="144" t="s">
        <v>2100</v>
      </c>
      <c r="D550" s="54" t="s">
        <v>136</v>
      </c>
      <c r="E550" s="111">
        <v>200000</v>
      </c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>
        <f t="shared" si="16"/>
        <v>200000</v>
      </c>
    </row>
    <row r="551" spans="1:18" x14ac:dyDescent="0.35">
      <c r="A551" s="5">
        <f t="shared" si="17"/>
        <v>549</v>
      </c>
      <c r="B551" s="49" t="s">
        <v>1190</v>
      </c>
      <c r="C551" s="90" t="s">
        <v>2101</v>
      </c>
      <c r="D551" s="54" t="s">
        <v>303</v>
      </c>
      <c r="E551" s="111">
        <v>200000</v>
      </c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>
        <f t="shared" si="16"/>
        <v>200000</v>
      </c>
    </row>
    <row r="552" spans="1:18" x14ac:dyDescent="0.35">
      <c r="A552" s="5">
        <f t="shared" si="17"/>
        <v>550</v>
      </c>
      <c r="B552" s="49" t="s">
        <v>1192</v>
      </c>
      <c r="C552" s="159" t="s">
        <v>2102</v>
      </c>
      <c r="D552" s="54" t="s">
        <v>136</v>
      </c>
      <c r="E552" s="111">
        <v>0</v>
      </c>
      <c r="F552" s="58"/>
      <c r="G552" s="58"/>
      <c r="H552" s="58"/>
      <c r="I552" s="58"/>
      <c r="J552" s="58"/>
      <c r="K552" s="58"/>
      <c r="L552" s="58"/>
      <c r="M552" s="58">
        <v>200000</v>
      </c>
      <c r="N552" s="58"/>
      <c r="O552" s="58"/>
      <c r="P552" s="58"/>
      <c r="Q552" s="58"/>
      <c r="R552" s="58">
        <f t="shared" si="16"/>
        <v>200000</v>
      </c>
    </row>
    <row r="553" spans="1:18" x14ac:dyDescent="0.35">
      <c r="A553" s="5">
        <f t="shared" si="17"/>
        <v>551</v>
      </c>
      <c r="B553" s="49" t="s">
        <v>1194</v>
      </c>
      <c r="C553" s="7" t="s">
        <v>1195</v>
      </c>
      <c r="D553" s="54" t="s">
        <v>136</v>
      </c>
      <c r="E553" s="111">
        <v>200000</v>
      </c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>
        <f t="shared" si="16"/>
        <v>200000</v>
      </c>
    </row>
    <row r="554" spans="1:18" x14ac:dyDescent="0.35">
      <c r="A554" s="5">
        <f t="shared" si="17"/>
        <v>552</v>
      </c>
      <c r="B554" s="49" t="s">
        <v>1196</v>
      </c>
      <c r="C554" s="7" t="s">
        <v>1197</v>
      </c>
      <c r="D554" s="54" t="s">
        <v>136</v>
      </c>
      <c r="E554" s="111">
        <v>200000</v>
      </c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>
        <f t="shared" si="16"/>
        <v>200000</v>
      </c>
    </row>
    <row r="555" spans="1:18" x14ac:dyDescent="0.35">
      <c r="A555" s="5">
        <f t="shared" si="17"/>
        <v>553</v>
      </c>
      <c r="B555" s="49" t="s">
        <v>1198</v>
      </c>
      <c r="C555" s="7" t="s">
        <v>1199</v>
      </c>
      <c r="D555" s="54" t="s">
        <v>136</v>
      </c>
      <c r="E555" s="111">
        <v>0</v>
      </c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>
        <f t="shared" si="16"/>
        <v>0</v>
      </c>
    </row>
    <row r="556" spans="1:18" x14ac:dyDescent="0.35">
      <c r="A556" s="5">
        <f t="shared" si="17"/>
        <v>554</v>
      </c>
      <c r="B556" s="49" t="s">
        <v>1200</v>
      </c>
      <c r="C556" s="7" t="s">
        <v>1201</v>
      </c>
      <c r="D556" s="54" t="s">
        <v>141</v>
      </c>
      <c r="E556" s="111">
        <v>0</v>
      </c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>
        <f t="shared" si="16"/>
        <v>0</v>
      </c>
    </row>
    <row r="557" spans="1:18" x14ac:dyDescent="0.35">
      <c r="A557" s="5">
        <f t="shared" si="17"/>
        <v>555</v>
      </c>
      <c r="B557" s="49" t="s">
        <v>1202</v>
      </c>
      <c r="C557" s="7" t="s">
        <v>2192</v>
      </c>
      <c r="D557" s="54" t="s">
        <v>49</v>
      </c>
      <c r="E557" s="111">
        <v>200000</v>
      </c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>
        <f t="shared" si="16"/>
        <v>200000</v>
      </c>
    </row>
    <row r="558" spans="1:18" x14ac:dyDescent="0.35">
      <c r="A558" s="5">
        <f t="shared" si="17"/>
        <v>556</v>
      </c>
      <c r="B558" s="49" t="s">
        <v>1204</v>
      </c>
      <c r="C558" s="7" t="s">
        <v>1205</v>
      </c>
      <c r="D558" s="54" t="s">
        <v>128</v>
      </c>
      <c r="E558" s="111">
        <v>200000</v>
      </c>
      <c r="F558" s="58"/>
      <c r="G558" s="58"/>
      <c r="H558" s="58">
        <v>-200000</v>
      </c>
      <c r="I558" s="58"/>
      <c r="J558" s="58"/>
      <c r="K558" s="58"/>
      <c r="L558" s="58"/>
      <c r="M558" s="58"/>
      <c r="N558" s="58"/>
      <c r="O558" s="58"/>
      <c r="P558" s="58"/>
      <c r="Q558" s="58"/>
      <c r="R558" s="58">
        <f t="shared" si="16"/>
        <v>0</v>
      </c>
    </row>
    <row r="559" spans="1:18" x14ac:dyDescent="0.35">
      <c r="A559" s="5">
        <f t="shared" si="17"/>
        <v>557</v>
      </c>
      <c r="B559" s="49" t="s">
        <v>1206</v>
      </c>
      <c r="C559" s="7" t="s">
        <v>1207</v>
      </c>
      <c r="D559" s="54" t="s">
        <v>49</v>
      </c>
      <c r="E559" s="111">
        <v>0</v>
      </c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>
        <f t="shared" si="16"/>
        <v>0</v>
      </c>
    </row>
    <row r="560" spans="1:18" x14ac:dyDescent="0.35">
      <c r="A560" s="5">
        <f t="shared" si="17"/>
        <v>558</v>
      </c>
      <c r="B560" s="49" t="s">
        <v>1208</v>
      </c>
      <c r="C560" s="144" t="s">
        <v>1932</v>
      </c>
      <c r="D560" s="54" t="s">
        <v>128</v>
      </c>
      <c r="E560" s="111">
        <v>200000</v>
      </c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>
        <f t="shared" si="16"/>
        <v>200000</v>
      </c>
    </row>
    <row r="561" spans="1:18" x14ac:dyDescent="0.35">
      <c r="A561" s="5">
        <f t="shared" si="17"/>
        <v>559</v>
      </c>
      <c r="B561" s="49" t="s">
        <v>1210</v>
      </c>
      <c r="C561" s="7" t="s">
        <v>1211</v>
      </c>
      <c r="D561" s="54" t="s">
        <v>128</v>
      </c>
      <c r="E561" s="111">
        <v>200000</v>
      </c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>
        <f t="shared" si="16"/>
        <v>200000</v>
      </c>
    </row>
    <row r="562" spans="1:18" x14ac:dyDescent="0.35">
      <c r="A562" s="5">
        <f t="shared" si="17"/>
        <v>560</v>
      </c>
      <c r="B562" s="49" t="s">
        <v>1212</v>
      </c>
      <c r="C562" s="144" t="s">
        <v>2103</v>
      </c>
      <c r="D562" s="54" t="s">
        <v>1214</v>
      </c>
      <c r="E562" s="111">
        <v>200000</v>
      </c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>
        <f t="shared" si="16"/>
        <v>200000</v>
      </c>
    </row>
    <row r="563" spans="1:18" x14ac:dyDescent="0.35">
      <c r="A563" s="5">
        <f t="shared" si="17"/>
        <v>561</v>
      </c>
      <c r="B563" s="49" t="s">
        <v>1215</v>
      </c>
      <c r="C563" s="7" t="s">
        <v>1216</v>
      </c>
      <c r="D563" s="54" t="s">
        <v>49</v>
      </c>
      <c r="E563" s="111">
        <v>0</v>
      </c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>
        <f t="shared" si="16"/>
        <v>0</v>
      </c>
    </row>
    <row r="564" spans="1:18" x14ac:dyDescent="0.35">
      <c r="A564" s="5">
        <f t="shared" si="17"/>
        <v>562</v>
      </c>
      <c r="B564" s="49" t="s">
        <v>1217</v>
      </c>
      <c r="C564" s="7" t="s">
        <v>1218</v>
      </c>
      <c r="D564" s="54" t="s">
        <v>49</v>
      </c>
      <c r="E564" s="111">
        <v>0</v>
      </c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>
        <f t="shared" si="16"/>
        <v>0</v>
      </c>
    </row>
    <row r="565" spans="1:18" x14ac:dyDescent="0.35">
      <c r="A565" s="5">
        <f t="shared" si="17"/>
        <v>563</v>
      </c>
      <c r="B565" s="49" t="s">
        <v>1219</v>
      </c>
      <c r="C565" s="7" t="s">
        <v>1220</v>
      </c>
      <c r="D565" s="54" t="s">
        <v>49</v>
      </c>
      <c r="E565" s="111">
        <v>0</v>
      </c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>
        <f t="shared" si="16"/>
        <v>0</v>
      </c>
    </row>
    <row r="566" spans="1:18" x14ac:dyDescent="0.35">
      <c r="A566" s="5">
        <f t="shared" si="17"/>
        <v>564</v>
      </c>
      <c r="B566" s="49" t="s">
        <v>1221</v>
      </c>
      <c r="C566" s="7" t="s">
        <v>1222</v>
      </c>
      <c r="D566" s="54" t="s">
        <v>49</v>
      </c>
      <c r="E566" s="111">
        <v>0</v>
      </c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>
        <f t="shared" si="16"/>
        <v>0</v>
      </c>
    </row>
    <row r="567" spans="1:18" x14ac:dyDescent="0.35">
      <c r="A567" s="5">
        <f t="shared" si="17"/>
        <v>565</v>
      </c>
      <c r="B567" s="49" t="s">
        <v>1223</v>
      </c>
      <c r="C567" s="7" t="s">
        <v>1224</v>
      </c>
      <c r="D567" s="54" t="s">
        <v>49</v>
      </c>
      <c r="E567" s="111">
        <v>0</v>
      </c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>
        <f t="shared" si="16"/>
        <v>0</v>
      </c>
    </row>
    <row r="568" spans="1:18" x14ac:dyDescent="0.35">
      <c r="A568" s="5">
        <f t="shared" si="17"/>
        <v>566</v>
      </c>
      <c r="B568" s="49" t="s">
        <v>1225</v>
      </c>
      <c r="C568" s="7" t="s">
        <v>1226</v>
      </c>
      <c r="D568" s="54" t="s">
        <v>698</v>
      </c>
      <c r="E568" s="111">
        <v>0</v>
      </c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>
        <f t="shared" si="16"/>
        <v>0</v>
      </c>
    </row>
    <row r="569" spans="1:18" x14ac:dyDescent="0.35">
      <c r="A569" s="5">
        <f t="shared" si="17"/>
        <v>567</v>
      </c>
      <c r="B569" s="49" t="s">
        <v>1227</v>
      </c>
      <c r="C569" s="7" t="s">
        <v>1228</v>
      </c>
      <c r="D569" s="54" t="s">
        <v>72</v>
      </c>
      <c r="E569" s="111">
        <v>0</v>
      </c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>
        <f t="shared" si="16"/>
        <v>0</v>
      </c>
    </row>
    <row r="570" spans="1:18" x14ac:dyDescent="0.35">
      <c r="A570" s="5">
        <f t="shared" si="17"/>
        <v>568</v>
      </c>
      <c r="B570" s="49" t="s">
        <v>1229</v>
      </c>
      <c r="C570" s="144" t="s">
        <v>1877</v>
      </c>
      <c r="D570" s="54" t="s">
        <v>231</v>
      </c>
      <c r="E570" s="111">
        <v>200000</v>
      </c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>
        <f t="shared" si="16"/>
        <v>200000</v>
      </c>
    </row>
    <row r="571" spans="1:18" x14ac:dyDescent="0.35">
      <c r="A571" s="5">
        <f t="shared" si="17"/>
        <v>569</v>
      </c>
      <c r="B571" s="49" t="s">
        <v>1231</v>
      </c>
      <c r="C571" s="7" t="s">
        <v>1232</v>
      </c>
      <c r="D571" s="54" t="s">
        <v>46</v>
      </c>
      <c r="E571" s="111">
        <v>0</v>
      </c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>
        <f t="shared" si="16"/>
        <v>0</v>
      </c>
    </row>
    <row r="572" spans="1:18" x14ac:dyDescent="0.35">
      <c r="A572" s="5">
        <f t="shared" si="17"/>
        <v>570</v>
      </c>
      <c r="B572" s="49" t="s">
        <v>1233</v>
      </c>
      <c r="C572" s="7" t="s">
        <v>2191</v>
      </c>
      <c r="D572" s="54" t="s">
        <v>95</v>
      </c>
      <c r="E572" s="111">
        <v>200000</v>
      </c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>
        <f t="shared" si="16"/>
        <v>200000</v>
      </c>
    </row>
    <row r="573" spans="1:18" x14ac:dyDescent="0.35">
      <c r="A573" s="5">
        <f t="shared" si="17"/>
        <v>571</v>
      </c>
      <c r="B573" s="49" t="s">
        <v>1235</v>
      </c>
      <c r="C573" s="7" t="s">
        <v>1236</v>
      </c>
      <c r="D573" s="54" t="s">
        <v>77</v>
      </c>
      <c r="E573" s="111">
        <v>200000</v>
      </c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>
        <f t="shared" si="16"/>
        <v>200000</v>
      </c>
    </row>
    <row r="574" spans="1:18" x14ac:dyDescent="0.35">
      <c r="A574" s="5">
        <f t="shared" si="17"/>
        <v>572</v>
      </c>
      <c r="B574" s="49" t="s">
        <v>1237</v>
      </c>
      <c r="C574" s="90" t="s">
        <v>2104</v>
      </c>
      <c r="D574" s="54" t="s">
        <v>98</v>
      </c>
      <c r="E574" s="111">
        <v>200000</v>
      </c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>
        <f t="shared" si="16"/>
        <v>200000</v>
      </c>
    </row>
    <row r="575" spans="1:18" x14ac:dyDescent="0.35">
      <c r="A575" s="5">
        <f t="shared" si="17"/>
        <v>573</v>
      </c>
      <c r="B575" s="49" t="s">
        <v>1238</v>
      </c>
      <c r="C575" s="144" t="s">
        <v>2105</v>
      </c>
      <c r="D575" s="54" t="s">
        <v>83</v>
      </c>
      <c r="E575" s="111">
        <v>200000</v>
      </c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>
        <f t="shared" si="16"/>
        <v>200000</v>
      </c>
    </row>
    <row r="576" spans="1:18" x14ac:dyDescent="0.35">
      <c r="A576" s="5">
        <f t="shared" si="17"/>
        <v>574</v>
      </c>
      <c r="B576" s="49" t="s">
        <v>1240</v>
      </c>
      <c r="C576" s="90" t="s">
        <v>2106</v>
      </c>
      <c r="D576" s="54" t="s">
        <v>72</v>
      </c>
      <c r="E576" s="111">
        <v>200000</v>
      </c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>
        <f t="shared" si="16"/>
        <v>200000</v>
      </c>
    </row>
    <row r="577" spans="1:18" x14ac:dyDescent="0.35">
      <c r="A577" s="5">
        <f t="shared" si="17"/>
        <v>575</v>
      </c>
      <c r="B577" s="49" t="s">
        <v>1242</v>
      </c>
      <c r="C577" s="144" t="s">
        <v>2107</v>
      </c>
      <c r="D577" s="54" t="s">
        <v>270</v>
      </c>
      <c r="E577" s="111">
        <v>200000</v>
      </c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>
        <f t="shared" si="16"/>
        <v>200000</v>
      </c>
    </row>
    <row r="578" spans="1:18" x14ac:dyDescent="0.35">
      <c r="A578" s="5">
        <f t="shared" si="17"/>
        <v>576</v>
      </c>
      <c r="B578" s="49" t="s">
        <v>1244</v>
      </c>
      <c r="C578" s="7" t="s">
        <v>1245</v>
      </c>
      <c r="D578" s="54" t="s">
        <v>49</v>
      </c>
      <c r="E578" s="111">
        <v>0</v>
      </c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>
        <f t="shared" si="16"/>
        <v>0</v>
      </c>
    </row>
    <row r="579" spans="1:18" x14ac:dyDescent="0.35">
      <c r="A579" s="5">
        <f t="shared" si="17"/>
        <v>577</v>
      </c>
      <c r="B579" s="49" t="s">
        <v>1246</v>
      </c>
      <c r="C579" s="7" t="s">
        <v>1247</v>
      </c>
      <c r="D579" s="54" t="s">
        <v>95</v>
      </c>
      <c r="E579" s="111">
        <v>200000</v>
      </c>
      <c r="F579" s="58">
        <v>-200000</v>
      </c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>
        <f t="shared" si="16"/>
        <v>0</v>
      </c>
    </row>
    <row r="580" spans="1:18" x14ac:dyDescent="0.35">
      <c r="A580" s="5">
        <f t="shared" si="17"/>
        <v>578</v>
      </c>
      <c r="B580" s="49" t="s">
        <v>1248</v>
      </c>
      <c r="C580" s="7" t="s">
        <v>1249</v>
      </c>
      <c r="D580" s="54" t="s">
        <v>77</v>
      </c>
      <c r="E580" s="111">
        <v>0</v>
      </c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>
        <f t="shared" ref="R580:R642" si="18">E580+F580+G580+H580+I580+J580+K580+L580+M580+N580+O580+P580+Q580</f>
        <v>0</v>
      </c>
    </row>
    <row r="581" spans="1:18" x14ac:dyDescent="0.35">
      <c r="A581" s="5">
        <f t="shared" ref="A581:A644" si="19">A580+1</f>
        <v>579</v>
      </c>
      <c r="B581" s="49" t="s">
        <v>1250</v>
      </c>
      <c r="C581" s="7" t="s">
        <v>1251</v>
      </c>
      <c r="D581" s="54" t="s">
        <v>77</v>
      </c>
      <c r="E581" s="111">
        <v>0</v>
      </c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>
        <f t="shared" si="18"/>
        <v>0</v>
      </c>
    </row>
    <row r="582" spans="1:18" x14ac:dyDescent="0.35">
      <c r="A582" s="5">
        <f t="shared" si="19"/>
        <v>580</v>
      </c>
      <c r="B582" s="49" t="s">
        <v>1252</v>
      </c>
      <c r="C582" s="7" t="s">
        <v>1253</v>
      </c>
      <c r="D582" s="54" t="s">
        <v>60</v>
      </c>
      <c r="E582" s="111">
        <v>0</v>
      </c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>
        <f t="shared" si="18"/>
        <v>0</v>
      </c>
    </row>
    <row r="583" spans="1:18" x14ac:dyDescent="0.35">
      <c r="A583" s="5">
        <f t="shared" si="19"/>
        <v>581</v>
      </c>
      <c r="B583" s="49" t="s">
        <v>1254</v>
      </c>
      <c r="C583" s="7" t="s">
        <v>1255</v>
      </c>
      <c r="D583" s="54" t="s">
        <v>131</v>
      </c>
      <c r="E583" s="111">
        <v>200000</v>
      </c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>
        <v>-200000</v>
      </c>
      <c r="Q583" s="58"/>
      <c r="R583" s="58">
        <f t="shared" si="18"/>
        <v>0</v>
      </c>
    </row>
    <row r="584" spans="1:18" x14ac:dyDescent="0.35">
      <c r="A584" s="5">
        <f t="shared" si="19"/>
        <v>582</v>
      </c>
      <c r="B584" s="49" t="s">
        <v>1256</v>
      </c>
      <c r="C584" s="7" t="s">
        <v>1257</v>
      </c>
      <c r="D584" s="54" t="s">
        <v>123</v>
      </c>
      <c r="E584" s="111">
        <v>200000</v>
      </c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>
        <f t="shared" si="18"/>
        <v>200000</v>
      </c>
    </row>
    <row r="585" spans="1:18" x14ac:dyDescent="0.35">
      <c r="A585" s="5">
        <f t="shared" si="19"/>
        <v>583</v>
      </c>
      <c r="B585" s="49" t="s">
        <v>1258</v>
      </c>
      <c r="C585" s="7" t="s">
        <v>1259</v>
      </c>
      <c r="D585" s="54" t="s">
        <v>72</v>
      </c>
      <c r="E585" s="111">
        <v>0</v>
      </c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>
        <f t="shared" si="18"/>
        <v>0</v>
      </c>
    </row>
    <row r="586" spans="1:18" x14ac:dyDescent="0.35">
      <c r="A586" s="5">
        <f t="shared" si="19"/>
        <v>584</v>
      </c>
      <c r="B586" s="49" t="s">
        <v>1260</v>
      </c>
      <c r="C586" s="7" t="s">
        <v>1261</v>
      </c>
      <c r="D586" s="54" t="s">
        <v>60</v>
      </c>
      <c r="E586" s="111">
        <v>0</v>
      </c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>
        <f t="shared" si="18"/>
        <v>0</v>
      </c>
    </row>
    <row r="587" spans="1:18" x14ac:dyDescent="0.35">
      <c r="A587" s="5">
        <f t="shared" si="19"/>
        <v>585</v>
      </c>
      <c r="B587" s="49" t="s">
        <v>1262</v>
      </c>
      <c r="C587" s="7" t="s">
        <v>1263</v>
      </c>
      <c r="D587" s="54" t="s">
        <v>49</v>
      </c>
      <c r="E587" s="111">
        <v>0</v>
      </c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>
        <f t="shared" si="18"/>
        <v>0</v>
      </c>
    </row>
    <row r="588" spans="1:18" x14ac:dyDescent="0.35">
      <c r="A588" s="5">
        <f t="shared" si="19"/>
        <v>586</v>
      </c>
      <c r="B588" s="49" t="s">
        <v>1264</v>
      </c>
      <c r="C588" s="144" t="s">
        <v>1949</v>
      </c>
      <c r="D588" s="54" t="s">
        <v>128</v>
      </c>
      <c r="E588" s="111">
        <v>150000</v>
      </c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>
        <f t="shared" si="18"/>
        <v>150000</v>
      </c>
    </row>
    <row r="589" spans="1:18" x14ac:dyDescent="0.35">
      <c r="A589" s="5">
        <f t="shared" si="19"/>
        <v>587</v>
      </c>
      <c r="B589" s="49" t="s">
        <v>1266</v>
      </c>
      <c r="C589" s="144" t="s">
        <v>1886</v>
      </c>
      <c r="D589" s="54" t="s">
        <v>136</v>
      </c>
      <c r="E589" s="111">
        <v>150000</v>
      </c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>
        <f t="shared" si="18"/>
        <v>150000</v>
      </c>
    </row>
    <row r="590" spans="1:18" x14ac:dyDescent="0.35">
      <c r="A590" s="5">
        <f t="shared" si="19"/>
        <v>588</v>
      </c>
      <c r="B590" s="49" t="s">
        <v>1268</v>
      </c>
      <c r="C590" s="144" t="s">
        <v>1868</v>
      </c>
      <c r="D590" s="54" t="s">
        <v>136</v>
      </c>
      <c r="E590" s="111">
        <v>150000</v>
      </c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>
        <f t="shared" si="18"/>
        <v>150000</v>
      </c>
    </row>
    <row r="591" spans="1:18" x14ac:dyDescent="0.35">
      <c r="A591" s="5">
        <f t="shared" si="19"/>
        <v>589</v>
      </c>
      <c r="B591" s="49" t="s">
        <v>1270</v>
      </c>
      <c r="C591" s="144" t="s">
        <v>1876</v>
      </c>
      <c r="D591" s="54" t="s">
        <v>136</v>
      </c>
      <c r="E591" s="111">
        <v>150000</v>
      </c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>
        <f t="shared" si="18"/>
        <v>150000</v>
      </c>
    </row>
    <row r="592" spans="1:18" x14ac:dyDescent="0.35">
      <c r="A592" s="5">
        <f t="shared" si="19"/>
        <v>590</v>
      </c>
      <c r="B592" s="49" t="s">
        <v>1272</v>
      </c>
      <c r="C592" s="144" t="s">
        <v>2108</v>
      </c>
      <c r="D592" s="54" t="s">
        <v>429</v>
      </c>
      <c r="E592" s="111">
        <v>200000</v>
      </c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>
        <f t="shared" si="18"/>
        <v>200000</v>
      </c>
    </row>
    <row r="593" spans="1:18" x14ac:dyDescent="0.35">
      <c r="A593" s="5">
        <f t="shared" si="19"/>
        <v>591</v>
      </c>
      <c r="B593" s="49" t="s">
        <v>1274</v>
      </c>
      <c r="C593" s="7" t="s">
        <v>1672</v>
      </c>
      <c r="D593" s="54" t="s">
        <v>46</v>
      </c>
      <c r="E593" s="111">
        <v>0</v>
      </c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>
        <f t="shared" si="18"/>
        <v>0</v>
      </c>
    </row>
    <row r="594" spans="1:18" x14ac:dyDescent="0.35">
      <c r="A594" s="5">
        <f t="shared" si="19"/>
        <v>592</v>
      </c>
      <c r="B594" s="49" t="s">
        <v>1276</v>
      </c>
      <c r="C594" s="7" t="s">
        <v>1277</v>
      </c>
      <c r="D594" s="54" t="s">
        <v>128</v>
      </c>
      <c r="E594" s="111">
        <v>0</v>
      </c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>
        <f t="shared" si="18"/>
        <v>0</v>
      </c>
    </row>
    <row r="595" spans="1:18" x14ac:dyDescent="0.35">
      <c r="A595" s="5">
        <f t="shared" si="19"/>
        <v>593</v>
      </c>
      <c r="B595" s="49" t="s">
        <v>1278</v>
      </c>
      <c r="C595" s="7" t="s">
        <v>1844</v>
      </c>
      <c r="D595" s="54" t="s">
        <v>406</v>
      </c>
      <c r="E595" s="111">
        <v>200000</v>
      </c>
      <c r="F595" s="58"/>
      <c r="G595" s="58"/>
      <c r="H595" s="58"/>
      <c r="I595" s="58"/>
      <c r="J595" s="58"/>
      <c r="K595" s="58"/>
      <c r="L595" s="58"/>
      <c r="M595" s="58">
        <v>-200000</v>
      </c>
      <c r="N595" s="58"/>
      <c r="O595" s="58"/>
      <c r="P595" s="58"/>
      <c r="Q595" s="58"/>
      <c r="R595" s="58">
        <f t="shared" si="18"/>
        <v>0</v>
      </c>
    </row>
    <row r="596" spans="1:18" x14ac:dyDescent="0.35">
      <c r="A596" s="5">
        <f t="shared" si="19"/>
        <v>594</v>
      </c>
      <c r="B596" s="49" t="s">
        <v>1280</v>
      </c>
      <c r="C596" s="7" t="s">
        <v>1281</v>
      </c>
      <c r="D596" s="54" t="s">
        <v>41</v>
      </c>
      <c r="E596" s="111">
        <v>0</v>
      </c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>
        <f t="shared" si="18"/>
        <v>0</v>
      </c>
    </row>
    <row r="597" spans="1:18" x14ac:dyDescent="0.35">
      <c r="A597" s="5">
        <f t="shared" si="19"/>
        <v>595</v>
      </c>
      <c r="B597" s="49" t="s">
        <v>1282</v>
      </c>
      <c r="C597" s="144" t="s">
        <v>1927</v>
      </c>
      <c r="D597" s="54" t="s">
        <v>128</v>
      </c>
      <c r="E597" s="111">
        <v>150000</v>
      </c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>
        <f t="shared" si="18"/>
        <v>150000</v>
      </c>
    </row>
    <row r="598" spans="1:18" x14ac:dyDescent="0.35">
      <c r="A598" s="5">
        <f t="shared" si="19"/>
        <v>596</v>
      </c>
      <c r="B598" s="49" t="s">
        <v>1284</v>
      </c>
      <c r="C598" s="7" t="s">
        <v>1673</v>
      </c>
      <c r="D598" s="54" t="s">
        <v>60</v>
      </c>
      <c r="E598" s="111">
        <v>0</v>
      </c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>
        <f t="shared" si="18"/>
        <v>0</v>
      </c>
    </row>
    <row r="599" spans="1:18" x14ac:dyDescent="0.35">
      <c r="A599" s="5">
        <f t="shared" si="19"/>
        <v>597</v>
      </c>
      <c r="B599" s="49" t="s">
        <v>1288</v>
      </c>
      <c r="C599" s="159" t="s">
        <v>2109</v>
      </c>
      <c r="D599" s="54" t="s">
        <v>136</v>
      </c>
      <c r="E599" s="111">
        <v>200000</v>
      </c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>
        <f t="shared" si="18"/>
        <v>200000</v>
      </c>
    </row>
    <row r="600" spans="1:18" x14ac:dyDescent="0.35">
      <c r="A600" s="5">
        <f t="shared" si="19"/>
        <v>598</v>
      </c>
      <c r="B600" s="49" t="s">
        <v>1290</v>
      </c>
      <c r="C600" s="7" t="s">
        <v>1291</v>
      </c>
      <c r="D600" s="54" t="s">
        <v>169</v>
      </c>
      <c r="E600" s="111">
        <v>0</v>
      </c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>
        <f t="shared" si="18"/>
        <v>0</v>
      </c>
    </row>
    <row r="601" spans="1:18" x14ac:dyDescent="0.35">
      <c r="A601" s="5">
        <f t="shared" si="19"/>
        <v>599</v>
      </c>
      <c r="B601" s="49" t="s">
        <v>1292</v>
      </c>
      <c r="C601" s="7" t="s">
        <v>1293</v>
      </c>
      <c r="D601" s="54" t="s">
        <v>169</v>
      </c>
      <c r="E601" s="111">
        <v>0</v>
      </c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>
        <f t="shared" si="18"/>
        <v>0</v>
      </c>
    </row>
    <row r="602" spans="1:18" x14ac:dyDescent="0.35">
      <c r="A602" s="5">
        <f t="shared" si="19"/>
        <v>600</v>
      </c>
      <c r="B602" s="49" t="s">
        <v>1294</v>
      </c>
      <c r="C602" s="136" t="s">
        <v>1295</v>
      </c>
      <c r="D602" s="54" t="s">
        <v>136</v>
      </c>
      <c r="E602" s="111">
        <v>0</v>
      </c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>
        <f t="shared" si="18"/>
        <v>0</v>
      </c>
    </row>
    <row r="603" spans="1:18" x14ac:dyDescent="0.35">
      <c r="A603" s="5">
        <f t="shared" si="19"/>
        <v>601</v>
      </c>
      <c r="B603" s="49" t="s">
        <v>1296</v>
      </c>
      <c r="C603" s="7" t="s">
        <v>1297</v>
      </c>
      <c r="D603" s="54" t="s">
        <v>136</v>
      </c>
      <c r="E603" s="111">
        <v>0</v>
      </c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>
        <f t="shared" si="18"/>
        <v>0</v>
      </c>
    </row>
    <row r="604" spans="1:18" x14ac:dyDescent="0.35">
      <c r="A604" s="5">
        <f t="shared" si="19"/>
        <v>602</v>
      </c>
      <c r="B604" s="49" t="s">
        <v>1298</v>
      </c>
      <c r="C604" s="7" t="s">
        <v>1299</v>
      </c>
      <c r="D604" s="54" t="s">
        <v>136</v>
      </c>
      <c r="E604" s="111">
        <v>0</v>
      </c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>
        <f t="shared" si="18"/>
        <v>0</v>
      </c>
    </row>
    <row r="605" spans="1:18" x14ac:dyDescent="0.35">
      <c r="A605" s="5">
        <f t="shared" si="19"/>
        <v>603</v>
      </c>
      <c r="B605" s="49" t="s">
        <v>1300</v>
      </c>
      <c r="C605" s="7" t="s">
        <v>1301</v>
      </c>
      <c r="D605" s="54" t="s">
        <v>136</v>
      </c>
      <c r="E605" s="111">
        <v>200000</v>
      </c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>
        <f t="shared" si="18"/>
        <v>200000</v>
      </c>
    </row>
    <row r="606" spans="1:18" x14ac:dyDescent="0.35">
      <c r="A606" s="5">
        <f t="shared" si="19"/>
        <v>604</v>
      </c>
      <c r="B606" s="49" t="s">
        <v>1302</v>
      </c>
      <c r="C606" s="7" t="s">
        <v>1303</v>
      </c>
      <c r="D606" s="54" t="s">
        <v>169</v>
      </c>
      <c r="E606" s="111">
        <v>0</v>
      </c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>
        <f t="shared" si="18"/>
        <v>0</v>
      </c>
    </row>
    <row r="607" spans="1:18" x14ac:dyDescent="0.35">
      <c r="A607" s="5">
        <f t="shared" si="19"/>
        <v>605</v>
      </c>
      <c r="B607" s="49" t="s">
        <v>1304</v>
      </c>
      <c r="C607" s="144" t="s">
        <v>2110</v>
      </c>
      <c r="D607" s="54" t="s">
        <v>136</v>
      </c>
      <c r="E607" s="111">
        <v>200000</v>
      </c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>
        <f t="shared" si="18"/>
        <v>200000</v>
      </c>
    </row>
    <row r="608" spans="1:18" x14ac:dyDescent="0.35">
      <c r="A608" s="5">
        <f t="shared" si="19"/>
        <v>606</v>
      </c>
      <c r="B608" s="49" t="s">
        <v>1306</v>
      </c>
      <c r="C608" s="101" t="s">
        <v>2111</v>
      </c>
      <c r="D608" s="54" t="s">
        <v>136</v>
      </c>
      <c r="E608" s="111">
        <v>200000</v>
      </c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>
        <f t="shared" si="18"/>
        <v>200000</v>
      </c>
    </row>
    <row r="609" spans="1:18" x14ac:dyDescent="0.35">
      <c r="A609" s="5">
        <f t="shared" si="19"/>
        <v>607</v>
      </c>
      <c r="B609" s="49" t="s">
        <v>1308</v>
      </c>
      <c r="C609" s="144" t="s">
        <v>2112</v>
      </c>
      <c r="D609" s="54" t="s">
        <v>19</v>
      </c>
      <c r="E609" s="111">
        <v>0</v>
      </c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>
        <f t="shared" si="18"/>
        <v>0</v>
      </c>
    </row>
    <row r="610" spans="1:18" x14ac:dyDescent="0.35">
      <c r="A610" s="5">
        <f t="shared" si="19"/>
        <v>608</v>
      </c>
      <c r="B610" s="49" t="s">
        <v>1310</v>
      </c>
      <c r="C610" s="144" t="s">
        <v>1869</v>
      </c>
      <c r="D610" s="54" t="s">
        <v>136</v>
      </c>
      <c r="E610" s="111">
        <v>200000</v>
      </c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>
        <f t="shared" si="18"/>
        <v>200000</v>
      </c>
    </row>
    <row r="611" spans="1:18" x14ac:dyDescent="0.35">
      <c r="A611" s="5">
        <f t="shared" si="19"/>
        <v>609</v>
      </c>
      <c r="B611" s="49" t="s">
        <v>1312</v>
      </c>
      <c r="C611" s="90" t="s">
        <v>2113</v>
      </c>
      <c r="D611" s="54" t="s">
        <v>72</v>
      </c>
      <c r="E611" s="111">
        <v>0</v>
      </c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>
        <f t="shared" si="18"/>
        <v>0</v>
      </c>
    </row>
    <row r="612" spans="1:18" x14ac:dyDescent="0.35">
      <c r="A612" s="5">
        <f t="shared" si="19"/>
        <v>610</v>
      </c>
      <c r="B612" s="49" t="s">
        <v>1314</v>
      </c>
      <c r="C612" s="144" t="s">
        <v>2114</v>
      </c>
      <c r="D612" s="54" t="s">
        <v>77</v>
      </c>
      <c r="E612" s="111">
        <v>0</v>
      </c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>
        <f t="shared" si="18"/>
        <v>0</v>
      </c>
    </row>
    <row r="613" spans="1:18" x14ac:dyDescent="0.35">
      <c r="A613" s="5">
        <f t="shared" si="19"/>
        <v>611</v>
      </c>
      <c r="B613" s="49" t="s">
        <v>1316</v>
      </c>
      <c r="C613" s="136" t="s">
        <v>1317</v>
      </c>
      <c r="D613" s="54" t="s">
        <v>136</v>
      </c>
      <c r="E613" s="111">
        <v>0</v>
      </c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>
        <f t="shared" si="18"/>
        <v>0</v>
      </c>
    </row>
    <row r="614" spans="1:18" x14ac:dyDescent="0.35">
      <c r="A614" s="5">
        <f t="shared" si="19"/>
        <v>612</v>
      </c>
      <c r="B614" s="49" t="s">
        <v>1318</v>
      </c>
      <c r="C614" s="7" t="s">
        <v>1711</v>
      </c>
      <c r="D614" s="54" t="s">
        <v>367</v>
      </c>
      <c r="E614" s="111">
        <v>0</v>
      </c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>
        <f t="shared" si="18"/>
        <v>0</v>
      </c>
    </row>
    <row r="615" spans="1:18" x14ac:dyDescent="0.35">
      <c r="A615" s="5">
        <f t="shared" si="19"/>
        <v>613</v>
      </c>
      <c r="B615" s="49" t="s">
        <v>1320</v>
      </c>
      <c r="C615" s="7" t="s">
        <v>1674</v>
      </c>
      <c r="D615" s="54" t="s">
        <v>41</v>
      </c>
      <c r="E615" s="111">
        <v>0</v>
      </c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>
        <f t="shared" si="18"/>
        <v>0</v>
      </c>
    </row>
    <row r="616" spans="1:18" x14ac:dyDescent="0.35">
      <c r="A616" s="5">
        <f t="shared" si="19"/>
        <v>614</v>
      </c>
      <c r="B616" s="49" t="s">
        <v>1322</v>
      </c>
      <c r="C616" s="7" t="s">
        <v>1675</v>
      </c>
      <c r="D616" s="54" t="s">
        <v>131</v>
      </c>
      <c r="E616" s="111">
        <v>0</v>
      </c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>
        <f t="shared" si="18"/>
        <v>0</v>
      </c>
    </row>
    <row r="617" spans="1:18" x14ac:dyDescent="0.35">
      <c r="A617" s="5">
        <f t="shared" si="19"/>
        <v>615</v>
      </c>
      <c r="B617" s="49" t="s">
        <v>1324</v>
      </c>
      <c r="C617" s="7" t="s">
        <v>1325</v>
      </c>
      <c r="D617" s="54" t="s">
        <v>41</v>
      </c>
      <c r="E617" s="111">
        <v>0</v>
      </c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>
        <f t="shared" si="18"/>
        <v>0</v>
      </c>
    </row>
    <row r="618" spans="1:18" x14ac:dyDescent="0.35">
      <c r="A618" s="5">
        <f t="shared" si="19"/>
        <v>616</v>
      </c>
      <c r="B618" s="49" t="s">
        <v>1326</v>
      </c>
      <c r="C618" s="7" t="s">
        <v>1676</v>
      </c>
      <c r="D618" s="54" t="s">
        <v>367</v>
      </c>
      <c r="E618" s="111">
        <v>0</v>
      </c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>
        <f t="shared" si="18"/>
        <v>0</v>
      </c>
    </row>
    <row r="619" spans="1:18" x14ac:dyDescent="0.35">
      <c r="A619" s="5">
        <f t="shared" si="19"/>
        <v>617</v>
      </c>
      <c r="B619" s="49" t="s">
        <v>1328</v>
      </c>
      <c r="C619" s="7" t="s">
        <v>1677</v>
      </c>
      <c r="D619" s="54" t="s">
        <v>367</v>
      </c>
      <c r="E619" s="111">
        <v>0</v>
      </c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>
        <f t="shared" si="18"/>
        <v>0</v>
      </c>
    </row>
    <row r="620" spans="1:18" x14ac:dyDescent="0.35">
      <c r="A620" s="5">
        <f t="shared" si="19"/>
        <v>618</v>
      </c>
      <c r="B620" s="49" t="s">
        <v>1330</v>
      </c>
      <c r="C620" s="7" t="s">
        <v>1331</v>
      </c>
      <c r="D620" s="54" t="s">
        <v>49</v>
      </c>
      <c r="E620" s="111">
        <v>0</v>
      </c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>
        <f t="shared" si="18"/>
        <v>0</v>
      </c>
    </row>
    <row r="621" spans="1:18" x14ac:dyDescent="0.35">
      <c r="A621" s="5">
        <f t="shared" si="19"/>
        <v>619</v>
      </c>
      <c r="B621" s="49" t="s">
        <v>1332</v>
      </c>
      <c r="C621" s="7" t="s">
        <v>1333</v>
      </c>
      <c r="D621" s="54" t="s">
        <v>49</v>
      </c>
      <c r="E621" s="111">
        <v>50000</v>
      </c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>
        <f>E621+F621+G621+H621+I621+J621+K621+L621+M621+N621+O621+P621+Q621</f>
        <v>50000</v>
      </c>
    </row>
    <row r="622" spans="1:18" x14ac:dyDescent="0.35">
      <c r="A622" s="5">
        <f t="shared" si="19"/>
        <v>620</v>
      </c>
      <c r="B622" s="49" t="s">
        <v>1334</v>
      </c>
      <c r="C622" s="7" t="s">
        <v>1335</v>
      </c>
      <c r="D622" s="54" t="s">
        <v>49</v>
      </c>
      <c r="E622" s="111">
        <v>0</v>
      </c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>
        <f t="shared" si="18"/>
        <v>0</v>
      </c>
    </row>
    <row r="623" spans="1:18" x14ac:dyDescent="0.35">
      <c r="A623" s="5">
        <f t="shared" si="19"/>
        <v>621</v>
      </c>
      <c r="B623" s="49" t="s">
        <v>1336</v>
      </c>
      <c r="C623" s="7" t="s">
        <v>1337</v>
      </c>
      <c r="D623" s="54" t="s">
        <v>113</v>
      </c>
      <c r="E623" s="111">
        <v>0</v>
      </c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>
        <f t="shared" si="18"/>
        <v>0</v>
      </c>
    </row>
    <row r="624" spans="1:18" x14ac:dyDescent="0.35">
      <c r="A624" s="5">
        <f t="shared" si="19"/>
        <v>622</v>
      </c>
      <c r="B624" s="49" t="s">
        <v>1338</v>
      </c>
      <c r="C624" s="7" t="s">
        <v>1339</v>
      </c>
      <c r="D624" s="54" t="s">
        <v>136</v>
      </c>
      <c r="E624" s="111">
        <v>200000</v>
      </c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>
        <f t="shared" si="18"/>
        <v>200000</v>
      </c>
    </row>
    <row r="625" spans="1:18" x14ac:dyDescent="0.35">
      <c r="A625" s="5">
        <f t="shared" si="19"/>
        <v>623</v>
      </c>
      <c r="B625" s="49" t="s">
        <v>1340</v>
      </c>
      <c r="C625" s="21" t="s">
        <v>2115</v>
      </c>
      <c r="D625" s="54" t="s">
        <v>136</v>
      </c>
      <c r="E625" s="111">
        <v>200000</v>
      </c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>
        <f t="shared" si="18"/>
        <v>200000</v>
      </c>
    </row>
    <row r="626" spans="1:18" x14ac:dyDescent="0.35">
      <c r="A626" s="5">
        <f t="shared" si="19"/>
        <v>624</v>
      </c>
      <c r="B626" s="49" t="s">
        <v>1342</v>
      </c>
      <c r="C626" s="21" t="s">
        <v>2116</v>
      </c>
      <c r="D626" s="54" t="s">
        <v>136</v>
      </c>
      <c r="E626" s="111">
        <v>200000</v>
      </c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>
        <f t="shared" si="18"/>
        <v>200000</v>
      </c>
    </row>
    <row r="627" spans="1:18" x14ac:dyDescent="0.35">
      <c r="A627" s="5">
        <f t="shared" si="19"/>
        <v>625</v>
      </c>
      <c r="B627" s="49" t="s">
        <v>1344</v>
      </c>
      <c r="C627" s="144" t="s">
        <v>2117</v>
      </c>
      <c r="D627" s="54" t="s">
        <v>98</v>
      </c>
      <c r="E627" s="111">
        <v>0</v>
      </c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>
        <f t="shared" si="18"/>
        <v>0</v>
      </c>
    </row>
    <row r="628" spans="1:18" x14ac:dyDescent="0.35">
      <c r="A628" s="5">
        <f t="shared" si="19"/>
        <v>626</v>
      </c>
      <c r="B628" s="49" t="s">
        <v>1346</v>
      </c>
      <c r="C628" s="144" t="s">
        <v>2118</v>
      </c>
      <c r="D628" s="54" t="s">
        <v>324</v>
      </c>
      <c r="E628" s="111">
        <v>0</v>
      </c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>
        <f t="shared" si="18"/>
        <v>0</v>
      </c>
    </row>
    <row r="629" spans="1:18" x14ac:dyDescent="0.35">
      <c r="A629" s="5">
        <f t="shared" si="19"/>
        <v>627</v>
      </c>
      <c r="B629" s="49" t="s">
        <v>1348</v>
      </c>
      <c r="C629" s="144" t="s">
        <v>2119</v>
      </c>
      <c r="D629" s="54" t="s">
        <v>77</v>
      </c>
      <c r="E629" s="111">
        <v>0</v>
      </c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>
        <f t="shared" si="18"/>
        <v>0</v>
      </c>
    </row>
    <row r="630" spans="1:18" x14ac:dyDescent="0.35">
      <c r="A630" s="5">
        <f t="shared" si="19"/>
        <v>628</v>
      </c>
      <c r="B630" s="49" t="s">
        <v>1350</v>
      </c>
      <c r="C630" s="7" t="s">
        <v>1351</v>
      </c>
      <c r="D630" s="54" t="s">
        <v>11</v>
      </c>
      <c r="E630" s="111">
        <v>0</v>
      </c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>
        <f t="shared" si="18"/>
        <v>0</v>
      </c>
    </row>
    <row r="631" spans="1:18" x14ac:dyDescent="0.35">
      <c r="A631" s="5">
        <f t="shared" si="19"/>
        <v>629</v>
      </c>
      <c r="B631" s="49" t="s">
        <v>1352</v>
      </c>
      <c r="C631" s="7" t="s">
        <v>1678</v>
      </c>
      <c r="D631" s="54" t="s">
        <v>11</v>
      </c>
      <c r="E631" s="111">
        <v>0</v>
      </c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>
        <f t="shared" si="18"/>
        <v>0</v>
      </c>
    </row>
    <row r="632" spans="1:18" x14ac:dyDescent="0.35">
      <c r="A632" s="5">
        <f t="shared" si="19"/>
        <v>630</v>
      </c>
      <c r="B632" s="49" t="s">
        <v>1354</v>
      </c>
      <c r="C632" s="7" t="s">
        <v>1710</v>
      </c>
      <c r="D632" s="54" t="s">
        <v>11</v>
      </c>
      <c r="E632" s="111">
        <v>0</v>
      </c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>
        <f t="shared" si="18"/>
        <v>0</v>
      </c>
    </row>
    <row r="633" spans="1:18" x14ac:dyDescent="0.35">
      <c r="A633" s="5">
        <f t="shared" si="19"/>
        <v>631</v>
      </c>
      <c r="B633" s="49" t="s">
        <v>1356</v>
      </c>
      <c r="C633" s="7" t="s">
        <v>1357</v>
      </c>
      <c r="D633" s="54" t="s">
        <v>11</v>
      </c>
      <c r="E633" s="111">
        <v>0</v>
      </c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>
        <f t="shared" si="18"/>
        <v>0</v>
      </c>
    </row>
    <row r="634" spans="1:18" x14ac:dyDescent="0.35">
      <c r="A634" s="5">
        <f t="shared" si="19"/>
        <v>632</v>
      </c>
      <c r="B634" s="49" t="s">
        <v>1358</v>
      </c>
      <c r="C634" s="144" t="s">
        <v>2120</v>
      </c>
      <c r="D634" s="54" t="s">
        <v>374</v>
      </c>
      <c r="E634" s="111">
        <v>0</v>
      </c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>
        <f t="shared" si="18"/>
        <v>0</v>
      </c>
    </row>
    <row r="635" spans="1:18" x14ac:dyDescent="0.35">
      <c r="A635" s="5">
        <f t="shared" si="19"/>
        <v>633</v>
      </c>
      <c r="B635" s="49" t="s">
        <v>1360</v>
      </c>
      <c r="C635" s="144" t="s">
        <v>1862</v>
      </c>
      <c r="D635" s="54" t="s">
        <v>429</v>
      </c>
      <c r="E635" s="111">
        <v>0</v>
      </c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>
        <f t="shared" si="18"/>
        <v>0</v>
      </c>
    </row>
    <row r="636" spans="1:18" x14ac:dyDescent="0.35">
      <c r="A636" s="5">
        <f t="shared" si="19"/>
        <v>634</v>
      </c>
      <c r="B636" s="49" t="s">
        <v>1362</v>
      </c>
      <c r="C636" s="144" t="s">
        <v>2121</v>
      </c>
      <c r="D636" s="54" t="s">
        <v>429</v>
      </c>
      <c r="E636" s="111">
        <v>0</v>
      </c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>
        <f t="shared" si="18"/>
        <v>0</v>
      </c>
    </row>
    <row r="637" spans="1:18" x14ac:dyDescent="0.35">
      <c r="A637" s="5">
        <f t="shared" si="19"/>
        <v>635</v>
      </c>
      <c r="B637" s="49" t="s">
        <v>1364</v>
      </c>
      <c r="C637" s="144" t="s">
        <v>2122</v>
      </c>
      <c r="D637" s="54" t="s">
        <v>429</v>
      </c>
      <c r="E637" s="111">
        <v>0</v>
      </c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>
        <f t="shared" si="18"/>
        <v>0</v>
      </c>
    </row>
    <row r="638" spans="1:18" x14ac:dyDescent="0.35">
      <c r="A638" s="5">
        <f t="shared" si="19"/>
        <v>636</v>
      </c>
      <c r="B638" s="49" t="s">
        <v>1366</v>
      </c>
      <c r="C638" s="144" t="s">
        <v>2123</v>
      </c>
      <c r="D638" s="54" t="s">
        <v>429</v>
      </c>
      <c r="E638" s="111">
        <v>0</v>
      </c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>
        <f t="shared" si="18"/>
        <v>0</v>
      </c>
    </row>
    <row r="639" spans="1:18" x14ac:dyDescent="0.35">
      <c r="A639" s="5">
        <f t="shared" si="19"/>
        <v>637</v>
      </c>
      <c r="B639" s="49" t="s">
        <v>1368</v>
      </c>
      <c r="C639" s="144" t="s">
        <v>2124</v>
      </c>
      <c r="D639" s="54" t="s">
        <v>429</v>
      </c>
      <c r="E639" s="111">
        <v>0</v>
      </c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>
        <f t="shared" si="18"/>
        <v>0</v>
      </c>
    </row>
    <row r="640" spans="1:18" x14ac:dyDescent="0.35">
      <c r="A640" s="5">
        <f t="shared" si="19"/>
        <v>638</v>
      </c>
      <c r="B640" s="49" t="s">
        <v>1370</v>
      </c>
      <c r="C640" s="144" t="s">
        <v>1918</v>
      </c>
      <c r="D640" s="54" t="s">
        <v>429</v>
      </c>
      <c r="E640" s="111">
        <v>0</v>
      </c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>
        <f t="shared" si="18"/>
        <v>0</v>
      </c>
    </row>
    <row r="641" spans="1:18" x14ac:dyDescent="0.35">
      <c r="A641" s="5">
        <f t="shared" si="19"/>
        <v>639</v>
      </c>
      <c r="B641" s="49" t="s">
        <v>1372</v>
      </c>
      <c r="C641" s="144" t="s">
        <v>2125</v>
      </c>
      <c r="D641" s="54" t="s">
        <v>429</v>
      </c>
      <c r="E641" s="111">
        <v>0</v>
      </c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>
        <f t="shared" si="18"/>
        <v>0</v>
      </c>
    </row>
    <row r="642" spans="1:18" x14ac:dyDescent="0.35">
      <c r="A642" s="5">
        <f t="shared" si="19"/>
        <v>640</v>
      </c>
      <c r="B642" s="49" t="s">
        <v>1374</v>
      </c>
      <c r="C642" s="144" t="s">
        <v>1897</v>
      </c>
      <c r="D642" s="54" t="s">
        <v>98</v>
      </c>
      <c r="E642" s="111">
        <v>0</v>
      </c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>
        <f t="shared" si="18"/>
        <v>0</v>
      </c>
    </row>
    <row r="643" spans="1:18" x14ac:dyDescent="0.35">
      <c r="A643" s="5">
        <f t="shared" si="19"/>
        <v>641</v>
      </c>
      <c r="B643" s="49" t="s">
        <v>1376</v>
      </c>
      <c r="C643" s="90" t="s">
        <v>1843</v>
      </c>
      <c r="D643" s="54" t="s">
        <v>22</v>
      </c>
      <c r="E643" s="111">
        <v>200000</v>
      </c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>
        <f t="shared" ref="R643:R706" si="20">E643+F643+G643+H643+I643+J643+K643+L643+M643+N643+O643+P643+Q643</f>
        <v>200000</v>
      </c>
    </row>
    <row r="644" spans="1:18" x14ac:dyDescent="0.35">
      <c r="A644" s="5">
        <f t="shared" si="19"/>
        <v>642</v>
      </c>
      <c r="B644" s="49" t="s">
        <v>1378</v>
      </c>
      <c r="C644" s="7" t="s">
        <v>1379</v>
      </c>
      <c r="D644" s="54" t="s">
        <v>303</v>
      </c>
      <c r="E644" s="111">
        <v>0</v>
      </c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>
        <f t="shared" si="20"/>
        <v>0</v>
      </c>
    </row>
    <row r="645" spans="1:18" x14ac:dyDescent="0.35">
      <c r="A645" s="5">
        <f t="shared" ref="A645:A708" si="21">A644+1</f>
        <v>643</v>
      </c>
      <c r="B645" s="49" t="s">
        <v>1380</v>
      </c>
      <c r="C645" s="7" t="s">
        <v>1381</v>
      </c>
      <c r="D645" s="54" t="s">
        <v>49</v>
      </c>
      <c r="E645" s="111">
        <v>0</v>
      </c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>
        <f t="shared" si="20"/>
        <v>0</v>
      </c>
    </row>
    <row r="646" spans="1:18" x14ac:dyDescent="0.35">
      <c r="A646" s="5">
        <f t="shared" si="21"/>
        <v>644</v>
      </c>
      <c r="B646" s="49" t="s">
        <v>1382</v>
      </c>
      <c r="C646" s="7" t="s">
        <v>1383</v>
      </c>
      <c r="D646" s="54" t="s">
        <v>49</v>
      </c>
      <c r="E646" s="111">
        <v>0</v>
      </c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>
        <f t="shared" si="20"/>
        <v>0</v>
      </c>
    </row>
    <row r="647" spans="1:18" x14ac:dyDescent="0.35">
      <c r="A647" s="5">
        <f t="shared" si="21"/>
        <v>645</v>
      </c>
      <c r="B647" s="49" t="s">
        <v>1384</v>
      </c>
      <c r="C647" s="151" t="s">
        <v>2190</v>
      </c>
      <c r="D647" s="54" t="s">
        <v>128</v>
      </c>
      <c r="E647" s="111">
        <v>200000</v>
      </c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>
        <f t="shared" si="20"/>
        <v>200000</v>
      </c>
    </row>
    <row r="648" spans="1:18" x14ac:dyDescent="0.35">
      <c r="A648" s="5">
        <f t="shared" si="21"/>
        <v>646</v>
      </c>
      <c r="B648" s="49" t="s">
        <v>1386</v>
      </c>
      <c r="C648" s="151" t="s">
        <v>2126</v>
      </c>
      <c r="D648" s="54" t="s">
        <v>128</v>
      </c>
      <c r="E648" s="111">
        <v>0</v>
      </c>
      <c r="F648" s="58"/>
      <c r="G648" s="58">
        <v>200000</v>
      </c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>
        <f t="shared" si="20"/>
        <v>200000</v>
      </c>
    </row>
    <row r="649" spans="1:18" x14ac:dyDescent="0.35">
      <c r="A649" s="5">
        <f t="shared" si="21"/>
        <v>647</v>
      </c>
      <c r="B649" s="49" t="s">
        <v>1388</v>
      </c>
      <c r="C649" s="7" t="s">
        <v>1389</v>
      </c>
      <c r="D649" s="54" t="s">
        <v>128</v>
      </c>
      <c r="E649" s="111">
        <v>0</v>
      </c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>
        <f t="shared" si="20"/>
        <v>0</v>
      </c>
    </row>
    <row r="650" spans="1:18" x14ac:dyDescent="0.35">
      <c r="A650" s="5">
        <f t="shared" si="21"/>
        <v>648</v>
      </c>
      <c r="B650" s="49" t="s">
        <v>1390</v>
      </c>
      <c r="C650" s="7" t="s">
        <v>1391</v>
      </c>
      <c r="D650" s="54" t="s">
        <v>49</v>
      </c>
      <c r="E650" s="111">
        <v>0</v>
      </c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>
        <f t="shared" si="20"/>
        <v>0</v>
      </c>
    </row>
    <row r="651" spans="1:18" x14ac:dyDescent="0.35">
      <c r="A651" s="5">
        <f t="shared" si="21"/>
        <v>649</v>
      </c>
      <c r="B651" s="49" t="s">
        <v>1392</v>
      </c>
      <c r="C651" s="7" t="s">
        <v>1709</v>
      </c>
      <c r="D651" s="54" t="s">
        <v>49</v>
      </c>
      <c r="E651" s="111">
        <v>0</v>
      </c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>
        <f t="shared" si="20"/>
        <v>0</v>
      </c>
    </row>
    <row r="652" spans="1:18" x14ac:dyDescent="0.35">
      <c r="A652" s="5">
        <f t="shared" si="21"/>
        <v>650</v>
      </c>
      <c r="B652" s="49" t="s">
        <v>1394</v>
      </c>
      <c r="C652" s="136" t="s">
        <v>1395</v>
      </c>
      <c r="D652" s="54" t="s">
        <v>136</v>
      </c>
      <c r="E652" s="111">
        <v>0</v>
      </c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>
        <f t="shared" si="20"/>
        <v>0</v>
      </c>
    </row>
    <row r="653" spans="1:18" x14ac:dyDescent="0.35">
      <c r="A653" s="5">
        <f t="shared" si="21"/>
        <v>651</v>
      </c>
      <c r="B653" s="49" t="s">
        <v>1396</v>
      </c>
      <c r="C653" s="136" t="s">
        <v>1397</v>
      </c>
      <c r="D653" s="54" t="s">
        <v>41</v>
      </c>
      <c r="E653" s="111">
        <v>0</v>
      </c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>
        <f t="shared" si="20"/>
        <v>0</v>
      </c>
    </row>
    <row r="654" spans="1:18" x14ac:dyDescent="0.35">
      <c r="A654" s="5">
        <f t="shared" si="21"/>
        <v>652</v>
      </c>
      <c r="B654" s="49" t="s">
        <v>1398</v>
      </c>
      <c r="C654" s="144" t="s">
        <v>1898</v>
      </c>
      <c r="D654" s="54" t="s">
        <v>429</v>
      </c>
      <c r="E654" s="111">
        <v>0</v>
      </c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>
        <f t="shared" si="20"/>
        <v>0</v>
      </c>
    </row>
    <row r="655" spans="1:18" x14ac:dyDescent="0.35">
      <c r="A655" s="5">
        <f t="shared" si="21"/>
        <v>653</v>
      </c>
      <c r="B655" s="49" t="s">
        <v>1400</v>
      </c>
      <c r="C655" s="7" t="s">
        <v>2185</v>
      </c>
      <c r="D655" s="54" t="s">
        <v>19</v>
      </c>
      <c r="E655" s="111">
        <v>0</v>
      </c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>
        <f t="shared" si="20"/>
        <v>0</v>
      </c>
    </row>
    <row r="656" spans="1:18" x14ac:dyDescent="0.35">
      <c r="A656" s="5">
        <f t="shared" si="21"/>
        <v>654</v>
      </c>
      <c r="B656" s="49" t="s">
        <v>1402</v>
      </c>
      <c r="C656" s="21" t="s">
        <v>2127</v>
      </c>
      <c r="D656" s="54" t="s">
        <v>136</v>
      </c>
      <c r="E656" s="111">
        <v>200000</v>
      </c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>
        <f t="shared" si="20"/>
        <v>200000</v>
      </c>
    </row>
    <row r="657" spans="1:18" x14ac:dyDescent="0.35">
      <c r="A657" s="5">
        <f t="shared" si="21"/>
        <v>655</v>
      </c>
      <c r="B657" s="49" t="s">
        <v>1404</v>
      </c>
      <c r="C657" s="7" t="s">
        <v>1405</v>
      </c>
      <c r="D657" s="54" t="s">
        <v>49</v>
      </c>
      <c r="E657" s="111">
        <v>0</v>
      </c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>
        <f t="shared" si="20"/>
        <v>0</v>
      </c>
    </row>
    <row r="658" spans="1:18" x14ac:dyDescent="0.35">
      <c r="A658" s="5">
        <f t="shared" si="21"/>
        <v>656</v>
      </c>
      <c r="B658" s="49" t="s">
        <v>1406</v>
      </c>
      <c r="C658" s="144" t="s">
        <v>1853</v>
      </c>
      <c r="D658" s="54" t="s">
        <v>92</v>
      </c>
      <c r="E658" s="111">
        <v>0</v>
      </c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>
        <f t="shared" si="20"/>
        <v>0</v>
      </c>
    </row>
    <row r="659" spans="1:18" x14ac:dyDescent="0.35">
      <c r="A659" s="5">
        <f t="shared" si="21"/>
        <v>657</v>
      </c>
      <c r="B659" s="49" t="s">
        <v>1408</v>
      </c>
      <c r="C659" s="7" t="s">
        <v>1409</v>
      </c>
      <c r="D659" s="54" t="s">
        <v>92</v>
      </c>
      <c r="E659" s="111">
        <v>0</v>
      </c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>
        <f t="shared" si="20"/>
        <v>0</v>
      </c>
    </row>
    <row r="660" spans="1:18" x14ac:dyDescent="0.35">
      <c r="A660" s="5">
        <f t="shared" si="21"/>
        <v>658</v>
      </c>
      <c r="B660" s="49" t="s">
        <v>1410</v>
      </c>
      <c r="C660" s="90" t="s">
        <v>1968</v>
      </c>
      <c r="D660" s="54" t="s">
        <v>108</v>
      </c>
      <c r="E660" s="111">
        <v>0</v>
      </c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>
        <f t="shared" si="20"/>
        <v>0</v>
      </c>
    </row>
    <row r="661" spans="1:18" x14ac:dyDescent="0.35">
      <c r="A661" s="5">
        <f t="shared" si="21"/>
        <v>659</v>
      </c>
      <c r="B661" s="49" t="s">
        <v>1412</v>
      </c>
      <c r="C661" s="144" t="s">
        <v>2128</v>
      </c>
      <c r="D661" s="54" t="s">
        <v>128</v>
      </c>
      <c r="E661" s="111">
        <v>200000</v>
      </c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>
        <f t="shared" si="20"/>
        <v>200000</v>
      </c>
    </row>
    <row r="662" spans="1:18" x14ac:dyDescent="0.35">
      <c r="A662" s="5">
        <f t="shared" si="21"/>
        <v>660</v>
      </c>
      <c r="B662" s="49" t="s">
        <v>1414</v>
      </c>
      <c r="C662" s="144" t="s">
        <v>1893</v>
      </c>
      <c r="D662" s="54" t="s">
        <v>128</v>
      </c>
      <c r="E662" s="111">
        <v>200000</v>
      </c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>
        <f t="shared" si="20"/>
        <v>200000</v>
      </c>
    </row>
    <row r="663" spans="1:18" x14ac:dyDescent="0.35">
      <c r="A663" s="5">
        <f t="shared" si="21"/>
        <v>661</v>
      </c>
      <c r="B663" s="49" t="s">
        <v>1416</v>
      </c>
      <c r="C663" s="90" t="s">
        <v>1967</v>
      </c>
      <c r="D663" s="54" t="s">
        <v>303</v>
      </c>
      <c r="E663" s="111">
        <v>200000</v>
      </c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>
        <f t="shared" si="20"/>
        <v>200000</v>
      </c>
    </row>
    <row r="664" spans="1:18" x14ac:dyDescent="0.35">
      <c r="A664" s="5">
        <f t="shared" si="21"/>
        <v>662</v>
      </c>
      <c r="B664" s="49" t="s">
        <v>1418</v>
      </c>
      <c r="C664" s="144" t="s">
        <v>2129</v>
      </c>
      <c r="D664" s="54" t="s">
        <v>429</v>
      </c>
      <c r="E664" s="111">
        <v>0</v>
      </c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>
        <f t="shared" si="20"/>
        <v>0</v>
      </c>
    </row>
    <row r="665" spans="1:18" x14ac:dyDescent="0.35">
      <c r="A665" s="5">
        <f t="shared" si="21"/>
        <v>663</v>
      </c>
      <c r="B665" s="49" t="s">
        <v>1420</v>
      </c>
      <c r="C665" s="144" t="s">
        <v>2130</v>
      </c>
      <c r="D665" s="54" t="s">
        <v>429</v>
      </c>
      <c r="E665" s="111">
        <v>0</v>
      </c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>
        <f t="shared" si="20"/>
        <v>0</v>
      </c>
    </row>
    <row r="666" spans="1:18" x14ac:dyDescent="0.35">
      <c r="A666" s="5">
        <f t="shared" si="21"/>
        <v>664</v>
      </c>
      <c r="B666" s="49" t="s">
        <v>1422</v>
      </c>
      <c r="C666" s="144" t="s">
        <v>2131</v>
      </c>
      <c r="D666" s="54" t="s">
        <v>136</v>
      </c>
      <c r="E666" s="111">
        <v>200000</v>
      </c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>
        <f t="shared" si="20"/>
        <v>200000</v>
      </c>
    </row>
    <row r="667" spans="1:18" x14ac:dyDescent="0.35">
      <c r="A667" s="5">
        <f t="shared" si="21"/>
        <v>665</v>
      </c>
      <c r="B667" s="49" t="s">
        <v>1424</v>
      </c>
      <c r="C667" s="144" t="s">
        <v>1856</v>
      </c>
      <c r="D667" s="54" t="s">
        <v>215</v>
      </c>
      <c r="E667" s="111">
        <v>0</v>
      </c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>
        <f t="shared" si="20"/>
        <v>0</v>
      </c>
    </row>
    <row r="668" spans="1:18" x14ac:dyDescent="0.35">
      <c r="A668" s="5">
        <f t="shared" si="21"/>
        <v>666</v>
      </c>
      <c r="B668" s="49" t="s">
        <v>1426</v>
      </c>
      <c r="C668" s="144" t="s">
        <v>2132</v>
      </c>
      <c r="D668" s="54" t="s">
        <v>215</v>
      </c>
      <c r="E668" s="111">
        <v>0</v>
      </c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>
        <f t="shared" si="20"/>
        <v>0</v>
      </c>
    </row>
    <row r="669" spans="1:18" x14ac:dyDescent="0.35">
      <c r="A669" s="5">
        <f t="shared" si="21"/>
        <v>667</v>
      </c>
      <c r="B669" s="49" t="s">
        <v>1428</v>
      </c>
      <c r="C669" s="144" t="s">
        <v>2133</v>
      </c>
      <c r="D669" s="54" t="s">
        <v>159</v>
      </c>
      <c r="E669" s="111">
        <v>0</v>
      </c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>
        <f t="shared" si="20"/>
        <v>0</v>
      </c>
    </row>
    <row r="670" spans="1:18" x14ac:dyDescent="0.35">
      <c r="A670" s="5">
        <f t="shared" si="21"/>
        <v>668</v>
      </c>
      <c r="B670" s="49" t="s">
        <v>1430</v>
      </c>
      <c r="C670" s="7" t="s">
        <v>1431</v>
      </c>
      <c r="D670" s="54"/>
      <c r="E670" s="111">
        <v>0</v>
      </c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>
        <f t="shared" si="20"/>
        <v>0</v>
      </c>
    </row>
    <row r="671" spans="1:18" x14ac:dyDescent="0.35">
      <c r="A671" s="5">
        <f t="shared" si="21"/>
        <v>669</v>
      </c>
      <c r="B671" s="49" t="s">
        <v>1432</v>
      </c>
      <c r="C671" s="136" t="s">
        <v>1433</v>
      </c>
      <c r="D671" s="54" t="s">
        <v>524</v>
      </c>
      <c r="E671" s="111">
        <v>0</v>
      </c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>
        <f t="shared" si="20"/>
        <v>0</v>
      </c>
    </row>
    <row r="672" spans="1:18" x14ac:dyDescent="0.35">
      <c r="A672" s="5">
        <f t="shared" si="21"/>
        <v>670</v>
      </c>
      <c r="B672" s="49" t="s">
        <v>1434</v>
      </c>
      <c r="C672" s="144" t="s">
        <v>2134</v>
      </c>
      <c r="D672" s="54" t="s">
        <v>136</v>
      </c>
      <c r="E672" s="111">
        <v>200000</v>
      </c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>
        <f t="shared" si="20"/>
        <v>200000</v>
      </c>
    </row>
    <row r="673" spans="1:18" x14ac:dyDescent="0.35">
      <c r="A673" s="5">
        <f t="shared" si="21"/>
        <v>671</v>
      </c>
      <c r="B673" s="49" t="s">
        <v>1436</v>
      </c>
      <c r="C673" s="7" t="s">
        <v>1437</v>
      </c>
      <c r="D673" s="54" t="s">
        <v>52</v>
      </c>
      <c r="E673" s="111">
        <v>0</v>
      </c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>
        <f t="shared" si="20"/>
        <v>0</v>
      </c>
    </row>
    <row r="674" spans="1:18" x14ac:dyDescent="0.35">
      <c r="A674" s="5">
        <f t="shared" si="21"/>
        <v>672</v>
      </c>
      <c r="B674" s="49" t="s">
        <v>1438</v>
      </c>
      <c r="C674" s="7" t="s">
        <v>1439</v>
      </c>
      <c r="D674" s="54" t="s">
        <v>303</v>
      </c>
      <c r="E674" s="111">
        <v>0</v>
      </c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>
        <f t="shared" si="20"/>
        <v>0</v>
      </c>
    </row>
    <row r="675" spans="1:18" x14ac:dyDescent="0.35">
      <c r="A675" s="5">
        <f t="shared" si="21"/>
        <v>673</v>
      </c>
      <c r="B675" s="49" t="s">
        <v>1440</v>
      </c>
      <c r="C675" s="90" t="s">
        <v>2135</v>
      </c>
      <c r="D675" s="54" t="s">
        <v>65</v>
      </c>
      <c r="E675" s="111">
        <v>0</v>
      </c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>
        <f t="shared" si="20"/>
        <v>0</v>
      </c>
    </row>
    <row r="676" spans="1:18" x14ac:dyDescent="0.35">
      <c r="A676" s="5">
        <f t="shared" si="21"/>
        <v>674</v>
      </c>
      <c r="B676" s="49" t="s">
        <v>1442</v>
      </c>
      <c r="C676" s="101" t="s">
        <v>2136</v>
      </c>
      <c r="D676" s="54" t="s">
        <v>1444</v>
      </c>
      <c r="E676" s="111">
        <v>0</v>
      </c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>
        <f t="shared" si="20"/>
        <v>0</v>
      </c>
    </row>
    <row r="677" spans="1:18" x14ac:dyDescent="0.35">
      <c r="A677" s="5">
        <f t="shared" si="21"/>
        <v>675</v>
      </c>
      <c r="B677" s="49" t="s">
        <v>1445</v>
      </c>
      <c r="C677" s="7" t="s">
        <v>1446</v>
      </c>
      <c r="D677" s="54" t="s">
        <v>136</v>
      </c>
      <c r="E677" s="111">
        <v>200000</v>
      </c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>
        <f t="shared" si="20"/>
        <v>200000</v>
      </c>
    </row>
    <row r="678" spans="1:18" x14ac:dyDescent="0.35">
      <c r="A678" s="5">
        <f t="shared" si="21"/>
        <v>676</v>
      </c>
      <c r="B678" s="49" t="s">
        <v>1447</v>
      </c>
      <c r="C678" s="127" t="s">
        <v>2137</v>
      </c>
      <c r="D678" s="54" t="s">
        <v>751</v>
      </c>
      <c r="E678" s="111">
        <v>0</v>
      </c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>
        <f t="shared" si="20"/>
        <v>0</v>
      </c>
    </row>
    <row r="679" spans="1:18" x14ac:dyDescent="0.35">
      <c r="A679" s="5">
        <f t="shared" si="21"/>
        <v>677</v>
      </c>
      <c r="B679" s="49" t="s">
        <v>1449</v>
      </c>
      <c r="C679" s="127" t="s">
        <v>2138</v>
      </c>
      <c r="D679" s="54" t="s">
        <v>751</v>
      </c>
      <c r="E679" s="111">
        <v>0</v>
      </c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>
        <f t="shared" si="20"/>
        <v>0</v>
      </c>
    </row>
    <row r="680" spans="1:18" x14ac:dyDescent="0.35">
      <c r="A680" s="5">
        <f t="shared" si="21"/>
        <v>678</v>
      </c>
      <c r="B680" s="49" t="s">
        <v>1451</v>
      </c>
      <c r="C680" s="7" t="s">
        <v>1452</v>
      </c>
      <c r="D680" s="54" t="s">
        <v>136</v>
      </c>
      <c r="E680" s="111">
        <v>0</v>
      </c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>
        <f t="shared" si="20"/>
        <v>0</v>
      </c>
    </row>
    <row r="681" spans="1:18" x14ac:dyDescent="0.35">
      <c r="A681" s="5">
        <f t="shared" si="21"/>
        <v>679</v>
      </c>
      <c r="B681" s="49" t="s">
        <v>1453</v>
      </c>
      <c r="C681" s="101" t="s">
        <v>2139</v>
      </c>
      <c r="D681" s="54" t="s">
        <v>321</v>
      </c>
      <c r="E681" s="111">
        <v>0</v>
      </c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>
        <f t="shared" si="20"/>
        <v>0</v>
      </c>
    </row>
    <row r="682" spans="1:18" x14ac:dyDescent="0.35">
      <c r="A682" s="5">
        <f t="shared" si="21"/>
        <v>680</v>
      </c>
      <c r="B682" s="49" t="s">
        <v>1455</v>
      </c>
      <c r="C682" s="101" t="s">
        <v>2140</v>
      </c>
      <c r="D682" s="54" t="s">
        <v>22</v>
      </c>
      <c r="E682" s="111">
        <v>0</v>
      </c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>
        <f t="shared" si="20"/>
        <v>0</v>
      </c>
    </row>
    <row r="683" spans="1:18" x14ac:dyDescent="0.35">
      <c r="A683" s="5">
        <f t="shared" si="21"/>
        <v>681</v>
      </c>
      <c r="B683" s="49" t="s">
        <v>1457</v>
      </c>
      <c r="C683" s="101" t="s">
        <v>2141</v>
      </c>
      <c r="D683" s="54" t="s">
        <v>238</v>
      </c>
      <c r="E683" s="111">
        <v>0</v>
      </c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>
        <f t="shared" si="20"/>
        <v>0</v>
      </c>
    </row>
    <row r="684" spans="1:18" x14ac:dyDescent="0.35">
      <c r="A684" s="5">
        <f t="shared" si="21"/>
        <v>682</v>
      </c>
      <c r="B684" s="49" t="s">
        <v>1458</v>
      </c>
      <c r="C684" s="101" t="s">
        <v>2142</v>
      </c>
      <c r="D684" s="54" t="s">
        <v>303</v>
      </c>
      <c r="E684" s="111">
        <v>0</v>
      </c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>
        <f t="shared" si="20"/>
        <v>0</v>
      </c>
    </row>
    <row r="685" spans="1:18" x14ac:dyDescent="0.35">
      <c r="A685" s="5">
        <f t="shared" si="21"/>
        <v>683</v>
      </c>
      <c r="B685" s="49" t="s">
        <v>1460</v>
      </c>
      <c r="C685" s="101" t="s">
        <v>2143</v>
      </c>
      <c r="D685" s="54" t="s">
        <v>80</v>
      </c>
      <c r="E685" s="111">
        <v>0</v>
      </c>
      <c r="F685" s="58"/>
      <c r="G685" s="58"/>
      <c r="H685" s="58"/>
      <c r="I685" s="58"/>
      <c r="J685" s="58">
        <v>200000</v>
      </c>
      <c r="K685" s="58"/>
      <c r="L685" s="58"/>
      <c r="M685" s="58"/>
      <c r="N685" s="58"/>
      <c r="O685" s="58"/>
      <c r="P685" s="58"/>
      <c r="Q685" s="58"/>
      <c r="R685" s="58">
        <f t="shared" si="20"/>
        <v>200000</v>
      </c>
    </row>
    <row r="686" spans="1:18" x14ac:dyDescent="0.35">
      <c r="A686" s="5">
        <f t="shared" si="21"/>
        <v>684</v>
      </c>
      <c r="B686" s="49" t="s">
        <v>1462</v>
      </c>
      <c r="C686" s="7" t="s">
        <v>1463</v>
      </c>
      <c r="D686" s="54" t="s">
        <v>80</v>
      </c>
      <c r="E686" s="111">
        <v>0</v>
      </c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>
        <f t="shared" si="20"/>
        <v>0</v>
      </c>
    </row>
    <row r="687" spans="1:18" x14ac:dyDescent="0.35">
      <c r="A687" s="5">
        <f t="shared" si="21"/>
        <v>685</v>
      </c>
      <c r="B687" s="49" t="s">
        <v>1464</v>
      </c>
      <c r="C687" s="90" t="s">
        <v>1848</v>
      </c>
      <c r="D687" s="54" t="s">
        <v>80</v>
      </c>
      <c r="E687" s="111">
        <v>0</v>
      </c>
      <c r="F687" s="58"/>
      <c r="G687" s="58">
        <v>200000</v>
      </c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>
        <f t="shared" si="20"/>
        <v>200000</v>
      </c>
    </row>
    <row r="688" spans="1:18" x14ac:dyDescent="0.35">
      <c r="A688" s="5">
        <f t="shared" si="21"/>
        <v>686</v>
      </c>
      <c r="B688" s="49" t="s">
        <v>1466</v>
      </c>
      <c r="C688" s="101" t="s">
        <v>2144</v>
      </c>
      <c r="D688" s="54" t="s">
        <v>238</v>
      </c>
      <c r="E688" s="111">
        <v>0</v>
      </c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>
        <f t="shared" si="20"/>
        <v>0</v>
      </c>
    </row>
    <row r="689" spans="1:18" x14ac:dyDescent="0.35">
      <c r="A689" s="5">
        <f t="shared" si="21"/>
        <v>687</v>
      </c>
      <c r="B689" s="49" t="s">
        <v>1468</v>
      </c>
      <c r="C689" s="101" t="s">
        <v>2145</v>
      </c>
      <c r="D689" s="54" t="s">
        <v>119</v>
      </c>
      <c r="E689" s="111">
        <v>0</v>
      </c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>
        <f t="shared" si="20"/>
        <v>0</v>
      </c>
    </row>
    <row r="690" spans="1:18" x14ac:dyDescent="0.35">
      <c r="A690" s="5">
        <f t="shared" si="21"/>
        <v>688</v>
      </c>
      <c r="B690" s="49" t="s">
        <v>1470</v>
      </c>
      <c r="C690" s="101" t="s">
        <v>1760</v>
      </c>
      <c r="D690" s="54" t="s">
        <v>318</v>
      </c>
      <c r="E690" s="111">
        <v>0</v>
      </c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>
        <f t="shared" si="20"/>
        <v>0</v>
      </c>
    </row>
    <row r="691" spans="1:18" x14ac:dyDescent="0.35">
      <c r="A691" s="5">
        <f t="shared" si="21"/>
        <v>689</v>
      </c>
      <c r="B691" s="49" t="s">
        <v>1472</v>
      </c>
      <c r="C691" s="7" t="s">
        <v>1630</v>
      </c>
      <c r="D691" s="54" t="s">
        <v>551</v>
      </c>
      <c r="E691" s="111">
        <v>0</v>
      </c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>
        <f t="shared" si="20"/>
        <v>0</v>
      </c>
    </row>
    <row r="692" spans="1:18" x14ac:dyDescent="0.35">
      <c r="A692" s="5">
        <f t="shared" si="21"/>
        <v>690</v>
      </c>
      <c r="B692" s="49" t="s">
        <v>1474</v>
      </c>
      <c r="C692" s="101" t="s">
        <v>1751</v>
      </c>
      <c r="D692" s="54" t="s">
        <v>1444</v>
      </c>
      <c r="E692" s="111">
        <v>0</v>
      </c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>
        <f t="shared" si="20"/>
        <v>0</v>
      </c>
    </row>
    <row r="693" spans="1:18" x14ac:dyDescent="0.35">
      <c r="A693" s="5">
        <f t="shared" si="21"/>
        <v>691</v>
      </c>
      <c r="B693" s="49" t="s">
        <v>1476</v>
      </c>
      <c r="C693" s="101" t="s">
        <v>2146</v>
      </c>
      <c r="D693" s="54" t="s">
        <v>1478</v>
      </c>
      <c r="E693" s="111">
        <v>0</v>
      </c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>
        <f t="shared" si="20"/>
        <v>0</v>
      </c>
    </row>
    <row r="694" spans="1:18" x14ac:dyDescent="0.35">
      <c r="A694" s="5">
        <f t="shared" si="21"/>
        <v>692</v>
      </c>
      <c r="B694" s="49" t="s">
        <v>1479</v>
      </c>
      <c r="C694" s="90" t="s">
        <v>2147</v>
      </c>
      <c r="D694" s="54" t="s">
        <v>116</v>
      </c>
      <c r="E694" s="111">
        <v>0</v>
      </c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>
        <f t="shared" si="20"/>
        <v>0</v>
      </c>
    </row>
    <row r="695" spans="1:18" x14ac:dyDescent="0.35">
      <c r="A695" s="5">
        <f t="shared" si="21"/>
        <v>693</v>
      </c>
      <c r="B695" s="49" t="s">
        <v>1481</v>
      </c>
      <c r="C695" s="90" t="s">
        <v>2148</v>
      </c>
      <c r="D695" s="54" t="s">
        <v>131</v>
      </c>
      <c r="E695" s="111">
        <v>0</v>
      </c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>
        <f t="shared" si="20"/>
        <v>0</v>
      </c>
    </row>
    <row r="696" spans="1:18" x14ac:dyDescent="0.35">
      <c r="A696" s="5">
        <f t="shared" si="21"/>
        <v>694</v>
      </c>
      <c r="B696" s="49" t="s">
        <v>1483</v>
      </c>
      <c r="C696" s="101" t="s">
        <v>2149</v>
      </c>
      <c r="D696" s="54" t="s">
        <v>22</v>
      </c>
      <c r="E696" s="111">
        <v>0</v>
      </c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>
        <f t="shared" si="20"/>
        <v>0</v>
      </c>
    </row>
    <row r="697" spans="1:18" x14ac:dyDescent="0.35">
      <c r="A697" s="5">
        <f t="shared" si="21"/>
        <v>695</v>
      </c>
      <c r="B697" s="49" t="s">
        <v>1485</v>
      </c>
      <c r="C697" s="101" t="s">
        <v>2150</v>
      </c>
      <c r="D697" s="54" t="s">
        <v>119</v>
      </c>
      <c r="E697" s="111">
        <v>0</v>
      </c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>
        <f t="shared" si="20"/>
        <v>0</v>
      </c>
    </row>
    <row r="698" spans="1:18" x14ac:dyDescent="0.35">
      <c r="A698" s="5">
        <f t="shared" si="21"/>
        <v>696</v>
      </c>
      <c r="B698" s="49" t="s">
        <v>1487</v>
      </c>
      <c r="C698" s="21" t="s">
        <v>2151</v>
      </c>
      <c r="D698" s="54" t="s">
        <v>136</v>
      </c>
      <c r="E698" s="111">
        <v>200000</v>
      </c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>
        <f t="shared" si="20"/>
        <v>200000</v>
      </c>
    </row>
    <row r="699" spans="1:18" x14ac:dyDescent="0.35">
      <c r="A699" s="5">
        <f t="shared" si="21"/>
        <v>697</v>
      </c>
      <c r="B699" s="49" t="s">
        <v>1489</v>
      </c>
      <c r="C699" s="7" t="s">
        <v>1490</v>
      </c>
      <c r="D699" s="54"/>
      <c r="E699" s="111">
        <v>0</v>
      </c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>
        <f t="shared" si="20"/>
        <v>0</v>
      </c>
    </row>
    <row r="700" spans="1:18" x14ac:dyDescent="0.35">
      <c r="A700" s="5">
        <f t="shared" si="21"/>
        <v>698</v>
      </c>
      <c r="B700" s="49" t="s">
        <v>1491</v>
      </c>
      <c r="C700" s="7" t="s">
        <v>1492</v>
      </c>
      <c r="D700" s="54"/>
      <c r="E700" s="111">
        <v>200000</v>
      </c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>
        <f t="shared" si="20"/>
        <v>200000</v>
      </c>
    </row>
    <row r="701" spans="1:18" x14ac:dyDescent="0.35">
      <c r="A701" s="5">
        <f t="shared" si="21"/>
        <v>699</v>
      </c>
      <c r="B701" s="49" t="s">
        <v>1493</v>
      </c>
      <c r="C701" s="7" t="s">
        <v>1494</v>
      </c>
      <c r="D701" s="54"/>
      <c r="E701" s="111">
        <v>0</v>
      </c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>
        <f t="shared" si="20"/>
        <v>0</v>
      </c>
    </row>
    <row r="702" spans="1:18" x14ac:dyDescent="0.35">
      <c r="A702" s="5">
        <f t="shared" si="21"/>
        <v>700</v>
      </c>
      <c r="B702" s="49" t="s">
        <v>1495</v>
      </c>
      <c r="C702" s="136" t="s">
        <v>1496</v>
      </c>
      <c r="D702" s="54"/>
      <c r="E702" s="111">
        <v>0</v>
      </c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>
        <f t="shared" si="20"/>
        <v>0</v>
      </c>
    </row>
    <row r="703" spans="1:18" x14ac:dyDescent="0.35">
      <c r="A703" s="5">
        <f t="shared" si="21"/>
        <v>701</v>
      </c>
      <c r="B703" s="49" t="s">
        <v>1497</v>
      </c>
      <c r="C703" s="136" t="s">
        <v>1498</v>
      </c>
      <c r="D703" s="54"/>
      <c r="E703" s="111">
        <v>0</v>
      </c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>
        <f t="shared" si="20"/>
        <v>0</v>
      </c>
    </row>
    <row r="704" spans="1:18" x14ac:dyDescent="0.35">
      <c r="A704" s="5">
        <f t="shared" si="21"/>
        <v>702</v>
      </c>
      <c r="B704" s="49" t="s">
        <v>1499</v>
      </c>
      <c r="C704" s="136" t="s">
        <v>1500</v>
      </c>
      <c r="D704" s="54"/>
      <c r="E704" s="111">
        <v>0</v>
      </c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>
        <f t="shared" si="20"/>
        <v>0</v>
      </c>
    </row>
    <row r="705" spans="1:18" x14ac:dyDescent="0.35">
      <c r="A705" s="5">
        <f t="shared" si="21"/>
        <v>703</v>
      </c>
      <c r="B705" s="49" t="s">
        <v>1501</v>
      </c>
      <c r="C705" s="21" t="s">
        <v>2152</v>
      </c>
      <c r="D705" s="54" t="s">
        <v>136</v>
      </c>
      <c r="E705" s="111">
        <v>200000</v>
      </c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>
        <f t="shared" si="20"/>
        <v>200000</v>
      </c>
    </row>
    <row r="706" spans="1:18" x14ac:dyDescent="0.35">
      <c r="A706" s="5">
        <f t="shared" si="21"/>
        <v>704</v>
      </c>
      <c r="B706" s="49" t="s">
        <v>1503</v>
      </c>
      <c r="C706" s="7" t="s">
        <v>1504</v>
      </c>
      <c r="D706" s="54" t="s">
        <v>14</v>
      </c>
      <c r="E706" s="111">
        <v>0</v>
      </c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>
        <f t="shared" si="20"/>
        <v>0</v>
      </c>
    </row>
    <row r="707" spans="1:18" x14ac:dyDescent="0.35">
      <c r="A707" s="5">
        <f t="shared" si="21"/>
        <v>705</v>
      </c>
      <c r="B707" s="49" t="s">
        <v>1505</v>
      </c>
      <c r="C707" s="127" t="s">
        <v>2153</v>
      </c>
      <c r="D707" s="54" t="s">
        <v>751</v>
      </c>
      <c r="E707" s="111">
        <v>0</v>
      </c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>
        <f t="shared" ref="R707:R762" si="22">E707+F707+G707+H707+I707+J707+K707+L707+M707+N707+O707+P707+Q707</f>
        <v>0</v>
      </c>
    </row>
    <row r="708" spans="1:18" x14ac:dyDescent="0.35">
      <c r="A708" s="5">
        <f t="shared" si="21"/>
        <v>706</v>
      </c>
      <c r="B708" s="49" t="s">
        <v>1507</v>
      </c>
      <c r="C708" s="7" t="s">
        <v>1508</v>
      </c>
      <c r="D708" s="54"/>
      <c r="E708" s="111">
        <v>0</v>
      </c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>
        <f t="shared" si="22"/>
        <v>0</v>
      </c>
    </row>
    <row r="709" spans="1:18" x14ac:dyDescent="0.35">
      <c r="A709" s="5">
        <f t="shared" ref="A709:A762" si="23">A708+1</f>
        <v>707</v>
      </c>
      <c r="B709" s="49" t="s">
        <v>1509</v>
      </c>
      <c r="C709" s="144" t="s">
        <v>1861</v>
      </c>
      <c r="D709" s="54" t="s">
        <v>374</v>
      </c>
      <c r="E709" s="111">
        <v>0</v>
      </c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>
        <f t="shared" si="22"/>
        <v>0</v>
      </c>
    </row>
    <row r="710" spans="1:18" x14ac:dyDescent="0.35">
      <c r="A710" s="5">
        <f t="shared" si="23"/>
        <v>708</v>
      </c>
      <c r="B710" s="49" t="s">
        <v>1511</v>
      </c>
      <c r="C710" s="144" t="s">
        <v>2154</v>
      </c>
      <c r="D710" s="54" t="s">
        <v>215</v>
      </c>
      <c r="E710" s="111">
        <v>400000</v>
      </c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>
        <f t="shared" si="22"/>
        <v>400000</v>
      </c>
    </row>
    <row r="711" spans="1:18" x14ac:dyDescent="0.35">
      <c r="A711" s="5">
        <f t="shared" si="23"/>
        <v>709</v>
      </c>
      <c r="B711" s="49" t="s">
        <v>1513</v>
      </c>
      <c r="C711" s="21" t="s">
        <v>2155</v>
      </c>
      <c r="D711" s="54" t="s">
        <v>136</v>
      </c>
      <c r="E711" s="111">
        <v>200000</v>
      </c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>
        <f t="shared" si="22"/>
        <v>200000</v>
      </c>
    </row>
    <row r="712" spans="1:18" x14ac:dyDescent="0.35">
      <c r="A712" s="5">
        <f t="shared" si="23"/>
        <v>710</v>
      </c>
      <c r="B712" s="49" t="s">
        <v>1515</v>
      </c>
      <c r="C712" s="21" t="s">
        <v>2156</v>
      </c>
      <c r="D712" s="54" t="s">
        <v>136</v>
      </c>
      <c r="E712" s="111">
        <v>200000</v>
      </c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>
        <f t="shared" si="22"/>
        <v>200000</v>
      </c>
    </row>
    <row r="713" spans="1:18" x14ac:dyDescent="0.35">
      <c r="A713" s="5">
        <f t="shared" si="23"/>
        <v>711</v>
      </c>
      <c r="B713" s="49" t="s">
        <v>1517</v>
      </c>
      <c r="C713" s="7" t="s">
        <v>1518</v>
      </c>
      <c r="D713" s="54" t="s">
        <v>136</v>
      </c>
      <c r="E713" s="111">
        <v>200000</v>
      </c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>
        <f t="shared" si="22"/>
        <v>200000</v>
      </c>
    </row>
    <row r="714" spans="1:18" x14ac:dyDescent="0.35">
      <c r="A714" s="5">
        <f t="shared" si="23"/>
        <v>712</v>
      </c>
      <c r="B714" s="49" t="s">
        <v>1519</v>
      </c>
      <c r="C714" s="90" t="s">
        <v>2157</v>
      </c>
      <c r="D714" s="54" t="s">
        <v>303</v>
      </c>
      <c r="E714" s="111">
        <v>0</v>
      </c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>
        <f t="shared" si="22"/>
        <v>0</v>
      </c>
    </row>
    <row r="715" spans="1:18" x14ac:dyDescent="0.35">
      <c r="A715" s="5">
        <f t="shared" si="23"/>
        <v>713</v>
      </c>
      <c r="B715" s="49" t="s">
        <v>1521</v>
      </c>
      <c r="C715" s="7" t="s">
        <v>1794</v>
      </c>
      <c r="D715" s="54" t="s">
        <v>524</v>
      </c>
      <c r="E715" s="111">
        <v>0</v>
      </c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>
        <f t="shared" si="22"/>
        <v>0</v>
      </c>
    </row>
    <row r="716" spans="1:18" x14ac:dyDescent="0.35">
      <c r="A716" s="5">
        <f t="shared" si="23"/>
        <v>714</v>
      </c>
      <c r="B716" s="65" t="s">
        <v>1523</v>
      </c>
      <c r="C716" s="7" t="s">
        <v>1524</v>
      </c>
      <c r="D716" s="66" t="s">
        <v>215</v>
      </c>
      <c r="E716" s="111">
        <v>0</v>
      </c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>
        <f t="shared" si="22"/>
        <v>0</v>
      </c>
    </row>
    <row r="717" spans="1:18" x14ac:dyDescent="0.35">
      <c r="A717" s="5">
        <f t="shared" si="23"/>
        <v>715</v>
      </c>
      <c r="B717" s="49" t="s">
        <v>1525</v>
      </c>
      <c r="C717" s="101" t="s">
        <v>2158</v>
      </c>
      <c r="D717" s="54" t="s">
        <v>290</v>
      </c>
      <c r="E717" s="111">
        <v>0</v>
      </c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>
        <f t="shared" si="22"/>
        <v>0</v>
      </c>
    </row>
    <row r="718" spans="1:18" x14ac:dyDescent="0.35">
      <c r="A718" s="5">
        <f t="shared" si="23"/>
        <v>716</v>
      </c>
      <c r="B718" s="49" t="s">
        <v>1527</v>
      </c>
      <c r="C718" s="144" t="s">
        <v>1964</v>
      </c>
      <c r="D718" s="54" t="s">
        <v>128</v>
      </c>
      <c r="E718" s="111">
        <v>0</v>
      </c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>
        <f t="shared" si="22"/>
        <v>0</v>
      </c>
    </row>
    <row r="719" spans="1:18" x14ac:dyDescent="0.35">
      <c r="A719" s="5">
        <f t="shared" si="23"/>
        <v>717</v>
      </c>
      <c r="B719" s="49" t="s">
        <v>1529</v>
      </c>
      <c r="C719" s="7" t="s">
        <v>1915</v>
      </c>
      <c r="D719" s="54" t="s">
        <v>524</v>
      </c>
      <c r="E719" s="111">
        <v>0</v>
      </c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>
        <f t="shared" si="22"/>
        <v>0</v>
      </c>
    </row>
    <row r="720" spans="1:18" x14ac:dyDescent="0.35">
      <c r="A720" s="5">
        <f t="shared" si="23"/>
        <v>718</v>
      </c>
      <c r="B720" s="49" t="s">
        <v>1531</v>
      </c>
      <c r="C720" s="90" t="s">
        <v>2189</v>
      </c>
      <c r="D720" s="54" t="s">
        <v>524</v>
      </c>
      <c r="E720" s="111">
        <v>0</v>
      </c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>
        <f t="shared" si="22"/>
        <v>0</v>
      </c>
    </row>
    <row r="721" spans="1:18" x14ac:dyDescent="0.35">
      <c r="A721" s="5">
        <f t="shared" si="23"/>
        <v>719</v>
      </c>
      <c r="B721" s="49" t="s">
        <v>1533</v>
      </c>
      <c r="C721" s="136" t="s">
        <v>1534</v>
      </c>
      <c r="D721" s="54" t="s">
        <v>751</v>
      </c>
      <c r="E721" s="111">
        <v>0</v>
      </c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>
        <f t="shared" si="22"/>
        <v>0</v>
      </c>
    </row>
    <row r="722" spans="1:18" x14ac:dyDescent="0.35">
      <c r="A722" s="5">
        <f t="shared" si="23"/>
        <v>720</v>
      </c>
      <c r="B722" s="49" t="s">
        <v>1535</v>
      </c>
      <c r="C722" s="136" t="s">
        <v>1536</v>
      </c>
      <c r="D722" s="54" t="s">
        <v>324</v>
      </c>
      <c r="E722" s="111">
        <v>0</v>
      </c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>
        <f t="shared" si="22"/>
        <v>0</v>
      </c>
    </row>
    <row r="723" spans="1:18" x14ac:dyDescent="0.35">
      <c r="A723" s="5">
        <f t="shared" si="23"/>
        <v>721</v>
      </c>
      <c r="B723" s="49" t="s">
        <v>1537</v>
      </c>
      <c r="C723" s="136" t="s">
        <v>1538</v>
      </c>
      <c r="D723" s="54" t="s">
        <v>377</v>
      </c>
      <c r="E723" s="111">
        <v>0</v>
      </c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>
        <f t="shared" si="22"/>
        <v>0</v>
      </c>
    </row>
    <row r="724" spans="1:18" x14ac:dyDescent="0.35">
      <c r="A724" s="5">
        <f t="shared" si="23"/>
        <v>722</v>
      </c>
      <c r="B724" s="49" t="s">
        <v>1539</v>
      </c>
      <c r="C724" s="101" t="s">
        <v>2159</v>
      </c>
      <c r="D724" s="54" t="s">
        <v>260</v>
      </c>
      <c r="E724" s="111">
        <v>0</v>
      </c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>
        <f t="shared" si="22"/>
        <v>0</v>
      </c>
    </row>
    <row r="725" spans="1:18" x14ac:dyDescent="0.35">
      <c r="A725" s="5">
        <f t="shared" si="23"/>
        <v>723</v>
      </c>
      <c r="B725" s="49" t="s">
        <v>1541</v>
      </c>
      <c r="C725" s="144" t="s">
        <v>2160</v>
      </c>
      <c r="D725" s="54" t="s">
        <v>95</v>
      </c>
      <c r="E725" s="111">
        <v>0</v>
      </c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>
        <f t="shared" si="22"/>
        <v>0</v>
      </c>
    </row>
    <row r="726" spans="1:18" x14ac:dyDescent="0.35">
      <c r="A726" s="5">
        <f t="shared" si="23"/>
        <v>724</v>
      </c>
      <c r="B726" s="49" t="s">
        <v>1543</v>
      </c>
      <c r="C726" s="144" t="s">
        <v>1903</v>
      </c>
      <c r="D726" s="54" t="s">
        <v>98</v>
      </c>
      <c r="E726" s="111">
        <v>0</v>
      </c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>
        <f t="shared" si="22"/>
        <v>0</v>
      </c>
    </row>
    <row r="727" spans="1:18" x14ac:dyDescent="0.35">
      <c r="A727" s="5">
        <f t="shared" si="23"/>
        <v>725</v>
      </c>
      <c r="B727" s="49" t="s">
        <v>1545</v>
      </c>
      <c r="C727" s="101" t="s">
        <v>2161</v>
      </c>
      <c r="D727" s="54" t="s">
        <v>238</v>
      </c>
      <c r="E727" s="111">
        <v>0</v>
      </c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>
        <f t="shared" si="22"/>
        <v>0</v>
      </c>
    </row>
    <row r="728" spans="1:18" x14ac:dyDescent="0.35">
      <c r="A728" s="5">
        <f t="shared" si="23"/>
        <v>726</v>
      </c>
      <c r="B728" s="49" t="s">
        <v>1547</v>
      </c>
      <c r="C728" s="90" t="s">
        <v>2162</v>
      </c>
      <c r="D728" s="54" t="s">
        <v>98</v>
      </c>
      <c r="E728" s="111">
        <v>200000</v>
      </c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>
        <f t="shared" si="22"/>
        <v>200000</v>
      </c>
    </row>
    <row r="729" spans="1:18" x14ac:dyDescent="0.35">
      <c r="A729" s="5">
        <f t="shared" si="23"/>
        <v>727</v>
      </c>
      <c r="B729" s="49" t="s">
        <v>1549</v>
      </c>
      <c r="C729" s="90" t="s">
        <v>2163</v>
      </c>
      <c r="D729" s="54" t="s">
        <v>25</v>
      </c>
      <c r="E729" s="111">
        <v>200000</v>
      </c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>
        <f t="shared" si="22"/>
        <v>200000</v>
      </c>
    </row>
    <row r="730" spans="1:18" x14ac:dyDescent="0.35">
      <c r="A730" s="5">
        <f t="shared" si="23"/>
        <v>728</v>
      </c>
      <c r="B730" s="49" t="s">
        <v>1551</v>
      </c>
      <c r="C730" s="144" t="s">
        <v>1931</v>
      </c>
      <c r="D730" s="54" t="s">
        <v>159</v>
      </c>
      <c r="E730" s="111">
        <v>200000</v>
      </c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>
        <f t="shared" si="22"/>
        <v>200000</v>
      </c>
    </row>
    <row r="731" spans="1:18" x14ac:dyDescent="0.35">
      <c r="A731" s="5">
        <f t="shared" si="23"/>
        <v>729</v>
      </c>
      <c r="B731" s="51"/>
      <c r="C731" s="144" t="s">
        <v>2164</v>
      </c>
      <c r="D731" s="54" t="s">
        <v>136</v>
      </c>
      <c r="E731" s="111">
        <v>0</v>
      </c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>
        <f t="shared" si="22"/>
        <v>0</v>
      </c>
    </row>
    <row r="732" spans="1:18" x14ac:dyDescent="0.35">
      <c r="A732" s="5">
        <f t="shared" si="23"/>
        <v>730</v>
      </c>
      <c r="B732" s="51"/>
      <c r="C732" s="144" t="s">
        <v>2165</v>
      </c>
      <c r="D732" s="54" t="s">
        <v>136</v>
      </c>
      <c r="E732" s="111">
        <v>200000</v>
      </c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>
        <f t="shared" si="22"/>
        <v>200000</v>
      </c>
    </row>
    <row r="733" spans="1:18" x14ac:dyDescent="0.35">
      <c r="A733" s="5">
        <f t="shared" si="23"/>
        <v>731</v>
      </c>
      <c r="B733" s="51"/>
      <c r="C733" s="90" t="s">
        <v>2166</v>
      </c>
      <c r="D733" s="54" t="s">
        <v>108</v>
      </c>
      <c r="E733" s="111">
        <v>200000</v>
      </c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>
        <f t="shared" si="22"/>
        <v>200000</v>
      </c>
    </row>
    <row r="734" spans="1:18" x14ac:dyDescent="0.35">
      <c r="A734" s="5">
        <f t="shared" si="23"/>
        <v>732</v>
      </c>
      <c r="B734" s="51"/>
      <c r="C734" s="90" t="s">
        <v>2167</v>
      </c>
      <c r="D734" s="54" t="s">
        <v>1444</v>
      </c>
      <c r="E734" s="111">
        <v>200000</v>
      </c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>
        <f t="shared" si="22"/>
        <v>200000</v>
      </c>
    </row>
    <row r="735" spans="1:18" x14ac:dyDescent="0.35">
      <c r="A735" s="5">
        <f t="shared" si="23"/>
        <v>733</v>
      </c>
      <c r="B735" s="51"/>
      <c r="C735" s="144" t="s">
        <v>2168</v>
      </c>
      <c r="D735" s="54" t="s">
        <v>136</v>
      </c>
      <c r="E735" s="111">
        <v>0</v>
      </c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>
        <f t="shared" si="22"/>
        <v>0</v>
      </c>
    </row>
    <row r="736" spans="1:18" x14ac:dyDescent="0.35">
      <c r="A736" s="5">
        <f t="shared" si="23"/>
        <v>734</v>
      </c>
      <c r="B736" s="51"/>
      <c r="C736" s="90" t="s">
        <v>2169</v>
      </c>
      <c r="D736" s="54" t="s">
        <v>25</v>
      </c>
      <c r="E736" s="111">
        <v>0</v>
      </c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>
        <f t="shared" si="22"/>
        <v>0</v>
      </c>
    </row>
    <row r="737" spans="1:18" x14ac:dyDescent="0.35">
      <c r="A737" s="5">
        <f t="shared" si="23"/>
        <v>735</v>
      </c>
      <c r="B737" s="51"/>
      <c r="C737" s="90" t="s">
        <v>2170</v>
      </c>
      <c r="D737" s="54" t="s">
        <v>25</v>
      </c>
      <c r="E737" s="111">
        <v>0</v>
      </c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>
        <f t="shared" si="22"/>
        <v>0</v>
      </c>
    </row>
    <row r="738" spans="1:18" x14ac:dyDescent="0.35">
      <c r="A738" s="5">
        <f t="shared" si="23"/>
        <v>736</v>
      </c>
      <c r="B738" s="51"/>
      <c r="C738" s="90" t="s">
        <v>2171</v>
      </c>
      <c r="D738" s="54" t="s">
        <v>25</v>
      </c>
      <c r="E738" s="111">
        <v>0</v>
      </c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>
        <f t="shared" si="22"/>
        <v>0</v>
      </c>
    </row>
    <row r="739" spans="1:18" x14ac:dyDescent="0.35">
      <c r="A739" s="5">
        <f t="shared" si="23"/>
        <v>737</v>
      </c>
      <c r="B739" s="51"/>
      <c r="C739" s="90" t="s">
        <v>1791</v>
      </c>
      <c r="D739" s="54" t="s">
        <v>25</v>
      </c>
      <c r="E739" s="111">
        <v>0</v>
      </c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>
        <f t="shared" si="22"/>
        <v>0</v>
      </c>
    </row>
    <row r="740" spans="1:18" x14ac:dyDescent="0.35">
      <c r="A740" s="5">
        <f t="shared" si="23"/>
        <v>738</v>
      </c>
      <c r="B740" s="51"/>
      <c r="C740" s="90" t="s">
        <v>2172</v>
      </c>
      <c r="D740" s="54" t="s">
        <v>25</v>
      </c>
      <c r="E740" s="111">
        <v>0</v>
      </c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>
        <f t="shared" si="22"/>
        <v>0</v>
      </c>
    </row>
    <row r="741" spans="1:18" x14ac:dyDescent="0.35">
      <c r="A741" s="5">
        <f t="shared" si="23"/>
        <v>739</v>
      </c>
      <c r="B741" s="51"/>
      <c r="C741" s="90" t="s">
        <v>1792</v>
      </c>
      <c r="D741" s="54" t="s">
        <v>25</v>
      </c>
      <c r="E741" s="111">
        <v>0</v>
      </c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>
        <f t="shared" si="22"/>
        <v>0</v>
      </c>
    </row>
    <row r="742" spans="1:18" x14ac:dyDescent="0.35">
      <c r="A742" s="5">
        <f t="shared" si="23"/>
        <v>740</v>
      </c>
      <c r="B742" s="51"/>
      <c r="C742" s="53" t="s">
        <v>2173</v>
      </c>
      <c r="D742" s="54" t="s">
        <v>318</v>
      </c>
      <c r="E742" s="111">
        <v>0</v>
      </c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>
        <f t="shared" si="22"/>
        <v>0</v>
      </c>
    </row>
    <row r="743" spans="1:18" x14ac:dyDescent="0.35">
      <c r="A743" s="5">
        <f t="shared" si="23"/>
        <v>741</v>
      </c>
      <c r="B743" s="51"/>
      <c r="C743" s="53" t="s">
        <v>2174</v>
      </c>
      <c r="D743" s="54" t="s">
        <v>318</v>
      </c>
      <c r="E743" s="111">
        <v>0</v>
      </c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>
        <f t="shared" si="22"/>
        <v>0</v>
      </c>
    </row>
    <row r="744" spans="1:18" x14ac:dyDescent="0.35">
      <c r="A744" s="5">
        <f t="shared" si="23"/>
        <v>742</v>
      </c>
      <c r="B744" s="51"/>
      <c r="C744" s="53" t="s">
        <v>1959</v>
      </c>
      <c r="D744" s="54" t="s">
        <v>318</v>
      </c>
      <c r="E744" s="111">
        <v>0</v>
      </c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>
        <f t="shared" si="22"/>
        <v>0</v>
      </c>
    </row>
    <row r="745" spans="1:18" x14ac:dyDescent="0.35">
      <c r="A745" s="5">
        <f t="shared" si="23"/>
        <v>743</v>
      </c>
      <c r="B745" s="51"/>
      <c r="C745" s="7" t="s">
        <v>1793</v>
      </c>
      <c r="D745" s="54" t="s">
        <v>318</v>
      </c>
      <c r="E745" s="111">
        <v>0</v>
      </c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>
        <f t="shared" si="22"/>
        <v>0</v>
      </c>
    </row>
    <row r="746" spans="1:18" x14ac:dyDescent="0.35">
      <c r="A746" s="5">
        <f t="shared" si="23"/>
        <v>744</v>
      </c>
      <c r="B746" s="51"/>
      <c r="C746" s="53" t="s">
        <v>2175</v>
      </c>
      <c r="D746" s="54" t="s">
        <v>128</v>
      </c>
      <c r="E746" s="111">
        <v>200000</v>
      </c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>
        <f t="shared" si="22"/>
        <v>200000</v>
      </c>
    </row>
    <row r="747" spans="1:18" x14ac:dyDescent="0.35">
      <c r="A747" s="5">
        <f t="shared" si="23"/>
        <v>745</v>
      </c>
      <c r="B747" s="51"/>
      <c r="C747" s="127" t="s">
        <v>2176</v>
      </c>
      <c r="D747" s="54" t="s">
        <v>751</v>
      </c>
      <c r="E747" s="111">
        <v>0</v>
      </c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>
        <f t="shared" si="22"/>
        <v>0</v>
      </c>
    </row>
    <row r="748" spans="1:18" x14ac:dyDescent="0.35">
      <c r="A748" s="5">
        <f t="shared" si="23"/>
        <v>746</v>
      </c>
      <c r="B748" s="52"/>
      <c r="C748" s="96" t="s">
        <v>1966</v>
      </c>
      <c r="D748" s="54" t="s">
        <v>1809</v>
      </c>
      <c r="E748" s="111"/>
      <c r="F748" s="58"/>
      <c r="G748" s="58"/>
      <c r="H748" s="58"/>
      <c r="I748" s="58"/>
      <c r="J748" s="58">
        <v>200000</v>
      </c>
      <c r="K748" s="58"/>
      <c r="L748" s="58"/>
      <c r="M748" s="58"/>
      <c r="N748" s="58"/>
      <c r="O748" s="58"/>
      <c r="P748" s="58"/>
      <c r="Q748" s="58"/>
      <c r="R748" s="58">
        <f t="shared" si="22"/>
        <v>200000</v>
      </c>
    </row>
    <row r="749" spans="1:18" x14ac:dyDescent="0.35">
      <c r="A749" s="5">
        <f t="shared" si="23"/>
        <v>747</v>
      </c>
      <c r="B749" s="52"/>
      <c r="C749" s="164" t="s">
        <v>2183</v>
      </c>
      <c r="D749" s="54" t="s">
        <v>136</v>
      </c>
      <c r="E749" s="111"/>
      <c r="F749" s="58"/>
      <c r="G749" s="58"/>
      <c r="H749" s="58"/>
      <c r="I749" s="58"/>
      <c r="J749" s="58"/>
      <c r="K749" s="58"/>
      <c r="L749" s="58">
        <v>200000</v>
      </c>
      <c r="M749" s="58"/>
      <c r="N749" s="58"/>
      <c r="O749" s="58"/>
      <c r="P749" s="58"/>
      <c r="Q749" s="58"/>
      <c r="R749" s="58">
        <f t="shared" si="22"/>
        <v>200000</v>
      </c>
    </row>
    <row r="750" spans="1:18" x14ac:dyDescent="0.35">
      <c r="A750" s="5">
        <f t="shared" si="23"/>
        <v>748</v>
      </c>
      <c r="B750" s="52"/>
      <c r="C750" s="53" t="s">
        <v>1941</v>
      </c>
      <c r="D750" s="54" t="s">
        <v>1810</v>
      </c>
      <c r="E750" s="111"/>
      <c r="F750" s="58"/>
      <c r="G750" s="58"/>
      <c r="H750" s="58"/>
      <c r="I750" s="58"/>
      <c r="J750" s="58"/>
      <c r="K750" s="58"/>
      <c r="L750" s="58">
        <v>200000</v>
      </c>
      <c r="M750" s="58"/>
      <c r="N750" s="58"/>
      <c r="O750" s="58"/>
      <c r="P750" s="58"/>
      <c r="Q750" s="58"/>
      <c r="R750" s="58">
        <f t="shared" si="22"/>
        <v>200000</v>
      </c>
    </row>
    <row r="751" spans="1:18" x14ac:dyDescent="0.35">
      <c r="A751" s="5">
        <f t="shared" si="23"/>
        <v>749</v>
      </c>
      <c r="B751" s="52"/>
      <c r="C751" s="53" t="s">
        <v>2074</v>
      </c>
      <c r="D751" s="54" t="s">
        <v>1812</v>
      </c>
      <c r="E751" s="111"/>
      <c r="F751" s="58"/>
      <c r="G751" s="58"/>
      <c r="H751" s="58"/>
      <c r="I751" s="58"/>
      <c r="J751" s="58"/>
      <c r="K751" s="58"/>
      <c r="L751" s="58">
        <v>200000</v>
      </c>
      <c r="M751" s="58"/>
      <c r="N751" s="58"/>
      <c r="O751" s="58"/>
      <c r="P751" s="58"/>
      <c r="Q751" s="58"/>
      <c r="R751" s="58">
        <f t="shared" si="22"/>
        <v>200000</v>
      </c>
    </row>
    <row r="752" spans="1:18" x14ac:dyDescent="0.35">
      <c r="A752" s="5">
        <f t="shared" si="23"/>
        <v>750</v>
      </c>
      <c r="B752" s="52"/>
      <c r="C752" s="53" t="s">
        <v>1939</v>
      </c>
      <c r="D752" s="54" t="s">
        <v>1812</v>
      </c>
      <c r="E752" s="111"/>
      <c r="F752" s="58"/>
      <c r="G752" s="58"/>
      <c r="H752" s="58"/>
      <c r="I752" s="58"/>
      <c r="J752" s="58"/>
      <c r="K752" s="58"/>
      <c r="L752" s="58">
        <v>200000</v>
      </c>
      <c r="M752" s="58"/>
      <c r="N752" s="58"/>
      <c r="O752" s="58"/>
      <c r="P752" s="58"/>
      <c r="Q752" s="58"/>
      <c r="R752" s="58">
        <f t="shared" si="22"/>
        <v>200000</v>
      </c>
    </row>
    <row r="753" spans="1:18" x14ac:dyDescent="0.35">
      <c r="A753" s="5">
        <f t="shared" si="23"/>
        <v>751</v>
      </c>
      <c r="B753" s="52"/>
      <c r="C753" s="53" t="s">
        <v>1938</v>
      </c>
      <c r="D753" s="54" t="s">
        <v>1812</v>
      </c>
      <c r="E753" s="111"/>
      <c r="F753" s="58"/>
      <c r="G753" s="58"/>
      <c r="H753" s="58"/>
      <c r="I753" s="58"/>
      <c r="J753" s="58"/>
      <c r="K753" s="58"/>
      <c r="L753" s="58">
        <v>200000</v>
      </c>
      <c r="M753" s="58"/>
      <c r="N753" s="58"/>
      <c r="O753" s="58"/>
      <c r="P753" s="58"/>
      <c r="Q753" s="58"/>
      <c r="R753" s="58">
        <f t="shared" si="22"/>
        <v>200000</v>
      </c>
    </row>
    <row r="754" spans="1:18" x14ac:dyDescent="0.35">
      <c r="A754" s="5">
        <f t="shared" si="23"/>
        <v>752</v>
      </c>
      <c r="B754" s="52"/>
      <c r="C754" s="64" t="s">
        <v>1945</v>
      </c>
      <c r="D754" s="54" t="s">
        <v>1835</v>
      </c>
      <c r="E754" s="111"/>
      <c r="F754" s="58"/>
      <c r="G754" s="58"/>
      <c r="H754" s="58"/>
      <c r="I754" s="58"/>
      <c r="J754" s="58"/>
      <c r="K754" s="58"/>
      <c r="L754" s="58"/>
      <c r="M754" s="58"/>
      <c r="N754" s="58">
        <v>200000</v>
      </c>
      <c r="O754" s="58"/>
      <c r="P754" s="58"/>
      <c r="Q754" s="58"/>
      <c r="R754" s="58">
        <f t="shared" si="22"/>
        <v>200000</v>
      </c>
    </row>
    <row r="755" spans="1:18" x14ac:dyDescent="0.35">
      <c r="A755" s="5">
        <f t="shared" si="23"/>
        <v>753</v>
      </c>
      <c r="B755" s="52"/>
      <c r="C755" s="64" t="s">
        <v>2178</v>
      </c>
      <c r="D755" s="54" t="s">
        <v>1924</v>
      </c>
      <c r="E755" s="111"/>
      <c r="F755" s="58"/>
      <c r="G755" s="58">
        <v>200000</v>
      </c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>
        <f t="shared" si="22"/>
        <v>200000</v>
      </c>
    </row>
    <row r="756" spans="1:18" x14ac:dyDescent="0.35">
      <c r="A756" s="5">
        <f t="shared" si="23"/>
        <v>754</v>
      </c>
      <c r="B756" s="52"/>
      <c r="C756" s="64" t="s">
        <v>1841</v>
      </c>
      <c r="D756" s="54"/>
      <c r="E756" s="111"/>
      <c r="F756" s="58"/>
      <c r="G756" s="58">
        <v>200000</v>
      </c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>
        <f t="shared" si="22"/>
        <v>200000</v>
      </c>
    </row>
    <row r="757" spans="1:18" x14ac:dyDescent="0.35">
      <c r="A757" s="5">
        <f t="shared" si="23"/>
        <v>755</v>
      </c>
      <c r="B757" s="52"/>
      <c r="C757" s="64" t="s">
        <v>1954</v>
      </c>
      <c r="D757" s="54" t="s">
        <v>1955</v>
      </c>
      <c r="E757" s="111"/>
      <c r="F757" s="58"/>
      <c r="G757" s="58">
        <v>200000</v>
      </c>
      <c r="H757" s="58"/>
      <c r="I757" s="58">
        <v>200000</v>
      </c>
      <c r="J757" s="58"/>
      <c r="K757" s="58"/>
      <c r="L757" s="58"/>
      <c r="M757" s="58"/>
      <c r="N757" s="58"/>
      <c r="O757" s="58"/>
      <c r="P757" s="58"/>
      <c r="Q757" s="58"/>
      <c r="R757" s="58">
        <f t="shared" si="22"/>
        <v>400000</v>
      </c>
    </row>
    <row r="758" spans="1:18" x14ac:dyDescent="0.35">
      <c r="A758" s="5">
        <f t="shared" si="23"/>
        <v>756</v>
      </c>
      <c r="B758" s="52"/>
      <c r="C758" s="64" t="s">
        <v>1925</v>
      </c>
      <c r="D758" s="54" t="s">
        <v>1924</v>
      </c>
      <c r="E758" s="111"/>
      <c r="F758" s="58"/>
      <c r="G758" s="58"/>
      <c r="H758" s="58"/>
      <c r="I758" s="58"/>
      <c r="J758" s="58">
        <v>200000</v>
      </c>
      <c r="K758" s="58"/>
      <c r="L758" s="58"/>
      <c r="M758" s="58"/>
      <c r="N758" s="58"/>
      <c r="O758" s="58"/>
      <c r="P758" s="58"/>
      <c r="Q758" s="58"/>
      <c r="R758" s="58">
        <f t="shared" si="22"/>
        <v>200000</v>
      </c>
    </row>
    <row r="759" spans="1:18" x14ac:dyDescent="0.35">
      <c r="A759" s="5">
        <f t="shared" si="23"/>
        <v>757</v>
      </c>
      <c r="B759" s="52"/>
      <c r="C759" s="64" t="s">
        <v>1922</v>
      </c>
      <c r="D759" s="54"/>
      <c r="E759" s="111"/>
      <c r="F759" s="58"/>
      <c r="G759" s="58"/>
      <c r="H759" s="58"/>
      <c r="I759" s="58"/>
      <c r="J759" s="58">
        <v>200000</v>
      </c>
      <c r="K759" s="58"/>
      <c r="L759" s="58"/>
      <c r="M759" s="58"/>
      <c r="N759" s="58"/>
      <c r="O759" s="58"/>
      <c r="P759" s="58"/>
      <c r="Q759" s="58"/>
      <c r="R759" s="58">
        <f t="shared" si="22"/>
        <v>200000</v>
      </c>
    </row>
    <row r="760" spans="1:18" x14ac:dyDescent="0.35">
      <c r="A760" s="5">
        <f t="shared" si="23"/>
        <v>758</v>
      </c>
      <c r="B760" s="52"/>
      <c r="C760" s="64" t="s">
        <v>1935</v>
      </c>
      <c r="D760" s="54" t="s">
        <v>1956</v>
      </c>
      <c r="E760" s="111"/>
      <c r="F760" s="58"/>
      <c r="G760" s="58"/>
      <c r="H760" s="58"/>
      <c r="I760" s="58"/>
      <c r="J760" s="58"/>
      <c r="K760" s="58">
        <v>200000</v>
      </c>
      <c r="L760" s="58"/>
      <c r="M760" s="58"/>
      <c r="N760" s="58"/>
      <c r="O760" s="58"/>
      <c r="P760" s="58"/>
      <c r="Q760" s="58"/>
      <c r="R760" s="58">
        <f t="shared" si="22"/>
        <v>200000</v>
      </c>
    </row>
    <row r="761" spans="1:18" x14ac:dyDescent="0.35">
      <c r="A761" s="5">
        <f t="shared" si="23"/>
        <v>759</v>
      </c>
      <c r="B761" s="52"/>
      <c r="C761" s="64" t="s">
        <v>1965</v>
      </c>
      <c r="D761" s="54" t="s">
        <v>1971</v>
      </c>
      <c r="E761" s="111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>
        <v>200000</v>
      </c>
      <c r="Q761" s="58"/>
      <c r="R761" s="58">
        <f t="shared" si="22"/>
        <v>200000</v>
      </c>
    </row>
    <row r="762" spans="1:18" x14ac:dyDescent="0.35">
      <c r="A762" s="5">
        <f t="shared" si="23"/>
        <v>760</v>
      </c>
      <c r="B762" s="52"/>
      <c r="C762" s="64" t="s">
        <v>1962</v>
      </c>
      <c r="D762" s="54" t="s">
        <v>1972</v>
      </c>
      <c r="E762" s="111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>
        <v>200000</v>
      </c>
      <c r="Q762" s="58"/>
      <c r="R762" s="58">
        <f t="shared" si="22"/>
        <v>200000</v>
      </c>
    </row>
    <row r="763" spans="1:18" ht="14" customHeight="1" x14ac:dyDescent="0.35">
      <c r="A763" s="60"/>
      <c r="B763" s="60"/>
      <c r="C763" s="61"/>
      <c r="D763" s="61"/>
      <c r="E763" s="111">
        <f t="shared" ref="E763:O763" si="24">SUM(E3:E761)</f>
        <v>14115000</v>
      </c>
      <c r="F763" s="111">
        <f t="shared" si="24"/>
        <v>-215000</v>
      </c>
      <c r="G763" s="111">
        <f t="shared" si="24"/>
        <v>1195000</v>
      </c>
      <c r="H763" s="111">
        <f t="shared" si="24"/>
        <v>-210000</v>
      </c>
      <c r="I763" s="111">
        <f t="shared" si="24"/>
        <v>400000</v>
      </c>
      <c r="J763" s="111">
        <f t="shared" si="24"/>
        <v>995000</v>
      </c>
      <c r="K763" s="111">
        <f t="shared" si="24"/>
        <v>400000</v>
      </c>
      <c r="L763" s="111">
        <f t="shared" si="24"/>
        <v>785000</v>
      </c>
      <c r="M763" s="111">
        <f t="shared" si="24"/>
        <v>185000</v>
      </c>
      <c r="N763" s="111">
        <f t="shared" si="24"/>
        <v>195000</v>
      </c>
      <c r="O763" s="111">
        <f t="shared" si="24"/>
        <v>-10000</v>
      </c>
      <c r="P763" s="59">
        <f>SUM(P3:P762)</f>
        <v>395000</v>
      </c>
      <c r="Q763" s="59">
        <f>SUM(Q3:Q762)</f>
        <v>-10000</v>
      </c>
      <c r="R763" s="59">
        <f>SUM(R3:R762)</f>
        <v>18220000</v>
      </c>
    </row>
    <row r="764" spans="1:18" x14ac:dyDescent="0.35">
      <c r="A764" s="60"/>
      <c r="B764" s="60"/>
      <c r="C764" s="60"/>
      <c r="D764" s="60"/>
      <c r="E764" s="112">
        <v>14120500</v>
      </c>
      <c r="F764" s="62">
        <v>215000</v>
      </c>
      <c r="G764" s="62">
        <f>1200000-5000</f>
        <v>1195000</v>
      </c>
      <c r="H764" s="62">
        <v>-210000</v>
      </c>
      <c r="I764" s="62">
        <v>400000</v>
      </c>
      <c r="J764" s="62">
        <f>1000000-5000</f>
        <v>995000</v>
      </c>
      <c r="K764" s="62">
        <v>400000</v>
      </c>
      <c r="L764" s="62">
        <f>1000000-215000</f>
        <v>785000</v>
      </c>
      <c r="M764" s="62">
        <f>400000-215000</f>
        <v>185000</v>
      </c>
      <c r="N764" s="62">
        <f>200000-5000</f>
        <v>195000</v>
      </c>
      <c r="O764" s="60">
        <v>-10000</v>
      </c>
      <c r="P764" s="60">
        <f>600000-205000</f>
        <v>395000</v>
      </c>
      <c r="Q764" s="60">
        <v>-10000</v>
      </c>
      <c r="R764" s="62">
        <v>18225000</v>
      </c>
    </row>
    <row r="765" spans="1:18" x14ac:dyDescent="0.35">
      <c r="A765" s="60"/>
      <c r="B765" s="60"/>
      <c r="C765" s="60"/>
      <c r="D765" s="60"/>
      <c r="E765" s="112">
        <f>E763-E764</f>
        <v>-5500</v>
      </c>
      <c r="F765" s="62">
        <f>F763+F764</f>
        <v>0</v>
      </c>
      <c r="G765" s="62">
        <f>G763-G764</f>
        <v>0</v>
      </c>
      <c r="H765" s="62">
        <f t="shared" ref="H765:Q765" si="25">H763-H764</f>
        <v>0</v>
      </c>
      <c r="I765" s="62">
        <f t="shared" si="25"/>
        <v>0</v>
      </c>
      <c r="J765" s="62">
        <f>J763-J764</f>
        <v>0</v>
      </c>
      <c r="K765" s="62">
        <f t="shared" si="25"/>
        <v>0</v>
      </c>
      <c r="L765" s="62">
        <f>L763-L764</f>
        <v>0</v>
      </c>
      <c r="M765" s="62">
        <f t="shared" si="25"/>
        <v>0</v>
      </c>
      <c r="N765" s="62">
        <f>N763-N764</f>
        <v>0</v>
      </c>
      <c r="O765" s="62">
        <f t="shared" si="25"/>
        <v>0</v>
      </c>
      <c r="P765" s="62">
        <f t="shared" si="25"/>
        <v>0</v>
      </c>
      <c r="Q765" s="62">
        <f t="shared" si="25"/>
        <v>0</v>
      </c>
      <c r="R765" s="63">
        <f>R763-R764</f>
        <v>-5000</v>
      </c>
    </row>
    <row r="770" spans="5:5" x14ac:dyDescent="0.35">
      <c r="E770" s="113" t="s">
        <v>1814</v>
      </c>
    </row>
    <row r="771" spans="5:5" x14ac:dyDescent="0.35">
      <c r="E771" s="113" t="s">
        <v>1837</v>
      </c>
    </row>
    <row r="772" spans="5:5" x14ac:dyDescent="0.35">
      <c r="E772" s="113" t="s">
        <v>1815</v>
      </c>
    </row>
  </sheetData>
  <mergeCells count="7">
    <mergeCell ref="R1:R2"/>
    <mergeCell ref="E1:E2"/>
    <mergeCell ref="A1:A2"/>
    <mergeCell ref="B1:B2"/>
    <mergeCell ref="C1:C2"/>
    <mergeCell ref="D1:D2"/>
    <mergeCell ref="F1:Q1"/>
  </mergeCells>
  <conditionalFormatting sqref="C1:C1048576">
    <cfRule type="duplicateValues" dxfId="69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9B48-DA68-4F0F-B3A1-7DDB412FF80A}">
  <sheetPr>
    <tabColor theme="8" tint="0.59999389629810485"/>
  </sheetPr>
  <dimension ref="A1:R764"/>
  <sheetViews>
    <sheetView topLeftCell="A466" zoomScale="85" zoomScaleNormal="85" workbookViewId="0">
      <selection activeCell="C477" sqref="C477"/>
    </sheetView>
  </sheetViews>
  <sheetFormatPr defaultRowHeight="14.5" x14ac:dyDescent="0.35"/>
  <cols>
    <col min="2" max="2" width="13.08984375" customWidth="1"/>
    <col min="3" max="3" width="30.26953125" customWidth="1"/>
    <col min="4" max="4" width="8.7265625" hidden="1" customWidth="1"/>
    <col min="5" max="5" width="15.26953125" hidden="1" customWidth="1"/>
    <col min="6" max="6" width="11.1796875" style="29" hidden="1" customWidth="1"/>
    <col min="7" max="8" width="10.36328125" style="29" hidden="1" customWidth="1"/>
    <col min="9" max="9" width="11.36328125" style="120" hidden="1" customWidth="1"/>
    <col min="10" max="12" width="10.36328125" style="29" hidden="1" customWidth="1"/>
    <col min="13" max="13" width="12" style="29" hidden="1" customWidth="1"/>
    <col min="14" max="14" width="11" style="29" hidden="1" customWidth="1"/>
    <col min="15" max="15" width="11.36328125" style="29" hidden="1" customWidth="1"/>
    <col min="16" max="16" width="10.36328125" style="29" hidden="1" customWidth="1"/>
    <col min="17" max="17" width="11.1796875" style="29" customWidth="1"/>
    <col min="18" max="18" width="18" customWidth="1"/>
  </cols>
  <sheetData>
    <row r="1" spans="1:18" ht="27" customHeight="1" x14ac:dyDescent="0.35">
      <c r="A1" s="188" t="s">
        <v>0</v>
      </c>
      <c r="B1" s="197" t="s">
        <v>1</v>
      </c>
      <c r="C1" s="188" t="s">
        <v>2</v>
      </c>
      <c r="D1" s="189" t="s">
        <v>3</v>
      </c>
      <c r="E1" s="195" t="s">
        <v>1821</v>
      </c>
      <c r="F1" s="198" t="s">
        <v>1820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3" t="s">
        <v>1820</v>
      </c>
    </row>
    <row r="2" spans="1:18" x14ac:dyDescent="0.35">
      <c r="A2" s="188"/>
      <c r="B2" s="197"/>
      <c r="C2" s="188"/>
      <c r="D2" s="189"/>
      <c r="E2" s="196"/>
      <c r="F2" s="47" t="s">
        <v>1795</v>
      </c>
      <c r="G2" s="47" t="s">
        <v>1802</v>
      </c>
      <c r="H2" s="47" t="s">
        <v>1797</v>
      </c>
      <c r="I2" s="74" t="s">
        <v>1798</v>
      </c>
      <c r="J2" s="47" t="s">
        <v>1799</v>
      </c>
      <c r="K2" s="47" t="s">
        <v>1800</v>
      </c>
      <c r="L2" s="47" t="s">
        <v>1801</v>
      </c>
      <c r="M2" s="47" t="s">
        <v>1803</v>
      </c>
      <c r="N2" s="47" t="s">
        <v>1805</v>
      </c>
      <c r="O2" s="47" t="s">
        <v>1806</v>
      </c>
      <c r="P2" s="47" t="s">
        <v>1807</v>
      </c>
      <c r="Q2" s="47" t="s">
        <v>1808</v>
      </c>
      <c r="R2" s="194"/>
    </row>
    <row r="3" spans="1:18" x14ac:dyDescent="0.35">
      <c r="A3" s="52">
        <v>1</v>
      </c>
      <c r="B3" s="67" t="s">
        <v>9</v>
      </c>
      <c r="C3" s="139" t="s">
        <v>1973</v>
      </c>
      <c r="D3" s="54" t="s">
        <v>11</v>
      </c>
      <c r="E3" s="9">
        <v>0</v>
      </c>
      <c r="F3" s="47"/>
      <c r="G3" s="47"/>
      <c r="H3" s="47"/>
      <c r="I3" s="74"/>
      <c r="J3" s="47"/>
      <c r="K3" s="47"/>
      <c r="L3" s="47"/>
      <c r="M3" s="47"/>
      <c r="N3" s="47"/>
      <c r="O3" s="47"/>
      <c r="P3" s="47"/>
      <c r="Q3" s="47"/>
      <c r="R3" s="75">
        <f>E3+F3+G3+H3+I3+J3+K3+L3+M3+N3+O3+P3+Q3</f>
        <v>0</v>
      </c>
    </row>
    <row r="4" spans="1:18" x14ac:dyDescent="0.35">
      <c r="A4" s="52">
        <v>2</v>
      </c>
      <c r="B4" s="67" t="s">
        <v>12</v>
      </c>
      <c r="C4" s="7" t="s">
        <v>1582</v>
      </c>
      <c r="D4" s="54" t="s">
        <v>14</v>
      </c>
      <c r="E4" s="9">
        <v>0</v>
      </c>
      <c r="F4" s="47"/>
      <c r="G4" s="47"/>
      <c r="H4" s="47"/>
      <c r="I4" s="74"/>
      <c r="J4" s="47"/>
      <c r="K4" s="47"/>
      <c r="L4" s="47"/>
      <c r="M4" s="47"/>
      <c r="N4" s="47"/>
      <c r="O4" s="47"/>
      <c r="P4" s="47"/>
      <c r="Q4" s="47"/>
      <c r="R4" s="75">
        <f t="shared" ref="R4:R67" si="0">E4+F4+G4+H4+I4+J4+K4+L4+M4+N4+O4+P4+Q4</f>
        <v>0</v>
      </c>
    </row>
    <row r="5" spans="1:18" x14ac:dyDescent="0.35">
      <c r="A5" s="52">
        <v>3</v>
      </c>
      <c r="B5" s="67" t="s">
        <v>15</v>
      </c>
      <c r="C5" s="7" t="s">
        <v>16</v>
      </c>
      <c r="D5" s="54"/>
      <c r="E5" s="9">
        <v>0</v>
      </c>
      <c r="F5" s="47"/>
      <c r="G5" s="47"/>
      <c r="H5" s="47"/>
      <c r="I5" s="74"/>
      <c r="J5" s="47"/>
      <c r="K5" s="47"/>
      <c r="L5" s="47"/>
      <c r="M5" s="47"/>
      <c r="N5" s="47"/>
      <c r="O5" s="47"/>
      <c r="P5" s="47"/>
      <c r="Q5" s="47"/>
      <c r="R5" s="75">
        <f t="shared" si="0"/>
        <v>0</v>
      </c>
    </row>
    <row r="6" spans="1:18" x14ac:dyDescent="0.35">
      <c r="A6" s="52">
        <v>4</v>
      </c>
      <c r="B6" s="67" t="s">
        <v>17</v>
      </c>
      <c r="C6" s="144" t="s">
        <v>1855</v>
      </c>
      <c r="D6" s="54" t="s">
        <v>19</v>
      </c>
      <c r="E6" s="9">
        <v>0</v>
      </c>
      <c r="F6" s="47"/>
      <c r="G6" s="47"/>
      <c r="H6" s="47"/>
      <c r="I6" s="74"/>
      <c r="J6" s="47"/>
      <c r="K6" s="47"/>
      <c r="L6" s="47"/>
      <c r="M6" s="47"/>
      <c r="N6" s="47"/>
      <c r="O6" s="47"/>
      <c r="P6" s="47"/>
      <c r="Q6" s="47"/>
      <c r="R6" s="75">
        <f t="shared" si="0"/>
        <v>0</v>
      </c>
    </row>
    <row r="7" spans="1:18" x14ac:dyDescent="0.35">
      <c r="A7" s="52">
        <v>5</v>
      </c>
      <c r="B7" s="67" t="s">
        <v>20</v>
      </c>
      <c r="C7" s="7" t="s">
        <v>21</v>
      </c>
      <c r="D7" s="54" t="s">
        <v>22</v>
      </c>
      <c r="E7" s="9">
        <v>795000</v>
      </c>
      <c r="F7" s="47"/>
      <c r="G7" s="47"/>
      <c r="H7" s="47"/>
      <c r="I7" s="74"/>
      <c r="J7" s="47"/>
      <c r="K7" s="47"/>
      <c r="L7" s="47"/>
      <c r="M7" s="47"/>
      <c r="N7" s="47"/>
      <c r="O7" s="47"/>
      <c r="P7" s="47">
        <v>-795000</v>
      </c>
      <c r="Q7" s="47"/>
      <c r="R7" s="75">
        <f t="shared" si="0"/>
        <v>0</v>
      </c>
    </row>
    <row r="8" spans="1:18" x14ac:dyDescent="0.35">
      <c r="A8" s="52">
        <v>6</v>
      </c>
      <c r="B8" s="67" t="s">
        <v>23</v>
      </c>
      <c r="C8" s="7" t="s">
        <v>1757</v>
      </c>
      <c r="D8" s="54" t="s">
        <v>25</v>
      </c>
      <c r="E8" s="9">
        <v>37500</v>
      </c>
      <c r="F8" s="47"/>
      <c r="G8" s="47"/>
      <c r="H8" s="47"/>
      <c r="I8" s="74"/>
      <c r="J8" s="47"/>
      <c r="K8" s="47"/>
      <c r="L8" s="47"/>
      <c r="M8" s="47"/>
      <c r="N8" s="47"/>
      <c r="O8" s="47">
        <v>-37500</v>
      </c>
      <c r="P8" s="47"/>
      <c r="Q8" s="47"/>
      <c r="R8" s="75">
        <f t="shared" si="0"/>
        <v>0</v>
      </c>
    </row>
    <row r="9" spans="1:18" x14ac:dyDescent="0.35">
      <c r="A9" s="52">
        <v>7</v>
      </c>
      <c r="B9" s="67" t="s">
        <v>39</v>
      </c>
      <c r="C9" s="7" t="s">
        <v>1583</v>
      </c>
      <c r="D9" s="54" t="s">
        <v>41</v>
      </c>
      <c r="E9" s="9">
        <v>0</v>
      </c>
      <c r="F9" s="47"/>
      <c r="G9" s="47"/>
      <c r="H9" s="47"/>
      <c r="I9" s="74"/>
      <c r="J9" s="47"/>
      <c r="K9" s="47"/>
      <c r="L9" s="47"/>
      <c r="M9" s="47"/>
      <c r="N9" s="47"/>
      <c r="O9" s="47"/>
      <c r="P9" s="47"/>
      <c r="Q9" s="47"/>
      <c r="R9" s="75">
        <f t="shared" si="0"/>
        <v>0</v>
      </c>
    </row>
    <row r="10" spans="1:18" x14ac:dyDescent="0.35">
      <c r="A10" s="52">
        <v>8</v>
      </c>
      <c r="B10" s="67" t="s">
        <v>42</v>
      </c>
      <c r="C10" s="90" t="s">
        <v>1749</v>
      </c>
      <c r="D10" s="54" t="s">
        <v>14</v>
      </c>
      <c r="E10" s="9">
        <v>0</v>
      </c>
      <c r="F10" s="47"/>
      <c r="G10" s="47"/>
      <c r="H10" s="47"/>
      <c r="I10" s="74"/>
      <c r="J10" s="47"/>
      <c r="K10" s="47"/>
      <c r="L10" s="47"/>
      <c r="M10" s="47"/>
      <c r="N10" s="47"/>
      <c r="O10" s="47"/>
      <c r="P10" s="47"/>
      <c r="Q10" s="47"/>
      <c r="R10" s="75">
        <f t="shared" si="0"/>
        <v>0</v>
      </c>
    </row>
    <row r="11" spans="1:18" x14ac:dyDescent="0.35">
      <c r="A11" s="52">
        <v>9</v>
      </c>
      <c r="B11" s="67" t="s">
        <v>44</v>
      </c>
      <c r="C11" s="7" t="s">
        <v>45</v>
      </c>
      <c r="D11" s="54" t="s">
        <v>46</v>
      </c>
      <c r="E11" s="9">
        <v>0</v>
      </c>
      <c r="F11" s="47"/>
      <c r="G11" s="47"/>
      <c r="H11" s="47"/>
      <c r="I11" s="74"/>
      <c r="J11" s="47"/>
      <c r="K11" s="47"/>
      <c r="L11" s="47"/>
      <c r="M11" s="47"/>
      <c r="N11" s="47"/>
      <c r="O11" s="47"/>
      <c r="P11" s="47"/>
      <c r="Q11" s="47"/>
      <c r="R11" s="75">
        <f t="shared" si="0"/>
        <v>0</v>
      </c>
    </row>
    <row r="12" spans="1:18" x14ac:dyDescent="0.35">
      <c r="A12" s="52">
        <v>10</v>
      </c>
      <c r="B12" s="67" t="s">
        <v>47</v>
      </c>
      <c r="C12" s="7" t="s">
        <v>48</v>
      </c>
      <c r="D12" s="54" t="s">
        <v>49</v>
      </c>
      <c r="E12" s="9">
        <v>100000</v>
      </c>
      <c r="F12" s="47"/>
      <c r="G12" s="47"/>
      <c r="H12" s="47"/>
      <c r="I12" s="74"/>
      <c r="J12" s="47"/>
      <c r="K12" s="47"/>
      <c r="L12" s="47"/>
      <c r="M12" s="47"/>
      <c r="N12" s="47"/>
      <c r="O12" s="47"/>
      <c r="P12" s="47"/>
      <c r="Q12" s="47"/>
      <c r="R12" s="75">
        <f t="shared" si="0"/>
        <v>100000</v>
      </c>
    </row>
    <row r="13" spans="1:18" x14ac:dyDescent="0.35">
      <c r="A13" s="52">
        <v>11</v>
      </c>
      <c r="B13" s="67" t="s">
        <v>50</v>
      </c>
      <c r="C13" s="7" t="s">
        <v>1584</v>
      </c>
      <c r="D13" s="54" t="s">
        <v>52</v>
      </c>
      <c r="E13" s="9">
        <v>0</v>
      </c>
      <c r="F13" s="47"/>
      <c r="G13" s="47"/>
      <c r="H13" s="47"/>
      <c r="I13" s="74"/>
      <c r="J13" s="47"/>
      <c r="K13" s="47"/>
      <c r="L13" s="47"/>
      <c r="M13" s="47"/>
      <c r="N13" s="47"/>
      <c r="O13" s="47"/>
      <c r="P13" s="47"/>
      <c r="Q13" s="47"/>
      <c r="R13" s="75">
        <f t="shared" si="0"/>
        <v>0</v>
      </c>
    </row>
    <row r="14" spans="1:18" x14ac:dyDescent="0.35">
      <c r="A14" s="52">
        <v>12</v>
      </c>
      <c r="B14" s="67" t="s">
        <v>53</v>
      </c>
      <c r="C14" s="7" t="s">
        <v>1585</v>
      </c>
      <c r="D14" s="54" t="s">
        <v>55</v>
      </c>
      <c r="E14" s="9">
        <v>0</v>
      </c>
      <c r="F14" s="47"/>
      <c r="G14" s="47"/>
      <c r="H14" s="47"/>
      <c r="I14" s="74"/>
      <c r="J14" s="47"/>
      <c r="K14" s="47"/>
      <c r="L14" s="47"/>
      <c r="M14" s="47"/>
      <c r="N14" s="47"/>
      <c r="O14" s="47"/>
      <c r="P14" s="47"/>
      <c r="Q14" s="47"/>
      <c r="R14" s="75">
        <f t="shared" si="0"/>
        <v>0</v>
      </c>
    </row>
    <row r="15" spans="1:18" x14ac:dyDescent="0.35">
      <c r="A15" s="52">
        <v>13</v>
      </c>
      <c r="B15" s="67" t="s">
        <v>56</v>
      </c>
      <c r="C15" s="7" t="s">
        <v>57</v>
      </c>
      <c r="D15" s="54" t="s">
        <v>49</v>
      </c>
      <c r="E15" s="9">
        <v>0</v>
      </c>
      <c r="F15" s="47"/>
      <c r="G15" s="47"/>
      <c r="H15" s="47"/>
      <c r="I15" s="74"/>
      <c r="J15" s="47"/>
      <c r="K15" s="47"/>
      <c r="L15" s="47"/>
      <c r="M15" s="47"/>
      <c r="N15" s="47"/>
      <c r="O15" s="47"/>
      <c r="P15" s="47"/>
      <c r="Q15" s="47"/>
      <c r="R15" s="75">
        <f t="shared" si="0"/>
        <v>0</v>
      </c>
    </row>
    <row r="16" spans="1:18" x14ac:dyDescent="0.35">
      <c r="A16" s="52">
        <v>14</v>
      </c>
      <c r="B16" s="67" t="s">
        <v>58</v>
      </c>
      <c r="C16" s="90" t="s">
        <v>1781</v>
      </c>
      <c r="D16" s="54" t="s">
        <v>60</v>
      </c>
      <c r="E16" s="9">
        <v>0</v>
      </c>
      <c r="F16" s="47"/>
      <c r="G16" s="47"/>
      <c r="H16" s="47"/>
      <c r="I16" s="74"/>
      <c r="J16" s="47"/>
      <c r="K16" s="47"/>
      <c r="L16" s="47"/>
      <c r="M16" s="47"/>
      <c r="N16" s="47"/>
      <c r="O16" s="47"/>
      <c r="P16" s="47"/>
      <c r="Q16" s="47"/>
      <c r="R16" s="75">
        <f t="shared" si="0"/>
        <v>0</v>
      </c>
    </row>
    <row r="17" spans="1:18" x14ac:dyDescent="0.35">
      <c r="A17" s="52">
        <v>15</v>
      </c>
      <c r="B17" s="67" t="s">
        <v>61</v>
      </c>
      <c r="C17" s="7" t="s">
        <v>62</v>
      </c>
      <c r="D17" s="54" t="s">
        <v>49</v>
      </c>
      <c r="E17" s="9">
        <v>0</v>
      </c>
      <c r="F17" s="47"/>
      <c r="G17" s="47"/>
      <c r="H17" s="47"/>
      <c r="I17" s="74"/>
      <c r="J17" s="47"/>
      <c r="K17" s="47"/>
      <c r="L17" s="47"/>
      <c r="M17" s="47"/>
      <c r="N17" s="47"/>
      <c r="O17" s="47"/>
      <c r="P17" s="47"/>
      <c r="Q17" s="47"/>
      <c r="R17" s="75">
        <f t="shared" si="0"/>
        <v>0</v>
      </c>
    </row>
    <row r="18" spans="1:18" x14ac:dyDescent="0.35">
      <c r="A18" s="52">
        <v>16</v>
      </c>
      <c r="B18" s="67" t="s">
        <v>63</v>
      </c>
      <c r="C18" s="7" t="s">
        <v>1586</v>
      </c>
      <c r="D18" s="54" t="s">
        <v>65</v>
      </c>
      <c r="E18" s="9">
        <v>0</v>
      </c>
      <c r="F18" s="47"/>
      <c r="G18" s="47"/>
      <c r="H18" s="47"/>
      <c r="I18" s="74"/>
      <c r="J18" s="47"/>
      <c r="K18" s="47"/>
      <c r="L18" s="47"/>
      <c r="M18" s="47"/>
      <c r="N18" s="47"/>
      <c r="O18" s="47"/>
      <c r="P18" s="47"/>
      <c r="Q18" s="47"/>
      <c r="R18" s="75">
        <f t="shared" si="0"/>
        <v>0</v>
      </c>
    </row>
    <row r="19" spans="1:18" x14ac:dyDescent="0.35">
      <c r="A19" s="52">
        <v>17</v>
      </c>
      <c r="B19" s="67" t="s">
        <v>66</v>
      </c>
      <c r="C19" s="7" t="s">
        <v>1587</v>
      </c>
      <c r="D19" s="54" t="s">
        <v>25</v>
      </c>
      <c r="E19" s="9">
        <v>347500</v>
      </c>
      <c r="F19" s="47">
        <v>-347500</v>
      </c>
      <c r="G19" s="47"/>
      <c r="H19" s="47"/>
      <c r="I19" s="74"/>
      <c r="J19" s="47"/>
      <c r="K19" s="47"/>
      <c r="L19" s="47"/>
      <c r="M19" s="47"/>
      <c r="N19" s="47"/>
      <c r="O19" s="47"/>
      <c r="P19" s="47"/>
      <c r="Q19" s="47"/>
      <c r="R19" s="75">
        <f t="shared" si="0"/>
        <v>0</v>
      </c>
    </row>
    <row r="20" spans="1:18" x14ac:dyDescent="0.35">
      <c r="A20" s="52">
        <v>18</v>
      </c>
      <c r="B20" s="67" t="s">
        <v>68</v>
      </c>
      <c r="C20" s="7" t="s">
        <v>1588</v>
      </c>
      <c r="D20" s="54" t="s">
        <v>19</v>
      </c>
      <c r="E20" s="9">
        <v>0</v>
      </c>
      <c r="F20" s="47"/>
      <c r="G20" s="47"/>
      <c r="H20" s="47"/>
      <c r="I20" s="74"/>
      <c r="J20" s="47"/>
      <c r="K20" s="47"/>
      <c r="L20" s="47"/>
      <c r="M20" s="47"/>
      <c r="N20" s="47"/>
      <c r="O20" s="47"/>
      <c r="P20" s="47"/>
      <c r="Q20" s="47"/>
      <c r="R20" s="75">
        <f t="shared" si="0"/>
        <v>0</v>
      </c>
    </row>
    <row r="21" spans="1:18" x14ac:dyDescent="0.35">
      <c r="A21" s="52">
        <v>19</v>
      </c>
      <c r="B21" s="67" t="s">
        <v>70</v>
      </c>
      <c r="C21" s="7" t="s">
        <v>1589</v>
      </c>
      <c r="D21" s="54" t="s">
        <v>72</v>
      </c>
      <c r="E21" s="9">
        <v>0</v>
      </c>
      <c r="F21" s="47"/>
      <c r="G21" s="47"/>
      <c r="H21" s="47"/>
      <c r="I21" s="74"/>
      <c r="J21" s="47"/>
      <c r="K21" s="47"/>
      <c r="L21" s="47"/>
      <c r="M21" s="47"/>
      <c r="N21" s="47"/>
      <c r="O21" s="47"/>
      <c r="P21" s="47"/>
      <c r="Q21" s="47"/>
      <c r="R21" s="75">
        <f t="shared" si="0"/>
        <v>0</v>
      </c>
    </row>
    <row r="22" spans="1:18" x14ac:dyDescent="0.35">
      <c r="A22" s="52">
        <v>20</v>
      </c>
      <c r="B22" s="67" t="s">
        <v>73</v>
      </c>
      <c r="C22" s="7" t="s">
        <v>1590</v>
      </c>
      <c r="D22" s="54" t="s">
        <v>72</v>
      </c>
      <c r="E22" s="9">
        <v>0</v>
      </c>
      <c r="F22" s="47"/>
      <c r="G22" s="47"/>
      <c r="H22" s="47"/>
      <c r="I22" s="74"/>
      <c r="J22" s="47"/>
      <c r="K22" s="47"/>
      <c r="L22" s="47"/>
      <c r="M22" s="47"/>
      <c r="N22" s="47"/>
      <c r="O22" s="47"/>
      <c r="P22" s="47"/>
      <c r="Q22" s="47"/>
      <c r="R22" s="75">
        <f t="shared" si="0"/>
        <v>0</v>
      </c>
    </row>
    <row r="23" spans="1:18" x14ac:dyDescent="0.35">
      <c r="A23" s="52">
        <v>21</v>
      </c>
      <c r="B23" s="67" t="s">
        <v>75</v>
      </c>
      <c r="C23" s="7" t="s">
        <v>1591</v>
      </c>
      <c r="D23" s="54" t="s">
        <v>77</v>
      </c>
      <c r="E23" s="9">
        <v>0</v>
      </c>
      <c r="F23" s="47"/>
      <c r="G23" s="47"/>
      <c r="H23" s="47"/>
      <c r="I23" s="74"/>
      <c r="J23" s="47"/>
      <c r="K23" s="47"/>
      <c r="L23" s="47"/>
      <c r="M23" s="47"/>
      <c r="N23" s="47"/>
      <c r="O23" s="47"/>
      <c r="P23" s="47"/>
      <c r="Q23" s="47"/>
      <c r="R23" s="75">
        <f t="shared" si="0"/>
        <v>0</v>
      </c>
    </row>
    <row r="24" spans="1:18" x14ac:dyDescent="0.35">
      <c r="A24" s="52">
        <v>22</v>
      </c>
      <c r="B24" s="67" t="s">
        <v>78</v>
      </c>
      <c r="C24" s="18" t="s">
        <v>79</v>
      </c>
      <c r="D24" s="54" t="s">
        <v>80</v>
      </c>
      <c r="E24" s="9">
        <v>0</v>
      </c>
      <c r="F24" s="47"/>
      <c r="G24" s="47"/>
      <c r="H24" s="47"/>
      <c r="I24" s="74"/>
      <c r="J24" s="47"/>
      <c r="K24" s="47"/>
      <c r="L24" s="47"/>
      <c r="M24" s="47"/>
      <c r="N24" s="47"/>
      <c r="O24" s="47"/>
      <c r="P24" s="47"/>
      <c r="Q24" s="47"/>
      <c r="R24" s="75">
        <f t="shared" si="0"/>
        <v>0</v>
      </c>
    </row>
    <row r="25" spans="1:18" x14ac:dyDescent="0.35">
      <c r="A25" s="52">
        <v>23</v>
      </c>
      <c r="B25" s="67" t="s">
        <v>81</v>
      </c>
      <c r="C25" s="7" t="s">
        <v>1592</v>
      </c>
      <c r="D25" s="54" t="s">
        <v>83</v>
      </c>
      <c r="E25" s="9">
        <v>0</v>
      </c>
      <c r="F25" s="47"/>
      <c r="G25" s="47"/>
      <c r="H25" s="47"/>
      <c r="I25" s="74"/>
      <c r="J25" s="47"/>
      <c r="K25" s="47"/>
      <c r="L25" s="47"/>
      <c r="M25" s="47"/>
      <c r="N25" s="47"/>
      <c r="O25" s="47"/>
      <c r="P25" s="47"/>
      <c r="Q25" s="47"/>
      <c r="R25" s="75">
        <f t="shared" si="0"/>
        <v>0</v>
      </c>
    </row>
    <row r="26" spans="1:18" x14ac:dyDescent="0.35">
      <c r="A26" s="52">
        <v>24</v>
      </c>
      <c r="B26" s="67" t="s">
        <v>84</v>
      </c>
      <c r="C26" s="18" t="s">
        <v>1593</v>
      </c>
      <c r="D26" s="54" t="s">
        <v>72</v>
      </c>
      <c r="E26" s="9">
        <v>0</v>
      </c>
      <c r="F26" s="47"/>
      <c r="G26" s="47"/>
      <c r="H26" s="47"/>
      <c r="I26" s="74"/>
      <c r="J26" s="47"/>
      <c r="K26" s="47"/>
      <c r="L26" s="47"/>
      <c r="M26" s="47"/>
      <c r="N26" s="47"/>
      <c r="O26" s="47"/>
      <c r="P26" s="47"/>
      <c r="Q26" s="47"/>
      <c r="R26" s="75">
        <f t="shared" si="0"/>
        <v>0</v>
      </c>
    </row>
    <row r="27" spans="1:18" x14ac:dyDescent="0.35">
      <c r="A27" s="52">
        <v>25</v>
      </c>
      <c r="B27" s="67" t="s">
        <v>86</v>
      </c>
      <c r="C27" s="90" t="s">
        <v>1974</v>
      </c>
      <c r="D27" s="54" t="s">
        <v>65</v>
      </c>
      <c r="E27" s="9">
        <v>535000</v>
      </c>
      <c r="F27" s="47"/>
      <c r="G27" s="47"/>
      <c r="H27" s="47"/>
      <c r="I27" s="74"/>
      <c r="J27" s="47"/>
      <c r="K27" s="47"/>
      <c r="L27" s="47"/>
      <c r="M27" s="47"/>
      <c r="N27" s="47"/>
      <c r="O27" s="47"/>
      <c r="P27" s="47"/>
      <c r="Q27" s="47"/>
      <c r="R27" s="75">
        <f t="shared" si="0"/>
        <v>535000</v>
      </c>
    </row>
    <row r="28" spans="1:18" x14ac:dyDescent="0.35">
      <c r="A28" s="52">
        <v>26</v>
      </c>
      <c r="B28" s="67" t="s">
        <v>88</v>
      </c>
      <c r="C28" s="7" t="s">
        <v>1975</v>
      </c>
      <c r="D28" s="54" t="s">
        <v>80</v>
      </c>
      <c r="E28" s="9">
        <v>0</v>
      </c>
      <c r="F28" s="47"/>
      <c r="G28" s="47"/>
      <c r="H28" s="47"/>
      <c r="I28" s="74"/>
      <c r="J28" s="47"/>
      <c r="K28" s="47"/>
      <c r="L28" s="47"/>
      <c r="M28" s="47"/>
      <c r="N28" s="47"/>
      <c r="O28" s="47"/>
      <c r="P28" s="47"/>
      <c r="Q28" s="47"/>
      <c r="R28" s="75">
        <f t="shared" si="0"/>
        <v>0</v>
      </c>
    </row>
    <row r="29" spans="1:18" x14ac:dyDescent="0.35">
      <c r="A29" s="52">
        <v>27</v>
      </c>
      <c r="B29" s="67" t="s">
        <v>90</v>
      </c>
      <c r="C29" s="144" t="s">
        <v>1976</v>
      </c>
      <c r="D29" s="54" t="s">
        <v>92</v>
      </c>
      <c r="E29" s="9">
        <v>0</v>
      </c>
      <c r="F29" s="47"/>
      <c r="G29" s="47"/>
      <c r="H29" s="47"/>
      <c r="I29" s="74"/>
      <c r="J29" s="47"/>
      <c r="K29" s="47"/>
      <c r="L29" s="47"/>
      <c r="M29" s="47"/>
      <c r="N29" s="47"/>
      <c r="O29" s="47"/>
      <c r="P29" s="47"/>
      <c r="Q29" s="47"/>
      <c r="R29" s="75">
        <f t="shared" si="0"/>
        <v>0</v>
      </c>
    </row>
    <row r="30" spans="1:18" x14ac:dyDescent="0.35">
      <c r="A30" s="52">
        <v>28</v>
      </c>
      <c r="B30" s="67" t="s">
        <v>93</v>
      </c>
      <c r="C30" s="7" t="s">
        <v>1594</v>
      </c>
      <c r="D30" s="54" t="s">
        <v>95</v>
      </c>
      <c r="E30" s="9">
        <v>0</v>
      </c>
      <c r="F30" s="47"/>
      <c r="G30" s="47"/>
      <c r="H30" s="47"/>
      <c r="I30" s="74"/>
      <c r="J30" s="47"/>
      <c r="K30" s="47"/>
      <c r="L30" s="47"/>
      <c r="M30" s="47"/>
      <c r="N30" s="47"/>
      <c r="O30" s="47"/>
      <c r="P30" s="47"/>
      <c r="Q30" s="47"/>
      <c r="R30" s="75">
        <f t="shared" si="0"/>
        <v>0</v>
      </c>
    </row>
    <row r="31" spans="1:18" x14ac:dyDescent="0.35">
      <c r="A31" s="52">
        <v>29</v>
      </c>
      <c r="B31" s="67" t="s">
        <v>96</v>
      </c>
      <c r="C31" s="90" t="s">
        <v>1977</v>
      </c>
      <c r="D31" s="54" t="s">
        <v>98</v>
      </c>
      <c r="E31" s="9">
        <v>0</v>
      </c>
      <c r="F31" s="47"/>
      <c r="G31" s="47"/>
      <c r="H31" s="47"/>
      <c r="I31" s="74"/>
      <c r="J31" s="47"/>
      <c r="K31" s="47"/>
      <c r="L31" s="47"/>
      <c r="M31" s="47"/>
      <c r="N31" s="47"/>
      <c r="O31" s="47"/>
      <c r="P31" s="47"/>
      <c r="Q31" s="47"/>
      <c r="R31" s="75">
        <f t="shared" si="0"/>
        <v>0</v>
      </c>
    </row>
    <row r="32" spans="1:18" x14ac:dyDescent="0.35">
      <c r="A32" s="52">
        <v>30</v>
      </c>
      <c r="B32" s="67" t="s">
        <v>99</v>
      </c>
      <c r="C32" s="7" t="s">
        <v>1595</v>
      </c>
      <c r="D32" s="54" t="s">
        <v>41</v>
      </c>
      <c r="E32" s="9">
        <v>100000</v>
      </c>
      <c r="F32" s="47"/>
      <c r="G32" s="47"/>
      <c r="H32" s="47"/>
      <c r="I32" s="74"/>
      <c r="J32" s="47"/>
      <c r="K32" s="47"/>
      <c r="L32" s="47"/>
      <c r="M32" s="47"/>
      <c r="N32" s="47"/>
      <c r="O32" s="47"/>
      <c r="P32" s="47"/>
      <c r="Q32" s="47"/>
      <c r="R32" s="75">
        <f t="shared" si="0"/>
        <v>100000</v>
      </c>
    </row>
    <row r="33" spans="1:18" x14ac:dyDescent="0.35">
      <c r="A33" s="52">
        <v>31</v>
      </c>
      <c r="B33" s="67" t="s">
        <v>101</v>
      </c>
      <c r="C33" s="144" t="s">
        <v>1978</v>
      </c>
      <c r="D33" s="54" t="s">
        <v>103</v>
      </c>
      <c r="E33" s="9">
        <v>0</v>
      </c>
      <c r="F33" s="47"/>
      <c r="G33" s="47"/>
      <c r="H33" s="47"/>
      <c r="I33" s="74"/>
      <c r="J33" s="47"/>
      <c r="K33" s="47"/>
      <c r="L33" s="47"/>
      <c r="M33" s="47"/>
      <c r="N33" s="47"/>
      <c r="O33" s="47"/>
      <c r="P33" s="47"/>
      <c r="Q33" s="47"/>
      <c r="R33" s="75">
        <f t="shared" si="0"/>
        <v>0</v>
      </c>
    </row>
    <row r="34" spans="1:18" x14ac:dyDescent="0.35">
      <c r="A34" s="52">
        <v>32</v>
      </c>
      <c r="B34" s="67" t="s">
        <v>104</v>
      </c>
      <c r="C34" s="7" t="s">
        <v>1596</v>
      </c>
      <c r="D34" s="54" t="s">
        <v>95</v>
      </c>
      <c r="E34" s="9">
        <v>0</v>
      </c>
      <c r="F34" s="47"/>
      <c r="G34" s="47"/>
      <c r="H34" s="47"/>
      <c r="I34" s="74"/>
      <c r="J34" s="47"/>
      <c r="K34" s="47"/>
      <c r="L34" s="47"/>
      <c r="M34" s="47"/>
      <c r="N34" s="47"/>
      <c r="O34" s="47"/>
      <c r="P34" s="47"/>
      <c r="Q34" s="47"/>
      <c r="R34" s="75">
        <f t="shared" si="0"/>
        <v>0</v>
      </c>
    </row>
    <row r="35" spans="1:18" x14ac:dyDescent="0.35">
      <c r="A35" s="52">
        <v>33</v>
      </c>
      <c r="B35" s="67" t="s">
        <v>106</v>
      </c>
      <c r="C35" s="90" t="s">
        <v>1766</v>
      </c>
      <c r="D35" s="54" t="s">
        <v>108</v>
      </c>
      <c r="E35" s="9">
        <v>0</v>
      </c>
      <c r="F35" s="47"/>
      <c r="G35" s="47"/>
      <c r="H35" s="47"/>
      <c r="I35" s="74"/>
      <c r="J35" s="47"/>
      <c r="K35" s="47"/>
      <c r="L35" s="47"/>
      <c r="M35" s="47"/>
      <c r="N35" s="47"/>
      <c r="O35" s="47"/>
      <c r="P35" s="47"/>
      <c r="Q35" s="47"/>
      <c r="R35" s="75">
        <f t="shared" si="0"/>
        <v>0</v>
      </c>
    </row>
    <row r="36" spans="1:18" x14ac:dyDescent="0.35">
      <c r="A36" s="52">
        <v>34</v>
      </c>
      <c r="B36" s="67" t="s">
        <v>109</v>
      </c>
      <c r="C36" s="90" t="s">
        <v>1774</v>
      </c>
      <c r="D36" s="54" t="s">
        <v>72</v>
      </c>
      <c r="E36" s="9">
        <v>0</v>
      </c>
      <c r="F36" s="47"/>
      <c r="G36" s="47"/>
      <c r="H36" s="47"/>
      <c r="I36" s="74"/>
      <c r="J36" s="47"/>
      <c r="K36" s="47"/>
      <c r="L36" s="47"/>
      <c r="M36" s="47"/>
      <c r="N36" s="47"/>
      <c r="O36" s="47"/>
      <c r="P36" s="47"/>
      <c r="Q36" s="47"/>
      <c r="R36" s="75">
        <f t="shared" si="0"/>
        <v>0</v>
      </c>
    </row>
    <row r="37" spans="1:18" x14ac:dyDescent="0.35">
      <c r="A37" s="52">
        <v>35</v>
      </c>
      <c r="B37" s="67" t="s">
        <v>111</v>
      </c>
      <c r="C37" s="144" t="s">
        <v>1857</v>
      </c>
      <c r="D37" s="54" t="s">
        <v>113</v>
      </c>
      <c r="E37" s="9">
        <v>0</v>
      </c>
      <c r="F37" s="47"/>
      <c r="G37" s="47"/>
      <c r="H37" s="47"/>
      <c r="I37" s="74"/>
      <c r="J37" s="47"/>
      <c r="K37" s="47"/>
      <c r="L37" s="47"/>
      <c r="M37" s="47"/>
      <c r="N37" s="47"/>
      <c r="O37" s="47"/>
      <c r="P37" s="47"/>
      <c r="Q37" s="47"/>
      <c r="R37" s="75">
        <f t="shared" si="0"/>
        <v>0</v>
      </c>
    </row>
    <row r="38" spans="1:18" x14ac:dyDescent="0.35">
      <c r="A38" s="52">
        <v>36</v>
      </c>
      <c r="B38" s="67" t="s">
        <v>114</v>
      </c>
      <c r="C38" s="101" t="s">
        <v>1979</v>
      </c>
      <c r="D38" s="54" t="s">
        <v>116</v>
      </c>
      <c r="E38" s="9">
        <v>650000</v>
      </c>
      <c r="F38" s="47"/>
      <c r="G38" s="47">
        <v>8333</v>
      </c>
      <c r="H38" s="47"/>
      <c r="I38" s="74">
        <v>8333</v>
      </c>
      <c r="J38" s="47">
        <v>25000</v>
      </c>
      <c r="K38" s="74">
        <v>8333</v>
      </c>
      <c r="L38" s="47">
        <v>8333</v>
      </c>
      <c r="M38" s="47">
        <v>8333</v>
      </c>
      <c r="N38" s="47">
        <v>8333</v>
      </c>
      <c r="O38" s="47">
        <f>250000+8333</f>
        <v>258333</v>
      </c>
      <c r="P38" s="47">
        <v>8333</v>
      </c>
      <c r="Q38" s="47">
        <v>8333</v>
      </c>
      <c r="R38" s="75">
        <f t="shared" si="0"/>
        <v>999997</v>
      </c>
    </row>
    <row r="39" spans="1:18" x14ac:dyDescent="0.35">
      <c r="A39" s="52">
        <v>37</v>
      </c>
      <c r="B39" s="67" t="s">
        <v>117</v>
      </c>
      <c r="C39" s="101" t="s">
        <v>1597</v>
      </c>
      <c r="D39" s="54" t="s">
        <v>119</v>
      </c>
      <c r="E39" s="9">
        <v>375000</v>
      </c>
      <c r="F39" s="47"/>
      <c r="G39" s="47"/>
      <c r="H39" s="47"/>
      <c r="I39" s="74"/>
      <c r="J39" s="47"/>
      <c r="K39" s="47"/>
      <c r="L39" s="47"/>
      <c r="M39" s="47"/>
      <c r="N39" s="47"/>
      <c r="O39" s="47"/>
      <c r="P39" s="47"/>
      <c r="Q39" s="47"/>
      <c r="R39" s="75">
        <f t="shared" si="0"/>
        <v>375000</v>
      </c>
    </row>
    <row r="40" spans="1:18" x14ac:dyDescent="0.35">
      <c r="A40" s="52">
        <v>38</v>
      </c>
      <c r="B40" s="67" t="s">
        <v>120</v>
      </c>
      <c r="C40" s="90" t="s">
        <v>1960</v>
      </c>
      <c r="D40" s="54" t="s">
        <v>108</v>
      </c>
      <c r="E40" s="9">
        <v>50000</v>
      </c>
      <c r="F40" s="47"/>
      <c r="G40" s="47"/>
      <c r="H40" s="47"/>
      <c r="I40" s="74"/>
      <c r="J40" s="47"/>
      <c r="K40" s="47"/>
      <c r="L40" s="47"/>
      <c r="M40" s="47"/>
      <c r="N40" s="47"/>
      <c r="O40" s="47"/>
      <c r="P40" s="47"/>
      <c r="Q40" s="47"/>
      <c r="R40" s="75">
        <f t="shared" si="0"/>
        <v>50000</v>
      </c>
    </row>
    <row r="41" spans="1:18" x14ac:dyDescent="0.35">
      <c r="A41" s="52">
        <v>39</v>
      </c>
      <c r="B41" s="67" t="s">
        <v>121</v>
      </c>
      <c r="C41" s="7" t="s">
        <v>1598</v>
      </c>
      <c r="D41" s="54" t="s">
        <v>123</v>
      </c>
      <c r="E41" s="9">
        <v>0</v>
      </c>
      <c r="F41" s="47"/>
      <c r="G41" s="47"/>
      <c r="H41" s="47"/>
      <c r="I41" s="74"/>
      <c r="J41" s="47"/>
      <c r="K41" s="47"/>
      <c r="L41" s="47"/>
      <c r="M41" s="47"/>
      <c r="N41" s="47"/>
      <c r="O41" s="47"/>
      <c r="P41" s="47"/>
      <c r="Q41" s="47"/>
      <c r="R41" s="75">
        <f t="shared" si="0"/>
        <v>0</v>
      </c>
    </row>
    <row r="42" spans="1:18" x14ac:dyDescent="0.35">
      <c r="A42" s="52">
        <v>40</v>
      </c>
      <c r="B42" s="67" t="s">
        <v>124</v>
      </c>
      <c r="C42" s="7" t="s">
        <v>1599</v>
      </c>
      <c r="D42" s="54" t="s">
        <v>11</v>
      </c>
      <c r="E42" s="9">
        <v>0</v>
      </c>
      <c r="F42" s="47"/>
      <c r="G42" s="47"/>
      <c r="H42" s="47"/>
      <c r="I42" s="74"/>
      <c r="J42" s="47"/>
      <c r="K42" s="47"/>
      <c r="L42" s="47"/>
      <c r="M42" s="47"/>
      <c r="N42" s="47"/>
      <c r="O42" s="47"/>
      <c r="P42" s="47"/>
      <c r="Q42" s="47"/>
      <c r="R42" s="75">
        <f t="shared" si="0"/>
        <v>0</v>
      </c>
    </row>
    <row r="43" spans="1:18" x14ac:dyDescent="0.35">
      <c r="A43" s="52">
        <v>41</v>
      </c>
      <c r="B43" s="67" t="s">
        <v>126</v>
      </c>
      <c r="C43" s="144" t="s">
        <v>1934</v>
      </c>
      <c r="D43" s="54" t="s">
        <v>128</v>
      </c>
      <c r="E43" s="9">
        <v>0</v>
      </c>
      <c r="F43" s="47"/>
      <c r="G43" s="47"/>
      <c r="H43" s="47"/>
      <c r="I43" s="74"/>
      <c r="J43" s="47"/>
      <c r="K43" s="47"/>
      <c r="L43" s="47"/>
      <c r="M43" s="47"/>
      <c r="N43" s="47"/>
      <c r="O43" s="47"/>
      <c r="P43" s="47"/>
      <c r="Q43" s="47"/>
      <c r="R43" s="75">
        <f t="shared" si="0"/>
        <v>0</v>
      </c>
    </row>
    <row r="44" spans="1:18" x14ac:dyDescent="0.35">
      <c r="A44" s="52">
        <v>42</v>
      </c>
      <c r="B44" s="67" t="s">
        <v>129</v>
      </c>
      <c r="C44" s="90" t="s">
        <v>1980</v>
      </c>
      <c r="D44" s="54" t="s">
        <v>131</v>
      </c>
      <c r="E44" s="9">
        <v>0</v>
      </c>
      <c r="F44" s="47"/>
      <c r="G44" s="47"/>
      <c r="H44" s="47"/>
      <c r="I44" s="74"/>
      <c r="J44" s="47"/>
      <c r="K44" s="47"/>
      <c r="L44" s="47"/>
      <c r="M44" s="47"/>
      <c r="N44" s="47"/>
      <c r="O44" s="47"/>
      <c r="P44" s="47"/>
      <c r="Q44" s="47"/>
      <c r="R44" s="75">
        <f t="shared" si="0"/>
        <v>0</v>
      </c>
    </row>
    <row r="45" spans="1:18" x14ac:dyDescent="0.35">
      <c r="A45" s="52">
        <v>43</v>
      </c>
      <c r="B45" s="67" t="s">
        <v>132</v>
      </c>
      <c r="C45" s="7" t="s">
        <v>1600</v>
      </c>
      <c r="D45" s="54" t="s">
        <v>77</v>
      </c>
      <c r="E45" s="9">
        <v>0</v>
      </c>
      <c r="F45" s="47"/>
      <c r="G45" s="47"/>
      <c r="H45" s="47"/>
      <c r="I45" s="74"/>
      <c r="J45" s="47"/>
      <c r="K45" s="47"/>
      <c r="L45" s="47"/>
      <c r="M45" s="47"/>
      <c r="N45" s="47"/>
      <c r="O45" s="47"/>
      <c r="P45" s="47"/>
      <c r="Q45" s="47"/>
      <c r="R45" s="75">
        <f t="shared" si="0"/>
        <v>0</v>
      </c>
    </row>
    <row r="46" spans="1:18" x14ac:dyDescent="0.35">
      <c r="A46" s="52">
        <v>44</v>
      </c>
      <c r="B46" s="67" t="s">
        <v>134</v>
      </c>
      <c r="C46" s="144" t="s">
        <v>1860</v>
      </c>
      <c r="D46" s="54" t="s">
        <v>136</v>
      </c>
      <c r="E46" s="9">
        <v>990000</v>
      </c>
      <c r="F46" s="47"/>
      <c r="G46" s="47"/>
      <c r="H46" s="47"/>
      <c r="I46" s="74"/>
      <c r="J46" s="47"/>
      <c r="K46" s="47"/>
      <c r="L46" s="47"/>
      <c r="M46" s="47"/>
      <c r="N46" s="47">
        <v>100000</v>
      </c>
      <c r="O46" s="47"/>
      <c r="P46" s="47"/>
      <c r="Q46" s="47"/>
      <c r="R46" s="75">
        <f t="shared" si="0"/>
        <v>1090000</v>
      </c>
    </row>
    <row r="47" spans="1:18" x14ac:dyDescent="0.35">
      <c r="A47" s="52">
        <v>45</v>
      </c>
      <c r="B47" s="67" t="s">
        <v>137</v>
      </c>
      <c r="C47" s="7" t="s">
        <v>138</v>
      </c>
      <c r="D47" s="54" t="s">
        <v>49</v>
      </c>
      <c r="E47" s="9">
        <v>0</v>
      </c>
      <c r="F47" s="47"/>
      <c r="G47" s="47"/>
      <c r="H47" s="47"/>
      <c r="I47" s="74"/>
      <c r="J47" s="47"/>
      <c r="K47" s="47"/>
      <c r="L47" s="47"/>
      <c r="M47" s="47"/>
      <c r="N47" s="47"/>
      <c r="O47" s="47"/>
      <c r="P47" s="47"/>
      <c r="Q47" s="47"/>
      <c r="R47" s="75">
        <f t="shared" si="0"/>
        <v>0</v>
      </c>
    </row>
    <row r="48" spans="1:18" x14ac:dyDescent="0.35">
      <c r="A48" s="52">
        <v>46</v>
      </c>
      <c r="B48" s="67" t="s">
        <v>139</v>
      </c>
      <c r="C48" s="144" t="s">
        <v>1858</v>
      </c>
      <c r="D48" s="54" t="s">
        <v>141</v>
      </c>
      <c r="E48" s="9">
        <v>50000</v>
      </c>
      <c r="F48" s="47"/>
      <c r="G48" s="47"/>
      <c r="H48" s="47"/>
      <c r="I48" s="74"/>
      <c r="J48" s="47"/>
      <c r="K48" s="47"/>
      <c r="L48" s="47"/>
      <c r="M48" s="47"/>
      <c r="N48" s="47"/>
      <c r="O48" s="47"/>
      <c r="P48" s="47"/>
      <c r="Q48" s="47"/>
      <c r="R48" s="75">
        <f t="shared" si="0"/>
        <v>50000</v>
      </c>
    </row>
    <row r="49" spans="1:18" x14ac:dyDescent="0.35">
      <c r="A49" s="52">
        <v>47</v>
      </c>
      <c r="B49" s="67" t="s">
        <v>142</v>
      </c>
      <c r="C49" s="144" t="s">
        <v>1859</v>
      </c>
      <c r="D49" s="54" t="s">
        <v>144</v>
      </c>
      <c r="E49" s="9">
        <v>1310000</v>
      </c>
      <c r="F49" s="47"/>
      <c r="G49" s="47"/>
      <c r="H49" s="47"/>
      <c r="I49" s="74"/>
      <c r="J49" s="47"/>
      <c r="K49" s="47"/>
      <c r="L49" s="47"/>
      <c r="M49" s="47"/>
      <c r="N49" s="47"/>
      <c r="O49" s="47"/>
      <c r="P49" s="47"/>
      <c r="Q49" s="47"/>
      <c r="R49" s="75">
        <f t="shared" si="0"/>
        <v>1310000</v>
      </c>
    </row>
    <row r="50" spans="1:18" x14ac:dyDescent="0.35">
      <c r="A50" s="52">
        <v>48</v>
      </c>
      <c r="B50" s="67" t="s">
        <v>145</v>
      </c>
      <c r="C50" s="144" t="s">
        <v>1981</v>
      </c>
      <c r="D50" s="54" t="s">
        <v>77</v>
      </c>
      <c r="E50" s="9">
        <v>0</v>
      </c>
      <c r="F50" s="47"/>
      <c r="G50" s="47"/>
      <c r="H50" s="47"/>
      <c r="I50" s="74"/>
      <c r="J50" s="47"/>
      <c r="K50" s="47"/>
      <c r="L50" s="47"/>
      <c r="M50" s="47"/>
      <c r="N50" s="47"/>
      <c r="O50" s="47"/>
      <c r="P50" s="47"/>
      <c r="Q50" s="47"/>
      <c r="R50" s="75">
        <f t="shared" si="0"/>
        <v>0</v>
      </c>
    </row>
    <row r="51" spans="1:18" x14ac:dyDescent="0.35">
      <c r="A51" s="52">
        <v>49</v>
      </c>
      <c r="B51" s="67" t="s">
        <v>147</v>
      </c>
      <c r="C51" s="90" t="s">
        <v>1944</v>
      </c>
      <c r="D51" s="54" t="s">
        <v>60</v>
      </c>
      <c r="E51" s="9">
        <v>0</v>
      </c>
      <c r="F51" s="47"/>
      <c r="G51" s="47"/>
      <c r="H51" s="47"/>
      <c r="I51" s="74"/>
      <c r="J51" s="47"/>
      <c r="K51" s="47"/>
      <c r="L51" s="47"/>
      <c r="M51" s="47"/>
      <c r="N51" s="47"/>
      <c r="O51" s="47"/>
      <c r="P51" s="47"/>
      <c r="Q51" s="47"/>
      <c r="R51" s="75">
        <f t="shared" si="0"/>
        <v>0</v>
      </c>
    </row>
    <row r="52" spans="1:18" x14ac:dyDescent="0.35">
      <c r="A52" s="52">
        <v>50</v>
      </c>
      <c r="B52" s="67" t="s">
        <v>149</v>
      </c>
      <c r="C52" s="144" t="s">
        <v>1982</v>
      </c>
      <c r="D52" s="54" t="s">
        <v>46</v>
      </c>
      <c r="E52" s="9">
        <v>0</v>
      </c>
      <c r="F52" s="47"/>
      <c r="G52" s="47"/>
      <c r="H52" s="47"/>
      <c r="I52" s="74"/>
      <c r="J52" s="47"/>
      <c r="K52" s="47"/>
      <c r="L52" s="47"/>
      <c r="M52" s="47"/>
      <c r="N52" s="47"/>
      <c r="O52" s="47"/>
      <c r="P52" s="47"/>
      <c r="Q52" s="47"/>
      <c r="R52" s="75">
        <f t="shared" si="0"/>
        <v>0</v>
      </c>
    </row>
    <row r="53" spans="1:18" x14ac:dyDescent="0.35">
      <c r="A53" s="52">
        <v>51</v>
      </c>
      <c r="B53" s="67" t="s">
        <v>151</v>
      </c>
      <c r="C53" s="7" t="s">
        <v>152</v>
      </c>
      <c r="D53" s="54" t="s">
        <v>49</v>
      </c>
      <c r="E53" s="9">
        <v>0</v>
      </c>
      <c r="F53" s="47"/>
      <c r="G53" s="47"/>
      <c r="H53" s="47"/>
      <c r="I53" s="74"/>
      <c r="J53" s="47"/>
      <c r="K53" s="47"/>
      <c r="L53" s="47"/>
      <c r="M53" s="47"/>
      <c r="N53" s="47"/>
      <c r="O53" s="47"/>
      <c r="P53" s="47"/>
      <c r="Q53" s="47"/>
      <c r="R53" s="75">
        <f t="shared" si="0"/>
        <v>0</v>
      </c>
    </row>
    <row r="54" spans="1:18" x14ac:dyDescent="0.35">
      <c r="A54" s="52">
        <v>52</v>
      </c>
      <c r="B54" s="67" t="s">
        <v>153</v>
      </c>
      <c r="C54" s="90" t="s">
        <v>1946</v>
      </c>
      <c r="D54" s="54" t="s">
        <v>72</v>
      </c>
      <c r="E54" s="9">
        <v>0</v>
      </c>
      <c r="F54" s="47"/>
      <c r="G54" s="47"/>
      <c r="H54" s="47"/>
      <c r="I54" s="74"/>
      <c r="J54" s="47"/>
      <c r="K54" s="47"/>
      <c r="L54" s="47"/>
      <c r="M54" s="47"/>
      <c r="N54" s="47"/>
      <c r="O54" s="47"/>
      <c r="P54" s="47"/>
      <c r="Q54" s="47"/>
      <c r="R54" s="75">
        <f t="shared" si="0"/>
        <v>0</v>
      </c>
    </row>
    <row r="55" spans="1:18" x14ac:dyDescent="0.35">
      <c r="A55" s="52">
        <v>53</v>
      </c>
      <c r="B55" s="67" t="s">
        <v>155</v>
      </c>
      <c r="C55" s="7" t="s">
        <v>1601</v>
      </c>
      <c r="D55" s="54" t="s">
        <v>49</v>
      </c>
      <c r="E55" s="9">
        <v>10000</v>
      </c>
      <c r="F55" s="47"/>
      <c r="G55" s="47"/>
      <c r="H55" s="47"/>
      <c r="I55" s="74"/>
      <c r="J55" s="47"/>
      <c r="K55" s="47"/>
      <c r="L55" s="47"/>
      <c r="M55" s="47"/>
      <c r="N55" s="47"/>
      <c r="O55" s="47"/>
      <c r="P55" s="47"/>
      <c r="Q55" s="47"/>
      <c r="R55" s="75">
        <f t="shared" si="0"/>
        <v>10000</v>
      </c>
    </row>
    <row r="56" spans="1:18" x14ac:dyDescent="0.35">
      <c r="A56" s="52">
        <v>54</v>
      </c>
      <c r="B56" s="67" t="s">
        <v>157</v>
      </c>
      <c r="C56" s="144" t="s">
        <v>1983</v>
      </c>
      <c r="D56" s="54" t="s">
        <v>159</v>
      </c>
      <c r="E56" s="9">
        <v>0</v>
      </c>
      <c r="F56" s="47"/>
      <c r="G56" s="47"/>
      <c r="H56" s="47"/>
      <c r="I56" s="74"/>
      <c r="J56" s="47"/>
      <c r="K56" s="47"/>
      <c r="L56" s="47"/>
      <c r="M56" s="47"/>
      <c r="N56" s="47"/>
      <c r="O56" s="47"/>
      <c r="P56" s="47"/>
      <c r="Q56" s="47"/>
      <c r="R56" s="75">
        <f t="shared" si="0"/>
        <v>0</v>
      </c>
    </row>
    <row r="57" spans="1:18" x14ac:dyDescent="0.35">
      <c r="A57" s="52">
        <v>55</v>
      </c>
      <c r="B57" s="67" t="s">
        <v>160</v>
      </c>
      <c r="C57" s="7" t="s">
        <v>161</v>
      </c>
      <c r="D57" s="54" t="s">
        <v>95</v>
      </c>
      <c r="E57" s="9">
        <v>0</v>
      </c>
      <c r="F57" s="47"/>
      <c r="G57" s="47"/>
      <c r="H57" s="47"/>
      <c r="I57" s="74"/>
      <c r="J57" s="47"/>
      <c r="K57" s="47"/>
      <c r="L57" s="47"/>
      <c r="M57" s="47"/>
      <c r="N57" s="47"/>
      <c r="O57" s="47"/>
      <c r="P57" s="47"/>
      <c r="Q57" s="47"/>
      <c r="R57" s="75">
        <f t="shared" si="0"/>
        <v>0</v>
      </c>
    </row>
    <row r="58" spans="1:18" x14ac:dyDescent="0.35">
      <c r="A58" s="52">
        <v>56</v>
      </c>
      <c r="B58" s="67" t="s">
        <v>162</v>
      </c>
      <c r="C58" s="7" t="s">
        <v>1602</v>
      </c>
      <c r="D58" s="54" t="s">
        <v>49</v>
      </c>
      <c r="E58" s="9">
        <v>0</v>
      </c>
      <c r="F58" s="47"/>
      <c r="G58" s="47"/>
      <c r="H58" s="47"/>
      <c r="I58" s="74"/>
      <c r="J58" s="47"/>
      <c r="K58" s="47"/>
      <c r="L58" s="47"/>
      <c r="M58" s="47"/>
      <c r="N58" s="47"/>
      <c r="O58" s="47"/>
      <c r="P58" s="47"/>
      <c r="Q58" s="47"/>
      <c r="R58" s="75">
        <f t="shared" si="0"/>
        <v>0</v>
      </c>
    </row>
    <row r="59" spans="1:18" x14ac:dyDescent="0.35">
      <c r="A59" s="52">
        <v>57</v>
      </c>
      <c r="B59" s="67" t="s">
        <v>164</v>
      </c>
      <c r="C59" s="7" t="s">
        <v>1603</v>
      </c>
      <c r="D59" s="54" t="s">
        <v>166</v>
      </c>
      <c r="E59" s="9">
        <v>0</v>
      </c>
      <c r="F59" s="47"/>
      <c r="G59" s="47"/>
      <c r="H59" s="47"/>
      <c r="I59" s="74"/>
      <c r="J59" s="47"/>
      <c r="K59" s="47"/>
      <c r="L59" s="47"/>
      <c r="M59" s="47"/>
      <c r="N59" s="47"/>
      <c r="O59" s="47"/>
      <c r="P59" s="47"/>
      <c r="Q59" s="47"/>
      <c r="R59" s="75">
        <f t="shared" si="0"/>
        <v>0</v>
      </c>
    </row>
    <row r="60" spans="1:18" x14ac:dyDescent="0.35">
      <c r="A60" s="52">
        <v>58</v>
      </c>
      <c r="B60" s="67" t="s">
        <v>167</v>
      </c>
      <c r="C60" s="7" t="s">
        <v>168</v>
      </c>
      <c r="D60" s="54" t="s">
        <v>169</v>
      </c>
      <c r="E60" s="9">
        <v>300000</v>
      </c>
      <c r="F60" s="47"/>
      <c r="G60" s="47"/>
      <c r="H60" s="47"/>
      <c r="I60" s="74"/>
      <c r="J60" s="47"/>
      <c r="K60" s="47"/>
      <c r="L60" s="47"/>
      <c r="M60" s="47"/>
      <c r="N60" s="47"/>
      <c r="O60" s="47"/>
      <c r="P60" s="47"/>
      <c r="Q60" s="47"/>
      <c r="R60" s="75">
        <f t="shared" si="0"/>
        <v>300000</v>
      </c>
    </row>
    <row r="61" spans="1:18" x14ac:dyDescent="0.35">
      <c r="A61" s="52">
        <v>59</v>
      </c>
      <c r="B61" s="67" t="s">
        <v>170</v>
      </c>
      <c r="C61" s="7" t="s">
        <v>171</v>
      </c>
      <c r="D61" s="54" t="s">
        <v>49</v>
      </c>
      <c r="E61" s="9">
        <v>0</v>
      </c>
      <c r="F61" s="47"/>
      <c r="G61" s="47"/>
      <c r="H61" s="47"/>
      <c r="I61" s="74"/>
      <c r="J61" s="47"/>
      <c r="K61" s="47"/>
      <c r="L61" s="47"/>
      <c r="M61" s="47"/>
      <c r="N61" s="47"/>
      <c r="O61" s="47"/>
      <c r="P61" s="47"/>
      <c r="Q61" s="47"/>
      <c r="R61" s="75">
        <f t="shared" si="0"/>
        <v>0</v>
      </c>
    </row>
    <row r="62" spans="1:18" x14ac:dyDescent="0.35">
      <c r="A62" s="52">
        <v>60</v>
      </c>
      <c r="B62" s="67" t="s">
        <v>172</v>
      </c>
      <c r="C62" s="7" t="s">
        <v>173</v>
      </c>
      <c r="D62" s="54" t="s">
        <v>19</v>
      </c>
      <c r="E62" s="9">
        <v>0</v>
      </c>
      <c r="F62" s="47"/>
      <c r="G62" s="47"/>
      <c r="H62" s="47"/>
      <c r="I62" s="74"/>
      <c r="J62" s="47"/>
      <c r="K62" s="47"/>
      <c r="L62" s="47"/>
      <c r="M62" s="47"/>
      <c r="N62" s="47"/>
      <c r="O62" s="47"/>
      <c r="P62" s="47"/>
      <c r="Q62" s="47"/>
      <c r="R62" s="75">
        <f t="shared" si="0"/>
        <v>0</v>
      </c>
    </row>
    <row r="63" spans="1:18" x14ac:dyDescent="0.35">
      <c r="A63" s="52">
        <v>61</v>
      </c>
      <c r="B63" s="67" t="s">
        <v>174</v>
      </c>
      <c r="C63" s="7" t="s">
        <v>1604</v>
      </c>
      <c r="D63" s="54" t="s">
        <v>14</v>
      </c>
      <c r="E63" s="9">
        <v>0</v>
      </c>
      <c r="F63" s="47"/>
      <c r="G63" s="47"/>
      <c r="H63" s="47"/>
      <c r="I63" s="74"/>
      <c r="J63" s="47"/>
      <c r="K63" s="47"/>
      <c r="L63" s="47"/>
      <c r="M63" s="47"/>
      <c r="N63" s="47"/>
      <c r="O63" s="47"/>
      <c r="P63" s="47"/>
      <c r="Q63" s="47"/>
      <c r="R63" s="75">
        <f t="shared" si="0"/>
        <v>0</v>
      </c>
    </row>
    <row r="64" spans="1:18" x14ac:dyDescent="0.35">
      <c r="A64" s="52">
        <v>62</v>
      </c>
      <c r="B64" s="67" t="s">
        <v>176</v>
      </c>
      <c r="C64" s="7" t="s">
        <v>177</v>
      </c>
      <c r="D64" s="54" t="s">
        <v>136</v>
      </c>
      <c r="E64" s="9">
        <v>0</v>
      </c>
      <c r="F64" s="47"/>
      <c r="G64" s="47"/>
      <c r="H64" s="47"/>
      <c r="I64" s="74"/>
      <c r="J64" s="47"/>
      <c r="K64" s="47"/>
      <c r="L64" s="47"/>
      <c r="M64" s="47"/>
      <c r="N64" s="47"/>
      <c r="O64" s="47"/>
      <c r="P64" s="47"/>
      <c r="Q64" s="47"/>
      <c r="R64" s="75">
        <f t="shared" si="0"/>
        <v>0</v>
      </c>
    </row>
    <row r="65" spans="1:18" x14ac:dyDescent="0.35">
      <c r="A65" s="52">
        <v>63</v>
      </c>
      <c r="B65" s="67" t="s">
        <v>178</v>
      </c>
      <c r="C65" s="7" t="s">
        <v>179</v>
      </c>
      <c r="D65" s="54" t="s">
        <v>49</v>
      </c>
      <c r="E65" s="9">
        <v>0</v>
      </c>
      <c r="F65" s="47"/>
      <c r="G65" s="47"/>
      <c r="H65" s="47"/>
      <c r="I65" s="74"/>
      <c r="J65" s="47"/>
      <c r="K65" s="47"/>
      <c r="L65" s="47"/>
      <c r="M65" s="47"/>
      <c r="N65" s="47"/>
      <c r="O65" s="47"/>
      <c r="P65" s="47"/>
      <c r="Q65" s="47"/>
      <c r="R65" s="75">
        <f t="shared" si="0"/>
        <v>0</v>
      </c>
    </row>
    <row r="66" spans="1:18" x14ac:dyDescent="0.35">
      <c r="A66" s="52">
        <v>64</v>
      </c>
      <c r="B66" s="67" t="s">
        <v>180</v>
      </c>
      <c r="C66" s="90" t="s">
        <v>1984</v>
      </c>
      <c r="D66" s="54" t="s">
        <v>46</v>
      </c>
      <c r="E66" s="9">
        <v>210000</v>
      </c>
      <c r="F66" s="47"/>
      <c r="G66" s="47"/>
      <c r="H66" s="47"/>
      <c r="I66" s="74"/>
      <c r="J66" s="47"/>
      <c r="K66" s="47"/>
      <c r="L66" s="47"/>
      <c r="M66" s="47"/>
      <c r="N66" s="47"/>
      <c r="O66" s="47"/>
      <c r="P66" s="47"/>
      <c r="Q66" s="47"/>
      <c r="R66" s="75">
        <f t="shared" si="0"/>
        <v>210000</v>
      </c>
    </row>
    <row r="67" spans="1:18" x14ac:dyDescent="0.35">
      <c r="A67" s="52">
        <v>65</v>
      </c>
      <c r="B67" s="67" t="s">
        <v>182</v>
      </c>
      <c r="C67" s="144" t="s">
        <v>1985</v>
      </c>
      <c r="D67" s="54" t="s">
        <v>19</v>
      </c>
      <c r="E67" s="9">
        <v>50000</v>
      </c>
      <c r="F67" s="47"/>
      <c r="G67" s="47"/>
      <c r="H67" s="47"/>
      <c r="I67" s="74"/>
      <c r="J67" s="47"/>
      <c r="K67" s="47"/>
      <c r="L67" s="47"/>
      <c r="M67" s="47"/>
      <c r="N67" s="47"/>
      <c r="O67" s="47"/>
      <c r="P67" s="47"/>
      <c r="Q67" s="47"/>
      <c r="R67" s="75">
        <f t="shared" si="0"/>
        <v>50000</v>
      </c>
    </row>
    <row r="68" spans="1:18" x14ac:dyDescent="0.35">
      <c r="A68" s="52">
        <v>66</v>
      </c>
      <c r="B68" s="67" t="s">
        <v>184</v>
      </c>
      <c r="C68" s="7" t="s">
        <v>185</v>
      </c>
      <c r="D68" s="54" t="s">
        <v>72</v>
      </c>
      <c r="E68" s="9">
        <v>0</v>
      </c>
      <c r="F68" s="47"/>
      <c r="G68" s="47"/>
      <c r="H68" s="47"/>
      <c r="I68" s="74"/>
      <c r="J68" s="47"/>
      <c r="K68" s="47"/>
      <c r="L68" s="47"/>
      <c r="M68" s="47"/>
      <c r="N68" s="47"/>
      <c r="O68" s="47"/>
      <c r="P68" s="47"/>
      <c r="Q68" s="47"/>
      <c r="R68" s="75">
        <f t="shared" ref="R68:R131" si="1">E68+F68+G68+H68+I68+J68+K68+L68+M68+N68+O68+P68+Q68</f>
        <v>0</v>
      </c>
    </row>
    <row r="69" spans="1:18" x14ac:dyDescent="0.35">
      <c r="A69" s="52">
        <v>67</v>
      </c>
      <c r="B69" s="67" t="s">
        <v>186</v>
      </c>
      <c r="C69" s="90" t="s">
        <v>1986</v>
      </c>
      <c r="D69" s="54" t="s">
        <v>95</v>
      </c>
      <c r="E69" s="9">
        <v>10000</v>
      </c>
      <c r="F69" s="47"/>
      <c r="G69" s="47"/>
      <c r="H69" s="47"/>
      <c r="I69" s="74"/>
      <c r="J69" s="47"/>
      <c r="K69" s="47"/>
      <c r="L69" s="47"/>
      <c r="M69" s="47"/>
      <c r="N69" s="47"/>
      <c r="O69" s="47"/>
      <c r="P69" s="47"/>
      <c r="Q69" s="47"/>
      <c r="R69" s="75">
        <f t="shared" si="1"/>
        <v>10000</v>
      </c>
    </row>
    <row r="70" spans="1:18" x14ac:dyDescent="0.35">
      <c r="A70" s="52">
        <v>68</v>
      </c>
      <c r="B70" s="67" t="s">
        <v>188</v>
      </c>
      <c r="C70" s="7" t="s">
        <v>1605</v>
      </c>
      <c r="D70" s="54" t="s">
        <v>49</v>
      </c>
      <c r="E70" s="9">
        <v>0</v>
      </c>
      <c r="F70" s="47"/>
      <c r="G70" s="47"/>
      <c r="H70" s="47"/>
      <c r="I70" s="74"/>
      <c r="J70" s="47"/>
      <c r="K70" s="47"/>
      <c r="L70" s="47"/>
      <c r="M70" s="47"/>
      <c r="N70" s="47"/>
      <c r="O70" s="47"/>
      <c r="P70" s="47"/>
      <c r="Q70" s="47"/>
      <c r="R70" s="75">
        <f t="shared" si="1"/>
        <v>0</v>
      </c>
    </row>
    <row r="71" spans="1:18" x14ac:dyDescent="0.35">
      <c r="A71" s="52">
        <v>69</v>
      </c>
      <c r="B71" s="67" t="s">
        <v>190</v>
      </c>
      <c r="C71" s="144" t="s">
        <v>1864</v>
      </c>
      <c r="D71" s="54" t="s">
        <v>141</v>
      </c>
      <c r="E71" s="9">
        <v>0</v>
      </c>
      <c r="F71" s="47"/>
      <c r="G71" s="47"/>
      <c r="H71" s="47"/>
      <c r="I71" s="74"/>
      <c r="J71" s="47"/>
      <c r="K71" s="47"/>
      <c r="L71" s="47"/>
      <c r="M71" s="47"/>
      <c r="N71" s="47"/>
      <c r="O71" s="47"/>
      <c r="P71" s="47"/>
      <c r="Q71" s="47"/>
      <c r="R71" s="75">
        <f t="shared" si="1"/>
        <v>0</v>
      </c>
    </row>
    <row r="72" spans="1:18" x14ac:dyDescent="0.35">
      <c r="A72" s="52">
        <v>70</v>
      </c>
      <c r="B72" s="67" t="s">
        <v>192</v>
      </c>
      <c r="C72" s="144" t="s">
        <v>1987</v>
      </c>
      <c r="D72" s="54" t="s">
        <v>136</v>
      </c>
      <c r="E72" s="9">
        <v>980000</v>
      </c>
      <c r="F72" s="47"/>
      <c r="G72" s="47"/>
      <c r="H72" s="47"/>
      <c r="I72" s="74">
        <v>250000</v>
      </c>
      <c r="J72" s="47"/>
      <c r="K72" s="47">
        <v>100000</v>
      </c>
      <c r="L72" s="47"/>
      <c r="M72" s="47"/>
      <c r="N72" s="47"/>
      <c r="O72" s="47"/>
      <c r="P72" s="47"/>
      <c r="Q72" s="47"/>
      <c r="R72" s="75">
        <f t="shared" si="1"/>
        <v>1330000</v>
      </c>
    </row>
    <row r="73" spans="1:18" x14ac:dyDescent="0.35">
      <c r="A73" s="52">
        <v>71</v>
      </c>
      <c r="B73" s="67" t="s">
        <v>194</v>
      </c>
      <c r="C73" s="7" t="s">
        <v>1988</v>
      </c>
      <c r="D73" s="54" t="s">
        <v>123</v>
      </c>
      <c r="E73" s="9">
        <v>150000</v>
      </c>
      <c r="F73" s="47"/>
      <c r="G73" s="47"/>
      <c r="H73" s="47"/>
      <c r="I73" s="74"/>
      <c r="J73" s="47"/>
      <c r="K73" s="47"/>
      <c r="L73" s="47"/>
      <c r="M73" s="47"/>
      <c r="N73" s="47"/>
      <c r="O73" s="47"/>
      <c r="P73" s="47"/>
      <c r="Q73" s="47"/>
      <c r="R73" s="75">
        <f t="shared" si="1"/>
        <v>150000</v>
      </c>
    </row>
    <row r="74" spans="1:18" x14ac:dyDescent="0.35">
      <c r="A74" s="52">
        <v>72</v>
      </c>
      <c r="B74" s="67" t="s">
        <v>196</v>
      </c>
      <c r="C74" s="144" t="s">
        <v>1865</v>
      </c>
      <c r="D74" s="54" t="s">
        <v>198</v>
      </c>
      <c r="E74" s="9">
        <v>0</v>
      </c>
      <c r="F74" s="47"/>
      <c r="G74" s="47"/>
      <c r="H74" s="47"/>
      <c r="I74" s="74"/>
      <c r="J74" s="47"/>
      <c r="K74" s="47"/>
      <c r="L74" s="47"/>
      <c r="M74" s="47"/>
      <c r="N74" s="47"/>
      <c r="O74" s="47"/>
      <c r="P74" s="47"/>
      <c r="Q74" s="47"/>
      <c r="R74" s="75">
        <f t="shared" si="1"/>
        <v>0</v>
      </c>
    </row>
    <row r="75" spans="1:18" x14ac:dyDescent="0.35">
      <c r="A75" s="52">
        <v>73</v>
      </c>
      <c r="B75" s="67" t="s">
        <v>199</v>
      </c>
      <c r="C75" s="7" t="s">
        <v>1606</v>
      </c>
      <c r="D75" s="54" t="s">
        <v>201</v>
      </c>
      <c r="E75" s="9">
        <v>71000</v>
      </c>
      <c r="F75" s="47"/>
      <c r="G75" s="47"/>
      <c r="H75" s="47"/>
      <c r="I75" s="74"/>
      <c r="J75" s="47"/>
      <c r="K75" s="47"/>
      <c r="L75" s="47"/>
      <c r="M75" s="47"/>
      <c r="N75" s="47"/>
      <c r="O75" s="47"/>
      <c r="P75" s="47"/>
      <c r="Q75" s="47"/>
      <c r="R75" s="75">
        <f t="shared" si="1"/>
        <v>71000</v>
      </c>
    </row>
    <row r="76" spans="1:18" x14ac:dyDescent="0.35">
      <c r="A76" s="52">
        <v>74</v>
      </c>
      <c r="B76" s="67" t="s">
        <v>202</v>
      </c>
      <c r="C76" s="144" t="s">
        <v>1866</v>
      </c>
      <c r="D76" s="54" t="s">
        <v>144</v>
      </c>
      <c r="E76" s="9">
        <v>0</v>
      </c>
      <c r="F76" s="47"/>
      <c r="G76" s="47"/>
      <c r="H76" s="47"/>
      <c r="I76" s="74"/>
      <c r="J76" s="47"/>
      <c r="K76" s="47"/>
      <c r="L76" s="47"/>
      <c r="M76" s="47"/>
      <c r="N76" s="47"/>
      <c r="O76" s="47"/>
      <c r="P76" s="47"/>
      <c r="Q76" s="47"/>
      <c r="R76" s="75">
        <f t="shared" si="1"/>
        <v>0</v>
      </c>
    </row>
    <row r="77" spans="1:18" x14ac:dyDescent="0.35">
      <c r="A77" s="52">
        <v>75</v>
      </c>
      <c r="B77" s="67" t="s">
        <v>204</v>
      </c>
      <c r="C77" s="7" t="s">
        <v>205</v>
      </c>
      <c r="D77" s="54" t="s">
        <v>77</v>
      </c>
      <c r="E77" s="9">
        <v>0</v>
      </c>
      <c r="F77" s="47"/>
      <c r="G77" s="47"/>
      <c r="H77" s="47"/>
      <c r="I77" s="74"/>
      <c r="J77" s="47"/>
      <c r="K77" s="47"/>
      <c r="L77" s="47"/>
      <c r="M77" s="47"/>
      <c r="N77" s="47"/>
      <c r="O77" s="47"/>
      <c r="P77" s="47"/>
      <c r="Q77" s="47"/>
      <c r="R77" s="75">
        <f t="shared" si="1"/>
        <v>0</v>
      </c>
    </row>
    <row r="78" spans="1:18" x14ac:dyDescent="0.35">
      <c r="A78" s="52">
        <v>76</v>
      </c>
      <c r="B78" s="67" t="s">
        <v>206</v>
      </c>
      <c r="C78" s="144" t="s">
        <v>1989</v>
      </c>
      <c r="D78" s="54" t="s">
        <v>77</v>
      </c>
      <c r="E78" s="9">
        <v>0</v>
      </c>
      <c r="F78" s="47"/>
      <c r="G78" s="47"/>
      <c r="H78" s="47"/>
      <c r="I78" s="74"/>
      <c r="J78" s="47"/>
      <c r="K78" s="47"/>
      <c r="L78" s="47"/>
      <c r="M78" s="47"/>
      <c r="N78" s="47"/>
      <c r="O78" s="47"/>
      <c r="P78" s="47"/>
      <c r="Q78" s="47"/>
      <c r="R78" s="75">
        <f t="shared" si="1"/>
        <v>0</v>
      </c>
    </row>
    <row r="79" spans="1:18" x14ac:dyDescent="0.35">
      <c r="A79" s="52">
        <v>77</v>
      </c>
      <c r="B79" s="67" t="s">
        <v>208</v>
      </c>
      <c r="C79" s="90" t="s">
        <v>1990</v>
      </c>
      <c r="D79" s="54" t="s">
        <v>210</v>
      </c>
      <c r="E79" s="9">
        <v>35000</v>
      </c>
      <c r="F79" s="47"/>
      <c r="G79" s="47"/>
      <c r="H79" s="47"/>
      <c r="I79" s="74"/>
      <c r="J79" s="47"/>
      <c r="K79" s="47"/>
      <c r="L79" s="47"/>
      <c r="M79" s="47"/>
      <c r="N79" s="47"/>
      <c r="O79" s="47"/>
      <c r="P79" s="47"/>
      <c r="Q79" s="47"/>
      <c r="R79" s="75">
        <f t="shared" si="1"/>
        <v>35000</v>
      </c>
    </row>
    <row r="80" spans="1:18" x14ac:dyDescent="0.35">
      <c r="A80" s="52">
        <v>78</v>
      </c>
      <c r="B80" s="67" t="s">
        <v>211</v>
      </c>
      <c r="C80" s="7" t="s">
        <v>212</v>
      </c>
      <c r="D80" s="54" t="s">
        <v>65</v>
      </c>
      <c r="E80" s="9">
        <v>0</v>
      </c>
      <c r="F80" s="47"/>
      <c r="G80" s="47"/>
      <c r="H80" s="47"/>
      <c r="I80" s="74"/>
      <c r="J80" s="47"/>
      <c r="K80" s="47"/>
      <c r="L80" s="47"/>
      <c r="M80" s="47"/>
      <c r="N80" s="47"/>
      <c r="O80" s="47"/>
      <c r="P80" s="47"/>
      <c r="Q80" s="47"/>
      <c r="R80" s="75">
        <f t="shared" si="1"/>
        <v>0</v>
      </c>
    </row>
    <row r="81" spans="1:18" x14ac:dyDescent="0.35">
      <c r="A81" s="52">
        <v>79</v>
      </c>
      <c r="B81" s="67" t="s">
        <v>213</v>
      </c>
      <c r="C81" s="90" t="s">
        <v>1991</v>
      </c>
      <c r="D81" s="54" t="s">
        <v>215</v>
      </c>
      <c r="E81" s="9">
        <v>75000</v>
      </c>
      <c r="F81" s="47"/>
      <c r="G81" s="47"/>
      <c r="H81" s="47"/>
      <c r="I81" s="74"/>
      <c r="J81" s="47"/>
      <c r="K81" s="47"/>
      <c r="L81" s="47"/>
      <c r="M81" s="47"/>
      <c r="N81" s="47"/>
      <c r="O81" s="47"/>
      <c r="P81" s="47"/>
      <c r="Q81" s="47"/>
      <c r="R81" s="75">
        <f t="shared" si="1"/>
        <v>75000</v>
      </c>
    </row>
    <row r="82" spans="1:18" x14ac:dyDescent="0.35">
      <c r="A82" s="52">
        <v>80</v>
      </c>
      <c r="B82" s="67" t="s">
        <v>216</v>
      </c>
      <c r="C82" s="144" t="s">
        <v>1992</v>
      </c>
      <c r="D82" s="54" t="s">
        <v>136</v>
      </c>
      <c r="E82" s="9">
        <v>1203500</v>
      </c>
      <c r="F82" s="47">
        <v>100000</v>
      </c>
      <c r="G82" s="47"/>
      <c r="H82" s="47"/>
      <c r="I82" s="74"/>
      <c r="J82" s="47"/>
      <c r="K82" s="47"/>
      <c r="L82" s="47"/>
      <c r="M82" s="47"/>
      <c r="N82" s="47"/>
      <c r="O82" s="47"/>
      <c r="P82" s="47"/>
      <c r="Q82" s="47">
        <v>100000</v>
      </c>
      <c r="R82" s="75">
        <f t="shared" si="1"/>
        <v>1403500</v>
      </c>
    </row>
    <row r="83" spans="1:18" x14ac:dyDescent="0.35">
      <c r="A83" s="52">
        <v>81</v>
      </c>
      <c r="B83" s="67" t="s">
        <v>218</v>
      </c>
      <c r="C83" s="7" t="s">
        <v>1631</v>
      </c>
      <c r="D83" s="54" t="s">
        <v>80</v>
      </c>
      <c r="E83" s="9">
        <v>0</v>
      </c>
      <c r="F83" s="47"/>
      <c r="G83" s="47"/>
      <c r="H83" s="47"/>
      <c r="I83" s="74"/>
      <c r="J83" s="47"/>
      <c r="K83" s="47"/>
      <c r="L83" s="47"/>
      <c r="M83" s="47"/>
      <c r="N83" s="47"/>
      <c r="O83" s="47"/>
      <c r="P83" s="47"/>
      <c r="Q83" s="47"/>
      <c r="R83" s="75">
        <f t="shared" si="1"/>
        <v>0</v>
      </c>
    </row>
    <row r="84" spans="1:18" x14ac:dyDescent="0.35">
      <c r="A84" s="52">
        <v>82</v>
      </c>
      <c r="B84" s="67" t="s">
        <v>220</v>
      </c>
      <c r="C84" s="7" t="s">
        <v>221</v>
      </c>
      <c r="D84" s="54" t="s">
        <v>136</v>
      </c>
      <c r="E84" s="9">
        <v>0</v>
      </c>
      <c r="F84" s="47"/>
      <c r="G84" s="47"/>
      <c r="H84" s="47"/>
      <c r="I84" s="74"/>
      <c r="J84" s="47"/>
      <c r="K84" s="47"/>
      <c r="L84" s="47"/>
      <c r="M84" s="47"/>
      <c r="N84" s="47"/>
      <c r="O84" s="47"/>
      <c r="P84" s="47"/>
      <c r="Q84" s="47"/>
      <c r="R84" s="75">
        <f t="shared" si="1"/>
        <v>0</v>
      </c>
    </row>
    <row r="85" spans="1:18" x14ac:dyDescent="0.35">
      <c r="A85" s="52">
        <v>83</v>
      </c>
      <c r="B85" s="67" t="s">
        <v>222</v>
      </c>
      <c r="C85" s="7" t="s">
        <v>1680</v>
      </c>
      <c r="D85" s="54" t="s">
        <v>166</v>
      </c>
      <c r="E85" s="9">
        <v>8100</v>
      </c>
      <c r="F85" s="47"/>
      <c r="G85" s="47"/>
      <c r="H85" s="47"/>
      <c r="I85" s="74"/>
      <c r="J85" s="47"/>
      <c r="K85" s="47"/>
      <c r="L85" s="47"/>
      <c r="M85" s="47"/>
      <c r="N85" s="47"/>
      <c r="O85" s="47"/>
      <c r="P85" s="47"/>
      <c r="Q85" s="47"/>
      <c r="R85" s="75">
        <f t="shared" si="1"/>
        <v>8100</v>
      </c>
    </row>
    <row r="86" spans="1:18" x14ac:dyDescent="0.35">
      <c r="A86" s="52">
        <v>84</v>
      </c>
      <c r="B86" s="67" t="s">
        <v>224</v>
      </c>
      <c r="C86" s="7" t="s">
        <v>225</v>
      </c>
      <c r="D86" s="54" t="s">
        <v>49</v>
      </c>
      <c r="E86" s="9">
        <v>0</v>
      </c>
      <c r="F86" s="47"/>
      <c r="G86" s="47"/>
      <c r="H86" s="47"/>
      <c r="I86" s="74"/>
      <c r="J86" s="47"/>
      <c r="K86" s="47"/>
      <c r="L86" s="47"/>
      <c r="M86" s="47"/>
      <c r="N86" s="47"/>
      <c r="O86" s="47"/>
      <c r="P86" s="47"/>
      <c r="Q86" s="47"/>
      <c r="R86" s="75">
        <f t="shared" si="1"/>
        <v>0</v>
      </c>
    </row>
    <row r="87" spans="1:18" x14ac:dyDescent="0.35">
      <c r="A87" s="52">
        <v>85</v>
      </c>
      <c r="B87" s="67" t="s">
        <v>226</v>
      </c>
      <c r="C87" s="144" t="s">
        <v>1993</v>
      </c>
      <c r="D87" s="54" t="s">
        <v>228</v>
      </c>
      <c r="E87" s="9">
        <v>0</v>
      </c>
      <c r="F87" s="47"/>
      <c r="G87" s="47"/>
      <c r="H87" s="47"/>
      <c r="I87" s="74">
        <v>250000</v>
      </c>
      <c r="J87" s="47"/>
      <c r="K87" s="47"/>
      <c r="L87" s="47"/>
      <c r="M87" s="47"/>
      <c r="N87" s="47"/>
      <c r="O87" s="47"/>
      <c r="P87" s="47"/>
      <c r="Q87" s="47"/>
      <c r="R87" s="75">
        <f t="shared" si="1"/>
        <v>250000</v>
      </c>
    </row>
    <row r="88" spans="1:18" x14ac:dyDescent="0.35">
      <c r="A88" s="52">
        <v>86</v>
      </c>
      <c r="B88" s="67" t="s">
        <v>229</v>
      </c>
      <c r="C88" s="7" t="s">
        <v>1632</v>
      </c>
      <c r="D88" s="54" t="s">
        <v>231</v>
      </c>
      <c r="E88" s="9">
        <v>0</v>
      </c>
      <c r="F88" s="47"/>
      <c r="G88" s="47"/>
      <c r="H88" s="47"/>
      <c r="I88" s="74"/>
      <c r="J88" s="47"/>
      <c r="K88" s="47"/>
      <c r="L88" s="47"/>
      <c r="M88" s="47"/>
      <c r="N88" s="47"/>
      <c r="O88" s="47"/>
      <c r="P88" s="47"/>
      <c r="Q88" s="47"/>
      <c r="R88" s="75">
        <f t="shared" si="1"/>
        <v>0</v>
      </c>
    </row>
    <row r="89" spans="1:18" x14ac:dyDescent="0.35">
      <c r="A89" s="52">
        <v>87</v>
      </c>
      <c r="B89" s="67" t="s">
        <v>232</v>
      </c>
      <c r="C89" s="7" t="s">
        <v>233</v>
      </c>
      <c r="D89" s="54" t="s">
        <v>159</v>
      </c>
      <c r="E89" s="9">
        <v>0</v>
      </c>
      <c r="F89" s="47"/>
      <c r="G89" s="47"/>
      <c r="H89" s="47"/>
      <c r="I89" s="74"/>
      <c r="J89" s="47"/>
      <c r="K89" s="47"/>
      <c r="L89" s="47"/>
      <c r="M89" s="47"/>
      <c r="N89" s="47"/>
      <c r="O89" s="47"/>
      <c r="P89" s="47"/>
      <c r="Q89" s="47"/>
      <c r="R89" s="75">
        <f t="shared" si="1"/>
        <v>0</v>
      </c>
    </row>
    <row r="90" spans="1:18" x14ac:dyDescent="0.35">
      <c r="A90" s="52">
        <v>88</v>
      </c>
      <c r="B90" s="67" t="s">
        <v>234</v>
      </c>
      <c r="C90" s="144" t="s">
        <v>1951</v>
      </c>
      <c r="D90" s="54" t="s">
        <v>95</v>
      </c>
      <c r="E90" s="9">
        <v>25000</v>
      </c>
      <c r="F90" s="47"/>
      <c r="G90" s="47"/>
      <c r="H90" s="47"/>
      <c r="I90" s="74"/>
      <c r="J90" s="47"/>
      <c r="K90" s="47"/>
      <c r="L90" s="47"/>
      <c r="M90" s="47"/>
      <c r="N90" s="47"/>
      <c r="O90" s="47"/>
      <c r="P90" s="47"/>
      <c r="Q90" s="47"/>
      <c r="R90" s="75">
        <f t="shared" si="1"/>
        <v>25000</v>
      </c>
    </row>
    <row r="91" spans="1:18" x14ac:dyDescent="0.35">
      <c r="A91" s="52">
        <v>89</v>
      </c>
      <c r="B91" s="67" t="s">
        <v>236</v>
      </c>
      <c r="C91" s="90" t="s">
        <v>1754</v>
      </c>
      <c r="D91" s="54" t="s">
        <v>238</v>
      </c>
      <c r="E91" s="9">
        <v>1277000</v>
      </c>
      <c r="F91" s="47"/>
      <c r="G91" s="47"/>
      <c r="H91" s="47"/>
      <c r="I91" s="74"/>
      <c r="J91" s="47"/>
      <c r="K91" s="47"/>
      <c r="L91" s="47"/>
      <c r="M91" s="47"/>
      <c r="N91" s="47"/>
      <c r="O91" s="47">
        <v>250000</v>
      </c>
      <c r="P91" s="47"/>
      <c r="Q91" s="47"/>
      <c r="R91" s="75">
        <f t="shared" si="1"/>
        <v>1527000</v>
      </c>
    </row>
    <row r="92" spans="1:18" x14ac:dyDescent="0.35">
      <c r="A92" s="52">
        <v>90</v>
      </c>
      <c r="B92" s="67" t="s">
        <v>239</v>
      </c>
      <c r="C92" s="7" t="s">
        <v>1994</v>
      </c>
      <c r="D92" s="54" t="s">
        <v>198</v>
      </c>
      <c r="E92" s="9">
        <v>0</v>
      </c>
      <c r="F92" s="47"/>
      <c r="G92" s="47"/>
      <c r="H92" s="47"/>
      <c r="I92" s="74"/>
      <c r="J92" s="47"/>
      <c r="K92" s="47"/>
      <c r="L92" s="47"/>
      <c r="M92" s="47"/>
      <c r="N92" s="47"/>
      <c r="O92" s="47"/>
      <c r="P92" s="47"/>
      <c r="Q92" s="47"/>
      <c r="R92" s="75">
        <f t="shared" si="1"/>
        <v>0</v>
      </c>
    </row>
    <row r="93" spans="1:18" x14ac:dyDescent="0.35">
      <c r="A93" s="52">
        <v>91</v>
      </c>
      <c r="B93" s="67" t="s">
        <v>241</v>
      </c>
      <c r="C93" s="7" t="s">
        <v>1681</v>
      </c>
      <c r="D93" s="54" t="s">
        <v>77</v>
      </c>
      <c r="E93" s="9">
        <v>0</v>
      </c>
      <c r="F93" s="47"/>
      <c r="G93" s="47"/>
      <c r="H93" s="47"/>
      <c r="I93" s="74"/>
      <c r="J93" s="47"/>
      <c r="K93" s="47"/>
      <c r="L93" s="47"/>
      <c r="M93" s="47"/>
      <c r="N93" s="47"/>
      <c r="O93" s="47"/>
      <c r="P93" s="47"/>
      <c r="Q93" s="47"/>
      <c r="R93" s="75">
        <f t="shared" si="1"/>
        <v>0</v>
      </c>
    </row>
    <row r="94" spans="1:18" x14ac:dyDescent="0.35">
      <c r="A94" s="52">
        <v>92</v>
      </c>
      <c r="B94" s="67" t="s">
        <v>243</v>
      </c>
      <c r="C94" s="7" t="s">
        <v>1995</v>
      </c>
      <c r="D94" s="54" t="s">
        <v>123</v>
      </c>
      <c r="E94" s="9">
        <v>0</v>
      </c>
      <c r="F94" s="47"/>
      <c r="G94" s="47"/>
      <c r="H94" s="47"/>
      <c r="I94" s="74"/>
      <c r="J94" s="47"/>
      <c r="K94" s="47"/>
      <c r="L94" s="47"/>
      <c r="M94" s="47"/>
      <c r="N94" s="47"/>
      <c r="O94" s="47"/>
      <c r="P94" s="47"/>
      <c r="Q94" s="47"/>
      <c r="R94" s="75">
        <f t="shared" si="1"/>
        <v>0</v>
      </c>
    </row>
    <row r="95" spans="1:18" x14ac:dyDescent="0.35">
      <c r="A95" s="52">
        <v>93</v>
      </c>
      <c r="B95" s="67" t="s">
        <v>245</v>
      </c>
      <c r="C95" s="7" t="s">
        <v>1633</v>
      </c>
      <c r="D95" s="54" t="s">
        <v>41</v>
      </c>
      <c r="E95" s="9">
        <v>0</v>
      </c>
      <c r="F95" s="47"/>
      <c r="G95" s="47"/>
      <c r="H95" s="47"/>
      <c r="I95" s="74"/>
      <c r="J95" s="47"/>
      <c r="K95" s="47"/>
      <c r="L95" s="47"/>
      <c r="M95" s="47"/>
      <c r="N95" s="47"/>
      <c r="O95" s="47"/>
      <c r="P95" s="47"/>
      <c r="Q95" s="47"/>
      <c r="R95" s="75">
        <f t="shared" si="1"/>
        <v>0</v>
      </c>
    </row>
    <row r="96" spans="1:18" x14ac:dyDescent="0.35">
      <c r="A96" s="52">
        <v>94</v>
      </c>
      <c r="B96" s="67" t="s">
        <v>247</v>
      </c>
      <c r="C96" s="7" t="s">
        <v>1996</v>
      </c>
      <c r="D96" s="54" t="s">
        <v>123</v>
      </c>
      <c r="E96" s="9">
        <v>0</v>
      </c>
      <c r="F96" s="47"/>
      <c r="G96" s="47"/>
      <c r="H96" s="47"/>
      <c r="I96" s="74"/>
      <c r="J96" s="47"/>
      <c r="K96" s="47"/>
      <c r="L96" s="47"/>
      <c r="M96" s="47"/>
      <c r="N96" s="47"/>
      <c r="O96" s="47"/>
      <c r="P96" s="47"/>
      <c r="Q96" s="47"/>
      <c r="R96" s="75">
        <f t="shared" si="1"/>
        <v>0</v>
      </c>
    </row>
    <row r="97" spans="1:18" x14ac:dyDescent="0.35">
      <c r="A97" s="52">
        <v>95</v>
      </c>
      <c r="B97" s="67" t="s">
        <v>249</v>
      </c>
      <c r="C97" s="90" t="s">
        <v>1997</v>
      </c>
      <c r="D97" s="54" t="s">
        <v>25</v>
      </c>
      <c r="E97" s="9">
        <v>810000</v>
      </c>
      <c r="F97" s="47"/>
      <c r="G97" s="47"/>
      <c r="H97" s="47"/>
      <c r="I97" s="74"/>
      <c r="J97" s="47"/>
      <c r="K97" s="47"/>
      <c r="L97" s="47"/>
      <c r="M97" s="47"/>
      <c r="N97" s="47"/>
      <c r="O97" s="47"/>
      <c r="P97" s="47"/>
      <c r="Q97" s="47"/>
      <c r="R97" s="75">
        <f t="shared" si="1"/>
        <v>810000</v>
      </c>
    </row>
    <row r="98" spans="1:18" x14ac:dyDescent="0.35">
      <c r="A98" s="52">
        <v>96</v>
      </c>
      <c r="B98" s="67" t="s">
        <v>251</v>
      </c>
      <c r="C98" s="7" t="s">
        <v>252</v>
      </c>
      <c r="D98" s="54" t="s">
        <v>253</v>
      </c>
      <c r="E98" s="9">
        <v>0</v>
      </c>
      <c r="F98" s="47"/>
      <c r="G98" s="47"/>
      <c r="H98" s="47"/>
      <c r="I98" s="74"/>
      <c r="J98" s="47"/>
      <c r="K98" s="47"/>
      <c r="L98" s="47"/>
      <c r="M98" s="47"/>
      <c r="N98" s="47"/>
      <c r="O98" s="47"/>
      <c r="P98" s="47"/>
      <c r="Q98" s="47"/>
      <c r="R98" s="75">
        <f t="shared" si="1"/>
        <v>0</v>
      </c>
    </row>
    <row r="99" spans="1:18" x14ac:dyDescent="0.35">
      <c r="A99" s="52">
        <v>97</v>
      </c>
      <c r="B99" s="67" t="s">
        <v>254</v>
      </c>
      <c r="C99" s="7" t="s">
        <v>1870</v>
      </c>
      <c r="D99" s="54" t="s">
        <v>98</v>
      </c>
      <c r="E99" s="9">
        <v>85000</v>
      </c>
      <c r="F99" s="47"/>
      <c r="G99" s="47"/>
      <c r="H99" s="47"/>
      <c r="I99" s="74"/>
      <c r="J99" s="47"/>
      <c r="K99" s="47"/>
      <c r="L99" s="47"/>
      <c r="M99" s="47">
        <v>-85000</v>
      </c>
      <c r="N99" s="47"/>
      <c r="O99" s="47"/>
      <c r="P99" s="47"/>
      <c r="Q99" s="47"/>
      <c r="R99" s="75">
        <f t="shared" si="1"/>
        <v>0</v>
      </c>
    </row>
    <row r="100" spans="1:18" x14ac:dyDescent="0.35">
      <c r="A100" s="52">
        <v>98</v>
      </c>
      <c r="B100" s="67" t="s">
        <v>256</v>
      </c>
      <c r="C100" s="7" t="s">
        <v>1682</v>
      </c>
      <c r="D100" s="54" t="s">
        <v>25</v>
      </c>
      <c r="E100" s="9">
        <v>1103000</v>
      </c>
      <c r="F100" s="47"/>
      <c r="G100" s="47"/>
      <c r="H100" s="47"/>
      <c r="I100" s="74"/>
      <c r="J100" s="47"/>
      <c r="K100" s="47"/>
      <c r="L100" s="47"/>
      <c r="M100" s="47"/>
      <c r="N100" s="47"/>
      <c r="O100" s="47"/>
      <c r="P100" s="47"/>
      <c r="Q100" s="47">
        <v>-1103000</v>
      </c>
      <c r="R100" s="75">
        <f t="shared" si="1"/>
        <v>0</v>
      </c>
    </row>
    <row r="101" spans="1:18" x14ac:dyDescent="0.35">
      <c r="A101" s="52">
        <v>99</v>
      </c>
      <c r="B101" s="67" t="s">
        <v>258</v>
      </c>
      <c r="C101" s="90" t="s">
        <v>1913</v>
      </c>
      <c r="D101" s="54" t="s">
        <v>260</v>
      </c>
      <c r="E101" s="9">
        <v>220000</v>
      </c>
      <c r="F101" s="47"/>
      <c r="G101" s="47"/>
      <c r="H101" s="47"/>
      <c r="I101" s="74"/>
      <c r="J101" s="47"/>
      <c r="K101" s="47"/>
      <c r="L101" s="47"/>
      <c r="M101" s="47"/>
      <c r="N101" s="47"/>
      <c r="O101" s="47"/>
      <c r="P101" s="47"/>
      <c r="Q101" s="47">
        <v>100000</v>
      </c>
      <c r="R101" s="75">
        <f t="shared" si="1"/>
        <v>320000</v>
      </c>
    </row>
    <row r="102" spans="1:18" x14ac:dyDescent="0.35">
      <c r="A102" s="52">
        <v>100</v>
      </c>
      <c r="B102" s="67" t="s">
        <v>261</v>
      </c>
      <c r="C102" s="144" t="s">
        <v>1871</v>
      </c>
      <c r="D102" s="54" t="s">
        <v>136</v>
      </c>
      <c r="E102" s="9">
        <v>910000</v>
      </c>
      <c r="F102" s="47"/>
      <c r="G102" s="47"/>
      <c r="H102" s="47"/>
      <c r="I102" s="74"/>
      <c r="J102" s="47"/>
      <c r="K102" s="47"/>
      <c r="L102" s="47"/>
      <c r="M102" s="47"/>
      <c r="N102" s="47"/>
      <c r="O102" s="47"/>
      <c r="P102" s="47"/>
      <c r="Q102" s="47"/>
      <c r="R102" s="75">
        <f t="shared" si="1"/>
        <v>910000</v>
      </c>
    </row>
    <row r="103" spans="1:18" x14ac:dyDescent="0.35">
      <c r="A103" s="52">
        <v>101</v>
      </c>
      <c r="B103" s="67" t="s">
        <v>263</v>
      </c>
      <c r="C103" s="7" t="s">
        <v>264</v>
      </c>
      <c r="D103" s="54" t="s">
        <v>49</v>
      </c>
      <c r="E103" s="9">
        <v>0</v>
      </c>
      <c r="F103" s="47"/>
      <c r="G103" s="47"/>
      <c r="H103" s="47"/>
      <c r="I103" s="74"/>
      <c r="J103" s="47"/>
      <c r="K103" s="47"/>
      <c r="L103" s="47"/>
      <c r="M103" s="47"/>
      <c r="N103" s="47"/>
      <c r="O103" s="47"/>
      <c r="P103" s="47"/>
      <c r="Q103" s="47"/>
      <c r="R103" s="75">
        <f t="shared" si="1"/>
        <v>0</v>
      </c>
    </row>
    <row r="104" spans="1:18" x14ac:dyDescent="0.35">
      <c r="A104" s="52">
        <v>102</v>
      </c>
      <c r="B104" s="67" t="s">
        <v>265</v>
      </c>
      <c r="C104" s="7" t="s">
        <v>1683</v>
      </c>
      <c r="D104" s="54" t="s">
        <v>267</v>
      </c>
      <c r="E104" s="9">
        <v>0</v>
      </c>
      <c r="F104" s="47"/>
      <c r="G104" s="47"/>
      <c r="H104" s="47"/>
      <c r="I104" s="74"/>
      <c r="J104" s="47"/>
      <c r="K104" s="47"/>
      <c r="L104" s="47"/>
      <c r="M104" s="47"/>
      <c r="N104" s="47"/>
      <c r="O104" s="47"/>
      <c r="P104" s="47"/>
      <c r="Q104" s="47"/>
      <c r="R104" s="75">
        <f t="shared" si="1"/>
        <v>0</v>
      </c>
    </row>
    <row r="105" spans="1:18" x14ac:dyDescent="0.35">
      <c r="A105" s="52">
        <v>103</v>
      </c>
      <c r="B105" s="67" t="s">
        <v>268</v>
      </c>
      <c r="C105" s="90" t="s">
        <v>1872</v>
      </c>
      <c r="D105" s="54" t="s">
        <v>270</v>
      </c>
      <c r="E105" s="9">
        <v>40000</v>
      </c>
      <c r="F105" s="47"/>
      <c r="G105" s="47"/>
      <c r="H105" s="47"/>
      <c r="I105" s="74"/>
      <c r="J105" s="47"/>
      <c r="K105" s="47"/>
      <c r="L105" s="47"/>
      <c r="M105" s="47"/>
      <c r="N105" s="47"/>
      <c r="O105" s="47"/>
      <c r="P105" s="47"/>
      <c r="Q105" s="47"/>
      <c r="R105" s="75">
        <f t="shared" si="1"/>
        <v>40000</v>
      </c>
    </row>
    <row r="106" spans="1:18" x14ac:dyDescent="0.35">
      <c r="A106" s="52">
        <v>104</v>
      </c>
      <c r="B106" s="67" t="s">
        <v>271</v>
      </c>
      <c r="C106" s="7" t="s">
        <v>272</v>
      </c>
      <c r="D106" s="54" t="s">
        <v>46</v>
      </c>
      <c r="E106" s="9">
        <v>0</v>
      </c>
      <c r="F106" s="47"/>
      <c r="G106" s="47"/>
      <c r="H106" s="47"/>
      <c r="I106" s="74"/>
      <c r="J106" s="47"/>
      <c r="K106" s="47"/>
      <c r="L106" s="47"/>
      <c r="M106" s="47"/>
      <c r="N106" s="47"/>
      <c r="O106" s="47"/>
      <c r="P106" s="47"/>
      <c r="Q106" s="47"/>
      <c r="R106" s="75">
        <f t="shared" si="1"/>
        <v>0</v>
      </c>
    </row>
    <row r="107" spans="1:18" x14ac:dyDescent="0.35">
      <c r="A107" s="52">
        <v>105</v>
      </c>
      <c r="B107" s="67" t="s">
        <v>273</v>
      </c>
      <c r="C107" s="7" t="s">
        <v>1684</v>
      </c>
      <c r="D107" s="54" t="s">
        <v>166</v>
      </c>
      <c r="E107" s="9">
        <v>0</v>
      </c>
      <c r="F107" s="47"/>
      <c r="G107" s="47"/>
      <c r="H107" s="47"/>
      <c r="I107" s="74"/>
      <c r="J107" s="47"/>
      <c r="K107" s="47"/>
      <c r="L107" s="47"/>
      <c r="M107" s="47"/>
      <c r="N107" s="47"/>
      <c r="O107" s="47"/>
      <c r="P107" s="47"/>
      <c r="Q107" s="47"/>
      <c r="R107" s="75">
        <f t="shared" si="1"/>
        <v>0</v>
      </c>
    </row>
    <row r="108" spans="1:18" x14ac:dyDescent="0.35">
      <c r="A108" s="52">
        <v>106</v>
      </c>
      <c r="B108" s="67" t="s">
        <v>275</v>
      </c>
      <c r="C108" s="144" t="s">
        <v>1998</v>
      </c>
      <c r="D108" s="54" t="s">
        <v>83</v>
      </c>
      <c r="E108" s="9">
        <v>0</v>
      </c>
      <c r="F108" s="47"/>
      <c r="G108" s="47"/>
      <c r="H108" s="47"/>
      <c r="I108" s="74"/>
      <c r="J108" s="47"/>
      <c r="K108" s="47"/>
      <c r="L108" s="47"/>
      <c r="M108" s="47"/>
      <c r="N108" s="47"/>
      <c r="O108" s="47"/>
      <c r="P108" s="47"/>
      <c r="Q108" s="47"/>
      <c r="R108" s="75">
        <f t="shared" si="1"/>
        <v>0</v>
      </c>
    </row>
    <row r="109" spans="1:18" x14ac:dyDescent="0.35">
      <c r="A109" s="52">
        <v>107</v>
      </c>
      <c r="B109" s="67" t="s">
        <v>277</v>
      </c>
      <c r="C109" s="90" t="s">
        <v>1773</v>
      </c>
      <c r="D109" s="54" t="s">
        <v>72</v>
      </c>
      <c r="E109" s="9">
        <v>0</v>
      </c>
      <c r="F109" s="47"/>
      <c r="G109" s="47"/>
      <c r="H109" s="47"/>
      <c r="I109" s="74"/>
      <c r="J109" s="47"/>
      <c r="K109" s="47"/>
      <c r="L109" s="47"/>
      <c r="M109" s="47"/>
      <c r="N109" s="47"/>
      <c r="O109" s="47"/>
      <c r="P109" s="47"/>
      <c r="Q109" s="47"/>
      <c r="R109" s="75">
        <f t="shared" si="1"/>
        <v>0</v>
      </c>
    </row>
    <row r="110" spans="1:18" x14ac:dyDescent="0.35">
      <c r="A110" s="52">
        <v>108</v>
      </c>
      <c r="B110" s="67" t="s">
        <v>279</v>
      </c>
      <c r="C110" s="144" t="s">
        <v>1874</v>
      </c>
      <c r="D110" s="54" t="s">
        <v>46</v>
      </c>
      <c r="E110" s="9">
        <v>650000</v>
      </c>
      <c r="F110" s="47"/>
      <c r="G110" s="47"/>
      <c r="H110" s="47"/>
      <c r="I110" s="74"/>
      <c r="J110" s="47"/>
      <c r="K110" s="47"/>
      <c r="L110" s="47"/>
      <c r="M110" s="47"/>
      <c r="N110" s="47"/>
      <c r="O110" s="47"/>
      <c r="P110" s="47"/>
      <c r="Q110" s="47"/>
      <c r="R110" s="75">
        <f t="shared" si="1"/>
        <v>650000</v>
      </c>
    </row>
    <row r="111" spans="1:18" x14ac:dyDescent="0.35">
      <c r="A111" s="52">
        <v>109</v>
      </c>
      <c r="B111" s="67" t="s">
        <v>281</v>
      </c>
      <c r="C111" s="7" t="s">
        <v>1685</v>
      </c>
      <c r="D111" s="54" t="s">
        <v>72</v>
      </c>
      <c r="E111" s="9">
        <v>0</v>
      </c>
      <c r="F111" s="47"/>
      <c r="G111" s="47"/>
      <c r="H111" s="47"/>
      <c r="I111" s="74"/>
      <c r="J111" s="47"/>
      <c r="K111" s="47"/>
      <c r="L111" s="47"/>
      <c r="M111" s="47"/>
      <c r="N111" s="47"/>
      <c r="O111" s="47"/>
      <c r="P111" s="47"/>
      <c r="Q111" s="47"/>
      <c r="R111" s="75">
        <f t="shared" si="1"/>
        <v>0</v>
      </c>
    </row>
    <row r="112" spans="1:18" x14ac:dyDescent="0.35">
      <c r="A112" s="52">
        <v>110</v>
      </c>
      <c r="B112" s="67" t="s">
        <v>283</v>
      </c>
      <c r="C112" s="7" t="s">
        <v>1999</v>
      </c>
      <c r="D112" s="54" t="s">
        <v>285</v>
      </c>
      <c r="E112" s="9">
        <v>0</v>
      </c>
      <c r="F112" s="47"/>
      <c r="G112" s="47"/>
      <c r="H112" s="47"/>
      <c r="I112" s="74"/>
      <c r="J112" s="47"/>
      <c r="K112" s="47"/>
      <c r="L112" s="47"/>
      <c r="M112" s="47"/>
      <c r="N112" s="47"/>
      <c r="O112" s="47"/>
      <c r="P112" s="47"/>
      <c r="Q112" s="47"/>
      <c r="R112" s="75">
        <f t="shared" si="1"/>
        <v>0</v>
      </c>
    </row>
    <row r="113" spans="1:18" x14ac:dyDescent="0.35">
      <c r="A113" s="52">
        <v>111</v>
      </c>
      <c r="B113" s="67" t="s">
        <v>286</v>
      </c>
      <c r="C113" s="7" t="s">
        <v>287</v>
      </c>
      <c r="D113" s="54" t="s">
        <v>113</v>
      </c>
      <c r="E113" s="9">
        <v>0</v>
      </c>
      <c r="F113" s="47"/>
      <c r="G113" s="47"/>
      <c r="H113" s="47"/>
      <c r="I113" s="74"/>
      <c r="J113" s="47"/>
      <c r="K113" s="47"/>
      <c r="L113" s="47"/>
      <c r="M113" s="47"/>
      <c r="N113" s="47"/>
      <c r="O113" s="47"/>
      <c r="P113" s="47"/>
      <c r="Q113" s="47"/>
      <c r="R113" s="75">
        <f t="shared" si="1"/>
        <v>0</v>
      </c>
    </row>
    <row r="114" spans="1:18" x14ac:dyDescent="0.35">
      <c r="A114" s="52">
        <v>112</v>
      </c>
      <c r="B114" s="67" t="s">
        <v>288</v>
      </c>
      <c r="C114" s="7" t="s">
        <v>289</v>
      </c>
      <c r="D114" s="54" t="s">
        <v>290</v>
      </c>
      <c r="E114" s="9">
        <v>1422000</v>
      </c>
      <c r="F114" s="47"/>
      <c r="G114" s="47"/>
      <c r="H114" s="47"/>
      <c r="I114" s="74"/>
      <c r="J114" s="47"/>
      <c r="K114" s="47"/>
      <c r="L114" s="47"/>
      <c r="M114" s="47"/>
      <c r="N114" s="47">
        <v>-1422000</v>
      </c>
      <c r="O114" s="47"/>
      <c r="P114" s="47"/>
      <c r="Q114" s="47"/>
      <c r="R114" s="75">
        <f t="shared" si="1"/>
        <v>0</v>
      </c>
    </row>
    <row r="115" spans="1:18" x14ac:dyDescent="0.35">
      <c r="A115" s="52">
        <v>113</v>
      </c>
      <c r="B115" s="67" t="s">
        <v>291</v>
      </c>
      <c r="C115" s="144" t="s">
        <v>1933</v>
      </c>
      <c r="D115" s="54" t="s">
        <v>128</v>
      </c>
      <c r="E115" s="9">
        <v>645000</v>
      </c>
      <c r="F115" s="47"/>
      <c r="G115" s="47"/>
      <c r="H115" s="47"/>
      <c r="I115" s="74"/>
      <c r="J115" s="47"/>
      <c r="K115" s="47"/>
      <c r="L115" s="47"/>
      <c r="M115" s="47"/>
      <c r="N115" s="47"/>
      <c r="O115" s="47"/>
      <c r="P115" s="47"/>
      <c r="Q115" s="47"/>
      <c r="R115" s="75">
        <f t="shared" si="1"/>
        <v>645000</v>
      </c>
    </row>
    <row r="116" spans="1:18" x14ac:dyDescent="0.35">
      <c r="A116" s="52">
        <v>114</v>
      </c>
      <c r="B116" s="67" t="s">
        <v>293</v>
      </c>
      <c r="C116" s="90" t="s">
        <v>1779</v>
      </c>
      <c r="D116" s="54" t="s">
        <v>295</v>
      </c>
      <c r="E116" s="9">
        <v>670000</v>
      </c>
      <c r="F116" s="47"/>
      <c r="G116" s="47"/>
      <c r="H116" s="47"/>
      <c r="I116" s="74"/>
      <c r="J116" s="47"/>
      <c r="K116" s="47"/>
      <c r="L116" s="47"/>
      <c r="M116" s="47"/>
      <c r="N116" s="47"/>
      <c r="O116" s="47"/>
      <c r="P116" s="47"/>
      <c r="Q116" s="47"/>
      <c r="R116" s="75">
        <f t="shared" si="1"/>
        <v>670000</v>
      </c>
    </row>
    <row r="117" spans="1:18" x14ac:dyDescent="0.35">
      <c r="A117" s="52">
        <v>115</v>
      </c>
      <c r="B117" s="67" t="s">
        <v>296</v>
      </c>
      <c r="C117" s="7" t="s">
        <v>297</v>
      </c>
      <c r="D117" s="54" t="s">
        <v>49</v>
      </c>
      <c r="E117" s="9">
        <v>0</v>
      </c>
      <c r="F117" s="47"/>
      <c r="G117" s="47"/>
      <c r="H117" s="47"/>
      <c r="I117" s="74"/>
      <c r="J117" s="47"/>
      <c r="K117" s="47"/>
      <c r="L117" s="47"/>
      <c r="M117" s="47"/>
      <c r="N117" s="47"/>
      <c r="O117" s="47"/>
      <c r="P117" s="47"/>
      <c r="Q117" s="47"/>
      <c r="R117" s="75">
        <f t="shared" si="1"/>
        <v>0</v>
      </c>
    </row>
    <row r="118" spans="1:18" x14ac:dyDescent="0.35">
      <c r="A118" s="52">
        <v>116</v>
      </c>
      <c r="B118" s="67" t="s">
        <v>298</v>
      </c>
      <c r="C118" s="7" t="s">
        <v>1686</v>
      </c>
      <c r="D118" s="54" t="s">
        <v>300</v>
      </c>
      <c r="E118" s="9">
        <v>0</v>
      </c>
      <c r="F118" s="47"/>
      <c r="G118" s="47"/>
      <c r="H118" s="47"/>
      <c r="I118" s="74"/>
      <c r="J118" s="47"/>
      <c r="K118" s="47"/>
      <c r="L118" s="47"/>
      <c r="M118" s="47"/>
      <c r="N118" s="47"/>
      <c r="O118" s="47"/>
      <c r="P118" s="47"/>
      <c r="Q118" s="47"/>
      <c r="R118" s="75">
        <f t="shared" si="1"/>
        <v>0</v>
      </c>
    </row>
    <row r="119" spans="1:18" x14ac:dyDescent="0.35">
      <c r="A119" s="52">
        <v>117</v>
      </c>
      <c r="B119" s="67" t="s">
        <v>301</v>
      </c>
      <c r="C119" s="90" t="s">
        <v>2000</v>
      </c>
      <c r="D119" s="54" t="s">
        <v>303</v>
      </c>
      <c r="E119" s="9">
        <v>2850000</v>
      </c>
      <c r="F119" s="47"/>
      <c r="G119" s="47"/>
      <c r="H119" s="47"/>
      <c r="I119" s="74"/>
      <c r="J119" s="47">
        <v>250000</v>
      </c>
      <c r="K119" s="47"/>
      <c r="L119" s="47"/>
      <c r="M119" s="47"/>
      <c r="N119" s="47"/>
      <c r="O119" s="47"/>
      <c r="P119" s="47"/>
      <c r="Q119" s="47"/>
      <c r="R119" s="75">
        <f t="shared" si="1"/>
        <v>3100000</v>
      </c>
    </row>
    <row r="120" spans="1:18" x14ac:dyDescent="0.35">
      <c r="A120" s="52">
        <v>118</v>
      </c>
      <c r="B120" s="67" t="s">
        <v>304</v>
      </c>
      <c r="C120" s="7" t="s">
        <v>2207</v>
      </c>
      <c r="D120" s="54" t="s">
        <v>136</v>
      </c>
      <c r="E120" s="9">
        <v>0</v>
      </c>
      <c r="F120" s="47"/>
      <c r="G120" s="47"/>
      <c r="H120" s="47"/>
      <c r="I120" s="74"/>
      <c r="J120" s="47"/>
      <c r="K120" s="47"/>
      <c r="L120" s="47"/>
      <c r="M120" s="47"/>
      <c r="N120" s="47"/>
      <c r="O120" s="47"/>
      <c r="P120" s="47"/>
      <c r="Q120" s="47"/>
      <c r="R120" s="75">
        <f t="shared" si="1"/>
        <v>0</v>
      </c>
    </row>
    <row r="121" spans="1:18" x14ac:dyDescent="0.35">
      <c r="A121" s="52">
        <v>119</v>
      </c>
      <c r="B121" s="67" t="s">
        <v>306</v>
      </c>
      <c r="C121" s="7" t="s">
        <v>1687</v>
      </c>
      <c r="D121" s="54" t="s">
        <v>60</v>
      </c>
      <c r="E121" s="9">
        <v>0</v>
      </c>
      <c r="F121" s="47"/>
      <c r="G121" s="47"/>
      <c r="H121" s="47"/>
      <c r="I121" s="74"/>
      <c r="J121" s="47"/>
      <c r="K121" s="47"/>
      <c r="L121" s="47"/>
      <c r="M121" s="47"/>
      <c r="N121" s="47"/>
      <c r="O121" s="47"/>
      <c r="P121" s="47"/>
      <c r="Q121" s="47"/>
      <c r="R121" s="75">
        <f t="shared" si="1"/>
        <v>0</v>
      </c>
    </row>
    <row r="122" spans="1:18" x14ac:dyDescent="0.35">
      <c r="A122" s="52">
        <v>120</v>
      </c>
      <c r="B122" s="67" t="s">
        <v>308</v>
      </c>
      <c r="C122" s="7" t="s">
        <v>309</v>
      </c>
      <c r="D122" s="54" t="s">
        <v>131</v>
      </c>
      <c r="E122" s="9">
        <v>0</v>
      </c>
      <c r="F122" s="47"/>
      <c r="G122" s="47"/>
      <c r="H122" s="47"/>
      <c r="I122" s="74"/>
      <c r="J122" s="47"/>
      <c r="K122" s="47"/>
      <c r="L122" s="47"/>
      <c r="M122" s="47"/>
      <c r="N122" s="47"/>
      <c r="O122" s="47"/>
      <c r="P122" s="47"/>
      <c r="Q122" s="47"/>
      <c r="R122" s="75">
        <f t="shared" si="1"/>
        <v>0</v>
      </c>
    </row>
    <row r="123" spans="1:18" x14ac:dyDescent="0.35">
      <c r="A123" s="52">
        <v>121</v>
      </c>
      <c r="B123" s="67" t="s">
        <v>310</v>
      </c>
      <c r="C123" s="90" t="s">
        <v>2001</v>
      </c>
      <c r="D123" s="54" t="s">
        <v>25</v>
      </c>
      <c r="E123" s="9">
        <v>850000</v>
      </c>
      <c r="F123" s="47">
        <v>150000</v>
      </c>
      <c r="G123" s="47"/>
      <c r="H123" s="47"/>
      <c r="I123" s="74"/>
      <c r="J123" s="47"/>
      <c r="K123" s="47"/>
      <c r="L123" s="47"/>
      <c r="M123" s="47"/>
      <c r="N123" s="47"/>
      <c r="O123" s="47"/>
      <c r="P123" s="47"/>
      <c r="Q123" s="47"/>
      <c r="R123" s="75">
        <f t="shared" si="1"/>
        <v>1000000</v>
      </c>
    </row>
    <row r="124" spans="1:18" x14ac:dyDescent="0.35">
      <c r="A124" s="52">
        <v>122</v>
      </c>
      <c r="B124" s="67" t="s">
        <v>312</v>
      </c>
      <c r="C124" s="90" t="s">
        <v>1775</v>
      </c>
      <c r="D124" s="54" t="s">
        <v>72</v>
      </c>
      <c r="E124" s="9">
        <v>210000</v>
      </c>
      <c r="F124" s="47"/>
      <c r="G124" s="47"/>
      <c r="H124" s="47"/>
      <c r="I124" s="74"/>
      <c r="J124" s="47"/>
      <c r="K124" s="47"/>
      <c r="L124" s="47"/>
      <c r="M124" s="47"/>
      <c r="N124" s="47"/>
      <c r="O124" s="47"/>
      <c r="P124" s="47"/>
      <c r="Q124" s="47"/>
      <c r="R124" s="75">
        <f t="shared" si="1"/>
        <v>210000</v>
      </c>
    </row>
    <row r="125" spans="1:18" x14ac:dyDescent="0.35">
      <c r="A125" s="52">
        <v>123</v>
      </c>
      <c r="B125" s="67" t="s">
        <v>314</v>
      </c>
      <c r="C125" s="101" t="s">
        <v>1877</v>
      </c>
      <c r="D125" s="54" t="s">
        <v>25</v>
      </c>
      <c r="E125" s="9">
        <v>50000</v>
      </c>
      <c r="F125" s="47"/>
      <c r="G125" s="47"/>
      <c r="H125" s="47"/>
      <c r="I125" s="74"/>
      <c r="J125" s="47"/>
      <c r="K125" s="47"/>
      <c r="L125" s="47"/>
      <c r="M125" s="47"/>
      <c r="N125" s="47"/>
      <c r="O125" s="47"/>
      <c r="P125" s="47"/>
      <c r="Q125" s="47"/>
      <c r="R125" s="75">
        <f t="shared" si="1"/>
        <v>50000</v>
      </c>
    </row>
    <row r="126" spans="1:18" x14ac:dyDescent="0.35">
      <c r="A126" s="52">
        <v>124</v>
      </c>
      <c r="B126" s="67" t="s">
        <v>316</v>
      </c>
      <c r="C126" s="7" t="s">
        <v>1688</v>
      </c>
      <c r="D126" s="54" t="s">
        <v>318</v>
      </c>
      <c r="E126" s="9">
        <v>0</v>
      </c>
      <c r="F126" s="47"/>
      <c r="G126" s="47"/>
      <c r="H126" s="47"/>
      <c r="I126" s="74"/>
      <c r="J126" s="47"/>
      <c r="K126" s="47"/>
      <c r="L126" s="47"/>
      <c r="M126" s="47"/>
      <c r="N126" s="47"/>
      <c r="O126" s="47"/>
      <c r="P126" s="47"/>
      <c r="Q126" s="47"/>
      <c r="R126" s="75">
        <f t="shared" si="1"/>
        <v>0</v>
      </c>
    </row>
    <row r="127" spans="1:18" x14ac:dyDescent="0.35">
      <c r="A127" s="52">
        <v>125</v>
      </c>
      <c r="B127" s="67" t="s">
        <v>319</v>
      </c>
      <c r="C127" s="101" t="s">
        <v>1776</v>
      </c>
      <c r="D127" s="54" t="s">
        <v>321</v>
      </c>
      <c r="E127" s="9">
        <v>1813000</v>
      </c>
      <c r="F127" s="47"/>
      <c r="G127" s="47"/>
      <c r="H127" s="47"/>
      <c r="I127" s="74"/>
      <c r="J127" s="47"/>
      <c r="K127" s="47"/>
      <c r="L127" s="47"/>
      <c r="M127" s="47"/>
      <c r="N127" s="47"/>
      <c r="O127" s="47"/>
      <c r="P127" s="47"/>
      <c r="Q127" s="47"/>
      <c r="R127" s="75">
        <f t="shared" si="1"/>
        <v>1813000</v>
      </c>
    </row>
    <row r="128" spans="1:18" x14ac:dyDescent="0.35">
      <c r="A128" s="52">
        <v>126</v>
      </c>
      <c r="B128" s="67" t="s">
        <v>322</v>
      </c>
      <c r="C128" s="7" t="s">
        <v>1634</v>
      </c>
      <c r="D128" s="54" t="s">
        <v>324</v>
      </c>
      <c r="E128" s="9">
        <v>0</v>
      </c>
      <c r="F128" s="47"/>
      <c r="G128" s="47"/>
      <c r="H128" s="47"/>
      <c r="I128" s="74"/>
      <c r="J128" s="47"/>
      <c r="K128" s="47"/>
      <c r="L128" s="47"/>
      <c r="M128" s="47"/>
      <c r="N128" s="47"/>
      <c r="O128" s="47"/>
      <c r="P128" s="47"/>
      <c r="Q128" s="47"/>
      <c r="R128" s="75">
        <f t="shared" si="1"/>
        <v>0</v>
      </c>
    </row>
    <row r="129" spans="1:18" x14ac:dyDescent="0.35">
      <c r="A129" s="52">
        <v>127</v>
      </c>
      <c r="B129" s="67" t="s">
        <v>325</v>
      </c>
      <c r="C129" s="144" t="s">
        <v>326</v>
      </c>
      <c r="D129" s="54" t="s">
        <v>270</v>
      </c>
      <c r="E129" s="9">
        <v>0</v>
      </c>
      <c r="F129" s="47"/>
      <c r="G129" s="47"/>
      <c r="H129" s="47"/>
      <c r="I129" s="74"/>
      <c r="J129" s="47"/>
      <c r="K129" s="47"/>
      <c r="L129" s="47"/>
      <c r="M129" s="47"/>
      <c r="N129" s="47"/>
      <c r="O129" s="47"/>
      <c r="P129" s="47"/>
      <c r="Q129" s="47"/>
      <c r="R129" s="75">
        <f t="shared" si="1"/>
        <v>0</v>
      </c>
    </row>
    <row r="130" spans="1:18" x14ac:dyDescent="0.35">
      <c r="A130" s="52">
        <v>128</v>
      </c>
      <c r="B130" s="67" t="s">
        <v>327</v>
      </c>
      <c r="C130" s="144" t="s">
        <v>1879</v>
      </c>
      <c r="D130" s="54" t="s">
        <v>136</v>
      </c>
      <c r="E130" s="9">
        <v>0</v>
      </c>
      <c r="F130" s="47"/>
      <c r="G130" s="47"/>
      <c r="H130" s="47"/>
      <c r="I130" s="74"/>
      <c r="J130" s="47"/>
      <c r="K130" s="47"/>
      <c r="L130" s="47"/>
      <c r="M130" s="47"/>
      <c r="N130" s="47"/>
      <c r="O130" s="47"/>
      <c r="P130" s="47"/>
      <c r="Q130" s="47"/>
      <c r="R130" s="75">
        <f t="shared" si="1"/>
        <v>0</v>
      </c>
    </row>
    <row r="131" spans="1:18" x14ac:dyDescent="0.35">
      <c r="A131" s="52">
        <v>129</v>
      </c>
      <c r="B131" s="67" t="s">
        <v>329</v>
      </c>
      <c r="C131" s="90" t="s">
        <v>1788</v>
      </c>
      <c r="D131" s="54" t="s">
        <v>136</v>
      </c>
      <c r="E131" s="9">
        <v>585000</v>
      </c>
      <c r="F131" s="47"/>
      <c r="G131" s="47"/>
      <c r="H131" s="47">
        <v>250000</v>
      </c>
      <c r="I131" s="74">
        <v>83820</v>
      </c>
      <c r="J131" s="47">
        <v>83820</v>
      </c>
      <c r="K131" s="47"/>
      <c r="L131" s="47"/>
      <c r="M131" s="47"/>
      <c r="N131" s="47"/>
      <c r="O131" s="47"/>
      <c r="P131" s="47"/>
      <c r="Q131" s="47"/>
      <c r="R131" s="75">
        <f t="shared" si="1"/>
        <v>1002640</v>
      </c>
    </row>
    <row r="132" spans="1:18" x14ac:dyDescent="0.35">
      <c r="A132" s="52">
        <v>130</v>
      </c>
      <c r="B132" s="67" t="s">
        <v>331</v>
      </c>
      <c r="C132" s="101" t="s">
        <v>2002</v>
      </c>
      <c r="D132" s="54" t="s">
        <v>333</v>
      </c>
      <c r="E132" s="9">
        <v>50000</v>
      </c>
      <c r="F132" s="47"/>
      <c r="G132" s="47"/>
      <c r="H132" s="47"/>
      <c r="I132" s="74"/>
      <c r="J132" s="47"/>
      <c r="K132" s="47"/>
      <c r="L132" s="47"/>
      <c r="M132" s="47"/>
      <c r="N132" s="47"/>
      <c r="O132" s="47"/>
      <c r="P132" s="47"/>
      <c r="Q132" s="47"/>
      <c r="R132" s="75">
        <f t="shared" ref="R132:R195" si="2">E132+F132+G132+H132+I132+J132+K132+L132+M132+N132+O132+P132+Q132</f>
        <v>50000</v>
      </c>
    </row>
    <row r="133" spans="1:18" x14ac:dyDescent="0.35">
      <c r="A133" s="52">
        <v>131</v>
      </c>
      <c r="B133" s="67" t="s">
        <v>334</v>
      </c>
      <c r="C133" s="90" t="s">
        <v>2003</v>
      </c>
      <c r="D133" s="54" t="s">
        <v>60</v>
      </c>
      <c r="E133" s="9">
        <v>50000</v>
      </c>
      <c r="F133" s="47"/>
      <c r="G133" s="47"/>
      <c r="H133" s="47"/>
      <c r="I133" s="74"/>
      <c r="J133" s="47"/>
      <c r="K133" s="47"/>
      <c r="L133" s="47"/>
      <c r="M133" s="47"/>
      <c r="N133" s="47"/>
      <c r="O133" s="47"/>
      <c r="P133" s="47"/>
      <c r="Q133" s="47"/>
      <c r="R133" s="75">
        <f t="shared" si="2"/>
        <v>50000</v>
      </c>
    </row>
    <row r="134" spans="1:18" x14ac:dyDescent="0.35">
      <c r="A134" s="52">
        <v>132</v>
      </c>
      <c r="B134" s="67" t="s">
        <v>336</v>
      </c>
      <c r="C134" s="7" t="s">
        <v>1689</v>
      </c>
      <c r="D134" s="54" t="s">
        <v>41</v>
      </c>
      <c r="E134" s="9">
        <v>0</v>
      </c>
      <c r="F134" s="47"/>
      <c r="G134" s="47"/>
      <c r="H134" s="47"/>
      <c r="I134" s="74"/>
      <c r="J134" s="47"/>
      <c r="K134" s="47"/>
      <c r="L134" s="47"/>
      <c r="M134" s="47"/>
      <c r="N134" s="47"/>
      <c r="O134" s="47"/>
      <c r="P134" s="47"/>
      <c r="Q134" s="47"/>
      <c r="R134" s="75">
        <f t="shared" si="2"/>
        <v>0</v>
      </c>
    </row>
    <row r="135" spans="1:18" x14ac:dyDescent="0.35">
      <c r="A135" s="52">
        <v>133</v>
      </c>
      <c r="B135" s="67" t="s">
        <v>338</v>
      </c>
      <c r="C135" s="7" t="s">
        <v>1690</v>
      </c>
      <c r="D135" s="54" t="s">
        <v>49</v>
      </c>
      <c r="E135" s="9">
        <v>0</v>
      </c>
      <c r="F135" s="47"/>
      <c r="G135" s="47"/>
      <c r="H135" s="47"/>
      <c r="I135" s="74"/>
      <c r="J135" s="47"/>
      <c r="K135" s="47"/>
      <c r="L135" s="47"/>
      <c r="M135" s="47"/>
      <c r="N135" s="47"/>
      <c r="O135" s="47"/>
      <c r="P135" s="47"/>
      <c r="Q135" s="47"/>
      <c r="R135" s="75">
        <f t="shared" si="2"/>
        <v>0</v>
      </c>
    </row>
    <row r="136" spans="1:18" x14ac:dyDescent="0.35">
      <c r="A136" s="52">
        <v>134</v>
      </c>
      <c r="B136" s="67" t="s">
        <v>340</v>
      </c>
      <c r="C136" s="7" t="s">
        <v>1616</v>
      </c>
      <c r="D136" s="54" t="s">
        <v>136</v>
      </c>
      <c r="E136" s="9">
        <v>0</v>
      </c>
      <c r="F136" s="47"/>
      <c r="G136" s="47"/>
      <c r="H136" s="47"/>
      <c r="I136" s="74"/>
      <c r="J136" s="47"/>
      <c r="K136" s="47"/>
      <c r="L136" s="47"/>
      <c r="M136" s="47"/>
      <c r="N136" s="47"/>
      <c r="O136" s="47"/>
      <c r="P136" s="47"/>
      <c r="Q136" s="47"/>
      <c r="R136" s="75">
        <f t="shared" si="2"/>
        <v>0</v>
      </c>
    </row>
    <row r="137" spans="1:18" x14ac:dyDescent="0.35">
      <c r="A137" s="52">
        <v>135</v>
      </c>
      <c r="B137" s="67" t="s">
        <v>342</v>
      </c>
      <c r="C137" s="90" t="s">
        <v>1777</v>
      </c>
      <c r="D137" s="54" t="s">
        <v>303</v>
      </c>
      <c r="E137" s="9">
        <v>2078000</v>
      </c>
      <c r="F137" s="47"/>
      <c r="G137" s="47"/>
      <c r="H137" s="47"/>
      <c r="I137" s="74"/>
      <c r="J137" s="47"/>
      <c r="K137" s="47"/>
      <c r="L137" s="47"/>
      <c r="M137" s="47"/>
      <c r="N137" s="47"/>
      <c r="O137" s="47">
        <v>200000</v>
      </c>
      <c r="P137" s="47"/>
      <c r="Q137" s="47"/>
      <c r="R137" s="75">
        <f t="shared" si="2"/>
        <v>2278000</v>
      </c>
    </row>
    <row r="138" spans="1:18" x14ac:dyDescent="0.35">
      <c r="A138" s="52">
        <v>136</v>
      </c>
      <c r="B138" s="67" t="s">
        <v>344</v>
      </c>
      <c r="C138" s="90" t="s">
        <v>1747</v>
      </c>
      <c r="D138" s="54" t="s">
        <v>95</v>
      </c>
      <c r="E138" s="9">
        <v>30000</v>
      </c>
      <c r="F138" s="47"/>
      <c r="G138" s="47"/>
      <c r="H138" s="47"/>
      <c r="I138" s="74"/>
      <c r="J138" s="47"/>
      <c r="K138" s="47"/>
      <c r="L138" s="47"/>
      <c r="M138" s="47"/>
      <c r="N138" s="47"/>
      <c r="O138" s="47"/>
      <c r="P138" s="47"/>
      <c r="Q138" s="47"/>
      <c r="R138" s="75">
        <f t="shared" si="2"/>
        <v>30000</v>
      </c>
    </row>
    <row r="139" spans="1:18" x14ac:dyDescent="0.35">
      <c r="A139" s="52">
        <v>137</v>
      </c>
      <c r="B139" s="67" t="s">
        <v>346</v>
      </c>
      <c r="C139" s="7" t="s">
        <v>1635</v>
      </c>
      <c r="D139" s="54" t="s">
        <v>98</v>
      </c>
      <c r="E139" s="9">
        <v>0</v>
      </c>
      <c r="F139" s="47"/>
      <c r="G139" s="47"/>
      <c r="H139" s="47"/>
      <c r="I139" s="74"/>
      <c r="J139" s="47"/>
      <c r="K139" s="47"/>
      <c r="L139" s="47"/>
      <c r="M139" s="47"/>
      <c r="N139" s="47"/>
      <c r="O139" s="47"/>
      <c r="P139" s="47"/>
      <c r="Q139" s="47"/>
      <c r="R139" s="75">
        <f t="shared" si="2"/>
        <v>0</v>
      </c>
    </row>
    <row r="140" spans="1:18" x14ac:dyDescent="0.35">
      <c r="A140" s="52">
        <v>138</v>
      </c>
      <c r="B140" s="67" t="s">
        <v>348</v>
      </c>
      <c r="C140" s="144" t="s">
        <v>1881</v>
      </c>
      <c r="D140" s="54" t="s">
        <v>98</v>
      </c>
      <c r="E140" s="9">
        <v>0</v>
      </c>
      <c r="F140" s="47"/>
      <c r="G140" s="47"/>
      <c r="H140" s="47"/>
      <c r="I140" s="74"/>
      <c r="J140" s="47"/>
      <c r="K140" s="47"/>
      <c r="L140" s="47"/>
      <c r="M140" s="47"/>
      <c r="N140" s="47"/>
      <c r="O140" s="47"/>
      <c r="P140" s="47"/>
      <c r="Q140" s="47"/>
      <c r="R140" s="75">
        <f t="shared" si="2"/>
        <v>0</v>
      </c>
    </row>
    <row r="141" spans="1:18" x14ac:dyDescent="0.35">
      <c r="A141" s="52">
        <v>139</v>
      </c>
      <c r="B141" s="67" t="s">
        <v>350</v>
      </c>
      <c r="C141" s="90" t="s">
        <v>1790</v>
      </c>
      <c r="D141" s="54" t="s">
        <v>14</v>
      </c>
      <c r="E141" s="9">
        <v>0</v>
      </c>
      <c r="F141" s="47"/>
      <c r="G141" s="47"/>
      <c r="H141" s="47"/>
      <c r="I141" s="74"/>
      <c r="J141" s="47"/>
      <c r="K141" s="47"/>
      <c r="L141" s="47"/>
      <c r="M141" s="47"/>
      <c r="N141" s="47"/>
      <c r="O141" s="47"/>
      <c r="P141" s="47"/>
      <c r="Q141" s="47"/>
      <c r="R141" s="75">
        <f t="shared" si="2"/>
        <v>0</v>
      </c>
    </row>
    <row r="142" spans="1:18" x14ac:dyDescent="0.35">
      <c r="A142" s="52">
        <v>140</v>
      </c>
      <c r="B142" s="67" t="s">
        <v>352</v>
      </c>
      <c r="C142" s="7" t="s">
        <v>353</v>
      </c>
      <c r="D142" s="54" t="s">
        <v>354</v>
      </c>
      <c r="E142" s="9">
        <v>0</v>
      </c>
      <c r="F142" s="47"/>
      <c r="G142" s="47"/>
      <c r="H142" s="47"/>
      <c r="I142" s="74"/>
      <c r="J142" s="47"/>
      <c r="K142" s="47"/>
      <c r="L142" s="47"/>
      <c r="M142" s="47"/>
      <c r="N142" s="47"/>
      <c r="O142" s="47"/>
      <c r="P142" s="47"/>
      <c r="Q142" s="47"/>
      <c r="R142" s="75">
        <f t="shared" si="2"/>
        <v>0</v>
      </c>
    </row>
    <row r="143" spans="1:18" x14ac:dyDescent="0.35">
      <c r="A143" s="52">
        <v>141</v>
      </c>
      <c r="B143" s="67" t="s">
        <v>355</v>
      </c>
      <c r="C143" s="7" t="s">
        <v>1691</v>
      </c>
      <c r="D143" s="54" t="s">
        <v>166</v>
      </c>
      <c r="E143" s="9">
        <v>0</v>
      </c>
      <c r="F143" s="47"/>
      <c r="G143" s="47"/>
      <c r="H143" s="47"/>
      <c r="I143" s="74"/>
      <c r="J143" s="47"/>
      <c r="K143" s="47"/>
      <c r="L143" s="47"/>
      <c r="M143" s="47"/>
      <c r="N143" s="47"/>
      <c r="O143" s="47"/>
      <c r="P143" s="47"/>
      <c r="Q143" s="47"/>
      <c r="R143" s="75">
        <f t="shared" si="2"/>
        <v>0</v>
      </c>
    </row>
    <row r="144" spans="1:18" x14ac:dyDescent="0.35">
      <c r="A144" s="52">
        <v>142</v>
      </c>
      <c r="B144" s="67" t="s">
        <v>357</v>
      </c>
      <c r="C144" s="7" t="s">
        <v>1692</v>
      </c>
      <c r="D144" s="54" t="s">
        <v>19</v>
      </c>
      <c r="E144" s="9">
        <v>0</v>
      </c>
      <c r="F144" s="47"/>
      <c r="G144" s="47"/>
      <c r="H144" s="47"/>
      <c r="I144" s="74"/>
      <c r="J144" s="47"/>
      <c r="K144" s="47"/>
      <c r="L144" s="47"/>
      <c r="M144" s="47"/>
      <c r="N144" s="47"/>
      <c r="O144" s="47"/>
      <c r="P144" s="47"/>
      <c r="Q144" s="47"/>
      <c r="R144" s="75">
        <f t="shared" si="2"/>
        <v>0</v>
      </c>
    </row>
    <row r="145" spans="1:18" x14ac:dyDescent="0.35">
      <c r="A145" s="52">
        <v>143</v>
      </c>
      <c r="B145" s="67" t="s">
        <v>359</v>
      </c>
      <c r="C145" s="7" t="s">
        <v>1693</v>
      </c>
      <c r="D145" s="54" t="s">
        <v>136</v>
      </c>
      <c r="E145" s="9">
        <v>0</v>
      </c>
      <c r="F145" s="47"/>
      <c r="G145" s="47"/>
      <c r="H145" s="47"/>
      <c r="I145" s="74"/>
      <c r="J145" s="47"/>
      <c r="K145" s="47"/>
      <c r="L145" s="47"/>
      <c r="M145" s="47"/>
      <c r="N145" s="47"/>
      <c r="O145" s="47"/>
      <c r="P145" s="47"/>
      <c r="Q145" s="47"/>
      <c r="R145" s="75">
        <f t="shared" si="2"/>
        <v>0</v>
      </c>
    </row>
    <row r="146" spans="1:18" x14ac:dyDescent="0.35">
      <c r="A146" s="52">
        <v>144</v>
      </c>
      <c r="B146" s="67" t="s">
        <v>361</v>
      </c>
      <c r="C146" s="7" t="s">
        <v>362</v>
      </c>
      <c r="D146" s="54" t="s">
        <v>72</v>
      </c>
      <c r="E146" s="9">
        <v>0</v>
      </c>
      <c r="F146" s="47"/>
      <c r="G146" s="47"/>
      <c r="H146" s="47"/>
      <c r="I146" s="74"/>
      <c r="J146" s="47"/>
      <c r="K146" s="47"/>
      <c r="L146" s="47"/>
      <c r="M146" s="47"/>
      <c r="N146" s="47"/>
      <c r="O146" s="47"/>
      <c r="P146" s="47"/>
      <c r="Q146" s="47"/>
      <c r="R146" s="75">
        <f t="shared" si="2"/>
        <v>0</v>
      </c>
    </row>
    <row r="147" spans="1:18" x14ac:dyDescent="0.35">
      <c r="A147" s="52">
        <v>145</v>
      </c>
      <c r="B147" s="67" t="s">
        <v>363</v>
      </c>
      <c r="C147" s="7" t="s">
        <v>1607</v>
      </c>
      <c r="D147" s="54" t="s">
        <v>14</v>
      </c>
      <c r="E147" s="9">
        <v>0</v>
      </c>
      <c r="F147" s="47"/>
      <c r="G147" s="47"/>
      <c r="H147" s="47"/>
      <c r="I147" s="74"/>
      <c r="J147" s="47"/>
      <c r="K147" s="47"/>
      <c r="L147" s="47"/>
      <c r="M147" s="47"/>
      <c r="N147" s="47"/>
      <c r="O147" s="47"/>
      <c r="P147" s="47"/>
      <c r="Q147" s="47"/>
      <c r="R147" s="75">
        <f t="shared" si="2"/>
        <v>0</v>
      </c>
    </row>
    <row r="148" spans="1:18" x14ac:dyDescent="0.35">
      <c r="A148" s="52">
        <v>146</v>
      </c>
      <c r="B148" s="67" t="s">
        <v>365</v>
      </c>
      <c r="C148" s="90" t="s">
        <v>1970</v>
      </c>
      <c r="D148" s="54" t="s">
        <v>367</v>
      </c>
      <c r="E148" s="9">
        <v>0</v>
      </c>
      <c r="F148" s="47"/>
      <c r="G148" s="47"/>
      <c r="H148" s="47"/>
      <c r="I148" s="74"/>
      <c r="J148" s="47"/>
      <c r="K148" s="47"/>
      <c r="L148" s="47"/>
      <c r="M148" s="47"/>
      <c r="N148" s="47"/>
      <c r="O148" s="47"/>
      <c r="P148" s="47"/>
      <c r="Q148" s="47"/>
      <c r="R148" s="75">
        <f t="shared" si="2"/>
        <v>0</v>
      </c>
    </row>
    <row r="149" spans="1:18" x14ac:dyDescent="0.35">
      <c r="A149" s="52">
        <v>147</v>
      </c>
      <c r="B149" s="67" t="s">
        <v>368</v>
      </c>
      <c r="C149" s="7" t="s">
        <v>1912</v>
      </c>
      <c r="D149" s="54" t="s">
        <v>198</v>
      </c>
      <c r="E149" s="9">
        <v>0</v>
      </c>
      <c r="F149" s="47"/>
      <c r="G149" s="47"/>
      <c r="H149" s="47"/>
      <c r="I149" s="74"/>
      <c r="J149" s="47"/>
      <c r="K149" s="47"/>
      <c r="L149" s="47"/>
      <c r="M149" s="47"/>
      <c r="N149" s="47"/>
      <c r="O149" s="47"/>
      <c r="P149" s="47"/>
      <c r="Q149" s="47"/>
      <c r="R149" s="75">
        <f t="shared" si="2"/>
        <v>0</v>
      </c>
    </row>
    <row r="150" spans="1:18" x14ac:dyDescent="0.35">
      <c r="A150" s="52">
        <v>148</v>
      </c>
      <c r="B150" s="67" t="s">
        <v>370</v>
      </c>
      <c r="C150" s="7" t="s">
        <v>1636</v>
      </c>
      <c r="D150" s="54" t="s">
        <v>72</v>
      </c>
      <c r="E150" s="9">
        <v>0</v>
      </c>
      <c r="F150" s="47"/>
      <c r="G150" s="47"/>
      <c r="H150" s="47"/>
      <c r="I150" s="74"/>
      <c r="J150" s="47"/>
      <c r="K150" s="47"/>
      <c r="L150" s="47"/>
      <c r="M150" s="47"/>
      <c r="N150" s="47"/>
      <c r="O150" s="47"/>
      <c r="P150" s="47"/>
      <c r="Q150" s="47"/>
      <c r="R150" s="75">
        <f t="shared" si="2"/>
        <v>0</v>
      </c>
    </row>
    <row r="151" spans="1:18" x14ac:dyDescent="0.35">
      <c r="A151" s="52">
        <v>149</v>
      </c>
      <c r="B151" s="67" t="s">
        <v>372</v>
      </c>
      <c r="C151" s="144" t="s">
        <v>2004</v>
      </c>
      <c r="D151" s="54" t="s">
        <v>374</v>
      </c>
      <c r="E151" s="9">
        <v>565000</v>
      </c>
      <c r="F151" s="47"/>
      <c r="G151" s="47"/>
      <c r="H151" s="47"/>
      <c r="I151" s="74"/>
      <c r="J151" s="47"/>
      <c r="K151" s="47"/>
      <c r="L151" s="47"/>
      <c r="M151" s="47"/>
      <c r="N151" s="47"/>
      <c r="O151" s="47"/>
      <c r="P151" s="47"/>
      <c r="Q151" s="47"/>
      <c r="R151" s="75">
        <f t="shared" si="2"/>
        <v>565000</v>
      </c>
    </row>
    <row r="152" spans="1:18" x14ac:dyDescent="0.35">
      <c r="A152" s="52">
        <v>150</v>
      </c>
      <c r="B152" s="67" t="s">
        <v>375</v>
      </c>
      <c r="C152" s="7" t="s">
        <v>1694</v>
      </c>
      <c r="D152" s="54" t="s">
        <v>377</v>
      </c>
      <c r="E152" s="9">
        <v>95000</v>
      </c>
      <c r="F152" s="47"/>
      <c r="G152" s="47"/>
      <c r="H152" s="47"/>
      <c r="I152" s="74"/>
      <c r="J152" s="47"/>
      <c r="K152" s="47"/>
      <c r="L152" s="47"/>
      <c r="M152" s="47"/>
      <c r="N152" s="47"/>
      <c r="O152" s="47"/>
      <c r="P152" s="47"/>
      <c r="Q152" s="47"/>
      <c r="R152" s="75">
        <f t="shared" si="2"/>
        <v>95000</v>
      </c>
    </row>
    <row r="153" spans="1:18" x14ac:dyDescent="0.35">
      <c r="A153" s="52">
        <v>151</v>
      </c>
      <c r="B153" s="67" t="s">
        <v>378</v>
      </c>
      <c r="C153" s="90" t="s">
        <v>2005</v>
      </c>
      <c r="D153" s="54" t="s">
        <v>72</v>
      </c>
      <c r="E153" s="9">
        <v>80000</v>
      </c>
      <c r="F153" s="47"/>
      <c r="G153" s="47"/>
      <c r="H153" s="47"/>
      <c r="I153" s="74"/>
      <c r="J153" s="47"/>
      <c r="K153" s="47"/>
      <c r="L153" s="47"/>
      <c r="M153" s="47"/>
      <c r="N153" s="47"/>
      <c r="O153" s="47"/>
      <c r="P153" s="47"/>
      <c r="Q153" s="47"/>
      <c r="R153" s="75">
        <f t="shared" si="2"/>
        <v>80000</v>
      </c>
    </row>
    <row r="154" spans="1:18" x14ac:dyDescent="0.35">
      <c r="A154" s="52">
        <v>152</v>
      </c>
      <c r="B154" s="67" t="s">
        <v>380</v>
      </c>
      <c r="C154" s="90" t="s">
        <v>1772</v>
      </c>
      <c r="D154" s="54" t="s">
        <v>72</v>
      </c>
      <c r="E154" s="9">
        <v>0</v>
      </c>
      <c r="F154" s="47"/>
      <c r="G154" s="47"/>
      <c r="H154" s="47"/>
      <c r="I154" s="74"/>
      <c r="J154" s="47"/>
      <c r="K154" s="47"/>
      <c r="L154" s="47"/>
      <c r="M154" s="47"/>
      <c r="N154" s="47"/>
      <c r="O154" s="47"/>
      <c r="P154" s="47"/>
      <c r="Q154" s="47"/>
      <c r="R154" s="75">
        <f t="shared" si="2"/>
        <v>0</v>
      </c>
    </row>
    <row r="155" spans="1:18" x14ac:dyDescent="0.35">
      <c r="A155" s="52">
        <v>153</v>
      </c>
      <c r="B155" s="67" t="s">
        <v>382</v>
      </c>
      <c r="C155" s="90" t="s">
        <v>2006</v>
      </c>
      <c r="D155" s="54" t="s">
        <v>367</v>
      </c>
      <c r="E155" s="9">
        <v>1057500</v>
      </c>
      <c r="F155" s="47"/>
      <c r="G155" s="47"/>
      <c r="H155" s="47"/>
      <c r="I155" s="74"/>
      <c r="J155" s="47"/>
      <c r="K155" s="47"/>
      <c r="L155" s="47"/>
      <c r="M155" s="47"/>
      <c r="N155" s="47"/>
      <c r="O155" s="47"/>
      <c r="P155" s="47"/>
      <c r="Q155" s="47"/>
      <c r="R155" s="75">
        <f t="shared" si="2"/>
        <v>1057500</v>
      </c>
    </row>
    <row r="156" spans="1:18" x14ac:dyDescent="0.35">
      <c r="A156" s="52">
        <v>154</v>
      </c>
      <c r="B156" s="67" t="s">
        <v>384</v>
      </c>
      <c r="C156" s="7" t="s">
        <v>385</v>
      </c>
      <c r="D156" s="54" t="s">
        <v>19</v>
      </c>
      <c r="E156" s="9">
        <v>0</v>
      </c>
      <c r="F156" s="47"/>
      <c r="G156" s="47"/>
      <c r="H156" s="47"/>
      <c r="I156" s="74"/>
      <c r="J156" s="47"/>
      <c r="K156" s="47"/>
      <c r="L156" s="47"/>
      <c r="M156" s="47"/>
      <c r="N156" s="47"/>
      <c r="O156" s="47"/>
      <c r="P156" s="47"/>
      <c r="Q156" s="47"/>
      <c r="R156" s="75">
        <f t="shared" si="2"/>
        <v>0</v>
      </c>
    </row>
    <row r="157" spans="1:18" x14ac:dyDescent="0.35">
      <c r="A157" s="52">
        <v>155</v>
      </c>
      <c r="B157" s="67" t="s">
        <v>386</v>
      </c>
      <c r="C157" s="144" t="s">
        <v>2007</v>
      </c>
      <c r="D157" s="54" t="s">
        <v>98</v>
      </c>
      <c r="E157" s="9">
        <v>0</v>
      </c>
      <c r="F157" s="47"/>
      <c r="G157" s="47"/>
      <c r="H157" s="47"/>
      <c r="I157" s="74"/>
      <c r="J157" s="47"/>
      <c r="K157" s="47"/>
      <c r="L157" s="47"/>
      <c r="M157" s="47"/>
      <c r="N157" s="47"/>
      <c r="O157" s="47"/>
      <c r="P157" s="47"/>
      <c r="Q157" s="47"/>
      <c r="R157" s="75">
        <f t="shared" si="2"/>
        <v>0</v>
      </c>
    </row>
    <row r="158" spans="1:18" x14ac:dyDescent="0.35">
      <c r="A158" s="52">
        <v>156</v>
      </c>
      <c r="B158" s="67" t="s">
        <v>388</v>
      </c>
      <c r="C158" s="90" t="s">
        <v>2008</v>
      </c>
      <c r="D158" s="54" t="s">
        <v>22</v>
      </c>
      <c r="E158" s="9">
        <v>604000</v>
      </c>
      <c r="F158" s="47">
        <v>50000</v>
      </c>
      <c r="G158" s="47"/>
      <c r="H158" s="47"/>
      <c r="I158" s="74"/>
      <c r="J158" s="47"/>
      <c r="K158" s="47"/>
      <c r="L158" s="47"/>
      <c r="M158" s="47"/>
      <c r="N158" s="47"/>
      <c r="O158" s="47"/>
      <c r="P158" s="47"/>
      <c r="Q158" s="47"/>
      <c r="R158" s="75">
        <f t="shared" si="2"/>
        <v>654000</v>
      </c>
    </row>
    <row r="159" spans="1:18" x14ac:dyDescent="0.35">
      <c r="A159" s="52">
        <v>157</v>
      </c>
      <c r="B159" s="67" t="s">
        <v>390</v>
      </c>
      <c r="C159" s="7" t="s">
        <v>391</v>
      </c>
      <c r="D159" s="54" t="s">
        <v>77</v>
      </c>
      <c r="E159" s="9">
        <v>0</v>
      </c>
      <c r="F159" s="47"/>
      <c r="G159" s="47"/>
      <c r="H159" s="47"/>
      <c r="I159" s="74"/>
      <c r="J159" s="47"/>
      <c r="K159" s="47"/>
      <c r="L159" s="47"/>
      <c r="M159" s="47"/>
      <c r="N159" s="47"/>
      <c r="O159" s="47"/>
      <c r="P159" s="47"/>
      <c r="Q159" s="47"/>
      <c r="R159" s="75">
        <f t="shared" si="2"/>
        <v>0</v>
      </c>
    </row>
    <row r="160" spans="1:18" x14ac:dyDescent="0.35">
      <c r="A160" s="52">
        <v>158</v>
      </c>
      <c r="B160" s="67" t="s">
        <v>392</v>
      </c>
      <c r="C160" s="7" t="s">
        <v>1695</v>
      </c>
      <c r="D160" s="54" t="s">
        <v>166</v>
      </c>
      <c r="E160" s="9">
        <v>0</v>
      </c>
      <c r="F160" s="47"/>
      <c r="G160" s="47"/>
      <c r="H160" s="47"/>
      <c r="I160" s="74"/>
      <c r="J160" s="47"/>
      <c r="K160" s="47"/>
      <c r="L160" s="47"/>
      <c r="M160" s="47"/>
      <c r="N160" s="47"/>
      <c r="O160" s="47"/>
      <c r="P160" s="47"/>
      <c r="Q160" s="47"/>
      <c r="R160" s="75">
        <f t="shared" si="2"/>
        <v>0</v>
      </c>
    </row>
    <row r="161" spans="1:18" x14ac:dyDescent="0.35">
      <c r="A161" s="52">
        <v>159</v>
      </c>
      <c r="B161" s="67" t="s">
        <v>394</v>
      </c>
      <c r="C161" s="7" t="s">
        <v>395</v>
      </c>
      <c r="D161" s="54" t="s">
        <v>267</v>
      </c>
      <c r="E161" s="9">
        <v>0</v>
      </c>
      <c r="F161" s="47"/>
      <c r="G161" s="47"/>
      <c r="H161" s="47"/>
      <c r="I161" s="74"/>
      <c r="J161" s="47"/>
      <c r="K161" s="47"/>
      <c r="L161" s="47"/>
      <c r="M161" s="47"/>
      <c r="N161" s="47"/>
      <c r="O161" s="47"/>
      <c r="P161" s="47"/>
      <c r="Q161" s="47"/>
      <c r="R161" s="75">
        <f t="shared" si="2"/>
        <v>0</v>
      </c>
    </row>
    <row r="162" spans="1:18" x14ac:dyDescent="0.35">
      <c r="A162" s="52">
        <v>160</v>
      </c>
      <c r="B162" s="67" t="s">
        <v>396</v>
      </c>
      <c r="C162" s="144" t="s">
        <v>1907</v>
      </c>
      <c r="D162" s="54" t="s">
        <v>46</v>
      </c>
      <c r="E162" s="9">
        <v>0</v>
      </c>
      <c r="F162" s="47"/>
      <c r="G162" s="47"/>
      <c r="H162" s="47"/>
      <c r="I162" s="74"/>
      <c r="J162" s="47"/>
      <c r="K162" s="47"/>
      <c r="L162" s="47"/>
      <c r="M162" s="47"/>
      <c r="N162" s="47"/>
      <c r="O162" s="47"/>
      <c r="P162" s="47"/>
      <c r="Q162" s="47"/>
      <c r="R162" s="75">
        <f t="shared" si="2"/>
        <v>0</v>
      </c>
    </row>
    <row r="163" spans="1:18" x14ac:dyDescent="0.35">
      <c r="A163" s="52">
        <v>161</v>
      </c>
      <c r="B163" s="67" t="s">
        <v>398</v>
      </c>
      <c r="C163" s="144" t="s">
        <v>1882</v>
      </c>
      <c r="D163" s="54" t="s">
        <v>98</v>
      </c>
      <c r="E163" s="9">
        <v>285000</v>
      </c>
      <c r="F163" s="47"/>
      <c r="G163" s="47"/>
      <c r="H163" s="47"/>
      <c r="I163" s="74"/>
      <c r="J163" s="47"/>
      <c r="K163" s="47"/>
      <c r="L163" s="47"/>
      <c r="M163" s="47"/>
      <c r="N163" s="47"/>
      <c r="O163" s="47"/>
      <c r="P163" s="47"/>
      <c r="Q163" s="47"/>
      <c r="R163" s="75">
        <f t="shared" si="2"/>
        <v>285000</v>
      </c>
    </row>
    <row r="164" spans="1:18" x14ac:dyDescent="0.35">
      <c r="A164" s="52">
        <v>162</v>
      </c>
      <c r="B164" s="67" t="s">
        <v>400</v>
      </c>
      <c r="C164" s="7" t="s">
        <v>1696</v>
      </c>
      <c r="D164" s="54" t="s">
        <v>41</v>
      </c>
      <c r="E164" s="9">
        <v>0</v>
      </c>
      <c r="F164" s="47"/>
      <c r="G164" s="47"/>
      <c r="H164" s="47"/>
      <c r="I164" s="74"/>
      <c r="J164" s="47"/>
      <c r="K164" s="47"/>
      <c r="L164" s="47"/>
      <c r="M164" s="47"/>
      <c r="N164" s="47"/>
      <c r="O164" s="47"/>
      <c r="P164" s="47"/>
      <c r="Q164" s="47"/>
      <c r="R164" s="75">
        <f t="shared" si="2"/>
        <v>0</v>
      </c>
    </row>
    <row r="165" spans="1:18" x14ac:dyDescent="0.35">
      <c r="A165" s="52">
        <v>163</v>
      </c>
      <c r="B165" s="67" t="s">
        <v>402</v>
      </c>
      <c r="C165" s="7" t="s">
        <v>1697</v>
      </c>
      <c r="D165" s="54" t="s">
        <v>303</v>
      </c>
      <c r="E165" s="9">
        <v>0</v>
      </c>
      <c r="F165" s="47"/>
      <c r="G165" s="47"/>
      <c r="H165" s="47"/>
      <c r="I165" s="74"/>
      <c r="J165" s="47"/>
      <c r="K165" s="47"/>
      <c r="L165" s="47"/>
      <c r="M165" s="47"/>
      <c r="N165" s="47"/>
      <c r="O165" s="47"/>
      <c r="P165" s="47"/>
      <c r="Q165" s="47"/>
      <c r="R165" s="75">
        <f t="shared" si="2"/>
        <v>0</v>
      </c>
    </row>
    <row r="166" spans="1:18" x14ac:dyDescent="0.35">
      <c r="A166" s="52">
        <v>164</v>
      </c>
      <c r="B166" s="67" t="s">
        <v>404</v>
      </c>
      <c r="C166" s="7" t="s">
        <v>2227</v>
      </c>
      <c r="D166" s="54" t="s">
        <v>406</v>
      </c>
      <c r="E166" s="9">
        <v>0</v>
      </c>
      <c r="F166" s="47"/>
      <c r="G166" s="47"/>
      <c r="H166" s="47"/>
      <c r="I166" s="74"/>
      <c r="J166" s="47"/>
      <c r="K166" s="47"/>
      <c r="L166" s="47"/>
      <c r="M166" s="47"/>
      <c r="N166" s="47"/>
      <c r="O166" s="47"/>
      <c r="P166" s="47"/>
      <c r="Q166" s="47"/>
      <c r="R166" s="75">
        <f t="shared" si="2"/>
        <v>0</v>
      </c>
    </row>
    <row r="167" spans="1:18" x14ac:dyDescent="0.35">
      <c r="A167" s="52">
        <v>165</v>
      </c>
      <c r="B167" s="67" t="s">
        <v>407</v>
      </c>
      <c r="C167" s="144" t="s">
        <v>2009</v>
      </c>
      <c r="D167" s="54" t="s">
        <v>198</v>
      </c>
      <c r="E167" s="9">
        <v>0</v>
      </c>
      <c r="F167" s="47"/>
      <c r="G167" s="47"/>
      <c r="H167" s="47"/>
      <c r="I167" s="74"/>
      <c r="J167" s="47"/>
      <c r="K167" s="47"/>
      <c r="L167" s="47"/>
      <c r="M167" s="47"/>
      <c r="N167" s="47"/>
      <c r="O167" s="47"/>
      <c r="P167" s="47"/>
      <c r="Q167" s="47"/>
      <c r="R167" s="75">
        <f t="shared" si="2"/>
        <v>0</v>
      </c>
    </row>
    <row r="168" spans="1:18" x14ac:dyDescent="0.35">
      <c r="A168" s="52">
        <v>166</v>
      </c>
      <c r="B168" s="67" t="s">
        <v>409</v>
      </c>
      <c r="C168" s="90" t="s">
        <v>2010</v>
      </c>
      <c r="D168" s="54" t="s">
        <v>25</v>
      </c>
      <c r="E168" s="9">
        <v>854000</v>
      </c>
      <c r="F168" s="47"/>
      <c r="G168" s="47"/>
      <c r="H168" s="47"/>
      <c r="I168" s="74"/>
      <c r="J168" s="47"/>
      <c r="K168" s="47"/>
      <c r="L168" s="47"/>
      <c r="M168" s="47"/>
      <c r="N168" s="47"/>
      <c r="O168" s="47"/>
      <c r="P168" s="47"/>
      <c r="Q168" s="47"/>
      <c r="R168" s="75">
        <f t="shared" si="2"/>
        <v>854000</v>
      </c>
    </row>
    <row r="169" spans="1:18" x14ac:dyDescent="0.35">
      <c r="A169" s="52">
        <v>167</v>
      </c>
      <c r="B169" s="67" t="s">
        <v>411</v>
      </c>
      <c r="C169" s="7" t="s">
        <v>1637</v>
      </c>
      <c r="D169" s="54" t="s">
        <v>77</v>
      </c>
      <c r="E169" s="9">
        <v>0</v>
      </c>
      <c r="F169" s="47"/>
      <c r="G169" s="47"/>
      <c r="H169" s="47"/>
      <c r="I169" s="74"/>
      <c r="J169" s="47"/>
      <c r="K169" s="47"/>
      <c r="L169" s="47"/>
      <c r="M169" s="47"/>
      <c r="N169" s="47"/>
      <c r="O169" s="47"/>
      <c r="P169" s="47"/>
      <c r="Q169" s="47"/>
      <c r="R169" s="75">
        <f t="shared" si="2"/>
        <v>0</v>
      </c>
    </row>
    <row r="170" spans="1:18" x14ac:dyDescent="0.35">
      <c r="A170" s="52">
        <v>168</v>
      </c>
      <c r="B170" s="67" t="s">
        <v>413</v>
      </c>
      <c r="C170" s="7" t="s">
        <v>414</v>
      </c>
      <c r="D170" s="54" t="s">
        <v>201</v>
      </c>
      <c r="E170" s="9">
        <v>0</v>
      </c>
      <c r="F170" s="47"/>
      <c r="G170" s="47"/>
      <c r="H170" s="47"/>
      <c r="I170" s="74"/>
      <c r="J170" s="47"/>
      <c r="K170" s="47"/>
      <c r="L170" s="47"/>
      <c r="M170" s="47"/>
      <c r="N170" s="47"/>
      <c r="O170" s="47"/>
      <c r="P170" s="47"/>
      <c r="Q170" s="47"/>
      <c r="R170" s="75">
        <f t="shared" si="2"/>
        <v>0</v>
      </c>
    </row>
    <row r="171" spans="1:18" x14ac:dyDescent="0.35">
      <c r="A171" s="52">
        <v>169</v>
      </c>
      <c r="B171" s="67" t="s">
        <v>415</v>
      </c>
      <c r="C171" s="7" t="s">
        <v>1698</v>
      </c>
      <c r="D171" s="54" t="s">
        <v>318</v>
      </c>
      <c r="E171" s="9">
        <v>0</v>
      </c>
      <c r="F171" s="47"/>
      <c r="G171" s="47"/>
      <c r="H171" s="47"/>
      <c r="I171" s="74"/>
      <c r="J171" s="47"/>
      <c r="K171" s="47"/>
      <c r="L171" s="47"/>
      <c r="M171" s="47"/>
      <c r="N171" s="47"/>
      <c r="O171" s="47"/>
      <c r="P171" s="47"/>
      <c r="Q171" s="47"/>
      <c r="R171" s="75">
        <f t="shared" si="2"/>
        <v>0</v>
      </c>
    </row>
    <row r="172" spans="1:18" x14ac:dyDescent="0.35">
      <c r="A172" s="52">
        <v>170</v>
      </c>
      <c r="B172" s="67" t="s">
        <v>417</v>
      </c>
      <c r="C172" s="7" t="s">
        <v>418</v>
      </c>
      <c r="D172" s="54" t="s">
        <v>144</v>
      </c>
      <c r="E172" s="9">
        <v>0</v>
      </c>
      <c r="F172" s="47"/>
      <c r="G172" s="47"/>
      <c r="H172" s="47"/>
      <c r="I172" s="74"/>
      <c r="J172" s="47"/>
      <c r="K172" s="47"/>
      <c r="L172" s="47"/>
      <c r="M172" s="47"/>
      <c r="N172" s="47"/>
      <c r="O172" s="47"/>
      <c r="P172" s="47"/>
      <c r="Q172" s="47"/>
      <c r="R172" s="75">
        <f t="shared" si="2"/>
        <v>0</v>
      </c>
    </row>
    <row r="173" spans="1:18" x14ac:dyDescent="0.35">
      <c r="A173" s="52">
        <v>171</v>
      </c>
      <c r="B173" s="67" t="s">
        <v>419</v>
      </c>
      <c r="C173" s="7" t="s">
        <v>1699</v>
      </c>
      <c r="D173" s="54" t="s">
        <v>166</v>
      </c>
      <c r="E173" s="9">
        <v>0</v>
      </c>
      <c r="F173" s="47"/>
      <c r="G173" s="47"/>
      <c r="H173" s="47"/>
      <c r="I173" s="74"/>
      <c r="J173" s="47"/>
      <c r="K173" s="47"/>
      <c r="L173" s="47"/>
      <c r="M173" s="47"/>
      <c r="N173" s="47"/>
      <c r="O173" s="47"/>
      <c r="P173" s="47"/>
      <c r="Q173" s="47"/>
      <c r="R173" s="75">
        <f t="shared" si="2"/>
        <v>0</v>
      </c>
    </row>
    <row r="174" spans="1:18" x14ac:dyDescent="0.35">
      <c r="A174" s="52">
        <v>172</v>
      </c>
      <c r="B174" s="67" t="s">
        <v>421</v>
      </c>
      <c r="C174" s="144" t="s">
        <v>2011</v>
      </c>
      <c r="D174" s="54" t="s">
        <v>136</v>
      </c>
      <c r="E174" s="9">
        <v>500000</v>
      </c>
      <c r="F174" s="47"/>
      <c r="G174" s="47"/>
      <c r="H174" s="47"/>
      <c r="I174" s="74"/>
      <c r="J174" s="47"/>
      <c r="K174" s="47"/>
      <c r="L174" s="47"/>
      <c r="M174" s="47">
        <v>250000</v>
      </c>
      <c r="N174" s="47"/>
      <c r="O174" s="47"/>
      <c r="P174" s="47"/>
      <c r="Q174" s="47"/>
      <c r="R174" s="75">
        <f t="shared" si="2"/>
        <v>750000</v>
      </c>
    </row>
    <row r="175" spans="1:18" x14ac:dyDescent="0.35">
      <c r="A175" s="52">
        <v>173</v>
      </c>
      <c r="B175" s="67" t="s">
        <v>423</v>
      </c>
      <c r="C175" s="7" t="s">
        <v>1700</v>
      </c>
      <c r="D175" s="54" t="s">
        <v>136</v>
      </c>
      <c r="E175" s="9">
        <v>0</v>
      </c>
      <c r="F175" s="47"/>
      <c r="G175" s="47"/>
      <c r="H175" s="47"/>
      <c r="I175" s="74"/>
      <c r="J175" s="47"/>
      <c r="K175" s="47"/>
      <c r="L175" s="47"/>
      <c r="M175" s="47"/>
      <c r="N175" s="47"/>
      <c r="O175" s="47"/>
      <c r="P175" s="47"/>
      <c r="Q175" s="47"/>
      <c r="R175" s="75">
        <f t="shared" si="2"/>
        <v>0</v>
      </c>
    </row>
    <row r="176" spans="1:18" x14ac:dyDescent="0.35">
      <c r="A176" s="52">
        <v>174</v>
      </c>
      <c r="B176" s="67" t="s">
        <v>425</v>
      </c>
      <c r="C176" s="7" t="s">
        <v>1701</v>
      </c>
      <c r="D176" s="54" t="s">
        <v>267</v>
      </c>
      <c r="E176" s="9">
        <v>0</v>
      </c>
      <c r="F176" s="47"/>
      <c r="G176" s="47"/>
      <c r="H176" s="47"/>
      <c r="I176" s="74"/>
      <c r="J176" s="47"/>
      <c r="K176" s="47"/>
      <c r="L176" s="47"/>
      <c r="M176" s="47"/>
      <c r="N176" s="47"/>
      <c r="O176" s="47"/>
      <c r="P176" s="47"/>
      <c r="Q176" s="47"/>
      <c r="R176" s="75">
        <f t="shared" si="2"/>
        <v>0</v>
      </c>
    </row>
    <row r="177" spans="1:18" x14ac:dyDescent="0.35">
      <c r="A177" s="52">
        <v>175</v>
      </c>
      <c r="B177" s="67" t="s">
        <v>427</v>
      </c>
      <c r="C177" s="7" t="s">
        <v>1702</v>
      </c>
      <c r="D177" s="54" t="s">
        <v>429</v>
      </c>
      <c r="E177" s="9">
        <v>0</v>
      </c>
      <c r="F177" s="47"/>
      <c r="G177" s="47"/>
      <c r="H177" s="47"/>
      <c r="I177" s="74"/>
      <c r="J177" s="47"/>
      <c r="K177" s="47"/>
      <c r="L177" s="47"/>
      <c r="M177" s="47"/>
      <c r="N177" s="47"/>
      <c r="O177" s="47"/>
      <c r="P177" s="47"/>
      <c r="Q177" s="47"/>
      <c r="R177" s="75">
        <f t="shared" si="2"/>
        <v>0</v>
      </c>
    </row>
    <row r="178" spans="1:18" x14ac:dyDescent="0.35">
      <c r="A178" s="52">
        <v>176</v>
      </c>
      <c r="B178" s="67" t="s">
        <v>430</v>
      </c>
      <c r="C178" s="7" t="s">
        <v>431</v>
      </c>
      <c r="D178" s="54" t="s">
        <v>98</v>
      </c>
      <c r="E178" s="9">
        <v>0</v>
      </c>
      <c r="F178" s="47"/>
      <c r="G178" s="47"/>
      <c r="H178" s="47"/>
      <c r="I178" s="74"/>
      <c r="J178" s="47"/>
      <c r="K178" s="47"/>
      <c r="L178" s="47"/>
      <c r="M178" s="47"/>
      <c r="N178" s="47"/>
      <c r="O178" s="47"/>
      <c r="P178" s="47"/>
      <c r="Q178" s="47"/>
      <c r="R178" s="75">
        <f t="shared" si="2"/>
        <v>0</v>
      </c>
    </row>
    <row r="179" spans="1:18" x14ac:dyDescent="0.35">
      <c r="A179" s="52">
        <v>177</v>
      </c>
      <c r="B179" s="67" t="s">
        <v>432</v>
      </c>
      <c r="C179" s="90" t="s">
        <v>1969</v>
      </c>
      <c r="D179" s="54" t="s">
        <v>108</v>
      </c>
      <c r="E179" s="9">
        <v>220000</v>
      </c>
      <c r="F179" s="47"/>
      <c r="G179" s="47"/>
      <c r="H179" s="47"/>
      <c r="I179" s="74"/>
      <c r="J179" s="47"/>
      <c r="K179" s="47"/>
      <c r="L179" s="47"/>
      <c r="M179" s="47"/>
      <c r="N179" s="47"/>
      <c r="O179" s="47"/>
      <c r="P179" s="47"/>
      <c r="Q179" s="47">
        <v>100000</v>
      </c>
      <c r="R179" s="75">
        <f t="shared" si="2"/>
        <v>320000</v>
      </c>
    </row>
    <row r="180" spans="1:18" x14ac:dyDescent="0.35">
      <c r="A180" s="52">
        <v>178</v>
      </c>
      <c r="B180" s="67" t="s">
        <v>434</v>
      </c>
      <c r="C180" s="7" t="s">
        <v>435</v>
      </c>
      <c r="D180" s="54" t="s">
        <v>77</v>
      </c>
      <c r="E180" s="9">
        <v>0</v>
      </c>
      <c r="F180" s="47"/>
      <c r="G180" s="47"/>
      <c r="H180" s="47"/>
      <c r="I180" s="74"/>
      <c r="J180" s="47"/>
      <c r="K180" s="47"/>
      <c r="L180" s="47"/>
      <c r="M180" s="47"/>
      <c r="N180" s="47"/>
      <c r="O180" s="47"/>
      <c r="P180" s="47"/>
      <c r="Q180" s="47"/>
      <c r="R180" s="75">
        <f t="shared" si="2"/>
        <v>0</v>
      </c>
    </row>
    <row r="181" spans="1:18" x14ac:dyDescent="0.35">
      <c r="A181" s="52">
        <v>179</v>
      </c>
      <c r="B181" s="67" t="s">
        <v>436</v>
      </c>
      <c r="C181" s="7" t="s">
        <v>1638</v>
      </c>
      <c r="D181" s="54" t="s">
        <v>198</v>
      </c>
      <c r="E181" s="9">
        <v>0</v>
      </c>
      <c r="F181" s="47"/>
      <c r="G181" s="47"/>
      <c r="H181" s="47"/>
      <c r="I181" s="74"/>
      <c r="J181" s="47"/>
      <c r="K181" s="47"/>
      <c r="L181" s="47"/>
      <c r="M181" s="47"/>
      <c r="N181" s="47"/>
      <c r="O181" s="47"/>
      <c r="P181" s="47"/>
      <c r="Q181" s="47"/>
      <c r="R181" s="75">
        <f t="shared" si="2"/>
        <v>0</v>
      </c>
    </row>
    <row r="182" spans="1:18" x14ac:dyDescent="0.35">
      <c r="A182" s="52">
        <v>180</v>
      </c>
      <c r="B182" s="67" t="s">
        <v>438</v>
      </c>
      <c r="C182" s="7" t="s">
        <v>1703</v>
      </c>
      <c r="D182" s="54" t="s">
        <v>55</v>
      </c>
      <c r="E182" s="9">
        <v>0</v>
      </c>
      <c r="F182" s="47"/>
      <c r="G182" s="47"/>
      <c r="H182" s="47"/>
      <c r="I182" s="74"/>
      <c r="J182" s="47"/>
      <c r="K182" s="47"/>
      <c r="L182" s="47"/>
      <c r="M182" s="47"/>
      <c r="N182" s="47"/>
      <c r="O182" s="47"/>
      <c r="P182" s="47"/>
      <c r="Q182" s="47"/>
      <c r="R182" s="75">
        <f t="shared" si="2"/>
        <v>0</v>
      </c>
    </row>
    <row r="183" spans="1:18" x14ac:dyDescent="0.35">
      <c r="A183" s="52">
        <v>181</v>
      </c>
      <c r="B183" s="67" t="s">
        <v>440</v>
      </c>
      <c r="C183" s="90" t="s">
        <v>2012</v>
      </c>
      <c r="D183" s="54" t="s">
        <v>22</v>
      </c>
      <c r="E183" s="9">
        <v>880000</v>
      </c>
      <c r="F183" s="47"/>
      <c r="G183" s="47">
        <v>8333</v>
      </c>
      <c r="H183" s="47"/>
      <c r="I183" s="74">
        <f>250000+8333</f>
        <v>258333</v>
      </c>
      <c r="J183" s="47">
        <v>8333</v>
      </c>
      <c r="K183" s="74">
        <v>8333</v>
      </c>
      <c r="L183" s="47">
        <v>8333</v>
      </c>
      <c r="M183" s="47">
        <v>8333</v>
      </c>
      <c r="N183" s="47">
        <v>8333</v>
      </c>
      <c r="O183" s="47">
        <f>100000+8333</f>
        <v>108333</v>
      </c>
      <c r="P183" s="47">
        <v>8333</v>
      </c>
      <c r="Q183" s="47">
        <v>8333</v>
      </c>
      <c r="R183" s="75">
        <f t="shared" si="2"/>
        <v>1313330</v>
      </c>
    </row>
    <row r="184" spans="1:18" x14ac:dyDescent="0.35">
      <c r="A184" s="52">
        <v>182</v>
      </c>
      <c r="B184" s="67" t="s">
        <v>442</v>
      </c>
      <c r="C184" s="90" t="s">
        <v>2013</v>
      </c>
      <c r="D184" s="54" t="s">
        <v>72</v>
      </c>
      <c r="E184" s="9">
        <v>30000</v>
      </c>
      <c r="F184" s="47"/>
      <c r="G184" s="47"/>
      <c r="H184" s="47"/>
      <c r="I184" s="74"/>
      <c r="J184" s="47"/>
      <c r="K184" s="47"/>
      <c r="L184" s="47"/>
      <c r="M184" s="47"/>
      <c r="N184" s="47"/>
      <c r="O184" s="47"/>
      <c r="P184" s="47"/>
      <c r="Q184" s="47"/>
      <c r="R184" s="75">
        <f t="shared" si="2"/>
        <v>30000</v>
      </c>
    </row>
    <row r="185" spans="1:18" x14ac:dyDescent="0.35">
      <c r="A185" s="52">
        <v>183</v>
      </c>
      <c r="B185" s="67" t="s">
        <v>444</v>
      </c>
      <c r="C185" s="7" t="s">
        <v>445</v>
      </c>
      <c r="D185" s="54" t="s">
        <v>446</v>
      </c>
      <c r="E185" s="9">
        <v>0</v>
      </c>
      <c r="F185" s="47"/>
      <c r="G185" s="47"/>
      <c r="H185" s="47"/>
      <c r="I185" s="74"/>
      <c r="J185" s="47"/>
      <c r="K185" s="47"/>
      <c r="L185" s="47"/>
      <c r="M185" s="47"/>
      <c r="N185" s="47"/>
      <c r="O185" s="47"/>
      <c r="P185" s="47"/>
      <c r="Q185" s="47"/>
      <c r="R185" s="75">
        <f t="shared" si="2"/>
        <v>0</v>
      </c>
    </row>
    <row r="186" spans="1:18" x14ac:dyDescent="0.35">
      <c r="A186" s="52">
        <v>184</v>
      </c>
      <c r="B186" s="67" t="s">
        <v>447</v>
      </c>
      <c r="C186" s="7" t="s">
        <v>1639</v>
      </c>
      <c r="D186" s="54" t="s">
        <v>136</v>
      </c>
      <c r="E186" s="9">
        <v>0</v>
      </c>
      <c r="F186" s="47"/>
      <c r="G186" s="47"/>
      <c r="H186" s="47"/>
      <c r="I186" s="74"/>
      <c r="J186" s="47"/>
      <c r="K186" s="47"/>
      <c r="L186" s="47"/>
      <c r="M186" s="47"/>
      <c r="N186" s="47"/>
      <c r="O186" s="47"/>
      <c r="P186" s="47"/>
      <c r="Q186" s="47"/>
      <c r="R186" s="75">
        <f t="shared" si="2"/>
        <v>0</v>
      </c>
    </row>
    <row r="187" spans="1:18" x14ac:dyDescent="0.35">
      <c r="A187" s="52">
        <v>185</v>
      </c>
      <c r="B187" s="67" t="s">
        <v>449</v>
      </c>
      <c r="C187" s="90" t="s">
        <v>2014</v>
      </c>
      <c r="D187" s="54" t="s">
        <v>238</v>
      </c>
      <c r="E187" s="9">
        <v>1125000</v>
      </c>
      <c r="F187" s="47"/>
      <c r="G187" s="47"/>
      <c r="H187" s="47"/>
      <c r="I187" s="74"/>
      <c r="J187" s="47"/>
      <c r="K187" s="47"/>
      <c r="L187" s="47"/>
      <c r="M187" s="47"/>
      <c r="N187" s="47"/>
      <c r="O187" s="47"/>
      <c r="P187" s="47"/>
      <c r="Q187" s="47"/>
      <c r="R187" s="75">
        <f t="shared" si="2"/>
        <v>1125000</v>
      </c>
    </row>
    <row r="188" spans="1:18" x14ac:dyDescent="0.35">
      <c r="A188" s="52">
        <v>186</v>
      </c>
      <c r="B188" s="67" t="s">
        <v>451</v>
      </c>
      <c r="C188" s="90" t="s">
        <v>2015</v>
      </c>
      <c r="D188" s="54" t="s">
        <v>303</v>
      </c>
      <c r="E188" s="9">
        <v>2196000</v>
      </c>
      <c r="F188" s="47"/>
      <c r="G188" s="47"/>
      <c r="H188" s="47"/>
      <c r="I188" s="74"/>
      <c r="J188" s="47"/>
      <c r="K188" s="47"/>
      <c r="L188" s="47"/>
      <c r="M188" s="47"/>
      <c r="N188" s="47"/>
      <c r="O188" s="47"/>
      <c r="P188" s="47"/>
      <c r="Q188" s="47"/>
      <c r="R188" s="75">
        <f t="shared" si="2"/>
        <v>2196000</v>
      </c>
    </row>
    <row r="189" spans="1:18" x14ac:dyDescent="0.35">
      <c r="A189" s="52">
        <v>187</v>
      </c>
      <c r="B189" s="67" t="s">
        <v>453</v>
      </c>
      <c r="C189" s="144" t="s">
        <v>2016</v>
      </c>
      <c r="D189" s="54" t="s">
        <v>83</v>
      </c>
      <c r="E189" s="9">
        <v>200000</v>
      </c>
      <c r="F189" s="47"/>
      <c r="G189" s="47"/>
      <c r="H189" s="47"/>
      <c r="I189" s="74"/>
      <c r="J189" s="47"/>
      <c r="K189" s="47"/>
      <c r="L189" s="47"/>
      <c r="M189" s="47"/>
      <c r="N189" s="47"/>
      <c r="O189" s="47"/>
      <c r="P189" s="47"/>
      <c r="Q189" s="47"/>
      <c r="R189" s="75">
        <f t="shared" si="2"/>
        <v>200000</v>
      </c>
    </row>
    <row r="190" spans="1:18" x14ac:dyDescent="0.35">
      <c r="A190" s="52">
        <v>188</v>
      </c>
      <c r="B190" s="67" t="s">
        <v>455</v>
      </c>
      <c r="C190" s="7" t="s">
        <v>1704</v>
      </c>
      <c r="D190" s="54" t="s">
        <v>457</v>
      </c>
      <c r="E190" s="9">
        <v>0</v>
      </c>
      <c r="F190" s="47"/>
      <c r="G190" s="47"/>
      <c r="H190" s="47"/>
      <c r="I190" s="74"/>
      <c r="J190" s="47"/>
      <c r="K190" s="47"/>
      <c r="L190" s="47"/>
      <c r="M190" s="47"/>
      <c r="N190" s="47"/>
      <c r="O190" s="47"/>
      <c r="P190" s="47"/>
      <c r="Q190" s="47"/>
      <c r="R190" s="75">
        <f t="shared" si="2"/>
        <v>0</v>
      </c>
    </row>
    <row r="191" spans="1:18" x14ac:dyDescent="0.35">
      <c r="A191" s="52">
        <v>189</v>
      </c>
      <c r="B191" s="67" t="s">
        <v>458</v>
      </c>
      <c r="C191" s="90" t="s">
        <v>1752</v>
      </c>
      <c r="D191" s="54" t="s">
        <v>108</v>
      </c>
      <c r="E191" s="9">
        <v>1050000</v>
      </c>
      <c r="F191" s="47"/>
      <c r="G191" s="47"/>
      <c r="H191" s="47"/>
      <c r="I191" s="74"/>
      <c r="J191" s="47"/>
      <c r="K191" s="47"/>
      <c r="L191" s="47"/>
      <c r="M191" s="47"/>
      <c r="N191" s="47"/>
      <c r="O191" s="47"/>
      <c r="P191" s="47"/>
      <c r="Q191" s="47"/>
      <c r="R191" s="75">
        <f t="shared" si="2"/>
        <v>1050000</v>
      </c>
    </row>
    <row r="192" spans="1:18" x14ac:dyDescent="0.35">
      <c r="A192" s="52">
        <v>190</v>
      </c>
      <c r="B192" s="67" t="s">
        <v>460</v>
      </c>
      <c r="C192" s="7" t="s">
        <v>1706</v>
      </c>
      <c r="D192" s="54" t="s">
        <v>95</v>
      </c>
      <c r="E192" s="9">
        <v>0</v>
      </c>
      <c r="F192" s="47"/>
      <c r="G192" s="47"/>
      <c r="H192" s="47"/>
      <c r="I192" s="74"/>
      <c r="J192" s="47"/>
      <c r="K192" s="47"/>
      <c r="L192" s="47"/>
      <c r="M192" s="47"/>
      <c r="N192" s="47"/>
      <c r="O192" s="47"/>
      <c r="P192" s="47"/>
      <c r="Q192" s="47"/>
      <c r="R192" s="75">
        <f t="shared" si="2"/>
        <v>0</v>
      </c>
    </row>
    <row r="193" spans="1:18" x14ac:dyDescent="0.35">
      <c r="A193" s="52">
        <v>191</v>
      </c>
      <c r="B193" s="67" t="s">
        <v>462</v>
      </c>
      <c r="C193" s="7" t="s">
        <v>1617</v>
      </c>
      <c r="D193" s="54" t="s">
        <v>41</v>
      </c>
      <c r="E193" s="9">
        <v>0</v>
      </c>
      <c r="F193" s="47"/>
      <c r="G193" s="47"/>
      <c r="H193" s="47"/>
      <c r="I193" s="74"/>
      <c r="J193" s="47"/>
      <c r="K193" s="47"/>
      <c r="L193" s="47"/>
      <c r="M193" s="47"/>
      <c r="N193" s="47"/>
      <c r="O193" s="47"/>
      <c r="P193" s="47"/>
      <c r="Q193" s="47"/>
      <c r="R193" s="75">
        <f t="shared" si="2"/>
        <v>0</v>
      </c>
    </row>
    <row r="194" spans="1:18" x14ac:dyDescent="0.35">
      <c r="A194" s="52">
        <v>192</v>
      </c>
      <c r="B194" s="67" t="s">
        <v>464</v>
      </c>
      <c r="C194" s="7" t="s">
        <v>1618</v>
      </c>
      <c r="D194" s="54" t="s">
        <v>198</v>
      </c>
      <c r="E194" s="9">
        <v>0</v>
      </c>
      <c r="F194" s="47"/>
      <c r="G194" s="47"/>
      <c r="H194" s="47"/>
      <c r="I194" s="74"/>
      <c r="J194" s="47"/>
      <c r="K194" s="47"/>
      <c r="L194" s="47"/>
      <c r="M194" s="47"/>
      <c r="N194" s="47"/>
      <c r="O194" s="47"/>
      <c r="P194" s="47"/>
      <c r="Q194" s="47"/>
      <c r="R194" s="75">
        <f t="shared" si="2"/>
        <v>0</v>
      </c>
    </row>
    <row r="195" spans="1:18" x14ac:dyDescent="0.35">
      <c r="A195" s="52">
        <v>193</v>
      </c>
      <c r="B195" s="67" t="s">
        <v>466</v>
      </c>
      <c r="C195" s="144" t="s">
        <v>1928</v>
      </c>
      <c r="D195" s="54" t="s">
        <v>128</v>
      </c>
      <c r="E195" s="9">
        <v>440000</v>
      </c>
      <c r="F195" s="47"/>
      <c r="G195" s="47"/>
      <c r="H195" s="47"/>
      <c r="I195" s="74">
        <v>150000</v>
      </c>
      <c r="J195" s="47"/>
      <c r="K195" s="47"/>
      <c r="L195" s="47"/>
      <c r="M195" s="47"/>
      <c r="N195" s="47"/>
      <c r="O195" s="47">
        <v>153061</v>
      </c>
      <c r="P195" s="47"/>
      <c r="Q195" s="47">
        <v>8333</v>
      </c>
      <c r="R195" s="75">
        <f t="shared" si="2"/>
        <v>751394</v>
      </c>
    </row>
    <row r="196" spans="1:18" x14ac:dyDescent="0.35">
      <c r="A196" s="52">
        <v>194</v>
      </c>
      <c r="B196" s="67" t="s">
        <v>468</v>
      </c>
      <c r="C196" s="7" t="s">
        <v>1705</v>
      </c>
      <c r="D196" s="54" t="s">
        <v>367</v>
      </c>
      <c r="E196" s="9">
        <v>0</v>
      </c>
      <c r="F196" s="47"/>
      <c r="G196" s="47"/>
      <c r="H196" s="47"/>
      <c r="I196" s="74"/>
      <c r="J196" s="47"/>
      <c r="K196" s="47"/>
      <c r="L196" s="47"/>
      <c r="M196" s="47"/>
      <c r="N196" s="47"/>
      <c r="O196" s="47"/>
      <c r="P196" s="47"/>
      <c r="Q196" s="47"/>
      <c r="R196" s="75">
        <f t="shared" ref="R196:R259" si="3">E196+F196+G196+H196+I196+J196+K196+L196+M196+N196+O196+P196+Q196</f>
        <v>0</v>
      </c>
    </row>
    <row r="197" spans="1:18" x14ac:dyDescent="0.35">
      <c r="A197" s="52">
        <v>195</v>
      </c>
      <c r="B197" s="67" t="s">
        <v>470</v>
      </c>
      <c r="C197" s="7" t="s">
        <v>1640</v>
      </c>
      <c r="D197" s="54" t="s">
        <v>429</v>
      </c>
      <c r="E197" s="9">
        <v>0</v>
      </c>
      <c r="F197" s="47"/>
      <c r="G197" s="47"/>
      <c r="H197" s="47"/>
      <c r="I197" s="74"/>
      <c r="J197" s="47"/>
      <c r="K197" s="47"/>
      <c r="L197" s="47"/>
      <c r="M197" s="47"/>
      <c r="N197" s="47"/>
      <c r="O197" s="47"/>
      <c r="P197" s="47"/>
      <c r="Q197" s="47"/>
      <c r="R197" s="75">
        <f t="shared" si="3"/>
        <v>0</v>
      </c>
    </row>
    <row r="198" spans="1:18" x14ac:dyDescent="0.35">
      <c r="A198" s="52">
        <v>196</v>
      </c>
      <c r="B198" s="67" t="s">
        <v>472</v>
      </c>
      <c r="C198" s="144" t="s">
        <v>1887</v>
      </c>
      <c r="D198" s="54" t="s">
        <v>474</v>
      </c>
      <c r="E198" s="9">
        <v>0</v>
      </c>
      <c r="F198" s="47"/>
      <c r="G198" s="47"/>
      <c r="H198" s="47"/>
      <c r="I198" s="74"/>
      <c r="J198" s="47"/>
      <c r="K198" s="47"/>
      <c r="L198" s="47"/>
      <c r="M198" s="47"/>
      <c r="N198" s="47"/>
      <c r="O198" s="47"/>
      <c r="P198" s="47"/>
      <c r="Q198" s="47"/>
      <c r="R198" s="75">
        <f t="shared" si="3"/>
        <v>0</v>
      </c>
    </row>
    <row r="199" spans="1:18" x14ac:dyDescent="0.35">
      <c r="A199" s="52">
        <v>197</v>
      </c>
      <c r="B199" s="67" t="s">
        <v>475</v>
      </c>
      <c r="C199" s="7" t="s">
        <v>1619</v>
      </c>
      <c r="D199" s="54" t="s">
        <v>60</v>
      </c>
      <c r="E199" s="9">
        <v>0</v>
      </c>
      <c r="F199" s="47"/>
      <c r="G199" s="47"/>
      <c r="H199" s="47"/>
      <c r="I199" s="74"/>
      <c r="J199" s="47"/>
      <c r="K199" s="47"/>
      <c r="L199" s="47"/>
      <c r="M199" s="47"/>
      <c r="N199" s="47"/>
      <c r="O199" s="47"/>
      <c r="P199" s="47"/>
      <c r="Q199" s="47"/>
      <c r="R199" s="75">
        <f t="shared" si="3"/>
        <v>0</v>
      </c>
    </row>
    <row r="200" spans="1:18" x14ac:dyDescent="0.35">
      <c r="A200" s="52">
        <v>198</v>
      </c>
      <c r="B200" s="67" t="s">
        <v>477</v>
      </c>
      <c r="C200" s="7" t="s">
        <v>1796</v>
      </c>
      <c r="D200" s="54" t="s">
        <v>103</v>
      </c>
      <c r="E200" s="9">
        <v>0</v>
      </c>
      <c r="F200" s="47"/>
      <c r="G200" s="47"/>
      <c r="H200" s="47"/>
      <c r="I200" s="74"/>
      <c r="J200" s="47"/>
      <c r="K200" s="47"/>
      <c r="L200" s="47"/>
      <c r="M200" s="47"/>
      <c r="N200" s="47"/>
      <c r="O200" s="47"/>
      <c r="P200" s="47"/>
      <c r="Q200" s="47"/>
      <c r="R200" s="75">
        <f t="shared" si="3"/>
        <v>0</v>
      </c>
    </row>
    <row r="201" spans="1:18" x14ac:dyDescent="0.35">
      <c r="A201" s="52">
        <v>199</v>
      </c>
      <c r="B201" s="67" t="s">
        <v>479</v>
      </c>
      <c r="C201" s="144" t="s">
        <v>1885</v>
      </c>
      <c r="D201" s="54" t="s">
        <v>136</v>
      </c>
      <c r="E201" s="9">
        <v>1240000</v>
      </c>
      <c r="F201" s="47"/>
      <c r="G201" s="47"/>
      <c r="H201" s="47"/>
      <c r="I201" s="74"/>
      <c r="J201" s="47"/>
      <c r="K201" s="47"/>
      <c r="L201" s="47"/>
      <c r="M201" s="47"/>
      <c r="N201" s="47"/>
      <c r="O201" s="47"/>
      <c r="P201" s="47"/>
      <c r="Q201" s="47"/>
      <c r="R201" s="75">
        <f t="shared" si="3"/>
        <v>1240000</v>
      </c>
    </row>
    <row r="202" spans="1:18" x14ac:dyDescent="0.35">
      <c r="A202" s="52">
        <v>200</v>
      </c>
      <c r="B202" s="67" t="s">
        <v>481</v>
      </c>
      <c r="C202" s="7" t="s">
        <v>1620</v>
      </c>
      <c r="D202" s="54" t="s">
        <v>49</v>
      </c>
      <c r="E202" s="9">
        <v>0</v>
      </c>
      <c r="F202" s="47"/>
      <c r="G202" s="47"/>
      <c r="H202" s="47"/>
      <c r="I202" s="74"/>
      <c r="J202" s="47"/>
      <c r="K202" s="47"/>
      <c r="L202" s="47"/>
      <c r="M202" s="47"/>
      <c r="N202" s="47"/>
      <c r="O202" s="47"/>
      <c r="P202" s="47"/>
      <c r="Q202" s="47"/>
      <c r="R202" s="75">
        <f t="shared" si="3"/>
        <v>0</v>
      </c>
    </row>
    <row r="203" spans="1:18" x14ac:dyDescent="0.35">
      <c r="A203" s="52">
        <v>201</v>
      </c>
      <c r="B203" s="67" t="s">
        <v>483</v>
      </c>
      <c r="C203" s="136" t="s">
        <v>1950</v>
      </c>
      <c r="D203" s="54" t="s">
        <v>19</v>
      </c>
      <c r="E203" s="9">
        <v>87500</v>
      </c>
      <c r="F203" s="47"/>
      <c r="G203" s="47">
        <v>-87500</v>
      </c>
      <c r="H203" s="47"/>
      <c r="I203" s="74"/>
      <c r="J203" s="47"/>
      <c r="K203" s="47"/>
      <c r="L203" s="47"/>
      <c r="M203" s="47"/>
      <c r="N203" s="47"/>
      <c r="O203" s="47"/>
      <c r="P203" s="47"/>
      <c r="Q203" s="47"/>
      <c r="R203" s="75">
        <f t="shared" si="3"/>
        <v>0</v>
      </c>
    </row>
    <row r="204" spans="1:18" x14ac:dyDescent="0.35">
      <c r="A204" s="52">
        <v>202</v>
      </c>
      <c r="B204" s="67" t="s">
        <v>485</v>
      </c>
      <c r="C204" s="7" t="s">
        <v>486</v>
      </c>
      <c r="D204" s="54" t="s">
        <v>215</v>
      </c>
      <c r="E204" s="9">
        <v>0</v>
      </c>
      <c r="F204" s="47"/>
      <c r="G204" s="47"/>
      <c r="H204" s="47"/>
      <c r="I204" s="74"/>
      <c r="J204" s="47"/>
      <c r="K204" s="47"/>
      <c r="L204" s="47"/>
      <c r="M204" s="47"/>
      <c r="N204" s="47"/>
      <c r="O204" s="47"/>
      <c r="P204" s="47"/>
      <c r="Q204" s="47"/>
      <c r="R204" s="75">
        <f t="shared" si="3"/>
        <v>0</v>
      </c>
    </row>
    <row r="205" spans="1:18" x14ac:dyDescent="0.35">
      <c r="A205" s="52">
        <v>203</v>
      </c>
      <c r="B205" s="67" t="s">
        <v>487</v>
      </c>
      <c r="C205" s="90" t="s">
        <v>2017</v>
      </c>
      <c r="D205" s="54" t="s">
        <v>25</v>
      </c>
      <c r="E205" s="9">
        <v>175000</v>
      </c>
      <c r="F205" s="47"/>
      <c r="G205" s="47"/>
      <c r="H205" s="47"/>
      <c r="I205" s="74"/>
      <c r="J205" s="47">
        <v>33333</v>
      </c>
      <c r="K205" s="74">
        <v>33333</v>
      </c>
      <c r="L205" s="47">
        <v>33333</v>
      </c>
      <c r="M205" s="47"/>
      <c r="N205" s="47"/>
      <c r="O205" s="47"/>
      <c r="P205" s="47"/>
      <c r="Q205" s="47"/>
      <c r="R205" s="75">
        <f t="shared" si="3"/>
        <v>274999</v>
      </c>
    </row>
    <row r="206" spans="1:18" x14ac:dyDescent="0.35">
      <c r="A206" s="52">
        <v>204</v>
      </c>
      <c r="B206" s="67" t="s">
        <v>489</v>
      </c>
      <c r="C206" s="90" t="s">
        <v>2018</v>
      </c>
      <c r="D206" s="54" t="s">
        <v>25</v>
      </c>
      <c r="E206" s="9">
        <v>2490000</v>
      </c>
      <c r="F206" s="47"/>
      <c r="G206" s="47"/>
      <c r="H206" s="47"/>
      <c r="I206" s="74"/>
      <c r="J206" s="47"/>
      <c r="K206" s="47"/>
      <c r="L206" s="47"/>
      <c r="M206" s="47"/>
      <c r="N206" s="47"/>
      <c r="O206" s="47"/>
      <c r="P206" s="47"/>
      <c r="Q206" s="47"/>
      <c r="R206" s="75">
        <f t="shared" si="3"/>
        <v>2490000</v>
      </c>
    </row>
    <row r="207" spans="1:18" x14ac:dyDescent="0.35">
      <c r="A207" s="52">
        <v>205</v>
      </c>
      <c r="B207" s="67" t="s">
        <v>491</v>
      </c>
      <c r="C207" s="7" t="s">
        <v>492</v>
      </c>
      <c r="D207" s="54" t="s">
        <v>19</v>
      </c>
      <c r="E207" s="9">
        <v>0</v>
      </c>
      <c r="F207" s="47"/>
      <c r="G207" s="47"/>
      <c r="H207" s="47"/>
      <c r="I207" s="74"/>
      <c r="J207" s="47"/>
      <c r="K207" s="47"/>
      <c r="L207" s="47"/>
      <c r="M207" s="47"/>
      <c r="N207" s="47"/>
      <c r="O207" s="47"/>
      <c r="P207" s="47"/>
      <c r="Q207" s="47"/>
      <c r="R207" s="75">
        <f t="shared" si="3"/>
        <v>0</v>
      </c>
    </row>
    <row r="208" spans="1:18" x14ac:dyDescent="0.35">
      <c r="A208" s="52">
        <v>206</v>
      </c>
      <c r="B208" s="67" t="s">
        <v>493</v>
      </c>
      <c r="C208" s="7" t="s">
        <v>2223</v>
      </c>
      <c r="D208" s="54" t="s">
        <v>95</v>
      </c>
      <c r="E208" s="9">
        <v>0</v>
      </c>
      <c r="F208" s="47"/>
      <c r="G208" s="47"/>
      <c r="H208" s="47"/>
      <c r="I208" s="74"/>
      <c r="J208" s="47"/>
      <c r="K208" s="47"/>
      <c r="L208" s="47"/>
      <c r="M208" s="47"/>
      <c r="N208" s="47"/>
      <c r="O208" s="47"/>
      <c r="P208" s="47"/>
      <c r="Q208" s="47"/>
      <c r="R208" s="75">
        <f t="shared" si="3"/>
        <v>0</v>
      </c>
    </row>
    <row r="209" spans="1:18" x14ac:dyDescent="0.35">
      <c r="A209" s="52">
        <v>207</v>
      </c>
      <c r="B209" s="67" t="s">
        <v>495</v>
      </c>
      <c r="C209" s="7" t="s">
        <v>496</v>
      </c>
      <c r="D209" s="54" t="s">
        <v>159</v>
      </c>
      <c r="E209" s="9">
        <v>0</v>
      </c>
      <c r="F209" s="47"/>
      <c r="G209" s="47"/>
      <c r="H209" s="47"/>
      <c r="I209" s="74"/>
      <c r="J209" s="47"/>
      <c r="K209" s="47"/>
      <c r="L209" s="47"/>
      <c r="M209" s="47"/>
      <c r="N209" s="47"/>
      <c r="O209" s="47"/>
      <c r="P209" s="47"/>
      <c r="Q209" s="47"/>
      <c r="R209" s="75">
        <f t="shared" si="3"/>
        <v>0</v>
      </c>
    </row>
    <row r="210" spans="1:18" x14ac:dyDescent="0.35">
      <c r="A210" s="52">
        <v>208</v>
      </c>
      <c r="B210" s="67" t="s">
        <v>497</v>
      </c>
      <c r="C210" s="7" t="s">
        <v>2224</v>
      </c>
      <c r="D210" s="54" t="s">
        <v>49</v>
      </c>
      <c r="E210" s="9">
        <v>0</v>
      </c>
      <c r="F210" s="47"/>
      <c r="G210" s="47"/>
      <c r="H210" s="47"/>
      <c r="I210" s="74"/>
      <c r="J210" s="47"/>
      <c r="K210" s="47"/>
      <c r="L210" s="47"/>
      <c r="M210" s="47"/>
      <c r="N210" s="47"/>
      <c r="O210" s="47"/>
      <c r="P210" s="47"/>
      <c r="Q210" s="47"/>
      <c r="R210" s="75">
        <f t="shared" si="3"/>
        <v>0</v>
      </c>
    </row>
    <row r="211" spans="1:18" x14ac:dyDescent="0.35">
      <c r="A211" s="68">
        <v>209</v>
      </c>
      <c r="B211" s="69" t="s">
        <v>499</v>
      </c>
      <c r="C211" s="90" t="s">
        <v>1947</v>
      </c>
      <c r="D211" s="57" t="s">
        <v>128</v>
      </c>
      <c r="E211" s="70">
        <v>0</v>
      </c>
      <c r="F211" s="47"/>
      <c r="G211" s="47"/>
      <c r="H211" s="47"/>
      <c r="I211" s="74"/>
      <c r="J211" s="47"/>
      <c r="K211" s="47"/>
      <c r="L211" s="47"/>
      <c r="M211" s="47"/>
      <c r="N211" s="47"/>
      <c r="O211" s="47"/>
      <c r="P211" s="47"/>
      <c r="Q211" s="47"/>
      <c r="R211" s="75">
        <f t="shared" si="3"/>
        <v>0</v>
      </c>
    </row>
    <row r="212" spans="1:18" x14ac:dyDescent="0.35">
      <c r="A212" s="52">
        <v>210</v>
      </c>
      <c r="B212" s="67" t="s">
        <v>501</v>
      </c>
      <c r="C212" s="144" t="s">
        <v>1930</v>
      </c>
      <c r="D212" s="54" t="s">
        <v>128</v>
      </c>
      <c r="E212" s="9">
        <v>30000</v>
      </c>
      <c r="F212" s="47"/>
      <c r="G212" s="47"/>
      <c r="H212" s="47"/>
      <c r="I212" s="74"/>
      <c r="J212" s="47"/>
      <c r="K212" s="47"/>
      <c r="L212" s="47"/>
      <c r="M212" s="47"/>
      <c r="N212" s="47"/>
      <c r="O212" s="47"/>
      <c r="P212" s="47"/>
      <c r="Q212" s="47"/>
      <c r="R212" s="75">
        <f t="shared" si="3"/>
        <v>30000</v>
      </c>
    </row>
    <row r="213" spans="1:18" x14ac:dyDescent="0.35">
      <c r="A213" s="52">
        <v>211</v>
      </c>
      <c r="B213" s="67" t="s">
        <v>503</v>
      </c>
      <c r="C213" s="90" t="s">
        <v>2019</v>
      </c>
      <c r="D213" s="54" t="s">
        <v>25</v>
      </c>
      <c r="E213" s="9">
        <v>550000</v>
      </c>
      <c r="F213" s="47"/>
      <c r="G213" s="47"/>
      <c r="H213" s="47"/>
      <c r="I213" s="74">
        <v>100000</v>
      </c>
      <c r="J213" s="47"/>
      <c r="K213" s="47"/>
      <c r="L213" s="47"/>
      <c r="M213" s="47"/>
      <c r="N213" s="47"/>
      <c r="O213" s="47"/>
      <c r="P213" s="47"/>
      <c r="Q213" s="47"/>
      <c r="R213" s="75">
        <f t="shared" si="3"/>
        <v>650000</v>
      </c>
    </row>
    <row r="214" spans="1:18" x14ac:dyDescent="0.35">
      <c r="A214" s="52">
        <v>212</v>
      </c>
      <c r="B214" s="67" t="s">
        <v>505</v>
      </c>
      <c r="C214" s="144" t="s">
        <v>2020</v>
      </c>
      <c r="D214" s="54" t="s">
        <v>95</v>
      </c>
      <c r="E214" s="9">
        <v>200000</v>
      </c>
      <c r="F214" s="47"/>
      <c r="G214" s="47"/>
      <c r="H214" s="47"/>
      <c r="I214" s="74"/>
      <c r="J214" s="47"/>
      <c r="K214" s="47"/>
      <c r="L214" s="47"/>
      <c r="M214" s="47"/>
      <c r="N214" s="47"/>
      <c r="O214" s="47"/>
      <c r="P214" s="47"/>
      <c r="Q214" s="47"/>
      <c r="R214" s="75">
        <f t="shared" si="3"/>
        <v>200000</v>
      </c>
    </row>
    <row r="215" spans="1:18" x14ac:dyDescent="0.35">
      <c r="A215" s="52">
        <v>213</v>
      </c>
      <c r="B215" s="67" t="s">
        <v>507</v>
      </c>
      <c r="C215" s="7" t="s">
        <v>1707</v>
      </c>
      <c r="D215" s="54" t="s">
        <v>303</v>
      </c>
      <c r="E215" s="9">
        <v>0</v>
      </c>
      <c r="F215" s="47"/>
      <c r="G215" s="47"/>
      <c r="H215" s="47"/>
      <c r="I215" s="74"/>
      <c r="J215" s="47"/>
      <c r="K215" s="47"/>
      <c r="L215" s="47"/>
      <c r="M215" s="47"/>
      <c r="N215" s="47"/>
      <c r="O215" s="47"/>
      <c r="P215" s="47"/>
      <c r="Q215" s="47"/>
      <c r="R215" s="75">
        <f t="shared" si="3"/>
        <v>0</v>
      </c>
    </row>
    <row r="216" spans="1:18" x14ac:dyDescent="0.35">
      <c r="A216" s="52">
        <v>214</v>
      </c>
      <c r="B216" s="67" t="s">
        <v>509</v>
      </c>
      <c r="C216" s="7" t="s">
        <v>510</v>
      </c>
      <c r="D216" s="54" t="s">
        <v>65</v>
      </c>
      <c r="E216" s="9">
        <v>0</v>
      </c>
      <c r="F216" s="47"/>
      <c r="G216" s="47"/>
      <c r="H216" s="47"/>
      <c r="I216" s="74"/>
      <c r="J216" s="47"/>
      <c r="K216" s="47"/>
      <c r="L216" s="47"/>
      <c r="M216" s="47"/>
      <c r="N216" s="47"/>
      <c r="O216" s="47"/>
      <c r="P216" s="47"/>
      <c r="Q216" s="47"/>
      <c r="R216" s="75">
        <f t="shared" si="3"/>
        <v>0</v>
      </c>
    </row>
    <row r="217" spans="1:18" x14ac:dyDescent="0.35">
      <c r="A217" s="52">
        <v>215</v>
      </c>
      <c r="B217" s="67" t="s">
        <v>511</v>
      </c>
      <c r="C217" s="90" t="s">
        <v>1768</v>
      </c>
      <c r="D217" s="54" t="s">
        <v>406</v>
      </c>
      <c r="E217" s="9">
        <v>30000</v>
      </c>
      <c r="F217" s="47"/>
      <c r="G217" s="47"/>
      <c r="H217" s="47"/>
      <c r="I217" s="74"/>
      <c r="J217" s="47"/>
      <c r="K217" s="47"/>
      <c r="L217" s="47"/>
      <c r="M217" s="47"/>
      <c r="N217" s="47"/>
      <c r="O217" s="47"/>
      <c r="P217" s="47"/>
      <c r="Q217" s="47"/>
      <c r="R217" s="75">
        <f t="shared" si="3"/>
        <v>30000</v>
      </c>
    </row>
    <row r="218" spans="1:18" x14ac:dyDescent="0.35">
      <c r="A218" s="52">
        <v>216</v>
      </c>
      <c r="B218" s="67" t="s">
        <v>513</v>
      </c>
      <c r="C218" s="7" t="s">
        <v>1641</v>
      </c>
      <c r="D218" s="54" t="s">
        <v>60</v>
      </c>
      <c r="E218" s="9">
        <v>0</v>
      </c>
      <c r="F218" s="47"/>
      <c r="G218" s="47"/>
      <c r="H218" s="47"/>
      <c r="I218" s="74"/>
      <c r="J218" s="47"/>
      <c r="K218" s="47"/>
      <c r="L218" s="47"/>
      <c r="M218" s="47"/>
      <c r="N218" s="47"/>
      <c r="O218" s="47"/>
      <c r="P218" s="47"/>
      <c r="Q218" s="47"/>
      <c r="R218" s="75">
        <f t="shared" si="3"/>
        <v>0</v>
      </c>
    </row>
    <row r="219" spans="1:18" x14ac:dyDescent="0.35">
      <c r="A219" s="52">
        <v>217</v>
      </c>
      <c r="B219" s="67" t="s">
        <v>515</v>
      </c>
      <c r="C219" s="7" t="s">
        <v>1621</v>
      </c>
      <c r="D219" s="54" t="s">
        <v>253</v>
      </c>
      <c r="E219" s="9">
        <v>0</v>
      </c>
      <c r="F219" s="47"/>
      <c r="G219" s="47"/>
      <c r="H219" s="47"/>
      <c r="I219" s="74"/>
      <c r="J219" s="47"/>
      <c r="K219" s="47"/>
      <c r="L219" s="47"/>
      <c r="M219" s="47"/>
      <c r="N219" s="47"/>
      <c r="O219" s="47"/>
      <c r="P219" s="47"/>
      <c r="Q219" s="47"/>
      <c r="R219" s="75">
        <f t="shared" si="3"/>
        <v>0</v>
      </c>
    </row>
    <row r="220" spans="1:18" x14ac:dyDescent="0.35">
      <c r="A220" s="52">
        <v>218</v>
      </c>
      <c r="B220" s="67" t="s">
        <v>517</v>
      </c>
      <c r="C220" s="7" t="s">
        <v>1708</v>
      </c>
      <c r="D220" s="54" t="s">
        <v>519</v>
      </c>
      <c r="E220" s="9">
        <v>0</v>
      </c>
      <c r="F220" s="47"/>
      <c r="G220" s="47"/>
      <c r="H220" s="47"/>
      <c r="I220" s="74"/>
      <c r="J220" s="47"/>
      <c r="K220" s="47"/>
      <c r="L220" s="47"/>
      <c r="M220" s="47"/>
      <c r="N220" s="47"/>
      <c r="O220" s="47"/>
      <c r="P220" s="47"/>
      <c r="Q220" s="47"/>
      <c r="R220" s="75">
        <f t="shared" si="3"/>
        <v>0</v>
      </c>
    </row>
    <row r="221" spans="1:18" x14ac:dyDescent="0.35">
      <c r="A221" s="52">
        <v>219</v>
      </c>
      <c r="B221" s="67" t="s">
        <v>520</v>
      </c>
      <c r="C221" s="7" t="s">
        <v>1622</v>
      </c>
      <c r="D221" s="54" t="s">
        <v>166</v>
      </c>
      <c r="E221" s="9">
        <v>0</v>
      </c>
      <c r="F221" s="47"/>
      <c r="G221" s="47"/>
      <c r="H221" s="47"/>
      <c r="I221" s="74"/>
      <c r="J221" s="47"/>
      <c r="K221" s="47"/>
      <c r="L221" s="47"/>
      <c r="M221" s="47"/>
      <c r="N221" s="47"/>
      <c r="O221" s="47"/>
      <c r="P221" s="47"/>
      <c r="Q221" s="47"/>
      <c r="R221" s="75">
        <f t="shared" si="3"/>
        <v>0</v>
      </c>
    </row>
    <row r="222" spans="1:18" x14ac:dyDescent="0.35">
      <c r="A222" s="52">
        <v>220</v>
      </c>
      <c r="B222" s="67" t="s">
        <v>522</v>
      </c>
      <c r="C222" s="7" t="s">
        <v>1608</v>
      </c>
      <c r="D222" s="54" t="s">
        <v>524</v>
      </c>
      <c r="E222" s="9">
        <v>0</v>
      </c>
      <c r="F222" s="47"/>
      <c r="G222" s="47"/>
      <c r="H222" s="47"/>
      <c r="I222" s="74"/>
      <c r="J222" s="47"/>
      <c r="K222" s="47"/>
      <c r="L222" s="47"/>
      <c r="M222" s="47"/>
      <c r="N222" s="47"/>
      <c r="O222" s="47"/>
      <c r="P222" s="47"/>
      <c r="Q222" s="47"/>
      <c r="R222" s="75">
        <f t="shared" si="3"/>
        <v>0</v>
      </c>
    </row>
    <row r="223" spans="1:18" x14ac:dyDescent="0.35">
      <c r="A223" s="52">
        <v>221</v>
      </c>
      <c r="B223" s="67" t="s">
        <v>525</v>
      </c>
      <c r="C223" s="7" t="s">
        <v>526</v>
      </c>
      <c r="D223" s="54" t="s">
        <v>98</v>
      </c>
      <c r="E223" s="9">
        <v>0</v>
      </c>
      <c r="F223" s="47"/>
      <c r="G223" s="47"/>
      <c r="H223" s="47"/>
      <c r="I223" s="74"/>
      <c r="J223" s="47"/>
      <c r="K223" s="47"/>
      <c r="L223" s="47"/>
      <c r="M223" s="47"/>
      <c r="N223" s="47"/>
      <c r="O223" s="47"/>
      <c r="P223" s="47"/>
      <c r="Q223" s="47"/>
      <c r="R223" s="75">
        <f t="shared" si="3"/>
        <v>0</v>
      </c>
    </row>
    <row r="224" spans="1:18" x14ac:dyDescent="0.35">
      <c r="A224" s="52">
        <v>222</v>
      </c>
      <c r="B224" s="67" t="s">
        <v>527</v>
      </c>
      <c r="C224" s="90" t="s">
        <v>1786</v>
      </c>
      <c r="D224" s="54" t="s">
        <v>95</v>
      </c>
      <c r="E224" s="9">
        <v>360000</v>
      </c>
      <c r="F224" s="47"/>
      <c r="G224" s="47"/>
      <c r="H224" s="47"/>
      <c r="I224" s="74"/>
      <c r="J224" s="47"/>
      <c r="K224" s="47"/>
      <c r="L224" s="47"/>
      <c r="M224" s="47"/>
      <c r="N224" s="47"/>
      <c r="O224" s="47"/>
      <c r="P224" s="47"/>
      <c r="Q224" s="47"/>
      <c r="R224" s="75">
        <f t="shared" si="3"/>
        <v>360000</v>
      </c>
    </row>
    <row r="225" spans="1:18" x14ac:dyDescent="0.35">
      <c r="A225" s="52">
        <v>223</v>
      </c>
      <c r="B225" s="67" t="s">
        <v>529</v>
      </c>
      <c r="C225" s="144" t="s">
        <v>1888</v>
      </c>
      <c r="D225" s="54" t="s">
        <v>354</v>
      </c>
      <c r="E225" s="9">
        <v>0</v>
      </c>
      <c r="F225" s="47"/>
      <c r="G225" s="47"/>
      <c r="H225" s="47"/>
      <c r="I225" s="74"/>
      <c r="J225" s="47"/>
      <c r="K225" s="47"/>
      <c r="L225" s="47"/>
      <c r="M225" s="47"/>
      <c r="N225" s="47"/>
      <c r="O225" s="47"/>
      <c r="P225" s="47"/>
      <c r="Q225" s="47"/>
      <c r="R225" s="75">
        <f t="shared" si="3"/>
        <v>0</v>
      </c>
    </row>
    <row r="226" spans="1:18" x14ac:dyDescent="0.35">
      <c r="A226" s="52">
        <v>224</v>
      </c>
      <c r="B226" s="67" t="s">
        <v>531</v>
      </c>
      <c r="C226" s="144" t="s">
        <v>1889</v>
      </c>
      <c r="D226" s="54" t="s">
        <v>98</v>
      </c>
      <c r="E226" s="9">
        <v>0</v>
      </c>
      <c r="F226" s="47"/>
      <c r="G226" s="47"/>
      <c r="H226" s="47"/>
      <c r="I226" s="74"/>
      <c r="J226" s="47"/>
      <c r="K226" s="47"/>
      <c r="L226" s="47"/>
      <c r="M226" s="47"/>
      <c r="N226" s="47"/>
      <c r="O226" s="47"/>
      <c r="P226" s="47"/>
      <c r="Q226" s="47"/>
      <c r="R226" s="75">
        <f t="shared" si="3"/>
        <v>0</v>
      </c>
    </row>
    <row r="227" spans="1:18" x14ac:dyDescent="0.35">
      <c r="A227" s="52">
        <v>225</v>
      </c>
      <c r="B227" s="67" t="s">
        <v>533</v>
      </c>
      <c r="C227" s="7" t="s">
        <v>1642</v>
      </c>
      <c r="D227" s="54" t="s">
        <v>11</v>
      </c>
      <c r="E227" s="9">
        <v>0</v>
      </c>
      <c r="F227" s="47"/>
      <c r="G227" s="47"/>
      <c r="H227" s="47"/>
      <c r="I227" s="74"/>
      <c r="J227" s="47"/>
      <c r="K227" s="47"/>
      <c r="L227" s="47"/>
      <c r="M227" s="47"/>
      <c r="N227" s="47"/>
      <c r="O227" s="47"/>
      <c r="P227" s="47"/>
      <c r="Q227" s="47"/>
      <c r="R227" s="75">
        <f t="shared" si="3"/>
        <v>0</v>
      </c>
    </row>
    <row r="228" spans="1:18" x14ac:dyDescent="0.35">
      <c r="A228" s="52">
        <v>226</v>
      </c>
      <c r="B228" s="67" t="s">
        <v>535</v>
      </c>
      <c r="C228" s="7" t="s">
        <v>1623</v>
      </c>
      <c r="D228" s="54" t="s">
        <v>49</v>
      </c>
      <c r="E228" s="9">
        <v>0</v>
      </c>
      <c r="F228" s="47"/>
      <c r="G228" s="47"/>
      <c r="H228" s="47"/>
      <c r="I228" s="74"/>
      <c r="J228" s="47"/>
      <c r="K228" s="47"/>
      <c r="L228" s="47"/>
      <c r="M228" s="47"/>
      <c r="N228" s="47"/>
      <c r="O228" s="47"/>
      <c r="P228" s="47"/>
      <c r="Q228" s="47"/>
      <c r="R228" s="75">
        <f t="shared" si="3"/>
        <v>0</v>
      </c>
    </row>
    <row r="229" spans="1:18" x14ac:dyDescent="0.35">
      <c r="A229" s="52">
        <v>227</v>
      </c>
      <c r="B229" s="67" t="s">
        <v>537</v>
      </c>
      <c r="C229" s="90" t="s">
        <v>1765</v>
      </c>
      <c r="D229" s="54" t="s">
        <v>25</v>
      </c>
      <c r="E229" s="9">
        <v>0</v>
      </c>
      <c r="F229" s="47"/>
      <c r="G229" s="47"/>
      <c r="H229" s="47"/>
      <c r="I229" s="74"/>
      <c r="J229" s="47"/>
      <c r="K229" s="47"/>
      <c r="L229" s="47"/>
      <c r="M229" s="47"/>
      <c r="N229" s="47"/>
      <c r="O229" s="47"/>
      <c r="P229" s="47"/>
      <c r="Q229" s="47"/>
      <c r="R229" s="75">
        <f t="shared" si="3"/>
        <v>0</v>
      </c>
    </row>
    <row r="230" spans="1:18" x14ac:dyDescent="0.35">
      <c r="A230" s="52">
        <v>228</v>
      </c>
      <c r="B230" s="67" t="s">
        <v>539</v>
      </c>
      <c r="C230" s="90" t="s">
        <v>1769</v>
      </c>
      <c r="D230" s="54" t="s">
        <v>406</v>
      </c>
      <c r="E230" s="9">
        <v>0</v>
      </c>
      <c r="F230" s="47"/>
      <c r="G230" s="47"/>
      <c r="H230" s="47"/>
      <c r="I230" s="74"/>
      <c r="J230" s="47"/>
      <c r="K230" s="47"/>
      <c r="L230" s="47"/>
      <c r="M230" s="47"/>
      <c r="N230" s="47"/>
      <c r="O230" s="47"/>
      <c r="P230" s="47"/>
      <c r="Q230" s="47"/>
      <c r="R230" s="75">
        <f t="shared" si="3"/>
        <v>0</v>
      </c>
    </row>
    <row r="231" spans="1:18" x14ac:dyDescent="0.35">
      <c r="A231" s="52">
        <v>229</v>
      </c>
      <c r="B231" s="67" t="s">
        <v>541</v>
      </c>
      <c r="C231" s="7" t="s">
        <v>1716</v>
      </c>
      <c r="D231" s="54" t="s">
        <v>46</v>
      </c>
      <c r="E231" s="9">
        <v>0</v>
      </c>
      <c r="F231" s="47"/>
      <c r="G231" s="47"/>
      <c r="H231" s="47"/>
      <c r="I231" s="74"/>
      <c r="J231" s="47"/>
      <c r="K231" s="47"/>
      <c r="L231" s="47"/>
      <c r="M231" s="47"/>
      <c r="N231" s="47"/>
      <c r="O231" s="47"/>
      <c r="P231" s="47"/>
      <c r="Q231" s="47"/>
      <c r="R231" s="75">
        <f t="shared" si="3"/>
        <v>0</v>
      </c>
    </row>
    <row r="232" spans="1:18" x14ac:dyDescent="0.35">
      <c r="A232" s="52">
        <v>230</v>
      </c>
      <c r="B232" s="67" t="s">
        <v>543</v>
      </c>
      <c r="C232" s="7" t="s">
        <v>1717</v>
      </c>
      <c r="D232" s="54" t="s">
        <v>318</v>
      </c>
      <c r="E232" s="9">
        <v>0</v>
      </c>
      <c r="F232" s="47"/>
      <c r="G232" s="47"/>
      <c r="H232" s="47"/>
      <c r="I232" s="74"/>
      <c r="J232" s="47"/>
      <c r="K232" s="47"/>
      <c r="L232" s="47"/>
      <c r="M232" s="47"/>
      <c r="N232" s="47"/>
      <c r="O232" s="47"/>
      <c r="P232" s="47"/>
      <c r="Q232" s="47"/>
      <c r="R232" s="75">
        <f t="shared" si="3"/>
        <v>0</v>
      </c>
    </row>
    <row r="233" spans="1:18" x14ac:dyDescent="0.35">
      <c r="A233" s="52">
        <v>231</v>
      </c>
      <c r="B233" s="67" t="s">
        <v>545</v>
      </c>
      <c r="C233" s="7" t="s">
        <v>1643</v>
      </c>
      <c r="D233" s="54" t="s">
        <v>77</v>
      </c>
      <c r="E233" s="9">
        <v>0</v>
      </c>
      <c r="F233" s="47"/>
      <c r="G233" s="47"/>
      <c r="H233" s="47"/>
      <c r="I233" s="74"/>
      <c r="J233" s="47"/>
      <c r="K233" s="47"/>
      <c r="L233" s="47"/>
      <c r="M233" s="47"/>
      <c r="N233" s="47"/>
      <c r="O233" s="47"/>
      <c r="P233" s="47"/>
      <c r="Q233" s="47"/>
      <c r="R233" s="75">
        <f t="shared" si="3"/>
        <v>0</v>
      </c>
    </row>
    <row r="234" spans="1:18" x14ac:dyDescent="0.35">
      <c r="A234" s="52">
        <v>232</v>
      </c>
      <c r="B234" s="67" t="s">
        <v>547</v>
      </c>
      <c r="C234" s="7" t="s">
        <v>548</v>
      </c>
      <c r="D234" s="54" t="s">
        <v>123</v>
      </c>
      <c r="E234" s="9">
        <v>0</v>
      </c>
      <c r="F234" s="47"/>
      <c r="G234" s="47"/>
      <c r="H234" s="47"/>
      <c r="I234" s="74"/>
      <c r="J234" s="47"/>
      <c r="K234" s="47"/>
      <c r="L234" s="47"/>
      <c r="M234" s="47"/>
      <c r="N234" s="47"/>
      <c r="O234" s="47"/>
      <c r="P234" s="47"/>
      <c r="Q234" s="47"/>
      <c r="R234" s="75">
        <f t="shared" si="3"/>
        <v>0</v>
      </c>
    </row>
    <row r="235" spans="1:18" x14ac:dyDescent="0.35">
      <c r="A235" s="52">
        <v>233</v>
      </c>
      <c r="B235" s="67" t="s">
        <v>549</v>
      </c>
      <c r="C235" s="7" t="s">
        <v>550</v>
      </c>
      <c r="D235" s="54" t="s">
        <v>551</v>
      </c>
      <c r="E235" s="9">
        <v>0</v>
      </c>
      <c r="F235" s="47"/>
      <c r="G235" s="47"/>
      <c r="H235" s="47"/>
      <c r="I235" s="74"/>
      <c r="J235" s="47"/>
      <c r="K235" s="47"/>
      <c r="L235" s="47"/>
      <c r="M235" s="47"/>
      <c r="N235" s="47"/>
      <c r="O235" s="47"/>
      <c r="P235" s="47"/>
      <c r="Q235" s="47"/>
      <c r="R235" s="75">
        <f t="shared" si="3"/>
        <v>0</v>
      </c>
    </row>
    <row r="236" spans="1:18" x14ac:dyDescent="0.35">
      <c r="A236" s="52">
        <v>234</v>
      </c>
      <c r="B236" s="67" t="s">
        <v>552</v>
      </c>
      <c r="C236" s="144" t="s">
        <v>2021</v>
      </c>
      <c r="D236" s="54" t="s">
        <v>198</v>
      </c>
      <c r="E236" s="9">
        <v>70000</v>
      </c>
      <c r="F236" s="47"/>
      <c r="G236" s="47"/>
      <c r="H236" s="47"/>
      <c r="I236" s="74"/>
      <c r="J236" s="47"/>
      <c r="K236" s="47"/>
      <c r="L236" s="47"/>
      <c r="M236" s="47"/>
      <c r="N236" s="47"/>
      <c r="O236" s="47"/>
      <c r="P236" s="47"/>
      <c r="Q236" s="47"/>
      <c r="R236" s="75">
        <f t="shared" si="3"/>
        <v>70000</v>
      </c>
    </row>
    <row r="237" spans="1:18" x14ac:dyDescent="0.35">
      <c r="A237" s="52">
        <v>235</v>
      </c>
      <c r="B237" s="67" t="s">
        <v>554</v>
      </c>
      <c r="C237" s="7" t="s">
        <v>555</v>
      </c>
      <c r="D237" s="54" t="s">
        <v>46</v>
      </c>
      <c r="E237" s="9">
        <v>0</v>
      </c>
      <c r="F237" s="47"/>
      <c r="G237" s="47"/>
      <c r="H237" s="47"/>
      <c r="I237" s="74"/>
      <c r="J237" s="47"/>
      <c r="K237" s="47"/>
      <c r="L237" s="47"/>
      <c r="M237" s="47"/>
      <c r="N237" s="47"/>
      <c r="O237" s="47"/>
      <c r="P237" s="47"/>
      <c r="Q237" s="47"/>
      <c r="R237" s="75">
        <f t="shared" si="3"/>
        <v>0</v>
      </c>
    </row>
    <row r="238" spans="1:18" x14ac:dyDescent="0.35">
      <c r="A238" s="52">
        <v>236</v>
      </c>
      <c r="B238" s="67" t="s">
        <v>556</v>
      </c>
      <c r="C238" s="144" t="s">
        <v>1892</v>
      </c>
      <c r="D238" s="54" t="s">
        <v>270</v>
      </c>
      <c r="E238" s="9">
        <v>0</v>
      </c>
      <c r="F238" s="47"/>
      <c r="G238" s="47"/>
      <c r="H238" s="47"/>
      <c r="I238" s="74"/>
      <c r="J238" s="47"/>
      <c r="K238" s="47"/>
      <c r="L238" s="47"/>
      <c r="M238" s="47"/>
      <c r="N238" s="47"/>
      <c r="O238" s="47"/>
      <c r="P238" s="47"/>
      <c r="Q238" s="47"/>
      <c r="R238" s="75">
        <f t="shared" si="3"/>
        <v>0</v>
      </c>
    </row>
    <row r="239" spans="1:18" x14ac:dyDescent="0.35">
      <c r="A239" s="52">
        <v>237</v>
      </c>
      <c r="B239" s="67" t="s">
        <v>558</v>
      </c>
      <c r="C239" s="7" t="s">
        <v>1718</v>
      </c>
      <c r="D239" s="54" t="s">
        <v>49</v>
      </c>
      <c r="E239" s="9">
        <v>0</v>
      </c>
      <c r="F239" s="47"/>
      <c r="G239" s="47"/>
      <c r="H239" s="47"/>
      <c r="I239" s="74"/>
      <c r="J239" s="47"/>
      <c r="K239" s="47"/>
      <c r="L239" s="47"/>
      <c r="M239" s="47"/>
      <c r="N239" s="47"/>
      <c r="O239" s="47"/>
      <c r="P239" s="47"/>
      <c r="Q239" s="47"/>
      <c r="R239" s="75">
        <f t="shared" si="3"/>
        <v>0</v>
      </c>
    </row>
    <row r="240" spans="1:18" x14ac:dyDescent="0.35">
      <c r="A240" s="52">
        <v>238</v>
      </c>
      <c r="B240" s="67" t="s">
        <v>560</v>
      </c>
      <c r="C240" s="7" t="s">
        <v>561</v>
      </c>
      <c r="D240" s="54" t="s">
        <v>11</v>
      </c>
      <c r="E240" s="9">
        <v>0</v>
      </c>
      <c r="F240" s="47"/>
      <c r="G240" s="47"/>
      <c r="H240" s="47"/>
      <c r="I240" s="74"/>
      <c r="J240" s="47"/>
      <c r="K240" s="47"/>
      <c r="L240" s="47"/>
      <c r="M240" s="47"/>
      <c r="N240" s="47"/>
      <c r="O240" s="47"/>
      <c r="P240" s="47"/>
      <c r="Q240" s="47"/>
      <c r="R240" s="75">
        <f t="shared" si="3"/>
        <v>0</v>
      </c>
    </row>
    <row r="241" spans="1:18" x14ac:dyDescent="0.35">
      <c r="A241" s="52">
        <v>239</v>
      </c>
      <c r="B241" s="67" t="s">
        <v>562</v>
      </c>
      <c r="C241" s="7" t="s">
        <v>1719</v>
      </c>
      <c r="D241" s="54" t="s">
        <v>19</v>
      </c>
      <c r="E241" s="9">
        <v>60000</v>
      </c>
      <c r="F241" s="47"/>
      <c r="G241" s="47"/>
      <c r="H241" s="47"/>
      <c r="I241" s="74"/>
      <c r="J241" s="47"/>
      <c r="K241" s="47"/>
      <c r="L241" s="47"/>
      <c r="M241" s="47"/>
      <c r="N241" s="47"/>
      <c r="O241" s="47"/>
      <c r="P241" s="47"/>
      <c r="Q241" s="47"/>
      <c r="R241" s="75">
        <f t="shared" si="3"/>
        <v>60000</v>
      </c>
    </row>
    <row r="242" spans="1:18" x14ac:dyDescent="0.35">
      <c r="A242" s="52">
        <v>240</v>
      </c>
      <c r="B242" s="67" t="s">
        <v>564</v>
      </c>
      <c r="C242" s="144" t="s">
        <v>2022</v>
      </c>
      <c r="D242" s="54" t="s">
        <v>98</v>
      </c>
      <c r="E242" s="9">
        <v>0</v>
      </c>
      <c r="F242" s="47"/>
      <c r="G242" s="47"/>
      <c r="H242" s="47"/>
      <c r="I242" s="74"/>
      <c r="J242" s="47"/>
      <c r="K242" s="47"/>
      <c r="L242" s="47"/>
      <c r="M242" s="47"/>
      <c r="N242" s="47"/>
      <c r="O242" s="47"/>
      <c r="P242" s="47"/>
      <c r="Q242" s="47"/>
      <c r="R242" s="75">
        <f t="shared" si="3"/>
        <v>0</v>
      </c>
    </row>
    <row r="243" spans="1:18" x14ac:dyDescent="0.35">
      <c r="A243" s="52">
        <v>241</v>
      </c>
      <c r="B243" s="67" t="s">
        <v>566</v>
      </c>
      <c r="C243" s="90" t="s">
        <v>2023</v>
      </c>
      <c r="D243" s="54" t="s">
        <v>22</v>
      </c>
      <c r="E243" s="9">
        <v>796000</v>
      </c>
      <c r="F243" s="47"/>
      <c r="G243" s="47"/>
      <c r="H243" s="47"/>
      <c r="I243" s="74"/>
      <c r="J243" s="47"/>
      <c r="K243" s="47"/>
      <c r="L243" s="47"/>
      <c r="M243" s="47"/>
      <c r="N243" s="47"/>
      <c r="O243" s="47"/>
      <c r="P243" s="47"/>
      <c r="Q243" s="47"/>
      <c r="R243" s="75">
        <f t="shared" si="3"/>
        <v>796000</v>
      </c>
    </row>
    <row r="244" spans="1:18" x14ac:dyDescent="0.35">
      <c r="A244" s="52">
        <v>242</v>
      </c>
      <c r="B244" s="67" t="s">
        <v>568</v>
      </c>
      <c r="C244" s="144" t="s">
        <v>1926</v>
      </c>
      <c r="D244" s="54" t="s">
        <v>128</v>
      </c>
      <c r="E244" s="9">
        <v>25000</v>
      </c>
      <c r="F244" s="47"/>
      <c r="G244" s="47"/>
      <c r="H244" s="47"/>
      <c r="I244" s="74"/>
      <c r="J244" s="47"/>
      <c r="K244" s="47"/>
      <c r="L244" s="47"/>
      <c r="M244" s="47"/>
      <c r="N244" s="47"/>
      <c r="O244" s="47"/>
      <c r="P244" s="47"/>
      <c r="Q244" s="47"/>
      <c r="R244" s="75">
        <f t="shared" si="3"/>
        <v>25000</v>
      </c>
    </row>
    <row r="245" spans="1:18" x14ac:dyDescent="0.35">
      <c r="A245" s="52">
        <v>243</v>
      </c>
      <c r="B245" s="67" t="s">
        <v>570</v>
      </c>
      <c r="C245" s="144" t="s">
        <v>2024</v>
      </c>
      <c r="D245" s="54" t="s">
        <v>141</v>
      </c>
      <c r="E245" s="9">
        <v>0</v>
      </c>
      <c r="F245" s="47"/>
      <c r="G245" s="47"/>
      <c r="H245" s="47"/>
      <c r="I245" s="74"/>
      <c r="J245" s="47"/>
      <c r="K245" s="47"/>
      <c r="L245" s="47"/>
      <c r="M245" s="47"/>
      <c r="N245" s="47"/>
      <c r="O245" s="47"/>
      <c r="P245" s="47"/>
      <c r="Q245" s="47"/>
      <c r="R245" s="75">
        <f t="shared" si="3"/>
        <v>0</v>
      </c>
    </row>
    <row r="246" spans="1:18" x14ac:dyDescent="0.35">
      <c r="A246" s="52">
        <v>244</v>
      </c>
      <c r="B246" s="67" t="s">
        <v>572</v>
      </c>
      <c r="C246" s="144" t="s">
        <v>1929</v>
      </c>
      <c r="D246" s="54" t="s">
        <v>574</v>
      </c>
      <c r="E246" s="9">
        <v>150000</v>
      </c>
      <c r="F246" s="47"/>
      <c r="G246" s="47"/>
      <c r="H246" s="47"/>
      <c r="I246" s="74"/>
      <c r="J246" s="47"/>
      <c r="K246" s="47"/>
      <c r="L246" s="47"/>
      <c r="M246" s="47"/>
      <c r="N246" s="47"/>
      <c r="O246" s="47"/>
      <c r="P246" s="47"/>
      <c r="Q246" s="47"/>
      <c r="R246" s="75">
        <f t="shared" si="3"/>
        <v>150000</v>
      </c>
    </row>
    <row r="247" spans="1:18" x14ac:dyDescent="0.35">
      <c r="A247" s="52">
        <v>245</v>
      </c>
      <c r="B247" s="67" t="s">
        <v>575</v>
      </c>
      <c r="C247" s="7" t="s">
        <v>576</v>
      </c>
      <c r="D247" s="54" t="s">
        <v>290</v>
      </c>
      <c r="E247" s="9">
        <v>3425000</v>
      </c>
      <c r="F247" s="47"/>
      <c r="G247" s="47"/>
      <c r="H247" s="47"/>
      <c r="I247" s="74"/>
      <c r="J247" s="47"/>
      <c r="K247" s="47"/>
      <c r="L247" s="47"/>
      <c r="M247" s="47"/>
      <c r="N247" s="47"/>
      <c r="O247" s="47"/>
      <c r="P247" s="47"/>
      <c r="Q247" s="47"/>
      <c r="R247" s="75">
        <f t="shared" si="3"/>
        <v>3425000</v>
      </c>
    </row>
    <row r="248" spans="1:18" x14ac:dyDescent="0.35">
      <c r="A248" s="52">
        <v>246</v>
      </c>
      <c r="B248" s="67" t="s">
        <v>577</v>
      </c>
      <c r="C248" s="90" t="s">
        <v>2025</v>
      </c>
      <c r="D248" s="54" t="s">
        <v>303</v>
      </c>
      <c r="E248" s="9">
        <v>250000</v>
      </c>
      <c r="F248" s="47"/>
      <c r="G248" s="47"/>
      <c r="H248" s="47"/>
      <c r="I248" s="74"/>
      <c r="J248" s="47"/>
      <c r="K248" s="47"/>
      <c r="L248" s="47"/>
      <c r="M248" s="47"/>
      <c r="N248" s="47"/>
      <c r="O248" s="47"/>
      <c r="P248" s="47"/>
      <c r="Q248" s="47"/>
      <c r="R248" s="75">
        <f t="shared" si="3"/>
        <v>250000</v>
      </c>
    </row>
    <row r="249" spans="1:18" x14ac:dyDescent="0.35">
      <c r="A249" s="52">
        <v>247</v>
      </c>
      <c r="B249" s="67" t="s">
        <v>579</v>
      </c>
      <c r="C249" s="7" t="s">
        <v>1644</v>
      </c>
      <c r="D249" s="54" t="s">
        <v>198</v>
      </c>
      <c r="E249" s="9">
        <v>0</v>
      </c>
      <c r="F249" s="47"/>
      <c r="G249" s="47"/>
      <c r="H249" s="47"/>
      <c r="I249" s="74"/>
      <c r="J249" s="47"/>
      <c r="K249" s="47"/>
      <c r="L249" s="47"/>
      <c r="M249" s="47"/>
      <c r="N249" s="47"/>
      <c r="O249" s="47"/>
      <c r="P249" s="47"/>
      <c r="Q249" s="47"/>
      <c r="R249" s="75">
        <f t="shared" si="3"/>
        <v>0</v>
      </c>
    </row>
    <row r="250" spans="1:18" x14ac:dyDescent="0.35">
      <c r="A250" s="52">
        <v>248</v>
      </c>
      <c r="B250" s="67" t="s">
        <v>581</v>
      </c>
      <c r="C250" s="90" t="s">
        <v>2026</v>
      </c>
      <c r="D250" s="54" t="s">
        <v>98</v>
      </c>
      <c r="E250" s="9">
        <v>0</v>
      </c>
      <c r="F250" s="47"/>
      <c r="G250" s="47"/>
      <c r="H250" s="47"/>
      <c r="I250" s="74"/>
      <c r="J250" s="47"/>
      <c r="K250" s="47"/>
      <c r="L250" s="47"/>
      <c r="M250" s="47"/>
      <c r="N250" s="47"/>
      <c r="O250" s="47"/>
      <c r="P250" s="47"/>
      <c r="Q250" s="47"/>
      <c r="R250" s="75">
        <f t="shared" si="3"/>
        <v>0</v>
      </c>
    </row>
    <row r="251" spans="1:18" x14ac:dyDescent="0.35">
      <c r="A251" s="52">
        <v>249</v>
      </c>
      <c r="B251" s="67" t="s">
        <v>583</v>
      </c>
      <c r="C251" s="7" t="s">
        <v>584</v>
      </c>
      <c r="D251" s="54" t="s">
        <v>49</v>
      </c>
      <c r="E251" s="9">
        <v>0</v>
      </c>
      <c r="F251" s="47"/>
      <c r="G251" s="47"/>
      <c r="H251" s="47"/>
      <c r="I251" s="74"/>
      <c r="J251" s="47"/>
      <c r="K251" s="47"/>
      <c r="L251" s="47"/>
      <c r="M251" s="47"/>
      <c r="N251" s="47"/>
      <c r="O251" s="47"/>
      <c r="P251" s="47"/>
      <c r="Q251" s="47"/>
      <c r="R251" s="75">
        <f t="shared" si="3"/>
        <v>0</v>
      </c>
    </row>
    <row r="252" spans="1:18" x14ac:dyDescent="0.35">
      <c r="A252" s="52">
        <v>250</v>
      </c>
      <c r="B252" s="67" t="s">
        <v>585</v>
      </c>
      <c r="C252" s="7" t="s">
        <v>586</v>
      </c>
      <c r="D252" s="54" t="s">
        <v>166</v>
      </c>
      <c r="E252" s="9">
        <v>0</v>
      </c>
      <c r="F252" s="47"/>
      <c r="G252" s="47"/>
      <c r="H252" s="47"/>
      <c r="I252" s="74"/>
      <c r="J252" s="47"/>
      <c r="K252" s="47"/>
      <c r="L252" s="47"/>
      <c r="M252" s="47"/>
      <c r="N252" s="47"/>
      <c r="O252" s="47"/>
      <c r="P252" s="47"/>
      <c r="Q252" s="47"/>
      <c r="R252" s="75">
        <f t="shared" si="3"/>
        <v>0</v>
      </c>
    </row>
    <row r="253" spans="1:18" x14ac:dyDescent="0.35">
      <c r="A253" s="52">
        <v>251</v>
      </c>
      <c r="B253" s="67" t="s">
        <v>587</v>
      </c>
      <c r="C253" s="144" t="s">
        <v>2027</v>
      </c>
      <c r="D253" s="54" t="s">
        <v>19</v>
      </c>
      <c r="E253" s="9">
        <v>0</v>
      </c>
      <c r="F253" s="47"/>
      <c r="G253" s="47"/>
      <c r="H253" s="47"/>
      <c r="I253" s="74"/>
      <c r="J253" s="47"/>
      <c r="K253" s="47"/>
      <c r="L253" s="47"/>
      <c r="M253" s="47"/>
      <c r="N253" s="47"/>
      <c r="O253" s="47"/>
      <c r="P253" s="47"/>
      <c r="Q253" s="47"/>
      <c r="R253" s="75">
        <f t="shared" si="3"/>
        <v>0</v>
      </c>
    </row>
    <row r="254" spans="1:18" x14ac:dyDescent="0.35">
      <c r="A254" s="52">
        <v>252</v>
      </c>
      <c r="B254" s="67" t="s">
        <v>589</v>
      </c>
      <c r="C254" s="7" t="s">
        <v>590</v>
      </c>
      <c r="D254" s="54" t="s">
        <v>72</v>
      </c>
      <c r="E254" s="9">
        <v>0</v>
      </c>
      <c r="F254" s="47"/>
      <c r="G254" s="47"/>
      <c r="H254" s="47"/>
      <c r="I254" s="74"/>
      <c r="J254" s="47"/>
      <c r="K254" s="47"/>
      <c r="L254" s="47"/>
      <c r="M254" s="47"/>
      <c r="N254" s="47"/>
      <c r="O254" s="47"/>
      <c r="P254" s="47"/>
      <c r="Q254" s="47"/>
      <c r="R254" s="75">
        <f t="shared" si="3"/>
        <v>0</v>
      </c>
    </row>
    <row r="255" spans="1:18" x14ac:dyDescent="0.35">
      <c r="A255" s="52">
        <v>253</v>
      </c>
      <c r="B255" s="67" t="s">
        <v>591</v>
      </c>
      <c r="C255" s="7" t="s">
        <v>592</v>
      </c>
      <c r="D255" s="54" t="s">
        <v>98</v>
      </c>
      <c r="E255" s="9">
        <v>0</v>
      </c>
      <c r="F255" s="47"/>
      <c r="G255" s="47"/>
      <c r="H255" s="47"/>
      <c r="I255" s="74"/>
      <c r="J255" s="47"/>
      <c r="K255" s="47"/>
      <c r="L255" s="47"/>
      <c r="M255" s="47"/>
      <c r="N255" s="47"/>
      <c r="O255" s="47"/>
      <c r="P255" s="47"/>
      <c r="Q255" s="47"/>
      <c r="R255" s="75">
        <f t="shared" si="3"/>
        <v>0</v>
      </c>
    </row>
    <row r="256" spans="1:18" x14ac:dyDescent="0.35">
      <c r="A256" s="52">
        <v>254</v>
      </c>
      <c r="B256" s="67" t="s">
        <v>593</v>
      </c>
      <c r="C256" s="7" t="s">
        <v>2228</v>
      </c>
      <c r="D256" s="54" t="s">
        <v>119</v>
      </c>
      <c r="E256" s="9">
        <v>0</v>
      </c>
      <c r="F256" s="47"/>
      <c r="G256" s="47"/>
      <c r="H256" s="47"/>
      <c r="I256" s="74"/>
      <c r="J256" s="47"/>
      <c r="K256" s="47"/>
      <c r="L256" s="47"/>
      <c r="M256" s="47"/>
      <c r="N256" s="47"/>
      <c r="O256" s="47"/>
      <c r="P256" s="47"/>
      <c r="Q256" s="47"/>
      <c r="R256" s="75">
        <f t="shared" si="3"/>
        <v>0</v>
      </c>
    </row>
    <row r="257" spans="1:18" x14ac:dyDescent="0.35">
      <c r="A257" s="52">
        <v>255</v>
      </c>
      <c r="B257" s="67" t="s">
        <v>595</v>
      </c>
      <c r="C257" s="7" t="s">
        <v>1721</v>
      </c>
      <c r="D257" s="54" t="s">
        <v>201</v>
      </c>
      <c r="E257" s="9">
        <v>0</v>
      </c>
      <c r="F257" s="47"/>
      <c r="G257" s="47"/>
      <c r="H257" s="47"/>
      <c r="I257" s="74"/>
      <c r="J257" s="47"/>
      <c r="K257" s="47"/>
      <c r="L257" s="47"/>
      <c r="M257" s="47"/>
      <c r="N257" s="47"/>
      <c r="O257" s="47"/>
      <c r="P257" s="47"/>
      <c r="Q257" s="47"/>
      <c r="R257" s="75">
        <f t="shared" si="3"/>
        <v>0</v>
      </c>
    </row>
    <row r="258" spans="1:18" x14ac:dyDescent="0.35">
      <c r="A258" s="52">
        <v>256</v>
      </c>
      <c r="B258" s="67" t="s">
        <v>597</v>
      </c>
      <c r="C258" s="7" t="s">
        <v>1722</v>
      </c>
      <c r="D258" s="54" t="s">
        <v>98</v>
      </c>
      <c r="E258" s="9">
        <v>0</v>
      </c>
      <c r="F258" s="47"/>
      <c r="G258" s="47"/>
      <c r="H258" s="47"/>
      <c r="I258" s="74"/>
      <c r="J258" s="47"/>
      <c r="K258" s="47"/>
      <c r="L258" s="47"/>
      <c r="M258" s="47"/>
      <c r="N258" s="47"/>
      <c r="O258" s="47"/>
      <c r="P258" s="47"/>
      <c r="Q258" s="47"/>
      <c r="R258" s="75">
        <f t="shared" si="3"/>
        <v>0</v>
      </c>
    </row>
    <row r="259" spans="1:18" x14ac:dyDescent="0.35">
      <c r="A259" s="52">
        <v>257</v>
      </c>
      <c r="B259" s="67" t="s">
        <v>599</v>
      </c>
      <c r="C259" s="7" t="s">
        <v>2229</v>
      </c>
      <c r="D259" s="54" t="s">
        <v>98</v>
      </c>
      <c r="E259" s="9">
        <v>0</v>
      </c>
      <c r="F259" s="47"/>
      <c r="G259" s="47"/>
      <c r="H259" s="47"/>
      <c r="I259" s="74"/>
      <c r="J259" s="47"/>
      <c r="K259" s="47"/>
      <c r="L259" s="47"/>
      <c r="M259" s="47"/>
      <c r="N259" s="47"/>
      <c r="O259" s="47"/>
      <c r="P259" s="47"/>
      <c r="Q259" s="47"/>
      <c r="R259" s="75">
        <f t="shared" si="3"/>
        <v>0</v>
      </c>
    </row>
    <row r="260" spans="1:18" x14ac:dyDescent="0.35">
      <c r="A260" s="52">
        <v>258</v>
      </c>
      <c r="B260" s="67" t="s">
        <v>601</v>
      </c>
      <c r="C260" s="101" t="s">
        <v>1849</v>
      </c>
      <c r="D260" s="54" t="s">
        <v>25</v>
      </c>
      <c r="E260" s="9">
        <v>1300000</v>
      </c>
      <c r="F260" s="47"/>
      <c r="G260" s="47"/>
      <c r="H260" s="47"/>
      <c r="I260" s="74"/>
      <c r="J260" s="47"/>
      <c r="K260" s="47"/>
      <c r="L260" s="47"/>
      <c r="M260" s="47"/>
      <c r="N260" s="47"/>
      <c r="O260" s="47"/>
      <c r="P260" s="47"/>
      <c r="Q260" s="47"/>
      <c r="R260" s="75">
        <f t="shared" ref="R260:R323" si="4">E260+F260+G260+H260+I260+J260+K260+L260+M260+N260+O260+P260+Q260</f>
        <v>1300000</v>
      </c>
    </row>
    <row r="261" spans="1:18" x14ac:dyDescent="0.35">
      <c r="A261" s="52">
        <v>259</v>
      </c>
      <c r="B261" s="67" t="s">
        <v>603</v>
      </c>
      <c r="C261" s="90" t="s">
        <v>2028</v>
      </c>
      <c r="D261" s="54" t="s">
        <v>131</v>
      </c>
      <c r="E261" s="9">
        <v>1490000</v>
      </c>
      <c r="F261" s="47"/>
      <c r="G261" s="47"/>
      <c r="H261" s="47"/>
      <c r="I261" s="74"/>
      <c r="J261" s="47"/>
      <c r="K261" s="47"/>
      <c r="L261" s="47"/>
      <c r="M261" s="47">
        <v>250000</v>
      </c>
      <c r="N261" s="47"/>
      <c r="O261" s="47"/>
      <c r="P261" s="47"/>
      <c r="Q261" s="47"/>
      <c r="R261" s="75">
        <f t="shared" si="4"/>
        <v>1740000</v>
      </c>
    </row>
    <row r="262" spans="1:18" x14ac:dyDescent="0.35">
      <c r="A262" s="52">
        <v>260</v>
      </c>
      <c r="B262" s="67" t="s">
        <v>605</v>
      </c>
      <c r="C262" s="7" t="s">
        <v>606</v>
      </c>
      <c r="D262" s="54" t="s">
        <v>60</v>
      </c>
      <c r="E262" s="9">
        <v>0</v>
      </c>
      <c r="F262" s="47"/>
      <c r="G262" s="47"/>
      <c r="H262" s="47"/>
      <c r="I262" s="74"/>
      <c r="J262" s="47"/>
      <c r="K262" s="47"/>
      <c r="L262" s="47"/>
      <c r="M262" s="47"/>
      <c r="N262" s="47"/>
      <c r="O262" s="47"/>
      <c r="P262" s="47"/>
      <c r="Q262" s="47"/>
      <c r="R262" s="75">
        <f t="shared" si="4"/>
        <v>0</v>
      </c>
    </row>
    <row r="263" spans="1:18" x14ac:dyDescent="0.35">
      <c r="A263" s="52">
        <v>261</v>
      </c>
      <c r="B263" s="67" t="s">
        <v>607</v>
      </c>
      <c r="C263" s="90" t="s">
        <v>1755</v>
      </c>
      <c r="D263" s="54" t="s">
        <v>238</v>
      </c>
      <c r="E263" s="9">
        <v>2115000</v>
      </c>
      <c r="F263" s="47"/>
      <c r="G263" s="47"/>
      <c r="H263" s="47">
        <v>250000</v>
      </c>
      <c r="I263" s="74"/>
      <c r="J263" s="47"/>
      <c r="K263" s="47"/>
      <c r="L263" s="47"/>
      <c r="M263" s="47"/>
      <c r="N263" s="47"/>
      <c r="O263" s="47"/>
      <c r="P263" s="47">
        <v>250000</v>
      </c>
      <c r="Q263" s="47"/>
      <c r="R263" s="75">
        <f t="shared" si="4"/>
        <v>2615000</v>
      </c>
    </row>
    <row r="264" spans="1:18" x14ac:dyDescent="0.35">
      <c r="A264" s="52">
        <v>262</v>
      </c>
      <c r="B264" s="67" t="s">
        <v>609</v>
      </c>
      <c r="C264" s="90" t="s">
        <v>1789</v>
      </c>
      <c r="D264" s="54" t="s">
        <v>14</v>
      </c>
      <c r="E264" s="9">
        <v>535000</v>
      </c>
      <c r="F264" s="47"/>
      <c r="G264" s="47"/>
      <c r="H264" s="47"/>
      <c r="I264" s="74">
        <v>100000</v>
      </c>
      <c r="J264" s="47"/>
      <c r="K264" s="47"/>
      <c r="L264" s="47"/>
      <c r="M264" s="47"/>
      <c r="N264" s="47"/>
      <c r="O264" s="47"/>
      <c r="P264" s="47"/>
      <c r="Q264" s="47"/>
      <c r="R264" s="75">
        <f t="shared" si="4"/>
        <v>635000</v>
      </c>
    </row>
    <row r="265" spans="1:18" x14ac:dyDescent="0.35">
      <c r="A265" s="52">
        <v>263</v>
      </c>
      <c r="B265" s="67" t="s">
        <v>611</v>
      </c>
      <c r="C265" s="144" t="s">
        <v>1894</v>
      </c>
      <c r="D265" s="54" t="s">
        <v>136</v>
      </c>
      <c r="E265" s="9">
        <v>0</v>
      </c>
      <c r="F265" s="47"/>
      <c r="G265" s="47"/>
      <c r="H265" s="47"/>
      <c r="I265" s="74"/>
      <c r="J265" s="47"/>
      <c r="K265" s="47"/>
      <c r="L265" s="47"/>
      <c r="M265" s="47"/>
      <c r="N265" s="47"/>
      <c r="O265" s="47"/>
      <c r="P265" s="47"/>
      <c r="Q265" s="47"/>
      <c r="R265" s="75">
        <f t="shared" si="4"/>
        <v>0</v>
      </c>
    </row>
    <row r="266" spans="1:18" x14ac:dyDescent="0.35">
      <c r="A266" s="52">
        <v>264</v>
      </c>
      <c r="B266" s="67" t="s">
        <v>613</v>
      </c>
      <c r="C266" s="144" t="s">
        <v>2029</v>
      </c>
      <c r="D266" s="54" t="s">
        <v>98</v>
      </c>
      <c r="E266" s="9">
        <v>595000</v>
      </c>
      <c r="F266" s="47"/>
      <c r="G266" s="47"/>
      <c r="H266" s="47"/>
      <c r="I266" s="74"/>
      <c r="J266" s="47"/>
      <c r="K266" s="47"/>
      <c r="L266" s="47"/>
      <c r="M266" s="47"/>
      <c r="N266" s="47"/>
      <c r="O266" s="47"/>
      <c r="P266" s="47"/>
      <c r="Q266" s="47"/>
      <c r="R266" s="75">
        <f t="shared" si="4"/>
        <v>595000</v>
      </c>
    </row>
    <row r="267" spans="1:18" x14ac:dyDescent="0.35">
      <c r="A267" s="52">
        <v>265</v>
      </c>
      <c r="B267" s="67" t="s">
        <v>615</v>
      </c>
      <c r="C267" s="7" t="s">
        <v>1723</v>
      </c>
      <c r="D267" s="54" t="s">
        <v>119</v>
      </c>
      <c r="E267" s="9">
        <v>0</v>
      </c>
      <c r="F267" s="47"/>
      <c r="G267" s="47"/>
      <c r="H267" s="47"/>
      <c r="I267" s="74"/>
      <c r="J267" s="47"/>
      <c r="K267" s="47"/>
      <c r="L267" s="47"/>
      <c r="M267" s="47"/>
      <c r="N267" s="47"/>
      <c r="O267" s="47"/>
      <c r="P267" s="47"/>
      <c r="Q267" s="47"/>
      <c r="R267" s="75">
        <f t="shared" si="4"/>
        <v>0</v>
      </c>
    </row>
    <row r="268" spans="1:18" x14ac:dyDescent="0.35">
      <c r="A268" s="52">
        <v>266</v>
      </c>
      <c r="B268" s="67" t="s">
        <v>617</v>
      </c>
      <c r="C268" s="90" t="s">
        <v>1758</v>
      </c>
      <c r="D268" s="54" t="s">
        <v>25</v>
      </c>
      <c r="E268" s="9">
        <v>1285000</v>
      </c>
      <c r="F268" s="47"/>
      <c r="G268" s="47"/>
      <c r="H268" s="47"/>
      <c r="I268" s="74"/>
      <c r="J268" s="47"/>
      <c r="K268" s="47"/>
      <c r="L268" s="47"/>
      <c r="M268" s="47"/>
      <c r="N268" s="47">
        <v>55000</v>
      </c>
      <c r="O268" s="47"/>
      <c r="P268" s="47"/>
      <c r="Q268" s="47"/>
      <c r="R268" s="75">
        <f t="shared" si="4"/>
        <v>1340000</v>
      </c>
    </row>
    <row r="269" spans="1:18" x14ac:dyDescent="0.35">
      <c r="A269" s="52">
        <v>267</v>
      </c>
      <c r="B269" s="67" t="s">
        <v>619</v>
      </c>
      <c r="C269" s="7" t="s">
        <v>620</v>
      </c>
      <c r="D269" s="54" t="s">
        <v>65</v>
      </c>
      <c r="E269" s="9">
        <v>0</v>
      </c>
      <c r="F269" s="47"/>
      <c r="G269" s="47"/>
      <c r="H269" s="47"/>
      <c r="I269" s="74"/>
      <c r="J269" s="47"/>
      <c r="K269" s="47"/>
      <c r="L269" s="47"/>
      <c r="M269" s="47"/>
      <c r="N269" s="47"/>
      <c r="O269" s="47"/>
      <c r="P269" s="47"/>
      <c r="Q269" s="47"/>
      <c r="R269" s="75">
        <f t="shared" si="4"/>
        <v>0</v>
      </c>
    </row>
    <row r="270" spans="1:18" x14ac:dyDescent="0.35">
      <c r="A270" s="52">
        <v>268</v>
      </c>
      <c r="B270" s="67" t="s">
        <v>621</v>
      </c>
      <c r="C270" s="7" t="s">
        <v>622</v>
      </c>
      <c r="D270" s="54" t="s">
        <v>166</v>
      </c>
      <c r="E270" s="9">
        <v>0</v>
      </c>
      <c r="F270" s="47"/>
      <c r="G270" s="47"/>
      <c r="H270" s="47"/>
      <c r="I270" s="74"/>
      <c r="J270" s="47"/>
      <c r="K270" s="47"/>
      <c r="L270" s="47"/>
      <c r="M270" s="47"/>
      <c r="N270" s="47"/>
      <c r="O270" s="47"/>
      <c r="P270" s="47"/>
      <c r="Q270" s="47"/>
      <c r="R270" s="75">
        <f t="shared" si="4"/>
        <v>0</v>
      </c>
    </row>
    <row r="271" spans="1:18" x14ac:dyDescent="0.35">
      <c r="A271" s="52">
        <v>269</v>
      </c>
      <c r="B271" s="67" t="s">
        <v>623</v>
      </c>
      <c r="C271" s="144" t="s">
        <v>1895</v>
      </c>
      <c r="D271" s="54" t="s">
        <v>136</v>
      </c>
      <c r="E271" s="9">
        <v>60000</v>
      </c>
      <c r="F271" s="47"/>
      <c r="G271" s="47"/>
      <c r="H271" s="47"/>
      <c r="I271" s="74"/>
      <c r="J271" s="47"/>
      <c r="K271" s="47"/>
      <c r="L271" s="47"/>
      <c r="M271" s="47"/>
      <c r="N271" s="47"/>
      <c r="O271" s="47"/>
      <c r="P271" s="47"/>
      <c r="Q271" s="47"/>
      <c r="R271" s="75">
        <f t="shared" si="4"/>
        <v>60000</v>
      </c>
    </row>
    <row r="272" spans="1:18" x14ac:dyDescent="0.35">
      <c r="A272" s="52">
        <v>270</v>
      </c>
      <c r="B272" s="67" t="s">
        <v>625</v>
      </c>
      <c r="C272" s="7" t="s">
        <v>626</v>
      </c>
      <c r="D272" s="54" t="s">
        <v>429</v>
      </c>
      <c r="E272" s="9">
        <v>0</v>
      </c>
      <c r="F272" s="47"/>
      <c r="G272" s="47"/>
      <c r="H272" s="47"/>
      <c r="I272" s="74"/>
      <c r="J272" s="47"/>
      <c r="K272" s="47"/>
      <c r="L272" s="47"/>
      <c r="M272" s="47"/>
      <c r="N272" s="47"/>
      <c r="O272" s="47"/>
      <c r="P272" s="47"/>
      <c r="Q272" s="47"/>
      <c r="R272" s="75">
        <f t="shared" si="4"/>
        <v>0</v>
      </c>
    </row>
    <row r="273" spans="1:18" x14ac:dyDescent="0.35">
      <c r="A273" s="52">
        <v>271</v>
      </c>
      <c r="B273" s="67" t="s">
        <v>627</v>
      </c>
      <c r="C273" s="90" t="s">
        <v>2030</v>
      </c>
      <c r="D273" s="54" t="s">
        <v>119</v>
      </c>
      <c r="E273" s="9">
        <v>15000</v>
      </c>
      <c r="F273" s="47"/>
      <c r="G273" s="47"/>
      <c r="H273" s="47"/>
      <c r="I273" s="74"/>
      <c r="J273" s="47"/>
      <c r="K273" s="47"/>
      <c r="L273" s="47"/>
      <c r="M273" s="47"/>
      <c r="N273" s="47"/>
      <c r="O273" s="47"/>
      <c r="P273" s="47"/>
      <c r="Q273" s="47"/>
      <c r="R273" s="75">
        <f t="shared" si="4"/>
        <v>15000</v>
      </c>
    </row>
    <row r="274" spans="1:18" x14ac:dyDescent="0.35">
      <c r="A274" s="52">
        <v>272</v>
      </c>
      <c r="B274" s="67" t="s">
        <v>629</v>
      </c>
      <c r="C274" s="90" t="s">
        <v>2031</v>
      </c>
      <c r="D274" s="54" t="s">
        <v>238</v>
      </c>
      <c r="E274" s="9">
        <v>400000</v>
      </c>
      <c r="F274" s="47"/>
      <c r="G274" s="47"/>
      <c r="H274" s="47"/>
      <c r="I274" s="74"/>
      <c r="J274" s="47"/>
      <c r="K274" s="47"/>
      <c r="L274" s="47"/>
      <c r="M274" s="47"/>
      <c r="N274" s="47">
        <v>120000</v>
      </c>
      <c r="O274" s="47"/>
      <c r="P274" s="47"/>
      <c r="Q274" s="47"/>
      <c r="R274" s="75">
        <f t="shared" si="4"/>
        <v>520000</v>
      </c>
    </row>
    <row r="275" spans="1:18" x14ac:dyDescent="0.35">
      <c r="A275" s="52">
        <v>273</v>
      </c>
      <c r="B275" s="67" t="s">
        <v>631</v>
      </c>
      <c r="C275" s="7" t="s">
        <v>632</v>
      </c>
      <c r="D275" s="54" t="s">
        <v>65</v>
      </c>
      <c r="E275" s="9">
        <v>0</v>
      </c>
      <c r="F275" s="47"/>
      <c r="G275" s="47"/>
      <c r="H275" s="47"/>
      <c r="I275" s="74"/>
      <c r="J275" s="47"/>
      <c r="K275" s="47"/>
      <c r="L275" s="47"/>
      <c r="M275" s="47"/>
      <c r="N275" s="47"/>
      <c r="O275" s="47"/>
      <c r="P275" s="47"/>
      <c r="Q275" s="47"/>
      <c r="R275" s="75">
        <f t="shared" si="4"/>
        <v>0</v>
      </c>
    </row>
    <row r="276" spans="1:18" x14ac:dyDescent="0.35">
      <c r="A276" s="52">
        <v>274</v>
      </c>
      <c r="B276" s="67" t="s">
        <v>633</v>
      </c>
      <c r="C276" s="7" t="s">
        <v>1624</v>
      </c>
      <c r="D276" s="54" t="s">
        <v>119</v>
      </c>
      <c r="E276" s="9">
        <v>0</v>
      </c>
      <c r="F276" s="47"/>
      <c r="G276" s="47"/>
      <c r="H276" s="47"/>
      <c r="I276" s="74"/>
      <c r="J276" s="47"/>
      <c r="K276" s="47"/>
      <c r="L276" s="47"/>
      <c r="M276" s="47"/>
      <c r="N276" s="47"/>
      <c r="O276" s="47"/>
      <c r="P276" s="47"/>
      <c r="Q276" s="47"/>
      <c r="R276" s="75">
        <f t="shared" si="4"/>
        <v>0</v>
      </c>
    </row>
    <row r="277" spans="1:18" x14ac:dyDescent="0.35">
      <c r="A277" s="52">
        <v>275</v>
      </c>
      <c r="B277" s="67" t="s">
        <v>635</v>
      </c>
      <c r="C277" s="7" t="s">
        <v>636</v>
      </c>
      <c r="D277" s="54" t="s">
        <v>136</v>
      </c>
      <c r="E277" s="9">
        <v>0</v>
      </c>
      <c r="F277" s="47"/>
      <c r="G277" s="47"/>
      <c r="H277" s="47"/>
      <c r="I277" s="74"/>
      <c r="J277" s="47"/>
      <c r="K277" s="47"/>
      <c r="L277" s="47"/>
      <c r="M277" s="47"/>
      <c r="N277" s="47"/>
      <c r="O277" s="47"/>
      <c r="P277" s="47"/>
      <c r="Q277" s="47"/>
      <c r="R277" s="75">
        <f t="shared" si="4"/>
        <v>0</v>
      </c>
    </row>
    <row r="278" spans="1:18" x14ac:dyDescent="0.35">
      <c r="A278" s="52">
        <v>276</v>
      </c>
      <c r="B278" s="67" t="s">
        <v>637</v>
      </c>
      <c r="C278" s="7" t="s">
        <v>638</v>
      </c>
      <c r="D278" s="54" t="s">
        <v>49</v>
      </c>
      <c r="E278" s="9">
        <v>0</v>
      </c>
      <c r="F278" s="47"/>
      <c r="G278" s="47"/>
      <c r="H278" s="47"/>
      <c r="I278" s="74"/>
      <c r="J278" s="47"/>
      <c r="K278" s="47"/>
      <c r="L278" s="47"/>
      <c r="M278" s="47"/>
      <c r="N278" s="47"/>
      <c r="O278" s="47"/>
      <c r="P278" s="47"/>
      <c r="Q278" s="47"/>
      <c r="R278" s="75">
        <f t="shared" si="4"/>
        <v>0</v>
      </c>
    </row>
    <row r="279" spans="1:18" x14ac:dyDescent="0.35">
      <c r="A279" s="52">
        <v>277</v>
      </c>
      <c r="B279" s="67" t="s">
        <v>639</v>
      </c>
      <c r="C279" s="90" t="s">
        <v>2032</v>
      </c>
      <c r="D279" s="54" t="s">
        <v>25</v>
      </c>
      <c r="E279" s="9">
        <v>0</v>
      </c>
      <c r="F279" s="47"/>
      <c r="G279" s="47"/>
      <c r="H279" s="47"/>
      <c r="I279" s="74"/>
      <c r="J279" s="47"/>
      <c r="K279" s="47"/>
      <c r="L279" s="47"/>
      <c r="M279" s="47"/>
      <c r="N279" s="47"/>
      <c r="O279" s="47"/>
      <c r="P279" s="47"/>
      <c r="Q279" s="47"/>
      <c r="R279" s="75">
        <f t="shared" si="4"/>
        <v>0</v>
      </c>
    </row>
    <row r="280" spans="1:18" x14ac:dyDescent="0.35">
      <c r="A280" s="52">
        <v>278</v>
      </c>
      <c r="B280" s="67" t="s">
        <v>641</v>
      </c>
      <c r="C280" s="7" t="s">
        <v>1679</v>
      </c>
      <c r="D280" s="54" t="s">
        <v>19</v>
      </c>
      <c r="E280" s="9">
        <v>0</v>
      </c>
      <c r="F280" s="47"/>
      <c r="G280" s="47"/>
      <c r="H280" s="47"/>
      <c r="I280" s="74"/>
      <c r="J280" s="47"/>
      <c r="K280" s="47"/>
      <c r="L280" s="47"/>
      <c r="M280" s="47"/>
      <c r="N280" s="47"/>
      <c r="O280" s="47"/>
      <c r="P280" s="47"/>
      <c r="Q280" s="47"/>
      <c r="R280" s="75">
        <f t="shared" si="4"/>
        <v>0</v>
      </c>
    </row>
    <row r="281" spans="1:18" x14ac:dyDescent="0.35">
      <c r="A281" s="52">
        <v>279</v>
      </c>
      <c r="B281" s="67" t="s">
        <v>643</v>
      </c>
      <c r="C281" s="90" t="s">
        <v>1759</v>
      </c>
      <c r="D281" s="54" t="s">
        <v>318</v>
      </c>
      <c r="E281" s="9">
        <v>760000</v>
      </c>
      <c r="F281" s="47"/>
      <c r="G281" s="47"/>
      <c r="H281" s="47"/>
      <c r="I281" s="74"/>
      <c r="J281" s="47"/>
      <c r="K281" s="47"/>
      <c r="L281" s="47"/>
      <c r="M281" s="47"/>
      <c r="N281" s="47"/>
      <c r="O281" s="47"/>
      <c r="P281" s="47"/>
      <c r="Q281" s="47"/>
      <c r="R281" s="75">
        <f t="shared" si="4"/>
        <v>760000</v>
      </c>
    </row>
    <row r="282" spans="1:18" x14ac:dyDescent="0.35">
      <c r="A282" s="52">
        <v>280</v>
      </c>
      <c r="B282" s="67" t="s">
        <v>645</v>
      </c>
      <c r="C282" s="7" t="s">
        <v>1724</v>
      </c>
      <c r="D282" s="54" t="s">
        <v>300</v>
      </c>
      <c r="E282" s="9">
        <v>0</v>
      </c>
      <c r="F282" s="47"/>
      <c r="G282" s="47"/>
      <c r="H282" s="47"/>
      <c r="I282" s="74"/>
      <c r="J282" s="47"/>
      <c r="K282" s="47"/>
      <c r="L282" s="47"/>
      <c r="M282" s="47"/>
      <c r="N282" s="47"/>
      <c r="O282" s="47"/>
      <c r="P282" s="47"/>
      <c r="Q282" s="47"/>
      <c r="R282" s="75">
        <f t="shared" si="4"/>
        <v>0</v>
      </c>
    </row>
    <row r="283" spans="1:18" x14ac:dyDescent="0.35">
      <c r="A283" s="52">
        <v>281</v>
      </c>
      <c r="B283" s="67" t="s">
        <v>647</v>
      </c>
      <c r="C283" s="90" t="s">
        <v>1850</v>
      </c>
      <c r="D283" s="54" t="s">
        <v>649</v>
      </c>
      <c r="E283" s="9">
        <v>0</v>
      </c>
      <c r="F283" s="47"/>
      <c r="G283" s="47"/>
      <c r="H283" s="47"/>
      <c r="I283" s="74"/>
      <c r="J283" s="47"/>
      <c r="K283" s="74">
        <v>8333</v>
      </c>
      <c r="L283" s="47">
        <v>8333</v>
      </c>
      <c r="M283" s="47">
        <v>8333</v>
      </c>
      <c r="N283" s="47">
        <v>8333</v>
      </c>
      <c r="O283" s="47">
        <v>66667</v>
      </c>
      <c r="P283" s="47">
        <v>8333</v>
      </c>
      <c r="Q283" s="47">
        <v>8333</v>
      </c>
      <c r="R283" s="75">
        <f t="shared" si="4"/>
        <v>116665</v>
      </c>
    </row>
    <row r="284" spans="1:18" x14ac:dyDescent="0.35">
      <c r="A284" s="52">
        <v>282</v>
      </c>
      <c r="B284" s="67" t="s">
        <v>650</v>
      </c>
      <c r="C284" s="90" t="s">
        <v>2033</v>
      </c>
      <c r="D284" s="54" t="s">
        <v>72</v>
      </c>
      <c r="E284" s="9">
        <v>30000</v>
      </c>
      <c r="F284" s="47"/>
      <c r="G284" s="47"/>
      <c r="H284" s="47"/>
      <c r="I284" s="74"/>
      <c r="J284" s="47"/>
      <c r="K284" s="47"/>
      <c r="L284" s="47"/>
      <c r="M284" s="47"/>
      <c r="N284" s="47"/>
      <c r="O284" s="47"/>
      <c r="P284" s="47"/>
      <c r="Q284" s="47"/>
      <c r="R284" s="75">
        <f t="shared" si="4"/>
        <v>30000</v>
      </c>
    </row>
    <row r="285" spans="1:18" x14ac:dyDescent="0.35">
      <c r="A285" s="52">
        <v>283</v>
      </c>
      <c r="B285" s="67" t="s">
        <v>652</v>
      </c>
      <c r="C285" s="7" t="s">
        <v>653</v>
      </c>
      <c r="D285" s="54" t="s">
        <v>72</v>
      </c>
      <c r="E285" s="9">
        <v>1560000</v>
      </c>
      <c r="F285" s="47"/>
      <c r="G285" s="47"/>
      <c r="H285" s="47">
        <v>-1560000</v>
      </c>
      <c r="I285" s="74"/>
      <c r="J285" s="47"/>
      <c r="K285" s="47"/>
      <c r="L285" s="47"/>
      <c r="M285" s="47"/>
      <c r="N285" s="47"/>
      <c r="O285" s="47"/>
      <c r="P285" s="47"/>
      <c r="Q285" s="47"/>
      <c r="R285" s="75">
        <f t="shared" si="4"/>
        <v>0</v>
      </c>
    </row>
    <row r="286" spans="1:18" x14ac:dyDescent="0.35">
      <c r="A286" s="52">
        <v>284</v>
      </c>
      <c r="B286" s="67" t="s">
        <v>654</v>
      </c>
      <c r="C286" s="7" t="s">
        <v>655</v>
      </c>
      <c r="D286" s="54" t="s">
        <v>14</v>
      </c>
      <c r="E286" s="9">
        <v>2670000</v>
      </c>
      <c r="F286" s="47"/>
      <c r="G286" s="47"/>
      <c r="H286" s="47">
        <v>250000</v>
      </c>
      <c r="I286" s="74"/>
      <c r="J286" s="47"/>
      <c r="K286" s="47"/>
      <c r="L286" s="47"/>
      <c r="M286" s="47">
        <v>-2670000</v>
      </c>
      <c r="N286" s="47"/>
      <c r="O286" s="47"/>
      <c r="P286" s="47"/>
      <c r="Q286" s="47"/>
      <c r="R286" s="75">
        <f t="shared" si="4"/>
        <v>250000</v>
      </c>
    </row>
    <row r="287" spans="1:18" x14ac:dyDescent="0.35">
      <c r="A287" s="52">
        <v>285</v>
      </c>
      <c r="B287" s="67" t="s">
        <v>656</v>
      </c>
      <c r="C287" s="90" t="s">
        <v>2034</v>
      </c>
      <c r="D287" s="54" t="s">
        <v>25</v>
      </c>
      <c r="E287" s="9">
        <v>100000</v>
      </c>
      <c r="F287" s="47"/>
      <c r="G287" s="47"/>
      <c r="H287" s="47"/>
      <c r="I287" s="74"/>
      <c r="J287" s="47"/>
      <c r="K287" s="47"/>
      <c r="L287" s="47"/>
      <c r="M287" s="47"/>
      <c r="N287" s="47"/>
      <c r="O287" s="47"/>
      <c r="P287" s="47"/>
      <c r="Q287" s="47"/>
      <c r="R287" s="75">
        <f t="shared" si="4"/>
        <v>100000</v>
      </c>
    </row>
    <row r="288" spans="1:18" x14ac:dyDescent="0.35">
      <c r="A288" s="52">
        <v>286</v>
      </c>
      <c r="B288" s="67" t="s">
        <v>658</v>
      </c>
      <c r="C288" s="7" t="s">
        <v>659</v>
      </c>
      <c r="D288" s="54" t="s">
        <v>136</v>
      </c>
      <c r="E288" s="9">
        <v>0</v>
      </c>
      <c r="F288" s="47"/>
      <c r="G288" s="47"/>
      <c r="H288" s="47"/>
      <c r="I288" s="74"/>
      <c r="J288" s="47"/>
      <c r="K288" s="47"/>
      <c r="L288" s="47"/>
      <c r="M288" s="47"/>
      <c r="N288" s="47"/>
      <c r="O288" s="47"/>
      <c r="P288" s="47"/>
      <c r="Q288" s="47"/>
      <c r="R288" s="75">
        <f t="shared" si="4"/>
        <v>0</v>
      </c>
    </row>
    <row r="289" spans="1:18" x14ac:dyDescent="0.35">
      <c r="A289" s="52">
        <v>287</v>
      </c>
      <c r="B289" s="67" t="s">
        <v>660</v>
      </c>
      <c r="C289" s="90" t="s">
        <v>2035</v>
      </c>
      <c r="D289" s="54" t="s">
        <v>25</v>
      </c>
      <c r="E289" s="9">
        <v>930000</v>
      </c>
      <c r="F289" s="47"/>
      <c r="G289" s="47"/>
      <c r="H289" s="47"/>
      <c r="I289" s="74"/>
      <c r="J289" s="47"/>
      <c r="K289" s="47"/>
      <c r="L289" s="47"/>
      <c r="M289" s="47"/>
      <c r="N289" s="47"/>
      <c r="O289" s="47"/>
      <c r="P289" s="47"/>
      <c r="Q289" s="47"/>
      <c r="R289" s="75">
        <f t="shared" si="4"/>
        <v>930000</v>
      </c>
    </row>
    <row r="290" spans="1:18" x14ac:dyDescent="0.35">
      <c r="A290" s="52">
        <v>288</v>
      </c>
      <c r="B290" s="67" t="s">
        <v>662</v>
      </c>
      <c r="C290" s="7" t="s">
        <v>663</v>
      </c>
      <c r="D290" s="54" t="s">
        <v>14</v>
      </c>
      <c r="E290" s="9">
        <v>0</v>
      </c>
      <c r="F290" s="47"/>
      <c r="G290" s="47"/>
      <c r="H290" s="47"/>
      <c r="I290" s="74"/>
      <c r="J290" s="47"/>
      <c r="K290" s="47"/>
      <c r="L290" s="47"/>
      <c r="M290" s="47"/>
      <c r="N290" s="47"/>
      <c r="O290" s="47"/>
      <c r="P290" s="47"/>
      <c r="Q290" s="47"/>
      <c r="R290" s="75">
        <f t="shared" si="4"/>
        <v>0</v>
      </c>
    </row>
    <row r="291" spans="1:18" x14ac:dyDescent="0.35">
      <c r="A291" s="52">
        <v>289</v>
      </c>
      <c r="B291" s="67" t="s">
        <v>664</v>
      </c>
      <c r="C291" s="166" t="s">
        <v>1784</v>
      </c>
      <c r="D291" s="54" t="s">
        <v>95</v>
      </c>
      <c r="E291" s="9">
        <v>680000</v>
      </c>
      <c r="F291" s="47"/>
      <c r="G291" s="47"/>
      <c r="H291" s="47"/>
      <c r="I291" s="74"/>
      <c r="J291" s="47"/>
      <c r="K291" s="47"/>
      <c r="L291" s="47">
        <v>-680000</v>
      </c>
      <c r="M291" s="47"/>
      <c r="N291" s="47"/>
      <c r="O291" s="47"/>
      <c r="P291" s="47"/>
      <c r="Q291" s="47"/>
      <c r="R291" s="75">
        <f t="shared" si="4"/>
        <v>0</v>
      </c>
    </row>
    <row r="292" spans="1:18" x14ac:dyDescent="0.35">
      <c r="A292" s="52">
        <v>290</v>
      </c>
      <c r="B292" s="67" t="s">
        <v>666</v>
      </c>
      <c r="C292" s="7" t="s">
        <v>1725</v>
      </c>
      <c r="D292" s="54" t="s">
        <v>374</v>
      </c>
      <c r="E292" s="9">
        <v>0</v>
      </c>
      <c r="F292" s="47"/>
      <c r="G292" s="47"/>
      <c r="H292" s="47"/>
      <c r="I292" s="74"/>
      <c r="J292" s="47"/>
      <c r="K292" s="47"/>
      <c r="L292" s="47"/>
      <c r="M292" s="47"/>
      <c r="N292" s="47"/>
      <c r="O292" s="47"/>
      <c r="P292" s="47"/>
      <c r="Q292" s="47"/>
      <c r="R292" s="75">
        <f t="shared" si="4"/>
        <v>0</v>
      </c>
    </row>
    <row r="293" spans="1:18" x14ac:dyDescent="0.35">
      <c r="A293" s="52">
        <v>291</v>
      </c>
      <c r="B293" s="67" t="s">
        <v>668</v>
      </c>
      <c r="C293" s="136" t="s">
        <v>1840</v>
      </c>
      <c r="D293" s="54" t="s">
        <v>144</v>
      </c>
      <c r="E293" s="9">
        <v>250000</v>
      </c>
      <c r="F293" s="47"/>
      <c r="G293" s="47"/>
      <c r="H293" s="47"/>
      <c r="I293" s="74"/>
      <c r="J293" s="47"/>
      <c r="K293" s="47"/>
      <c r="L293" s="47">
        <v>-250000</v>
      </c>
      <c r="M293" s="47"/>
      <c r="N293" s="47"/>
      <c r="O293" s="47"/>
      <c r="P293" s="47"/>
      <c r="Q293" s="47"/>
      <c r="R293" s="75">
        <f t="shared" si="4"/>
        <v>0</v>
      </c>
    </row>
    <row r="294" spans="1:18" x14ac:dyDescent="0.35">
      <c r="A294" s="52">
        <v>292</v>
      </c>
      <c r="B294" s="67" t="s">
        <v>670</v>
      </c>
      <c r="C294" s="7" t="s">
        <v>671</v>
      </c>
      <c r="D294" s="54" t="s">
        <v>253</v>
      </c>
      <c r="E294" s="9">
        <v>0</v>
      </c>
      <c r="F294" s="47"/>
      <c r="G294" s="47"/>
      <c r="H294" s="47"/>
      <c r="I294" s="74"/>
      <c r="J294" s="47"/>
      <c r="K294" s="47"/>
      <c r="L294" s="47"/>
      <c r="M294" s="47"/>
      <c r="N294" s="47"/>
      <c r="O294" s="47"/>
      <c r="P294" s="47"/>
      <c r="Q294" s="47"/>
      <c r="R294" s="75">
        <f t="shared" si="4"/>
        <v>0</v>
      </c>
    </row>
    <row r="295" spans="1:18" x14ac:dyDescent="0.35">
      <c r="A295" s="52">
        <v>293</v>
      </c>
      <c r="B295" s="67" t="s">
        <v>672</v>
      </c>
      <c r="C295" s="7" t="s">
        <v>673</v>
      </c>
      <c r="D295" s="54" t="s">
        <v>49</v>
      </c>
      <c r="E295" s="9">
        <v>0</v>
      </c>
      <c r="F295" s="47"/>
      <c r="G295" s="47"/>
      <c r="H295" s="47"/>
      <c r="I295" s="74"/>
      <c r="J295" s="47"/>
      <c r="K295" s="47"/>
      <c r="L295" s="47"/>
      <c r="M295" s="47"/>
      <c r="N295" s="47"/>
      <c r="O295" s="47"/>
      <c r="P295" s="47"/>
      <c r="Q295" s="47"/>
      <c r="R295" s="75">
        <f t="shared" si="4"/>
        <v>0</v>
      </c>
    </row>
    <row r="296" spans="1:18" x14ac:dyDescent="0.35">
      <c r="A296" s="52">
        <v>294</v>
      </c>
      <c r="B296" s="67" t="s">
        <v>674</v>
      </c>
      <c r="C296" s="7" t="s">
        <v>1726</v>
      </c>
      <c r="D296" s="54" t="s">
        <v>131</v>
      </c>
      <c r="E296" s="9">
        <v>-190000</v>
      </c>
      <c r="F296" s="47"/>
      <c r="G296" s="47"/>
      <c r="H296" s="47"/>
      <c r="I296" s="74"/>
      <c r="J296" s="47"/>
      <c r="K296" s="47"/>
      <c r="L296" s="47"/>
      <c r="M296" s="47"/>
      <c r="N296" s="47"/>
      <c r="O296" s="47"/>
      <c r="P296" s="47"/>
      <c r="Q296" s="47"/>
      <c r="R296" s="75">
        <f t="shared" si="4"/>
        <v>-190000</v>
      </c>
    </row>
    <row r="297" spans="1:18" x14ac:dyDescent="0.35">
      <c r="A297" s="52">
        <v>295</v>
      </c>
      <c r="B297" s="67" t="s">
        <v>676</v>
      </c>
      <c r="C297" s="7" t="s">
        <v>1645</v>
      </c>
      <c r="D297" s="54" t="s">
        <v>95</v>
      </c>
      <c r="E297" s="9">
        <v>0</v>
      </c>
      <c r="F297" s="47"/>
      <c r="G297" s="47"/>
      <c r="H297" s="47"/>
      <c r="I297" s="74"/>
      <c r="J297" s="47"/>
      <c r="K297" s="47"/>
      <c r="L297" s="47"/>
      <c r="M297" s="47"/>
      <c r="N297" s="47"/>
      <c r="O297" s="47"/>
      <c r="P297" s="47"/>
      <c r="Q297" s="47"/>
      <c r="R297" s="75">
        <f t="shared" si="4"/>
        <v>0</v>
      </c>
    </row>
    <row r="298" spans="1:18" x14ac:dyDescent="0.35">
      <c r="A298" s="52">
        <v>296</v>
      </c>
      <c r="B298" s="67" t="s">
        <v>678</v>
      </c>
      <c r="C298" s="144" t="s">
        <v>1901</v>
      </c>
      <c r="D298" s="54" t="s">
        <v>136</v>
      </c>
      <c r="E298" s="9">
        <v>2395000</v>
      </c>
      <c r="F298" s="47"/>
      <c r="G298" s="47"/>
      <c r="H298" s="47"/>
      <c r="I298" s="74"/>
      <c r="J298" s="47"/>
      <c r="K298" s="47"/>
      <c r="L298" s="47"/>
      <c r="M298" s="47">
        <v>250000</v>
      </c>
      <c r="N298" s="47"/>
      <c r="O298" s="47"/>
      <c r="P298" s="47"/>
      <c r="Q298" s="47"/>
      <c r="R298" s="75">
        <f t="shared" si="4"/>
        <v>2645000</v>
      </c>
    </row>
    <row r="299" spans="1:18" x14ac:dyDescent="0.35">
      <c r="A299" s="52">
        <v>297</v>
      </c>
      <c r="B299" s="67" t="s">
        <v>680</v>
      </c>
      <c r="C299" s="7" t="s">
        <v>1609</v>
      </c>
      <c r="D299" s="54" t="s">
        <v>166</v>
      </c>
      <c r="E299" s="9">
        <v>0</v>
      </c>
      <c r="F299" s="47"/>
      <c r="G299" s="47"/>
      <c r="H299" s="47"/>
      <c r="I299" s="74"/>
      <c r="J299" s="47"/>
      <c r="K299" s="47"/>
      <c r="L299" s="47"/>
      <c r="M299" s="47"/>
      <c r="N299" s="47"/>
      <c r="O299" s="47"/>
      <c r="P299" s="47"/>
      <c r="Q299" s="47"/>
      <c r="R299" s="75">
        <f t="shared" si="4"/>
        <v>0</v>
      </c>
    </row>
    <row r="300" spans="1:18" x14ac:dyDescent="0.35">
      <c r="A300" s="52">
        <v>298</v>
      </c>
      <c r="B300" s="67" t="s">
        <v>682</v>
      </c>
      <c r="C300" s="7" t="s">
        <v>2230</v>
      </c>
      <c r="D300" s="54" t="s">
        <v>524</v>
      </c>
      <c r="E300" s="9">
        <v>0</v>
      </c>
      <c r="F300" s="47"/>
      <c r="G300" s="47"/>
      <c r="H300" s="47"/>
      <c r="I300" s="74"/>
      <c r="J300" s="47"/>
      <c r="K300" s="47"/>
      <c r="L300" s="47"/>
      <c r="M300" s="47"/>
      <c r="N300" s="47"/>
      <c r="O300" s="47"/>
      <c r="P300" s="47"/>
      <c r="Q300" s="47"/>
      <c r="R300" s="75">
        <f t="shared" si="4"/>
        <v>0</v>
      </c>
    </row>
    <row r="301" spans="1:18" x14ac:dyDescent="0.35">
      <c r="A301" s="52">
        <v>299</v>
      </c>
      <c r="B301" s="67" t="s">
        <v>684</v>
      </c>
      <c r="C301" s="7" t="s">
        <v>2036</v>
      </c>
      <c r="D301" s="54" t="s">
        <v>367</v>
      </c>
      <c r="E301" s="9">
        <v>10000</v>
      </c>
      <c r="F301" s="47"/>
      <c r="G301" s="47"/>
      <c r="H301" s="47"/>
      <c r="I301" s="74"/>
      <c r="J301" s="47"/>
      <c r="K301" s="47"/>
      <c r="L301" s="47"/>
      <c r="M301" s="47"/>
      <c r="N301" s="47"/>
      <c r="O301" s="47"/>
      <c r="P301" s="47"/>
      <c r="Q301" s="47"/>
      <c r="R301" s="75">
        <f t="shared" si="4"/>
        <v>10000</v>
      </c>
    </row>
    <row r="302" spans="1:18" x14ac:dyDescent="0.35">
      <c r="A302" s="52">
        <v>300</v>
      </c>
      <c r="B302" s="67" t="s">
        <v>686</v>
      </c>
      <c r="C302" s="7" t="s">
        <v>1727</v>
      </c>
      <c r="D302" s="54" t="s">
        <v>141</v>
      </c>
      <c r="E302" s="9">
        <v>0</v>
      </c>
      <c r="F302" s="47"/>
      <c r="G302" s="47"/>
      <c r="H302" s="47"/>
      <c r="I302" s="74"/>
      <c r="J302" s="47"/>
      <c r="K302" s="47"/>
      <c r="L302" s="47"/>
      <c r="M302" s="47"/>
      <c r="N302" s="47"/>
      <c r="O302" s="47"/>
      <c r="P302" s="47"/>
      <c r="Q302" s="47"/>
      <c r="R302" s="75">
        <f t="shared" si="4"/>
        <v>0</v>
      </c>
    </row>
    <row r="303" spans="1:18" x14ac:dyDescent="0.35">
      <c r="A303" s="52">
        <v>301</v>
      </c>
      <c r="B303" s="67" t="s">
        <v>688</v>
      </c>
      <c r="C303" s="7" t="s">
        <v>689</v>
      </c>
      <c r="D303" s="54" t="s">
        <v>169</v>
      </c>
      <c r="E303" s="9">
        <v>0</v>
      </c>
      <c r="F303" s="47"/>
      <c r="G303" s="47"/>
      <c r="H303" s="47"/>
      <c r="I303" s="74"/>
      <c r="J303" s="47"/>
      <c r="K303" s="47"/>
      <c r="L303" s="47"/>
      <c r="M303" s="47"/>
      <c r="N303" s="47"/>
      <c r="O303" s="47"/>
      <c r="P303" s="47"/>
      <c r="Q303" s="47"/>
      <c r="R303" s="75">
        <f t="shared" si="4"/>
        <v>0</v>
      </c>
    </row>
    <row r="304" spans="1:18" x14ac:dyDescent="0.35">
      <c r="A304" s="52">
        <v>302</v>
      </c>
      <c r="B304" s="67" t="s">
        <v>690</v>
      </c>
      <c r="C304" s="7" t="s">
        <v>691</v>
      </c>
      <c r="D304" s="54" t="s">
        <v>52</v>
      </c>
      <c r="E304" s="9">
        <v>0</v>
      </c>
      <c r="F304" s="47"/>
      <c r="G304" s="47"/>
      <c r="H304" s="47"/>
      <c r="I304" s="74"/>
      <c r="J304" s="47"/>
      <c r="K304" s="47"/>
      <c r="L304" s="47"/>
      <c r="M304" s="47"/>
      <c r="N304" s="47"/>
      <c r="O304" s="47"/>
      <c r="P304" s="47"/>
      <c r="Q304" s="47"/>
      <c r="R304" s="75">
        <f t="shared" si="4"/>
        <v>0</v>
      </c>
    </row>
    <row r="305" spans="1:18" x14ac:dyDescent="0.35">
      <c r="A305" s="52">
        <v>303</v>
      </c>
      <c r="B305" s="67" t="s">
        <v>692</v>
      </c>
      <c r="C305" s="90" t="s">
        <v>2037</v>
      </c>
      <c r="D305" s="54" t="s">
        <v>22</v>
      </c>
      <c r="E305" s="9">
        <v>1230000</v>
      </c>
      <c r="F305" s="47"/>
      <c r="G305" s="47"/>
      <c r="H305" s="47"/>
      <c r="I305" s="74"/>
      <c r="J305" s="47"/>
      <c r="K305" s="47"/>
      <c r="L305" s="47"/>
      <c r="M305" s="47"/>
      <c r="N305" s="47"/>
      <c r="O305" s="47"/>
      <c r="P305" s="47"/>
      <c r="Q305" s="47"/>
      <c r="R305" s="75">
        <f t="shared" si="4"/>
        <v>1230000</v>
      </c>
    </row>
    <row r="306" spans="1:18" x14ac:dyDescent="0.35">
      <c r="A306" s="52">
        <v>304</v>
      </c>
      <c r="B306" s="67" t="s">
        <v>694</v>
      </c>
      <c r="C306" s="90" t="s">
        <v>2038</v>
      </c>
      <c r="D306" s="54" t="s">
        <v>72</v>
      </c>
      <c r="E306" s="9">
        <v>0</v>
      </c>
      <c r="F306" s="47"/>
      <c r="G306" s="47"/>
      <c r="H306" s="47"/>
      <c r="I306" s="74"/>
      <c r="J306" s="47"/>
      <c r="K306" s="47"/>
      <c r="L306" s="47"/>
      <c r="M306" s="47"/>
      <c r="N306" s="47"/>
      <c r="O306" s="47"/>
      <c r="P306" s="47"/>
      <c r="Q306" s="47"/>
      <c r="R306" s="75">
        <f t="shared" si="4"/>
        <v>0</v>
      </c>
    </row>
    <row r="307" spans="1:18" x14ac:dyDescent="0.35">
      <c r="A307" s="52">
        <v>305</v>
      </c>
      <c r="B307" s="67" t="s">
        <v>696</v>
      </c>
      <c r="C307" s="7" t="s">
        <v>1728</v>
      </c>
      <c r="D307" s="54" t="s">
        <v>698</v>
      </c>
      <c r="E307" s="9">
        <v>0</v>
      </c>
      <c r="F307" s="47"/>
      <c r="G307" s="47"/>
      <c r="H307" s="47"/>
      <c r="I307" s="74"/>
      <c r="J307" s="47"/>
      <c r="K307" s="47"/>
      <c r="L307" s="47"/>
      <c r="M307" s="47"/>
      <c r="N307" s="47"/>
      <c r="O307" s="47"/>
      <c r="P307" s="47"/>
      <c r="Q307" s="47"/>
      <c r="R307" s="75">
        <f t="shared" si="4"/>
        <v>0</v>
      </c>
    </row>
    <row r="308" spans="1:18" x14ac:dyDescent="0.35">
      <c r="A308" s="52">
        <v>306</v>
      </c>
      <c r="B308" s="67" t="s">
        <v>699</v>
      </c>
      <c r="C308" s="90" t="s">
        <v>2039</v>
      </c>
      <c r="D308" s="54" t="s">
        <v>60</v>
      </c>
      <c r="E308" s="9">
        <v>60000</v>
      </c>
      <c r="F308" s="47"/>
      <c r="G308" s="47"/>
      <c r="H308" s="47"/>
      <c r="I308" s="74"/>
      <c r="J308" s="47"/>
      <c r="K308" s="47"/>
      <c r="L308" s="47"/>
      <c r="M308" s="47"/>
      <c r="N308" s="47"/>
      <c r="O308" s="47"/>
      <c r="P308" s="47"/>
      <c r="Q308" s="47"/>
      <c r="R308" s="75">
        <f t="shared" si="4"/>
        <v>60000</v>
      </c>
    </row>
    <row r="309" spans="1:18" x14ac:dyDescent="0.35">
      <c r="A309" s="52">
        <v>307</v>
      </c>
      <c r="B309" s="67" t="s">
        <v>701</v>
      </c>
      <c r="C309" s="7" t="s">
        <v>1729</v>
      </c>
      <c r="D309" s="54" t="s">
        <v>41</v>
      </c>
      <c r="E309" s="9">
        <v>0</v>
      </c>
      <c r="F309" s="47"/>
      <c r="G309" s="47"/>
      <c r="H309" s="47"/>
      <c r="I309" s="74"/>
      <c r="J309" s="47"/>
      <c r="K309" s="47"/>
      <c r="L309" s="47"/>
      <c r="M309" s="47"/>
      <c r="N309" s="47"/>
      <c r="O309" s="47"/>
      <c r="P309" s="47"/>
      <c r="Q309" s="47"/>
      <c r="R309" s="75">
        <f t="shared" si="4"/>
        <v>0</v>
      </c>
    </row>
    <row r="310" spans="1:18" x14ac:dyDescent="0.35">
      <c r="A310" s="52">
        <v>308</v>
      </c>
      <c r="B310" s="67" t="s">
        <v>703</v>
      </c>
      <c r="C310" s="7" t="s">
        <v>1730</v>
      </c>
      <c r="D310" s="54" t="s">
        <v>41</v>
      </c>
      <c r="E310" s="9">
        <v>0</v>
      </c>
      <c r="F310" s="47"/>
      <c r="G310" s="47"/>
      <c r="H310" s="47"/>
      <c r="I310" s="74"/>
      <c r="J310" s="47"/>
      <c r="K310" s="47"/>
      <c r="L310" s="47"/>
      <c r="M310" s="47"/>
      <c r="N310" s="47"/>
      <c r="O310" s="47"/>
      <c r="P310" s="47"/>
      <c r="Q310" s="47"/>
      <c r="R310" s="75">
        <f t="shared" si="4"/>
        <v>0</v>
      </c>
    </row>
    <row r="311" spans="1:18" x14ac:dyDescent="0.35">
      <c r="A311" s="52">
        <v>309</v>
      </c>
      <c r="B311" s="67" t="s">
        <v>705</v>
      </c>
      <c r="C311" s="7" t="s">
        <v>1731</v>
      </c>
      <c r="D311" s="54" t="s">
        <v>131</v>
      </c>
      <c r="E311" s="9">
        <v>0</v>
      </c>
      <c r="F311" s="47"/>
      <c r="G311" s="47"/>
      <c r="H311" s="47"/>
      <c r="I311" s="74"/>
      <c r="J311" s="47"/>
      <c r="K311" s="47"/>
      <c r="L311" s="47"/>
      <c r="M311" s="47"/>
      <c r="N311" s="47"/>
      <c r="O311" s="47"/>
      <c r="P311" s="47"/>
      <c r="Q311" s="47"/>
      <c r="R311" s="75">
        <f t="shared" si="4"/>
        <v>0</v>
      </c>
    </row>
    <row r="312" spans="1:18" x14ac:dyDescent="0.35">
      <c r="A312" s="52">
        <v>310</v>
      </c>
      <c r="B312" s="67" t="s">
        <v>707</v>
      </c>
      <c r="C312" s="144" t="s">
        <v>2040</v>
      </c>
      <c r="D312" s="54" t="s">
        <v>98</v>
      </c>
      <c r="E312" s="9">
        <v>3057500</v>
      </c>
      <c r="F312" s="47"/>
      <c r="G312" s="47"/>
      <c r="H312" s="47"/>
      <c r="I312" s="74"/>
      <c r="J312" s="47"/>
      <c r="K312" s="47"/>
      <c r="L312" s="47"/>
      <c r="M312" s="47">
        <v>250000</v>
      </c>
      <c r="N312" s="47"/>
      <c r="O312" s="47"/>
      <c r="P312" s="47"/>
      <c r="Q312" s="47"/>
      <c r="R312" s="75">
        <f t="shared" si="4"/>
        <v>3307500</v>
      </c>
    </row>
    <row r="313" spans="1:18" x14ac:dyDescent="0.35">
      <c r="A313" s="52">
        <v>311</v>
      </c>
      <c r="B313" s="67" t="s">
        <v>709</v>
      </c>
      <c r="C313" s="7" t="s">
        <v>2225</v>
      </c>
      <c r="D313" s="54" t="s">
        <v>49</v>
      </c>
      <c r="E313" s="9">
        <v>150000</v>
      </c>
      <c r="F313" s="47"/>
      <c r="G313" s="47"/>
      <c r="H313" s="47"/>
      <c r="I313" s="74"/>
      <c r="J313" s="47"/>
      <c r="K313" s="47"/>
      <c r="L313" s="47"/>
      <c r="M313" s="47"/>
      <c r="N313" s="47"/>
      <c r="O313" s="47"/>
      <c r="P313" s="47"/>
      <c r="Q313" s="47"/>
      <c r="R313" s="75">
        <f t="shared" si="4"/>
        <v>150000</v>
      </c>
    </row>
    <row r="314" spans="1:18" x14ac:dyDescent="0.35">
      <c r="A314" s="52">
        <v>312</v>
      </c>
      <c r="B314" s="67" t="s">
        <v>711</v>
      </c>
      <c r="C314" s="7" t="s">
        <v>1732</v>
      </c>
      <c r="D314" s="54" t="s">
        <v>52</v>
      </c>
      <c r="E314" s="9">
        <v>0</v>
      </c>
      <c r="F314" s="47"/>
      <c r="G314" s="47"/>
      <c r="H314" s="47"/>
      <c r="I314" s="74"/>
      <c r="J314" s="47"/>
      <c r="K314" s="47"/>
      <c r="L314" s="47"/>
      <c r="M314" s="47"/>
      <c r="N314" s="47"/>
      <c r="O314" s="47"/>
      <c r="P314" s="47"/>
      <c r="Q314" s="47"/>
      <c r="R314" s="75">
        <f t="shared" si="4"/>
        <v>0</v>
      </c>
    </row>
    <row r="315" spans="1:18" x14ac:dyDescent="0.35">
      <c r="A315" s="52">
        <v>313</v>
      </c>
      <c r="B315" s="67" t="s">
        <v>713</v>
      </c>
      <c r="C315" s="7" t="s">
        <v>1767</v>
      </c>
      <c r="D315" s="54" t="s">
        <v>60</v>
      </c>
      <c r="E315" s="9">
        <v>10000</v>
      </c>
      <c r="F315" s="47"/>
      <c r="G315" s="47"/>
      <c r="H315" s="47"/>
      <c r="I315" s="74"/>
      <c r="J315" s="47"/>
      <c r="K315" s="47"/>
      <c r="L315" s="47"/>
      <c r="M315" s="47"/>
      <c r="N315" s="47"/>
      <c r="O315" s="47">
        <v>-10000</v>
      </c>
      <c r="P315" s="47"/>
      <c r="Q315" s="47"/>
      <c r="R315" s="75">
        <f t="shared" si="4"/>
        <v>0</v>
      </c>
    </row>
    <row r="316" spans="1:18" x14ac:dyDescent="0.35">
      <c r="A316" s="52">
        <v>314</v>
      </c>
      <c r="B316" s="67" t="s">
        <v>715</v>
      </c>
      <c r="C316" s="90" t="s">
        <v>2041</v>
      </c>
      <c r="D316" s="54" t="s">
        <v>22</v>
      </c>
      <c r="E316" s="9">
        <v>595000</v>
      </c>
      <c r="F316" s="47"/>
      <c r="G316" s="47"/>
      <c r="H316" s="47"/>
      <c r="I316" s="74"/>
      <c r="J316" s="47"/>
      <c r="K316" s="47"/>
      <c r="L316" s="47"/>
      <c r="M316" s="47"/>
      <c r="N316" s="47"/>
      <c r="O316" s="47"/>
      <c r="P316" s="47"/>
      <c r="Q316" s="47"/>
      <c r="R316" s="75">
        <f t="shared" si="4"/>
        <v>595000</v>
      </c>
    </row>
    <row r="317" spans="1:18" x14ac:dyDescent="0.35">
      <c r="A317" s="52">
        <v>315</v>
      </c>
      <c r="B317" s="67" t="s">
        <v>717</v>
      </c>
      <c r="C317" s="7" t="s">
        <v>1733</v>
      </c>
      <c r="D317" s="54" t="s">
        <v>49</v>
      </c>
      <c r="E317" s="9">
        <v>0</v>
      </c>
      <c r="F317" s="47"/>
      <c r="G317" s="47"/>
      <c r="H317" s="47"/>
      <c r="I317" s="74"/>
      <c r="J317" s="47"/>
      <c r="K317" s="47"/>
      <c r="L317" s="47"/>
      <c r="M317" s="47"/>
      <c r="N317" s="47"/>
      <c r="O317" s="47"/>
      <c r="P317" s="47"/>
      <c r="Q317" s="47"/>
      <c r="R317" s="75">
        <f t="shared" si="4"/>
        <v>0</v>
      </c>
    </row>
    <row r="318" spans="1:18" x14ac:dyDescent="0.35">
      <c r="A318" s="52">
        <v>316</v>
      </c>
      <c r="B318" s="67" t="s">
        <v>719</v>
      </c>
      <c r="C318" s="7" t="s">
        <v>720</v>
      </c>
      <c r="D318" s="54" t="s">
        <v>77</v>
      </c>
      <c r="E318" s="9">
        <v>0</v>
      </c>
      <c r="F318" s="47"/>
      <c r="G318" s="47"/>
      <c r="H318" s="47"/>
      <c r="I318" s="74"/>
      <c r="J318" s="47"/>
      <c r="K318" s="47"/>
      <c r="L318" s="47"/>
      <c r="M318" s="47"/>
      <c r="N318" s="47"/>
      <c r="O318" s="47"/>
      <c r="P318" s="47"/>
      <c r="Q318" s="47"/>
      <c r="R318" s="75">
        <f t="shared" si="4"/>
        <v>0</v>
      </c>
    </row>
    <row r="319" spans="1:18" x14ac:dyDescent="0.35">
      <c r="A319" s="52">
        <v>317</v>
      </c>
      <c r="B319" s="67" t="s">
        <v>721</v>
      </c>
      <c r="C319" s="127" t="s">
        <v>2042</v>
      </c>
      <c r="D319" s="54" t="s">
        <v>166</v>
      </c>
      <c r="E319" s="9">
        <v>2810000</v>
      </c>
      <c r="F319" s="47">
        <v>250000</v>
      </c>
      <c r="G319" s="47"/>
      <c r="H319" s="47"/>
      <c r="I319" s="74"/>
      <c r="J319" s="47"/>
      <c r="K319" s="47"/>
      <c r="L319" s="47"/>
      <c r="M319" s="47"/>
      <c r="N319" s="47"/>
      <c r="O319" s="47"/>
      <c r="P319" s="47"/>
      <c r="Q319" s="47"/>
      <c r="R319" s="75">
        <f t="shared" si="4"/>
        <v>3060000</v>
      </c>
    </row>
    <row r="320" spans="1:18" x14ac:dyDescent="0.35">
      <c r="A320" s="52">
        <v>318</v>
      </c>
      <c r="B320" s="67" t="s">
        <v>723</v>
      </c>
      <c r="C320" s="7" t="s">
        <v>724</v>
      </c>
      <c r="D320" s="54" t="s">
        <v>72</v>
      </c>
      <c r="E320" s="9">
        <v>0</v>
      </c>
      <c r="F320" s="47"/>
      <c r="G320" s="47"/>
      <c r="H320" s="47"/>
      <c r="I320" s="74"/>
      <c r="J320" s="47"/>
      <c r="K320" s="47"/>
      <c r="L320" s="47"/>
      <c r="M320" s="47"/>
      <c r="N320" s="47"/>
      <c r="O320" s="47"/>
      <c r="P320" s="47"/>
      <c r="Q320" s="47"/>
      <c r="R320" s="75">
        <f t="shared" si="4"/>
        <v>0</v>
      </c>
    </row>
    <row r="321" spans="1:18" x14ac:dyDescent="0.35">
      <c r="A321" s="52">
        <v>319</v>
      </c>
      <c r="B321" s="67" t="s">
        <v>725</v>
      </c>
      <c r="C321" s="7" t="s">
        <v>1734</v>
      </c>
      <c r="D321" s="54" t="s">
        <v>551</v>
      </c>
      <c r="E321" s="9">
        <v>0</v>
      </c>
      <c r="F321" s="47"/>
      <c r="G321" s="47"/>
      <c r="H321" s="47"/>
      <c r="I321" s="74"/>
      <c r="J321" s="47"/>
      <c r="K321" s="47"/>
      <c r="L321" s="47"/>
      <c r="M321" s="47"/>
      <c r="N321" s="47"/>
      <c r="O321" s="47"/>
      <c r="P321" s="47"/>
      <c r="Q321" s="47"/>
      <c r="R321" s="75">
        <f t="shared" si="4"/>
        <v>0</v>
      </c>
    </row>
    <row r="322" spans="1:18" x14ac:dyDescent="0.35">
      <c r="A322" s="52">
        <v>320</v>
      </c>
      <c r="B322" s="67" t="s">
        <v>727</v>
      </c>
      <c r="C322" s="144" t="s">
        <v>2043</v>
      </c>
      <c r="D322" s="54" t="s">
        <v>136</v>
      </c>
      <c r="E322" s="9">
        <v>50000</v>
      </c>
      <c r="F322" s="47"/>
      <c r="G322" s="47"/>
      <c r="H322" s="47"/>
      <c r="I322" s="74"/>
      <c r="J322" s="47"/>
      <c r="K322" s="47"/>
      <c r="L322" s="47"/>
      <c r="M322" s="47"/>
      <c r="N322" s="47"/>
      <c r="O322" s="47"/>
      <c r="P322" s="47"/>
      <c r="Q322" s="47"/>
      <c r="R322" s="75">
        <f t="shared" si="4"/>
        <v>50000</v>
      </c>
    </row>
    <row r="323" spans="1:18" x14ac:dyDescent="0.35">
      <c r="A323" s="52">
        <v>321</v>
      </c>
      <c r="B323" s="67" t="s">
        <v>729</v>
      </c>
      <c r="C323" s="7" t="s">
        <v>1735</v>
      </c>
      <c r="D323" s="54" t="s">
        <v>131</v>
      </c>
      <c r="E323" s="9">
        <v>740000</v>
      </c>
      <c r="F323" s="47"/>
      <c r="G323" s="47"/>
      <c r="H323" s="47"/>
      <c r="I323" s="74"/>
      <c r="J323" s="47">
        <v>100000</v>
      </c>
      <c r="K323" s="47"/>
      <c r="L323" s="47"/>
      <c r="M323" s="47"/>
      <c r="N323" s="47"/>
      <c r="O323" s="47"/>
      <c r="P323" s="47"/>
      <c r="Q323" s="47"/>
      <c r="R323" s="75">
        <f t="shared" si="4"/>
        <v>840000</v>
      </c>
    </row>
    <row r="324" spans="1:18" x14ac:dyDescent="0.35">
      <c r="A324" s="52">
        <v>322</v>
      </c>
      <c r="B324" s="67" t="s">
        <v>731</v>
      </c>
      <c r="C324" s="7" t="s">
        <v>1646</v>
      </c>
      <c r="D324" s="54" t="s">
        <v>198</v>
      </c>
      <c r="E324" s="9">
        <v>0</v>
      </c>
      <c r="F324" s="47"/>
      <c r="G324" s="47"/>
      <c r="H324" s="47"/>
      <c r="I324" s="74"/>
      <c r="J324" s="47"/>
      <c r="K324" s="47"/>
      <c r="L324" s="47"/>
      <c r="M324" s="47"/>
      <c r="N324" s="47"/>
      <c r="O324" s="47"/>
      <c r="P324" s="47"/>
      <c r="Q324" s="47"/>
      <c r="R324" s="75">
        <f t="shared" ref="R324:R387" si="5">E324+F324+G324+H324+I324+J324+K324+L324+M324+N324+O324+P324+Q324</f>
        <v>0</v>
      </c>
    </row>
    <row r="325" spans="1:18" x14ac:dyDescent="0.35">
      <c r="A325" s="52">
        <v>323</v>
      </c>
      <c r="B325" s="67" t="s">
        <v>733</v>
      </c>
      <c r="C325" s="7" t="s">
        <v>734</v>
      </c>
      <c r="D325" s="54" t="s">
        <v>49</v>
      </c>
      <c r="E325" s="9">
        <v>0</v>
      </c>
      <c r="F325" s="47"/>
      <c r="G325" s="47"/>
      <c r="H325" s="47"/>
      <c r="I325" s="74"/>
      <c r="J325" s="47"/>
      <c r="K325" s="47"/>
      <c r="L325" s="47"/>
      <c r="M325" s="47"/>
      <c r="N325" s="47"/>
      <c r="O325" s="47"/>
      <c r="P325" s="47"/>
      <c r="Q325" s="47"/>
      <c r="R325" s="75">
        <f t="shared" si="5"/>
        <v>0</v>
      </c>
    </row>
    <row r="326" spans="1:18" x14ac:dyDescent="0.35">
      <c r="A326" s="52">
        <v>324</v>
      </c>
      <c r="B326" s="67" t="s">
        <v>735</v>
      </c>
      <c r="C326" s="7" t="s">
        <v>1736</v>
      </c>
      <c r="D326" s="54" t="s">
        <v>11</v>
      </c>
      <c r="E326" s="9">
        <v>0</v>
      </c>
      <c r="F326" s="47"/>
      <c r="G326" s="47"/>
      <c r="H326" s="47"/>
      <c r="I326" s="74"/>
      <c r="J326" s="47"/>
      <c r="K326" s="47"/>
      <c r="L326" s="47"/>
      <c r="M326" s="47"/>
      <c r="N326" s="47"/>
      <c r="O326" s="47"/>
      <c r="P326" s="47"/>
      <c r="Q326" s="47"/>
      <c r="R326" s="75">
        <f t="shared" si="5"/>
        <v>0</v>
      </c>
    </row>
    <row r="327" spans="1:18" x14ac:dyDescent="0.35">
      <c r="A327" s="52">
        <v>325</v>
      </c>
      <c r="B327" s="67" t="s">
        <v>737</v>
      </c>
      <c r="C327" s="7" t="s">
        <v>738</v>
      </c>
      <c r="D327" s="54" t="s">
        <v>574</v>
      </c>
      <c r="E327" s="9">
        <v>0</v>
      </c>
      <c r="F327" s="47"/>
      <c r="G327" s="47"/>
      <c r="H327" s="47"/>
      <c r="I327" s="74"/>
      <c r="J327" s="47"/>
      <c r="K327" s="47"/>
      <c r="L327" s="47"/>
      <c r="M327" s="47"/>
      <c r="N327" s="47"/>
      <c r="O327" s="47"/>
      <c r="P327" s="47"/>
      <c r="Q327" s="47"/>
      <c r="R327" s="75">
        <f t="shared" si="5"/>
        <v>0</v>
      </c>
    </row>
    <row r="328" spans="1:18" x14ac:dyDescent="0.35">
      <c r="A328" s="52">
        <v>326</v>
      </c>
      <c r="B328" s="67" t="s">
        <v>739</v>
      </c>
      <c r="C328" s="90" t="s">
        <v>2044</v>
      </c>
      <c r="D328" s="54" t="s">
        <v>72</v>
      </c>
      <c r="E328" s="9">
        <v>786500</v>
      </c>
      <c r="F328" s="47"/>
      <c r="G328" s="47"/>
      <c r="H328" s="47"/>
      <c r="I328" s="74"/>
      <c r="J328" s="47"/>
      <c r="K328" s="47"/>
      <c r="L328" s="47"/>
      <c r="M328" s="47"/>
      <c r="N328" s="47"/>
      <c r="O328" s="47"/>
      <c r="P328" s="47"/>
      <c r="Q328" s="47"/>
      <c r="R328" s="75">
        <f t="shared" si="5"/>
        <v>786500</v>
      </c>
    </row>
    <row r="329" spans="1:18" x14ac:dyDescent="0.35">
      <c r="A329" s="52">
        <v>327</v>
      </c>
      <c r="B329" s="67" t="s">
        <v>741</v>
      </c>
      <c r="C329" s="7" t="s">
        <v>1737</v>
      </c>
      <c r="D329" s="54" t="s">
        <v>166</v>
      </c>
      <c r="E329" s="9">
        <v>0</v>
      </c>
      <c r="F329" s="47"/>
      <c r="G329" s="47"/>
      <c r="H329" s="47"/>
      <c r="I329" s="74"/>
      <c r="J329" s="47"/>
      <c r="K329" s="47"/>
      <c r="L329" s="47"/>
      <c r="M329" s="47"/>
      <c r="N329" s="47"/>
      <c r="O329" s="47"/>
      <c r="P329" s="47"/>
      <c r="Q329" s="47"/>
      <c r="R329" s="75">
        <f t="shared" si="5"/>
        <v>0</v>
      </c>
    </row>
    <row r="330" spans="1:18" x14ac:dyDescent="0.35">
      <c r="A330" s="52">
        <v>328</v>
      </c>
      <c r="B330" s="67" t="s">
        <v>743</v>
      </c>
      <c r="C330" s="90" t="s">
        <v>1647</v>
      </c>
      <c r="D330" s="54" t="s">
        <v>52</v>
      </c>
      <c r="E330" s="9">
        <v>0</v>
      </c>
      <c r="F330" s="47"/>
      <c r="G330" s="47"/>
      <c r="H330" s="47"/>
      <c r="I330" s="74"/>
      <c r="J330" s="47"/>
      <c r="K330" s="47"/>
      <c r="L330" s="47"/>
      <c r="M330" s="47"/>
      <c r="N330" s="47"/>
      <c r="O330" s="47"/>
      <c r="P330" s="47"/>
      <c r="Q330" s="47"/>
      <c r="R330" s="75">
        <f t="shared" si="5"/>
        <v>0</v>
      </c>
    </row>
    <row r="331" spans="1:18" x14ac:dyDescent="0.35">
      <c r="A331" s="52">
        <v>329</v>
      </c>
      <c r="B331" s="67" t="s">
        <v>745</v>
      </c>
      <c r="C331" s="7" t="s">
        <v>746</v>
      </c>
      <c r="D331" s="54" t="s">
        <v>49</v>
      </c>
      <c r="E331" s="9">
        <v>0</v>
      </c>
      <c r="F331" s="47"/>
      <c r="G331" s="47"/>
      <c r="H331" s="47"/>
      <c r="I331" s="74"/>
      <c r="J331" s="47"/>
      <c r="K331" s="47"/>
      <c r="L331" s="47"/>
      <c r="M331" s="47"/>
      <c r="N331" s="47"/>
      <c r="O331" s="47"/>
      <c r="P331" s="47"/>
      <c r="Q331" s="47"/>
      <c r="R331" s="75">
        <f t="shared" si="5"/>
        <v>0</v>
      </c>
    </row>
    <row r="332" spans="1:18" x14ac:dyDescent="0.35">
      <c r="A332" s="52">
        <v>330</v>
      </c>
      <c r="B332" s="67" t="s">
        <v>747</v>
      </c>
      <c r="C332" s="7" t="s">
        <v>1648</v>
      </c>
      <c r="D332" s="54" t="s">
        <v>41</v>
      </c>
      <c r="E332" s="9">
        <v>0</v>
      </c>
      <c r="F332" s="47"/>
      <c r="G332" s="47"/>
      <c r="H332" s="47"/>
      <c r="I332" s="74"/>
      <c r="J332" s="47"/>
      <c r="K332" s="47"/>
      <c r="L332" s="47"/>
      <c r="M332" s="47"/>
      <c r="N332" s="47"/>
      <c r="O332" s="47"/>
      <c r="P332" s="47"/>
      <c r="Q332" s="47"/>
      <c r="R332" s="75">
        <f t="shared" si="5"/>
        <v>0</v>
      </c>
    </row>
    <row r="333" spans="1:18" x14ac:dyDescent="0.35">
      <c r="A333" s="52">
        <v>331</v>
      </c>
      <c r="B333" s="67" t="s">
        <v>749</v>
      </c>
      <c r="C333" s="7" t="s">
        <v>750</v>
      </c>
      <c r="D333" s="54" t="s">
        <v>751</v>
      </c>
      <c r="E333" s="9">
        <v>2174000</v>
      </c>
      <c r="F333" s="47">
        <v>-2174000</v>
      </c>
      <c r="G333" s="47"/>
      <c r="H333" s="47"/>
      <c r="I333" s="74"/>
      <c r="J333" s="47"/>
      <c r="K333" s="47"/>
      <c r="L333" s="47"/>
      <c r="M333" s="47"/>
      <c r="N333" s="47"/>
      <c r="O333" s="47"/>
      <c r="P333" s="47"/>
      <c r="Q333" s="47"/>
      <c r="R333" s="75">
        <f t="shared" si="5"/>
        <v>0</v>
      </c>
    </row>
    <row r="334" spans="1:18" x14ac:dyDescent="0.35">
      <c r="A334" s="52">
        <v>332</v>
      </c>
      <c r="B334" s="67" t="s">
        <v>752</v>
      </c>
      <c r="C334" s="7" t="s">
        <v>753</v>
      </c>
      <c r="D334" s="54" t="s">
        <v>159</v>
      </c>
      <c r="E334" s="9">
        <v>0</v>
      </c>
      <c r="F334" s="47"/>
      <c r="G334" s="47"/>
      <c r="H334" s="47"/>
      <c r="I334" s="74"/>
      <c r="J334" s="47"/>
      <c r="K334" s="47"/>
      <c r="L334" s="47"/>
      <c r="M334" s="47"/>
      <c r="N334" s="47"/>
      <c r="O334" s="47"/>
      <c r="P334" s="47"/>
      <c r="Q334" s="47"/>
      <c r="R334" s="75">
        <f t="shared" si="5"/>
        <v>0</v>
      </c>
    </row>
    <row r="335" spans="1:18" x14ac:dyDescent="0.35">
      <c r="A335" s="52">
        <v>333</v>
      </c>
      <c r="B335" s="67" t="s">
        <v>754</v>
      </c>
      <c r="C335" s="144" t="s">
        <v>1916</v>
      </c>
      <c r="D335" s="54" t="s">
        <v>354</v>
      </c>
      <c r="E335" s="9">
        <v>30000</v>
      </c>
      <c r="F335" s="47"/>
      <c r="G335" s="47"/>
      <c r="H335" s="47"/>
      <c r="I335" s="74"/>
      <c r="J335" s="47"/>
      <c r="K335" s="47"/>
      <c r="L335" s="47"/>
      <c r="M335" s="47"/>
      <c r="N335" s="47"/>
      <c r="O335" s="47"/>
      <c r="P335" s="47"/>
      <c r="Q335" s="47"/>
      <c r="R335" s="75">
        <f t="shared" si="5"/>
        <v>30000</v>
      </c>
    </row>
    <row r="336" spans="1:18" x14ac:dyDescent="0.35">
      <c r="A336" s="52">
        <v>334</v>
      </c>
      <c r="B336" s="67" t="s">
        <v>756</v>
      </c>
      <c r="C336" s="7" t="s">
        <v>1738</v>
      </c>
      <c r="D336" s="54" t="s">
        <v>166</v>
      </c>
      <c r="E336" s="9">
        <v>0</v>
      </c>
      <c r="F336" s="47"/>
      <c r="G336" s="47"/>
      <c r="H336" s="47"/>
      <c r="I336" s="74"/>
      <c r="J336" s="47"/>
      <c r="K336" s="47"/>
      <c r="L336" s="47"/>
      <c r="M336" s="47"/>
      <c r="N336" s="47"/>
      <c r="O336" s="47"/>
      <c r="P336" s="47"/>
      <c r="Q336" s="47"/>
      <c r="R336" s="75">
        <f t="shared" si="5"/>
        <v>0</v>
      </c>
    </row>
    <row r="337" spans="1:18" x14ac:dyDescent="0.35">
      <c r="A337" s="52">
        <v>335</v>
      </c>
      <c r="B337" s="67" t="s">
        <v>758</v>
      </c>
      <c r="C337" s="90" t="s">
        <v>2045</v>
      </c>
      <c r="D337" s="54" t="s">
        <v>238</v>
      </c>
      <c r="E337" s="9">
        <v>3710000</v>
      </c>
      <c r="F337" s="47">
        <v>10000</v>
      </c>
      <c r="G337" s="47">
        <v>10000</v>
      </c>
      <c r="H337" s="47"/>
      <c r="I337" s="74">
        <v>10000</v>
      </c>
      <c r="J337" s="47">
        <v>10000</v>
      </c>
      <c r="K337" s="74">
        <v>10000</v>
      </c>
      <c r="L337" s="47">
        <v>10000</v>
      </c>
      <c r="M337" s="47">
        <f>10000+250000</f>
        <v>260000</v>
      </c>
      <c r="N337" s="47">
        <v>10000</v>
      </c>
      <c r="O337" s="47">
        <v>10000</v>
      </c>
      <c r="P337" s="47">
        <v>10000</v>
      </c>
      <c r="Q337" s="47">
        <v>10000</v>
      </c>
      <c r="R337" s="75">
        <f t="shared" si="5"/>
        <v>4070000</v>
      </c>
    </row>
    <row r="338" spans="1:18" x14ac:dyDescent="0.35">
      <c r="A338" s="52">
        <v>336</v>
      </c>
      <c r="B338" s="67" t="s">
        <v>760</v>
      </c>
      <c r="C338" s="7" t="s">
        <v>1739</v>
      </c>
      <c r="D338" s="54" t="s">
        <v>72</v>
      </c>
      <c r="E338" s="9">
        <v>0</v>
      </c>
      <c r="F338" s="47"/>
      <c r="G338" s="47"/>
      <c r="H338" s="47"/>
      <c r="I338" s="74"/>
      <c r="J338" s="47"/>
      <c r="K338" s="47"/>
      <c r="L338" s="47"/>
      <c r="M338" s="47"/>
      <c r="N338" s="47"/>
      <c r="O338" s="47"/>
      <c r="P338" s="47"/>
      <c r="Q338" s="47"/>
      <c r="R338" s="75">
        <f t="shared" si="5"/>
        <v>0</v>
      </c>
    </row>
    <row r="339" spans="1:18" x14ac:dyDescent="0.35">
      <c r="A339" s="52">
        <v>337</v>
      </c>
      <c r="B339" s="67" t="s">
        <v>762</v>
      </c>
      <c r="C339" s="7" t="s">
        <v>1610</v>
      </c>
      <c r="D339" s="54" t="s">
        <v>551</v>
      </c>
      <c r="E339" s="9">
        <v>0</v>
      </c>
      <c r="F339" s="47"/>
      <c r="G339" s="47"/>
      <c r="H339" s="47"/>
      <c r="I339" s="74"/>
      <c r="J339" s="47"/>
      <c r="K339" s="47"/>
      <c r="L339" s="47"/>
      <c r="M339" s="47"/>
      <c r="N339" s="47"/>
      <c r="O339" s="47"/>
      <c r="P339" s="47"/>
      <c r="Q339" s="47"/>
      <c r="R339" s="75">
        <f t="shared" si="5"/>
        <v>0</v>
      </c>
    </row>
    <row r="340" spans="1:18" x14ac:dyDescent="0.35">
      <c r="A340" s="52">
        <v>338</v>
      </c>
      <c r="B340" s="67" t="s">
        <v>764</v>
      </c>
      <c r="C340" s="7" t="s">
        <v>765</v>
      </c>
      <c r="D340" s="54" t="s">
        <v>201</v>
      </c>
      <c r="E340" s="9">
        <v>0</v>
      </c>
      <c r="F340" s="47"/>
      <c r="G340" s="47"/>
      <c r="H340" s="47"/>
      <c r="I340" s="74"/>
      <c r="J340" s="47"/>
      <c r="K340" s="47"/>
      <c r="L340" s="47"/>
      <c r="M340" s="47"/>
      <c r="N340" s="47"/>
      <c r="O340" s="47"/>
      <c r="P340" s="47"/>
      <c r="Q340" s="47"/>
      <c r="R340" s="75">
        <f t="shared" si="5"/>
        <v>0</v>
      </c>
    </row>
    <row r="341" spans="1:18" x14ac:dyDescent="0.35">
      <c r="A341" s="52">
        <v>339</v>
      </c>
      <c r="B341" s="67" t="s">
        <v>766</v>
      </c>
      <c r="C341" s="7" t="s">
        <v>2231</v>
      </c>
      <c r="D341" s="54" t="s">
        <v>22</v>
      </c>
      <c r="E341" s="9">
        <v>0</v>
      </c>
      <c r="F341" s="47"/>
      <c r="G341" s="47"/>
      <c r="H341" s="47"/>
      <c r="I341" s="74"/>
      <c r="J341" s="47"/>
      <c r="K341" s="47"/>
      <c r="L341" s="47"/>
      <c r="M341" s="47"/>
      <c r="N341" s="47"/>
      <c r="O341" s="47"/>
      <c r="P341" s="47"/>
      <c r="Q341" s="47"/>
      <c r="R341" s="75">
        <f t="shared" si="5"/>
        <v>0</v>
      </c>
    </row>
    <row r="342" spans="1:18" x14ac:dyDescent="0.35">
      <c r="A342" s="52">
        <v>340</v>
      </c>
      <c r="B342" s="67" t="s">
        <v>768</v>
      </c>
      <c r="C342" s="101" t="s">
        <v>1761</v>
      </c>
      <c r="D342" s="54" t="s">
        <v>318</v>
      </c>
      <c r="E342" s="9">
        <v>0</v>
      </c>
      <c r="F342" s="47"/>
      <c r="G342" s="47"/>
      <c r="H342" s="47"/>
      <c r="I342" s="74"/>
      <c r="J342" s="47"/>
      <c r="K342" s="47"/>
      <c r="L342" s="47"/>
      <c r="M342" s="47"/>
      <c r="N342" s="47"/>
      <c r="O342" s="47"/>
      <c r="P342" s="47"/>
      <c r="Q342" s="47"/>
      <c r="R342" s="75">
        <f t="shared" si="5"/>
        <v>0</v>
      </c>
    </row>
    <row r="343" spans="1:18" x14ac:dyDescent="0.35">
      <c r="A343" s="52">
        <v>341</v>
      </c>
      <c r="B343" s="67" t="s">
        <v>770</v>
      </c>
      <c r="C343" s="7" t="s">
        <v>771</v>
      </c>
      <c r="D343" s="54" t="s">
        <v>123</v>
      </c>
      <c r="E343" s="9">
        <v>0</v>
      </c>
      <c r="F343" s="47"/>
      <c r="G343" s="47"/>
      <c r="H343" s="47"/>
      <c r="I343" s="74"/>
      <c r="J343" s="47"/>
      <c r="K343" s="47"/>
      <c r="L343" s="47"/>
      <c r="M343" s="47"/>
      <c r="N343" s="47"/>
      <c r="O343" s="47"/>
      <c r="P343" s="47"/>
      <c r="Q343" s="47"/>
      <c r="R343" s="75">
        <f t="shared" si="5"/>
        <v>0</v>
      </c>
    </row>
    <row r="344" spans="1:18" x14ac:dyDescent="0.35">
      <c r="A344" s="52">
        <v>342</v>
      </c>
      <c r="B344" s="67" t="s">
        <v>772</v>
      </c>
      <c r="C344" s="7" t="s">
        <v>773</v>
      </c>
      <c r="D344" s="54" t="s">
        <v>519</v>
      </c>
      <c r="E344" s="9">
        <v>0</v>
      </c>
      <c r="F344" s="47"/>
      <c r="G344" s="47"/>
      <c r="H344" s="47"/>
      <c r="I344" s="74"/>
      <c r="J344" s="47"/>
      <c r="K344" s="47"/>
      <c r="L344" s="47"/>
      <c r="M344" s="47"/>
      <c r="N344" s="47"/>
      <c r="O344" s="47"/>
      <c r="P344" s="47"/>
      <c r="Q344" s="47"/>
      <c r="R344" s="75">
        <f t="shared" si="5"/>
        <v>0</v>
      </c>
    </row>
    <row r="345" spans="1:18" x14ac:dyDescent="0.35">
      <c r="A345" s="52">
        <v>343</v>
      </c>
      <c r="B345" s="67" t="s">
        <v>774</v>
      </c>
      <c r="C345" s="7" t="s">
        <v>775</v>
      </c>
      <c r="D345" s="54" t="s">
        <v>215</v>
      </c>
      <c r="E345" s="9">
        <v>0</v>
      </c>
      <c r="F345" s="47"/>
      <c r="G345" s="47"/>
      <c r="H345" s="47"/>
      <c r="I345" s="74"/>
      <c r="J345" s="47"/>
      <c r="K345" s="47"/>
      <c r="L345" s="47"/>
      <c r="M345" s="47"/>
      <c r="N345" s="47"/>
      <c r="O345" s="47"/>
      <c r="P345" s="47"/>
      <c r="Q345" s="47"/>
      <c r="R345" s="75">
        <f t="shared" si="5"/>
        <v>0</v>
      </c>
    </row>
    <row r="346" spans="1:18" x14ac:dyDescent="0.35">
      <c r="A346" s="52">
        <v>344</v>
      </c>
      <c r="B346" s="67" t="s">
        <v>776</v>
      </c>
      <c r="C346" s="144" t="s">
        <v>1900</v>
      </c>
      <c r="D346" s="54" t="s">
        <v>136</v>
      </c>
      <c r="E346" s="9">
        <v>20000</v>
      </c>
      <c r="F346" s="47"/>
      <c r="G346" s="47"/>
      <c r="H346" s="47"/>
      <c r="I346" s="74"/>
      <c r="J346" s="47"/>
      <c r="K346" s="47"/>
      <c r="L346" s="47"/>
      <c r="M346" s="47"/>
      <c r="N346" s="47"/>
      <c r="O346" s="47"/>
      <c r="P346" s="47"/>
      <c r="Q346" s="47"/>
      <c r="R346" s="75">
        <f t="shared" si="5"/>
        <v>20000</v>
      </c>
    </row>
    <row r="347" spans="1:18" x14ac:dyDescent="0.35">
      <c r="A347" s="52">
        <v>345</v>
      </c>
      <c r="B347" s="67" t="s">
        <v>778</v>
      </c>
      <c r="C347" s="7" t="s">
        <v>1940</v>
      </c>
      <c r="D347" s="54" t="s">
        <v>136</v>
      </c>
      <c r="E347" s="9">
        <v>0</v>
      </c>
      <c r="F347" s="47"/>
      <c r="G347" s="47"/>
      <c r="H347" s="47"/>
      <c r="I347" s="74"/>
      <c r="J347" s="47"/>
      <c r="K347" s="47"/>
      <c r="L347" s="47"/>
      <c r="M347" s="47"/>
      <c r="N347" s="47"/>
      <c r="O347" s="47"/>
      <c r="P347" s="47"/>
      <c r="Q347" s="47"/>
      <c r="R347" s="75">
        <f t="shared" si="5"/>
        <v>0</v>
      </c>
    </row>
    <row r="348" spans="1:18" x14ac:dyDescent="0.35">
      <c r="A348" s="52">
        <v>346</v>
      </c>
      <c r="B348" s="67" t="s">
        <v>780</v>
      </c>
      <c r="C348" s="7" t="s">
        <v>2232</v>
      </c>
      <c r="D348" s="54" t="s">
        <v>46</v>
      </c>
      <c r="E348" s="9">
        <v>0</v>
      </c>
      <c r="F348" s="47"/>
      <c r="G348" s="47"/>
      <c r="H348" s="47"/>
      <c r="I348" s="74"/>
      <c r="J348" s="47"/>
      <c r="K348" s="47"/>
      <c r="L348" s="47"/>
      <c r="M348" s="47"/>
      <c r="N348" s="47"/>
      <c r="O348" s="47"/>
      <c r="P348" s="47"/>
      <c r="Q348" s="47"/>
      <c r="R348" s="75">
        <f t="shared" si="5"/>
        <v>0</v>
      </c>
    </row>
    <row r="349" spans="1:18" x14ac:dyDescent="0.35">
      <c r="A349" s="52">
        <v>347</v>
      </c>
      <c r="B349" s="67" t="s">
        <v>782</v>
      </c>
      <c r="C349" s="7" t="s">
        <v>783</v>
      </c>
      <c r="D349" s="54" t="s">
        <v>141</v>
      </c>
      <c r="E349" s="9">
        <v>0</v>
      </c>
      <c r="F349" s="47"/>
      <c r="G349" s="47"/>
      <c r="H349" s="47"/>
      <c r="I349" s="74"/>
      <c r="J349" s="47"/>
      <c r="K349" s="47"/>
      <c r="L349" s="47"/>
      <c r="M349" s="47"/>
      <c r="N349" s="47"/>
      <c r="O349" s="47"/>
      <c r="P349" s="47"/>
      <c r="Q349" s="47"/>
      <c r="R349" s="75">
        <f t="shared" si="5"/>
        <v>0</v>
      </c>
    </row>
    <row r="350" spans="1:18" x14ac:dyDescent="0.35">
      <c r="A350" s="52">
        <v>348</v>
      </c>
      <c r="B350" s="67" t="s">
        <v>784</v>
      </c>
      <c r="C350" s="7" t="s">
        <v>2233</v>
      </c>
      <c r="D350" s="54" t="s">
        <v>60</v>
      </c>
      <c r="E350" s="9">
        <v>0</v>
      </c>
      <c r="F350" s="47"/>
      <c r="G350" s="47"/>
      <c r="H350" s="47"/>
      <c r="I350" s="74"/>
      <c r="J350" s="47"/>
      <c r="K350" s="47"/>
      <c r="L350" s="47"/>
      <c r="M350" s="47"/>
      <c r="N350" s="47"/>
      <c r="O350" s="47"/>
      <c r="P350" s="47"/>
      <c r="Q350" s="47"/>
      <c r="R350" s="75">
        <f t="shared" si="5"/>
        <v>0</v>
      </c>
    </row>
    <row r="351" spans="1:18" x14ac:dyDescent="0.35">
      <c r="A351" s="52">
        <v>349</v>
      </c>
      <c r="B351" s="67" t="s">
        <v>786</v>
      </c>
      <c r="C351" s="101" t="s">
        <v>2046</v>
      </c>
      <c r="D351" s="54" t="s">
        <v>290</v>
      </c>
      <c r="E351" s="9">
        <v>890000</v>
      </c>
      <c r="F351" s="47"/>
      <c r="G351" s="47"/>
      <c r="H351" s="47"/>
      <c r="I351" s="74"/>
      <c r="J351" s="47"/>
      <c r="K351" s="47"/>
      <c r="L351" s="47"/>
      <c r="M351" s="47"/>
      <c r="N351" s="47"/>
      <c r="O351" s="47">
        <v>150000</v>
      </c>
      <c r="P351" s="47"/>
      <c r="Q351" s="47"/>
      <c r="R351" s="75">
        <f t="shared" si="5"/>
        <v>1040000</v>
      </c>
    </row>
    <row r="352" spans="1:18" x14ac:dyDescent="0.35">
      <c r="A352" s="52">
        <v>350</v>
      </c>
      <c r="B352" s="67" t="s">
        <v>788</v>
      </c>
      <c r="C352" s="7" t="s">
        <v>2234</v>
      </c>
      <c r="D352" s="54" t="s">
        <v>46</v>
      </c>
      <c r="E352" s="9">
        <v>0</v>
      </c>
      <c r="F352" s="47"/>
      <c r="G352" s="47"/>
      <c r="H352" s="47"/>
      <c r="I352" s="74"/>
      <c r="J352" s="47"/>
      <c r="K352" s="47"/>
      <c r="L352" s="47"/>
      <c r="M352" s="47"/>
      <c r="N352" s="47"/>
      <c r="O352" s="47"/>
      <c r="P352" s="47"/>
      <c r="Q352" s="47"/>
      <c r="R352" s="75">
        <f t="shared" si="5"/>
        <v>0</v>
      </c>
    </row>
    <row r="353" spans="1:18" x14ac:dyDescent="0.35">
      <c r="A353" s="52">
        <v>351</v>
      </c>
      <c r="B353" s="67" t="s">
        <v>790</v>
      </c>
      <c r="C353" s="7" t="s">
        <v>791</v>
      </c>
      <c r="D353" s="54" t="s">
        <v>41</v>
      </c>
      <c r="E353" s="9">
        <v>0</v>
      </c>
      <c r="F353" s="47"/>
      <c r="G353" s="47"/>
      <c r="H353" s="47"/>
      <c r="I353" s="74"/>
      <c r="J353" s="47"/>
      <c r="K353" s="47"/>
      <c r="L353" s="47"/>
      <c r="M353" s="47"/>
      <c r="N353" s="47"/>
      <c r="O353" s="47"/>
      <c r="P353" s="47"/>
      <c r="Q353" s="47"/>
      <c r="R353" s="75">
        <f t="shared" si="5"/>
        <v>0</v>
      </c>
    </row>
    <row r="354" spans="1:18" x14ac:dyDescent="0.35">
      <c r="A354" s="52">
        <v>352</v>
      </c>
      <c r="B354" s="67" t="s">
        <v>792</v>
      </c>
      <c r="C354" s="7" t="s">
        <v>1611</v>
      </c>
      <c r="D354" s="54" t="s">
        <v>77</v>
      </c>
      <c r="E354" s="9">
        <v>-20000</v>
      </c>
      <c r="F354" s="47"/>
      <c r="G354" s="47"/>
      <c r="H354" s="47"/>
      <c r="I354" s="74"/>
      <c r="J354" s="47"/>
      <c r="K354" s="47"/>
      <c r="L354" s="47"/>
      <c r="M354" s="47"/>
      <c r="N354" s="47"/>
      <c r="O354" s="47"/>
      <c r="P354" s="47"/>
      <c r="Q354" s="47"/>
      <c r="R354" s="75">
        <f t="shared" si="5"/>
        <v>-20000</v>
      </c>
    </row>
    <row r="355" spans="1:18" x14ac:dyDescent="0.35">
      <c r="A355" s="52">
        <v>353</v>
      </c>
      <c r="B355" s="67" t="s">
        <v>794</v>
      </c>
      <c r="C355" s="90" t="s">
        <v>1852</v>
      </c>
      <c r="D355" s="54" t="s">
        <v>95</v>
      </c>
      <c r="E355" s="9">
        <v>158000</v>
      </c>
      <c r="F355" s="47"/>
      <c r="G355" s="47"/>
      <c r="H355" s="47"/>
      <c r="I355" s="74"/>
      <c r="J355" s="47"/>
      <c r="K355" s="47"/>
      <c r="L355" s="47"/>
      <c r="M355" s="47"/>
      <c r="N355" s="47"/>
      <c r="O355" s="47"/>
      <c r="P355" s="47"/>
      <c r="Q355" s="47"/>
      <c r="R355" s="75">
        <f t="shared" si="5"/>
        <v>158000</v>
      </c>
    </row>
    <row r="356" spans="1:18" x14ac:dyDescent="0.35">
      <c r="A356" s="52">
        <v>354</v>
      </c>
      <c r="B356" s="67" t="s">
        <v>796</v>
      </c>
      <c r="C356" s="7" t="s">
        <v>1746</v>
      </c>
      <c r="D356" s="54" t="s">
        <v>551</v>
      </c>
      <c r="E356" s="9">
        <v>698500</v>
      </c>
      <c r="F356" s="47"/>
      <c r="G356" s="47"/>
      <c r="H356" s="47"/>
      <c r="I356" s="74"/>
      <c r="J356" s="47"/>
      <c r="K356" s="47"/>
      <c r="L356" s="47"/>
      <c r="M356" s="47"/>
      <c r="N356" s="47"/>
      <c r="O356" s="47"/>
      <c r="P356" s="47"/>
      <c r="Q356" s="47"/>
      <c r="R356" s="75">
        <f t="shared" si="5"/>
        <v>698500</v>
      </c>
    </row>
    <row r="357" spans="1:18" x14ac:dyDescent="0.35">
      <c r="A357" s="52">
        <v>355</v>
      </c>
      <c r="B357" s="67" t="s">
        <v>798</v>
      </c>
      <c r="C357" s="101" t="s">
        <v>2047</v>
      </c>
      <c r="D357" s="54" t="s">
        <v>22</v>
      </c>
      <c r="E357" s="9">
        <v>3500000</v>
      </c>
      <c r="F357" s="47">
        <v>250000</v>
      </c>
      <c r="G357" s="47"/>
      <c r="H357" s="47"/>
      <c r="I357" s="74"/>
      <c r="J357" s="47"/>
      <c r="K357" s="47"/>
      <c r="L357" s="47"/>
      <c r="M357" s="47"/>
      <c r="N357" s="47"/>
      <c r="O357" s="47"/>
      <c r="P357" s="47"/>
      <c r="Q357" s="47">
        <v>100000</v>
      </c>
      <c r="R357" s="75">
        <f t="shared" si="5"/>
        <v>3850000</v>
      </c>
    </row>
    <row r="358" spans="1:18" x14ac:dyDescent="0.35">
      <c r="A358" s="52">
        <v>356</v>
      </c>
      <c r="B358" s="67" t="s">
        <v>800</v>
      </c>
      <c r="C358" s="144" t="s">
        <v>2048</v>
      </c>
      <c r="D358" s="54" t="s">
        <v>19</v>
      </c>
      <c r="E358" s="9">
        <v>0</v>
      </c>
      <c r="F358" s="47"/>
      <c r="G358" s="47"/>
      <c r="H358" s="47"/>
      <c r="I358" s="74"/>
      <c r="J358" s="47"/>
      <c r="K358" s="47"/>
      <c r="L358" s="47"/>
      <c r="M358" s="47"/>
      <c r="N358" s="47"/>
      <c r="O358" s="47"/>
      <c r="P358" s="47"/>
      <c r="Q358" s="47"/>
      <c r="R358" s="75">
        <f t="shared" si="5"/>
        <v>0</v>
      </c>
    </row>
    <row r="359" spans="1:18" x14ac:dyDescent="0.35">
      <c r="A359" s="52">
        <v>357</v>
      </c>
      <c r="B359" s="67" t="s">
        <v>802</v>
      </c>
      <c r="C359" s="7" t="s">
        <v>1745</v>
      </c>
      <c r="D359" s="54" t="s">
        <v>55</v>
      </c>
      <c r="E359" s="9">
        <v>0</v>
      </c>
      <c r="F359" s="47"/>
      <c r="G359" s="47"/>
      <c r="H359" s="47"/>
      <c r="I359" s="74"/>
      <c r="J359" s="47"/>
      <c r="K359" s="47"/>
      <c r="L359" s="47"/>
      <c r="M359" s="47"/>
      <c r="N359" s="47"/>
      <c r="O359" s="47"/>
      <c r="P359" s="47"/>
      <c r="Q359" s="47"/>
      <c r="R359" s="75">
        <f t="shared" si="5"/>
        <v>0</v>
      </c>
    </row>
    <row r="360" spans="1:18" x14ac:dyDescent="0.35">
      <c r="A360" s="52">
        <v>358</v>
      </c>
      <c r="B360" s="67" t="s">
        <v>804</v>
      </c>
      <c r="C360" s="90" t="s">
        <v>1750</v>
      </c>
      <c r="D360" s="54" t="s">
        <v>14</v>
      </c>
      <c r="E360" s="9">
        <v>25000</v>
      </c>
      <c r="F360" s="47"/>
      <c r="G360" s="47"/>
      <c r="H360" s="47"/>
      <c r="I360" s="74"/>
      <c r="J360" s="47"/>
      <c r="K360" s="47"/>
      <c r="L360" s="47"/>
      <c r="M360" s="47"/>
      <c r="N360" s="47"/>
      <c r="O360" s="47"/>
      <c r="P360" s="47"/>
      <c r="Q360" s="47"/>
      <c r="R360" s="75">
        <f t="shared" si="5"/>
        <v>25000</v>
      </c>
    </row>
    <row r="361" spans="1:18" x14ac:dyDescent="0.35">
      <c r="A361" s="52">
        <v>359</v>
      </c>
      <c r="B361" s="67" t="s">
        <v>806</v>
      </c>
      <c r="C361" s="144" t="s">
        <v>1902</v>
      </c>
      <c r="D361" s="54" t="s">
        <v>98</v>
      </c>
      <c r="E361" s="9">
        <v>0</v>
      </c>
      <c r="F361" s="47"/>
      <c r="G361" s="47"/>
      <c r="H361" s="47"/>
      <c r="I361" s="74"/>
      <c r="J361" s="47"/>
      <c r="K361" s="47"/>
      <c r="L361" s="47"/>
      <c r="M361" s="47"/>
      <c r="N361" s="47"/>
      <c r="O361" s="47"/>
      <c r="P361" s="47"/>
      <c r="Q361" s="47"/>
      <c r="R361" s="75">
        <f t="shared" si="5"/>
        <v>0</v>
      </c>
    </row>
    <row r="362" spans="1:18" x14ac:dyDescent="0.35">
      <c r="A362" s="52">
        <v>360</v>
      </c>
      <c r="B362" s="67" t="s">
        <v>808</v>
      </c>
      <c r="C362" s="7" t="s">
        <v>1649</v>
      </c>
      <c r="D362" s="54" t="s">
        <v>41</v>
      </c>
      <c r="E362" s="9">
        <v>0</v>
      </c>
      <c r="F362" s="47"/>
      <c r="G362" s="47"/>
      <c r="H362" s="47"/>
      <c r="I362" s="74"/>
      <c r="J362" s="47"/>
      <c r="K362" s="47"/>
      <c r="L362" s="47"/>
      <c r="M362" s="47"/>
      <c r="N362" s="47"/>
      <c r="O362" s="47"/>
      <c r="P362" s="47"/>
      <c r="Q362" s="47"/>
      <c r="R362" s="75">
        <f t="shared" si="5"/>
        <v>0</v>
      </c>
    </row>
    <row r="363" spans="1:18" x14ac:dyDescent="0.35">
      <c r="A363" s="52">
        <v>361</v>
      </c>
      <c r="B363" s="67" t="s">
        <v>810</v>
      </c>
      <c r="C363" s="7" t="s">
        <v>1780</v>
      </c>
      <c r="D363" s="54" t="s">
        <v>131</v>
      </c>
      <c r="E363" s="9">
        <v>250000</v>
      </c>
      <c r="F363" s="47"/>
      <c r="G363" s="47"/>
      <c r="H363" s="47"/>
      <c r="I363" s="74"/>
      <c r="J363" s="47">
        <v>-250000</v>
      </c>
      <c r="K363" s="47"/>
      <c r="L363" s="47"/>
      <c r="M363" s="47"/>
      <c r="N363" s="47"/>
      <c r="O363" s="47"/>
      <c r="P363" s="47"/>
      <c r="Q363" s="47"/>
      <c r="R363" s="75">
        <f t="shared" si="5"/>
        <v>0</v>
      </c>
    </row>
    <row r="364" spans="1:18" x14ac:dyDescent="0.35">
      <c r="A364" s="52">
        <v>362</v>
      </c>
      <c r="B364" s="67" t="s">
        <v>812</v>
      </c>
      <c r="C364" s="90" t="s">
        <v>1942</v>
      </c>
      <c r="D364" s="54" t="s">
        <v>60</v>
      </c>
      <c r="E364" s="9">
        <v>0</v>
      </c>
      <c r="F364" s="47"/>
      <c r="G364" s="47"/>
      <c r="H364" s="47"/>
      <c r="I364" s="74"/>
      <c r="J364" s="47"/>
      <c r="K364" s="47"/>
      <c r="L364" s="47"/>
      <c r="M364" s="47"/>
      <c r="N364" s="47"/>
      <c r="O364" s="47"/>
      <c r="P364" s="47"/>
      <c r="Q364" s="47"/>
      <c r="R364" s="75">
        <f t="shared" si="5"/>
        <v>0</v>
      </c>
    </row>
    <row r="365" spans="1:18" x14ac:dyDescent="0.35">
      <c r="A365" s="52">
        <v>363</v>
      </c>
      <c r="B365" s="67" t="s">
        <v>814</v>
      </c>
      <c r="C365" s="90" t="s">
        <v>815</v>
      </c>
      <c r="D365" s="54" t="s">
        <v>238</v>
      </c>
      <c r="E365" s="9">
        <v>0</v>
      </c>
      <c r="F365" s="47"/>
      <c r="G365" s="47"/>
      <c r="H365" s="47"/>
      <c r="I365" s="74"/>
      <c r="J365" s="47"/>
      <c r="K365" s="47"/>
      <c r="L365" s="47"/>
      <c r="M365" s="47"/>
      <c r="N365" s="47"/>
      <c r="O365" s="47"/>
      <c r="P365" s="47"/>
      <c r="Q365" s="47"/>
      <c r="R365" s="75">
        <f t="shared" si="5"/>
        <v>0</v>
      </c>
    </row>
    <row r="366" spans="1:18" x14ac:dyDescent="0.35">
      <c r="A366" s="52">
        <v>364</v>
      </c>
      <c r="B366" s="67" t="s">
        <v>816</v>
      </c>
      <c r="C366" s="90" t="s">
        <v>1961</v>
      </c>
      <c r="D366" s="54" t="s">
        <v>198</v>
      </c>
      <c r="E366" s="9">
        <v>0</v>
      </c>
      <c r="F366" s="47"/>
      <c r="G366" s="47"/>
      <c r="H366" s="47"/>
      <c r="I366" s="74"/>
      <c r="J366" s="47"/>
      <c r="K366" s="47"/>
      <c r="L366" s="47"/>
      <c r="M366" s="47"/>
      <c r="N366" s="47"/>
      <c r="O366" s="47"/>
      <c r="P366" s="47"/>
      <c r="Q366" s="47"/>
      <c r="R366" s="75">
        <f t="shared" si="5"/>
        <v>0</v>
      </c>
    </row>
    <row r="367" spans="1:18" x14ac:dyDescent="0.35">
      <c r="A367" s="52">
        <v>365</v>
      </c>
      <c r="B367" s="67" t="s">
        <v>818</v>
      </c>
      <c r="C367" s="7" t="s">
        <v>2235</v>
      </c>
      <c r="D367" s="54" t="s">
        <v>92</v>
      </c>
      <c r="E367" s="9">
        <v>0</v>
      </c>
      <c r="F367" s="47"/>
      <c r="G367" s="47"/>
      <c r="H367" s="47"/>
      <c r="I367" s="74"/>
      <c r="J367" s="47"/>
      <c r="K367" s="47"/>
      <c r="L367" s="47"/>
      <c r="M367" s="47"/>
      <c r="N367" s="47"/>
      <c r="O367" s="47"/>
      <c r="P367" s="47"/>
      <c r="Q367" s="47"/>
      <c r="R367" s="75">
        <f t="shared" si="5"/>
        <v>0</v>
      </c>
    </row>
    <row r="368" spans="1:18" x14ac:dyDescent="0.35">
      <c r="A368" s="52">
        <v>366</v>
      </c>
      <c r="B368" s="67" t="s">
        <v>820</v>
      </c>
      <c r="C368" s="90" t="s">
        <v>2049</v>
      </c>
      <c r="D368" s="54" t="s">
        <v>22</v>
      </c>
      <c r="E368" s="9">
        <v>395000</v>
      </c>
      <c r="F368" s="47"/>
      <c r="G368" s="47"/>
      <c r="H368" s="47"/>
      <c r="I368" s="74"/>
      <c r="J368" s="47"/>
      <c r="K368" s="47"/>
      <c r="L368" s="47"/>
      <c r="M368" s="47"/>
      <c r="N368" s="47"/>
      <c r="O368" s="47"/>
      <c r="P368" s="47"/>
      <c r="Q368" s="47"/>
      <c r="R368" s="75">
        <f t="shared" si="5"/>
        <v>395000</v>
      </c>
    </row>
    <row r="369" spans="1:18" x14ac:dyDescent="0.35">
      <c r="A369" s="52">
        <v>367</v>
      </c>
      <c r="B369" s="67" t="s">
        <v>822</v>
      </c>
      <c r="C369" s="7" t="s">
        <v>823</v>
      </c>
      <c r="D369" s="54" t="s">
        <v>11</v>
      </c>
      <c r="E369" s="9">
        <v>0</v>
      </c>
      <c r="F369" s="47"/>
      <c r="G369" s="47"/>
      <c r="H369" s="47"/>
      <c r="I369" s="74"/>
      <c r="J369" s="47"/>
      <c r="K369" s="47"/>
      <c r="L369" s="47"/>
      <c r="M369" s="47"/>
      <c r="N369" s="47"/>
      <c r="O369" s="47"/>
      <c r="P369" s="47"/>
      <c r="Q369" s="47"/>
      <c r="R369" s="75">
        <f t="shared" si="5"/>
        <v>0</v>
      </c>
    </row>
    <row r="370" spans="1:18" x14ac:dyDescent="0.35">
      <c r="A370" s="52">
        <v>368</v>
      </c>
      <c r="B370" s="67" t="s">
        <v>824</v>
      </c>
      <c r="C370" s="90" t="s">
        <v>2050</v>
      </c>
      <c r="D370" s="54" t="s">
        <v>367</v>
      </c>
      <c r="E370" s="9">
        <v>855000</v>
      </c>
      <c r="F370" s="47"/>
      <c r="G370" s="47"/>
      <c r="H370" s="47"/>
      <c r="I370" s="74"/>
      <c r="J370" s="47"/>
      <c r="K370" s="47"/>
      <c r="L370" s="47"/>
      <c r="M370" s="47"/>
      <c r="N370" s="47"/>
      <c r="O370" s="47"/>
      <c r="P370" s="47"/>
      <c r="Q370" s="47"/>
      <c r="R370" s="75">
        <f t="shared" si="5"/>
        <v>855000</v>
      </c>
    </row>
    <row r="371" spans="1:18" x14ac:dyDescent="0.35">
      <c r="A371" s="52">
        <v>369</v>
      </c>
      <c r="B371" s="67" t="s">
        <v>826</v>
      </c>
      <c r="C371" s="144" t="s">
        <v>2051</v>
      </c>
      <c r="D371" s="54" t="s">
        <v>828</v>
      </c>
      <c r="E371" s="9">
        <v>165000</v>
      </c>
      <c r="F371" s="47"/>
      <c r="G371" s="47"/>
      <c r="H371" s="47"/>
      <c r="I371" s="74"/>
      <c r="J371" s="47"/>
      <c r="K371" s="47"/>
      <c r="L371" s="47"/>
      <c r="M371" s="47"/>
      <c r="N371" s="47"/>
      <c r="O371" s="47"/>
      <c r="P371" s="47"/>
      <c r="Q371" s="47"/>
      <c r="R371" s="75">
        <f t="shared" si="5"/>
        <v>165000</v>
      </c>
    </row>
    <row r="372" spans="1:18" x14ac:dyDescent="0.35">
      <c r="A372" s="52">
        <v>370</v>
      </c>
      <c r="B372" s="67" t="s">
        <v>829</v>
      </c>
      <c r="C372" s="144" t="s">
        <v>2052</v>
      </c>
      <c r="D372" s="54" t="s">
        <v>136</v>
      </c>
      <c r="E372" s="9">
        <v>0</v>
      </c>
      <c r="F372" s="47"/>
      <c r="G372" s="47"/>
      <c r="H372" s="47"/>
      <c r="I372" s="74"/>
      <c r="J372" s="47"/>
      <c r="K372" s="47"/>
      <c r="L372" s="47"/>
      <c r="M372" s="47"/>
      <c r="N372" s="47"/>
      <c r="O372" s="47"/>
      <c r="P372" s="47"/>
      <c r="Q372" s="47"/>
      <c r="R372" s="75">
        <f t="shared" si="5"/>
        <v>0</v>
      </c>
    </row>
    <row r="373" spans="1:18" x14ac:dyDescent="0.35">
      <c r="A373" s="52">
        <v>371</v>
      </c>
      <c r="B373" s="67" t="s">
        <v>831</v>
      </c>
      <c r="C373" s="90" t="s">
        <v>2053</v>
      </c>
      <c r="D373" s="54" t="s">
        <v>60</v>
      </c>
      <c r="E373" s="9">
        <v>160000</v>
      </c>
      <c r="F373" s="47"/>
      <c r="G373" s="47"/>
      <c r="H373" s="47"/>
      <c r="I373" s="74"/>
      <c r="J373" s="47"/>
      <c r="K373" s="47"/>
      <c r="L373" s="47"/>
      <c r="M373" s="47"/>
      <c r="N373" s="47"/>
      <c r="O373" s="47"/>
      <c r="P373" s="47"/>
      <c r="Q373" s="47"/>
      <c r="R373" s="75">
        <f t="shared" si="5"/>
        <v>160000</v>
      </c>
    </row>
    <row r="374" spans="1:18" x14ac:dyDescent="0.35">
      <c r="A374" s="52">
        <v>372</v>
      </c>
      <c r="B374" s="67" t="s">
        <v>833</v>
      </c>
      <c r="C374" s="90" t="s">
        <v>2054</v>
      </c>
      <c r="D374" s="54" t="s">
        <v>25</v>
      </c>
      <c r="E374" s="9">
        <v>610000</v>
      </c>
      <c r="F374" s="47"/>
      <c r="G374" s="47"/>
      <c r="H374" s="47"/>
      <c r="I374" s="74"/>
      <c r="J374" s="47"/>
      <c r="K374" s="47"/>
      <c r="L374" s="47"/>
      <c r="M374" s="47"/>
      <c r="N374" s="47"/>
      <c r="O374" s="47"/>
      <c r="P374" s="47"/>
      <c r="Q374" s="47">
        <v>250000</v>
      </c>
      <c r="R374" s="75">
        <f t="shared" si="5"/>
        <v>860000</v>
      </c>
    </row>
    <row r="375" spans="1:18" x14ac:dyDescent="0.35">
      <c r="A375" s="52">
        <v>373</v>
      </c>
      <c r="B375" s="67" t="s">
        <v>835</v>
      </c>
      <c r="C375" s="7" t="s">
        <v>836</v>
      </c>
      <c r="D375" s="54" t="s">
        <v>65</v>
      </c>
      <c r="E375" s="9">
        <v>250000</v>
      </c>
      <c r="F375" s="47"/>
      <c r="G375" s="47"/>
      <c r="H375" s="47"/>
      <c r="I375" s="74"/>
      <c r="J375" s="47"/>
      <c r="K375" s="47"/>
      <c r="L375" s="47"/>
      <c r="M375" s="47"/>
      <c r="N375" s="47"/>
      <c r="O375" s="47"/>
      <c r="P375" s="47"/>
      <c r="Q375" s="47"/>
      <c r="R375" s="75">
        <f t="shared" si="5"/>
        <v>250000</v>
      </c>
    </row>
    <row r="376" spans="1:18" x14ac:dyDescent="0.35">
      <c r="A376" s="52">
        <v>374</v>
      </c>
      <c r="B376" s="67" t="s">
        <v>837</v>
      </c>
      <c r="C376" s="7" t="s">
        <v>1744</v>
      </c>
      <c r="D376" s="54" t="s">
        <v>166</v>
      </c>
      <c r="E376" s="9">
        <v>0</v>
      </c>
      <c r="F376" s="47"/>
      <c r="G376" s="47"/>
      <c r="H376" s="47"/>
      <c r="I376" s="74"/>
      <c r="J376" s="47"/>
      <c r="K376" s="47"/>
      <c r="L376" s="47"/>
      <c r="M376" s="47"/>
      <c r="N376" s="47"/>
      <c r="O376" s="47"/>
      <c r="P376" s="47"/>
      <c r="Q376" s="47"/>
      <c r="R376" s="75">
        <f t="shared" si="5"/>
        <v>0</v>
      </c>
    </row>
    <row r="377" spans="1:18" x14ac:dyDescent="0.35">
      <c r="A377" s="52">
        <v>375</v>
      </c>
      <c r="B377" s="67" t="s">
        <v>839</v>
      </c>
      <c r="C377" s="144" t="s">
        <v>2055</v>
      </c>
      <c r="D377" s="54" t="s">
        <v>92</v>
      </c>
      <c r="E377" s="9">
        <v>50000</v>
      </c>
      <c r="F377" s="47"/>
      <c r="G377" s="47"/>
      <c r="H377" s="47"/>
      <c r="I377" s="74"/>
      <c r="J377" s="47"/>
      <c r="K377" s="47"/>
      <c r="L377" s="47"/>
      <c r="M377" s="47"/>
      <c r="N377" s="47"/>
      <c r="O377" s="47"/>
      <c r="P377" s="47"/>
      <c r="Q377" s="47"/>
      <c r="R377" s="75">
        <f t="shared" si="5"/>
        <v>50000</v>
      </c>
    </row>
    <row r="378" spans="1:18" x14ac:dyDescent="0.35">
      <c r="A378" s="52">
        <v>376</v>
      </c>
      <c r="B378" s="67" t="s">
        <v>841</v>
      </c>
      <c r="C378" s="144" t="s">
        <v>2056</v>
      </c>
      <c r="D378" s="54" t="s">
        <v>136</v>
      </c>
      <c r="E378" s="9">
        <v>90000</v>
      </c>
      <c r="F378" s="47">
        <v>250000</v>
      </c>
      <c r="G378" s="47"/>
      <c r="H378" s="47"/>
      <c r="I378" s="74"/>
      <c r="J378" s="47"/>
      <c r="K378" s="47"/>
      <c r="L378" s="47"/>
      <c r="M378" s="47"/>
      <c r="N378" s="47"/>
      <c r="O378" s="47"/>
      <c r="P378" s="47"/>
      <c r="Q378" s="47"/>
      <c r="R378" s="75">
        <f t="shared" si="5"/>
        <v>340000</v>
      </c>
    </row>
    <row r="379" spans="1:18" x14ac:dyDescent="0.35">
      <c r="A379" s="52">
        <v>377</v>
      </c>
      <c r="B379" s="67" t="s">
        <v>843</v>
      </c>
      <c r="C379" s="7" t="s">
        <v>1612</v>
      </c>
      <c r="D379" s="54" t="s">
        <v>98</v>
      </c>
      <c r="E379" s="9">
        <v>0</v>
      </c>
      <c r="F379" s="47"/>
      <c r="G379" s="47"/>
      <c r="H379" s="47"/>
      <c r="I379" s="74"/>
      <c r="J379" s="47"/>
      <c r="K379" s="47"/>
      <c r="L379" s="47"/>
      <c r="M379" s="47"/>
      <c r="N379" s="47"/>
      <c r="O379" s="47"/>
      <c r="P379" s="47"/>
      <c r="Q379" s="47"/>
      <c r="R379" s="75">
        <f t="shared" si="5"/>
        <v>0</v>
      </c>
    </row>
    <row r="380" spans="1:18" x14ac:dyDescent="0.35">
      <c r="A380" s="52">
        <v>378</v>
      </c>
      <c r="B380" s="67" t="s">
        <v>845</v>
      </c>
      <c r="C380" s="7" t="s">
        <v>1613</v>
      </c>
      <c r="D380" s="54" t="s">
        <v>52</v>
      </c>
      <c r="E380" s="9">
        <v>0</v>
      </c>
      <c r="F380" s="47"/>
      <c r="G380" s="47"/>
      <c r="H380" s="47"/>
      <c r="I380" s="74"/>
      <c r="J380" s="47"/>
      <c r="K380" s="47"/>
      <c r="L380" s="47"/>
      <c r="M380" s="47"/>
      <c r="N380" s="47"/>
      <c r="O380" s="47"/>
      <c r="P380" s="47"/>
      <c r="Q380" s="47"/>
      <c r="R380" s="75">
        <f t="shared" si="5"/>
        <v>0</v>
      </c>
    </row>
    <row r="381" spans="1:18" x14ac:dyDescent="0.35">
      <c r="A381" s="52">
        <v>379</v>
      </c>
      <c r="B381" s="67" t="s">
        <v>847</v>
      </c>
      <c r="C381" s="7" t="s">
        <v>848</v>
      </c>
      <c r="D381" s="54" t="s">
        <v>25</v>
      </c>
      <c r="E381" s="9">
        <v>1670000</v>
      </c>
      <c r="F381" s="47">
        <v>-1670000</v>
      </c>
      <c r="G381" s="47"/>
      <c r="H381" s="47"/>
      <c r="I381" s="74"/>
      <c r="J381" s="47"/>
      <c r="K381" s="47"/>
      <c r="L381" s="47"/>
      <c r="M381" s="47"/>
      <c r="N381" s="47"/>
      <c r="O381" s="47"/>
      <c r="P381" s="47"/>
      <c r="Q381" s="47"/>
      <c r="R381" s="75">
        <f t="shared" si="5"/>
        <v>0</v>
      </c>
    </row>
    <row r="382" spans="1:18" x14ac:dyDescent="0.35">
      <c r="A382" s="52">
        <v>380</v>
      </c>
      <c r="B382" s="67" t="s">
        <v>849</v>
      </c>
      <c r="C382" s="7" t="s">
        <v>850</v>
      </c>
      <c r="D382" s="54" t="s">
        <v>851</v>
      </c>
      <c r="E382" s="9">
        <v>0</v>
      </c>
      <c r="F382" s="47"/>
      <c r="G382" s="47"/>
      <c r="H382" s="47"/>
      <c r="I382" s="74"/>
      <c r="J382" s="47"/>
      <c r="K382" s="47"/>
      <c r="L382" s="47"/>
      <c r="M382" s="47"/>
      <c r="N382" s="47"/>
      <c r="O382" s="47"/>
      <c r="P382" s="47"/>
      <c r="Q382" s="47"/>
      <c r="R382" s="75">
        <f t="shared" si="5"/>
        <v>0</v>
      </c>
    </row>
    <row r="383" spans="1:18" x14ac:dyDescent="0.35">
      <c r="A383" s="52">
        <v>381</v>
      </c>
      <c r="B383" s="67" t="s">
        <v>852</v>
      </c>
      <c r="C383" s="7" t="s">
        <v>1743</v>
      </c>
      <c r="D383" s="54" t="s">
        <v>19</v>
      </c>
      <c r="E383" s="9">
        <v>25000</v>
      </c>
      <c r="F383" s="47"/>
      <c r="G383" s="47"/>
      <c r="H383" s="47"/>
      <c r="I383" s="74"/>
      <c r="J383" s="47"/>
      <c r="K383" s="47"/>
      <c r="L383" s="47"/>
      <c r="M383" s="47"/>
      <c r="N383" s="47"/>
      <c r="O383" s="47"/>
      <c r="P383" s="47"/>
      <c r="Q383" s="47"/>
      <c r="R383" s="75">
        <f t="shared" si="5"/>
        <v>25000</v>
      </c>
    </row>
    <row r="384" spans="1:18" x14ac:dyDescent="0.35">
      <c r="A384" s="52">
        <v>382</v>
      </c>
      <c r="B384" s="67" t="s">
        <v>854</v>
      </c>
      <c r="C384" s="7" t="s">
        <v>2236</v>
      </c>
      <c r="D384" s="54" t="s">
        <v>95</v>
      </c>
      <c r="E384" s="9">
        <v>0</v>
      </c>
      <c r="F384" s="47"/>
      <c r="G384" s="47"/>
      <c r="H384" s="47"/>
      <c r="I384" s="74"/>
      <c r="J384" s="47"/>
      <c r="K384" s="47"/>
      <c r="L384" s="47"/>
      <c r="M384" s="47"/>
      <c r="N384" s="47"/>
      <c r="O384" s="47"/>
      <c r="P384" s="47"/>
      <c r="Q384" s="47"/>
      <c r="R384" s="75">
        <f t="shared" si="5"/>
        <v>0</v>
      </c>
    </row>
    <row r="385" spans="1:18" x14ac:dyDescent="0.35">
      <c r="A385" s="52">
        <v>383</v>
      </c>
      <c r="B385" s="67" t="s">
        <v>856</v>
      </c>
      <c r="C385" s="90" t="s">
        <v>1756</v>
      </c>
      <c r="D385" s="54" t="s">
        <v>25</v>
      </c>
      <c r="E385" s="9">
        <v>1098000</v>
      </c>
      <c r="F385" s="47"/>
      <c r="G385" s="47"/>
      <c r="H385" s="47"/>
      <c r="I385" s="74"/>
      <c r="J385" s="47">
        <v>33333</v>
      </c>
      <c r="K385" s="74">
        <v>33333</v>
      </c>
      <c r="L385" s="47">
        <v>33333</v>
      </c>
      <c r="M385" s="47"/>
      <c r="N385" s="47"/>
      <c r="O385" s="47"/>
      <c r="P385" s="47"/>
      <c r="Q385" s="47"/>
      <c r="R385" s="75">
        <f t="shared" si="5"/>
        <v>1197999</v>
      </c>
    </row>
    <row r="386" spans="1:18" x14ac:dyDescent="0.35">
      <c r="A386" s="52">
        <v>384</v>
      </c>
      <c r="B386" s="67" t="s">
        <v>858</v>
      </c>
      <c r="C386" s="144" t="s">
        <v>1904</v>
      </c>
      <c r="D386" s="54" t="s">
        <v>698</v>
      </c>
      <c r="E386" s="9">
        <v>40000</v>
      </c>
      <c r="F386" s="47"/>
      <c r="G386" s="47"/>
      <c r="H386" s="47"/>
      <c r="I386" s="74"/>
      <c r="J386" s="47"/>
      <c r="K386" s="47"/>
      <c r="L386" s="47"/>
      <c r="M386" s="47"/>
      <c r="N386" s="47"/>
      <c r="O386" s="47"/>
      <c r="P386" s="47"/>
      <c r="Q386" s="47"/>
      <c r="R386" s="75">
        <f t="shared" si="5"/>
        <v>40000</v>
      </c>
    </row>
    <row r="387" spans="1:18" x14ac:dyDescent="0.35">
      <c r="A387" s="52">
        <v>385</v>
      </c>
      <c r="B387" s="67" t="s">
        <v>860</v>
      </c>
      <c r="C387" s="144" t="s">
        <v>1905</v>
      </c>
      <c r="D387" s="54" t="s">
        <v>77</v>
      </c>
      <c r="E387" s="9">
        <v>0</v>
      </c>
      <c r="F387" s="47"/>
      <c r="G387" s="47"/>
      <c r="H387" s="47"/>
      <c r="I387" s="74"/>
      <c r="J387" s="47"/>
      <c r="K387" s="47"/>
      <c r="L387" s="47"/>
      <c r="M387" s="47"/>
      <c r="N387" s="47"/>
      <c r="O387" s="47"/>
      <c r="P387" s="47"/>
      <c r="Q387" s="47"/>
      <c r="R387" s="75">
        <f t="shared" si="5"/>
        <v>0</v>
      </c>
    </row>
    <row r="388" spans="1:18" x14ac:dyDescent="0.35">
      <c r="A388" s="52">
        <v>386</v>
      </c>
      <c r="B388" s="67" t="s">
        <v>862</v>
      </c>
      <c r="C388" s="90" t="s">
        <v>2057</v>
      </c>
      <c r="D388" s="54" t="s">
        <v>25</v>
      </c>
      <c r="E388" s="9">
        <v>300000</v>
      </c>
      <c r="F388" s="47"/>
      <c r="G388" s="47"/>
      <c r="H388" s="47"/>
      <c r="I388" s="74"/>
      <c r="J388" s="47"/>
      <c r="K388" s="47"/>
      <c r="L388" s="47"/>
      <c r="M388" s="47"/>
      <c r="N388" s="47"/>
      <c r="O388" s="47"/>
      <c r="P388" s="47"/>
      <c r="Q388" s="47"/>
      <c r="R388" s="75">
        <f t="shared" ref="R388:R451" si="6">E388+F388+G388+H388+I388+J388+K388+L388+M388+N388+O388+P388+Q388</f>
        <v>300000</v>
      </c>
    </row>
    <row r="389" spans="1:18" x14ac:dyDescent="0.35">
      <c r="A389" s="52">
        <v>387</v>
      </c>
      <c r="B389" s="67" t="s">
        <v>864</v>
      </c>
      <c r="C389" s="7" t="s">
        <v>865</v>
      </c>
      <c r="D389" s="54" t="s">
        <v>49</v>
      </c>
      <c r="E389" s="9">
        <v>0</v>
      </c>
      <c r="F389" s="47"/>
      <c r="G389" s="47"/>
      <c r="H389" s="47"/>
      <c r="I389" s="74"/>
      <c r="J389" s="47"/>
      <c r="K389" s="47"/>
      <c r="L389" s="47"/>
      <c r="M389" s="47"/>
      <c r="N389" s="47"/>
      <c r="O389" s="47"/>
      <c r="P389" s="47"/>
      <c r="Q389" s="47"/>
      <c r="R389" s="75">
        <f t="shared" si="6"/>
        <v>0</v>
      </c>
    </row>
    <row r="390" spans="1:18" x14ac:dyDescent="0.35">
      <c r="A390" s="52">
        <v>388</v>
      </c>
      <c r="B390" s="67" t="s">
        <v>866</v>
      </c>
      <c r="C390" s="7" t="s">
        <v>1650</v>
      </c>
      <c r="D390" s="54" t="s">
        <v>367</v>
      </c>
      <c r="E390" s="9">
        <v>0</v>
      </c>
      <c r="F390" s="47"/>
      <c r="G390" s="47"/>
      <c r="H390" s="47"/>
      <c r="I390" s="74"/>
      <c r="J390" s="47"/>
      <c r="K390" s="47"/>
      <c r="L390" s="47"/>
      <c r="M390" s="47"/>
      <c r="N390" s="47"/>
      <c r="O390" s="47"/>
      <c r="P390" s="47"/>
      <c r="Q390" s="47"/>
      <c r="R390" s="75">
        <f t="shared" si="6"/>
        <v>0</v>
      </c>
    </row>
    <row r="391" spans="1:18" x14ac:dyDescent="0.35">
      <c r="A391" s="52">
        <v>389</v>
      </c>
      <c r="B391" s="67" t="s">
        <v>868</v>
      </c>
      <c r="C391" s="7" t="s">
        <v>869</v>
      </c>
      <c r="D391" s="54" t="s">
        <v>169</v>
      </c>
      <c r="E391" s="9">
        <v>0</v>
      </c>
      <c r="F391" s="47"/>
      <c r="G391" s="47"/>
      <c r="H391" s="47"/>
      <c r="I391" s="74"/>
      <c r="J391" s="47"/>
      <c r="K391" s="47"/>
      <c r="L391" s="47"/>
      <c r="M391" s="47"/>
      <c r="N391" s="47"/>
      <c r="O391" s="47"/>
      <c r="P391" s="47"/>
      <c r="Q391" s="47"/>
      <c r="R391" s="75">
        <f t="shared" si="6"/>
        <v>0</v>
      </c>
    </row>
    <row r="392" spans="1:18" x14ac:dyDescent="0.35">
      <c r="A392" s="52">
        <v>390</v>
      </c>
      <c r="B392" s="67" t="s">
        <v>870</v>
      </c>
      <c r="C392" s="7" t="s">
        <v>1651</v>
      </c>
      <c r="D392" s="54" t="s">
        <v>80</v>
      </c>
      <c r="E392" s="9">
        <v>0</v>
      </c>
      <c r="F392" s="47"/>
      <c r="G392" s="47"/>
      <c r="H392" s="47"/>
      <c r="I392" s="74"/>
      <c r="J392" s="47"/>
      <c r="K392" s="47"/>
      <c r="L392" s="47"/>
      <c r="M392" s="47"/>
      <c r="N392" s="47"/>
      <c r="O392" s="47"/>
      <c r="P392" s="47"/>
      <c r="Q392" s="47"/>
      <c r="R392" s="75">
        <f t="shared" si="6"/>
        <v>0</v>
      </c>
    </row>
    <row r="393" spans="1:18" x14ac:dyDescent="0.35">
      <c r="A393" s="52">
        <v>391</v>
      </c>
      <c r="B393" s="67" t="s">
        <v>872</v>
      </c>
      <c r="C393" s="7" t="s">
        <v>873</v>
      </c>
      <c r="D393" s="54" t="s">
        <v>354</v>
      </c>
      <c r="E393" s="9">
        <v>0</v>
      </c>
      <c r="F393" s="47"/>
      <c r="G393" s="47"/>
      <c r="H393" s="47"/>
      <c r="I393" s="74"/>
      <c r="J393" s="47"/>
      <c r="K393" s="47"/>
      <c r="L393" s="47"/>
      <c r="M393" s="47"/>
      <c r="N393" s="47"/>
      <c r="O393" s="47"/>
      <c r="P393" s="47"/>
      <c r="Q393" s="47"/>
      <c r="R393" s="75">
        <f t="shared" si="6"/>
        <v>0</v>
      </c>
    </row>
    <row r="394" spans="1:18" x14ac:dyDescent="0.35">
      <c r="A394" s="52">
        <v>392</v>
      </c>
      <c r="B394" s="67" t="s">
        <v>874</v>
      </c>
      <c r="C394" s="7" t="s">
        <v>875</v>
      </c>
      <c r="D394" s="54" t="s">
        <v>231</v>
      </c>
      <c r="E394" s="9">
        <v>200000</v>
      </c>
      <c r="F394" s="47"/>
      <c r="G394" s="47"/>
      <c r="H394" s="47"/>
      <c r="I394" s="74"/>
      <c r="J394" s="47"/>
      <c r="K394" s="47"/>
      <c r="L394" s="47"/>
      <c r="M394" s="47"/>
      <c r="N394" s="47"/>
      <c r="O394" s="47"/>
      <c r="P394" s="47"/>
      <c r="Q394" s="47"/>
      <c r="R394" s="75">
        <f t="shared" si="6"/>
        <v>200000</v>
      </c>
    </row>
    <row r="395" spans="1:18" x14ac:dyDescent="0.35">
      <c r="A395" s="52">
        <v>393</v>
      </c>
      <c r="B395" s="67" t="s">
        <v>876</v>
      </c>
      <c r="C395" s="7" t="s">
        <v>877</v>
      </c>
      <c r="D395" s="54" t="s">
        <v>65</v>
      </c>
      <c r="E395" s="9">
        <v>0</v>
      </c>
      <c r="F395" s="47"/>
      <c r="G395" s="47"/>
      <c r="H395" s="47"/>
      <c r="I395" s="74"/>
      <c r="J395" s="47"/>
      <c r="K395" s="47"/>
      <c r="L395" s="47"/>
      <c r="M395" s="47"/>
      <c r="N395" s="47"/>
      <c r="O395" s="47"/>
      <c r="P395" s="47"/>
      <c r="Q395" s="47"/>
      <c r="R395" s="75">
        <f t="shared" si="6"/>
        <v>0</v>
      </c>
    </row>
    <row r="396" spans="1:18" x14ac:dyDescent="0.35">
      <c r="A396" s="52">
        <v>394</v>
      </c>
      <c r="B396" s="67" t="s">
        <v>878</v>
      </c>
      <c r="C396" s="144" t="s">
        <v>1914</v>
      </c>
      <c r="D396" s="54" t="s">
        <v>95</v>
      </c>
      <c r="E396" s="9">
        <v>0</v>
      </c>
      <c r="F396" s="47"/>
      <c r="G396" s="47"/>
      <c r="H396" s="47"/>
      <c r="I396" s="74"/>
      <c r="J396" s="47"/>
      <c r="K396" s="47"/>
      <c r="L396" s="47"/>
      <c r="M396" s="47"/>
      <c r="N396" s="47"/>
      <c r="O396" s="47"/>
      <c r="P396" s="47"/>
      <c r="Q396" s="47"/>
      <c r="R396" s="75">
        <f t="shared" si="6"/>
        <v>0</v>
      </c>
    </row>
    <row r="397" spans="1:18" x14ac:dyDescent="0.35">
      <c r="A397" s="52">
        <v>395</v>
      </c>
      <c r="B397" s="67" t="s">
        <v>880</v>
      </c>
      <c r="C397" s="144" t="s">
        <v>1880</v>
      </c>
      <c r="D397" s="54" t="s">
        <v>123</v>
      </c>
      <c r="E397" s="9">
        <v>350000</v>
      </c>
      <c r="F397" s="47"/>
      <c r="G397" s="47"/>
      <c r="H397" s="47"/>
      <c r="I397" s="74"/>
      <c r="J397" s="47"/>
      <c r="K397" s="47"/>
      <c r="L397" s="47"/>
      <c r="M397" s="47"/>
      <c r="N397" s="47"/>
      <c r="O397" s="47"/>
      <c r="P397" s="47"/>
      <c r="Q397" s="47"/>
      <c r="R397" s="75">
        <f t="shared" si="6"/>
        <v>350000</v>
      </c>
    </row>
    <row r="398" spans="1:18" x14ac:dyDescent="0.35">
      <c r="A398" s="52">
        <v>396</v>
      </c>
      <c r="B398" s="67" t="s">
        <v>882</v>
      </c>
      <c r="C398" s="144" t="s">
        <v>1890</v>
      </c>
      <c r="D398" s="54" t="s">
        <v>215</v>
      </c>
      <c r="E398" s="9">
        <v>0</v>
      </c>
      <c r="F398" s="47"/>
      <c r="G398" s="47"/>
      <c r="H398" s="47"/>
      <c r="I398" s="74"/>
      <c r="J398" s="47"/>
      <c r="K398" s="47"/>
      <c r="L398" s="47"/>
      <c r="M398" s="47"/>
      <c r="N398" s="47"/>
      <c r="O398" s="47"/>
      <c r="P398" s="47"/>
      <c r="Q398" s="47"/>
      <c r="R398" s="75">
        <f t="shared" si="6"/>
        <v>0</v>
      </c>
    </row>
    <row r="399" spans="1:18" x14ac:dyDescent="0.35">
      <c r="A399" s="52">
        <v>397</v>
      </c>
      <c r="B399" s="67" t="s">
        <v>884</v>
      </c>
      <c r="C399" s="7" t="s">
        <v>885</v>
      </c>
      <c r="D399" s="54" t="s">
        <v>123</v>
      </c>
      <c r="E399" s="9">
        <v>0</v>
      </c>
      <c r="F399" s="47"/>
      <c r="G399" s="47"/>
      <c r="H399" s="47"/>
      <c r="I399" s="74"/>
      <c r="J399" s="47"/>
      <c r="K399" s="47"/>
      <c r="L399" s="47"/>
      <c r="M399" s="47"/>
      <c r="N399" s="47"/>
      <c r="O399" s="47"/>
      <c r="P399" s="47"/>
      <c r="Q399" s="47"/>
      <c r="R399" s="75">
        <f t="shared" si="6"/>
        <v>0</v>
      </c>
    </row>
    <row r="400" spans="1:18" x14ac:dyDescent="0.35">
      <c r="A400" s="52">
        <v>398</v>
      </c>
      <c r="B400" s="67" t="s">
        <v>886</v>
      </c>
      <c r="C400" s="90" t="s">
        <v>2058</v>
      </c>
      <c r="D400" s="54" t="s">
        <v>318</v>
      </c>
      <c r="E400" s="9">
        <v>0</v>
      </c>
      <c r="F400" s="47"/>
      <c r="G400" s="47"/>
      <c r="H400" s="47"/>
      <c r="I400" s="74"/>
      <c r="J400" s="47"/>
      <c r="K400" s="47"/>
      <c r="L400" s="47"/>
      <c r="M400" s="47"/>
      <c r="N400" s="47"/>
      <c r="O400" s="47"/>
      <c r="P400" s="47"/>
      <c r="Q400" s="47"/>
      <c r="R400" s="75">
        <f t="shared" si="6"/>
        <v>0</v>
      </c>
    </row>
    <row r="401" spans="1:18" x14ac:dyDescent="0.35">
      <c r="A401" s="52">
        <v>399</v>
      </c>
      <c r="B401" s="67" t="s">
        <v>887</v>
      </c>
      <c r="C401" s="7" t="s">
        <v>888</v>
      </c>
      <c r="D401" s="54" t="s">
        <v>551</v>
      </c>
      <c r="E401" s="9">
        <v>0</v>
      </c>
      <c r="F401" s="47"/>
      <c r="G401" s="47"/>
      <c r="H401" s="47"/>
      <c r="I401" s="74"/>
      <c r="J401" s="47"/>
      <c r="K401" s="47"/>
      <c r="L401" s="47"/>
      <c r="M401" s="47"/>
      <c r="N401" s="47"/>
      <c r="O401" s="47"/>
      <c r="P401" s="47"/>
      <c r="Q401" s="47"/>
      <c r="R401" s="75">
        <f t="shared" si="6"/>
        <v>0</v>
      </c>
    </row>
    <row r="402" spans="1:18" x14ac:dyDescent="0.35">
      <c r="A402" s="52">
        <v>400</v>
      </c>
      <c r="B402" s="67" t="s">
        <v>889</v>
      </c>
      <c r="C402" s="7" t="s">
        <v>1652</v>
      </c>
      <c r="D402" s="54" t="s">
        <v>95</v>
      </c>
      <c r="E402" s="9">
        <v>0</v>
      </c>
      <c r="F402" s="47"/>
      <c r="G402" s="47"/>
      <c r="H402" s="47"/>
      <c r="I402" s="74"/>
      <c r="J402" s="47"/>
      <c r="K402" s="47"/>
      <c r="L402" s="47"/>
      <c r="M402" s="47"/>
      <c r="N402" s="47"/>
      <c r="O402" s="47"/>
      <c r="P402" s="47"/>
      <c r="Q402" s="47"/>
      <c r="R402" s="75">
        <f t="shared" si="6"/>
        <v>0</v>
      </c>
    </row>
    <row r="403" spans="1:18" x14ac:dyDescent="0.35">
      <c r="A403" s="52">
        <v>401</v>
      </c>
      <c r="B403" s="67" t="s">
        <v>891</v>
      </c>
      <c r="C403" s="144" t="s">
        <v>2059</v>
      </c>
      <c r="D403" s="54" t="s">
        <v>95</v>
      </c>
      <c r="E403" s="9">
        <v>250000</v>
      </c>
      <c r="F403" s="47"/>
      <c r="G403" s="47"/>
      <c r="H403" s="47"/>
      <c r="I403" s="74"/>
      <c r="J403" s="47"/>
      <c r="K403" s="47"/>
      <c r="L403" s="47"/>
      <c r="M403" s="47"/>
      <c r="N403" s="47"/>
      <c r="O403" s="47"/>
      <c r="P403" s="47"/>
      <c r="Q403" s="47"/>
      <c r="R403" s="75">
        <f t="shared" si="6"/>
        <v>250000</v>
      </c>
    </row>
    <row r="404" spans="1:18" x14ac:dyDescent="0.35">
      <c r="A404" s="52">
        <v>402</v>
      </c>
      <c r="B404" s="67" t="s">
        <v>893</v>
      </c>
      <c r="C404" s="55" t="s">
        <v>894</v>
      </c>
      <c r="D404" s="54" t="s">
        <v>19</v>
      </c>
      <c r="E404" s="9">
        <v>0</v>
      </c>
      <c r="F404" s="47"/>
      <c r="G404" s="47"/>
      <c r="H404" s="47"/>
      <c r="I404" s="74"/>
      <c r="J404" s="47"/>
      <c r="K404" s="47"/>
      <c r="L404" s="47"/>
      <c r="M404" s="47"/>
      <c r="N404" s="47"/>
      <c r="O404" s="47"/>
      <c r="P404" s="47"/>
      <c r="Q404" s="47"/>
      <c r="R404" s="75">
        <f t="shared" si="6"/>
        <v>0</v>
      </c>
    </row>
    <row r="405" spans="1:18" x14ac:dyDescent="0.35">
      <c r="A405" s="52">
        <v>403</v>
      </c>
      <c r="B405" s="67" t="s">
        <v>895</v>
      </c>
      <c r="C405" s="7" t="s">
        <v>1742</v>
      </c>
      <c r="D405" s="54" t="s">
        <v>253</v>
      </c>
      <c r="E405" s="9">
        <v>0</v>
      </c>
      <c r="F405" s="47"/>
      <c r="G405" s="47"/>
      <c r="H405" s="47"/>
      <c r="I405" s="74"/>
      <c r="J405" s="47"/>
      <c r="K405" s="47"/>
      <c r="L405" s="47"/>
      <c r="M405" s="47"/>
      <c r="N405" s="47"/>
      <c r="O405" s="47"/>
      <c r="P405" s="47"/>
      <c r="Q405" s="47"/>
      <c r="R405" s="75">
        <f t="shared" si="6"/>
        <v>0</v>
      </c>
    </row>
    <row r="406" spans="1:18" x14ac:dyDescent="0.35">
      <c r="A406" s="52">
        <v>404</v>
      </c>
      <c r="B406" s="67" t="s">
        <v>897</v>
      </c>
      <c r="C406" s="7" t="s">
        <v>898</v>
      </c>
      <c r="D406" s="54"/>
      <c r="E406" s="9">
        <v>0</v>
      </c>
      <c r="F406" s="47"/>
      <c r="G406" s="47"/>
      <c r="H406" s="47"/>
      <c r="I406" s="74"/>
      <c r="J406" s="47"/>
      <c r="K406" s="47"/>
      <c r="L406" s="47"/>
      <c r="M406" s="47"/>
      <c r="N406" s="47"/>
      <c r="O406" s="47"/>
      <c r="P406" s="47"/>
      <c r="Q406" s="47"/>
      <c r="R406" s="75">
        <f t="shared" si="6"/>
        <v>0</v>
      </c>
    </row>
    <row r="407" spans="1:18" x14ac:dyDescent="0.35">
      <c r="A407" s="52">
        <v>405</v>
      </c>
      <c r="B407" s="67" t="s">
        <v>899</v>
      </c>
      <c r="C407" s="7" t="s">
        <v>1741</v>
      </c>
      <c r="D407" s="54" t="s">
        <v>77</v>
      </c>
      <c r="E407" s="9">
        <v>0</v>
      </c>
      <c r="F407" s="47"/>
      <c r="G407" s="47"/>
      <c r="H407" s="47"/>
      <c r="I407" s="74"/>
      <c r="J407" s="47"/>
      <c r="K407" s="47"/>
      <c r="L407" s="47"/>
      <c r="M407" s="47"/>
      <c r="N407" s="47"/>
      <c r="O407" s="47"/>
      <c r="P407" s="47"/>
      <c r="Q407" s="47"/>
      <c r="R407" s="75">
        <f t="shared" si="6"/>
        <v>0</v>
      </c>
    </row>
    <row r="408" spans="1:18" x14ac:dyDescent="0.35">
      <c r="A408" s="52">
        <v>406</v>
      </c>
      <c r="B408" s="67" t="s">
        <v>901</v>
      </c>
      <c r="C408" s="7" t="s">
        <v>1740</v>
      </c>
      <c r="D408" s="54" t="s">
        <v>41</v>
      </c>
      <c r="E408" s="9">
        <v>0</v>
      </c>
      <c r="F408" s="47"/>
      <c r="G408" s="47"/>
      <c r="H408" s="47"/>
      <c r="I408" s="74"/>
      <c r="J408" s="47"/>
      <c r="K408" s="47"/>
      <c r="L408" s="47"/>
      <c r="M408" s="47"/>
      <c r="N408" s="47"/>
      <c r="O408" s="47"/>
      <c r="P408" s="47"/>
      <c r="Q408" s="47"/>
      <c r="R408" s="75">
        <f t="shared" si="6"/>
        <v>0</v>
      </c>
    </row>
    <row r="409" spans="1:18" x14ac:dyDescent="0.35">
      <c r="A409" s="52">
        <v>407</v>
      </c>
      <c r="B409" s="67" t="s">
        <v>903</v>
      </c>
      <c r="C409" s="144" t="s">
        <v>2060</v>
      </c>
      <c r="D409" s="54" t="s">
        <v>905</v>
      </c>
      <c r="E409" s="9">
        <v>0</v>
      </c>
      <c r="F409" s="47"/>
      <c r="G409" s="47"/>
      <c r="H409" s="47"/>
      <c r="I409" s="74"/>
      <c r="J409" s="47"/>
      <c r="K409" s="47"/>
      <c r="L409" s="47"/>
      <c r="M409" s="47"/>
      <c r="N409" s="47"/>
      <c r="O409" s="47"/>
      <c r="P409" s="47"/>
      <c r="Q409" s="47"/>
      <c r="R409" s="75">
        <f t="shared" si="6"/>
        <v>0</v>
      </c>
    </row>
    <row r="410" spans="1:18" x14ac:dyDescent="0.35">
      <c r="A410" s="52">
        <v>408</v>
      </c>
      <c r="B410" s="67" t="s">
        <v>906</v>
      </c>
      <c r="C410" s="90" t="s">
        <v>1748</v>
      </c>
      <c r="D410" s="54" t="s">
        <v>131</v>
      </c>
      <c r="E410" s="9">
        <v>1250000</v>
      </c>
      <c r="F410" s="47"/>
      <c r="G410" s="47"/>
      <c r="H410" s="47"/>
      <c r="I410" s="74"/>
      <c r="J410" s="47"/>
      <c r="K410" s="47"/>
      <c r="L410" s="47"/>
      <c r="M410" s="47"/>
      <c r="N410" s="47"/>
      <c r="O410" s="47"/>
      <c r="P410" s="47"/>
      <c r="Q410" s="47"/>
      <c r="R410" s="75">
        <f t="shared" si="6"/>
        <v>1250000</v>
      </c>
    </row>
    <row r="411" spans="1:18" x14ac:dyDescent="0.35">
      <c r="A411" s="52">
        <v>409</v>
      </c>
      <c r="B411" s="67" t="s">
        <v>908</v>
      </c>
      <c r="C411" s="7" t="s">
        <v>1867</v>
      </c>
      <c r="D411" s="54" t="s">
        <v>228</v>
      </c>
      <c r="E411" s="9">
        <v>220000</v>
      </c>
      <c r="F411" s="47"/>
      <c r="G411" s="47"/>
      <c r="H411" s="47"/>
      <c r="I411" s="74"/>
      <c r="J411" s="47">
        <v>-220000</v>
      </c>
      <c r="K411" s="47"/>
      <c r="L411" s="47"/>
      <c r="M411" s="47"/>
      <c r="N411" s="47"/>
      <c r="O411" s="47"/>
      <c r="P411" s="47"/>
      <c r="Q411" s="47"/>
      <c r="R411" s="75">
        <f t="shared" si="6"/>
        <v>0</v>
      </c>
    </row>
    <row r="412" spans="1:18" x14ac:dyDescent="0.35">
      <c r="A412" s="52">
        <v>410</v>
      </c>
      <c r="B412" s="67" t="s">
        <v>910</v>
      </c>
      <c r="C412" s="101" t="s">
        <v>2061</v>
      </c>
      <c r="D412" s="54" t="s">
        <v>290</v>
      </c>
      <c r="E412" s="9">
        <v>75000</v>
      </c>
      <c r="F412" s="47"/>
      <c r="G412" s="47"/>
      <c r="H412" s="47"/>
      <c r="I412" s="74"/>
      <c r="J412" s="47"/>
      <c r="K412" s="47"/>
      <c r="L412" s="47"/>
      <c r="M412" s="47"/>
      <c r="N412" s="47"/>
      <c r="O412" s="47"/>
      <c r="P412" s="47"/>
      <c r="Q412" s="47"/>
      <c r="R412" s="75">
        <f t="shared" si="6"/>
        <v>75000</v>
      </c>
    </row>
    <row r="413" spans="1:18" x14ac:dyDescent="0.35">
      <c r="A413" s="52">
        <v>411</v>
      </c>
      <c r="B413" s="67" t="s">
        <v>912</v>
      </c>
      <c r="C413" s="7" t="s">
        <v>913</v>
      </c>
      <c r="D413" s="54" t="s">
        <v>92</v>
      </c>
      <c r="E413" s="9">
        <v>0</v>
      </c>
      <c r="F413" s="47"/>
      <c r="G413" s="47"/>
      <c r="H413" s="47"/>
      <c r="I413" s="74"/>
      <c r="J413" s="47"/>
      <c r="K413" s="47"/>
      <c r="L413" s="47"/>
      <c r="M413" s="47"/>
      <c r="N413" s="47"/>
      <c r="O413" s="47"/>
      <c r="P413" s="47"/>
      <c r="Q413" s="47"/>
      <c r="R413" s="75">
        <f t="shared" si="6"/>
        <v>0</v>
      </c>
    </row>
    <row r="414" spans="1:18" x14ac:dyDescent="0.35">
      <c r="A414" s="52">
        <v>412</v>
      </c>
      <c r="B414" s="67" t="s">
        <v>914</v>
      </c>
      <c r="C414" s="90" t="s">
        <v>1753</v>
      </c>
      <c r="D414" s="54" t="s">
        <v>260</v>
      </c>
      <c r="E414" s="9">
        <v>100000</v>
      </c>
      <c r="F414" s="47"/>
      <c r="G414" s="47"/>
      <c r="H414" s="47"/>
      <c r="I414" s="74"/>
      <c r="J414" s="47"/>
      <c r="K414" s="47"/>
      <c r="L414" s="47"/>
      <c r="M414" s="47">
        <v>100000</v>
      </c>
      <c r="N414" s="47"/>
      <c r="O414" s="47"/>
      <c r="P414" s="47"/>
      <c r="Q414" s="47"/>
      <c r="R414" s="75">
        <f t="shared" si="6"/>
        <v>200000</v>
      </c>
    </row>
    <row r="415" spans="1:18" x14ac:dyDescent="0.35">
      <c r="A415" s="52">
        <v>413</v>
      </c>
      <c r="B415" s="67" t="s">
        <v>916</v>
      </c>
      <c r="C415" s="7" t="s">
        <v>917</v>
      </c>
      <c r="D415" s="54" t="s">
        <v>46</v>
      </c>
      <c r="E415" s="9">
        <v>0</v>
      </c>
      <c r="F415" s="47"/>
      <c r="G415" s="47"/>
      <c r="H415" s="47"/>
      <c r="I415" s="74"/>
      <c r="J415" s="47"/>
      <c r="K415" s="47"/>
      <c r="L415" s="47"/>
      <c r="M415" s="47"/>
      <c r="N415" s="47"/>
      <c r="O415" s="47"/>
      <c r="P415" s="47"/>
      <c r="Q415" s="47"/>
      <c r="R415" s="75">
        <f t="shared" si="6"/>
        <v>0</v>
      </c>
    </row>
    <row r="416" spans="1:18" x14ac:dyDescent="0.35">
      <c r="A416" s="52">
        <v>414</v>
      </c>
      <c r="B416" s="67" t="s">
        <v>918</v>
      </c>
      <c r="C416" s="7" t="s">
        <v>1653</v>
      </c>
      <c r="D416" s="54" t="s">
        <v>128</v>
      </c>
      <c r="E416" s="9">
        <v>0</v>
      </c>
      <c r="F416" s="47"/>
      <c r="G416" s="47"/>
      <c r="H416" s="47"/>
      <c r="I416" s="74"/>
      <c r="J416" s="47"/>
      <c r="K416" s="47"/>
      <c r="L416" s="47"/>
      <c r="M416" s="47"/>
      <c r="N416" s="47"/>
      <c r="O416" s="47"/>
      <c r="P416" s="47"/>
      <c r="Q416" s="47"/>
      <c r="R416" s="75">
        <f t="shared" si="6"/>
        <v>0</v>
      </c>
    </row>
    <row r="417" spans="1:18" x14ac:dyDescent="0.35">
      <c r="A417" s="52">
        <v>415</v>
      </c>
      <c r="B417" s="67" t="s">
        <v>920</v>
      </c>
      <c r="C417" s="90" t="s">
        <v>2062</v>
      </c>
      <c r="D417" s="54" t="s">
        <v>72</v>
      </c>
      <c r="E417" s="9">
        <v>0</v>
      </c>
      <c r="F417" s="47"/>
      <c r="G417" s="47"/>
      <c r="H417" s="47"/>
      <c r="I417" s="74"/>
      <c r="J417" s="47"/>
      <c r="K417" s="47"/>
      <c r="L417" s="47"/>
      <c r="M417" s="47"/>
      <c r="N417" s="47"/>
      <c r="O417" s="47"/>
      <c r="P417" s="47"/>
      <c r="Q417" s="47"/>
      <c r="R417" s="75">
        <f t="shared" si="6"/>
        <v>0</v>
      </c>
    </row>
    <row r="418" spans="1:18" x14ac:dyDescent="0.35">
      <c r="A418" s="52">
        <v>416</v>
      </c>
      <c r="B418" s="67" t="s">
        <v>922</v>
      </c>
      <c r="C418" s="7" t="s">
        <v>1654</v>
      </c>
      <c r="D418" s="54" t="s">
        <v>41</v>
      </c>
      <c r="E418" s="9">
        <v>0</v>
      </c>
      <c r="F418" s="47"/>
      <c r="G418" s="47"/>
      <c r="H418" s="47"/>
      <c r="I418" s="74"/>
      <c r="J418" s="47"/>
      <c r="K418" s="47"/>
      <c r="L418" s="47"/>
      <c r="M418" s="47"/>
      <c r="N418" s="47"/>
      <c r="O418" s="47"/>
      <c r="P418" s="47"/>
      <c r="Q418" s="47"/>
      <c r="R418" s="75">
        <f t="shared" si="6"/>
        <v>0</v>
      </c>
    </row>
    <row r="419" spans="1:18" x14ac:dyDescent="0.35">
      <c r="A419" s="52">
        <v>417</v>
      </c>
      <c r="B419" s="67" t="s">
        <v>924</v>
      </c>
      <c r="C419" s="7" t="s">
        <v>1720</v>
      </c>
      <c r="D419" s="54" t="s">
        <v>141</v>
      </c>
      <c r="E419" s="9">
        <v>0</v>
      </c>
      <c r="F419" s="47"/>
      <c r="G419" s="47"/>
      <c r="H419" s="47"/>
      <c r="I419" s="74"/>
      <c r="J419" s="47"/>
      <c r="K419" s="47"/>
      <c r="L419" s="47"/>
      <c r="M419" s="47"/>
      <c r="N419" s="47"/>
      <c r="O419" s="47"/>
      <c r="P419" s="47"/>
      <c r="Q419" s="47"/>
      <c r="R419" s="75">
        <f t="shared" si="6"/>
        <v>0</v>
      </c>
    </row>
    <row r="420" spans="1:18" x14ac:dyDescent="0.35">
      <c r="A420" s="52">
        <v>418</v>
      </c>
      <c r="B420" s="67" t="s">
        <v>926</v>
      </c>
      <c r="C420" s="7" t="s">
        <v>1715</v>
      </c>
      <c r="D420" s="54" t="s">
        <v>77</v>
      </c>
      <c r="E420" s="9">
        <v>0</v>
      </c>
      <c r="F420" s="47"/>
      <c r="G420" s="47"/>
      <c r="H420" s="47"/>
      <c r="I420" s="74"/>
      <c r="J420" s="47"/>
      <c r="K420" s="47"/>
      <c r="L420" s="47"/>
      <c r="M420" s="47"/>
      <c r="N420" s="47"/>
      <c r="O420" s="47"/>
      <c r="P420" s="47"/>
      <c r="Q420" s="47"/>
      <c r="R420" s="75">
        <f t="shared" si="6"/>
        <v>0</v>
      </c>
    </row>
    <row r="421" spans="1:18" x14ac:dyDescent="0.35">
      <c r="A421" s="52">
        <v>419</v>
      </c>
      <c r="B421" s="67" t="s">
        <v>928</v>
      </c>
      <c r="C421" s="7" t="s">
        <v>929</v>
      </c>
      <c r="D421" s="54"/>
      <c r="E421" s="9">
        <v>0</v>
      </c>
      <c r="F421" s="47"/>
      <c r="G421" s="47"/>
      <c r="H421" s="47"/>
      <c r="I421" s="74"/>
      <c r="J421" s="47"/>
      <c r="K421" s="47"/>
      <c r="L421" s="47"/>
      <c r="M421" s="47"/>
      <c r="N421" s="47"/>
      <c r="O421" s="47"/>
      <c r="P421" s="47"/>
      <c r="Q421" s="47"/>
      <c r="R421" s="75">
        <f t="shared" si="6"/>
        <v>0</v>
      </c>
    </row>
    <row r="422" spans="1:18" x14ac:dyDescent="0.35">
      <c r="A422" s="52">
        <v>420</v>
      </c>
      <c r="B422" s="67" t="s">
        <v>930</v>
      </c>
      <c r="C422" s="7" t="s">
        <v>1714</v>
      </c>
      <c r="D422" s="54" t="s">
        <v>83</v>
      </c>
      <c r="E422" s="9">
        <v>0</v>
      </c>
      <c r="F422" s="47"/>
      <c r="G422" s="47"/>
      <c r="H422" s="47"/>
      <c r="I422" s="74"/>
      <c r="J422" s="47"/>
      <c r="K422" s="47"/>
      <c r="L422" s="47"/>
      <c r="M422" s="47"/>
      <c r="N422" s="47"/>
      <c r="O422" s="47"/>
      <c r="P422" s="47"/>
      <c r="Q422" s="47"/>
      <c r="R422" s="75">
        <f t="shared" si="6"/>
        <v>0</v>
      </c>
    </row>
    <row r="423" spans="1:18" x14ac:dyDescent="0.35">
      <c r="A423" s="52">
        <v>421</v>
      </c>
      <c r="B423" s="67" t="s">
        <v>932</v>
      </c>
      <c r="C423" s="7" t="s">
        <v>2237</v>
      </c>
      <c r="D423" s="54" t="s">
        <v>92</v>
      </c>
      <c r="E423" s="9">
        <v>0</v>
      </c>
      <c r="F423" s="47"/>
      <c r="G423" s="47"/>
      <c r="H423" s="47"/>
      <c r="I423" s="74"/>
      <c r="J423" s="47"/>
      <c r="K423" s="47"/>
      <c r="L423" s="47"/>
      <c r="M423" s="47"/>
      <c r="N423" s="47"/>
      <c r="O423" s="47"/>
      <c r="P423" s="47"/>
      <c r="Q423" s="47"/>
      <c r="R423" s="75">
        <f t="shared" si="6"/>
        <v>0</v>
      </c>
    </row>
    <row r="424" spans="1:18" x14ac:dyDescent="0.35">
      <c r="A424" s="52">
        <v>422</v>
      </c>
      <c r="B424" s="67" t="s">
        <v>934</v>
      </c>
      <c r="C424" s="144" t="s">
        <v>1873</v>
      </c>
      <c r="D424" s="54" t="s">
        <v>936</v>
      </c>
      <c r="E424" s="9">
        <v>0</v>
      </c>
      <c r="F424" s="47"/>
      <c r="G424" s="47"/>
      <c r="H424" s="47"/>
      <c r="I424" s="74"/>
      <c r="J424" s="47"/>
      <c r="K424" s="47"/>
      <c r="L424" s="47"/>
      <c r="M424" s="47"/>
      <c r="N424" s="47"/>
      <c r="O424" s="47"/>
      <c r="P424" s="47"/>
      <c r="Q424" s="47"/>
      <c r="R424" s="75">
        <f t="shared" si="6"/>
        <v>0</v>
      </c>
    </row>
    <row r="425" spans="1:18" x14ac:dyDescent="0.35">
      <c r="A425" s="52">
        <v>423</v>
      </c>
      <c r="B425" s="67" t="s">
        <v>937</v>
      </c>
      <c r="C425" s="144" t="s">
        <v>1883</v>
      </c>
      <c r="D425" s="54" t="s">
        <v>92</v>
      </c>
      <c r="E425" s="9">
        <v>0</v>
      </c>
      <c r="F425" s="47"/>
      <c r="G425" s="47"/>
      <c r="H425" s="47"/>
      <c r="I425" s="74"/>
      <c r="J425" s="47"/>
      <c r="K425" s="47"/>
      <c r="L425" s="47"/>
      <c r="M425" s="47"/>
      <c r="N425" s="47"/>
      <c r="O425" s="47"/>
      <c r="P425" s="47"/>
      <c r="Q425" s="47"/>
      <c r="R425" s="75">
        <f t="shared" si="6"/>
        <v>0</v>
      </c>
    </row>
    <row r="426" spans="1:18" x14ac:dyDescent="0.35">
      <c r="A426" s="52">
        <v>424</v>
      </c>
      <c r="B426" s="67" t="s">
        <v>939</v>
      </c>
      <c r="C426" s="144" t="s">
        <v>1884</v>
      </c>
      <c r="D426" s="54" t="s">
        <v>198</v>
      </c>
      <c r="E426" s="9">
        <v>0</v>
      </c>
      <c r="F426" s="47"/>
      <c r="G426" s="47"/>
      <c r="H426" s="47"/>
      <c r="I426" s="74"/>
      <c r="J426" s="47"/>
      <c r="K426" s="47"/>
      <c r="L426" s="47"/>
      <c r="M426" s="47"/>
      <c r="N426" s="47"/>
      <c r="O426" s="47"/>
      <c r="P426" s="47"/>
      <c r="Q426" s="47"/>
      <c r="R426" s="75">
        <f t="shared" si="6"/>
        <v>0</v>
      </c>
    </row>
    <row r="427" spans="1:18" x14ac:dyDescent="0.35">
      <c r="A427" s="52">
        <v>425</v>
      </c>
      <c r="B427" s="67" t="s">
        <v>941</v>
      </c>
      <c r="C427" s="90" t="s">
        <v>1845</v>
      </c>
      <c r="D427" s="54" t="s">
        <v>406</v>
      </c>
      <c r="E427" s="9">
        <v>100000</v>
      </c>
      <c r="F427" s="47"/>
      <c r="G427" s="47"/>
      <c r="H427" s="47"/>
      <c r="I427" s="74"/>
      <c r="J427" s="47"/>
      <c r="K427" s="47"/>
      <c r="L427" s="47"/>
      <c r="M427" s="47"/>
      <c r="N427" s="47"/>
      <c r="O427" s="47"/>
      <c r="P427" s="47"/>
      <c r="Q427" s="47"/>
      <c r="R427" s="75">
        <f t="shared" si="6"/>
        <v>100000</v>
      </c>
    </row>
    <row r="428" spans="1:18" x14ac:dyDescent="0.35">
      <c r="A428" s="52">
        <v>426</v>
      </c>
      <c r="B428" s="67" t="s">
        <v>943</v>
      </c>
      <c r="C428" s="144" t="s">
        <v>2063</v>
      </c>
      <c r="D428" s="54" t="s">
        <v>19</v>
      </c>
      <c r="E428" s="9">
        <v>300000</v>
      </c>
      <c r="F428" s="47"/>
      <c r="G428" s="47"/>
      <c r="H428" s="47"/>
      <c r="I428" s="74"/>
      <c r="J428" s="47"/>
      <c r="K428" s="47"/>
      <c r="L428" s="47"/>
      <c r="M428" s="47"/>
      <c r="N428" s="47"/>
      <c r="O428" s="47"/>
      <c r="P428" s="47"/>
      <c r="Q428" s="47"/>
      <c r="R428" s="75">
        <f t="shared" si="6"/>
        <v>300000</v>
      </c>
    </row>
    <row r="429" spans="1:18" x14ac:dyDescent="0.35">
      <c r="A429" s="52">
        <v>427</v>
      </c>
      <c r="B429" s="67" t="s">
        <v>945</v>
      </c>
      <c r="C429" s="144" t="s">
        <v>1917</v>
      </c>
      <c r="D429" s="54" t="s">
        <v>354</v>
      </c>
      <c r="E429" s="9">
        <v>0</v>
      </c>
      <c r="F429" s="47"/>
      <c r="G429" s="47"/>
      <c r="H429" s="47"/>
      <c r="I429" s="74"/>
      <c r="J429" s="47"/>
      <c r="K429" s="47"/>
      <c r="L429" s="47"/>
      <c r="M429" s="47"/>
      <c r="N429" s="47"/>
      <c r="O429" s="47"/>
      <c r="P429" s="47"/>
      <c r="Q429" s="47"/>
      <c r="R429" s="75">
        <f t="shared" si="6"/>
        <v>0</v>
      </c>
    </row>
    <row r="430" spans="1:18" x14ac:dyDescent="0.35">
      <c r="A430" s="52">
        <v>428</v>
      </c>
      <c r="B430" s="67" t="s">
        <v>947</v>
      </c>
      <c r="C430" s="7" t="s">
        <v>1655</v>
      </c>
      <c r="D430" s="54" t="s">
        <v>41</v>
      </c>
      <c r="E430" s="9">
        <v>0</v>
      </c>
      <c r="F430" s="47"/>
      <c r="G430" s="47"/>
      <c r="H430" s="47"/>
      <c r="I430" s="74"/>
      <c r="J430" s="47"/>
      <c r="K430" s="47"/>
      <c r="L430" s="47"/>
      <c r="M430" s="47"/>
      <c r="N430" s="47"/>
      <c r="O430" s="47"/>
      <c r="P430" s="47"/>
      <c r="Q430" s="47"/>
      <c r="R430" s="75">
        <f t="shared" si="6"/>
        <v>0</v>
      </c>
    </row>
    <row r="431" spans="1:18" x14ac:dyDescent="0.35">
      <c r="A431" s="52">
        <v>429</v>
      </c>
      <c r="B431" s="67" t="s">
        <v>949</v>
      </c>
      <c r="C431" s="90" t="s">
        <v>1847</v>
      </c>
      <c r="D431" s="54" t="s">
        <v>238</v>
      </c>
      <c r="E431" s="9">
        <v>500000</v>
      </c>
      <c r="F431" s="47"/>
      <c r="G431" s="47"/>
      <c r="H431" s="47"/>
      <c r="I431" s="74"/>
      <c r="J431" s="47"/>
      <c r="K431" s="47"/>
      <c r="L431" s="47"/>
      <c r="M431" s="47"/>
      <c r="N431" s="47"/>
      <c r="O431" s="47"/>
      <c r="P431" s="47"/>
      <c r="Q431" s="47"/>
      <c r="R431" s="75">
        <f t="shared" si="6"/>
        <v>500000</v>
      </c>
    </row>
    <row r="432" spans="1:18" x14ac:dyDescent="0.35">
      <c r="A432" s="52">
        <v>430</v>
      </c>
      <c r="B432" s="67" t="s">
        <v>951</v>
      </c>
      <c r="C432" s="144" t="s">
        <v>2064</v>
      </c>
      <c r="D432" s="54" t="s">
        <v>72</v>
      </c>
      <c r="E432" s="9">
        <v>0</v>
      </c>
      <c r="F432" s="47"/>
      <c r="G432" s="47"/>
      <c r="H432" s="47"/>
      <c r="I432" s="74"/>
      <c r="J432" s="47"/>
      <c r="K432" s="47"/>
      <c r="L432" s="47"/>
      <c r="M432" s="47"/>
      <c r="N432" s="47"/>
      <c r="O432" s="47"/>
      <c r="P432" s="47"/>
      <c r="Q432" s="47"/>
      <c r="R432" s="75">
        <f t="shared" si="6"/>
        <v>0</v>
      </c>
    </row>
    <row r="433" spans="1:18" x14ac:dyDescent="0.35">
      <c r="A433" s="52">
        <v>431</v>
      </c>
      <c r="B433" s="67" t="s">
        <v>953</v>
      </c>
      <c r="C433" s="90" t="s">
        <v>1908</v>
      </c>
      <c r="D433" s="54" t="s">
        <v>267</v>
      </c>
      <c r="E433" s="9">
        <v>500000</v>
      </c>
      <c r="F433" s="47"/>
      <c r="G433" s="47"/>
      <c r="H433" s="47"/>
      <c r="I433" s="74"/>
      <c r="J433" s="47"/>
      <c r="K433" s="47"/>
      <c r="L433" s="47"/>
      <c r="M433" s="47"/>
      <c r="N433" s="47"/>
      <c r="O433" s="47"/>
      <c r="P433" s="47"/>
      <c r="Q433" s="47"/>
      <c r="R433" s="75">
        <f t="shared" si="6"/>
        <v>500000</v>
      </c>
    </row>
    <row r="434" spans="1:18" x14ac:dyDescent="0.35">
      <c r="A434" s="52">
        <v>432</v>
      </c>
      <c r="B434" s="67" t="s">
        <v>955</v>
      </c>
      <c r="C434" s="144" t="s">
        <v>2065</v>
      </c>
      <c r="D434" s="54" t="s">
        <v>19</v>
      </c>
      <c r="E434" s="9">
        <v>0</v>
      </c>
      <c r="F434" s="47"/>
      <c r="G434" s="47"/>
      <c r="H434" s="47"/>
      <c r="I434" s="74"/>
      <c r="J434" s="47"/>
      <c r="K434" s="47"/>
      <c r="L434" s="47"/>
      <c r="M434" s="47"/>
      <c r="N434" s="47"/>
      <c r="O434" s="47"/>
      <c r="P434" s="47"/>
      <c r="Q434" s="47"/>
      <c r="R434" s="75">
        <f t="shared" si="6"/>
        <v>0</v>
      </c>
    </row>
    <row r="435" spans="1:18" x14ac:dyDescent="0.35">
      <c r="A435" s="52">
        <v>433</v>
      </c>
      <c r="B435" s="67" t="s">
        <v>957</v>
      </c>
      <c r="C435" s="90" t="s">
        <v>1771</v>
      </c>
      <c r="D435" s="54" t="s">
        <v>406</v>
      </c>
      <c r="E435" s="9">
        <v>300000</v>
      </c>
      <c r="F435" s="47"/>
      <c r="G435" s="47"/>
      <c r="H435" s="47"/>
      <c r="I435" s="74"/>
      <c r="J435" s="47"/>
      <c r="K435" s="47">
        <v>20000</v>
      </c>
      <c r="L435" s="47">
        <v>20000</v>
      </c>
      <c r="M435" s="47">
        <v>20000</v>
      </c>
      <c r="N435" s="47">
        <v>20000</v>
      </c>
      <c r="O435" s="47">
        <v>20000</v>
      </c>
      <c r="P435" s="47"/>
      <c r="Q435" s="47"/>
      <c r="R435" s="75">
        <f t="shared" si="6"/>
        <v>400000</v>
      </c>
    </row>
    <row r="436" spans="1:18" x14ac:dyDescent="0.35">
      <c r="A436" s="52">
        <v>434</v>
      </c>
      <c r="B436" s="67" t="s">
        <v>959</v>
      </c>
      <c r="C436" s="7" t="s">
        <v>1656</v>
      </c>
      <c r="D436" s="54" t="s">
        <v>98</v>
      </c>
      <c r="E436" s="9">
        <v>500000</v>
      </c>
      <c r="F436" s="47"/>
      <c r="G436" s="47"/>
      <c r="H436" s="47"/>
      <c r="I436" s="74"/>
      <c r="J436" s="47"/>
      <c r="K436" s="47"/>
      <c r="L436" s="47"/>
      <c r="M436" s="47"/>
      <c r="N436" s="47"/>
      <c r="O436" s="47"/>
      <c r="P436" s="47"/>
      <c r="Q436" s="47"/>
      <c r="R436" s="75">
        <f t="shared" si="6"/>
        <v>500000</v>
      </c>
    </row>
    <row r="437" spans="1:18" x14ac:dyDescent="0.35">
      <c r="A437" s="52">
        <v>435</v>
      </c>
      <c r="B437" s="67" t="s">
        <v>961</v>
      </c>
      <c r="C437" s="7" t="s">
        <v>962</v>
      </c>
      <c r="D437" s="54" t="s">
        <v>374</v>
      </c>
      <c r="E437" s="9">
        <v>0</v>
      </c>
      <c r="F437" s="47"/>
      <c r="G437" s="47"/>
      <c r="H437" s="47"/>
      <c r="I437" s="74"/>
      <c r="J437" s="47"/>
      <c r="K437" s="47"/>
      <c r="L437" s="47"/>
      <c r="M437" s="47"/>
      <c r="N437" s="47"/>
      <c r="O437" s="47"/>
      <c r="P437" s="47"/>
      <c r="Q437" s="47"/>
      <c r="R437" s="75">
        <f t="shared" si="6"/>
        <v>0</v>
      </c>
    </row>
    <row r="438" spans="1:18" x14ac:dyDescent="0.35">
      <c r="A438" s="52">
        <v>436</v>
      </c>
      <c r="B438" s="67" t="s">
        <v>963</v>
      </c>
      <c r="C438" s="7" t="s">
        <v>964</v>
      </c>
      <c r="D438" s="54" t="s">
        <v>136</v>
      </c>
      <c r="E438" s="9">
        <v>0</v>
      </c>
      <c r="F438" s="47"/>
      <c r="G438" s="47"/>
      <c r="H438" s="47"/>
      <c r="I438" s="74"/>
      <c r="J438" s="47"/>
      <c r="K438" s="47"/>
      <c r="L438" s="47"/>
      <c r="M438" s="47"/>
      <c r="N438" s="47"/>
      <c r="O438" s="47"/>
      <c r="P438" s="47"/>
      <c r="Q438" s="47"/>
      <c r="R438" s="75">
        <f t="shared" si="6"/>
        <v>0</v>
      </c>
    </row>
    <row r="439" spans="1:18" x14ac:dyDescent="0.35">
      <c r="A439" s="52">
        <v>437</v>
      </c>
      <c r="B439" s="67" t="s">
        <v>965</v>
      </c>
      <c r="C439" s="7" t="s">
        <v>1657</v>
      </c>
      <c r="D439" s="54" t="s">
        <v>77</v>
      </c>
      <c r="E439" s="9">
        <v>0</v>
      </c>
      <c r="F439" s="47"/>
      <c r="G439" s="47"/>
      <c r="H439" s="47"/>
      <c r="I439" s="74"/>
      <c r="J439" s="47"/>
      <c r="K439" s="47"/>
      <c r="L439" s="47"/>
      <c r="M439" s="47"/>
      <c r="N439" s="47"/>
      <c r="O439" s="47"/>
      <c r="P439" s="47"/>
      <c r="Q439" s="47"/>
      <c r="R439" s="75">
        <f t="shared" si="6"/>
        <v>0</v>
      </c>
    </row>
    <row r="440" spans="1:18" x14ac:dyDescent="0.35">
      <c r="A440" s="52">
        <v>438</v>
      </c>
      <c r="B440" s="67" t="s">
        <v>967</v>
      </c>
      <c r="C440" s="7" t="s">
        <v>1625</v>
      </c>
      <c r="D440" s="54" t="s">
        <v>374</v>
      </c>
      <c r="E440" s="9">
        <v>0</v>
      </c>
      <c r="F440" s="47"/>
      <c r="G440" s="47"/>
      <c r="H440" s="47"/>
      <c r="I440" s="74"/>
      <c r="J440" s="47"/>
      <c r="K440" s="47"/>
      <c r="L440" s="47"/>
      <c r="M440" s="47"/>
      <c r="N440" s="47"/>
      <c r="O440" s="47"/>
      <c r="P440" s="47"/>
      <c r="Q440" s="47"/>
      <c r="R440" s="75">
        <f t="shared" si="6"/>
        <v>0</v>
      </c>
    </row>
    <row r="441" spans="1:18" x14ac:dyDescent="0.35">
      <c r="A441" s="52">
        <v>439</v>
      </c>
      <c r="B441" s="67" t="s">
        <v>969</v>
      </c>
      <c r="C441" s="90" t="s">
        <v>2066</v>
      </c>
      <c r="D441" s="54" t="s">
        <v>19</v>
      </c>
      <c r="E441" s="9">
        <v>0</v>
      </c>
      <c r="F441" s="47"/>
      <c r="G441" s="47"/>
      <c r="H441" s="47"/>
      <c r="I441" s="74"/>
      <c r="J441" s="47"/>
      <c r="K441" s="47"/>
      <c r="L441" s="47"/>
      <c r="M441" s="47"/>
      <c r="N441" s="47"/>
      <c r="O441" s="47"/>
      <c r="P441" s="47"/>
      <c r="Q441" s="47"/>
      <c r="R441" s="75">
        <f t="shared" si="6"/>
        <v>0</v>
      </c>
    </row>
    <row r="442" spans="1:18" x14ac:dyDescent="0.35">
      <c r="A442" s="52">
        <v>440</v>
      </c>
      <c r="B442" s="67" t="s">
        <v>971</v>
      </c>
      <c r="C442" s="7" t="s">
        <v>1658</v>
      </c>
      <c r="D442" s="54" t="s">
        <v>14</v>
      </c>
      <c r="E442" s="9">
        <v>0</v>
      </c>
      <c r="F442" s="47"/>
      <c r="G442" s="47"/>
      <c r="H442" s="47"/>
      <c r="I442" s="74"/>
      <c r="J442" s="47"/>
      <c r="K442" s="47"/>
      <c r="L442" s="47"/>
      <c r="M442" s="47"/>
      <c r="N442" s="47"/>
      <c r="O442" s="47"/>
      <c r="P442" s="47"/>
      <c r="Q442" s="47"/>
      <c r="R442" s="75">
        <f t="shared" si="6"/>
        <v>0</v>
      </c>
    </row>
    <row r="443" spans="1:18" x14ac:dyDescent="0.35">
      <c r="A443" s="52">
        <v>441</v>
      </c>
      <c r="B443" s="67" t="s">
        <v>973</v>
      </c>
      <c r="C443" s="7" t="s">
        <v>1770</v>
      </c>
      <c r="D443" s="54" t="s">
        <v>406</v>
      </c>
      <c r="E443" s="9">
        <v>0</v>
      </c>
      <c r="F443" s="47"/>
      <c r="G443" s="47"/>
      <c r="H443" s="47"/>
      <c r="I443" s="74"/>
      <c r="J443" s="47"/>
      <c r="K443" s="47"/>
      <c r="L443" s="47"/>
      <c r="M443" s="47"/>
      <c r="N443" s="47"/>
      <c r="O443" s="47"/>
      <c r="P443" s="47"/>
      <c r="Q443" s="47"/>
      <c r="R443" s="75">
        <f t="shared" si="6"/>
        <v>0</v>
      </c>
    </row>
    <row r="444" spans="1:18" x14ac:dyDescent="0.35">
      <c r="A444" s="52">
        <v>442</v>
      </c>
      <c r="B444" s="67" t="s">
        <v>975</v>
      </c>
      <c r="C444" s="144" t="s">
        <v>1906</v>
      </c>
      <c r="D444" s="54" t="s">
        <v>92</v>
      </c>
      <c r="E444" s="9">
        <v>0</v>
      </c>
      <c r="F444" s="47"/>
      <c r="G444" s="47"/>
      <c r="H444" s="47"/>
      <c r="I444" s="74"/>
      <c r="J444" s="47"/>
      <c r="K444" s="47"/>
      <c r="L444" s="47"/>
      <c r="M444" s="47"/>
      <c r="N444" s="47"/>
      <c r="O444" s="47"/>
      <c r="P444" s="47"/>
      <c r="Q444" s="47"/>
      <c r="R444" s="75">
        <f t="shared" si="6"/>
        <v>0</v>
      </c>
    </row>
    <row r="445" spans="1:18" x14ac:dyDescent="0.35">
      <c r="A445" s="52">
        <v>443</v>
      </c>
      <c r="B445" s="67" t="s">
        <v>977</v>
      </c>
      <c r="C445" s="7" t="s">
        <v>978</v>
      </c>
      <c r="D445" s="54" t="s">
        <v>60</v>
      </c>
      <c r="E445" s="9">
        <v>0</v>
      </c>
      <c r="F445" s="47"/>
      <c r="G445" s="47"/>
      <c r="H445" s="47"/>
      <c r="I445" s="74"/>
      <c r="J445" s="47"/>
      <c r="K445" s="47"/>
      <c r="L445" s="47"/>
      <c r="M445" s="47"/>
      <c r="N445" s="47"/>
      <c r="O445" s="47"/>
      <c r="P445" s="47"/>
      <c r="Q445" s="47"/>
      <c r="R445" s="75">
        <f t="shared" si="6"/>
        <v>0</v>
      </c>
    </row>
    <row r="446" spans="1:18" x14ac:dyDescent="0.35">
      <c r="A446" s="52">
        <v>444</v>
      </c>
      <c r="B446" s="67" t="s">
        <v>979</v>
      </c>
      <c r="C446" s="53" t="s">
        <v>980</v>
      </c>
      <c r="D446" s="54" t="s">
        <v>92</v>
      </c>
      <c r="E446" s="9">
        <v>0</v>
      </c>
      <c r="F446" s="47"/>
      <c r="G446" s="47"/>
      <c r="H446" s="47"/>
      <c r="I446" s="74"/>
      <c r="J446" s="47"/>
      <c r="K446" s="47"/>
      <c r="L446" s="47"/>
      <c r="M446" s="47"/>
      <c r="N446" s="47"/>
      <c r="O446" s="47"/>
      <c r="P446" s="47"/>
      <c r="Q446" s="47"/>
      <c r="R446" s="75">
        <f t="shared" si="6"/>
        <v>0</v>
      </c>
    </row>
    <row r="447" spans="1:18" x14ac:dyDescent="0.35">
      <c r="A447" s="52">
        <v>445</v>
      </c>
      <c r="B447" s="67" t="s">
        <v>981</v>
      </c>
      <c r="C447" s="53" t="s">
        <v>982</v>
      </c>
      <c r="D447" s="54" t="s">
        <v>983</v>
      </c>
      <c r="E447" s="9">
        <v>100000</v>
      </c>
      <c r="F447" s="47"/>
      <c r="G447" s="47"/>
      <c r="H447" s="47"/>
      <c r="I447" s="74"/>
      <c r="J447" s="47"/>
      <c r="K447" s="47"/>
      <c r="L447" s="47"/>
      <c r="M447" s="47"/>
      <c r="N447" s="47"/>
      <c r="O447" s="47"/>
      <c r="P447" s="47"/>
      <c r="Q447" s="47"/>
      <c r="R447" s="75">
        <f t="shared" si="6"/>
        <v>100000</v>
      </c>
    </row>
    <row r="448" spans="1:18" x14ac:dyDescent="0.35">
      <c r="A448" s="52">
        <v>446</v>
      </c>
      <c r="B448" s="67" t="s">
        <v>984</v>
      </c>
      <c r="C448" s="53" t="s">
        <v>985</v>
      </c>
      <c r="D448" s="54" t="s">
        <v>60</v>
      </c>
      <c r="E448" s="9">
        <v>0</v>
      </c>
      <c r="F448" s="47"/>
      <c r="G448" s="47"/>
      <c r="H448" s="47"/>
      <c r="I448" s="74"/>
      <c r="J448" s="47"/>
      <c r="K448" s="47"/>
      <c r="L448" s="47"/>
      <c r="M448" s="47"/>
      <c r="N448" s="47"/>
      <c r="O448" s="47"/>
      <c r="P448" s="47"/>
      <c r="Q448" s="47"/>
      <c r="R448" s="75">
        <f t="shared" si="6"/>
        <v>0</v>
      </c>
    </row>
    <row r="449" spans="1:18" x14ac:dyDescent="0.35">
      <c r="A449" s="52">
        <v>447</v>
      </c>
      <c r="B449" s="67" t="s">
        <v>986</v>
      </c>
      <c r="C449" s="7" t="s">
        <v>1626</v>
      </c>
      <c r="D449" s="54" t="s">
        <v>49</v>
      </c>
      <c r="E449" s="9">
        <v>0</v>
      </c>
      <c r="F449" s="47"/>
      <c r="G449" s="47"/>
      <c r="H449" s="47"/>
      <c r="I449" s="74"/>
      <c r="J449" s="47"/>
      <c r="K449" s="47"/>
      <c r="L449" s="47"/>
      <c r="M449" s="47"/>
      <c r="N449" s="47"/>
      <c r="O449" s="47"/>
      <c r="P449" s="47"/>
      <c r="Q449" s="47"/>
      <c r="R449" s="75">
        <f t="shared" si="6"/>
        <v>0</v>
      </c>
    </row>
    <row r="450" spans="1:18" x14ac:dyDescent="0.35">
      <c r="A450" s="52">
        <v>448</v>
      </c>
      <c r="B450" s="67" t="s">
        <v>988</v>
      </c>
      <c r="C450" s="101" t="s">
        <v>1764</v>
      </c>
      <c r="D450" s="54" t="s">
        <v>333</v>
      </c>
      <c r="E450" s="9">
        <v>160000</v>
      </c>
      <c r="F450" s="47"/>
      <c r="G450" s="47"/>
      <c r="H450" s="47"/>
      <c r="I450" s="74"/>
      <c r="J450" s="47"/>
      <c r="K450" s="47"/>
      <c r="L450" s="47"/>
      <c r="M450" s="47"/>
      <c r="N450" s="47"/>
      <c r="O450" s="47"/>
      <c r="P450" s="47"/>
      <c r="Q450" s="47"/>
      <c r="R450" s="75">
        <f t="shared" si="6"/>
        <v>160000</v>
      </c>
    </row>
    <row r="451" spans="1:18" x14ac:dyDescent="0.35">
      <c r="A451" s="52">
        <v>449</v>
      </c>
      <c r="B451" s="67" t="s">
        <v>990</v>
      </c>
      <c r="C451" s="90" t="s">
        <v>2068</v>
      </c>
      <c r="D451" s="54" t="s">
        <v>119</v>
      </c>
      <c r="E451" s="9">
        <v>1110000</v>
      </c>
      <c r="F451" s="47"/>
      <c r="G451" s="47"/>
      <c r="H451" s="47"/>
      <c r="I451" s="74">
        <v>150000</v>
      </c>
      <c r="J451" s="47"/>
      <c r="K451" s="47"/>
      <c r="L451" s="47"/>
      <c r="M451" s="47"/>
      <c r="N451" s="47"/>
      <c r="O451" s="47"/>
      <c r="P451" s="47"/>
      <c r="Q451" s="47"/>
      <c r="R451" s="75">
        <f t="shared" si="6"/>
        <v>1260000</v>
      </c>
    </row>
    <row r="452" spans="1:18" x14ac:dyDescent="0.35">
      <c r="A452" s="52">
        <v>450</v>
      </c>
      <c r="B452" s="67" t="s">
        <v>992</v>
      </c>
      <c r="C452" s="90" t="s">
        <v>1787</v>
      </c>
      <c r="D452" s="54" t="s">
        <v>119</v>
      </c>
      <c r="E452" s="9">
        <v>1470000</v>
      </c>
      <c r="F452" s="47"/>
      <c r="G452" s="47"/>
      <c r="H452" s="47"/>
      <c r="I452" s="74"/>
      <c r="J452" s="47"/>
      <c r="K452" s="47"/>
      <c r="L452" s="47"/>
      <c r="M452" s="47"/>
      <c r="N452" s="47"/>
      <c r="O452" s="47"/>
      <c r="P452" s="47"/>
      <c r="Q452" s="47"/>
      <c r="R452" s="75">
        <f t="shared" ref="R452:R515" si="7">E452+F452+G452+H452+I452+J452+K452+L452+M452+N452+O452+P452+Q452</f>
        <v>1470000</v>
      </c>
    </row>
    <row r="453" spans="1:18" x14ac:dyDescent="0.35">
      <c r="A453" s="52">
        <v>451</v>
      </c>
      <c r="B453" s="67" t="s">
        <v>994</v>
      </c>
      <c r="C453" s="90" t="s">
        <v>1763</v>
      </c>
      <c r="D453" s="54" t="s">
        <v>318</v>
      </c>
      <c r="E453" s="9">
        <v>400000</v>
      </c>
      <c r="F453" s="47">
        <v>150000</v>
      </c>
      <c r="G453" s="47"/>
      <c r="H453" s="47"/>
      <c r="I453" s="74">
        <v>8333</v>
      </c>
      <c r="J453" s="47">
        <f>-16667+8333</f>
        <v>-8334</v>
      </c>
      <c r="K453" s="47">
        <v>25000</v>
      </c>
      <c r="L453" s="47">
        <v>25000</v>
      </c>
      <c r="M453" s="47">
        <v>45000</v>
      </c>
      <c r="N453" s="47">
        <v>71667</v>
      </c>
      <c r="O453" s="47">
        <v>71667</v>
      </c>
      <c r="P453" s="47">
        <v>71667</v>
      </c>
      <c r="Q453" s="47">
        <v>55000</v>
      </c>
      <c r="R453" s="75">
        <f t="shared" si="7"/>
        <v>915000</v>
      </c>
    </row>
    <row r="454" spans="1:18" x14ac:dyDescent="0.35">
      <c r="A454" s="52">
        <v>452</v>
      </c>
      <c r="B454" s="67" t="s">
        <v>996</v>
      </c>
      <c r="C454" s="7" t="s">
        <v>997</v>
      </c>
      <c r="D454" s="54" t="s">
        <v>300</v>
      </c>
      <c r="E454" s="9">
        <v>0</v>
      </c>
      <c r="F454" s="47"/>
      <c r="G454" s="47"/>
      <c r="H454" s="47"/>
      <c r="I454" s="74"/>
      <c r="J454" s="47"/>
      <c r="K454" s="47"/>
      <c r="L454" s="47"/>
      <c r="M454" s="47"/>
      <c r="N454" s="47"/>
      <c r="O454" s="47"/>
      <c r="P454" s="47"/>
      <c r="Q454" s="47"/>
      <c r="R454" s="75">
        <f t="shared" si="7"/>
        <v>0</v>
      </c>
    </row>
    <row r="455" spans="1:18" x14ac:dyDescent="0.35">
      <c r="A455" s="52">
        <v>453</v>
      </c>
      <c r="B455" s="67" t="s">
        <v>998</v>
      </c>
      <c r="C455" s="7" t="s">
        <v>999</v>
      </c>
      <c r="D455" s="54" t="s">
        <v>49</v>
      </c>
      <c r="E455" s="9">
        <v>0</v>
      </c>
      <c r="F455" s="47"/>
      <c r="G455" s="47"/>
      <c r="H455" s="47"/>
      <c r="I455" s="74"/>
      <c r="J455" s="47"/>
      <c r="K455" s="47"/>
      <c r="L455" s="47"/>
      <c r="M455" s="47"/>
      <c r="N455" s="47"/>
      <c r="O455" s="47"/>
      <c r="P455" s="47"/>
      <c r="Q455" s="47"/>
      <c r="R455" s="75">
        <f t="shared" si="7"/>
        <v>0</v>
      </c>
    </row>
    <row r="456" spans="1:18" x14ac:dyDescent="0.35">
      <c r="A456" s="52">
        <v>454</v>
      </c>
      <c r="B456" s="67" t="s">
        <v>1000</v>
      </c>
      <c r="C456" s="90" t="s">
        <v>2069</v>
      </c>
      <c r="D456" s="54" t="s">
        <v>14</v>
      </c>
      <c r="E456" s="9">
        <v>0</v>
      </c>
      <c r="F456" s="47"/>
      <c r="G456" s="47"/>
      <c r="H456" s="47"/>
      <c r="I456" s="74"/>
      <c r="J456" s="47"/>
      <c r="K456" s="47"/>
      <c r="L456" s="47"/>
      <c r="M456" s="47"/>
      <c r="N456" s="47"/>
      <c r="O456" s="47"/>
      <c r="P456" s="47"/>
      <c r="Q456" s="47"/>
      <c r="R456" s="75">
        <f t="shared" si="7"/>
        <v>0</v>
      </c>
    </row>
    <row r="457" spans="1:18" x14ac:dyDescent="0.35">
      <c r="A457" s="52">
        <v>455</v>
      </c>
      <c r="B457" s="67" t="s">
        <v>1002</v>
      </c>
      <c r="C457" s="7" t="s">
        <v>1003</v>
      </c>
      <c r="D457" s="54" t="s">
        <v>136</v>
      </c>
      <c r="E457" s="9">
        <v>0</v>
      </c>
      <c r="F457" s="47"/>
      <c r="G457" s="47"/>
      <c r="H457" s="47"/>
      <c r="I457" s="74"/>
      <c r="J457" s="47"/>
      <c r="K457" s="47"/>
      <c r="L457" s="47"/>
      <c r="M457" s="47"/>
      <c r="N457" s="47"/>
      <c r="O457" s="47"/>
      <c r="P457" s="47"/>
      <c r="Q457" s="47"/>
      <c r="R457" s="75">
        <f t="shared" si="7"/>
        <v>0</v>
      </c>
    </row>
    <row r="458" spans="1:18" x14ac:dyDescent="0.35">
      <c r="A458" s="52">
        <v>456</v>
      </c>
      <c r="B458" s="67" t="s">
        <v>1004</v>
      </c>
      <c r="C458" s="7" t="s">
        <v>1005</v>
      </c>
      <c r="D458" s="54" t="s">
        <v>169</v>
      </c>
      <c r="E458" s="9">
        <v>0</v>
      </c>
      <c r="F458" s="47"/>
      <c r="G458" s="47"/>
      <c r="H458" s="47"/>
      <c r="I458" s="74"/>
      <c r="J458" s="47"/>
      <c r="K458" s="47"/>
      <c r="L458" s="47"/>
      <c r="M458" s="47"/>
      <c r="N458" s="47"/>
      <c r="O458" s="47"/>
      <c r="P458" s="47"/>
      <c r="Q458" s="47"/>
      <c r="R458" s="75">
        <f t="shared" si="7"/>
        <v>0</v>
      </c>
    </row>
    <row r="459" spans="1:18" x14ac:dyDescent="0.35">
      <c r="A459" s="52">
        <v>457</v>
      </c>
      <c r="B459" s="67" t="s">
        <v>1006</v>
      </c>
      <c r="C459" s="7" t="s">
        <v>1659</v>
      </c>
      <c r="D459" s="54" t="s">
        <v>14</v>
      </c>
      <c r="E459" s="9">
        <v>0</v>
      </c>
      <c r="F459" s="47"/>
      <c r="G459" s="47"/>
      <c r="H459" s="47"/>
      <c r="I459" s="74"/>
      <c r="J459" s="47"/>
      <c r="K459" s="47"/>
      <c r="L459" s="47"/>
      <c r="M459" s="47"/>
      <c r="N459" s="47"/>
      <c r="O459" s="47"/>
      <c r="P459" s="47"/>
      <c r="Q459" s="47"/>
      <c r="R459" s="75">
        <f t="shared" si="7"/>
        <v>0</v>
      </c>
    </row>
    <row r="460" spans="1:18" x14ac:dyDescent="0.35">
      <c r="A460" s="52">
        <v>458</v>
      </c>
      <c r="B460" s="67" t="s">
        <v>1008</v>
      </c>
      <c r="C460" s="7" t="s">
        <v>1783</v>
      </c>
      <c r="D460" s="54" t="s">
        <v>60</v>
      </c>
      <c r="E460" s="9">
        <v>0</v>
      </c>
      <c r="F460" s="47"/>
      <c r="G460" s="47"/>
      <c r="H460" s="47"/>
      <c r="I460" s="74"/>
      <c r="J460" s="47"/>
      <c r="K460" s="47"/>
      <c r="L460" s="47"/>
      <c r="M460" s="47"/>
      <c r="N460" s="47"/>
      <c r="O460" s="47"/>
      <c r="P460" s="47"/>
      <c r="Q460" s="47"/>
      <c r="R460" s="75">
        <f t="shared" si="7"/>
        <v>0</v>
      </c>
    </row>
    <row r="461" spans="1:18" x14ac:dyDescent="0.35">
      <c r="A461" s="52">
        <v>459</v>
      </c>
      <c r="B461" s="67" t="s">
        <v>1010</v>
      </c>
      <c r="C461" s="7" t="s">
        <v>1660</v>
      </c>
      <c r="D461" s="54" t="s">
        <v>60</v>
      </c>
      <c r="E461" s="9">
        <v>0</v>
      </c>
      <c r="F461" s="47"/>
      <c r="G461" s="47"/>
      <c r="H461" s="47"/>
      <c r="I461" s="74"/>
      <c r="J461" s="47"/>
      <c r="K461" s="47"/>
      <c r="L461" s="47"/>
      <c r="M461" s="47"/>
      <c r="N461" s="47"/>
      <c r="O461" s="47"/>
      <c r="P461" s="47"/>
      <c r="Q461" s="47"/>
      <c r="R461" s="75">
        <f t="shared" si="7"/>
        <v>0</v>
      </c>
    </row>
    <row r="462" spans="1:18" x14ac:dyDescent="0.35">
      <c r="A462" s="52">
        <v>460</v>
      </c>
      <c r="B462" s="67" t="s">
        <v>1012</v>
      </c>
      <c r="C462" s="90" t="s">
        <v>2070</v>
      </c>
      <c r="D462" s="54" t="s">
        <v>60</v>
      </c>
      <c r="E462" s="9">
        <v>0</v>
      </c>
      <c r="F462" s="47"/>
      <c r="G462" s="47"/>
      <c r="H462" s="47"/>
      <c r="I462" s="74"/>
      <c r="J462" s="47"/>
      <c r="K462" s="47"/>
      <c r="L462" s="47"/>
      <c r="M462" s="47"/>
      <c r="N462" s="47"/>
      <c r="O462" s="47"/>
      <c r="P462" s="47"/>
      <c r="Q462" s="47"/>
      <c r="R462" s="75">
        <f t="shared" si="7"/>
        <v>0</v>
      </c>
    </row>
    <row r="463" spans="1:18" x14ac:dyDescent="0.35">
      <c r="A463" s="52">
        <v>461</v>
      </c>
      <c r="B463" s="67" t="s">
        <v>1014</v>
      </c>
      <c r="C463" s="7" t="s">
        <v>1661</v>
      </c>
      <c r="D463" s="54" t="s">
        <v>60</v>
      </c>
      <c r="E463" s="9">
        <v>0</v>
      </c>
      <c r="F463" s="47"/>
      <c r="G463" s="47"/>
      <c r="H463" s="47"/>
      <c r="I463" s="74"/>
      <c r="J463" s="47"/>
      <c r="K463" s="47"/>
      <c r="L463" s="47"/>
      <c r="M463" s="47"/>
      <c r="N463" s="47"/>
      <c r="O463" s="47"/>
      <c r="P463" s="47"/>
      <c r="Q463" s="47"/>
      <c r="R463" s="75">
        <f t="shared" si="7"/>
        <v>0</v>
      </c>
    </row>
    <row r="464" spans="1:18" x14ac:dyDescent="0.35">
      <c r="A464" s="52">
        <v>462</v>
      </c>
      <c r="B464" s="67" t="s">
        <v>1016</v>
      </c>
      <c r="C464" s="90" t="s">
        <v>2071</v>
      </c>
      <c r="D464" s="54" t="s">
        <v>367</v>
      </c>
      <c r="E464" s="9">
        <v>0</v>
      </c>
      <c r="F464" s="47"/>
      <c r="G464" s="47"/>
      <c r="H464" s="47"/>
      <c r="I464" s="74"/>
      <c r="J464" s="47"/>
      <c r="K464" s="47"/>
      <c r="L464" s="47"/>
      <c r="M464" s="47"/>
      <c r="N464" s="47"/>
      <c r="O464" s="47"/>
      <c r="P464" s="47"/>
      <c r="Q464" s="47"/>
      <c r="R464" s="75">
        <f t="shared" si="7"/>
        <v>0</v>
      </c>
    </row>
    <row r="465" spans="1:18" x14ac:dyDescent="0.35">
      <c r="A465" s="52">
        <v>463</v>
      </c>
      <c r="B465" s="67" t="s">
        <v>1018</v>
      </c>
      <c r="C465" s="144" t="s">
        <v>1854</v>
      </c>
      <c r="D465" s="54" t="s">
        <v>198</v>
      </c>
      <c r="E465" s="9">
        <v>0</v>
      </c>
      <c r="F465" s="47"/>
      <c r="G465" s="47"/>
      <c r="H465" s="47"/>
      <c r="I465" s="74"/>
      <c r="J465" s="47"/>
      <c r="K465" s="47"/>
      <c r="L465" s="47"/>
      <c r="M465" s="47"/>
      <c r="N465" s="47"/>
      <c r="O465" s="47"/>
      <c r="P465" s="47"/>
      <c r="Q465" s="47"/>
      <c r="R465" s="75">
        <f t="shared" si="7"/>
        <v>0</v>
      </c>
    </row>
    <row r="466" spans="1:18" x14ac:dyDescent="0.35">
      <c r="A466" s="52">
        <v>464</v>
      </c>
      <c r="B466" s="67" t="s">
        <v>1020</v>
      </c>
      <c r="C466" s="144" t="s">
        <v>2072</v>
      </c>
      <c r="D466" s="54" t="s">
        <v>198</v>
      </c>
      <c r="E466" s="9">
        <v>0</v>
      </c>
      <c r="F466" s="47"/>
      <c r="G466" s="47"/>
      <c r="H466" s="47"/>
      <c r="I466" s="74"/>
      <c r="J466" s="47"/>
      <c r="K466" s="47"/>
      <c r="L466" s="47"/>
      <c r="M466" s="47"/>
      <c r="N466" s="47"/>
      <c r="O466" s="47"/>
      <c r="P466" s="47"/>
      <c r="Q466" s="47"/>
      <c r="R466" s="75">
        <f t="shared" si="7"/>
        <v>0</v>
      </c>
    </row>
    <row r="467" spans="1:18" x14ac:dyDescent="0.35">
      <c r="A467" s="52">
        <v>465</v>
      </c>
      <c r="B467" s="67" t="s">
        <v>1022</v>
      </c>
      <c r="C467" s="7" t="s">
        <v>1662</v>
      </c>
      <c r="D467" s="54" t="s">
        <v>49</v>
      </c>
      <c r="E467" s="9">
        <v>0</v>
      </c>
      <c r="F467" s="47"/>
      <c r="G467" s="47"/>
      <c r="H467" s="47"/>
      <c r="I467" s="74"/>
      <c r="J467" s="47"/>
      <c r="K467" s="47"/>
      <c r="L467" s="47"/>
      <c r="M467" s="47"/>
      <c r="N467" s="47"/>
      <c r="O467" s="47"/>
      <c r="P467" s="47"/>
      <c r="Q467" s="47"/>
      <c r="R467" s="75">
        <f t="shared" si="7"/>
        <v>0</v>
      </c>
    </row>
    <row r="468" spans="1:18" x14ac:dyDescent="0.35">
      <c r="A468" s="52">
        <v>466</v>
      </c>
      <c r="B468" s="67" t="s">
        <v>1024</v>
      </c>
      <c r="C468" s="7" t="s">
        <v>1663</v>
      </c>
      <c r="D468" s="54" t="s">
        <v>123</v>
      </c>
      <c r="E468" s="9">
        <v>0</v>
      </c>
      <c r="F468" s="47"/>
      <c r="G468" s="47"/>
      <c r="H468" s="47"/>
      <c r="I468" s="74"/>
      <c r="J468" s="47"/>
      <c r="K468" s="47"/>
      <c r="L468" s="47"/>
      <c r="M468" s="47"/>
      <c r="N468" s="47"/>
      <c r="O468" s="47"/>
      <c r="P468" s="47"/>
      <c r="Q468" s="47"/>
      <c r="R468" s="75">
        <f t="shared" si="7"/>
        <v>0</v>
      </c>
    </row>
    <row r="469" spans="1:18" x14ac:dyDescent="0.35">
      <c r="A469" s="52">
        <v>467</v>
      </c>
      <c r="B469" s="67" t="s">
        <v>1026</v>
      </c>
      <c r="C469" s="144" t="s">
        <v>2073</v>
      </c>
      <c r="D469" s="54" t="s">
        <v>77</v>
      </c>
      <c r="E469" s="9">
        <v>0</v>
      </c>
      <c r="F469" s="47"/>
      <c r="G469" s="47"/>
      <c r="H469" s="47"/>
      <c r="I469" s="74"/>
      <c r="J469" s="47"/>
      <c r="K469" s="47"/>
      <c r="L469" s="47"/>
      <c r="M469" s="47"/>
      <c r="N469" s="47"/>
      <c r="O469" s="47"/>
      <c r="P469" s="47"/>
      <c r="Q469" s="47"/>
      <c r="R469" s="75">
        <f t="shared" si="7"/>
        <v>0</v>
      </c>
    </row>
    <row r="470" spans="1:18" x14ac:dyDescent="0.35">
      <c r="A470" s="52">
        <v>468</v>
      </c>
      <c r="B470" s="67" t="s">
        <v>1028</v>
      </c>
      <c r="C470" s="144" t="s">
        <v>1875</v>
      </c>
      <c r="D470" s="54" t="s">
        <v>141</v>
      </c>
      <c r="E470" s="9">
        <v>0</v>
      </c>
      <c r="F470" s="47"/>
      <c r="G470" s="47"/>
      <c r="H470" s="47"/>
      <c r="I470" s="74"/>
      <c r="J470" s="47"/>
      <c r="K470" s="47"/>
      <c r="L470" s="47"/>
      <c r="M470" s="47"/>
      <c r="N470" s="47"/>
      <c r="O470" s="47"/>
      <c r="P470" s="47"/>
      <c r="Q470" s="47"/>
      <c r="R470" s="75">
        <f t="shared" si="7"/>
        <v>0</v>
      </c>
    </row>
    <row r="471" spans="1:18" x14ac:dyDescent="0.35">
      <c r="A471" s="52">
        <v>469</v>
      </c>
      <c r="B471" s="67" t="s">
        <v>1030</v>
      </c>
      <c r="C471" s="7" t="s">
        <v>1664</v>
      </c>
      <c r="D471" s="54" t="s">
        <v>141</v>
      </c>
      <c r="E471" s="9">
        <v>0</v>
      </c>
      <c r="F471" s="47"/>
      <c r="G471" s="47"/>
      <c r="H471" s="47"/>
      <c r="I471" s="74"/>
      <c r="J471" s="47"/>
      <c r="K471" s="47"/>
      <c r="L471" s="47"/>
      <c r="M471" s="47"/>
      <c r="N471" s="47"/>
      <c r="O471" s="47"/>
      <c r="P471" s="47"/>
      <c r="Q471" s="47"/>
      <c r="R471" s="75">
        <f t="shared" si="7"/>
        <v>0</v>
      </c>
    </row>
    <row r="472" spans="1:18" x14ac:dyDescent="0.35">
      <c r="A472" s="52">
        <v>470</v>
      </c>
      <c r="B472" s="67" t="s">
        <v>1032</v>
      </c>
      <c r="C472" s="7" t="s">
        <v>1665</v>
      </c>
      <c r="D472" s="54" t="s">
        <v>253</v>
      </c>
      <c r="E472" s="9">
        <v>0</v>
      </c>
      <c r="F472" s="47"/>
      <c r="G472" s="47"/>
      <c r="H472" s="47"/>
      <c r="I472" s="74"/>
      <c r="J472" s="47"/>
      <c r="K472" s="47"/>
      <c r="L472" s="47"/>
      <c r="M472" s="47"/>
      <c r="N472" s="47"/>
      <c r="O472" s="47"/>
      <c r="P472" s="47"/>
      <c r="Q472" s="47"/>
      <c r="R472" s="75">
        <f t="shared" si="7"/>
        <v>0</v>
      </c>
    </row>
    <row r="473" spans="1:18" x14ac:dyDescent="0.35">
      <c r="A473" s="52">
        <v>471</v>
      </c>
      <c r="B473" s="67" t="s">
        <v>1034</v>
      </c>
      <c r="C473" s="90" t="s">
        <v>2074</v>
      </c>
      <c r="D473" s="54" t="s">
        <v>131</v>
      </c>
      <c r="E473" s="9">
        <v>0</v>
      </c>
      <c r="F473" s="47"/>
      <c r="G473" s="47"/>
      <c r="H473" s="47"/>
      <c r="I473" s="74"/>
      <c r="J473" s="47"/>
      <c r="K473" s="47"/>
      <c r="L473" s="47"/>
      <c r="M473" s="47"/>
      <c r="N473" s="47"/>
      <c r="O473" s="47"/>
      <c r="P473" s="47"/>
      <c r="Q473" s="47"/>
      <c r="R473" s="75">
        <f t="shared" si="7"/>
        <v>0</v>
      </c>
    </row>
    <row r="474" spans="1:18" x14ac:dyDescent="0.35">
      <c r="A474" s="52">
        <v>472</v>
      </c>
      <c r="B474" s="67" t="s">
        <v>1036</v>
      </c>
      <c r="C474" s="7" t="s">
        <v>1666</v>
      </c>
      <c r="D474" s="54" t="s">
        <v>46</v>
      </c>
      <c r="E474" s="9">
        <v>0</v>
      </c>
      <c r="F474" s="47"/>
      <c r="G474" s="47"/>
      <c r="H474" s="47"/>
      <c r="I474" s="74"/>
      <c r="J474" s="47"/>
      <c r="K474" s="47"/>
      <c r="L474" s="47"/>
      <c r="M474" s="47"/>
      <c r="N474" s="47"/>
      <c r="O474" s="47"/>
      <c r="P474" s="47"/>
      <c r="Q474" s="47"/>
      <c r="R474" s="75">
        <f t="shared" si="7"/>
        <v>0</v>
      </c>
    </row>
    <row r="475" spans="1:18" x14ac:dyDescent="0.35">
      <c r="A475" s="52">
        <v>473</v>
      </c>
      <c r="B475" s="67" t="s">
        <v>1038</v>
      </c>
      <c r="C475" s="7" t="s">
        <v>1667</v>
      </c>
      <c r="D475" s="54" t="s">
        <v>253</v>
      </c>
      <c r="E475" s="9">
        <v>0</v>
      </c>
      <c r="F475" s="47"/>
      <c r="G475" s="47"/>
      <c r="H475" s="47"/>
      <c r="I475" s="74"/>
      <c r="J475" s="47"/>
      <c r="K475" s="47"/>
      <c r="L475" s="47"/>
      <c r="M475" s="47"/>
      <c r="N475" s="47"/>
      <c r="O475" s="47"/>
      <c r="P475" s="47"/>
      <c r="Q475" s="47"/>
      <c r="R475" s="75">
        <f t="shared" si="7"/>
        <v>0</v>
      </c>
    </row>
    <row r="476" spans="1:18" x14ac:dyDescent="0.35">
      <c r="A476" s="52">
        <v>474</v>
      </c>
      <c r="B476" s="67" t="s">
        <v>1040</v>
      </c>
      <c r="C476" s="7" t="s">
        <v>1668</v>
      </c>
      <c r="D476" s="54" t="s">
        <v>95</v>
      </c>
      <c r="E476" s="9">
        <v>350000</v>
      </c>
      <c r="F476" s="47"/>
      <c r="G476" s="47"/>
      <c r="H476" s="47"/>
      <c r="I476" s="74"/>
      <c r="J476" s="47"/>
      <c r="K476" s="47"/>
      <c r="L476" s="47"/>
      <c r="M476" s="47">
        <v>-350000</v>
      </c>
      <c r="N476" s="47"/>
      <c r="O476" s="47"/>
      <c r="P476" s="47"/>
      <c r="Q476" s="47"/>
      <c r="R476" s="75">
        <f t="shared" si="7"/>
        <v>0</v>
      </c>
    </row>
    <row r="477" spans="1:18" x14ac:dyDescent="0.35">
      <c r="A477" s="52">
        <v>475</v>
      </c>
      <c r="B477" s="67" t="s">
        <v>1042</v>
      </c>
      <c r="C477" s="90" t="s">
        <v>1785</v>
      </c>
      <c r="D477" s="54" t="s">
        <v>95</v>
      </c>
      <c r="E477" s="9">
        <v>0</v>
      </c>
      <c r="F477" s="47"/>
      <c r="G477" s="47"/>
      <c r="H477" s="47"/>
      <c r="I477" s="74"/>
      <c r="J477" s="47"/>
      <c r="K477" s="47"/>
      <c r="L477" s="47"/>
      <c r="M477" s="47"/>
      <c r="N477" s="47"/>
      <c r="O477" s="47"/>
      <c r="P477" s="47"/>
      <c r="Q477" s="47"/>
      <c r="R477" s="75">
        <f t="shared" si="7"/>
        <v>0</v>
      </c>
    </row>
    <row r="478" spans="1:18" x14ac:dyDescent="0.35">
      <c r="A478" s="52">
        <v>476</v>
      </c>
      <c r="B478" s="67" t="s">
        <v>1044</v>
      </c>
      <c r="C478" s="7" t="s">
        <v>1669</v>
      </c>
      <c r="D478" s="54" t="s">
        <v>141</v>
      </c>
      <c r="E478" s="9">
        <v>0</v>
      </c>
      <c r="F478" s="47"/>
      <c r="G478" s="47"/>
      <c r="H478" s="47"/>
      <c r="I478" s="74"/>
      <c r="J478" s="47"/>
      <c r="K478" s="47"/>
      <c r="L478" s="47"/>
      <c r="M478" s="47"/>
      <c r="N478" s="47"/>
      <c r="O478" s="47"/>
      <c r="P478" s="47"/>
      <c r="Q478" s="47"/>
      <c r="R478" s="75">
        <f t="shared" si="7"/>
        <v>0</v>
      </c>
    </row>
    <row r="479" spans="1:18" x14ac:dyDescent="0.35">
      <c r="A479" s="52">
        <v>477</v>
      </c>
      <c r="B479" s="67" t="s">
        <v>1046</v>
      </c>
      <c r="C479" s="7" t="s">
        <v>1670</v>
      </c>
      <c r="D479" s="54" t="s">
        <v>123</v>
      </c>
      <c r="E479" s="9">
        <v>0</v>
      </c>
      <c r="F479" s="47"/>
      <c r="G479" s="47"/>
      <c r="H479" s="47"/>
      <c r="I479" s="74"/>
      <c r="J479" s="47"/>
      <c r="K479" s="47"/>
      <c r="L479" s="47"/>
      <c r="M479" s="47"/>
      <c r="N479" s="47"/>
      <c r="O479" s="47"/>
      <c r="P479" s="47"/>
      <c r="Q479" s="47"/>
      <c r="R479" s="75">
        <f t="shared" si="7"/>
        <v>0</v>
      </c>
    </row>
    <row r="480" spans="1:18" x14ac:dyDescent="0.35">
      <c r="A480" s="52">
        <v>478</v>
      </c>
      <c r="B480" s="67" t="s">
        <v>1048</v>
      </c>
      <c r="C480" s="7" t="s">
        <v>1713</v>
      </c>
      <c r="D480" s="54" t="s">
        <v>201</v>
      </c>
      <c r="E480" s="9">
        <v>0</v>
      </c>
      <c r="F480" s="47"/>
      <c r="G480" s="47"/>
      <c r="H480" s="47"/>
      <c r="I480" s="74"/>
      <c r="J480" s="47"/>
      <c r="K480" s="47"/>
      <c r="L480" s="47"/>
      <c r="M480" s="47"/>
      <c r="N480" s="47"/>
      <c r="O480" s="47"/>
      <c r="P480" s="47"/>
      <c r="Q480" s="47"/>
      <c r="R480" s="75">
        <f t="shared" si="7"/>
        <v>0</v>
      </c>
    </row>
    <row r="481" spans="1:18" x14ac:dyDescent="0.35">
      <c r="A481" s="52">
        <v>479</v>
      </c>
      <c r="B481" s="67" t="s">
        <v>1050</v>
      </c>
      <c r="C481" s="7" t="s">
        <v>1712</v>
      </c>
      <c r="D481" s="54" t="s">
        <v>77</v>
      </c>
      <c r="E481" s="9">
        <v>0</v>
      </c>
      <c r="F481" s="47"/>
      <c r="G481" s="47"/>
      <c r="H481" s="47"/>
      <c r="I481" s="74"/>
      <c r="J481" s="47"/>
      <c r="K481" s="47"/>
      <c r="L481" s="47"/>
      <c r="M481" s="47"/>
      <c r="N481" s="47"/>
      <c r="O481" s="47"/>
      <c r="P481" s="47"/>
      <c r="Q481" s="47"/>
      <c r="R481" s="75">
        <f t="shared" si="7"/>
        <v>0</v>
      </c>
    </row>
    <row r="482" spans="1:18" x14ac:dyDescent="0.35">
      <c r="A482" s="52">
        <v>480</v>
      </c>
      <c r="B482" s="67" t="s">
        <v>1052</v>
      </c>
      <c r="C482" s="7" t="s">
        <v>1614</v>
      </c>
      <c r="D482" s="54" t="s">
        <v>49</v>
      </c>
      <c r="E482" s="9">
        <v>0</v>
      </c>
      <c r="F482" s="47"/>
      <c r="G482" s="47"/>
      <c r="H482" s="47"/>
      <c r="I482" s="74"/>
      <c r="J482" s="47"/>
      <c r="K482" s="47"/>
      <c r="L482" s="47"/>
      <c r="M482" s="47"/>
      <c r="N482" s="47"/>
      <c r="O482" s="47"/>
      <c r="P482" s="47"/>
      <c r="Q482" s="47"/>
      <c r="R482" s="75">
        <f t="shared" si="7"/>
        <v>0</v>
      </c>
    </row>
    <row r="483" spans="1:18" x14ac:dyDescent="0.35">
      <c r="A483" s="52">
        <v>481</v>
      </c>
      <c r="B483" s="67" t="s">
        <v>1054</v>
      </c>
      <c r="C483" s="101" t="s">
        <v>1782</v>
      </c>
      <c r="D483" s="54" t="s">
        <v>60</v>
      </c>
      <c r="E483" s="9">
        <v>1050000</v>
      </c>
      <c r="F483" s="47"/>
      <c r="G483" s="47"/>
      <c r="H483" s="47"/>
      <c r="I483" s="74"/>
      <c r="J483" s="47"/>
      <c r="K483" s="47"/>
      <c r="L483" s="47"/>
      <c r="M483" s="47"/>
      <c r="N483" s="47"/>
      <c r="O483" s="47"/>
      <c r="P483" s="47"/>
      <c r="Q483" s="47"/>
      <c r="R483" s="75">
        <f t="shared" si="7"/>
        <v>1050000</v>
      </c>
    </row>
    <row r="484" spans="1:18" x14ac:dyDescent="0.35">
      <c r="A484" s="52">
        <v>482</v>
      </c>
      <c r="B484" s="67" t="s">
        <v>1056</v>
      </c>
      <c r="C484" s="101" t="s">
        <v>1778</v>
      </c>
      <c r="D484" s="54" t="s">
        <v>303</v>
      </c>
      <c r="E484" s="9">
        <v>200000</v>
      </c>
      <c r="F484" s="47"/>
      <c r="G484" s="47"/>
      <c r="H484" s="47"/>
      <c r="I484" s="74"/>
      <c r="J484" s="47"/>
      <c r="K484" s="47"/>
      <c r="L484" s="47"/>
      <c r="M484" s="47">
        <v>200000</v>
      </c>
      <c r="N484" s="47"/>
      <c r="O484" s="47"/>
      <c r="P484" s="47"/>
      <c r="Q484" s="47"/>
      <c r="R484" s="75">
        <f t="shared" si="7"/>
        <v>400000</v>
      </c>
    </row>
    <row r="485" spans="1:18" x14ac:dyDescent="0.35">
      <c r="A485" s="52">
        <v>483</v>
      </c>
      <c r="B485" s="67" t="s">
        <v>1058</v>
      </c>
      <c r="C485" s="7" t="s">
        <v>1059</v>
      </c>
      <c r="D485" s="54" t="s">
        <v>300</v>
      </c>
      <c r="E485" s="9">
        <v>0</v>
      </c>
      <c r="F485" s="47"/>
      <c r="G485" s="47"/>
      <c r="H485" s="47"/>
      <c r="I485" s="74"/>
      <c r="J485" s="47"/>
      <c r="K485" s="47"/>
      <c r="L485" s="47"/>
      <c r="M485" s="47"/>
      <c r="N485" s="47"/>
      <c r="O485" s="47"/>
      <c r="P485" s="47"/>
      <c r="Q485" s="47"/>
      <c r="R485" s="75">
        <f t="shared" si="7"/>
        <v>0</v>
      </c>
    </row>
    <row r="486" spans="1:18" x14ac:dyDescent="0.35">
      <c r="A486" s="52">
        <v>484</v>
      </c>
      <c r="B486" s="67" t="s">
        <v>1060</v>
      </c>
      <c r="C486" s="7" t="s">
        <v>1061</v>
      </c>
      <c r="D486" s="54" t="s">
        <v>65</v>
      </c>
      <c r="E486" s="9">
        <v>0</v>
      </c>
      <c r="F486" s="47"/>
      <c r="G486" s="47"/>
      <c r="H486" s="47"/>
      <c r="I486" s="74"/>
      <c r="J486" s="47"/>
      <c r="K486" s="47"/>
      <c r="L486" s="47"/>
      <c r="M486" s="47"/>
      <c r="N486" s="47"/>
      <c r="O486" s="47"/>
      <c r="P486" s="47"/>
      <c r="Q486" s="47"/>
      <c r="R486" s="75">
        <f t="shared" si="7"/>
        <v>0</v>
      </c>
    </row>
    <row r="487" spans="1:18" x14ac:dyDescent="0.35">
      <c r="A487" s="52">
        <v>485</v>
      </c>
      <c r="B487" s="67" t="s">
        <v>1062</v>
      </c>
      <c r="C487" s="101" t="s">
        <v>2075</v>
      </c>
      <c r="D487" s="54" t="s">
        <v>321</v>
      </c>
      <c r="E487" s="9">
        <v>2350000</v>
      </c>
      <c r="F487" s="47"/>
      <c r="G487" s="47"/>
      <c r="H487" s="47"/>
      <c r="I487" s="74">
        <v>10000</v>
      </c>
      <c r="J487" s="47">
        <v>10000</v>
      </c>
      <c r="K487" s="74">
        <v>10000</v>
      </c>
      <c r="L487" s="47">
        <v>10000</v>
      </c>
      <c r="M487" s="47">
        <v>10000</v>
      </c>
      <c r="N487" s="47">
        <v>10000</v>
      </c>
      <c r="O487" s="47">
        <f>250000+10000</f>
        <v>260000</v>
      </c>
      <c r="P487" s="47">
        <v>10000</v>
      </c>
      <c r="Q487" s="47">
        <v>10000</v>
      </c>
      <c r="R487" s="75">
        <f t="shared" si="7"/>
        <v>2690000</v>
      </c>
    </row>
    <row r="488" spans="1:18" x14ac:dyDescent="0.35">
      <c r="A488" s="52">
        <v>486</v>
      </c>
      <c r="B488" s="67" t="s">
        <v>1064</v>
      </c>
      <c r="C488" s="144" t="s">
        <v>1891</v>
      </c>
      <c r="D488" s="54" t="s">
        <v>136</v>
      </c>
      <c r="E488" s="9">
        <v>1345000</v>
      </c>
      <c r="F488" s="47"/>
      <c r="G488" s="47"/>
      <c r="H488" s="47"/>
      <c r="I488" s="74"/>
      <c r="J488" s="47"/>
      <c r="K488" s="47"/>
      <c r="L488" s="47"/>
      <c r="M488" s="47">
        <v>250000</v>
      </c>
      <c r="N488" s="47"/>
      <c r="O488" s="47"/>
      <c r="P488" s="47"/>
      <c r="Q488" s="47"/>
      <c r="R488" s="75">
        <f t="shared" si="7"/>
        <v>1595000</v>
      </c>
    </row>
    <row r="489" spans="1:18" x14ac:dyDescent="0.35">
      <c r="A489" s="52">
        <v>525</v>
      </c>
      <c r="B489" s="67" t="s">
        <v>1066</v>
      </c>
      <c r="C489" s="7" t="s">
        <v>1067</v>
      </c>
      <c r="D489" s="54" t="s">
        <v>144</v>
      </c>
      <c r="E489" s="9">
        <v>0</v>
      </c>
      <c r="F489" s="47"/>
      <c r="G489" s="47"/>
      <c r="H489" s="47"/>
      <c r="I489" s="74"/>
      <c r="J489" s="47"/>
      <c r="K489" s="47"/>
      <c r="L489" s="47"/>
      <c r="M489" s="47"/>
      <c r="N489" s="47"/>
      <c r="O489" s="47"/>
      <c r="P489" s="47"/>
      <c r="Q489" s="47"/>
      <c r="R489" s="75">
        <f t="shared" si="7"/>
        <v>0</v>
      </c>
    </row>
    <row r="490" spans="1:18" x14ac:dyDescent="0.35">
      <c r="A490" s="52">
        <v>487</v>
      </c>
      <c r="B490" s="67" t="s">
        <v>1068</v>
      </c>
      <c r="C490" s="90" t="s">
        <v>2076</v>
      </c>
      <c r="D490" s="54" t="s">
        <v>238</v>
      </c>
      <c r="E490" s="9">
        <v>0</v>
      </c>
      <c r="F490" s="47"/>
      <c r="G490" s="47"/>
      <c r="H490" s="47"/>
      <c r="I490" s="74"/>
      <c r="J490" s="47"/>
      <c r="K490" s="47"/>
      <c r="L490" s="47"/>
      <c r="M490" s="47"/>
      <c r="N490" s="47"/>
      <c r="O490" s="47"/>
      <c r="P490" s="47"/>
      <c r="Q490" s="47"/>
      <c r="R490" s="75">
        <f t="shared" si="7"/>
        <v>0</v>
      </c>
    </row>
    <row r="491" spans="1:18" x14ac:dyDescent="0.35">
      <c r="A491" s="52">
        <v>488</v>
      </c>
      <c r="B491" s="67" t="s">
        <v>1070</v>
      </c>
      <c r="C491" s="7" t="s">
        <v>1071</v>
      </c>
      <c r="D491" s="54" t="s">
        <v>300</v>
      </c>
      <c r="E491" s="9">
        <v>190000</v>
      </c>
      <c r="F491" s="47"/>
      <c r="G491" s="47"/>
      <c r="H491" s="47"/>
      <c r="I491" s="74"/>
      <c r="J491" s="47"/>
      <c r="K491" s="47"/>
      <c r="L491" s="47"/>
      <c r="M491" s="47"/>
      <c r="N491" s="47"/>
      <c r="O491" s="47"/>
      <c r="P491" s="47"/>
      <c r="Q491" s="47"/>
      <c r="R491" s="75">
        <f t="shared" si="7"/>
        <v>190000</v>
      </c>
    </row>
    <row r="492" spans="1:18" x14ac:dyDescent="0.35">
      <c r="A492" s="52">
        <v>489</v>
      </c>
      <c r="B492" s="67" t="s">
        <v>1072</v>
      </c>
      <c r="C492" s="101" t="s">
        <v>2077</v>
      </c>
      <c r="D492" s="54" t="s">
        <v>290</v>
      </c>
      <c r="E492" s="9">
        <v>0</v>
      </c>
      <c r="F492" s="47"/>
      <c r="G492" s="47"/>
      <c r="H492" s="47"/>
      <c r="I492" s="74"/>
      <c r="J492" s="47"/>
      <c r="K492" s="47"/>
      <c r="L492" s="47"/>
      <c r="M492" s="47"/>
      <c r="N492" s="47"/>
      <c r="O492" s="47"/>
      <c r="P492" s="47"/>
      <c r="Q492" s="47"/>
      <c r="R492" s="75">
        <f t="shared" si="7"/>
        <v>0</v>
      </c>
    </row>
    <row r="493" spans="1:18" x14ac:dyDescent="0.35">
      <c r="A493" s="52">
        <v>490</v>
      </c>
      <c r="B493" s="67" t="s">
        <v>1074</v>
      </c>
      <c r="C493" s="90" t="s">
        <v>2078</v>
      </c>
      <c r="D493" s="54" t="s">
        <v>25</v>
      </c>
      <c r="E493" s="9">
        <v>540000</v>
      </c>
      <c r="F493" s="47"/>
      <c r="G493" s="47"/>
      <c r="H493" s="47"/>
      <c r="I493" s="74"/>
      <c r="J493" s="47"/>
      <c r="K493" s="47"/>
      <c r="L493" s="47"/>
      <c r="M493" s="47"/>
      <c r="N493" s="47"/>
      <c r="O493" s="47"/>
      <c r="P493" s="47"/>
      <c r="Q493" s="47"/>
      <c r="R493" s="75">
        <f t="shared" si="7"/>
        <v>540000</v>
      </c>
    </row>
    <row r="494" spans="1:18" x14ac:dyDescent="0.35">
      <c r="A494" s="52">
        <v>491</v>
      </c>
      <c r="B494" s="67" t="s">
        <v>1076</v>
      </c>
      <c r="C494" s="7" t="s">
        <v>1627</v>
      </c>
      <c r="D494" s="54" t="s">
        <v>300</v>
      </c>
      <c r="E494" s="9">
        <v>0</v>
      </c>
      <c r="F494" s="47"/>
      <c r="G494" s="47"/>
      <c r="H494" s="47"/>
      <c r="I494" s="74"/>
      <c r="J494" s="47"/>
      <c r="K494" s="47"/>
      <c r="L494" s="47"/>
      <c r="M494" s="47"/>
      <c r="N494" s="47"/>
      <c r="O494" s="47"/>
      <c r="P494" s="47"/>
      <c r="Q494" s="47"/>
      <c r="R494" s="75">
        <f t="shared" si="7"/>
        <v>0</v>
      </c>
    </row>
    <row r="495" spans="1:18" x14ac:dyDescent="0.35">
      <c r="A495" s="52">
        <v>492</v>
      </c>
      <c r="B495" s="67" t="s">
        <v>1078</v>
      </c>
      <c r="C495" s="90" t="s">
        <v>1851</v>
      </c>
      <c r="D495" s="54" t="s">
        <v>25</v>
      </c>
      <c r="E495" s="9">
        <v>1440000</v>
      </c>
      <c r="F495" s="47"/>
      <c r="G495" s="47"/>
      <c r="H495" s="47"/>
      <c r="I495" s="74"/>
      <c r="J495" s="47"/>
      <c r="K495" s="47"/>
      <c r="L495" s="47"/>
      <c r="M495" s="47"/>
      <c r="N495" s="47"/>
      <c r="O495" s="47"/>
      <c r="P495" s="47"/>
      <c r="Q495" s="47"/>
      <c r="R495" s="75">
        <f t="shared" si="7"/>
        <v>1440000</v>
      </c>
    </row>
    <row r="496" spans="1:18" x14ac:dyDescent="0.35">
      <c r="A496" s="52">
        <v>493</v>
      </c>
      <c r="B496" s="67" t="s">
        <v>1080</v>
      </c>
      <c r="C496" s="90" t="s">
        <v>2079</v>
      </c>
      <c r="D496" s="54" t="s">
        <v>300</v>
      </c>
      <c r="E496" s="9">
        <v>535000</v>
      </c>
      <c r="F496" s="47"/>
      <c r="G496" s="47"/>
      <c r="H496" s="47"/>
      <c r="I496" s="74"/>
      <c r="J496" s="47"/>
      <c r="K496" s="47">
        <v>100000</v>
      </c>
      <c r="L496" s="47"/>
      <c r="M496" s="47"/>
      <c r="N496" s="47"/>
      <c r="O496" s="47"/>
      <c r="P496" s="47"/>
      <c r="Q496" s="47"/>
      <c r="R496" s="75">
        <f t="shared" si="7"/>
        <v>635000</v>
      </c>
    </row>
    <row r="497" spans="1:18" x14ac:dyDescent="0.35">
      <c r="A497" s="52">
        <v>494</v>
      </c>
      <c r="B497" s="67" t="s">
        <v>1082</v>
      </c>
      <c r="C497" s="7" t="s">
        <v>1083</v>
      </c>
      <c r="D497" s="54" t="s">
        <v>318</v>
      </c>
      <c r="E497" s="9">
        <v>0</v>
      </c>
      <c r="F497" s="47"/>
      <c r="G497" s="47"/>
      <c r="H497" s="47"/>
      <c r="I497" s="74"/>
      <c r="J497" s="47"/>
      <c r="K497" s="47"/>
      <c r="L497" s="47"/>
      <c r="M497" s="47"/>
      <c r="N497" s="47"/>
      <c r="O497" s="47"/>
      <c r="P497" s="47"/>
      <c r="Q497" s="47"/>
      <c r="R497" s="75">
        <f t="shared" si="7"/>
        <v>0</v>
      </c>
    </row>
    <row r="498" spans="1:18" x14ac:dyDescent="0.35">
      <c r="A498" s="52">
        <v>495</v>
      </c>
      <c r="B498" s="67" t="s">
        <v>1084</v>
      </c>
      <c r="C498" s="7" t="s">
        <v>1085</v>
      </c>
      <c r="D498" s="54" t="s">
        <v>318</v>
      </c>
      <c r="E498" s="9">
        <v>0</v>
      </c>
      <c r="F498" s="47"/>
      <c r="G498" s="47"/>
      <c r="H498" s="47"/>
      <c r="I498" s="74"/>
      <c r="J498" s="47"/>
      <c r="K498" s="47"/>
      <c r="L498" s="47"/>
      <c r="M498" s="47"/>
      <c r="N498" s="47"/>
      <c r="O498" s="47"/>
      <c r="P498" s="47"/>
      <c r="Q498" s="47"/>
      <c r="R498" s="75">
        <f t="shared" si="7"/>
        <v>0</v>
      </c>
    </row>
    <row r="499" spans="1:18" x14ac:dyDescent="0.35">
      <c r="A499" s="52">
        <v>496</v>
      </c>
      <c r="B499" s="67" t="s">
        <v>1086</v>
      </c>
      <c r="C499" s="90" t="s">
        <v>2080</v>
      </c>
      <c r="D499" s="54" t="s">
        <v>25</v>
      </c>
      <c r="E499" s="9">
        <v>300000</v>
      </c>
      <c r="F499" s="47"/>
      <c r="G499" s="47"/>
      <c r="H499" s="47"/>
      <c r="I499" s="74"/>
      <c r="J499" s="47"/>
      <c r="K499" s="47"/>
      <c r="L499" s="47"/>
      <c r="M499" s="47"/>
      <c r="N499" s="47"/>
      <c r="O499" s="47"/>
      <c r="P499" s="47"/>
      <c r="Q499" s="47"/>
      <c r="R499" s="75">
        <f t="shared" si="7"/>
        <v>300000</v>
      </c>
    </row>
    <row r="500" spans="1:18" x14ac:dyDescent="0.35">
      <c r="A500" s="52">
        <v>497</v>
      </c>
      <c r="B500" s="67" t="s">
        <v>1088</v>
      </c>
      <c r="C500" s="7" t="s">
        <v>1089</v>
      </c>
      <c r="D500" s="54" t="s">
        <v>318</v>
      </c>
      <c r="E500" s="9">
        <v>0</v>
      </c>
      <c r="F500" s="47"/>
      <c r="G500" s="47"/>
      <c r="H500" s="47"/>
      <c r="I500" s="74"/>
      <c r="J500" s="47"/>
      <c r="K500" s="47"/>
      <c r="L500" s="47"/>
      <c r="M500" s="47"/>
      <c r="N500" s="47"/>
      <c r="O500" s="47"/>
      <c r="P500" s="47"/>
      <c r="Q500" s="47"/>
      <c r="R500" s="75">
        <f t="shared" si="7"/>
        <v>0</v>
      </c>
    </row>
    <row r="501" spans="1:18" x14ac:dyDescent="0.35">
      <c r="A501" s="52">
        <v>498</v>
      </c>
      <c r="B501" s="67" t="s">
        <v>1090</v>
      </c>
      <c r="C501" s="101" t="s">
        <v>1943</v>
      </c>
      <c r="D501" s="54" t="s">
        <v>321</v>
      </c>
      <c r="E501" s="9">
        <v>500000</v>
      </c>
      <c r="F501" s="47"/>
      <c r="G501" s="47"/>
      <c r="H501" s="47"/>
      <c r="I501" s="74"/>
      <c r="J501" s="47"/>
      <c r="K501" s="47"/>
      <c r="L501" s="47"/>
      <c r="M501" s="47"/>
      <c r="N501" s="47"/>
      <c r="O501" s="47"/>
      <c r="P501" s="47"/>
      <c r="Q501" s="47"/>
      <c r="R501" s="75">
        <f t="shared" si="7"/>
        <v>500000</v>
      </c>
    </row>
    <row r="502" spans="1:18" x14ac:dyDescent="0.35">
      <c r="A502" s="52">
        <v>499</v>
      </c>
      <c r="B502" s="67" t="s">
        <v>1092</v>
      </c>
      <c r="C502" s="7" t="s">
        <v>1093</v>
      </c>
      <c r="D502" s="54" t="s">
        <v>49</v>
      </c>
      <c r="E502" s="9">
        <v>0</v>
      </c>
      <c r="F502" s="47"/>
      <c r="G502" s="47"/>
      <c r="H502" s="47"/>
      <c r="I502" s="74"/>
      <c r="J502" s="47"/>
      <c r="K502" s="47"/>
      <c r="L502" s="47"/>
      <c r="M502" s="47"/>
      <c r="N502" s="47"/>
      <c r="O502" s="47"/>
      <c r="P502" s="47"/>
      <c r="Q502" s="47"/>
      <c r="R502" s="75">
        <f t="shared" si="7"/>
        <v>0</v>
      </c>
    </row>
    <row r="503" spans="1:18" x14ac:dyDescent="0.35">
      <c r="A503" s="52">
        <v>500</v>
      </c>
      <c r="B503" s="67" t="s">
        <v>1094</v>
      </c>
      <c r="C503" s="7" t="s">
        <v>1095</v>
      </c>
      <c r="D503" s="54" t="s">
        <v>144</v>
      </c>
      <c r="E503" s="9">
        <v>0</v>
      </c>
      <c r="F503" s="47"/>
      <c r="G503" s="47"/>
      <c r="H503" s="47"/>
      <c r="I503" s="74"/>
      <c r="J503" s="47"/>
      <c r="K503" s="47"/>
      <c r="L503" s="47"/>
      <c r="M503" s="47"/>
      <c r="N503" s="47"/>
      <c r="O503" s="47"/>
      <c r="P503" s="47"/>
      <c r="Q503" s="47"/>
      <c r="R503" s="75">
        <f t="shared" si="7"/>
        <v>0</v>
      </c>
    </row>
    <row r="504" spans="1:18" x14ac:dyDescent="0.35">
      <c r="A504" s="52">
        <v>501</v>
      </c>
      <c r="B504" s="67" t="s">
        <v>1096</v>
      </c>
      <c r="C504" s="90" t="s">
        <v>1846</v>
      </c>
      <c r="D504" s="54" t="s">
        <v>22</v>
      </c>
      <c r="E504" s="9">
        <v>260000</v>
      </c>
      <c r="F504" s="47"/>
      <c r="G504" s="47"/>
      <c r="H504" s="47"/>
      <c r="I504" s="74"/>
      <c r="J504" s="47"/>
      <c r="K504" s="47"/>
      <c r="L504" s="47"/>
      <c r="M504" s="47"/>
      <c r="N504" s="47"/>
      <c r="O504" s="47"/>
      <c r="P504" s="47"/>
      <c r="Q504" s="47"/>
      <c r="R504" s="75">
        <f t="shared" si="7"/>
        <v>260000</v>
      </c>
    </row>
    <row r="505" spans="1:18" x14ac:dyDescent="0.35">
      <c r="A505" s="52">
        <v>502</v>
      </c>
      <c r="B505" s="67" t="s">
        <v>1098</v>
      </c>
      <c r="C505" s="7" t="s">
        <v>1099</v>
      </c>
      <c r="D505" s="54" t="s">
        <v>169</v>
      </c>
      <c r="E505" s="9">
        <v>0</v>
      </c>
      <c r="F505" s="47"/>
      <c r="G505" s="47"/>
      <c r="H505" s="47"/>
      <c r="I505" s="74"/>
      <c r="J505" s="47"/>
      <c r="K505" s="47"/>
      <c r="L505" s="47"/>
      <c r="M505" s="47"/>
      <c r="N505" s="47"/>
      <c r="O505" s="47"/>
      <c r="P505" s="47"/>
      <c r="Q505" s="47"/>
      <c r="R505" s="75">
        <f t="shared" si="7"/>
        <v>0</v>
      </c>
    </row>
    <row r="506" spans="1:18" x14ac:dyDescent="0.35">
      <c r="A506" s="52">
        <v>503</v>
      </c>
      <c r="B506" s="67" t="s">
        <v>1100</v>
      </c>
      <c r="C506" s="144" t="s">
        <v>2081</v>
      </c>
      <c r="D506" s="54" t="s">
        <v>136</v>
      </c>
      <c r="E506" s="9">
        <v>750000</v>
      </c>
      <c r="F506" s="47"/>
      <c r="G506" s="47"/>
      <c r="H506" s="47">
        <v>250000</v>
      </c>
      <c r="I506" s="74"/>
      <c r="J506" s="47"/>
      <c r="K506" s="47"/>
      <c r="L506" s="47"/>
      <c r="M506" s="47"/>
      <c r="N506" s="47"/>
      <c r="O506" s="47"/>
      <c r="P506" s="47"/>
      <c r="Q506" s="47"/>
      <c r="R506" s="75">
        <f t="shared" si="7"/>
        <v>1000000</v>
      </c>
    </row>
    <row r="507" spans="1:18" x14ac:dyDescent="0.35">
      <c r="A507" s="52">
        <v>504</v>
      </c>
      <c r="B507" s="67" t="s">
        <v>1102</v>
      </c>
      <c r="C507" s="144" t="s">
        <v>1948</v>
      </c>
      <c r="D507" s="54" t="s">
        <v>128</v>
      </c>
      <c r="E507" s="9">
        <v>0</v>
      </c>
      <c r="F507" s="47"/>
      <c r="G507" s="47"/>
      <c r="H507" s="47"/>
      <c r="I507" s="74"/>
      <c r="J507" s="47"/>
      <c r="K507" s="47"/>
      <c r="L507" s="47"/>
      <c r="M507" s="47"/>
      <c r="N507" s="47"/>
      <c r="O507" s="47"/>
      <c r="P507" s="47"/>
      <c r="Q507" s="47"/>
      <c r="R507" s="75">
        <f t="shared" si="7"/>
        <v>0</v>
      </c>
    </row>
    <row r="508" spans="1:18" x14ac:dyDescent="0.35">
      <c r="A508" s="52">
        <v>505</v>
      </c>
      <c r="B508" s="67" t="s">
        <v>1104</v>
      </c>
      <c r="C508" s="144" t="s">
        <v>1863</v>
      </c>
      <c r="D508" s="54" t="s">
        <v>136</v>
      </c>
      <c r="E508" s="9">
        <v>675000</v>
      </c>
      <c r="F508" s="47">
        <v>180000</v>
      </c>
      <c r="G508" s="47"/>
      <c r="H508" s="47"/>
      <c r="I508" s="74"/>
      <c r="J508" s="47"/>
      <c r="K508" s="47"/>
      <c r="L508" s="47"/>
      <c r="M508" s="47"/>
      <c r="N508" s="47"/>
      <c r="O508" s="47"/>
      <c r="P508" s="47"/>
      <c r="Q508" s="47"/>
      <c r="R508" s="75">
        <f t="shared" si="7"/>
        <v>855000</v>
      </c>
    </row>
    <row r="509" spans="1:18" x14ac:dyDescent="0.35">
      <c r="A509" s="52">
        <v>506</v>
      </c>
      <c r="B509" s="67" t="s">
        <v>1106</v>
      </c>
      <c r="C509" s="53" t="s">
        <v>1107</v>
      </c>
      <c r="D509" s="54" t="s">
        <v>144</v>
      </c>
      <c r="E509" s="9">
        <v>0</v>
      </c>
      <c r="F509" s="47"/>
      <c r="G509" s="47"/>
      <c r="H509" s="47"/>
      <c r="I509" s="74"/>
      <c r="J509" s="47"/>
      <c r="K509" s="47"/>
      <c r="L509" s="47"/>
      <c r="M509" s="47"/>
      <c r="N509" s="47"/>
      <c r="O509" s="47"/>
      <c r="P509" s="47"/>
      <c r="Q509" s="47"/>
      <c r="R509" s="75">
        <f t="shared" si="7"/>
        <v>0</v>
      </c>
    </row>
    <row r="510" spans="1:18" x14ac:dyDescent="0.35">
      <c r="A510" s="52">
        <v>507</v>
      </c>
      <c r="B510" s="67" t="s">
        <v>1108</v>
      </c>
      <c r="C510" s="7" t="s">
        <v>2184</v>
      </c>
      <c r="D510" s="54" t="s">
        <v>524</v>
      </c>
      <c r="E510" s="9">
        <v>0</v>
      </c>
      <c r="F510" s="47"/>
      <c r="G510" s="47"/>
      <c r="H510" s="47"/>
      <c r="I510" s="74"/>
      <c r="J510" s="47"/>
      <c r="K510" s="47"/>
      <c r="L510" s="47"/>
      <c r="M510" s="47"/>
      <c r="N510" s="47"/>
      <c r="O510" s="47"/>
      <c r="P510" s="47"/>
      <c r="Q510" s="47"/>
      <c r="R510" s="75">
        <f t="shared" si="7"/>
        <v>0</v>
      </c>
    </row>
    <row r="511" spans="1:18" x14ac:dyDescent="0.35">
      <c r="A511" s="52">
        <v>508</v>
      </c>
      <c r="B511" s="67" t="s">
        <v>1110</v>
      </c>
      <c r="C511" s="7" t="s">
        <v>1111</v>
      </c>
      <c r="D511" s="54" t="s">
        <v>751</v>
      </c>
      <c r="E511" s="9">
        <v>0</v>
      </c>
      <c r="F511" s="47"/>
      <c r="G511" s="47"/>
      <c r="H511" s="47"/>
      <c r="I511" s="74"/>
      <c r="J511" s="47"/>
      <c r="K511" s="47"/>
      <c r="L511" s="47"/>
      <c r="M511" s="47"/>
      <c r="N511" s="47"/>
      <c r="O511" s="47"/>
      <c r="P511" s="47"/>
      <c r="Q511" s="47"/>
      <c r="R511" s="75">
        <f t="shared" si="7"/>
        <v>0</v>
      </c>
    </row>
    <row r="512" spans="1:18" x14ac:dyDescent="0.35">
      <c r="A512" s="52">
        <v>509</v>
      </c>
      <c r="B512" s="67" t="s">
        <v>1112</v>
      </c>
      <c r="C512" s="7" t="s">
        <v>1628</v>
      </c>
      <c r="D512" s="54" t="s">
        <v>751</v>
      </c>
      <c r="E512" s="9">
        <v>0</v>
      </c>
      <c r="F512" s="47"/>
      <c r="G512" s="47"/>
      <c r="H512" s="47"/>
      <c r="I512" s="74"/>
      <c r="J512" s="47"/>
      <c r="K512" s="47"/>
      <c r="L512" s="47"/>
      <c r="M512" s="47"/>
      <c r="N512" s="47"/>
      <c r="O512" s="47"/>
      <c r="P512" s="47"/>
      <c r="Q512" s="47"/>
      <c r="R512" s="75">
        <f t="shared" si="7"/>
        <v>0</v>
      </c>
    </row>
    <row r="513" spans="1:18" x14ac:dyDescent="0.35">
      <c r="A513" s="52">
        <v>510</v>
      </c>
      <c r="B513" s="67" t="s">
        <v>1114</v>
      </c>
      <c r="C513" s="7" t="s">
        <v>1115</v>
      </c>
      <c r="D513" s="54" t="s">
        <v>49</v>
      </c>
      <c r="E513" s="9">
        <v>0</v>
      </c>
      <c r="F513" s="47"/>
      <c r="G513" s="47"/>
      <c r="H513" s="47"/>
      <c r="I513" s="74"/>
      <c r="J513" s="47"/>
      <c r="K513" s="47"/>
      <c r="L513" s="47"/>
      <c r="M513" s="47"/>
      <c r="N513" s="47"/>
      <c r="O513" s="47"/>
      <c r="P513" s="47"/>
      <c r="Q513" s="47"/>
      <c r="R513" s="75">
        <f t="shared" si="7"/>
        <v>0</v>
      </c>
    </row>
    <row r="514" spans="1:18" x14ac:dyDescent="0.35">
      <c r="A514" s="52">
        <v>511</v>
      </c>
      <c r="B514" s="67" t="s">
        <v>1116</v>
      </c>
      <c r="C514" s="144" t="s">
        <v>2082</v>
      </c>
      <c r="D514" s="54" t="s">
        <v>83</v>
      </c>
      <c r="E514" s="9">
        <v>0</v>
      </c>
      <c r="F514" s="47"/>
      <c r="G514" s="47"/>
      <c r="H514" s="47"/>
      <c r="I514" s="74"/>
      <c r="J514" s="47"/>
      <c r="K514" s="47"/>
      <c r="L514" s="47"/>
      <c r="M514" s="47"/>
      <c r="N514" s="47"/>
      <c r="O514" s="47"/>
      <c r="P514" s="47"/>
      <c r="Q514" s="47"/>
      <c r="R514" s="75">
        <f t="shared" si="7"/>
        <v>0</v>
      </c>
    </row>
    <row r="515" spans="1:18" x14ac:dyDescent="0.35">
      <c r="A515" s="52">
        <v>512</v>
      </c>
      <c r="B515" s="67" t="s">
        <v>1118</v>
      </c>
      <c r="C515" s="90" t="s">
        <v>2083</v>
      </c>
      <c r="D515" s="54" t="s">
        <v>72</v>
      </c>
      <c r="E515" s="9">
        <v>450000</v>
      </c>
      <c r="F515" s="47"/>
      <c r="G515" s="47"/>
      <c r="H515" s="47"/>
      <c r="I515" s="74"/>
      <c r="J515" s="47"/>
      <c r="K515" s="47"/>
      <c r="L515" s="47"/>
      <c r="M515" s="47"/>
      <c r="N515" s="47"/>
      <c r="O515" s="47"/>
      <c r="P515" s="47"/>
      <c r="Q515" s="47"/>
      <c r="R515" s="75">
        <f t="shared" si="7"/>
        <v>450000</v>
      </c>
    </row>
    <row r="516" spans="1:18" x14ac:dyDescent="0.35">
      <c r="A516" s="52">
        <v>513</v>
      </c>
      <c r="B516" s="67" t="s">
        <v>1120</v>
      </c>
      <c r="C516" s="7" t="s">
        <v>1671</v>
      </c>
      <c r="D516" s="54" t="s">
        <v>49</v>
      </c>
      <c r="E516" s="9">
        <v>0</v>
      </c>
      <c r="F516" s="47"/>
      <c r="G516" s="47"/>
      <c r="H516" s="47"/>
      <c r="I516" s="74"/>
      <c r="J516" s="47"/>
      <c r="K516" s="47"/>
      <c r="L516" s="47"/>
      <c r="M516" s="47"/>
      <c r="N516" s="47"/>
      <c r="O516" s="47"/>
      <c r="P516" s="47"/>
      <c r="Q516" s="47"/>
      <c r="R516" s="75">
        <f t="shared" ref="R516:R579" si="8">E516+F516+G516+H516+I516+J516+K516+L516+M516+N516+O516+P516+Q516</f>
        <v>0</v>
      </c>
    </row>
    <row r="517" spans="1:18" x14ac:dyDescent="0.35">
      <c r="A517" s="52">
        <v>514</v>
      </c>
      <c r="B517" s="67" t="s">
        <v>1122</v>
      </c>
      <c r="C517" s="144" t="s">
        <v>1896</v>
      </c>
      <c r="D517" s="54" t="s">
        <v>136</v>
      </c>
      <c r="E517" s="9">
        <v>850000</v>
      </c>
      <c r="F517" s="47"/>
      <c r="G517" s="47"/>
      <c r="H517" s="47"/>
      <c r="I517" s="74"/>
      <c r="J517" s="47"/>
      <c r="K517" s="47"/>
      <c r="L517" s="47"/>
      <c r="M517" s="47"/>
      <c r="N517" s="47"/>
      <c r="O517" s="47"/>
      <c r="P517" s="47"/>
      <c r="Q517" s="47"/>
      <c r="R517" s="75">
        <f t="shared" si="8"/>
        <v>850000</v>
      </c>
    </row>
    <row r="518" spans="1:18" x14ac:dyDescent="0.35">
      <c r="A518" s="52">
        <v>515</v>
      </c>
      <c r="B518" s="67" t="s">
        <v>1124</v>
      </c>
      <c r="C518" s="90" t="s">
        <v>2084</v>
      </c>
      <c r="D518" s="54" t="s">
        <v>116</v>
      </c>
      <c r="E518" s="9">
        <v>990000</v>
      </c>
      <c r="F518" s="47"/>
      <c r="G518" s="47"/>
      <c r="H518" s="47"/>
      <c r="I518" s="74"/>
      <c r="J518" s="47"/>
      <c r="K518" s="47"/>
      <c r="L518" s="47"/>
      <c r="M518" s="47"/>
      <c r="N518" s="47"/>
      <c r="O518" s="47"/>
      <c r="P518" s="47"/>
      <c r="Q518" s="47"/>
      <c r="R518" s="75">
        <f t="shared" si="8"/>
        <v>990000</v>
      </c>
    </row>
    <row r="519" spans="1:18" x14ac:dyDescent="0.35">
      <c r="A519" s="52">
        <v>516</v>
      </c>
      <c r="B519" s="67" t="s">
        <v>1126</v>
      </c>
      <c r="C519" s="90" t="s">
        <v>2085</v>
      </c>
      <c r="D519" s="54" t="s">
        <v>303</v>
      </c>
      <c r="E519" s="9">
        <v>100000</v>
      </c>
      <c r="F519" s="47"/>
      <c r="G519" s="47"/>
      <c r="H519" s="47"/>
      <c r="I519" s="74">
        <v>20000</v>
      </c>
      <c r="J519" s="47">
        <v>20000</v>
      </c>
      <c r="K519" s="74">
        <v>20000</v>
      </c>
      <c r="L519" s="47">
        <v>20000</v>
      </c>
      <c r="M519" s="47">
        <v>20000</v>
      </c>
      <c r="N519" s="47">
        <v>20000</v>
      </c>
      <c r="O519" s="47">
        <v>20000</v>
      </c>
      <c r="P519" s="47">
        <v>30000</v>
      </c>
      <c r="Q519" s="47">
        <v>30000</v>
      </c>
      <c r="R519" s="75">
        <f t="shared" si="8"/>
        <v>300000</v>
      </c>
    </row>
    <row r="520" spans="1:18" x14ac:dyDescent="0.35">
      <c r="A520" s="52">
        <v>517</v>
      </c>
      <c r="B520" s="67" t="s">
        <v>1128</v>
      </c>
      <c r="C520" s="90" t="s">
        <v>2086</v>
      </c>
      <c r="D520" s="54" t="s">
        <v>72</v>
      </c>
      <c r="E520" s="9">
        <v>0</v>
      </c>
      <c r="F520" s="47"/>
      <c r="G520" s="47"/>
      <c r="H520" s="47"/>
      <c r="I520" s="74"/>
      <c r="J520" s="47"/>
      <c r="K520" s="47"/>
      <c r="L520" s="47"/>
      <c r="M520" s="47"/>
      <c r="N520" s="47"/>
      <c r="O520" s="47"/>
      <c r="P520" s="47"/>
      <c r="Q520" s="47"/>
      <c r="R520" s="75">
        <f t="shared" si="8"/>
        <v>0</v>
      </c>
    </row>
    <row r="521" spans="1:18" x14ac:dyDescent="0.35">
      <c r="A521" s="52">
        <v>518</v>
      </c>
      <c r="B521" s="67" t="s">
        <v>1130</v>
      </c>
      <c r="C521" s="90" t="s">
        <v>1842</v>
      </c>
      <c r="D521" s="54" t="s">
        <v>19</v>
      </c>
      <c r="E521" s="9">
        <v>0</v>
      </c>
      <c r="F521" s="47"/>
      <c r="G521" s="47"/>
      <c r="H521" s="47"/>
      <c r="I521" s="74"/>
      <c r="J521" s="47"/>
      <c r="K521" s="47"/>
      <c r="L521" s="47"/>
      <c r="M521" s="47"/>
      <c r="N521" s="47"/>
      <c r="O521" s="47"/>
      <c r="P521" s="47"/>
      <c r="Q521" s="47"/>
      <c r="R521" s="75">
        <f t="shared" si="8"/>
        <v>0</v>
      </c>
    </row>
    <row r="522" spans="1:18" x14ac:dyDescent="0.35">
      <c r="A522" s="52">
        <v>519</v>
      </c>
      <c r="B522" s="67" t="s">
        <v>1132</v>
      </c>
      <c r="C522" s="144" t="s">
        <v>2087</v>
      </c>
      <c r="D522" s="54" t="s">
        <v>19</v>
      </c>
      <c r="E522" s="9">
        <v>0</v>
      </c>
      <c r="F522" s="47"/>
      <c r="G522" s="47"/>
      <c r="H522" s="47"/>
      <c r="I522" s="74"/>
      <c r="J522" s="47"/>
      <c r="K522" s="47"/>
      <c r="L522" s="47"/>
      <c r="M522" s="47"/>
      <c r="N522" s="47"/>
      <c r="O522" s="47"/>
      <c r="P522" s="47"/>
      <c r="Q522" s="47"/>
      <c r="R522" s="75">
        <f t="shared" si="8"/>
        <v>0</v>
      </c>
    </row>
    <row r="523" spans="1:18" x14ac:dyDescent="0.35">
      <c r="A523" s="52">
        <v>520</v>
      </c>
      <c r="B523" s="67" t="s">
        <v>1134</v>
      </c>
      <c r="C523" s="144" t="s">
        <v>2088</v>
      </c>
      <c r="D523" s="54" t="s">
        <v>198</v>
      </c>
      <c r="E523" s="9">
        <v>1800000</v>
      </c>
      <c r="F523" s="47"/>
      <c r="G523" s="47"/>
      <c r="H523" s="47"/>
      <c r="I523" s="74"/>
      <c r="J523" s="47"/>
      <c r="K523" s="47"/>
      <c r="L523" s="47"/>
      <c r="M523" s="47"/>
      <c r="N523" s="47"/>
      <c r="O523" s="47"/>
      <c r="P523" s="47"/>
      <c r="Q523" s="47"/>
      <c r="R523" s="75">
        <f t="shared" si="8"/>
        <v>1800000</v>
      </c>
    </row>
    <row r="524" spans="1:18" x14ac:dyDescent="0.35">
      <c r="A524" s="52">
        <v>521</v>
      </c>
      <c r="B524" s="67" t="s">
        <v>1136</v>
      </c>
      <c r="C524" s="146" t="s">
        <v>2089</v>
      </c>
      <c r="D524" s="54" t="s">
        <v>123</v>
      </c>
      <c r="E524" s="9">
        <v>0</v>
      </c>
      <c r="F524" s="47"/>
      <c r="G524" s="47"/>
      <c r="H524" s="47"/>
      <c r="I524" s="74"/>
      <c r="J524" s="47"/>
      <c r="K524" s="47"/>
      <c r="L524" s="47"/>
      <c r="M524" s="47"/>
      <c r="N524" s="47"/>
      <c r="O524" s="47"/>
      <c r="P524" s="47"/>
      <c r="Q524" s="47"/>
      <c r="R524" s="75">
        <f t="shared" si="8"/>
        <v>0</v>
      </c>
    </row>
    <row r="525" spans="1:18" x14ac:dyDescent="0.35">
      <c r="A525" s="52">
        <v>522</v>
      </c>
      <c r="B525" s="67" t="s">
        <v>1138</v>
      </c>
      <c r="C525" s="90" t="s">
        <v>2090</v>
      </c>
      <c r="D525" s="54" t="s">
        <v>95</v>
      </c>
      <c r="E525" s="9">
        <v>150000</v>
      </c>
      <c r="F525" s="47"/>
      <c r="G525" s="47"/>
      <c r="H525" s="47"/>
      <c r="I525" s="74"/>
      <c r="J525" s="47"/>
      <c r="K525" s="47"/>
      <c r="L525" s="47"/>
      <c r="M525" s="47"/>
      <c r="N525" s="47"/>
      <c r="O525" s="47"/>
      <c r="P525" s="47"/>
      <c r="Q525" s="47"/>
      <c r="R525" s="75">
        <f t="shared" si="8"/>
        <v>150000</v>
      </c>
    </row>
    <row r="526" spans="1:18" x14ac:dyDescent="0.35">
      <c r="A526" s="52">
        <v>523</v>
      </c>
      <c r="B526" s="67" t="s">
        <v>1140</v>
      </c>
      <c r="C526" s="7" t="s">
        <v>1141</v>
      </c>
      <c r="D526" s="54" t="s">
        <v>49</v>
      </c>
      <c r="E526" s="9">
        <v>0</v>
      </c>
      <c r="F526" s="47"/>
      <c r="G526" s="47"/>
      <c r="H526" s="47"/>
      <c r="I526" s="74"/>
      <c r="J526" s="47"/>
      <c r="K526" s="47"/>
      <c r="L526" s="47"/>
      <c r="M526" s="47"/>
      <c r="N526" s="47"/>
      <c r="O526" s="47"/>
      <c r="P526" s="47"/>
      <c r="Q526" s="47"/>
      <c r="R526" s="75">
        <f t="shared" si="8"/>
        <v>0</v>
      </c>
    </row>
    <row r="527" spans="1:18" x14ac:dyDescent="0.35">
      <c r="A527" s="52">
        <v>524</v>
      </c>
      <c r="B527" s="67" t="s">
        <v>1142</v>
      </c>
      <c r="C527" s="7" t="s">
        <v>1143</v>
      </c>
      <c r="D527" s="54" t="s">
        <v>49</v>
      </c>
      <c r="E527" s="9">
        <v>0</v>
      </c>
      <c r="F527" s="47"/>
      <c r="G527" s="47"/>
      <c r="H527" s="47"/>
      <c r="I527" s="74"/>
      <c r="J527" s="47"/>
      <c r="K527" s="47"/>
      <c r="L527" s="47"/>
      <c r="M527" s="47"/>
      <c r="N527" s="47"/>
      <c r="O527" s="47"/>
      <c r="P527" s="47"/>
      <c r="Q527" s="47"/>
      <c r="R527" s="75">
        <f t="shared" si="8"/>
        <v>0</v>
      </c>
    </row>
    <row r="528" spans="1:18" x14ac:dyDescent="0.35">
      <c r="A528" s="52">
        <v>526</v>
      </c>
      <c r="B528" s="67" t="s">
        <v>1144</v>
      </c>
      <c r="C528" s="7" t="s">
        <v>1145</v>
      </c>
      <c r="D528" s="54" t="s">
        <v>303</v>
      </c>
      <c r="E528" s="9">
        <v>0</v>
      </c>
      <c r="F528" s="47"/>
      <c r="G528" s="47"/>
      <c r="H528" s="47"/>
      <c r="I528" s="74"/>
      <c r="J528" s="47"/>
      <c r="K528" s="47"/>
      <c r="L528" s="47"/>
      <c r="M528" s="47"/>
      <c r="N528" s="47"/>
      <c r="O528" s="47"/>
      <c r="P528" s="47"/>
      <c r="Q528" s="47"/>
      <c r="R528" s="75">
        <f t="shared" si="8"/>
        <v>0</v>
      </c>
    </row>
    <row r="529" spans="1:18" x14ac:dyDescent="0.35">
      <c r="A529" s="52">
        <v>527</v>
      </c>
      <c r="B529" s="67" t="s">
        <v>1146</v>
      </c>
      <c r="C529" s="7" t="s">
        <v>1147</v>
      </c>
      <c r="D529" s="54" t="s">
        <v>698</v>
      </c>
      <c r="E529" s="9">
        <v>0</v>
      </c>
      <c r="F529" s="47"/>
      <c r="G529" s="47"/>
      <c r="H529" s="47"/>
      <c r="I529" s="74"/>
      <c r="J529" s="47"/>
      <c r="K529" s="47"/>
      <c r="L529" s="47"/>
      <c r="M529" s="47"/>
      <c r="N529" s="47"/>
      <c r="O529" s="47"/>
      <c r="P529" s="47"/>
      <c r="Q529" s="47"/>
      <c r="R529" s="75">
        <f t="shared" si="8"/>
        <v>0</v>
      </c>
    </row>
    <row r="530" spans="1:18" x14ac:dyDescent="0.35">
      <c r="A530" s="52">
        <v>528</v>
      </c>
      <c r="B530" s="67" t="s">
        <v>1148</v>
      </c>
      <c r="C530" s="53" t="s">
        <v>1149</v>
      </c>
      <c r="D530" s="54" t="s">
        <v>60</v>
      </c>
      <c r="E530" s="9">
        <v>0</v>
      </c>
      <c r="F530" s="47"/>
      <c r="G530" s="47"/>
      <c r="H530" s="47"/>
      <c r="I530" s="74"/>
      <c r="J530" s="47"/>
      <c r="K530" s="47"/>
      <c r="L530" s="47"/>
      <c r="M530" s="47"/>
      <c r="N530" s="47"/>
      <c r="O530" s="47"/>
      <c r="P530" s="47"/>
      <c r="Q530" s="47"/>
      <c r="R530" s="75">
        <f t="shared" si="8"/>
        <v>0</v>
      </c>
    </row>
    <row r="531" spans="1:18" x14ac:dyDescent="0.35">
      <c r="A531" s="52">
        <v>529</v>
      </c>
      <c r="B531" s="67" t="s">
        <v>1150</v>
      </c>
      <c r="C531" s="144" t="s">
        <v>1878</v>
      </c>
      <c r="D531" s="54" t="s">
        <v>98</v>
      </c>
      <c r="E531" s="9">
        <v>0</v>
      </c>
      <c r="F531" s="47"/>
      <c r="G531" s="47"/>
      <c r="H531" s="47"/>
      <c r="I531" s="74"/>
      <c r="J531" s="47"/>
      <c r="K531" s="47"/>
      <c r="L531" s="47"/>
      <c r="M531" s="47"/>
      <c r="N531" s="47"/>
      <c r="O531" s="47"/>
      <c r="P531" s="47"/>
      <c r="Q531" s="47"/>
      <c r="R531" s="75">
        <f t="shared" si="8"/>
        <v>0</v>
      </c>
    </row>
    <row r="532" spans="1:18" x14ac:dyDescent="0.35">
      <c r="A532" s="52">
        <v>530</v>
      </c>
      <c r="B532" s="67" t="s">
        <v>1152</v>
      </c>
      <c r="C532" s="7" t="s">
        <v>1153</v>
      </c>
      <c r="D532" s="54" t="s">
        <v>300</v>
      </c>
      <c r="E532" s="9">
        <v>0</v>
      </c>
      <c r="F532" s="47"/>
      <c r="G532" s="47"/>
      <c r="H532" s="47"/>
      <c r="I532" s="74"/>
      <c r="J532" s="47"/>
      <c r="K532" s="47"/>
      <c r="L532" s="47"/>
      <c r="M532" s="47"/>
      <c r="N532" s="47"/>
      <c r="O532" s="47"/>
      <c r="P532" s="47"/>
      <c r="Q532" s="47"/>
      <c r="R532" s="75">
        <f t="shared" si="8"/>
        <v>0</v>
      </c>
    </row>
    <row r="533" spans="1:18" x14ac:dyDescent="0.35">
      <c r="A533" s="52">
        <v>531</v>
      </c>
      <c r="B533" s="67" t="s">
        <v>1154</v>
      </c>
      <c r="C533" s="90" t="s">
        <v>2091</v>
      </c>
      <c r="D533" s="54" t="s">
        <v>25</v>
      </c>
      <c r="E533" s="9">
        <v>1050000</v>
      </c>
      <c r="F533" s="47"/>
      <c r="G533" s="47"/>
      <c r="H533" s="47"/>
      <c r="I533" s="74"/>
      <c r="J533" s="47"/>
      <c r="K533" s="47"/>
      <c r="L533" s="47"/>
      <c r="M533" s="47"/>
      <c r="N533" s="47"/>
      <c r="O533" s="47"/>
      <c r="P533" s="47"/>
      <c r="Q533" s="47"/>
      <c r="R533" s="75">
        <f t="shared" si="8"/>
        <v>1050000</v>
      </c>
    </row>
    <row r="534" spans="1:18" x14ac:dyDescent="0.35">
      <c r="A534" s="52">
        <v>532</v>
      </c>
      <c r="B534" s="67" t="s">
        <v>1156</v>
      </c>
      <c r="C534" s="90" t="s">
        <v>1762</v>
      </c>
      <c r="D534" s="54" t="s">
        <v>318</v>
      </c>
      <c r="E534" s="9">
        <v>250000</v>
      </c>
      <c r="F534" s="47"/>
      <c r="G534" s="47"/>
      <c r="H534" s="47"/>
      <c r="I534" s="74">
        <v>10000</v>
      </c>
      <c r="J534" s="47">
        <v>43333</v>
      </c>
      <c r="K534" s="47">
        <v>73333</v>
      </c>
      <c r="L534" s="47">
        <v>73333</v>
      </c>
      <c r="M534" s="47">
        <f>40000+40000+70000</f>
        <v>150000</v>
      </c>
      <c r="N534" s="47">
        <f>33333+18333</f>
        <v>51666</v>
      </c>
      <c r="O534" s="47">
        <f>33333+150000+18333</f>
        <v>201666</v>
      </c>
      <c r="P534" s="47">
        <f>33333+18333</f>
        <v>51666</v>
      </c>
      <c r="Q534" s="47">
        <f>10000+18333</f>
        <v>28333</v>
      </c>
      <c r="R534" s="75">
        <f t="shared" si="8"/>
        <v>933330</v>
      </c>
    </row>
    <row r="535" spans="1:18" x14ac:dyDescent="0.35">
      <c r="A535" s="52">
        <v>533</v>
      </c>
      <c r="B535" s="67" t="s">
        <v>1158</v>
      </c>
      <c r="C535" s="7" t="s">
        <v>1159</v>
      </c>
      <c r="D535" s="54" t="s">
        <v>19</v>
      </c>
      <c r="E535" s="9">
        <v>0</v>
      </c>
      <c r="F535" s="47"/>
      <c r="G535" s="47"/>
      <c r="H535" s="47"/>
      <c r="I535" s="74"/>
      <c r="J535" s="47"/>
      <c r="K535" s="47"/>
      <c r="L535" s="47"/>
      <c r="M535" s="47"/>
      <c r="N535" s="47"/>
      <c r="O535" s="47"/>
      <c r="P535" s="47"/>
      <c r="Q535" s="47"/>
      <c r="R535" s="75">
        <f t="shared" si="8"/>
        <v>0</v>
      </c>
    </row>
    <row r="536" spans="1:18" x14ac:dyDescent="0.35">
      <c r="A536" s="52">
        <v>534</v>
      </c>
      <c r="B536" s="67" t="s">
        <v>1160</v>
      </c>
      <c r="C536" s="101" t="s">
        <v>2092</v>
      </c>
      <c r="D536" s="54" t="s">
        <v>303</v>
      </c>
      <c r="E536" s="9">
        <v>0</v>
      </c>
      <c r="F536" s="47"/>
      <c r="G536" s="47"/>
      <c r="H536" s="47"/>
      <c r="I536" s="74"/>
      <c r="J536" s="47"/>
      <c r="K536" s="47"/>
      <c r="L536" s="47"/>
      <c r="M536" s="47"/>
      <c r="N536" s="47"/>
      <c r="O536" s="47"/>
      <c r="P536" s="47"/>
      <c r="Q536" s="47"/>
      <c r="R536" s="75">
        <f t="shared" si="8"/>
        <v>0</v>
      </c>
    </row>
    <row r="537" spans="1:18" x14ac:dyDescent="0.35">
      <c r="A537" s="52">
        <v>535</v>
      </c>
      <c r="B537" s="67" t="s">
        <v>1162</v>
      </c>
      <c r="C537" s="7" t="s">
        <v>1629</v>
      </c>
      <c r="D537" s="54" t="s">
        <v>318</v>
      </c>
      <c r="E537" s="9">
        <v>0</v>
      </c>
      <c r="F537" s="47"/>
      <c r="G537" s="47"/>
      <c r="H537" s="47"/>
      <c r="I537" s="74"/>
      <c r="J537" s="47"/>
      <c r="K537" s="47"/>
      <c r="L537" s="47"/>
      <c r="M537" s="47"/>
      <c r="N537" s="47"/>
      <c r="O537" s="47"/>
      <c r="P537" s="47"/>
      <c r="Q537" s="47"/>
      <c r="R537" s="75">
        <f t="shared" si="8"/>
        <v>0</v>
      </c>
    </row>
    <row r="538" spans="1:18" x14ac:dyDescent="0.35">
      <c r="A538" s="52">
        <v>536</v>
      </c>
      <c r="B538" s="67" t="s">
        <v>1164</v>
      </c>
      <c r="C538" s="21" t="s">
        <v>2093</v>
      </c>
      <c r="D538" s="54" t="s">
        <v>136</v>
      </c>
      <c r="E538" s="9">
        <v>280000</v>
      </c>
      <c r="F538" s="47"/>
      <c r="G538" s="47"/>
      <c r="H538" s="47"/>
      <c r="I538" s="74"/>
      <c r="J538" s="47"/>
      <c r="K538" s="47"/>
      <c r="L538" s="47"/>
      <c r="M538" s="47"/>
      <c r="N538" s="47"/>
      <c r="O538" s="47"/>
      <c r="P538" s="47"/>
      <c r="Q538" s="47"/>
      <c r="R538" s="75">
        <f t="shared" si="8"/>
        <v>280000</v>
      </c>
    </row>
    <row r="539" spans="1:18" x14ac:dyDescent="0.35">
      <c r="A539" s="52">
        <v>537</v>
      </c>
      <c r="B539" s="67" t="s">
        <v>1166</v>
      </c>
      <c r="C539" s="127" t="s">
        <v>2094</v>
      </c>
      <c r="D539" s="54" t="s">
        <v>751</v>
      </c>
      <c r="E539" s="9">
        <v>20000</v>
      </c>
      <c r="F539" s="47"/>
      <c r="G539" s="47"/>
      <c r="H539" s="47"/>
      <c r="I539" s="74"/>
      <c r="J539" s="47"/>
      <c r="K539" s="47"/>
      <c r="L539" s="47"/>
      <c r="M539" s="47"/>
      <c r="N539" s="47"/>
      <c r="O539" s="47"/>
      <c r="P539" s="47"/>
      <c r="Q539" s="47"/>
      <c r="R539" s="75">
        <f t="shared" si="8"/>
        <v>20000</v>
      </c>
    </row>
    <row r="540" spans="1:18" x14ac:dyDescent="0.35">
      <c r="A540" s="52">
        <v>538</v>
      </c>
      <c r="B540" s="67" t="s">
        <v>1168</v>
      </c>
      <c r="C540" s="7" t="s">
        <v>1169</v>
      </c>
      <c r="D540" s="54" t="s">
        <v>113</v>
      </c>
      <c r="E540" s="9">
        <v>0</v>
      </c>
      <c r="F540" s="47"/>
      <c r="G540" s="47"/>
      <c r="H540" s="47"/>
      <c r="I540" s="74"/>
      <c r="J540" s="47"/>
      <c r="K540" s="47"/>
      <c r="L540" s="47"/>
      <c r="M540" s="47"/>
      <c r="N540" s="47"/>
      <c r="O540" s="47"/>
      <c r="P540" s="47"/>
      <c r="Q540" s="47"/>
      <c r="R540" s="75">
        <f t="shared" si="8"/>
        <v>0</v>
      </c>
    </row>
    <row r="541" spans="1:18" x14ac:dyDescent="0.35">
      <c r="A541" s="52">
        <v>539</v>
      </c>
      <c r="B541" s="67" t="s">
        <v>1170</v>
      </c>
      <c r="C541" s="144" t="s">
        <v>2095</v>
      </c>
      <c r="D541" s="54" t="s">
        <v>136</v>
      </c>
      <c r="E541" s="9">
        <v>400000</v>
      </c>
      <c r="F541" s="47"/>
      <c r="G541" s="47">
        <v>50000</v>
      </c>
      <c r="H541" s="47"/>
      <c r="I541" s="74"/>
      <c r="J541" s="47"/>
      <c r="K541" s="47"/>
      <c r="L541" s="47"/>
      <c r="M541" s="47"/>
      <c r="N541" s="47"/>
      <c r="O541" s="47"/>
      <c r="P541" s="47"/>
      <c r="Q541" s="47"/>
      <c r="R541" s="75">
        <f t="shared" si="8"/>
        <v>450000</v>
      </c>
    </row>
    <row r="542" spans="1:18" x14ac:dyDescent="0.35">
      <c r="A542" s="52">
        <v>540</v>
      </c>
      <c r="B542" s="67" t="s">
        <v>1172</v>
      </c>
      <c r="C542" s="144" t="s">
        <v>2096</v>
      </c>
      <c r="D542" s="54" t="s">
        <v>136</v>
      </c>
      <c r="E542" s="9">
        <v>1950000</v>
      </c>
      <c r="F542" s="47"/>
      <c r="G542" s="47"/>
      <c r="H542" s="47"/>
      <c r="I542" s="74"/>
      <c r="J542" s="47"/>
      <c r="K542" s="47"/>
      <c r="L542" s="47"/>
      <c r="M542" s="47"/>
      <c r="N542" s="47"/>
      <c r="O542" s="47"/>
      <c r="P542" s="47"/>
      <c r="Q542" s="47"/>
      <c r="R542" s="75">
        <f t="shared" si="8"/>
        <v>1950000</v>
      </c>
    </row>
    <row r="543" spans="1:18" x14ac:dyDescent="0.35">
      <c r="A543" s="52">
        <v>541</v>
      </c>
      <c r="B543" s="67" t="s">
        <v>1174</v>
      </c>
      <c r="C543" s="144" t="s">
        <v>1899</v>
      </c>
      <c r="D543" s="54" t="s">
        <v>374</v>
      </c>
      <c r="E543" s="9">
        <v>0</v>
      </c>
      <c r="F543" s="47"/>
      <c r="G543" s="47"/>
      <c r="H543" s="47"/>
      <c r="I543" s="74"/>
      <c r="J543" s="47"/>
      <c r="K543" s="47"/>
      <c r="L543" s="47"/>
      <c r="M543" s="47"/>
      <c r="N543" s="47"/>
      <c r="O543" s="47"/>
      <c r="P543" s="47"/>
      <c r="Q543" s="47"/>
      <c r="R543" s="75">
        <f t="shared" si="8"/>
        <v>0</v>
      </c>
    </row>
    <row r="544" spans="1:18" x14ac:dyDescent="0.35">
      <c r="A544" s="52">
        <v>542</v>
      </c>
      <c r="B544" s="67" t="s">
        <v>1176</v>
      </c>
      <c r="C544" s="90" t="s">
        <v>2097</v>
      </c>
      <c r="D544" s="54" t="s">
        <v>295</v>
      </c>
      <c r="E544" s="9">
        <v>850000</v>
      </c>
      <c r="F544" s="47"/>
      <c r="G544" s="47"/>
      <c r="H544" s="47"/>
      <c r="I544" s="74"/>
      <c r="J544" s="47"/>
      <c r="K544" s="47"/>
      <c r="L544" s="47"/>
      <c r="M544" s="47">
        <v>10000</v>
      </c>
      <c r="N544" s="47">
        <f>30000+10000</f>
        <v>40000</v>
      </c>
      <c r="O544" s="47"/>
      <c r="P544" s="47"/>
      <c r="Q544" s="47"/>
      <c r="R544" s="75">
        <f t="shared" si="8"/>
        <v>900000</v>
      </c>
    </row>
    <row r="545" spans="1:18" x14ac:dyDescent="0.35">
      <c r="A545" s="52">
        <v>543</v>
      </c>
      <c r="B545" s="67" t="s">
        <v>1178</v>
      </c>
      <c r="C545" s="7" t="s">
        <v>1179</v>
      </c>
      <c r="D545" s="54" t="s">
        <v>136</v>
      </c>
      <c r="E545" s="9">
        <v>0</v>
      </c>
      <c r="F545" s="47"/>
      <c r="G545" s="47"/>
      <c r="H545" s="47"/>
      <c r="I545" s="74"/>
      <c r="J545" s="47"/>
      <c r="K545" s="47"/>
      <c r="L545" s="47"/>
      <c r="M545" s="47"/>
      <c r="N545" s="47"/>
      <c r="O545" s="47"/>
      <c r="P545" s="47"/>
      <c r="Q545" s="47"/>
      <c r="R545" s="75">
        <f t="shared" si="8"/>
        <v>0</v>
      </c>
    </row>
    <row r="546" spans="1:18" x14ac:dyDescent="0.35">
      <c r="A546" s="52">
        <v>544</v>
      </c>
      <c r="B546" s="67" t="s">
        <v>1180</v>
      </c>
      <c r="C546" s="144" t="s">
        <v>2098</v>
      </c>
      <c r="D546" s="54" t="s">
        <v>136</v>
      </c>
      <c r="E546" s="9">
        <v>0</v>
      </c>
      <c r="F546" s="47"/>
      <c r="G546" s="47"/>
      <c r="H546" s="47"/>
      <c r="I546" s="74"/>
      <c r="J546" s="47"/>
      <c r="K546" s="47"/>
      <c r="L546" s="47"/>
      <c r="M546" s="47"/>
      <c r="N546" s="47"/>
      <c r="O546" s="47"/>
      <c r="P546" s="47"/>
      <c r="Q546" s="47"/>
      <c r="R546" s="75">
        <f t="shared" si="8"/>
        <v>0</v>
      </c>
    </row>
    <row r="547" spans="1:18" x14ac:dyDescent="0.35">
      <c r="A547" s="52">
        <v>545</v>
      </c>
      <c r="B547" s="67" t="s">
        <v>1182</v>
      </c>
      <c r="C547" s="7" t="s">
        <v>1183</v>
      </c>
      <c r="D547" s="54" t="s">
        <v>136</v>
      </c>
      <c r="E547" s="9">
        <v>0</v>
      </c>
      <c r="F547" s="47"/>
      <c r="G547" s="47"/>
      <c r="H547" s="47"/>
      <c r="I547" s="74"/>
      <c r="J547" s="47"/>
      <c r="K547" s="47"/>
      <c r="L547" s="47"/>
      <c r="M547" s="47"/>
      <c r="N547" s="47"/>
      <c r="O547" s="47"/>
      <c r="P547" s="47"/>
      <c r="Q547" s="47"/>
      <c r="R547" s="75">
        <f t="shared" si="8"/>
        <v>0</v>
      </c>
    </row>
    <row r="548" spans="1:18" x14ac:dyDescent="0.35">
      <c r="A548" s="52">
        <v>546</v>
      </c>
      <c r="B548" s="67" t="s">
        <v>1184</v>
      </c>
      <c r="C548" s="53" t="s">
        <v>1185</v>
      </c>
      <c r="D548" s="54" t="s">
        <v>136</v>
      </c>
      <c r="E548" s="9">
        <v>0</v>
      </c>
      <c r="F548" s="47"/>
      <c r="G548" s="47"/>
      <c r="H548" s="47">
        <v>250000</v>
      </c>
      <c r="I548" s="74"/>
      <c r="J548" s="47"/>
      <c r="K548" s="47"/>
      <c r="L548" s="47"/>
      <c r="M548" s="47"/>
      <c r="N548" s="47"/>
      <c r="O548" s="47">
        <v>250000</v>
      </c>
      <c r="P548" s="47"/>
      <c r="Q548" s="47"/>
      <c r="R548" s="75">
        <f t="shared" si="8"/>
        <v>500000</v>
      </c>
    </row>
    <row r="549" spans="1:18" x14ac:dyDescent="0.35">
      <c r="A549" s="52">
        <v>547</v>
      </c>
      <c r="B549" s="67" t="s">
        <v>1186</v>
      </c>
      <c r="C549" s="53" t="s">
        <v>1187</v>
      </c>
      <c r="D549" s="54" t="s">
        <v>169</v>
      </c>
      <c r="E549" s="9">
        <v>-100000</v>
      </c>
      <c r="F549" s="47"/>
      <c r="G549" s="47"/>
      <c r="H549" s="47"/>
      <c r="I549" s="74"/>
      <c r="J549" s="47"/>
      <c r="K549" s="47"/>
      <c r="L549" s="47"/>
      <c r="M549" s="47"/>
      <c r="N549" s="47"/>
      <c r="O549" s="47"/>
      <c r="P549" s="47"/>
      <c r="Q549" s="47"/>
      <c r="R549" s="75">
        <f t="shared" si="8"/>
        <v>-100000</v>
      </c>
    </row>
    <row r="550" spans="1:18" x14ac:dyDescent="0.35">
      <c r="A550" s="52">
        <v>548</v>
      </c>
      <c r="B550" s="67" t="s">
        <v>1188</v>
      </c>
      <c r="C550" s="53" t="s">
        <v>1189</v>
      </c>
      <c r="D550" s="54" t="s">
        <v>136</v>
      </c>
      <c r="E550" s="9">
        <v>0</v>
      </c>
      <c r="F550" s="47"/>
      <c r="G550" s="47"/>
      <c r="H550" s="47"/>
      <c r="I550" s="74"/>
      <c r="J550" s="47"/>
      <c r="K550" s="47"/>
      <c r="L550" s="47"/>
      <c r="M550" s="47"/>
      <c r="N550" s="47"/>
      <c r="O550" s="47"/>
      <c r="P550" s="47"/>
      <c r="Q550" s="47"/>
      <c r="R550" s="75">
        <f t="shared" si="8"/>
        <v>0</v>
      </c>
    </row>
    <row r="551" spans="1:18" x14ac:dyDescent="0.35">
      <c r="A551" s="52">
        <v>549</v>
      </c>
      <c r="B551" s="67" t="s">
        <v>1190</v>
      </c>
      <c r="C551" s="53" t="s">
        <v>1191</v>
      </c>
      <c r="D551" s="54" t="s">
        <v>303</v>
      </c>
      <c r="E551" s="9">
        <v>500000</v>
      </c>
      <c r="F551" s="47"/>
      <c r="G551" s="47"/>
      <c r="H551" s="47"/>
      <c r="I551" s="74"/>
      <c r="J551" s="47"/>
      <c r="K551" s="47"/>
      <c r="L551" s="47"/>
      <c r="M551" s="47"/>
      <c r="N551" s="47"/>
      <c r="O551" s="47"/>
      <c r="P551" s="47"/>
      <c r="Q551" s="47"/>
      <c r="R551" s="75">
        <f t="shared" si="8"/>
        <v>500000</v>
      </c>
    </row>
    <row r="552" spans="1:18" x14ac:dyDescent="0.35">
      <c r="A552" s="52">
        <v>550</v>
      </c>
      <c r="B552" s="67" t="s">
        <v>1192</v>
      </c>
      <c r="C552" s="53" t="s">
        <v>1193</v>
      </c>
      <c r="D552" s="54" t="s">
        <v>136</v>
      </c>
      <c r="E552" s="9">
        <v>0</v>
      </c>
      <c r="F552" s="47"/>
      <c r="G552" s="47"/>
      <c r="H552" s="47"/>
      <c r="I552" s="74"/>
      <c r="J552" s="47"/>
      <c r="K552" s="47"/>
      <c r="L552" s="47"/>
      <c r="M552" s="47"/>
      <c r="N552" s="47"/>
      <c r="O552" s="47"/>
      <c r="P552" s="47"/>
      <c r="Q552" s="47">
        <f>8333*2</f>
        <v>16666</v>
      </c>
      <c r="R552" s="75">
        <f t="shared" si="8"/>
        <v>16666</v>
      </c>
    </row>
    <row r="553" spans="1:18" x14ac:dyDescent="0.35">
      <c r="A553" s="52">
        <v>551</v>
      </c>
      <c r="B553" s="67" t="s">
        <v>1194</v>
      </c>
      <c r="C553" s="53" t="s">
        <v>1195</v>
      </c>
      <c r="D553" s="54" t="s">
        <v>136</v>
      </c>
      <c r="E553" s="9">
        <v>0</v>
      </c>
      <c r="F553" s="47"/>
      <c r="G553" s="47"/>
      <c r="H553" s="47"/>
      <c r="I553" s="74"/>
      <c r="J553" s="47"/>
      <c r="K553" s="47"/>
      <c r="L553" s="47"/>
      <c r="M553" s="47"/>
      <c r="N553" s="47"/>
      <c r="O553" s="47"/>
      <c r="P553" s="47"/>
      <c r="Q553" s="47"/>
      <c r="R553" s="75">
        <f t="shared" si="8"/>
        <v>0</v>
      </c>
    </row>
    <row r="554" spans="1:18" x14ac:dyDescent="0.35">
      <c r="A554" s="52">
        <v>552</v>
      </c>
      <c r="B554" s="67" t="s">
        <v>1196</v>
      </c>
      <c r="C554" s="53" t="s">
        <v>1197</v>
      </c>
      <c r="D554" s="54" t="s">
        <v>136</v>
      </c>
      <c r="E554" s="9">
        <v>600000</v>
      </c>
      <c r="F554" s="47"/>
      <c r="G554" s="47"/>
      <c r="H554" s="47"/>
      <c r="I554" s="74"/>
      <c r="J554" s="47"/>
      <c r="K554" s="47"/>
      <c r="L554" s="47"/>
      <c r="M554" s="47"/>
      <c r="N554" s="47"/>
      <c r="O554" s="47"/>
      <c r="P554" s="47"/>
      <c r="Q554" s="47"/>
      <c r="R554" s="75">
        <f t="shared" si="8"/>
        <v>600000</v>
      </c>
    </row>
    <row r="555" spans="1:18" x14ac:dyDescent="0.35">
      <c r="A555" s="52">
        <v>553</v>
      </c>
      <c r="B555" s="67" t="s">
        <v>1198</v>
      </c>
      <c r="C555" s="53" t="s">
        <v>1199</v>
      </c>
      <c r="D555" s="54" t="s">
        <v>136</v>
      </c>
      <c r="E555" s="9">
        <v>0</v>
      </c>
      <c r="F555" s="47"/>
      <c r="G555" s="47"/>
      <c r="H555" s="47"/>
      <c r="I555" s="74"/>
      <c r="J555" s="47"/>
      <c r="K555" s="47"/>
      <c r="L555" s="47"/>
      <c r="M555" s="47"/>
      <c r="N555" s="47"/>
      <c r="O555" s="47"/>
      <c r="P555" s="47"/>
      <c r="Q555" s="47"/>
      <c r="R555" s="75">
        <f t="shared" si="8"/>
        <v>0</v>
      </c>
    </row>
    <row r="556" spans="1:18" x14ac:dyDescent="0.35">
      <c r="A556" s="52">
        <v>554</v>
      </c>
      <c r="B556" s="67" t="s">
        <v>1200</v>
      </c>
      <c r="C556" s="53" t="s">
        <v>1201</v>
      </c>
      <c r="D556" s="54" t="s">
        <v>141</v>
      </c>
      <c r="E556" s="9">
        <v>0</v>
      </c>
      <c r="F556" s="47"/>
      <c r="G556" s="47"/>
      <c r="H556" s="47"/>
      <c r="I556" s="74"/>
      <c r="J556" s="47"/>
      <c r="K556" s="47"/>
      <c r="L556" s="47"/>
      <c r="M556" s="47"/>
      <c r="N556" s="47"/>
      <c r="O556" s="47"/>
      <c r="P556" s="47"/>
      <c r="Q556" s="47"/>
      <c r="R556" s="75">
        <f t="shared" si="8"/>
        <v>0</v>
      </c>
    </row>
    <row r="557" spans="1:18" x14ac:dyDescent="0.35">
      <c r="A557" s="52">
        <v>555</v>
      </c>
      <c r="B557" s="67" t="s">
        <v>1202</v>
      </c>
      <c r="C557" s="53" t="s">
        <v>1203</v>
      </c>
      <c r="D557" s="54" t="s">
        <v>49</v>
      </c>
      <c r="E557" s="9">
        <v>150000</v>
      </c>
      <c r="F557" s="47"/>
      <c r="G557" s="47"/>
      <c r="H557" s="47"/>
      <c r="I557" s="74"/>
      <c r="J557" s="47"/>
      <c r="K557" s="47"/>
      <c r="L557" s="47"/>
      <c r="M557" s="47"/>
      <c r="N557" s="47"/>
      <c r="O557" s="47"/>
      <c r="P557" s="47"/>
      <c r="Q557" s="47"/>
      <c r="R557" s="75">
        <f t="shared" si="8"/>
        <v>150000</v>
      </c>
    </row>
    <row r="558" spans="1:18" x14ac:dyDescent="0.35">
      <c r="A558" s="52">
        <v>556</v>
      </c>
      <c r="B558" s="67" t="s">
        <v>1204</v>
      </c>
      <c r="C558" s="53" t="s">
        <v>1205</v>
      </c>
      <c r="D558" s="54" t="s">
        <v>128</v>
      </c>
      <c r="E558" s="9">
        <v>150000</v>
      </c>
      <c r="F558" s="47"/>
      <c r="G558" s="47"/>
      <c r="H558" s="47">
        <v>-150000</v>
      </c>
      <c r="I558" s="74"/>
      <c r="J558" s="47"/>
      <c r="K558" s="47"/>
      <c r="L558" s="47"/>
      <c r="M558" s="47"/>
      <c r="N558" s="47"/>
      <c r="O558" s="47"/>
      <c r="P558" s="47"/>
      <c r="Q558" s="47"/>
      <c r="R558" s="75">
        <f t="shared" si="8"/>
        <v>0</v>
      </c>
    </row>
    <row r="559" spans="1:18" x14ac:dyDescent="0.35">
      <c r="A559" s="52">
        <v>557</v>
      </c>
      <c r="B559" s="67" t="s">
        <v>1206</v>
      </c>
      <c r="C559" s="53" t="s">
        <v>1207</v>
      </c>
      <c r="D559" s="54" t="s">
        <v>49</v>
      </c>
      <c r="E559" s="9">
        <v>0</v>
      </c>
      <c r="F559" s="47"/>
      <c r="G559" s="47"/>
      <c r="H559" s="47"/>
      <c r="I559" s="74"/>
      <c r="J559" s="47"/>
      <c r="K559" s="47"/>
      <c r="L559" s="47"/>
      <c r="M559" s="47"/>
      <c r="N559" s="47"/>
      <c r="O559" s="47"/>
      <c r="P559" s="47"/>
      <c r="Q559" s="47"/>
      <c r="R559" s="75">
        <f t="shared" si="8"/>
        <v>0</v>
      </c>
    </row>
    <row r="560" spans="1:18" x14ac:dyDescent="0.35">
      <c r="A560" s="52">
        <v>558</v>
      </c>
      <c r="B560" s="67" t="s">
        <v>1208</v>
      </c>
      <c r="C560" s="53" t="s">
        <v>1209</v>
      </c>
      <c r="D560" s="54" t="s">
        <v>128</v>
      </c>
      <c r="E560" s="9">
        <v>0</v>
      </c>
      <c r="F560" s="47"/>
      <c r="G560" s="47"/>
      <c r="H560" s="47"/>
      <c r="I560" s="74"/>
      <c r="J560" s="47"/>
      <c r="K560" s="47"/>
      <c r="L560" s="47"/>
      <c r="M560" s="47"/>
      <c r="N560" s="47"/>
      <c r="O560" s="47"/>
      <c r="P560" s="47"/>
      <c r="Q560" s="47"/>
      <c r="R560" s="75">
        <f t="shared" si="8"/>
        <v>0</v>
      </c>
    </row>
    <row r="561" spans="1:18" x14ac:dyDescent="0.35">
      <c r="A561" s="52">
        <v>559</v>
      </c>
      <c r="B561" s="67" t="s">
        <v>1210</v>
      </c>
      <c r="C561" s="53" t="s">
        <v>1211</v>
      </c>
      <c r="D561" s="54" t="s">
        <v>128</v>
      </c>
      <c r="E561" s="9">
        <v>0</v>
      </c>
      <c r="F561" s="47"/>
      <c r="G561" s="47"/>
      <c r="H561" s="47"/>
      <c r="I561" s="74"/>
      <c r="J561" s="47"/>
      <c r="K561" s="47"/>
      <c r="L561" s="47"/>
      <c r="M561" s="47"/>
      <c r="N561" s="47"/>
      <c r="O561" s="47"/>
      <c r="P561" s="47"/>
      <c r="Q561" s="47"/>
      <c r="R561" s="75">
        <f t="shared" si="8"/>
        <v>0</v>
      </c>
    </row>
    <row r="562" spans="1:18" x14ac:dyDescent="0.35">
      <c r="A562" s="52">
        <v>560</v>
      </c>
      <c r="B562" s="67" t="s">
        <v>1212</v>
      </c>
      <c r="C562" s="53" t="s">
        <v>1213</v>
      </c>
      <c r="D562" s="54" t="s">
        <v>1214</v>
      </c>
      <c r="E562" s="9">
        <v>0</v>
      </c>
      <c r="F562" s="47"/>
      <c r="G562" s="47"/>
      <c r="H562" s="47"/>
      <c r="I562" s="74"/>
      <c r="J562" s="47"/>
      <c r="K562" s="47"/>
      <c r="L562" s="47"/>
      <c r="M562" s="47"/>
      <c r="N562" s="47"/>
      <c r="O562" s="47"/>
      <c r="P562" s="47"/>
      <c r="Q562" s="47"/>
      <c r="R562" s="75">
        <f t="shared" si="8"/>
        <v>0</v>
      </c>
    </row>
    <row r="563" spans="1:18" x14ac:dyDescent="0.35">
      <c r="A563" s="52">
        <v>561</v>
      </c>
      <c r="B563" s="67" t="s">
        <v>1215</v>
      </c>
      <c r="C563" s="53" t="s">
        <v>1216</v>
      </c>
      <c r="D563" s="54" t="s">
        <v>49</v>
      </c>
      <c r="E563" s="9">
        <v>0</v>
      </c>
      <c r="F563" s="47"/>
      <c r="G563" s="47"/>
      <c r="H563" s="47"/>
      <c r="I563" s="74"/>
      <c r="J563" s="47"/>
      <c r="K563" s="47"/>
      <c r="L563" s="47"/>
      <c r="M563" s="47"/>
      <c r="N563" s="47"/>
      <c r="O563" s="47"/>
      <c r="P563" s="47"/>
      <c r="Q563" s="47"/>
      <c r="R563" s="75">
        <f t="shared" si="8"/>
        <v>0</v>
      </c>
    </row>
    <row r="564" spans="1:18" x14ac:dyDescent="0.35">
      <c r="A564" s="52">
        <v>562</v>
      </c>
      <c r="B564" s="67" t="s">
        <v>1217</v>
      </c>
      <c r="C564" s="53" t="s">
        <v>1218</v>
      </c>
      <c r="D564" s="54" t="s">
        <v>49</v>
      </c>
      <c r="E564" s="9">
        <v>0</v>
      </c>
      <c r="F564" s="47"/>
      <c r="G564" s="47"/>
      <c r="H564" s="47"/>
      <c r="I564" s="74"/>
      <c r="J564" s="47"/>
      <c r="K564" s="47"/>
      <c r="L564" s="47"/>
      <c r="M564" s="47"/>
      <c r="N564" s="47"/>
      <c r="O564" s="47"/>
      <c r="P564" s="47"/>
      <c r="Q564" s="47"/>
      <c r="R564" s="75">
        <f t="shared" si="8"/>
        <v>0</v>
      </c>
    </row>
    <row r="565" spans="1:18" x14ac:dyDescent="0.35">
      <c r="A565" s="52">
        <v>563</v>
      </c>
      <c r="B565" s="67" t="s">
        <v>1219</v>
      </c>
      <c r="C565" s="53" t="s">
        <v>1220</v>
      </c>
      <c r="D565" s="54" t="s">
        <v>49</v>
      </c>
      <c r="E565" s="9">
        <v>0</v>
      </c>
      <c r="F565" s="47"/>
      <c r="G565" s="47"/>
      <c r="H565" s="47"/>
      <c r="I565" s="74"/>
      <c r="J565" s="47"/>
      <c r="K565" s="47"/>
      <c r="L565" s="47"/>
      <c r="M565" s="47"/>
      <c r="N565" s="47"/>
      <c r="O565" s="47"/>
      <c r="P565" s="47"/>
      <c r="Q565" s="47"/>
      <c r="R565" s="75">
        <f t="shared" si="8"/>
        <v>0</v>
      </c>
    </row>
    <row r="566" spans="1:18" x14ac:dyDescent="0.35">
      <c r="A566" s="52">
        <v>564</v>
      </c>
      <c r="B566" s="67" t="s">
        <v>1221</v>
      </c>
      <c r="C566" s="53" t="s">
        <v>1222</v>
      </c>
      <c r="D566" s="54" t="s">
        <v>49</v>
      </c>
      <c r="E566" s="9">
        <v>-250000</v>
      </c>
      <c r="F566" s="47"/>
      <c r="G566" s="47"/>
      <c r="H566" s="47"/>
      <c r="I566" s="74"/>
      <c r="J566" s="47"/>
      <c r="K566" s="47"/>
      <c r="L566" s="47"/>
      <c r="M566" s="47"/>
      <c r="N566" s="47"/>
      <c r="O566" s="47"/>
      <c r="P566" s="47"/>
      <c r="Q566" s="47"/>
      <c r="R566" s="75">
        <f t="shared" si="8"/>
        <v>-250000</v>
      </c>
    </row>
    <row r="567" spans="1:18" x14ac:dyDescent="0.35">
      <c r="A567" s="52">
        <v>565</v>
      </c>
      <c r="B567" s="67" t="s">
        <v>1223</v>
      </c>
      <c r="C567" s="53" t="s">
        <v>1224</v>
      </c>
      <c r="D567" s="54" t="s">
        <v>49</v>
      </c>
      <c r="E567" s="9">
        <v>0</v>
      </c>
      <c r="F567" s="47"/>
      <c r="G567" s="47"/>
      <c r="H567" s="47"/>
      <c r="I567" s="74"/>
      <c r="J567" s="47"/>
      <c r="K567" s="47"/>
      <c r="L567" s="47"/>
      <c r="M567" s="47"/>
      <c r="N567" s="47"/>
      <c r="O567" s="47"/>
      <c r="P567" s="47"/>
      <c r="Q567" s="47"/>
      <c r="R567" s="75">
        <f t="shared" si="8"/>
        <v>0</v>
      </c>
    </row>
    <row r="568" spans="1:18" x14ac:dyDescent="0.35">
      <c r="A568" s="52">
        <v>566</v>
      </c>
      <c r="B568" s="67" t="s">
        <v>1225</v>
      </c>
      <c r="C568" s="53" t="s">
        <v>1226</v>
      </c>
      <c r="D568" s="54" t="s">
        <v>698</v>
      </c>
      <c r="E568" s="9">
        <v>0</v>
      </c>
      <c r="F568" s="47"/>
      <c r="G568" s="47"/>
      <c r="H568" s="47"/>
      <c r="I568" s="74"/>
      <c r="J568" s="47"/>
      <c r="K568" s="47"/>
      <c r="L568" s="47"/>
      <c r="M568" s="47"/>
      <c r="N568" s="47"/>
      <c r="O568" s="47"/>
      <c r="P568" s="47"/>
      <c r="Q568" s="47"/>
      <c r="R568" s="75">
        <f t="shared" si="8"/>
        <v>0</v>
      </c>
    </row>
    <row r="569" spans="1:18" x14ac:dyDescent="0.35">
      <c r="A569" s="52">
        <v>567</v>
      </c>
      <c r="B569" s="67" t="s">
        <v>1227</v>
      </c>
      <c r="C569" s="53" t="s">
        <v>1228</v>
      </c>
      <c r="D569" s="54" t="s">
        <v>72</v>
      </c>
      <c r="E569" s="9">
        <v>0</v>
      </c>
      <c r="F569" s="47"/>
      <c r="G569" s="47"/>
      <c r="H569" s="47"/>
      <c r="I569" s="74"/>
      <c r="J569" s="47"/>
      <c r="K569" s="47"/>
      <c r="L569" s="47"/>
      <c r="M569" s="47"/>
      <c r="N569" s="47"/>
      <c r="O569" s="47"/>
      <c r="P569" s="47"/>
      <c r="Q569" s="47"/>
      <c r="R569" s="75">
        <f t="shared" si="8"/>
        <v>0</v>
      </c>
    </row>
    <row r="570" spans="1:18" x14ac:dyDescent="0.35">
      <c r="A570" s="52">
        <v>568</v>
      </c>
      <c r="B570" s="67" t="s">
        <v>1229</v>
      </c>
      <c r="C570" s="144" t="s">
        <v>1877</v>
      </c>
      <c r="D570" s="54" t="s">
        <v>231</v>
      </c>
      <c r="E570" s="9">
        <v>0</v>
      </c>
      <c r="F570" s="47"/>
      <c r="G570" s="47"/>
      <c r="H570" s="47"/>
      <c r="I570" s="74"/>
      <c r="J570" s="47"/>
      <c r="K570" s="47"/>
      <c r="L570" s="47"/>
      <c r="M570" s="47"/>
      <c r="N570" s="47"/>
      <c r="O570" s="47"/>
      <c r="P570" s="47"/>
      <c r="Q570" s="47"/>
      <c r="R570" s="75">
        <f t="shared" si="8"/>
        <v>0</v>
      </c>
    </row>
    <row r="571" spans="1:18" x14ac:dyDescent="0.35">
      <c r="A571" s="52">
        <v>569</v>
      </c>
      <c r="B571" s="67" t="s">
        <v>1231</v>
      </c>
      <c r="C571" s="53" t="s">
        <v>1232</v>
      </c>
      <c r="D571" s="54" t="s">
        <v>46</v>
      </c>
      <c r="E571" s="9">
        <v>0</v>
      </c>
      <c r="F571" s="47"/>
      <c r="G571" s="47"/>
      <c r="H571" s="47"/>
      <c r="I571" s="74"/>
      <c r="J571" s="47"/>
      <c r="K571" s="47"/>
      <c r="L571" s="47"/>
      <c r="M571" s="47"/>
      <c r="N571" s="47"/>
      <c r="O571" s="47"/>
      <c r="P571" s="47"/>
      <c r="Q571" s="47"/>
      <c r="R571" s="75">
        <f t="shared" si="8"/>
        <v>0</v>
      </c>
    </row>
    <row r="572" spans="1:18" x14ac:dyDescent="0.35">
      <c r="A572" s="52">
        <v>570</v>
      </c>
      <c r="B572" s="67" t="s">
        <v>1233</v>
      </c>
      <c r="C572" s="53" t="s">
        <v>1234</v>
      </c>
      <c r="D572" s="54" t="s">
        <v>95</v>
      </c>
      <c r="E572" s="9">
        <v>0</v>
      </c>
      <c r="F572" s="47"/>
      <c r="G572" s="47"/>
      <c r="H572" s="47"/>
      <c r="I572" s="74"/>
      <c r="J572" s="47"/>
      <c r="K572" s="47"/>
      <c r="L572" s="47"/>
      <c r="M572" s="47"/>
      <c r="N572" s="47"/>
      <c r="O572" s="47"/>
      <c r="P572" s="47"/>
      <c r="Q572" s="47"/>
      <c r="R572" s="75">
        <f t="shared" si="8"/>
        <v>0</v>
      </c>
    </row>
    <row r="573" spans="1:18" x14ac:dyDescent="0.35">
      <c r="A573" s="52">
        <v>571</v>
      </c>
      <c r="B573" s="67" t="s">
        <v>1235</v>
      </c>
      <c r="C573" s="53" t="s">
        <v>1236</v>
      </c>
      <c r="D573" s="54" t="s">
        <v>77</v>
      </c>
      <c r="E573" s="9">
        <v>0</v>
      </c>
      <c r="F573" s="47"/>
      <c r="G573" s="47"/>
      <c r="H573" s="47"/>
      <c r="I573" s="74"/>
      <c r="J573" s="47"/>
      <c r="K573" s="47"/>
      <c r="L573" s="47"/>
      <c r="M573" s="47"/>
      <c r="N573" s="47"/>
      <c r="O573" s="47"/>
      <c r="P573" s="47"/>
      <c r="Q573" s="47"/>
      <c r="R573" s="75">
        <f t="shared" si="8"/>
        <v>0</v>
      </c>
    </row>
    <row r="574" spans="1:18" x14ac:dyDescent="0.35">
      <c r="A574" s="52">
        <v>572</v>
      </c>
      <c r="B574" s="67" t="s">
        <v>1237</v>
      </c>
      <c r="C574" s="53" t="s">
        <v>779</v>
      </c>
      <c r="D574" s="54" t="s">
        <v>98</v>
      </c>
      <c r="E574" s="9">
        <v>0</v>
      </c>
      <c r="F574" s="47"/>
      <c r="G574" s="47"/>
      <c r="H574" s="47"/>
      <c r="I574" s="74"/>
      <c r="J574" s="47"/>
      <c r="K574" s="47"/>
      <c r="L574" s="47"/>
      <c r="M574" s="47"/>
      <c r="N574" s="47"/>
      <c r="O574" s="47"/>
      <c r="P574" s="47"/>
      <c r="Q574" s="47"/>
      <c r="R574" s="75">
        <f t="shared" si="8"/>
        <v>0</v>
      </c>
    </row>
    <row r="575" spans="1:18" x14ac:dyDescent="0.35">
      <c r="A575" s="52">
        <v>573</v>
      </c>
      <c r="B575" s="67" t="s">
        <v>1238</v>
      </c>
      <c r="C575" s="53" t="s">
        <v>1239</v>
      </c>
      <c r="D575" s="54" t="s">
        <v>83</v>
      </c>
      <c r="E575" s="9">
        <v>0</v>
      </c>
      <c r="F575" s="47"/>
      <c r="G575" s="47"/>
      <c r="H575" s="47"/>
      <c r="I575" s="74"/>
      <c r="J575" s="47"/>
      <c r="K575" s="47"/>
      <c r="L575" s="47"/>
      <c r="M575" s="47"/>
      <c r="N575" s="47"/>
      <c r="O575" s="47"/>
      <c r="P575" s="47"/>
      <c r="Q575" s="47"/>
      <c r="R575" s="75">
        <f t="shared" si="8"/>
        <v>0</v>
      </c>
    </row>
    <row r="576" spans="1:18" x14ac:dyDescent="0.35">
      <c r="A576" s="52">
        <v>574</v>
      </c>
      <c r="B576" s="67" t="s">
        <v>1240</v>
      </c>
      <c r="C576" s="53" t="s">
        <v>1241</v>
      </c>
      <c r="D576" s="54" t="s">
        <v>72</v>
      </c>
      <c r="E576" s="9">
        <v>0</v>
      </c>
      <c r="F576" s="47"/>
      <c r="G576" s="47"/>
      <c r="H576" s="47"/>
      <c r="I576" s="74"/>
      <c r="J576" s="47"/>
      <c r="K576" s="47"/>
      <c r="L576" s="47"/>
      <c r="M576" s="47"/>
      <c r="N576" s="47"/>
      <c r="O576" s="47"/>
      <c r="P576" s="47"/>
      <c r="Q576" s="47"/>
      <c r="R576" s="75">
        <f t="shared" si="8"/>
        <v>0</v>
      </c>
    </row>
    <row r="577" spans="1:18" x14ac:dyDescent="0.35">
      <c r="A577" s="52">
        <v>575</v>
      </c>
      <c r="B577" s="67" t="s">
        <v>1242</v>
      </c>
      <c r="C577" s="53" t="s">
        <v>1243</v>
      </c>
      <c r="D577" s="54" t="s">
        <v>270</v>
      </c>
      <c r="E577" s="9">
        <v>0</v>
      </c>
      <c r="F577" s="47"/>
      <c r="G577" s="47"/>
      <c r="H577" s="47"/>
      <c r="I577" s="74"/>
      <c r="J577" s="47"/>
      <c r="K577" s="47"/>
      <c r="L577" s="47"/>
      <c r="M577" s="47"/>
      <c r="N577" s="47"/>
      <c r="O577" s="47"/>
      <c r="P577" s="47"/>
      <c r="Q577" s="47"/>
      <c r="R577" s="75">
        <f t="shared" si="8"/>
        <v>0</v>
      </c>
    </row>
    <row r="578" spans="1:18" x14ac:dyDescent="0.35">
      <c r="A578" s="52">
        <v>576</v>
      </c>
      <c r="B578" s="67" t="s">
        <v>1244</v>
      </c>
      <c r="C578" s="53" t="s">
        <v>1245</v>
      </c>
      <c r="D578" s="54" t="s">
        <v>49</v>
      </c>
      <c r="E578" s="9">
        <v>2187500</v>
      </c>
      <c r="F578" s="47"/>
      <c r="G578" s="47"/>
      <c r="H578" s="47"/>
      <c r="I578" s="74"/>
      <c r="J578" s="47"/>
      <c r="K578" s="47"/>
      <c r="L578" s="47"/>
      <c r="M578" s="47"/>
      <c r="N578" s="47"/>
      <c r="O578" s="47"/>
      <c r="P578" s="47"/>
      <c r="Q578" s="47"/>
      <c r="R578" s="75">
        <f t="shared" si="8"/>
        <v>2187500</v>
      </c>
    </row>
    <row r="579" spans="1:18" x14ac:dyDescent="0.35">
      <c r="A579" s="52">
        <v>577</v>
      </c>
      <c r="B579" s="67" t="s">
        <v>1246</v>
      </c>
      <c r="C579" s="53" t="s">
        <v>1247</v>
      </c>
      <c r="D579" s="54" t="s">
        <v>95</v>
      </c>
      <c r="E579" s="9">
        <v>0</v>
      </c>
      <c r="F579" s="47"/>
      <c r="G579" s="47"/>
      <c r="H579" s="47"/>
      <c r="I579" s="74"/>
      <c r="J579" s="47"/>
      <c r="K579" s="47"/>
      <c r="L579" s="47"/>
      <c r="M579" s="47"/>
      <c r="N579" s="47"/>
      <c r="O579" s="47"/>
      <c r="P579" s="47"/>
      <c r="Q579" s="47"/>
      <c r="R579" s="75">
        <f t="shared" si="8"/>
        <v>0</v>
      </c>
    </row>
    <row r="580" spans="1:18" x14ac:dyDescent="0.35">
      <c r="A580" s="52">
        <v>578</v>
      </c>
      <c r="B580" s="67" t="s">
        <v>1248</v>
      </c>
      <c r="C580" s="53" t="s">
        <v>1249</v>
      </c>
      <c r="D580" s="54" t="s">
        <v>77</v>
      </c>
      <c r="E580" s="9">
        <v>0</v>
      </c>
      <c r="F580" s="47"/>
      <c r="G580" s="47"/>
      <c r="H580" s="47"/>
      <c r="I580" s="74"/>
      <c r="J580" s="47"/>
      <c r="K580" s="47"/>
      <c r="L580" s="47"/>
      <c r="M580" s="47"/>
      <c r="N580" s="47"/>
      <c r="O580" s="47"/>
      <c r="P580" s="47"/>
      <c r="Q580" s="47"/>
      <c r="R580" s="75">
        <f t="shared" ref="R580:R643" si="9">E580+F580+G580+H580+I580+J580+K580+L580+M580+N580+O580+P580+Q580</f>
        <v>0</v>
      </c>
    </row>
    <row r="581" spans="1:18" x14ac:dyDescent="0.35">
      <c r="A581" s="52">
        <v>579</v>
      </c>
      <c r="B581" s="67" t="s">
        <v>1250</v>
      </c>
      <c r="C581" s="53" t="s">
        <v>1251</v>
      </c>
      <c r="D581" s="54" t="s">
        <v>77</v>
      </c>
      <c r="E581" s="9">
        <v>0</v>
      </c>
      <c r="F581" s="47"/>
      <c r="G581" s="47"/>
      <c r="H581" s="47"/>
      <c r="I581" s="74"/>
      <c r="J581" s="47"/>
      <c r="K581" s="47"/>
      <c r="L581" s="47"/>
      <c r="M581" s="47"/>
      <c r="N581" s="47"/>
      <c r="O581" s="47"/>
      <c r="P581" s="47"/>
      <c r="Q581" s="47"/>
      <c r="R581" s="75">
        <f t="shared" si="9"/>
        <v>0</v>
      </c>
    </row>
    <row r="582" spans="1:18" x14ac:dyDescent="0.35">
      <c r="A582" s="52">
        <v>580</v>
      </c>
      <c r="B582" s="67" t="s">
        <v>1252</v>
      </c>
      <c r="C582" s="53" t="s">
        <v>1253</v>
      </c>
      <c r="D582" s="54" t="s">
        <v>60</v>
      </c>
      <c r="E582" s="9">
        <v>0</v>
      </c>
      <c r="F582" s="47"/>
      <c r="G582" s="47"/>
      <c r="H582" s="47"/>
      <c r="I582" s="74"/>
      <c r="J582" s="47"/>
      <c r="K582" s="47"/>
      <c r="L582" s="47"/>
      <c r="M582" s="47"/>
      <c r="N582" s="47"/>
      <c r="O582" s="47"/>
      <c r="P582" s="47"/>
      <c r="Q582" s="47"/>
      <c r="R582" s="75">
        <f t="shared" si="9"/>
        <v>0</v>
      </c>
    </row>
    <row r="583" spans="1:18" x14ac:dyDescent="0.35">
      <c r="A583" s="52">
        <v>581</v>
      </c>
      <c r="B583" s="67" t="s">
        <v>1254</v>
      </c>
      <c r="C583" s="53" t="s">
        <v>1255</v>
      </c>
      <c r="D583" s="54" t="s">
        <v>131</v>
      </c>
      <c r="E583" s="9">
        <v>250000</v>
      </c>
      <c r="F583" s="47"/>
      <c r="G583" s="47"/>
      <c r="H583" s="47"/>
      <c r="I583" s="74"/>
      <c r="J583" s="47"/>
      <c r="K583" s="47"/>
      <c r="L583" s="47"/>
      <c r="M583" s="47"/>
      <c r="N583" s="47"/>
      <c r="O583" s="47"/>
      <c r="P583" s="47">
        <v>-250000</v>
      </c>
      <c r="Q583" s="47"/>
      <c r="R583" s="75">
        <f t="shared" si="9"/>
        <v>0</v>
      </c>
    </row>
    <row r="584" spans="1:18" x14ac:dyDescent="0.35">
      <c r="A584" s="52">
        <v>582</v>
      </c>
      <c r="B584" s="67" t="s">
        <v>1256</v>
      </c>
      <c r="C584" s="53" t="s">
        <v>1257</v>
      </c>
      <c r="D584" s="54" t="s">
        <v>123</v>
      </c>
      <c r="E584" s="9">
        <v>60000</v>
      </c>
      <c r="F584" s="47"/>
      <c r="G584" s="47"/>
      <c r="H584" s="47"/>
      <c r="I584" s="74"/>
      <c r="J584" s="47"/>
      <c r="K584" s="47"/>
      <c r="L584" s="47"/>
      <c r="M584" s="47"/>
      <c r="N584" s="47"/>
      <c r="O584" s="47"/>
      <c r="P584" s="47"/>
      <c r="Q584" s="47"/>
      <c r="R584" s="75">
        <f t="shared" si="9"/>
        <v>60000</v>
      </c>
    </row>
    <row r="585" spans="1:18" x14ac:dyDescent="0.35">
      <c r="A585" s="52">
        <v>583</v>
      </c>
      <c r="B585" s="67" t="s">
        <v>1258</v>
      </c>
      <c r="C585" s="53" t="s">
        <v>1259</v>
      </c>
      <c r="D585" s="54" t="s">
        <v>72</v>
      </c>
      <c r="E585" s="9">
        <v>0</v>
      </c>
      <c r="F585" s="47"/>
      <c r="G585" s="47"/>
      <c r="H585" s="47"/>
      <c r="I585" s="74"/>
      <c r="J585" s="47"/>
      <c r="K585" s="47"/>
      <c r="L585" s="47"/>
      <c r="M585" s="47"/>
      <c r="N585" s="47"/>
      <c r="O585" s="47"/>
      <c r="P585" s="47"/>
      <c r="Q585" s="47"/>
      <c r="R585" s="75">
        <f t="shared" si="9"/>
        <v>0</v>
      </c>
    </row>
    <row r="586" spans="1:18" x14ac:dyDescent="0.35">
      <c r="A586" s="52">
        <v>584</v>
      </c>
      <c r="B586" s="67" t="s">
        <v>1260</v>
      </c>
      <c r="C586" s="53" t="s">
        <v>1261</v>
      </c>
      <c r="D586" s="54" t="s">
        <v>60</v>
      </c>
      <c r="E586" s="9">
        <v>0</v>
      </c>
      <c r="F586" s="47"/>
      <c r="G586" s="47"/>
      <c r="H586" s="47"/>
      <c r="I586" s="74"/>
      <c r="J586" s="47"/>
      <c r="K586" s="47"/>
      <c r="L586" s="47"/>
      <c r="M586" s="47"/>
      <c r="N586" s="47"/>
      <c r="O586" s="47"/>
      <c r="P586" s="47"/>
      <c r="Q586" s="47"/>
      <c r="R586" s="75">
        <f t="shared" si="9"/>
        <v>0</v>
      </c>
    </row>
    <row r="587" spans="1:18" x14ac:dyDescent="0.35">
      <c r="A587" s="52">
        <v>585</v>
      </c>
      <c r="B587" s="67" t="s">
        <v>1262</v>
      </c>
      <c r="C587" s="53" t="s">
        <v>1263</v>
      </c>
      <c r="D587" s="54" t="s">
        <v>49</v>
      </c>
      <c r="E587" s="9">
        <v>0</v>
      </c>
      <c r="F587" s="47"/>
      <c r="G587" s="47"/>
      <c r="H587" s="47"/>
      <c r="I587" s="74"/>
      <c r="J587" s="47"/>
      <c r="K587" s="47"/>
      <c r="L587" s="47"/>
      <c r="M587" s="47"/>
      <c r="N587" s="47"/>
      <c r="O587" s="47"/>
      <c r="P587" s="47"/>
      <c r="Q587" s="47"/>
      <c r="R587" s="75">
        <f t="shared" si="9"/>
        <v>0</v>
      </c>
    </row>
    <row r="588" spans="1:18" x14ac:dyDescent="0.35">
      <c r="A588" s="52">
        <v>586</v>
      </c>
      <c r="B588" s="67" t="s">
        <v>1264</v>
      </c>
      <c r="C588" s="53" t="s">
        <v>1265</v>
      </c>
      <c r="D588" s="54" t="s">
        <v>128</v>
      </c>
      <c r="E588" s="9">
        <v>0</v>
      </c>
      <c r="F588" s="47"/>
      <c r="G588" s="47"/>
      <c r="H588" s="47"/>
      <c r="I588" s="74"/>
      <c r="J588" s="47"/>
      <c r="K588" s="47"/>
      <c r="L588" s="47"/>
      <c r="M588" s="47"/>
      <c r="N588" s="47"/>
      <c r="O588" s="47"/>
      <c r="P588" s="47"/>
      <c r="Q588" s="47"/>
      <c r="R588" s="75">
        <f t="shared" si="9"/>
        <v>0</v>
      </c>
    </row>
    <row r="589" spans="1:18" x14ac:dyDescent="0.35">
      <c r="A589" s="52">
        <v>587</v>
      </c>
      <c r="B589" s="67" t="s">
        <v>1266</v>
      </c>
      <c r="C589" s="144" t="s">
        <v>1886</v>
      </c>
      <c r="D589" s="54" t="s">
        <v>136</v>
      </c>
      <c r="E589" s="9">
        <v>150000</v>
      </c>
      <c r="F589" s="47"/>
      <c r="G589" s="47"/>
      <c r="H589" s="47"/>
      <c r="I589" s="74"/>
      <c r="J589" s="47"/>
      <c r="K589" s="47"/>
      <c r="L589" s="47"/>
      <c r="M589" s="47"/>
      <c r="N589" s="47"/>
      <c r="O589" s="47"/>
      <c r="P589" s="47"/>
      <c r="Q589" s="47"/>
      <c r="R589" s="75">
        <f t="shared" si="9"/>
        <v>150000</v>
      </c>
    </row>
    <row r="590" spans="1:18" x14ac:dyDescent="0.35">
      <c r="A590" s="52">
        <v>588</v>
      </c>
      <c r="B590" s="67" t="s">
        <v>1268</v>
      </c>
      <c r="C590" s="144" t="s">
        <v>1868</v>
      </c>
      <c r="D590" s="54" t="s">
        <v>136</v>
      </c>
      <c r="E590" s="9">
        <v>0</v>
      </c>
      <c r="F590" s="47"/>
      <c r="G590" s="47"/>
      <c r="H590" s="47"/>
      <c r="I590" s="74"/>
      <c r="J590" s="47"/>
      <c r="K590" s="47"/>
      <c r="L590" s="47"/>
      <c r="M590" s="47"/>
      <c r="N590" s="47"/>
      <c r="O590" s="47"/>
      <c r="P590" s="47"/>
      <c r="Q590" s="47"/>
      <c r="R590" s="75">
        <f t="shared" si="9"/>
        <v>0</v>
      </c>
    </row>
    <row r="591" spans="1:18" x14ac:dyDescent="0.35">
      <c r="A591" s="52">
        <v>589</v>
      </c>
      <c r="B591" s="67" t="s">
        <v>1270</v>
      </c>
      <c r="C591" s="144" t="s">
        <v>1876</v>
      </c>
      <c r="D591" s="54" t="s">
        <v>136</v>
      </c>
      <c r="E591" s="9">
        <v>450000</v>
      </c>
      <c r="F591" s="47"/>
      <c r="G591" s="47"/>
      <c r="H591" s="47"/>
      <c r="I591" s="74"/>
      <c r="J591" s="47"/>
      <c r="K591" s="47"/>
      <c r="L591" s="47"/>
      <c r="M591" s="47"/>
      <c r="N591" s="47"/>
      <c r="O591" s="47">
        <v>100000</v>
      </c>
      <c r="P591" s="47"/>
      <c r="Q591" s="47"/>
      <c r="R591" s="75">
        <f t="shared" si="9"/>
        <v>550000</v>
      </c>
    </row>
    <row r="592" spans="1:18" x14ac:dyDescent="0.35">
      <c r="A592" s="52">
        <v>590</v>
      </c>
      <c r="B592" s="67" t="s">
        <v>1272</v>
      </c>
      <c r="C592" s="53" t="s">
        <v>1273</v>
      </c>
      <c r="D592" s="54" t="s">
        <v>429</v>
      </c>
      <c r="E592" s="9">
        <v>0</v>
      </c>
      <c r="F592" s="47"/>
      <c r="G592" s="47"/>
      <c r="H592" s="47"/>
      <c r="I592" s="74"/>
      <c r="J592" s="47"/>
      <c r="K592" s="47"/>
      <c r="L592" s="47"/>
      <c r="M592" s="47"/>
      <c r="N592" s="47"/>
      <c r="O592" s="47"/>
      <c r="P592" s="47"/>
      <c r="Q592" s="47"/>
      <c r="R592" s="75">
        <f t="shared" si="9"/>
        <v>0</v>
      </c>
    </row>
    <row r="593" spans="1:18" x14ac:dyDescent="0.35">
      <c r="A593" s="52">
        <v>591</v>
      </c>
      <c r="B593" s="67" t="s">
        <v>1274</v>
      </c>
      <c r="C593" s="7" t="s">
        <v>1672</v>
      </c>
      <c r="D593" s="54" t="s">
        <v>46</v>
      </c>
      <c r="E593" s="9">
        <v>0</v>
      </c>
      <c r="F593" s="47"/>
      <c r="G593" s="47"/>
      <c r="H593" s="47"/>
      <c r="I593" s="74"/>
      <c r="J593" s="47"/>
      <c r="K593" s="47"/>
      <c r="L593" s="47"/>
      <c r="M593" s="47"/>
      <c r="N593" s="47"/>
      <c r="O593" s="47"/>
      <c r="P593" s="47"/>
      <c r="Q593" s="47"/>
      <c r="R593" s="75">
        <f t="shared" si="9"/>
        <v>0</v>
      </c>
    </row>
    <row r="594" spans="1:18" x14ac:dyDescent="0.35">
      <c r="A594" s="52">
        <v>592</v>
      </c>
      <c r="B594" s="67" t="s">
        <v>1276</v>
      </c>
      <c r="C594" s="53" t="s">
        <v>1277</v>
      </c>
      <c r="D594" s="54" t="s">
        <v>128</v>
      </c>
      <c r="E594" s="9">
        <v>0</v>
      </c>
      <c r="F594" s="47"/>
      <c r="G594" s="47"/>
      <c r="H594" s="47"/>
      <c r="I594" s="74"/>
      <c r="J594" s="47"/>
      <c r="K594" s="47"/>
      <c r="L594" s="47"/>
      <c r="M594" s="47"/>
      <c r="N594" s="47"/>
      <c r="O594" s="47"/>
      <c r="P594" s="47"/>
      <c r="Q594" s="47"/>
      <c r="R594" s="75">
        <f t="shared" si="9"/>
        <v>0</v>
      </c>
    </row>
    <row r="595" spans="1:18" x14ac:dyDescent="0.35">
      <c r="A595" s="52">
        <v>593</v>
      </c>
      <c r="B595" s="67" t="s">
        <v>1278</v>
      </c>
      <c r="C595" s="7" t="s">
        <v>1844</v>
      </c>
      <c r="D595" s="54" t="s">
        <v>406</v>
      </c>
      <c r="E595" s="9">
        <v>0</v>
      </c>
      <c r="F595" s="47"/>
      <c r="G595" s="47"/>
      <c r="H595" s="47"/>
      <c r="I595" s="74"/>
      <c r="J595" s="47"/>
      <c r="K595" s="47"/>
      <c r="L595" s="47"/>
      <c r="M595" s="47"/>
      <c r="N595" s="47"/>
      <c r="O595" s="47"/>
      <c r="P595" s="47"/>
      <c r="Q595" s="47"/>
      <c r="R595" s="75">
        <f t="shared" si="9"/>
        <v>0</v>
      </c>
    </row>
    <row r="596" spans="1:18" x14ac:dyDescent="0.35">
      <c r="A596" s="52">
        <v>594</v>
      </c>
      <c r="B596" s="67" t="s">
        <v>1280</v>
      </c>
      <c r="C596" s="53" t="s">
        <v>1281</v>
      </c>
      <c r="D596" s="54" t="s">
        <v>41</v>
      </c>
      <c r="E596" s="9">
        <v>0</v>
      </c>
      <c r="F596" s="47"/>
      <c r="G596" s="47"/>
      <c r="H596" s="47"/>
      <c r="I596" s="74"/>
      <c r="J596" s="47"/>
      <c r="K596" s="47"/>
      <c r="L596" s="47"/>
      <c r="M596" s="47"/>
      <c r="N596" s="47"/>
      <c r="O596" s="47"/>
      <c r="P596" s="47"/>
      <c r="Q596" s="47"/>
      <c r="R596" s="75">
        <f t="shared" si="9"/>
        <v>0</v>
      </c>
    </row>
    <row r="597" spans="1:18" x14ac:dyDescent="0.35">
      <c r="A597" s="52">
        <v>595</v>
      </c>
      <c r="B597" s="67" t="s">
        <v>1282</v>
      </c>
      <c r="C597" s="144" t="s">
        <v>1927</v>
      </c>
      <c r="D597" s="54" t="s">
        <v>128</v>
      </c>
      <c r="E597" s="9">
        <v>0</v>
      </c>
      <c r="F597" s="47"/>
      <c r="G597" s="47"/>
      <c r="H597" s="47"/>
      <c r="I597" s="74"/>
      <c r="J597" s="47"/>
      <c r="K597" s="47"/>
      <c r="L597" s="47"/>
      <c r="M597" s="47"/>
      <c r="N597" s="47"/>
      <c r="O597" s="47"/>
      <c r="P597" s="47"/>
      <c r="Q597" s="47"/>
      <c r="R597" s="75">
        <f t="shared" si="9"/>
        <v>0</v>
      </c>
    </row>
    <row r="598" spans="1:18" x14ac:dyDescent="0.35">
      <c r="A598" s="52">
        <v>596</v>
      </c>
      <c r="B598" s="67" t="s">
        <v>1284</v>
      </c>
      <c r="C598" s="7" t="s">
        <v>1673</v>
      </c>
      <c r="D598" s="54" t="s">
        <v>60</v>
      </c>
      <c r="E598" s="9">
        <v>0</v>
      </c>
      <c r="F598" s="47"/>
      <c r="G598" s="47"/>
      <c r="H598" s="47"/>
      <c r="I598" s="74"/>
      <c r="J598" s="47"/>
      <c r="K598" s="47"/>
      <c r="L598" s="47"/>
      <c r="M598" s="47"/>
      <c r="N598" s="47"/>
      <c r="O598" s="47"/>
      <c r="P598" s="47"/>
      <c r="Q598" s="47"/>
      <c r="R598" s="75">
        <f t="shared" si="9"/>
        <v>0</v>
      </c>
    </row>
    <row r="599" spans="1:18" x14ac:dyDescent="0.35">
      <c r="A599" s="52">
        <v>597</v>
      </c>
      <c r="B599" s="67" t="s">
        <v>1286</v>
      </c>
      <c r="C599" s="53" t="s">
        <v>1287</v>
      </c>
      <c r="D599" s="54" t="s">
        <v>49</v>
      </c>
      <c r="E599" s="9">
        <v>0</v>
      </c>
      <c r="F599" s="47"/>
      <c r="G599" s="47"/>
      <c r="H599" s="47"/>
      <c r="I599" s="74"/>
      <c r="J599" s="47"/>
      <c r="K599" s="47"/>
      <c r="L599" s="47"/>
      <c r="M599" s="47"/>
      <c r="N599" s="47"/>
      <c r="O599" s="47"/>
      <c r="P599" s="47"/>
      <c r="Q599" s="47"/>
      <c r="R599" s="75">
        <f t="shared" si="9"/>
        <v>0</v>
      </c>
    </row>
    <row r="600" spans="1:18" x14ac:dyDescent="0.35">
      <c r="A600" s="52">
        <v>598</v>
      </c>
      <c r="B600" s="67" t="s">
        <v>1288</v>
      </c>
      <c r="C600" s="53" t="s">
        <v>1289</v>
      </c>
      <c r="D600" s="54" t="s">
        <v>136</v>
      </c>
      <c r="E600" s="9">
        <v>0</v>
      </c>
      <c r="F600" s="47"/>
      <c r="G600" s="47"/>
      <c r="H600" s="47"/>
      <c r="I600" s="74"/>
      <c r="J600" s="47"/>
      <c r="K600" s="47"/>
      <c r="L600" s="47"/>
      <c r="M600" s="47"/>
      <c r="N600" s="47"/>
      <c r="O600" s="47"/>
      <c r="P600" s="47"/>
      <c r="Q600" s="47"/>
      <c r="R600" s="75">
        <f t="shared" si="9"/>
        <v>0</v>
      </c>
    </row>
    <row r="601" spans="1:18" x14ac:dyDescent="0.35">
      <c r="A601" s="52">
        <v>599</v>
      </c>
      <c r="B601" s="67" t="s">
        <v>1290</v>
      </c>
      <c r="C601" s="53" t="s">
        <v>1291</v>
      </c>
      <c r="D601" s="54" t="s">
        <v>169</v>
      </c>
      <c r="E601" s="9">
        <v>0</v>
      </c>
      <c r="F601" s="47"/>
      <c r="G601" s="47"/>
      <c r="H601" s="47"/>
      <c r="I601" s="74"/>
      <c r="J601" s="47"/>
      <c r="K601" s="47"/>
      <c r="L601" s="47"/>
      <c r="M601" s="47"/>
      <c r="N601" s="47"/>
      <c r="O601" s="47"/>
      <c r="P601" s="47"/>
      <c r="Q601" s="47"/>
      <c r="R601" s="75">
        <f t="shared" si="9"/>
        <v>0</v>
      </c>
    </row>
    <row r="602" spans="1:18" x14ac:dyDescent="0.35">
      <c r="A602" s="52">
        <v>600</v>
      </c>
      <c r="B602" s="67" t="s">
        <v>1292</v>
      </c>
      <c r="C602" s="53" t="s">
        <v>1293</v>
      </c>
      <c r="D602" s="54" t="s">
        <v>169</v>
      </c>
      <c r="E602" s="9">
        <v>0</v>
      </c>
      <c r="F602" s="47"/>
      <c r="G602" s="47"/>
      <c r="H602" s="47"/>
      <c r="I602" s="74"/>
      <c r="J602" s="47"/>
      <c r="K602" s="47"/>
      <c r="L602" s="47"/>
      <c r="M602" s="47"/>
      <c r="N602" s="47"/>
      <c r="O602" s="47"/>
      <c r="P602" s="47"/>
      <c r="Q602" s="47"/>
      <c r="R602" s="75">
        <f t="shared" si="9"/>
        <v>0</v>
      </c>
    </row>
    <row r="603" spans="1:18" x14ac:dyDescent="0.35">
      <c r="A603" s="52">
        <v>601</v>
      </c>
      <c r="B603" s="67" t="s">
        <v>1294</v>
      </c>
      <c r="C603" s="53" t="s">
        <v>1295</v>
      </c>
      <c r="D603" s="54" t="s">
        <v>136</v>
      </c>
      <c r="E603" s="9">
        <v>0</v>
      </c>
      <c r="F603" s="47"/>
      <c r="G603" s="47"/>
      <c r="H603" s="47"/>
      <c r="I603" s="74"/>
      <c r="J603" s="47"/>
      <c r="K603" s="47"/>
      <c r="L603" s="47"/>
      <c r="M603" s="47"/>
      <c r="N603" s="47"/>
      <c r="O603" s="47"/>
      <c r="P603" s="47"/>
      <c r="Q603" s="47"/>
      <c r="R603" s="75">
        <f t="shared" si="9"/>
        <v>0</v>
      </c>
    </row>
    <row r="604" spans="1:18" x14ac:dyDescent="0.35">
      <c r="A604" s="52">
        <v>602</v>
      </c>
      <c r="B604" s="67" t="s">
        <v>1296</v>
      </c>
      <c r="C604" s="53" t="s">
        <v>1297</v>
      </c>
      <c r="D604" s="54" t="s">
        <v>136</v>
      </c>
      <c r="E604" s="9">
        <v>0</v>
      </c>
      <c r="F604" s="47"/>
      <c r="G604" s="47"/>
      <c r="H604" s="47"/>
      <c r="I604" s="74"/>
      <c r="J604" s="47"/>
      <c r="K604" s="47"/>
      <c r="L604" s="47"/>
      <c r="M604" s="47"/>
      <c r="N604" s="47"/>
      <c r="O604" s="47"/>
      <c r="P604" s="47"/>
      <c r="Q604" s="47"/>
      <c r="R604" s="75">
        <f t="shared" si="9"/>
        <v>0</v>
      </c>
    </row>
    <row r="605" spans="1:18" x14ac:dyDescent="0.35">
      <c r="A605" s="52">
        <v>603</v>
      </c>
      <c r="B605" s="67" t="s">
        <v>1298</v>
      </c>
      <c r="C605" s="53" t="s">
        <v>1299</v>
      </c>
      <c r="D605" s="54" t="s">
        <v>136</v>
      </c>
      <c r="E605" s="9">
        <v>0</v>
      </c>
      <c r="F605" s="47"/>
      <c r="G605" s="47"/>
      <c r="H605" s="47"/>
      <c r="I605" s="74"/>
      <c r="J605" s="47"/>
      <c r="K605" s="47"/>
      <c r="L605" s="47"/>
      <c r="M605" s="47"/>
      <c r="N605" s="47"/>
      <c r="O605" s="47"/>
      <c r="P605" s="47"/>
      <c r="Q605" s="47"/>
      <c r="R605" s="75">
        <f t="shared" si="9"/>
        <v>0</v>
      </c>
    </row>
    <row r="606" spans="1:18" x14ac:dyDescent="0.35">
      <c r="A606" s="52">
        <v>604</v>
      </c>
      <c r="B606" s="67" t="s">
        <v>1300</v>
      </c>
      <c r="C606" s="53" t="s">
        <v>1301</v>
      </c>
      <c r="D606" s="54" t="s">
        <v>136</v>
      </c>
      <c r="E606" s="9">
        <v>0</v>
      </c>
      <c r="F606" s="47"/>
      <c r="G606" s="47"/>
      <c r="H606" s="47"/>
      <c r="I606" s="74"/>
      <c r="J606" s="47"/>
      <c r="K606" s="47"/>
      <c r="L606" s="47"/>
      <c r="M606" s="47"/>
      <c r="N606" s="47"/>
      <c r="O606" s="47"/>
      <c r="P606" s="47"/>
      <c r="Q606" s="47"/>
      <c r="R606" s="75">
        <f t="shared" si="9"/>
        <v>0</v>
      </c>
    </row>
    <row r="607" spans="1:18" x14ac:dyDescent="0.35">
      <c r="A607" s="52">
        <v>605</v>
      </c>
      <c r="B607" s="67" t="s">
        <v>1302</v>
      </c>
      <c r="C607" s="53" t="s">
        <v>1303</v>
      </c>
      <c r="D607" s="54" t="s">
        <v>169</v>
      </c>
      <c r="E607" s="9">
        <v>0</v>
      </c>
      <c r="F607" s="47"/>
      <c r="G607" s="47"/>
      <c r="H607" s="47"/>
      <c r="I607" s="74"/>
      <c r="J607" s="47"/>
      <c r="K607" s="47"/>
      <c r="L607" s="47"/>
      <c r="M607" s="47"/>
      <c r="N607" s="47"/>
      <c r="O607" s="47"/>
      <c r="P607" s="47"/>
      <c r="Q607" s="47"/>
      <c r="R607" s="75">
        <f t="shared" si="9"/>
        <v>0</v>
      </c>
    </row>
    <row r="608" spans="1:18" x14ac:dyDescent="0.35">
      <c r="A608" s="52">
        <v>606</v>
      </c>
      <c r="B608" s="67" t="s">
        <v>1304</v>
      </c>
      <c r="C608" s="144" t="s">
        <v>2110</v>
      </c>
      <c r="D608" s="54" t="s">
        <v>136</v>
      </c>
      <c r="E608" s="9">
        <v>750000</v>
      </c>
      <c r="F608" s="47"/>
      <c r="G608" s="47"/>
      <c r="H608" s="47"/>
      <c r="I608" s="74"/>
      <c r="J608" s="47"/>
      <c r="K608" s="47"/>
      <c r="L608" s="47"/>
      <c r="M608" s="47"/>
      <c r="N608" s="47"/>
      <c r="O608" s="47">
        <v>250000</v>
      </c>
      <c r="P608" s="47"/>
      <c r="Q608" s="47"/>
      <c r="R608" s="75">
        <f t="shared" si="9"/>
        <v>1000000</v>
      </c>
    </row>
    <row r="609" spans="1:18" x14ac:dyDescent="0.35">
      <c r="A609" s="52">
        <v>607</v>
      </c>
      <c r="B609" s="67" t="s">
        <v>1306</v>
      </c>
      <c r="C609" s="53" t="s">
        <v>1307</v>
      </c>
      <c r="D609" s="54" t="s">
        <v>136</v>
      </c>
      <c r="E609" s="9">
        <v>150000</v>
      </c>
      <c r="F609" s="47"/>
      <c r="G609" s="47"/>
      <c r="H609" s="47"/>
      <c r="I609" s="74"/>
      <c r="J609" s="47"/>
      <c r="K609" s="47"/>
      <c r="L609" s="47"/>
      <c r="M609" s="47"/>
      <c r="N609" s="47"/>
      <c r="O609" s="47"/>
      <c r="P609" s="47"/>
      <c r="Q609" s="47"/>
      <c r="R609" s="75">
        <f t="shared" si="9"/>
        <v>150000</v>
      </c>
    </row>
    <row r="610" spans="1:18" x14ac:dyDescent="0.35">
      <c r="A610" s="52">
        <v>608</v>
      </c>
      <c r="B610" s="67" t="s">
        <v>1308</v>
      </c>
      <c r="C610" s="144" t="s">
        <v>2112</v>
      </c>
      <c r="D610" s="54" t="s">
        <v>19</v>
      </c>
      <c r="E610" s="9">
        <v>0</v>
      </c>
      <c r="F610" s="47"/>
      <c r="G610" s="47"/>
      <c r="H610" s="47"/>
      <c r="I610" s="74"/>
      <c r="J610" s="47"/>
      <c r="K610" s="47"/>
      <c r="L610" s="47"/>
      <c r="M610" s="47"/>
      <c r="N610" s="47"/>
      <c r="O610" s="47"/>
      <c r="P610" s="47"/>
      <c r="Q610" s="47"/>
      <c r="R610" s="75">
        <f t="shared" si="9"/>
        <v>0</v>
      </c>
    </row>
    <row r="611" spans="1:18" x14ac:dyDescent="0.35">
      <c r="A611" s="52">
        <v>609</v>
      </c>
      <c r="B611" s="67" t="s">
        <v>1310</v>
      </c>
      <c r="C611" s="144" t="s">
        <v>1869</v>
      </c>
      <c r="D611" s="54" t="s">
        <v>136</v>
      </c>
      <c r="E611" s="9">
        <v>0</v>
      </c>
      <c r="F611" s="47"/>
      <c r="G611" s="47"/>
      <c r="H611" s="47"/>
      <c r="I611" s="74"/>
      <c r="J611" s="47"/>
      <c r="K611" s="47"/>
      <c r="L611" s="47"/>
      <c r="M611" s="47"/>
      <c r="N611" s="47"/>
      <c r="O611" s="47"/>
      <c r="P611" s="47"/>
      <c r="Q611" s="47"/>
      <c r="R611" s="75">
        <f t="shared" si="9"/>
        <v>0</v>
      </c>
    </row>
    <row r="612" spans="1:18" x14ac:dyDescent="0.35">
      <c r="A612" s="52">
        <v>610</v>
      </c>
      <c r="B612" s="67" t="s">
        <v>1312</v>
      </c>
      <c r="C612" s="90" t="s">
        <v>2113</v>
      </c>
      <c r="D612" s="54" t="s">
        <v>72</v>
      </c>
      <c r="E612" s="9">
        <v>0</v>
      </c>
      <c r="F612" s="47"/>
      <c r="G612" s="47"/>
      <c r="H612" s="47"/>
      <c r="I612" s="74"/>
      <c r="J612" s="47"/>
      <c r="K612" s="47"/>
      <c r="L612" s="47"/>
      <c r="M612" s="47"/>
      <c r="N612" s="47"/>
      <c r="O612" s="47"/>
      <c r="P612" s="47"/>
      <c r="Q612" s="47"/>
      <c r="R612" s="75">
        <f t="shared" si="9"/>
        <v>0</v>
      </c>
    </row>
    <row r="613" spans="1:18" x14ac:dyDescent="0.35">
      <c r="A613" s="52">
        <v>611</v>
      </c>
      <c r="B613" s="67" t="s">
        <v>1314</v>
      </c>
      <c r="C613" s="144" t="s">
        <v>2114</v>
      </c>
      <c r="D613" s="54" t="s">
        <v>77</v>
      </c>
      <c r="E613" s="9">
        <v>0</v>
      </c>
      <c r="F613" s="47"/>
      <c r="G613" s="47"/>
      <c r="H613" s="47"/>
      <c r="I613" s="74"/>
      <c r="J613" s="47"/>
      <c r="K613" s="47"/>
      <c r="L613" s="47"/>
      <c r="M613" s="47"/>
      <c r="N613" s="47"/>
      <c r="O613" s="47"/>
      <c r="P613" s="47"/>
      <c r="Q613" s="47"/>
      <c r="R613" s="75">
        <f t="shared" si="9"/>
        <v>0</v>
      </c>
    </row>
    <row r="614" spans="1:18" x14ac:dyDescent="0.35">
      <c r="A614" s="52">
        <v>612</v>
      </c>
      <c r="B614" s="67" t="s">
        <v>1316</v>
      </c>
      <c r="C614" s="53" t="s">
        <v>1317</v>
      </c>
      <c r="D614" s="54" t="s">
        <v>136</v>
      </c>
      <c r="E614" s="9">
        <v>250000</v>
      </c>
      <c r="F614" s="47"/>
      <c r="G614" s="47"/>
      <c r="H614" s="47"/>
      <c r="I614" s="74"/>
      <c r="J614" s="47"/>
      <c r="K614" s="47"/>
      <c r="L614" s="47"/>
      <c r="M614" s="47"/>
      <c r="N614" s="47"/>
      <c r="O614" s="47"/>
      <c r="P614" s="47"/>
      <c r="Q614" s="47">
        <v>-250000</v>
      </c>
      <c r="R614" s="75">
        <f t="shared" si="9"/>
        <v>0</v>
      </c>
    </row>
    <row r="615" spans="1:18" x14ac:dyDescent="0.35">
      <c r="A615" s="52">
        <v>613</v>
      </c>
      <c r="B615" s="67" t="s">
        <v>1318</v>
      </c>
      <c r="C615" s="7" t="s">
        <v>1711</v>
      </c>
      <c r="D615" s="54" t="s">
        <v>367</v>
      </c>
      <c r="E615" s="9">
        <v>200000</v>
      </c>
      <c r="F615" s="47"/>
      <c r="G615" s="47"/>
      <c r="H615" s="47"/>
      <c r="I615" s="74"/>
      <c r="J615" s="47"/>
      <c r="K615" s="47"/>
      <c r="L615" s="47"/>
      <c r="M615" s="47"/>
      <c r="N615" s="47"/>
      <c r="O615" s="47"/>
      <c r="P615" s="47"/>
      <c r="Q615" s="47"/>
      <c r="R615" s="75">
        <f t="shared" si="9"/>
        <v>200000</v>
      </c>
    </row>
    <row r="616" spans="1:18" x14ac:dyDescent="0.35">
      <c r="A616" s="52">
        <v>614</v>
      </c>
      <c r="B616" s="67" t="s">
        <v>1320</v>
      </c>
      <c r="C616" s="7" t="s">
        <v>1674</v>
      </c>
      <c r="D616" s="54" t="s">
        <v>41</v>
      </c>
      <c r="E616" s="9">
        <v>0</v>
      </c>
      <c r="F616" s="47"/>
      <c r="G616" s="47"/>
      <c r="H616" s="47"/>
      <c r="I616" s="74"/>
      <c r="J616" s="47"/>
      <c r="K616" s="47"/>
      <c r="L616" s="47"/>
      <c r="M616" s="47"/>
      <c r="N616" s="47"/>
      <c r="O616" s="47"/>
      <c r="P616" s="47"/>
      <c r="Q616" s="47"/>
      <c r="R616" s="75">
        <f t="shared" si="9"/>
        <v>0</v>
      </c>
    </row>
    <row r="617" spans="1:18" x14ac:dyDescent="0.35">
      <c r="A617" s="52">
        <v>615</v>
      </c>
      <c r="B617" s="67" t="s">
        <v>1322</v>
      </c>
      <c r="C617" s="7" t="s">
        <v>1675</v>
      </c>
      <c r="D617" s="54" t="s">
        <v>131</v>
      </c>
      <c r="E617" s="9">
        <v>0</v>
      </c>
      <c r="F617" s="47"/>
      <c r="G617" s="47"/>
      <c r="H617" s="47"/>
      <c r="I617" s="74"/>
      <c r="J617" s="47"/>
      <c r="K617" s="47"/>
      <c r="L617" s="47"/>
      <c r="M617" s="47"/>
      <c r="N617" s="47"/>
      <c r="O617" s="47"/>
      <c r="P617" s="47"/>
      <c r="Q617" s="47"/>
      <c r="R617" s="75">
        <f t="shared" si="9"/>
        <v>0</v>
      </c>
    </row>
    <row r="618" spans="1:18" x14ac:dyDescent="0.35">
      <c r="A618" s="52">
        <v>616</v>
      </c>
      <c r="B618" s="67" t="s">
        <v>1324</v>
      </c>
      <c r="C618" s="53" t="s">
        <v>1325</v>
      </c>
      <c r="D618" s="54" t="s">
        <v>41</v>
      </c>
      <c r="E618" s="9">
        <v>0</v>
      </c>
      <c r="F618" s="47"/>
      <c r="G618" s="47"/>
      <c r="H618" s="47"/>
      <c r="I618" s="74"/>
      <c r="J618" s="47"/>
      <c r="K618" s="47"/>
      <c r="L618" s="47"/>
      <c r="M618" s="47"/>
      <c r="N618" s="47"/>
      <c r="O618" s="47"/>
      <c r="P618" s="47"/>
      <c r="Q618" s="47"/>
      <c r="R618" s="75">
        <f t="shared" si="9"/>
        <v>0</v>
      </c>
    </row>
    <row r="619" spans="1:18" x14ac:dyDescent="0.35">
      <c r="A619" s="52">
        <v>617</v>
      </c>
      <c r="B619" s="67" t="s">
        <v>1326</v>
      </c>
      <c r="C619" s="7" t="s">
        <v>1676</v>
      </c>
      <c r="D619" s="54" t="s">
        <v>367</v>
      </c>
      <c r="E619" s="9">
        <v>0</v>
      </c>
      <c r="F619" s="47"/>
      <c r="G619" s="47"/>
      <c r="H619" s="47"/>
      <c r="I619" s="74"/>
      <c r="J619" s="47"/>
      <c r="K619" s="47"/>
      <c r="L619" s="47"/>
      <c r="M619" s="47"/>
      <c r="N619" s="47"/>
      <c r="O619" s="47"/>
      <c r="P619" s="47"/>
      <c r="Q619" s="47"/>
      <c r="R619" s="75">
        <f t="shared" si="9"/>
        <v>0</v>
      </c>
    </row>
    <row r="620" spans="1:18" x14ac:dyDescent="0.35">
      <c r="A620" s="52">
        <v>618</v>
      </c>
      <c r="B620" s="67" t="s">
        <v>1328</v>
      </c>
      <c r="C620" s="7" t="s">
        <v>1677</v>
      </c>
      <c r="D620" s="54" t="s">
        <v>367</v>
      </c>
      <c r="E620" s="9">
        <v>0</v>
      </c>
      <c r="F620" s="47"/>
      <c r="G620" s="47"/>
      <c r="H620" s="47"/>
      <c r="I620" s="74"/>
      <c r="J620" s="47"/>
      <c r="K620" s="47"/>
      <c r="L620" s="47"/>
      <c r="M620" s="47"/>
      <c r="N620" s="47"/>
      <c r="O620" s="47"/>
      <c r="P620" s="47"/>
      <c r="Q620" s="47"/>
      <c r="R620" s="75">
        <f t="shared" si="9"/>
        <v>0</v>
      </c>
    </row>
    <row r="621" spans="1:18" x14ac:dyDescent="0.35">
      <c r="A621" s="52">
        <v>619</v>
      </c>
      <c r="B621" s="67" t="s">
        <v>1330</v>
      </c>
      <c r="C621" s="53" t="s">
        <v>1331</v>
      </c>
      <c r="D621" s="54" t="s">
        <v>49</v>
      </c>
      <c r="E621" s="9">
        <v>-100000</v>
      </c>
      <c r="F621" s="47"/>
      <c r="G621" s="47"/>
      <c r="H621" s="47"/>
      <c r="I621" s="74"/>
      <c r="J621" s="47"/>
      <c r="K621" s="47"/>
      <c r="L621" s="47"/>
      <c r="M621" s="47"/>
      <c r="N621" s="47"/>
      <c r="O621" s="47"/>
      <c r="P621" s="47"/>
      <c r="Q621" s="47"/>
      <c r="R621" s="75">
        <f t="shared" si="9"/>
        <v>-100000</v>
      </c>
    </row>
    <row r="622" spans="1:18" x14ac:dyDescent="0.35">
      <c r="A622" s="52">
        <v>620</v>
      </c>
      <c r="B622" s="67" t="s">
        <v>1332</v>
      </c>
      <c r="C622" s="53" t="s">
        <v>1333</v>
      </c>
      <c r="D622" s="54" t="s">
        <v>49</v>
      </c>
      <c r="E622" s="9">
        <v>0</v>
      </c>
      <c r="F622" s="47"/>
      <c r="G622" s="47"/>
      <c r="H622" s="47"/>
      <c r="I622" s="74"/>
      <c r="J622" s="47"/>
      <c r="K622" s="47"/>
      <c r="L622" s="47"/>
      <c r="M622" s="47"/>
      <c r="N622" s="47"/>
      <c r="O622" s="47"/>
      <c r="P622" s="47"/>
      <c r="Q622" s="47"/>
      <c r="R622" s="75">
        <f t="shared" si="9"/>
        <v>0</v>
      </c>
    </row>
    <row r="623" spans="1:18" x14ac:dyDescent="0.35">
      <c r="A623" s="52">
        <v>621</v>
      </c>
      <c r="B623" s="67" t="s">
        <v>1334</v>
      </c>
      <c r="C623" s="53" t="s">
        <v>1335</v>
      </c>
      <c r="D623" s="54" t="s">
        <v>49</v>
      </c>
      <c r="E623" s="9">
        <v>0</v>
      </c>
      <c r="F623" s="47"/>
      <c r="G623" s="47"/>
      <c r="H623" s="47"/>
      <c r="I623" s="74"/>
      <c r="J623" s="47"/>
      <c r="K623" s="47"/>
      <c r="L623" s="47"/>
      <c r="M623" s="47"/>
      <c r="N623" s="47"/>
      <c r="O623" s="47"/>
      <c r="P623" s="47"/>
      <c r="Q623" s="47"/>
      <c r="R623" s="75">
        <f t="shared" si="9"/>
        <v>0</v>
      </c>
    </row>
    <row r="624" spans="1:18" x14ac:dyDescent="0.35">
      <c r="A624" s="52">
        <v>622</v>
      </c>
      <c r="B624" s="67" t="s">
        <v>1336</v>
      </c>
      <c r="C624" s="53" t="s">
        <v>1337</v>
      </c>
      <c r="D624" s="54" t="s">
        <v>113</v>
      </c>
      <c r="E624" s="9">
        <v>0</v>
      </c>
      <c r="F624" s="47"/>
      <c r="G624" s="47"/>
      <c r="H624" s="47"/>
      <c r="I624" s="74"/>
      <c r="J624" s="47"/>
      <c r="K624" s="47"/>
      <c r="L624" s="47"/>
      <c r="M624" s="47"/>
      <c r="N624" s="47"/>
      <c r="O624" s="47"/>
      <c r="P624" s="47"/>
      <c r="Q624" s="47"/>
      <c r="R624" s="75">
        <f t="shared" si="9"/>
        <v>0</v>
      </c>
    </row>
    <row r="625" spans="1:18" x14ac:dyDescent="0.35">
      <c r="A625" s="52">
        <v>623</v>
      </c>
      <c r="B625" s="67" t="s">
        <v>1338</v>
      </c>
      <c r="C625" s="53" t="s">
        <v>1339</v>
      </c>
      <c r="D625" s="54" t="s">
        <v>136</v>
      </c>
      <c r="E625" s="9">
        <v>0</v>
      </c>
      <c r="F625" s="47"/>
      <c r="G625" s="47"/>
      <c r="H625" s="47"/>
      <c r="I625" s="74"/>
      <c r="J625" s="47"/>
      <c r="K625" s="47"/>
      <c r="L625" s="47"/>
      <c r="M625" s="47"/>
      <c r="N625" s="47"/>
      <c r="O625" s="47"/>
      <c r="P625" s="47"/>
      <c r="Q625" s="47"/>
      <c r="R625" s="75">
        <f t="shared" si="9"/>
        <v>0</v>
      </c>
    </row>
    <row r="626" spans="1:18" x14ac:dyDescent="0.35">
      <c r="A626" s="52">
        <v>624</v>
      </c>
      <c r="B626" s="67" t="s">
        <v>1340</v>
      </c>
      <c r="C626" s="21" t="s">
        <v>2115</v>
      </c>
      <c r="D626" s="54" t="s">
        <v>136</v>
      </c>
      <c r="E626" s="9">
        <v>1870000</v>
      </c>
      <c r="F626" s="47"/>
      <c r="G626" s="47">
        <v>50000</v>
      </c>
      <c r="H626" s="47"/>
      <c r="I626" s="74"/>
      <c r="J626" s="47"/>
      <c r="K626" s="47"/>
      <c r="L626" s="47"/>
      <c r="M626" s="47"/>
      <c r="N626" s="47"/>
      <c r="O626" s="47"/>
      <c r="P626" s="47"/>
      <c r="Q626" s="47"/>
      <c r="R626" s="75">
        <f t="shared" si="9"/>
        <v>1920000</v>
      </c>
    </row>
    <row r="627" spans="1:18" x14ac:dyDescent="0.35">
      <c r="A627" s="52">
        <v>625</v>
      </c>
      <c r="B627" s="67" t="s">
        <v>1342</v>
      </c>
      <c r="C627" s="53" t="s">
        <v>1343</v>
      </c>
      <c r="D627" s="54" t="s">
        <v>136</v>
      </c>
      <c r="E627" s="9">
        <v>550000</v>
      </c>
      <c r="F627" s="47"/>
      <c r="G627" s="47"/>
      <c r="H627" s="47"/>
      <c r="I627" s="74"/>
      <c r="J627" s="47"/>
      <c r="K627" s="47"/>
      <c r="L627" s="47"/>
      <c r="M627" s="47"/>
      <c r="N627" s="47">
        <v>150000</v>
      </c>
      <c r="O627" s="47"/>
      <c r="P627" s="47"/>
      <c r="Q627" s="47"/>
      <c r="R627" s="75">
        <f t="shared" si="9"/>
        <v>700000</v>
      </c>
    </row>
    <row r="628" spans="1:18" x14ac:dyDescent="0.35">
      <c r="A628" s="52">
        <v>626</v>
      </c>
      <c r="B628" s="67" t="s">
        <v>1344</v>
      </c>
      <c r="C628" s="144" t="s">
        <v>2117</v>
      </c>
      <c r="D628" s="54" t="s">
        <v>98</v>
      </c>
      <c r="E628" s="9">
        <v>0</v>
      </c>
      <c r="F628" s="47"/>
      <c r="G628" s="47"/>
      <c r="H628" s="47"/>
      <c r="I628" s="74"/>
      <c r="J628" s="47"/>
      <c r="K628" s="47"/>
      <c r="L628" s="47"/>
      <c r="M628" s="47"/>
      <c r="N628" s="47"/>
      <c r="O628" s="47"/>
      <c r="P628" s="47"/>
      <c r="Q628" s="47"/>
      <c r="R628" s="75">
        <f t="shared" si="9"/>
        <v>0</v>
      </c>
    </row>
    <row r="629" spans="1:18" x14ac:dyDescent="0.35">
      <c r="A629" s="52">
        <v>627</v>
      </c>
      <c r="B629" s="67" t="s">
        <v>1346</v>
      </c>
      <c r="C629" s="144" t="s">
        <v>2118</v>
      </c>
      <c r="D629" s="54" t="s">
        <v>324</v>
      </c>
      <c r="E629" s="9">
        <v>0</v>
      </c>
      <c r="F629" s="47"/>
      <c r="G629" s="47"/>
      <c r="H629" s="47"/>
      <c r="I629" s="74"/>
      <c r="J629" s="47"/>
      <c r="K629" s="47"/>
      <c r="L629" s="47"/>
      <c r="M629" s="47"/>
      <c r="N629" s="47"/>
      <c r="O629" s="47"/>
      <c r="P629" s="47"/>
      <c r="Q629" s="47"/>
      <c r="R629" s="75">
        <f t="shared" si="9"/>
        <v>0</v>
      </c>
    </row>
    <row r="630" spans="1:18" x14ac:dyDescent="0.35">
      <c r="A630" s="52">
        <v>628</v>
      </c>
      <c r="B630" s="67" t="s">
        <v>1348</v>
      </c>
      <c r="C630" s="144" t="s">
        <v>2119</v>
      </c>
      <c r="D630" s="54" t="s">
        <v>77</v>
      </c>
      <c r="E630" s="9">
        <v>0</v>
      </c>
      <c r="F630" s="47"/>
      <c r="G630" s="47"/>
      <c r="H630" s="47"/>
      <c r="I630" s="74"/>
      <c r="J630" s="47"/>
      <c r="K630" s="47"/>
      <c r="L630" s="47"/>
      <c r="M630" s="47"/>
      <c r="N630" s="47"/>
      <c r="O630" s="47"/>
      <c r="P630" s="47"/>
      <c r="Q630" s="47"/>
      <c r="R630" s="75">
        <f t="shared" si="9"/>
        <v>0</v>
      </c>
    </row>
    <row r="631" spans="1:18" x14ac:dyDescent="0.35">
      <c r="A631" s="52">
        <v>629</v>
      </c>
      <c r="B631" s="67" t="s">
        <v>1350</v>
      </c>
      <c r="C631" s="53" t="s">
        <v>1351</v>
      </c>
      <c r="D631" s="54" t="s">
        <v>11</v>
      </c>
      <c r="E631" s="9">
        <v>0</v>
      </c>
      <c r="F631" s="47"/>
      <c r="G631" s="47"/>
      <c r="H631" s="47"/>
      <c r="I631" s="74"/>
      <c r="J631" s="47"/>
      <c r="K631" s="47"/>
      <c r="L631" s="47"/>
      <c r="M631" s="47"/>
      <c r="N631" s="47"/>
      <c r="O631" s="47"/>
      <c r="P631" s="47"/>
      <c r="Q631" s="47"/>
      <c r="R631" s="75">
        <f t="shared" si="9"/>
        <v>0</v>
      </c>
    </row>
    <row r="632" spans="1:18" x14ac:dyDescent="0.35">
      <c r="A632" s="52">
        <v>630</v>
      </c>
      <c r="B632" s="67" t="s">
        <v>1352</v>
      </c>
      <c r="C632" s="7" t="s">
        <v>1678</v>
      </c>
      <c r="D632" s="54" t="s">
        <v>11</v>
      </c>
      <c r="E632" s="9">
        <v>0</v>
      </c>
      <c r="F632" s="47"/>
      <c r="G632" s="47"/>
      <c r="H632" s="47"/>
      <c r="I632" s="74"/>
      <c r="J632" s="47"/>
      <c r="K632" s="47"/>
      <c r="L632" s="47"/>
      <c r="M632" s="47"/>
      <c r="N632" s="47"/>
      <c r="O632" s="47"/>
      <c r="P632" s="47"/>
      <c r="Q632" s="47"/>
      <c r="R632" s="75">
        <f t="shared" si="9"/>
        <v>0</v>
      </c>
    </row>
    <row r="633" spans="1:18" x14ac:dyDescent="0.35">
      <c r="A633" s="52">
        <v>631</v>
      </c>
      <c r="B633" s="67" t="s">
        <v>1354</v>
      </c>
      <c r="C633" s="7" t="s">
        <v>1710</v>
      </c>
      <c r="D633" s="54" t="s">
        <v>11</v>
      </c>
      <c r="E633" s="9">
        <v>0</v>
      </c>
      <c r="F633" s="47"/>
      <c r="G633" s="47"/>
      <c r="H633" s="47"/>
      <c r="I633" s="74"/>
      <c r="J633" s="47"/>
      <c r="K633" s="47"/>
      <c r="L633" s="47"/>
      <c r="M633" s="47"/>
      <c r="N633" s="47"/>
      <c r="O633" s="47"/>
      <c r="P633" s="47"/>
      <c r="Q633" s="47"/>
      <c r="R633" s="75">
        <f t="shared" si="9"/>
        <v>0</v>
      </c>
    </row>
    <row r="634" spans="1:18" x14ac:dyDescent="0.35">
      <c r="A634" s="52">
        <v>632</v>
      </c>
      <c r="B634" s="67" t="s">
        <v>1356</v>
      </c>
      <c r="C634" s="53" t="s">
        <v>1357</v>
      </c>
      <c r="D634" s="54" t="s">
        <v>11</v>
      </c>
      <c r="E634" s="9">
        <v>0</v>
      </c>
      <c r="F634" s="47"/>
      <c r="G634" s="47"/>
      <c r="H634" s="47"/>
      <c r="I634" s="74"/>
      <c r="J634" s="47"/>
      <c r="K634" s="47"/>
      <c r="L634" s="47"/>
      <c r="M634" s="47"/>
      <c r="N634" s="47"/>
      <c r="O634" s="47"/>
      <c r="P634" s="47"/>
      <c r="Q634" s="47"/>
      <c r="R634" s="75">
        <f t="shared" si="9"/>
        <v>0</v>
      </c>
    </row>
    <row r="635" spans="1:18" x14ac:dyDescent="0.35">
      <c r="A635" s="52">
        <v>633</v>
      </c>
      <c r="B635" s="67" t="s">
        <v>1358</v>
      </c>
      <c r="C635" s="53" t="s">
        <v>1359</v>
      </c>
      <c r="D635" s="54" t="s">
        <v>374</v>
      </c>
      <c r="E635" s="9">
        <v>0</v>
      </c>
      <c r="F635" s="47"/>
      <c r="G635" s="47"/>
      <c r="H635" s="47"/>
      <c r="I635" s="74"/>
      <c r="J635" s="47"/>
      <c r="K635" s="47"/>
      <c r="L635" s="47"/>
      <c r="M635" s="47"/>
      <c r="N635" s="47"/>
      <c r="O635" s="47"/>
      <c r="P635" s="47"/>
      <c r="Q635" s="47"/>
      <c r="R635" s="75">
        <f t="shared" si="9"/>
        <v>0</v>
      </c>
    </row>
    <row r="636" spans="1:18" x14ac:dyDescent="0.35">
      <c r="A636" s="52">
        <v>634</v>
      </c>
      <c r="B636" s="67" t="s">
        <v>1360</v>
      </c>
      <c r="C636" s="144" t="s">
        <v>1862</v>
      </c>
      <c r="D636" s="54" t="s">
        <v>429</v>
      </c>
      <c r="E636" s="9">
        <v>0</v>
      </c>
      <c r="F636" s="47"/>
      <c r="G636" s="47"/>
      <c r="H636" s="47"/>
      <c r="I636" s="74"/>
      <c r="J636" s="47"/>
      <c r="K636" s="47"/>
      <c r="L636" s="47"/>
      <c r="M636" s="47"/>
      <c r="N636" s="47"/>
      <c r="O636" s="47"/>
      <c r="P636" s="47"/>
      <c r="Q636" s="47"/>
      <c r="R636" s="75">
        <f t="shared" si="9"/>
        <v>0</v>
      </c>
    </row>
    <row r="637" spans="1:18" x14ac:dyDescent="0.35">
      <c r="A637" s="52">
        <v>635</v>
      </c>
      <c r="B637" s="67" t="s">
        <v>1362</v>
      </c>
      <c r="C637" s="53" t="s">
        <v>1363</v>
      </c>
      <c r="D637" s="54" t="s">
        <v>429</v>
      </c>
      <c r="E637" s="9">
        <v>0</v>
      </c>
      <c r="F637" s="47"/>
      <c r="G637" s="47"/>
      <c r="H637" s="47"/>
      <c r="I637" s="74"/>
      <c r="J637" s="47"/>
      <c r="K637" s="47"/>
      <c r="L637" s="47"/>
      <c r="M637" s="47"/>
      <c r="N637" s="47"/>
      <c r="O637" s="47"/>
      <c r="P637" s="47"/>
      <c r="Q637" s="47"/>
      <c r="R637" s="75">
        <f t="shared" si="9"/>
        <v>0</v>
      </c>
    </row>
    <row r="638" spans="1:18" x14ac:dyDescent="0.35">
      <c r="A638" s="52">
        <v>636</v>
      </c>
      <c r="B638" s="67" t="s">
        <v>1364</v>
      </c>
      <c r="C638" s="53" t="s">
        <v>1365</v>
      </c>
      <c r="D638" s="54" t="s">
        <v>429</v>
      </c>
      <c r="E638" s="9">
        <v>0</v>
      </c>
      <c r="F638" s="47"/>
      <c r="G638" s="47"/>
      <c r="H638" s="47"/>
      <c r="I638" s="74"/>
      <c r="J638" s="47"/>
      <c r="K638" s="47"/>
      <c r="L638" s="47"/>
      <c r="M638" s="47"/>
      <c r="N638" s="47"/>
      <c r="O638" s="47"/>
      <c r="P638" s="47"/>
      <c r="Q638" s="47"/>
      <c r="R638" s="75">
        <f t="shared" si="9"/>
        <v>0</v>
      </c>
    </row>
    <row r="639" spans="1:18" x14ac:dyDescent="0.35">
      <c r="A639" s="52">
        <v>637</v>
      </c>
      <c r="B639" s="67" t="s">
        <v>1366</v>
      </c>
      <c r="C639" s="53" t="s">
        <v>1367</v>
      </c>
      <c r="D639" s="54" t="s">
        <v>429</v>
      </c>
      <c r="E639" s="9">
        <v>0</v>
      </c>
      <c r="F639" s="47"/>
      <c r="G639" s="47"/>
      <c r="H639" s="47"/>
      <c r="I639" s="74"/>
      <c r="J639" s="47"/>
      <c r="K639" s="47"/>
      <c r="L639" s="47"/>
      <c r="M639" s="47"/>
      <c r="N639" s="47"/>
      <c r="O639" s="47"/>
      <c r="P639" s="47"/>
      <c r="Q639" s="47"/>
      <c r="R639" s="75">
        <f t="shared" si="9"/>
        <v>0</v>
      </c>
    </row>
    <row r="640" spans="1:18" x14ac:dyDescent="0.35">
      <c r="A640" s="52">
        <v>638</v>
      </c>
      <c r="B640" s="67" t="s">
        <v>1368</v>
      </c>
      <c r="C640" s="53" t="s">
        <v>1369</v>
      </c>
      <c r="D640" s="54" t="s">
        <v>429</v>
      </c>
      <c r="E640" s="9">
        <v>0</v>
      </c>
      <c r="F640" s="47"/>
      <c r="G640" s="47"/>
      <c r="H640" s="47"/>
      <c r="I640" s="74"/>
      <c r="J640" s="47"/>
      <c r="K640" s="47"/>
      <c r="L640" s="47"/>
      <c r="M640" s="47"/>
      <c r="N640" s="47"/>
      <c r="O640" s="47"/>
      <c r="P640" s="47"/>
      <c r="Q640" s="47"/>
      <c r="R640" s="75">
        <f t="shared" si="9"/>
        <v>0</v>
      </c>
    </row>
    <row r="641" spans="1:18" x14ac:dyDescent="0.35">
      <c r="A641" s="52">
        <v>639</v>
      </c>
      <c r="B641" s="67" t="s">
        <v>1370</v>
      </c>
      <c r="C641" s="53" t="s">
        <v>1371</v>
      </c>
      <c r="D641" s="54" t="s">
        <v>429</v>
      </c>
      <c r="E641" s="9">
        <v>0</v>
      </c>
      <c r="F641" s="47"/>
      <c r="G641" s="47"/>
      <c r="H641" s="47"/>
      <c r="I641" s="74"/>
      <c r="J641" s="47"/>
      <c r="K641" s="47"/>
      <c r="L641" s="47"/>
      <c r="M641" s="47"/>
      <c r="N641" s="47"/>
      <c r="O641" s="47"/>
      <c r="P641" s="47"/>
      <c r="Q641" s="47"/>
      <c r="R641" s="75">
        <f t="shared" si="9"/>
        <v>0</v>
      </c>
    </row>
    <row r="642" spans="1:18" x14ac:dyDescent="0.35">
      <c r="A642" s="52">
        <v>640</v>
      </c>
      <c r="B642" s="67" t="s">
        <v>1372</v>
      </c>
      <c r="C642" s="53" t="s">
        <v>1373</v>
      </c>
      <c r="D642" s="54" t="s">
        <v>429</v>
      </c>
      <c r="E642" s="9">
        <v>0</v>
      </c>
      <c r="F642" s="47"/>
      <c r="G642" s="47"/>
      <c r="H642" s="47"/>
      <c r="I642" s="74"/>
      <c r="J642" s="47"/>
      <c r="K642" s="47"/>
      <c r="L642" s="47"/>
      <c r="M642" s="47"/>
      <c r="N642" s="47"/>
      <c r="O642" s="47"/>
      <c r="P642" s="47"/>
      <c r="Q642" s="47"/>
      <c r="R642" s="75">
        <f t="shared" si="9"/>
        <v>0</v>
      </c>
    </row>
    <row r="643" spans="1:18" x14ac:dyDescent="0.35">
      <c r="A643" s="52">
        <v>641</v>
      </c>
      <c r="B643" s="67" t="s">
        <v>1374</v>
      </c>
      <c r="C643" s="144" t="s">
        <v>1897</v>
      </c>
      <c r="D643" s="54" t="s">
        <v>98</v>
      </c>
      <c r="E643" s="9">
        <v>185000</v>
      </c>
      <c r="F643" s="47"/>
      <c r="G643" s="47"/>
      <c r="H643" s="47"/>
      <c r="I643" s="74"/>
      <c r="J643" s="47"/>
      <c r="K643" s="47"/>
      <c r="L643" s="47"/>
      <c r="M643" s="47"/>
      <c r="N643" s="47"/>
      <c r="O643" s="47"/>
      <c r="P643" s="47"/>
      <c r="Q643" s="47"/>
      <c r="R643" s="75">
        <f t="shared" si="9"/>
        <v>185000</v>
      </c>
    </row>
    <row r="644" spans="1:18" x14ac:dyDescent="0.35">
      <c r="A644" s="52">
        <v>642</v>
      </c>
      <c r="B644" s="67" t="s">
        <v>1376</v>
      </c>
      <c r="C644" s="90" t="s">
        <v>1843</v>
      </c>
      <c r="D644" s="54" t="s">
        <v>22</v>
      </c>
      <c r="E644" s="9">
        <v>350000</v>
      </c>
      <c r="F644" s="47"/>
      <c r="G644" s="47"/>
      <c r="H644" s="47"/>
      <c r="I644" s="74"/>
      <c r="J644" s="47"/>
      <c r="K644" s="47"/>
      <c r="L644" s="47"/>
      <c r="M644" s="47"/>
      <c r="N644" s="47"/>
      <c r="O644" s="47"/>
      <c r="P644" s="47"/>
      <c r="Q644" s="47"/>
      <c r="R644" s="75">
        <f t="shared" ref="R644:R707" si="10">E644+F644+G644+H644+I644+J644+K644+L644+M644+N644+O644+P644+Q644</f>
        <v>350000</v>
      </c>
    </row>
    <row r="645" spans="1:18" x14ac:dyDescent="0.35">
      <c r="A645" s="52">
        <v>643</v>
      </c>
      <c r="B645" s="67" t="s">
        <v>1378</v>
      </c>
      <c r="C645" s="53" t="s">
        <v>1379</v>
      </c>
      <c r="D645" s="54" t="s">
        <v>303</v>
      </c>
      <c r="E645" s="9">
        <v>0</v>
      </c>
      <c r="F645" s="47"/>
      <c r="G645" s="47"/>
      <c r="H645" s="47"/>
      <c r="I645" s="74"/>
      <c r="J645" s="47"/>
      <c r="K645" s="47"/>
      <c r="L645" s="47"/>
      <c r="M645" s="47"/>
      <c r="N645" s="47"/>
      <c r="O645" s="47"/>
      <c r="P645" s="47"/>
      <c r="Q645" s="47"/>
      <c r="R645" s="75">
        <f t="shared" si="10"/>
        <v>0</v>
      </c>
    </row>
    <row r="646" spans="1:18" x14ac:dyDescent="0.35">
      <c r="A646" s="52">
        <v>644</v>
      </c>
      <c r="B646" s="67" t="s">
        <v>1380</v>
      </c>
      <c r="C646" s="53" t="s">
        <v>1381</v>
      </c>
      <c r="D646" s="54" t="s">
        <v>49</v>
      </c>
      <c r="E646" s="9">
        <v>0</v>
      </c>
      <c r="F646" s="47"/>
      <c r="G646" s="47"/>
      <c r="H646" s="47"/>
      <c r="I646" s="74"/>
      <c r="J646" s="47"/>
      <c r="K646" s="47"/>
      <c r="L646" s="47"/>
      <c r="M646" s="47"/>
      <c r="N646" s="47"/>
      <c r="O646" s="47"/>
      <c r="P646" s="47"/>
      <c r="Q646" s="47"/>
      <c r="R646" s="75">
        <f t="shared" si="10"/>
        <v>0</v>
      </c>
    </row>
    <row r="647" spans="1:18" x14ac:dyDescent="0.35">
      <c r="A647" s="52">
        <v>645</v>
      </c>
      <c r="B647" s="67" t="s">
        <v>1382</v>
      </c>
      <c r="C647" s="53" t="s">
        <v>1383</v>
      </c>
      <c r="D647" s="54" t="s">
        <v>49</v>
      </c>
      <c r="E647" s="9">
        <v>0</v>
      </c>
      <c r="F647" s="47"/>
      <c r="G647" s="47"/>
      <c r="H647" s="47"/>
      <c r="I647" s="74"/>
      <c r="J647" s="47"/>
      <c r="K647" s="47"/>
      <c r="L647" s="47"/>
      <c r="M647" s="47"/>
      <c r="N647" s="47"/>
      <c r="O647" s="47"/>
      <c r="P647" s="47"/>
      <c r="Q647" s="47"/>
      <c r="R647" s="75">
        <f t="shared" si="10"/>
        <v>0</v>
      </c>
    </row>
    <row r="648" spans="1:18" x14ac:dyDescent="0.35">
      <c r="A648" s="52">
        <v>646</v>
      </c>
      <c r="B648" s="67" t="s">
        <v>1384</v>
      </c>
      <c r="C648" s="53" t="s">
        <v>1385</v>
      </c>
      <c r="D648" s="54" t="s">
        <v>128</v>
      </c>
      <c r="E648" s="9">
        <v>250000</v>
      </c>
      <c r="F648" s="47"/>
      <c r="G648" s="47"/>
      <c r="H648" s="47"/>
      <c r="I648" s="74"/>
      <c r="J648" s="47"/>
      <c r="K648" s="47"/>
      <c r="L648" s="47"/>
      <c r="M648" s="47"/>
      <c r="N648" s="47"/>
      <c r="O648" s="47"/>
      <c r="P648" s="47"/>
      <c r="Q648" s="47"/>
      <c r="R648" s="75">
        <f t="shared" si="10"/>
        <v>250000</v>
      </c>
    </row>
    <row r="649" spans="1:18" x14ac:dyDescent="0.35">
      <c r="A649" s="52">
        <v>647</v>
      </c>
      <c r="B649" s="67" t="s">
        <v>1386</v>
      </c>
      <c r="C649" s="53" t="s">
        <v>1387</v>
      </c>
      <c r="D649" s="54" t="s">
        <v>128</v>
      </c>
      <c r="E649" s="9">
        <v>0</v>
      </c>
      <c r="F649" s="47"/>
      <c r="G649" s="47"/>
      <c r="H649" s="47"/>
      <c r="I649" s="74"/>
      <c r="J649" s="47"/>
      <c r="K649" s="47"/>
      <c r="L649" s="47"/>
      <c r="M649" s="47"/>
      <c r="N649" s="47"/>
      <c r="O649" s="47"/>
      <c r="P649" s="47"/>
      <c r="Q649" s="47"/>
      <c r="R649" s="75">
        <f t="shared" si="10"/>
        <v>0</v>
      </c>
    </row>
    <row r="650" spans="1:18" x14ac:dyDescent="0.35">
      <c r="A650" s="52">
        <v>648</v>
      </c>
      <c r="B650" s="67" t="s">
        <v>1388</v>
      </c>
      <c r="C650" s="53" t="s">
        <v>1389</v>
      </c>
      <c r="D650" s="54" t="s">
        <v>128</v>
      </c>
      <c r="E650" s="9">
        <v>0</v>
      </c>
      <c r="F650" s="47"/>
      <c r="G650" s="47"/>
      <c r="H650" s="47"/>
      <c r="I650" s="74"/>
      <c r="J650" s="47"/>
      <c r="K650" s="47"/>
      <c r="L650" s="47"/>
      <c r="M650" s="47"/>
      <c r="N650" s="47"/>
      <c r="O650" s="47"/>
      <c r="P650" s="47"/>
      <c r="Q650" s="47"/>
      <c r="R650" s="75">
        <f t="shared" si="10"/>
        <v>0</v>
      </c>
    </row>
    <row r="651" spans="1:18" x14ac:dyDescent="0.35">
      <c r="A651" s="52">
        <v>649</v>
      </c>
      <c r="B651" s="67" t="s">
        <v>1390</v>
      </c>
      <c r="C651" s="53" t="s">
        <v>1391</v>
      </c>
      <c r="D651" s="54" t="s">
        <v>49</v>
      </c>
      <c r="E651" s="9">
        <v>0</v>
      </c>
      <c r="F651" s="47"/>
      <c r="G651" s="47"/>
      <c r="H651" s="47"/>
      <c r="I651" s="74"/>
      <c r="J651" s="47"/>
      <c r="K651" s="47"/>
      <c r="L651" s="47"/>
      <c r="M651" s="47"/>
      <c r="N651" s="47"/>
      <c r="O651" s="47"/>
      <c r="P651" s="47"/>
      <c r="Q651" s="47"/>
      <c r="R651" s="75">
        <f t="shared" si="10"/>
        <v>0</v>
      </c>
    </row>
    <row r="652" spans="1:18" x14ac:dyDescent="0.35">
      <c r="A652" s="52">
        <v>650</v>
      </c>
      <c r="B652" s="67" t="s">
        <v>1392</v>
      </c>
      <c r="C652" s="7" t="s">
        <v>1709</v>
      </c>
      <c r="D652" s="54" t="s">
        <v>49</v>
      </c>
      <c r="E652" s="9">
        <v>0</v>
      </c>
      <c r="F652" s="47"/>
      <c r="G652" s="47"/>
      <c r="H652" s="47"/>
      <c r="I652" s="74"/>
      <c r="J652" s="47"/>
      <c r="K652" s="47"/>
      <c r="L652" s="47"/>
      <c r="M652" s="47"/>
      <c r="N652" s="47"/>
      <c r="O652" s="47"/>
      <c r="P652" s="47"/>
      <c r="Q652" s="47"/>
      <c r="R652" s="75">
        <f t="shared" si="10"/>
        <v>0</v>
      </c>
    </row>
    <row r="653" spans="1:18" x14ac:dyDescent="0.35">
      <c r="A653" s="52">
        <v>651</v>
      </c>
      <c r="B653" s="67" t="s">
        <v>1394</v>
      </c>
      <c r="C653" s="53" t="s">
        <v>1395</v>
      </c>
      <c r="D653" s="54" t="s">
        <v>136</v>
      </c>
      <c r="E653" s="9">
        <v>0</v>
      </c>
      <c r="F653" s="47"/>
      <c r="G653" s="47"/>
      <c r="H653" s="47"/>
      <c r="I653" s="74"/>
      <c r="J653" s="47"/>
      <c r="K653" s="47"/>
      <c r="L653" s="47"/>
      <c r="M653" s="47"/>
      <c r="N653" s="47"/>
      <c r="O653" s="47"/>
      <c r="P653" s="47"/>
      <c r="Q653" s="47"/>
      <c r="R653" s="75">
        <f t="shared" si="10"/>
        <v>0</v>
      </c>
    </row>
    <row r="654" spans="1:18" x14ac:dyDescent="0.35">
      <c r="A654" s="52">
        <v>652</v>
      </c>
      <c r="B654" s="67" t="s">
        <v>1396</v>
      </c>
      <c r="C654" s="53" t="s">
        <v>1397</v>
      </c>
      <c r="D654" s="54" t="s">
        <v>41</v>
      </c>
      <c r="E654" s="9">
        <v>0</v>
      </c>
      <c r="F654" s="47"/>
      <c r="G654" s="47"/>
      <c r="H654" s="47"/>
      <c r="I654" s="74"/>
      <c r="J654" s="47"/>
      <c r="K654" s="47"/>
      <c r="L654" s="47"/>
      <c r="M654" s="47"/>
      <c r="N654" s="47"/>
      <c r="O654" s="47"/>
      <c r="P654" s="47"/>
      <c r="Q654" s="47"/>
      <c r="R654" s="75">
        <f t="shared" si="10"/>
        <v>0</v>
      </c>
    </row>
    <row r="655" spans="1:18" x14ac:dyDescent="0.35">
      <c r="A655" s="52">
        <v>653</v>
      </c>
      <c r="B655" s="67" t="s">
        <v>1398</v>
      </c>
      <c r="C655" s="144" t="s">
        <v>1898</v>
      </c>
      <c r="D655" s="54" t="s">
        <v>429</v>
      </c>
      <c r="E655" s="9">
        <v>0</v>
      </c>
      <c r="F655" s="47"/>
      <c r="G655" s="47"/>
      <c r="H655" s="47"/>
      <c r="I655" s="74"/>
      <c r="J655" s="47"/>
      <c r="K655" s="47"/>
      <c r="L655" s="47"/>
      <c r="M655" s="47"/>
      <c r="N655" s="47"/>
      <c r="O655" s="47"/>
      <c r="P655" s="47"/>
      <c r="Q655" s="47"/>
      <c r="R655" s="75">
        <f t="shared" si="10"/>
        <v>0</v>
      </c>
    </row>
    <row r="656" spans="1:18" x14ac:dyDescent="0.35">
      <c r="A656" s="52">
        <v>654</v>
      </c>
      <c r="B656" s="67" t="s">
        <v>1400</v>
      </c>
      <c r="C656" s="7" t="s">
        <v>2185</v>
      </c>
      <c r="D656" s="54" t="s">
        <v>19</v>
      </c>
      <c r="E656" s="9">
        <v>0</v>
      </c>
      <c r="F656" s="47"/>
      <c r="G656" s="47"/>
      <c r="H656" s="47"/>
      <c r="I656" s="74"/>
      <c r="J656" s="47"/>
      <c r="K656" s="47"/>
      <c r="L656" s="47"/>
      <c r="M656" s="47"/>
      <c r="N656" s="47"/>
      <c r="O656" s="47"/>
      <c r="P656" s="47"/>
      <c r="Q656" s="47"/>
      <c r="R656" s="75">
        <f t="shared" si="10"/>
        <v>0</v>
      </c>
    </row>
    <row r="657" spans="1:18" x14ac:dyDescent="0.35">
      <c r="A657" s="52">
        <v>655</v>
      </c>
      <c r="B657" s="67" t="s">
        <v>1402</v>
      </c>
      <c r="C657" s="21" t="s">
        <v>2127</v>
      </c>
      <c r="D657" s="54" t="s">
        <v>136</v>
      </c>
      <c r="E657" s="9">
        <v>870000</v>
      </c>
      <c r="F657" s="47"/>
      <c r="G657" s="47"/>
      <c r="H657" s="47">
        <v>130000</v>
      </c>
      <c r="I657" s="74"/>
      <c r="J657" s="47"/>
      <c r="K657" s="47"/>
      <c r="L657" s="47"/>
      <c r="M657" s="47"/>
      <c r="N657" s="47"/>
      <c r="O657" s="47"/>
      <c r="P657" s="47"/>
      <c r="Q657" s="47"/>
      <c r="R657" s="75">
        <f t="shared" si="10"/>
        <v>1000000</v>
      </c>
    </row>
    <row r="658" spans="1:18" x14ac:dyDescent="0.35">
      <c r="A658" s="52">
        <v>656</v>
      </c>
      <c r="B658" s="67" t="s">
        <v>1404</v>
      </c>
      <c r="C658" s="53" t="s">
        <v>1405</v>
      </c>
      <c r="D658" s="54" t="s">
        <v>49</v>
      </c>
      <c r="E658" s="9">
        <v>0</v>
      </c>
      <c r="F658" s="47"/>
      <c r="G658" s="47"/>
      <c r="H658" s="47"/>
      <c r="I658" s="74"/>
      <c r="J658" s="47"/>
      <c r="K658" s="47"/>
      <c r="L658" s="47"/>
      <c r="M658" s="47"/>
      <c r="N658" s="47"/>
      <c r="O658" s="47"/>
      <c r="P658" s="47"/>
      <c r="Q658" s="47"/>
      <c r="R658" s="75">
        <f t="shared" si="10"/>
        <v>0</v>
      </c>
    </row>
    <row r="659" spans="1:18" x14ac:dyDescent="0.35">
      <c r="A659" s="52">
        <v>657</v>
      </c>
      <c r="B659" s="67" t="s">
        <v>1406</v>
      </c>
      <c r="C659" s="53" t="s">
        <v>1407</v>
      </c>
      <c r="D659" s="54" t="s">
        <v>92</v>
      </c>
      <c r="E659" s="9">
        <v>0</v>
      </c>
      <c r="F659" s="47"/>
      <c r="G659" s="47"/>
      <c r="H659" s="47"/>
      <c r="I659" s="74"/>
      <c r="J659" s="47"/>
      <c r="K659" s="47"/>
      <c r="L659" s="47"/>
      <c r="M659" s="47"/>
      <c r="N659" s="47"/>
      <c r="O659" s="47"/>
      <c r="P659" s="47"/>
      <c r="Q659" s="47"/>
      <c r="R659" s="75">
        <f t="shared" si="10"/>
        <v>0</v>
      </c>
    </row>
    <row r="660" spans="1:18" x14ac:dyDescent="0.35">
      <c r="A660" s="52">
        <v>658</v>
      </c>
      <c r="B660" s="67" t="s">
        <v>1408</v>
      </c>
      <c r="C660" s="53" t="s">
        <v>1409</v>
      </c>
      <c r="D660" s="54" t="s">
        <v>92</v>
      </c>
      <c r="E660" s="9">
        <v>0</v>
      </c>
      <c r="F660" s="47"/>
      <c r="G660" s="47"/>
      <c r="H660" s="47"/>
      <c r="I660" s="74"/>
      <c r="J660" s="47"/>
      <c r="K660" s="47"/>
      <c r="L660" s="47"/>
      <c r="M660" s="47"/>
      <c r="N660" s="47"/>
      <c r="O660" s="47"/>
      <c r="P660" s="47"/>
      <c r="Q660" s="47"/>
      <c r="R660" s="75">
        <f t="shared" si="10"/>
        <v>0</v>
      </c>
    </row>
    <row r="661" spans="1:18" x14ac:dyDescent="0.35">
      <c r="A661" s="52">
        <v>659</v>
      </c>
      <c r="B661" s="67" t="s">
        <v>1410</v>
      </c>
      <c r="C661" s="90" t="s">
        <v>1968</v>
      </c>
      <c r="D661" s="54" t="s">
        <v>108</v>
      </c>
      <c r="E661" s="9">
        <v>100000</v>
      </c>
      <c r="F661" s="47"/>
      <c r="G661" s="47"/>
      <c r="H661" s="47"/>
      <c r="I661" s="74"/>
      <c r="J661" s="47"/>
      <c r="K661" s="47"/>
      <c r="L661" s="47"/>
      <c r="M661" s="47"/>
      <c r="N661" s="47"/>
      <c r="O661" s="47"/>
      <c r="P661" s="47"/>
      <c r="Q661" s="47">
        <v>100000</v>
      </c>
      <c r="R661" s="75">
        <f t="shared" si="10"/>
        <v>200000</v>
      </c>
    </row>
    <row r="662" spans="1:18" x14ac:dyDescent="0.35">
      <c r="A662" s="52">
        <v>660</v>
      </c>
      <c r="B662" s="67" t="s">
        <v>1412</v>
      </c>
      <c r="C662" s="53" t="s">
        <v>1413</v>
      </c>
      <c r="D662" s="54" t="s">
        <v>128</v>
      </c>
      <c r="E662" s="9">
        <v>800000</v>
      </c>
      <c r="F662" s="47"/>
      <c r="G662" s="47"/>
      <c r="H662" s="47"/>
      <c r="I662" s="74"/>
      <c r="J662" s="47"/>
      <c r="K662" s="47"/>
      <c r="L662" s="47"/>
      <c r="M662" s="47"/>
      <c r="N662" s="47"/>
      <c r="O662" s="47"/>
      <c r="P662" s="47"/>
      <c r="Q662" s="47"/>
      <c r="R662" s="75">
        <f t="shared" si="10"/>
        <v>800000</v>
      </c>
    </row>
    <row r="663" spans="1:18" x14ac:dyDescent="0.35">
      <c r="A663" s="52">
        <v>661</v>
      </c>
      <c r="B663" s="67" t="s">
        <v>1414</v>
      </c>
      <c r="C663" s="144" t="s">
        <v>1893</v>
      </c>
      <c r="D663" s="54" t="s">
        <v>128</v>
      </c>
      <c r="E663" s="9">
        <v>500000</v>
      </c>
      <c r="F663" s="47"/>
      <c r="G663" s="47">
        <v>250000</v>
      </c>
      <c r="H663" s="47"/>
      <c r="I663" s="74"/>
      <c r="J663" s="47"/>
      <c r="K663" s="47"/>
      <c r="L663" s="47"/>
      <c r="M663" s="47"/>
      <c r="N663" s="47"/>
      <c r="O663" s="47"/>
      <c r="P663" s="47"/>
      <c r="Q663" s="47"/>
      <c r="R663" s="75">
        <f t="shared" si="10"/>
        <v>750000</v>
      </c>
    </row>
    <row r="664" spans="1:18" x14ac:dyDescent="0.35">
      <c r="A664" s="52">
        <v>662</v>
      </c>
      <c r="B664" s="67" t="s">
        <v>1416</v>
      </c>
      <c r="C664" s="90" t="s">
        <v>1967</v>
      </c>
      <c r="D664" s="54" t="s">
        <v>303</v>
      </c>
      <c r="E664" s="9">
        <v>250000</v>
      </c>
      <c r="F664" s="47"/>
      <c r="G664" s="47"/>
      <c r="H664" s="47"/>
      <c r="I664" s="74"/>
      <c r="J664" s="47"/>
      <c r="K664" s="47"/>
      <c r="L664" s="47"/>
      <c r="M664" s="47"/>
      <c r="N664" s="47"/>
      <c r="O664" s="47"/>
      <c r="P664" s="47"/>
      <c r="Q664" s="47"/>
      <c r="R664" s="75">
        <f t="shared" si="10"/>
        <v>250000</v>
      </c>
    </row>
    <row r="665" spans="1:18" x14ac:dyDescent="0.35">
      <c r="A665" s="52">
        <v>663</v>
      </c>
      <c r="B665" s="67" t="s">
        <v>1418</v>
      </c>
      <c r="C665" s="144" t="s">
        <v>2129</v>
      </c>
      <c r="D665" s="54" t="s">
        <v>429</v>
      </c>
      <c r="E665" s="9">
        <v>0</v>
      </c>
      <c r="F665" s="47"/>
      <c r="G665" s="47"/>
      <c r="H665" s="47"/>
      <c r="I665" s="74"/>
      <c r="J665" s="47"/>
      <c r="K665" s="47"/>
      <c r="L665" s="47"/>
      <c r="M665" s="47"/>
      <c r="N665" s="47"/>
      <c r="O665" s="47"/>
      <c r="P665" s="47"/>
      <c r="Q665" s="47"/>
      <c r="R665" s="75">
        <f t="shared" si="10"/>
        <v>0</v>
      </c>
    </row>
    <row r="666" spans="1:18" x14ac:dyDescent="0.35">
      <c r="A666" s="52">
        <v>664</v>
      </c>
      <c r="B666" s="67" t="s">
        <v>1420</v>
      </c>
      <c r="C666" s="144" t="s">
        <v>2130</v>
      </c>
      <c r="D666" s="54" t="s">
        <v>429</v>
      </c>
      <c r="E666" s="9">
        <v>0</v>
      </c>
      <c r="F666" s="47"/>
      <c r="G666" s="47"/>
      <c r="H666" s="47"/>
      <c r="I666" s="74"/>
      <c r="J666" s="47"/>
      <c r="K666" s="47"/>
      <c r="L666" s="47"/>
      <c r="M666" s="47"/>
      <c r="N666" s="47"/>
      <c r="O666" s="47"/>
      <c r="P666" s="47"/>
      <c r="Q666" s="47"/>
      <c r="R666" s="75">
        <f t="shared" si="10"/>
        <v>0</v>
      </c>
    </row>
    <row r="667" spans="1:18" x14ac:dyDescent="0.35">
      <c r="A667" s="52">
        <v>665</v>
      </c>
      <c r="B667" s="67" t="s">
        <v>1422</v>
      </c>
      <c r="C667" s="144" t="s">
        <v>2131</v>
      </c>
      <c r="D667" s="54" t="s">
        <v>136</v>
      </c>
      <c r="E667" s="9">
        <v>600000</v>
      </c>
      <c r="F667" s="47"/>
      <c r="G667" s="47"/>
      <c r="H667" s="47"/>
      <c r="I667" s="74"/>
      <c r="J667" s="47"/>
      <c r="K667" s="47"/>
      <c r="L667" s="47"/>
      <c r="M667" s="47"/>
      <c r="N667" s="47"/>
      <c r="O667" s="47"/>
      <c r="P667" s="47"/>
      <c r="Q667" s="47"/>
      <c r="R667" s="75">
        <f t="shared" si="10"/>
        <v>600000</v>
      </c>
    </row>
    <row r="668" spans="1:18" x14ac:dyDescent="0.35">
      <c r="A668" s="52">
        <v>666</v>
      </c>
      <c r="B668" s="67" t="s">
        <v>1424</v>
      </c>
      <c r="C668" s="144" t="s">
        <v>1856</v>
      </c>
      <c r="D668" s="54" t="s">
        <v>215</v>
      </c>
      <c r="E668" s="9">
        <v>0</v>
      </c>
      <c r="F668" s="47"/>
      <c r="G668" s="47"/>
      <c r="H668" s="47"/>
      <c r="I668" s="74"/>
      <c r="J668" s="47"/>
      <c r="K668" s="47"/>
      <c r="L668" s="47"/>
      <c r="M668" s="47"/>
      <c r="N668" s="47"/>
      <c r="O668" s="47"/>
      <c r="P668" s="47"/>
      <c r="Q668" s="47"/>
      <c r="R668" s="75">
        <f t="shared" si="10"/>
        <v>0</v>
      </c>
    </row>
    <row r="669" spans="1:18" x14ac:dyDescent="0.35">
      <c r="A669" s="52">
        <v>667</v>
      </c>
      <c r="B669" s="67" t="s">
        <v>1426</v>
      </c>
      <c r="C669" s="144" t="s">
        <v>2132</v>
      </c>
      <c r="D669" s="54" t="s">
        <v>215</v>
      </c>
      <c r="E669" s="9">
        <v>0</v>
      </c>
      <c r="F669" s="47"/>
      <c r="G669" s="47"/>
      <c r="H669" s="47"/>
      <c r="I669" s="74"/>
      <c r="J669" s="47"/>
      <c r="K669" s="47"/>
      <c r="L669" s="47"/>
      <c r="M669" s="47"/>
      <c r="N669" s="47"/>
      <c r="O669" s="47"/>
      <c r="P669" s="47"/>
      <c r="Q669" s="47"/>
      <c r="R669" s="75">
        <f t="shared" si="10"/>
        <v>0</v>
      </c>
    </row>
    <row r="670" spans="1:18" x14ac:dyDescent="0.35">
      <c r="A670" s="52">
        <v>668</v>
      </c>
      <c r="B670" s="67" t="s">
        <v>1428</v>
      </c>
      <c r="C670" s="144" t="s">
        <v>2133</v>
      </c>
      <c r="D670" s="54" t="s">
        <v>159</v>
      </c>
      <c r="E670" s="9">
        <v>0</v>
      </c>
      <c r="F670" s="47"/>
      <c r="G670" s="47"/>
      <c r="H670" s="47"/>
      <c r="I670" s="74"/>
      <c r="J670" s="47"/>
      <c r="K670" s="47"/>
      <c r="L670" s="47"/>
      <c r="M670" s="47"/>
      <c r="N670" s="47"/>
      <c r="O670" s="47"/>
      <c r="P670" s="47"/>
      <c r="Q670" s="47"/>
      <c r="R670" s="75">
        <f t="shared" si="10"/>
        <v>0</v>
      </c>
    </row>
    <row r="671" spans="1:18" x14ac:dyDescent="0.35">
      <c r="A671" s="52">
        <v>669</v>
      </c>
      <c r="B671" s="67" t="s">
        <v>1430</v>
      </c>
      <c r="C671" s="53" t="s">
        <v>1431</v>
      </c>
      <c r="D671" s="54"/>
      <c r="E671" s="9">
        <v>0</v>
      </c>
      <c r="F671" s="47"/>
      <c r="G671" s="47"/>
      <c r="H671" s="47"/>
      <c r="I671" s="74"/>
      <c r="J671" s="47"/>
      <c r="K671" s="47"/>
      <c r="L671" s="47"/>
      <c r="M671" s="47"/>
      <c r="N671" s="47"/>
      <c r="O671" s="47"/>
      <c r="P671" s="47"/>
      <c r="Q671" s="47"/>
      <c r="R671" s="75">
        <f t="shared" si="10"/>
        <v>0</v>
      </c>
    </row>
    <row r="672" spans="1:18" x14ac:dyDescent="0.35">
      <c r="A672" s="52">
        <v>670</v>
      </c>
      <c r="B672" s="67" t="s">
        <v>1432</v>
      </c>
      <c r="C672" s="53" t="s">
        <v>1433</v>
      </c>
      <c r="D672" s="54" t="s">
        <v>524</v>
      </c>
      <c r="E672" s="9">
        <v>0</v>
      </c>
      <c r="F672" s="47"/>
      <c r="G672" s="47"/>
      <c r="H672" s="47"/>
      <c r="I672" s="74"/>
      <c r="J672" s="47"/>
      <c r="K672" s="47"/>
      <c r="L672" s="47"/>
      <c r="M672" s="47"/>
      <c r="N672" s="47"/>
      <c r="O672" s="47"/>
      <c r="P672" s="47"/>
      <c r="Q672" s="47"/>
      <c r="R672" s="75">
        <f t="shared" si="10"/>
        <v>0</v>
      </c>
    </row>
    <row r="673" spans="1:18" x14ac:dyDescent="0.35">
      <c r="A673" s="52">
        <v>671</v>
      </c>
      <c r="B673" s="67" t="s">
        <v>1434</v>
      </c>
      <c r="C673" s="144" t="s">
        <v>2134</v>
      </c>
      <c r="D673" s="54" t="s">
        <v>136</v>
      </c>
      <c r="E673" s="9">
        <v>1250000</v>
      </c>
      <c r="F673" s="47"/>
      <c r="G673" s="47"/>
      <c r="H673" s="47">
        <v>250000</v>
      </c>
      <c r="I673" s="74"/>
      <c r="J673" s="47"/>
      <c r="K673" s="47"/>
      <c r="L673" s="47"/>
      <c r="M673" s="47"/>
      <c r="N673" s="47"/>
      <c r="O673" s="47"/>
      <c r="P673" s="47"/>
      <c r="Q673" s="47"/>
      <c r="R673" s="75">
        <f t="shared" si="10"/>
        <v>1500000</v>
      </c>
    </row>
    <row r="674" spans="1:18" x14ac:dyDescent="0.35">
      <c r="A674" s="52">
        <v>672</v>
      </c>
      <c r="B674" s="67" t="s">
        <v>1436</v>
      </c>
      <c r="C674" s="53" t="s">
        <v>1437</v>
      </c>
      <c r="D674" s="54" t="s">
        <v>52</v>
      </c>
      <c r="E674" s="9">
        <v>0</v>
      </c>
      <c r="F674" s="47"/>
      <c r="G674" s="47"/>
      <c r="H674" s="47"/>
      <c r="I674" s="74"/>
      <c r="J674" s="47"/>
      <c r="K674" s="47"/>
      <c r="L674" s="47"/>
      <c r="M674" s="47"/>
      <c r="N674" s="47"/>
      <c r="O674" s="47"/>
      <c r="P674" s="47"/>
      <c r="Q674" s="47"/>
      <c r="R674" s="75">
        <f t="shared" si="10"/>
        <v>0</v>
      </c>
    </row>
    <row r="675" spans="1:18" x14ac:dyDescent="0.35">
      <c r="A675" s="52">
        <v>673</v>
      </c>
      <c r="B675" s="67" t="s">
        <v>1438</v>
      </c>
      <c r="C675" s="53" t="s">
        <v>1439</v>
      </c>
      <c r="D675" s="54" t="s">
        <v>303</v>
      </c>
      <c r="E675" s="9">
        <v>0</v>
      </c>
      <c r="F675" s="47"/>
      <c r="G675" s="47"/>
      <c r="H675" s="47"/>
      <c r="I675" s="74"/>
      <c r="J675" s="47"/>
      <c r="K675" s="47"/>
      <c r="L675" s="47"/>
      <c r="M675" s="47"/>
      <c r="N675" s="47"/>
      <c r="O675" s="47"/>
      <c r="P675" s="47"/>
      <c r="Q675" s="47"/>
      <c r="R675" s="75">
        <f t="shared" si="10"/>
        <v>0</v>
      </c>
    </row>
    <row r="676" spans="1:18" x14ac:dyDescent="0.35">
      <c r="A676" s="52">
        <v>674</v>
      </c>
      <c r="B676" s="67" t="s">
        <v>1440</v>
      </c>
      <c r="C676" s="90" t="s">
        <v>2135</v>
      </c>
      <c r="D676" s="54" t="s">
        <v>65</v>
      </c>
      <c r="E676" s="9">
        <v>0</v>
      </c>
      <c r="F676" s="47"/>
      <c r="G676" s="47"/>
      <c r="H676" s="47"/>
      <c r="I676" s="74"/>
      <c r="J676" s="47"/>
      <c r="K676" s="47"/>
      <c r="L676" s="47"/>
      <c r="M676" s="47"/>
      <c r="N676" s="47"/>
      <c r="O676" s="47"/>
      <c r="P676" s="47"/>
      <c r="Q676" s="47"/>
      <c r="R676" s="75">
        <f t="shared" si="10"/>
        <v>0</v>
      </c>
    </row>
    <row r="677" spans="1:18" x14ac:dyDescent="0.35">
      <c r="A677" s="52">
        <v>675</v>
      </c>
      <c r="B677" s="67" t="s">
        <v>1442</v>
      </c>
      <c r="C677" s="101" t="s">
        <v>2136</v>
      </c>
      <c r="D677" s="54" t="s">
        <v>1444</v>
      </c>
      <c r="E677" s="9">
        <v>750000</v>
      </c>
      <c r="F677" s="47"/>
      <c r="G677" s="47"/>
      <c r="H677" s="47"/>
      <c r="I677" s="74"/>
      <c r="J677" s="47"/>
      <c r="K677" s="47"/>
      <c r="L677" s="47"/>
      <c r="M677" s="47"/>
      <c r="N677" s="47"/>
      <c r="O677" s="47"/>
      <c r="P677" s="47"/>
      <c r="Q677" s="47"/>
      <c r="R677" s="75">
        <f t="shared" si="10"/>
        <v>750000</v>
      </c>
    </row>
    <row r="678" spans="1:18" x14ac:dyDescent="0.35">
      <c r="A678" s="52">
        <v>676</v>
      </c>
      <c r="B678" s="67" t="s">
        <v>1445</v>
      </c>
      <c r="C678" s="53" t="s">
        <v>1446</v>
      </c>
      <c r="D678" s="54" t="s">
        <v>136</v>
      </c>
      <c r="E678" s="9">
        <v>0</v>
      </c>
      <c r="F678" s="47"/>
      <c r="G678" s="47"/>
      <c r="H678" s="47"/>
      <c r="I678" s="74"/>
      <c r="J678" s="47"/>
      <c r="K678" s="47"/>
      <c r="L678" s="47"/>
      <c r="M678" s="47"/>
      <c r="N678" s="47"/>
      <c r="O678" s="47"/>
      <c r="P678" s="47"/>
      <c r="Q678" s="47"/>
      <c r="R678" s="75">
        <f t="shared" si="10"/>
        <v>0</v>
      </c>
    </row>
    <row r="679" spans="1:18" x14ac:dyDescent="0.35">
      <c r="A679" s="52">
        <v>677</v>
      </c>
      <c r="B679" s="67" t="s">
        <v>1447</v>
      </c>
      <c r="C679" s="127" t="s">
        <v>2137</v>
      </c>
      <c r="D679" s="54" t="s">
        <v>751</v>
      </c>
      <c r="E679" s="9">
        <v>500000</v>
      </c>
      <c r="F679" s="47"/>
      <c r="G679" s="47"/>
      <c r="H679" s="47"/>
      <c r="I679" s="74"/>
      <c r="J679" s="47"/>
      <c r="K679" s="47"/>
      <c r="L679" s="47"/>
      <c r="M679" s="47"/>
      <c r="N679" s="47"/>
      <c r="O679" s="47"/>
      <c r="P679" s="47"/>
      <c r="Q679" s="47"/>
      <c r="R679" s="75">
        <f t="shared" si="10"/>
        <v>500000</v>
      </c>
    </row>
    <row r="680" spans="1:18" x14ac:dyDescent="0.35">
      <c r="A680" s="52">
        <v>678</v>
      </c>
      <c r="B680" s="67" t="s">
        <v>1449</v>
      </c>
      <c r="C680" s="127" t="s">
        <v>2138</v>
      </c>
      <c r="D680" s="54" t="s">
        <v>751</v>
      </c>
      <c r="E680" s="9">
        <v>0</v>
      </c>
      <c r="F680" s="47"/>
      <c r="G680" s="47"/>
      <c r="H680" s="47"/>
      <c r="I680" s="74"/>
      <c r="J680" s="47"/>
      <c r="K680" s="47"/>
      <c r="L680" s="47"/>
      <c r="M680" s="47"/>
      <c r="N680" s="47"/>
      <c r="O680" s="47"/>
      <c r="P680" s="47"/>
      <c r="Q680" s="47">
        <v>50000</v>
      </c>
      <c r="R680" s="75">
        <f t="shared" si="10"/>
        <v>50000</v>
      </c>
    </row>
    <row r="681" spans="1:18" x14ac:dyDescent="0.35">
      <c r="A681" s="52">
        <v>679</v>
      </c>
      <c r="B681" s="67" t="s">
        <v>1451</v>
      </c>
      <c r="C681" s="53" t="s">
        <v>1452</v>
      </c>
      <c r="D681" s="54" t="s">
        <v>136</v>
      </c>
      <c r="E681" s="9">
        <v>0</v>
      </c>
      <c r="F681" s="47"/>
      <c r="G681" s="47"/>
      <c r="H681" s="47"/>
      <c r="I681" s="74"/>
      <c r="J681" s="47"/>
      <c r="K681" s="47"/>
      <c r="L681" s="47"/>
      <c r="M681" s="47"/>
      <c r="N681" s="47"/>
      <c r="O681" s="47"/>
      <c r="P681" s="47"/>
      <c r="Q681" s="47"/>
      <c r="R681" s="75">
        <f t="shared" si="10"/>
        <v>0</v>
      </c>
    </row>
    <row r="682" spans="1:18" x14ac:dyDescent="0.35">
      <c r="A682" s="52">
        <v>680</v>
      </c>
      <c r="B682" s="67" t="s">
        <v>1453</v>
      </c>
      <c r="C682" s="101" t="s">
        <v>2139</v>
      </c>
      <c r="D682" s="54" t="s">
        <v>321</v>
      </c>
      <c r="E682" s="9">
        <v>0</v>
      </c>
      <c r="F682" s="47"/>
      <c r="G682" s="47"/>
      <c r="H682" s="47"/>
      <c r="I682" s="74"/>
      <c r="J682" s="47"/>
      <c r="K682" s="47"/>
      <c r="L682" s="47"/>
      <c r="M682" s="47"/>
      <c r="N682" s="47"/>
      <c r="O682" s="47"/>
      <c r="P682" s="47"/>
      <c r="Q682" s="47"/>
      <c r="R682" s="75">
        <f t="shared" si="10"/>
        <v>0</v>
      </c>
    </row>
    <row r="683" spans="1:18" x14ac:dyDescent="0.35">
      <c r="A683" s="52">
        <v>681</v>
      </c>
      <c r="B683" s="67" t="s">
        <v>1455</v>
      </c>
      <c r="C683" s="101" t="s">
        <v>2140</v>
      </c>
      <c r="D683" s="54" t="s">
        <v>22</v>
      </c>
      <c r="E683" s="9">
        <v>0</v>
      </c>
      <c r="F683" s="47"/>
      <c r="G683" s="47"/>
      <c r="H683" s="47"/>
      <c r="I683" s="74"/>
      <c r="J683" s="47"/>
      <c r="K683" s="47"/>
      <c r="L683" s="47"/>
      <c r="M683" s="47"/>
      <c r="N683" s="47"/>
      <c r="O683" s="47"/>
      <c r="P683" s="47"/>
      <c r="Q683" s="47"/>
      <c r="R683" s="75">
        <f t="shared" si="10"/>
        <v>0</v>
      </c>
    </row>
    <row r="684" spans="1:18" x14ac:dyDescent="0.35">
      <c r="A684" s="52">
        <v>682</v>
      </c>
      <c r="B684" s="67" t="s">
        <v>1457</v>
      </c>
      <c r="C684" s="101" t="s">
        <v>2141</v>
      </c>
      <c r="D684" s="54" t="s">
        <v>238</v>
      </c>
      <c r="E684" s="9">
        <v>750000</v>
      </c>
      <c r="F684" s="47"/>
      <c r="G684" s="47"/>
      <c r="H684" s="47"/>
      <c r="I684" s="74"/>
      <c r="J684" s="47"/>
      <c r="K684" s="47"/>
      <c r="L684" s="47"/>
      <c r="M684" s="47"/>
      <c r="N684" s="47"/>
      <c r="O684" s="47"/>
      <c r="P684" s="47"/>
      <c r="Q684" s="47"/>
      <c r="R684" s="75">
        <f t="shared" si="10"/>
        <v>750000</v>
      </c>
    </row>
    <row r="685" spans="1:18" x14ac:dyDescent="0.35">
      <c r="A685" s="52">
        <v>683</v>
      </c>
      <c r="B685" s="67" t="s">
        <v>1458</v>
      </c>
      <c r="C685" s="101" t="s">
        <v>2142</v>
      </c>
      <c r="D685" s="54" t="s">
        <v>303</v>
      </c>
      <c r="E685" s="9">
        <v>0</v>
      </c>
      <c r="F685" s="47"/>
      <c r="G685" s="47"/>
      <c r="H685" s="47"/>
      <c r="I685" s="74"/>
      <c r="J685" s="47"/>
      <c r="K685" s="47"/>
      <c r="L685" s="47"/>
      <c r="M685" s="47"/>
      <c r="N685" s="47"/>
      <c r="O685" s="47"/>
      <c r="P685" s="47"/>
      <c r="Q685" s="47"/>
      <c r="R685" s="75">
        <f t="shared" si="10"/>
        <v>0</v>
      </c>
    </row>
    <row r="686" spans="1:18" x14ac:dyDescent="0.35">
      <c r="A686" s="52">
        <v>684</v>
      </c>
      <c r="B686" s="67" t="s">
        <v>1460</v>
      </c>
      <c r="C686" s="101" t="s">
        <v>2143</v>
      </c>
      <c r="D686" s="54" t="s">
        <v>80</v>
      </c>
      <c r="E686" s="9">
        <v>0</v>
      </c>
      <c r="F686" s="47"/>
      <c r="G686" s="47"/>
      <c r="H686" s="47"/>
      <c r="I686" s="74"/>
      <c r="J686" s="47"/>
      <c r="K686" s="47"/>
      <c r="L686" s="47"/>
      <c r="M686" s="47"/>
      <c r="N686" s="47"/>
      <c r="O686" s="47"/>
      <c r="P686" s="47"/>
      <c r="Q686" s="47"/>
      <c r="R686" s="75">
        <f t="shared" si="10"/>
        <v>0</v>
      </c>
    </row>
    <row r="687" spans="1:18" x14ac:dyDescent="0.35">
      <c r="A687" s="52">
        <v>685</v>
      </c>
      <c r="B687" s="67" t="s">
        <v>1462</v>
      </c>
      <c r="C687" s="7" t="s">
        <v>1463</v>
      </c>
      <c r="D687" s="54" t="s">
        <v>80</v>
      </c>
      <c r="E687" s="9">
        <v>0</v>
      </c>
      <c r="F687" s="47"/>
      <c r="G687" s="47"/>
      <c r="H687" s="47"/>
      <c r="I687" s="74"/>
      <c r="J687" s="47"/>
      <c r="K687" s="47"/>
      <c r="L687" s="47"/>
      <c r="M687" s="47"/>
      <c r="N687" s="47"/>
      <c r="O687" s="47"/>
      <c r="P687" s="47"/>
      <c r="Q687" s="47"/>
      <c r="R687" s="75">
        <f t="shared" si="10"/>
        <v>0</v>
      </c>
    </row>
    <row r="688" spans="1:18" x14ac:dyDescent="0.35">
      <c r="A688" s="52">
        <v>686</v>
      </c>
      <c r="B688" s="67" t="s">
        <v>1464</v>
      </c>
      <c r="C688" s="90" t="s">
        <v>1848</v>
      </c>
      <c r="D688" s="54" t="s">
        <v>80</v>
      </c>
      <c r="E688" s="9">
        <v>0</v>
      </c>
      <c r="F688" s="47"/>
      <c r="G688" s="47"/>
      <c r="H688" s="47"/>
      <c r="I688" s="74"/>
      <c r="J688" s="47"/>
      <c r="K688" s="47"/>
      <c r="L688" s="47"/>
      <c r="M688" s="47"/>
      <c r="N688" s="47"/>
      <c r="O688" s="47"/>
      <c r="P688" s="47"/>
      <c r="Q688" s="47"/>
      <c r="R688" s="75">
        <f t="shared" si="10"/>
        <v>0</v>
      </c>
    </row>
    <row r="689" spans="1:18" x14ac:dyDescent="0.35">
      <c r="A689" s="52">
        <v>687</v>
      </c>
      <c r="B689" s="67" t="s">
        <v>1466</v>
      </c>
      <c r="C689" s="101" t="s">
        <v>2144</v>
      </c>
      <c r="D689" s="54" t="s">
        <v>238</v>
      </c>
      <c r="E689" s="9">
        <v>0</v>
      </c>
      <c r="F689" s="47"/>
      <c r="G689" s="47"/>
      <c r="H689" s="47"/>
      <c r="I689" s="74"/>
      <c r="J689" s="47"/>
      <c r="K689" s="47"/>
      <c r="L689" s="47"/>
      <c r="M689" s="47">
        <v>25000</v>
      </c>
      <c r="N689" s="47">
        <v>25000</v>
      </c>
      <c r="O689" s="47"/>
      <c r="P689" s="47">
        <v>50000</v>
      </c>
      <c r="Q689" s="47">
        <v>50000</v>
      </c>
      <c r="R689" s="75">
        <f t="shared" si="10"/>
        <v>150000</v>
      </c>
    </row>
    <row r="690" spans="1:18" x14ac:dyDescent="0.35">
      <c r="A690" s="52">
        <v>688</v>
      </c>
      <c r="B690" s="67" t="s">
        <v>1468</v>
      </c>
      <c r="C690" s="101" t="s">
        <v>2145</v>
      </c>
      <c r="D690" s="54" t="s">
        <v>119</v>
      </c>
      <c r="E690" s="9">
        <v>0</v>
      </c>
      <c r="F690" s="47"/>
      <c r="G690" s="47"/>
      <c r="H690" s="47"/>
      <c r="I690" s="74"/>
      <c r="J690" s="47"/>
      <c r="K690" s="47"/>
      <c r="L690" s="47"/>
      <c r="M690" s="47"/>
      <c r="N690" s="47"/>
      <c r="O690" s="47"/>
      <c r="P690" s="47"/>
      <c r="Q690" s="47"/>
      <c r="R690" s="75">
        <f t="shared" si="10"/>
        <v>0</v>
      </c>
    </row>
    <row r="691" spans="1:18" x14ac:dyDescent="0.35">
      <c r="A691" s="52">
        <v>689</v>
      </c>
      <c r="B691" s="67" t="s">
        <v>1470</v>
      </c>
      <c r="C691" s="101" t="s">
        <v>1760</v>
      </c>
      <c r="D691" s="54" t="s">
        <v>318</v>
      </c>
      <c r="E691" s="9">
        <v>0</v>
      </c>
      <c r="F691" s="47"/>
      <c r="G691" s="47"/>
      <c r="H691" s="47"/>
      <c r="I691" s="74"/>
      <c r="J691" s="47"/>
      <c r="K691" s="47"/>
      <c r="L691" s="47"/>
      <c r="M691" s="47"/>
      <c r="N691" s="47"/>
      <c r="O691" s="47"/>
      <c r="P691" s="47"/>
      <c r="Q691" s="47"/>
      <c r="R691" s="75">
        <f t="shared" si="10"/>
        <v>0</v>
      </c>
    </row>
    <row r="692" spans="1:18" x14ac:dyDescent="0.35">
      <c r="A692" s="52">
        <v>690</v>
      </c>
      <c r="B692" s="67" t="s">
        <v>1472</v>
      </c>
      <c r="C692" s="7" t="s">
        <v>1630</v>
      </c>
      <c r="D692" s="54" t="s">
        <v>551</v>
      </c>
      <c r="E692" s="9">
        <v>0</v>
      </c>
      <c r="F692" s="47"/>
      <c r="G692" s="47"/>
      <c r="H692" s="47"/>
      <c r="I692" s="74"/>
      <c r="J692" s="47"/>
      <c r="K692" s="47"/>
      <c r="L692" s="47"/>
      <c r="M692" s="47"/>
      <c r="N692" s="47"/>
      <c r="O692" s="47"/>
      <c r="P692" s="47"/>
      <c r="Q692" s="47"/>
      <c r="R692" s="75">
        <f t="shared" si="10"/>
        <v>0</v>
      </c>
    </row>
    <row r="693" spans="1:18" x14ac:dyDescent="0.35">
      <c r="A693" s="52">
        <v>691</v>
      </c>
      <c r="B693" s="67" t="s">
        <v>1474</v>
      </c>
      <c r="C693" s="101" t="s">
        <v>1751</v>
      </c>
      <c r="D693" s="54" t="s">
        <v>1444</v>
      </c>
      <c r="E693" s="9">
        <v>0</v>
      </c>
      <c r="F693" s="47"/>
      <c r="G693" s="47"/>
      <c r="H693" s="47"/>
      <c r="I693" s="74"/>
      <c r="J693" s="47"/>
      <c r="K693" s="47"/>
      <c r="L693" s="47"/>
      <c r="M693" s="47"/>
      <c r="N693" s="47"/>
      <c r="O693" s="47"/>
      <c r="P693" s="47"/>
      <c r="Q693" s="47"/>
      <c r="R693" s="75">
        <f t="shared" si="10"/>
        <v>0</v>
      </c>
    </row>
    <row r="694" spans="1:18" x14ac:dyDescent="0.35">
      <c r="A694" s="52">
        <v>692</v>
      </c>
      <c r="B694" s="67" t="s">
        <v>1476</v>
      </c>
      <c r="C694" s="101" t="s">
        <v>2146</v>
      </c>
      <c r="D694" s="54" t="s">
        <v>1478</v>
      </c>
      <c r="E694" s="9">
        <v>500000</v>
      </c>
      <c r="F694" s="47"/>
      <c r="G694" s="47"/>
      <c r="H694" s="47"/>
      <c r="I694" s="74"/>
      <c r="J694" s="47"/>
      <c r="K694" s="47"/>
      <c r="L694" s="47"/>
      <c r="M694" s="47"/>
      <c r="N694" s="47"/>
      <c r="O694" s="47"/>
      <c r="P694" s="47"/>
      <c r="Q694" s="47"/>
      <c r="R694" s="75">
        <f t="shared" si="10"/>
        <v>500000</v>
      </c>
    </row>
    <row r="695" spans="1:18" x14ac:dyDescent="0.35">
      <c r="A695" s="52">
        <v>693</v>
      </c>
      <c r="B695" s="67" t="s">
        <v>1479</v>
      </c>
      <c r="C695" s="90" t="s">
        <v>2147</v>
      </c>
      <c r="D695" s="54" t="s">
        <v>116</v>
      </c>
      <c r="E695" s="9">
        <v>0</v>
      </c>
      <c r="F695" s="47"/>
      <c r="G695" s="47"/>
      <c r="H695" s="47"/>
      <c r="I695" s="74"/>
      <c r="J695" s="47"/>
      <c r="K695" s="47"/>
      <c r="L695" s="47"/>
      <c r="M695" s="47"/>
      <c r="N695" s="47"/>
      <c r="O695" s="47"/>
      <c r="P695" s="47"/>
      <c r="Q695" s="47"/>
      <c r="R695" s="75">
        <f t="shared" si="10"/>
        <v>0</v>
      </c>
    </row>
    <row r="696" spans="1:18" x14ac:dyDescent="0.35">
      <c r="A696" s="52">
        <v>694</v>
      </c>
      <c r="B696" s="67" t="s">
        <v>1481</v>
      </c>
      <c r="C696" s="90" t="s">
        <v>2148</v>
      </c>
      <c r="D696" s="54" t="s">
        <v>131</v>
      </c>
      <c r="E696" s="9">
        <v>0</v>
      </c>
      <c r="F696" s="47"/>
      <c r="G696" s="47"/>
      <c r="H696" s="47"/>
      <c r="I696" s="74"/>
      <c r="J696" s="47"/>
      <c r="K696" s="47"/>
      <c r="L696" s="47"/>
      <c r="M696" s="47"/>
      <c r="N696" s="47"/>
      <c r="O696" s="47"/>
      <c r="P696" s="47"/>
      <c r="Q696" s="47"/>
      <c r="R696" s="75">
        <f t="shared" si="10"/>
        <v>0</v>
      </c>
    </row>
    <row r="697" spans="1:18" x14ac:dyDescent="0.35">
      <c r="A697" s="52">
        <v>695</v>
      </c>
      <c r="B697" s="67" t="s">
        <v>1483</v>
      </c>
      <c r="C697" s="101" t="s">
        <v>2149</v>
      </c>
      <c r="D697" s="54" t="s">
        <v>22</v>
      </c>
      <c r="E697" s="9">
        <v>0</v>
      </c>
      <c r="F697" s="47"/>
      <c r="G697" s="47"/>
      <c r="H697" s="47"/>
      <c r="I697" s="74"/>
      <c r="J697" s="47"/>
      <c r="K697" s="47"/>
      <c r="L697" s="47"/>
      <c r="M697" s="47"/>
      <c r="N697" s="47"/>
      <c r="O697" s="47"/>
      <c r="P697" s="47"/>
      <c r="Q697" s="47"/>
      <c r="R697" s="75">
        <f t="shared" si="10"/>
        <v>0</v>
      </c>
    </row>
    <row r="698" spans="1:18" x14ac:dyDescent="0.35">
      <c r="A698" s="52">
        <v>696</v>
      </c>
      <c r="B698" s="67" t="s">
        <v>1485</v>
      </c>
      <c r="C698" s="101" t="s">
        <v>2150</v>
      </c>
      <c r="D698" s="54" t="s">
        <v>119</v>
      </c>
      <c r="E698" s="9">
        <v>500000</v>
      </c>
      <c r="F698" s="47"/>
      <c r="G698" s="47"/>
      <c r="H698" s="47">
        <v>250000</v>
      </c>
      <c r="I698" s="74"/>
      <c r="J698" s="47"/>
      <c r="K698" s="47"/>
      <c r="L698" s="47"/>
      <c r="M698" s="47"/>
      <c r="N698" s="47"/>
      <c r="O698" s="47"/>
      <c r="P698" s="47"/>
      <c r="Q698" s="47"/>
      <c r="R698" s="75">
        <f t="shared" si="10"/>
        <v>750000</v>
      </c>
    </row>
    <row r="699" spans="1:18" x14ac:dyDescent="0.35">
      <c r="A699" s="52">
        <v>697</v>
      </c>
      <c r="B699" s="67" t="s">
        <v>1487</v>
      </c>
      <c r="C699" s="21" t="s">
        <v>2151</v>
      </c>
      <c r="D699" s="54" t="s">
        <v>136</v>
      </c>
      <c r="E699" s="9">
        <v>400000</v>
      </c>
      <c r="F699" s="47"/>
      <c r="G699" s="47"/>
      <c r="H699" s="47">
        <v>100000</v>
      </c>
      <c r="I699" s="74"/>
      <c r="J699" s="47"/>
      <c r="K699" s="47"/>
      <c r="L699" s="47"/>
      <c r="M699" s="47"/>
      <c r="N699" s="47"/>
      <c r="O699" s="47"/>
      <c r="P699" s="47"/>
      <c r="Q699" s="47"/>
      <c r="R699" s="75">
        <f t="shared" si="10"/>
        <v>500000</v>
      </c>
    </row>
    <row r="700" spans="1:18" x14ac:dyDescent="0.35">
      <c r="A700" s="52">
        <v>698</v>
      </c>
      <c r="B700" s="67" t="s">
        <v>1489</v>
      </c>
      <c r="C700" s="53" t="s">
        <v>1490</v>
      </c>
      <c r="D700" s="54"/>
      <c r="E700" s="9">
        <v>0</v>
      </c>
      <c r="F700" s="47"/>
      <c r="G700" s="47"/>
      <c r="H700" s="47"/>
      <c r="I700" s="74"/>
      <c r="J700" s="47"/>
      <c r="K700" s="47"/>
      <c r="L700" s="47"/>
      <c r="M700" s="47"/>
      <c r="N700" s="47"/>
      <c r="O700" s="47"/>
      <c r="P700" s="47"/>
      <c r="Q700" s="47"/>
      <c r="R700" s="75">
        <f t="shared" si="10"/>
        <v>0</v>
      </c>
    </row>
    <row r="701" spans="1:18" x14ac:dyDescent="0.35">
      <c r="A701" s="52">
        <v>699</v>
      </c>
      <c r="B701" s="67" t="s">
        <v>1491</v>
      </c>
      <c r="C701" s="53" t="s">
        <v>1492</v>
      </c>
      <c r="D701" s="54"/>
      <c r="E701" s="9">
        <v>225000</v>
      </c>
      <c r="F701" s="47"/>
      <c r="G701" s="47"/>
      <c r="H701" s="47"/>
      <c r="I701" s="74"/>
      <c r="J701" s="47"/>
      <c r="K701" s="47"/>
      <c r="L701" s="47"/>
      <c r="M701" s="47"/>
      <c r="N701" s="47"/>
      <c r="O701" s="47"/>
      <c r="P701" s="47"/>
      <c r="Q701" s="47"/>
      <c r="R701" s="75">
        <f t="shared" si="10"/>
        <v>225000</v>
      </c>
    </row>
    <row r="702" spans="1:18" x14ac:dyDescent="0.35">
      <c r="A702" s="52">
        <v>700</v>
      </c>
      <c r="B702" s="67" t="s">
        <v>1493</v>
      </c>
      <c r="C702" s="53" t="s">
        <v>1494</v>
      </c>
      <c r="D702" s="54"/>
      <c r="E702" s="9">
        <v>0</v>
      </c>
      <c r="F702" s="47"/>
      <c r="G702" s="47"/>
      <c r="H702" s="47"/>
      <c r="I702" s="74"/>
      <c r="J702" s="47"/>
      <c r="K702" s="47"/>
      <c r="L702" s="47"/>
      <c r="M702" s="47"/>
      <c r="N702" s="47"/>
      <c r="O702" s="47"/>
      <c r="P702" s="47"/>
      <c r="Q702" s="47"/>
      <c r="R702" s="75">
        <f t="shared" si="10"/>
        <v>0</v>
      </c>
    </row>
    <row r="703" spans="1:18" x14ac:dyDescent="0.35">
      <c r="A703" s="52">
        <v>701</v>
      </c>
      <c r="B703" s="67" t="s">
        <v>1495</v>
      </c>
      <c r="C703" s="53" t="s">
        <v>1496</v>
      </c>
      <c r="D703" s="54"/>
      <c r="E703" s="9">
        <v>0</v>
      </c>
      <c r="F703" s="47"/>
      <c r="G703" s="47"/>
      <c r="H703" s="47"/>
      <c r="I703" s="74"/>
      <c r="J703" s="47"/>
      <c r="K703" s="47"/>
      <c r="L703" s="47"/>
      <c r="M703" s="47"/>
      <c r="N703" s="47"/>
      <c r="O703" s="47"/>
      <c r="P703" s="47"/>
      <c r="Q703" s="47"/>
      <c r="R703" s="75">
        <f t="shared" si="10"/>
        <v>0</v>
      </c>
    </row>
    <row r="704" spans="1:18" x14ac:dyDescent="0.35">
      <c r="A704" s="52">
        <v>702</v>
      </c>
      <c r="B704" s="67" t="s">
        <v>1497</v>
      </c>
      <c r="C704" s="53" t="s">
        <v>1498</v>
      </c>
      <c r="D704" s="54"/>
      <c r="E704" s="9">
        <v>0</v>
      </c>
      <c r="F704" s="47"/>
      <c r="G704" s="47"/>
      <c r="H704" s="47"/>
      <c r="I704" s="74"/>
      <c r="J704" s="47"/>
      <c r="K704" s="47"/>
      <c r="L704" s="47"/>
      <c r="M704" s="47"/>
      <c r="N704" s="47"/>
      <c r="O704" s="47"/>
      <c r="P704" s="47"/>
      <c r="Q704" s="47"/>
      <c r="R704" s="75">
        <f t="shared" si="10"/>
        <v>0</v>
      </c>
    </row>
    <row r="705" spans="1:18" x14ac:dyDescent="0.35">
      <c r="A705" s="52">
        <v>703</v>
      </c>
      <c r="B705" s="67" t="s">
        <v>1499</v>
      </c>
      <c r="C705" s="53" t="s">
        <v>1500</v>
      </c>
      <c r="D705" s="54"/>
      <c r="E705" s="9">
        <v>0</v>
      </c>
      <c r="F705" s="47"/>
      <c r="G705" s="47"/>
      <c r="H705" s="47"/>
      <c r="I705" s="74"/>
      <c r="J705" s="47"/>
      <c r="K705" s="47"/>
      <c r="L705" s="47"/>
      <c r="M705" s="47"/>
      <c r="N705" s="47"/>
      <c r="O705" s="47"/>
      <c r="P705" s="47"/>
      <c r="Q705" s="47"/>
      <c r="R705" s="75">
        <f t="shared" si="10"/>
        <v>0</v>
      </c>
    </row>
    <row r="706" spans="1:18" x14ac:dyDescent="0.35">
      <c r="A706" s="52">
        <v>704</v>
      </c>
      <c r="B706" s="67" t="s">
        <v>1501</v>
      </c>
      <c r="C706" s="21" t="s">
        <v>2152</v>
      </c>
      <c r="D706" s="54" t="s">
        <v>136</v>
      </c>
      <c r="E706" s="9">
        <v>270000</v>
      </c>
      <c r="F706" s="47"/>
      <c r="G706" s="47"/>
      <c r="H706" s="47">
        <v>75000</v>
      </c>
      <c r="I706" s="74"/>
      <c r="J706" s="47"/>
      <c r="K706" s="47"/>
      <c r="L706" s="47"/>
      <c r="M706" s="47"/>
      <c r="N706" s="47"/>
      <c r="O706" s="47"/>
      <c r="P706" s="47">
        <v>85000</v>
      </c>
      <c r="Q706" s="47"/>
      <c r="R706" s="75">
        <f t="shared" si="10"/>
        <v>430000</v>
      </c>
    </row>
    <row r="707" spans="1:18" x14ac:dyDescent="0.35">
      <c r="A707" s="52">
        <v>705</v>
      </c>
      <c r="B707" s="67" t="s">
        <v>1503</v>
      </c>
      <c r="C707" s="7" t="s">
        <v>1504</v>
      </c>
      <c r="D707" s="54" t="s">
        <v>14</v>
      </c>
      <c r="E707" s="9">
        <v>0</v>
      </c>
      <c r="F707" s="47"/>
      <c r="G707" s="47"/>
      <c r="H707" s="47"/>
      <c r="I707" s="74"/>
      <c r="J707" s="47"/>
      <c r="K707" s="47"/>
      <c r="L707" s="47"/>
      <c r="M707" s="47"/>
      <c r="N707" s="47"/>
      <c r="O707" s="47"/>
      <c r="P707" s="47"/>
      <c r="Q707" s="47"/>
      <c r="R707" s="75">
        <f t="shared" si="10"/>
        <v>0</v>
      </c>
    </row>
    <row r="708" spans="1:18" x14ac:dyDescent="0.35">
      <c r="A708" s="52">
        <v>706</v>
      </c>
      <c r="B708" s="67" t="s">
        <v>1505</v>
      </c>
      <c r="C708" s="127" t="s">
        <v>2153</v>
      </c>
      <c r="D708" s="54" t="s">
        <v>751</v>
      </c>
      <c r="E708" s="9">
        <v>350000</v>
      </c>
      <c r="F708" s="47"/>
      <c r="G708" s="47"/>
      <c r="H708" s="47"/>
      <c r="I708" s="74"/>
      <c r="J708" s="47"/>
      <c r="K708" s="47"/>
      <c r="L708" s="47"/>
      <c r="M708" s="47"/>
      <c r="N708" s="47"/>
      <c r="O708" s="47"/>
      <c r="P708" s="47"/>
      <c r="Q708" s="47"/>
      <c r="R708" s="75">
        <f t="shared" ref="R708:R756" si="11">E708+F708+G708+H708+I708+J708+K708+L708+M708+N708+O708+P708+Q708</f>
        <v>350000</v>
      </c>
    </row>
    <row r="709" spans="1:18" x14ac:dyDescent="0.35">
      <c r="A709" s="52">
        <v>707</v>
      </c>
      <c r="B709" s="67" t="s">
        <v>1507</v>
      </c>
      <c r="C709" s="53" t="s">
        <v>1508</v>
      </c>
      <c r="D709" s="54"/>
      <c r="E709" s="9">
        <v>0</v>
      </c>
      <c r="F709" s="47"/>
      <c r="G709" s="47"/>
      <c r="H709" s="47"/>
      <c r="I709" s="74"/>
      <c r="J709" s="47"/>
      <c r="K709" s="47"/>
      <c r="L709" s="47"/>
      <c r="M709" s="47"/>
      <c r="N709" s="47"/>
      <c r="O709" s="47"/>
      <c r="P709" s="47"/>
      <c r="Q709" s="47"/>
      <c r="R709" s="75">
        <f t="shared" si="11"/>
        <v>0</v>
      </c>
    </row>
    <row r="710" spans="1:18" x14ac:dyDescent="0.35">
      <c r="A710" s="52">
        <v>708</v>
      </c>
      <c r="B710" s="67" t="s">
        <v>1509</v>
      </c>
      <c r="C710" s="144" t="s">
        <v>1861</v>
      </c>
      <c r="D710" s="54" t="s">
        <v>374</v>
      </c>
      <c r="E710" s="9">
        <v>0</v>
      </c>
      <c r="F710" s="47"/>
      <c r="G710" s="47"/>
      <c r="H710" s="47"/>
      <c r="I710" s="74"/>
      <c r="J710" s="47"/>
      <c r="K710" s="47"/>
      <c r="L710" s="47"/>
      <c r="M710" s="47"/>
      <c r="N710" s="47"/>
      <c r="O710" s="47"/>
      <c r="P710" s="47"/>
      <c r="Q710" s="47"/>
      <c r="R710" s="75">
        <f t="shared" si="11"/>
        <v>0</v>
      </c>
    </row>
    <row r="711" spans="1:18" x14ac:dyDescent="0.35">
      <c r="A711" s="52">
        <v>709</v>
      </c>
      <c r="B711" s="67" t="s">
        <v>1511</v>
      </c>
      <c r="C711" s="144" t="s">
        <v>2154</v>
      </c>
      <c r="D711" s="54" t="s">
        <v>215</v>
      </c>
      <c r="E711" s="9">
        <v>0</v>
      </c>
      <c r="F711" s="47"/>
      <c r="G711" s="47"/>
      <c r="H711" s="47"/>
      <c r="I711" s="74"/>
      <c r="J711" s="47"/>
      <c r="K711" s="47"/>
      <c r="L711" s="47"/>
      <c r="M711" s="47"/>
      <c r="N711" s="47"/>
      <c r="O711" s="47"/>
      <c r="P711" s="47"/>
      <c r="Q711" s="47"/>
      <c r="R711" s="75">
        <f t="shared" si="11"/>
        <v>0</v>
      </c>
    </row>
    <row r="712" spans="1:18" x14ac:dyDescent="0.35">
      <c r="A712" s="52">
        <v>710</v>
      </c>
      <c r="B712" s="67" t="s">
        <v>1513</v>
      </c>
      <c r="C712" s="21" t="s">
        <v>2155</v>
      </c>
      <c r="D712" s="54" t="s">
        <v>136</v>
      </c>
      <c r="E712" s="9">
        <v>100000</v>
      </c>
      <c r="F712" s="47"/>
      <c r="G712" s="47"/>
      <c r="H712" s="47">
        <v>100000</v>
      </c>
      <c r="I712" s="74"/>
      <c r="J712" s="47"/>
      <c r="K712" s="47"/>
      <c r="L712" s="47"/>
      <c r="M712" s="47"/>
      <c r="N712" s="47"/>
      <c r="O712" s="47"/>
      <c r="P712" s="47"/>
      <c r="Q712" s="47"/>
      <c r="R712" s="75">
        <f t="shared" si="11"/>
        <v>200000</v>
      </c>
    </row>
    <row r="713" spans="1:18" x14ac:dyDescent="0.35">
      <c r="A713" s="52">
        <v>711</v>
      </c>
      <c r="B713" s="67" t="s">
        <v>1515</v>
      </c>
      <c r="C713" s="21" t="s">
        <v>2156</v>
      </c>
      <c r="D713" s="54" t="s">
        <v>136</v>
      </c>
      <c r="E713" s="9">
        <v>300000</v>
      </c>
      <c r="F713" s="47"/>
      <c r="G713" s="47"/>
      <c r="H713" s="47">
        <v>100000</v>
      </c>
      <c r="I713" s="74"/>
      <c r="J713" s="47"/>
      <c r="K713" s="47"/>
      <c r="L713" s="47"/>
      <c r="M713" s="47"/>
      <c r="N713" s="47"/>
      <c r="O713" s="47"/>
      <c r="P713" s="47"/>
      <c r="Q713" s="47"/>
      <c r="R713" s="75">
        <f t="shared" si="11"/>
        <v>400000</v>
      </c>
    </row>
    <row r="714" spans="1:18" x14ac:dyDescent="0.35">
      <c r="A714" s="52">
        <v>712</v>
      </c>
      <c r="B714" s="67" t="s">
        <v>1517</v>
      </c>
      <c r="C714" s="53" t="s">
        <v>1518</v>
      </c>
      <c r="D714" s="54" t="s">
        <v>136</v>
      </c>
      <c r="E714" s="9">
        <v>500000</v>
      </c>
      <c r="F714" s="47"/>
      <c r="G714" s="47"/>
      <c r="H714" s="47"/>
      <c r="I714" s="74"/>
      <c r="J714" s="47"/>
      <c r="K714" s="47"/>
      <c r="L714" s="47"/>
      <c r="M714" s="47"/>
      <c r="N714" s="47"/>
      <c r="O714" s="47"/>
      <c r="P714" s="47"/>
      <c r="Q714" s="47"/>
      <c r="R714" s="75">
        <f t="shared" si="11"/>
        <v>500000</v>
      </c>
    </row>
    <row r="715" spans="1:18" x14ac:dyDescent="0.35">
      <c r="A715" s="52">
        <v>713</v>
      </c>
      <c r="B715" s="67" t="s">
        <v>1519</v>
      </c>
      <c r="C715" s="90" t="s">
        <v>2157</v>
      </c>
      <c r="D715" s="54" t="s">
        <v>303</v>
      </c>
      <c r="E715" s="9">
        <v>0</v>
      </c>
      <c r="F715" s="47"/>
      <c r="G715" s="47"/>
      <c r="H715" s="47"/>
      <c r="I715" s="74"/>
      <c r="J715" s="47"/>
      <c r="K715" s="47"/>
      <c r="L715" s="47"/>
      <c r="M715" s="47"/>
      <c r="N715" s="47"/>
      <c r="O715" s="47"/>
      <c r="P715" s="47"/>
      <c r="Q715" s="47"/>
      <c r="R715" s="75">
        <f t="shared" si="11"/>
        <v>0</v>
      </c>
    </row>
    <row r="716" spans="1:18" x14ac:dyDescent="0.35">
      <c r="A716" s="52">
        <v>714</v>
      </c>
      <c r="B716" s="67" t="s">
        <v>1521</v>
      </c>
      <c r="C716" s="7" t="s">
        <v>1794</v>
      </c>
      <c r="D716" s="54" t="s">
        <v>524</v>
      </c>
      <c r="E716" s="9">
        <v>0</v>
      </c>
      <c r="F716" s="47"/>
      <c r="G716" s="47"/>
      <c r="H716" s="47"/>
      <c r="I716" s="74"/>
      <c r="J716" s="47"/>
      <c r="K716" s="47"/>
      <c r="L716" s="47"/>
      <c r="M716" s="47"/>
      <c r="N716" s="47"/>
      <c r="O716" s="47"/>
      <c r="P716" s="47"/>
      <c r="Q716" s="47"/>
      <c r="R716" s="75">
        <f t="shared" si="11"/>
        <v>0</v>
      </c>
    </row>
    <row r="717" spans="1:18" x14ac:dyDescent="0.35">
      <c r="A717" s="52">
        <v>715</v>
      </c>
      <c r="B717" s="67" t="s">
        <v>1523</v>
      </c>
      <c r="C717" s="53" t="s">
        <v>1524</v>
      </c>
      <c r="D717" s="54" t="s">
        <v>215</v>
      </c>
      <c r="E717" s="9">
        <v>0</v>
      </c>
      <c r="F717" s="47"/>
      <c r="G717" s="47"/>
      <c r="H717" s="47"/>
      <c r="I717" s="74"/>
      <c r="J717" s="47"/>
      <c r="K717" s="47"/>
      <c r="L717" s="47"/>
      <c r="M717" s="47"/>
      <c r="N717" s="47"/>
      <c r="O717" s="47"/>
      <c r="P717" s="47"/>
      <c r="Q717" s="47"/>
      <c r="R717" s="75">
        <f t="shared" si="11"/>
        <v>0</v>
      </c>
    </row>
    <row r="718" spans="1:18" x14ac:dyDescent="0.35">
      <c r="A718" s="52">
        <v>716</v>
      </c>
      <c r="B718" s="67" t="s">
        <v>1525</v>
      </c>
      <c r="C718" s="101" t="s">
        <v>2158</v>
      </c>
      <c r="D718" s="54" t="s">
        <v>290</v>
      </c>
      <c r="E718" s="9">
        <v>0</v>
      </c>
      <c r="F718" s="47"/>
      <c r="G718" s="47"/>
      <c r="H718" s="47"/>
      <c r="I718" s="74"/>
      <c r="J718" s="47"/>
      <c r="K718" s="47"/>
      <c r="L718" s="47"/>
      <c r="M718" s="47"/>
      <c r="N718" s="47"/>
      <c r="O718" s="47"/>
      <c r="P718" s="47"/>
      <c r="Q718" s="47"/>
      <c r="R718" s="75">
        <f t="shared" si="11"/>
        <v>0</v>
      </c>
    </row>
    <row r="719" spans="1:18" x14ac:dyDescent="0.35">
      <c r="A719" s="52">
        <v>717</v>
      </c>
      <c r="B719" s="67" t="s">
        <v>1527</v>
      </c>
      <c r="C719" s="144" t="s">
        <v>1964</v>
      </c>
      <c r="D719" s="54" t="s">
        <v>128</v>
      </c>
      <c r="E719" s="9">
        <v>0</v>
      </c>
      <c r="F719" s="47"/>
      <c r="G719" s="47"/>
      <c r="H719" s="47"/>
      <c r="I719" s="74"/>
      <c r="J719" s="47"/>
      <c r="K719" s="47"/>
      <c r="L719" s="47"/>
      <c r="M719" s="47"/>
      <c r="N719" s="47"/>
      <c r="O719" s="47"/>
      <c r="P719" s="47"/>
      <c r="Q719" s="47"/>
      <c r="R719" s="75">
        <f t="shared" si="11"/>
        <v>0</v>
      </c>
    </row>
    <row r="720" spans="1:18" x14ac:dyDescent="0.35">
      <c r="A720" s="52">
        <v>724</v>
      </c>
      <c r="B720" s="67" t="s">
        <v>1529</v>
      </c>
      <c r="C720" s="7" t="s">
        <v>1915</v>
      </c>
      <c r="D720" s="54" t="s">
        <v>524</v>
      </c>
      <c r="E720" s="9">
        <v>0</v>
      </c>
      <c r="F720" s="47"/>
      <c r="G720" s="47"/>
      <c r="H720" s="47"/>
      <c r="I720" s="74"/>
      <c r="J720" s="47"/>
      <c r="K720" s="47"/>
      <c r="L720" s="47"/>
      <c r="M720" s="47"/>
      <c r="N720" s="47"/>
      <c r="O720" s="47"/>
      <c r="P720" s="47"/>
      <c r="Q720" s="47"/>
      <c r="R720" s="75">
        <f t="shared" si="11"/>
        <v>0</v>
      </c>
    </row>
    <row r="721" spans="1:18" x14ac:dyDescent="0.35">
      <c r="A721" s="52">
        <v>725</v>
      </c>
      <c r="B721" s="67" t="s">
        <v>1531</v>
      </c>
      <c r="C721" s="53" t="s">
        <v>1532</v>
      </c>
      <c r="D721" s="54" t="s">
        <v>524</v>
      </c>
      <c r="E721" s="9">
        <v>0</v>
      </c>
      <c r="F721" s="47"/>
      <c r="G721" s="47"/>
      <c r="H721" s="47"/>
      <c r="I721" s="74"/>
      <c r="J721" s="47"/>
      <c r="K721" s="47"/>
      <c r="L721" s="47"/>
      <c r="M721" s="47"/>
      <c r="N721" s="47"/>
      <c r="O721" s="47"/>
      <c r="P721" s="47"/>
      <c r="Q721" s="47"/>
      <c r="R721" s="75">
        <f t="shared" si="11"/>
        <v>0</v>
      </c>
    </row>
    <row r="722" spans="1:18" x14ac:dyDescent="0.35">
      <c r="A722" s="52">
        <v>726</v>
      </c>
      <c r="B722" s="67" t="s">
        <v>1533</v>
      </c>
      <c r="C722" s="53" t="s">
        <v>1534</v>
      </c>
      <c r="D722" s="54" t="s">
        <v>751</v>
      </c>
      <c r="E722" s="9">
        <v>0</v>
      </c>
      <c r="F722" s="47"/>
      <c r="G722" s="47"/>
      <c r="H722" s="47"/>
      <c r="I722" s="74"/>
      <c r="J722" s="47"/>
      <c r="K722" s="47"/>
      <c r="L722" s="47"/>
      <c r="M722" s="47"/>
      <c r="N722" s="47"/>
      <c r="O722" s="47"/>
      <c r="P722" s="47"/>
      <c r="Q722" s="47"/>
      <c r="R722" s="75">
        <f t="shared" si="11"/>
        <v>0</v>
      </c>
    </row>
    <row r="723" spans="1:18" x14ac:dyDescent="0.35">
      <c r="A723" s="52">
        <v>718</v>
      </c>
      <c r="B723" s="67" t="s">
        <v>1535</v>
      </c>
      <c r="C723" s="53" t="s">
        <v>1536</v>
      </c>
      <c r="D723" s="54" t="s">
        <v>324</v>
      </c>
      <c r="E723" s="9">
        <v>0</v>
      </c>
      <c r="F723" s="47"/>
      <c r="G723" s="47"/>
      <c r="H723" s="47"/>
      <c r="I723" s="74"/>
      <c r="J723" s="47"/>
      <c r="K723" s="47"/>
      <c r="L723" s="47"/>
      <c r="M723" s="47"/>
      <c r="N723" s="47"/>
      <c r="O723" s="47"/>
      <c r="P723" s="47"/>
      <c r="Q723" s="47"/>
      <c r="R723" s="75">
        <f t="shared" si="11"/>
        <v>0</v>
      </c>
    </row>
    <row r="724" spans="1:18" x14ac:dyDescent="0.35">
      <c r="A724" s="52">
        <v>719</v>
      </c>
      <c r="B724" s="67" t="s">
        <v>1537</v>
      </c>
      <c r="C724" s="53" t="s">
        <v>1538</v>
      </c>
      <c r="D724" s="54" t="s">
        <v>377</v>
      </c>
      <c r="E724" s="9">
        <v>0</v>
      </c>
      <c r="F724" s="47"/>
      <c r="G724" s="47"/>
      <c r="H724" s="47"/>
      <c r="I724" s="74"/>
      <c r="J724" s="47"/>
      <c r="K724" s="47"/>
      <c r="L724" s="47"/>
      <c r="M724" s="47"/>
      <c r="N724" s="47"/>
      <c r="O724" s="47"/>
      <c r="P724" s="47"/>
      <c r="Q724" s="47"/>
      <c r="R724" s="75">
        <f t="shared" si="11"/>
        <v>0</v>
      </c>
    </row>
    <row r="725" spans="1:18" x14ac:dyDescent="0.35">
      <c r="A725" s="52">
        <v>720</v>
      </c>
      <c r="B725" s="67" t="s">
        <v>1539</v>
      </c>
      <c r="C725" s="53" t="s">
        <v>1540</v>
      </c>
      <c r="D725" s="54" t="s">
        <v>260</v>
      </c>
      <c r="E725" s="9">
        <v>0</v>
      </c>
      <c r="F725" s="47"/>
      <c r="G725" s="47"/>
      <c r="H725" s="47"/>
      <c r="I725" s="74"/>
      <c r="J725" s="47"/>
      <c r="K725" s="47"/>
      <c r="L725" s="47"/>
      <c r="M725" s="47"/>
      <c r="N725" s="47"/>
      <c r="O725" s="47"/>
      <c r="P725" s="47"/>
      <c r="Q725" s="47"/>
      <c r="R725" s="75">
        <f t="shared" si="11"/>
        <v>0</v>
      </c>
    </row>
    <row r="726" spans="1:18" x14ac:dyDescent="0.35">
      <c r="A726" s="52">
        <v>721</v>
      </c>
      <c r="B726" s="67" t="s">
        <v>1541</v>
      </c>
      <c r="C726" s="53" t="s">
        <v>1542</v>
      </c>
      <c r="D726" s="54" t="s">
        <v>95</v>
      </c>
      <c r="E726" s="9">
        <v>450000</v>
      </c>
      <c r="F726" s="47"/>
      <c r="G726" s="47"/>
      <c r="H726" s="47"/>
      <c r="I726" s="74"/>
      <c r="J726" s="47"/>
      <c r="K726" s="47"/>
      <c r="L726" s="47"/>
      <c r="M726" s="47"/>
      <c r="N726" s="47"/>
      <c r="O726" s="47"/>
      <c r="P726" s="47"/>
      <c r="Q726" s="47"/>
      <c r="R726" s="75">
        <f t="shared" si="11"/>
        <v>450000</v>
      </c>
    </row>
    <row r="727" spans="1:18" x14ac:dyDescent="0.35">
      <c r="A727" s="52">
        <v>723</v>
      </c>
      <c r="B727" s="67" t="s">
        <v>1543</v>
      </c>
      <c r="C727" s="144" t="s">
        <v>1903</v>
      </c>
      <c r="D727" s="54" t="s">
        <v>98</v>
      </c>
      <c r="E727" s="9">
        <v>0</v>
      </c>
      <c r="F727" s="47"/>
      <c r="G727" s="47"/>
      <c r="H727" s="47"/>
      <c r="I727" s="74"/>
      <c r="J727" s="47"/>
      <c r="K727" s="47"/>
      <c r="L727" s="47"/>
      <c r="M727" s="47"/>
      <c r="N727" s="47"/>
      <c r="O727" s="47"/>
      <c r="P727" s="47"/>
      <c r="Q727" s="47"/>
      <c r="R727" s="75">
        <f t="shared" si="11"/>
        <v>0</v>
      </c>
    </row>
    <row r="728" spans="1:18" x14ac:dyDescent="0.35">
      <c r="A728" s="52">
        <v>724</v>
      </c>
      <c r="B728" s="67" t="s">
        <v>1545</v>
      </c>
      <c r="C728" s="53" t="s">
        <v>1546</v>
      </c>
      <c r="D728" s="54" t="s">
        <v>238</v>
      </c>
      <c r="E728" s="9">
        <v>0</v>
      </c>
      <c r="F728" s="47"/>
      <c r="G728" s="47"/>
      <c r="H728" s="47"/>
      <c r="I728" s="74"/>
      <c r="J728" s="47"/>
      <c r="K728" s="47"/>
      <c r="L728" s="47"/>
      <c r="M728" s="47"/>
      <c r="N728" s="47"/>
      <c r="O728" s="47"/>
      <c r="P728" s="47"/>
      <c r="Q728" s="47"/>
      <c r="R728" s="75">
        <f t="shared" si="11"/>
        <v>0</v>
      </c>
    </row>
    <row r="729" spans="1:18" x14ac:dyDescent="0.35">
      <c r="A729" s="52">
        <v>725</v>
      </c>
      <c r="B729" s="67" t="s">
        <v>1547</v>
      </c>
      <c r="C729" s="53" t="s">
        <v>1548</v>
      </c>
      <c r="D729" s="54" t="s">
        <v>98</v>
      </c>
      <c r="E729" s="9">
        <v>100000</v>
      </c>
      <c r="F729" s="47"/>
      <c r="G729" s="47"/>
      <c r="H729" s="47"/>
      <c r="I729" s="74"/>
      <c r="J729" s="47"/>
      <c r="K729" s="47"/>
      <c r="L729" s="47"/>
      <c r="M729" s="47"/>
      <c r="N729" s="47"/>
      <c r="O729" s="47"/>
      <c r="P729" s="47"/>
      <c r="Q729" s="47"/>
      <c r="R729" s="75">
        <f t="shared" si="11"/>
        <v>100000</v>
      </c>
    </row>
    <row r="730" spans="1:18" x14ac:dyDescent="0.35">
      <c r="A730" s="52">
        <v>726</v>
      </c>
      <c r="B730" s="67" t="s">
        <v>1549</v>
      </c>
      <c r="C730" s="53" t="s">
        <v>1550</v>
      </c>
      <c r="D730" s="54" t="s">
        <v>25</v>
      </c>
      <c r="E730" s="9">
        <v>300000</v>
      </c>
      <c r="F730" s="47"/>
      <c r="G730" s="47"/>
      <c r="H730" s="47"/>
      <c r="I730" s="74"/>
      <c r="J730" s="47"/>
      <c r="K730" s="47"/>
      <c r="L730" s="47"/>
      <c r="M730" s="47"/>
      <c r="N730" s="47"/>
      <c r="O730" s="47"/>
      <c r="P730" s="47"/>
      <c r="Q730" s="47"/>
      <c r="R730" s="75">
        <f t="shared" si="11"/>
        <v>300000</v>
      </c>
    </row>
    <row r="731" spans="1:18" x14ac:dyDescent="0.35">
      <c r="A731" s="52">
        <v>727</v>
      </c>
      <c r="B731" s="67" t="s">
        <v>1551</v>
      </c>
      <c r="C731" s="53" t="s">
        <v>1552</v>
      </c>
      <c r="D731" s="54" t="s">
        <v>159</v>
      </c>
      <c r="E731" s="9">
        <v>0</v>
      </c>
      <c r="F731" s="47"/>
      <c r="G731" s="47"/>
      <c r="H731" s="47"/>
      <c r="I731" s="74"/>
      <c r="J731" s="47"/>
      <c r="K731" s="47"/>
      <c r="L731" s="47"/>
      <c r="M731" s="47"/>
      <c r="N731" s="47"/>
      <c r="O731" s="47"/>
      <c r="P731" s="47"/>
      <c r="Q731" s="47"/>
      <c r="R731" s="75">
        <f t="shared" si="11"/>
        <v>0</v>
      </c>
    </row>
    <row r="732" spans="1:18" x14ac:dyDescent="0.35">
      <c r="A732" s="52">
        <v>728</v>
      </c>
      <c r="B732" s="52"/>
      <c r="C732" s="144" t="s">
        <v>2164</v>
      </c>
      <c r="D732" s="54" t="s">
        <v>136</v>
      </c>
      <c r="E732" s="9">
        <v>200000</v>
      </c>
      <c r="F732" s="47"/>
      <c r="G732" s="47"/>
      <c r="H732" s="47"/>
      <c r="I732" s="74">
        <v>250000</v>
      </c>
      <c r="J732" s="47"/>
      <c r="K732" s="47"/>
      <c r="L732" s="47"/>
      <c r="M732" s="47"/>
      <c r="N732" s="47"/>
      <c r="O732" s="47"/>
      <c r="P732" s="47"/>
      <c r="Q732" s="47"/>
      <c r="R732" s="75">
        <f t="shared" si="11"/>
        <v>450000</v>
      </c>
    </row>
    <row r="733" spans="1:18" x14ac:dyDescent="0.35">
      <c r="A733" s="52">
        <v>729</v>
      </c>
      <c r="B733" s="52"/>
      <c r="C733" s="144" t="s">
        <v>2165</v>
      </c>
      <c r="D733" s="54" t="s">
        <v>136</v>
      </c>
      <c r="E733" s="9">
        <v>0</v>
      </c>
      <c r="F733" s="47"/>
      <c r="G733" s="47"/>
      <c r="H733" s="47"/>
      <c r="I733" s="74"/>
      <c r="J733" s="47"/>
      <c r="K733" s="47"/>
      <c r="L733" s="47"/>
      <c r="M733" s="47"/>
      <c r="N733" s="47"/>
      <c r="O733" s="47"/>
      <c r="P733" s="47"/>
      <c r="Q733" s="47"/>
      <c r="R733" s="75">
        <f t="shared" si="11"/>
        <v>0</v>
      </c>
    </row>
    <row r="734" spans="1:18" x14ac:dyDescent="0.35">
      <c r="A734" s="52">
        <v>730</v>
      </c>
      <c r="B734" s="52"/>
      <c r="C734" s="90" t="s">
        <v>2166</v>
      </c>
      <c r="D734" s="54" t="s">
        <v>108</v>
      </c>
      <c r="E734" s="9">
        <v>100000</v>
      </c>
      <c r="F734" s="47"/>
      <c r="G734" s="47"/>
      <c r="H734" s="47"/>
      <c r="I734" s="74"/>
      <c r="J734" s="47"/>
      <c r="K734" s="47"/>
      <c r="L734" s="47"/>
      <c r="M734" s="47"/>
      <c r="N734" s="47"/>
      <c r="O734" s="47"/>
      <c r="P734" s="47"/>
      <c r="Q734" s="47"/>
      <c r="R734" s="75">
        <f t="shared" si="11"/>
        <v>100000</v>
      </c>
    </row>
    <row r="735" spans="1:18" x14ac:dyDescent="0.35">
      <c r="A735" s="52">
        <v>731</v>
      </c>
      <c r="B735" s="52"/>
      <c r="C735" s="90" t="s">
        <v>2167</v>
      </c>
      <c r="D735" s="54" t="s">
        <v>1444</v>
      </c>
      <c r="E735" s="9">
        <v>250000</v>
      </c>
      <c r="F735" s="47"/>
      <c r="G735" s="47"/>
      <c r="H735" s="47"/>
      <c r="I735" s="74"/>
      <c r="J735" s="47"/>
      <c r="K735" s="47"/>
      <c r="L735" s="47"/>
      <c r="M735" s="47"/>
      <c r="N735" s="47"/>
      <c r="O735" s="47"/>
      <c r="P735" s="47"/>
      <c r="Q735" s="47"/>
      <c r="R735" s="75">
        <f t="shared" si="11"/>
        <v>250000</v>
      </c>
    </row>
    <row r="736" spans="1:18" x14ac:dyDescent="0.35">
      <c r="A736" s="52">
        <v>732</v>
      </c>
      <c r="B736" s="52"/>
      <c r="C736" s="144" t="s">
        <v>2168</v>
      </c>
      <c r="D736" s="54" t="s">
        <v>136</v>
      </c>
      <c r="E736" s="9">
        <v>0</v>
      </c>
      <c r="F736" s="47">
        <v>250000</v>
      </c>
      <c r="G736" s="47"/>
      <c r="H736" s="47"/>
      <c r="I736" s="74"/>
      <c r="J736" s="47"/>
      <c r="K736" s="47"/>
      <c r="L736" s="47"/>
      <c r="M736" s="47"/>
      <c r="N736" s="47"/>
      <c r="O736" s="47"/>
      <c r="P736" s="47"/>
      <c r="Q736" s="47"/>
      <c r="R736" s="75">
        <f t="shared" si="11"/>
        <v>250000</v>
      </c>
    </row>
    <row r="737" spans="1:18" x14ac:dyDescent="0.35">
      <c r="A737" s="52">
        <v>733</v>
      </c>
      <c r="B737" s="52"/>
      <c r="C737" s="90" t="s">
        <v>2169</v>
      </c>
      <c r="D737" s="54" t="s">
        <v>25</v>
      </c>
      <c r="E737" s="9">
        <v>0</v>
      </c>
      <c r="F737" s="47"/>
      <c r="G737" s="47"/>
      <c r="H737" s="47"/>
      <c r="I737" s="74"/>
      <c r="J737" s="47"/>
      <c r="K737" s="47"/>
      <c r="L737" s="47"/>
      <c r="M737" s="47"/>
      <c r="N737" s="47"/>
      <c r="O737" s="47"/>
      <c r="P737" s="47"/>
      <c r="Q737" s="47"/>
      <c r="R737" s="75">
        <f t="shared" si="11"/>
        <v>0</v>
      </c>
    </row>
    <row r="738" spans="1:18" x14ac:dyDescent="0.35">
      <c r="A738" s="52">
        <v>734</v>
      </c>
      <c r="B738" s="52"/>
      <c r="C738" s="90" t="s">
        <v>2170</v>
      </c>
      <c r="D738" s="54" t="s">
        <v>25</v>
      </c>
      <c r="E738" s="9">
        <v>0</v>
      </c>
      <c r="F738" s="47"/>
      <c r="G738" s="47"/>
      <c r="H738" s="47"/>
      <c r="I738" s="74"/>
      <c r="J738" s="47"/>
      <c r="K738" s="47"/>
      <c r="L738" s="47"/>
      <c r="M738" s="47"/>
      <c r="N738" s="47"/>
      <c r="O738" s="47"/>
      <c r="P738" s="47"/>
      <c r="Q738" s="47"/>
      <c r="R738" s="75">
        <f t="shared" si="11"/>
        <v>0</v>
      </c>
    </row>
    <row r="739" spans="1:18" x14ac:dyDescent="0.35">
      <c r="A739" s="52">
        <v>735</v>
      </c>
      <c r="B739" s="52"/>
      <c r="C739" s="90" t="s">
        <v>2171</v>
      </c>
      <c r="D739" s="54" t="s">
        <v>25</v>
      </c>
      <c r="E739" s="9">
        <v>0</v>
      </c>
      <c r="F739" s="47"/>
      <c r="G739" s="47"/>
      <c r="H739" s="47"/>
      <c r="I739" s="74"/>
      <c r="J739" s="47"/>
      <c r="K739" s="47"/>
      <c r="L739" s="47"/>
      <c r="M739" s="47"/>
      <c r="N739" s="47"/>
      <c r="O739" s="47"/>
      <c r="P739" s="47"/>
      <c r="Q739" s="47"/>
      <c r="R739" s="75">
        <f t="shared" si="11"/>
        <v>0</v>
      </c>
    </row>
    <row r="740" spans="1:18" x14ac:dyDescent="0.35">
      <c r="A740" s="52">
        <v>736</v>
      </c>
      <c r="B740" s="52"/>
      <c r="C740" s="90" t="s">
        <v>1791</v>
      </c>
      <c r="D740" s="54" t="s">
        <v>25</v>
      </c>
      <c r="E740" s="9">
        <v>0</v>
      </c>
      <c r="F740" s="47"/>
      <c r="G740" s="47"/>
      <c r="H740" s="47"/>
      <c r="I740" s="74"/>
      <c r="J740" s="47"/>
      <c r="K740" s="47"/>
      <c r="L740" s="47"/>
      <c r="M740" s="47"/>
      <c r="N740" s="47"/>
      <c r="O740" s="47"/>
      <c r="P740" s="47"/>
      <c r="Q740" s="47"/>
      <c r="R740" s="75">
        <f t="shared" si="11"/>
        <v>0</v>
      </c>
    </row>
    <row r="741" spans="1:18" x14ac:dyDescent="0.35">
      <c r="A741" s="52">
        <v>737</v>
      </c>
      <c r="B741" s="52"/>
      <c r="C741" s="90" t="s">
        <v>2172</v>
      </c>
      <c r="D741" s="54" t="s">
        <v>25</v>
      </c>
      <c r="E741" s="9">
        <v>0</v>
      </c>
      <c r="F741" s="47"/>
      <c r="G741" s="47"/>
      <c r="H741" s="47"/>
      <c r="I741" s="74"/>
      <c r="J741" s="47"/>
      <c r="K741" s="47"/>
      <c r="L741" s="47"/>
      <c r="M741" s="47"/>
      <c r="N741" s="47"/>
      <c r="O741" s="47"/>
      <c r="P741" s="47"/>
      <c r="Q741" s="47"/>
      <c r="R741" s="75">
        <f t="shared" si="11"/>
        <v>0</v>
      </c>
    </row>
    <row r="742" spans="1:18" x14ac:dyDescent="0.35">
      <c r="A742" s="52">
        <v>738</v>
      </c>
      <c r="B742" s="52"/>
      <c r="C742" s="90" t="s">
        <v>1792</v>
      </c>
      <c r="D742" s="54" t="s">
        <v>25</v>
      </c>
      <c r="E742" s="9">
        <v>0</v>
      </c>
      <c r="F742" s="47"/>
      <c r="G742" s="47"/>
      <c r="H742" s="47"/>
      <c r="I742" s="74"/>
      <c r="J742" s="47"/>
      <c r="K742" s="47"/>
      <c r="L742" s="47"/>
      <c r="M742" s="47"/>
      <c r="N742" s="47"/>
      <c r="O742" s="47"/>
      <c r="P742" s="47"/>
      <c r="Q742" s="47"/>
      <c r="R742" s="75">
        <f t="shared" si="11"/>
        <v>0</v>
      </c>
    </row>
    <row r="743" spans="1:18" x14ac:dyDescent="0.35">
      <c r="A743" s="52">
        <v>739</v>
      </c>
      <c r="B743" s="52"/>
      <c r="C743" s="53" t="s">
        <v>2173</v>
      </c>
      <c r="D743" s="54" t="s">
        <v>318</v>
      </c>
      <c r="E743" s="9">
        <v>0</v>
      </c>
      <c r="F743" s="47"/>
      <c r="G743" s="47"/>
      <c r="H743" s="47"/>
      <c r="I743" s="74"/>
      <c r="J743" s="47"/>
      <c r="K743" s="47"/>
      <c r="L743" s="47"/>
      <c r="M743" s="47">
        <v>16667</v>
      </c>
      <c r="N743" s="47">
        <v>16667</v>
      </c>
      <c r="O743" s="47">
        <v>16667</v>
      </c>
      <c r="P743" s="47"/>
      <c r="Q743" s="47"/>
      <c r="R743" s="75">
        <f>E743+F743+G743+H743+I743+J743+K743+L743+M743+N743+O743+P743+Q743</f>
        <v>50001</v>
      </c>
    </row>
    <row r="744" spans="1:18" x14ac:dyDescent="0.35">
      <c r="A744" s="52">
        <v>740</v>
      </c>
      <c r="B744" s="52"/>
      <c r="C744" s="53" t="s">
        <v>2174</v>
      </c>
      <c r="D744" s="54" t="s">
        <v>318</v>
      </c>
      <c r="E744" s="9">
        <v>0</v>
      </c>
      <c r="F744" s="47"/>
      <c r="G744" s="47"/>
      <c r="H744" s="47"/>
      <c r="I744" s="74"/>
      <c r="J744" s="47"/>
      <c r="K744" s="47"/>
      <c r="L744" s="47"/>
      <c r="M744" s="47"/>
      <c r="N744" s="47"/>
      <c r="O744" s="47"/>
      <c r="P744" s="47"/>
      <c r="Q744" s="47"/>
      <c r="R744" s="75">
        <f t="shared" si="11"/>
        <v>0</v>
      </c>
    </row>
    <row r="745" spans="1:18" x14ac:dyDescent="0.35">
      <c r="A745" s="52">
        <v>741</v>
      </c>
      <c r="B745" s="52"/>
      <c r="C745" s="53" t="s">
        <v>1959</v>
      </c>
      <c r="D745" s="54" t="s">
        <v>318</v>
      </c>
      <c r="E745" s="9">
        <v>0</v>
      </c>
      <c r="F745" s="47"/>
      <c r="G745" s="47"/>
      <c r="H745" s="47"/>
      <c r="I745" s="74"/>
      <c r="J745" s="47"/>
      <c r="K745" s="47"/>
      <c r="L745" s="47"/>
      <c r="M745" s="47"/>
      <c r="N745" s="47"/>
      <c r="O745" s="47"/>
      <c r="P745" s="47"/>
      <c r="Q745" s="47"/>
      <c r="R745" s="75">
        <f t="shared" si="11"/>
        <v>0</v>
      </c>
    </row>
    <row r="746" spans="1:18" x14ac:dyDescent="0.35">
      <c r="A746" s="52">
        <v>742</v>
      </c>
      <c r="B746" s="52"/>
      <c r="C746" s="7" t="s">
        <v>1793</v>
      </c>
      <c r="D746" s="54" t="s">
        <v>318</v>
      </c>
      <c r="E746" s="9">
        <v>0</v>
      </c>
      <c r="F746" s="47"/>
      <c r="G746" s="47"/>
      <c r="H746" s="47"/>
      <c r="I746" s="74"/>
      <c r="J746" s="47"/>
      <c r="K746" s="47"/>
      <c r="L746" s="47"/>
      <c r="M746" s="47"/>
      <c r="N746" s="47"/>
      <c r="O746" s="47"/>
      <c r="P746" s="47"/>
      <c r="Q746" s="47"/>
      <c r="R746" s="75">
        <f t="shared" si="11"/>
        <v>0</v>
      </c>
    </row>
    <row r="747" spans="1:18" x14ac:dyDescent="0.35">
      <c r="A747" s="52">
        <v>743</v>
      </c>
      <c r="B747" s="52"/>
      <c r="C747" s="53" t="s">
        <v>2175</v>
      </c>
      <c r="D747" s="54" t="s">
        <v>128</v>
      </c>
      <c r="E747" s="9">
        <v>0</v>
      </c>
      <c r="F747" s="47"/>
      <c r="G747" s="47"/>
      <c r="H747" s="47"/>
      <c r="I747" s="74"/>
      <c r="J747" s="47"/>
      <c r="K747" s="47"/>
      <c r="L747" s="47"/>
      <c r="M747" s="47"/>
      <c r="N747" s="47"/>
      <c r="O747" s="47"/>
      <c r="P747" s="47"/>
      <c r="Q747" s="47"/>
      <c r="R747" s="75">
        <f t="shared" si="11"/>
        <v>0</v>
      </c>
    </row>
    <row r="748" spans="1:18" x14ac:dyDescent="0.35">
      <c r="A748" s="52">
        <v>744</v>
      </c>
      <c r="B748" s="52"/>
      <c r="C748" s="127" t="s">
        <v>2176</v>
      </c>
      <c r="D748" s="54" t="s">
        <v>751</v>
      </c>
      <c r="E748" s="9">
        <v>0</v>
      </c>
      <c r="F748" s="47"/>
      <c r="G748" s="47"/>
      <c r="H748" s="47"/>
      <c r="I748" s="74"/>
      <c r="J748" s="47"/>
      <c r="K748" s="47"/>
      <c r="L748" s="47"/>
      <c r="M748" s="47"/>
      <c r="N748" s="47"/>
      <c r="O748" s="47"/>
      <c r="P748" s="47"/>
      <c r="Q748" s="47"/>
      <c r="R748" s="75">
        <f t="shared" si="11"/>
        <v>0</v>
      </c>
    </row>
    <row r="749" spans="1:18" x14ac:dyDescent="0.35">
      <c r="A749" s="52">
        <v>745</v>
      </c>
      <c r="B749" s="52"/>
      <c r="C749" s="53" t="s">
        <v>1911</v>
      </c>
      <c r="D749" s="54" t="s">
        <v>1924</v>
      </c>
      <c r="E749" s="9">
        <v>0</v>
      </c>
      <c r="F749" s="47"/>
      <c r="G749" s="47"/>
      <c r="H749" s="47">
        <f>250000-150000</f>
        <v>100000</v>
      </c>
      <c r="I749" s="74"/>
      <c r="J749" s="47"/>
      <c r="K749" s="47"/>
      <c r="L749" s="47"/>
      <c r="M749" s="47"/>
      <c r="N749" s="47"/>
      <c r="O749" s="47">
        <v>220000</v>
      </c>
      <c r="P749" s="47"/>
      <c r="Q749" s="47"/>
      <c r="R749" s="75">
        <f t="shared" si="11"/>
        <v>320000</v>
      </c>
    </row>
    <row r="750" spans="1:18" x14ac:dyDescent="0.35">
      <c r="A750" s="52">
        <v>746</v>
      </c>
      <c r="B750" s="52"/>
      <c r="C750" s="64" t="s">
        <v>1841</v>
      </c>
      <c r="D750" s="54"/>
      <c r="E750" s="9">
        <v>0</v>
      </c>
      <c r="F750" s="47"/>
      <c r="G750" s="47"/>
      <c r="H750" s="47"/>
      <c r="I750" s="74">
        <v>150000</v>
      </c>
      <c r="J750" s="47"/>
      <c r="K750" s="47"/>
      <c r="L750" s="47"/>
      <c r="M750" s="47"/>
      <c r="N750" s="47"/>
      <c r="O750" s="47"/>
      <c r="P750" s="47"/>
      <c r="Q750" s="47"/>
      <c r="R750" s="75">
        <f t="shared" si="11"/>
        <v>150000</v>
      </c>
    </row>
    <row r="751" spans="1:18" ht="16.5" customHeight="1" x14ac:dyDescent="0.35">
      <c r="A751" s="52">
        <v>747</v>
      </c>
      <c r="B751" s="52"/>
      <c r="C751" s="53" t="s">
        <v>1909</v>
      </c>
      <c r="D751" s="54"/>
      <c r="E751" s="9">
        <v>0</v>
      </c>
      <c r="F751" s="47"/>
      <c r="G751" s="47">
        <v>10000</v>
      </c>
      <c r="H751" s="47"/>
      <c r="I751" s="74">
        <v>10000</v>
      </c>
      <c r="J751" s="47">
        <v>10000</v>
      </c>
      <c r="K751" s="47">
        <v>10000</v>
      </c>
      <c r="L751" s="47">
        <v>10000</v>
      </c>
      <c r="M751" s="47">
        <v>10000</v>
      </c>
      <c r="N751" s="47">
        <v>10000</v>
      </c>
      <c r="O751" s="47">
        <f>250000+10000</f>
        <v>260000</v>
      </c>
      <c r="P751" s="47">
        <v>10000</v>
      </c>
      <c r="Q751" s="47"/>
      <c r="R751" s="75">
        <f>E751+F751+G751+H751+I751+J751+K751+L751+M751+N751+O751+P751+Q751</f>
        <v>340000</v>
      </c>
    </row>
    <row r="752" spans="1:18" ht="16.5" customHeight="1" x14ac:dyDescent="0.35">
      <c r="A752" s="52">
        <v>748</v>
      </c>
      <c r="B752" s="52"/>
      <c r="C752" s="64" t="s">
        <v>1925</v>
      </c>
      <c r="D752" s="54" t="s">
        <v>1924</v>
      </c>
      <c r="E752" s="9">
        <v>0</v>
      </c>
      <c r="F752" s="47"/>
      <c r="G752" s="47"/>
      <c r="H752" s="47"/>
      <c r="I752" s="74"/>
      <c r="J752" s="47">
        <v>33333</v>
      </c>
      <c r="K752" s="47">
        <v>33333</v>
      </c>
      <c r="L752" s="47">
        <v>33332</v>
      </c>
      <c r="M752" s="47"/>
      <c r="N752" s="47"/>
      <c r="O752" s="47"/>
      <c r="P752" s="47"/>
      <c r="Q752" s="47"/>
      <c r="R752" s="75">
        <f t="shared" si="11"/>
        <v>99998</v>
      </c>
    </row>
    <row r="753" spans="1:18" ht="16.5" customHeight="1" x14ac:dyDescent="0.35">
      <c r="A753" s="52">
        <v>749</v>
      </c>
      <c r="B753" s="52"/>
      <c r="C753" s="53" t="s">
        <v>2183</v>
      </c>
      <c r="D753" s="54" t="s">
        <v>136</v>
      </c>
      <c r="E753" s="9">
        <v>0</v>
      </c>
      <c r="F753" s="47"/>
      <c r="G753" s="47"/>
      <c r="H753" s="47"/>
      <c r="I753" s="74"/>
      <c r="J753" s="47"/>
      <c r="K753" s="47"/>
      <c r="L753" s="47">
        <v>12500</v>
      </c>
      <c r="M753" s="47">
        <f>12500+12500</f>
        <v>25000</v>
      </c>
      <c r="N753" s="47"/>
      <c r="O753" s="47"/>
      <c r="P753" s="47">
        <f>12500+12500</f>
        <v>25000</v>
      </c>
      <c r="Q753" s="47">
        <f>12500*2</f>
        <v>25000</v>
      </c>
      <c r="R753" s="75">
        <f t="shared" si="11"/>
        <v>87500</v>
      </c>
    </row>
    <row r="754" spans="1:18" ht="16.5" customHeight="1" x14ac:dyDescent="0.35">
      <c r="A754" s="52">
        <v>750</v>
      </c>
      <c r="B754" s="52"/>
      <c r="C754" s="64" t="s">
        <v>1945</v>
      </c>
      <c r="D754" s="54" t="s">
        <v>22</v>
      </c>
      <c r="E754" s="9"/>
      <c r="F754" s="47"/>
      <c r="G754" s="47"/>
      <c r="H754" s="47"/>
      <c r="I754" s="74"/>
      <c r="J754" s="47"/>
      <c r="K754" s="47"/>
      <c r="L754" s="47"/>
      <c r="M754" s="47">
        <v>12500</v>
      </c>
      <c r="N754" s="47">
        <v>12500</v>
      </c>
      <c r="O754" s="47">
        <v>12500</v>
      </c>
      <c r="P754" s="47">
        <v>12500</v>
      </c>
      <c r="Q754" s="47">
        <v>12500</v>
      </c>
      <c r="R754" s="75">
        <f t="shared" si="11"/>
        <v>62500</v>
      </c>
    </row>
    <row r="755" spans="1:18" ht="16.5" customHeight="1" x14ac:dyDescent="0.35">
      <c r="A755" s="52">
        <v>751</v>
      </c>
      <c r="B755" s="52"/>
      <c r="C755" s="53" t="s">
        <v>2187</v>
      </c>
      <c r="D755" s="54" t="s">
        <v>136</v>
      </c>
      <c r="E755" s="9"/>
      <c r="F755" s="47">
        <v>250000</v>
      </c>
      <c r="G755" s="47"/>
      <c r="H755" s="47"/>
      <c r="I755" s="74"/>
      <c r="J755" s="47"/>
      <c r="K755" s="47"/>
      <c r="L755" s="47"/>
      <c r="M755" s="47"/>
      <c r="N755" s="47"/>
      <c r="O755" s="47"/>
      <c r="P755" s="47"/>
      <c r="Q755" s="47"/>
      <c r="R755" s="75">
        <f t="shared" si="11"/>
        <v>250000</v>
      </c>
    </row>
    <row r="756" spans="1:18" ht="16.5" customHeight="1" x14ac:dyDescent="0.35">
      <c r="A756" s="52">
        <v>752</v>
      </c>
      <c r="B756" s="52"/>
      <c r="C756" s="53" t="s">
        <v>2186</v>
      </c>
      <c r="D756" s="54"/>
      <c r="E756" s="9"/>
      <c r="F756" s="47"/>
      <c r="G756" s="47"/>
      <c r="H756" s="47"/>
      <c r="I756" s="74"/>
      <c r="J756" s="47"/>
      <c r="K756" s="47"/>
      <c r="L756" s="47"/>
      <c r="M756" s="47"/>
      <c r="N756" s="47"/>
      <c r="O756" s="47">
        <v>100000</v>
      </c>
      <c r="P756" s="47"/>
      <c r="Q756" s="47"/>
      <c r="R756" s="75">
        <f t="shared" si="11"/>
        <v>100000</v>
      </c>
    </row>
    <row r="757" spans="1:18" x14ac:dyDescent="0.35">
      <c r="A757" s="46"/>
      <c r="B757" s="46"/>
      <c r="C757" s="46"/>
      <c r="D757" s="46"/>
      <c r="E757" s="71">
        <f t="shared" ref="E757" si="12">SUM(E3:E756)</f>
        <v>135635600</v>
      </c>
      <c r="F757" s="71">
        <f>SUM(F3:F756)</f>
        <v>-2301500</v>
      </c>
      <c r="G757" s="71">
        <f t="shared" ref="G757:Q757" si="13">SUM(G3:G756)</f>
        <v>299166</v>
      </c>
      <c r="H757" s="71">
        <f t="shared" si="13"/>
        <v>645000</v>
      </c>
      <c r="I757" s="71">
        <f>SUM(I3:I756)</f>
        <v>1818819</v>
      </c>
      <c r="J757" s="71">
        <f t="shared" si="13"/>
        <v>182151</v>
      </c>
      <c r="K757" s="71">
        <f t="shared" si="13"/>
        <v>493331</v>
      </c>
      <c r="L757" s="71">
        <f t="shared" si="13"/>
        <v>-624170</v>
      </c>
      <c r="M757" s="71">
        <f t="shared" si="13"/>
        <v>-925834</v>
      </c>
      <c r="N757" s="71">
        <f t="shared" si="13"/>
        <v>-684501</v>
      </c>
      <c r="O757" s="71">
        <f t="shared" si="13"/>
        <v>2931394</v>
      </c>
      <c r="P757" s="71">
        <f t="shared" si="13"/>
        <v>-414168</v>
      </c>
      <c r="Q757" s="71">
        <f t="shared" si="13"/>
        <v>-282169</v>
      </c>
      <c r="R757" s="71">
        <f>SUM(R3:R756)</f>
        <v>136773119</v>
      </c>
    </row>
    <row r="758" spans="1:18" x14ac:dyDescent="0.35">
      <c r="E758" s="72">
        <v>135635600</v>
      </c>
      <c r="F758" s="29">
        <f>1890000-4191500</f>
        <v>-2301500</v>
      </c>
      <c r="G758" s="29">
        <f>386666-87500</f>
        <v>299166</v>
      </c>
      <c r="H758" s="29">
        <f>2505000-1860000</f>
        <v>645000</v>
      </c>
      <c r="I758" s="120">
        <v>1818819</v>
      </c>
      <c r="J758" s="29">
        <f>668818-486667</f>
        <v>182151</v>
      </c>
      <c r="K758" s="29">
        <v>493331</v>
      </c>
      <c r="L758" s="29">
        <f>305830-930000</f>
        <v>-624170</v>
      </c>
      <c r="M758" s="29">
        <f>-(3105000-2179166)</f>
        <v>-925834</v>
      </c>
      <c r="N758" s="29">
        <f>737499-1422000</f>
        <v>-684501</v>
      </c>
      <c r="O758" s="29">
        <f>-47500+2978894</f>
        <v>2931394</v>
      </c>
      <c r="P758" s="29">
        <f>630832-1045000</f>
        <v>-414168</v>
      </c>
      <c r="Q758" s="29">
        <f>1070831-1353000</f>
        <v>-282169</v>
      </c>
      <c r="R758" s="29">
        <v>136773119</v>
      </c>
    </row>
    <row r="759" spans="1:18" x14ac:dyDescent="0.35">
      <c r="E759" s="73">
        <f>E757-E758</f>
        <v>0</v>
      </c>
      <c r="F759" s="73">
        <f>F757-F758</f>
        <v>0</v>
      </c>
      <c r="G759" s="73">
        <f t="shared" ref="G759:Q759" si="14">G757-G758</f>
        <v>0</v>
      </c>
      <c r="H759" s="73">
        <f t="shared" si="14"/>
        <v>0</v>
      </c>
      <c r="I759" s="73">
        <f t="shared" si="14"/>
        <v>0</v>
      </c>
      <c r="J759" s="73">
        <f t="shared" si="14"/>
        <v>0</v>
      </c>
      <c r="K759" s="73">
        <f t="shared" si="14"/>
        <v>0</v>
      </c>
      <c r="L759" s="73">
        <f t="shared" si="14"/>
        <v>0</v>
      </c>
      <c r="M759" s="73">
        <f t="shared" si="14"/>
        <v>0</v>
      </c>
      <c r="N759" s="73">
        <f t="shared" si="14"/>
        <v>0</v>
      </c>
      <c r="O759" s="73">
        <f t="shared" si="14"/>
        <v>0</v>
      </c>
      <c r="P759" s="73">
        <f>P757-P758</f>
        <v>0</v>
      </c>
      <c r="Q759" s="73">
        <f t="shared" si="14"/>
        <v>0</v>
      </c>
      <c r="R759" s="73">
        <f t="shared" ref="R759" si="15">R757-R758</f>
        <v>0</v>
      </c>
    </row>
    <row r="761" spans="1:18" x14ac:dyDescent="0.35">
      <c r="C761" t="s">
        <v>1816</v>
      </c>
    </row>
    <row r="762" spans="1:18" x14ac:dyDescent="0.35">
      <c r="C762" t="s">
        <v>1817</v>
      </c>
    </row>
    <row r="763" spans="1:18" x14ac:dyDescent="0.35">
      <c r="C763" t="s">
        <v>1818</v>
      </c>
    </row>
    <row r="764" spans="1:18" x14ac:dyDescent="0.35">
      <c r="C764" t="s">
        <v>1819</v>
      </c>
    </row>
  </sheetData>
  <autoFilter ref="A1:Q748" xr:uid="{81189B48-DA68-4F0F-B3A1-7DDB412FF80A}"/>
  <mergeCells count="7">
    <mergeCell ref="R1:R2"/>
    <mergeCell ref="E1:E2"/>
    <mergeCell ref="A1:A2"/>
    <mergeCell ref="B1:B2"/>
    <mergeCell ref="C1:C2"/>
    <mergeCell ref="D1:D2"/>
    <mergeCell ref="F1:Q1"/>
  </mergeCells>
  <conditionalFormatting sqref="C1:C1048576">
    <cfRule type="duplicateValues" dxfId="68" priority="58"/>
  </conditionalFormatting>
  <conditionalFormatting sqref="C3:C403">
    <cfRule type="duplicateValues" dxfId="67" priority="55"/>
  </conditionalFormatting>
  <conditionalFormatting sqref="C405:C417">
    <cfRule type="duplicateValues" dxfId="66" priority="54"/>
  </conditionalFormatting>
  <conditionalFormatting sqref="C418:C433">
    <cfRule type="duplicateValues" dxfId="65" priority="53"/>
  </conditionalFormatting>
  <conditionalFormatting sqref="C434:C445">
    <cfRule type="duplicateValues" dxfId="64" priority="52"/>
  </conditionalFormatting>
  <conditionalFormatting sqref="C449:C460">
    <cfRule type="duplicateValues" dxfId="63" priority="51"/>
  </conditionalFormatting>
  <conditionalFormatting sqref="C461:C477">
    <cfRule type="duplicateValues" dxfId="62" priority="50"/>
  </conditionalFormatting>
  <conditionalFormatting sqref="C478:C493">
    <cfRule type="duplicateValues" dxfId="61" priority="49"/>
  </conditionalFormatting>
  <conditionalFormatting sqref="C494:C508">
    <cfRule type="duplicateValues" dxfId="60" priority="48"/>
  </conditionalFormatting>
  <conditionalFormatting sqref="C510:C529">
    <cfRule type="duplicateValues" dxfId="59" priority="47"/>
  </conditionalFormatting>
  <conditionalFormatting sqref="C531:C547">
    <cfRule type="duplicateValues" dxfId="58" priority="46"/>
  </conditionalFormatting>
  <conditionalFormatting sqref="C570">
    <cfRule type="duplicateValues" dxfId="57" priority="45"/>
  </conditionalFormatting>
  <conditionalFormatting sqref="C589:C591">
    <cfRule type="duplicateValues" dxfId="56" priority="44"/>
  </conditionalFormatting>
  <conditionalFormatting sqref="C593">
    <cfRule type="duplicateValues" dxfId="55" priority="43"/>
  </conditionalFormatting>
  <conditionalFormatting sqref="C595">
    <cfRule type="duplicateValues" dxfId="54" priority="42"/>
  </conditionalFormatting>
  <conditionalFormatting sqref="C597:C598">
    <cfRule type="duplicateValues" dxfId="53" priority="41"/>
  </conditionalFormatting>
  <conditionalFormatting sqref="C608">
    <cfRule type="duplicateValues" dxfId="52" priority="40"/>
  </conditionalFormatting>
  <conditionalFormatting sqref="C610:C613">
    <cfRule type="duplicateValues" dxfId="51" priority="39"/>
  </conditionalFormatting>
  <conditionalFormatting sqref="C615:C617">
    <cfRule type="duplicateValues" dxfId="50" priority="38"/>
  </conditionalFormatting>
  <conditionalFormatting sqref="C619:C620">
    <cfRule type="duplicateValues" dxfId="49" priority="37"/>
  </conditionalFormatting>
  <conditionalFormatting sqref="C626">
    <cfRule type="duplicateValues" dxfId="48" priority="36"/>
  </conditionalFormatting>
  <conditionalFormatting sqref="C628:C630">
    <cfRule type="duplicateValues" dxfId="47" priority="35"/>
  </conditionalFormatting>
  <conditionalFormatting sqref="C632:C633">
    <cfRule type="duplicateValues" dxfId="46" priority="34"/>
  </conditionalFormatting>
  <conditionalFormatting sqref="C636">
    <cfRule type="duplicateValues" dxfId="45" priority="33"/>
  </conditionalFormatting>
  <conditionalFormatting sqref="C643:C644">
    <cfRule type="duplicateValues" dxfId="44" priority="32"/>
  </conditionalFormatting>
  <conditionalFormatting sqref="C652">
    <cfRule type="duplicateValues" dxfId="43" priority="31"/>
  </conditionalFormatting>
  <conditionalFormatting sqref="C655:C656">
    <cfRule type="duplicateValues" dxfId="42" priority="30"/>
  </conditionalFormatting>
  <conditionalFormatting sqref="C657">
    <cfRule type="duplicateValues" dxfId="41" priority="1"/>
  </conditionalFormatting>
  <conditionalFormatting sqref="C661">
    <cfRule type="duplicateValues" dxfId="40" priority="29"/>
  </conditionalFormatting>
  <conditionalFormatting sqref="C663:C664">
    <cfRule type="duplicateValues" dxfId="39" priority="28"/>
  </conditionalFormatting>
  <conditionalFormatting sqref="C663:C670">
    <cfRule type="duplicateValues" dxfId="38" priority="2"/>
  </conditionalFormatting>
  <conditionalFormatting sqref="C673">
    <cfRule type="duplicateValues" dxfId="37" priority="3"/>
  </conditionalFormatting>
  <conditionalFormatting sqref="C676:C677">
    <cfRule type="duplicateValues" dxfId="36" priority="4"/>
  </conditionalFormatting>
  <conditionalFormatting sqref="C679">
    <cfRule type="duplicateValues" dxfId="35" priority="27"/>
  </conditionalFormatting>
  <conditionalFormatting sqref="C679:C680">
    <cfRule type="duplicateValues" dxfId="34" priority="5"/>
  </conditionalFormatting>
  <conditionalFormatting sqref="C682:C684">
    <cfRule type="duplicateValues" dxfId="33" priority="6"/>
  </conditionalFormatting>
  <conditionalFormatting sqref="C685:C699">
    <cfRule type="duplicateValues" dxfId="32" priority="7"/>
  </conditionalFormatting>
  <conditionalFormatting sqref="C691:C693">
    <cfRule type="duplicateValues" dxfId="31" priority="26"/>
  </conditionalFormatting>
  <conditionalFormatting sqref="C706">
    <cfRule type="duplicateValues" dxfId="30" priority="25"/>
  </conditionalFormatting>
  <conditionalFormatting sqref="C706:C708">
    <cfRule type="duplicateValues" dxfId="29" priority="8"/>
  </conditionalFormatting>
  <conditionalFormatting sqref="C710">
    <cfRule type="duplicateValues" dxfId="28" priority="24"/>
  </conditionalFormatting>
  <conditionalFormatting sqref="C710:C713">
    <cfRule type="duplicateValues" dxfId="27" priority="9"/>
  </conditionalFormatting>
  <conditionalFormatting sqref="C715:C716">
    <cfRule type="duplicateValues" dxfId="26" priority="10"/>
  </conditionalFormatting>
  <conditionalFormatting sqref="C716">
    <cfRule type="duplicateValues" dxfId="25" priority="23"/>
  </conditionalFormatting>
  <conditionalFormatting sqref="C718">
    <cfRule type="duplicateValues" dxfId="24" priority="11"/>
  </conditionalFormatting>
  <conditionalFormatting sqref="C719:C720">
    <cfRule type="duplicateValues" dxfId="23" priority="22"/>
  </conditionalFormatting>
  <conditionalFormatting sqref="C727">
    <cfRule type="duplicateValues" dxfId="22" priority="21"/>
  </conditionalFormatting>
  <conditionalFormatting sqref="C732">
    <cfRule type="duplicateValues" dxfId="21" priority="20"/>
  </conditionalFormatting>
  <conditionalFormatting sqref="C732:C748">
    <cfRule type="duplicateValues" dxfId="20" priority="12"/>
  </conditionalFormatting>
  <conditionalFormatting sqref="C740">
    <cfRule type="duplicateValues" dxfId="19" priority="19"/>
  </conditionalFormatting>
  <conditionalFormatting sqref="C742">
    <cfRule type="duplicateValues" dxfId="18" priority="18"/>
  </conditionalFormatting>
  <conditionalFormatting sqref="C746">
    <cfRule type="duplicateValues" dxfId="17" priority="17"/>
  </conditionalFormatting>
  <conditionalFormatting sqref="C748">
    <cfRule type="duplicateValues" dxfId="16" priority="16"/>
  </conditionalFormatting>
  <conditionalFormatting sqref="C750">
    <cfRule type="duplicateValues" dxfId="15" priority="13"/>
  </conditionalFormatting>
  <conditionalFormatting sqref="C752">
    <cfRule type="duplicateValues" dxfId="14" priority="15"/>
  </conditionalFormatting>
  <conditionalFormatting sqref="C754">
    <cfRule type="duplicateValues" dxfId="13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E35F-A606-44E6-8203-C39CC8B0914D}">
  <sheetPr>
    <tabColor theme="7" tint="0.39997558519241921"/>
  </sheetPr>
  <dimension ref="A1:R756"/>
  <sheetViews>
    <sheetView tabSelected="1" view="pageBreakPreview" topLeftCell="A470" zoomScaleNormal="100" zoomScaleSheetLayoutView="100" workbookViewId="0">
      <selection activeCell="E479" sqref="E479"/>
    </sheetView>
  </sheetViews>
  <sheetFormatPr defaultRowHeight="14.5" x14ac:dyDescent="0.35"/>
  <cols>
    <col min="2" max="2" width="13.08984375" hidden="1" customWidth="1"/>
    <col min="3" max="3" width="23.6328125" customWidth="1"/>
    <col min="4" max="4" width="11.7265625" hidden="1" customWidth="1"/>
    <col min="5" max="5" width="16.54296875" style="78" customWidth="1"/>
    <col min="6" max="10" width="12.81640625" style="29" hidden="1" customWidth="1"/>
    <col min="11" max="11" width="12.81640625" style="83" hidden="1" customWidth="1"/>
    <col min="12" max="15" width="12.81640625" style="29" hidden="1" customWidth="1"/>
    <col min="16" max="17" width="12.81640625" style="29" customWidth="1"/>
    <col min="18" max="18" width="15.6328125" style="29" customWidth="1"/>
  </cols>
  <sheetData>
    <row r="1" spans="1:18" x14ac:dyDescent="0.35">
      <c r="A1" t="s">
        <v>1822</v>
      </c>
    </row>
    <row r="3" spans="1:18" ht="14.5" customHeight="1" x14ac:dyDescent="0.35">
      <c r="A3" s="170" t="s">
        <v>0</v>
      </c>
      <c r="B3" s="170" t="s">
        <v>1</v>
      </c>
      <c r="C3" s="170" t="s">
        <v>2</v>
      </c>
      <c r="D3" s="170" t="s">
        <v>3</v>
      </c>
      <c r="E3" s="171" t="s">
        <v>1571</v>
      </c>
      <c r="F3" s="168" t="s">
        <v>1822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47"/>
      <c r="R3" s="169" t="s">
        <v>1820</v>
      </c>
    </row>
    <row r="4" spans="1:18" x14ac:dyDescent="0.35">
      <c r="A4" s="170"/>
      <c r="B4" s="170"/>
      <c r="C4" s="170"/>
      <c r="D4" s="170"/>
      <c r="E4" s="171"/>
      <c r="F4" s="47" t="s">
        <v>1823</v>
      </c>
      <c r="G4" s="47" t="s">
        <v>1824</v>
      </c>
      <c r="H4" s="47" t="s">
        <v>1825</v>
      </c>
      <c r="I4" s="47" t="s">
        <v>1826</v>
      </c>
      <c r="J4" s="47" t="s">
        <v>1827</v>
      </c>
      <c r="K4" s="84" t="s">
        <v>1828</v>
      </c>
      <c r="L4" s="47" t="s">
        <v>1829</v>
      </c>
      <c r="M4" s="47" t="s">
        <v>1830</v>
      </c>
      <c r="N4" s="47" t="s">
        <v>1831</v>
      </c>
      <c r="O4" s="47" t="s">
        <v>1832</v>
      </c>
      <c r="P4" s="47" t="s">
        <v>1833</v>
      </c>
      <c r="Q4" s="47" t="s">
        <v>1834</v>
      </c>
      <c r="R4" s="169"/>
    </row>
    <row r="5" spans="1:18" x14ac:dyDescent="0.35">
      <c r="A5" s="76">
        <v>1</v>
      </c>
      <c r="B5" s="77" t="s">
        <v>9</v>
      </c>
      <c r="C5" s="9" t="s">
        <v>1973</v>
      </c>
      <c r="D5" s="76" t="s">
        <v>11</v>
      </c>
      <c r="E5" s="79">
        <v>1997221.987578423</v>
      </c>
      <c r="F5" s="47"/>
      <c r="G5" s="47"/>
      <c r="H5" s="47"/>
      <c r="I5" s="47"/>
      <c r="J5" s="47"/>
      <c r="K5" s="84"/>
      <c r="L5" s="47"/>
      <c r="M5" s="47"/>
      <c r="N5" s="47"/>
      <c r="O5" s="47"/>
      <c r="P5" s="47"/>
      <c r="Q5" s="47"/>
      <c r="R5" s="47">
        <f t="shared" ref="R5:R28" si="0">E5+F5+G5+H5+I5+J5+K5+L5+M5+N5+O5+P5+Q5</f>
        <v>1997221.987578423</v>
      </c>
    </row>
    <row r="6" spans="1:18" x14ac:dyDescent="0.35">
      <c r="A6" s="76">
        <v>2</v>
      </c>
      <c r="B6" s="77" t="s">
        <v>12</v>
      </c>
      <c r="C6" s="9" t="s">
        <v>1582</v>
      </c>
      <c r="D6" s="76" t="s">
        <v>14</v>
      </c>
      <c r="E6" s="79">
        <v>0.40666906256228702</v>
      </c>
      <c r="F6" s="47"/>
      <c r="G6" s="47"/>
      <c r="H6" s="47"/>
      <c r="I6" s="47"/>
      <c r="J6" s="47"/>
      <c r="K6" s="84"/>
      <c r="L6" s="47"/>
      <c r="M6" s="47"/>
      <c r="N6" s="47"/>
      <c r="O6" s="47"/>
      <c r="P6" s="47"/>
      <c r="Q6" s="47"/>
      <c r="R6" s="47">
        <f t="shared" si="0"/>
        <v>0.40666906256228702</v>
      </c>
    </row>
    <row r="7" spans="1:18" x14ac:dyDescent="0.35">
      <c r="A7" s="76">
        <v>3</v>
      </c>
      <c r="B7" s="77" t="s">
        <v>15</v>
      </c>
      <c r="C7" s="9" t="s">
        <v>16</v>
      </c>
      <c r="D7" s="76"/>
      <c r="E7" s="79">
        <v>6155</v>
      </c>
      <c r="F7" s="47"/>
      <c r="G7" s="47"/>
      <c r="H7" s="47"/>
      <c r="I7" s="47"/>
      <c r="J7" s="47"/>
      <c r="K7" s="84"/>
      <c r="L7" s="47"/>
      <c r="M7" s="47"/>
      <c r="N7" s="47"/>
      <c r="O7" s="47"/>
      <c r="P7" s="47"/>
      <c r="Q7" s="47"/>
      <c r="R7" s="47">
        <f t="shared" si="0"/>
        <v>6155</v>
      </c>
    </row>
    <row r="8" spans="1:18" x14ac:dyDescent="0.35">
      <c r="A8" s="76">
        <v>4</v>
      </c>
      <c r="B8" s="77" t="s">
        <v>17</v>
      </c>
      <c r="C8" s="9" t="s">
        <v>18</v>
      </c>
      <c r="D8" s="76" t="s">
        <v>19</v>
      </c>
      <c r="E8" s="79">
        <v>1217315.6837100901</v>
      </c>
      <c r="F8" s="47"/>
      <c r="G8" s="47"/>
      <c r="H8" s="47"/>
      <c r="I8" s="47"/>
      <c r="J8" s="47"/>
      <c r="K8" s="84"/>
      <c r="L8" s="47"/>
      <c r="M8" s="47"/>
      <c r="N8" s="47"/>
      <c r="O8" s="47"/>
      <c r="P8" s="47"/>
      <c r="Q8" s="47"/>
      <c r="R8" s="47">
        <f t="shared" si="0"/>
        <v>1217315.6837100901</v>
      </c>
    </row>
    <row r="9" spans="1:18" x14ac:dyDescent="0.35">
      <c r="A9" s="76">
        <v>5</v>
      </c>
      <c r="B9" s="77" t="s">
        <v>20</v>
      </c>
      <c r="C9" s="9" t="s">
        <v>21</v>
      </c>
      <c r="D9" s="76" t="s">
        <v>22</v>
      </c>
      <c r="E9" s="79">
        <v>2229525.2915070974</v>
      </c>
      <c r="F9" s="47"/>
      <c r="G9" s="47"/>
      <c r="H9" s="47"/>
      <c r="I9" s="47"/>
      <c r="J9" s="47"/>
      <c r="K9" s="84"/>
      <c r="L9" s="47"/>
      <c r="M9" s="47"/>
      <c r="N9" s="47"/>
      <c r="O9" s="47"/>
      <c r="P9" s="47">
        <v>-2651746</v>
      </c>
      <c r="Q9" s="47"/>
      <c r="R9" s="47">
        <f t="shared" si="0"/>
        <v>-422220.70849290257</v>
      </c>
    </row>
    <row r="10" spans="1:18" x14ac:dyDescent="0.35">
      <c r="A10" s="76">
        <v>6</v>
      </c>
      <c r="B10" s="77" t="s">
        <v>23</v>
      </c>
      <c r="C10" s="9" t="s">
        <v>1757</v>
      </c>
      <c r="D10" s="76" t="s">
        <v>25</v>
      </c>
      <c r="E10" s="79">
        <v>15062212.813497629</v>
      </c>
      <c r="F10" s="47"/>
      <c r="G10" s="47"/>
      <c r="H10" s="47"/>
      <c r="I10" s="47"/>
      <c r="J10" s="47"/>
      <c r="K10" s="84"/>
      <c r="L10" s="47"/>
      <c r="M10" s="47"/>
      <c r="N10" s="47"/>
      <c r="O10" s="47">
        <v>-15861822</v>
      </c>
      <c r="P10" s="47"/>
      <c r="Q10" s="47"/>
      <c r="R10" s="47">
        <f>E10+F10+G10+H10+I10+J10+K10+L10+M10+N10+O10+P10+Q10</f>
        <v>-799609.18650237098</v>
      </c>
    </row>
    <row r="11" spans="1:18" x14ac:dyDescent="0.35">
      <c r="A11" s="76">
        <v>7</v>
      </c>
      <c r="B11" s="77" t="s">
        <v>39</v>
      </c>
      <c r="C11" s="9" t="s">
        <v>1583</v>
      </c>
      <c r="D11" s="76" t="s">
        <v>41</v>
      </c>
      <c r="E11" s="79">
        <v>250663.24936907971</v>
      </c>
      <c r="F11" s="47"/>
      <c r="G11" s="47"/>
      <c r="H11" s="47"/>
      <c r="I11" s="47"/>
      <c r="J11" s="47"/>
      <c r="K11" s="84"/>
      <c r="L11" s="47"/>
      <c r="M11" s="47"/>
      <c r="N11" s="47"/>
      <c r="O11" s="47"/>
      <c r="P11" s="47"/>
      <c r="Q11" s="47"/>
      <c r="R11" s="47">
        <f t="shared" si="0"/>
        <v>250663.24936907971</v>
      </c>
    </row>
    <row r="12" spans="1:18" x14ac:dyDescent="0.35">
      <c r="A12" s="76">
        <v>8</v>
      </c>
      <c r="B12" s="77" t="s">
        <v>42</v>
      </c>
      <c r="C12" s="9" t="s">
        <v>1749</v>
      </c>
      <c r="D12" s="76" t="s">
        <v>14</v>
      </c>
      <c r="E12" s="79">
        <v>5114337.2027084157</v>
      </c>
      <c r="F12" s="47"/>
      <c r="G12" s="47"/>
      <c r="H12" s="47"/>
      <c r="I12" s="47"/>
      <c r="J12" s="47"/>
      <c r="K12" s="84"/>
      <c r="L12" s="47"/>
      <c r="M12" s="47"/>
      <c r="N12" s="47"/>
      <c r="O12" s="47"/>
      <c r="P12" s="47"/>
      <c r="Q12" s="47"/>
      <c r="R12" s="47">
        <f t="shared" si="0"/>
        <v>5114337.2027084157</v>
      </c>
    </row>
    <row r="13" spans="1:18" x14ac:dyDescent="0.35">
      <c r="A13" s="76">
        <v>9</v>
      </c>
      <c r="B13" s="77" t="s">
        <v>44</v>
      </c>
      <c r="C13" s="9" t="s">
        <v>45</v>
      </c>
      <c r="D13" s="76" t="s">
        <v>46</v>
      </c>
      <c r="E13" s="79">
        <v>655986</v>
      </c>
      <c r="F13" s="47"/>
      <c r="G13" s="47"/>
      <c r="H13" s="47"/>
      <c r="I13" s="47"/>
      <c r="J13" s="47"/>
      <c r="K13" s="84"/>
      <c r="L13" s="47"/>
      <c r="M13" s="47"/>
      <c r="N13" s="47"/>
      <c r="O13" s="47"/>
      <c r="P13" s="47"/>
      <c r="Q13" s="47"/>
      <c r="R13" s="47">
        <f t="shared" si="0"/>
        <v>655986</v>
      </c>
    </row>
    <row r="14" spans="1:18" x14ac:dyDescent="0.35">
      <c r="A14" s="76">
        <v>10</v>
      </c>
      <c r="B14" s="77" t="s">
        <v>47</v>
      </c>
      <c r="C14" s="9" t="s">
        <v>48</v>
      </c>
      <c r="D14" s="76" t="s">
        <v>49</v>
      </c>
      <c r="E14" s="79">
        <v>214116.93703242391</v>
      </c>
      <c r="F14" s="47"/>
      <c r="G14" s="47"/>
      <c r="H14" s="47"/>
      <c r="I14" s="47"/>
      <c r="J14" s="47"/>
      <c r="K14" s="84"/>
      <c r="L14" s="47"/>
      <c r="M14" s="47"/>
      <c r="N14" s="47"/>
      <c r="O14" s="47"/>
      <c r="P14" s="47"/>
      <c r="Q14" s="47"/>
      <c r="R14" s="47">
        <f t="shared" si="0"/>
        <v>214116.93703242391</v>
      </c>
    </row>
    <row r="15" spans="1:18" x14ac:dyDescent="0.35">
      <c r="A15" s="76">
        <v>11</v>
      </c>
      <c r="B15" s="77" t="s">
        <v>50</v>
      </c>
      <c r="C15" s="9" t="s">
        <v>1584</v>
      </c>
      <c r="D15" s="76" t="s">
        <v>52</v>
      </c>
      <c r="E15" s="79">
        <v>178433</v>
      </c>
      <c r="F15" s="47"/>
      <c r="G15" s="47"/>
      <c r="H15" s="47"/>
      <c r="I15" s="47"/>
      <c r="J15" s="47"/>
      <c r="K15" s="84"/>
      <c r="L15" s="47"/>
      <c r="M15" s="47"/>
      <c r="N15" s="47"/>
      <c r="O15" s="47"/>
      <c r="P15" s="47"/>
      <c r="Q15" s="47"/>
      <c r="R15" s="47">
        <f t="shared" si="0"/>
        <v>178433</v>
      </c>
    </row>
    <row r="16" spans="1:18" x14ac:dyDescent="0.35">
      <c r="A16" s="76">
        <v>12</v>
      </c>
      <c r="B16" s="77" t="s">
        <v>53</v>
      </c>
      <c r="C16" s="9" t="s">
        <v>1585</v>
      </c>
      <c r="D16" s="76" t="s">
        <v>55</v>
      </c>
      <c r="E16" s="79">
        <v>-0.30986904259771109</v>
      </c>
      <c r="F16" s="47"/>
      <c r="G16" s="47"/>
      <c r="H16" s="47"/>
      <c r="I16" s="47"/>
      <c r="J16" s="47"/>
      <c r="K16" s="84"/>
      <c r="L16" s="47"/>
      <c r="M16" s="47"/>
      <c r="N16" s="47"/>
      <c r="O16" s="47"/>
      <c r="P16" s="47"/>
      <c r="Q16" s="47"/>
      <c r="R16" s="47">
        <f t="shared" si="0"/>
        <v>-0.30986904259771109</v>
      </c>
    </row>
    <row r="17" spans="1:18" x14ac:dyDescent="0.35">
      <c r="A17" s="76">
        <v>13</v>
      </c>
      <c r="B17" s="77" t="s">
        <v>56</v>
      </c>
      <c r="C17" s="9" t="s">
        <v>57</v>
      </c>
      <c r="D17" s="76" t="s">
        <v>49</v>
      </c>
      <c r="E17" s="79">
        <v>2245019</v>
      </c>
      <c r="F17" s="47"/>
      <c r="G17" s="47"/>
      <c r="H17" s="47"/>
      <c r="I17" s="47"/>
      <c r="J17" s="47"/>
      <c r="K17" s="84"/>
      <c r="L17" s="47"/>
      <c r="M17" s="47"/>
      <c r="N17" s="47"/>
      <c r="O17" s="47"/>
      <c r="P17" s="47"/>
      <c r="Q17" s="47"/>
      <c r="R17" s="47">
        <f t="shared" si="0"/>
        <v>2245019</v>
      </c>
    </row>
    <row r="18" spans="1:18" x14ac:dyDescent="0.35">
      <c r="A18" s="76">
        <v>14</v>
      </c>
      <c r="B18" s="77" t="s">
        <v>58</v>
      </c>
      <c r="C18" s="9" t="s">
        <v>1781</v>
      </c>
      <c r="D18" s="76" t="s">
        <v>60</v>
      </c>
      <c r="E18" s="79">
        <v>4257094.6857161894</v>
      </c>
      <c r="F18" s="47"/>
      <c r="G18" s="47"/>
      <c r="H18" s="47"/>
      <c r="I18" s="47"/>
      <c r="J18" s="47"/>
      <c r="K18" s="84"/>
      <c r="L18" s="47"/>
      <c r="M18" s="47"/>
      <c r="N18" s="47"/>
      <c r="O18" s="47"/>
      <c r="P18" s="47"/>
      <c r="Q18" s="47"/>
      <c r="R18" s="47">
        <f t="shared" si="0"/>
        <v>4257094.6857161894</v>
      </c>
    </row>
    <row r="19" spans="1:18" x14ac:dyDescent="0.35">
      <c r="A19" s="76">
        <v>15</v>
      </c>
      <c r="B19" s="77" t="s">
        <v>61</v>
      </c>
      <c r="C19" s="9" t="s">
        <v>62</v>
      </c>
      <c r="D19" s="76" t="s">
        <v>49</v>
      </c>
      <c r="E19" s="79">
        <v>131136.88025422418</v>
      </c>
      <c r="F19" s="47"/>
      <c r="G19" s="47"/>
      <c r="H19" s="47"/>
      <c r="I19" s="47"/>
      <c r="J19" s="47"/>
      <c r="K19" s="84"/>
      <c r="L19" s="47"/>
      <c r="M19" s="47"/>
      <c r="N19" s="47"/>
      <c r="O19" s="47"/>
      <c r="P19" s="47"/>
      <c r="Q19" s="47"/>
      <c r="R19" s="47">
        <f t="shared" si="0"/>
        <v>131136.88025422418</v>
      </c>
    </row>
    <row r="20" spans="1:18" x14ac:dyDescent="0.35">
      <c r="A20" s="76">
        <v>16</v>
      </c>
      <c r="B20" s="77" t="s">
        <v>63</v>
      </c>
      <c r="C20" s="9" t="s">
        <v>1586</v>
      </c>
      <c r="D20" s="76" t="s">
        <v>65</v>
      </c>
      <c r="E20" s="79">
        <v>-0.24917701166123152</v>
      </c>
      <c r="F20" s="47"/>
      <c r="G20" s="47"/>
      <c r="H20" s="47"/>
      <c r="I20" s="47"/>
      <c r="J20" s="47"/>
      <c r="K20" s="84"/>
      <c r="L20" s="47"/>
      <c r="M20" s="47"/>
      <c r="N20" s="47"/>
      <c r="O20" s="47"/>
      <c r="P20" s="47"/>
      <c r="Q20" s="47"/>
      <c r="R20" s="47">
        <f t="shared" si="0"/>
        <v>-0.24917701166123152</v>
      </c>
    </row>
    <row r="21" spans="1:18" x14ac:dyDescent="0.35">
      <c r="A21" s="76">
        <v>17</v>
      </c>
      <c r="B21" s="77" t="s">
        <v>66</v>
      </c>
      <c r="C21" s="9" t="s">
        <v>1587</v>
      </c>
      <c r="D21" s="76" t="s">
        <v>25</v>
      </c>
      <c r="E21" s="79">
        <v>11842161.64933815</v>
      </c>
      <c r="F21" s="47">
        <v>-11842162</v>
      </c>
      <c r="G21" s="47"/>
      <c r="H21" s="47"/>
      <c r="I21" s="47"/>
      <c r="J21" s="47"/>
      <c r="K21" s="84"/>
      <c r="L21" s="47"/>
      <c r="M21" s="47"/>
      <c r="N21" s="47"/>
      <c r="O21" s="47"/>
      <c r="P21" s="47"/>
      <c r="Q21" s="47"/>
      <c r="R21" s="47">
        <f t="shared" si="0"/>
        <v>-0.35066184960305691</v>
      </c>
    </row>
    <row r="22" spans="1:18" x14ac:dyDescent="0.35">
      <c r="A22" s="76">
        <v>18</v>
      </c>
      <c r="B22" s="77" t="s">
        <v>68</v>
      </c>
      <c r="C22" s="9" t="s">
        <v>1588</v>
      </c>
      <c r="D22" s="76" t="s">
        <v>19</v>
      </c>
      <c r="E22" s="79">
        <v>944319.44910094142</v>
      </c>
      <c r="F22" s="47"/>
      <c r="G22" s="47"/>
      <c r="H22" s="47"/>
      <c r="I22" s="47"/>
      <c r="J22" s="47"/>
      <c r="K22" s="84"/>
      <c r="L22" s="47"/>
      <c r="M22" s="47"/>
      <c r="N22" s="47"/>
      <c r="O22" s="47"/>
      <c r="P22" s="47"/>
      <c r="Q22" s="47"/>
      <c r="R22" s="47">
        <f t="shared" si="0"/>
        <v>944319.44910094142</v>
      </c>
    </row>
    <row r="23" spans="1:18" x14ac:dyDescent="0.35">
      <c r="A23" s="76">
        <v>19</v>
      </c>
      <c r="B23" s="77" t="s">
        <v>70</v>
      </c>
      <c r="C23" s="9" t="s">
        <v>1589</v>
      </c>
      <c r="D23" s="76" t="s">
        <v>72</v>
      </c>
      <c r="E23" s="79">
        <v>6374025</v>
      </c>
      <c r="F23" s="47"/>
      <c r="G23" s="47"/>
      <c r="H23" s="47"/>
      <c r="I23" s="47"/>
      <c r="J23" s="47"/>
      <c r="K23" s="84"/>
      <c r="L23" s="47"/>
      <c r="M23" s="47"/>
      <c r="N23" s="47"/>
      <c r="O23" s="47"/>
      <c r="P23" s="47"/>
      <c r="Q23" s="47"/>
      <c r="R23" s="47">
        <f t="shared" si="0"/>
        <v>6374025</v>
      </c>
    </row>
    <row r="24" spans="1:18" x14ac:dyDescent="0.35">
      <c r="A24" s="76">
        <v>20</v>
      </c>
      <c r="B24" s="77" t="s">
        <v>73</v>
      </c>
      <c r="C24" s="9" t="s">
        <v>1590</v>
      </c>
      <c r="D24" s="76" t="s">
        <v>72</v>
      </c>
      <c r="E24" s="79">
        <v>93974.00803951174</v>
      </c>
      <c r="F24" s="47"/>
      <c r="G24" s="47"/>
      <c r="H24" s="47"/>
      <c r="I24" s="47"/>
      <c r="J24" s="47"/>
      <c r="K24" s="84"/>
      <c r="L24" s="47"/>
      <c r="M24" s="47"/>
      <c r="N24" s="47"/>
      <c r="O24" s="47"/>
      <c r="P24" s="47"/>
      <c r="Q24" s="47"/>
      <c r="R24" s="47">
        <f t="shared" si="0"/>
        <v>93974.00803951174</v>
      </c>
    </row>
    <row r="25" spans="1:18" x14ac:dyDescent="0.35">
      <c r="A25" s="76">
        <v>21</v>
      </c>
      <c r="B25" s="77" t="s">
        <v>75</v>
      </c>
      <c r="C25" s="9" t="s">
        <v>1591</v>
      </c>
      <c r="D25" s="76" t="s">
        <v>77</v>
      </c>
      <c r="E25" s="79">
        <v>10257.862840637797</v>
      </c>
      <c r="F25" s="47"/>
      <c r="G25" s="47"/>
      <c r="H25" s="47"/>
      <c r="I25" s="47"/>
      <c r="J25" s="47"/>
      <c r="K25" s="84"/>
      <c r="L25" s="47"/>
      <c r="M25" s="47"/>
      <c r="N25" s="47"/>
      <c r="O25" s="47"/>
      <c r="P25" s="47"/>
      <c r="Q25" s="47"/>
      <c r="R25" s="47">
        <f t="shared" si="0"/>
        <v>10257.862840637797</v>
      </c>
    </row>
    <row r="26" spans="1:18" x14ac:dyDescent="0.35">
      <c r="A26" s="76">
        <v>22</v>
      </c>
      <c r="B26" s="77" t="s">
        <v>78</v>
      </c>
      <c r="C26" s="9" t="s">
        <v>79</v>
      </c>
      <c r="D26" s="76" t="s">
        <v>80</v>
      </c>
      <c r="E26" s="79">
        <v>-0.26117865927517414</v>
      </c>
      <c r="F26" s="47"/>
      <c r="G26" s="47"/>
      <c r="H26" s="47"/>
      <c r="I26" s="47"/>
      <c r="J26" s="47"/>
      <c r="K26" s="84"/>
      <c r="L26" s="47"/>
      <c r="M26" s="47"/>
      <c r="N26" s="47"/>
      <c r="O26" s="47"/>
      <c r="P26" s="47"/>
      <c r="Q26" s="47"/>
      <c r="R26" s="47">
        <f t="shared" si="0"/>
        <v>-0.26117865927517414</v>
      </c>
    </row>
    <row r="27" spans="1:18" x14ac:dyDescent="0.35">
      <c r="A27" s="76">
        <v>23</v>
      </c>
      <c r="B27" s="77" t="s">
        <v>81</v>
      </c>
      <c r="C27" s="9" t="s">
        <v>1592</v>
      </c>
      <c r="D27" s="76" t="s">
        <v>83</v>
      </c>
      <c r="E27" s="79">
        <v>0.10110832378268242</v>
      </c>
      <c r="F27" s="47"/>
      <c r="G27" s="47"/>
      <c r="H27" s="47"/>
      <c r="I27" s="47"/>
      <c r="J27" s="47"/>
      <c r="K27" s="84"/>
      <c r="L27" s="47"/>
      <c r="M27" s="47"/>
      <c r="N27" s="47"/>
      <c r="O27" s="47"/>
      <c r="P27" s="47"/>
      <c r="Q27" s="47"/>
      <c r="R27" s="47">
        <f t="shared" si="0"/>
        <v>0.10110832378268242</v>
      </c>
    </row>
    <row r="28" spans="1:18" x14ac:dyDescent="0.35">
      <c r="A28" s="76">
        <v>24</v>
      </c>
      <c r="B28" s="77" t="s">
        <v>84</v>
      </c>
      <c r="C28" s="9" t="s">
        <v>1593</v>
      </c>
      <c r="D28" s="76" t="s">
        <v>72</v>
      </c>
      <c r="E28" s="79">
        <v>91043.698968475335</v>
      </c>
      <c r="F28" s="47"/>
      <c r="G28" s="47"/>
      <c r="H28" s="47"/>
      <c r="I28" s="47"/>
      <c r="J28" s="47"/>
      <c r="K28" s="84"/>
      <c r="L28" s="47"/>
      <c r="M28" s="47"/>
      <c r="N28" s="47"/>
      <c r="O28" s="47"/>
      <c r="P28" s="47"/>
      <c r="Q28" s="47"/>
      <c r="R28" s="47">
        <f t="shared" si="0"/>
        <v>91043.698968475335</v>
      </c>
    </row>
    <row r="29" spans="1:18" x14ac:dyDescent="0.35">
      <c r="A29" s="76">
        <v>25</v>
      </c>
      <c r="B29" s="77" t="s">
        <v>86</v>
      </c>
      <c r="C29" s="9" t="s">
        <v>87</v>
      </c>
      <c r="D29" s="76" t="s">
        <v>65</v>
      </c>
      <c r="E29" s="79">
        <v>1783497.3494085006</v>
      </c>
      <c r="F29" s="47"/>
      <c r="G29" s="47"/>
      <c r="H29" s="47"/>
      <c r="I29" s="47"/>
      <c r="J29" s="47"/>
      <c r="K29" s="84"/>
      <c r="L29" s="47">
        <v>-235552.21634456379</v>
      </c>
      <c r="M29" s="47"/>
      <c r="N29" s="47"/>
      <c r="O29" s="47"/>
      <c r="P29" s="47"/>
      <c r="Q29" s="47"/>
      <c r="R29" s="47">
        <f>E29+F29+G29+H29+I29+J29+K29+L29+M29+N29+O29+P29+Q29</f>
        <v>1547945.1330639368</v>
      </c>
    </row>
    <row r="30" spans="1:18" x14ac:dyDescent="0.35">
      <c r="A30" s="76">
        <v>26</v>
      </c>
      <c r="B30" s="77" t="s">
        <v>88</v>
      </c>
      <c r="C30" s="9" t="s">
        <v>1975</v>
      </c>
      <c r="D30" s="76" t="s">
        <v>80</v>
      </c>
      <c r="E30" s="79">
        <v>168972.27914970811</v>
      </c>
      <c r="F30" s="47"/>
      <c r="G30" s="47"/>
      <c r="H30" s="47"/>
      <c r="I30" s="47"/>
      <c r="J30" s="47"/>
      <c r="K30" s="84"/>
      <c r="L30" s="47"/>
      <c r="M30" s="47"/>
      <c r="N30" s="47"/>
      <c r="O30" s="47"/>
      <c r="P30" s="47"/>
      <c r="Q30" s="47"/>
      <c r="R30" s="47">
        <f t="shared" ref="R30:R93" si="1">E30+F30+G30+H30+I30+J30+K30+L30+M30+N30+O30+P30+Q30</f>
        <v>168972.27914970811</v>
      </c>
    </row>
    <row r="31" spans="1:18" x14ac:dyDescent="0.35">
      <c r="A31" s="76">
        <v>27</v>
      </c>
      <c r="B31" s="77" t="s">
        <v>90</v>
      </c>
      <c r="C31" s="9" t="s">
        <v>91</v>
      </c>
      <c r="D31" s="76" t="s">
        <v>92</v>
      </c>
      <c r="E31" s="79">
        <v>3875093.3881559232</v>
      </c>
      <c r="F31" s="47"/>
      <c r="G31" s="47"/>
      <c r="H31" s="47"/>
      <c r="I31" s="47"/>
      <c r="J31" s="47"/>
      <c r="K31" s="84"/>
      <c r="L31" s="47"/>
      <c r="M31" s="47"/>
      <c r="N31" s="47"/>
      <c r="O31" s="47"/>
      <c r="P31" s="47"/>
      <c r="Q31" s="47"/>
      <c r="R31" s="47">
        <f t="shared" si="1"/>
        <v>3875093.3881559232</v>
      </c>
    </row>
    <row r="32" spans="1:18" x14ac:dyDescent="0.35">
      <c r="A32" s="76">
        <v>28</v>
      </c>
      <c r="B32" s="77" t="s">
        <v>93</v>
      </c>
      <c r="C32" s="9" t="s">
        <v>1594</v>
      </c>
      <c r="D32" s="76" t="s">
        <v>95</v>
      </c>
      <c r="E32" s="79">
        <v>758204</v>
      </c>
      <c r="F32" s="47"/>
      <c r="G32" s="47"/>
      <c r="H32" s="47"/>
      <c r="I32" s="47"/>
      <c r="J32" s="47"/>
      <c r="K32" s="84"/>
      <c r="L32" s="47"/>
      <c r="M32" s="47"/>
      <c r="N32" s="47"/>
      <c r="O32" s="47"/>
      <c r="P32" s="47"/>
      <c r="Q32" s="47"/>
      <c r="R32" s="47">
        <f t="shared" si="1"/>
        <v>758204</v>
      </c>
    </row>
    <row r="33" spans="1:18" x14ac:dyDescent="0.35">
      <c r="A33" s="76">
        <v>29</v>
      </c>
      <c r="B33" s="77" t="s">
        <v>96</v>
      </c>
      <c r="C33" s="9" t="s">
        <v>1977</v>
      </c>
      <c r="D33" s="76" t="s">
        <v>98</v>
      </c>
      <c r="E33" s="79">
        <v>287113.33870904706</v>
      </c>
      <c r="F33" s="47"/>
      <c r="G33" s="47"/>
      <c r="H33" s="47"/>
      <c r="I33" s="47"/>
      <c r="J33" s="47"/>
      <c r="K33" s="84"/>
      <c r="L33" s="47"/>
      <c r="M33" s="47"/>
      <c r="N33" s="47"/>
      <c r="O33" s="47"/>
      <c r="P33" s="47"/>
      <c r="Q33" s="47"/>
      <c r="R33" s="47">
        <f t="shared" si="1"/>
        <v>287113.33870904706</v>
      </c>
    </row>
    <row r="34" spans="1:18" x14ac:dyDescent="0.35">
      <c r="A34" s="76">
        <v>30</v>
      </c>
      <c r="B34" s="77" t="s">
        <v>99</v>
      </c>
      <c r="C34" s="9" t="s">
        <v>1595</v>
      </c>
      <c r="D34" s="76" t="s">
        <v>41</v>
      </c>
      <c r="E34" s="79">
        <v>19727391.222606033</v>
      </c>
      <c r="F34" s="47"/>
      <c r="G34" s="47"/>
      <c r="H34" s="47"/>
      <c r="I34" s="47"/>
      <c r="J34" s="47"/>
      <c r="K34" s="84"/>
      <c r="L34" s="47"/>
      <c r="M34" s="47"/>
      <c r="N34" s="47"/>
      <c r="O34" s="47"/>
      <c r="P34" s="47"/>
      <c r="Q34" s="47"/>
      <c r="R34" s="47">
        <f t="shared" si="1"/>
        <v>19727391.222606033</v>
      </c>
    </row>
    <row r="35" spans="1:18" x14ac:dyDescent="0.35">
      <c r="A35" s="76">
        <v>31</v>
      </c>
      <c r="B35" s="77" t="s">
        <v>101</v>
      </c>
      <c r="C35" s="9" t="s">
        <v>2238</v>
      </c>
      <c r="D35" s="76" t="s">
        <v>103</v>
      </c>
      <c r="E35" s="79">
        <v>6717668.6778727239</v>
      </c>
      <c r="F35" s="47"/>
      <c r="G35" s="47"/>
      <c r="H35" s="47"/>
      <c r="I35" s="47"/>
      <c r="J35" s="47"/>
      <c r="K35" s="84"/>
      <c r="L35" s="47"/>
      <c r="M35" s="47"/>
      <c r="N35" s="47"/>
      <c r="O35" s="47"/>
      <c r="P35" s="47"/>
      <c r="Q35" s="47"/>
      <c r="R35" s="47">
        <f t="shared" si="1"/>
        <v>6717668.6778727239</v>
      </c>
    </row>
    <row r="36" spans="1:18" x14ac:dyDescent="0.35">
      <c r="A36" s="76">
        <v>32</v>
      </c>
      <c r="B36" s="77" t="s">
        <v>104</v>
      </c>
      <c r="C36" s="9" t="s">
        <v>1596</v>
      </c>
      <c r="D36" s="76" t="s">
        <v>95</v>
      </c>
      <c r="E36" s="79">
        <v>2979690.5134089058</v>
      </c>
      <c r="F36" s="47"/>
      <c r="G36" s="47"/>
      <c r="H36" s="47"/>
      <c r="I36" s="47"/>
      <c r="J36" s="47"/>
      <c r="K36" s="84"/>
      <c r="L36" s="47"/>
      <c r="M36" s="47"/>
      <c r="N36" s="47"/>
      <c r="O36" s="47"/>
      <c r="P36" s="47"/>
      <c r="Q36" s="47"/>
      <c r="R36" s="47">
        <f t="shared" si="1"/>
        <v>2979690.5134089058</v>
      </c>
    </row>
    <row r="37" spans="1:18" x14ac:dyDescent="0.35">
      <c r="A37" s="76">
        <v>33</v>
      </c>
      <c r="B37" s="77" t="s">
        <v>106</v>
      </c>
      <c r="C37" s="9" t="s">
        <v>1766</v>
      </c>
      <c r="D37" s="76" t="s">
        <v>108</v>
      </c>
      <c r="E37" s="79">
        <v>8565906.6821377259</v>
      </c>
      <c r="F37" s="47"/>
      <c r="G37" s="47"/>
      <c r="H37" s="47"/>
      <c r="I37" s="47"/>
      <c r="J37" s="47"/>
      <c r="K37" s="84"/>
      <c r="L37" s="47"/>
      <c r="M37" s="47"/>
      <c r="N37" s="47"/>
      <c r="O37" s="47"/>
      <c r="P37" s="47"/>
      <c r="Q37" s="47"/>
      <c r="R37" s="47">
        <f t="shared" si="1"/>
        <v>8565906.6821377259</v>
      </c>
    </row>
    <row r="38" spans="1:18" x14ac:dyDescent="0.35">
      <c r="A38" s="76">
        <v>34</v>
      </c>
      <c r="B38" s="77" t="s">
        <v>109</v>
      </c>
      <c r="C38" s="9" t="s">
        <v>1774</v>
      </c>
      <c r="D38" s="76" t="s">
        <v>72</v>
      </c>
      <c r="E38" s="79">
        <v>3956525.8190196324</v>
      </c>
      <c r="F38" s="47"/>
      <c r="G38" s="47"/>
      <c r="H38" s="47"/>
      <c r="I38" s="47"/>
      <c r="J38" s="47"/>
      <c r="K38" s="84"/>
      <c r="L38" s="47"/>
      <c r="M38" s="47"/>
      <c r="N38" s="47"/>
      <c r="O38" s="47"/>
      <c r="P38" s="47"/>
      <c r="Q38" s="47"/>
      <c r="R38" s="47">
        <f t="shared" si="1"/>
        <v>3956525.8190196324</v>
      </c>
    </row>
    <row r="39" spans="1:18" x14ac:dyDescent="0.35">
      <c r="A39" s="76">
        <v>35</v>
      </c>
      <c r="B39" s="77" t="s">
        <v>111</v>
      </c>
      <c r="C39" s="9" t="s">
        <v>1857</v>
      </c>
      <c r="D39" s="76" t="s">
        <v>113</v>
      </c>
      <c r="E39" s="79">
        <v>3299412.1448247475</v>
      </c>
      <c r="F39" s="47"/>
      <c r="G39" s="47"/>
      <c r="H39" s="47"/>
      <c r="I39" s="47"/>
      <c r="J39" s="47"/>
      <c r="K39" s="84"/>
      <c r="L39" s="47"/>
      <c r="M39" s="47"/>
      <c r="N39" s="47"/>
      <c r="O39" s="47"/>
      <c r="P39" s="47"/>
      <c r="Q39" s="47"/>
      <c r="R39" s="47">
        <f t="shared" si="1"/>
        <v>3299412.1448247475</v>
      </c>
    </row>
    <row r="40" spans="1:18" x14ac:dyDescent="0.35">
      <c r="A40" s="76">
        <v>36</v>
      </c>
      <c r="B40" s="77" t="s">
        <v>114</v>
      </c>
      <c r="C40" s="9" t="s">
        <v>1979</v>
      </c>
      <c r="D40" s="76" t="s">
        <v>116</v>
      </c>
      <c r="E40" s="79">
        <v>2945305.336628363</v>
      </c>
      <c r="F40" s="47"/>
      <c r="G40" s="47"/>
      <c r="H40" s="47"/>
      <c r="I40" s="47"/>
      <c r="J40" s="47"/>
      <c r="K40" s="84"/>
      <c r="L40" s="47"/>
      <c r="M40" s="47"/>
      <c r="N40" s="47"/>
      <c r="O40" s="47"/>
      <c r="P40" s="47"/>
      <c r="Q40" s="47"/>
      <c r="R40" s="47">
        <f t="shared" si="1"/>
        <v>2945305.336628363</v>
      </c>
    </row>
    <row r="41" spans="1:18" x14ac:dyDescent="0.35">
      <c r="A41" s="76">
        <v>37</v>
      </c>
      <c r="B41" s="77" t="s">
        <v>117</v>
      </c>
      <c r="C41" s="9" t="s">
        <v>1597</v>
      </c>
      <c r="D41" s="76" t="s">
        <v>119</v>
      </c>
      <c r="E41" s="79">
        <v>4081046.0685511567</v>
      </c>
      <c r="F41" s="47"/>
      <c r="G41" s="47"/>
      <c r="H41" s="47"/>
      <c r="I41" s="47"/>
      <c r="J41" s="47"/>
      <c r="K41" s="84"/>
      <c r="L41" s="47"/>
      <c r="M41" s="47"/>
      <c r="N41" s="47"/>
      <c r="O41" s="47"/>
      <c r="P41" s="47"/>
      <c r="Q41" s="47"/>
      <c r="R41" s="47">
        <f t="shared" si="1"/>
        <v>4081046.0685511567</v>
      </c>
    </row>
    <row r="42" spans="1:18" x14ac:dyDescent="0.35">
      <c r="A42" s="76">
        <v>38</v>
      </c>
      <c r="B42" s="77" t="s">
        <v>120</v>
      </c>
      <c r="C42" s="9" t="s">
        <v>1960</v>
      </c>
      <c r="D42" s="76" t="s">
        <v>108</v>
      </c>
      <c r="E42" s="79">
        <v>7896834.365962714</v>
      </c>
      <c r="F42" s="47"/>
      <c r="G42" s="47"/>
      <c r="H42" s="47"/>
      <c r="I42" s="47"/>
      <c r="J42" s="47"/>
      <c r="K42" s="84"/>
      <c r="L42" s="47"/>
      <c r="M42" s="47"/>
      <c r="N42" s="47"/>
      <c r="O42" s="47"/>
      <c r="P42" s="47"/>
      <c r="Q42" s="47"/>
      <c r="R42" s="47">
        <f t="shared" si="1"/>
        <v>7896834.365962714</v>
      </c>
    </row>
    <row r="43" spans="1:18" x14ac:dyDescent="0.35">
      <c r="A43" s="76">
        <v>39</v>
      </c>
      <c r="B43" s="77" t="s">
        <v>121</v>
      </c>
      <c r="C43" s="9" t="s">
        <v>1598</v>
      </c>
      <c r="D43" s="76" t="s">
        <v>123</v>
      </c>
      <c r="E43" s="79">
        <v>2064898.0712188201</v>
      </c>
      <c r="F43" s="47"/>
      <c r="G43" s="47"/>
      <c r="H43" s="47"/>
      <c r="I43" s="47"/>
      <c r="J43" s="47"/>
      <c r="K43" s="84"/>
      <c r="L43" s="47"/>
      <c r="M43" s="47"/>
      <c r="N43" s="47"/>
      <c r="O43" s="47"/>
      <c r="P43" s="47"/>
      <c r="Q43" s="47"/>
      <c r="R43" s="47">
        <f t="shared" si="1"/>
        <v>2064898.0712188201</v>
      </c>
    </row>
    <row r="44" spans="1:18" x14ac:dyDescent="0.35">
      <c r="A44" s="76">
        <v>40</v>
      </c>
      <c r="B44" s="77" t="s">
        <v>124</v>
      </c>
      <c r="C44" s="9" t="s">
        <v>1599</v>
      </c>
      <c r="D44" s="76" t="s">
        <v>11</v>
      </c>
      <c r="E44" s="79">
        <v>2827924.8737752568</v>
      </c>
      <c r="F44" s="47"/>
      <c r="G44" s="47"/>
      <c r="H44" s="47"/>
      <c r="I44" s="47"/>
      <c r="J44" s="47"/>
      <c r="K44" s="84"/>
      <c r="L44" s="47"/>
      <c r="M44" s="47"/>
      <c r="N44" s="47"/>
      <c r="O44" s="47"/>
      <c r="P44" s="47"/>
      <c r="Q44" s="47"/>
      <c r="R44" s="47">
        <f t="shared" si="1"/>
        <v>2827924.8737752568</v>
      </c>
    </row>
    <row r="45" spans="1:18" x14ac:dyDescent="0.35">
      <c r="A45" s="76">
        <v>41</v>
      </c>
      <c r="B45" s="77" t="s">
        <v>126</v>
      </c>
      <c r="C45" s="9" t="s">
        <v>127</v>
      </c>
      <c r="D45" s="76" t="s">
        <v>128</v>
      </c>
      <c r="E45" s="79">
        <v>7707068.4083700227</v>
      </c>
      <c r="F45" s="47"/>
      <c r="G45" s="47"/>
      <c r="H45" s="47"/>
      <c r="I45" s="47"/>
      <c r="J45" s="47"/>
      <c r="K45" s="84"/>
      <c r="L45" s="47"/>
      <c r="M45" s="47"/>
      <c r="N45" s="47"/>
      <c r="O45" s="47"/>
      <c r="P45" s="47"/>
      <c r="Q45" s="47"/>
      <c r="R45" s="47">
        <f t="shared" si="1"/>
        <v>7707068.4083700227</v>
      </c>
    </row>
    <row r="46" spans="1:18" x14ac:dyDescent="0.35">
      <c r="A46" s="76">
        <v>42</v>
      </c>
      <c r="B46" s="77" t="s">
        <v>129</v>
      </c>
      <c r="C46" s="9" t="s">
        <v>1980</v>
      </c>
      <c r="D46" s="76" t="s">
        <v>131</v>
      </c>
      <c r="E46" s="79">
        <v>16262091.683633815</v>
      </c>
      <c r="F46" s="47"/>
      <c r="G46" s="47"/>
      <c r="H46" s="47"/>
      <c r="I46" s="47"/>
      <c r="J46" s="47"/>
      <c r="K46" s="84"/>
      <c r="L46" s="47"/>
      <c r="M46" s="47"/>
      <c r="N46" s="47"/>
      <c r="O46" s="47"/>
      <c r="P46" s="47"/>
      <c r="Q46" s="47"/>
      <c r="R46" s="47">
        <f t="shared" si="1"/>
        <v>16262091.683633815</v>
      </c>
    </row>
    <row r="47" spans="1:18" x14ac:dyDescent="0.35">
      <c r="A47" s="76">
        <v>43</v>
      </c>
      <c r="B47" s="77" t="s">
        <v>132</v>
      </c>
      <c r="C47" s="9" t="s">
        <v>2194</v>
      </c>
      <c r="D47" s="76" t="s">
        <v>77</v>
      </c>
      <c r="E47" s="79">
        <v>3247063</v>
      </c>
      <c r="F47" s="47"/>
      <c r="G47" s="47"/>
      <c r="H47" s="47"/>
      <c r="I47" s="47"/>
      <c r="J47" s="47"/>
      <c r="K47" s="84"/>
      <c r="L47" s="47"/>
      <c r="M47" s="47"/>
      <c r="N47" s="47"/>
      <c r="O47" s="47"/>
      <c r="P47" s="47"/>
      <c r="Q47" s="47"/>
      <c r="R47" s="47">
        <f t="shared" si="1"/>
        <v>3247063</v>
      </c>
    </row>
    <row r="48" spans="1:18" x14ac:dyDescent="0.35">
      <c r="A48" s="76">
        <v>44</v>
      </c>
      <c r="B48" s="77" t="s">
        <v>134</v>
      </c>
      <c r="C48" s="9" t="s">
        <v>1860</v>
      </c>
      <c r="D48" s="76" t="s">
        <v>136</v>
      </c>
      <c r="E48" s="79">
        <v>770309.49771898263</v>
      </c>
      <c r="F48" s="47"/>
      <c r="G48" s="47"/>
      <c r="H48" s="47"/>
      <c r="I48" s="47"/>
      <c r="J48" s="47"/>
      <c r="K48" s="84"/>
      <c r="L48" s="47">
        <v>-359813.1144045486</v>
      </c>
      <c r="M48" s="47"/>
      <c r="N48" s="47"/>
      <c r="O48" s="47"/>
      <c r="P48" s="47"/>
      <c r="Q48" s="47"/>
      <c r="R48" s="47">
        <f t="shared" si="1"/>
        <v>410496.38331443403</v>
      </c>
    </row>
    <row r="49" spans="1:18" x14ac:dyDescent="0.35">
      <c r="A49" s="76">
        <v>45</v>
      </c>
      <c r="B49" s="77" t="s">
        <v>137</v>
      </c>
      <c r="C49" s="9" t="s">
        <v>138</v>
      </c>
      <c r="D49" s="76" t="s">
        <v>49</v>
      </c>
      <c r="E49" s="79">
        <v>641073.39025210997</v>
      </c>
      <c r="F49" s="47"/>
      <c r="G49" s="47"/>
      <c r="H49" s="47"/>
      <c r="I49" s="47"/>
      <c r="J49" s="47"/>
      <c r="K49" s="84"/>
      <c r="L49" s="47"/>
      <c r="M49" s="47"/>
      <c r="N49" s="47"/>
      <c r="O49" s="47"/>
      <c r="P49" s="47"/>
      <c r="Q49" s="47"/>
      <c r="R49" s="47">
        <f t="shared" si="1"/>
        <v>641073.39025210997</v>
      </c>
    </row>
    <row r="50" spans="1:18" x14ac:dyDescent="0.35">
      <c r="A50" s="76">
        <v>46</v>
      </c>
      <c r="B50" s="77" t="s">
        <v>139</v>
      </c>
      <c r="C50" s="9" t="s">
        <v>1858</v>
      </c>
      <c r="D50" s="76" t="s">
        <v>141</v>
      </c>
      <c r="E50" s="79">
        <v>19427158.07501347</v>
      </c>
      <c r="F50" s="47"/>
      <c r="G50" s="47"/>
      <c r="H50" s="47"/>
      <c r="I50" s="47"/>
      <c r="J50" s="47"/>
      <c r="K50" s="84"/>
      <c r="L50" s="47"/>
      <c r="M50" s="47"/>
      <c r="N50" s="47"/>
      <c r="O50" s="47"/>
      <c r="P50" s="47"/>
      <c r="Q50" s="47"/>
      <c r="R50" s="47">
        <f t="shared" si="1"/>
        <v>19427158.07501347</v>
      </c>
    </row>
    <row r="51" spans="1:18" x14ac:dyDescent="0.35">
      <c r="A51" s="76">
        <v>47</v>
      </c>
      <c r="B51" s="77" t="s">
        <v>142</v>
      </c>
      <c r="C51" s="9" t="s">
        <v>1859</v>
      </c>
      <c r="D51" s="76" t="s">
        <v>144</v>
      </c>
      <c r="E51" s="79">
        <v>4118217.2876587412</v>
      </c>
      <c r="F51" s="47"/>
      <c r="G51" s="47"/>
      <c r="H51" s="47"/>
      <c r="I51" s="47"/>
      <c r="J51" s="47"/>
      <c r="K51" s="84"/>
      <c r="L51" s="47"/>
      <c r="M51" s="47"/>
      <c r="N51" s="47"/>
      <c r="O51" s="47"/>
      <c r="P51" s="47"/>
      <c r="Q51" s="47"/>
      <c r="R51" s="47">
        <f t="shared" si="1"/>
        <v>4118217.2876587412</v>
      </c>
    </row>
    <row r="52" spans="1:18" x14ac:dyDescent="0.35">
      <c r="A52" s="76">
        <v>48</v>
      </c>
      <c r="B52" s="77" t="s">
        <v>145</v>
      </c>
      <c r="C52" s="9" t="s">
        <v>1981</v>
      </c>
      <c r="D52" s="76" t="s">
        <v>77</v>
      </c>
      <c r="E52" s="79">
        <v>115593.923975816</v>
      </c>
      <c r="F52" s="47"/>
      <c r="G52" s="47"/>
      <c r="H52" s="47"/>
      <c r="I52" s="47"/>
      <c r="J52" s="47"/>
      <c r="K52" s="84"/>
      <c r="L52" s="47"/>
      <c r="M52" s="47"/>
      <c r="N52" s="47"/>
      <c r="O52" s="47"/>
      <c r="P52" s="47"/>
      <c r="Q52" s="47"/>
      <c r="R52" s="47">
        <f t="shared" si="1"/>
        <v>115593.923975816</v>
      </c>
    </row>
    <row r="53" spans="1:18" x14ac:dyDescent="0.35">
      <c r="A53" s="76">
        <v>49</v>
      </c>
      <c r="B53" s="77" t="s">
        <v>147</v>
      </c>
      <c r="C53" s="9" t="s">
        <v>1944</v>
      </c>
      <c r="D53" s="76" t="s">
        <v>60</v>
      </c>
      <c r="E53" s="79">
        <v>2074051.6122440724</v>
      </c>
      <c r="F53" s="47"/>
      <c r="G53" s="47"/>
      <c r="H53" s="47"/>
      <c r="I53" s="47"/>
      <c r="J53" s="47"/>
      <c r="K53" s="84"/>
      <c r="L53" s="47"/>
      <c r="M53" s="47"/>
      <c r="N53" s="47"/>
      <c r="O53" s="47"/>
      <c r="P53" s="47"/>
      <c r="Q53" s="47"/>
      <c r="R53" s="47">
        <f t="shared" si="1"/>
        <v>2074051.6122440724</v>
      </c>
    </row>
    <row r="54" spans="1:18" x14ac:dyDescent="0.35">
      <c r="A54" s="76">
        <v>50</v>
      </c>
      <c r="B54" s="77" t="s">
        <v>149</v>
      </c>
      <c r="C54" s="9" t="s">
        <v>1982</v>
      </c>
      <c r="D54" s="76" t="s">
        <v>46</v>
      </c>
      <c r="E54" s="79">
        <v>8738803.1494085155</v>
      </c>
      <c r="F54" s="47"/>
      <c r="G54" s="47"/>
      <c r="H54" s="47"/>
      <c r="I54" s="47"/>
      <c r="J54" s="47"/>
      <c r="K54" s="84"/>
      <c r="L54" s="47"/>
      <c r="M54" s="47"/>
      <c r="N54" s="47"/>
      <c r="O54" s="47"/>
      <c r="P54" s="47"/>
      <c r="Q54" s="47"/>
      <c r="R54" s="47">
        <f t="shared" si="1"/>
        <v>8738803.1494085155</v>
      </c>
    </row>
    <row r="55" spans="1:18" x14ac:dyDescent="0.35">
      <c r="A55" s="76">
        <v>51</v>
      </c>
      <c r="B55" s="77" t="s">
        <v>151</v>
      </c>
      <c r="C55" s="9" t="s">
        <v>152</v>
      </c>
      <c r="D55" s="76" t="s">
        <v>49</v>
      </c>
      <c r="E55" s="79">
        <v>366059.09164868237</v>
      </c>
      <c r="F55" s="47"/>
      <c r="G55" s="47"/>
      <c r="H55" s="47"/>
      <c r="I55" s="47"/>
      <c r="J55" s="47"/>
      <c r="K55" s="84"/>
      <c r="L55" s="47"/>
      <c r="M55" s="47"/>
      <c r="N55" s="47"/>
      <c r="O55" s="47"/>
      <c r="P55" s="47"/>
      <c r="Q55" s="47"/>
      <c r="R55" s="47">
        <f t="shared" si="1"/>
        <v>366059.09164868237</v>
      </c>
    </row>
    <row r="56" spans="1:18" x14ac:dyDescent="0.35">
      <c r="A56" s="76">
        <v>52</v>
      </c>
      <c r="B56" s="77" t="s">
        <v>153</v>
      </c>
      <c r="C56" s="9" t="s">
        <v>1946</v>
      </c>
      <c r="D56" s="76" t="s">
        <v>72</v>
      </c>
      <c r="E56" s="79">
        <v>4709402.1392603638</v>
      </c>
      <c r="F56" s="47"/>
      <c r="G56" s="47"/>
      <c r="H56" s="47"/>
      <c r="I56" s="47"/>
      <c r="J56" s="47"/>
      <c r="K56" s="84"/>
      <c r="L56" s="47">
        <v>-644033.54321704933</v>
      </c>
      <c r="M56" s="47"/>
      <c r="N56" s="47"/>
      <c r="O56" s="47"/>
      <c r="P56" s="47"/>
      <c r="Q56" s="47"/>
      <c r="R56" s="47">
        <f t="shared" si="1"/>
        <v>4065368.5960433143</v>
      </c>
    </row>
    <row r="57" spans="1:18" x14ac:dyDescent="0.35">
      <c r="A57" s="76">
        <v>53</v>
      </c>
      <c r="B57" s="77" t="s">
        <v>155</v>
      </c>
      <c r="C57" s="9" t="s">
        <v>1601</v>
      </c>
      <c r="D57" s="76" t="s">
        <v>49</v>
      </c>
      <c r="E57" s="79">
        <v>615</v>
      </c>
      <c r="F57" s="47"/>
      <c r="G57" s="47"/>
      <c r="H57" s="47"/>
      <c r="I57" s="47"/>
      <c r="J57" s="47"/>
      <c r="K57" s="84"/>
      <c r="L57" s="47"/>
      <c r="M57" s="47"/>
      <c r="N57" s="47"/>
      <c r="O57" s="47"/>
      <c r="P57" s="47"/>
      <c r="Q57" s="47"/>
      <c r="R57" s="47">
        <f t="shared" si="1"/>
        <v>615</v>
      </c>
    </row>
    <row r="58" spans="1:18" x14ac:dyDescent="0.35">
      <c r="A58" s="76">
        <v>54</v>
      </c>
      <c r="B58" s="77" t="s">
        <v>157</v>
      </c>
      <c r="C58" s="9" t="s">
        <v>1983</v>
      </c>
      <c r="D58" s="76" t="s">
        <v>159</v>
      </c>
      <c r="E58" s="79">
        <v>5619075.0889564529</v>
      </c>
      <c r="F58" s="47"/>
      <c r="G58" s="47"/>
      <c r="H58" s="47"/>
      <c r="I58" s="47"/>
      <c r="J58" s="47"/>
      <c r="K58" s="84"/>
      <c r="L58" s="47"/>
      <c r="M58" s="47"/>
      <c r="N58" s="47"/>
      <c r="O58" s="47"/>
      <c r="P58" s="47"/>
      <c r="Q58" s="47"/>
      <c r="R58" s="47">
        <f t="shared" si="1"/>
        <v>5619075.0889564529</v>
      </c>
    </row>
    <row r="59" spans="1:18" x14ac:dyDescent="0.35">
      <c r="A59" s="76">
        <v>55</v>
      </c>
      <c r="B59" s="77" t="s">
        <v>160</v>
      </c>
      <c r="C59" s="9" t="s">
        <v>161</v>
      </c>
      <c r="D59" s="76" t="s">
        <v>95</v>
      </c>
      <c r="E59" s="79">
        <v>360016.29083280242</v>
      </c>
      <c r="F59" s="47"/>
      <c r="G59" s="47"/>
      <c r="H59" s="47"/>
      <c r="I59" s="47"/>
      <c r="J59" s="47"/>
      <c r="K59" s="84"/>
      <c r="L59" s="47"/>
      <c r="M59" s="47"/>
      <c r="N59" s="47"/>
      <c r="O59" s="47"/>
      <c r="P59" s="47"/>
      <c r="Q59" s="47"/>
      <c r="R59" s="47">
        <f t="shared" si="1"/>
        <v>360016.29083280242</v>
      </c>
    </row>
    <row r="60" spans="1:18" x14ac:dyDescent="0.35">
      <c r="A60" s="76">
        <v>56</v>
      </c>
      <c r="B60" s="77" t="s">
        <v>162</v>
      </c>
      <c r="C60" s="9" t="s">
        <v>161</v>
      </c>
      <c r="D60" s="76" t="s">
        <v>49</v>
      </c>
      <c r="E60" s="79">
        <v>2689342</v>
      </c>
      <c r="F60" s="47"/>
      <c r="G60" s="47"/>
      <c r="H60" s="47"/>
      <c r="I60" s="47"/>
      <c r="J60" s="47"/>
      <c r="K60" s="84"/>
      <c r="L60" s="47"/>
      <c r="M60" s="47"/>
      <c r="N60" s="47"/>
      <c r="O60" s="47"/>
      <c r="P60" s="47"/>
      <c r="Q60" s="47"/>
      <c r="R60" s="47">
        <f t="shared" si="1"/>
        <v>2689342</v>
      </c>
    </row>
    <row r="61" spans="1:18" x14ac:dyDescent="0.35">
      <c r="A61" s="76">
        <v>57</v>
      </c>
      <c r="B61" s="77" t="s">
        <v>164</v>
      </c>
      <c r="C61" s="9" t="s">
        <v>1603</v>
      </c>
      <c r="D61" s="76" t="s">
        <v>166</v>
      </c>
      <c r="E61" s="79">
        <v>158480</v>
      </c>
      <c r="F61" s="47"/>
      <c r="G61" s="47"/>
      <c r="H61" s="47"/>
      <c r="I61" s="47"/>
      <c r="J61" s="47"/>
      <c r="K61" s="84"/>
      <c r="L61" s="47"/>
      <c r="M61" s="47"/>
      <c r="N61" s="47"/>
      <c r="O61" s="47"/>
      <c r="P61" s="47"/>
      <c r="Q61" s="47"/>
      <c r="R61" s="47">
        <f t="shared" si="1"/>
        <v>158480</v>
      </c>
    </row>
    <row r="62" spans="1:18" x14ac:dyDescent="0.35">
      <c r="A62" s="76">
        <v>58</v>
      </c>
      <c r="B62" s="77" t="s">
        <v>167</v>
      </c>
      <c r="C62" s="9" t="s">
        <v>168</v>
      </c>
      <c r="D62" s="76" t="s">
        <v>169</v>
      </c>
      <c r="E62" s="79">
        <v>9360.4320591230644</v>
      </c>
      <c r="F62" s="47"/>
      <c r="G62" s="47"/>
      <c r="H62" s="47"/>
      <c r="I62" s="47"/>
      <c r="J62" s="47"/>
      <c r="K62" s="84"/>
      <c r="L62" s="47"/>
      <c r="M62" s="47"/>
      <c r="N62" s="47"/>
      <c r="O62" s="47"/>
      <c r="P62" s="47"/>
      <c r="Q62" s="47"/>
      <c r="R62" s="47">
        <f t="shared" si="1"/>
        <v>9360.4320591230644</v>
      </c>
    </row>
    <row r="63" spans="1:18" x14ac:dyDescent="0.35">
      <c r="A63" s="76">
        <v>59</v>
      </c>
      <c r="B63" s="77" t="s">
        <v>170</v>
      </c>
      <c r="C63" s="9" t="s">
        <v>171</v>
      </c>
      <c r="D63" s="76" t="s">
        <v>49</v>
      </c>
      <c r="E63" s="79">
        <v>187636.02426670026</v>
      </c>
      <c r="F63" s="47"/>
      <c r="G63" s="47"/>
      <c r="H63" s="47"/>
      <c r="I63" s="47"/>
      <c r="J63" s="47"/>
      <c r="K63" s="84"/>
      <c r="L63" s="47"/>
      <c r="M63" s="47"/>
      <c r="N63" s="47"/>
      <c r="O63" s="47"/>
      <c r="P63" s="47"/>
      <c r="Q63" s="47"/>
      <c r="R63" s="47">
        <f t="shared" si="1"/>
        <v>187636.02426670026</v>
      </c>
    </row>
    <row r="64" spans="1:18" x14ac:dyDescent="0.35">
      <c r="A64" s="76">
        <v>60</v>
      </c>
      <c r="B64" s="77" t="s">
        <v>172</v>
      </c>
      <c r="C64" s="9" t="s">
        <v>173</v>
      </c>
      <c r="D64" s="76" t="s">
        <v>19</v>
      </c>
      <c r="E64" s="79">
        <v>361804.24674366548</v>
      </c>
      <c r="F64" s="47"/>
      <c r="G64" s="47"/>
      <c r="H64" s="47"/>
      <c r="I64" s="47"/>
      <c r="J64" s="47"/>
      <c r="K64" s="84"/>
      <c r="L64" s="47"/>
      <c r="M64" s="47"/>
      <c r="N64" s="47"/>
      <c r="O64" s="47"/>
      <c r="P64" s="47"/>
      <c r="Q64" s="47"/>
      <c r="R64" s="47">
        <f t="shared" si="1"/>
        <v>361804.24674366548</v>
      </c>
    </row>
    <row r="65" spans="1:18" x14ac:dyDescent="0.35">
      <c r="A65" s="76">
        <v>61</v>
      </c>
      <c r="B65" s="77" t="s">
        <v>174</v>
      </c>
      <c r="C65" s="9" t="s">
        <v>1604</v>
      </c>
      <c r="D65" s="76" t="s">
        <v>14</v>
      </c>
      <c r="E65" s="79">
        <v>-0.34419789351522923</v>
      </c>
      <c r="F65" s="47"/>
      <c r="G65" s="47"/>
      <c r="H65" s="47"/>
      <c r="I65" s="47"/>
      <c r="J65" s="47"/>
      <c r="K65" s="84"/>
      <c r="L65" s="47"/>
      <c r="M65" s="47"/>
      <c r="N65" s="47"/>
      <c r="O65" s="47"/>
      <c r="P65" s="47"/>
      <c r="Q65" s="47"/>
      <c r="R65" s="47">
        <f t="shared" si="1"/>
        <v>-0.34419789351522923</v>
      </c>
    </row>
    <row r="66" spans="1:18" x14ac:dyDescent="0.35">
      <c r="A66" s="76">
        <v>62</v>
      </c>
      <c r="B66" s="77" t="s">
        <v>176</v>
      </c>
      <c r="C66" s="9" t="s">
        <v>177</v>
      </c>
      <c r="D66" s="76" t="s">
        <v>136</v>
      </c>
      <c r="E66" s="79">
        <v>98501.939064097591</v>
      </c>
      <c r="F66" s="47"/>
      <c r="G66" s="47"/>
      <c r="H66" s="47"/>
      <c r="I66" s="47"/>
      <c r="J66" s="47"/>
      <c r="K66" s="84"/>
      <c r="L66" s="47"/>
      <c r="M66" s="47"/>
      <c r="N66" s="47"/>
      <c r="O66" s="47"/>
      <c r="P66" s="47"/>
      <c r="Q66" s="47"/>
      <c r="R66" s="47">
        <f t="shared" si="1"/>
        <v>98501.939064097591</v>
      </c>
    </row>
    <row r="67" spans="1:18" x14ac:dyDescent="0.35">
      <c r="A67" s="76">
        <v>63</v>
      </c>
      <c r="B67" s="77" t="s">
        <v>178</v>
      </c>
      <c r="C67" s="9" t="s">
        <v>179</v>
      </c>
      <c r="D67" s="76" t="s">
        <v>49</v>
      </c>
      <c r="E67" s="79">
        <v>257415.91496638936</v>
      </c>
      <c r="F67" s="47"/>
      <c r="G67" s="47"/>
      <c r="H67" s="47"/>
      <c r="I67" s="47"/>
      <c r="J67" s="47"/>
      <c r="K67" s="84"/>
      <c r="L67" s="47"/>
      <c r="M67" s="47"/>
      <c r="N67" s="47"/>
      <c r="O67" s="47"/>
      <c r="P67" s="47"/>
      <c r="Q67" s="47"/>
      <c r="R67" s="47">
        <f t="shared" si="1"/>
        <v>257415.91496638936</v>
      </c>
    </row>
    <row r="68" spans="1:18" x14ac:dyDescent="0.35">
      <c r="A68" s="76">
        <v>64</v>
      </c>
      <c r="B68" s="77" t="s">
        <v>180</v>
      </c>
      <c r="C68" s="9" t="s">
        <v>181</v>
      </c>
      <c r="D68" s="76" t="s">
        <v>46</v>
      </c>
      <c r="E68" s="79">
        <v>2729941.0739856288</v>
      </c>
      <c r="F68" s="47"/>
      <c r="G68" s="47"/>
      <c r="H68" s="47"/>
      <c r="I68" s="47"/>
      <c r="J68" s="47"/>
      <c r="K68" s="84"/>
      <c r="L68" s="47"/>
      <c r="M68" s="47"/>
      <c r="N68" s="47"/>
      <c r="O68" s="47"/>
      <c r="P68" s="47"/>
      <c r="Q68" s="47"/>
      <c r="R68" s="47">
        <f t="shared" si="1"/>
        <v>2729941.0739856288</v>
      </c>
    </row>
    <row r="69" spans="1:18" x14ac:dyDescent="0.35">
      <c r="A69" s="76">
        <v>65</v>
      </c>
      <c r="B69" s="77" t="s">
        <v>182</v>
      </c>
      <c r="C69" s="9" t="s">
        <v>1985</v>
      </c>
      <c r="D69" s="76" t="s">
        <v>19</v>
      </c>
      <c r="E69" s="79">
        <v>12608748.7564479</v>
      </c>
      <c r="F69" s="47"/>
      <c r="G69" s="47"/>
      <c r="H69" s="47"/>
      <c r="I69" s="47"/>
      <c r="J69" s="47"/>
      <c r="K69" s="84"/>
      <c r="L69" s="47"/>
      <c r="M69" s="47"/>
      <c r="N69" s="47"/>
      <c r="O69" s="47"/>
      <c r="P69" s="47"/>
      <c r="Q69" s="47"/>
      <c r="R69" s="47">
        <f t="shared" si="1"/>
        <v>12608748.7564479</v>
      </c>
    </row>
    <row r="70" spans="1:18" x14ac:dyDescent="0.35">
      <c r="A70" s="76">
        <v>66</v>
      </c>
      <c r="B70" s="77" t="s">
        <v>184</v>
      </c>
      <c r="C70" s="9" t="s">
        <v>185</v>
      </c>
      <c r="D70" s="76" t="s">
        <v>72</v>
      </c>
      <c r="E70" s="79">
        <v>36242</v>
      </c>
      <c r="F70" s="47"/>
      <c r="G70" s="47"/>
      <c r="H70" s="47"/>
      <c r="I70" s="47"/>
      <c r="J70" s="47"/>
      <c r="K70" s="84"/>
      <c r="L70" s="47"/>
      <c r="M70" s="47"/>
      <c r="N70" s="47"/>
      <c r="O70" s="47"/>
      <c r="P70" s="47"/>
      <c r="Q70" s="47"/>
      <c r="R70" s="47">
        <f t="shared" si="1"/>
        <v>36242</v>
      </c>
    </row>
    <row r="71" spans="1:18" x14ac:dyDescent="0.35">
      <c r="A71" s="76">
        <v>67</v>
      </c>
      <c r="B71" s="77" t="s">
        <v>186</v>
      </c>
      <c r="C71" s="9" t="s">
        <v>1986</v>
      </c>
      <c r="D71" s="76" t="s">
        <v>95</v>
      </c>
      <c r="E71" s="79">
        <v>7956586.5539680514</v>
      </c>
      <c r="F71" s="47"/>
      <c r="G71" s="47"/>
      <c r="H71" s="47"/>
      <c r="I71" s="47"/>
      <c r="J71" s="47"/>
      <c r="K71" s="84"/>
      <c r="L71" s="47"/>
      <c r="M71" s="47"/>
      <c r="N71" s="47"/>
      <c r="O71" s="47"/>
      <c r="P71" s="47"/>
      <c r="Q71" s="47"/>
      <c r="R71" s="47">
        <f t="shared" si="1"/>
        <v>7956586.5539680514</v>
      </c>
    </row>
    <row r="72" spans="1:18" x14ac:dyDescent="0.35">
      <c r="A72" s="76">
        <v>68</v>
      </c>
      <c r="B72" s="77" t="s">
        <v>188</v>
      </c>
      <c r="C72" s="9" t="s">
        <v>1605</v>
      </c>
      <c r="D72" s="76" t="s">
        <v>49</v>
      </c>
      <c r="E72" s="79">
        <v>172826.47710640822</v>
      </c>
      <c r="F72" s="47"/>
      <c r="G72" s="47"/>
      <c r="H72" s="47"/>
      <c r="I72" s="47"/>
      <c r="J72" s="47"/>
      <c r="K72" s="84"/>
      <c r="L72" s="47"/>
      <c r="M72" s="47"/>
      <c r="N72" s="47"/>
      <c r="O72" s="47"/>
      <c r="P72" s="47"/>
      <c r="Q72" s="47"/>
      <c r="R72" s="47">
        <f t="shared" si="1"/>
        <v>172826.47710640822</v>
      </c>
    </row>
    <row r="73" spans="1:18" x14ac:dyDescent="0.35">
      <c r="A73" s="76">
        <v>69</v>
      </c>
      <c r="B73" s="77" t="s">
        <v>190</v>
      </c>
      <c r="C73" s="9" t="s">
        <v>1864</v>
      </c>
      <c r="D73" s="76" t="s">
        <v>141</v>
      </c>
      <c r="E73" s="79">
        <v>3095747.8560101115</v>
      </c>
      <c r="F73" s="47"/>
      <c r="G73" s="47"/>
      <c r="H73" s="47"/>
      <c r="I73" s="47"/>
      <c r="J73" s="47"/>
      <c r="K73" s="84"/>
      <c r="L73" s="47"/>
      <c r="M73" s="47"/>
      <c r="N73" s="47"/>
      <c r="O73" s="47"/>
      <c r="P73" s="47"/>
      <c r="Q73" s="47"/>
      <c r="R73" s="47">
        <f t="shared" si="1"/>
        <v>3095747.8560101115</v>
      </c>
    </row>
    <row r="74" spans="1:18" x14ac:dyDescent="0.35">
      <c r="A74" s="76">
        <v>70</v>
      </c>
      <c r="B74" s="77" t="s">
        <v>192</v>
      </c>
      <c r="C74" s="9" t="s">
        <v>1987</v>
      </c>
      <c r="D74" s="76" t="s">
        <v>136</v>
      </c>
      <c r="E74" s="79">
        <v>4460457.7444358282</v>
      </c>
      <c r="F74" s="47"/>
      <c r="G74" s="47"/>
      <c r="H74" s="47"/>
      <c r="I74" s="47"/>
      <c r="J74" s="47"/>
      <c r="K74" s="84"/>
      <c r="L74" s="47"/>
      <c r="M74" s="47"/>
      <c r="N74" s="47"/>
      <c r="O74" s="47"/>
      <c r="P74" s="47"/>
      <c r="Q74" s="47"/>
      <c r="R74" s="47">
        <f t="shared" si="1"/>
        <v>4460457.7444358282</v>
      </c>
    </row>
    <row r="75" spans="1:18" x14ac:dyDescent="0.35">
      <c r="A75" s="76">
        <v>71</v>
      </c>
      <c r="B75" s="77" t="s">
        <v>194</v>
      </c>
      <c r="C75" s="9" t="s">
        <v>1988</v>
      </c>
      <c r="D75" s="76" t="s">
        <v>123</v>
      </c>
      <c r="E75" s="79">
        <v>2820477.4376360811</v>
      </c>
      <c r="F75" s="47"/>
      <c r="G75" s="47"/>
      <c r="H75" s="47"/>
      <c r="I75" s="47"/>
      <c r="J75" s="47"/>
      <c r="K75" s="84"/>
      <c r="L75" s="47"/>
      <c r="M75" s="47"/>
      <c r="N75" s="47"/>
      <c r="O75" s="47"/>
      <c r="P75" s="47"/>
      <c r="Q75" s="47"/>
      <c r="R75" s="47">
        <f t="shared" si="1"/>
        <v>2820477.4376360811</v>
      </c>
    </row>
    <row r="76" spans="1:18" x14ac:dyDescent="0.35">
      <c r="A76" s="76">
        <v>72</v>
      </c>
      <c r="B76" s="77" t="s">
        <v>196</v>
      </c>
      <c r="C76" s="9" t="s">
        <v>1865</v>
      </c>
      <c r="D76" s="76" t="s">
        <v>198</v>
      </c>
      <c r="E76" s="79">
        <v>12746806.790335642</v>
      </c>
      <c r="F76" s="47"/>
      <c r="G76" s="47"/>
      <c r="H76" s="47"/>
      <c r="I76" s="47"/>
      <c r="J76" s="47"/>
      <c r="K76" s="84"/>
      <c r="L76" s="47"/>
      <c r="M76" s="47"/>
      <c r="N76" s="47"/>
      <c r="O76" s="47"/>
      <c r="P76" s="47"/>
      <c r="Q76" s="47"/>
      <c r="R76" s="47">
        <f t="shared" si="1"/>
        <v>12746806.790335642</v>
      </c>
    </row>
    <row r="77" spans="1:18" x14ac:dyDescent="0.35">
      <c r="A77" s="76">
        <v>73</v>
      </c>
      <c r="B77" s="77" t="s">
        <v>199</v>
      </c>
      <c r="C77" s="9" t="s">
        <v>1606</v>
      </c>
      <c r="D77" s="76" t="s">
        <v>201</v>
      </c>
      <c r="E77" s="79">
        <v>3473214.9178432897</v>
      </c>
      <c r="F77" s="47"/>
      <c r="G77" s="47"/>
      <c r="H77" s="47"/>
      <c r="I77" s="47"/>
      <c r="J77" s="47"/>
      <c r="K77" s="84"/>
      <c r="L77" s="47"/>
      <c r="M77" s="47"/>
      <c r="N77" s="47"/>
      <c r="O77" s="47"/>
      <c r="P77" s="47"/>
      <c r="Q77" s="47"/>
      <c r="R77" s="47">
        <f t="shared" si="1"/>
        <v>3473214.9178432897</v>
      </c>
    </row>
    <row r="78" spans="1:18" x14ac:dyDescent="0.35">
      <c r="A78" s="76">
        <v>74</v>
      </c>
      <c r="B78" s="77" t="s">
        <v>202</v>
      </c>
      <c r="C78" s="9" t="s">
        <v>1866</v>
      </c>
      <c r="D78" s="76" t="s">
        <v>144</v>
      </c>
      <c r="E78" s="79">
        <v>5410693.0544423694</v>
      </c>
      <c r="F78" s="47"/>
      <c r="G78" s="47"/>
      <c r="H78" s="47"/>
      <c r="I78" s="47"/>
      <c r="J78" s="47"/>
      <c r="K78" s="84"/>
      <c r="L78" s="47">
        <v>-414505.25440856197</v>
      </c>
      <c r="M78" s="47"/>
      <c r="N78" s="47"/>
      <c r="O78" s="47"/>
      <c r="P78" s="47"/>
      <c r="Q78" s="47"/>
      <c r="R78" s="47">
        <f t="shared" si="1"/>
        <v>4996187.8000338078</v>
      </c>
    </row>
    <row r="79" spans="1:18" x14ac:dyDescent="0.35">
      <c r="A79" s="76">
        <v>75</v>
      </c>
      <c r="B79" s="77" t="s">
        <v>204</v>
      </c>
      <c r="C79" s="9" t="s">
        <v>205</v>
      </c>
      <c r="D79" s="76" t="s">
        <v>77</v>
      </c>
      <c r="E79" s="79">
        <v>4103</v>
      </c>
      <c r="F79" s="47"/>
      <c r="G79" s="47"/>
      <c r="H79" s="47"/>
      <c r="I79" s="47"/>
      <c r="J79" s="47"/>
      <c r="K79" s="84"/>
      <c r="L79" s="47"/>
      <c r="M79" s="47"/>
      <c r="N79" s="47"/>
      <c r="O79" s="47"/>
      <c r="P79" s="47"/>
      <c r="Q79" s="47"/>
      <c r="R79" s="47">
        <f t="shared" si="1"/>
        <v>4103</v>
      </c>
    </row>
    <row r="80" spans="1:18" x14ac:dyDescent="0.35">
      <c r="A80" s="76">
        <v>76</v>
      </c>
      <c r="B80" s="77" t="s">
        <v>206</v>
      </c>
      <c r="C80" s="9" t="s">
        <v>1989</v>
      </c>
      <c r="D80" s="76" t="s">
        <v>77</v>
      </c>
      <c r="E80" s="79">
        <v>13916181.885483816</v>
      </c>
      <c r="F80" s="47"/>
      <c r="G80" s="47"/>
      <c r="H80" s="47"/>
      <c r="I80" s="47"/>
      <c r="J80" s="47"/>
      <c r="K80" s="84"/>
      <c r="L80" s="47"/>
      <c r="M80" s="47"/>
      <c r="N80" s="47"/>
      <c r="O80" s="47"/>
      <c r="P80" s="47"/>
      <c r="Q80" s="47"/>
      <c r="R80" s="47">
        <f t="shared" si="1"/>
        <v>13916181.885483816</v>
      </c>
    </row>
    <row r="81" spans="1:18" x14ac:dyDescent="0.35">
      <c r="A81" s="76">
        <v>77</v>
      </c>
      <c r="B81" s="77" t="s">
        <v>208</v>
      </c>
      <c r="C81" s="9" t="s">
        <v>1990</v>
      </c>
      <c r="D81" s="76" t="s">
        <v>210</v>
      </c>
      <c r="E81" s="79">
        <v>10927885.317326333</v>
      </c>
      <c r="F81" s="47"/>
      <c r="G81" s="47"/>
      <c r="H81" s="47"/>
      <c r="I81" s="47"/>
      <c r="J81" s="47"/>
      <c r="K81" s="84"/>
      <c r="L81" s="47"/>
      <c r="M81" s="47"/>
      <c r="N81" s="47"/>
      <c r="O81" s="47"/>
      <c r="P81" s="47"/>
      <c r="Q81" s="47"/>
      <c r="R81" s="47">
        <f t="shared" si="1"/>
        <v>10927885.317326333</v>
      </c>
    </row>
    <row r="82" spans="1:18" x14ac:dyDescent="0.35">
      <c r="A82" s="76">
        <v>78</v>
      </c>
      <c r="B82" s="77" t="s">
        <v>211</v>
      </c>
      <c r="C82" s="9" t="s">
        <v>212</v>
      </c>
      <c r="D82" s="76" t="s">
        <v>65</v>
      </c>
      <c r="E82" s="79">
        <v>129439.66081371275</v>
      </c>
      <c r="F82" s="47"/>
      <c r="G82" s="47"/>
      <c r="H82" s="47"/>
      <c r="I82" s="47"/>
      <c r="J82" s="47"/>
      <c r="K82" s="84"/>
      <c r="L82" s="47"/>
      <c r="M82" s="47"/>
      <c r="N82" s="47"/>
      <c r="O82" s="47"/>
      <c r="P82" s="47"/>
      <c r="Q82" s="47"/>
      <c r="R82" s="47">
        <f t="shared" si="1"/>
        <v>129439.66081371275</v>
      </c>
    </row>
    <row r="83" spans="1:18" x14ac:dyDescent="0.35">
      <c r="A83" s="76">
        <v>79</v>
      </c>
      <c r="B83" s="77" t="s">
        <v>213</v>
      </c>
      <c r="C83" s="9" t="s">
        <v>1991</v>
      </c>
      <c r="D83" s="76" t="s">
        <v>215</v>
      </c>
      <c r="E83" s="79">
        <v>6255673.3282835176</v>
      </c>
      <c r="F83" s="47"/>
      <c r="G83" s="47"/>
      <c r="H83" s="47"/>
      <c r="I83" s="47"/>
      <c r="J83" s="47"/>
      <c r="K83" s="84"/>
      <c r="L83" s="47">
        <v>-411164.29445388191</v>
      </c>
      <c r="M83" s="47"/>
      <c r="N83" s="47"/>
      <c r="O83" s="47"/>
      <c r="P83" s="47"/>
      <c r="Q83" s="47"/>
      <c r="R83" s="47">
        <f t="shared" si="1"/>
        <v>5844509.0338296359</v>
      </c>
    </row>
    <row r="84" spans="1:18" x14ac:dyDescent="0.35">
      <c r="A84" s="76">
        <v>80</v>
      </c>
      <c r="B84" s="77" t="s">
        <v>216</v>
      </c>
      <c r="C84" s="9" t="s">
        <v>217</v>
      </c>
      <c r="D84" s="76" t="s">
        <v>136</v>
      </c>
      <c r="E84" s="79">
        <v>1092341.6363917191</v>
      </c>
      <c r="F84" s="47"/>
      <c r="G84" s="47"/>
      <c r="H84" s="47"/>
      <c r="I84" s="47"/>
      <c r="J84" s="47"/>
      <c r="K84" s="84"/>
      <c r="L84" s="47">
        <v>-280137.58340597351</v>
      </c>
      <c r="M84" s="47"/>
      <c r="N84" s="47"/>
      <c r="O84" s="47"/>
      <c r="P84" s="47"/>
      <c r="Q84" s="47"/>
      <c r="R84" s="47">
        <f t="shared" si="1"/>
        <v>812204.0529857456</v>
      </c>
    </row>
    <row r="85" spans="1:18" x14ac:dyDescent="0.35">
      <c r="A85" s="76">
        <v>81</v>
      </c>
      <c r="B85" s="77" t="s">
        <v>218</v>
      </c>
      <c r="C85" s="9" t="s">
        <v>1631</v>
      </c>
      <c r="D85" s="76" t="s">
        <v>80</v>
      </c>
      <c r="E85" s="79">
        <v>301678.76542388438</v>
      </c>
      <c r="F85" s="47"/>
      <c r="G85" s="47"/>
      <c r="H85" s="47"/>
      <c r="I85" s="47"/>
      <c r="J85" s="47"/>
      <c r="K85" s="84"/>
      <c r="L85" s="47"/>
      <c r="M85" s="47"/>
      <c r="N85" s="47"/>
      <c r="O85" s="47"/>
      <c r="P85" s="47"/>
      <c r="Q85" s="47"/>
      <c r="R85" s="47">
        <f t="shared" si="1"/>
        <v>301678.76542388438</v>
      </c>
    </row>
    <row r="86" spans="1:18" x14ac:dyDescent="0.35">
      <c r="A86" s="76">
        <v>82</v>
      </c>
      <c r="B86" s="77" t="s">
        <v>220</v>
      </c>
      <c r="C86" s="9" t="s">
        <v>221</v>
      </c>
      <c r="D86" s="76" t="s">
        <v>136</v>
      </c>
      <c r="E86" s="79">
        <v>-0.38491196581162512</v>
      </c>
      <c r="F86" s="47"/>
      <c r="G86" s="47"/>
      <c r="H86" s="47"/>
      <c r="I86" s="47"/>
      <c r="J86" s="47"/>
      <c r="K86" s="84"/>
      <c r="L86" s="47"/>
      <c r="M86" s="47"/>
      <c r="N86" s="47"/>
      <c r="O86" s="47"/>
      <c r="P86" s="47"/>
      <c r="Q86" s="47"/>
      <c r="R86" s="47">
        <f t="shared" si="1"/>
        <v>-0.38491196581162512</v>
      </c>
    </row>
    <row r="87" spans="1:18" x14ac:dyDescent="0.35">
      <c r="A87" s="76">
        <v>83</v>
      </c>
      <c r="B87" s="77" t="s">
        <v>222</v>
      </c>
      <c r="C87" s="9" t="s">
        <v>1680</v>
      </c>
      <c r="D87" s="76" t="s">
        <v>166</v>
      </c>
      <c r="E87" s="79">
        <v>8509881.3008612171</v>
      </c>
      <c r="F87" s="47"/>
      <c r="G87" s="47"/>
      <c r="H87" s="47"/>
      <c r="I87" s="47"/>
      <c r="J87" s="47"/>
      <c r="K87" s="84"/>
      <c r="L87" s="47"/>
      <c r="M87" s="47"/>
      <c r="N87" s="47"/>
      <c r="O87" s="47"/>
      <c r="P87" s="47"/>
      <c r="Q87" s="47"/>
      <c r="R87" s="47">
        <f t="shared" si="1"/>
        <v>8509881.3008612171</v>
      </c>
    </row>
    <row r="88" spans="1:18" x14ac:dyDescent="0.35">
      <c r="A88" s="76">
        <v>84</v>
      </c>
      <c r="B88" s="77" t="s">
        <v>224</v>
      </c>
      <c r="C88" s="9" t="s">
        <v>225</v>
      </c>
      <c r="D88" s="76" t="s">
        <v>49</v>
      </c>
      <c r="E88" s="79">
        <v>212760</v>
      </c>
      <c r="F88" s="47"/>
      <c r="G88" s="47"/>
      <c r="H88" s="47"/>
      <c r="I88" s="47"/>
      <c r="J88" s="47"/>
      <c r="K88" s="84"/>
      <c r="L88" s="47"/>
      <c r="M88" s="47"/>
      <c r="N88" s="47"/>
      <c r="O88" s="47"/>
      <c r="P88" s="47"/>
      <c r="Q88" s="47"/>
      <c r="R88" s="47">
        <f t="shared" si="1"/>
        <v>212760</v>
      </c>
    </row>
    <row r="89" spans="1:18" x14ac:dyDescent="0.35">
      <c r="A89" s="76">
        <v>85</v>
      </c>
      <c r="B89" s="77" t="s">
        <v>226</v>
      </c>
      <c r="C89" s="9" t="s">
        <v>1993</v>
      </c>
      <c r="D89" s="76" t="s">
        <v>228</v>
      </c>
      <c r="E89" s="79">
        <v>355462.47579117084</v>
      </c>
      <c r="F89" s="47"/>
      <c r="G89" s="47"/>
      <c r="H89" s="47"/>
      <c r="I89" s="47"/>
      <c r="J89" s="47"/>
      <c r="K89" s="84"/>
      <c r="L89" s="47">
        <v>-146211.75599911858</v>
      </c>
      <c r="M89" s="47"/>
      <c r="N89" s="47"/>
      <c r="O89" s="47"/>
      <c r="P89" s="47"/>
      <c r="Q89" s="47"/>
      <c r="R89" s="47">
        <f t="shared" si="1"/>
        <v>209250.71979205226</v>
      </c>
    </row>
    <row r="90" spans="1:18" x14ac:dyDescent="0.35">
      <c r="A90" s="76">
        <v>86</v>
      </c>
      <c r="B90" s="77" t="s">
        <v>229</v>
      </c>
      <c r="C90" s="9" t="s">
        <v>1632</v>
      </c>
      <c r="D90" s="76" t="s">
        <v>231</v>
      </c>
      <c r="E90" s="79">
        <v>2706538.1438119644</v>
      </c>
      <c r="F90" s="47"/>
      <c r="G90" s="47"/>
      <c r="H90" s="47"/>
      <c r="I90" s="47"/>
      <c r="J90" s="47"/>
      <c r="K90" s="84"/>
      <c r="L90" s="47"/>
      <c r="M90" s="47"/>
      <c r="N90" s="47"/>
      <c r="O90" s="47"/>
      <c r="P90" s="47"/>
      <c r="Q90" s="47"/>
      <c r="R90" s="47">
        <f t="shared" si="1"/>
        <v>2706538.1438119644</v>
      </c>
    </row>
    <row r="91" spans="1:18" x14ac:dyDescent="0.35">
      <c r="A91" s="76">
        <v>87</v>
      </c>
      <c r="B91" s="77" t="s">
        <v>232</v>
      </c>
      <c r="C91" s="9" t="s">
        <v>233</v>
      </c>
      <c r="D91" s="76" t="s">
        <v>159</v>
      </c>
      <c r="E91" s="79">
        <v>609776.87621802255</v>
      </c>
      <c r="F91" s="47"/>
      <c r="G91" s="47"/>
      <c r="H91" s="47"/>
      <c r="I91" s="47"/>
      <c r="J91" s="47"/>
      <c r="K91" s="84"/>
      <c r="L91" s="47"/>
      <c r="M91" s="47"/>
      <c r="N91" s="47"/>
      <c r="O91" s="47"/>
      <c r="P91" s="47"/>
      <c r="Q91" s="47"/>
      <c r="R91" s="47">
        <f t="shared" si="1"/>
        <v>609776.87621802255</v>
      </c>
    </row>
    <row r="92" spans="1:18" x14ac:dyDescent="0.35">
      <c r="A92" s="76">
        <v>88</v>
      </c>
      <c r="B92" s="77" t="s">
        <v>234</v>
      </c>
      <c r="C92" s="9" t="s">
        <v>1951</v>
      </c>
      <c r="D92" s="76" t="s">
        <v>95</v>
      </c>
      <c r="E92" s="79">
        <v>878616.02501975489</v>
      </c>
      <c r="F92" s="47"/>
      <c r="G92" s="47"/>
      <c r="H92" s="47"/>
      <c r="I92" s="47"/>
      <c r="J92" s="47"/>
      <c r="K92" s="84"/>
      <c r="L92" s="47"/>
      <c r="M92" s="47"/>
      <c r="N92" s="47"/>
      <c r="O92" s="47"/>
      <c r="P92" s="47"/>
      <c r="Q92" s="47"/>
      <c r="R92" s="47">
        <f t="shared" si="1"/>
        <v>878616.02501975489</v>
      </c>
    </row>
    <row r="93" spans="1:18" x14ac:dyDescent="0.35">
      <c r="A93" s="76">
        <v>89</v>
      </c>
      <c r="B93" s="77" t="s">
        <v>236</v>
      </c>
      <c r="C93" s="9" t="s">
        <v>1754</v>
      </c>
      <c r="D93" s="76" t="s">
        <v>238</v>
      </c>
      <c r="E93" s="79">
        <v>3916195.0825997572</v>
      </c>
      <c r="F93" s="47"/>
      <c r="G93" s="47"/>
      <c r="H93" s="47"/>
      <c r="I93" s="47"/>
      <c r="J93" s="47"/>
      <c r="K93" s="84"/>
      <c r="L93" s="47"/>
      <c r="M93" s="47"/>
      <c r="N93" s="47"/>
      <c r="O93" s="47"/>
      <c r="P93" s="47"/>
      <c r="Q93" s="47"/>
      <c r="R93" s="47">
        <f t="shared" si="1"/>
        <v>3916195.0825997572</v>
      </c>
    </row>
    <row r="94" spans="1:18" x14ac:dyDescent="0.35">
      <c r="A94" s="76">
        <v>90</v>
      </c>
      <c r="B94" s="77" t="s">
        <v>239</v>
      </c>
      <c r="C94" s="9" t="s">
        <v>1994</v>
      </c>
      <c r="D94" s="76" t="s">
        <v>198</v>
      </c>
      <c r="E94" s="79">
        <v>4034408.2604847429</v>
      </c>
      <c r="F94" s="47"/>
      <c r="G94" s="47"/>
      <c r="H94" s="47"/>
      <c r="I94" s="47"/>
      <c r="J94" s="47"/>
      <c r="K94" s="84"/>
      <c r="L94" s="47"/>
      <c r="M94" s="47"/>
      <c r="N94" s="47"/>
      <c r="O94" s="47"/>
      <c r="P94" s="47"/>
      <c r="Q94" s="47"/>
      <c r="R94" s="47">
        <f t="shared" ref="R94:R157" si="2">E94+F94+G94+H94+I94+J94+K94+L94+M94+N94+O94+P94+Q94</f>
        <v>4034408.2604847429</v>
      </c>
    </row>
    <row r="95" spans="1:18" x14ac:dyDescent="0.35">
      <c r="A95" s="76">
        <v>91</v>
      </c>
      <c r="B95" s="77" t="s">
        <v>241</v>
      </c>
      <c r="C95" s="9" t="s">
        <v>1681</v>
      </c>
      <c r="D95" s="76" t="s">
        <v>77</v>
      </c>
      <c r="E95" s="79">
        <v>-0.35786411026492715</v>
      </c>
      <c r="F95" s="47"/>
      <c r="G95" s="47"/>
      <c r="H95" s="47"/>
      <c r="I95" s="47"/>
      <c r="J95" s="47"/>
      <c r="K95" s="84"/>
      <c r="L95" s="47"/>
      <c r="M95" s="47"/>
      <c r="N95" s="47"/>
      <c r="O95" s="47"/>
      <c r="P95" s="47"/>
      <c r="Q95" s="47"/>
      <c r="R95" s="47">
        <f t="shared" si="2"/>
        <v>-0.35786411026492715</v>
      </c>
    </row>
    <row r="96" spans="1:18" x14ac:dyDescent="0.35">
      <c r="A96" s="76">
        <v>92</v>
      </c>
      <c r="B96" s="77" t="s">
        <v>243</v>
      </c>
      <c r="C96" s="9" t="s">
        <v>244</v>
      </c>
      <c r="D96" s="76" t="s">
        <v>123</v>
      </c>
      <c r="E96" s="79">
        <v>5220610.76732904</v>
      </c>
      <c r="F96" s="47"/>
      <c r="G96" s="47"/>
      <c r="H96" s="47"/>
      <c r="I96" s="47"/>
      <c r="J96" s="47"/>
      <c r="K96" s="84"/>
      <c r="L96" s="47"/>
      <c r="M96" s="47"/>
      <c r="N96" s="47"/>
      <c r="O96" s="47"/>
      <c r="P96" s="47"/>
      <c r="Q96" s="47"/>
      <c r="R96" s="47">
        <f t="shared" si="2"/>
        <v>5220610.76732904</v>
      </c>
    </row>
    <row r="97" spans="1:18" x14ac:dyDescent="0.35">
      <c r="A97" s="76">
        <v>93</v>
      </c>
      <c r="B97" s="77" t="s">
        <v>245</v>
      </c>
      <c r="C97" s="9" t="s">
        <v>1633</v>
      </c>
      <c r="D97" s="76" t="s">
        <v>41</v>
      </c>
      <c r="E97" s="79">
        <v>127872.24396993453</v>
      </c>
      <c r="F97" s="47"/>
      <c r="G97" s="47"/>
      <c r="H97" s="47"/>
      <c r="I97" s="47"/>
      <c r="J97" s="47"/>
      <c r="K97" s="84"/>
      <c r="L97" s="47"/>
      <c r="M97" s="47"/>
      <c r="N97" s="47"/>
      <c r="O97" s="47"/>
      <c r="P97" s="47"/>
      <c r="Q97" s="47"/>
      <c r="R97" s="47">
        <f t="shared" si="2"/>
        <v>127872.24396993453</v>
      </c>
    </row>
    <row r="98" spans="1:18" x14ac:dyDescent="0.35">
      <c r="A98" s="76">
        <v>94</v>
      </c>
      <c r="B98" s="77" t="s">
        <v>247</v>
      </c>
      <c r="C98" s="9" t="s">
        <v>248</v>
      </c>
      <c r="D98" s="76" t="s">
        <v>123</v>
      </c>
      <c r="E98" s="79">
        <v>13884342.210328614</v>
      </c>
      <c r="F98" s="47"/>
      <c r="G98" s="47"/>
      <c r="H98" s="47"/>
      <c r="I98" s="47"/>
      <c r="J98" s="47"/>
      <c r="K98" s="84"/>
      <c r="L98" s="47"/>
      <c r="M98" s="47"/>
      <c r="N98" s="47"/>
      <c r="O98" s="47"/>
      <c r="P98" s="47"/>
      <c r="Q98" s="47"/>
      <c r="R98" s="47">
        <f t="shared" si="2"/>
        <v>13884342.210328614</v>
      </c>
    </row>
    <row r="99" spans="1:18" x14ac:dyDescent="0.35">
      <c r="A99" s="76">
        <v>95</v>
      </c>
      <c r="B99" s="77" t="s">
        <v>249</v>
      </c>
      <c r="C99" s="9" t="s">
        <v>250</v>
      </c>
      <c r="D99" s="76" t="s">
        <v>25</v>
      </c>
      <c r="E99" s="79">
        <v>2368118.2185790516</v>
      </c>
      <c r="F99" s="47"/>
      <c r="G99" s="47"/>
      <c r="H99" s="47"/>
      <c r="I99" s="47"/>
      <c r="J99" s="47"/>
      <c r="K99" s="84"/>
      <c r="L99" s="47">
        <v>-433493.86983975599</v>
      </c>
      <c r="M99" s="47"/>
      <c r="N99" s="47"/>
      <c r="O99" s="47"/>
      <c r="P99" s="47"/>
      <c r="Q99" s="47"/>
      <c r="R99" s="47">
        <f t="shared" si="2"/>
        <v>1934624.3487392955</v>
      </c>
    </row>
    <row r="100" spans="1:18" x14ac:dyDescent="0.35">
      <c r="A100" s="76">
        <v>96</v>
      </c>
      <c r="B100" s="77" t="s">
        <v>251</v>
      </c>
      <c r="C100" s="9" t="s">
        <v>252</v>
      </c>
      <c r="D100" s="76" t="s">
        <v>253</v>
      </c>
      <c r="E100" s="79">
        <v>-0.11474365741014481</v>
      </c>
      <c r="F100" s="47"/>
      <c r="G100" s="47"/>
      <c r="H100" s="47"/>
      <c r="I100" s="47"/>
      <c r="J100" s="47"/>
      <c r="K100" s="84"/>
      <c r="L100" s="47"/>
      <c r="M100" s="47"/>
      <c r="N100" s="47"/>
      <c r="O100" s="47"/>
      <c r="P100" s="47"/>
      <c r="Q100" s="47"/>
      <c r="R100" s="47">
        <f t="shared" si="2"/>
        <v>-0.11474365741014481</v>
      </c>
    </row>
    <row r="101" spans="1:18" x14ac:dyDescent="0.35">
      <c r="A101" s="76">
        <v>97</v>
      </c>
      <c r="B101" s="77" t="s">
        <v>254</v>
      </c>
      <c r="C101" s="9" t="s">
        <v>1870</v>
      </c>
      <c r="D101" s="76" t="s">
        <v>98</v>
      </c>
      <c r="E101" s="79">
        <v>8039914.1066459473</v>
      </c>
      <c r="F101" s="47"/>
      <c r="G101" s="47"/>
      <c r="H101" s="47"/>
      <c r="I101" s="47"/>
      <c r="J101" s="47"/>
      <c r="K101" s="84"/>
      <c r="L101" s="47"/>
      <c r="M101" s="47">
        <v>-8857304</v>
      </c>
      <c r="N101" s="47"/>
      <c r="O101" s="47"/>
      <c r="P101" s="47"/>
      <c r="Q101" s="47"/>
      <c r="R101" s="47">
        <f t="shared" si="2"/>
        <v>-817389.89335405268</v>
      </c>
    </row>
    <row r="102" spans="1:18" x14ac:dyDescent="0.35">
      <c r="A102" s="76">
        <v>98</v>
      </c>
      <c r="B102" s="77" t="s">
        <v>256</v>
      </c>
      <c r="C102" s="9" t="s">
        <v>1682</v>
      </c>
      <c r="D102" s="76" t="s">
        <v>25</v>
      </c>
      <c r="E102" s="79">
        <v>5795464.9035054184</v>
      </c>
      <c r="F102" s="47"/>
      <c r="G102" s="47"/>
      <c r="H102" s="47"/>
      <c r="I102" s="47"/>
      <c r="J102" s="47"/>
      <c r="K102" s="84"/>
      <c r="L102" s="47"/>
      <c r="M102" s="47"/>
      <c r="N102" s="47"/>
      <c r="O102" s="47"/>
      <c r="P102" s="47"/>
      <c r="Q102" s="47">
        <v>-6797401</v>
      </c>
      <c r="R102" s="47">
        <f t="shared" si="2"/>
        <v>-1001936.0964945816</v>
      </c>
    </row>
    <row r="103" spans="1:18" x14ac:dyDescent="0.35">
      <c r="A103" s="76">
        <v>99</v>
      </c>
      <c r="B103" s="77" t="s">
        <v>258</v>
      </c>
      <c r="C103" s="9" t="s">
        <v>1913</v>
      </c>
      <c r="D103" s="76" t="s">
        <v>260</v>
      </c>
      <c r="E103" s="79">
        <v>4452782.7445296207</v>
      </c>
      <c r="F103" s="47"/>
      <c r="G103" s="47"/>
      <c r="H103" s="47"/>
      <c r="I103" s="47"/>
      <c r="J103" s="47"/>
      <c r="K103" s="84"/>
      <c r="L103" s="47"/>
      <c r="M103" s="47"/>
      <c r="N103" s="47"/>
      <c r="O103" s="47"/>
      <c r="P103" s="47"/>
      <c r="Q103" s="47"/>
      <c r="R103" s="47">
        <f t="shared" si="2"/>
        <v>4452782.7445296207</v>
      </c>
    </row>
    <row r="104" spans="1:18" x14ac:dyDescent="0.35">
      <c r="A104" s="76">
        <v>100</v>
      </c>
      <c r="B104" s="77" t="s">
        <v>261</v>
      </c>
      <c r="C104" s="9" t="s">
        <v>1871</v>
      </c>
      <c r="D104" s="76" t="s">
        <v>136</v>
      </c>
      <c r="E104" s="79">
        <v>2666764.4685921022</v>
      </c>
      <c r="F104" s="47"/>
      <c r="G104" s="47"/>
      <c r="H104" s="47"/>
      <c r="I104" s="47"/>
      <c r="J104" s="47"/>
      <c r="K104" s="84"/>
      <c r="L104" s="47"/>
      <c r="M104" s="47"/>
      <c r="N104" s="47"/>
      <c r="O104" s="47"/>
      <c r="P104" s="47"/>
      <c r="Q104" s="47"/>
      <c r="R104" s="47">
        <f t="shared" si="2"/>
        <v>2666764.4685921022</v>
      </c>
    </row>
    <row r="105" spans="1:18" x14ac:dyDescent="0.35">
      <c r="A105" s="76">
        <v>101</v>
      </c>
      <c r="B105" s="77" t="s">
        <v>263</v>
      </c>
      <c r="C105" s="9" t="s">
        <v>264</v>
      </c>
      <c r="D105" s="76" t="s">
        <v>49</v>
      </c>
      <c r="E105" s="79">
        <v>1762733</v>
      </c>
      <c r="F105" s="47"/>
      <c r="G105" s="47"/>
      <c r="H105" s="47"/>
      <c r="I105" s="47"/>
      <c r="J105" s="47"/>
      <c r="K105" s="84"/>
      <c r="L105" s="47"/>
      <c r="M105" s="47"/>
      <c r="N105" s="47"/>
      <c r="O105" s="47"/>
      <c r="P105" s="47"/>
      <c r="Q105" s="47"/>
      <c r="R105" s="47">
        <f t="shared" si="2"/>
        <v>1762733</v>
      </c>
    </row>
    <row r="106" spans="1:18" x14ac:dyDescent="0.35">
      <c r="A106" s="76">
        <v>102</v>
      </c>
      <c r="B106" s="77" t="s">
        <v>265</v>
      </c>
      <c r="C106" s="9" t="s">
        <v>1683</v>
      </c>
      <c r="D106" s="76" t="s">
        <v>267</v>
      </c>
      <c r="E106" s="79">
        <v>143421.94104187435</v>
      </c>
      <c r="F106" s="47"/>
      <c r="G106" s="47"/>
      <c r="H106" s="47"/>
      <c r="I106" s="47"/>
      <c r="J106" s="47"/>
      <c r="K106" s="84"/>
      <c r="L106" s="47"/>
      <c r="M106" s="47"/>
      <c r="N106" s="47"/>
      <c r="O106" s="47"/>
      <c r="P106" s="47"/>
      <c r="Q106" s="47"/>
      <c r="R106" s="47">
        <f t="shared" si="2"/>
        <v>143421.94104187435</v>
      </c>
    </row>
    <row r="107" spans="1:18" x14ac:dyDescent="0.35">
      <c r="A107" s="76">
        <v>103</v>
      </c>
      <c r="B107" s="77" t="s">
        <v>268</v>
      </c>
      <c r="C107" s="9" t="s">
        <v>1872</v>
      </c>
      <c r="D107" s="76" t="s">
        <v>270</v>
      </c>
      <c r="E107" s="79">
        <v>2105839.6417022636</v>
      </c>
      <c r="F107" s="47"/>
      <c r="G107" s="47"/>
      <c r="H107" s="47"/>
      <c r="I107" s="47"/>
      <c r="J107" s="47"/>
      <c r="K107" s="84"/>
      <c r="L107" s="47"/>
      <c r="M107" s="47"/>
      <c r="N107" s="47"/>
      <c r="O107" s="47"/>
      <c r="P107" s="47"/>
      <c r="Q107" s="47"/>
      <c r="R107" s="47">
        <f t="shared" si="2"/>
        <v>2105839.6417022636</v>
      </c>
    </row>
    <row r="108" spans="1:18" x14ac:dyDescent="0.35">
      <c r="A108" s="76">
        <v>104</v>
      </c>
      <c r="B108" s="77" t="s">
        <v>271</v>
      </c>
      <c r="C108" s="9" t="s">
        <v>272</v>
      </c>
      <c r="D108" s="76" t="s">
        <v>46</v>
      </c>
      <c r="E108" s="79">
        <v>780921</v>
      </c>
      <c r="F108" s="47"/>
      <c r="G108" s="47"/>
      <c r="H108" s="47"/>
      <c r="I108" s="47"/>
      <c r="J108" s="47"/>
      <c r="K108" s="84"/>
      <c r="L108" s="47"/>
      <c r="M108" s="47"/>
      <c r="N108" s="47"/>
      <c r="O108" s="47"/>
      <c r="P108" s="47"/>
      <c r="Q108" s="47"/>
      <c r="R108" s="47">
        <f t="shared" si="2"/>
        <v>780921</v>
      </c>
    </row>
    <row r="109" spans="1:18" x14ac:dyDescent="0.35">
      <c r="A109" s="76">
        <v>105</v>
      </c>
      <c r="B109" s="77" t="s">
        <v>273</v>
      </c>
      <c r="C109" s="9" t="s">
        <v>1998</v>
      </c>
      <c r="D109" s="76" t="s">
        <v>166</v>
      </c>
      <c r="E109" s="79">
        <v>28435597.922757145</v>
      </c>
      <c r="F109" s="47"/>
      <c r="G109" s="47">
        <v>-28435598</v>
      </c>
      <c r="H109" s="47"/>
      <c r="I109" s="47"/>
      <c r="J109" s="47"/>
      <c r="K109" s="84"/>
      <c r="L109" s="47"/>
      <c r="M109" s="47"/>
      <c r="N109" s="47"/>
      <c r="O109" s="47"/>
      <c r="P109" s="47"/>
      <c r="Q109" s="47"/>
      <c r="R109" s="47">
        <f t="shared" si="2"/>
        <v>-7.7242854982614517E-2</v>
      </c>
    </row>
    <row r="110" spans="1:18" x14ac:dyDescent="0.35">
      <c r="A110" s="76">
        <v>106</v>
      </c>
      <c r="B110" s="77" t="s">
        <v>275</v>
      </c>
      <c r="C110" s="9" t="s">
        <v>2206</v>
      </c>
      <c r="D110" s="76" t="s">
        <v>83</v>
      </c>
      <c r="E110" s="79">
        <v>13387892.849299023</v>
      </c>
      <c r="F110" s="47"/>
      <c r="G110" s="47"/>
      <c r="H110" s="47"/>
      <c r="I110" s="47"/>
      <c r="J110" s="47"/>
      <c r="K110" s="84"/>
      <c r="L110" s="47">
        <v>-805118.80084883899</v>
      </c>
      <c r="M110" s="47"/>
      <c r="N110" s="47"/>
      <c r="O110" s="47"/>
      <c r="P110" s="47"/>
      <c r="Q110" s="47"/>
      <c r="R110" s="47">
        <f t="shared" si="2"/>
        <v>12582774.048450183</v>
      </c>
    </row>
    <row r="111" spans="1:18" x14ac:dyDescent="0.35">
      <c r="A111" s="76">
        <v>107</v>
      </c>
      <c r="B111" s="77" t="s">
        <v>277</v>
      </c>
      <c r="C111" s="9" t="s">
        <v>1773</v>
      </c>
      <c r="D111" s="76" t="s">
        <v>72</v>
      </c>
      <c r="E111" s="79">
        <v>3518535.6156666232</v>
      </c>
      <c r="F111" s="47"/>
      <c r="G111" s="47"/>
      <c r="H111" s="47"/>
      <c r="I111" s="47"/>
      <c r="J111" s="47"/>
      <c r="K111" s="84"/>
      <c r="L111" s="47">
        <v>-593042.11782252602</v>
      </c>
      <c r="M111" s="47"/>
      <c r="N111" s="47"/>
      <c r="O111" s="47"/>
      <c r="P111" s="47"/>
      <c r="Q111" s="47"/>
      <c r="R111" s="47">
        <f t="shared" si="2"/>
        <v>2925493.4978440972</v>
      </c>
    </row>
    <row r="112" spans="1:18" x14ac:dyDescent="0.35">
      <c r="A112" s="76">
        <v>108</v>
      </c>
      <c r="B112" s="77" t="s">
        <v>279</v>
      </c>
      <c r="C112" s="9" t="s">
        <v>1874</v>
      </c>
      <c r="D112" s="76" t="s">
        <v>46</v>
      </c>
      <c r="E112" s="79">
        <v>3482005.9051594906</v>
      </c>
      <c r="F112" s="47"/>
      <c r="G112" s="47"/>
      <c r="H112" s="47"/>
      <c r="I112" s="47"/>
      <c r="J112" s="47"/>
      <c r="K112" s="84"/>
      <c r="L112" s="47"/>
      <c r="M112" s="47"/>
      <c r="N112" s="47"/>
      <c r="O112" s="47"/>
      <c r="P112" s="47"/>
      <c r="Q112" s="47"/>
      <c r="R112" s="47">
        <f t="shared" si="2"/>
        <v>3482005.9051594906</v>
      </c>
    </row>
    <row r="113" spans="1:18" x14ac:dyDescent="0.35">
      <c r="A113" s="76">
        <v>109</v>
      </c>
      <c r="B113" s="77" t="s">
        <v>281</v>
      </c>
      <c r="C113" s="9" t="s">
        <v>1685</v>
      </c>
      <c r="D113" s="76" t="s">
        <v>72</v>
      </c>
      <c r="E113" s="79">
        <v>234774.19312415086</v>
      </c>
      <c r="F113" s="47"/>
      <c r="G113" s="47"/>
      <c r="H113" s="47"/>
      <c r="I113" s="47"/>
      <c r="J113" s="47"/>
      <c r="K113" s="84"/>
      <c r="L113" s="47"/>
      <c r="M113" s="47"/>
      <c r="N113" s="47"/>
      <c r="O113" s="47"/>
      <c r="P113" s="47"/>
      <c r="Q113" s="47"/>
      <c r="R113" s="47">
        <f t="shared" si="2"/>
        <v>234774.19312415086</v>
      </c>
    </row>
    <row r="114" spans="1:18" x14ac:dyDescent="0.35">
      <c r="A114" s="76">
        <v>110</v>
      </c>
      <c r="B114" s="77" t="s">
        <v>283</v>
      </c>
      <c r="C114" s="9" t="s">
        <v>284</v>
      </c>
      <c r="D114" s="76" t="s">
        <v>285</v>
      </c>
      <c r="E114" s="79">
        <v>3721789.9188485113</v>
      </c>
      <c r="F114" s="47"/>
      <c r="G114" s="47"/>
      <c r="H114" s="47"/>
      <c r="I114" s="47"/>
      <c r="J114" s="47"/>
      <c r="K114" s="84"/>
      <c r="L114" s="47"/>
      <c r="M114" s="47"/>
      <c r="N114" s="47"/>
      <c r="O114" s="47"/>
      <c r="P114" s="47"/>
      <c r="Q114" s="47"/>
      <c r="R114" s="47">
        <f t="shared" si="2"/>
        <v>3721789.9188485113</v>
      </c>
    </row>
    <row r="115" spans="1:18" x14ac:dyDescent="0.35">
      <c r="A115" s="76">
        <v>111</v>
      </c>
      <c r="B115" s="77" t="s">
        <v>286</v>
      </c>
      <c r="C115" s="9" t="s">
        <v>287</v>
      </c>
      <c r="D115" s="76" t="s">
        <v>113</v>
      </c>
      <c r="E115" s="79">
        <v>1916748.7226283359</v>
      </c>
      <c r="F115" s="47"/>
      <c r="G115" s="47"/>
      <c r="H115" s="47"/>
      <c r="I115" s="47"/>
      <c r="J115" s="47"/>
      <c r="K115" s="84"/>
      <c r="L115" s="47"/>
      <c r="M115" s="47"/>
      <c r="N115" s="47"/>
      <c r="O115" s="47"/>
      <c r="P115" s="47"/>
      <c r="Q115" s="47"/>
      <c r="R115" s="47">
        <f t="shared" si="2"/>
        <v>1916748.7226283359</v>
      </c>
    </row>
    <row r="116" spans="1:18" x14ac:dyDescent="0.35">
      <c r="A116" s="76">
        <v>112</v>
      </c>
      <c r="B116" s="77" t="s">
        <v>288</v>
      </c>
      <c r="C116" s="9" t="s">
        <v>289</v>
      </c>
      <c r="D116" s="76" t="s">
        <v>290</v>
      </c>
      <c r="E116" s="79">
        <v>1255578.2521574167</v>
      </c>
      <c r="F116" s="47"/>
      <c r="G116" s="47"/>
      <c r="H116" s="47"/>
      <c r="I116" s="47"/>
      <c r="J116" s="47"/>
      <c r="K116" s="84"/>
      <c r="L116" s="47">
        <v>-593788.32441603416</v>
      </c>
      <c r="M116" s="47"/>
      <c r="N116" s="47">
        <v>-1255578</v>
      </c>
      <c r="O116" s="47"/>
      <c r="P116" s="47"/>
      <c r="Q116" s="47"/>
      <c r="R116" s="47">
        <f t="shared" si="2"/>
        <v>-593788.0722586175</v>
      </c>
    </row>
    <row r="117" spans="1:18" x14ac:dyDescent="0.35">
      <c r="A117" s="76">
        <v>113</v>
      </c>
      <c r="B117" s="77" t="s">
        <v>291</v>
      </c>
      <c r="C117" s="9" t="s">
        <v>292</v>
      </c>
      <c r="D117" s="76" t="s">
        <v>128</v>
      </c>
      <c r="E117" s="79">
        <v>4640303.7515061209</v>
      </c>
      <c r="F117" s="47"/>
      <c r="G117" s="47"/>
      <c r="H117" s="47"/>
      <c r="I117" s="47"/>
      <c r="J117" s="47"/>
      <c r="K117" s="84"/>
      <c r="L117" s="47">
        <v>-764448.33201577154</v>
      </c>
      <c r="M117" s="47"/>
      <c r="N117" s="47"/>
      <c r="O117" s="47"/>
      <c r="P117" s="47"/>
      <c r="Q117" s="47"/>
      <c r="R117" s="47">
        <f t="shared" si="2"/>
        <v>3875855.4194903495</v>
      </c>
    </row>
    <row r="118" spans="1:18" x14ac:dyDescent="0.35">
      <c r="A118" s="76">
        <v>114</v>
      </c>
      <c r="B118" s="77" t="s">
        <v>293</v>
      </c>
      <c r="C118" s="9" t="s">
        <v>1779</v>
      </c>
      <c r="D118" s="76" t="s">
        <v>295</v>
      </c>
      <c r="E118" s="79">
        <v>1296338.49898383</v>
      </c>
      <c r="F118" s="47"/>
      <c r="G118" s="47"/>
      <c r="H118" s="47"/>
      <c r="I118" s="47"/>
      <c r="J118" s="47"/>
      <c r="K118" s="84"/>
      <c r="L118" s="47">
        <v>-606976.96599968243</v>
      </c>
      <c r="M118" s="47"/>
      <c r="N118" s="47"/>
      <c r="O118" s="47"/>
      <c r="P118" s="47"/>
      <c r="Q118" s="47"/>
      <c r="R118" s="47">
        <f t="shared" si="2"/>
        <v>689361.53298414755</v>
      </c>
    </row>
    <row r="119" spans="1:18" x14ac:dyDescent="0.35">
      <c r="A119" s="76">
        <v>115</v>
      </c>
      <c r="B119" s="77" t="s">
        <v>296</v>
      </c>
      <c r="C119" s="9" t="s">
        <v>297</v>
      </c>
      <c r="D119" s="76" t="s">
        <v>49</v>
      </c>
      <c r="E119" s="79">
        <v>1243320.9765596169</v>
      </c>
      <c r="F119" s="47"/>
      <c r="G119" s="47"/>
      <c r="H119" s="47"/>
      <c r="I119" s="47"/>
      <c r="J119" s="47"/>
      <c r="K119" s="84"/>
      <c r="L119" s="47"/>
      <c r="M119" s="47"/>
      <c r="N119" s="47"/>
      <c r="O119" s="47"/>
      <c r="P119" s="47"/>
      <c r="Q119" s="47"/>
      <c r="R119" s="47">
        <f t="shared" si="2"/>
        <v>1243320.9765596169</v>
      </c>
    </row>
    <row r="120" spans="1:18" x14ac:dyDescent="0.35">
      <c r="A120" s="76">
        <v>116</v>
      </c>
      <c r="B120" s="77" t="s">
        <v>298</v>
      </c>
      <c r="C120" s="9" t="s">
        <v>1686</v>
      </c>
      <c r="D120" s="76" t="s">
        <v>300</v>
      </c>
      <c r="E120" s="79">
        <v>50527.966340010054</v>
      </c>
      <c r="F120" s="47"/>
      <c r="G120" s="47"/>
      <c r="H120" s="47"/>
      <c r="I120" s="47"/>
      <c r="J120" s="47"/>
      <c r="K120" s="84"/>
      <c r="L120" s="47"/>
      <c r="M120" s="47"/>
      <c r="N120" s="47"/>
      <c r="O120" s="47"/>
      <c r="P120" s="47"/>
      <c r="Q120" s="47"/>
      <c r="R120" s="47">
        <f t="shared" si="2"/>
        <v>50527.966340010054</v>
      </c>
    </row>
    <row r="121" spans="1:18" x14ac:dyDescent="0.35">
      <c r="A121" s="76">
        <v>117</v>
      </c>
      <c r="B121" s="77" t="s">
        <v>301</v>
      </c>
      <c r="C121" s="9" t="s">
        <v>302</v>
      </c>
      <c r="D121" s="76" t="s">
        <v>303</v>
      </c>
      <c r="E121" s="79">
        <v>2466878.8378160056</v>
      </c>
      <c r="F121" s="47"/>
      <c r="G121" s="47"/>
      <c r="H121" s="47"/>
      <c r="I121" s="47"/>
      <c r="J121" s="47"/>
      <c r="K121" s="84"/>
      <c r="L121" s="47"/>
      <c r="M121" s="47"/>
      <c r="N121" s="47"/>
      <c r="O121" s="47"/>
      <c r="P121" s="47"/>
      <c r="Q121" s="47"/>
      <c r="R121" s="47">
        <f t="shared" si="2"/>
        <v>2466878.8378160056</v>
      </c>
    </row>
    <row r="122" spans="1:18" x14ac:dyDescent="0.35">
      <c r="A122" s="76">
        <v>118</v>
      </c>
      <c r="B122" s="77" t="s">
        <v>304</v>
      </c>
      <c r="C122" s="9" t="s">
        <v>2207</v>
      </c>
      <c r="D122" s="76" t="s">
        <v>136</v>
      </c>
      <c r="E122" s="79">
        <v>207929.08168128435</v>
      </c>
      <c r="F122" s="47"/>
      <c r="G122" s="47"/>
      <c r="H122" s="47"/>
      <c r="I122" s="47"/>
      <c r="J122" s="47"/>
      <c r="K122" s="84"/>
      <c r="L122" s="47"/>
      <c r="M122" s="47"/>
      <c r="N122" s="47"/>
      <c r="O122" s="47"/>
      <c r="P122" s="47"/>
      <c r="Q122" s="47"/>
      <c r="R122" s="47">
        <f t="shared" si="2"/>
        <v>207929.08168128435</v>
      </c>
    </row>
    <row r="123" spans="1:18" x14ac:dyDescent="0.35">
      <c r="A123" s="76">
        <v>119</v>
      </c>
      <c r="B123" s="77" t="s">
        <v>306</v>
      </c>
      <c r="C123" s="9" t="s">
        <v>1687</v>
      </c>
      <c r="D123" s="76" t="s">
        <v>60</v>
      </c>
      <c r="E123" s="79">
        <v>745156.2573593026</v>
      </c>
      <c r="F123" s="47"/>
      <c r="G123" s="47"/>
      <c r="H123" s="47"/>
      <c r="I123" s="47"/>
      <c r="J123" s="47"/>
      <c r="K123" s="84"/>
      <c r="L123" s="47"/>
      <c r="M123" s="47"/>
      <c r="N123" s="47"/>
      <c r="O123" s="47"/>
      <c r="P123" s="47"/>
      <c r="Q123" s="47"/>
      <c r="R123" s="47">
        <f t="shared" si="2"/>
        <v>745156.2573593026</v>
      </c>
    </row>
    <row r="124" spans="1:18" x14ac:dyDescent="0.35">
      <c r="A124" s="76">
        <v>120</v>
      </c>
      <c r="B124" s="77" t="s">
        <v>308</v>
      </c>
      <c r="C124" s="9" t="s">
        <v>309</v>
      </c>
      <c r="D124" s="76" t="s">
        <v>131</v>
      </c>
      <c r="E124" s="79">
        <v>80944.011832591146</v>
      </c>
      <c r="F124" s="47"/>
      <c r="G124" s="47"/>
      <c r="H124" s="47"/>
      <c r="I124" s="47"/>
      <c r="J124" s="47"/>
      <c r="K124" s="84"/>
      <c r="L124" s="47"/>
      <c r="M124" s="47"/>
      <c r="N124" s="47"/>
      <c r="O124" s="47"/>
      <c r="P124" s="47"/>
      <c r="Q124" s="47"/>
      <c r="R124" s="47">
        <f t="shared" si="2"/>
        <v>80944.011832591146</v>
      </c>
    </row>
    <row r="125" spans="1:18" x14ac:dyDescent="0.35">
      <c r="A125" s="76">
        <v>121</v>
      </c>
      <c r="B125" s="77" t="s">
        <v>310</v>
      </c>
      <c r="C125" s="9" t="s">
        <v>2001</v>
      </c>
      <c r="D125" s="76" t="s">
        <v>25</v>
      </c>
      <c r="E125" s="79">
        <v>5340496.3640352199</v>
      </c>
      <c r="F125" s="47"/>
      <c r="G125" s="47"/>
      <c r="H125" s="47"/>
      <c r="I125" s="47"/>
      <c r="J125" s="47"/>
      <c r="K125" s="84"/>
      <c r="L125" s="47"/>
      <c r="M125" s="47"/>
      <c r="N125" s="47"/>
      <c r="O125" s="47"/>
      <c r="P125" s="47"/>
      <c r="Q125" s="47"/>
      <c r="R125" s="47">
        <f t="shared" si="2"/>
        <v>5340496.3640352199</v>
      </c>
    </row>
    <row r="126" spans="1:18" x14ac:dyDescent="0.35">
      <c r="A126" s="76">
        <v>122</v>
      </c>
      <c r="B126" s="77" t="s">
        <v>312</v>
      </c>
      <c r="C126" s="9" t="s">
        <v>1775</v>
      </c>
      <c r="D126" s="76" t="s">
        <v>72</v>
      </c>
      <c r="E126" s="79">
        <v>4727823.2173939664</v>
      </c>
      <c r="F126" s="47"/>
      <c r="G126" s="47"/>
      <c r="H126" s="47"/>
      <c r="I126" s="47"/>
      <c r="J126" s="47"/>
      <c r="K126" s="84"/>
      <c r="L126" s="47">
        <v>-657726.45614283811</v>
      </c>
      <c r="M126" s="47"/>
      <c r="N126" s="47"/>
      <c r="O126" s="47"/>
      <c r="P126" s="47"/>
      <c r="Q126" s="47"/>
      <c r="R126" s="47">
        <f t="shared" si="2"/>
        <v>4070096.7612511283</v>
      </c>
    </row>
    <row r="127" spans="1:18" x14ac:dyDescent="0.35">
      <c r="A127" s="76">
        <v>123</v>
      </c>
      <c r="B127" s="77" t="s">
        <v>314</v>
      </c>
      <c r="C127" s="9" t="s">
        <v>1877</v>
      </c>
      <c r="D127" s="76" t="s">
        <v>25</v>
      </c>
      <c r="E127" s="79">
        <v>10670025.696645916</v>
      </c>
      <c r="F127" s="47"/>
      <c r="G127" s="47"/>
      <c r="H127" s="47"/>
      <c r="I127" s="47"/>
      <c r="J127" s="47"/>
      <c r="K127" s="84"/>
      <c r="L127" s="47"/>
      <c r="M127" s="47"/>
      <c r="N127" s="47"/>
      <c r="O127" s="47"/>
      <c r="P127" s="47"/>
      <c r="Q127" s="47"/>
      <c r="R127" s="47">
        <f t="shared" si="2"/>
        <v>10670025.696645916</v>
      </c>
    </row>
    <row r="128" spans="1:18" x14ac:dyDescent="0.35">
      <c r="A128" s="76">
        <v>124</v>
      </c>
      <c r="B128" s="77" t="s">
        <v>316</v>
      </c>
      <c r="C128" s="9" t="s">
        <v>1688</v>
      </c>
      <c r="D128" s="76" t="s">
        <v>318</v>
      </c>
      <c r="E128" s="79">
        <v>-0.22952770907431841</v>
      </c>
      <c r="F128" s="47"/>
      <c r="G128" s="47"/>
      <c r="H128" s="47"/>
      <c r="I128" s="47"/>
      <c r="J128" s="47"/>
      <c r="K128" s="84"/>
      <c r="L128" s="47"/>
      <c r="M128" s="47"/>
      <c r="N128" s="47"/>
      <c r="O128" s="47"/>
      <c r="P128" s="47"/>
      <c r="Q128" s="47"/>
      <c r="R128" s="47">
        <f t="shared" si="2"/>
        <v>-0.22952770907431841</v>
      </c>
    </row>
    <row r="129" spans="1:18" x14ac:dyDescent="0.35">
      <c r="A129" s="76">
        <v>125</v>
      </c>
      <c r="B129" s="77" t="s">
        <v>319</v>
      </c>
      <c r="C129" s="9" t="s">
        <v>1776</v>
      </c>
      <c r="D129" s="76" t="s">
        <v>321</v>
      </c>
      <c r="E129" s="79">
        <v>2229527.7684022761</v>
      </c>
      <c r="F129" s="47"/>
      <c r="G129" s="47"/>
      <c r="H129" s="47"/>
      <c r="I129" s="47"/>
      <c r="J129" s="47"/>
      <c r="K129" s="84"/>
      <c r="L129" s="47">
        <v>-433452.59860523633</v>
      </c>
      <c r="M129" s="47"/>
      <c r="N129" s="47"/>
      <c r="O129" s="47"/>
      <c r="P129" s="47"/>
      <c r="Q129" s="47"/>
      <c r="R129" s="47">
        <f t="shared" si="2"/>
        <v>1796075.1697970398</v>
      </c>
    </row>
    <row r="130" spans="1:18" x14ac:dyDescent="0.35">
      <c r="A130" s="76">
        <v>126</v>
      </c>
      <c r="B130" s="77" t="s">
        <v>322</v>
      </c>
      <c r="C130" s="9" t="s">
        <v>1634</v>
      </c>
      <c r="D130" s="76" t="s">
        <v>324</v>
      </c>
      <c r="E130" s="79">
        <v>112648.17443025135</v>
      </c>
      <c r="F130" s="47"/>
      <c r="G130" s="47"/>
      <c r="H130" s="47"/>
      <c r="I130" s="47"/>
      <c r="J130" s="47"/>
      <c r="K130" s="84"/>
      <c r="L130" s="47"/>
      <c r="M130" s="47"/>
      <c r="N130" s="47"/>
      <c r="O130" s="47"/>
      <c r="P130" s="47"/>
      <c r="Q130" s="47"/>
      <c r="R130" s="47">
        <f t="shared" si="2"/>
        <v>112648.17443025135</v>
      </c>
    </row>
    <row r="131" spans="1:18" x14ac:dyDescent="0.35">
      <c r="A131" s="76">
        <v>127</v>
      </c>
      <c r="B131" s="77" t="s">
        <v>325</v>
      </c>
      <c r="C131" s="9" t="s">
        <v>326</v>
      </c>
      <c r="D131" s="76" t="s">
        <v>270</v>
      </c>
      <c r="E131" s="79">
        <v>2386307.645151264</v>
      </c>
      <c r="F131" s="47"/>
      <c r="G131" s="47"/>
      <c r="H131" s="47"/>
      <c r="I131" s="47"/>
      <c r="J131" s="47"/>
      <c r="K131" s="84"/>
      <c r="L131" s="47"/>
      <c r="M131" s="47"/>
      <c r="N131" s="47"/>
      <c r="O131" s="47"/>
      <c r="P131" s="47"/>
      <c r="Q131" s="47"/>
      <c r="R131" s="47">
        <f t="shared" si="2"/>
        <v>2386307.645151264</v>
      </c>
    </row>
    <row r="132" spans="1:18" x14ac:dyDescent="0.35">
      <c r="A132" s="76">
        <v>128</v>
      </c>
      <c r="B132" s="77" t="s">
        <v>327</v>
      </c>
      <c r="C132" s="9" t="s">
        <v>1879</v>
      </c>
      <c r="D132" s="76" t="s">
        <v>136</v>
      </c>
      <c r="E132" s="79">
        <v>2677427.8914502547</v>
      </c>
      <c r="F132" s="47"/>
      <c r="G132" s="47"/>
      <c r="H132" s="47"/>
      <c r="I132" s="47"/>
      <c r="J132" s="47"/>
      <c r="K132" s="84"/>
      <c r="L132" s="47"/>
      <c r="M132" s="47"/>
      <c r="N132" s="47"/>
      <c r="O132" s="47"/>
      <c r="P132" s="47"/>
      <c r="Q132" s="47"/>
      <c r="R132" s="47">
        <f t="shared" si="2"/>
        <v>2677427.8914502547</v>
      </c>
    </row>
    <row r="133" spans="1:18" x14ac:dyDescent="0.35">
      <c r="A133" s="76">
        <v>129</v>
      </c>
      <c r="B133" s="77" t="s">
        <v>329</v>
      </c>
      <c r="C133" s="9" t="s">
        <v>1788</v>
      </c>
      <c r="D133" s="76" t="s">
        <v>136</v>
      </c>
      <c r="E133" s="79">
        <v>5705906.5801723674</v>
      </c>
      <c r="F133" s="47"/>
      <c r="G133" s="47"/>
      <c r="H133" s="47"/>
      <c r="I133" s="47"/>
      <c r="J133" s="47"/>
      <c r="K133" s="84"/>
      <c r="L133" s="47">
        <v>-838746.87419987714</v>
      </c>
      <c r="M133" s="47"/>
      <c r="N133" s="47"/>
      <c r="O133" s="47"/>
      <c r="P133" s="47"/>
      <c r="Q133" s="47"/>
      <c r="R133" s="47">
        <f t="shared" si="2"/>
        <v>4867159.7059724899</v>
      </c>
    </row>
    <row r="134" spans="1:18" x14ac:dyDescent="0.35">
      <c r="A134" s="76">
        <v>130</v>
      </c>
      <c r="B134" s="77" t="s">
        <v>331</v>
      </c>
      <c r="C134" s="9" t="s">
        <v>332</v>
      </c>
      <c r="D134" s="76" t="s">
        <v>333</v>
      </c>
      <c r="E134" s="79">
        <v>1529471.9930674867</v>
      </c>
      <c r="F134" s="47"/>
      <c r="G134" s="47"/>
      <c r="H134" s="47"/>
      <c r="I134" s="47"/>
      <c r="J134" s="47"/>
      <c r="K134" s="84"/>
      <c r="L134" s="47"/>
      <c r="M134" s="47"/>
      <c r="N134" s="47"/>
      <c r="O134" s="47"/>
      <c r="P134" s="47"/>
      <c r="Q134" s="47"/>
      <c r="R134" s="47">
        <f t="shared" si="2"/>
        <v>1529471.9930674867</v>
      </c>
    </row>
    <row r="135" spans="1:18" x14ac:dyDescent="0.35">
      <c r="A135" s="76">
        <v>131</v>
      </c>
      <c r="B135" s="77" t="s">
        <v>334</v>
      </c>
      <c r="C135" s="9" t="s">
        <v>335</v>
      </c>
      <c r="D135" s="76" t="s">
        <v>60</v>
      </c>
      <c r="E135" s="79">
        <v>3440312.0650717425</v>
      </c>
      <c r="F135" s="47"/>
      <c r="G135" s="47"/>
      <c r="H135" s="47"/>
      <c r="I135" s="47"/>
      <c r="J135" s="47"/>
      <c r="K135" s="84"/>
      <c r="L135" s="47">
        <v>-416194.77882392524</v>
      </c>
      <c r="M135" s="47"/>
      <c r="N135" s="47"/>
      <c r="O135" s="47"/>
      <c r="P135" s="47"/>
      <c r="Q135" s="47"/>
      <c r="R135" s="47">
        <f t="shared" si="2"/>
        <v>3024117.2862478173</v>
      </c>
    </row>
    <row r="136" spans="1:18" x14ac:dyDescent="0.35">
      <c r="A136" s="76">
        <v>132</v>
      </c>
      <c r="B136" s="77" t="s">
        <v>336</v>
      </c>
      <c r="C136" s="9" t="s">
        <v>1689</v>
      </c>
      <c r="D136" s="76" t="s">
        <v>41</v>
      </c>
      <c r="E136" s="79">
        <v>8379</v>
      </c>
      <c r="F136" s="47"/>
      <c r="G136" s="47"/>
      <c r="H136" s="47"/>
      <c r="I136" s="47"/>
      <c r="J136" s="47"/>
      <c r="K136" s="84"/>
      <c r="L136" s="47"/>
      <c r="M136" s="47"/>
      <c r="N136" s="47"/>
      <c r="O136" s="47"/>
      <c r="P136" s="47"/>
      <c r="Q136" s="47"/>
      <c r="R136" s="47">
        <f t="shared" si="2"/>
        <v>8379</v>
      </c>
    </row>
    <row r="137" spans="1:18" x14ac:dyDescent="0.35">
      <c r="A137" s="76">
        <v>133</v>
      </c>
      <c r="B137" s="77" t="s">
        <v>338</v>
      </c>
      <c r="C137" s="9" t="s">
        <v>2239</v>
      </c>
      <c r="D137" s="76" t="s">
        <v>49</v>
      </c>
      <c r="E137" s="79">
        <v>1078286.1222293982</v>
      </c>
      <c r="F137" s="47"/>
      <c r="G137" s="47"/>
      <c r="H137" s="47"/>
      <c r="I137" s="47"/>
      <c r="J137" s="47"/>
      <c r="K137" s="84"/>
      <c r="L137" s="47"/>
      <c r="M137" s="47"/>
      <c r="N137" s="47"/>
      <c r="O137" s="47"/>
      <c r="P137" s="47"/>
      <c r="Q137" s="47"/>
      <c r="R137" s="47">
        <f t="shared" si="2"/>
        <v>1078286.1222293982</v>
      </c>
    </row>
    <row r="138" spans="1:18" x14ac:dyDescent="0.35">
      <c r="A138" s="76">
        <v>134</v>
      </c>
      <c r="B138" s="77" t="s">
        <v>340</v>
      </c>
      <c r="C138" s="9" t="s">
        <v>1616</v>
      </c>
      <c r="D138" s="76" t="s">
        <v>136</v>
      </c>
      <c r="E138" s="79">
        <v>0.38347006030380726</v>
      </c>
      <c r="F138" s="47"/>
      <c r="G138" s="47"/>
      <c r="H138" s="47"/>
      <c r="I138" s="47"/>
      <c r="J138" s="47"/>
      <c r="K138" s="84"/>
      <c r="L138" s="47"/>
      <c r="M138" s="47"/>
      <c r="N138" s="47"/>
      <c r="O138" s="47"/>
      <c r="P138" s="47"/>
      <c r="Q138" s="47"/>
      <c r="R138" s="47">
        <f t="shared" si="2"/>
        <v>0.38347006030380726</v>
      </c>
    </row>
    <row r="139" spans="1:18" x14ac:dyDescent="0.35">
      <c r="A139" s="76">
        <v>135</v>
      </c>
      <c r="B139" s="77" t="s">
        <v>342</v>
      </c>
      <c r="C139" s="9" t="s">
        <v>343</v>
      </c>
      <c r="D139" s="76" t="s">
        <v>303</v>
      </c>
      <c r="E139" s="79">
        <v>2260129.223240274</v>
      </c>
      <c r="F139" s="47"/>
      <c r="G139" s="47"/>
      <c r="H139" s="47"/>
      <c r="I139" s="47"/>
      <c r="J139" s="47"/>
      <c r="K139" s="84"/>
      <c r="L139" s="47">
        <v>-446070.18922881229</v>
      </c>
      <c r="M139" s="47"/>
      <c r="N139" s="47"/>
      <c r="O139" s="47"/>
      <c r="P139" s="47"/>
      <c r="Q139" s="47"/>
      <c r="R139" s="47">
        <f t="shared" si="2"/>
        <v>1814059.0340114618</v>
      </c>
    </row>
    <row r="140" spans="1:18" x14ac:dyDescent="0.35">
      <c r="A140" s="76">
        <v>136</v>
      </c>
      <c r="B140" s="77" t="s">
        <v>344</v>
      </c>
      <c r="C140" s="9" t="s">
        <v>345</v>
      </c>
      <c r="D140" s="76" t="s">
        <v>95</v>
      </c>
      <c r="E140" s="79">
        <v>2319199.6598919872</v>
      </c>
      <c r="F140" s="47"/>
      <c r="G140" s="47"/>
      <c r="H140" s="47"/>
      <c r="I140" s="47"/>
      <c r="J140" s="47"/>
      <c r="K140" s="84"/>
      <c r="L140" s="47"/>
      <c r="M140" s="47"/>
      <c r="N140" s="47"/>
      <c r="O140" s="47"/>
      <c r="P140" s="47"/>
      <c r="Q140" s="47"/>
      <c r="R140" s="47">
        <f t="shared" si="2"/>
        <v>2319199.6598919872</v>
      </c>
    </row>
    <row r="141" spans="1:18" x14ac:dyDescent="0.35">
      <c r="A141" s="76">
        <v>137</v>
      </c>
      <c r="B141" s="77" t="s">
        <v>346</v>
      </c>
      <c r="C141" s="9" t="s">
        <v>1635</v>
      </c>
      <c r="D141" s="76" t="s">
        <v>98</v>
      </c>
      <c r="E141" s="79">
        <v>0.3095634700730443</v>
      </c>
      <c r="F141" s="47"/>
      <c r="G141" s="47"/>
      <c r="H141" s="47"/>
      <c r="I141" s="47"/>
      <c r="J141" s="47"/>
      <c r="K141" s="84"/>
      <c r="L141" s="47"/>
      <c r="M141" s="47"/>
      <c r="N141" s="47"/>
      <c r="O141" s="47"/>
      <c r="P141" s="47"/>
      <c r="Q141" s="47"/>
      <c r="R141" s="47">
        <f t="shared" si="2"/>
        <v>0.3095634700730443</v>
      </c>
    </row>
    <row r="142" spans="1:18" x14ac:dyDescent="0.35">
      <c r="A142" s="76">
        <v>138</v>
      </c>
      <c r="B142" s="77" t="s">
        <v>348</v>
      </c>
      <c r="C142" s="9" t="s">
        <v>1881</v>
      </c>
      <c r="D142" s="76" t="s">
        <v>98</v>
      </c>
      <c r="E142" s="79">
        <v>5677074.7014116533</v>
      </c>
      <c r="F142" s="47"/>
      <c r="G142" s="47"/>
      <c r="H142" s="47"/>
      <c r="I142" s="47"/>
      <c r="J142" s="47"/>
      <c r="K142" s="84"/>
      <c r="L142" s="47"/>
      <c r="M142" s="47"/>
      <c r="N142" s="47"/>
      <c r="O142" s="47"/>
      <c r="P142" s="47"/>
      <c r="Q142" s="47"/>
      <c r="R142" s="47">
        <f t="shared" si="2"/>
        <v>5677074.7014116533</v>
      </c>
    </row>
    <row r="143" spans="1:18" x14ac:dyDescent="0.35">
      <c r="A143" s="76">
        <v>139</v>
      </c>
      <c r="B143" s="77" t="s">
        <v>350</v>
      </c>
      <c r="C143" s="9" t="s">
        <v>1790</v>
      </c>
      <c r="D143" s="76" t="s">
        <v>14</v>
      </c>
      <c r="E143" s="79">
        <v>2361268.1257860912</v>
      </c>
      <c r="F143" s="47"/>
      <c r="G143" s="47"/>
      <c r="H143" s="47"/>
      <c r="I143" s="47"/>
      <c r="J143" s="47"/>
      <c r="K143" s="84"/>
      <c r="L143" s="47"/>
      <c r="M143" s="47"/>
      <c r="N143" s="47"/>
      <c r="O143" s="47"/>
      <c r="P143" s="47"/>
      <c r="Q143" s="47"/>
      <c r="R143" s="47">
        <f t="shared" si="2"/>
        <v>2361268.1257860912</v>
      </c>
    </row>
    <row r="144" spans="1:18" x14ac:dyDescent="0.35">
      <c r="A144" s="76">
        <v>140</v>
      </c>
      <c r="B144" s="77" t="s">
        <v>352</v>
      </c>
      <c r="C144" s="9" t="s">
        <v>353</v>
      </c>
      <c r="D144" s="76" t="s">
        <v>354</v>
      </c>
      <c r="E144" s="79">
        <v>99564</v>
      </c>
      <c r="F144" s="47"/>
      <c r="G144" s="47"/>
      <c r="H144" s="47"/>
      <c r="I144" s="47"/>
      <c r="J144" s="47"/>
      <c r="K144" s="84"/>
      <c r="L144" s="47"/>
      <c r="M144" s="47"/>
      <c r="N144" s="47"/>
      <c r="O144" s="47"/>
      <c r="P144" s="47"/>
      <c r="Q144" s="47"/>
      <c r="R144" s="47">
        <f t="shared" si="2"/>
        <v>99564</v>
      </c>
    </row>
    <row r="145" spans="1:18" x14ac:dyDescent="0.35">
      <c r="A145" s="76">
        <v>141</v>
      </c>
      <c r="B145" s="77" t="s">
        <v>355</v>
      </c>
      <c r="C145" s="9" t="s">
        <v>1691</v>
      </c>
      <c r="D145" s="76" t="s">
        <v>166</v>
      </c>
      <c r="E145" s="79">
        <v>2164049</v>
      </c>
      <c r="F145" s="47"/>
      <c r="G145" s="47"/>
      <c r="H145" s="47"/>
      <c r="I145" s="47"/>
      <c r="J145" s="47"/>
      <c r="K145" s="84"/>
      <c r="L145" s="47"/>
      <c r="M145" s="47"/>
      <c r="N145" s="47"/>
      <c r="O145" s="47"/>
      <c r="P145" s="47"/>
      <c r="Q145" s="47"/>
      <c r="R145" s="47">
        <f t="shared" si="2"/>
        <v>2164049</v>
      </c>
    </row>
    <row r="146" spans="1:18" x14ac:dyDescent="0.35">
      <c r="A146" s="76">
        <v>142</v>
      </c>
      <c r="B146" s="77" t="s">
        <v>357</v>
      </c>
      <c r="C146" s="9" t="s">
        <v>1692</v>
      </c>
      <c r="D146" s="76" t="s">
        <v>19</v>
      </c>
      <c r="E146" s="79">
        <v>567722.78357366147</v>
      </c>
      <c r="F146" s="47"/>
      <c r="G146" s="47"/>
      <c r="H146" s="47"/>
      <c r="I146" s="47"/>
      <c r="J146" s="47"/>
      <c r="K146" s="84"/>
      <c r="L146" s="47"/>
      <c r="M146" s="47"/>
      <c r="N146" s="47"/>
      <c r="O146" s="47"/>
      <c r="P146" s="47"/>
      <c r="Q146" s="47"/>
      <c r="R146" s="47">
        <f t="shared" si="2"/>
        <v>567722.78357366147</v>
      </c>
    </row>
    <row r="147" spans="1:18" x14ac:dyDescent="0.35">
      <c r="A147" s="76">
        <v>143</v>
      </c>
      <c r="B147" s="77" t="s">
        <v>359</v>
      </c>
      <c r="C147" s="9" t="s">
        <v>1693</v>
      </c>
      <c r="D147" s="76" t="s">
        <v>136</v>
      </c>
      <c r="E147" s="79">
        <v>233710.50319870003</v>
      </c>
      <c r="F147" s="47"/>
      <c r="G147" s="47"/>
      <c r="H147" s="47"/>
      <c r="I147" s="47"/>
      <c r="J147" s="47"/>
      <c r="K147" s="84"/>
      <c r="L147" s="47"/>
      <c r="M147" s="47"/>
      <c r="N147" s="47"/>
      <c r="O147" s="47"/>
      <c r="P147" s="47"/>
      <c r="Q147" s="47"/>
      <c r="R147" s="47">
        <f t="shared" si="2"/>
        <v>233710.50319870003</v>
      </c>
    </row>
    <row r="148" spans="1:18" x14ac:dyDescent="0.35">
      <c r="A148" s="76">
        <v>144</v>
      </c>
      <c r="B148" s="77" t="s">
        <v>361</v>
      </c>
      <c r="C148" s="9" t="s">
        <v>362</v>
      </c>
      <c r="D148" s="76" t="s">
        <v>72</v>
      </c>
      <c r="E148" s="79">
        <v>28633.09288087019</v>
      </c>
      <c r="F148" s="47"/>
      <c r="G148" s="47"/>
      <c r="H148" s="47"/>
      <c r="I148" s="47"/>
      <c r="J148" s="47"/>
      <c r="K148" s="84"/>
      <c r="L148" s="47"/>
      <c r="M148" s="47"/>
      <c r="N148" s="47"/>
      <c r="O148" s="47"/>
      <c r="P148" s="47"/>
      <c r="Q148" s="47"/>
      <c r="R148" s="47">
        <f t="shared" si="2"/>
        <v>28633.09288087019</v>
      </c>
    </row>
    <row r="149" spans="1:18" x14ac:dyDescent="0.35">
      <c r="A149" s="76">
        <v>145</v>
      </c>
      <c r="B149" s="77" t="s">
        <v>363</v>
      </c>
      <c r="C149" s="9" t="s">
        <v>2240</v>
      </c>
      <c r="D149" s="76" t="s">
        <v>14</v>
      </c>
      <c r="E149" s="79">
        <v>81586.062944484394</v>
      </c>
      <c r="F149" s="47"/>
      <c r="G149" s="47"/>
      <c r="H149" s="47"/>
      <c r="I149" s="47"/>
      <c r="J149" s="47"/>
      <c r="K149" s="84"/>
      <c r="L149" s="47"/>
      <c r="M149" s="47"/>
      <c r="N149" s="47"/>
      <c r="O149" s="47"/>
      <c r="P149" s="47"/>
      <c r="Q149" s="47"/>
      <c r="R149" s="47">
        <f t="shared" si="2"/>
        <v>81586.062944484394</v>
      </c>
    </row>
    <row r="150" spans="1:18" x14ac:dyDescent="0.35">
      <c r="A150" s="76">
        <v>146</v>
      </c>
      <c r="B150" s="77" t="s">
        <v>365</v>
      </c>
      <c r="C150" s="9" t="s">
        <v>1970</v>
      </c>
      <c r="D150" s="76" t="s">
        <v>367</v>
      </c>
      <c r="E150" s="79">
        <v>9947618.8788878657</v>
      </c>
      <c r="F150" s="47"/>
      <c r="G150" s="47"/>
      <c r="H150" s="47"/>
      <c r="I150" s="47"/>
      <c r="J150" s="47"/>
      <c r="K150" s="84"/>
      <c r="L150" s="47"/>
      <c r="M150" s="47"/>
      <c r="N150" s="47"/>
      <c r="O150" s="47"/>
      <c r="P150" s="47"/>
      <c r="Q150" s="47"/>
      <c r="R150" s="47">
        <f t="shared" si="2"/>
        <v>9947618.8788878657</v>
      </c>
    </row>
    <row r="151" spans="1:18" x14ac:dyDescent="0.35">
      <c r="A151" s="76">
        <v>147</v>
      </c>
      <c r="B151" s="77" t="s">
        <v>368</v>
      </c>
      <c r="C151" s="9" t="s">
        <v>1912</v>
      </c>
      <c r="D151" s="76" t="s">
        <v>198</v>
      </c>
      <c r="E151" s="79">
        <v>2906244.3776191822</v>
      </c>
      <c r="F151" s="47"/>
      <c r="G151" s="47"/>
      <c r="H151" s="47"/>
      <c r="I151" s="47"/>
      <c r="J151" s="47"/>
      <c r="K151" s="84"/>
      <c r="L151" s="47">
        <v>-287016.97117821564</v>
      </c>
      <c r="M151" s="47">
        <v>-2906244</v>
      </c>
      <c r="N151" s="47"/>
      <c r="O151" s="47"/>
      <c r="P151" s="47"/>
      <c r="Q151" s="47"/>
      <c r="R151" s="47">
        <f t="shared" si="2"/>
        <v>-287016.59355903324</v>
      </c>
    </row>
    <row r="152" spans="1:18" x14ac:dyDescent="0.35">
      <c r="A152" s="76">
        <v>148</v>
      </c>
      <c r="B152" s="77" t="s">
        <v>370</v>
      </c>
      <c r="C152" s="9" t="s">
        <v>1636</v>
      </c>
      <c r="D152" s="76" t="s">
        <v>72</v>
      </c>
      <c r="E152" s="79">
        <v>123468.72982518934</v>
      </c>
      <c r="F152" s="47"/>
      <c r="G152" s="47"/>
      <c r="H152" s="47"/>
      <c r="I152" s="47"/>
      <c r="J152" s="47"/>
      <c r="K152" s="84"/>
      <c r="L152" s="47"/>
      <c r="M152" s="47"/>
      <c r="N152" s="47"/>
      <c r="O152" s="47"/>
      <c r="P152" s="47"/>
      <c r="Q152" s="47"/>
      <c r="R152" s="47">
        <f t="shared" si="2"/>
        <v>123468.72982518934</v>
      </c>
    </row>
    <row r="153" spans="1:18" x14ac:dyDescent="0.35">
      <c r="A153" s="76">
        <v>149</v>
      </c>
      <c r="B153" s="77" t="s">
        <v>372</v>
      </c>
      <c r="C153" s="9" t="s">
        <v>2004</v>
      </c>
      <c r="D153" s="76" t="s">
        <v>374</v>
      </c>
      <c r="E153" s="79">
        <v>8473635.678683091</v>
      </c>
      <c r="F153" s="47"/>
      <c r="G153" s="47"/>
      <c r="H153" s="47"/>
      <c r="I153" s="47"/>
      <c r="J153" s="47"/>
      <c r="K153" s="84"/>
      <c r="L153" s="47"/>
      <c r="M153" s="47"/>
      <c r="N153" s="47"/>
      <c r="O153" s="47"/>
      <c r="P153" s="47"/>
      <c r="Q153" s="47"/>
      <c r="R153" s="47">
        <f t="shared" si="2"/>
        <v>8473635.678683091</v>
      </c>
    </row>
    <row r="154" spans="1:18" x14ac:dyDescent="0.35">
      <c r="A154" s="76">
        <v>150</v>
      </c>
      <c r="B154" s="77" t="s">
        <v>375</v>
      </c>
      <c r="C154" s="9" t="s">
        <v>1694</v>
      </c>
      <c r="D154" s="76" t="s">
        <v>377</v>
      </c>
      <c r="E154" s="79">
        <v>2977349.295497274</v>
      </c>
      <c r="F154" s="47"/>
      <c r="G154" s="47"/>
      <c r="H154" s="47"/>
      <c r="I154" s="47"/>
      <c r="J154" s="47"/>
      <c r="K154" s="84"/>
      <c r="L154" s="47"/>
      <c r="M154" s="47"/>
      <c r="N154" s="47"/>
      <c r="O154" s="47"/>
      <c r="P154" s="47"/>
      <c r="Q154" s="47"/>
      <c r="R154" s="47">
        <f t="shared" si="2"/>
        <v>2977349.295497274</v>
      </c>
    </row>
    <row r="155" spans="1:18" x14ac:dyDescent="0.35">
      <c r="A155" s="76">
        <v>151</v>
      </c>
      <c r="B155" s="77" t="s">
        <v>378</v>
      </c>
      <c r="C155" s="9" t="s">
        <v>2005</v>
      </c>
      <c r="D155" s="76" t="s">
        <v>72</v>
      </c>
      <c r="E155" s="79">
        <v>2737463.5668233968</v>
      </c>
      <c r="F155" s="47"/>
      <c r="G155" s="47"/>
      <c r="H155" s="47"/>
      <c r="I155" s="47"/>
      <c r="J155" s="47"/>
      <c r="K155" s="84"/>
      <c r="L155" s="47">
        <v>-852026.89927851257</v>
      </c>
      <c r="M155" s="47"/>
      <c r="N155" s="47"/>
      <c r="O155" s="47"/>
      <c r="P155" s="47"/>
      <c r="Q155" s="47"/>
      <c r="R155" s="47">
        <f t="shared" si="2"/>
        <v>1885436.6675448841</v>
      </c>
    </row>
    <row r="156" spans="1:18" x14ac:dyDescent="0.35">
      <c r="A156" s="76">
        <v>152</v>
      </c>
      <c r="B156" s="77" t="s">
        <v>380</v>
      </c>
      <c r="C156" s="9" t="s">
        <v>1772</v>
      </c>
      <c r="D156" s="76" t="s">
        <v>72</v>
      </c>
      <c r="E156" s="79">
        <v>4392305.3089473685</v>
      </c>
      <c r="F156" s="47"/>
      <c r="G156" s="47"/>
      <c r="H156" s="47"/>
      <c r="I156" s="47"/>
      <c r="J156" s="47"/>
      <c r="K156" s="84"/>
      <c r="L156" s="47"/>
      <c r="M156" s="47"/>
      <c r="N156" s="47"/>
      <c r="O156" s="47"/>
      <c r="P156" s="47"/>
      <c r="Q156" s="47"/>
      <c r="R156" s="47">
        <f t="shared" si="2"/>
        <v>4392305.3089473685</v>
      </c>
    </row>
    <row r="157" spans="1:18" x14ac:dyDescent="0.35">
      <c r="A157" s="76">
        <v>153</v>
      </c>
      <c r="B157" s="77" t="s">
        <v>382</v>
      </c>
      <c r="C157" s="9" t="s">
        <v>383</v>
      </c>
      <c r="D157" s="76" t="s">
        <v>367</v>
      </c>
      <c r="E157" s="79">
        <v>1337749.689573701</v>
      </c>
      <c r="F157" s="47"/>
      <c r="G157" s="47"/>
      <c r="H157" s="47"/>
      <c r="I157" s="47"/>
      <c r="J157" s="47"/>
      <c r="K157" s="84"/>
      <c r="L157" s="47">
        <v>-400635.74400345463</v>
      </c>
      <c r="M157" s="47"/>
      <c r="N157" s="47"/>
      <c r="O157" s="47"/>
      <c r="P157" s="47"/>
      <c r="Q157" s="47"/>
      <c r="R157" s="47">
        <f t="shared" si="2"/>
        <v>937113.94557024632</v>
      </c>
    </row>
    <row r="158" spans="1:18" x14ac:dyDescent="0.35">
      <c r="A158" s="76">
        <v>154</v>
      </c>
      <c r="B158" s="77" t="s">
        <v>384</v>
      </c>
      <c r="C158" s="9" t="s">
        <v>385</v>
      </c>
      <c r="D158" s="76" t="s">
        <v>19</v>
      </c>
      <c r="E158" s="79">
        <v>133176.56539770227</v>
      </c>
      <c r="F158" s="47"/>
      <c r="G158" s="47"/>
      <c r="H158" s="47"/>
      <c r="I158" s="47"/>
      <c r="J158" s="47"/>
      <c r="K158" s="84"/>
      <c r="L158" s="47"/>
      <c r="M158" s="47"/>
      <c r="N158" s="47"/>
      <c r="O158" s="47"/>
      <c r="P158" s="47"/>
      <c r="Q158" s="47"/>
      <c r="R158" s="47">
        <f t="shared" ref="R158:R221" si="3">E158+F158+G158+H158+I158+J158+K158+L158+M158+N158+O158+P158+Q158</f>
        <v>133176.56539770227</v>
      </c>
    </row>
    <row r="159" spans="1:18" x14ac:dyDescent="0.35">
      <c r="A159" s="76">
        <v>155</v>
      </c>
      <c r="B159" s="77" t="s">
        <v>386</v>
      </c>
      <c r="C159" s="9" t="s">
        <v>2241</v>
      </c>
      <c r="D159" s="76" t="s">
        <v>98</v>
      </c>
      <c r="E159" s="79">
        <v>1194747.9861906462</v>
      </c>
      <c r="F159" s="47"/>
      <c r="G159" s="47"/>
      <c r="H159" s="47"/>
      <c r="I159" s="47"/>
      <c r="J159" s="47"/>
      <c r="K159" s="84"/>
      <c r="L159" s="47"/>
      <c r="M159" s="47"/>
      <c r="N159" s="47"/>
      <c r="O159" s="47"/>
      <c r="P159" s="47"/>
      <c r="Q159" s="47"/>
      <c r="R159" s="47">
        <f t="shared" si="3"/>
        <v>1194747.9861906462</v>
      </c>
    </row>
    <row r="160" spans="1:18" x14ac:dyDescent="0.35">
      <c r="A160" s="76">
        <v>156</v>
      </c>
      <c r="B160" s="77" t="s">
        <v>388</v>
      </c>
      <c r="C160" s="9" t="s">
        <v>389</v>
      </c>
      <c r="D160" s="76" t="s">
        <v>22</v>
      </c>
      <c r="E160" s="79">
        <v>2672491.4364167326</v>
      </c>
      <c r="F160" s="47"/>
      <c r="G160" s="47"/>
      <c r="H160" s="47"/>
      <c r="I160" s="47"/>
      <c r="J160" s="47"/>
      <c r="K160" s="84"/>
      <c r="L160" s="47"/>
      <c r="M160" s="47"/>
      <c r="N160" s="47"/>
      <c r="O160" s="47"/>
      <c r="P160" s="47"/>
      <c r="Q160" s="47"/>
      <c r="R160" s="47">
        <f t="shared" si="3"/>
        <v>2672491.4364167326</v>
      </c>
    </row>
    <row r="161" spans="1:18" x14ac:dyDescent="0.35">
      <c r="A161" s="76">
        <v>157</v>
      </c>
      <c r="B161" s="77" t="s">
        <v>390</v>
      </c>
      <c r="C161" s="9" t="s">
        <v>391</v>
      </c>
      <c r="D161" s="76" t="s">
        <v>77</v>
      </c>
      <c r="E161" s="79">
        <v>846346.49667994317</v>
      </c>
      <c r="F161" s="47"/>
      <c r="G161" s="47"/>
      <c r="H161" s="47"/>
      <c r="I161" s="47"/>
      <c r="J161" s="47"/>
      <c r="K161" s="84"/>
      <c r="L161" s="47"/>
      <c r="M161" s="47"/>
      <c r="N161" s="47"/>
      <c r="O161" s="47"/>
      <c r="P161" s="47"/>
      <c r="Q161" s="47"/>
      <c r="R161" s="47">
        <f t="shared" si="3"/>
        <v>846346.49667994317</v>
      </c>
    </row>
    <row r="162" spans="1:18" x14ac:dyDescent="0.35">
      <c r="A162" s="76">
        <v>158</v>
      </c>
      <c r="B162" s="77" t="s">
        <v>392</v>
      </c>
      <c r="C162" s="9" t="s">
        <v>1695</v>
      </c>
      <c r="D162" s="76" t="s">
        <v>166</v>
      </c>
      <c r="E162" s="79">
        <v>730532</v>
      </c>
      <c r="F162" s="47"/>
      <c r="G162" s="47"/>
      <c r="H162" s="47"/>
      <c r="I162" s="47"/>
      <c r="J162" s="47"/>
      <c r="K162" s="84"/>
      <c r="L162" s="47"/>
      <c r="M162" s="47"/>
      <c r="N162" s="47"/>
      <c r="O162" s="47"/>
      <c r="P162" s="47"/>
      <c r="Q162" s="47"/>
      <c r="R162" s="47">
        <f t="shared" si="3"/>
        <v>730532</v>
      </c>
    </row>
    <row r="163" spans="1:18" x14ac:dyDescent="0.35">
      <c r="A163" s="76">
        <v>159</v>
      </c>
      <c r="B163" s="77" t="s">
        <v>394</v>
      </c>
      <c r="C163" s="9" t="s">
        <v>395</v>
      </c>
      <c r="D163" s="76" t="s">
        <v>267</v>
      </c>
      <c r="E163" s="79">
        <v>837939.528243504</v>
      </c>
      <c r="F163" s="47"/>
      <c r="G163" s="47"/>
      <c r="H163" s="47"/>
      <c r="I163" s="47"/>
      <c r="J163" s="47"/>
      <c r="K163" s="84"/>
      <c r="L163" s="47"/>
      <c r="M163" s="47"/>
      <c r="N163" s="47"/>
      <c r="O163" s="47"/>
      <c r="P163" s="47"/>
      <c r="Q163" s="47"/>
      <c r="R163" s="47">
        <f t="shared" si="3"/>
        <v>837939.528243504</v>
      </c>
    </row>
    <row r="164" spans="1:18" x14ac:dyDescent="0.35">
      <c r="A164" s="76">
        <v>160</v>
      </c>
      <c r="B164" s="77" t="s">
        <v>396</v>
      </c>
      <c r="C164" s="9" t="s">
        <v>1907</v>
      </c>
      <c r="D164" s="76" t="s">
        <v>46</v>
      </c>
      <c r="E164" s="79">
        <v>3730362.3276958694</v>
      </c>
      <c r="F164" s="47"/>
      <c r="G164" s="47"/>
      <c r="H164" s="47"/>
      <c r="I164" s="47"/>
      <c r="J164" s="47"/>
      <c r="K164" s="84"/>
      <c r="L164" s="47">
        <v>-340644.1317365974</v>
      </c>
      <c r="M164" s="47"/>
      <c r="N164" s="47"/>
      <c r="O164" s="47"/>
      <c r="P164" s="47"/>
      <c r="Q164" s="47"/>
      <c r="R164" s="47">
        <f t="shared" si="3"/>
        <v>3389718.1959592719</v>
      </c>
    </row>
    <row r="165" spans="1:18" x14ac:dyDescent="0.35">
      <c r="A165" s="76">
        <v>161</v>
      </c>
      <c r="B165" s="77" t="s">
        <v>398</v>
      </c>
      <c r="C165" s="9" t="s">
        <v>399</v>
      </c>
      <c r="D165" s="76" t="s">
        <v>98</v>
      </c>
      <c r="E165" s="79">
        <v>1554610.8695744595</v>
      </c>
      <c r="F165" s="47"/>
      <c r="G165" s="47"/>
      <c r="H165" s="47"/>
      <c r="I165" s="47"/>
      <c r="J165" s="47"/>
      <c r="K165" s="84"/>
      <c r="L165" s="47"/>
      <c r="M165" s="47"/>
      <c r="N165" s="47"/>
      <c r="O165" s="47"/>
      <c r="P165" s="47"/>
      <c r="Q165" s="47"/>
      <c r="R165" s="47">
        <f t="shared" si="3"/>
        <v>1554610.8695744595</v>
      </c>
    </row>
    <row r="166" spans="1:18" x14ac:dyDescent="0.35">
      <c r="A166" s="76">
        <v>162</v>
      </c>
      <c r="B166" s="77" t="s">
        <v>400</v>
      </c>
      <c r="C166" s="9" t="s">
        <v>1696</v>
      </c>
      <c r="D166" s="76" t="s">
        <v>41</v>
      </c>
      <c r="E166" s="79">
        <v>7.8257893910631537E-3</v>
      </c>
      <c r="F166" s="47"/>
      <c r="G166" s="47"/>
      <c r="H166" s="47"/>
      <c r="I166" s="47"/>
      <c r="J166" s="47"/>
      <c r="K166" s="84"/>
      <c r="L166" s="47"/>
      <c r="M166" s="47"/>
      <c r="N166" s="47"/>
      <c r="O166" s="47"/>
      <c r="P166" s="47"/>
      <c r="Q166" s="47"/>
      <c r="R166" s="47">
        <f t="shared" si="3"/>
        <v>7.8257893910631537E-3</v>
      </c>
    </row>
    <row r="167" spans="1:18" x14ac:dyDescent="0.35">
      <c r="A167" s="76">
        <v>163</v>
      </c>
      <c r="B167" s="77" t="s">
        <v>402</v>
      </c>
      <c r="C167" s="9" t="s">
        <v>2242</v>
      </c>
      <c r="D167" s="76" t="s">
        <v>303</v>
      </c>
      <c r="E167" s="79">
        <v>42436.955274735577</v>
      </c>
      <c r="F167" s="47"/>
      <c r="G167" s="47"/>
      <c r="H167" s="47"/>
      <c r="I167" s="47"/>
      <c r="J167" s="47"/>
      <c r="K167" s="84"/>
      <c r="L167" s="47"/>
      <c r="M167" s="47"/>
      <c r="N167" s="47"/>
      <c r="O167" s="47"/>
      <c r="P167" s="47"/>
      <c r="Q167" s="47"/>
      <c r="R167" s="47">
        <f t="shared" si="3"/>
        <v>42436.955274735577</v>
      </c>
    </row>
    <row r="168" spans="1:18" x14ac:dyDescent="0.35">
      <c r="A168" s="76">
        <v>164</v>
      </c>
      <c r="B168" s="77" t="s">
        <v>404</v>
      </c>
      <c r="C168" s="9" t="s">
        <v>2227</v>
      </c>
      <c r="D168" s="76" t="s">
        <v>406</v>
      </c>
      <c r="E168" s="79">
        <v>-1.5664167702198029E-2</v>
      </c>
      <c r="F168" s="47"/>
      <c r="G168" s="47"/>
      <c r="H168" s="47"/>
      <c r="I168" s="47"/>
      <c r="J168" s="47"/>
      <c r="K168" s="84"/>
      <c r="L168" s="47"/>
      <c r="M168" s="47"/>
      <c r="N168" s="47"/>
      <c r="O168" s="47"/>
      <c r="P168" s="47"/>
      <c r="Q168" s="47"/>
      <c r="R168" s="47">
        <f t="shared" si="3"/>
        <v>-1.5664167702198029E-2</v>
      </c>
    </row>
    <row r="169" spans="1:18" x14ac:dyDescent="0.35">
      <c r="A169" s="76">
        <v>165</v>
      </c>
      <c r="B169" s="77" t="s">
        <v>407</v>
      </c>
      <c r="C169" s="9" t="s">
        <v>2009</v>
      </c>
      <c r="D169" s="76" t="s">
        <v>198</v>
      </c>
      <c r="E169" s="79">
        <v>5148806.6949621728</v>
      </c>
      <c r="F169" s="47"/>
      <c r="G169" s="47"/>
      <c r="H169" s="47"/>
      <c r="I169" s="47"/>
      <c r="J169" s="47"/>
      <c r="K169" s="84"/>
      <c r="L169" s="47"/>
      <c r="M169" s="47"/>
      <c r="N169" s="47"/>
      <c r="O169" s="47"/>
      <c r="P169" s="47"/>
      <c r="Q169" s="47"/>
      <c r="R169" s="47">
        <f t="shared" si="3"/>
        <v>5148806.6949621728</v>
      </c>
    </row>
    <row r="170" spans="1:18" x14ac:dyDescent="0.35">
      <c r="A170" s="76">
        <v>166</v>
      </c>
      <c r="B170" s="77" t="s">
        <v>409</v>
      </c>
      <c r="C170" s="9" t="s">
        <v>2243</v>
      </c>
      <c r="D170" s="76" t="s">
        <v>25</v>
      </c>
      <c r="E170" s="79">
        <v>4186156.2556903339</v>
      </c>
      <c r="F170" s="47"/>
      <c r="G170" s="47"/>
      <c r="H170" s="47"/>
      <c r="I170" s="47"/>
      <c r="J170" s="47"/>
      <c r="K170" s="84"/>
      <c r="L170" s="47"/>
      <c r="M170" s="47"/>
      <c r="N170" s="47"/>
      <c r="O170" s="47"/>
      <c r="P170" s="47"/>
      <c r="Q170" s="47"/>
      <c r="R170" s="47">
        <f t="shared" si="3"/>
        <v>4186156.2556903339</v>
      </c>
    </row>
    <row r="171" spans="1:18" x14ac:dyDescent="0.35">
      <c r="A171" s="76">
        <v>167</v>
      </c>
      <c r="B171" s="77" t="s">
        <v>411</v>
      </c>
      <c r="C171" s="9" t="s">
        <v>2244</v>
      </c>
      <c r="D171" s="76" t="s">
        <v>77</v>
      </c>
      <c r="E171" s="79">
        <v>1666022</v>
      </c>
      <c r="F171" s="47"/>
      <c r="G171" s="47"/>
      <c r="H171" s="47"/>
      <c r="I171" s="47"/>
      <c r="J171" s="47"/>
      <c r="K171" s="84"/>
      <c r="L171" s="47"/>
      <c r="M171" s="47"/>
      <c r="N171" s="47"/>
      <c r="O171" s="47"/>
      <c r="P171" s="47"/>
      <c r="Q171" s="47"/>
      <c r="R171" s="47">
        <f t="shared" si="3"/>
        <v>1666022</v>
      </c>
    </row>
    <row r="172" spans="1:18" x14ac:dyDescent="0.35">
      <c r="A172" s="76">
        <v>168</v>
      </c>
      <c r="B172" s="77" t="s">
        <v>413</v>
      </c>
      <c r="C172" s="9" t="s">
        <v>414</v>
      </c>
      <c r="D172" s="76" t="s">
        <v>201</v>
      </c>
      <c r="E172" s="79">
        <v>243547.11421256041</v>
      </c>
      <c r="F172" s="47"/>
      <c r="G172" s="47"/>
      <c r="H172" s="47"/>
      <c r="I172" s="47"/>
      <c r="J172" s="47"/>
      <c r="K172" s="84"/>
      <c r="L172" s="47"/>
      <c r="M172" s="47"/>
      <c r="N172" s="47"/>
      <c r="O172" s="47"/>
      <c r="P172" s="47"/>
      <c r="Q172" s="47"/>
      <c r="R172" s="47">
        <f t="shared" si="3"/>
        <v>243547.11421256041</v>
      </c>
    </row>
    <row r="173" spans="1:18" x14ac:dyDescent="0.35">
      <c r="A173" s="76">
        <v>169</v>
      </c>
      <c r="B173" s="77" t="s">
        <v>415</v>
      </c>
      <c r="C173" s="9" t="s">
        <v>1698</v>
      </c>
      <c r="D173" s="76" t="s">
        <v>318</v>
      </c>
      <c r="E173" s="79">
        <v>29551.507354009897</v>
      </c>
      <c r="F173" s="47"/>
      <c r="G173" s="47"/>
      <c r="H173" s="47"/>
      <c r="I173" s="47"/>
      <c r="J173" s="47"/>
      <c r="K173" s="84"/>
      <c r="L173" s="47"/>
      <c r="M173" s="47"/>
      <c r="N173" s="47"/>
      <c r="O173" s="47"/>
      <c r="P173" s="47"/>
      <c r="Q173" s="47"/>
      <c r="R173" s="47">
        <f t="shared" si="3"/>
        <v>29551.507354009897</v>
      </c>
    </row>
    <row r="174" spans="1:18" x14ac:dyDescent="0.35">
      <c r="A174" s="76">
        <v>170</v>
      </c>
      <c r="B174" s="77" t="s">
        <v>417</v>
      </c>
      <c r="C174" s="9" t="s">
        <v>418</v>
      </c>
      <c r="D174" s="76" t="s">
        <v>144</v>
      </c>
      <c r="E174" s="79">
        <v>188890.36834059638</v>
      </c>
      <c r="F174" s="47"/>
      <c r="G174" s="47"/>
      <c r="H174" s="47"/>
      <c r="I174" s="47"/>
      <c r="J174" s="47"/>
      <c r="K174" s="84"/>
      <c r="L174" s="47"/>
      <c r="M174" s="47"/>
      <c r="N174" s="47"/>
      <c r="O174" s="47"/>
      <c r="P174" s="47"/>
      <c r="Q174" s="47"/>
      <c r="R174" s="47">
        <f t="shared" si="3"/>
        <v>188890.36834059638</v>
      </c>
    </row>
    <row r="175" spans="1:18" x14ac:dyDescent="0.35">
      <c r="A175" s="76">
        <v>171</v>
      </c>
      <c r="B175" s="77" t="s">
        <v>419</v>
      </c>
      <c r="C175" s="9" t="s">
        <v>1699</v>
      </c>
      <c r="D175" s="76" t="s">
        <v>166</v>
      </c>
      <c r="E175" s="79">
        <v>149367.22233193927</v>
      </c>
      <c r="F175" s="47"/>
      <c r="G175" s="47"/>
      <c r="H175" s="47"/>
      <c r="I175" s="47"/>
      <c r="J175" s="47"/>
      <c r="K175" s="84"/>
      <c r="L175" s="47"/>
      <c r="M175" s="47"/>
      <c r="N175" s="47"/>
      <c r="O175" s="47"/>
      <c r="P175" s="47"/>
      <c r="Q175" s="47"/>
      <c r="R175" s="47">
        <f t="shared" si="3"/>
        <v>149367.22233193927</v>
      </c>
    </row>
    <row r="176" spans="1:18" x14ac:dyDescent="0.35">
      <c r="A176" s="76">
        <v>172</v>
      </c>
      <c r="B176" s="77" t="s">
        <v>421</v>
      </c>
      <c r="C176" s="9" t="s">
        <v>422</v>
      </c>
      <c r="D176" s="76" t="s">
        <v>136</v>
      </c>
      <c r="E176" s="79">
        <v>424633.31742439058</v>
      </c>
      <c r="F176" s="47"/>
      <c r="G176" s="47"/>
      <c r="H176" s="47"/>
      <c r="I176" s="47"/>
      <c r="J176" s="47"/>
      <c r="K176" s="84"/>
      <c r="L176" s="47"/>
      <c r="M176" s="47"/>
      <c r="N176" s="47"/>
      <c r="O176" s="47"/>
      <c r="P176" s="47"/>
      <c r="Q176" s="47"/>
      <c r="R176" s="47">
        <f t="shared" si="3"/>
        <v>424633.31742439058</v>
      </c>
    </row>
    <row r="177" spans="1:18" x14ac:dyDescent="0.35">
      <c r="A177" s="76">
        <v>173</v>
      </c>
      <c r="B177" s="77" t="s">
        <v>423</v>
      </c>
      <c r="C177" s="9" t="s">
        <v>2245</v>
      </c>
      <c r="D177" s="76" t="s">
        <v>136</v>
      </c>
      <c r="E177" s="79">
        <v>103178.31333626714</v>
      </c>
      <c r="F177" s="47"/>
      <c r="G177" s="47"/>
      <c r="H177" s="47"/>
      <c r="I177" s="47"/>
      <c r="J177" s="47"/>
      <c r="K177" s="84"/>
      <c r="L177" s="47"/>
      <c r="M177" s="47"/>
      <c r="N177" s="47"/>
      <c r="O177" s="47"/>
      <c r="P177" s="47"/>
      <c r="Q177" s="47"/>
      <c r="R177" s="47">
        <f t="shared" si="3"/>
        <v>103178.31333626714</v>
      </c>
    </row>
    <row r="178" spans="1:18" x14ac:dyDescent="0.35">
      <c r="A178" s="76">
        <v>174</v>
      </c>
      <c r="B178" s="77" t="s">
        <v>425</v>
      </c>
      <c r="C178" s="9" t="s">
        <v>1701</v>
      </c>
      <c r="D178" s="76" t="s">
        <v>267</v>
      </c>
      <c r="E178" s="79">
        <v>1808479.0406660917</v>
      </c>
      <c r="F178" s="47"/>
      <c r="G178" s="47"/>
      <c r="H178" s="47"/>
      <c r="I178" s="47"/>
      <c r="J178" s="47"/>
      <c r="K178" s="84"/>
      <c r="L178" s="47"/>
      <c r="M178" s="47"/>
      <c r="N178" s="47"/>
      <c r="O178" s="47"/>
      <c r="P178" s="47"/>
      <c r="Q178" s="47"/>
      <c r="R178" s="47">
        <f t="shared" si="3"/>
        <v>1808479.0406660917</v>
      </c>
    </row>
    <row r="179" spans="1:18" x14ac:dyDescent="0.35">
      <c r="A179" s="76">
        <v>175</v>
      </c>
      <c r="B179" s="77" t="s">
        <v>427</v>
      </c>
      <c r="C179" s="9" t="s">
        <v>1702</v>
      </c>
      <c r="D179" s="76" t="s">
        <v>429</v>
      </c>
      <c r="E179" s="79">
        <v>84064.01941739209</v>
      </c>
      <c r="F179" s="47"/>
      <c r="G179" s="47"/>
      <c r="H179" s="47"/>
      <c r="I179" s="47"/>
      <c r="J179" s="47"/>
      <c r="K179" s="84"/>
      <c r="L179" s="47"/>
      <c r="M179" s="47"/>
      <c r="N179" s="47"/>
      <c r="O179" s="47"/>
      <c r="P179" s="47"/>
      <c r="Q179" s="47"/>
      <c r="R179" s="47">
        <f t="shared" si="3"/>
        <v>84064.01941739209</v>
      </c>
    </row>
    <row r="180" spans="1:18" x14ac:dyDescent="0.35">
      <c r="A180" s="76">
        <v>176</v>
      </c>
      <c r="B180" s="77" t="s">
        <v>430</v>
      </c>
      <c r="C180" s="9" t="s">
        <v>431</v>
      </c>
      <c r="D180" s="76" t="s">
        <v>98</v>
      </c>
      <c r="E180" s="79">
        <v>-5.1250097341835499E-2</v>
      </c>
      <c r="F180" s="47"/>
      <c r="G180" s="47"/>
      <c r="H180" s="47"/>
      <c r="I180" s="47"/>
      <c r="J180" s="47"/>
      <c r="K180" s="84"/>
      <c r="L180" s="47"/>
      <c r="M180" s="47"/>
      <c r="N180" s="47"/>
      <c r="O180" s="47"/>
      <c r="P180" s="47"/>
      <c r="Q180" s="47"/>
      <c r="R180" s="47">
        <f t="shared" si="3"/>
        <v>-5.1250097341835499E-2</v>
      </c>
    </row>
    <row r="181" spans="1:18" x14ac:dyDescent="0.35">
      <c r="A181" s="76">
        <v>177</v>
      </c>
      <c r="B181" s="77" t="s">
        <v>432</v>
      </c>
      <c r="C181" s="9" t="s">
        <v>433</v>
      </c>
      <c r="D181" s="76" t="s">
        <v>108</v>
      </c>
      <c r="E181" s="79">
        <v>3975625.3373103444</v>
      </c>
      <c r="F181" s="47"/>
      <c r="G181" s="47"/>
      <c r="H181" s="47"/>
      <c r="I181" s="47"/>
      <c r="J181" s="47"/>
      <c r="K181" s="84"/>
      <c r="L181" s="47">
        <v>-442062</v>
      </c>
      <c r="M181" s="47"/>
      <c r="N181" s="47"/>
      <c r="O181" s="47"/>
      <c r="P181" s="47"/>
      <c r="Q181" s="47"/>
      <c r="R181" s="47">
        <f t="shared" si="3"/>
        <v>3533563.3373103444</v>
      </c>
    </row>
    <row r="182" spans="1:18" x14ac:dyDescent="0.35">
      <c r="A182" s="76">
        <v>178</v>
      </c>
      <c r="B182" s="77" t="s">
        <v>434</v>
      </c>
      <c r="C182" s="9" t="s">
        <v>435</v>
      </c>
      <c r="D182" s="76" t="s">
        <v>77</v>
      </c>
      <c r="E182" s="79">
        <v>859479</v>
      </c>
      <c r="F182" s="47"/>
      <c r="G182" s="47"/>
      <c r="H182" s="47"/>
      <c r="I182" s="47"/>
      <c r="J182" s="47"/>
      <c r="K182" s="84"/>
      <c r="L182" s="47"/>
      <c r="M182" s="47"/>
      <c r="N182" s="47"/>
      <c r="O182" s="47"/>
      <c r="P182" s="47"/>
      <c r="Q182" s="47"/>
      <c r="R182" s="47">
        <f t="shared" si="3"/>
        <v>859479</v>
      </c>
    </row>
    <row r="183" spans="1:18" x14ac:dyDescent="0.35">
      <c r="A183" s="76">
        <v>179</v>
      </c>
      <c r="B183" s="77" t="s">
        <v>436</v>
      </c>
      <c r="C183" s="9" t="s">
        <v>1638</v>
      </c>
      <c r="D183" s="76" t="s">
        <v>198</v>
      </c>
      <c r="E183" s="79">
        <v>4140700</v>
      </c>
      <c r="F183" s="47"/>
      <c r="G183" s="47"/>
      <c r="H183" s="47"/>
      <c r="I183" s="47"/>
      <c r="J183" s="47"/>
      <c r="K183" s="84"/>
      <c r="L183" s="47"/>
      <c r="M183" s="47"/>
      <c r="N183" s="47"/>
      <c r="O183" s="47"/>
      <c r="P183" s="47"/>
      <c r="Q183" s="47"/>
      <c r="R183" s="47">
        <f t="shared" si="3"/>
        <v>4140700</v>
      </c>
    </row>
    <row r="184" spans="1:18" x14ac:dyDescent="0.35">
      <c r="A184" s="76">
        <v>180</v>
      </c>
      <c r="B184" s="77" t="s">
        <v>438</v>
      </c>
      <c r="C184" s="9" t="s">
        <v>2246</v>
      </c>
      <c r="D184" s="76" t="s">
        <v>55</v>
      </c>
      <c r="E184" s="79">
        <v>-0.47863239608705044</v>
      </c>
      <c r="F184" s="47"/>
      <c r="G184" s="47"/>
      <c r="H184" s="47"/>
      <c r="I184" s="47"/>
      <c r="J184" s="47"/>
      <c r="K184" s="84"/>
      <c r="L184" s="47"/>
      <c r="M184" s="47"/>
      <c r="N184" s="47"/>
      <c r="O184" s="47"/>
      <c r="P184" s="47"/>
      <c r="Q184" s="47"/>
      <c r="R184" s="47">
        <f t="shared" si="3"/>
        <v>-0.47863239608705044</v>
      </c>
    </row>
    <row r="185" spans="1:18" x14ac:dyDescent="0.35">
      <c r="A185" s="76">
        <v>181</v>
      </c>
      <c r="B185" s="77" t="s">
        <v>440</v>
      </c>
      <c r="C185" s="9" t="s">
        <v>441</v>
      </c>
      <c r="D185" s="76" t="s">
        <v>22</v>
      </c>
      <c r="E185" s="79">
        <v>2590649.5204737359</v>
      </c>
      <c r="F185" s="47"/>
      <c r="G185" s="47"/>
      <c r="H185" s="47"/>
      <c r="I185" s="47"/>
      <c r="J185" s="47"/>
      <c r="K185" s="84"/>
      <c r="L185" s="47">
        <v>-372084.0168062101</v>
      </c>
      <c r="M185" s="47"/>
      <c r="N185" s="47"/>
      <c r="O185" s="47"/>
      <c r="P185" s="47"/>
      <c r="Q185" s="47"/>
      <c r="R185" s="47">
        <f t="shared" si="3"/>
        <v>2218565.5036675259</v>
      </c>
    </row>
    <row r="186" spans="1:18" x14ac:dyDescent="0.35">
      <c r="A186" s="76">
        <v>182</v>
      </c>
      <c r="B186" s="77" t="s">
        <v>442</v>
      </c>
      <c r="C186" s="9" t="s">
        <v>443</v>
      </c>
      <c r="D186" s="76" t="s">
        <v>72</v>
      </c>
      <c r="E186" s="79">
        <v>4251986.876615366</v>
      </c>
      <c r="F186" s="47"/>
      <c r="G186" s="47"/>
      <c r="H186" s="47"/>
      <c r="I186" s="47"/>
      <c r="J186" s="47"/>
      <c r="K186" s="84"/>
      <c r="L186" s="47">
        <v>-749269.96370802075</v>
      </c>
      <c r="M186" s="47"/>
      <c r="N186" s="47"/>
      <c r="O186" s="47"/>
      <c r="P186" s="47"/>
      <c r="Q186" s="47"/>
      <c r="R186" s="47">
        <f t="shared" si="3"/>
        <v>3502716.9129073452</v>
      </c>
    </row>
    <row r="187" spans="1:18" x14ac:dyDescent="0.35">
      <c r="A187" s="76">
        <v>183</v>
      </c>
      <c r="B187" s="77" t="s">
        <v>444</v>
      </c>
      <c r="C187" s="9" t="s">
        <v>445</v>
      </c>
      <c r="D187" s="76" t="s">
        <v>446</v>
      </c>
      <c r="E187" s="79">
        <v>0.13584585255011916</v>
      </c>
      <c r="F187" s="47"/>
      <c r="G187" s="47"/>
      <c r="H187" s="47"/>
      <c r="I187" s="47"/>
      <c r="J187" s="47"/>
      <c r="K187" s="84"/>
      <c r="L187" s="47"/>
      <c r="M187" s="47"/>
      <c r="N187" s="47"/>
      <c r="O187" s="47"/>
      <c r="P187" s="47"/>
      <c r="Q187" s="47"/>
      <c r="R187" s="47">
        <f t="shared" si="3"/>
        <v>0.13584585255011916</v>
      </c>
    </row>
    <row r="188" spans="1:18" x14ac:dyDescent="0.35">
      <c r="A188" s="76">
        <v>184</v>
      </c>
      <c r="B188" s="77" t="s">
        <v>447</v>
      </c>
      <c r="C188" s="9" t="s">
        <v>1639</v>
      </c>
      <c r="D188" s="76" t="s">
        <v>136</v>
      </c>
      <c r="E188" s="79">
        <v>279251.14011344267</v>
      </c>
      <c r="F188" s="47"/>
      <c r="G188" s="47"/>
      <c r="H188" s="47"/>
      <c r="I188" s="47"/>
      <c r="J188" s="47"/>
      <c r="K188" s="84"/>
      <c r="L188" s="47"/>
      <c r="M188" s="47"/>
      <c r="N188" s="47"/>
      <c r="O188" s="47"/>
      <c r="P188" s="47"/>
      <c r="Q188" s="47"/>
      <c r="R188" s="47">
        <f t="shared" si="3"/>
        <v>279251.14011344267</v>
      </c>
    </row>
    <row r="189" spans="1:18" x14ac:dyDescent="0.35">
      <c r="A189" s="76">
        <v>185</v>
      </c>
      <c r="B189" s="77" t="s">
        <v>449</v>
      </c>
      <c r="C189" s="9" t="s">
        <v>450</v>
      </c>
      <c r="D189" s="76" t="s">
        <v>238</v>
      </c>
      <c r="E189" s="79">
        <v>5871373.6705754716</v>
      </c>
      <c r="F189" s="47"/>
      <c r="G189" s="47"/>
      <c r="H189" s="47"/>
      <c r="I189" s="47"/>
      <c r="J189" s="47"/>
      <c r="K189" s="84"/>
      <c r="L189" s="47"/>
      <c r="M189" s="47"/>
      <c r="N189" s="47"/>
      <c r="O189" s="47"/>
      <c r="P189" s="47"/>
      <c r="Q189" s="47"/>
      <c r="R189" s="47">
        <f t="shared" si="3"/>
        <v>5871373.6705754716</v>
      </c>
    </row>
    <row r="190" spans="1:18" x14ac:dyDescent="0.35">
      <c r="A190" s="76">
        <v>186</v>
      </c>
      <c r="B190" s="77" t="s">
        <v>451</v>
      </c>
      <c r="C190" s="9" t="s">
        <v>452</v>
      </c>
      <c r="D190" s="76" t="s">
        <v>303</v>
      </c>
      <c r="E190" s="79">
        <v>6466856.8555260664</v>
      </c>
      <c r="F190" s="47"/>
      <c r="G190" s="47"/>
      <c r="H190" s="47"/>
      <c r="I190" s="47"/>
      <c r="J190" s="47"/>
      <c r="K190" s="84"/>
      <c r="L190" s="47">
        <v>-595949.16559852031</v>
      </c>
      <c r="M190" s="47"/>
      <c r="N190" s="47"/>
      <c r="O190" s="47"/>
      <c r="P190" s="47"/>
      <c r="Q190" s="47"/>
      <c r="R190" s="47">
        <f t="shared" si="3"/>
        <v>5870907.6899275463</v>
      </c>
    </row>
    <row r="191" spans="1:18" x14ac:dyDescent="0.35">
      <c r="A191" s="76">
        <v>187</v>
      </c>
      <c r="B191" s="77" t="s">
        <v>453</v>
      </c>
      <c r="C191" s="9" t="s">
        <v>454</v>
      </c>
      <c r="D191" s="76" t="s">
        <v>83</v>
      </c>
      <c r="E191" s="79">
        <v>8112913.1270996975</v>
      </c>
      <c r="F191" s="47"/>
      <c r="G191" s="47"/>
      <c r="H191" s="47"/>
      <c r="I191" s="47"/>
      <c r="J191" s="47"/>
      <c r="K191" s="84"/>
      <c r="L191" s="47">
        <v>-470297.85231217986</v>
      </c>
      <c r="M191" s="47"/>
      <c r="N191" s="47"/>
      <c r="O191" s="47"/>
      <c r="P191" s="47"/>
      <c r="Q191" s="47"/>
      <c r="R191" s="47">
        <f t="shared" si="3"/>
        <v>7642615.2747875173</v>
      </c>
    </row>
    <row r="192" spans="1:18" x14ac:dyDescent="0.35">
      <c r="A192" s="76">
        <v>188</v>
      </c>
      <c r="B192" s="77" t="s">
        <v>455</v>
      </c>
      <c r="C192" s="9" t="s">
        <v>1704</v>
      </c>
      <c r="D192" s="76" t="s">
        <v>457</v>
      </c>
      <c r="E192" s="79">
        <v>-0.38342398218810558</v>
      </c>
      <c r="F192" s="47"/>
      <c r="G192" s="47"/>
      <c r="H192" s="47"/>
      <c r="I192" s="47"/>
      <c r="J192" s="47"/>
      <c r="K192" s="84"/>
      <c r="L192" s="47"/>
      <c r="M192" s="47"/>
      <c r="N192" s="47"/>
      <c r="O192" s="47"/>
      <c r="P192" s="47"/>
      <c r="Q192" s="47"/>
      <c r="R192" s="47">
        <f t="shared" si="3"/>
        <v>-0.38342398218810558</v>
      </c>
    </row>
    <row r="193" spans="1:18" x14ac:dyDescent="0.35">
      <c r="A193" s="76">
        <v>189</v>
      </c>
      <c r="B193" s="77" t="s">
        <v>458</v>
      </c>
      <c r="C193" s="9" t="s">
        <v>1752</v>
      </c>
      <c r="D193" s="76" t="s">
        <v>108</v>
      </c>
      <c r="E193" s="79">
        <v>2363296.1682330603</v>
      </c>
      <c r="F193" s="47"/>
      <c r="G193" s="47"/>
      <c r="H193" s="47"/>
      <c r="I193" s="47"/>
      <c r="J193" s="47"/>
      <c r="K193" s="84"/>
      <c r="L193" s="47">
        <v>-574590.66238881799</v>
      </c>
      <c r="M193" s="47"/>
      <c r="N193" s="47"/>
      <c r="O193" s="47"/>
      <c r="P193" s="47"/>
      <c r="Q193" s="47"/>
      <c r="R193" s="47">
        <f t="shared" si="3"/>
        <v>1788705.5058442424</v>
      </c>
    </row>
    <row r="194" spans="1:18" x14ac:dyDescent="0.35">
      <c r="A194" s="76">
        <v>190</v>
      </c>
      <c r="B194" s="77" t="s">
        <v>460</v>
      </c>
      <c r="C194" s="9" t="s">
        <v>2247</v>
      </c>
      <c r="D194" s="76" t="s">
        <v>95</v>
      </c>
      <c r="E194" s="79">
        <v>12220289.760292934</v>
      </c>
      <c r="F194" s="47"/>
      <c r="G194" s="47"/>
      <c r="H194" s="47"/>
      <c r="I194" s="47"/>
      <c r="J194" s="47"/>
      <c r="K194" s="84"/>
      <c r="L194" s="47"/>
      <c r="M194" s="47"/>
      <c r="N194" s="47"/>
      <c r="O194" s="47"/>
      <c r="P194" s="47"/>
      <c r="Q194" s="47"/>
      <c r="R194" s="47">
        <f t="shared" si="3"/>
        <v>12220289.760292934</v>
      </c>
    </row>
    <row r="195" spans="1:18" x14ac:dyDescent="0.35">
      <c r="A195" s="76">
        <v>191</v>
      </c>
      <c r="B195" s="77" t="s">
        <v>462</v>
      </c>
      <c r="C195" s="9" t="s">
        <v>463</v>
      </c>
      <c r="D195" s="76" t="s">
        <v>41</v>
      </c>
      <c r="E195" s="79">
        <v>394969.28762412979</v>
      </c>
      <c r="F195" s="47"/>
      <c r="G195" s="47"/>
      <c r="H195" s="47"/>
      <c r="I195" s="47"/>
      <c r="J195" s="47"/>
      <c r="K195" s="84"/>
      <c r="L195" s="47"/>
      <c r="M195" s="47"/>
      <c r="N195" s="47"/>
      <c r="O195" s="47"/>
      <c r="P195" s="47"/>
      <c r="Q195" s="47"/>
      <c r="R195" s="47">
        <f t="shared" si="3"/>
        <v>394969.28762412979</v>
      </c>
    </row>
    <row r="196" spans="1:18" x14ac:dyDescent="0.35">
      <c r="A196" s="76">
        <v>192</v>
      </c>
      <c r="B196" s="77" t="s">
        <v>464</v>
      </c>
      <c r="C196" s="9" t="s">
        <v>465</v>
      </c>
      <c r="D196" s="76" t="s">
        <v>198</v>
      </c>
      <c r="E196" s="79">
        <v>4781035.2108760495</v>
      </c>
      <c r="F196" s="47"/>
      <c r="G196" s="47"/>
      <c r="H196" s="47"/>
      <c r="I196" s="47"/>
      <c r="J196" s="47"/>
      <c r="K196" s="84"/>
      <c r="L196" s="47"/>
      <c r="M196" s="47"/>
      <c r="N196" s="47"/>
      <c r="O196" s="47"/>
      <c r="P196" s="47"/>
      <c r="Q196" s="47"/>
      <c r="R196" s="47">
        <f t="shared" si="3"/>
        <v>4781035.2108760495</v>
      </c>
    </row>
    <row r="197" spans="1:18" x14ac:dyDescent="0.35">
      <c r="A197" s="76">
        <v>193</v>
      </c>
      <c r="B197" s="77" t="s">
        <v>466</v>
      </c>
      <c r="C197" s="9" t="s">
        <v>1928</v>
      </c>
      <c r="D197" s="76" t="s">
        <v>128</v>
      </c>
      <c r="E197" s="79">
        <v>483596.85850545147</v>
      </c>
      <c r="F197" s="47"/>
      <c r="G197" s="47"/>
      <c r="H197" s="47"/>
      <c r="I197" s="47"/>
      <c r="J197" s="47"/>
      <c r="K197" s="84"/>
      <c r="L197" s="47"/>
      <c r="M197" s="47"/>
      <c r="N197" s="47"/>
      <c r="O197" s="47"/>
      <c r="P197" s="47"/>
      <c r="Q197" s="47"/>
      <c r="R197" s="47">
        <f t="shared" si="3"/>
        <v>483596.85850545147</v>
      </c>
    </row>
    <row r="198" spans="1:18" x14ac:dyDescent="0.35">
      <c r="A198" s="76">
        <v>194</v>
      </c>
      <c r="B198" s="77" t="s">
        <v>468</v>
      </c>
      <c r="C198" s="9" t="s">
        <v>2248</v>
      </c>
      <c r="D198" s="76" t="s">
        <v>367</v>
      </c>
      <c r="E198" s="79">
        <v>236140.23866130947</v>
      </c>
      <c r="F198" s="47"/>
      <c r="G198" s="47"/>
      <c r="H198" s="47"/>
      <c r="I198" s="47"/>
      <c r="J198" s="47"/>
      <c r="K198" s="84"/>
      <c r="L198" s="47"/>
      <c r="M198" s="47"/>
      <c r="N198" s="47"/>
      <c r="O198" s="47"/>
      <c r="P198" s="47"/>
      <c r="Q198" s="47"/>
      <c r="R198" s="47">
        <f t="shared" si="3"/>
        <v>236140.23866130947</v>
      </c>
    </row>
    <row r="199" spans="1:18" x14ac:dyDescent="0.35">
      <c r="A199" s="76">
        <v>195</v>
      </c>
      <c r="B199" s="77" t="s">
        <v>470</v>
      </c>
      <c r="C199" s="9" t="s">
        <v>2249</v>
      </c>
      <c r="D199" s="76" t="s">
        <v>429</v>
      </c>
      <c r="E199" s="79">
        <v>10258.117999073118</v>
      </c>
      <c r="F199" s="47"/>
      <c r="G199" s="47"/>
      <c r="H199" s="47"/>
      <c r="I199" s="47"/>
      <c r="J199" s="47"/>
      <c r="K199" s="84"/>
      <c r="L199" s="47"/>
      <c r="M199" s="47"/>
      <c r="N199" s="47"/>
      <c r="O199" s="47"/>
      <c r="P199" s="47"/>
      <c r="Q199" s="47"/>
      <c r="R199" s="47">
        <f t="shared" si="3"/>
        <v>10258.117999073118</v>
      </c>
    </row>
    <row r="200" spans="1:18" x14ac:dyDescent="0.35">
      <c r="A200" s="76">
        <v>196</v>
      </c>
      <c r="B200" s="77" t="s">
        <v>472</v>
      </c>
      <c r="C200" s="9" t="s">
        <v>1887</v>
      </c>
      <c r="D200" s="76" t="s">
        <v>474</v>
      </c>
      <c r="E200" s="79">
        <v>150221.40045669928</v>
      </c>
      <c r="F200" s="47"/>
      <c r="G200" s="47"/>
      <c r="H200" s="47"/>
      <c r="I200" s="47"/>
      <c r="J200" s="47"/>
      <c r="K200" s="84"/>
      <c r="L200" s="47"/>
      <c r="M200" s="47"/>
      <c r="N200" s="47"/>
      <c r="O200" s="47"/>
      <c r="P200" s="47"/>
      <c r="Q200" s="47"/>
      <c r="R200" s="47">
        <f t="shared" si="3"/>
        <v>150221.40045669928</v>
      </c>
    </row>
    <row r="201" spans="1:18" x14ac:dyDescent="0.35">
      <c r="A201" s="76">
        <v>197</v>
      </c>
      <c r="B201" s="77" t="s">
        <v>475</v>
      </c>
      <c r="C201" s="9" t="s">
        <v>476</v>
      </c>
      <c r="D201" s="76" t="s">
        <v>60</v>
      </c>
      <c r="E201" s="79">
        <v>45074.087555309758</v>
      </c>
      <c r="F201" s="47"/>
      <c r="G201" s="47"/>
      <c r="H201" s="47"/>
      <c r="I201" s="47"/>
      <c r="J201" s="47"/>
      <c r="K201" s="84"/>
      <c r="L201" s="47"/>
      <c r="M201" s="47"/>
      <c r="N201" s="47"/>
      <c r="O201" s="47"/>
      <c r="P201" s="47"/>
      <c r="Q201" s="47"/>
      <c r="R201" s="47">
        <f t="shared" si="3"/>
        <v>45074.087555309758</v>
      </c>
    </row>
    <row r="202" spans="1:18" x14ac:dyDescent="0.35">
      <c r="A202" s="76">
        <v>198</v>
      </c>
      <c r="B202" s="77" t="s">
        <v>477</v>
      </c>
      <c r="C202" s="9" t="s">
        <v>2250</v>
      </c>
      <c r="D202" s="76" t="s">
        <v>103</v>
      </c>
      <c r="E202" s="79">
        <v>2909714.2396197109</v>
      </c>
      <c r="F202" s="47"/>
      <c r="G202" s="47"/>
      <c r="H202" s="47"/>
      <c r="I202" s="47"/>
      <c r="J202" s="47"/>
      <c r="K202" s="84"/>
      <c r="L202" s="47"/>
      <c r="M202" s="47"/>
      <c r="N202" s="47"/>
      <c r="O202" s="47"/>
      <c r="P202" s="47"/>
      <c r="Q202" s="47"/>
      <c r="R202" s="47">
        <f t="shared" si="3"/>
        <v>2909714.2396197109</v>
      </c>
    </row>
    <row r="203" spans="1:18" x14ac:dyDescent="0.35">
      <c r="A203" s="76">
        <v>199</v>
      </c>
      <c r="B203" s="77" t="s">
        <v>479</v>
      </c>
      <c r="C203" s="9" t="s">
        <v>1885</v>
      </c>
      <c r="D203" s="76" t="s">
        <v>136</v>
      </c>
      <c r="E203" s="79">
        <v>3023925.6876209998</v>
      </c>
      <c r="F203" s="47"/>
      <c r="G203" s="47"/>
      <c r="H203" s="47"/>
      <c r="I203" s="47"/>
      <c r="J203" s="47"/>
      <c r="K203" s="84"/>
      <c r="L203" s="47"/>
      <c r="M203" s="47"/>
      <c r="N203" s="47"/>
      <c r="O203" s="47"/>
      <c r="P203" s="47"/>
      <c r="Q203" s="47"/>
      <c r="R203" s="47">
        <f t="shared" si="3"/>
        <v>3023925.6876209998</v>
      </c>
    </row>
    <row r="204" spans="1:18" x14ac:dyDescent="0.35">
      <c r="A204" s="76">
        <v>200</v>
      </c>
      <c r="B204" s="77" t="s">
        <v>481</v>
      </c>
      <c r="C204" s="9" t="s">
        <v>482</v>
      </c>
      <c r="D204" s="76" t="s">
        <v>49</v>
      </c>
      <c r="E204" s="79">
        <v>139220.39223060943</v>
      </c>
      <c r="F204" s="47"/>
      <c r="G204" s="47"/>
      <c r="H204" s="47"/>
      <c r="I204" s="47"/>
      <c r="J204" s="47"/>
      <c r="K204" s="84"/>
      <c r="L204" s="47"/>
      <c r="M204" s="47"/>
      <c r="N204" s="47"/>
      <c r="O204" s="47"/>
      <c r="P204" s="47"/>
      <c r="Q204" s="47"/>
      <c r="R204" s="47">
        <f t="shared" si="3"/>
        <v>139220.39223060943</v>
      </c>
    </row>
    <row r="205" spans="1:18" x14ac:dyDescent="0.35">
      <c r="A205" s="76">
        <v>201</v>
      </c>
      <c r="B205" s="77" t="s">
        <v>483</v>
      </c>
      <c r="C205" s="9" t="s">
        <v>1950</v>
      </c>
      <c r="D205" s="76" t="s">
        <v>19</v>
      </c>
      <c r="E205" s="79">
        <v>7671851.3726410586</v>
      </c>
      <c r="F205" s="47"/>
      <c r="G205" s="47">
        <v>-7671851</v>
      </c>
      <c r="H205" s="47"/>
      <c r="I205" s="47"/>
      <c r="J205" s="47"/>
      <c r="K205" s="84"/>
      <c r="L205" s="47"/>
      <c r="M205" s="47"/>
      <c r="N205" s="47"/>
      <c r="O205" s="47"/>
      <c r="P205" s="47"/>
      <c r="Q205" s="47"/>
      <c r="R205" s="47">
        <f t="shared" si="3"/>
        <v>0.3726410586386919</v>
      </c>
    </row>
    <row r="206" spans="1:18" x14ac:dyDescent="0.35">
      <c r="A206" s="76">
        <v>202</v>
      </c>
      <c r="B206" s="77" t="s">
        <v>485</v>
      </c>
      <c r="C206" s="9" t="s">
        <v>486</v>
      </c>
      <c r="D206" s="76" t="s">
        <v>215</v>
      </c>
      <c r="E206" s="79">
        <v>309191.90988026757</v>
      </c>
      <c r="F206" s="47"/>
      <c r="G206" s="47"/>
      <c r="H206" s="47"/>
      <c r="I206" s="47"/>
      <c r="J206" s="47"/>
      <c r="K206" s="84"/>
      <c r="L206" s="47"/>
      <c r="M206" s="47"/>
      <c r="N206" s="47"/>
      <c r="O206" s="47"/>
      <c r="P206" s="47"/>
      <c r="Q206" s="47"/>
      <c r="R206" s="47">
        <f t="shared" si="3"/>
        <v>309191.90988026757</v>
      </c>
    </row>
    <row r="207" spans="1:18" x14ac:dyDescent="0.35">
      <c r="A207" s="76">
        <v>203</v>
      </c>
      <c r="B207" s="77" t="s">
        <v>487</v>
      </c>
      <c r="C207" s="9" t="s">
        <v>488</v>
      </c>
      <c r="D207" s="76" t="s">
        <v>25</v>
      </c>
      <c r="E207" s="79">
        <v>2345382.5432214392</v>
      </c>
      <c r="F207" s="47"/>
      <c r="G207" s="47"/>
      <c r="H207" s="47"/>
      <c r="I207" s="47"/>
      <c r="J207" s="47"/>
      <c r="K207" s="84"/>
      <c r="L207" s="47">
        <v>-566050.92557352199</v>
      </c>
      <c r="M207" s="47"/>
      <c r="N207" s="47"/>
      <c r="O207" s="47"/>
      <c r="P207" s="47"/>
      <c r="Q207" s="47"/>
      <c r="R207" s="47">
        <f t="shared" si="3"/>
        <v>1779331.6176479172</v>
      </c>
    </row>
    <row r="208" spans="1:18" x14ac:dyDescent="0.35">
      <c r="A208" s="76">
        <v>204</v>
      </c>
      <c r="B208" s="77" t="s">
        <v>489</v>
      </c>
      <c r="C208" s="9" t="s">
        <v>490</v>
      </c>
      <c r="D208" s="76" t="s">
        <v>25</v>
      </c>
      <c r="E208" s="79">
        <v>2465854.421783654</v>
      </c>
      <c r="F208" s="47"/>
      <c r="G208" s="47"/>
      <c r="H208" s="47"/>
      <c r="I208" s="47"/>
      <c r="J208" s="47"/>
      <c r="K208" s="84"/>
      <c r="L208" s="47">
        <v>-523448.41028065776</v>
      </c>
      <c r="M208" s="47"/>
      <c r="N208" s="47"/>
      <c r="O208" s="47"/>
      <c r="P208" s="47"/>
      <c r="Q208" s="47"/>
      <c r="R208" s="47">
        <f t="shared" si="3"/>
        <v>1942406.0115029963</v>
      </c>
    </row>
    <row r="209" spans="1:18" x14ac:dyDescent="0.35">
      <c r="A209" s="76">
        <v>205</v>
      </c>
      <c r="B209" s="77" t="s">
        <v>491</v>
      </c>
      <c r="C209" s="9" t="s">
        <v>492</v>
      </c>
      <c r="D209" s="76" t="s">
        <v>19</v>
      </c>
      <c r="E209" s="79">
        <v>650344.32100071316</v>
      </c>
      <c r="F209" s="47"/>
      <c r="G209" s="47"/>
      <c r="H209" s="47"/>
      <c r="I209" s="47"/>
      <c r="J209" s="47"/>
      <c r="K209" s="84"/>
      <c r="L209" s="47"/>
      <c r="M209" s="47"/>
      <c r="N209" s="47"/>
      <c r="O209" s="47"/>
      <c r="P209" s="47"/>
      <c r="Q209" s="47"/>
      <c r="R209" s="47">
        <f t="shared" si="3"/>
        <v>650344.32100071316</v>
      </c>
    </row>
    <row r="210" spans="1:18" x14ac:dyDescent="0.35">
      <c r="A210" s="76">
        <v>206</v>
      </c>
      <c r="B210" s="77" t="s">
        <v>493</v>
      </c>
      <c r="C210" s="9" t="s">
        <v>2223</v>
      </c>
      <c r="D210" s="76" t="s">
        <v>95</v>
      </c>
      <c r="E210" s="79">
        <v>200217.26766355359</v>
      </c>
      <c r="F210" s="47"/>
      <c r="G210" s="47"/>
      <c r="H210" s="47"/>
      <c r="I210" s="47"/>
      <c r="J210" s="47"/>
      <c r="K210" s="84"/>
      <c r="L210" s="47"/>
      <c r="M210" s="47"/>
      <c r="N210" s="47"/>
      <c r="O210" s="47"/>
      <c r="P210" s="47"/>
      <c r="Q210" s="47"/>
      <c r="R210" s="47">
        <f t="shared" si="3"/>
        <v>200217.26766355359</v>
      </c>
    </row>
    <row r="211" spans="1:18" x14ac:dyDescent="0.35">
      <c r="A211" s="76">
        <v>207</v>
      </c>
      <c r="B211" s="77" t="s">
        <v>495</v>
      </c>
      <c r="C211" s="9" t="s">
        <v>496</v>
      </c>
      <c r="D211" s="76" t="s">
        <v>159</v>
      </c>
      <c r="E211" s="79">
        <v>590481.21924797003</v>
      </c>
      <c r="F211" s="47"/>
      <c r="G211" s="47"/>
      <c r="H211" s="47"/>
      <c r="I211" s="47"/>
      <c r="J211" s="47"/>
      <c r="K211" s="84"/>
      <c r="L211" s="47"/>
      <c r="M211" s="47"/>
      <c r="N211" s="47"/>
      <c r="O211" s="47"/>
      <c r="P211" s="47"/>
      <c r="Q211" s="47"/>
      <c r="R211" s="47">
        <f t="shared" si="3"/>
        <v>590481.21924797003</v>
      </c>
    </row>
    <row r="212" spans="1:18" x14ac:dyDescent="0.35">
      <c r="A212" s="76">
        <v>208</v>
      </c>
      <c r="B212" s="77" t="s">
        <v>497</v>
      </c>
      <c r="C212" s="9" t="s">
        <v>2224</v>
      </c>
      <c r="D212" s="76" t="s">
        <v>49</v>
      </c>
      <c r="E212" s="79">
        <v>412039.8548511212</v>
      </c>
      <c r="F212" s="47"/>
      <c r="G212" s="47"/>
      <c r="H212" s="47"/>
      <c r="I212" s="47"/>
      <c r="J212" s="47"/>
      <c r="K212" s="84"/>
      <c r="L212" s="47"/>
      <c r="M212" s="47"/>
      <c r="N212" s="47"/>
      <c r="O212" s="47"/>
      <c r="P212" s="47"/>
      <c r="Q212" s="47"/>
      <c r="R212" s="47">
        <f t="shared" si="3"/>
        <v>412039.8548511212</v>
      </c>
    </row>
    <row r="213" spans="1:18" x14ac:dyDescent="0.35">
      <c r="A213" s="76">
        <v>209</v>
      </c>
      <c r="B213" s="77" t="s">
        <v>499</v>
      </c>
      <c r="C213" s="90" t="s">
        <v>1947</v>
      </c>
      <c r="D213" s="76" t="s">
        <v>128</v>
      </c>
      <c r="E213" s="79">
        <v>2954633.5703917113</v>
      </c>
      <c r="F213" s="47"/>
      <c r="G213" s="47"/>
      <c r="H213" s="47"/>
      <c r="I213" s="47"/>
      <c r="J213" s="47"/>
      <c r="K213" s="84"/>
      <c r="L213" s="47"/>
      <c r="M213" s="47"/>
      <c r="N213" s="47"/>
      <c r="O213" s="47"/>
      <c r="P213" s="47"/>
      <c r="Q213" s="47"/>
      <c r="R213" s="47">
        <f t="shared" si="3"/>
        <v>2954633.5703917113</v>
      </c>
    </row>
    <row r="214" spans="1:18" x14ac:dyDescent="0.35">
      <c r="A214" s="76">
        <v>210</v>
      </c>
      <c r="B214" s="77" t="s">
        <v>501</v>
      </c>
      <c r="C214" s="144" t="s">
        <v>1930</v>
      </c>
      <c r="D214" s="76" t="s">
        <v>128</v>
      </c>
      <c r="E214" s="79">
        <v>1200724.3398442888</v>
      </c>
      <c r="F214" s="47"/>
      <c r="G214" s="47"/>
      <c r="H214" s="47"/>
      <c r="I214" s="47"/>
      <c r="J214" s="47"/>
      <c r="K214" s="84"/>
      <c r="L214" s="47"/>
      <c r="M214" s="47"/>
      <c r="N214" s="47"/>
      <c r="O214" s="47"/>
      <c r="P214" s="47"/>
      <c r="Q214" s="47"/>
      <c r="R214" s="47">
        <f t="shared" si="3"/>
        <v>1200724.3398442888</v>
      </c>
    </row>
    <row r="215" spans="1:18" x14ac:dyDescent="0.35">
      <c r="A215" s="76">
        <v>211</v>
      </c>
      <c r="B215" s="77" t="s">
        <v>503</v>
      </c>
      <c r="C215" s="90" t="s">
        <v>2019</v>
      </c>
      <c r="D215" s="76" t="s">
        <v>25</v>
      </c>
      <c r="E215" s="79">
        <v>2131892.5436173719</v>
      </c>
      <c r="F215" s="47"/>
      <c r="G215" s="47"/>
      <c r="H215" s="47"/>
      <c r="I215" s="47"/>
      <c r="J215" s="47"/>
      <c r="K215" s="84"/>
      <c r="L215" s="47">
        <v>-422295.34784472827</v>
      </c>
      <c r="M215" s="47"/>
      <c r="N215" s="47"/>
      <c r="O215" s="47"/>
      <c r="P215" s="47"/>
      <c r="Q215" s="47"/>
      <c r="R215" s="47">
        <f t="shared" si="3"/>
        <v>1709597.1957726437</v>
      </c>
    </row>
    <row r="216" spans="1:18" x14ac:dyDescent="0.35">
      <c r="A216" s="76">
        <v>212</v>
      </c>
      <c r="B216" s="77" t="s">
        <v>505</v>
      </c>
      <c r="C216" s="144" t="s">
        <v>2020</v>
      </c>
      <c r="D216" s="76" t="s">
        <v>95</v>
      </c>
      <c r="E216" s="79">
        <v>2030516.689282483</v>
      </c>
      <c r="F216" s="47"/>
      <c r="G216" s="47"/>
      <c r="H216" s="47"/>
      <c r="I216" s="47"/>
      <c r="J216" s="47"/>
      <c r="K216" s="84"/>
      <c r="L216" s="47"/>
      <c r="M216" s="47"/>
      <c r="N216" s="47"/>
      <c r="O216" s="47"/>
      <c r="P216" s="47"/>
      <c r="Q216" s="47"/>
      <c r="R216" s="47">
        <f t="shared" si="3"/>
        <v>2030516.689282483</v>
      </c>
    </row>
    <row r="217" spans="1:18" x14ac:dyDescent="0.35">
      <c r="A217" s="76">
        <v>213</v>
      </c>
      <c r="B217" s="77" t="s">
        <v>507</v>
      </c>
      <c r="C217" s="9" t="s">
        <v>1707</v>
      </c>
      <c r="D217" s="76" t="s">
        <v>303</v>
      </c>
      <c r="E217" s="79">
        <v>12177051.670437146</v>
      </c>
      <c r="F217" s="47"/>
      <c r="G217" s="47"/>
      <c r="H217" s="47"/>
      <c r="I217" s="47"/>
      <c r="J217" s="47"/>
      <c r="K217" s="84"/>
      <c r="L217" s="47"/>
      <c r="M217" s="47"/>
      <c r="N217" s="47"/>
      <c r="O217" s="47"/>
      <c r="P217" s="47"/>
      <c r="Q217" s="47"/>
      <c r="R217" s="47">
        <f t="shared" si="3"/>
        <v>12177051.670437146</v>
      </c>
    </row>
    <row r="218" spans="1:18" x14ac:dyDescent="0.35">
      <c r="A218" s="76">
        <v>214</v>
      </c>
      <c r="B218" s="77" t="s">
        <v>509</v>
      </c>
      <c r="C218" s="9" t="s">
        <v>510</v>
      </c>
      <c r="D218" s="76" t="s">
        <v>65</v>
      </c>
      <c r="E218" s="79">
        <v>432962.66477469262</v>
      </c>
      <c r="F218" s="47"/>
      <c r="G218" s="47"/>
      <c r="H218" s="47"/>
      <c r="I218" s="47"/>
      <c r="J218" s="47"/>
      <c r="K218" s="84"/>
      <c r="L218" s="47"/>
      <c r="M218" s="47"/>
      <c r="N218" s="47"/>
      <c r="O218" s="47"/>
      <c r="P218" s="47"/>
      <c r="Q218" s="47"/>
      <c r="R218" s="47">
        <f t="shared" si="3"/>
        <v>432962.66477469262</v>
      </c>
    </row>
    <row r="219" spans="1:18" x14ac:dyDescent="0.35">
      <c r="A219" s="76">
        <v>215</v>
      </c>
      <c r="B219" s="77" t="s">
        <v>511</v>
      </c>
      <c r="C219" s="9" t="s">
        <v>1768</v>
      </c>
      <c r="D219" s="76" t="s">
        <v>406</v>
      </c>
      <c r="E219" s="79">
        <v>5675768.2735547889</v>
      </c>
      <c r="F219" s="47"/>
      <c r="G219" s="47"/>
      <c r="H219" s="47"/>
      <c r="I219" s="47"/>
      <c r="J219" s="47"/>
      <c r="K219" s="84"/>
      <c r="L219" s="47">
        <v>-722057.27507238078</v>
      </c>
      <c r="M219" s="47"/>
      <c r="N219" s="47"/>
      <c r="O219" s="47"/>
      <c r="P219" s="47"/>
      <c r="Q219" s="47"/>
      <c r="R219" s="47">
        <f t="shared" si="3"/>
        <v>4953710.998482408</v>
      </c>
    </row>
    <row r="220" spans="1:18" x14ac:dyDescent="0.35">
      <c r="A220" s="76">
        <v>216</v>
      </c>
      <c r="B220" s="77" t="s">
        <v>513</v>
      </c>
      <c r="C220" s="9" t="s">
        <v>2251</v>
      </c>
      <c r="D220" s="76" t="s">
        <v>60</v>
      </c>
      <c r="E220" s="79">
        <v>3714498.8404314043</v>
      </c>
      <c r="F220" s="47"/>
      <c r="G220" s="47"/>
      <c r="H220" s="47"/>
      <c r="I220" s="47"/>
      <c r="J220" s="47"/>
      <c r="K220" s="84"/>
      <c r="L220" s="47"/>
      <c r="M220" s="47"/>
      <c r="N220" s="47"/>
      <c r="O220" s="47"/>
      <c r="P220" s="47"/>
      <c r="Q220" s="47"/>
      <c r="R220" s="47">
        <f t="shared" si="3"/>
        <v>3714498.8404314043</v>
      </c>
    </row>
    <row r="221" spans="1:18" x14ac:dyDescent="0.35">
      <c r="A221" s="76">
        <v>217</v>
      </c>
      <c r="B221" s="77" t="s">
        <v>515</v>
      </c>
      <c r="C221" s="9" t="s">
        <v>516</v>
      </c>
      <c r="D221" s="76" t="s">
        <v>253</v>
      </c>
      <c r="E221" s="79">
        <v>38978.623871706426</v>
      </c>
      <c r="F221" s="47"/>
      <c r="G221" s="47"/>
      <c r="H221" s="47"/>
      <c r="I221" s="47"/>
      <c r="J221" s="47"/>
      <c r="K221" s="84"/>
      <c r="L221" s="47"/>
      <c r="M221" s="47"/>
      <c r="N221" s="47"/>
      <c r="O221" s="47"/>
      <c r="P221" s="47"/>
      <c r="Q221" s="47"/>
      <c r="R221" s="47">
        <f t="shared" si="3"/>
        <v>38978.623871706426</v>
      </c>
    </row>
    <row r="222" spans="1:18" x14ac:dyDescent="0.35">
      <c r="A222" s="76">
        <v>218</v>
      </c>
      <c r="B222" s="77" t="s">
        <v>517</v>
      </c>
      <c r="C222" s="9" t="s">
        <v>2252</v>
      </c>
      <c r="D222" s="76" t="s">
        <v>519</v>
      </c>
      <c r="E222" s="79">
        <v>63598.268001618795</v>
      </c>
      <c r="F222" s="47"/>
      <c r="G222" s="47"/>
      <c r="H222" s="47"/>
      <c r="I222" s="47"/>
      <c r="J222" s="47"/>
      <c r="K222" s="84"/>
      <c r="L222" s="47"/>
      <c r="M222" s="47"/>
      <c r="N222" s="47"/>
      <c r="O222" s="47"/>
      <c r="P222" s="47"/>
      <c r="Q222" s="47"/>
      <c r="R222" s="47">
        <f t="shared" ref="R222:R285" si="4">E222+F222+G222+H222+I222+J222+K222+L222+M222+N222+O222+P222+Q222</f>
        <v>63598.268001618795</v>
      </c>
    </row>
    <row r="223" spans="1:18" x14ac:dyDescent="0.35">
      <c r="A223" s="76">
        <v>219</v>
      </c>
      <c r="B223" s="77" t="s">
        <v>520</v>
      </c>
      <c r="C223" s="9" t="s">
        <v>2253</v>
      </c>
      <c r="D223" s="76" t="s">
        <v>166</v>
      </c>
      <c r="E223" s="79">
        <v>282933.31913226144</v>
      </c>
      <c r="F223" s="47"/>
      <c r="G223" s="47"/>
      <c r="H223" s="47"/>
      <c r="I223" s="47"/>
      <c r="J223" s="47"/>
      <c r="K223" s="84"/>
      <c r="L223" s="47"/>
      <c r="M223" s="47"/>
      <c r="N223" s="47"/>
      <c r="O223" s="47"/>
      <c r="P223" s="47"/>
      <c r="Q223" s="47"/>
      <c r="R223" s="47">
        <f t="shared" si="4"/>
        <v>282933.31913226144</v>
      </c>
    </row>
    <row r="224" spans="1:18" x14ac:dyDescent="0.35">
      <c r="A224" s="76">
        <v>220</v>
      </c>
      <c r="B224" s="77" t="s">
        <v>522</v>
      </c>
      <c r="C224" s="9" t="s">
        <v>2254</v>
      </c>
      <c r="D224" s="76" t="s">
        <v>524</v>
      </c>
      <c r="E224" s="79">
        <v>967619.3411661908</v>
      </c>
      <c r="F224" s="47"/>
      <c r="G224" s="47"/>
      <c r="H224" s="47"/>
      <c r="I224" s="47"/>
      <c r="J224" s="47"/>
      <c r="K224" s="84"/>
      <c r="L224" s="47"/>
      <c r="M224" s="47"/>
      <c r="N224" s="47"/>
      <c r="O224" s="47"/>
      <c r="P224" s="47"/>
      <c r="Q224" s="47"/>
      <c r="R224" s="47">
        <f t="shared" si="4"/>
        <v>967619.3411661908</v>
      </c>
    </row>
    <row r="225" spans="1:18" x14ac:dyDescent="0.35">
      <c r="A225" s="76">
        <v>221</v>
      </c>
      <c r="B225" s="77" t="s">
        <v>525</v>
      </c>
      <c r="C225" s="9" t="s">
        <v>526</v>
      </c>
      <c r="D225" s="76" t="s">
        <v>98</v>
      </c>
      <c r="E225" s="79">
        <v>-0.2748413048684597</v>
      </c>
      <c r="F225" s="47"/>
      <c r="G225" s="47"/>
      <c r="H225" s="47"/>
      <c r="I225" s="47"/>
      <c r="J225" s="47"/>
      <c r="K225" s="84"/>
      <c r="L225" s="47"/>
      <c r="M225" s="47"/>
      <c r="N225" s="47"/>
      <c r="O225" s="47"/>
      <c r="P225" s="47"/>
      <c r="Q225" s="47"/>
      <c r="R225" s="47">
        <f t="shared" si="4"/>
        <v>-0.2748413048684597</v>
      </c>
    </row>
    <row r="226" spans="1:18" x14ac:dyDescent="0.35">
      <c r="A226" s="76">
        <v>222</v>
      </c>
      <c r="B226" s="77" t="s">
        <v>527</v>
      </c>
      <c r="C226" s="90" t="s">
        <v>1786</v>
      </c>
      <c r="D226" s="76" t="s">
        <v>95</v>
      </c>
      <c r="E226" s="79">
        <v>5343888.8400201313</v>
      </c>
      <c r="F226" s="47"/>
      <c r="G226" s="47"/>
      <c r="H226" s="47"/>
      <c r="I226" s="47"/>
      <c r="J226" s="47"/>
      <c r="K226" s="84"/>
      <c r="L226" s="47">
        <v>-903963.69247275812</v>
      </c>
      <c r="M226" s="47"/>
      <c r="N226" s="47"/>
      <c r="O226" s="47"/>
      <c r="P226" s="47"/>
      <c r="Q226" s="47"/>
      <c r="R226" s="47">
        <f t="shared" si="4"/>
        <v>4439925.1475473735</v>
      </c>
    </row>
    <row r="227" spans="1:18" x14ac:dyDescent="0.35">
      <c r="A227" s="76">
        <v>223</v>
      </c>
      <c r="B227" s="77" t="s">
        <v>529</v>
      </c>
      <c r="C227" s="144" t="s">
        <v>1888</v>
      </c>
      <c r="D227" s="76" t="s">
        <v>354</v>
      </c>
      <c r="E227" s="79">
        <v>9825385.3501900658</v>
      </c>
      <c r="F227" s="47"/>
      <c r="G227" s="47"/>
      <c r="H227" s="47"/>
      <c r="I227" s="47"/>
      <c r="J227" s="47"/>
      <c r="K227" s="84"/>
      <c r="L227" s="47"/>
      <c r="M227" s="47"/>
      <c r="N227" s="47"/>
      <c r="O227" s="47"/>
      <c r="P227" s="47"/>
      <c r="Q227" s="47"/>
      <c r="R227" s="47">
        <f t="shared" si="4"/>
        <v>9825385.3501900658</v>
      </c>
    </row>
    <row r="228" spans="1:18" x14ac:dyDescent="0.35">
      <c r="A228" s="76">
        <v>224</v>
      </c>
      <c r="B228" s="77" t="s">
        <v>531</v>
      </c>
      <c r="C228" s="144" t="s">
        <v>1889</v>
      </c>
      <c r="D228" s="76" t="s">
        <v>98</v>
      </c>
      <c r="E228" s="79">
        <v>623064.30015594547</v>
      </c>
      <c r="F228" s="47"/>
      <c r="G228" s="47"/>
      <c r="H228" s="47"/>
      <c r="I228" s="47"/>
      <c r="J228" s="47"/>
      <c r="K228" s="84"/>
      <c r="L228" s="47"/>
      <c r="M228" s="47"/>
      <c r="N228" s="47"/>
      <c r="O228" s="47"/>
      <c r="P228" s="47"/>
      <c r="Q228" s="47"/>
      <c r="R228" s="47">
        <f t="shared" si="4"/>
        <v>623064.30015594547</v>
      </c>
    </row>
    <row r="229" spans="1:18" x14ac:dyDescent="0.35">
      <c r="A229" s="76">
        <v>225</v>
      </c>
      <c r="B229" s="77" t="s">
        <v>533</v>
      </c>
      <c r="C229" s="9" t="s">
        <v>2255</v>
      </c>
      <c r="D229" s="76" t="s">
        <v>11</v>
      </c>
      <c r="E229" s="79">
        <v>1777789.1582600363</v>
      </c>
      <c r="F229" s="47"/>
      <c r="G229" s="47"/>
      <c r="H229" s="47"/>
      <c r="I229" s="47"/>
      <c r="J229" s="47"/>
      <c r="K229" s="84"/>
      <c r="L229" s="47"/>
      <c r="M229" s="47"/>
      <c r="N229" s="47"/>
      <c r="O229" s="47"/>
      <c r="P229" s="47"/>
      <c r="Q229" s="47"/>
      <c r="R229" s="47">
        <f t="shared" si="4"/>
        <v>1777789.1582600363</v>
      </c>
    </row>
    <row r="230" spans="1:18" x14ac:dyDescent="0.35">
      <c r="A230" s="76">
        <v>226</v>
      </c>
      <c r="B230" s="77" t="s">
        <v>535</v>
      </c>
      <c r="C230" s="9" t="s">
        <v>536</v>
      </c>
      <c r="D230" s="76" t="s">
        <v>49</v>
      </c>
      <c r="E230" s="79">
        <v>640254.16746635945</v>
      </c>
      <c r="F230" s="47"/>
      <c r="G230" s="47"/>
      <c r="H230" s="47"/>
      <c r="I230" s="47"/>
      <c r="J230" s="47"/>
      <c r="K230" s="84"/>
      <c r="L230" s="47"/>
      <c r="M230" s="47"/>
      <c r="N230" s="47"/>
      <c r="O230" s="47"/>
      <c r="P230" s="47"/>
      <c r="Q230" s="47"/>
      <c r="R230" s="47">
        <f t="shared" si="4"/>
        <v>640254.16746635945</v>
      </c>
    </row>
    <row r="231" spans="1:18" x14ac:dyDescent="0.35">
      <c r="A231" s="76">
        <v>227</v>
      </c>
      <c r="B231" s="77" t="s">
        <v>537</v>
      </c>
      <c r="C231" s="90" t="s">
        <v>1765</v>
      </c>
      <c r="D231" s="76" t="s">
        <v>25</v>
      </c>
      <c r="E231" s="79">
        <v>4438329.7859327029</v>
      </c>
      <c r="F231" s="47"/>
      <c r="G231" s="47"/>
      <c r="H231" s="47"/>
      <c r="I231" s="47"/>
      <c r="J231" s="47"/>
      <c r="K231" s="84"/>
      <c r="L231" s="47">
        <v>-787968.21767241531</v>
      </c>
      <c r="M231" s="47"/>
      <c r="N231" s="47"/>
      <c r="O231" s="47"/>
      <c r="P231" s="47"/>
      <c r="Q231" s="47"/>
      <c r="R231" s="47">
        <f t="shared" si="4"/>
        <v>3650361.5682602879</v>
      </c>
    </row>
    <row r="232" spans="1:18" x14ac:dyDescent="0.35">
      <c r="A232" s="76">
        <v>228</v>
      </c>
      <c r="B232" s="77" t="s">
        <v>539</v>
      </c>
      <c r="C232" s="90" t="s">
        <v>1769</v>
      </c>
      <c r="D232" s="76" t="s">
        <v>406</v>
      </c>
      <c r="E232" s="79">
        <v>3019774.9627567045</v>
      </c>
      <c r="F232" s="47"/>
      <c r="G232" s="47"/>
      <c r="H232" s="47"/>
      <c r="I232" s="47"/>
      <c r="J232" s="47"/>
      <c r="K232" s="84"/>
      <c r="L232" s="47"/>
      <c r="M232" s="47"/>
      <c r="N232" s="47"/>
      <c r="O232" s="47"/>
      <c r="P232" s="47"/>
      <c r="Q232" s="47"/>
      <c r="R232" s="47">
        <f t="shared" si="4"/>
        <v>3019774.9627567045</v>
      </c>
    </row>
    <row r="233" spans="1:18" x14ac:dyDescent="0.35">
      <c r="A233" s="76">
        <v>229</v>
      </c>
      <c r="B233" s="77" t="s">
        <v>541</v>
      </c>
      <c r="C233" s="9" t="s">
        <v>1716</v>
      </c>
      <c r="D233" s="76" t="s">
        <v>46</v>
      </c>
      <c r="E233" s="79">
        <v>1621361</v>
      </c>
      <c r="F233" s="47"/>
      <c r="G233" s="47"/>
      <c r="H233" s="47"/>
      <c r="I233" s="47"/>
      <c r="J233" s="47"/>
      <c r="K233" s="84"/>
      <c r="L233" s="47"/>
      <c r="M233" s="47"/>
      <c r="N233" s="47"/>
      <c r="O233" s="47"/>
      <c r="P233" s="47"/>
      <c r="Q233" s="47"/>
      <c r="R233" s="47">
        <f t="shared" si="4"/>
        <v>1621361</v>
      </c>
    </row>
    <row r="234" spans="1:18" x14ac:dyDescent="0.35">
      <c r="A234" s="76">
        <v>230</v>
      </c>
      <c r="B234" s="77" t="s">
        <v>543</v>
      </c>
      <c r="C234" s="9" t="s">
        <v>1717</v>
      </c>
      <c r="D234" s="76" t="s">
        <v>318</v>
      </c>
      <c r="E234" s="79">
        <v>-3.9875306654721498E-2</v>
      </c>
      <c r="F234" s="47"/>
      <c r="G234" s="47"/>
      <c r="H234" s="47"/>
      <c r="I234" s="47"/>
      <c r="J234" s="47"/>
      <c r="K234" s="84"/>
      <c r="L234" s="47"/>
      <c r="M234" s="47"/>
      <c r="N234" s="47"/>
      <c r="O234" s="47"/>
      <c r="P234" s="47"/>
      <c r="Q234" s="47"/>
      <c r="R234" s="47">
        <f t="shared" si="4"/>
        <v>-3.9875306654721498E-2</v>
      </c>
    </row>
    <row r="235" spans="1:18" x14ac:dyDescent="0.35">
      <c r="A235" s="76">
        <v>231</v>
      </c>
      <c r="B235" s="77" t="s">
        <v>545</v>
      </c>
      <c r="C235" s="9" t="s">
        <v>1643</v>
      </c>
      <c r="D235" s="76" t="s">
        <v>77</v>
      </c>
      <c r="E235" s="79">
        <v>30773.447163384408</v>
      </c>
      <c r="F235" s="47"/>
      <c r="G235" s="47"/>
      <c r="H235" s="47"/>
      <c r="I235" s="47"/>
      <c r="J235" s="47"/>
      <c r="K235" s="84"/>
      <c r="L235" s="47"/>
      <c r="M235" s="47"/>
      <c r="N235" s="47"/>
      <c r="O235" s="47"/>
      <c r="P235" s="47"/>
      <c r="Q235" s="47"/>
      <c r="R235" s="47">
        <f t="shared" si="4"/>
        <v>30773.447163384408</v>
      </c>
    </row>
    <row r="236" spans="1:18" x14ac:dyDescent="0.35">
      <c r="A236" s="76">
        <v>232</v>
      </c>
      <c r="B236" s="77" t="s">
        <v>547</v>
      </c>
      <c r="C236" s="9" t="s">
        <v>548</v>
      </c>
      <c r="D236" s="76" t="s">
        <v>123</v>
      </c>
      <c r="E236" s="79">
        <v>12309</v>
      </c>
      <c r="F236" s="47"/>
      <c r="G236" s="47"/>
      <c r="H236" s="47"/>
      <c r="I236" s="47"/>
      <c r="J236" s="47"/>
      <c r="K236" s="84"/>
      <c r="L236" s="47"/>
      <c r="M236" s="47"/>
      <c r="N236" s="47"/>
      <c r="O236" s="47"/>
      <c r="P236" s="47"/>
      <c r="Q236" s="47"/>
      <c r="R236" s="47">
        <f t="shared" si="4"/>
        <v>12309</v>
      </c>
    </row>
    <row r="237" spans="1:18" x14ac:dyDescent="0.35">
      <c r="A237" s="76">
        <v>233</v>
      </c>
      <c r="B237" s="77" t="s">
        <v>549</v>
      </c>
      <c r="C237" s="9" t="s">
        <v>550</v>
      </c>
      <c r="D237" s="76" t="s">
        <v>551</v>
      </c>
      <c r="E237" s="79">
        <v>275367.87378344825</v>
      </c>
      <c r="F237" s="47"/>
      <c r="G237" s="47"/>
      <c r="H237" s="47"/>
      <c r="I237" s="47"/>
      <c r="J237" s="47"/>
      <c r="K237" s="84"/>
      <c r="L237" s="47"/>
      <c r="M237" s="47"/>
      <c r="N237" s="47"/>
      <c r="O237" s="47"/>
      <c r="P237" s="47"/>
      <c r="Q237" s="47"/>
      <c r="R237" s="47">
        <f t="shared" si="4"/>
        <v>275367.87378344825</v>
      </c>
    </row>
    <row r="238" spans="1:18" x14ac:dyDescent="0.35">
      <c r="A238" s="76">
        <v>234</v>
      </c>
      <c r="B238" s="77" t="s">
        <v>552</v>
      </c>
      <c r="C238" s="9" t="s">
        <v>2021</v>
      </c>
      <c r="D238" s="76" t="s">
        <v>198</v>
      </c>
      <c r="E238" s="79">
        <v>13802713.885782793</v>
      </c>
      <c r="F238" s="47"/>
      <c r="G238" s="47"/>
      <c r="H238" s="47"/>
      <c r="I238" s="47"/>
      <c r="J238" s="47"/>
      <c r="K238" s="84"/>
      <c r="L238" s="47"/>
      <c r="M238" s="47"/>
      <c r="N238" s="47"/>
      <c r="O238" s="47"/>
      <c r="P238" s="47"/>
      <c r="Q238" s="47"/>
      <c r="R238" s="47">
        <f t="shared" si="4"/>
        <v>13802713.885782793</v>
      </c>
    </row>
    <row r="239" spans="1:18" x14ac:dyDescent="0.35">
      <c r="A239" s="76">
        <v>235</v>
      </c>
      <c r="B239" s="77" t="s">
        <v>554</v>
      </c>
      <c r="C239" s="9" t="s">
        <v>555</v>
      </c>
      <c r="D239" s="76" t="s">
        <v>46</v>
      </c>
      <c r="E239" s="79">
        <v>5525666.0486421082</v>
      </c>
      <c r="F239" s="47"/>
      <c r="G239" s="47"/>
      <c r="H239" s="47"/>
      <c r="I239" s="47"/>
      <c r="J239" s="47"/>
      <c r="K239" s="84"/>
      <c r="L239" s="47"/>
      <c r="M239" s="47"/>
      <c r="N239" s="47"/>
      <c r="O239" s="47"/>
      <c r="P239" s="47"/>
      <c r="Q239" s="47"/>
      <c r="R239" s="47">
        <f t="shared" si="4"/>
        <v>5525666.0486421082</v>
      </c>
    </row>
    <row r="240" spans="1:18" x14ac:dyDescent="0.35">
      <c r="A240" s="76">
        <v>236</v>
      </c>
      <c r="B240" s="77" t="s">
        <v>556</v>
      </c>
      <c r="C240" s="9" t="s">
        <v>2256</v>
      </c>
      <c r="D240" s="76" t="s">
        <v>270</v>
      </c>
      <c r="E240" s="79">
        <v>2370200.4168902971</v>
      </c>
      <c r="F240" s="47"/>
      <c r="G240" s="47"/>
      <c r="H240" s="47"/>
      <c r="I240" s="47"/>
      <c r="J240" s="47"/>
      <c r="K240" s="84"/>
      <c r="L240" s="47"/>
      <c r="M240" s="47"/>
      <c r="N240" s="47"/>
      <c r="O240" s="47"/>
      <c r="P240" s="47"/>
      <c r="Q240" s="47"/>
      <c r="R240" s="47">
        <f t="shared" si="4"/>
        <v>2370200.4168902971</v>
      </c>
    </row>
    <row r="241" spans="1:18" x14ac:dyDescent="0.35">
      <c r="A241" s="76">
        <v>237</v>
      </c>
      <c r="B241" s="77" t="s">
        <v>558</v>
      </c>
      <c r="C241" s="9" t="s">
        <v>2257</v>
      </c>
      <c r="D241" s="76" t="s">
        <v>49</v>
      </c>
      <c r="E241" s="79">
        <v>363077</v>
      </c>
      <c r="F241" s="47"/>
      <c r="G241" s="47"/>
      <c r="H241" s="47"/>
      <c r="I241" s="47"/>
      <c r="J241" s="47"/>
      <c r="K241" s="84"/>
      <c r="L241" s="47"/>
      <c r="M241" s="47"/>
      <c r="N241" s="47"/>
      <c r="O241" s="47"/>
      <c r="P241" s="47"/>
      <c r="Q241" s="47"/>
      <c r="R241" s="47">
        <f t="shared" si="4"/>
        <v>363077</v>
      </c>
    </row>
    <row r="242" spans="1:18" x14ac:dyDescent="0.35">
      <c r="A242" s="76">
        <v>238</v>
      </c>
      <c r="B242" s="77" t="s">
        <v>560</v>
      </c>
      <c r="C242" s="9" t="s">
        <v>561</v>
      </c>
      <c r="D242" s="76" t="s">
        <v>11</v>
      </c>
      <c r="E242" s="79">
        <v>489208.89512369456</v>
      </c>
      <c r="F242" s="47"/>
      <c r="G242" s="47"/>
      <c r="H242" s="47"/>
      <c r="I242" s="47"/>
      <c r="J242" s="47"/>
      <c r="K242" s="84"/>
      <c r="L242" s="47"/>
      <c r="M242" s="47"/>
      <c r="N242" s="47"/>
      <c r="O242" s="47"/>
      <c r="P242" s="47"/>
      <c r="Q242" s="47"/>
      <c r="R242" s="47">
        <f t="shared" si="4"/>
        <v>489208.89512369456</v>
      </c>
    </row>
    <row r="243" spans="1:18" x14ac:dyDescent="0.35">
      <c r="A243" s="76">
        <v>239</v>
      </c>
      <c r="B243" s="77" t="s">
        <v>562</v>
      </c>
      <c r="C243" s="9" t="s">
        <v>2258</v>
      </c>
      <c r="D243" s="76" t="s">
        <v>19</v>
      </c>
      <c r="E243" s="79">
        <v>2253267.7703546742</v>
      </c>
      <c r="F243" s="47"/>
      <c r="G243" s="47"/>
      <c r="H243" s="47"/>
      <c r="I243" s="47"/>
      <c r="J243" s="47"/>
      <c r="K243" s="84"/>
      <c r="L243" s="47"/>
      <c r="M243" s="47"/>
      <c r="N243" s="47"/>
      <c r="O243" s="47"/>
      <c r="P243" s="47"/>
      <c r="Q243" s="47"/>
      <c r="R243" s="47">
        <f t="shared" si="4"/>
        <v>2253267.7703546742</v>
      </c>
    </row>
    <row r="244" spans="1:18" x14ac:dyDescent="0.35">
      <c r="A244" s="76">
        <v>240</v>
      </c>
      <c r="B244" s="77" t="s">
        <v>564</v>
      </c>
      <c r="C244" s="144" t="s">
        <v>2022</v>
      </c>
      <c r="D244" s="76" t="s">
        <v>98</v>
      </c>
      <c r="E244" s="79">
        <v>1853460.1779220146</v>
      </c>
      <c r="F244" s="47"/>
      <c r="G244" s="47"/>
      <c r="H244" s="47"/>
      <c r="I244" s="47"/>
      <c r="J244" s="47"/>
      <c r="K244" s="84"/>
      <c r="L244" s="47"/>
      <c r="M244" s="47"/>
      <c r="N244" s="47"/>
      <c r="O244" s="47"/>
      <c r="P244" s="47"/>
      <c r="Q244" s="47"/>
      <c r="R244" s="47">
        <f t="shared" si="4"/>
        <v>1853460.1779220146</v>
      </c>
    </row>
    <row r="245" spans="1:18" x14ac:dyDescent="0.35">
      <c r="A245" s="76">
        <v>241</v>
      </c>
      <c r="B245" s="77" t="s">
        <v>566</v>
      </c>
      <c r="C245" s="90" t="s">
        <v>2023</v>
      </c>
      <c r="D245" s="76" t="s">
        <v>22</v>
      </c>
      <c r="E245" s="79">
        <v>14068477.855697315</v>
      </c>
      <c r="F245" s="47"/>
      <c r="G245" s="47"/>
      <c r="H245" s="47"/>
      <c r="I245" s="47"/>
      <c r="J245" s="47"/>
      <c r="K245" s="84"/>
      <c r="L245" s="47">
        <v>-1404159.3020359771</v>
      </c>
      <c r="M245" s="47"/>
      <c r="N245" s="47"/>
      <c r="O245" s="47"/>
      <c r="P245" s="47"/>
      <c r="Q245" s="47"/>
      <c r="R245" s="47">
        <f t="shared" si="4"/>
        <v>12664318.553661339</v>
      </c>
    </row>
    <row r="246" spans="1:18" x14ac:dyDescent="0.35">
      <c r="A246" s="76">
        <v>242</v>
      </c>
      <c r="B246" s="77" t="s">
        <v>568</v>
      </c>
      <c r="C246" s="144" t="s">
        <v>1926</v>
      </c>
      <c r="D246" s="76" t="s">
        <v>128</v>
      </c>
      <c r="E246" s="79">
        <v>5371053.7933312291</v>
      </c>
      <c r="F246" s="47"/>
      <c r="G246" s="47"/>
      <c r="H246" s="47"/>
      <c r="I246" s="47"/>
      <c r="J246" s="47"/>
      <c r="K246" s="84"/>
      <c r="L246" s="47"/>
      <c r="M246" s="47"/>
      <c r="N246" s="47"/>
      <c r="O246" s="47"/>
      <c r="P246" s="47"/>
      <c r="Q246" s="47"/>
      <c r="R246" s="47">
        <f t="shared" si="4"/>
        <v>5371053.7933312291</v>
      </c>
    </row>
    <row r="247" spans="1:18" x14ac:dyDescent="0.35">
      <c r="A247" s="76">
        <v>243</v>
      </c>
      <c r="B247" s="77" t="s">
        <v>570</v>
      </c>
      <c r="C247" s="144" t="s">
        <v>2024</v>
      </c>
      <c r="D247" s="76" t="s">
        <v>141</v>
      </c>
      <c r="E247" s="79">
        <v>5193689.0303288726</v>
      </c>
      <c r="F247" s="47"/>
      <c r="G247" s="47"/>
      <c r="H247" s="47"/>
      <c r="I247" s="47"/>
      <c r="J247" s="47"/>
      <c r="K247" s="84"/>
      <c r="L247" s="47">
        <v>-421713.92821470287</v>
      </c>
      <c r="M247" s="47"/>
      <c r="N247" s="47"/>
      <c r="O247" s="47"/>
      <c r="P247" s="47"/>
      <c r="Q247" s="47"/>
      <c r="R247" s="47">
        <f t="shared" si="4"/>
        <v>4771975.1021141699</v>
      </c>
    </row>
    <row r="248" spans="1:18" x14ac:dyDescent="0.35">
      <c r="A248" s="76">
        <v>244</v>
      </c>
      <c r="B248" s="77" t="s">
        <v>572</v>
      </c>
      <c r="C248" s="144" t="s">
        <v>1929</v>
      </c>
      <c r="D248" s="76" t="s">
        <v>574</v>
      </c>
      <c r="E248" s="79">
        <v>3162948.301268904</v>
      </c>
      <c r="F248" s="47"/>
      <c r="G248" s="47"/>
      <c r="H248" s="47"/>
      <c r="I248" s="47"/>
      <c r="J248" s="47"/>
      <c r="K248" s="84"/>
      <c r="L248" s="47">
        <v>-303280.3142617456</v>
      </c>
      <c r="M248" s="47"/>
      <c r="N248" s="47"/>
      <c r="O248" s="47"/>
      <c r="P248" s="47"/>
      <c r="Q248" s="47"/>
      <c r="R248" s="47">
        <f t="shared" si="4"/>
        <v>2859667.9870071583</v>
      </c>
    </row>
    <row r="249" spans="1:18" x14ac:dyDescent="0.35">
      <c r="A249" s="76">
        <v>245</v>
      </c>
      <c r="B249" s="77" t="s">
        <v>575</v>
      </c>
      <c r="C249" s="9" t="s">
        <v>576</v>
      </c>
      <c r="D249" s="76" t="s">
        <v>290</v>
      </c>
      <c r="E249" s="79">
        <v>1279147.1117088324</v>
      </c>
      <c r="F249" s="47"/>
      <c r="G249" s="47"/>
      <c r="H249" s="47"/>
      <c r="I249" s="47"/>
      <c r="J249" s="47"/>
      <c r="K249" s="84"/>
      <c r="L249" s="47">
        <v>-598272.01546973584</v>
      </c>
      <c r="M249" s="47"/>
      <c r="N249" s="47"/>
      <c r="O249" s="47"/>
      <c r="P249" s="47"/>
      <c r="Q249" s="47"/>
      <c r="R249" s="47">
        <f t="shared" si="4"/>
        <v>680875.0962390966</v>
      </c>
    </row>
    <row r="250" spans="1:18" x14ac:dyDescent="0.35">
      <c r="A250" s="76">
        <v>246</v>
      </c>
      <c r="B250" s="77" t="s">
        <v>577</v>
      </c>
      <c r="C250" s="9" t="s">
        <v>2025</v>
      </c>
      <c r="D250" s="76" t="s">
        <v>303</v>
      </c>
      <c r="E250" s="79">
        <v>2763340.5484420783</v>
      </c>
      <c r="F250" s="47"/>
      <c r="G250" s="47"/>
      <c r="H250" s="47"/>
      <c r="I250" s="47"/>
      <c r="J250" s="47"/>
      <c r="K250" s="84"/>
      <c r="L250" s="47">
        <v>-383597.74372513208</v>
      </c>
      <c r="M250" s="47"/>
      <c r="N250" s="47"/>
      <c r="O250" s="47"/>
      <c r="P250" s="47"/>
      <c r="Q250" s="47"/>
      <c r="R250" s="47">
        <f t="shared" si="4"/>
        <v>2379742.8047169461</v>
      </c>
    </row>
    <row r="251" spans="1:18" x14ac:dyDescent="0.35">
      <c r="A251" s="76">
        <v>247</v>
      </c>
      <c r="B251" s="77" t="s">
        <v>579</v>
      </c>
      <c r="C251" s="9" t="s">
        <v>2259</v>
      </c>
      <c r="D251" s="76" t="s">
        <v>198</v>
      </c>
      <c r="E251" s="79">
        <v>7495297.8287773058</v>
      </c>
      <c r="F251" s="47"/>
      <c r="G251" s="47"/>
      <c r="H251" s="47"/>
      <c r="I251" s="47"/>
      <c r="J251" s="47"/>
      <c r="K251" s="84"/>
      <c r="L251" s="47"/>
      <c r="M251" s="47"/>
      <c r="N251" s="47"/>
      <c r="O251" s="47"/>
      <c r="P251" s="47"/>
      <c r="Q251" s="47"/>
      <c r="R251" s="47">
        <f t="shared" si="4"/>
        <v>7495297.8287773058</v>
      </c>
    </row>
    <row r="252" spans="1:18" x14ac:dyDescent="0.35">
      <c r="A252" s="76">
        <v>248</v>
      </c>
      <c r="B252" s="77" t="s">
        <v>581</v>
      </c>
      <c r="C252" s="9" t="s">
        <v>2026</v>
      </c>
      <c r="D252" s="76" t="s">
        <v>98</v>
      </c>
      <c r="E252" s="79">
        <v>2343699.1531714392</v>
      </c>
      <c r="F252" s="47"/>
      <c r="G252" s="47"/>
      <c r="H252" s="47"/>
      <c r="I252" s="47"/>
      <c r="J252" s="47"/>
      <c r="K252" s="84"/>
      <c r="L252" s="47"/>
      <c r="M252" s="47"/>
      <c r="N252" s="47"/>
      <c r="O252" s="47"/>
      <c r="P252" s="47"/>
      <c r="Q252" s="47"/>
      <c r="R252" s="47">
        <f t="shared" si="4"/>
        <v>2343699.1531714392</v>
      </c>
    </row>
    <row r="253" spans="1:18" x14ac:dyDescent="0.35">
      <c r="A253" s="76">
        <v>249</v>
      </c>
      <c r="B253" s="77" t="s">
        <v>583</v>
      </c>
      <c r="C253" s="9" t="s">
        <v>584</v>
      </c>
      <c r="D253" s="76" t="s">
        <v>49</v>
      </c>
      <c r="E253" s="79">
        <v>1442610</v>
      </c>
      <c r="F253" s="47"/>
      <c r="G253" s="47"/>
      <c r="H253" s="47"/>
      <c r="I253" s="47"/>
      <c r="J253" s="47"/>
      <c r="K253" s="84"/>
      <c r="L253" s="47"/>
      <c r="M253" s="47"/>
      <c r="N253" s="47"/>
      <c r="O253" s="47"/>
      <c r="P253" s="47"/>
      <c r="Q253" s="47"/>
      <c r="R253" s="47">
        <f t="shared" si="4"/>
        <v>1442610</v>
      </c>
    </row>
    <row r="254" spans="1:18" x14ac:dyDescent="0.35">
      <c r="A254" s="76">
        <v>250</v>
      </c>
      <c r="B254" s="77" t="s">
        <v>585</v>
      </c>
      <c r="C254" s="9" t="s">
        <v>586</v>
      </c>
      <c r="D254" s="76" t="s">
        <v>166</v>
      </c>
      <c r="E254" s="79">
        <v>0.3799637989141047</v>
      </c>
      <c r="F254" s="47"/>
      <c r="G254" s="47"/>
      <c r="H254" s="47"/>
      <c r="I254" s="47"/>
      <c r="J254" s="47"/>
      <c r="K254" s="84"/>
      <c r="L254" s="47"/>
      <c r="M254" s="47"/>
      <c r="N254" s="47"/>
      <c r="O254" s="47"/>
      <c r="P254" s="47"/>
      <c r="Q254" s="47"/>
      <c r="R254" s="47">
        <f t="shared" si="4"/>
        <v>0.3799637989141047</v>
      </c>
    </row>
    <row r="255" spans="1:18" x14ac:dyDescent="0.35">
      <c r="A255" s="76">
        <v>251</v>
      </c>
      <c r="B255" s="77" t="s">
        <v>587</v>
      </c>
      <c r="C255" s="9" t="s">
        <v>588</v>
      </c>
      <c r="D255" s="76" t="s">
        <v>19</v>
      </c>
      <c r="E255" s="79">
        <v>838269.13911519654</v>
      </c>
      <c r="F255" s="47"/>
      <c r="G255" s="47"/>
      <c r="H255" s="47"/>
      <c r="I255" s="47"/>
      <c r="J255" s="47"/>
      <c r="K255" s="84"/>
      <c r="L255" s="47"/>
      <c r="M255" s="47"/>
      <c r="N255" s="47"/>
      <c r="O255" s="47"/>
      <c r="P255" s="47"/>
      <c r="Q255" s="47"/>
      <c r="R255" s="47">
        <f t="shared" si="4"/>
        <v>838269.13911519654</v>
      </c>
    </row>
    <row r="256" spans="1:18" x14ac:dyDescent="0.35">
      <c r="A256" s="76">
        <v>252</v>
      </c>
      <c r="B256" s="77" t="s">
        <v>589</v>
      </c>
      <c r="C256" s="9" t="s">
        <v>590</v>
      </c>
      <c r="D256" s="76" t="s">
        <v>72</v>
      </c>
      <c r="E256" s="79">
        <v>0.37200840190052986</v>
      </c>
      <c r="F256" s="47"/>
      <c r="G256" s="47"/>
      <c r="H256" s="47"/>
      <c r="I256" s="47"/>
      <c r="J256" s="47"/>
      <c r="K256" s="84"/>
      <c r="L256" s="47"/>
      <c r="M256" s="47"/>
      <c r="N256" s="47"/>
      <c r="O256" s="47"/>
      <c r="P256" s="47"/>
      <c r="Q256" s="47"/>
      <c r="R256" s="47">
        <f t="shared" si="4"/>
        <v>0.37200840190052986</v>
      </c>
    </row>
    <row r="257" spans="1:18" x14ac:dyDescent="0.35">
      <c r="A257" s="76">
        <v>253</v>
      </c>
      <c r="B257" s="77" t="s">
        <v>591</v>
      </c>
      <c r="C257" s="9" t="s">
        <v>592</v>
      </c>
      <c r="D257" s="76" t="s">
        <v>98</v>
      </c>
      <c r="E257" s="79">
        <v>-0.20049358555115759</v>
      </c>
      <c r="F257" s="47"/>
      <c r="G257" s="47"/>
      <c r="H257" s="47"/>
      <c r="I257" s="47"/>
      <c r="J257" s="47"/>
      <c r="K257" s="84"/>
      <c r="L257" s="47"/>
      <c r="M257" s="47"/>
      <c r="N257" s="47"/>
      <c r="O257" s="47"/>
      <c r="P257" s="47"/>
      <c r="Q257" s="47"/>
      <c r="R257" s="47">
        <f t="shared" si="4"/>
        <v>-0.20049358555115759</v>
      </c>
    </row>
    <row r="258" spans="1:18" x14ac:dyDescent="0.35">
      <c r="A258" s="76">
        <v>254</v>
      </c>
      <c r="B258" s="77" t="s">
        <v>593</v>
      </c>
      <c r="C258" s="9" t="s">
        <v>2228</v>
      </c>
      <c r="D258" s="76" t="s">
        <v>119</v>
      </c>
      <c r="E258" s="79">
        <v>146800.93275397271</v>
      </c>
      <c r="F258" s="47"/>
      <c r="G258" s="47"/>
      <c r="H258" s="47"/>
      <c r="I258" s="47"/>
      <c r="J258" s="47"/>
      <c r="K258" s="84"/>
      <c r="L258" s="47"/>
      <c r="M258" s="47"/>
      <c r="N258" s="47"/>
      <c r="O258" s="47"/>
      <c r="P258" s="47"/>
      <c r="Q258" s="47"/>
      <c r="R258" s="47">
        <f t="shared" si="4"/>
        <v>146800.93275397271</v>
      </c>
    </row>
    <row r="259" spans="1:18" x14ac:dyDescent="0.35">
      <c r="A259" s="76">
        <v>255</v>
      </c>
      <c r="B259" s="77" t="s">
        <v>595</v>
      </c>
      <c r="C259" s="9" t="s">
        <v>1721</v>
      </c>
      <c r="D259" s="76" t="s">
        <v>201</v>
      </c>
      <c r="E259" s="79">
        <v>341563.78286582767</v>
      </c>
      <c r="F259" s="47"/>
      <c r="G259" s="47"/>
      <c r="H259" s="47"/>
      <c r="I259" s="47"/>
      <c r="J259" s="47"/>
      <c r="K259" s="84"/>
      <c r="L259" s="47"/>
      <c r="M259" s="47"/>
      <c r="N259" s="47"/>
      <c r="O259" s="47"/>
      <c r="P259" s="47"/>
      <c r="Q259" s="47"/>
      <c r="R259" s="47">
        <f t="shared" si="4"/>
        <v>341563.78286582767</v>
      </c>
    </row>
    <row r="260" spans="1:18" x14ac:dyDescent="0.35">
      <c r="A260" s="76">
        <v>256</v>
      </c>
      <c r="B260" s="77" t="s">
        <v>597</v>
      </c>
      <c r="C260" s="9" t="s">
        <v>1722</v>
      </c>
      <c r="D260" s="76" t="s">
        <v>98</v>
      </c>
      <c r="E260" s="79">
        <v>155664.77599200606</v>
      </c>
      <c r="F260" s="47"/>
      <c r="G260" s="47"/>
      <c r="H260" s="47"/>
      <c r="I260" s="47"/>
      <c r="J260" s="47"/>
      <c r="K260" s="84"/>
      <c r="L260" s="47"/>
      <c r="M260" s="47"/>
      <c r="N260" s="47"/>
      <c r="O260" s="47"/>
      <c r="P260" s="47"/>
      <c r="Q260" s="47"/>
      <c r="R260" s="47">
        <f t="shared" si="4"/>
        <v>155664.77599200606</v>
      </c>
    </row>
    <row r="261" spans="1:18" x14ac:dyDescent="0.35">
      <c r="A261" s="76">
        <v>257</v>
      </c>
      <c r="B261" s="77" t="s">
        <v>599</v>
      </c>
      <c r="C261" s="9" t="s">
        <v>2229</v>
      </c>
      <c r="D261" s="76" t="s">
        <v>98</v>
      </c>
      <c r="E261" s="79">
        <v>3466839</v>
      </c>
      <c r="F261" s="47"/>
      <c r="G261" s="47"/>
      <c r="H261" s="47"/>
      <c r="I261" s="47"/>
      <c r="J261" s="47"/>
      <c r="K261" s="84"/>
      <c r="L261" s="47"/>
      <c r="M261" s="47"/>
      <c r="N261" s="47"/>
      <c r="O261" s="47"/>
      <c r="P261" s="47"/>
      <c r="Q261" s="47"/>
      <c r="R261" s="47">
        <f t="shared" si="4"/>
        <v>3466839</v>
      </c>
    </row>
    <row r="262" spans="1:18" x14ac:dyDescent="0.35">
      <c r="A262" s="76">
        <v>258</v>
      </c>
      <c r="B262" s="77" t="s">
        <v>601</v>
      </c>
      <c r="C262" s="9" t="s">
        <v>1849</v>
      </c>
      <c r="D262" s="76" t="s">
        <v>25</v>
      </c>
      <c r="E262" s="79">
        <v>411238.18948501477</v>
      </c>
      <c r="F262" s="47"/>
      <c r="G262" s="47"/>
      <c r="H262" s="47"/>
      <c r="I262" s="47"/>
      <c r="J262" s="47"/>
      <c r="K262" s="84"/>
      <c r="L262" s="47"/>
      <c r="M262" s="47"/>
      <c r="N262" s="47"/>
      <c r="O262" s="47"/>
      <c r="P262" s="47"/>
      <c r="Q262" s="47"/>
      <c r="R262" s="47">
        <f t="shared" si="4"/>
        <v>411238.18948501477</v>
      </c>
    </row>
    <row r="263" spans="1:18" x14ac:dyDescent="0.35">
      <c r="A263" s="76">
        <v>259</v>
      </c>
      <c r="B263" s="77" t="s">
        <v>603</v>
      </c>
      <c r="C263" s="9" t="s">
        <v>2028</v>
      </c>
      <c r="D263" s="76" t="s">
        <v>131</v>
      </c>
      <c r="E263" s="79">
        <v>10472140.176209964</v>
      </c>
      <c r="F263" s="47"/>
      <c r="G263" s="47"/>
      <c r="H263" s="47"/>
      <c r="I263" s="47"/>
      <c r="J263" s="47"/>
      <c r="K263" s="84"/>
      <c r="L263" s="47"/>
      <c r="M263" s="47"/>
      <c r="N263" s="47"/>
      <c r="O263" s="47"/>
      <c r="P263" s="47"/>
      <c r="Q263" s="47"/>
      <c r="R263" s="47">
        <f t="shared" si="4"/>
        <v>10472140.176209964</v>
      </c>
    </row>
    <row r="264" spans="1:18" x14ac:dyDescent="0.35">
      <c r="A264" s="76">
        <v>260</v>
      </c>
      <c r="B264" s="77" t="s">
        <v>605</v>
      </c>
      <c r="C264" s="9" t="s">
        <v>606</v>
      </c>
      <c r="D264" s="76" t="s">
        <v>60</v>
      </c>
      <c r="E264" s="79">
        <v>110201.95735645248</v>
      </c>
      <c r="F264" s="47"/>
      <c r="G264" s="47"/>
      <c r="H264" s="47"/>
      <c r="I264" s="47"/>
      <c r="J264" s="47"/>
      <c r="K264" s="84"/>
      <c r="L264" s="47"/>
      <c r="M264" s="47"/>
      <c r="N264" s="47"/>
      <c r="O264" s="47"/>
      <c r="P264" s="47"/>
      <c r="Q264" s="47"/>
      <c r="R264" s="47">
        <f t="shared" si="4"/>
        <v>110201.95735645248</v>
      </c>
    </row>
    <row r="265" spans="1:18" x14ac:dyDescent="0.35">
      <c r="A265" s="76">
        <v>261</v>
      </c>
      <c r="B265" s="77" t="s">
        <v>607</v>
      </c>
      <c r="C265" s="90" t="s">
        <v>1755</v>
      </c>
      <c r="D265" s="76" t="s">
        <v>238</v>
      </c>
      <c r="E265" s="79">
        <v>3728976.830113872</v>
      </c>
      <c r="F265" s="47"/>
      <c r="G265" s="47"/>
      <c r="H265" s="47"/>
      <c r="I265" s="47"/>
      <c r="J265" s="47"/>
      <c r="K265" s="84"/>
      <c r="L265" s="47"/>
      <c r="M265" s="47"/>
      <c r="N265" s="47"/>
      <c r="O265" s="47"/>
      <c r="P265" s="47"/>
      <c r="Q265" s="47"/>
      <c r="R265" s="47">
        <f t="shared" si="4"/>
        <v>3728976.830113872</v>
      </c>
    </row>
    <row r="266" spans="1:18" x14ac:dyDescent="0.35">
      <c r="A266" s="76">
        <v>262</v>
      </c>
      <c r="B266" s="77" t="s">
        <v>609</v>
      </c>
      <c r="C266" s="90" t="s">
        <v>1789</v>
      </c>
      <c r="D266" s="76" t="s">
        <v>14</v>
      </c>
      <c r="E266" s="79">
        <v>5889519.9959423821</v>
      </c>
      <c r="F266" s="47"/>
      <c r="G266" s="47"/>
      <c r="H266" s="47"/>
      <c r="I266" s="47"/>
      <c r="J266" s="47"/>
      <c r="K266" s="84"/>
      <c r="L266" s="47"/>
      <c r="M266" s="47"/>
      <c r="N266" s="47"/>
      <c r="O266" s="47"/>
      <c r="P266" s="47"/>
      <c r="Q266" s="47"/>
      <c r="R266" s="47">
        <f t="shared" si="4"/>
        <v>5889519.9959423821</v>
      </c>
    </row>
    <row r="267" spans="1:18" x14ac:dyDescent="0.35">
      <c r="A267" s="76">
        <v>263</v>
      </c>
      <c r="B267" s="77" t="s">
        <v>611</v>
      </c>
      <c r="C267" s="144" t="s">
        <v>1894</v>
      </c>
      <c r="D267" s="76" t="s">
        <v>136</v>
      </c>
      <c r="E267" s="79">
        <v>4839277.2119274819</v>
      </c>
      <c r="F267" s="47"/>
      <c r="G267" s="47"/>
      <c r="H267" s="47"/>
      <c r="I267" s="47"/>
      <c r="J267" s="47"/>
      <c r="K267" s="84"/>
      <c r="L267" s="47"/>
      <c r="M267" s="47"/>
      <c r="N267" s="47"/>
      <c r="O267" s="47"/>
      <c r="P267" s="47"/>
      <c r="Q267" s="47"/>
      <c r="R267" s="47">
        <f t="shared" si="4"/>
        <v>4839277.2119274819</v>
      </c>
    </row>
    <row r="268" spans="1:18" x14ac:dyDescent="0.35">
      <c r="A268" s="76">
        <v>264</v>
      </c>
      <c r="B268" s="77" t="s">
        <v>613</v>
      </c>
      <c r="C268" s="144" t="s">
        <v>2029</v>
      </c>
      <c r="D268" s="76" t="s">
        <v>98</v>
      </c>
      <c r="E268" s="79">
        <v>2652424.7196600609</v>
      </c>
      <c r="F268" s="47"/>
      <c r="G268" s="47"/>
      <c r="H268" s="47"/>
      <c r="I268" s="47"/>
      <c r="J268" s="47"/>
      <c r="K268" s="84"/>
      <c r="L268" s="47"/>
      <c r="M268" s="47"/>
      <c r="N268" s="47"/>
      <c r="O268" s="47"/>
      <c r="P268" s="47"/>
      <c r="Q268" s="47"/>
      <c r="R268" s="47">
        <f t="shared" si="4"/>
        <v>2652424.7196600609</v>
      </c>
    </row>
    <row r="269" spans="1:18" x14ac:dyDescent="0.35">
      <c r="A269" s="76">
        <v>265</v>
      </c>
      <c r="B269" s="77" t="s">
        <v>615</v>
      </c>
      <c r="C269" s="9" t="s">
        <v>1895</v>
      </c>
      <c r="D269" s="76" t="s">
        <v>119</v>
      </c>
      <c r="E269" s="79">
        <v>-0.48566586896777153</v>
      </c>
      <c r="F269" s="47"/>
      <c r="G269" s="47"/>
      <c r="H269" s="47"/>
      <c r="I269" s="47"/>
      <c r="J269" s="47"/>
      <c r="K269" s="84"/>
      <c r="L269" s="47"/>
      <c r="M269" s="47"/>
      <c r="N269" s="47"/>
      <c r="O269" s="47"/>
      <c r="P269" s="47"/>
      <c r="Q269" s="47"/>
      <c r="R269" s="47">
        <f t="shared" si="4"/>
        <v>-0.48566586896777153</v>
      </c>
    </row>
    <row r="270" spans="1:18" x14ac:dyDescent="0.35">
      <c r="A270" s="76">
        <v>266</v>
      </c>
      <c r="B270" s="77" t="s">
        <v>617</v>
      </c>
      <c r="C270" s="9" t="s">
        <v>1758</v>
      </c>
      <c r="D270" s="76" t="s">
        <v>25</v>
      </c>
      <c r="E270" s="79">
        <v>2412305.8097722665</v>
      </c>
      <c r="F270" s="47"/>
      <c r="G270" s="47"/>
      <c r="H270" s="47"/>
      <c r="I270" s="47"/>
      <c r="J270" s="47"/>
      <c r="K270" s="84"/>
      <c r="L270" s="47">
        <v>-448627.7439950913</v>
      </c>
      <c r="M270" s="47"/>
      <c r="N270" s="47"/>
      <c r="O270" s="47"/>
      <c r="P270" s="47"/>
      <c r="Q270" s="47"/>
      <c r="R270" s="47">
        <f t="shared" si="4"/>
        <v>1963678.0657771751</v>
      </c>
    </row>
    <row r="271" spans="1:18" x14ac:dyDescent="0.35">
      <c r="A271" s="76">
        <v>267</v>
      </c>
      <c r="B271" s="77" t="s">
        <v>619</v>
      </c>
      <c r="C271" s="9" t="s">
        <v>620</v>
      </c>
      <c r="D271" s="76" t="s">
        <v>65</v>
      </c>
      <c r="E271" s="79">
        <v>472798.51769596152</v>
      </c>
      <c r="F271" s="47"/>
      <c r="G271" s="47"/>
      <c r="H271" s="47"/>
      <c r="I271" s="47"/>
      <c r="J271" s="47"/>
      <c r="K271" s="84"/>
      <c r="L271" s="47"/>
      <c r="M271" s="47"/>
      <c r="N271" s="47"/>
      <c r="O271" s="47"/>
      <c r="P271" s="47"/>
      <c r="Q271" s="47"/>
      <c r="R271" s="47">
        <f t="shared" si="4"/>
        <v>472798.51769596152</v>
      </c>
    </row>
    <row r="272" spans="1:18" x14ac:dyDescent="0.35">
      <c r="A272" s="76">
        <v>268</v>
      </c>
      <c r="B272" s="77" t="s">
        <v>621</v>
      </c>
      <c r="C272" s="9" t="s">
        <v>622</v>
      </c>
      <c r="D272" s="76" t="s">
        <v>166</v>
      </c>
      <c r="E272" s="79">
        <v>-599999.93490521424</v>
      </c>
      <c r="F272" s="47"/>
      <c r="G272" s="47"/>
      <c r="H272" s="47"/>
      <c r="I272" s="47"/>
      <c r="J272" s="47"/>
      <c r="K272" s="84"/>
      <c r="L272" s="47"/>
      <c r="M272" s="47"/>
      <c r="N272" s="47"/>
      <c r="O272" s="47"/>
      <c r="P272" s="47"/>
      <c r="Q272" s="47"/>
      <c r="R272" s="47">
        <f t="shared" si="4"/>
        <v>-599999.93490521424</v>
      </c>
    </row>
    <row r="273" spans="1:18" x14ac:dyDescent="0.35">
      <c r="A273" s="76">
        <v>269</v>
      </c>
      <c r="B273" s="77" t="s">
        <v>623</v>
      </c>
      <c r="C273" s="9" t="s">
        <v>624</v>
      </c>
      <c r="D273" s="76" t="s">
        <v>136</v>
      </c>
      <c r="E273" s="79">
        <v>2353773.8933159802</v>
      </c>
      <c r="F273" s="47"/>
      <c r="G273" s="47"/>
      <c r="H273" s="47"/>
      <c r="I273" s="47"/>
      <c r="J273" s="47"/>
      <c r="K273" s="84"/>
      <c r="L273" s="47">
        <v>-368572.74609233835</v>
      </c>
      <c r="M273" s="47"/>
      <c r="N273" s="47"/>
      <c r="O273" s="47"/>
      <c r="P273" s="47"/>
      <c r="Q273" s="47"/>
      <c r="R273" s="47">
        <f t="shared" si="4"/>
        <v>1985201.1472236419</v>
      </c>
    </row>
    <row r="274" spans="1:18" x14ac:dyDescent="0.35">
      <c r="A274" s="76">
        <v>270</v>
      </c>
      <c r="B274" s="77" t="s">
        <v>625</v>
      </c>
      <c r="C274" s="9" t="s">
        <v>626</v>
      </c>
      <c r="D274" s="76" t="s">
        <v>429</v>
      </c>
      <c r="E274" s="79">
        <v>10257.509960345924</v>
      </c>
      <c r="F274" s="47"/>
      <c r="G274" s="47"/>
      <c r="H274" s="47"/>
      <c r="I274" s="47"/>
      <c r="J274" s="47"/>
      <c r="K274" s="84"/>
      <c r="L274" s="47"/>
      <c r="M274" s="47"/>
      <c r="N274" s="47"/>
      <c r="O274" s="47"/>
      <c r="P274" s="47"/>
      <c r="Q274" s="47"/>
      <c r="R274" s="47">
        <f t="shared" si="4"/>
        <v>10257.509960345924</v>
      </c>
    </row>
    <row r="275" spans="1:18" x14ac:dyDescent="0.35">
      <c r="A275" s="76">
        <v>271</v>
      </c>
      <c r="B275" s="77" t="s">
        <v>627</v>
      </c>
      <c r="C275" s="90" t="s">
        <v>2030</v>
      </c>
      <c r="D275" s="76" t="s">
        <v>119</v>
      </c>
      <c r="E275" s="79">
        <v>5852647.897788181</v>
      </c>
      <c r="F275" s="47"/>
      <c r="G275" s="47"/>
      <c r="H275" s="47"/>
      <c r="I275" s="47"/>
      <c r="J275" s="47"/>
      <c r="K275" s="84"/>
      <c r="L275" s="47">
        <v>-611697.81826255063</v>
      </c>
      <c r="M275" s="47"/>
      <c r="N275" s="47"/>
      <c r="O275" s="47"/>
      <c r="P275" s="47"/>
      <c r="Q275" s="47"/>
      <c r="R275" s="47">
        <f t="shared" si="4"/>
        <v>5240950.07952563</v>
      </c>
    </row>
    <row r="276" spans="1:18" x14ac:dyDescent="0.35">
      <c r="A276" s="76">
        <v>272</v>
      </c>
      <c r="B276" s="77" t="s">
        <v>629</v>
      </c>
      <c r="C276" s="90" t="s">
        <v>2031</v>
      </c>
      <c r="D276" s="76" t="s">
        <v>238</v>
      </c>
      <c r="E276" s="79">
        <v>746055.98232935974</v>
      </c>
      <c r="F276" s="47"/>
      <c r="G276" s="47"/>
      <c r="H276" s="47"/>
      <c r="I276" s="47"/>
      <c r="J276" s="47"/>
      <c r="K276" s="84"/>
      <c r="L276" s="47"/>
      <c r="M276" s="47"/>
      <c r="N276" s="47"/>
      <c r="O276" s="47"/>
      <c r="P276" s="47"/>
      <c r="Q276" s="47"/>
      <c r="R276" s="47">
        <f t="shared" si="4"/>
        <v>746055.98232935974</v>
      </c>
    </row>
    <row r="277" spans="1:18" x14ac:dyDescent="0.35">
      <c r="A277" s="76">
        <v>273</v>
      </c>
      <c r="B277" s="77" t="s">
        <v>631</v>
      </c>
      <c r="C277" s="9" t="s">
        <v>632</v>
      </c>
      <c r="D277" s="76" t="s">
        <v>65</v>
      </c>
      <c r="E277" s="79">
        <v>0.48286052979528904</v>
      </c>
      <c r="F277" s="47"/>
      <c r="G277" s="47"/>
      <c r="H277" s="47"/>
      <c r="I277" s="47"/>
      <c r="J277" s="47"/>
      <c r="K277" s="84"/>
      <c r="L277" s="47"/>
      <c r="M277" s="47"/>
      <c r="N277" s="47"/>
      <c r="O277" s="47"/>
      <c r="P277" s="47"/>
      <c r="Q277" s="47"/>
      <c r="R277" s="47">
        <f t="shared" si="4"/>
        <v>0.48286052979528904</v>
      </c>
    </row>
    <row r="278" spans="1:18" x14ac:dyDescent="0.35">
      <c r="A278" s="76">
        <v>274</v>
      </c>
      <c r="B278" s="77" t="s">
        <v>633</v>
      </c>
      <c r="C278" s="9" t="s">
        <v>634</v>
      </c>
      <c r="D278" s="76" t="s">
        <v>119</v>
      </c>
      <c r="E278" s="79">
        <v>-0.11918564978986979</v>
      </c>
      <c r="F278" s="47"/>
      <c r="G278" s="47"/>
      <c r="H278" s="47"/>
      <c r="I278" s="47"/>
      <c r="J278" s="47"/>
      <c r="K278" s="84"/>
      <c r="L278" s="47"/>
      <c r="M278" s="47"/>
      <c r="N278" s="47"/>
      <c r="O278" s="47"/>
      <c r="P278" s="47"/>
      <c r="Q278" s="47"/>
      <c r="R278" s="47">
        <f t="shared" si="4"/>
        <v>-0.11918564978986979</v>
      </c>
    </row>
    <row r="279" spans="1:18" x14ac:dyDescent="0.35">
      <c r="A279" s="76">
        <v>275</v>
      </c>
      <c r="B279" s="77" t="s">
        <v>635</v>
      </c>
      <c r="C279" s="9" t="s">
        <v>636</v>
      </c>
      <c r="D279" s="76" t="s">
        <v>136</v>
      </c>
      <c r="E279" s="79">
        <v>121012.31125485525</v>
      </c>
      <c r="F279" s="47"/>
      <c r="G279" s="47"/>
      <c r="H279" s="47"/>
      <c r="I279" s="47"/>
      <c r="J279" s="47"/>
      <c r="K279" s="84"/>
      <c r="L279" s="47"/>
      <c r="M279" s="47"/>
      <c r="N279" s="47"/>
      <c r="O279" s="47"/>
      <c r="P279" s="47"/>
      <c r="Q279" s="47"/>
      <c r="R279" s="47">
        <f t="shared" si="4"/>
        <v>121012.31125485525</v>
      </c>
    </row>
    <row r="280" spans="1:18" x14ac:dyDescent="0.35">
      <c r="A280" s="76">
        <v>276</v>
      </c>
      <c r="B280" s="77" t="s">
        <v>637</v>
      </c>
      <c r="C280" s="9" t="s">
        <v>638</v>
      </c>
      <c r="D280" s="76" t="s">
        <v>49</v>
      </c>
      <c r="E280" s="79">
        <v>143401.1356755679</v>
      </c>
      <c r="F280" s="47"/>
      <c r="G280" s="47"/>
      <c r="H280" s="47"/>
      <c r="I280" s="47"/>
      <c r="J280" s="47"/>
      <c r="K280" s="84"/>
      <c r="L280" s="47"/>
      <c r="M280" s="47"/>
      <c r="N280" s="47"/>
      <c r="O280" s="47"/>
      <c r="P280" s="47"/>
      <c r="Q280" s="47"/>
      <c r="R280" s="47">
        <f t="shared" si="4"/>
        <v>143401.1356755679</v>
      </c>
    </row>
    <row r="281" spans="1:18" x14ac:dyDescent="0.35">
      <c r="A281" s="76">
        <v>277</v>
      </c>
      <c r="B281" s="77" t="s">
        <v>639</v>
      </c>
      <c r="C281" s="9" t="s">
        <v>2032</v>
      </c>
      <c r="D281" s="76" t="s">
        <v>25</v>
      </c>
      <c r="E281" s="79">
        <v>3137721.5997355329</v>
      </c>
      <c r="F281" s="47"/>
      <c r="G281" s="47"/>
      <c r="H281" s="47"/>
      <c r="I281" s="47"/>
      <c r="J281" s="47"/>
      <c r="K281" s="84"/>
      <c r="L281" s="47"/>
      <c r="M281" s="47"/>
      <c r="N281" s="47"/>
      <c r="O281" s="47"/>
      <c r="P281" s="47"/>
      <c r="Q281" s="47"/>
      <c r="R281" s="47">
        <f t="shared" si="4"/>
        <v>3137721.5997355329</v>
      </c>
    </row>
    <row r="282" spans="1:18" x14ac:dyDescent="0.35">
      <c r="A282" s="76">
        <v>278</v>
      </c>
      <c r="B282" s="77" t="s">
        <v>641</v>
      </c>
      <c r="C282" s="9" t="s">
        <v>2260</v>
      </c>
      <c r="D282" s="76" t="s">
        <v>19</v>
      </c>
      <c r="E282" s="79">
        <v>0.3426983505487442</v>
      </c>
      <c r="F282" s="47"/>
      <c r="G282" s="47"/>
      <c r="H282" s="47"/>
      <c r="I282" s="47"/>
      <c r="J282" s="47"/>
      <c r="K282" s="84"/>
      <c r="L282" s="47"/>
      <c r="M282" s="47"/>
      <c r="N282" s="47"/>
      <c r="O282" s="47"/>
      <c r="P282" s="47"/>
      <c r="Q282" s="47"/>
      <c r="R282" s="47">
        <f t="shared" si="4"/>
        <v>0.3426983505487442</v>
      </c>
    </row>
    <row r="283" spans="1:18" x14ac:dyDescent="0.35">
      <c r="A283" s="76">
        <v>279</v>
      </c>
      <c r="B283" s="77" t="s">
        <v>643</v>
      </c>
      <c r="C283" s="9" t="s">
        <v>1759</v>
      </c>
      <c r="D283" s="76" t="s">
        <v>318</v>
      </c>
      <c r="E283" s="79">
        <v>14346179.20098453</v>
      </c>
      <c r="F283" s="47"/>
      <c r="G283" s="47"/>
      <c r="H283" s="47"/>
      <c r="I283" s="47"/>
      <c r="J283" s="47"/>
      <c r="K283" s="84"/>
      <c r="L283" s="47"/>
      <c r="M283" s="47"/>
      <c r="N283" s="47"/>
      <c r="O283" s="47"/>
      <c r="P283" s="47"/>
      <c r="Q283" s="47"/>
      <c r="R283" s="47">
        <f t="shared" si="4"/>
        <v>14346179.20098453</v>
      </c>
    </row>
    <row r="284" spans="1:18" x14ac:dyDescent="0.35">
      <c r="A284" s="76">
        <v>280</v>
      </c>
      <c r="B284" s="77" t="s">
        <v>645</v>
      </c>
      <c r="C284" s="9" t="s">
        <v>1724</v>
      </c>
      <c r="D284" s="76" t="s">
        <v>300</v>
      </c>
      <c r="E284" s="79">
        <v>489102.90569574898</v>
      </c>
      <c r="F284" s="47"/>
      <c r="G284" s="47"/>
      <c r="H284" s="47"/>
      <c r="I284" s="47"/>
      <c r="J284" s="47"/>
      <c r="K284" s="84"/>
      <c r="L284" s="47"/>
      <c r="M284" s="47"/>
      <c r="N284" s="47"/>
      <c r="O284" s="47"/>
      <c r="P284" s="47"/>
      <c r="Q284" s="47"/>
      <c r="R284" s="47">
        <f t="shared" si="4"/>
        <v>489102.90569574898</v>
      </c>
    </row>
    <row r="285" spans="1:18" x14ac:dyDescent="0.35">
      <c r="A285" s="76">
        <v>281</v>
      </c>
      <c r="B285" s="77" t="s">
        <v>647</v>
      </c>
      <c r="C285" s="9" t="s">
        <v>1850</v>
      </c>
      <c r="D285" s="76" t="s">
        <v>649</v>
      </c>
      <c r="E285" s="79">
        <v>-0.90938890539109707</v>
      </c>
      <c r="F285" s="47"/>
      <c r="G285" s="47"/>
      <c r="H285" s="47"/>
      <c r="I285" s="47"/>
      <c r="J285" s="47"/>
      <c r="K285" s="84"/>
      <c r="L285" s="47"/>
      <c r="M285" s="47"/>
      <c r="N285" s="47"/>
      <c r="O285" s="47"/>
      <c r="P285" s="47"/>
      <c r="Q285" s="47"/>
      <c r="R285" s="47">
        <f t="shared" si="4"/>
        <v>-0.90938890539109707</v>
      </c>
    </row>
    <row r="286" spans="1:18" x14ac:dyDescent="0.35">
      <c r="A286" s="76">
        <v>282</v>
      </c>
      <c r="B286" s="77" t="s">
        <v>650</v>
      </c>
      <c r="C286" s="9" t="s">
        <v>651</v>
      </c>
      <c r="D286" s="76" t="s">
        <v>72</v>
      </c>
      <c r="E286" s="79">
        <v>2602680.4913221458</v>
      </c>
      <c r="F286" s="47"/>
      <c r="G286" s="47"/>
      <c r="H286" s="47"/>
      <c r="I286" s="47"/>
      <c r="J286" s="47"/>
      <c r="K286" s="84"/>
      <c r="L286" s="47">
        <v>-378392.50537466351</v>
      </c>
      <c r="M286" s="47"/>
      <c r="N286" s="47"/>
      <c r="O286" s="47"/>
      <c r="P286" s="47"/>
      <c r="Q286" s="47"/>
      <c r="R286" s="47">
        <f t="shared" ref="R286:R349" si="5">E286+F286+G286+H286+I286+J286+K286+L286+M286+N286+O286+P286+Q286</f>
        <v>2224287.9859474823</v>
      </c>
    </row>
    <row r="287" spans="1:18" x14ac:dyDescent="0.35">
      <c r="A287" s="76">
        <v>283</v>
      </c>
      <c r="B287" s="77" t="s">
        <v>652</v>
      </c>
      <c r="C287" s="9" t="s">
        <v>653</v>
      </c>
      <c r="D287" s="76" t="s">
        <v>72</v>
      </c>
      <c r="E287" s="79">
        <v>1527669.47433627</v>
      </c>
      <c r="F287" s="47"/>
      <c r="G287" s="47"/>
      <c r="H287" s="47">
        <v>-1527669</v>
      </c>
      <c r="I287" s="47"/>
      <c r="J287" s="47"/>
      <c r="K287" s="84"/>
      <c r="L287" s="47"/>
      <c r="M287" s="47"/>
      <c r="N287" s="47"/>
      <c r="O287" s="47"/>
      <c r="P287" s="47"/>
      <c r="Q287" s="47"/>
      <c r="R287" s="47">
        <f t="shared" si="5"/>
        <v>0.47433627001009881</v>
      </c>
    </row>
    <row r="288" spans="1:18" x14ac:dyDescent="0.35">
      <c r="A288" s="76">
        <v>284</v>
      </c>
      <c r="B288" s="77" t="s">
        <v>654</v>
      </c>
      <c r="C288" s="9" t="s">
        <v>655</v>
      </c>
      <c r="D288" s="76" t="s">
        <v>14</v>
      </c>
      <c r="E288" s="79">
        <v>1006873.5788341522</v>
      </c>
      <c r="F288" s="47"/>
      <c r="G288" s="47"/>
      <c r="H288" s="47"/>
      <c r="I288" s="47"/>
      <c r="J288" s="47"/>
      <c r="K288" s="84"/>
      <c r="L288" s="47"/>
      <c r="M288" s="47">
        <v>-1516374</v>
      </c>
      <c r="N288" s="47"/>
      <c r="O288" s="47"/>
      <c r="P288" s="47"/>
      <c r="Q288" s="47"/>
      <c r="R288" s="47">
        <f t="shared" si="5"/>
        <v>-509500.4211658478</v>
      </c>
    </row>
    <row r="289" spans="1:18" x14ac:dyDescent="0.35">
      <c r="A289" s="76">
        <v>285</v>
      </c>
      <c r="B289" s="77" t="s">
        <v>656</v>
      </c>
      <c r="C289" s="9" t="s">
        <v>2034</v>
      </c>
      <c r="D289" s="76" t="s">
        <v>25</v>
      </c>
      <c r="E289" s="79">
        <v>2192346.4278181945</v>
      </c>
      <c r="F289" s="47"/>
      <c r="G289" s="47"/>
      <c r="H289" s="47"/>
      <c r="I289" s="47"/>
      <c r="J289" s="47"/>
      <c r="K289" s="84"/>
      <c r="L289" s="47">
        <v>-510654.30578641302</v>
      </c>
      <c r="M289" s="47"/>
      <c r="N289" s="47"/>
      <c r="O289" s="47"/>
      <c r="P289" s="47"/>
      <c r="Q289" s="47"/>
      <c r="R289" s="47">
        <f t="shared" si="5"/>
        <v>1681692.1220317814</v>
      </c>
    </row>
    <row r="290" spans="1:18" x14ac:dyDescent="0.35">
      <c r="A290" s="76">
        <v>286</v>
      </c>
      <c r="B290" s="77" t="s">
        <v>658</v>
      </c>
      <c r="C290" s="9" t="s">
        <v>659</v>
      </c>
      <c r="D290" s="76" t="s">
        <v>136</v>
      </c>
      <c r="E290" s="79">
        <v>20710</v>
      </c>
      <c r="F290" s="47"/>
      <c r="G290" s="47"/>
      <c r="H290" s="47"/>
      <c r="I290" s="47"/>
      <c r="J290" s="47"/>
      <c r="K290" s="84"/>
      <c r="L290" s="47"/>
      <c r="M290" s="47"/>
      <c r="N290" s="47"/>
      <c r="O290" s="47"/>
      <c r="P290" s="47"/>
      <c r="Q290" s="47"/>
      <c r="R290" s="47">
        <f t="shared" si="5"/>
        <v>20710</v>
      </c>
    </row>
    <row r="291" spans="1:18" x14ac:dyDescent="0.35">
      <c r="A291" s="76">
        <v>287</v>
      </c>
      <c r="B291" s="77" t="s">
        <v>660</v>
      </c>
      <c r="C291" s="9" t="s">
        <v>2035</v>
      </c>
      <c r="D291" s="76" t="s">
        <v>25</v>
      </c>
      <c r="E291" s="79">
        <v>20651531.806228638</v>
      </c>
      <c r="F291" s="47"/>
      <c r="G291" s="47"/>
      <c r="H291" s="47"/>
      <c r="I291" s="47"/>
      <c r="J291" s="47"/>
      <c r="K291" s="84"/>
      <c r="L291" s="47"/>
      <c r="M291" s="47"/>
      <c r="N291" s="47"/>
      <c r="O291" s="47"/>
      <c r="P291" s="47"/>
      <c r="Q291" s="47"/>
      <c r="R291" s="47">
        <f t="shared" si="5"/>
        <v>20651531.806228638</v>
      </c>
    </row>
    <row r="292" spans="1:18" x14ac:dyDescent="0.35">
      <c r="A292" s="76">
        <v>288</v>
      </c>
      <c r="B292" s="77" t="s">
        <v>662</v>
      </c>
      <c r="C292" s="9" t="s">
        <v>663</v>
      </c>
      <c r="D292" s="76" t="s">
        <v>14</v>
      </c>
      <c r="E292" s="79">
        <v>756243.6931713894</v>
      </c>
      <c r="F292" s="47"/>
      <c r="G292" s="47"/>
      <c r="H292" s="47"/>
      <c r="I292" s="47"/>
      <c r="J292" s="47"/>
      <c r="K292" s="84"/>
      <c r="L292" s="47"/>
      <c r="M292" s="47"/>
      <c r="N292" s="47"/>
      <c r="O292" s="47"/>
      <c r="P292" s="47"/>
      <c r="Q292" s="47"/>
      <c r="R292" s="47">
        <f t="shared" si="5"/>
        <v>756243.6931713894</v>
      </c>
    </row>
    <row r="293" spans="1:18" x14ac:dyDescent="0.35">
      <c r="A293" s="76">
        <v>289</v>
      </c>
      <c r="B293" s="77" t="s">
        <v>664</v>
      </c>
      <c r="C293" s="9" t="s">
        <v>1784</v>
      </c>
      <c r="D293" s="76" t="s">
        <v>95</v>
      </c>
      <c r="E293" s="79">
        <v>3002667.3174152728</v>
      </c>
      <c r="F293" s="47"/>
      <c r="G293" s="47"/>
      <c r="H293" s="47"/>
      <c r="I293" s="47"/>
      <c r="J293" s="47"/>
      <c r="K293" s="84"/>
      <c r="L293" s="47">
        <v>-3398202</v>
      </c>
      <c r="M293" s="47"/>
      <c r="N293" s="47"/>
      <c r="O293" s="47"/>
      <c r="P293" s="47"/>
      <c r="Q293" s="47"/>
      <c r="R293" s="47">
        <f t="shared" si="5"/>
        <v>-395534.68258472718</v>
      </c>
    </row>
    <row r="294" spans="1:18" x14ac:dyDescent="0.35">
      <c r="A294" s="76">
        <v>290</v>
      </c>
      <c r="B294" s="77" t="s">
        <v>666</v>
      </c>
      <c r="C294" s="9" t="s">
        <v>1725</v>
      </c>
      <c r="D294" s="76" t="s">
        <v>374</v>
      </c>
      <c r="E294" s="79">
        <v>3414681.1692260643</v>
      </c>
      <c r="F294" s="47"/>
      <c r="G294" s="47"/>
      <c r="H294" s="47"/>
      <c r="I294" s="47"/>
      <c r="J294" s="47"/>
      <c r="K294" s="84"/>
      <c r="L294" s="47"/>
      <c r="M294" s="47"/>
      <c r="N294" s="47"/>
      <c r="O294" s="47"/>
      <c r="P294" s="47"/>
      <c r="Q294" s="47"/>
      <c r="R294" s="47">
        <f t="shared" si="5"/>
        <v>3414681.1692260643</v>
      </c>
    </row>
    <row r="295" spans="1:18" x14ac:dyDescent="0.35">
      <c r="A295" s="76">
        <v>291</v>
      </c>
      <c r="B295" s="77" t="s">
        <v>668</v>
      </c>
      <c r="C295" s="9" t="s">
        <v>1840</v>
      </c>
      <c r="D295" s="76" t="s">
        <v>144</v>
      </c>
      <c r="E295" s="79">
        <v>4128513.4315498308</v>
      </c>
      <c r="F295" s="47"/>
      <c r="G295" s="47"/>
      <c r="H295" s="47"/>
      <c r="I295" s="47"/>
      <c r="J295" s="47"/>
      <c r="K295" s="84"/>
      <c r="L295" s="47">
        <v>-4856761</v>
      </c>
      <c r="M295" s="47"/>
      <c r="N295" s="47"/>
      <c r="O295" s="47"/>
      <c r="P295" s="47"/>
      <c r="Q295" s="47"/>
      <c r="R295" s="47">
        <f t="shared" si="5"/>
        <v>-728247.56845016917</v>
      </c>
    </row>
    <row r="296" spans="1:18" x14ac:dyDescent="0.35">
      <c r="A296" s="76">
        <v>292</v>
      </c>
      <c r="B296" s="77" t="s">
        <v>670</v>
      </c>
      <c r="C296" s="9" t="s">
        <v>671</v>
      </c>
      <c r="D296" s="76" t="s">
        <v>253</v>
      </c>
      <c r="E296" s="79">
        <v>4102.9262832216918</v>
      </c>
      <c r="F296" s="47"/>
      <c r="G296" s="47"/>
      <c r="H296" s="47"/>
      <c r="I296" s="47"/>
      <c r="J296" s="47"/>
      <c r="K296" s="84"/>
      <c r="L296" s="47"/>
      <c r="M296" s="47"/>
      <c r="N296" s="47"/>
      <c r="O296" s="47"/>
      <c r="P296" s="47"/>
      <c r="Q296" s="47"/>
      <c r="R296" s="47">
        <f t="shared" si="5"/>
        <v>4102.9262832216918</v>
      </c>
    </row>
    <row r="297" spans="1:18" x14ac:dyDescent="0.35">
      <c r="A297" s="76">
        <v>293</v>
      </c>
      <c r="B297" s="77" t="s">
        <v>672</v>
      </c>
      <c r="C297" s="9" t="s">
        <v>673</v>
      </c>
      <c r="D297" s="76" t="s">
        <v>49</v>
      </c>
      <c r="E297" s="79">
        <v>526766.16635558452</v>
      </c>
      <c r="F297" s="47"/>
      <c r="G297" s="47"/>
      <c r="H297" s="47"/>
      <c r="I297" s="47"/>
      <c r="J297" s="47"/>
      <c r="K297" s="84"/>
      <c r="L297" s="47"/>
      <c r="M297" s="47"/>
      <c r="N297" s="47"/>
      <c r="O297" s="47"/>
      <c r="P297" s="47"/>
      <c r="Q297" s="47"/>
      <c r="R297" s="47">
        <f t="shared" si="5"/>
        <v>526766.16635558452</v>
      </c>
    </row>
    <row r="298" spans="1:18" x14ac:dyDescent="0.35">
      <c r="A298" s="76">
        <v>294</v>
      </c>
      <c r="B298" s="77" t="s">
        <v>674</v>
      </c>
      <c r="C298" s="9" t="s">
        <v>2261</v>
      </c>
      <c r="D298" s="76" t="s">
        <v>131</v>
      </c>
      <c r="E298" s="79">
        <v>-185128.4596754536</v>
      </c>
      <c r="F298" s="47"/>
      <c r="G298" s="47"/>
      <c r="H298" s="47"/>
      <c r="I298" s="47"/>
      <c r="J298" s="47"/>
      <c r="K298" s="84"/>
      <c r="L298" s="47"/>
      <c r="M298" s="47"/>
      <c r="N298" s="47"/>
      <c r="O298" s="47"/>
      <c r="P298" s="47"/>
      <c r="Q298" s="47"/>
      <c r="R298" s="47">
        <f t="shared" si="5"/>
        <v>-185128.4596754536</v>
      </c>
    </row>
    <row r="299" spans="1:18" x14ac:dyDescent="0.35">
      <c r="A299" s="76">
        <v>295</v>
      </c>
      <c r="B299" s="77" t="s">
        <v>676</v>
      </c>
      <c r="C299" s="9" t="s">
        <v>1645</v>
      </c>
      <c r="D299" s="76" t="s">
        <v>95</v>
      </c>
      <c r="E299" s="79">
        <v>10354</v>
      </c>
      <c r="F299" s="47"/>
      <c r="G299" s="47"/>
      <c r="H299" s="47"/>
      <c r="I299" s="47"/>
      <c r="J299" s="47"/>
      <c r="K299" s="84"/>
      <c r="L299" s="47"/>
      <c r="M299" s="47"/>
      <c r="N299" s="47"/>
      <c r="O299" s="47"/>
      <c r="P299" s="47"/>
      <c r="Q299" s="47"/>
      <c r="R299" s="47">
        <f t="shared" si="5"/>
        <v>10354</v>
      </c>
    </row>
    <row r="300" spans="1:18" x14ac:dyDescent="0.35">
      <c r="A300" s="76">
        <v>296</v>
      </c>
      <c r="B300" s="77" t="s">
        <v>678</v>
      </c>
      <c r="C300" s="9" t="s">
        <v>1901</v>
      </c>
      <c r="D300" s="76" t="s">
        <v>136</v>
      </c>
      <c r="E300" s="79">
        <v>1849297.113252949</v>
      </c>
      <c r="F300" s="47"/>
      <c r="G300" s="47"/>
      <c r="H300" s="47"/>
      <c r="I300" s="47"/>
      <c r="J300" s="47"/>
      <c r="K300" s="84"/>
      <c r="L300" s="47">
        <v>-373472.55450404109</v>
      </c>
      <c r="M300" s="47"/>
      <c r="N300" s="47"/>
      <c r="O300" s="47"/>
      <c r="P300" s="47"/>
      <c r="Q300" s="47"/>
      <c r="R300" s="47">
        <f t="shared" si="5"/>
        <v>1475824.5587489079</v>
      </c>
    </row>
    <row r="301" spans="1:18" x14ac:dyDescent="0.35">
      <c r="A301" s="76">
        <v>297</v>
      </c>
      <c r="B301" s="77" t="s">
        <v>680</v>
      </c>
      <c r="C301" s="9" t="s">
        <v>2262</v>
      </c>
      <c r="D301" s="76" t="s">
        <v>166</v>
      </c>
      <c r="E301" s="79">
        <v>7276039.1835132306</v>
      </c>
      <c r="F301" s="47"/>
      <c r="G301" s="47"/>
      <c r="H301" s="47"/>
      <c r="I301" s="47"/>
      <c r="J301" s="47"/>
      <c r="K301" s="84"/>
      <c r="L301" s="47"/>
      <c r="M301" s="47"/>
      <c r="N301" s="47"/>
      <c r="O301" s="47"/>
      <c r="P301" s="47"/>
      <c r="Q301" s="47"/>
      <c r="R301" s="47">
        <f t="shared" si="5"/>
        <v>7276039.1835132306</v>
      </c>
    </row>
    <row r="302" spans="1:18" x14ac:dyDescent="0.35">
      <c r="A302" s="76">
        <v>298</v>
      </c>
      <c r="B302" s="77" t="s">
        <v>682</v>
      </c>
      <c r="C302" s="9" t="s">
        <v>2230</v>
      </c>
      <c r="D302" s="76" t="s">
        <v>524</v>
      </c>
      <c r="E302" s="79">
        <v>10443.984527468681</v>
      </c>
      <c r="F302" s="47"/>
      <c r="G302" s="47"/>
      <c r="H302" s="47"/>
      <c r="I302" s="47"/>
      <c r="J302" s="47"/>
      <c r="K302" s="84"/>
      <c r="L302" s="47"/>
      <c r="M302" s="47"/>
      <c r="N302" s="47"/>
      <c r="O302" s="47"/>
      <c r="P302" s="47"/>
      <c r="Q302" s="47"/>
      <c r="R302" s="47">
        <f t="shared" si="5"/>
        <v>10443.984527468681</v>
      </c>
    </row>
    <row r="303" spans="1:18" x14ac:dyDescent="0.35">
      <c r="A303" s="76">
        <v>299</v>
      </c>
      <c r="B303" s="77" t="s">
        <v>684</v>
      </c>
      <c r="C303" s="9" t="s">
        <v>2036</v>
      </c>
      <c r="D303" s="76" t="s">
        <v>367</v>
      </c>
      <c r="E303" s="79">
        <v>8764071.1292624213</v>
      </c>
      <c r="F303" s="47"/>
      <c r="G303" s="47"/>
      <c r="H303" s="47"/>
      <c r="I303" s="47"/>
      <c r="J303" s="47"/>
      <c r="K303" s="84"/>
      <c r="L303" s="47"/>
      <c r="M303" s="47"/>
      <c r="N303" s="47"/>
      <c r="O303" s="47"/>
      <c r="P303" s="47"/>
      <c r="Q303" s="47"/>
      <c r="R303" s="47">
        <f t="shared" si="5"/>
        <v>8764071.1292624213</v>
      </c>
    </row>
    <row r="304" spans="1:18" x14ac:dyDescent="0.35">
      <c r="A304" s="76">
        <v>300</v>
      </c>
      <c r="B304" s="77" t="s">
        <v>686</v>
      </c>
      <c r="C304" s="9" t="s">
        <v>1727</v>
      </c>
      <c r="D304" s="76" t="s">
        <v>141</v>
      </c>
      <c r="E304" s="79">
        <v>3988.813247019425</v>
      </c>
      <c r="F304" s="47"/>
      <c r="G304" s="47"/>
      <c r="H304" s="47"/>
      <c r="I304" s="47"/>
      <c r="J304" s="47"/>
      <c r="K304" s="84"/>
      <c r="L304" s="47"/>
      <c r="M304" s="47"/>
      <c r="N304" s="47"/>
      <c r="O304" s="47"/>
      <c r="P304" s="47"/>
      <c r="Q304" s="47"/>
      <c r="R304" s="47">
        <f t="shared" si="5"/>
        <v>3988.813247019425</v>
      </c>
    </row>
    <row r="305" spans="1:18" x14ac:dyDescent="0.35">
      <c r="A305" s="76">
        <v>301</v>
      </c>
      <c r="B305" s="77" t="s">
        <v>688</v>
      </c>
      <c r="C305" s="9" t="s">
        <v>689</v>
      </c>
      <c r="D305" s="76" t="s">
        <v>169</v>
      </c>
      <c r="E305" s="79">
        <v>37483</v>
      </c>
      <c r="F305" s="47"/>
      <c r="G305" s="47"/>
      <c r="H305" s="47"/>
      <c r="I305" s="47"/>
      <c r="J305" s="47"/>
      <c r="K305" s="84"/>
      <c r="L305" s="47"/>
      <c r="M305" s="47"/>
      <c r="N305" s="47"/>
      <c r="O305" s="47"/>
      <c r="P305" s="47"/>
      <c r="Q305" s="47"/>
      <c r="R305" s="47">
        <f t="shared" si="5"/>
        <v>37483</v>
      </c>
    </row>
    <row r="306" spans="1:18" x14ac:dyDescent="0.35">
      <c r="A306" s="76">
        <v>302</v>
      </c>
      <c r="B306" s="77" t="s">
        <v>690</v>
      </c>
      <c r="C306" s="9" t="s">
        <v>691</v>
      </c>
      <c r="D306" s="76" t="s">
        <v>52</v>
      </c>
      <c r="E306" s="79">
        <v>4103</v>
      </c>
      <c r="F306" s="47"/>
      <c r="G306" s="47"/>
      <c r="H306" s="47"/>
      <c r="I306" s="47"/>
      <c r="J306" s="47"/>
      <c r="K306" s="84"/>
      <c r="L306" s="47"/>
      <c r="M306" s="47"/>
      <c r="N306" s="47"/>
      <c r="O306" s="47"/>
      <c r="P306" s="47"/>
      <c r="Q306" s="47"/>
      <c r="R306" s="47">
        <f t="shared" si="5"/>
        <v>4103</v>
      </c>
    </row>
    <row r="307" spans="1:18" x14ac:dyDescent="0.35">
      <c r="A307" s="76">
        <v>303</v>
      </c>
      <c r="B307" s="77" t="s">
        <v>692</v>
      </c>
      <c r="C307" s="9" t="s">
        <v>693</v>
      </c>
      <c r="D307" s="76" t="s">
        <v>22</v>
      </c>
      <c r="E307" s="79">
        <v>2755095.7853850303</v>
      </c>
      <c r="F307" s="47"/>
      <c r="G307" s="47"/>
      <c r="H307" s="47"/>
      <c r="I307" s="47"/>
      <c r="J307" s="47"/>
      <c r="K307" s="84"/>
      <c r="L307" s="47">
        <v>-382497.05493978295</v>
      </c>
      <c r="M307" s="47"/>
      <c r="N307" s="47"/>
      <c r="O307" s="47"/>
      <c r="P307" s="47"/>
      <c r="Q307" s="47"/>
      <c r="R307" s="47">
        <f t="shared" si="5"/>
        <v>2372598.7304452471</v>
      </c>
    </row>
    <row r="308" spans="1:18" x14ac:dyDescent="0.35">
      <c r="A308" s="76">
        <v>304</v>
      </c>
      <c r="B308" s="77" t="s">
        <v>694</v>
      </c>
      <c r="C308" s="9" t="s">
        <v>2038</v>
      </c>
      <c r="D308" s="76" t="s">
        <v>72</v>
      </c>
      <c r="E308" s="79">
        <v>3099397.2864425262</v>
      </c>
      <c r="F308" s="47"/>
      <c r="G308" s="47"/>
      <c r="H308" s="47"/>
      <c r="I308" s="47"/>
      <c r="J308" s="47"/>
      <c r="K308" s="84"/>
      <c r="L308" s="47"/>
      <c r="M308" s="47"/>
      <c r="N308" s="47"/>
      <c r="O308" s="47"/>
      <c r="P308" s="47"/>
      <c r="Q308" s="47"/>
      <c r="R308" s="47">
        <f t="shared" si="5"/>
        <v>3099397.2864425262</v>
      </c>
    </row>
    <row r="309" spans="1:18" x14ac:dyDescent="0.35">
      <c r="A309" s="76">
        <v>305</v>
      </c>
      <c r="B309" s="77" t="s">
        <v>696</v>
      </c>
      <c r="C309" s="9" t="s">
        <v>1728</v>
      </c>
      <c r="D309" s="76" t="s">
        <v>698</v>
      </c>
      <c r="E309" s="79">
        <v>556645.51189318486</v>
      </c>
      <c r="F309" s="47"/>
      <c r="G309" s="47"/>
      <c r="H309" s="47"/>
      <c r="I309" s="47"/>
      <c r="J309" s="47"/>
      <c r="K309" s="84"/>
      <c r="L309" s="47"/>
      <c r="M309" s="47"/>
      <c r="N309" s="47"/>
      <c r="O309" s="47"/>
      <c r="P309" s="47"/>
      <c r="Q309" s="47"/>
      <c r="R309" s="47">
        <f t="shared" si="5"/>
        <v>556645.51189318486</v>
      </c>
    </row>
    <row r="310" spans="1:18" x14ac:dyDescent="0.35">
      <c r="A310" s="76">
        <v>306</v>
      </c>
      <c r="B310" s="77" t="s">
        <v>699</v>
      </c>
      <c r="C310" s="9" t="s">
        <v>2039</v>
      </c>
      <c r="D310" s="76" t="s">
        <v>60</v>
      </c>
      <c r="E310" s="79">
        <v>5491723.4796980191</v>
      </c>
      <c r="F310" s="47"/>
      <c r="G310" s="47"/>
      <c r="H310" s="47"/>
      <c r="I310" s="47"/>
      <c r="J310" s="47"/>
      <c r="K310" s="84"/>
      <c r="L310" s="47"/>
      <c r="M310" s="47"/>
      <c r="N310" s="47"/>
      <c r="O310" s="47"/>
      <c r="P310" s="47"/>
      <c r="Q310" s="47"/>
      <c r="R310" s="47">
        <f t="shared" si="5"/>
        <v>5491723.4796980191</v>
      </c>
    </row>
    <row r="311" spans="1:18" x14ac:dyDescent="0.35">
      <c r="A311" s="76">
        <v>307</v>
      </c>
      <c r="B311" s="77" t="s">
        <v>701</v>
      </c>
      <c r="C311" s="9" t="s">
        <v>1729</v>
      </c>
      <c r="D311" s="76" t="s">
        <v>41</v>
      </c>
      <c r="E311" s="79">
        <v>4707</v>
      </c>
      <c r="F311" s="47"/>
      <c r="G311" s="47"/>
      <c r="H311" s="47"/>
      <c r="I311" s="47"/>
      <c r="J311" s="47"/>
      <c r="K311" s="84"/>
      <c r="L311" s="47"/>
      <c r="M311" s="47"/>
      <c r="N311" s="47"/>
      <c r="O311" s="47"/>
      <c r="P311" s="47"/>
      <c r="Q311" s="47"/>
      <c r="R311" s="47">
        <f t="shared" si="5"/>
        <v>4707</v>
      </c>
    </row>
    <row r="312" spans="1:18" x14ac:dyDescent="0.35">
      <c r="A312" s="76">
        <v>308</v>
      </c>
      <c r="B312" s="77" t="s">
        <v>703</v>
      </c>
      <c r="C312" s="9" t="s">
        <v>1730</v>
      </c>
      <c r="D312" s="76" t="s">
        <v>41</v>
      </c>
      <c r="E312" s="79">
        <v>3241</v>
      </c>
      <c r="F312" s="47"/>
      <c r="G312" s="47"/>
      <c r="H312" s="47"/>
      <c r="I312" s="47"/>
      <c r="J312" s="47"/>
      <c r="K312" s="84"/>
      <c r="L312" s="47"/>
      <c r="M312" s="47"/>
      <c r="N312" s="47"/>
      <c r="O312" s="47"/>
      <c r="P312" s="47"/>
      <c r="Q312" s="47"/>
      <c r="R312" s="47">
        <f t="shared" si="5"/>
        <v>3241</v>
      </c>
    </row>
    <row r="313" spans="1:18" x14ac:dyDescent="0.35">
      <c r="A313" s="76">
        <v>309</v>
      </c>
      <c r="B313" s="77" t="s">
        <v>705</v>
      </c>
      <c r="C313" s="9" t="s">
        <v>1731</v>
      </c>
      <c r="D313" s="76" t="s">
        <v>131</v>
      </c>
      <c r="E313" s="79">
        <v>10258</v>
      </c>
      <c r="F313" s="47"/>
      <c r="G313" s="47"/>
      <c r="H313" s="47"/>
      <c r="I313" s="47"/>
      <c r="J313" s="47"/>
      <c r="K313" s="84"/>
      <c r="L313" s="47"/>
      <c r="M313" s="47"/>
      <c r="N313" s="47"/>
      <c r="O313" s="47"/>
      <c r="P313" s="47"/>
      <c r="Q313" s="47"/>
      <c r="R313" s="47">
        <f t="shared" si="5"/>
        <v>10258</v>
      </c>
    </row>
    <row r="314" spans="1:18" x14ac:dyDescent="0.35">
      <c r="A314" s="76">
        <v>310</v>
      </c>
      <c r="B314" s="77" t="s">
        <v>707</v>
      </c>
      <c r="C314" s="9" t="s">
        <v>2040</v>
      </c>
      <c r="D314" s="76" t="s">
        <v>98</v>
      </c>
      <c r="E314" s="79">
        <v>3467644.329626061</v>
      </c>
      <c r="F314" s="47"/>
      <c r="G314" s="47"/>
      <c r="H314" s="47"/>
      <c r="I314" s="47"/>
      <c r="J314" s="47"/>
      <c r="K314" s="84"/>
      <c r="L314" s="47"/>
      <c r="M314" s="47"/>
      <c r="N314" s="47"/>
      <c r="O314" s="47"/>
      <c r="P314" s="47"/>
      <c r="Q314" s="47"/>
      <c r="R314" s="47">
        <f t="shared" si="5"/>
        <v>3467644.329626061</v>
      </c>
    </row>
    <row r="315" spans="1:18" x14ac:dyDescent="0.35">
      <c r="A315" s="76">
        <v>311</v>
      </c>
      <c r="B315" s="77" t="s">
        <v>709</v>
      </c>
      <c r="C315" s="9" t="s">
        <v>2225</v>
      </c>
      <c r="D315" s="76" t="s">
        <v>49</v>
      </c>
      <c r="E315" s="79">
        <v>6155</v>
      </c>
      <c r="F315" s="47"/>
      <c r="G315" s="47"/>
      <c r="H315" s="47"/>
      <c r="I315" s="47"/>
      <c r="J315" s="47"/>
      <c r="K315" s="84"/>
      <c r="L315" s="47"/>
      <c r="M315" s="47"/>
      <c r="N315" s="47"/>
      <c r="O315" s="47"/>
      <c r="P315" s="47"/>
      <c r="Q315" s="47"/>
      <c r="R315" s="47">
        <f t="shared" si="5"/>
        <v>6155</v>
      </c>
    </row>
    <row r="316" spans="1:18" x14ac:dyDescent="0.35">
      <c r="A316" s="76">
        <v>312</v>
      </c>
      <c r="B316" s="77" t="s">
        <v>711</v>
      </c>
      <c r="C316" s="9" t="s">
        <v>1732</v>
      </c>
      <c r="D316" s="76" t="s">
        <v>52</v>
      </c>
      <c r="E316" s="79">
        <v>18689.946346541867</v>
      </c>
      <c r="F316" s="47"/>
      <c r="G316" s="47"/>
      <c r="H316" s="47"/>
      <c r="I316" s="47"/>
      <c r="J316" s="47"/>
      <c r="K316" s="84"/>
      <c r="L316" s="47"/>
      <c r="M316" s="47"/>
      <c r="N316" s="47"/>
      <c r="O316" s="47"/>
      <c r="P316" s="47"/>
      <c r="Q316" s="47"/>
      <c r="R316" s="47">
        <f t="shared" si="5"/>
        <v>18689.946346541867</v>
      </c>
    </row>
    <row r="317" spans="1:18" x14ac:dyDescent="0.35">
      <c r="A317" s="76">
        <v>313</v>
      </c>
      <c r="B317" s="77" t="s">
        <v>713</v>
      </c>
      <c r="C317" s="9" t="s">
        <v>1767</v>
      </c>
      <c r="D317" s="76" t="s">
        <v>60</v>
      </c>
      <c r="E317" s="79">
        <v>12385541.12561968</v>
      </c>
      <c r="F317" s="47"/>
      <c r="G317" s="47"/>
      <c r="H317" s="47"/>
      <c r="I317" s="47"/>
      <c r="J317" s="47"/>
      <c r="K317" s="84"/>
      <c r="L317" s="47">
        <v>-945110.99910160573</v>
      </c>
      <c r="M317" s="47"/>
      <c r="N317" s="47"/>
      <c r="O317" s="47">
        <v>-13330652</v>
      </c>
      <c r="P317" s="47"/>
      <c r="Q317" s="47"/>
      <c r="R317" s="47">
        <f t="shared" si="5"/>
        <v>-1890221.8734819256</v>
      </c>
    </row>
    <row r="318" spans="1:18" x14ac:dyDescent="0.35">
      <c r="A318" s="76">
        <v>314</v>
      </c>
      <c r="B318" s="77" t="s">
        <v>715</v>
      </c>
      <c r="C318" s="9" t="s">
        <v>716</v>
      </c>
      <c r="D318" s="76" t="s">
        <v>22</v>
      </c>
      <c r="E318" s="79">
        <v>4637557.4809621526</v>
      </c>
      <c r="F318" s="47"/>
      <c r="G318" s="47"/>
      <c r="H318" s="47"/>
      <c r="I318" s="47"/>
      <c r="J318" s="47"/>
      <c r="K318" s="84"/>
      <c r="L318" s="47"/>
      <c r="M318" s="47"/>
      <c r="N318" s="47"/>
      <c r="O318" s="47"/>
      <c r="P318" s="47"/>
      <c r="Q318" s="47"/>
      <c r="R318" s="47">
        <f t="shared" si="5"/>
        <v>4637557.4809621526</v>
      </c>
    </row>
    <row r="319" spans="1:18" x14ac:dyDescent="0.35">
      <c r="A319" s="76">
        <v>315</v>
      </c>
      <c r="B319" s="77" t="s">
        <v>717</v>
      </c>
      <c r="C319" s="9" t="s">
        <v>1733</v>
      </c>
      <c r="D319" s="76" t="s">
        <v>49</v>
      </c>
      <c r="E319" s="79">
        <v>1573475.4067935413</v>
      </c>
      <c r="F319" s="47"/>
      <c r="G319" s="47"/>
      <c r="H319" s="47"/>
      <c r="I319" s="47"/>
      <c r="J319" s="47"/>
      <c r="K319" s="84"/>
      <c r="L319" s="47"/>
      <c r="M319" s="47"/>
      <c r="N319" s="47"/>
      <c r="O319" s="47"/>
      <c r="P319" s="47"/>
      <c r="Q319" s="47"/>
      <c r="R319" s="47">
        <f t="shared" si="5"/>
        <v>1573475.4067935413</v>
      </c>
    </row>
    <row r="320" spans="1:18" x14ac:dyDescent="0.35">
      <c r="A320" s="76">
        <v>316</v>
      </c>
      <c r="B320" s="77" t="s">
        <v>719</v>
      </c>
      <c r="C320" s="9" t="s">
        <v>720</v>
      </c>
      <c r="D320" s="76" t="s">
        <v>77</v>
      </c>
      <c r="E320" s="79">
        <v>2636111.4274615985</v>
      </c>
      <c r="F320" s="47"/>
      <c r="G320" s="47"/>
      <c r="H320" s="47"/>
      <c r="I320" s="47"/>
      <c r="J320" s="47"/>
      <c r="K320" s="84"/>
      <c r="L320" s="47"/>
      <c r="M320" s="47"/>
      <c r="N320" s="47"/>
      <c r="O320" s="47"/>
      <c r="P320" s="47"/>
      <c r="Q320" s="47"/>
      <c r="R320" s="47">
        <f t="shared" si="5"/>
        <v>2636111.4274615985</v>
      </c>
    </row>
    <row r="321" spans="1:18" x14ac:dyDescent="0.35">
      <c r="A321" s="76">
        <v>317</v>
      </c>
      <c r="B321" s="77" t="s">
        <v>721</v>
      </c>
      <c r="C321" s="9" t="s">
        <v>2042</v>
      </c>
      <c r="D321" s="76" t="s">
        <v>166</v>
      </c>
      <c r="E321" s="79">
        <v>5777277.8419457832</v>
      </c>
      <c r="F321" s="47"/>
      <c r="G321" s="47"/>
      <c r="H321" s="47"/>
      <c r="I321" s="47"/>
      <c r="J321" s="47"/>
      <c r="K321" s="84"/>
      <c r="L321" s="47"/>
      <c r="M321" s="47"/>
      <c r="N321" s="47"/>
      <c r="O321" s="47"/>
      <c r="P321" s="47"/>
      <c r="Q321" s="47"/>
      <c r="R321" s="47">
        <f t="shared" si="5"/>
        <v>5777277.8419457832</v>
      </c>
    </row>
    <row r="322" spans="1:18" x14ac:dyDescent="0.35">
      <c r="A322" s="76">
        <v>318</v>
      </c>
      <c r="B322" s="77" t="s">
        <v>723</v>
      </c>
      <c r="C322" s="9" t="s">
        <v>724</v>
      </c>
      <c r="D322" s="76" t="s">
        <v>72</v>
      </c>
      <c r="E322" s="79">
        <v>215198.83973440249</v>
      </c>
      <c r="F322" s="47"/>
      <c r="G322" s="47"/>
      <c r="H322" s="47"/>
      <c r="I322" s="47"/>
      <c r="J322" s="47"/>
      <c r="K322" s="84"/>
      <c r="L322" s="47"/>
      <c r="M322" s="47"/>
      <c r="N322" s="47"/>
      <c r="O322" s="47"/>
      <c r="P322" s="47"/>
      <c r="Q322" s="47"/>
      <c r="R322" s="47">
        <f t="shared" si="5"/>
        <v>215198.83973440249</v>
      </c>
    </row>
    <row r="323" spans="1:18" x14ac:dyDescent="0.35">
      <c r="A323" s="76">
        <v>319</v>
      </c>
      <c r="B323" s="77" t="s">
        <v>725</v>
      </c>
      <c r="C323" s="9" t="s">
        <v>1734</v>
      </c>
      <c r="D323" s="76" t="s">
        <v>551</v>
      </c>
      <c r="E323" s="79">
        <v>935.62767545320094</v>
      </c>
      <c r="F323" s="47"/>
      <c r="G323" s="47"/>
      <c r="H323" s="47"/>
      <c r="I323" s="47"/>
      <c r="J323" s="47"/>
      <c r="K323" s="84"/>
      <c r="L323" s="47"/>
      <c r="M323" s="47"/>
      <c r="N323" s="47"/>
      <c r="O323" s="47"/>
      <c r="P323" s="47"/>
      <c r="Q323" s="47"/>
      <c r="R323" s="47">
        <f t="shared" si="5"/>
        <v>935.62767545320094</v>
      </c>
    </row>
    <row r="324" spans="1:18" x14ac:dyDescent="0.35">
      <c r="A324" s="76">
        <v>320</v>
      </c>
      <c r="B324" s="77" t="s">
        <v>727</v>
      </c>
      <c r="C324" s="9" t="s">
        <v>2043</v>
      </c>
      <c r="D324" s="76" t="s">
        <v>136</v>
      </c>
      <c r="E324" s="79">
        <v>1220176.6953814244</v>
      </c>
      <c r="F324" s="47"/>
      <c r="G324" s="47"/>
      <c r="H324" s="47"/>
      <c r="I324" s="47"/>
      <c r="J324" s="47"/>
      <c r="K324" s="84"/>
      <c r="L324" s="47"/>
      <c r="M324" s="47"/>
      <c r="N324" s="47"/>
      <c r="O324" s="47"/>
      <c r="P324" s="47"/>
      <c r="Q324" s="47"/>
      <c r="R324" s="47">
        <f t="shared" si="5"/>
        <v>1220176.6953814244</v>
      </c>
    </row>
    <row r="325" spans="1:18" x14ac:dyDescent="0.35">
      <c r="A325" s="76">
        <v>321</v>
      </c>
      <c r="B325" s="77" t="s">
        <v>729</v>
      </c>
      <c r="C325" s="9" t="s">
        <v>1735</v>
      </c>
      <c r="D325" s="76" t="s">
        <v>131</v>
      </c>
      <c r="E325" s="79">
        <v>8930347.1706396155</v>
      </c>
      <c r="F325" s="47"/>
      <c r="G325" s="47"/>
      <c r="H325" s="47"/>
      <c r="I325" s="47"/>
      <c r="J325" s="47"/>
      <c r="K325" s="84"/>
      <c r="L325" s="47"/>
      <c r="M325" s="47"/>
      <c r="N325" s="47"/>
      <c r="O325" s="47"/>
      <c r="P325" s="47"/>
      <c r="Q325" s="47"/>
      <c r="R325" s="47">
        <f t="shared" si="5"/>
        <v>8930347.1706396155</v>
      </c>
    </row>
    <row r="326" spans="1:18" x14ac:dyDescent="0.35">
      <c r="A326" s="76">
        <v>322</v>
      </c>
      <c r="B326" s="77" t="s">
        <v>731</v>
      </c>
      <c r="C326" s="9" t="s">
        <v>1646</v>
      </c>
      <c r="D326" s="76" t="s">
        <v>198</v>
      </c>
      <c r="E326" s="79">
        <v>36928.25561997667</v>
      </c>
      <c r="F326" s="47"/>
      <c r="G326" s="47"/>
      <c r="H326" s="47"/>
      <c r="I326" s="47"/>
      <c r="J326" s="47"/>
      <c r="K326" s="84"/>
      <c r="L326" s="47"/>
      <c r="M326" s="47"/>
      <c r="N326" s="47"/>
      <c r="O326" s="47"/>
      <c r="P326" s="47"/>
      <c r="Q326" s="47"/>
      <c r="R326" s="47">
        <f t="shared" si="5"/>
        <v>36928.25561997667</v>
      </c>
    </row>
    <row r="327" spans="1:18" x14ac:dyDescent="0.35">
      <c r="A327" s="76">
        <v>323</v>
      </c>
      <c r="B327" s="77" t="s">
        <v>733</v>
      </c>
      <c r="C327" s="9" t="s">
        <v>734</v>
      </c>
      <c r="D327" s="76" t="s">
        <v>49</v>
      </c>
      <c r="E327" s="79">
        <v>340843</v>
      </c>
      <c r="F327" s="47"/>
      <c r="G327" s="47"/>
      <c r="H327" s="47"/>
      <c r="I327" s="47"/>
      <c r="J327" s="47"/>
      <c r="K327" s="84"/>
      <c r="L327" s="47"/>
      <c r="M327" s="47"/>
      <c r="N327" s="47"/>
      <c r="O327" s="47"/>
      <c r="P327" s="47"/>
      <c r="Q327" s="47"/>
      <c r="R327" s="47">
        <f t="shared" si="5"/>
        <v>340843</v>
      </c>
    </row>
    <row r="328" spans="1:18" x14ac:dyDescent="0.35">
      <c r="A328" s="76">
        <v>324</v>
      </c>
      <c r="B328" s="77" t="s">
        <v>735</v>
      </c>
      <c r="C328" s="9" t="s">
        <v>1736</v>
      </c>
      <c r="D328" s="76" t="s">
        <v>11</v>
      </c>
      <c r="E328" s="79">
        <v>95488.277816710761</v>
      </c>
      <c r="F328" s="47"/>
      <c r="G328" s="47"/>
      <c r="H328" s="47"/>
      <c r="I328" s="47"/>
      <c r="J328" s="47"/>
      <c r="K328" s="84"/>
      <c r="L328" s="47"/>
      <c r="M328" s="47"/>
      <c r="N328" s="47"/>
      <c r="O328" s="47"/>
      <c r="P328" s="47"/>
      <c r="Q328" s="47"/>
      <c r="R328" s="47">
        <f t="shared" si="5"/>
        <v>95488.277816710761</v>
      </c>
    </row>
    <row r="329" spans="1:18" x14ac:dyDescent="0.35">
      <c r="A329" s="76">
        <v>325</v>
      </c>
      <c r="B329" s="77" t="s">
        <v>737</v>
      </c>
      <c r="C329" s="9" t="s">
        <v>738</v>
      </c>
      <c r="D329" s="76" t="s">
        <v>574</v>
      </c>
      <c r="E329" s="79">
        <v>-4.826674610376358E-2</v>
      </c>
      <c r="F329" s="47"/>
      <c r="G329" s="47"/>
      <c r="H329" s="47"/>
      <c r="I329" s="47"/>
      <c r="J329" s="47"/>
      <c r="K329" s="84"/>
      <c r="L329" s="47"/>
      <c r="M329" s="47"/>
      <c r="N329" s="47"/>
      <c r="O329" s="47"/>
      <c r="P329" s="47"/>
      <c r="Q329" s="47"/>
      <c r="R329" s="47">
        <f t="shared" si="5"/>
        <v>-4.826674610376358E-2</v>
      </c>
    </row>
    <row r="330" spans="1:18" x14ac:dyDescent="0.35">
      <c r="A330" s="76">
        <v>326</v>
      </c>
      <c r="B330" s="77" t="s">
        <v>739</v>
      </c>
      <c r="C330" s="9" t="s">
        <v>2044</v>
      </c>
      <c r="D330" s="76" t="s">
        <v>72</v>
      </c>
      <c r="E330" s="79">
        <v>2825162.7516410053</v>
      </c>
      <c r="F330" s="47"/>
      <c r="G330" s="47"/>
      <c r="H330" s="47"/>
      <c r="I330" s="47"/>
      <c r="J330" s="47"/>
      <c r="K330" s="84"/>
      <c r="L330" s="47">
        <v>-456734.02815356239</v>
      </c>
      <c r="M330" s="47"/>
      <c r="N330" s="47"/>
      <c r="O330" s="47"/>
      <c r="P330" s="47"/>
      <c r="Q330" s="47"/>
      <c r="R330" s="47">
        <f t="shared" si="5"/>
        <v>2368428.7234874428</v>
      </c>
    </row>
    <row r="331" spans="1:18" x14ac:dyDescent="0.35">
      <c r="A331" s="76">
        <v>327</v>
      </c>
      <c r="B331" s="77" t="s">
        <v>741</v>
      </c>
      <c r="C331" s="9" t="s">
        <v>1737</v>
      </c>
      <c r="D331" s="76" t="s">
        <v>166</v>
      </c>
      <c r="E331" s="79">
        <v>122791.89001115831</v>
      </c>
      <c r="F331" s="47"/>
      <c r="G331" s="47"/>
      <c r="H331" s="47"/>
      <c r="I331" s="47"/>
      <c r="J331" s="47"/>
      <c r="K331" s="84"/>
      <c r="L331" s="47"/>
      <c r="M331" s="47"/>
      <c r="N331" s="47"/>
      <c r="O331" s="47"/>
      <c r="P331" s="47"/>
      <c r="Q331" s="47"/>
      <c r="R331" s="47">
        <f t="shared" si="5"/>
        <v>122791.89001115831</v>
      </c>
    </row>
    <row r="332" spans="1:18" x14ac:dyDescent="0.35">
      <c r="A332" s="76">
        <v>328</v>
      </c>
      <c r="B332" s="77" t="s">
        <v>743</v>
      </c>
      <c r="C332" s="9" t="s">
        <v>2193</v>
      </c>
      <c r="D332" s="76" t="s">
        <v>52</v>
      </c>
      <c r="E332" s="79">
        <v>129405.05652984395</v>
      </c>
      <c r="F332" s="47"/>
      <c r="G332" s="47"/>
      <c r="H332" s="47"/>
      <c r="I332" s="47"/>
      <c r="J332" s="47"/>
      <c r="K332" s="84"/>
      <c r="L332" s="47"/>
      <c r="M332" s="47"/>
      <c r="N332" s="47"/>
      <c r="O332" s="47"/>
      <c r="P332" s="47"/>
      <c r="Q332" s="47"/>
      <c r="R332" s="47">
        <f t="shared" si="5"/>
        <v>129405.05652984395</v>
      </c>
    </row>
    <row r="333" spans="1:18" x14ac:dyDescent="0.35">
      <c r="A333" s="76">
        <v>329</v>
      </c>
      <c r="B333" s="77" t="s">
        <v>745</v>
      </c>
      <c r="C333" s="9" t="s">
        <v>746</v>
      </c>
      <c r="D333" s="76" t="s">
        <v>49</v>
      </c>
      <c r="E333" s="79">
        <v>278705.6808121248</v>
      </c>
      <c r="F333" s="47"/>
      <c r="G333" s="47"/>
      <c r="H333" s="47"/>
      <c r="I333" s="47"/>
      <c r="J333" s="47"/>
      <c r="K333" s="84"/>
      <c r="L333" s="47"/>
      <c r="M333" s="47"/>
      <c r="N333" s="47"/>
      <c r="O333" s="47"/>
      <c r="P333" s="47"/>
      <c r="Q333" s="47"/>
      <c r="R333" s="47">
        <f t="shared" si="5"/>
        <v>278705.6808121248</v>
      </c>
    </row>
    <row r="334" spans="1:18" x14ac:dyDescent="0.35">
      <c r="A334" s="76">
        <v>330</v>
      </c>
      <c r="B334" s="77" t="s">
        <v>747</v>
      </c>
      <c r="C334" s="9" t="s">
        <v>2263</v>
      </c>
      <c r="D334" s="76" t="s">
        <v>41</v>
      </c>
      <c r="E334" s="79">
        <v>434355.52007637476</v>
      </c>
      <c r="F334" s="47"/>
      <c r="G334" s="47"/>
      <c r="H334" s="47"/>
      <c r="I334" s="47"/>
      <c r="J334" s="47"/>
      <c r="K334" s="84"/>
      <c r="L334" s="47"/>
      <c r="M334" s="47"/>
      <c r="N334" s="47"/>
      <c r="O334" s="47"/>
      <c r="P334" s="47"/>
      <c r="Q334" s="47"/>
      <c r="R334" s="47">
        <f t="shared" si="5"/>
        <v>434355.52007637476</v>
      </c>
    </row>
    <row r="335" spans="1:18" x14ac:dyDescent="0.35">
      <c r="A335" s="76">
        <v>331</v>
      </c>
      <c r="B335" s="77" t="s">
        <v>749</v>
      </c>
      <c r="C335" s="9" t="s">
        <v>750</v>
      </c>
      <c r="D335" s="76" t="s">
        <v>751</v>
      </c>
      <c r="E335" s="79">
        <v>2550691.8198888334</v>
      </c>
      <c r="F335" s="47">
        <v>-2550692</v>
      </c>
      <c r="G335" s="47"/>
      <c r="H335" s="47"/>
      <c r="I335" s="47"/>
      <c r="J335" s="47"/>
      <c r="K335" s="84"/>
      <c r="L335" s="47"/>
      <c r="M335" s="47"/>
      <c r="N335" s="47"/>
      <c r="O335" s="47"/>
      <c r="P335" s="47"/>
      <c r="Q335" s="47"/>
      <c r="R335" s="47">
        <f t="shared" si="5"/>
        <v>-0.18011116655543447</v>
      </c>
    </row>
    <row r="336" spans="1:18" x14ac:dyDescent="0.35">
      <c r="A336" s="76">
        <v>332</v>
      </c>
      <c r="B336" s="77" t="s">
        <v>752</v>
      </c>
      <c r="C336" s="9" t="s">
        <v>753</v>
      </c>
      <c r="D336" s="76" t="s">
        <v>159</v>
      </c>
      <c r="E336" s="79">
        <v>0.30920632486231625</v>
      </c>
      <c r="F336" s="47"/>
      <c r="G336" s="47"/>
      <c r="H336" s="47"/>
      <c r="I336" s="47"/>
      <c r="J336" s="47"/>
      <c r="K336" s="84"/>
      <c r="L336" s="47"/>
      <c r="M336" s="47"/>
      <c r="N336" s="47"/>
      <c r="O336" s="47"/>
      <c r="P336" s="47"/>
      <c r="Q336" s="47"/>
      <c r="R336" s="47">
        <f t="shared" si="5"/>
        <v>0.30920632486231625</v>
      </c>
    </row>
    <row r="337" spans="1:18" x14ac:dyDescent="0.35">
      <c r="A337" s="76">
        <v>333</v>
      </c>
      <c r="B337" s="77" t="s">
        <v>754</v>
      </c>
      <c r="C337" s="9" t="s">
        <v>2264</v>
      </c>
      <c r="D337" s="76" t="s">
        <v>354</v>
      </c>
      <c r="E337" s="79">
        <v>8817912.6841754355</v>
      </c>
      <c r="F337" s="47"/>
      <c r="G337" s="47"/>
      <c r="H337" s="47"/>
      <c r="I337" s="47"/>
      <c r="J337" s="47"/>
      <c r="K337" s="84"/>
      <c r="L337" s="47"/>
      <c r="M337" s="47"/>
      <c r="N337" s="47"/>
      <c r="O337" s="47"/>
      <c r="P337" s="47"/>
      <c r="Q337" s="47"/>
      <c r="R337" s="47">
        <f t="shared" si="5"/>
        <v>8817912.6841754355</v>
      </c>
    </row>
    <row r="338" spans="1:18" x14ac:dyDescent="0.35">
      <c r="A338" s="76">
        <v>334</v>
      </c>
      <c r="B338" s="77" t="s">
        <v>756</v>
      </c>
      <c r="C338" s="9" t="s">
        <v>1738</v>
      </c>
      <c r="D338" s="76" t="s">
        <v>166</v>
      </c>
      <c r="E338" s="79">
        <v>2457660.9094880414</v>
      </c>
      <c r="F338" s="47"/>
      <c r="G338" s="47"/>
      <c r="H338" s="47"/>
      <c r="I338" s="47"/>
      <c r="J338" s="47"/>
      <c r="K338" s="84"/>
      <c r="L338" s="47"/>
      <c r="M338" s="47"/>
      <c r="N338" s="47"/>
      <c r="O338" s="47"/>
      <c r="P338" s="47"/>
      <c r="Q338" s="47"/>
      <c r="R338" s="47">
        <f t="shared" si="5"/>
        <v>2457660.9094880414</v>
      </c>
    </row>
    <row r="339" spans="1:18" x14ac:dyDescent="0.35">
      <c r="A339" s="76">
        <v>335</v>
      </c>
      <c r="B339" s="77" t="s">
        <v>758</v>
      </c>
      <c r="C339" s="9" t="s">
        <v>2045</v>
      </c>
      <c r="D339" s="76" t="s">
        <v>238</v>
      </c>
      <c r="E339" s="79">
        <v>1433550.238210272</v>
      </c>
      <c r="F339" s="47"/>
      <c r="G339" s="47"/>
      <c r="H339" s="47"/>
      <c r="I339" s="47"/>
      <c r="J339" s="47"/>
      <c r="K339" s="84"/>
      <c r="L339" s="47">
        <v>-663260.34042201168</v>
      </c>
      <c r="M339" s="47"/>
      <c r="N339" s="47"/>
      <c r="O339" s="47"/>
      <c r="P339" s="47"/>
      <c r="Q339" s="47"/>
      <c r="R339" s="47">
        <f t="shared" si="5"/>
        <v>770289.89778826036</v>
      </c>
    </row>
    <row r="340" spans="1:18" x14ac:dyDescent="0.35">
      <c r="A340" s="76">
        <v>336</v>
      </c>
      <c r="B340" s="77" t="s">
        <v>760</v>
      </c>
      <c r="C340" s="9" t="s">
        <v>1739</v>
      </c>
      <c r="D340" s="76" t="s">
        <v>72</v>
      </c>
      <c r="E340" s="79">
        <v>0.25686462968587875</v>
      </c>
      <c r="F340" s="47"/>
      <c r="G340" s="47"/>
      <c r="H340" s="47"/>
      <c r="I340" s="47"/>
      <c r="J340" s="47"/>
      <c r="K340" s="84"/>
      <c r="L340" s="47"/>
      <c r="M340" s="47"/>
      <c r="N340" s="47"/>
      <c r="O340" s="47"/>
      <c r="P340" s="47"/>
      <c r="Q340" s="47"/>
      <c r="R340" s="47">
        <f t="shared" si="5"/>
        <v>0.25686462968587875</v>
      </c>
    </row>
    <row r="341" spans="1:18" x14ac:dyDescent="0.35">
      <c r="A341" s="76">
        <v>337</v>
      </c>
      <c r="B341" s="77" t="s">
        <v>762</v>
      </c>
      <c r="C341" s="9" t="s">
        <v>2226</v>
      </c>
      <c r="D341" s="76" t="s">
        <v>551</v>
      </c>
      <c r="E341" s="79">
        <v>-0.12553131999447942</v>
      </c>
      <c r="F341" s="47"/>
      <c r="G341" s="47"/>
      <c r="H341" s="47"/>
      <c r="I341" s="47"/>
      <c r="J341" s="47"/>
      <c r="K341" s="84"/>
      <c r="L341" s="47"/>
      <c r="M341" s="47"/>
      <c r="N341" s="47"/>
      <c r="O341" s="47"/>
      <c r="P341" s="47"/>
      <c r="Q341" s="47"/>
      <c r="R341" s="47">
        <f t="shared" si="5"/>
        <v>-0.12553131999447942</v>
      </c>
    </row>
    <row r="342" spans="1:18" x14ac:dyDescent="0.35">
      <c r="A342" s="76">
        <v>338</v>
      </c>
      <c r="B342" s="77" t="s">
        <v>764</v>
      </c>
      <c r="C342" s="9" t="s">
        <v>765</v>
      </c>
      <c r="D342" s="76" t="s">
        <v>201</v>
      </c>
      <c r="E342" s="79">
        <v>499532.49932751775</v>
      </c>
      <c r="F342" s="47"/>
      <c r="G342" s="47"/>
      <c r="H342" s="47"/>
      <c r="I342" s="47"/>
      <c r="J342" s="47"/>
      <c r="K342" s="84"/>
      <c r="L342" s="47"/>
      <c r="M342" s="47"/>
      <c r="N342" s="47"/>
      <c r="O342" s="47"/>
      <c r="P342" s="47"/>
      <c r="Q342" s="47"/>
      <c r="R342" s="47">
        <f t="shared" si="5"/>
        <v>499532.49932751775</v>
      </c>
    </row>
    <row r="343" spans="1:18" x14ac:dyDescent="0.35">
      <c r="A343" s="76">
        <v>339</v>
      </c>
      <c r="B343" s="77" t="s">
        <v>766</v>
      </c>
      <c r="C343" s="9" t="s">
        <v>2231</v>
      </c>
      <c r="D343" s="76" t="s">
        <v>22</v>
      </c>
      <c r="E343" s="79">
        <v>0.43586597591638565</v>
      </c>
      <c r="F343" s="47"/>
      <c r="G343" s="47"/>
      <c r="H343" s="47"/>
      <c r="I343" s="47"/>
      <c r="J343" s="47"/>
      <c r="K343" s="84"/>
      <c r="L343" s="47"/>
      <c r="M343" s="47"/>
      <c r="N343" s="47"/>
      <c r="O343" s="47"/>
      <c r="P343" s="47"/>
      <c r="Q343" s="47"/>
      <c r="R343" s="47">
        <f t="shared" si="5"/>
        <v>0.43586597591638565</v>
      </c>
    </row>
    <row r="344" spans="1:18" x14ac:dyDescent="0.35">
      <c r="A344" s="76">
        <v>340</v>
      </c>
      <c r="B344" s="77" t="s">
        <v>768</v>
      </c>
      <c r="C344" s="9" t="s">
        <v>1761</v>
      </c>
      <c r="D344" s="76" t="s">
        <v>318</v>
      </c>
      <c r="E344" s="79">
        <v>4340984.9125824273</v>
      </c>
      <c r="F344" s="47"/>
      <c r="G344" s="47"/>
      <c r="H344" s="47"/>
      <c r="I344" s="47"/>
      <c r="J344" s="47"/>
      <c r="K344" s="84"/>
      <c r="L344" s="47"/>
      <c r="M344" s="47"/>
      <c r="N344" s="47"/>
      <c r="O344" s="47"/>
      <c r="P344" s="47"/>
      <c r="Q344" s="47"/>
      <c r="R344" s="47">
        <f t="shared" si="5"/>
        <v>4340984.9125824273</v>
      </c>
    </row>
    <row r="345" spans="1:18" x14ac:dyDescent="0.35">
      <c r="A345" s="76">
        <v>341</v>
      </c>
      <c r="B345" s="77" t="s">
        <v>770</v>
      </c>
      <c r="C345" s="9" t="s">
        <v>771</v>
      </c>
      <c r="D345" s="76" t="s">
        <v>123</v>
      </c>
      <c r="E345" s="79">
        <v>9179806.7847845647</v>
      </c>
      <c r="F345" s="47"/>
      <c r="G345" s="47"/>
      <c r="H345" s="47">
        <v>-9179806</v>
      </c>
      <c r="I345" s="47"/>
      <c r="J345" s="47"/>
      <c r="K345" s="84"/>
      <c r="L345" s="47"/>
      <c r="M345" s="47"/>
      <c r="N345" s="47"/>
      <c r="O345" s="47"/>
      <c r="P345" s="47"/>
      <c r="Q345" s="47"/>
      <c r="R345" s="47">
        <f t="shared" si="5"/>
        <v>0.78478456474840641</v>
      </c>
    </row>
    <row r="346" spans="1:18" x14ac:dyDescent="0.35">
      <c r="A346" s="76">
        <v>342</v>
      </c>
      <c r="B346" s="77" t="s">
        <v>772</v>
      </c>
      <c r="C346" s="9" t="s">
        <v>773</v>
      </c>
      <c r="D346" s="76" t="s">
        <v>519</v>
      </c>
      <c r="E346" s="79">
        <v>0.4179716007784009</v>
      </c>
      <c r="F346" s="47"/>
      <c r="G346" s="47"/>
      <c r="H346" s="47"/>
      <c r="I346" s="47"/>
      <c r="J346" s="47"/>
      <c r="K346" s="84"/>
      <c r="L346" s="47"/>
      <c r="M346" s="47"/>
      <c r="N346" s="47"/>
      <c r="O346" s="47"/>
      <c r="P346" s="47"/>
      <c r="Q346" s="47"/>
      <c r="R346" s="47">
        <f t="shared" si="5"/>
        <v>0.4179716007784009</v>
      </c>
    </row>
    <row r="347" spans="1:18" x14ac:dyDescent="0.35">
      <c r="A347" s="76">
        <v>343</v>
      </c>
      <c r="B347" s="77" t="s">
        <v>774</v>
      </c>
      <c r="C347" s="9" t="s">
        <v>775</v>
      </c>
      <c r="D347" s="76" t="s">
        <v>215</v>
      </c>
      <c r="E347" s="79">
        <v>1960460.3923551524</v>
      </c>
      <c r="F347" s="47"/>
      <c r="G347" s="47"/>
      <c r="H347" s="47"/>
      <c r="I347" s="47"/>
      <c r="J347" s="47"/>
      <c r="K347" s="84"/>
      <c r="L347" s="47"/>
      <c r="M347" s="47"/>
      <c r="N347" s="47"/>
      <c r="O347" s="47"/>
      <c r="P347" s="47"/>
      <c r="Q347" s="47"/>
      <c r="R347" s="47">
        <f t="shared" si="5"/>
        <v>1960460.3923551524</v>
      </c>
    </row>
    <row r="348" spans="1:18" x14ac:dyDescent="0.35">
      <c r="A348" s="76">
        <v>344</v>
      </c>
      <c r="B348" s="77" t="s">
        <v>776</v>
      </c>
      <c r="C348" s="9" t="s">
        <v>1900</v>
      </c>
      <c r="D348" s="76" t="s">
        <v>136</v>
      </c>
      <c r="E348" s="79">
        <v>701036.39775178407</v>
      </c>
      <c r="F348" s="47"/>
      <c r="G348" s="47"/>
      <c r="H348" s="47"/>
      <c r="I348" s="47"/>
      <c r="J348" s="47"/>
      <c r="K348" s="84"/>
      <c r="L348" s="47"/>
      <c r="M348" s="47"/>
      <c r="N348" s="47"/>
      <c r="O348" s="47"/>
      <c r="P348" s="47"/>
      <c r="Q348" s="47"/>
      <c r="R348" s="47">
        <f t="shared" si="5"/>
        <v>701036.39775178407</v>
      </c>
    </row>
    <row r="349" spans="1:18" x14ac:dyDescent="0.35">
      <c r="A349" s="76">
        <v>345</v>
      </c>
      <c r="B349" s="77" t="s">
        <v>778</v>
      </c>
      <c r="C349" s="9" t="s">
        <v>779</v>
      </c>
      <c r="D349" s="76" t="s">
        <v>136</v>
      </c>
      <c r="E349" s="79">
        <v>43412.422275854973</v>
      </c>
      <c r="F349" s="47"/>
      <c r="G349" s="47"/>
      <c r="H349" s="47"/>
      <c r="I349" s="47"/>
      <c r="J349" s="47"/>
      <c r="K349" s="84"/>
      <c r="L349" s="47"/>
      <c r="M349" s="47"/>
      <c r="N349" s="47"/>
      <c r="O349" s="47"/>
      <c r="P349" s="47"/>
      <c r="Q349" s="47"/>
      <c r="R349" s="47">
        <f t="shared" si="5"/>
        <v>43412.422275854973</v>
      </c>
    </row>
    <row r="350" spans="1:18" x14ac:dyDescent="0.35">
      <c r="A350" s="76">
        <v>346</v>
      </c>
      <c r="B350" s="77" t="s">
        <v>780</v>
      </c>
      <c r="C350" s="9" t="s">
        <v>2232</v>
      </c>
      <c r="D350" s="76" t="s">
        <v>46</v>
      </c>
      <c r="E350" s="79">
        <v>0.15511981584131718</v>
      </c>
      <c r="F350" s="47"/>
      <c r="G350" s="47"/>
      <c r="H350" s="47"/>
      <c r="I350" s="47"/>
      <c r="J350" s="47"/>
      <c r="K350" s="84"/>
      <c r="L350" s="47"/>
      <c r="M350" s="47"/>
      <c r="N350" s="47"/>
      <c r="O350" s="47"/>
      <c r="P350" s="47"/>
      <c r="Q350" s="47"/>
      <c r="R350" s="47">
        <f t="shared" ref="R350:R413" si="6">E350+F350+G350+H350+I350+J350+K350+L350+M350+N350+O350+P350+Q350</f>
        <v>0.15511981584131718</v>
      </c>
    </row>
    <row r="351" spans="1:18" x14ac:dyDescent="0.35">
      <c r="A351" s="76">
        <v>347</v>
      </c>
      <c r="B351" s="77" t="s">
        <v>782</v>
      </c>
      <c r="C351" s="9" t="s">
        <v>783</v>
      </c>
      <c r="D351" s="76" t="s">
        <v>141</v>
      </c>
      <c r="E351" s="79">
        <v>-6154.5118164140731</v>
      </c>
      <c r="F351" s="47"/>
      <c r="G351" s="47"/>
      <c r="H351" s="47"/>
      <c r="I351" s="47"/>
      <c r="J351" s="47"/>
      <c r="K351" s="84"/>
      <c r="L351" s="47"/>
      <c r="M351" s="47"/>
      <c r="N351" s="47"/>
      <c r="O351" s="47"/>
      <c r="P351" s="47"/>
      <c r="Q351" s="47"/>
      <c r="R351" s="47">
        <f t="shared" si="6"/>
        <v>-6154.5118164140731</v>
      </c>
    </row>
    <row r="352" spans="1:18" x14ac:dyDescent="0.35">
      <c r="A352" s="76">
        <v>348</v>
      </c>
      <c r="B352" s="77" t="s">
        <v>784</v>
      </c>
      <c r="C352" s="9" t="s">
        <v>2233</v>
      </c>
      <c r="D352" s="76" t="s">
        <v>60</v>
      </c>
      <c r="E352" s="79">
        <v>1355822.2079556249</v>
      </c>
      <c r="F352" s="47"/>
      <c r="G352" s="47"/>
      <c r="H352" s="47"/>
      <c r="I352" s="47"/>
      <c r="J352" s="47"/>
      <c r="K352" s="84"/>
      <c r="L352" s="47"/>
      <c r="M352" s="47"/>
      <c r="N352" s="47"/>
      <c r="O352" s="47"/>
      <c r="P352" s="47"/>
      <c r="Q352" s="47"/>
      <c r="R352" s="47">
        <f t="shared" si="6"/>
        <v>1355822.2079556249</v>
      </c>
    </row>
    <row r="353" spans="1:18" x14ac:dyDescent="0.35">
      <c r="A353" s="76">
        <v>349</v>
      </c>
      <c r="B353" s="77" t="s">
        <v>786</v>
      </c>
      <c r="C353" s="9" t="s">
        <v>787</v>
      </c>
      <c r="D353" s="76" t="s">
        <v>290</v>
      </c>
      <c r="E353" s="79">
        <v>1337206.8189867046</v>
      </c>
      <c r="F353" s="47"/>
      <c r="G353" s="47"/>
      <c r="H353" s="47"/>
      <c r="I353" s="47"/>
      <c r="J353" s="47"/>
      <c r="K353" s="84"/>
      <c r="L353" s="47">
        <v>-625874.52950026654</v>
      </c>
      <c r="M353" s="47"/>
      <c r="N353" s="47"/>
      <c r="O353" s="47"/>
      <c r="P353" s="47"/>
      <c r="Q353" s="47"/>
      <c r="R353" s="47">
        <f t="shared" si="6"/>
        <v>711332.28948643804</v>
      </c>
    </row>
    <row r="354" spans="1:18" x14ac:dyDescent="0.35">
      <c r="A354" s="76">
        <v>350</v>
      </c>
      <c r="B354" s="77" t="s">
        <v>788</v>
      </c>
      <c r="C354" s="9" t="s">
        <v>2234</v>
      </c>
      <c r="D354" s="76" t="s">
        <v>46</v>
      </c>
      <c r="E354" s="79">
        <v>1194500.5600755885</v>
      </c>
      <c r="F354" s="47"/>
      <c r="G354" s="47"/>
      <c r="H354" s="47"/>
      <c r="I354" s="47"/>
      <c r="J354" s="47"/>
      <c r="K354" s="84"/>
      <c r="L354" s="47"/>
      <c r="M354" s="47"/>
      <c r="N354" s="47"/>
      <c r="O354" s="47"/>
      <c r="P354" s="47"/>
      <c r="Q354" s="47"/>
      <c r="R354" s="47">
        <f t="shared" si="6"/>
        <v>1194500.5600755885</v>
      </c>
    </row>
    <row r="355" spans="1:18" x14ac:dyDescent="0.35">
      <c r="A355" s="76">
        <v>351</v>
      </c>
      <c r="B355" s="77" t="s">
        <v>790</v>
      </c>
      <c r="C355" s="9" t="s">
        <v>791</v>
      </c>
      <c r="D355" s="76" t="s">
        <v>41</v>
      </c>
      <c r="E355" s="79">
        <v>-18.096808982547373</v>
      </c>
      <c r="F355" s="47"/>
      <c r="G355" s="47"/>
      <c r="H355" s="47"/>
      <c r="I355" s="47"/>
      <c r="J355" s="47"/>
      <c r="K355" s="84"/>
      <c r="L355" s="47"/>
      <c r="M355" s="47"/>
      <c r="N355" s="47"/>
      <c r="O355" s="47"/>
      <c r="P355" s="47"/>
      <c r="Q355" s="47"/>
      <c r="R355" s="47">
        <f t="shared" si="6"/>
        <v>-18.096808982547373</v>
      </c>
    </row>
    <row r="356" spans="1:18" x14ac:dyDescent="0.35">
      <c r="A356" s="76">
        <v>352</v>
      </c>
      <c r="B356" s="77" t="s">
        <v>792</v>
      </c>
      <c r="C356" s="9" t="s">
        <v>2265</v>
      </c>
      <c r="D356" s="76" t="s">
        <v>77</v>
      </c>
      <c r="E356" s="79">
        <v>-821</v>
      </c>
      <c r="F356" s="47"/>
      <c r="G356" s="47"/>
      <c r="H356" s="47"/>
      <c r="I356" s="47"/>
      <c r="J356" s="47"/>
      <c r="K356" s="84"/>
      <c r="L356" s="47"/>
      <c r="M356" s="47"/>
      <c r="N356" s="47"/>
      <c r="O356" s="47"/>
      <c r="P356" s="47"/>
      <c r="Q356" s="47"/>
      <c r="R356" s="47">
        <f t="shared" si="6"/>
        <v>-821</v>
      </c>
    </row>
    <row r="357" spans="1:18" x14ac:dyDescent="0.35">
      <c r="A357" s="76">
        <v>353</v>
      </c>
      <c r="B357" s="77" t="s">
        <v>794</v>
      </c>
      <c r="C357" s="9" t="s">
        <v>1852</v>
      </c>
      <c r="D357" s="76" t="s">
        <v>95</v>
      </c>
      <c r="E357" s="79">
        <v>10483962.021638853</v>
      </c>
      <c r="F357" s="47"/>
      <c r="G357" s="47"/>
      <c r="H357" s="47"/>
      <c r="I357" s="47"/>
      <c r="J357" s="47"/>
      <c r="K357" s="84"/>
      <c r="L357" s="47">
        <v>-945778.66337420803</v>
      </c>
      <c r="M357" s="47"/>
      <c r="N357" s="47"/>
      <c r="O357" s="47"/>
      <c r="P357" s="47"/>
      <c r="Q357" s="47"/>
      <c r="R357" s="47">
        <f t="shared" si="6"/>
        <v>9538183.3582646456</v>
      </c>
    </row>
    <row r="358" spans="1:18" x14ac:dyDescent="0.35">
      <c r="A358" s="76">
        <v>354</v>
      </c>
      <c r="B358" s="77" t="s">
        <v>796</v>
      </c>
      <c r="C358" s="9" t="s">
        <v>2195</v>
      </c>
      <c r="D358" s="76" t="s">
        <v>551</v>
      </c>
      <c r="E358" s="79">
        <v>8258608.0577875078</v>
      </c>
      <c r="F358" s="47"/>
      <c r="G358" s="47"/>
      <c r="H358" s="47"/>
      <c r="I358" s="47"/>
      <c r="J358" s="47"/>
      <c r="K358" s="84"/>
      <c r="L358" s="47"/>
      <c r="M358" s="47"/>
      <c r="N358" s="47"/>
      <c r="O358" s="47"/>
      <c r="P358" s="47"/>
      <c r="Q358" s="47"/>
      <c r="R358" s="47">
        <f t="shared" si="6"/>
        <v>8258608.0577875078</v>
      </c>
    </row>
    <row r="359" spans="1:18" x14ac:dyDescent="0.35">
      <c r="A359" s="76">
        <v>355</v>
      </c>
      <c r="B359" s="77" t="s">
        <v>798</v>
      </c>
      <c r="C359" s="9" t="s">
        <v>2047</v>
      </c>
      <c r="D359" s="76" t="s">
        <v>22</v>
      </c>
      <c r="E359" s="79">
        <v>1826205.8921132751</v>
      </c>
      <c r="F359" s="47"/>
      <c r="G359" s="47"/>
      <c r="H359" s="47"/>
      <c r="I359" s="47"/>
      <c r="J359" s="47"/>
      <c r="K359" s="84"/>
      <c r="L359" s="47">
        <v>-654181.46674967476</v>
      </c>
      <c r="M359" s="47"/>
      <c r="N359" s="47"/>
      <c r="O359" s="47"/>
      <c r="P359" s="47"/>
      <c r="Q359" s="47"/>
      <c r="R359" s="47">
        <f t="shared" si="6"/>
        <v>1172024.4253636003</v>
      </c>
    </row>
    <row r="360" spans="1:18" x14ac:dyDescent="0.35">
      <c r="A360" s="76">
        <v>356</v>
      </c>
      <c r="B360" s="77" t="s">
        <v>800</v>
      </c>
      <c r="C360" s="9" t="s">
        <v>2048</v>
      </c>
      <c r="D360" s="76" t="s">
        <v>19</v>
      </c>
      <c r="E360" s="79">
        <v>6366583.7969416361</v>
      </c>
      <c r="F360" s="47"/>
      <c r="G360" s="47"/>
      <c r="H360" s="47"/>
      <c r="I360" s="47"/>
      <c r="J360" s="47"/>
      <c r="K360" s="84"/>
      <c r="L360" s="47"/>
      <c r="M360" s="47"/>
      <c r="N360" s="47"/>
      <c r="O360" s="47"/>
      <c r="P360" s="47"/>
      <c r="Q360" s="47"/>
      <c r="R360" s="47">
        <f t="shared" si="6"/>
        <v>6366583.7969416361</v>
      </c>
    </row>
    <row r="361" spans="1:18" x14ac:dyDescent="0.35">
      <c r="A361" s="76">
        <v>357</v>
      </c>
      <c r="B361" s="77" t="s">
        <v>802</v>
      </c>
      <c r="C361" s="9" t="s">
        <v>2208</v>
      </c>
      <c r="D361" s="76" t="s">
        <v>55</v>
      </c>
      <c r="E361" s="79">
        <v>0.4108505342155695</v>
      </c>
      <c r="F361" s="47"/>
      <c r="G361" s="47"/>
      <c r="H361" s="47"/>
      <c r="I361" s="47"/>
      <c r="J361" s="47"/>
      <c r="K361" s="84"/>
      <c r="L361" s="47"/>
      <c r="M361" s="47"/>
      <c r="N361" s="47"/>
      <c r="O361" s="47"/>
      <c r="P361" s="47"/>
      <c r="Q361" s="47"/>
      <c r="R361" s="47">
        <f t="shared" si="6"/>
        <v>0.4108505342155695</v>
      </c>
    </row>
    <row r="362" spans="1:18" x14ac:dyDescent="0.35">
      <c r="A362" s="76">
        <v>358</v>
      </c>
      <c r="B362" s="77" t="s">
        <v>804</v>
      </c>
      <c r="C362" s="9" t="s">
        <v>2209</v>
      </c>
      <c r="D362" s="76" t="s">
        <v>14</v>
      </c>
      <c r="E362" s="79">
        <v>4408086.0330514805</v>
      </c>
      <c r="F362" s="47"/>
      <c r="G362" s="47"/>
      <c r="H362" s="47"/>
      <c r="I362" s="47"/>
      <c r="J362" s="47"/>
      <c r="K362" s="84"/>
      <c r="L362" s="47">
        <v>-592240.36786741356</v>
      </c>
      <c r="M362" s="47"/>
      <c r="N362" s="47"/>
      <c r="O362" s="47"/>
      <c r="P362" s="47"/>
      <c r="Q362" s="47"/>
      <c r="R362" s="47">
        <f t="shared" si="6"/>
        <v>3815845.6651840671</v>
      </c>
    </row>
    <row r="363" spans="1:18" x14ac:dyDescent="0.35">
      <c r="A363" s="76">
        <v>359</v>
      </c>
      <c r="B363" s="77" t="s">
        <v>806</v>
      </c>
      <c r="C363" s="9" t="s">
        <v>1902</v>
      </c>
      <c r="D363" s="76" t="s">
        <v>98</v>
      </c>
      <c r="E363" s="79">
        <v>2243490.4950282583</v>
      </c>
      <c r="F363" s="47"/>
      <c r="G363" s="47"/>
      <c r="H363" s="47"/>
      <c r="I363" s="47"/>
      <c r="J363" s="47"/>
      <c r="K363" s="84"/>
      <c r="L363" s="47">
        <v>-365858.79824843939</v>
      </c>
      <c r="M363" s="47"/>
      <c r="N363" s="47"/>
      <c r="O363" s="47"/>
      <c r="P363" s="47"/>
      <c r="Q363" s="47"/>
      <c r="R363" s="47">
        <f t="shared" si="6"/>
        <v>1877631.696779819</v>
      </c>
    </row>
    <row r="364" spans="1:18" x14ac:dyDescent="0.35">
      <c r="A364" s="76">
        <v>360</v>
      </c>
      <c r="B364" s="77" t="s">
        <v>808</v>
      </c>
      <c r="C364" s="9" t="s">
        <v>2266</v>
      </c>
      <c r="D364" s="76" t="s">
        <v>41</v>
      </c>
      <c r="E364" s="79">
        <v>42</v>
      </c>
      <c r="F364" s="47"/>
      <c r="G364" s="47"/>
      <c r="H364" s="47"/>
      <c r="I364" s="47"/>
      <c r="J364" s="47"/>
      <c r="K364" s="84"/>
      <c r="L364" s="47"/>
      <c r="M364" s="47"/>
      <c r="N364" s="47"/>
      <c r="O364" s="47"/>
      <c r="P364" s="47"/>
      <c r="Q364" s="47"/>
      <c r="R364" s="47">
        <f t="shared" si="6"/>
        <v>42</v>
      </c>
    </row>
    <row r="365" spans="1:18" x14ac:dyDescent="0.35">
      <c r="A365" s="76">
        <v>361</v>
      </c>
      <c r="B365" s="77" t="s">
        <v>810</v>
      </c>
      <c r="C365" s="9" t="s">
        <v>1780</v>
      </c>
      <c r="D365" s="76" t="s">
        <v>131</v>
      </c>
      <c r="E365" s="79">
        <v>12763558.32624935</v>
      </c>
      <c r="F365" s="47"/>
      <c r="G365" s="47"/>
      <c r="H365" s="47"/>
      <c r="I365" s="47"/>
      <c r="J365" s="47">
        <v>-12763558</v>
      </c>
      <c r="K365" s="84"/>
      <c r="L365" s="47"/>
      <c r="M365" s="47"/>
      <c r="N365" s="47"/>
      <c r="O365" s="47"/>
      <c r="P365" s="47"/>
      <c r="Q365" s="47"/>
      <c r="R365" s="47">
        <f t="shared" si="6"/>
        <v>0.32624934986233711</v>
      </c>
    </row>
    <row r="366" spans="1:18" x14ac:dyDescent="0.35">
      <c r="A366" s="76">
        <v>362</v>
      </c>
      <c r="B366" s="77" t="s">
        <v>812</v>
      </c>
      <c r="C366" s="9" t="s">
        <v>813</v>
      </c>
      <c r="D366" s="76" t="s">
        <v>60</v>
      </c>
      <c r="E366" s="79">
        <v>49200.964434333146</v>
      </c>
      <c r="F366" s="47"/>
      <c r="G366" s="47"/>
      <c r="H366" s="47"/>
      <c r="I366" s="47"/>
      <c r="J366" s="47"/>
      <c r="K366" s="84"/>
      <c r="L366" s="47"/>
      <c r="M366" s="47"/>
      <c r="N366" s="47"/>
      <c r="O366" s="47"/>
      <c r="P366" s="47"/>
      <c r="Q366" s="47"/>
      <c r="R366" s="47">
        <f t="shared" si="6"/>
        <v>49200.964434333146</v>
      </c>
    </row>
    <row r="367" spans="1:18" x14ac:dyDescent="0.35">
      <c r="A367" s="76">
        <v>363</v>
      </c>
      <c r="B367" s="77" t="s">
        <v>814</v>
      </c>
      <c r="C367" s="9" t="s">
        <v>815</v>
      </c>
      <c r="D367" s="76" t="s">
        <v>238</v>
      </c>
      <c r="E367" s="79">
        <v>1899338.7005493098</v>
      </c>
      <c r="F367" s="47"/>
      <c r="G367" s="47"/>
      <c r="H367" s="47"/>
      <c r="I367" s="47"/>
      <c r="J367" s="47"/>
      <c r="K367" s="84"/>
      <c r="L367" s="47"/>
      <c r="M367" s="47"/>
      <c r="N367" s="47"/>
      <c r="O367" s="47"/>
      <c r="P367" s="47"/>
      <c r="Q367" s="47"/>
      <c r="R367" s="47">
        <f t="shared" si="6"/>
        <v>1899338.7005493098</v>
      </c>
    </row>
    <row r="368" spans="1:18" x14ac:dyDescent="0.35">
      <c r="A368" s="76">
        <v>364</v>
      </c>
      <c r="B368" s="77" t="s">
        <v>816</v>
      </c>
      <c r="C368" s="9" t="s">
        <v>1961</v>
      </c>
      <c r="D368" s="76" t="s">
        <v>198</v>
      </c>
      <c r="E368" s="79">
        <v>11107986.289678235</v>
      </c>
      <c r="F368" s="47"/>
      <c r="G368" s="47"/>
      <c r="H368" s="47"/>
      <c r="I368" s="47"/>
      <c r="J368" s="47"/>
      <c r="K368" s="84"/>
      <c r="L368" s="47">
        <v>-781015.55708997662</v>
      </c>
      <c r="M368" s="47"/>
      <c r="N368" s="47"/>
      <c r="O368" s="47"/>
      <c r="P368" s="47"/>
      <c r="Q368" s="47"/>
      <c r="R368" s="47">
        <f t="shared" si="6"/>
        <v>10326970.732588258</v>
      </c>
    </row>
    <row r="369" spans="1:18" x14ac:dyDescent="0.35">
      <c r="A369" s="76">
        <v>365</v>
      </c>
      <c r="B369" s="77" t="s">
        <v>818</v>
      </c>
      <c r="C369" s="9" t="s">
        <v>2210</v>
      </c>
      <c r="D369" s="76" t="s">
        <v>92</v>
      </c>
      <c r="E369" s="79">
        <v>2388536.8030920876</v>
      </c>
      <c r="F369" s="47"/>
      <c r="G369" s="47"/>
      <c r="H369" s="47"/>
      <c r="I369" s="47"/>
      <c r="J369" s="47"/>
      <c r="K369" s="84"/>
      <c r="L369" s="47"/>
      <c r="M369" s="47"/>
      <c r="N369" s="47"/>
      <c r="O369" s="47"/>
      <c r="P369" s="47"/>
      <c r="Q369" s="47"/>
      <c r="R369" s="47">
        <f t="shared" si="6"/>
        <v>2388536.8030920876</v>
      </c>
    </row>
    <row r="370" spans="1:18" x14ac:dyDescent="0.35">
      <c r="A370" s="76">
        <v>366</v>
      </c>
      <c r="B370" s="77" t="s">
        <v>820</v>
      </c>
      <c r="C370" s="9" t="s">
        <v>2049</v>
      </c>
      <c r="D370" s="76" t="s">
        <v>22</v>
      </c>
      <c r="E370" s="79">
        <v>4100405.4797031386</v>
      </c>
      <c r="F370" s="47"/>
      <c r="G370" s="47"/>
      <c r="H370" s="47"/>
      <c r="I370" s="47"/>
      <c r="J370" s="47"/>
      <c r="K370" s="84"/>
      <c r="L370" s="47"/>
      <c r="M370" s="47"/>
      <c r="N370" s="47"/>
      <c r="O370" s="47"/>
      <c r="P370" s="47"/>
      <c r="Q370" s="47"/>
      <c r="R370" s="47">
        <f t="shared" si="6"/>
        <v>4100405.4797031386</v>
      </c>
    </row>
    <row r="371" spans="1:18" x14ac:dyDescent="0.35">
      <c r="A371" s="76">
        <v>367</v>
      </c>
      <c r="B371" s="77" t="s">
        <v>822</v>
      </c>
      <c r="C371" s="9" t="s">
        <v>823</v>
      </c>
      <c r="D371" s="76" t="s">
        <v>11</v>
      </c>
      <c r="E371" s="79">
        <v>1768476.7085807524</v>
      </c>
      <c r="F371" s="47"/>
      <c r="G371" s="47"/>
      <c r="H371" s="47"/>
      <c r="I371" s="47"/>
      <c r="J371" s="47"/>
      <c r="K371" s="84"/>
      <c r="L371" s="47"/>
      <c r="M371" s="47"/>
      <c r="N371" s="47"/>
      <c r="O371" s="47"/>
      <c r="P371" s="47"/>
      <c r="Q371" s="47"/>
      <c r="R371" s="47">
        <f t="shared" si="6"/>
        <v>1768476.7085807524</v>
      </c>
    </row>
    <row r="372" spans="1:18" x14ac:dyDescent="0.35">
      <c r="A372" s="76">
        <v>368</v>
      </c>
      <c r="B372" s="77" t="s">
        <v>824</v>
      </c>
      <c r="C372" s="9" t="s">
        <v>2050</v>
      </c>
      <c r="D372" s="76" t="s">
        <v>367</v>
      </c>
      <c r="E372" s="79">
        <v>3262591.3472851645</v>
      </c>
      <c r="F372" s="47"/>
      <c r="G372" s="47"/>
      <c r="H372" s="47"/>
      <c r="I372" s="47"/>
      <c r="J372" s="47"/>
      <c r="K372" s="84"/>
      <c r="L372" s="47">
        <v>-453010.38156367553</v>
      </c>
      <c r="M372" s="47"/>
      <c r="N372" s="47"/>
      <c r="O372" s="47"/>
      <c r="P372" s="47"/>
      <c r="Q372" s="47"/>
      <c r="R372" s="47">
        <f t="shared" si="6"/>
        <v>2809580.9657214889</v>
      </c>
    </row>
    <row r="373" spans="1:18" x14ac:dyDescent="0.35">
      <c r="A373" s="76">
        <v>369</v>
      </c>
      <c r="B373" s="77" t="s">
        <v>826</v>
      </c>
      <c r="C373" s="9" t="s">
        <v>2051</v>
      </c>
      <c r="D373" s="76" t="s">
        <v>828</v>
      </c>
      <c r="E373" s="79">
        <v>14850975.926216375</v>
      </c>
      <c r="F373" s="47"/>
      <c r="G373" s="47"/>
      <c r="H373" s="47"/>
      <c r="I373" s="47"/>
      <c r="J373" s="47"/>
      <c r="K373" s="84"/>
      <c r="L373" s="47">
        <v>-1086592.7371946685</v>
      </c>
      <c r="M373" s="47"/>
      <c r="N373" s="47"/>
      <c r="O373" s="47"/>
      <c r="P373" s="47"/>
      <c r="Q373" s="47"/>
      <c r="R373" s="47">
        <f t="shared" si="6"/>
        <v>13764383.189021707</v>
      </c>
    </row>
    <row r="374" spans="1:18" x14ac:dyDescent="0.35">
      <c r="A374" s="76">
        <v>370</v>
      </c>
      <c r="B374" s="77" t="s">
        <v>829</v>
      </c>
      <c r="C374" s="9" t="s">
        <v>2052</v>
      </c>
      <c r="D374" s="76" t="s">
        <v>136</v>
      </c>
      <c r="E374" s="79">
        <v>2432512.6216336777</v>
      </c>
      <c r="F374" s="47"/>
      <c r="G374" s="47"/>
      <c r="H374" s="47"/>
      <c r="I374" s="47"/>
      <c r="J374" s="47"/>
      <c r="K374" s="84"/>
      <c r="L374" s="47"/>
      <c r="M374" s="47"/>
      <c r="N374" s="47"/>
      <c r="O374" s="47"/>
      <c r="P374" s="47"/>
      <c r="Q374" s="47"/>
      <c r="R374" s="47">
        <f t="shared" si="6"/>
        <v>2432512.6216336777</v>
      </c>
    </row>
    <row r="375" spans="1:18" x14ac:dyDescent="0.35">
      <c r="A375" s="76">
        <v>371</v>
      </c>
      <c r="B375" s="77" t="s">
        <v>831</v>
      </c>
      <c r="C375" s="9" t="s">
        <v>2053</v>
      </c>
      <c r="D375" s="76" t="s">
        <v>60</v>
      </c>
      <c r="E375" s="79">
        <v>2375448.2679400705</v>
      </c>
      <c r="F375" s="47"/>
      <c r="G375" s="47"/>
      <c r="H375" s="47"/>
      <c r="I375" s="47"/>
      <c r="J375" s="47"/>
      <c r="K375" s="84"/>
      <c r="L375" s="47"/>
      <c r="M375" s="47"/>
      <c r="N375" s="47"/>
      <c r="O375" s="47"/>
      <c r="P375" s="47"/>
      <c r="Q375" s="47"/>
      <c r="R375" s="47">
        <f t="shared" si="6"/>
        <v>2375448.2679400705</v>
      </c>
    </row>
    <row r="376" spans="1:18" x14ac:dyDescent="0.35">
      <c r="A376" s="76">
        <v>372</v>
      </c>
      <c r="B376" s="77" t="s">
        <v>833</v>
      </c>
      <c r="C376" s="9" t="s">
        <v>2054</v>
      </c>
      <c r="D376" s="76" t="s">
        <v>25</v>
      </c>
      <c r="E376" s="79">
        <v>6003615.8413952291</v>
      </c>
      <c r="F376" s="47"/>
      <c r="G376" s="47"/>
      <c r="H376" s="47"/>
      <c r="I376" s="47"/>
      <c r="J376" s="47"/>
      <c r="K376" s="84"/>
      <c r="L376" s="47"/>
      <c r="M376" s="47"/>
      <c r="N376" s="47"/>
      <c r="O376" s="47"/>
      <c r="P376" s="47"/>
      <c r="Q376" s="47"/>
      <c r="R376" s="47">
        <f t="shared" si="6"/>
        <v>6003615.8413952291</v>
      </c>
    </row>
    <row r="377" spans="1:18" x14ac:dyDescent="0.35">
      <c r="A377" s="76">
        <v>373</v>
      </c>
      <c r="B377" s="77" t="s">
        <v>835</v>
      </c>
      <c r="C377" s="9" t="s">
        <v>836</v>
      </c>
      <c r="D377" s="76" t="s">
        <v>65</v>
      </c>
      <c r="E377" s="79">
        <v>693042.001730063</v>
      </c>
      <c r="F377" s="47"/>
      <c r="G377" s="47"/>
      <c r="H377" s="47"/>
      <c r="I377" s="47"/>
      <c r="J377" s="47"/>
      <c r="K377" s="84"/>
      <c r="L377" s="47"/>
      <c r="M377" s="47"/>
      <c r="N377" s="47"/>
      <c r="O377" s="47"/>
      <c r="P377" s="47"/>
      <c r="Q377" s="47"/>
      <c r="R377" s="47">
        <f t="shared" si="6"/>
        <v>693042.001730063</v>
      </c>
    </row>
    <row r="378" spans="1:18" x14ac:dyDescent="0.35">
      <c r="A378" s="76">
        <v>374</v>
      </c>
      <c r="B378" s="77" t="s">
        <v>837</v>
      </c>
      <c r="C378" s="9" t="s">
        <v>2267</v>
      </c>
      <c r="D378" s="76" t="s">
        <v>166</v>
      </c>
      <c r="E378" s="79">
        <v>412294</v>
      </c>
      <c r="F378" s="47"/>
      <c r="G378" s="47"/>
      <c r="H378" s="47"/>
      <c r="I378" s="47"/>
      <c r="J378" s="47"/>
      <c r="K378" s="84"/>
      <c r="L378" s="47"/>
      <c r="M378" s="47"/>
      <c r="N378" s="47"/>
      <c r="O378" s="47"/>
      <c r="P378" s="47"/>
      <c r="Q378" s="47"/>
      <c r="R378" s="47">
        <f t="shared" si="6"/>
        <v>412294</v>
      </c>
    </row>
    <row r="379" spans="1:18" x14ac:dyDescent="0.35">
      <c r="A379" s="76">
        <v>375</v>
      </c>
      <c r="B379" s="77" t="s">
        <v>839</v>
      </c>
      <c r="C379" s="9" t="s">
        <v>2055</v>
      </c>
      <c r="D379" s="76" t="s">
        <v>92</v>
      </c>
      <c r="E379" s="79">
        <v>13048275.540794658</v>
      </c>
      <c r="F379" s="47"/>
      <c r="G379" s="47"/>
      <c r="H379" s="47"/>
      <c r="I379" s="47"/>
      <c r="J379" s="47"/>
      <c r="K379" s="84"/>
      <c r="L379" s="47"/>
      <c r="M379" s="47"/>
      <c r="N379" s="47"/>
      <c r="O379" s="47"/>
      <c r="P379" s="47"/>
      <c r="Q379" s="47"/>
      <c r="R379" s="47">
        <f t="shared" si="6"/>
        <v>13048275.540794658</v>
      </c>
    </row>
    <row r="380" spans="1:18" x14ac:dyDescent="0.35">
      <c r="A380" s="76">
        <v>376</v>
      </c>
      <c r="B380" s="77" t="s">
        <v>841</v>
      </c>
      <c r="C380" s="9" t="s">
        <v>2056</v>
      </c>
      <c r="D380" s="76" t="s">
        <v>136</v>
      </c>
      <c r="E380" s="79">
        <v>935356.06953557243</v>
      </c>
      <c r="F380" s="47"/>
      <c r="G380" s="47"/>
      <c r="H380" s="47"/>
      <c r="I380" s="47"/>
      <c r="J380" s="47"/>
      <c r="K380" s="84"/>
      <c r="L380" s="47"/>
      <c r="M380" s="47"/>
      <c r="N380" s="47"/>
      <c r="O380" s="47"/>
      <c r="P380" s="47"/>
      <c r="Q380" s="47"/>
      <c r="R380" s="47">
        <f t="shared" si="6"/>
        <v>935356.06953557243</v>
      </c>
    </row>
    <row r="381" spans="1:18" x14ac:dyDescent="0.35">
      <c r="A381" s="76">
        <v>377</v>
      </c>
      <c r="B381" s="77" t="s">
        <v>843</v>
      </c>
      <c r="C381" s="9" t="s">
        <v>2268</v>
      </c>
      <c r="D381" s="76" t="s">
        <v>98</v>
      </c>
      <c r="E381" s="79">
        <v>37264.422429669648</v>
      </c>
      <c r="F381" s="47"/>
      <c r="G381" s="47"/>
      <c r="H381" s="47"/>
      <c r="I381" s="47"/>
      <c r="J381" s="47"/>
      <c r="K381" s="84"/>
      <c r="L381" s="47"/>
      <c r="M381" s="47"/>
      <c r="N381" s="47"/>
      <c r="O381" s="47"/>
      <c r="P381" s="47"/>
      <c r="Q381" s="47"/>
      <c r="R381" s="47">
        <f t="shared" si="6"/>
        <v>37264.422429669648</v>
      </c>
    </row>
    <row r="382" spans="1:18" x14ac:dyDescent="0.35">
      <c r="A382" s="76">
        <v>378</v>
      </c>
      <c r="B382" s="77" t="s">
        <v>845</v>
      </c>
      <c r="C382" s="9" t="s">
        <v>2269</v>
      </c>
      <c r="D382" s="76" t="s">
        <v>52</v>
      </c>
      <c r="E382" s="79">
        <v>65055.473211323842</v>
      </c>
      <c r="F382" s="47"/>
      <c r="G382" s="47"/>
      <c r="H382" s="47"/>
      <c r="I382" s="47"/>
      <c r="J382" s="47"/>
      <c r="K382" s="84"/>
      <c r="L382" s="47"/>
      <c r="M382" s="47"/>
      <c r="N382" s="47"/>
      <c r="O382" s="47"/>
      <c r="P382" s="47"/>
      <c r="Q382" s="47"/>
      <c r="R382" s="47">
        <f t="shared" si="6"/>
        <v>65055.473211323842</v>
      </c>
    </row>
    <row r="383" spans="1:18" x14ac:dyDescent="0.35">
      <c r="A383" s="76">
        <v>379</v>
      </c>
      <c r="B383" s="77" t="s">
        <v>847</v>
      </c>
      <c r="C383" s="9" t="s">
        <v>848</v>
      </c>
      <c r="D383" s="76" t="s">
        <v>25</v>
      </c>
      <c r="E383" s="79">
        <v>1141874.8689332209</v>
      </c>
      <c r="F383" s="47">
        <v>-1141875</v>
      </c>
      <c r="G383" s="47"/>
      <c r="H383" s="47"/>
      <c r="I383" s="47"/>
      <c r="J383" s="47"/>
      <c r="K383" s="84"/>
      <c r="L383" s="47"/>
      <c r="M383" s="47"/>
      <c r="N383" s="47"/>
      <c r="O383" s="47"/>
      <c r="P383" s="47"/>
      <c r="Q383" s="47"/>
      <c r="R383" s="47">
        <f t="shared" si="6"/>
        <v>-0.13106677914038301</v>
      </c>
    </row>
    <row r="384" spans="1:18" x14ac:dyDescent="0.35">
      <c r="A384" s="76">
        <v>380</v>
      </c>
      <c r="B384" s="77" t="s">
        <v>849</v>
      </c>
      <c r="C384" s="9" t="s">
        <v>2196</v>
      </c>
      <c r="D384" s="76" t="s">
        <v>851</v>
      </c>
      <c r="E384" s="79">
        <v>7272136.454006887</v>
      </c>
      <c r="F384" s="47"/>
      <c r="G384" s="47"/>
      <c r="H384" s="47"/>
      <c r="I384" s="47"/>
      <c r="J384" s="47"/>
      <c r="K384" s="84"/>
      <c r="L384" s="47"/>
      <c r="M384" s="47"/>
      <c r="N384" s="47"/>
      <c r="O384" s="47"/>
      <c r="P384" s="47"/>
      <c r="Q384" s="47"/>
      <c r="R384" s="47">
        <f t="shared" si="6"/>
        <v>7272136.454006887</v>
      </c>
    </row>
    <row r="385" spans="1:18" x14ac:dyDescent="0.35">
      <c r="A385" s="76">
        <v>381</v>
      </c>
      <c r="B385" s="77" t="s">
        <v>852</v>
      </c>
      <c r="C385" s="9" t="s">
        <v>2270</v>
      </c>
      <c r="D385" s="76" t="s">
        <v>19</v>
      </c>
      <c r="E385" s="79">
        <v>1723221.6190037541</v>
      </c>
      <c r="F385" s="47"/>
      <c r="G385" s="47"/>
      <c r="H385" s="47"/>
      <c r="I385" s="47"/>
      <c r="J385" s="47"/>
      <c r="K385" s="84"/>
      <c r="L385" s="47"/>
      <c r="M385" s="47"/>
      <c r="N385" s="47"/>
      <c r="O385" s="47"/>
      <c r="P385" s="47"/>
      <c r="Q385" s="47"/>
      <c r="R385" s="47">
        <f t="shared" si="6"/>
        <v>1723221.6190037541</v>
      </c>
    </row>
    <row r="386" spans="1:18" x14ac:dyDescent="0.35">
      <c r="A386" s="76">
        <v>382</v>
      </c>
      <c r="B386" s="77" t="s">
        <v>854</v>
      </c>
      <c r="C386" s="9" t="s">
        <v>2236</v>
      </c>
      <c r="D386" s="76" t="s">
        <v>95</v>
      </c>
      <c r="E386" s="79">
        <v>214089.82880702708</v>
      </c>
      <c r="F386" s="47"/>
      <c r="G386" s="47"/>
      <c r="H386" s="47"/>
      <c r="I386" s="47"/>
      <c r="J386" s="47"/>
      <c r="K386" s="84"/>
      <c r="L386" s="47"/>
      <c r="M386" s="47"/>
      <c r="N386" s="47"/>
      <c r="O386" s="47"/>
      <c r="P386" s="47"/>
      <c r="Q386" s="47"/>
      <c r="R386" s="47">
        <f t="shared" si="6"/>
        <v>214089.82880702708</v>
      </c>
    </row>
    <row r="387" spans="1:18" x14ac:dyDescent="0.35">
      <c r="A387" s="76">
        <v>383</v>
      </c>
      <c r="B387" s="77" t="s">
        <v>856</v>
      </c>
      <c r="C387" s="9" t="s">
        <v>1756</v>
      </c>
      <c r="D387" s="76" t="s">
        <v>25</v>
      </c>
      <c r="E387" s="79">
        <v>4109784.9480718221</v>
      </c>
      <c r="F387" s="47"/>
      <c r="G387" s="47"/>
      <c r="H387" s="47"/>
      <c r="I387" s="47"/>
      <c r="J387" s="47"/>
      <c r="K387" s="84"/>
      <c r="L387" s="47">
        <v>-570549.63843143033</v>
      </c>
      <c r="M387" s="47"/>
      <c r="N387" s="47"/>
      <c r="O387" s="47"/>
      <c r="P387" s="47"/>
      <c r="Q387" s="47"/>
      <c r="R387" s="47">
        <f t="shared" si="6"/>
        <v>3539235.3096403917</v>
      </c>
    </row>
    <row r="388" spans="1:18" x14ac:dyDescent="0.35">
      <c r="A388" s="76">
        <v>384</v>
      </c>
      <c r="B388" s="77" t="s">
        <v>858</v>
      </c>
      <c r="C388" s="9" t="s">
        <v>1904</v>
      </c>
      <c r="D388" s="76" t="s">
        <v>698</v>
      </c>
      <c r="E388" s="79">
        <v>12257010.141362693</v>
      </c>
      <c r="F388" s="47"/>
      <c r="G388" s="47"/>
      <c r="H388" s="47"/>
      <c r="I388" s="47"/>
      <c r="J388" s="47"/>
      <c r="K388" s="84"/>
      <c r="L388" s="47"/>
      <c r="M388" s="47"/>
      <c r="N388" s="47"/>
      <c r="O388" s="47"/>
      <c r="P388" s="47"/>
      <c r="Q388" s="47"/>
      <c r="R388" s="47">
        <f t="shared" si="6"/>
        <v>12257010.141362693</v>
      </c>
    </row>
    <row r="389" spans="1:18" x14ac:dyDescent="0.35">
      <c r="A389" s="76">
        <v>385</v>
      </c>
      <c r="B389" s="77" t="s">
        <v>860</v>
      </c>
      <c r="C389" s="9" t="s">
        <v>1905</v>
      </c>
      <c r="D389" s="76" t="s">
        <v>77</v>
      </c>
      <c r="E389" s="79">
        <v>4846865.9824401606</v>
      </c>
      <c r="F389" s="47"/>
      <c r="G389" s="47"/>
      <c r="H389" s="47"/>
      <c r="I389" s="47"/>
      <c r="J389" s="47"/>
      <c r="K389" s="84"/>
      <c r="L389" s="47"/>
      <c r="M389" s="47"/>
      <c r="N389" s="47"/>
      <c r="O389" s="47"/>
      <c r="P389" s="47"/>
      <c r="Q389" s="47"/>
      <c r="R389" s="47">
        <f t="shared" si="6"/>
        <v>4846865.9824401606</v>
      </c>
    </row>
    <row r="390" spans="1:18" x14ac:dyDescent="0.35">
      <c r="A390" s="76">
        <v>386</v>
      </c>
      <c r="B390" s="77" t="s">
        <v>862</v>
      </c>
      <c r="C390" s="9" t="s">
        <v>863</v>
      </c>
      <c r="D390" s="76" t="s">
        <v>25</v>
      </c>
      <c r="E390" s="79">
        <v>2976770.7214895063</v>
      </c>
      <c r="F390" s="47"/>
      <c r="G390" s="47"/>
      <c r="H390" s="47"/>
      <c r="I390" s="47"/>
      <c r="J390" s="47"/>
      <c r="K390" s="84"/>
      <c r="L390" s="47"/>
      <c r="M390" s="47"/>
      <c r="N390" s="47"/>
      <c r="O390" s="47"/>
      <c r="P390" s="47"/>
      <c r="Q390" s="47"/>
      <c r="R390" s="47">
        <f t="shared" si="6"/>
        <v>2976770.7214895063</v>
      </c>
    </row>
    <row r="391" spans="1:18" x14ac:dyDescent="0.35">
      <c r="A391" s="76">
        <v>387</v>
      </c>
      <c r="B391" s="77" t="s">
        <v>864</v>
      </c>
      <c r="C391" s="9" t="s">
        <v>865</v>
      </c>
      <c r="D391" s="76" t="s">
        <v>49</v>
      </c>
      <c r="E391" s="79">
        <v>662041.08690312982</v>
      </c>
      <c r="F391" s="47"/>
      <c r="G391" s="47"/>
      <c r="H391" s="47"/>
      <c r="I391" s="47"/>
      <c r="J391" s="47"/>
      <c r="K391" s="84"/>
      <c r="L391" s="47"/>
      <c r="M391" s="47"/>
      <c r="N391" s="47"/>
      <c r="O391" s="47"/>
      <c r="P391" s="47"/>
      <c r="Q391" s="47"/>
      <c r="R391" s="47">
        <f t="shared" si="6"/>
        <v>662041.08690312982</v>
      </c>
    </row>
    <row r="392" spans="1:18" x14ac:dyDescent="0.35">
      <c r="A392" s="76">
        <v>388</v>
      </c>
      <c r="B392" s="77" t="s">
        <v>866</v>
      </c>
      <c r="C392" s="9" t="s">
        <v>1650</v>
      </c>
      <c r="D392" s="76" t="s">
        <v>367</v>
      </c>
      <c r="E392" s="79">
        <v>0</v>
      </c>
      <c r="F392" s="47"/>
      <c r="G392" s="47"/>
      <c r="H392" s="47"/>
      <c r="I392" s="47"/>
      <c r="J392" s="47"/>
      <c r="K392" s="84"/>
      <c r="L392" s="47"/>
      <c r="M392" s="47"/>
      <c r="N392" s="47"/>
      <c r="O392" s="47"/>
      <c r="P392" s="47"/>
      <c r="Q392" s="47"/>
      <c r="R392" s="47">
        <f t="shared" si="6"/>
        <v>0</v>
      </c>
    </row>
    <row r="393" spans="1:18" x14ac:dyDescent="0.35">
      <c r="A393" s="76">
        <v>389</v>
      </c>
      <c r="B393" s="77" t="s">
        <v>868</v>
      </c>
      <c r="C393" s="9" t="s">
        <v>869</v>
      </c>
      <c r="D393" s="76" t="s">
        <v>169</v>
      </c>
      <c r="E393" s="79">
        <v>52730.846195780148</v>
      </c>
      <c r="F393" s="47"/>
      <c r="G393" s="47"/>
      <c r="H393" s="47"/>
      <c r="I393" s="47"/>
      <c r="J393" s="47"/>
      <c r="K393" s="84"/>
      <c r="L393" s="47"/>
      <c r="M393" s="47"/>
      <c r="N393" s="47"/>
      <c r="O393" s="47"/>
      <c r="P393" s="47"/>
      <c r="Q393" s="47"/>
      <c r="R393" s="47">
        <f t="shared" si="6"/>
        <v>52730.846195780148</v>
      </c>
    </row>
    <row r="394" spans="1:18" x14ac:dyDescent="0.35">
      <c r="A394" s="76">
        <v>390</v>
      </c>
      <c r="B394" s="77" t="s">
        <v>870</v>
      </c>
      <c r="C394" s="9" t="s">
        <v>1651</v>
      </c>
      <c r="D394" s="76" t="s">
        <v>80</v>
      </c>
      <c r="E394" s="79">
        <v>-0.2510682821739465</v>
      </c>
      <c r="F394" s="47"/>
      <c r="G394" s="47"/>
      <c r="H394" s="47"/>
      <c r="I394" s="47"/>
      <c r="J394" s="47"/>
      <c r="K394" s="84"/>
      <c r="L394" s="47"/>
      <c r="M394" s="47"/>
      <c r="N394" s="47"/>
      <c r="O394" s="47"/>
      <c r="P394" s="47"/>
      <c r="Q394" s="47"/>
      <c r="R394" s="47">
        <f t="shared" si="6"/>
        <v>-0.2510682821739465</v>
      </c>
    </row>
    <row r="395" spans="1:18" x14ac:dyDescent="0.35">
      <c r="A395" s="76">
        <v>391</v>
      </c>
      <c r="B395" s="77" t="s">
        <v>872</v>
      </c>
      <c r="C395" s="9" t="s">
        <v>873</v>
      </c>
      <c r="D395" s="76" t="s">
        <v>354</v>
      </c>
      <c r="E395" s="79">
        <v>-49690.169829299557</v>
      </c>
      <c r="F395" s="47"/>
      <c r="G395" s="47"/>
      <c r="H395" s="47"/>
      <c r="I395" s="47"/>
      <c r="J395" s="47"/>
      <c r="K395" s="84"/>
      <c r="L395" s="47">
        <v>-49690</v>
      </c>
      <c r="M395" s="47"/>
      <c r="N395" s="47"/>
      <c r="O395" s="47"/>
      <c r="P395" s="47"/>
      <c r="Q395" s="47"/>
      <c r="R395" s="47">
        <f t="shared" si="6"/>
        <v>-99380.169829299557</v>
      </c>
    </row>
    <row r="396" spans="1:18" x14ac:dyDescent="0.35">
      <c r="A396" s="76">
        <v>392</v>
      </c>
      <c r="B396" s="77" t="s">
        <v>874</v>
      </c>
      <c r="C396" s="9" t="s">
        <v>875</v>
      </c>
      <c r="D396" s="76" t="s">
        <v>231</v>
      </c>
      <c r="E396" s="79">
        <v>43552.820287168637</v>
      </c>
      <c r="F396" s="47"/>
      <c r="G396" s="47"/>
      <c r="H396" s="47"/>
      <c r="I396" s="47"/>
      <c r="J396" s="47"/>
      <c r="K396" s="84"/>
      <c r="L396" s="47"/>
      <c r="M396" s="47"/>
      <c r="N396" s="47"/>
      <c r="O396" s="47"/>
      <c r="P396" s="47"/>
      <c r="Q396" s="47"/>
      <c r="R396" s="47">
        <f t="shared" si="6"/>
        <v>43552.820287168637</v>
      </c>
    </row>
    <row r="397" spans="1:18" x14ac:dyDescent="0.35">
      <c r="A397" s="76">
        <v>393</v>
      </c>
      <c r="B397" s="77" t="s">
        <v>876</v>
      </c>
      <c r="C397" s="9" t="s">
        <v>2271</v>
      </c>
      <c r="D397" s="76" t="s">
        <v>65</v>
      </c>
      <c r="E397" s="79">
        <v>199411.45983493421</v>
      </c>
      <c r="F397" s="47"/>
      <c r="G397" s="47"/>
      <c r="H397" s="47"/>
      <c r="I397" s="47"/>
      <c r="J397" s="47"/>
      <c r="K397" s="84"/>
      <c r="L397" s="47"/>
      <c r="M397" s="47"/>
      <c r="N397" s="47"/>
      <c r="O397" s="47"/>
      <c r="P397" s="47"/>
      <c r="Q397" s="47"/>
      <c r="R397" s="47">
        <f t="shared" si="6"/>
        <v>199411.45983493421</v>
      </c>
    </row>
    <row r="398" spans="1:18" x14ac:dyDescent="0.35">
      <c r="A398" s="76">
        <v>394</v>
      </c>
      <c r="B398" s="77" t="s">
        <v>878</v>
      </c>
      <c r="C398" s="9" t="s">
        <v>1914</v>
      </c>
      <c r="D398" s="76" t="s">
        <v>95</v>
      </c>
      <c r="E398" s="79">
        <v>2739502.4632955333</v>
      </c>
      <c r="F398" s="47"/>
      <c r="G398" s="47"/>
      <c r="H398" s="47"/>
      <c r="I398" s="47"/>
      <c r="J398" s="47"/>
      <c r="K398" s="84"/>
      <c r="L398" s="47"/>
      <c r="M398" s="47"/>
      <c r="N398" s="47"/>
      <c r="O398" s="47"/>
      <c r="P398" s="47"/>
      <c r="Q398" s="47"/>
      <c r="R398" s="47">
        <f t="shared" si="6"/>
        <v>2739502.4632955333</v>
      </c>
    </row>
    <row r="399" spans="1:18" x14ac:dyDescent="0.35">
      <c r="A399" s="76">
        <v>395</v>
      </c>
      <c r="B399" s="77" t="s">
        <v>880</v>
      </c>
      <c r="C399" s="9" t="s">
        <v>1880</v>
      </c>
      <c r="D399" s="76" t="s">
        <v>123</v>
      </c>
      <c r="E399" s="79">
        <v>2595510.178792519</v>
      </c>
      <c r="F399" s="47"/>
      <c r="G399" s="47"/>
      <c r="H399" s="47"/>
      <c r="I399" s="47"/>
      <c r="J399" s="47"/>
      <c r="K399" s="84"/>
      <c r="L399" s="47"/>
      <c r="M399" s="47"/>
      <c r="N399" s="47"/>
      <c r="O399" s="47"/>
      <c r="P399" s="47"/>
      <c r="Q399" s="47"/>
      <c r="R399" s="47">
        <f t="shared" si="6"/>
        <v>2595510.178792519</v>
      </c>
    </row>
    <row r="400" spans="1:18" x14ac:dyDescent="0.35">
      <c r="A400" s="76">
        <v>396</v>
      </c>
      <c r="B400" s="77" t="s">
        <v>882</v>
      </c>
      <c r="C400" s="9" t="s">
        <v>1890</v>
      </c>
      <c r="D400" s="76" t="s">
        <v>215</v>
      </c>
      <c r="E400" s="79">
        <v>5364677.6679381104</v>
      </c>
      <c r="F400" s="47"/>
      <c r="G400" s="47"/>
      <c r="H400" s="47"/>
      <c r="I400" s="47"/>
      <c r="J400" s="47"/>
      <c r="K400" s="84"/>
      <c r="L400" s="47">
        <v>-677640.14086623478</v>
      </c>
      <c r="M400" s="47"/>
      <c r="N400" s="47"/>
      <c r="O400" s="47"/>
      <c r="P400" s="47"/>
      <c r="Q400" s="47"/>
      <c r="R400" s="47">
        <f t="shared" si="6"/>
        <v>4687037.5270718755</v>
      </c>
    </row>
    <row r="401" spans="1:18" x14ac:dyDescent="0.35">
      <c r="A401" s="76">
        <v>397</v>
      </c>
      <c r="B401" s="77" t="s">
        <v>884</v>
      </c>
      <c r="C401" s="9" t="s">
        <v>885</v>
      </c>
      <c r="D401" s="76" t="s">
        <v>123</v>
      </c>
      <c r="E401" s="79">
        <v>1477524.9917339797</v>
      </c>
      <c r="F401" s="47"/>
      <c r="G401" s="47"/>
      <c r="H401" s="47"/>
      <c r="I401" s="47"/>
      <c r="J401" s="47"/>
      <c r="K401" s="84"/>
      <c r="L401" s="47"/>
      <c r="M401" s="47"/>
      <c r="N401" s="47"/>
      <c r="O401" s="47"/>
      <c r="P401" s="47"/>
      <c r="Q401" s="47"/>
      <c r="R401" s="47">
        <f t="shared" si="6"/>
        <v>1477524.9917339797</v>
      </c>
    </row>
    <row r="402" spans="1:18" x14ac:dyDescent="0.35">
      <c r="A402" s="76">
        <v>398</v>
      </c>
      <c r="B402" s="77" t="s">
        <v>886</v>
      </c>
      <c r="C402" s="9" t="s">
        <v>35</v>
      </c>
      <c r="D402" s="76" t="s">
        <v>318</v>
      </c>
      <c r="E402" s="79">
        <v>1753114.4461274878</v>
      </c>
      <c r="F402" s="47"/>
      <c r="G402" s="47"/>
      <c r="H402" s="47"/>
      <c r="I402" s="47"/>
      <c r="J402" s="47"/>
      <c r="K402" s="84"/>
      <c r="L402" s="47"/>
      <c r="M402" s="47"/>
      <c r="N402" s="47"/>
      <c r="O402" s="47"/>
      <c r="P402" s="47"/>
      <c r="Q402" s="47"/>
      <c r="R402" s="47">
        <f t="shared" si="6"/>
        <v>1753114.4461274878</v>
      </c>
    </row>
    <row r="403" spans="1:18" x14ac:dyDescent="0.35">
      <c r="A403" s="76">
        <v>399</v>
      </c>
      <c r="B403" s="77" t="s">
        <v>887</v>
      </c>
      <c r="C403" s="9" t="s">
        <v>888</v>
      </c>
      <c r="D403" s="76" t="s">
        <v>551</v>
      </c>
      <c r="E403" s="79">
        <v>113023.38492858806</v>
      </c>
      <c r="F403" s="47"/>
      <c r="G403" s="47"/>
      <c r="H403" s="47"/>
      <c r="I403" s="47"/>
      <c r="J403" s="47"/>
      <c r="K403" s="84"/>
      <c r="L403" s="47"/>
      <c r="M403" s="47"/>
      <c r="N403" s="47"/>
      <c r="O403" s="47"/>
      <c r="P403" s="47"/>
      <c r="Q403" s="47"/>
      <c r="R403" s="47">
        <f t="shared" si="6"/>
        <v>113023.38492858806</v>
      </c>
    </row>
    <row r="404" spans="1:18" x14ac:dyDescent="0.35">
      <c r="A404" s="76">
        <v>400</v>
      </c>
      <c r="B404" s="77" t="s">
        <v>889</v>
      </c>
      <c r="C404" s="9" t="s">
        <v>1652</v>
      </c>
      <c r="D404" s="76" t="s">
        <v>95</v>
      </c>
      <c r="E404" s="79">
        <v>20515</v>
      </c>
      <c r="F404" s="47"/>
      <c r="G404" s="47"/>
      <c r="H404" s="47"/>
      <c r="I404" s="47"/>
      <c r="J404" s="47"/>
      <c r="K404" s="84"/>
      <c r="L404" s="47"/>
      <c r="M404" s="47"/>
      <c r="N404" s="47"/>
      <c r="O404" s="47"/>
      <c r="P404" s="47"/>
      <c r="Q404" s="47"/>
      <c r="R404" s="47">
        <f t="shared" si="6"/>
        <v>20515</v>
      </c>
    </row>
    <row r="405" spans="1:18" x14ac:dyDescent="0.35">
      <c r="A405" s="76">
        <v>401</v>
      </c>
      <c r="B405" s="77" t="s">
        <v>891</v>
      </c>
      <c r="C405" s="9" t="s">
        <v>2059</v>
      </c>
      <c r="D405" s="76" t="s">
        <v>95</v>
      </c>
      <c r="E405" s="79">
        <v>73733.34471268818</v>
      </c>
      <c r="F405" s="47"/>
      <c r="G405" s="47"/>
      <c r="H405" s="47"/>
      <c r="I405" s="47"/>
      <c r="J405" s="47"/>
      <c r="K405" s="84"/>
      <c r="L405" s="47"/>
      <c r="M405" s="47"/>
      <c r="N405" s="47"/>
      <c r="O405" s="47"/>
      <c r="P405" s="47"/>
      <c r="Q405" s="47"/>
      <c r="R405" s="47">
        <f t="shared" si="6"/>
        <v>73733.34471268818</v>
      </c>
    </row>
    <row r="406" spans="1:18" x14ac:dyDescent="0.35">
      <c r="A406" s="76">
        <v>402</v>
      </c>
      <c r="B406" s="77" t="s">
        <v>893</v>
      </c>
      <c r="C406" s="9" t="s">
        <v>894</v>
      </c>
      <c r="D406" s="76" t="s">
        <v>19</v>
      </c>
      <c r="E406" s="79">
        <v>-0.5206323426682502</v>
      </c>
      <c r="F406" s="47"/>
      <c r="G406" s="47"/>
      <c r="H406" s="47"/>
      <c r="I406" s="47"/>
      <c r="J406" s="47"/>
      <c r="K406" s="84"/>
      <c r="L406" s="47"/>
      <c r="M406" s="47"/>
      <c r="N406" s="47"/>
      <c r="O406" s="47"/>
      <c r="P406" s="47"/>
      <c r="Q406" s="47"/>
      <c r="R406" s="47">
        <f t="shared" si="6"/>
        <v>-0.5206323426682502</v>
      </c>
    </row>
    <row r="407" spans="1:18" x14ac:dyDescent="0.35">
      <c r="A407" s="76">
        <v>403</v>
      </c>
      <c r="B407" s="77" t="s">
        <v>895</v>
      </c>
      <c r="C407" s="9" t="s">
        <v>2272</v>
      </c>
      <c r="D407" s="76" t="s">
        <v>253</v>
      </c>
      <c r="E407" s="79">
        <v>30773.365020134486</v>
      </c>
      <c r="F407" s="47"/>
      <c r="G407" s="47"/>
      <c r="H407" s="47"/>
      <c r="I407" s="47"/>
      <c r="J407" s="47"/>
      <c r="K407" s="84"/>
      <c r="L407" s="47"/>
      <c r="M407" s="47"/>
      <c r="N407" s="47"/>
      <c r="O407" s="47"/>
      <c r="P407" s="47"/>
      <c r="Q407" s="47"/>
      <c r="R407" s="47">
        <f t="shared" si="6"/>
        <v>30773.365020134486</v>
      </c>
    </row>
    <row r="408" spans="1:18" x14ac:dyDescent="0.35">
      <c r="A408" s="76">
        <v>404</v>
      </c>
      <c r="B408" s="77" t="s">
        <v>897</v>
      </c>
      <c r="C408" s="9" t="s">
        <v>898</v>
      </c>
      <c r="D408" s="76"/>
      <c r="E408" s="79">
        <v>10258</v>
      </c>
      <c r="F408" s="47"/>
      <c r="G408" s="47"/>
      <c r="H408" s="47"/>
      <c r="I408" s="47"/>
      <c r="J408" s="47"/>
      <c r="K408" s="84"/>
      <c r="L408" s="47"/>
      <c r="M408" s="47"/>
      <c r="N408" s="47"/>
      <c r="O408" s="47"/>
      <c r="P408" s="47"/>
      <c r="Q408" s="47"/>
      <c r="R408" s="47">
        <f t="shared" si="6"/>
        <v>10258</v>
      </c>
    </row>
    <row r="409" spans="1:18" x14ac:dyDescent="0.35">
      <c r="A409" s="76">
        <v>405</v>
      </c>
      <c r="B409" s="77" t="s">
        <v>899</v>
      </c>
      <c r="C409" s="9" t="s">
        <v>1741</v>
      </c>
      <c r="D409" s="76" t="s">
        <v>77</v>
      </c>
      <c r="E409" s="79">
        <v>96537.547672237968</v>
      </c>
      <c r="F409" s="47"/>
      <c r="G409" s="47"/>
      <c r="H409" s="47"/>
      <c r="I409" s="47"/>
      <c r="J409" s="47"/>
      <c r="K409" s="84"/>
      <c r="L409" s="47"/>
      <c r="M409" s="47"/>
      <c r="N409" s="47"/>
      <c r="O409" s="47"/>
      <c r="P409" s="47"/>
      <c r="Q409" s="47"/>
      <c r="R409" s="47">
        <f t="shared" si="6"/>
        <v>96537.547672237968</v>
      </c>
    </row>
    <row r="410" spans="1:18" x14ac:dyDescent="0.35">
      <c r="A410" s="76">
        <v>406</v>
      </c>
      <c r="B410" s="77" t="s">
        <v>901</v>
      </c>
      <c r="C410" s="9" t="s">
        <v>1740</v>
      </c>
      <c r="D410" s="76" t="s">
        <v>41</v>
      </c>
      <c r="E410" s="79">
        <v>-0.27676260122098029</v>
      </c>
      <c r="F410" s="47"/>
      <c r="G410" s="47"/>
      <c r="H410" s="47"/>
      <c r="I410" s="47"/>
      <c r="J410" s="47"/>
      <c r="K410" s="84"/>
      <c r="L410" s="47"/>
      <c r="M410" s="47"/>
      <c r="N410" s="47"/>
      <c r="O410" s="47"/>
      <c r="P410" s="47"/>
      <c r="Q410" s="47"/>
      <c r="R410" s="47">
        <f t="shared" si="6"/>
        <v>-0.27676260122098029</v>
      </c>
    </row>
    <row r="411" spans="1:18" x14ac:dyDescent="0.35">
      <c r="A411" s="76">
        <v>407</v>
      </c>
      <c r="B411" s="77" t="s">
        <v>903</v>
      </c>
      <c r="C411" s="9" t="s">
        <v>904</v>
      </c>
      <c r="D411" s="76" t="s">
        <v>905</v>
      </c>
      <c r="E411" s="79">
        <v>2421595.9588894835</v>
      </c>
      <c r="F411" s="47"/>
      <c r="G411" s="47"/>
      <c r="H411" s="47"/>
      <c r="I411" s="47"/>
      <c r="J411" s="47"/>
      <c r="K411" s="84"/>
      <c r="L411" s="47"/>
      <c r="M411" s="47"/>
      <c r="N411" s="47"/>
      <c r="O411" s="47"/>
      <c r="P411" s="47"/>
      <c r="Q411" s="47"/>
      <c r="R411" s="47">
        <f t="shared" si="6"/>
        <v>2421595.9588894835</v>
      </c>
    </row>
    <row r="412" spans="1:18" x14ac:dyDescent="0.35">
      <c r="A412" s="76">
        <v>408</v>
      </c>
      <c r="B412" s="77" t="s">
        <v>906</v>
      </c>
      <c r="C412" s="9" t="s">
        <v>1748</v>
      </c>
      <c r="D412" s="76" t="s">
        <v>131</v>
      </c>
      <c r="E412" s="79">
        <v>2078763.5985016525</v>
      </c>
      <c r="F412" s="47"/>
      <c r="G412" s="47"/>
      <c r="H412" s="47"/>
      <c r="I412" s="47"/>
      <c r="J412" s="47"/>
      <c r="K412" s="84"/>
      <c r="L412" s="47"/>
      <c r="M412" s="47"/>
      <c r="N412" s="47"/>
      <c r="O412" s="47"/>
      <c r="P412" s="47"/>
      <c r="Q412" s="47"/>
      <c r="R412" s="47">
        <f t="shared" si="6"/>
        <v>2078763.5985016525</v>
      </c>
    </row>
    <row r="413" spans="1:18" x14ac:dyDescent="0.35">
      <c r="A413" s="76">
        <v>409</v>
      </c>
      <c r="B413" s="77" t="s">
        <v>908</v>
      </c>
      <c r="C413" s="9" t="s">
        <v>2211</v>
      </c>
      <c r="D413" s="76" t="s">
        <v>228</v>
      </c>
      <c r="E413" s="79">
        <v>2239487.1616215408</v>
      </c>
      <c r="F413" s="47"/>
      <c r="G413" s="47"/>
      <c r="H413" s="47"/>
      <c r="I413" s="47"/>
      <c r="J413" s="47">
        <v>-2239487</v>
      </c>
      <c r="K413" s="84"/>
      <c r="L413" s="47"/>
      <c r="M413" s="47"/>
      <c r="N413" s="47"/>
      <c r="O413" s="47"/>
      <c r="P413" s="47"/>
      <c r="Q413" s="47"/>
      <c r="R413" s="47">
        <f t="shared" si="6"/>
        <v>0.16162154078483582</v>
      </c>
    </row>
    <row r="414" spans="1:18" x14ac:dyDescent="0.35">
      <c r="A414" s="76">
        <v>410</v>
      </c>
      <c r="B414" s="77" t="s">
        <v>910</v>
      </c>
      <c r="C414" s="9" t="s">
        <v>2061</v>
      </c>
      <c r="D414" s="76" t="s">
        <v>290</v>
      </c>
      <c r="E414" s="79">
        <v>2216413.7188946363</v>
      </c>
      <c r="F414" s="47"/>
      <c r="G414" s="47"/>
      <c r="H414" s="47"/>
      <c r="I414" s="47"/>
      <c r="J414" s="47"/>
      <c r="K414" s="84"/>
      <c r="L414" s="47">
        <v>-521543.07383594156</v>
      </c>
      <c r="M414" s="47"/>
      <c r="N414" s="47"/>
      <c r="O414" s="47"/>
      <c r="P414" s="47"/>
      <c r="Q414" s="47"/>
      <c r="R414" s="47">
        <f t="shared" ref="R414:R477" si="7">E414+F414+G414+H414+I414+J414+K414+L414+M414+N414+O414+P414+Q414</f>
        <v>1694870.6450586948</v>
      </c>
    </row>
    <row r="415" spans="1:18" x14ac:dyDescent="0.35">
      <c r="A415" s="76">
        <v>411</v>
      </c>
      <c r="B415" s="77" t="s">
        <v>912</v>
      </c>
      <c r="C415" s="9" t="s">
        <v>913</v>
      </c>
      <c r="D415" s="76" t="s">
        <v>92</v>
      </c>
      <c r="E415" s="79">
        <v>751324</v>
      </c>
      <c r="F415" s="47"/>
      <c r="G415" s="47"/>
      <c r="H415" s="47"/>
      <c r="I415" s="47"/>
      <c r="J415" s="47"/>
      <c r="K415" s="84"/>
      <c r="L415" s="47"/>
      <c r="M415" s="47"/>
      <c r="N415" s="47"/>
      <c r="O415" s="47"/>
      <c r="P415" s="47"/>
      <c r="Q415" s="47"/>
      <c r="R415" s="47">
        <f t="shared" si="7"/>
        <v>751324</v>
      </c>
    </row>
    <row r="416" spans="1:18" x14ac:dyDescent="0.35">
      <c r="A416" s="76">
        <v>412</v>
      </c>
      <c r="B416" s="77" t="s">
        <v>914</v>
      </c>
      <c r="C416" s="9" t="s">
        <v>1753</v>
      </c>
      <c r="D416" s="76" t="s">
        <v>260</v>
      </c>
      <c r="E416" s="79">
        <v>723632.28215870401</v>
      </c>
      <c r="F416" s="47"/>
      <c r="G416" s="47"/>
      <c r="H416" s="47"/>
      <c r="I416" s="47"/>
      <c r="J416" s="47"/>
      <c r="K416" s="84"/>
      <c r="L416" s="47"/>
      <c r="M416" s="47"/>
      <c r="N416" s="47"/>
      <c r="O416" s="47"/>
      <c r="P416" s="47"/>
      <c r="Q416" s="47"/>
      <c r="R416" s="47">
        <f t="shared" si="7"/>
        <v>723632.28215870401</v>
      </c>
    </row>
    <row r="417" spans="1:18" x14ac:dyDescent="0.35">
      <c r="A417" s="76">
        <v>413</v>
      </c>
      <c r="B417" s="77" t="s">
        <v>916</v>
      </c>
      <c r="C417" s="9" t="s">
        <v>917</v>
      </c>
      <c r="D417" s="76" t="s">
        <v>46</v>
      </c>
      <c r="E417" s="79">
        <v>1237384.1318850974</v>
      </c>
      <c r="F417" s="47"/>
      <c r="G417" s="47"/>
      <c r="H417" s="47"/>
      <c r="I417" s="47"/>
      <c r="J417" s="47"/>
      <c r="K417" s="84"/>
      <c r="L417" s="47"/>
      <c r="M417" s="47"/>
      <c r="N417" s="47"/>
      <c r="O417" s="47"/>
      <c r="P417" s="47"/>
      <c r="Q417" s="47"/>
      <c r="R417" s="47">
        <f t="shared" si="7"/>
        <v>1237384.1318850974</v>
      </c>
    </row>
    <row r="418" spans="1:18" x14ac:dyDescent="0.35">
      <c r="A418" s="76">
        <v>414</v>
      </c>
      <c r="B418" s="77" t="s">
        <v>918</v>
      </c>
      <c r="C418" s="9" t="s">
        <v>1653</v>
      </c>
      <c r="D418" s="76" t="s">
        <v>128</v>
      </c>
      <c r="E418" s="79">
        <v>198289</v>
      </c>
      <c r="F418" s="47"/>
      <c r="G418" s="47"/>
      <c r="H418" s="47"/>
      <c r="I418" s="47"/>
      <c r="J418" s="47"/>
      <c r="K418" s="84"/>
      <c r="L418" s="47"/>
      <c r="M418" s="47"/>
      <c r="N418" s="47"/>
      <c r="O418" s="47"/>
      <c r="P418" s="47"/>
      <c r="Q418" s="47"/>
      <c r="R418" s="47">
        <f t="shared" si="7"/>
        <v>198289</v>
      </c>
    </row>
    <row r="419" spans="1:18" x14ac:dyDescent="0.35">
      <c r="A419" s="76">
        <v>415</v>
      </c>
      <c r="B419" s="77" t="s">
        <v>920</v>
      </c>
      <c r="C419" s="9" t="s">
        <v>2062</v>
      </c>
      <c r="D419" s="76" t="s">
        <v>72</v>
      </c>
      <c r="E419" s="79">
        <v>2978495.3861749545</v>
      </c>
      <c r="F419" s="47"/>
      <c r="G419" s="47"/>
      <c r="H419" s="47"/>
      <c r="I419" s="47"/>
      <c r="J419" s="47"/>
      <c r="K419" s="84"/>
      <c r="L419" s="47"/>
      <c r="M419" s="47"/>
      <c r="N419" s="47"/>
      <c r="O419" s="47"/>
      <c r="P419" s="47"/>
      <c r="Q419" s="47"/>
      <c r="R419" s="47">
        <f t="shared" si="7"/>
        <v>2978495.3861749545</v>
      </c>
    </row>
    <row r="420" spans="1:18" x14ac:dyDescent="0.35">
      <c r="A420" s="76">
        <v>416</v>
      </c>
      <c r="B420" s="77" t="s">
        <v>922</v>
      </c>
      <c r="C420" s="9" t="s">
        <v>2197</v>
      </c>
      <c r="D420" s="76" t="s">
        <v>41</v>
      </c>
      <c r="E420" s="79">
        <v>-697821.40866634343</v>
      </c>
      <c r="F420" s="47"/>
      <c r="G420" s="47"/>
      <c r="H420" s="47"/>
      <c r="I420" s="47"/>
      <c r="J420" s="47"/>
      <c r="K420" s="84"/>
      <c r="L420" s="47"/>
      <c r="M420" s="47"/>
      <c r="N420" s="47"/>
      <c r="O420" s="47"/>
      <c r="P420" s="47"/>
      <c r="Q420" s="47"/>
      <c r="R420" s="47">
        <f t="shared" si="7"/>
        <v>-697821.40866634343</v>
      </c>
    </row>
    <row r="421" spans="1:18" x14ac:dyDescent="0.35">
      <c r="A421" s="76">
        <v>417</v>
      </c>
      <c r="B421" s="77" t="s">
        <v>924</v>
      </c>
      <c r="C421" s="9" t="s">
        <v>2273</v>
      </c>
      <c r="D421" s="76" t="s">
        <v>141</v>
      </c>
      <c r="E421" s="79">
        <v>84388.351282002404</v>
      </c>
      <c r="F421" s="47"/>
      <c r="G421" s="47"/>
      <c r="H421" s="47"/>
      <c r="I421" s="47"/>
      <c r="J421" s="47"/>
      <c r="K421" s="84"/>
      <c r="L421" s="47"/>
      <c r="M421" s="47"/>
      <c r="N421" s="47"/>
      <c r="O421" s="47"/>
      <c r="P421" s="47"/>
      <c r="Q421" s="47"/>
      <c r="R421" s="47">
        <f t="shared" si="7"/>
        <v>84388.351282002404</v>
      </c>
    </row>
    <row r="422" spans="1:18" x14ac:dyDescent="0.35">
      <c r="A422" s="76">
        <v>418</v>
      </c>
      <c r="B422" s="77" t="s">
        <v>926</v>
      </c>
      <c r="C422" s="9" t="s">
        <v>1715</v>
      </c>
      <c r="D422" s="76" t="s">
        <v>77</v>
      </c>
      <c r="E422" s="79">
        <v>395283.45205149928</v>
      </c>
      <c r="F422" s="47"/>
      <c r="G422" s="47"/>
      <c r="H422" s="47"/>
      <c r="I422" s="47"/>
      <c r="J422" s="47"/>
      <c r="K422" s="84"/>
      <c r="L422" s="47"/>
      <c r="M422" s="47"/>
      <c r="N422" s="47"/>
      <c r="O422" s="47"/>
      <c r="P422" s="47"/>
      <c r="Q422" s="47"/>
      <c r="R422" s="47">
        <f t="shared" si="7"/>
        <v>395283.45205149928</v>
      </c>
    </row>
    <row r="423" spans="1:18" x14ac:dyDescent="0.35">
      <c r="A423" s="76">
        <v>419</v>
      </c>
      <c r="B423" s="77" t="s">
        <v>928</v>
      </c>
      <c r="C423" s="9" t="s">
        <v>929</v>
      </c>
      <c r="D423" s="76"/>
      <c r="E423" s="79">
        <v>50040</v>
      </c>
      <c r="F423" s="47"/>
      <c r="G423" s="47"/>
      <c r="H423" s="47"/>
      <c r="I423" s="47"/>
      <c r="J423" s="47"/>
      <c r="K423" s="84"/>
      <c r="L423" s="47"/>
      <c r="M423" s="47"/>
      <c r="N423" s="47"/>
      <c r="O423" s="47"/>
      <c r="P423" s="47"/>
      <c r="Q423" s="47"/>
      <c r="R423" s="47">
        <f t="shared" si="7"/>
        <v>50040</v>
      </c>
    </row>
    <row r="424" spans="1:18" x14ac:dyDescent="0.35">
      <c r="A424" s="76">
        <v>420</v>
      </c>
      <c r="B424" s="77" t="s">
        <v>930</v>
      </c>
      <c r="C424" s="9" t="s">
        <v>1714</v>
      </c>
      <c r="D424" s="76" t="s">
        <v>83</v>
      </c>
      <c r="E424" s="79">
        <v>30772.527572895866</v>
      </c>
      <c r="F424" s="47"/>
      <c r="G424" s="47"/>
      <c r="H424" s="47"/>
      <c r="I424" s="47"/>
      <c r="J424" s="47"/>
      <c r="K424" s="84"/>
      <c r="L424" s="47"/>
      <c r="M424" s="47"/>
      <c r="N424" s="47"/>
      <c r="O424" s="47"/>
      <c r="P424" s="47"/>
      <c r="Q424" s="47"/>
      <c r="R424" s="47">
        <f t="shared" si="7"/>
        <v>30772.527572895866</v>
      </c>
    </row>
    <row r="425" spans="1:18" x14ac:dyDescent="0.35">
      <c r="A425" s="76">
        <v>421</v>
      </c>
      <c r="B425" s="77" t="s">
        <v>932</v>
      </c>
      <c r="C425" s="9" t="s">
        <v>2237</v>
      </c>
      <c r="D425" s="76" t="s">
        <v>92</v>
      </c>
      <c r="E425" s="79">
        <v>728081</v>
      </c>
      <c r="F425" s="47"/>
      <c r="G425" s="47"/>
      <c r="H425" s="47"/>
      <c r="I425" s="47"/>
      <c r="J425" s="47"/>
      <c r="K425" s="84"/>
      <c r="L425" s="47"/>
      <c r="M425" s="47"/>
      <c r="N425" s="47"/>
      <c r="O425" s="47"/>
      <c r="P425" s="47"/>
      <c r="Q425" s="47"/>
      <c r="R425" s="47">
        <f t="shared" si="7"/>
        <v>728081</v>
      </c>
    </row>
    <row r="426" spans="1:18" x14ac:dyDescent="0.35">
      <c r="A426" s="76">
        <v>422</v>
      </c>
      <c r="B426" s="77" t="s">
        <v>934</v>
      </c>
      <c r="C426" s="9" t="s">
        <v>1873</v>
      </c>
      <c r="D426" s="76" t="s">
        <v>936</v>
      </c>
      <c r="E426" s="79">
        <v>4136374.5569021441</v>
      </c>
      <c r="F426" s="47"/>
      <c r="G426" s="47"/>
      <c r="H426" s="47"/>
      <c r="I426" s="47"/>
      <c r="J426" s="47"/>
      <c r="K426" s="84"/>
      <c r="L426" s="47"/>
      <c r="M426" s="47"/>
      <c r="N426" s="47"/>
      <c r="O426" s="47"/>
      <c r="P426" s="47"/>
      <c r="Q426" s="47"/>
      <c r="R426" s="47">
        <f t="shared" si="7"/>
        <v>4136374.5569021441</v>
      </c>
    </row>
    <row r="427" spans="1:18" x14ac:dyDescent="0.35">
      <c r="A427" s="76">
        <v>423</v>
      </c>
      <c r="B427" s="77" t="s">
        <v>937</v>
      </c>
      <c r="C427" s="9" t="s">
        <v>2274</v>
      </c>
      <c r="D427" s="76" t="s">
        <v>92</v>
      </c>
      <c r="E427" s="79">
        <v>2984869.0941798859</v>
      </c>
      <c r="F427" s="47"/>
      <c r="G427" s="47"/>
      <c r="H427" s="47"/>
      <c r="I427" s="47"/>
      <c r="J427" s="47"/>
      <c r="K427" s="84"/>
      <c r="L427" s="47"/>
      <c r="M427" s="47"/>
      <c r="N427" s="47"/>
      <c r="O427" s="47"/>
      <c r="P427" s="47"/>
      <c r="Q427" s="47"/>
      <c r="R427" s="47">
        <f t="shared" si="7"/>
        <v>2984869.0941798859</v>
      </c>
    </row>
    <row r="428" spans="1:18" x14ac:dyDescent="0.35">
      <c r="A428" s="76">
        <v>424</v>
      </c>
      <c r="B428" s="77" t="s">
        <v>939</v>
      </c>
      <c r="C428" s="9" t="s">
        <v>1884</v>
      </c>
      <c r="D428" s="76" t="s">
        <v>198</v>
      </c>
      <c r="E428" s="79">
        <v>3427958.4676164007</v>
      </c>
      <c r="F428" s="47"/>
      <c r="G428" s="47"/>
      <c r="H428" s="47"/>
      <c r="I428" s="47"/>
      <c r="J428" s="47"/>
      <c r="K428" s="84"/>
      <c r="L428" s="47"/>
      <c r="M428" s="47"/>
      <c r="N428" s="47"/>
      <c r="O428" s="47"/>
      <c r="P428" s="47"/>
      <c r="Q428" s="47"/>
      <c r="R428" s="47">
        <f t="shared" si="7"/>
        <v>3427958.4676164007</v>
      </c>
    </row>
    <row r="429" spans="1:18" x14ac:dyDescent="0.35">
      <c r="A429" s="76">
        <v>425</v>
      </c>
      <c r="B429" s="77" t="s">
        <v>941</v>
      </c>
      <c r="C429" s="9" t="s">
        <v>1845</v>
      </c>
      <c r="D429" s="76" t="s">
        <v>406</v>
      </c>
      <c r="E429" s="79">
        <v>1941354.1811262176</v>
      </c>
      <c r="F429" s="47"/>
      <c r="G429" s="47"/>
      <c r="H429" s="47"/>
      <c r="I429" s="47"/>
      <c r="J429" s="47"/>
      <c r="K429" s="84"/>
      <c r="L429" s="47"/>
      <c r="M429" s="47"/>
      <c r="N429" s="47"/>
      <c r="O429" s="47"/>
      <c r="P429" s="47"/>
      <c r="Q429" s="47"/>
      <c r="R429" s="47">
        <f t="shared" si="7"/>
        <v>1941354.1811262176</v>
      </c>
    </row>
    <row r="430" spans="1:18" x14ac:dyDescent="0.35">
      <c r="A430" s="76">
        <v>426</v>
      </c>
      <c r="B430" s="77" t="s">
        <v>943</v>
      </c>
      <c r="C430" s="9" t="s">
        <v>2063</v>
      </c>
      <c r="D430" s="76" t="s">
        <v>19</v>
      </c>
      <c r="E430" s="79">
        <v>1640962.9772946225</v>
      </c>
      <c r="F430" s="47"/>
      <c r="G430" s="47"/>
      <c r="H430" s="47"/>
      <c r="I430" s="47"/>
      <c r="J430" s="47"/>
      <c r="K430" s="84"/>
      <c r="L430" s="47"/>
      <c r="M430" s="47"/>
      <c r="N430" s="47"/>
      <c r="O430" s="47"/>
      <c r="P430" s="47"/>
      <c r="Q430" s="47"/>
      <c r="R430" s="47">
        <f t="shared" si="7"/>
        <v>1640962.9772946225</v>
      </c>
    </row>
    <row r="431" spans="1:18" x14ac:dyDescent="0.35">
      <c r="A431" s="76">
        <v>427</v>
      </c>
      <c r="B431" s="77" t="s">
        <v>945</v>
      </c>
      <c r="C431" s="9" t="s">
        <v>1928</v>
      </c>
      <c r="D431" s="76" t="s">
        <v>354</v>
      </c>
      <c r="E431" s="79">
        <v>3104661.8749193717</v>
      </c>
      <c r="F431" s="47"/>
      <c r="G431" s="47"/>
      <c r="H431" s="47"/>
      <c r="I431" s="47"/>
      <c r="J431" s="47"/>
      <c r="K431" s="84"/>
      <c r="L431" s="47"/>
      <c r="M431" s="47"/>
      <c r="N431" s="47"/>
      <c r="O431" s="47"/>
      <c r="P431" s="47"/>
      <c r="Q431" s="47"/>
      <c r="R431" s="47">
        <f t="shared" si="7"/>
        <v>3104661.8749193717</v>
      </c>
    </row>
    <row r="432" spans="1:18" x14ac:dyDescent="0.35">
      <c r="A432" s="76">
        <v>428</v>
      </c>
      <c r="B432" s="77" t="s">
        <v>947</v>
      </c>
      <c r="C432" s="9" t="s">
        <v>2198</v>
      </c>
      <c r="D432" s="76" t="s">
        <v>41</v>
      </c>
      <c r="E432" s="79">
        <v>398577</v>
      </c>
      <c r="F432" s="47"/>
      <c r="G432" s="47"/>
      <c r="H432" s="47"/>
      <c r="I432" s="47"/>
      <c r="J432" s="47"/>
      <c r="K432" s="84"/>
      <c r="L432" s="47"/>
      <c r="M432" s="47"/>
      <c r="N432" s="47"/>
      <c r="O432" s="47"/>
      <c r="P432" s="47"/>
      <c r="Q432" s="47"/>
      <c r="R432" s="47">
        <f t="shared" si="7"/>
        <v>398577</v>
      </c>
    </row>
    <row r="433" spans="1:18" x14ac:dyDescent="0.35">
      <c r="A433" s="76">
        <v>429</v>
      </c>
      <c r="B433" s="77" t="s">
        <v>949</v>
      </c>
      <c r="C433" s="9" t="s">
        <v>1847</v>
      </c>
      <c r="D433" s="76" t="s">
        <v>238</v>
      </c>
      <c r="E433" s="79">
        <v>1735836.0330178393</v>
      </c>
      <c r="F433" s="47"/>
      <c r="G433" s="47"/>
      <c r="H433" s="47"/>
      <c r="I433" s="47"/>
      <c r="J433" s="47"/>
      <c r="K433" s="84"/>
      <c r="L433" s="47"/>
      <c r="M433" s="47"/>
      <c r="N433" s="47"/>
      <c r="O433" s="47"/>
      <c r="P433" s="47"/>
      <c r="Q433" s="47"/>
      <c r="R433" s="47">
        <f t="shared" si="7"/>
        <v>1735836.0330178393</v>
      </c>
    </row>
    <row r="434" spans="1:18" x14ac:dyDescent="0.35">
      <c r="A434" s="76">
        <v>430</v>
      </c>
      <c r="B434" s="77" t="s">
        <v>951</v>
      </c>
      <c r="C434" s="9" t="s">
        <v>2212</v>
      </c>
      <c r="D434" s="76" t="s">
        <v>72</v>
      </c>
      <c r="E434" s="79">
        <v>1836856.094024899</v>
      </c>
      <c r="F434" s="47"/>
      <c r="G434" s="47"/>
      <c r="H434" s="47"/>
      <c r="I434" s="47"/>
      <c r="J434" s="47"/>
      <c r="K434" s="84"/>
      <c r="L434" s="47"/>
      <c r="M434" s="47"/>
      <c r="N434" s="47"/>
      <c r="O434" s="47"/>
      <c r="P434" s="47"/>
      <c r="Q434" s="47"/>
      <c r="R434" s="47">
        <f t="shared" si="7"/>
        <v>1836856.094024899</v>
      </c>
    </row>
    <row r="435" spans="1:18" x14ac:dyDescent="0.35">
      <c r="A435" s="76">
        <v>431</v>
      </c>
      <c r="B435" s="77" t="s">
        <v>953</v>
      </c>
      <c r="C435" s="9" t="s">
        <v>1908</v>
      </c>
      <c r="D435" s="76" t="s">
        <v>267</v>
      </c>
      <c r="E435" s="79">
        <v>1983926.4094509978</v>
      </c>
      <c r="F435" s="47"/>
      <c r="G435" s="47"/>
      <c r="H435" s="47"/>
      <c r="I435" s="47"/>
      <c r="J435" s="47"/>
      <c r="K435" s="84"/>
      <c r="L435" s="47">
        <v>-461236.64478420967</v>
      </c>
      <c r="M435" s="47"/>
      <c r="N435" s="47"/>
      <c r="O435" s="47"/>
      <c r="P435" s="47"/>
      <c r="Q435" s="47"/>
      <c r="R435" s="47">
        <f t="shared" si="7"/>
        <v>1522689.7646667883</v>
      </c>
    </row>
    <row r="436" spans="1:18" x14ac:dyDescent="0.35">
      <c r="A436" s="76">
        <v>432</v>
      </c>
      <c r="B436" s="77" t="s">
        <v>955</v>
      </c>
      <c r="C436" s="9" t="s">
        <v>2065</v>
      </c>
      <c r="D436" s="76" t="s">
        <v>19</v>
      </c>
      <c r="E436" s="79">
        <v>3927782.8535169652</v>
      </c>
      <c r="F436" s="47"/>
      <c r="G436" s="47"/>
      <c r="H436" s="47"/>
      <c r="I436" s="47"/>
      <c r="J436" s="47"/>
      <c r="K436" s="84"/>
      <c r="L436" s="47"/>
      <c r="M436" s="47"/>
      <c r="N436" s="47"/>
      <c r="O436" s="47"/>
      <c r="P436" s="47"/>
      <c r="Q436" s="47"/>
      <c r="R436" s="47">
        <f t="shared" si="7"/>
        <v>3927782.8535169652</v>
      </c>
    </row>
    <row r="437" spans="1:18" x14ac:dyDescent="0.35">
      <c r="A437" s="76">
        <v>433</v>
      </c>
      <c r="B437" s="77" t="s">
        <v>957</v>
      </c>
      <c r="C437" s="9" t="s">
        <v>1771</v>
      </c>
      <c r="D437" s="76" t="s">
        <v>406</v>
      </c>
      <c r="E437" s="79">
        <v>2087197.3648004823</v>
      </c>
      <c r="F437" s="47"/>
      <c r="G437" s="47"/>
      <c r="H437" s="47"/>
      <c r="I437" s="47"/>
      <c r="J437" s="47"/>
      <c r="K437" s="84"/>
      <c r="L437" s="47">
        <v>-519207.7901566333</v>
      </c>
      <c r="M437" s="47"/>
      <c r="N437" s="47"/>
      <c r="O437" s="47"/>
      <c r="P437" s="47"/>
      <c r="Q437" s="47"/>
      <c r="R437" s="47">
        <f t="shared" si="7"/>
        <v>1567989.5746438489</v>
      </c>
    </row>
    <row r="438" spans="1:18" x14ac:dyDescent="0.35">
      <c r="A438" s="76">
        <v>434</v>
      </c>
      <c r="B438" s="77" t="s">
        <v>959</v>
      </c>
      <c r="C438" s="9" t="s">
        <v>2213</v>
      </c>
      <c r="D438" s="76" t="s">
        <v>98</v>
      </c>
      <c r="E438" s="79">
        <v>2557449.8946521571</v>
      </c>
      <c r="F438" s="47"/>
      <c r="G438" s="47"/>
      <c r="H438" s="47"/>
      <c r="I438" s="47"/>
      <c r="J438" s="47"/>
      <c r="K438" s="84"/>
      <c r="L438" s="47">
        <v>-470300.02937064331</v>
      </c>
      <c r="M438" s="47"/>
      <c r="N438" s="47"/>
      <c r="O438" s="47"/>
      <c r="P438" s="47"/>
      <c r="Q438" s="47"/>
      <c r="R438" s="47">
        <f t="shared" si="7"/>
        <v>2087149.8652815139</v>
      </c>
    </row>
    <row r="439" spans="1:18" x14ac:dyDescent="0.35">
      <c r="A439" s="76">
        <v>435</v>
      </c>
      <c r="B439" s="77" t="s">
        <v>961</v>
      </c>
      <c r="C439" s="9" t="s">
        <v>962</v>
      </c>
      <c r="D439" s="76" t="s">
        <v>374</v>
      </c>
      <c r="E439" s="79">
        <v>70189.260350375902</v>
      </c>
      <c r="F439" s="47"/>
      <c r="G439" s="47"/>
      <c r="H439" s="47"/>
      <c r="I439" s="47"/>
      <c r="J439" s="47"/>
      <c r="K439" s="84"/>
      <c r="L439" s="47"/>
      <c r="M439" s="47"/>
      <c r="N439" s="47"/>
      <c r="O439" s="47"/>
      <c r="P439" s="47"/>
      <c r="Q439" s="47"/>
      <c r="R439" s="47">
        <f t="shared" si="7"/>
        <v>70189.260350375902</v>
      </c>
    </row>
    <row r="440" spans="1:18" x14ac:dyDescent="0.35">
      <c r="A440" s="76">
        <v>436</v>
      </c>
      <c r="B440" s="77" t="s">
        <v>963</v>
      </c>
      <c r="C440" s="9" t="s">
        <v>964</v>
      </c>
      <c r="D440" s="76" t="s">
        <v>136</v>
      </c>
      <c r="E440" s="79">
        <v>163088.17036131863</v>
      </c>
      <c r="F440" s="47"/>
      <c r="G440" s="47"/>
      <c r="H440" s="47"/>
      <c r="I440" s="47"/>
      <c r="J440" s="47"/>
      <c r="K440" s="84"/>
      <c r="L440" s="47"/>
      <c r="M440" s="47"/>
      <c r="N440" s="47"/>
      <c r="O440" s="47"/>
      <c r="P440" s="47"/>
      <c r="Q440" s="47"/>
      <c r="R440" s="47">
        <f t="shared" si="7"/>
        <v>163088.17036131863</v>
      </c>
    </row>
    <row r="441" spans="1:18" x14ac:dyDescent="0.35">
      <c r="A441" s="76">
        <v>437</v>
      </c>
      <c r="B441" s="77" t="s">
        <v>965</v>
      </c>
      <c r="C441" s="9" t="s">
        <v>2199</v>
      </c>
      <c r="D441" s="76" t="s">
        <v>77</v>
      </c>
      <c r="E441" s="79">
        <v>223068.70769950375</v>
      </c>
      <c r="F441" s="47"/>
      <c r="G441" s="47"/>
      <c r="H441" s="47"/>
      <c r="I441" s="47"/>
      <c r="J441" s="47"/>
      <c r="K441" s="84"/>
      <c r="L441" s="47"/>
      <c r="M441" s="47"/>
      <c r="N441" s="47"/>
      <c r="O441" s="47"/>
      <c r="P441" s="47"/>
      <c r="Q441" s="47"/>
      <c r="R441" s="47">
        <f t="shared" si="7"/>
        <v>223068.70769950375</v>
      </c>
    </row>
    <row r="442" spans="1:18" x14ac:dyDescent="0.35">
      <c r="A442" s="76">
        <v>438</v>
      </c>
      <c r="B442" s="77" t="s">
        <v>967</v>
      </c>
      <c r="C442" s="9" t="s">
        <v>968</v>
      </c>
      <c r="D442" s="76" t="s">
        <v>374</v>
      </c>
      <c r="E442" s="79">
        <v>20951.260350375902</v>
      </c>
      <c r="F442" s="47"/>
      <c r="G442" s="47"/>
      <c r="H442" s="47"/>
      <c r="I442" s="47"/>
      <c r="J442" s="47"/>
      <c r="K442" s="84"/>
      <c r="L442" s="47"/>
      <c r="M442" s="47"/>
      <c r="N442" s="47"/>
      <c r="O442" s="47"/>
      <c r="P442" s="47"/>
      <c r="Q442" s="47"/>
      <c r="R442" s="47">
        <f t="shared" si="7"/>
        <v>20951.260350375902</v>
      </c>
    </row>
    <row r="443" spans="1:18" x14ac:dyDescent="0.35">
      <c r="A443" s="76">
        <v>439</v>
      </c>
      <c r="B443" s="77" t="s">
        <v>969</v>
      </c>
      <c r="C443" s="9" t="s">
        <v>2214</v>
      </c>
      <c r="D443" s="76" t="s">
        <v>19</v>
      </c>
      <c r="E443" s="79">
        <v>3939100.573410593</v>
      </c>
      <c r="F443" s="47"/>
      <c r="G443" s="47"/>
      <c r="H443" s="47"/>
      <c r="I443" s="47"/>
      <c r="J443" s="47"/>
      <c r="K443" s="84"/>
      <c r="L443" s="47"/>
      <c r="M443" s="47"/>
      <c r="N443" s="47"/>
      <c r="O443" s="47"/>
      <c r="P443" s="47"/>
      <c r="Q443" s="47"/>
      <c r="R443" s="47">
        <f t="shared" si="7"/>
        <v>3939100.573410593</v>
      </c>
    </row>
    <row r="444" spans="1:18" x14ac:dyDescent="0.35">
      <c r="A444" s="76">
        <v>440</v>
      </c>
      <c r="B444" s="77" t="s">
        <v>971</v>
      </c>
      <c r="C444" s="9" t="s">
        <v>1658</v>
      </c>
      <c r="D444" s="76" t="s">
        <v>14</v>
      </c>
      <c r="E444" s="79">
        <v>111996.61411527847</v>
      </c>
      <c r="F444" s="47"/>
      <c r="G444" s="47"/>
      <c r="H444" s="47"/>
      <c r="I444" s="47"/>
      <c r="J444" s="47"/>
      <c r="K444" s="84"/>
      <c r="L444" s="47"/>
      <c r="M444" s="47"/>
      <c r="N444" s="47"/>
      <c r="O444" s="47"/>
      <c r="P444" s="47"/>
      <c r="Q444" s="47"/>
      <c r="R444" s="47">
        <f t="shared" si="7"/>
        <v>111996.61411527847</v>
      </c>
    </row>
    <row r="445" spans="1:18" x14ac:dyDescent="0.35">
      <c r="A445" s="76">
        <v>441</v>
      </c>
      <c r="B445" s="77" t="s">
        <v>973</v>
      </c>
      <c r="C445" s="9" t="s">
        <v>1770</v>
      </c>
      <c r="D445" s="76" t="s">
        <v>406</v>
      </c>
      <c r="E445" s="79">
        <v>1705681.5364896497</v>
      </c>
      <c r="F445" s="47"/>
      <c r="G445" s="47"/>
      <c r="H445" s="47"/>
      <c r="I445" s="47"/>
      <c r="J445" s="47"/>
      <c r="K445" s="84"/>
      <c r="L445" s="47"/>
      <c r="M445" s="47">
        <v>-2127294</v>
      </c>
      <c r="N445" s="47"/>
      <c r="O445" s="47"/>
      <c r="P445" s="47"/>
      <c r="Q445" s="47"/>
      <c r="R445" s="47">
        <f t="shared" si="7"/>
        <v>-421612.46351035032</v>
      </c>
    </row>
    <row r="446" spans="1:18" x14ac:dyDescent="0.35">
      <c r="A446" s="76">
        <v>442</v>
      </c>
      <c r="B446" s="77" t="s">
        <v>975</v>
      </c>
      <c r="C446" s="9" t="s">
        <v>1906</v>
      </c>
      <c r="D446" s="76" t="s">
        <v>92</v>
      </c>
      <c r="E446" s="79">
        <v>4032255.2075256864</v>
      </c>
      <c r="F446" s="47"/>
      <c r="G446" s="47"/>
      <c r="H446" s="47"/>
      <c r="I446" s="47"/>
      <c r="J446" s="47"/>
      <c r="K446" s="84"/>
      <c r="L446" s="47"/>
      <c r="M446" s="47"/>
      <c r="N446" s="47"/>
      <c r="O446" s="47"/>
      <c r="P446" s="47"/>
      <c r="Q446" s="47"/>
      <c r="R446" s="47">
        <f t="shared" si="7"/>
        <v>4032255.2075256864</v>
      </c>
    </row>
    <row r="447" spans="1:18" x14ac:dyDescent="0.35">
      <c r="A447" s="76">
        <v>443</v>
      </c>
      <c r="B447" s="77" t="s">
        <v>977</v>
      </c>
      <c r="C447" s="9" t="s">
        <v>978</v>
      </c>
      <c r="D447" s="76" t="s">
        <v>60</v>
      </c>
      <c r="E447" s="79">
        <v>910266</v>
      </c>
      <c r="F447" s="47"/>
      <c r="G447" s="47"/>
      <c r="H447" s="47"/>
      <c r="I447" s="47"/>
      <c r="J447" s="47"/>
      <c r="K447" s="84"/>
      <c r="L447" s="47"/>
      <c r="M447" s="47"/>
      <c r="N447" s="47"/>
      <c r="O447" s="47"/>
      <c r="P447" s="47"/>
      <c r="Q447" s="47"/>
      <c r="R447" s="47">
        <f t="shared" si="7"/>
        <v>910266</v>
      </c>
    </row>
    <row r="448" spans="1:18" x14ac:dyDescent="0.35">
      <c r="A448" s="76">
        <v>444</v>
      </c>
      <c r="B448" s="77" t="s">
        <v>979</v>
      </c>
      <c r="C448" s="9" t="s">
        <v>980</v>
      </c>
      <c r="D448" s="76" t="s">
        <v>92</v>
      </c>
      <c r="E448" s="79">
        <v>745169</v>
      </c>
      <c r="F448" s="47"/>
      <c r="G448" s="47"/>
      <c r="H448" s="47"/>
      <c r="I448" s="47"/>
      <c r="J448" s="47"/>
      <c r="K448" s="84"/>
      <c r="L448" s="47"/>
      <c r="M448" s="47"/>
      <c r="N448" s="47"/>
      <c r="O448" s="47"/>
      <c r="P448" s="47"/>
      <c r="Q448" s="47"/>
      <c r="R448" s="47">
        <f t="shared" si="7"/>
        <v>745169</v>
      </c>
    </row>
    <row r="449" spans="1:18" x14ac:dyDescent="0.35">
      <c r="A449" s="76">
        <v>445</v>
      </c>
      <c r="B449" s="77" t="s">
        <v>981</v>
      </c>
      <c r="C449" s="9" t="s">
        <v>982</v>
      </c>
      <c r="D449" s="76" t="s">
        <v>983</v>
      </c>
      <c r="E449" s="79">
        <v>836517.0357998726</v>
      </c>
      <c r="F449" s="47"/>
      <c r="G449" s="47"/>
      <c r="H449" s="47"/>
      <c r="I449" s="47"/>
      <c r="J449" s="47"/>
      <c r="K449" s="84"/>
      <c r="L449" s="47"/>
      <c r="M449" s="47"/>
      <c r="N449" s="47"/>
      <c r="O449" s="47"/>
      <c r="P449" s="47"/>
      <c r="Q449" s="47"/>
      <c r="R449" s="47">
        <f t="shared" si="7"/>
        <v>836517.0357998726</v>
      </c>
    </row>
    <row r="450" spans="1:18" x14ac:dyDescent="0.35">
      <c r="A450" s="76">
        <v>446</v>
      </c>
      <c r="B450" s="77" t="s">
        <v>984</v>
      </c>
      <c r="C450" s="9" t="s">
        <v>985</v>
      </c>
      <c r="D450" s="76" t="s">
        <v>60</v>
      </c>
      <c r="E450" s="79">
        <v>108834.9780465333</v>
      </c>
      <c r="F450" s="47"/>
      <c r="G450" s="47"/>
      <c r="H450" s="47"/>
      <c r="I450" s="47"/>
      <c r="J450" s="47"/>
      <c r="K450" s="84"/>
      <c r="L450" s="47"/>
      <c r="M450" s="47"/>
      <c r="N450" s="47"/>
      <c r="O450" s="47"/>
      <c r="P450" s="47"/>
      <c r="Q450" s="47"/>
      <c r="R450" s="47">
        <f t="shared" si="7"/>
        <v>108834.9780465333</v>
      </c>
    </row>
    <row r="451" spans="1:18" x14ac:dyDescent="0.35">
      <c r="A451" s="76">
        <v>447</v>
      </c>
      <c r="B451" s="77" t="s">
        <v>986</v>
      </c>
      <c r="C451" s="9" t="s">
        <v>987</v>
      </c>
      <c r="D451" s="76" t="s">
        <v>49</v>
      </c>
      <c r="E451" s="79">
        <v>6535899.1132524144</v>
      </c>
      <c r="F451" s="47"/>
      <c r="G451" s="47"/>
      <c r="H451" s="47"/>
      <c r="I451" s="47"/>
      <c r="J451" s="47"/>
      <c r="K451" s="84"/>
      <c r="L451" s="47"/>
      <c r="M451" s="47"/>
      <c r="N451" s="47"/>
      <c r="O451" s="47"/>
      <c r="P451" s="47"/>
      <c r="Q451" s="47"/>
      <c r="R451" s="47">
        <f t="shared" si="7"/>
        <v>6535899.1132524144</v>
      </c>
    </row>
    <row r="452" spans="1:18" x14ac:dyDescent="0.35">
      <c r="A452" s="76">
        <v>448</v>
      </c>
      <c r="B452" s="77" t="s">
        <v>988</v>
      </c>
      <c r="C452" s="9" t="s">
        <v>1764</v>
      </c>
      <c r="D452" s="76" t="s">
        <v>333</v>
      </c>
      <c r="E452" s="79">
        <v>1523804.4268455191</v>
      </c>
      <c r="F452" s="47"/>
      <c r="G452" s="47"/>
      <c r="H452" s="47"/>
      <c r="I452" s="47"/>
      <c r="J452" s="47"/>
      <c r="K452" s="84"/>
      <c r="L452" s="47">
        <v>-269298.47017824184</v>
      </c>
      <c r="M452" s="47"/>
      <c r="N452" s="47"/>
      <c r="O452" s="47"/>
      <c r="P452" s="47"/>
      <c r="Q452" s="47"/>
      <c r="R452" s="47">
        <f t="shared" si="7"/>
        <v>1254505.9566672773</v>
      </c>
    </row>
    <row r="453" spans="1:18" x14ac:dyDescent="0.35">
      <c r="A453" s="76">
        <v>449</v>
      </c>
      <c r="B453" s="77" t="s">
        <v>990</v>
      </c>
      <c r="C453" s="9" t="s">
        <v>2215</v>
      </c>
      <c r="D453" s="76" t="s">
        <v>119</v>
      </c>
      <c r="E453" s="79">
        <v>1475239.8549081373</v>
      </c>
      <c r="F453" s="47"/>
      <c r="G453" s="47"/>
      <c r="H453" s="47"/>
      <c r="I453" s="47"/>
      <c r="J453" s="47"/>
      <c r="K453" s="84"/>
      <c r="L453" s="47">
        <v>-796966.87517780007</v>
      </c>
      <c r="M453" s="47"/>
      <c r="N453" s="47"/>
      <c r="O453" s="47"/>
      <c r="P453" s="47"/>
      <c r="Q453" s="47"/>
      <c r="R453" s="47">
        <f t="shared" si="7"/>
        <v>678272.97973033728</v>
      </c>
    </row>
    <row r="454" spans="1:18" x14ac:dyDescent="0.35">
      <c r="A454" s="76">
        <v>450</v>
      </c>
      <c r="B454" s="77" t="s">
        <v>992</v>
      </c>
      <c r="C454" s="9" t="s">
        <v>1787</v>
      </c>
      <c r="D454" s="76" t="s">
        <v>119</v>
      </c>
      <c r="E454" s="79">
        <v>1221464.9866795654</v>
      </c>
      <c r="F454" s="47"/>
      <c r="G454" s="47"/>
      <c r="H454" s="47"/>
      <c r="I454" s="47"/>
      <c r="J454" s="47"/>
      <c r="K454" s="84"/>
      <c r="L454" s="47"/>
      <c r="M454" s="47"/>
      <c r="N454" s="47"/>
      <c r="O454" s="47"/>
      <c r="P454" s="47"/>
      <c r="Q454" s="47"/>
      <c r="R454" s="47">
        <f t="shared" si="7"/>
        <v>1221464.9866795654</v>
      </c>
    </row>
    <row r="455" spans="1:18" x14ac:dyDescent="0.35">
      <c r="A455" s="76">
        <v>451</v>
      </c>
      <c r="B455" s="77" t="s">
        <v>994</v>
      </c>
      <c r="C455" s="9" t="s">
        <v>1763</v>
      </c>
      <c r="D455" s="76" t="s">
        <v>318</v>
      </c>
      <c r="E455" s="79">
        <v>1159991.8305233368</v>
      </c>
      <c r="F455" s="47"/>
      <c r="G455" s="47"/>
      <c r="H455" s="47"/>
      <c r="I455" s="47"/>
      <c r="J455" s="47"/>
      <c r="K455" s="84"/>
      <c r="L455" s="47"/>
      <c r="M455" s="47"/>
      <c r="N455" s="47"/>
      <c r="O455" s="47"/>
      <c r="P455" s="47"/>
      <c r="Q455" s="47"/>
      <c r="R455" s="47">
        <f t="shared" si="7"/>
        <v>1159991.8305233368</v>
      </c>
    </row>
    <row r="456" spans="1:18" x14ac:dyDescent="0.35">
      <c r="A456" s="76">
        <v>452</v>
      </c>
      <c r="B456" s="77" t="s">
        <v>996</v>
      </c>
      <c r="C456" s="9" t="s">
        <v>997</v>
      </c>
      <c r="D456" s="76" t="s">
        <v>300</v>
      </c>
      <c r="E456" s="79">
        <v>742883</v>
      </c>
      <c r="F456" s="47"/>
      <c r="G456" s="47"/>
      <c r="H456" s="47"/>
      <c r="I456" s="47"/>
      <c r="J456" s="47"/>
      <c r="K456" s="84"/>
      <c r="L456" s="47"/>
      <c r="M456" s="47"/>
      <c r="N456" s="47"/>
      <c r="O456" s="47"/>
      <c r="P456" s="47"/>
      <c r="Q456" s="47"/>
      <c r="R456" s="47">
        <f t="shared" si="7"/>
        <v>742883</v>
      </c>
    </row>
    <row r="457" spans="1:18" x14ac:dyDescent="0.35">
      <c r="A457" s="76">
        <v>453</v>
      </c>
      <c r="B457" s="77" t="s">
        <v>998</v>
      </c>
      <c r="C457" s="9" t="s">
        <v>999</v>
      </c>
      <c r="D457" s="76" t="s">
        <v>49</v>
      </c>
      <c r="E457" s="79">
        <v>308415.6696519719</v>
      </c>
      <c r="F457" s="47"/>
      <c r="G457" s="47"/>
      <c r="H457" s="47"/>
      <c r="I457" s="47"/>
      <c r="J457" s="47"/>
      <c r="K457" s="84"/>
      <c r="L457" s="47"/>
      <c r="M457" s="47"/>
      <c r="N457" s="47"/>
      <c r="O457" s="47"/>
      <c r="P457" s="47"/>
      <c r="Q457" s="47"/>
      <c r="R457" s="47">
        <f t="shared" si="7"/>
        <v>308415.6696519719</v>
      </c>
    </row>
    <row r="458" spans="1:18" x14ac:dyDescent="0.35">
      <c r="A458" s="76">
        <v>454</v>
      </c>
      <c r="B458" s="77" t="s">
        <v>1000</v>
      </c>
      <c r="C458" s="9" t="s">
        <v>1001</v>
      </c>
      <c r="D458" s="76" t="s">
        <v>14</v>
      </c>
      <c r="E458" s="79">
        <v>1521299.7867723471</v>
      </c>
      <c r="F458" s="47"/>
      <c r="G458" s="47"/>
      <c r="H458" s="47"/>
      <c r="I458" s="47"/>
      <c r="J458" s="47"/>
      <c r="K458" s="84"/>
      <c r="L458" s="47"/>
      <c r="M458" s="47"/>
      <c r="N458" s="47"/>
      <c r="O458" s="47"/>
      <c r="P458" s="47"/>
      <c r="Q458" s="47"/>
      <c r="R458" s="47">
        <f t="shared" si="7"/>
        <v>1521299.7867723471</v>
      </c>
    </row>
    <row r="459" spans="1:18" x14ac:dyDescent="0.35">
      <c r="A459" s="76">
        <v>455</v>
      </c>
      <c r="B459" s="77" t="s">
        <v>1002</v>
      </c>
      <c r="C459" s="9" t="s">
        <v>1003</v>
      </c>
      <c r="D459" s="76" t="s">
        <v>136</v>
      </c>
      <c r="E459" s="79">
        <v>62041</v>
      </c>
      <c r="F459" s="47"/>
      <c r="G459" s="47"/>
      <c r="H459" s="47"/>
      <c r="I459" s="47"/>
      <c r="J459" s="47"/>
      <c r="K459" s="84"/>
      <c r="L459" s="47"/>
      <c r="M459" s="47"/>
      <c r="N459" s="47"/>
      <c r="O459" s="47"/>
      <c r="P459" s="47"/>
      <c r="Q459" s="47"/>
      <c r="R459" s="47">
        <f t="shared" si="7"/>
        <v>62041</v>
      </c>
    </row>
    <row r="460" spans="1:18" x14ac:dyDescent="0.35">
      <c r="A460" s="76">
        <v>456</v>
      </c>
      <c r="B460" s="77" t="s">
        <v>1004</v>
      </c>
      <c r="C460" s="9" t="s">
        <v>1005</v>
      </c>
      <c r="D460" s="76" t="s">
        <v>169</v>
      </c>
      <c r="E460" s="79">
        <v>354015.87034101144</v>
      </c>
      <c r="F460" s="47"/>
      <c r="G460" s="47"/>
      <c r="H460" s="47"/>
      <c r="I460" s="47"/>
      <c r="J460" s="47"/>
      <c r="K460" s="84"/>
      <c r="L460" s="47"/>
      <c r="M460" s="47"/>
      <c r="N460" s="47"/>
      <c r="O460" s="47"/>
      <c r="P460" s="47"/>
      <c r="Q460" s="47"/>
      <c r="R460" s="47">
        <f t="shared" si="7"/>
        <v>354015.87034101144</v>
      </c>
    </row>
    <row r="461" spans="1:18" x14ac:dyDescent="0.35">
      <c r="A461" s="76">
        <v>457</v>
      </c>
      <c r="B461" s="77" t="s">
        <v>1006</v>
      </c>
      <c r="C461" s="9" t="s">
        <v>1659</v>
      </c>
      <c r="D461" s="76" t="s">
        <v>14</v>
      </c>
      <c r="E461" s="79">
        <v>0.47477754740975797</v>
      </c>
      <c r="F461" s="47"/>
      <c r="G461" s="47"/>
      <c r="H461" s="47"/>
      <c r="I461" s="47"/>
      <c r="J461" s="47"/>
      <c r="K461" s="84"/>
      <c r="L461" s="47"/>
      <c r="M461" s="47"/>
      <c r="N461" s="47"/>
      <c r="O461" s="47"/>
      <c r="P461" s="47"/>
      <c r="Q461" s="47"/>
      <c r="R461" s="47">
        <f t="shared" si="7"/>
        <v>0.47477754740975797</v>
      </c>
    </row>
    <row r="462" spans="1:18" x14ac:dyDescent="0.35">
      <c r="A462" s="76">
        <v>458</v>
      </c>
      <c r="B462" s="77" t="s">
        <v>1008</v>
      </c>
      <c r="C462" s="9" t="s">
        <v>2275</v>
      </c>
      <c r="D462" s="76" t="s">
        <v>60</v>
      </c>
      <c r="E462" s="79">
        <v>1429243.0932553308</v>
      </c>
      <c r="F462" s="47"/>
      <c r="G462" s="47"/>
      <c r="H462" s="47"/>
      <c r="I462" s="47"/>
      <c r="J462" s="47"/>
      <c r="K462" s="84"/>
      <c r="L462" s="47"/>
      <c r="M462" s="47"/>
      <c r="N462" s="47"/>
      <c r="O462" s="47"/>
      <c r="P462" s="47"/>
      <c r="Q462" s="47">
        <v>-1898359</v>
      </c>
      <c r="R462" s="47">
        <f t="shared" si="7"/>
        <v>-469115.90674466919</v>
      </c>
    </row>
    <row r="463" spans="1:18" x14ac:dyDescent="0.35">
      <c r="A463" s="76">
        <v>459</v>
      </c>
      <c r="B463" s="77" t="s">
        <v>1010</v>
      </c>
      <c r="C463" s="9" t="s">
        <v>1660</v>
      </c>
      <c r="D463" s="76" t="s">
        <v>60</v>
      </c>
      <c r="E463" s="79">
        <v>95613.23647030734</v>
      </c>
      <c r="F463" s="47"/>
      <c r="G463" s="47"/>
      <c r="H463" s="47"/>
      <c r="I463" s="47"/>
      <c r="J463" s="47"/>
      <c r="K463" s="84"/>
      <c r="L463" s="47"/>
      <c r="M463" s="47"/>
      <c r="N463" s="47"/>
      <c r="O463" s="47"/>
      <c r="P463" s="47"/>
      <c r="Q463" s="47"/>
      <c r="R463" s="47">
        <f t="shared" si="7"/>
        <v>95613.23647030734</v>
      </c>
    </row>
    <row r="464" spans="1:18" x14ac:dyDescent="0.35">
      <c r="A464" s="76">
        <v>460</v>
      </c>
      <c r="B464" s="77" t="s">
        <v>1012</v>
      </c>
      <c r="C464" s="9" t="s">
        <v>2070</v>
      </c>
      <c r="D464" s="76" t="s">
        <v>60</v>
      </c>
      <c r="E464" s="79">
        <v>1445932.0024606124</v>
      </c>
      <c r="F464" s="47"/>
      <c r="G464" s="47"/>
      <c r="H464" s="47"/>
      <c r="I464" s="47"/>
      <c r="J464" s="47"/>
      <c r="K464" s="84"/>
      <c r="L464" s="47"/>
      <c r="M464" s="47"/>
      <c r="N464" s="47"/>
      <c r="O464" s="47"/>
      <c r="P464" s="47"/>
      <c r="Q464" s="47"/>
      <c r="R464" s="47">
        <f t="shared" si="7"/>
        <v>1445932.0024606124</v>
      </c>
    </row>
    <row r="465" spans="1:18" x14ac:dyDescent="0.35">
      <c r="A465" s="76">
        <v>461</v>
      </c>
      <c r="B465" s="77" t="s">
        <v>1014</v>
      </c>
      <c r="C465" s="9" t="s">
        <v>2200</v>
      </c>
      <c r="D465" s="76" t="s">
        <v>60</v>
      </c>
      <c r="E465" s="79">
        <v>90567.651081740391</v>
      </c>
      <c r="F465" s="47"/>
      <c r="G465" s="47"/>
      <c r="H465" s="47"/>
      <c r="I465" s="47"/>
      <c r="J465" s="47"/>
      <c r="K465" s="84"/>
      <c r="L465" s="47"/>
      <c r="M465" s="47"/>
      <c r="N465" s="47"/>
      <c r="O465" s="47"/>
      <c r="P465" s="47"/>
      <c r="Q465" s="47"/>
      <c r="R465" s="47">
        <f t="shared" si="7"/>
        <v>90567.651081740391</v>
      </c>
    </row>
    <row r="466" spans="1:18" x14ac:dyDescent="0.35">
      <c r="A466" s="76">
        <v>462</v>
      </c>
      <c r="B466" s="77" t="s">
        <v>1016</v>
      </c>
      <c r="C466" s="9" t="s">
        <v>2071</v>
      </c>
      <c r="D466" s="76" t="s">
        <v>367</v>
      </c>
      <c r="E466" s="79">
        <v>1423920.5189988005</v>
      </c>
      <c r="F466" s="47"/>
      <c r="G466" s="47"/>
      <c r="H466" s="47"/>
      <c r="I466" s="47"/>
      <c r="J466" s="47"/>
      <c r="K466" s="84"/>
      <c r="L466" s="47"/>
      <c r="M466" s="47"/>
      <c r="N466" s="47"/>
      <c r="O466" s="47"/>
      <c r="P466" s="47"/>
      <c r="Q466" s="47"/>
      <c r="R466" s="47">
        <f t="shared" si="7"/>
        <v>1423920.5189988005</v>
      </c>
    </row>
    <row r="467" spans="1:18" x14ac:dyDescent="0.35">
      <c r="A467" s="76">
        <v>463</v>
      </c>
      <c r="B467" s="77" t="s">
        <v>1018</v>
      </c>
      <c r="C467" s="9" t="s">
        <v>1854</v>
      </c>
      <c r="D467" s="76" t="s">
        <v>198</v>
      </c>
      <c r="E467" s="79">
        <v>945783.45196502493</v>
      </c>
      <c r="F467" s="47"/>
      <c r="G467" s="47"/>
      <c r="H467" s="47"/>
      <c r="I467" s="47"/>
      <c r="J467" s="47"/>
      <c r="K467" s="84"/>
      <c r="L467" s="47">
        <v>-222536.86031942556</v>
      </c>
      <c r="M467" s="47"/>
      <c r="N467" s="47"/>
      <c r="O467" s="47"/>
      <c r="P467" s="47"/>
      <c r="Q467" s="47"/>
      <c r="R467" s="47">
        <f t="shared" si="7"/>
        <v>723246.59164559934</v>
      </c>
    </row>
    <row r="468" spans="1:18" x14ac:dyDescent="0.35">
      <c r="A468" s="76">
        <v>464</v>
      </c>
      <c r="B468" s="77" t="s">
        <v>1020</v>
      </c>
      <c r="C468" s="9" t="s">
        <v>2072</v>
      </c>
      <c r="D468" s="76" t="s">
        <v>198</v>
      </c>
      <c r="E468" s="79">
        <v>3361170.852217434</v>
      </c>
      <c r="F468" s="47"/>
      <c r="G468" s="47"/>
      <c r="H468" s="47"/>
      <c r="I468" s="47"/>
      <c r="J468" s="47"/>
      <c r="K468" s="84"/>
      <c r="L468" s="47">
        <v>-490042.15265229921</v>
      </c>
      <c r="M468" s="47"/>
      <c r="N468" s="47"/>
      <c r="O468" s="47"/>
      <c r="P468" s="47"/>
      <c r="Q468" s="47"/>
      <c r="R468" s="47">
        <f t="shared" si="7"/>
        <v>2871128.6995651349</v>
      </c>
    </row>
    <row r="469" spans="1:18" x14ac:dyDescent="0.35">
      <c r="A469" s="76">
        <v>465</v>
      </c>
      <c r="B469" s="77" t="s">
        <v>1022</v>
      </c>
      <c r="C469" s="9" t="s">
        <v>1662</v>
      </c>
      <c r="D469" s="76" t="s">
        <v>49</v>
      </c>
      <c r="E469" s="79">
        <v>2923</v>
      </c>
      <c r="F469" s="47"/>
      <c r="G469" s="47"/>
      <c r="H469" s="47"/>
      <c r="I469" s="47"/>
      <c r="J469" s="47"/>
      <c r="K469" s="84"/>
      <c r="L469" s="47"/>
      <c r="M469" s="47"/>
      <c r="N469" s="47"/>
      <c r="O469" s="47"/>
      <c r="P469" s="47"/>
      <c r="Q469" s="47"/>
      <c r="R469" s="47">
        <f t="shared" si="7"/>
        <v>2923</v>
      </c>
    </row>
    <row r="470" spans="1:18" x14ac:dyDescent="0.35">
      <c r="A470" s="76">
        <v>466</v>
      </c>
      <c r="B470" s="77" t="s">
        <v>1024</v>
      </c>
      <c r="C470" s="9" t="s">
        <v>2201</v>
      </c>
      <c r="D470" s="76" t="s">
        <v>123</v>
      </c>
      <c r="E470" s="79">
        <v>2459628.8530594883</v>
      </c>
      <c r="F470" s="47"/>
      <c r="G470" s="47"/>
      <c r="H470" s="47"/>
      <c r="I470" s="47"/>
      <c r="J470" s="47"/>
      <c r="K470" s="84"/>
      <c r="L470" s="47"/>
      <c r="M470" s="47"/>
      <c r="N470" s="47"/>
      <c r="O470" s="47"/>
      <c r="P470" s="47"/>
      <c r="Q470" s="47"/>
      <c r="R470" s="47">
        <f t="shared" si="7"/>
        <v>2459628.8530594883</v>
      </c>
    </row>
    <row r="471" spans="1:18" x14ac:dyDescent="0.35">
      <c r="A471" s="76">
        <v>467</v>
      </c>
      <c r="B471" s="77" t="s">
        <v>1026</v>
      </c>
      <c r="C471" s="9" t="s">
        <v>2276</v>
      </c>
      <c r="D471" s="76" t="s">
        <v>77</v>
      </c>
      <c r="E471" s="79">
        <v>754350.23858864978</v>
      </c>
      <c r="F471" s="47"/>
      <c r="G471" s="47"/>
      <c r="H471" s="47"/>
      <c r="I471" s="47"/>
      <c r="J471" s="47"/>
      <c r="K471" s="84"/>
      <c r="L471" s="47"/>
      <c r="M471" s="47"/>
      <c r="N471" s="47"/>
      <c r="O471" s="47"/>
      <c r="P471" s="47"/>
      <c r="Q471" s="47"/>
      <c r="R471" s="47">
        <f t="shared" si="7"/>
        <v>754350.23858864978</v>
      </c>
    </row>
    <row r="472" spans="1:18" x14ac:dyDescent="0.35">
      <c r="A472" s="76">
        <v>468</v>
      </c>
      <c r="B472" s="77" t="s">
        <v>1028</v>
      </c>
      <c r="C472" s="9" t="s">
        <v>1875</v>
      </c>
      <c r="D472" s="76" t="s">
        <v>141</v>
      </c>
      <c r="E472" s="79">
        <v>2647979.206792641</v>
      </c>
      <c r="F472" s="47"/>
      <c r="G472" s="47"/>
      <c r="H472" s="47"/>
      <c r="I472" s="47"/>
      <c r="J472" s="47"/>
      <c r="K472" s="84"/>
      <c r="L472" s="47">
        <v>-406177.83982756769</v>
      </c>
      <c r="M472" s="47"/>
      <c r="N472" s="47"/>
      <c r="O472" s="47"/>
      <c r="P472" s="47"/>
      <c r="Q472" s="47"/>
      <c r="R472" s="47">
        <f t="shared" si="7"/>
        <v>2241801.3669650732</v>
      </c>
    </row>
    <row r="473" spans="1:18" x14ac:dyDescent="0.35">
      <c r="A473" s="76">
        <v>469</v>
      </c>
      <c r="B473" s="77" t="s">
        <v>1030</v>
      </c>
      <c r="C473" s="9" t="s">
        <v>1664</v>
      </c>
      <c r="D473" s="76" t="s">
        <v>141</v>
      </c>
      <c r="E473" s="79">
        <v>474823.62392520159</v>
      </c>
      <c r="F473" s="47"/>
      <c r="G473" s="47"/>
      <c r="H473" s="47"/>
      <c r="I473" s="47"/>
      <c r="J473" s="47"/>
      <c r="K473" s="84"/>
      <c r="L473" s="47"/>
      <c r="M473" s="47"/>
      <c r="N473" s="47"/>
      <c r="O473" s="47"/>
      <c r="P473" s="47"/>
      <c r="Q473" s="47"/>
      <c r="R473" s="47">
        <f t="shared" si="7"/>
        <v>474823.62392520159</v>
      </c>
    </row>
    <row r="474" spans="1:18" x14ac:dyDescent="0.35">
      <c r="A474" s="76">
        <v>470</v>
      </c>
      <c r="B474" s="77" t="s">
        <v>1032</v>
      </c>
      <c r="C474" s="9" t="s">
        <v>1665</v>
      </c>
      <c r="D474" s="76" t="s">
        <v>253</v>
      </c>
      <c r="E474" s="79">
        <v>0.28291118796914816</v>
      </c>
      <c r="F474" s="47"/>
      <c r="G474" s="47"/>
      <c r="H474" s="47"/>
      <c r="I474" s="47"/>
      <c r="J474" s="47"/>
      <c r="K474" s="84"/>
      <c r="L474" s="47"/>
      <c r="M474" s="47"/>
      <c r="N474" s="47"/>
      <c r="O474" s="47"/>
      <c r="P474" s="47"/>
      <c r="Q474" s="47"/>
      <c r="R474" s="47">
        <f t="shared" si="7"/>
        <v>0.28291118796914816</v>
      </c>
    </row>
    <row r="475" spans="1:18" x14ac:dyDescent="0.35">
      <c r="A475" s="76">
        <v>471</v>
      </c>
      <c r="B475" s="77" t="s">
        <v>1034</v>
      </c>
      <c r="C475" s="9" t="s">
        <v>1035</v>
      </c>
      <c r="D475" s="76" t="s">
        <v>131</v>
      </c>
      <c r="E475" s="79">
        <v>61546</v>
      </c>
      <c r="F475" s="47"/>
      <c r="G475" s="47"/>
      <c r="H475" s="47"/>
      <c r="I475" s="47"/>
      <c r="J475" s="47"/>
      <c r="K475" s="84"/>
      <c r="L475" s="47"/>
      <c r="M475" s="47"/>
      <c r="N475" s="47"/>
      <c r="O475" s="47"/>
      <c r="P475" s="47"/>
      <c r="Q475" s="47"/>
      <c r="R475" s="47">
        <f t="shared" si="7"/>
        <v>61546</v>
      </c>
    </row>
    <row r="476" spans="1:18" x14ac:dyDescent="0.35">
      <c r="A476" s="76">
        <v>472</v>
      </c>
      <c r="B476" s="77" t="s">
        <v>1036</v>
      </c>
      <c r="C476" s="9" t="s">
        <v>1666</v>
      </c>
      <c r="D476" s="76" t="s">
        <v>46</v>
      </c>
      <c r="E476" s="79">
        <v>485458.02095881535</v>
      </c>
      <c r="F476" s="47"/>
      <c r="G476" s="47"/>
      <c r="H476" s="47"/>
      <c r="I476" s="47"/>
      <c r="J476" s="47"/>
      <c r="K476" s="84"/>
      <c r="L476" s="47"/>
      <c r="M476" s="47"/>
      <c r="N476" s="47"/>
      <c r="O476" s="47"/>
      <c r="P476" s="47"/>
      <c r="Q476" s="47"/>
      <c r="R476" s="47">
        <f t="shared" si="7"/>
        <v>485458.02095881535</v>
      </c>
    </row>
    <row r="477" spans="1:18" x14ac:dyDescent="0.35">
      <c r="A477" s="76">
        <v>473</v>
      </c>
      <c r="B477" s="77" t="s">
        <v>1038</v>
      </c>
      <c r="C477" s="9" t="s">
        <v>2202</v>
      </c>
      <c r="D477" s="76" t="s">
        <v>253</v>
      </c>
      <c r="E477" s="79">
        <v>967161.31484213378</v>
      </c>
      <c r="F477" s="47"/>
      <c r="G477" s="47"/>
      <c r="H477" s="47"/>
      <c r="I477" s="47"/>
      <c r="J477" s="47"/>
      <c r="K477" s="84"/>
      <c r="L477" s="47"/>
      <c r="M477" s="47"/>
      <c r="N477" s="47"/>
      <c r="O477" s="47"/>
      <c r="P477" s="47"/>
      <c r="Q477" s="47"/>
      <c r="R477" s="47">
        <f t="shared" si="7"/>
        <v>967161.31484213378</v>
      </c>
    </row>
    <row r="478" spans="1:18" x14ac:dyDescent="0.35">
      <c r="A478" s="76">
        <v>474</v>
      </c>
      <c r="B478" s="77" t="s">
        <v>1040</v>
      </c>
      <c r="C478" s="9" t="s">
        <v>2216</v>
      </c>
      <c r="D478" s="76" t="s">
        <v>95</v>
      </c>
      <c r="E478" s="79">
        <v>1280476.2436190774</v>
      </c>
      <c r="F478" s="47"/>
      <c r="G478" s="47"/>
      <c r="H478" s="47"/>
      <c r="I478" s="47"/>
      <c r="J478" s="47"/>
      <c r="K478" s="84"/>
      <c r="L478" s="47"/>
      <c r="M478" s="47">
        <v>-1725357</v>
      </c>
      <c r="N478" s="47"/>
      <c r="O478" s="47"/>
      <c r="P478" s="47"/>
      <c r="Q478" s="47"/>
      <c r="R478" s="47">
        <f t="shared" ref="R478:R541" si="8">E478+F478+G478+H478+I478+J478+K478+L478+M478+N478+O478+P478+Q478</f>
        <v>-444880.75638092263</v>
      </c>
    </row>
    <row r="479" spans="1:18" x14ac:dyDescent="0.35">
      <c r="A479" s="76">
        <v>475</v>
      </c>
      <c r="B479" s="77" t="s">
        <v>1042</v>
      </c>
      <c r="C479" s="9" t="s">
        <v>1785</v>
      </c>
      <c r="D479" s="76" t="s">
        <v>95</v>
      </c>
      <c r="E479" s="79">
        <v>1456739.0667525227</v>
      </c>
      <c r="F479" s="47"/>
      <c r="G479" s="47"/>
      <c r="H479" s="47"/>
      <c r="I479" s="47"/>
      <c r="J479" s="47"/>
      <c r="K479" s="84"/>
      <c r="L479" s="47"/>
      <c r="M479" s="47"/>
      <c r="N479" s="47"/>
      <c r="O479" s="47"/>
      <c r="P479" s="47"/>
      <c r="Q479" s="47"/>
      <c r="R479" s="47">
        <f t="shared" si="8"/>
        <v>1456739.0667525227</v>
      </c>
    </row>
    <row r="480" spans="1:18" x14ac:dyDescent="0.35">
      <c r="A480" s="76">
        <v>476</v>
      </c>
      <c r="B480" s="77" t="s">
        <v>1044</v>
      </c>
      <c r="C480" s="9" t="s">
        <v>2203</v>
      </c>
      <c r="D480" s="76" t="s">
        <v>141</v>
      </c>
      <c r="E480" s="79">
        <v>144090.19320884394</v>
      </c>
      <c r="F480" s="47"/>
      <c r="G480" s="47"/>
      <c r="H480" s="47"/>
      <c r="I480" s="47"/>
      <c r="J480" s="47"/>
      <c r="K480" s="84"/>
      <c r="L480" s="47"/>
      <c r="M480" s="47"/>
      <c r="N480" s="47"/>
      <c r="O480" s="47"/>
      <c r="P480" s="47"/>
      <c r="Q480" s="47"/>
      <c r="R480" s="47">
        <f t="shared" si="8"/>
        <v>144090.19320884394</v>
      </c>
    </row>
    <row r="481" spans="1:18" x14ac:dyDescent="0.35">
      <c r="A481" s="76">
        <v>477</v>
      </c>
      <c r="B481" s="77" t="s">
        <v>1046</v>
      </c>
      <c r="C481" s="9" t="s">
        <v>2204</v>
      </c>
      <c r="D481" s="76" t="s">
        <v>123</v>
      </c>
      <c r="E481" s="79">
        <v>1754634.0919973422</v>
      </c>
      <c r="F481" s="47"/>
      <c r="G481" s="47"/>
      <c r="H481" s="47"/>
      <c r="I481" s="47"/>
      <c r="J481" s="47"/>
      <c r="K481" s="84"/>
      <c r="L481" s="47"/>
      <c r="M481" s="47"/>
      <c r="N481" s="47"/>
      <c r="O481" s="47"/>
      <c r="P481" s="47"/>
      <c r="Q481" s="47"/>
      <c r="R481" s="47">
        <f t="shared" si="8"/>
        <v>1754634.0919973422</v>
      </c>
    </row>
    <row r="482" spans="1:18" x14ac:dyDescent="0.35">
      <c r="A482" s="76">
        <v>478</v>
      </c>
      <c r="B482" s="77" t="s">
        <v>1048</v>
      </c>
      <c r="C482" s="9" t="s">
        <v>1713</v>
      </c>
      <c r="D482" s="76" t="s">
        <v>201</v>
      </c>
      <c r="E482" s="79">
        <v>994670</v>
      </c>
      <c r="F482" s="47"/>
      <c r="G482" s="47"/>
      <c r="H482" s="47"/>
      <c r="I482" s="47"/>
      <c r="J482" s="47"/>
      <c r="K482" s="84"/>
      <c r="L482" s="47"/>
      <c r="M482" s="47"/>
      <c r="N482" s="47"/>
      <c r="O482" s="47"/>
      <c r="P482" s="47"/>
      <c r="Q482" s="47"/>
      <c r="R482" s="47">
        <f t="shared" si="8"/>
        <v>994670</v>
      </c>
    </row>
    <row r="483" spans="1:18" x14ac:dyDescent="0.35">
      <c r="A483" s="76">
        <v>479</v>
      </c>
      <c r="B483" s="77" t="s">
        <v>1050</v>
      </c>
      <c r="C483" s="9" t="s">
        <v>1712</v>
      </c>
      <c r="D483" s="76" t="s">
        <v>77</v>
      </c>
      <c r="E483" s="79">
        <v>-0.40813837759196758</v>
      </c>
      <c r="F483" s="47"/>
      <c r="G483" s="47"/>
      <c r="H483" s="47"/>
      <c r="I483" s="47"/>
      <c r="J483" s="47"/>
      <c r="K483" s="84"/>
      <c r="L483" s="47"/>
      <c r="M483" s="47"/>
      <c r="N483" s="47"/>
      <c r="O483" s="47"/>
      <c r="P483" s="47"/>
      <c r="Q483" s="47"/>
      <c r="R483" s="47">
        <f t="shared" si="8"/>
        <v>-0.40813837759196758</v>
      </c>
    </row>
    <row r="484" spans="1:18" x14ac:dyDescent="0.35">
      <c r="A484" s="76">
        <v>480</v>
      </c>
      <c r="B484" s="77" t="s">
        <v>1052</v>
      </c>
      <c r="C484" s="9" t="s">
        <v>1614</v>
      </c>
      <c r="D484" s="76" t="s">
        <v>49</v>
      </c>
      <c r="E484" s="79">
        <v>1627635.741716404</v>
      </c>
      <c r="F484" s="47"/>
      <c r="G484" s="47"/>
      <c r="H484" s="47"/>
      <c r="I484" s="47"/>
      <c r="J484" s="47"/>
      <c r="K484" s="84"/>
      <c r="L484" s="47"/>
      <c r="M484" s="47"/>
      <c r="N484" s="47"/>
      <c r="O484" s="47"/>
      <c r="P484" s="47"/>
      <c r="Q484" s="47"/>
      <c r="R484" s="47">
        <f t="shared" si="8"/>
        <v>1627635.741716404</v>
      </c>
    </row>
    <row r="485" spans="1:18" x14ac:dyDescent="0.35">
      <c r="A485" s="76">
        <v>481</v>
      </c>
      <c r="B485" s="77" t="s">
        <v>1054</v>
      </c>
      <c r="C485" s="9" t="s">
        <v>2277</v>
      </c>
      <c r="D485" s="76" t="s">
        <v>60</v>
      </c>
      <c r="E485" s="79">
        <v>1516239.2935624523</v>
      </c>
      <c r="F485" s="47"/>
      <c r="G485" s="47"/>
      <c r="H485" s="47"/>
      <c r="I485" s="47"/>
      <c r="J485" s="47"/>
      <c r="K485" s="84"/>
      <c r="L485" s="47">
        <v>-485954.6045633828</v>
      </c>
      <c r="M485" s="47"/>
      <c r="N485" s="47"/>
      <c r="O485" s="47"/>
      <c r="P485" s="47"/>
      <c r="Q485" s="47"/>
      <c r="R485" s="47">
        <f t="shared" si="8"/>
        <v>1030284.6889990695</v>
      </c>
    </row>
    <row r="486" spans="1:18" x14ac:dyDescent="0.35">
      <c r="A486" s="76">
        <v>482</v>
      </c>
      <c r="B486" s="77" t="s">
        <v>1056</v>
      </c>
      <c r="C486" s="9" t="s">
        <v>1778</v>
      </c>
      <c r="D486" s="76" t="s">
        <v>303</v>
      </c>
      <c r="E486" s="79">
        <v>1708939.9456779021</v>
      </c>
      <c r="F486" s="47"/>
      <c r="G486" s="47"/>
      <c r="H486" s="47"/>
      <c r="I486" s="47"/>
      <c r="J486" s="47"/>
      <c r="K486" s="84"/>
      <c r="L486" s="47">
        <v>-304886.35029335006</v>
      </c>
      <c r="M486" s="47"/>
      <c r="N486" s="47"/>
      <c r="O486" s="47"/>
      <c r="P486" s="47"/>
      <c r="Q486" s="47"/>
      <c r="R486" s="47">
        <f t="shared" si="8"/>
        <v>1404053.5953845521</v>
      </c>
    </row>
    <row r="487" spans="1:18" x14ac:dyDescent="0.35">
      <c r="A487" s="76">
        <v>483</v>
      </c>
      <c r="B487" s="77" t="s">
        <v>1058</v>
      </c>
      <c r="C487" s="9" t="s">
        <v>1059</v>
      </c>
      <c r="D487" s="76" t="s">
        <v>300</v>
      </c>
      <c r="E487" s="79">
        <v>44519.607713351434</v>
      </c>
      <c r="F487" s="47"/>
      <c r="G487" s="47"/>
      <c r="H487" s="47"/>
      <c r="I487" s="47"/>
      <c r="J487" s="47"/>
      <c r="K487" s="84"/>
      <c r="L487" s="47"/>
      <c r="M487" s="47"/>
      <c r="N487" s="47"/>
      <c r="O487" s="47"/>
      <c r="P487" s="47"/>
      <c r="Q487" s="47"/>
      <c r="R487" s="47">
        <f t="shared" si="8"/>
        <v>44519.607713351434</v>
      </c>
    </row>
    <row r="488" spans="1:18" x14ac:dyDescent="0.35">
      <c r="A488" s="76">
        <v>484</v>
      </c>
      <c r="B488" s="77" t="s">
        <v>1060</v>
      </c>
      <c r="C488" s="9" t="s">
        <v>1061</v>
      </c>
      <c r="D488" s="76" t="s">
        <v>65</v>
      </c>
      <c r="E488" s="79">
        <v>-0.22040239162743092</v>
      </c>
      <c r="F488" s="47"/>
      <c r="G488" s="47"/>
      <c r="H488" s="47"/>
      <c r="I488" s="47"/>
      <c r="J488" s="47"/>
      <c r="K488" s="84"/>
      <c r="L488" s="47"/>
      <c r="M488" s="47"/>
      <c r="N488" s="47"/>
      <c r="O488" s="47"/>
      <c r="P488" s="47"/>
      <c r="Q488" s="47"/>
      <c r="R488" s="47">
        <f t="shared" si="8"/>
        <v>-0.22040239162743092</v>
      </c>
    </row>
    <row r="489" spans="1:18" x14ac:dyDescent="0.35">
      <c r="A489" s="76">
        <v>485</v>
      </c>
      <c r="B489" s="77" t="s">
        <v>1062</v>
      </c>
      <c r="C489" s="9" t="s">
        <v>2278</v>
      </c>
      <c r="D489" s="76" t="s">
        <v>321</v>
      </c>
      <c r="E489" s="79">
        <v>1378458.6816742844</v>
      </c>
      <c r="F489" s="47"/>
      <c r="G489" s="47"/>
      <c r="H489" s="47"/>
      <c r="I489" s="47"/>
      <c r="J489" s="47"/>
      <c r="K489" s="84"/>
      <c r="L489" s="47"/>
      <c r="M489" s="47"/>
      <c r="N489" s="47"/>
      <c r="O489" s="47"/>
      <c r="P489" s="47"/>
      <c r="Q489" s="47"/>
      <c r="R489" s="47">
        <f t="shared" si="8"/>
        <v>1378458.6816742844</v>
      </c>
    </row>
    <row r="490" spans="1:18" x14ac:dyDescent="0.35">
      <c r="A490" s="76">
        <v>486</v>
      </c>
      <c r="B490" s="77" t="s">
        <v>1064</v>
      </c>
      <c r="C490" s="9" t="s">
        <v>1891</v>
      </c>
      <c r="D490" s="76" t="s">
        <v>136</v>
      </c>
      <c r="E490" s="79">
        <v>793220.06224509014</v>
      </c>
      <c r="F490" s="47"/>
      <c r="G490" s="47"/>
      <c r="H490" s="47"/>
      <c r="I490" s="47"/>
      <c r="J490" s="47"/>
      <c r="K490" s="84"/>
      <c r="L490" s="47">
        <v>-279466.36542466009</v>
      </c>
      <c r="M490" s="47"/>
      <c r="N490" s="47"/>
      <c r="O490" s="47"/>
      <c r="P490" s="47"/>
      <c r="Q490" s="47"/>
      <c r="R490" s="47">
        <f t="shared" si="8"/>
        <v>513753.69682043005</v>
      </c>
    </row>
    <row r="491" spans="1:18" x14ac:dyDescent="0.35">
      <c r="A491" s="76">
        <v>525</v>
      </c>
      <c r="B491" s="77" t="s">
        <v>1066</v>
      </c>
      <c r="C491" s="9" t="s">
        <v>1067</v>
      </c>
      <c r="D491" s="76" t="s">
        <v>144</v>
      </c>
      <c r="E491" s="79">
        <v>1361198.3678363001</v>
      </c>
      <c r="F491" s="47"/>
      <c r="G491" s="47"/>
      <c r="H491" s="47"/>
      <c r="I491" s="47"/>
      <c r="J491" s="47"/>
      <c r="K491" s="84"/>
      <c r="L491" s="47"/>
      <c r="M491" s="47"/>
      <c r="N491" s="47"/>
      <c r="O491" s="47"/>
      <c r="P491" s="47"/>
      <c r="Q491" s="47"/>
      <c r="R491" s="47">
        <f t="shared" si="8"/>
        <v>1361198.3678363001</v>
      </c>
    </row>
    <row r="492" spans="1:18" x14ac:dyDescent="0.35">
      <c r="A492" s="76">
        <v>487</v>
      </c>
      <c r="B492" s="77" t="s">
        <v>1068</v>
      </c>
      <c r="C492" s="9" t="s">
        <v>1069</v>
      </c>
      <c r="D492" s="76" t="s">
        <v>238</v>
      </c>
      <c r="E492" s="79">
        <v>1158578.592376763</v>
      </c>
      <c r="F492" s="47"/>
      <c r="G492" s="47"/>
      <c r="H492" s="47"/>
      <c r="I492" s="47"/>
      <c r="J492" s="47"/>
      <c r="K492" s="84"/>
      <c r="L492" s="47"/>
      <c r="M492" s="47"/>
      <c r="N492" s="47"/>
      <c r="O492" s="47"/>
      <c r="P492" s="47"/>
      <c r="Q492" s="47"/>
      <c r="R492" s="47">
        <f t="shared" si="8"/>
        <v>1158578.592376763</v>
      </c>
    </row>
    <row r="493" spans="1:18" x14ac:dyDescent="0.35">
      <c r="A493" s="76">
        <v>488</v>
      </c>
      <c r="B493" s="77" t="s">
        <v>1070</v>
      </c>
      <c r="C493" s="9" t="s">
        <v>1071</v>
      </c>
      <c r="D493" s="76" t="s">
        <v>300</v>
      </c>
      <c r="E493" s="79">
        <v>590334.70136152185</v>
      </c>
      <c r="F493" s="47"/>
      <c r="G493" s="47"/>
      <c r="H493" s="47"/>
      <c r="I493" s="47"/>
      <c r="J493" s="47"/>
      <c r="K493" s="84"/>
      <c r="L493" s="47"/>
      <c r="M493" s="47"/>
      <c r="N493" s="47"/>
      <c r="O493" s="47"/>
      <c r="P493" s="47"/>
      <c r="Q493" s="47"/>
      <c r="R493" s="47">
        <f t="shared" si="8"/>
        <v>590334.70136152185</v>
      </c>
    </row>
    <row r="494" spans="1:18" x14ac:dyDescent="0.35">
      <c r="A494" s="76">
        <v>489</v>
      </c>
      <c r="B494" s="77" t="s">
        <v>1072</v>
      </c>
      <c r="C494" s="9" t="s">
        <v>1073</v>
      </c>
      <c r="D494" s="76" t="s">
        <v>290</v>
      </c>
      <c r="E494" s="79">
        <v>1028485.0597511777</v>
      </c>
      <c r="F494" s="47"/>
      <c r="G494" s="47"/>
      <c r="H494" s="47"/>
      <c r="I494" s="47"/>
      <c r="J494" s="47"/>
      <c r="K494" s="84"/>
      <c r="L494" s="47"/>
      <c r="M494" s="47"/>
      <c r="N494" s="47"/>
      <c r="O494" s="47"/>
      <c r="P494" s="47"/>
      <c r="Q494" s="47"/>
      <c r="R494" s="47">
        <f t="shared" si="8"/>
        <v>1028485.0597511777</v>
      </c>
    </row>
    <row r="495" spans="1:18" x14ac:dyDescent="0.35">
      <c r="A495" s="76">
        <v>490</v>
      </c>
      <c r="B495" s="77" t="s">
        <v>1074</v>
      </c>
      <c r="C495" s="9" t="s">
        <v>1075</v>
      </c>
      <c r="D495" s="76" t="s">
        <v>25</v>
      </c>
      <c r="E495" s="79">
        <v>1096479.8378356083</v>
      </c>
      <c r="F495" s="47"/>
      <c r="G495" s="47"/>
      <c r="H495" s="47"/>
      <c r="I495" s="47"/>
      <c r="J495" s="47"/>
      <c r="K495" s="84"/>
      <c r="L495" s="47"/>
      <c r="M495" s="47"/>
      <c r="N495" s="47"/>
      <c r="O495" s="47"/>
      <c r="P495" s="47"/>
      <c r="Q495" s="47"/>
      <c r="R495" s="47">
        <f t="shared" si="8"/>
        <v>1096479.8378356083</v>
      </c>
    </row>
    <row r="496" spans="1:18" x14ac:dyDescent="0.35">
      <c r="A496" s="76">
        <v>491</v>
      </c>
      <c r="B496" s="77" t="s">
        <v>1076</v>
      </c>
      <c r="C496" s="9" t="s">
        <v>1077</v>
      </c>
      <c r="D496" s="76" t="s">
        <v>300</v>
      </c>
      <c r="E496" s="79">
        <v>100204.44056023995</v>
      </c>
      <c r="F496" s="47"/>
      <c r="G496" s="47"/>
      <c r="H496" s="47"/>
      <c r="I496" s="47"/>
      <c r="J496" s="47"/>
      <c r="K496" s="84"/>
      <c r="L496" s="47"/>
      <c r="M496" s="47"/>
      <c r="N496" s="47"/>
      <c r="O496" s="47"/>
      <c r="P496" s="47"/>
      <c r="Q496" s="47"/>
      <c r="R496" s="47">
        <f t="shared" si="8"/>
        <v>100204.44056023995</v>
      </c>
    </row>
    <row r="497" spans="1:18" x14ac:dyDescent="0.35">
      <c r="A497" s="76">
        <v>492</v>
      </c>
      <c r="B497" s="77" t="s">
        <v>1078</v>
      </c>
      <c r="C497" s="9" t="s">
        <v>1851</v>
      </c>
      <c r="D497" s="76" t="s">
        <v>25</v>
      </c>
      <c r="E497" s="79">
        <v>1126152.5656491872</v>
      </c>
      <c r="F497" s="47"/>
      <c r="G497" s="47"/>
      <c r="H497" s="47"/>
      <c r="I497" s="47"/>
      <c r="J497" s="47"/>
      <c r="K497" s="84"/>
      <c r="L497" s="47"/>
      <c r="M497" s="47"/>
      <c r="N497" s="47"/>
      <c r="O497" s="47"/>
      <c r="P497" s="47"/>
      <c r="Q497" s="47"/>
      <c r="R497" s="47">
        <f t="shared" si="8"/>
        <v>1126152.5656491872</v>
      </c>
    </row>
    <row r="498" spans="1:18" x14ac:dyDescent="0.35">
      <c r="A498" s="76">
        <v>493</v>
      </c>
      <c r="B498" s="77" t="s">
        <v>1080</v>
      </c>
      <c r="C498" s="9" t="s">
        <v>1081</v>
      </c>
      <c r="D498" s="76" t="s">
        <v>300</v>
      </c>
      <c r="E498" s="79">
        <v>1073380.2325655248</v>
      </c>
      <c r="F498" s="47"/>
      <c r="G498" s="47"/>
      <c r="H498" s="47"/>
      <c r="I498" s="47"/>
      <c r="J498" s="47"/>
      <c r="K498" s="84"/>
      <c r="L498" s="47"/>
      <c r="M498" s="47"/>
      <c r="N498" s="47"/>
      <c r="O498" s="47"/>
      <c r="P498" s="47"/>
      <c r="Q498" s="47"/>
      <c r="R498" s="47">
        <f t="shared" si="8"/>
        <v>1073380.2325655248</v>
      </c>
    </row>
    <row r="499" spans="1:18" x14ac:dyDescent="0.35">
      <c r="A499" s="76">
        <v>494</v>
      </c>
      <c r="B499" s="77" t="s">
        <v>1082</v>
      </c>
      <c r="C499" s="9" t="s">
        <v>1083</v>
      </c>
      <c r="D499" s="76" t="s">
        <v>318</v>
      </c>
      <c r="E499" s="79">
        <v>96952.675325927208</v>
      </c>
      <c r="F499" s="47"/>
      <c r="G499" s="47"/>
      <c r="H499" s="47"/>
      <c r="I499" s="47"/>
      <c r="J499" s="47"/>
      <c r="K499" s="84"/>
      <c r="L499" s="47"/>
      <c r="M499" s="47"/>
      <c r="N499" s="47"/>
      <c r="O499" s="47"/>
      <c r="P499" s="47"/>
      <c r="Q499" s="47"/>
      <c r="R499" s="47">
        <f t="shared" si="8"/>
        <v>96952.675325927208</v>
      </c>
    </row>
    <row r="500" spans="1:18" x14ac:dyDescent="0.35">
      <c r="A500" s="76">
        <v>495</v>
      </c>
      <c r="B500" s="77" t="s">
        <v>1084</v>
      </c>
      <c r="C500" s="9" t="s">
        <v>1085</v>
      </c>
      <c r="D500" s="76" t="s">
        <v>318</v>
      </c>
      <c r="E500" s="79">
        <v>36943.611379728303</v>
      </c>
      <c r="F500" s="47"/>
      <c r="G500" s="47"/>
      <c r="H500" s="47"/>
      <c r="I500" s="47"/>
      <c r="J500" s="47"/>
      <c r="K500" s="84"/>
      <c r="L500" s="47"/>
      <c r="M500" s="47"/>
      <c r="N500" s="47"/>
      <c r="O500" s="47"/>
      <c r="P500" s="47"/>
      <c r="Q500" s="47"/>
      <c r="R500" s="47">
        <f t="shared" si="8"/>
        <v>36943.611379728303</v>
      </c>
    </row>
    <row r="501" spans="1:18" x14ac:dyDescent="0.35">
      <c r="A501" s="76">
        <v>496</v>
      </c>
      <c r="B501" s="77" t="s">
        <v>1086</v>
      </c>
      <c r="C501" s="9" t="s">
        <v>2217</v>
      </c>
      <c r="D501" s="76" t="s">
        <v>25</v>
      </c>
      <c r="E501" s="79">
        <v>1393708.3947593281</v>
      </c>
      <c r="F501" s="47"/>
      <c r="G501" s="47"/>
      <c r="H501" s="47"/>
      <c r="I501" s="47"/>
      <c r="J501" s="47"/>
      <c r="K501" s="84"/>
      <c r="L501" s="47"/>
      <c r="M501" s="47"/>
      <c r="N501" s="47"/>
      <c r="O501" s="47"/>
      <c r="P501" s="47"/>
      <c r="Q501" s="47"/>
      <c r="R501" s="47">
        <f t="shared" si="8"/>
        <v>1393708.3947593281</v>
      </c>
    </row>
    <row r="502" spans="1:18" x14ac:dyDescent="0.35">
      <c r="A502" s="76">
        <v>497</v>
      </c>
      <c r="B502" s="77" t="s">
        <v>1088</v>
      </c>
      <c r="C502" s="9" t="s">
        <v>1089</v>
      </c>
      <c r="D502" s="76" t="s">
        <v>318</v>
      </c>
      <c r="E502" s="79">
        <v>1675230.006905437</v>
      </c>
      <c r="F502" s="47"/>
      <c r="G502" s="47"/>
      <c r="H502" s="47"/>
      <c r="I502" s="47"/>
      <c r="J502" s="47"/>
      <c r="K502" s="84"/>
      <c r="L502" s="47"/>
      <c r="M502" s="47"/>
      <c r="N502" s="47"/>
      <c r="O502" s="47"/>
      <c r="P502" s="47"/>
      <c r="Q502" s="47"/>
      <c r="R502" s="47">
        <f t="shared" si="8"/>
        <v>1675230.006905437</v>
      </c>
    </row>
    <row r="503" spans="1:18" x14ac:dyDescent="0.35">
      <c r="A503" s="76">
        <v>498</v>
      </c>
      <c r="B503" s="77" t="s">
        <v>1090</v>
      </c>
      <c r="C503" s="9" t="s">
        <v>2279</v>
      </c>
      <c r="D503" s="76" t="s">
        <v>321</v>
      </c>
      <c r="E503" s="79">
        <v>1254818.0499932342</v>
      </c>
      <c r="F503" s="47"/>
      <c r="G503" s="47"/>
      <c r="H503" s="47"/>
      <c r="I503" s="47"/>
      <c r="J503" s="47"/>
      <c r="K503" s="84"/>
      <c r="L503" s="47">
        <v>-290816.74521271372</v>
      </c>
      <c r="M503" s="47"/>
      <c r="N503" s="47"/>
      <c r="O503" s="47"/>
      <c r="P503" s="47"/>
      <c r="Q503" s="47"/>
      <c r="R503" s="47">
        <f t="shared" si="8"/>
        <v>964001.3047805205</v>
      </c>
    </row>
    <row r="504" spans="1:18" x14ac:dyDescent="0.35">
      <c r="A504" s="76">
        <v>499</v>
      </c>
      <c r="B504" s="77" t="s">
        <v>1092</v>
      </c>
      <c r="C504" s="9" t="s">
        <v>1093</v>
      </c>
      <c r="D504" s="76" t="s">
        <v>49</v>
      </c>
      <c r="E504" s="79">
        <v>916232</v>
      </c>
      <c r="F504" s="47"/>
      <c r="G504" s="47"/>
      <c r="H504" s="47"/>
      <c r="I504" s="47"/>
      <c r="J504" s="47"/>
      <c r="K504" s="84"/>
      <c r="L504" s="47"/>
      <c r="M504" s="47"/>
      <c r="N504" s="47"/>
      <c r="O504" s="47"/>
      <c r="P504" s="47"/>
      <c r="Q504" s="47"/>
      <c r="R504" s="47">
        <f t="shared" si="8"/>
        <v>916232</v>
      </c>
    </row>
    <row r="505" spans="1:18" x14ac:dyDescent="0.35">
      <c r="A505" s="76">
        <v>500</v>
      </c>
      <c r="B505" s="77" t="s">
        <v>1094</v>
      </c>
      <c r="C505" s="9" t="s">
        <v>1095</v>
      </c>
      <c r="D505" s="76" t="s">
        <v>144</v>
      </c>
      <c r="E505" s="79">
        <v>33884</v>
      </c>
      <c r="F505" s="47"/>
      <c r="G505" s="47"/>
      <c r="H505" s="47"/>
      <c r="I505" s="47"/>
      <c r="J505" s="47"/>
      <c r="K505" s="84"/>
      <c r="L505" s="47"/>
      <c r="M505" s="47"/>
      <c r="N505" s="47"/>
      <c r="O505" s="47"/>
      <c r="P505" s="47"/>
      <c r="Q505" s="47"/>
      <c r="R505" s="47">
        <f t="shared" si="8"/>
        <v>33884</v>
      </c>
    </row>
    <row r="506" spans="1:18" x14ac:dyDescent="0.35">
      <c r="A506" s="76">
        <v>501</v>
      </c>
      <c r="B506" s="77" t="s">
        <v>1096</v>
      </c>
      <c r="C506" s="9" t="s">
        <v>1846</v>
      </c>
      <c r="D506" s="76" t="s">
        <v>22</v>
      </c>
      <c r="E506" s="79">
        <v>1265044.4189515605</v>
      </c>
      <c r="F506" s="47"/>
      <c r="G506" s="47"/>
      <c r="H506" s="47"/>
      <c r="I506" s="47"/>
      <c r="J506" s="47"/>
      <c r="K506" s="84"/>
      <c r="L506" s="47"/>
      <c r="M506" s="47"/>
      <c r="N506" s="47"/>
      <c r="O506" s="47"/>
      <c r="P506" s="47"/>
      <c r="Q506" s="47"/>
      <c r="R506" s="47">
        <f t="shared" si="8"/>
        <v>1265044.4189515605</v>
      </c>
    </row>
    <row r="507" spans="1:18" x14ac:dyDescent="0.35">
      <c r="A507" s="76">
        <v>502</v>
      </c>
      <c r="B507" s="77" t="s">
        <v>1098</v>
      </c>
      <c r="C507" s="9" t="s">
        <v>1099</v>
      </c>
      <c r="D507" s="76" t="s">
        <v>169</v>
      </c>
      <c r="E507" s="79">
        <v>42698</v>
      </c>
      <c r="F507" s="47"/>
      <c r="G507" s="47"/>
      <c r="H507" s="47"/>
      <c r="I507" s="47"/>
      <c r="J507" s="47"/>
      <c r="K507" s="84"/>
      <c r="L507" s="47"/>
      <c r="M507" s="47"/>
      <c r="N507" s="47"/>
      <c r="O507" s="47"/>
      <c r="P507" s="47"/>
      <c r="Q507" s="47"/>
      <c r="R507" s="47">
        <f t="shared" si="8"/>
        <v>42698</v>
      </c>
    </row>
    <row r="508" spans="1:18" x14ac:dyDescent="0.35">
      <c r="A508" s="76">
        <v>503</v>
      </c>
      <c r="B508" s="77" t="s">
        <v>1100</v>
      </c>
      <c r="C508" s="9" t="s">
        <v>2081</v>
      </c>
      <c r="D508" s="76" t="s">
        <v>136</v>
      </c>
      <c r="E508" s="79">
        <v>1326642.8722455874</v>
      </c>
      <c r="F508" s="47"/>
      <c r="G508" s="47"/>
      <c r="H508" s="47"/>
      <c r="I508" s="47"/>
      <c r="J508" s="47"/>
      <c r="K508" s="84"/>
      <c r="L508" s="47">
        <v>-210586.97908067246</v>
      </c>
      <c r="M508" s="47"/>
      <c r="N508" s="47"/>
      <c r="O508" s="47"/>
      <c r="P508" s="47"/>
      <c r="Q508" s="47"/>
      <c r="R508" s="47">
        <f t="shared" si="8"/>
        <v>1116055.893164915</v>
      </c>
    </row>
    <row r="509" spans="1:18" x14ac:dyDescent="0.35">
      <c r="A509" s="76">
        <v>504</v>
      </c>
      <c r="B509" s="77" t="s">
        <v>1102</v>
      </c>
      <c r="C509" s="9" t="s">
        <v>1948</v>
      </c>
      <c r="D509" s="76" t="s">
        <v>128</v>
      </c>
      <c r="E509" s="79">
        <v>1235456.1727940983</v>
      </c>
      <c r="F509" s="47"/>
      <c r="G509" s="47"/>
      <c r="H509" s="47"/>
      <c r="I509" s="47"/>
      <c r="J509" s="47"/>
      <c r="K509" s="84"/>
      <c r="L509" s="47"/>
      <c r="M509" s="47"/>
      <c r="N509" s="47"/>
      <c r="O509" s="47"/>
      <c r="P509" s="47"/>
      <c r="Q509" s="47"/>
      <c r="R509" s="47">
        <f t="shared" si="8"/>
        <v>1235456.1727940983</v>
      </c>
    </row>
    <row r="510" spans="1:18" x14ac:dyDescent="0.35">
      <c r="A510" s="76">
        <v>505</v>
      </c>
      <c r="B510" s="77" t="s">
        <v>1104</v>
      </c>
      <c r="C510" s="9" t="s">
        <v>1863</v>
      </c>
      <c r="D510" s="76" t="s">
        <v>136</v>
      </c>
      <c r="E510" s="79">
        <v>1259624.6487126967</v>
      </c>
      <c r="F510" s="47"/>
      <c r="G510" s="47"/>
      <c r="H510" s="47"/>
      <c r="I510" s="47"/>
      <c r="J510" s="47"/>
      <c r="K510" s="84"/>
      <c r="L510" s="47">
        <v>-208436.41053994413</v>
      </c>
      <c r="M510" s="47"/>
      <c r="N510" s="47"/>
      <c r="O510" s="47"/>
      <c r="P510" s="47"/>
      <c r="Q510" s="47"/>
      <c r="R510" s="47">
        <f t="shared" si="8"/>
        <v>1051188.2381727525</v>
      </c>
    </row>
    <row r="511" spans="1:18" x14ac:dyDescent="0.35">
      <c r="A511" s="76">
        <v>506</v>
      </c>
      <c r="B511" s="77" t="s">
        <v>1106</v>
      </c>
      <c r="C511" s="9" t="s">
        <v>1107</v>
      </c>
      <c r="D511" s="76" t="s">
        <v>144</v>
      </c>
      <c r="E511" s="79">
        <v>245018</v>
      </c>
      <c r="F511" s="47"/>
      <c r="G511" s="47"/>
      <c r="H511" s="47"/>
      <c r="I511" s="47"/>
      <c r="J511" s="47"/>
      <c r="K511" s="84"/>
      <c r="L511" s="47"/>
      <c r="M511" s="47"/>
      <c r="N511" s="47"/>
      <c r="O511" s="47"/>
      <c r="P511" s="47"/>
      <c r="Q511" s="47"/>
      <c r="R511" s="47">
        <f t="shared" si="8"/>
        <v>245018</v>
      </c>
    </row>
    <row r="512" spans="1:18" x14ac:dyDescent="0.35">
      <c r="A512" s="76">
        <v>507</v>
      </c>
      <c r="B512" s="77" t="s">
        <v>1108</v>
      </c>
      <c r="C512" s="9" t="s">
        <v>2218</v>
      </c>
      <c r="D512" s="76" t="s">
        <v>524</v>
      </c>
      <c r="E512" s="79">
        <v>865938.87464304222</v>
      </c>
      <c r="F512" s="47"/>
      <c r="G512" s="47"/>
      <c r="H512" s="47"/>
      <c r="I512" s="47"/>
      <c r="J512" s="47"/>
      <c r="K512" s="84"/>
      <c r="L512" s="47"/>
      <c r="M512" s="47"/>
      <c r="N512" s="47"/>
      <c r="O512" s="47"/>
      <c r="P512" s="47"/>
      <c r="Q512" s="47"/>
      <c r="R512" s="47">
        <f t="shared" si="8"/>
        <v>865938.87464304222</v>
      </c>
    </row>
    <row r="513" spans="1:18" x14ac:dyDescent="0.35">
      <c r="A513" s="76">
        <v>508</v>
      </c>
      <c r="B513" s="77" t="s">
        <v>1110</v>
      </c>
      <c r="C513" s="9" t="s">
        <v>1111</v>
      </c>
      <c r="D513" s="76" t="s">
        <v>751</v>
      </c>
      <c r="E513" s="79">
        <v>318695.27544689225</v>
      </c>
      <c r="F513" s="47"/>
      <c r="G513" s="47"/>
      <c r="H513" s="47"/>
      <c r="I513" s="47"/>
      <c r="J513" s="47"/>
      <c r="K513" s="84"/>
      <c r="L513" s="47"/>
      <c r="M513" s="47"/>
      <c r="N513" s="47"/>
      <c r="O513" s="47"/>
      <c r="P513" s="47"/>
      <c r="Q513" s="47"/>
      <c r="R513" s="47">
        <f t="shared" si="8"/>
        <v>318695.27544689225</v>
      </c>
    </row>
    <row r="514" spans="1:18" x14ac:dyDescent="0.35">
      <c r="A514" s="76">
        <v>509</v>
      </c>
      <c r="B514" s="77" t="s">
        <v>1112</v>
      </c>
      <c r="C514" s="9" t="s">
        <v>1113</v>
      </c>
      <c r="D514" s="76" t="s">
        <v>751</v>
      </c>
      <c r="E514" s="79">
        <v>167765.21136487334</v>
      </c>
      <c r="F514" s="47"/>
      <c r="G514" s="47"/>
      <c r="H514" s="47"/>
      <c r="I514" s="47"/>
      <c r="J514" s="47"/>
      <c r="K514" s="84"/>
      <c r="L514" s="47"/>
      <c r="M514" s="47"/>
      <c r="N514" s="47"/>
      <c r="O514" s="47"/>
      <c r="P514" s="47"/>
      <c r="Q514" s="47"/>
      <c r="R514" s="47">
        <f t="shared" si="8"/>
        <v>167765.21136487334</v>
      </c>
    </row>
    <row r="515" spans="1:18" x14ac:dyDescent="0.35">
      <c r="A515" s="76">
        <v>510</v>
      </c>
      <c r="B515" s="77" t="s">
        <v>1114</v>
      </c>
      <c r="C515" s="9" t="s">
        <v>1115</v>
      </c>
      <c r="D515" s="76" t="s">
        <v>49</v>
      </c>
      <c r="E515" s="79">
        <v>57346.817295413013</v>
      </c>
      <c r="F515" s="47"/>
      <c r="G515" s="47"/>
      <c r="H515" s="47"/>
      <c r="I515" s="47"/>
      <c r="J515" s="47"/>
      <c r="K515" s="84"/>
      <c r="L515" s="47"/>
      <c r="M515" s="47"/>
      <c r="N515" s="47"/>
      <c r="O515" s="47"/>
      <c r="P515" s="47"/>
      <c r="Q515" s="47"/>
      <c r="R515" s="47">
        <f t="shared" si="8"/>
        <v>57346.817295413013</v>
      </c>
    </row>
    <row r="516" spans="1:18" x14ac:dyDescent="0.35">
      <c r="A516" s="76">
        <v>511</v>
      </c>
      <c r="B516" s="77" t="s">
        <v>1116</v>
      </c>
      <c r="C516" s="9" t="s">
        <v>1117</v>
      </c>
      <c r="D516" s="76" t="s">
        <v>83</v>
      </c>
      <c r="E516" s="79">
        <v>2771618.088038831</v>
      </c>
      <c r="F516" s="47"/>
      <c r="G516" s="47"/>
      <c r="H516" s="47"/>
      <c r="I516" s="47"/>
      <c r="J516" s="47"/>
      <c r="K516" s="84"/>
      <c r="L516" s="47"/>
      <c r="M516" s="47"/>
      <c r="N516" s="47"/>
      <c r="O516" s="47"/>
      <c r="P516" s="47"/>
      <c r="Q516" s="47"/>
      <c r="R516" s="47">
        <f t="shared" si="8"/>
        <v>2771618.088038831</v>
      </c>
    </row>
    <row r="517" spans="1:18" x14ac:dyDescent="0.35">
      <c r="A517" s="76">
        <v>512</v>
      </c>
      <c r="B517" s="77" t="s">
        <v>1118</v>
      </c>
      <c r="C517" s="9" t="s">
        <v>2280</v>
      </c>
      <c r="D517" s="76" t="s">
        <v>72</v>
      </c>
      <c r="E517" s="79">
        <v>1110078.2375271476</v>
      </c>
      <c r="F517" s="47"/>
      <c r="G517" s="47"/>
      <c r="H517" s="47"/>
      <c r="I517" s="47"/>
      <c r="J517" s="47"/>
      <c r="K517" s="84"/>
      <c r="L517" s="47"/>
      <c r="M517" s="47"/>
      <c r="N517" s="47"/>
      <c r="O517" s="47"/>
      <c r="P517" s="47"/>
      <c r="Q517" s="47"/>
      <c r="R517" s="47">
        <f t="shared" si="8"/>
        <v>1110078.2375271476</v>
      </c>
    </row>
    <row r="518" spans="1:18" x14ac:dyDescent="0.35">
      <c r="A518" s="76">
        <v>513</v>
      </c>
      <c r="B518" s="77" t="s">
        <v>1120</v>
      </c>
      <c r="C518" s="9" t="s">
        <v>1671</v>
      </c>
      <c r="D518" s="76" t="s">
        <v>49</v>
      </c>
      <c r="E518" s="79">
        <v>62323.460095112678</v>
      </c>
      <c r="F518" s="47"/>
      <c r="G518" s="47"/>
      <c r="H518" s="47"/>
      <c r="I518" s="47"/>
      <c r="J518" s="47"/>
      <c r="K518" s="84"/>
      <c r="L518" s="47"/>
      <c r="M518" s="47"/>
      <c r="N518" s="47"/>
      <c r="O518" s="47"/>
      <c r="P518" s="47"/>
      <c r="Q518" s="47"/>
      <c r="R518" s="47">
        <f t="shared" si="8"/>
        <v>62323.460095112678</v>
      </c>
    </row>
    <row r="519" spans="1:18" x14ac:dyDescent="0.35">
      <c r="A519" s="76">
        <v>514</v>
      </c>
      <c r="B519" s="77" t="s">
        <v>1122</v>
      </c>
      <c r="C519" s="9" t="s">
        <v>1896</v>
      </c>
      <c r="D519" s="76" t="s">
        <v>136</v>
      </c>
      <c r="E519" s="79">
        <v>1530756.8606024743</v>
      </c>
      <c r="F519" s="47"/>
      <c r="G519" s="47"/>
      <c r="H519" s="47"/>
      <c r="I519" s="47"/>
      <c r="J519" s="47"/>
      <c r="K519" s="84"/>
      <c r="L519" s="47">
        <v>-306352.43968855316</v>
      </c>
      <c r="M519" s="47"/>
      <c r="N519" s="47"/>
      <c r="O519" s="47"/>
      <c r="P519" s="47"/>
      <c r="Q519" s="47"/>
      <c r="R519" s="47">
        <f t="shared" si="8"/>
        <v>1224404.4209139212</v>
      </c>
    </row>
    <row r="520" spans="1:18" x14ac:dyDescent="0.35">
      <c r="A520" s="76">
        <v>515</v>
      </c>
      <c r="B520" s="77" t="s">
        <v>1124</v>
      </c>
      <c r="C520" s="9" t="s">
        <v>2084</v>
      </c>
      <c r="D520" s="76" t="s">
        <v>116</v>
      </c>
      <c r="E520" s="79">
        <v>1409310.4872122211</v>
      </c>
      <c r="F520" s="47"/>
      <c r="G520" s="47"/>
      <c r="H520" s="47"/>
      <c r="I520" s="47"/>
      <c r="J520" s="47"/>
      <c r="K520" s="84"/>
      <c r="L520" s="47"/>
      <c r="M520" s="47"/>
      <c r="N520" s="47"/>
      <c r="O520" s="47"/>
      <c r="P520" s="47"/>
      <c r="Q520" s="47"/>
      <c r="R520" s="47">
        <f t="shared" si="8"/>
        <v>1409310.4872122211</v>
      </c>
    </row>
    <row r="521" spans="1:18" x14ac:dyDescent="0.35">
      <c r="A521" s="76">
        <v>516</v>
      </c>
      <c r="B521" s="77" t="s">
        <v>1126</v>
      </c>
      <c r="C521" s="9" t="s">
        <v>2085</v>
      </c>
      <c r="D521" s="76" t="s">
        <v>303</v>
      </c>
      <c r="E521" s="79">
        <v>1464094.9330363332</v>
      </c>
      <c r="F521" s="47"/>
      <c r="G521" s="47"/>
      <c r="H521" s="47"/>
      <c r="I521" s="47"/>
      <c r="J521" s="47"/>
      <c r="K521" s="84"/>
      <c r="L521" s="47"/>
      <c r="M521" s="47"/>
      <c r="N521" s="47"/>
      <c r="O521" s="47"/>
      <c r="P521" s="47"/>
      <c r="Q521" s="47"/>
      <c r="R521" s="47">
        <f t="shared" si="8"/>
        <v>1464094.9330363332</v>
      </c>
    </row>
    <row r="522" spans="1:18" x14ac:dyDescent="0.35">
      <c r="A522" s="76">
        <v>517</v>
      </c>
      <c r="B522" s="77" t="s">
        <v>1128</v>
      </c>
      <c r="C522" s="9" t="s">
        <v>2086</v>
      </c>
      <c r="D522" s="76" t="s">
        <v>72</v>
      </c>
      <c r="E522" s="79">
        <v>1485330.0755263793</v>
      </c>
      <c r="F522" s="47"/>
      <c r="G522" s="47"/>
      <c r="H522" s="47"/>
      <c r="I522" s="47"/>
      <c r="J522" s="47"/>
      <c r="K522" s="84"/>
      <c r="L522" s="47"/>
      <c r="M522" s="47"/>
      <c r="N522" s="47"/>
      <c r="O522" s="47"/>
      <c r="P522" s="47"/>
      <c r="Q522" s="47"/>
      <c r="R522" s="47">
        <f t="shared" si="8"/>
        <v>1485330.0755263793</v>
      </c>
    </row>
    <row r="523" spans="1:18" x14ac:dyDescent="0.35">
      <c r="A523" s="76">
        <v>518</v>
      </c>
      <c r="B523" s="77" t="s">
        <v>1130</v>
      </c>
      <c r="C523" s="9" t="s">
        <v>1842</v>
      </c>
      <c r="D523" s="76" t="s">
        <v>19</v>
      </c>
      <c r="E523" s="79">
        <v>1112625.7526513687</v>
      </c>
      <c r="F523" s="47"/>
      <c r="G523" s="47"/>
      <c r="H523" s="47"/>
      <c r="I523" s="47"/>
      <c r="J523" s="47"/>
      <c r="K523" s="84"/>
      <c r="L523" s="47"/>
      <c r="M523" s="47"/>
      <c r="N523" s="47"/>
      <c r="O523" s="47"/>
      <c r="P523" s="47"/>
      <c r="Q523" s="47"/>
      <c r="R523" s="47">
        <f t="shared" si="8"/>
        <v>1112625.7526513687</v>
      </c>
    </row>
    <row r="524" spans="1:18" x14ac:dyDescent="0.35">
      <c r="A524" s="76">
        <v>519</v>
      </c>
      <c r="B524" s="77" t="s">
        <v>1132</v>
      </c>
      <c r="C524" s="9" t="s">
        <v>2087</v>
      </c>
      <c r="D524" s="76" t="s">
        <v>19</v>
      </c>
      <c r="E524" s="79">
        <v>1112625.7526513687</v>
      </c>
      <c r="F524" s="47"/>
      <c r="G524" s="47"/>
      <c r="H524" s="47"/>
      <c r="I524" s="47"/>
      <c r="J524" s="47"/>
      <c r="K524" s="84"/>
      <c r="L524" s="47"/>
      <c r="M524" s="47"/>
      <c r="N524" s="47"/>
      <c r="O524" s="47"/>
      <c r="P524" s="47"/>
      <c r="Q524" s="47"/>
      <c r="R524" s="47">
        <f t="shared" si="8"/>
        <v>1112625.7526513687</v>
      </c>
    </row>
    <row r="525" spans="1:18" x14ac:dyDescent="0.35">
      <c r="A525" s="76">
        <v>520</v>
      </c>
      <c r="B525" s="77" t="s">
        <v>1134</v>
      </c>
      <c r="C525" s="9" t="s">
        <v>2088</v>
      </c>
      <c r="D525" s="76" t="s">
        <v>198</v>
      </c>
      <c r="E525" s="79">
        <v>1030094.822795357</v>
      </c>
      <c r="F525" s="47"/>
      <c r="G525" s="47"/>
      <c r="H525" s="47"/>
      <c r="I525" s="47"/>
      <c r="J525" s="47"/>
      <c r="K525" s="84"/>
      <c r="L525" s="47"/>
      <c r="M525" s="47"/>
      <c r="N525" s="47"/>
      <c r="O525" s="47"/>
      <c r="P525" s="47"/>
      <c r="Q525" s="47"/>
      <c r="R525" s="47">
        <f t="shared" si="8"/>
        <v>1030094.822795357</v>
      </c>
    </row>
    <row r="526" spans="1:18" x14ac:dyDescent="0.35">
      <c r="A526" s="76">
        <v>521</v>
      </c>
      <c r="B526" s="77" t="s">
        <v>1136</v>
      </c>
      <c r="C526" s="9" t="s">
        <v>1137</v>
      </c>
      <c r="D526" s="76" t="s">
        <v>123</v>
      </c>
      <c r="E526" s="79">
        <v>1112625.7526513687</v>
      </c>
      <c r="F526" s="47"/>
      <c r="G526" s="47"/>
      <c r="H526" s="47"/>
      <c r="I526" s="47"/>
      <c r="J526" s="47"/>
      <c r="K526" s="84"/>
      <c r="L526" s="47"/>
      <c r="M526" s="47"/>
      <c r="N526" s="47"/>
      <c r="O526" s="47"/>
      <c r="P526" s="47"/>
      <c r="Q526" s="47"/>
      <c r="R526" s="47">
        <f t="shared" si="8"/>
        <v>1112625.7526513687</v>
      </c>
    </row>
    <row r="527" spans="1:18" x14ac:dyDescent="0.35">
      <c r="A527" s="76">
        <v>522</v>
      </c>
      <c r="B527" s="77" t="s">
        <v>1138</v>
      </c>
      <c r="C527" s="9" t="s">
        <v>2090</v>
      </c>
      <c r="D527" s="76" t="s">
        <v>95</v>
      </c>
      <c r="E527" s="79">
        <v>3272585.0904499884</v>
      </c>
      <c r="F527" s="47"/>
      <c r="G527" s="47"/>
      <c r="H527" s="47"/>
      <c r="I527" s="47"/>
      <c r="J527" s="47"/>
      <c r="K527" s="84"/>
      <c r="L527" s="47"/>
      <c r="M527" s="47"/>
      <c r="N527" s="47"/>
      <c r="O527" s="47"/>
      <c r="P527" s="47"/>
      <c r="Q527" s="47"/>
      <c r="R527" s="47">
        <f t="shared" si="8"/>
        <v>3272585.0904499884</v>
      </c>
    </row>
    <row r="528" spans="1:18" x14ac:dyDescent="0.35">
      <c r="A528" s="76">
        <v>523</v>
      </c>
      <c r="B528" s="77" t="s">
        <v>1140</v>
      </c>
      <c r="C528" s="9" t="s">
        <v>1141</v>
      </c>
      <c r="D528" s="76" t="s">
        <v>49</v>
      </c>
      <c r="E528" s="79">
        <v>861895.0231200722</v>
      </c>
      <c r="F528" s="47"/>
      <c r="G528" s="47"/>
      <c r="H528" s="47"/>
      <c r="I528" s="47"/>
      <c r="J528" s="47"/>
      <c r="K528" s="84"/>
      <c r="L528" s="47"/>
      <c r="M528" s="47"/>
      <c r="N528" s="47"/>
      <c r="O528" s="47"/>
      <c r="P528" s="47"/>
      <c r="Q528" s="47"/>
      <c r="R528" s="47">
        <f t="shared" si="8"/>
        <v>861895.0231200722</v>
      </c>
    </row>
    <row r="529" spans="1:18" x14ac:dyDescent="0.35">
      <c r="A529" s="76">
        <v>524</v>
      </c>
      <c r="B529" s="77" t="s">
        <v>1142</v>
      </c>
      <c r="C529" s="9" t="s">
        <v>1143</v>
      </c>
      <c r="D529" s="76" t="s">
        <v>49</v>
      </c>
      <c r="E529" s="79">
        <v>146700.01305464981</v>
      </c>
      <c r="F529" s="47"/>
      <c r="G529" s="47"/>
      <c r="H529" s="47"/>
      <c r="I529" s="47"/>
      <c r="J529" s="47"/>
      <c r="K529" s="84"/>
      <c r="L529" s="47"/>
      <c r="M529" s="47"/>
      <c r="N529" s="47"/>
      <c r="O529" s="47"/>
      <c r="P529" s="47"/>
      <c r="Q529" s="47"/>
      <c r="R529" s="47">
        <f t="shared" si="8"/>
        <v>146700.01305464981</v>
      </c>
    </row>
    <row r="530" spans="1:18" x14ac:dyDescent="0.35">
      <c r="A530" s="76">
        <v>526</v>
      </c>
      <c r="B530" s="77" t="s">
        <v>1144</v>
      </c>
      <c r="C530" s="9" t="s">
        <v>1145</v>
      </c>
      <c r="D530" s="76" t="s">
        <v>303</v>
      </c>
      <c r="E530" s="79">
        <v>31160.00835030392</v>
      </c>
      <c r="F530" s="47"/>
      <c r="G530" s="47"/>
      <c r="H530" s="47"/>
      <c r="I530" s="47"/>
      <c r="J530" s="47"/>
      <c r="K530" s="84"/>
      <c r="L530" s="47"/>
      <c r="M530" s="47"/>
      <c r="N530" s="47"/>
      <c r="O530" s="47"/>
      <c r="P530" s="47"/>
      <c r="Q530" s="47"/>
      <c r="R530" s="47">
        <f t="shared" si="8"/>
        <v>31160.00835030392</v>
      </c>
    </row>
    <row r="531" spans="1:18" x14ac:dyDescent="0.35">
      <c r="A531" s="76">
        <v>527</v>
      </c>
      <c r="B531" s="77" t="s">
        <v>1146</v>
      </c>
      <c r="C531" s="9" t="s">
        <v>1147</v>
      </c>
      <c r="D531" s="76" t="s">
        <v>698</v>
      </c>
      <c r="E531" s="79">
        <v>44689.964955540723</v>
      </c>
      <c r="F531" s="47"/>
      <c r="G531" s="47"/>
      <c r="H531" s="47"/>
      <c r="I531" s="47"/>
      <c r="J531" s="47"/>
      <c r="K531" s="84"/>
      <c r="L531" s="47"/>
      <c r="M531" s="47"/>
      <c r="N531" s="47"/>
      <c r="O531" s="47"/>
      <c r="P531" s="47"/>
      <c r="Q531" s="47"/>
      <c r="R531" s="47">
        <f t="shared" si="8"/>
        <v>44689.964955540723</v>
      </c>
    </row>
    <row r="532" spans="1:18" x14ac:dyDescent="0.35">
      <c r="A532" s="76">
        <v>528</v>
      </c>
      <c r="B532" s="77" t="s">
        <v>1148</v>
      </c>
      <c r="C532" s="9" t="s">
        <v>1149</v>
      </c>
      <c r="D532" s="76" t="s">
        <v>60</v>
      </c>
      <c r="E532" s="79">
        <v>92320</v>
      </c>
      <c r="F532" s="47"/>
      <c r="G532" s="47"/>
      <c r="H532" s="47"/>
      <c r="I532" s="47"/>
      <c r="J532" s="47"/>
      <c r="K532" s="84"/>
      <c r="L532" s="47"/>
      <c r="M532" s="47"/>
      <c r="N532" s="47"/>
      <c r="O532" s="47"/>
      <c r="P532" s="47"/>
      <c r="Q532" s="47"/>
      <c r="R532" s="47">
        <f t="shared" si="8"/>
        <v>92320</v>
      </c>
    </row>
    <row r="533" spans="1:18" x14ac:dyDescent="0.35">
      <c r="A533" s="76">
        <v>529</v>
      </c>
      <c r="B533" s="77" t="s">
        <v>1150</v>
      </c>
      <c r="C533" s="9" t="s">
        <v>1878</v>
      </c>
      <c r="D533" s="76" t="s">
        <v>98</v>
      </c>
      <c r="E533" s="79">
        <v>1191615.5966218824</v>
      </c>
      <c r="F533" s="47"/>
      <c r="G533" s="47"/>
      <c r="H533" s="47"/>
      <c r="I533" s="47"/>
      <c r="J533" s="47"/>
      <c r="K533" s="84"/>
      <c r="L533" s="47"/>
      <c r="M533" s="47"/>
      <c r="N533" s="47"/>
      <c r="O533" s="47"/>
      <c r="P533" s="47"/>
      <c r="Q533" s="47"/>
      <c r="R533" s="47">
        <f t="shared" si="8"/>
        <v>1191615.5966218824</v>
      </c>
    </row>
    <row r="534" spans="1:18" x14ac:dyDescent="0.35">
      <c r="A534" s="76">
        <v>530</v>
      </c>
      <c r="B534" s="77" t="s">
        <v>1152</v>
      </c>
      <c r="C534" s="9" t="s">
        <v>1153</v>
      </c>
      <c r="D534" s="76" t="s">
        <v>300</v>
      </c>
      <c r="E534" s="79">
        <v>111632.76175121497</v>
      </c>
      <c r="F534" s="47"/>
      <c r="G534" s="47"/>
      <c r="H534" s="47"/>
      <c r="I534" s="47"/>
      <c r="J534" s="47"/>
      <c r="K534" s="84"/>
      <c r="L534" s="47"/>
      <c r="M534" s="47"/>
      <c r="N534" s="47"/>
      <c r="O534" s="47"/>
      <c r="P534" s="47"/>
      <c r="Q534" s="47"/>
      <c r="R534" s="47">
        <f t="shared" si="8"/>
        <v>111632.76175121497</v>
      </c>
    </row>
    <row r="535" spans="1:18" x14ac:dyDescent="0.35">
      <c r="A535" s="76">
        <v>531</v>
      </c>
      <c r="B535" s="77" t="s">
        <v>1154</v>
      </c>
      <c r="C535" s="9" t="s">
        <v>1155</v>
      </c>
      <c r="D535" s="76" t="s">
        <v>25</v>
      </c>
      <c r="E535" s="79">
        <v>1300150.2959413345</v>
      </c>
      <c r="F535" s="47"/>
      <c r="G535" s="47"/>
      <c r="H535" s="47"/>
      <c r="I535" s="47"/>
      <c r="J535" s="47"/>
      <c r="K535" s="84"/>
      <c r="L535" s="47"/>
      <c r="M535" s="47"/>
      <c r="N535" s="47"/>
      <c r="O535" s="47"/>
      <c r="P535" s="47"/>
      <c r="Q535" s="47"/>
      <c r="R535" s="47">
        <f t="shared" si="8"/>
        <v>1300150.2959413345</v>
      </c>
    </row>
    <row r="536" spans="1:18" x14ac:dyDescent="0.35">
      <c r="A536" s="76">
        <v>532</v>
      </c>
      <c r="B536" s="77" t="s">
        <v>1156</v>
      </c>
      <c r="C536" s="9" t="s">
        <v>1762</v>
      </c>
      <c r="D536" s="76" t="s">
        <v>318</v>
      </c>
      <c r="E536" s="79">
        <v>1250900.6265344536</v>
      </c>
      <c r="F536" s="47"/>
      <c r="G536" s="47"/>
      <c r="H536" s="47"/>
      <c r="I536" s="47"/>
      <c r="J536" s="47"/>
      <c r="K536" s="84"/>
      <c r="L536" s="47"/>
      <c r="M536" s="47"/>
      <c r="N536" s="47"/>
      <c r="O536" s="47"/>
      <c r="P536" s="47"/>
      <c r="Q536" s="47"/>
      <c r="R536" s="47">
        <f t="shared" si="8"/>
        <v>1250900.6265344536</v>
      </c>
    </row>
    <row r="537" spans="1:18" x14ac:dyDescent="0.35">
      <c r="A537" s="76">
        <v>533</v>
      </c>
      <c r="B537" s="77" t="s">
        <v>1158</v>
      </c>
      <c r="C537" s="9" t="s">
        <v>1159</v>
      </c>
      <c r="D537" s="76" t="s">
        <v>19</v>
      </c>
      <c r="E537" s="79">
        <v>1282181.4586389437</v>
      </c>
      <c r="F537" s="47"/>
      <c r="G537" s="47"/>
      <c r="H537" s="47"/>
      <c r="I537" s="47"/>
      <c r="J537" s="47"/>
      <c r="K537" s="84"/>
      <c r="L537" s="47"/>
      <c r="M537" s="47"/>
      <c r="N537" s="47"/>
      <c r="O537" s="47"/>
      <c r="P537" s="47"/>
      <c r="Q537" s="47"/>
      <c r="R537" s="47">
        <f t="shared" si="8"/>
        <v>1282181.4586389437</v>
      </c>
    </row>
    <row r="538" spans="1:18" x14ac:dyDescent="0.35">
      <c r="A538" s="76">
        <v>534</v>
      </c>
      <c r="B538" s="77" t="s">
        <v>1160</v>
      </c>
      <c r="C538" s="9" t="s">
        <v>1161</v>
      </c>
      <c r="D538" s="76" t="s">
        <v>303</v>
      </c>
      <c r="E538" s="79">
        <v>949512.70699558069</v>
      </c>
      <c r="F538" s="47"/>
      <c r="G538" s="47"/>
      <c r="H538" s="47"/>
      <c r="I538" s="47"/>
      <c r="J538" s="47"/>
      <c r="K538" s="84"/>
      <c r="L538" s="47">
        <v>-243036.25452469147</v>
      </c>
      <c r="M538" s="47"/>
      <c r="N538" s="47"/>
      <c r="O538" s="47"/>
      <c r="P538" s="47"/>
      <c r="Q538" s="47"/>
      <c r="R538" s="47">
        <f t="shared" si="8"/>
        <v>706476.4524708892</v>
      </c>
    </row>
    <row r="539" spans="1:18" x14ac:dyDescent="0.35">
      <c r="A539" s="76">
        <v>535</v>
      </c>
      <c r="B539" s="77" t="s">
        <v>1162</v>
      </c>
      <c r="C539" s="9" t="s">
        <v>1163</v>
      </c>
      <c r="D539" s="76" t="s">
        <v>318</v>
      </c>
      <c r="E539" s="79">
        <v>239963.32185857336</v>
      </c>
      <c r="F539" s="47"/>
      <c r="G539" s="47"/>
      <c r="H539" s="47"/>
      <c r="I539" s="47"/>
      <c r="J539" s="47"/>
      <c r="K539" s="84"/>
      <c r="L539" s="47"/>
      <c r="M539" s="47"/>
      <c r="N539" s="47"/>
      <c r="O539" s="47"/>
      <c r="P539" s="47"/>
      <c r="Q539" s="47"/>
      <c r="R539" s="47">
        <f t="shared" si="8"/>
        <v>239963.32185857336</v>
      </c>
    </row>
    <row r="540" spans="1:18" x14ac:dyDescent="0.35">
      <c r="A540" s="76">
        <v>536</v>
      </c>
      <c r="B540" s="77" t="s">
        <v>1164</v>
      </c>
      <c r="C540" s="9" t="s">
        <v>1165</v>
      </c>
      <c r="D540" s="76" t="s">
        <v>136</v>
      </c>
      <c r="E540" s="79">
        <v>821124.72161621368</v>
      </c>
      <c r="F540" s="47"/>
      <c r="G540" s="47"/>
      <c r="H540" s="47"/>
      <c r="I540" s="47"/>
      <c r="J540" s="47"/>
      <c r="K540" s="84"/>
      <c r="L540" s="47">
        <v>-166588.99224617623</v>
      </c>
      <c r="M540" s="47"/>
      <c r="N540" s="47"/>
      <c r="O540" s="47"/>
      <c r="P540" s="47"/>
      <c r="Q540" s="47"/>
      <c r="R540" s="47">
        <f t="shared" si="8"/>
        <v>654535.72937003744</v>
      </c>
    </row>
    <row r="541" spans="1:18" x14ac:dyDescent="0.35">
      <c r="A541" s="76">
        <v>537</v>
      </c>
      <c r="B541" s="77" t="s">
        <v>1166</v>
      </c>
      <c r="C541" s="9" t="s">
        <v>2094</v>
      </c>
      <c r="D541" s="76" t="s">
        <v>751</v>
      </c>
      <c r="E541" s="79">
        <v>1162941.1507626283</v>
      </c>
      <c r="F541" s="47"/>
      <c r="G541" s="47"/>
      <c r="H541" s="47"/>
      <c r="I541" s="47"/>
      <c r="J541" s="47"/>
      <c r="K541" s="84"/>
      <c r="L541" s="47"/>
      <c r="M541" s="47"/>
      <c r="N541" s="47"/>
      <c r="O541" s="47"/>
      <c r="P541" s="47"/>
      <c r="Q541" s="47"/>
      <c r="R541" s="47">
        <f t="shared" si="8"/>
        <v>1162941.1507626283</v>
      </c>
    </row>
    <row r="542" spans="1:18" x14ac:dyDescent="0.35">
      <c r="A542" s="76">
        <v>538</v>
      </c>
      <c r="B542" s="77" t="s">
        <v>1168</v>
      </c>
      <c r="C542" s="9" t="s">
        <v>1169</v>
      </c>
      <c r="D542" s="76" t="s">
        <v>113</v>
      </c>
      <c r="E542" s="79">
        <v>56473.561187360669</v>
      </c>
      <c r="F542" s="47"/>
      <c r="G542" s="47"/>
      <c r="H542" s="47"/>
      <c r="I542" s="47"/>
      <c r="J542" s="47"/>
      <c r="K542" s="84"/>
      <c r="L542" s="47"/>
      <c r="M542" s="47"/>
      <c r="N542" s="47"/>
      <c r="O542" s="47"/>
      <c r="P542" s="47"/>
      <c r="Q542" s="47"/>
      <c r="R542" s="47">
        <f t="shared" ref="R542:R605" si="9">E542+F542+G542+H542+I542+J542+K542+L542+M542+N542+O542+P542+Q542</f>
        <v>56473.561187360669</v>
      </c>
    </row>
    <row r="543" spans="1:18" x14ac:dyDescent="0.35">
      <c r="A543" s="76">
        <v>539</v>
      </c>
      <c r="B543" s="77" t="s">
        <v>1170</v>
      </c>
      <c r="C543" s="9" t="s">
        <v>1171</v>
      </c>
      <c r="D543" s="76" t="s">
        <v>136</v>
      </c>
      <c r="E543" s="79">
        <v>1276388.2674934873</v>
      </c>
      <c r="F543" s="47"/>
      <c r="G543" s="47"/>
      <c r="H543" s="47"/>
      <c r="I543" s="47"/>
      <c r="J543" s="47"/>
      <c r="K543" s="84"/>
      <c r="L543" s="47">
        <v>-587187.18384634145</v>
      </c>
      <c r="M543" s="47"/>
      <c r="N543" s="47"/>
      <c r="O543" s="47"/>
      <c r="P543" s="47"/>
      <c r="Q543" s="47"/>
      <c r="R543" s="47">
        <f t="shared" si="9"/>
        <v>689201.08364714589</v>
      </c>
    </row>
    <row r="544" spans="1:18" x14ac:dyDescent="0.35">
      <c r="A544" s="76">
        <v>540</v>
      </c>
      <c r="B544" s="77" t="s">
        <v>1172</v>
      </c>
      <c r="C544" s="9" t="s">
        <v>1173</v>
      </c>
      <c r="D544" s="76" t="s">
        <v>136</v>
      </c>
      <c r="E544" s="79">
        <v>1199789.9813257279</v>
      </c>
      <c r="F544" s="47"/>
      <c r="G544" s="47"/>
      <c r="H544" s="47"/>
      <c r="I544" s="47"/>
      <c r="J544" s="47"/>
      <c r="K544" s="84"/>
      <c r="L544" s="47">
        <v>-279383.42650578625</v>
      </c>
      <c r="M544" s="47"/>
      <c r="N544" s="47"/>
      <c r="O544" s="47"/>
      <c r="P544" s="47"/>
      <c r="Q544" s="47"/>
      <c r="R544" s="47">
        <f t="shared" si="9"/>
        <v>920406.55481994164</v>
      </c>
    </row>
    <row r="545" spans="1:18" x14ac:dyDescent="0.35">
      <c r="A545" s="76">
        <v>541</v>
      </c>
      <c r="B545" s="77" t="s">
        <v>1174</v>
      </c>
      <c r="C545" s="9" t="s">
        <v>1899</v>
      </c>
      <c r="D545" s="76" t="s">
        <v>374</v>
      </c>
      <c r="E545" s="79">
        <v>1229173.6788679278</v>
      </c>
      <c r="F545" s="47"/>
      <c r="G545" s="47"/>
      <c r="H545" s="47"/>
      <c r="I545" s="47"/>
      <c r="J545" s="47"/>
      <c r="K545" s="84"/>
      <c r="L545" s="47"/>
      <c r="M545" s="47"/>
      <c r="N545" s="47"/>
      <c r="O545" s="47"/>
      <c r="P545" s="47"/>
      <c r="Q545" s="47"/>
      <c r="R545" s="47">
        <f t="shared" si="9"/>
        <v>1229173.6788679278</v>
      </c>
    </row>
    <row r="546" spans="1:18" x14ac:dyDescent="0.35">
      <c r="A546" s="76">
        <v>542</v>
      </c>
      <c r="B546" s="77" t="s">
        <v>1176</v>
      </c>
      <c r="C546" s="9" t="s">
        <v>1177</v>
      </c>
      <c r="D546" s="76" t="s">
        <v>295</v>
      </c>
      <c r="E546" s="79">
        <v>1032467.9099472809</v>
      </c>
      <c r="F546" s="47"/>
      <c r="G546" s="47"/>
      <c r="H546" s="47"/>
      <c r="I546" s="47"/>
      <c r="J546" s="47"/>
      <c r="K546" s="84"/>
      <c r="L546" s="47"/>
      <c r="M546" s="47"/>
      <c r="N546" s="47"/>
      <c r="O546" s="47"/>
      <c r="P546" s="47"/>
      <c r="Q546" s="47"/>
      <c r="R546" s="47">
        <f t="shared" si="9"/>
        <v>1032467.9099472809</v>
      </c>
    </row>
    <row r="547" spans="1:18" x14ac:dyDescent="0.35">
      <c r="A547" s="76">
        <v>543</v>
      </c>
      <c r="B547" s="77" t="s">
        <v>1178</v>
      </c>
      <c r="C547" s="9" t="s">
        <v>1179</v>
      </c>
      <c r="D547" s="76" t="s">
        <v>136</v>
      </c>
      <c r="E547" s="79">
        <v>0.31274104944895953</v>
      </c>
      <c r="F547" s="47"/>
      <c r="G547" s="47"/>
      <c r="H547" s="47"/>
      <c r="I547" s="47"/>
      <c r="J547" s="47"/>
      <c r="K547" s="84"/>
      <c r="L547" s="47"/>
      <c r="M547" s="47"/>
      <c r="N547" s="47"/>
      <c r="O547" s="47"/>
      <c r="P547" s="47"/>
      <c r="Q547" s="47"/>
      <c r="R547" s="47">
        <f t="shared" si="9"/>
        <v>0.31274104944895953</v>
      </c>
    </row>
    <row r="548" spans="1:18" x14ac:dyDescent="0.35">
      <c r="A548" s="76">
        <v>544</v>
      </c>
      <c r="B548" s="77" t="s">
        <v>1180</v>
      </c>
      <c r="C548" s="9" t="s">
        <v>1181</v>
      </c>
      <c r="D548" s="76" t="s">
        <v>136</v>
      </c>
      <c r="E548" s="79">
        <v>994699.21869353682</v>
      </c>
      <c r="F548" s="47"/>
      <c r="G548" s="47"/>
      <c r="H548" s="47"/>
      <c r="I548" s="47"/>
      <c r="J548" s="47"/>
      <c r="K548" s="84"/>
      <c r="L548" s="47"/>
      <c r="M548" s="47"/>
      <c r="N548" s="47"/>
      <c r="O548" s="47"/>
      <c r="P548" s="47"/>
      <c r="Q548" s="47"/>
      <c r="R548" s="47">
        <f t="shared" si="9"/>
        <v>994699.21869353682</v>
      </c>
    </row>
    <row r="549" spans="1:18" x14ac:dyDescent="0.35">
      <c r="A549" s="76">
        <v>545</v>
      </c>
      <c r="B549" s="77" t="s">
        <v>1182</v>
      </c>
      <c r="C549" s="9" t="s">
        <v>1183</v>
      </c>
      <c r="D549" s="76" t="s">
        <v>136</v>
      </c>
      <c r="E549" s="79">
        <v>30305</v>
      </c>
      <c r="F549" s="47"/>
      <c r="G549" s="47"/>
      <c r="H549" s="47"/>
      <c r="I549" s="47"/>
      <c r="J549" s="47"/>
      <c r="K549" s="84"/>
      <c r="L549" s="47"/>
      <c r="M549" s="47"/>
      <c r="N549" s="47"/>
      <c r="O549" s="47"/>
      <c r="P549" s="47"/>
      <c r="Q549" s="47"/>
      <c r="R549" s="47">
        <f t="shared" si="9"/>
        <v>30305</v>
      </c>
    </row>
    <row r="550" spans="1:18" x14ac:dyDescent="0.35">
      <c r="A550" s="76">
        <v>546</v>
      </c>
      <c r="B550" s="77" t="s">
        <v>1184</v>
      </c>
      <c r="C550" s="9" t="s">
        <v>1185</v>
      </c>
      <c r="D550" s="76" t="s">
        <v>136</v>
      </c>
      <c r="E550" s="79">
        <v>57100.68150480435</v>
      </c>
      <c r="F550" s="47"/>
      <c r="G550" s="47"/>
      <c r="H550" s="47"/>
      <c r="I550" s="47"/>
      <c r="J550" s="47"/>
      <c r="K550" s="84"/>
      <c r="L550" s="47"/>
      <c r="M550" s="47"/>
      <c r="N550" s="47"/>
      <c r="O550" s="47"/>
      <c r="P550" s="47"/>
      <c r="Q550" s="47"/>
      <c r="R550" s="47">
        <f t="shared" si="9"/>
        <v>57100.68150480435</v>
      </c>
    </row>
    <row r="551" spans="1:18" x14ac:dyDescent="0.35">
      <c r="A551" s="76">
        <v>547</v>
      </c>
      <c r="B551" s="77" t="s">
        <v>1186</v>
      </c>
      <c r="C551" s="9" t="s">
        <v>1187</v>
      </c>
      <c r="D551" s="76" t="s">
        <v>169</v>
      </c>
      <c r="E551" s="79">
        <v>154866.31274104945</v>
      </c>
      <c r="F551" s="47"/>
      <c r="G551" s="47"/>
      <c r="H551" s="47"/>
      <c r="I551" s="47"/>
      <c r="J551" s="47"/>
      <c r="K551" s="84"/>
      <c r="L551" s="47"/>
      <c r="M551" s="47"/>
      <c r="N551" s="47"/>
      <c r="O551" s="47"/>
      <c r="P551" s="47"/>
      <c r="Q551" s="47"/>
      <c r="R551" s="47">
        <f t="shared" si="9"/>
        <v>154866.31274104945</v>
      </c>
    </row>
    <row r="552" spans="1:18" x14ac:dyDescent="0.35">
      <c r="A552" s="76">
        <v>548</v>
      </c>
      <c r="B552" s="77" t="s">
        <v>1188</v>
      </c>
      <c r="C552" s="9" t="s">
        <v>1189</v>
      </c>
      <c r="D552" s="76" t="s">
        <v>136</v>
      </c>
      <c r="E552" s="79">
        <v>994699.21869353682</v>
      </c>
      <c r="F552" s="47"/>
      <c r="G552" s="47"/>
      <c r="H552" s="47"/>
      <c r="I552" s="47"/>
      <c r="J552" s="47"/>
      <c r="K552" s="84"/>
      <c r="L552" s="47"/>
      <c r="M552" s="47"/>
      <c r="N552" s="47"/>
      <c r="O552" s="47"/>
      <c r="P552" s="47"/>
      <c r="Q552" s="47"/>
      <c r="R552" s="47">
        <f t="shared" si="9"/>
        <v>994699.21869353682</v>
      </c>
    </row>
    <row r="553" spans="1:18" x14ac:dyDescent="0.35">
      <c r="A553" s="76">
        <v>549</v>
      </c>
      <c r="B553" s="77" t="s">
        <v>1190</v>
      </c>
      <c r="C553" s="9" t="s">
        <v>1191</v>
      </c>
      <c r="D553" s="76" t="s">
        <v>303</v>
      </c>
      <c r="E553" s="79">
        <v>974401.24765762489</v>
      </c>
      <c r="F553" s="47"/>
      <c r="G553" s="47"/>
      <c r="H553" s="47"/>
      <c r="I553" s="47"/>
      <c r="J553" s="47"/>
      <c r="K553" s="84"/>
      <c r="L553" s="47"/>
      <c r="M553" s="47"/>
      <c r="N553" s="47"/>
      <c r="O553" s="47"/>
      <c r="P553" s="47"/>
      <c r="Q553" s="47"/>
      <c r="R553" s="47">
        <f t="shared" si="9"/>
        <v>974401.24765762489</v>
      </c>
    </row>
    <row r="554" spans="1:18" x14ac:dyDescent="0.35">
      <c r="A554" s="76">
        <v>550</v>
      </c>
      <c r="B554" s="77" t="s">
        <v>1192</v>
      </c>
      <c r="C554" s="9" t="s">
        <v>1193</v>
      </c>
      <c r="D554" s="76" t="s">
        <v>136</v>
      </c>
      <c r="E554" s="79">
        <v>268887</v>
      </c>
      <c r="F554" s="47"/>
      <c r="G554" s="47"/>
      <c r="H554" s="47"/>
      <c r="I554" s="47"/>
      <c r="J554" s="47"/>
      <c r="K554" s="84"/>
      <c r="L554" s="47"/>
      <c r="M554" s="47"/>
      <c r="N554" s="47"/>
      <c r="O554" s="47"/>
      <c r="P554" s="47"/>
      <c r="Q554" s="47"/>
      <c r="R554" s="47">
        <f t="shared" si="9"/>
        <v>268887</v>
      </c>
    </row>
    <row r="555" spans="1:18" x14ac:dyDescent="0.35">
      <c r="A555" s="76">
        <v>551</v>
      </c>
      <c r="B555" s="77" t="s">
        <v>1194</v>
      </c>
      <c r="C555" s="9" t="s">
        <v>1195</v>
      </c>
      <c r="D555" s="76" t="s">
        <v>136</v>
      </c>
      <c r="E555" s="79">
        <v>442464.00128400524</v>
      </c>
      <c r="F555" s="47"/>
      <c r="G555" s="47"/>
      <c r="H555" s="47"/>
      <c r="I555" s="47"/>
      <c r="J555" s="47"/>
      <c r="K555" s="84"/>
      <c r="L555" s="47"/>
      <c r="M555" s="47"/>
      <c r="N555" s="47"/>
      <c r="O555" s="47"/>
      <c r="P555" s="47"/>
      <c r="Q555" s="47"/>
      <c r="R555" s="47">
        <f t="shared" si="9"/>
        <v>442464.00128400524</v>
      </c>
    </row>
    <row r="556" spans="1:18" x14ac:dyDescent="0.35">
      <c r="A556" s="76">
        <v>552</v>
      </c>
      <c r="B556" s="77" t="s">
        <v>1196</v>
      </c>
      <c r="C556" s="9" t="s">
        <v>1197</v>
      </c>
      <c r="D556" s="76" t="s">
        <v>136</v>
      </c>
      <c r="E556" s="79">
        <v>738351.31274104945</v>
      </c>
      <c r="F556" s="47"/>
      <c r="G556" s="47"/>
      <c r="H556" s="47"/>
      <c r="I556" s="47"/>
      <c r="J556" s="47"/>
      <c r="K556" s="84"/>
      <c r="L556" s="47"/>
      <c r="M556" s="47"/>
      <c r="N556" s="47"/>
      <c r="O556" s="47"/>
      <c r="P556" s="47"/>
      <c r="Q556" s="47"/>
      <c r="R556" s="47">
        <f t="shared" si="9"/>
        <v>738351.31274104945</v>
      </c>
    </row>
    <row r="557" spans="1:18" x14ac:dyDescent="0.35">
      <c r="A557" s="76">
        <v>553</v>
      </c>
      <c r="B557" s="77" t="s">
        <v>1198</v>
      </c>
      <c r="C557" s="9" t="s">
        <v>1199</v>
      </c>
      <c r="D557" s="76" t="s">
        <v>136</v>
      </c>
      <c r="E557" s="79">
        <v>515984.2030736506</v>
      </c>
      <c r="F557" s="47"/>
      <c r="G557" s="47"/>
      <c r="H557" s="47"/>
      <c r="I557" s="47"/>
      <c r="J557" s="47"/>
      <c r="K557" s="84"/>
      <c r="L557" s="47"/>
      <c r="M557" s="47"/>
      <c r="N557" s="47"/>
      <c r="O557" s="47"/>
      <c r="P557" s="47"/>
      <c r="Q557" s="47"/>
      <c r="R557" s="47">
        <f t="shared" si="9"/>
        <v>515984.2030736506</v>
      </c>
    </row>
    <row r="558" spans="1:18" x14ac:dyDescent="0.35">
      <c r="A558" s="76">
        <v>554</v>
      </c>
      <c r="B558" s="77" t="s">
        <v>1200</v>
      </c>
      <c r="C558" s="9" t="s">
        <v>1201</v>
      </c>
      <c r="D558" s="76" t="s">
        <v>141</v>
      </c>
      <c r="E558" s="79">
        <v>73086.153279239777</v>
      </c>
      <c r="F558" s="47"/>
      <c r="G558" s="47"/>
      <c r="H558" s="47"/>
      <c r="I558" s="47"/>
      <c r="J558" s="47"/>
      <c r="K558" s="84"/>
      <c r="L558" s="47"/>
      <c r="M558" s="47"/>
      <c r="N558" s="47"/>
      <c r="O558" s="47"/>
      <c r="P558" s="47"/>
      <c r="Q558" s="47"/>
      <c r="R558" s="47">
        <f t="shared" si="9"/>
        <v>73086.153279239777</v>
      </c>
    </row>
    <row r="559" spans="1:18" x14ac:dyDescent="0.35">
      <c r="A559" s="76">
        <v>555</v>
      </c>
      <c r="B559" s="77" t="s">
        <v>1202</v>
      </c>
      <c r="C559" s="9" t="s">
        <v>1203</v>
      </c>
      <c r="D559" s="76" t="s">
        <v>49</v>
      </c>
      <c r="E559" s="79">
        <v>393966</v>
      </c>
      <c r="F559" s="47"/>
      <c r="G559" s="47"/>
      <c r="H559" s="47"/>
      <c r="I559" s="47"/>
      <c r="J559" s="47"/>
      <c r="K559" s="84"/>
      <c r="L559" s="47"/>
      <c r="M559" s="47"/>
      <c r="N559" s="47"/>
      <c r="O559" s="47"/>
      <c r="P559" s="47"/>
      <c r="Q559" s="47"/>
      <c r="R559" s="47">
        <f t="shared" si="9"/>
        <v>393966</v>
      </c>
    </row>
    <row r="560" spans="1:18" x14ac:dyDescent="0.35">
      <c r="A560" s="76">
        <v>556</v>
      </c>
      <c r="B560" s="77" t="s">
        <v>1204</v>
      </c>
      <c r="C560" s="9" t="s">
        <v>1205</v>
      </c>
      <c r="D560" s="76" t="s">
        <v>128</v>
      </c>
      <c r="E560" s="79">
        <v>1033399.5742230164</v>
      </c>
      <c r="F560" s="47"/>
      <c r="G560" s="47"/>
      <c r="H560" s="47">
        <v>-1033399</v>
      </c>
      <c r="I560" s="47"/>
      <c r="J560" s="47"/>
      <c r="K560" s="84"/>
      <c r="L560" s="47"/>
      <c r="M560" s="47"/>
      <c r="N560" s="47"/>
      <c r="O560" s="47"/>
      <c r="P560" s="47"/>
      <c r="Q560" s="47"/>
      <c r="R560" s="47">
        <f t="shared" si="9"/>
        <v>0.57422301638871431</v>
      </c>
    </row>
    <row r="561" spans="1:18" x14ac:dyDescent="0.35">
      <c r="A561" s="76">
        <v>557</v>
      </c>
      <c r="B561" s="77" t="s">
        <v>1206</v>
      </c>
      <c r="C561" s="9" t="s">
        <v>1207</v>
      </c>
      <c r="D561" s="76" t="s">
        <v>49</v>
      </c>
      <c r="E561" s="79">
        <v>30305</v>
      </c>
      <c r="F561" s="47"/>
      <c r="G561" s="47"/>
      <c r="H561" s="47"/>
      <c r="I561" s="47"/>
      <c r="J561" s="47"/>
      <c r="K561" s="84"/>
      <c r="L561" s="47"/>
      <c r="M561" s="47"/>
      <c r="N561" s="47"/>
      <c r="O561" s="47"/>
      <c r="P561" s="47"/>
      <c r="Q561" s="47"/>
      <c r="R561" s="47">
        <f t="shared" si="9"/>
        <v>30305</v>
      </c>
    </row>
    <row r="562" spans="1:18" x14ac:dyDescent="0.35">
      <c r="A562" s="76">
        <v>558</v>
      </c>
      <c r="B562" s="77" t="s">
        <v>1208</v>
      </c>
      <c r="C562" s="9" t="s">
        <v>1209</v>
      </c>
      <c r="D562" s="76" t="s">
        <v>128</v>
      </c>
      <c r="E562" s="79">
        <v>1014269.2800620976</v>
      </c>
      <c r="F562" s="47"/>
      <c r="G562" s="47"/>
      <c r="H562" s="47"/>
      <c r="I562" s="47"/>
      <c r="J562" s="47"/>
      <c r="K562" s="84"/>
      <c r="L562" s="47"/>
      <c r="M562" s="47"/>
      <c r="N562" s="47"/>
      <c r="O562" s="47"/>
      <c r="P562" s="47"/>
      <c r="Q562" s="47"/>
      <c r="R562" s="47">
        <f t="shared" si="9"/>
        <v>1014269.2800620976</v>
      </c>
    </row>
    <row r="563" spans="1:18" x14ac:dyDescent="0.35">
      <c r="A563" s="76">
        <v>559</v>
      </c>
      <c r="B563" s="77" t="s">
        <v>1210</v>
      </c>
      <c r="C563" s="9" t="s">
        <v>1211</v>
      </c>
      <c r="D563" s="76" t="s">
        <v>128</v>
      </c>
      <c r="E563" s="79">
        <v>781057.31274104945</v>
      </c>
      <c r="F563" s="47"/>
      <c r="G563" s="47"/>
      <c r="H563" s="47"/>
      <c r="I563" s="47"/>
      <c r="J563" s="47"/>
      <c r="K563" s="84"/>
      <c r="L563" s="47"/>
      <c r="M563" s="47"/>
      <c r="N563" s="47"/>
      <c r="O563" s="47"/>
      <c r="P563" s="47"/>
      <c r="Q563" s="47"/>
      <c r="R563" s="47">
        <f t="shared" si="9"/>
        <v>781057.31274104945</v>
      </c>
    </row>
    <row r="564" spans="1:18" x14ac:dyDescent="0.35">
      <c r="A564" s="76">
        <v>560</v>
      </c>
      <c r="B564" s="77" t="s">
        <v>1212</v>
      </c>
      <c r="C564" s="9" t="s">
        <v>1213</v>
      </c>
      <c r="D564" s="76" t="s">
        <v>1214</v>
      </c>
      <c r="E564" s="79">
        <v>912310.31274104945</v>
      </c>
      <c r="F564" s="47"/>
      <c r="G564" s="47"/>
      <c r="H564" s="47"/>
      <c r="I564" s="47"/>
      <c r="J564" s="47"/>
      <c r="K564" s="84"/>
      <c r="L564" s="47"/>
      <c r="M564" s="47"/>
      <c r="N564" s="47"/>
      <c r="O564" s="47"/>
      <c r="P564" s="47"/>
      <c r="Q564" s="47"/>
      <c r="R564" s="47">
        <f t="shared" si="9"/>
        <v>912310.31274104945</v>
      </c>
    </row>
    <row r="565" spans="1:18" x14ac:dyDescent="0.35">
      <c r="A565" s="76">
        <v>561</v>
      </c>
      <c r="B565" s="77" t="s">
        <v>1215</v>
      </c>
      <c r="C565" s="9" t="s">
        <v>1216</v>
      </c>
      <c r="D565" s="76" t="s">
        <v>49</v>
      </c>
      <c r="E565" s="79">
        <v>336490</v>
      </c>
      <c r="F565" s="47"/>
      <c r="G565" s="47"/>
      <c r="H565" s="47"/>
      <c r="I565" s="47"/>
      <c r="J565" s="47"/>
      <c r="K565" s="84"/>
      <c r="L565" s="47"/>
      <c r="M565" s="47"/>
      <c r="N565" s="47"/>
      <c r="O565" s="47"/>
      <c r="P565" s="47"/>
      <c r="Q565" s="47"/>
      <c r="R565" s="47">
        <f t="shared" si="9"/>
        <v>336490</v>
      </c>
    </row>
    <row r="566" spans="1:18" x14ac:dyDescent="0.35">
      <c r="A566" s="76">
        <v>562</v>
      </c>
      <c r="B566" s="77" t="s">
        <v>1217</v>
      </c>
      <c r="C566" s="9" t="s">
        <v>1218</v>
      </c>
      <c r="D566" s="76" t="s">
        <v>49</v>
      </c>
      <c r="E566" s="79">
        <v>268887</v>
      </c>
      <c r="F566" s="47"/>
      <c r="G566" s="47"/>
      <c r="H566" s="47"/>
      <c r="I566" s="47"/>
      <c r="J566" s="47"/>
      <c r="K566" s="84"/>
      <c r="L566" s="47"/>
      <c r="M566" s="47"/>
      <c r="N566" s="47"/>
      <c r="O566" s="47"/>
      <c r="P566" s="47"/>
      <c r="Q566" s="47"/>
      <c r="R566" s="47">
        <f t="shared" si="9"/>
        <v>268887</v>
      </c>
    </row>
    <row r="567" spans="1:18" x14ac:dyDescent="0.35">
      <c r="A567" s="76">
        <v>563</v>
      </c>
      <c r="B567" s="77" t="s">
        <v>1219</v>
      </c>
      <c r="C567" s="9" t="s">
        <v>1220</v>
      </c>
      <c r="D567" s="76" t="s">
        <v>49</v>
      </c>
      <c r="E567" s="79">
        <v>-4103</v>
      </c>
      <c r="F567" s="47"/>
      <c r="G567" s="47"/>
      <c r="H567" s="47"/>
      <c r="I567" s="47"/>
      <c r="J567" s="47"/>
      <c r="K567" s="84"/>
      <c r="L567" s="47"/>
      <c r="M567" s="47"/>
      <c r="N567" s="47"/>
      <c r="O567" s="47"/>
      <c r="P567" s="47"/>
      <c r="Q567" s="47"/>
      <c r="R567" s="47">
        <f t="shared" si="9"/>
        <v>-4103</v>
      </c>
    </row>
    <row r="568" spans="1:18" x14ac:dyDescent="0.35">
      <c r="A568" s="76">
        <v>564</v>
      </c>
      <c r="B568" s="77" t="s">
        <v>1221</v>
      </c>
      <c r="C568" s="9" t="s">
        <v>1222</v>
      </c>
      <c r="D568" s="76" t="s">
        <v>49</v>
      </c>
      <c r="E568" s="79">
        <v>-10258</v>
      </c>
      <c r="F568" s="47"/>
      <c r="G568" s="47"/>
      <c r="H568" s="47"/>
      <c r="I568" s="47"/>
      <c r="J568" s="47"/>
      <c r="K568" s="84"/>
      <c r="L568" s="47"/>
      <c r="M568" s="47"/>
      <c r="N568" s="47"/>
      <c r="O568" s="47"/>
      <c r="P568" s="47"/>
      <c r="Q568" s="47"/>
      <c r="R568" s="47">
        <f t="shared" si="9"/>
        <v>-10258</v>
      </c>
    </row>
    <row r="569" spans="1:18" x14ac:dyDescent="0.35">
      <c r="A569" s="76">
        <v>565</v>
      </c>
      <c r="B569" s="77" t="s">
        <v>1223</v>
      </c>
      <c r="C569" s="9" t="s">
        <v>1224</v>
      </c>
      <c r="D569" s="76" t="s">
        <v>49</v>
      </c>
      <c r="E569" s="79">
        <v>353848</v>
      </c>
      <c r="F569" s="47"/>
      <c r="G569" s="47"/>
      <c r="H569" s="47"/>
      <c r="I569" s="47"/>
      <c r="J569" s="47"/>
      <c r="K569" s="84"/>
      <c r="L569" s="47"/>
      <c r="M569" s="47"/>
      <c r="N569" s="47"/>
      <c r="O569" s="47"/>
      <c r="P569" s="47"/>
      <c r="Q569" s="47"/>
      <c r="R569" s="47">
        <f t="shared" si="9"/>
        <v>353848</v>
      </c>
    </row>
    <row r="570" spans="1:18" x14ac:dyDescent="0.35">
      <c r="A570" s="76">
        <v>566</v>
      </c>
      <c r="B570" s="77" t="s">
        <v>1225</v>
      </c>
      <c r="C570" s="9" t="s">
        <v>1226</v>
      </c>
      <c r="D570" s="76" t="s">
        <v>698</v>
      </c>
      <c r="E570" s="79">
        <v>10257.69399492949</v>
      </c>
      <c r="F570" s="47"/>
      <c r="G570" s="47"/>
      <c r="H570" s="47"/>
      <c r="I570" s="47"/>
      <c r="J570" s="47"/>
      <c r="K570" s="84"/>
      <c r="L570" s="47"/>
      <c r="M570" s="47"/>
      <c r="N570" s="47"/>
      <c r="O570" s="47"/>
      <c r="P570" s="47"/>
      <c r="Q570" s="47"/>
      <c r="R570" s="47">
        <f t="shared" si="9"/>
        <v>10257.69399492949</v>
      </c>
    </row>
    <row r="571" spans="1:18" x14ac:dyDescent="0.35">
      <c r="A571" s="76">
        <v>567</v>
      </c>
      <c r="B571" s="77" t="s">
        <v>1227</v>
      </c>
      <c r="C571" s="9" t="s">
        <v>1228</v>
      </c>
      <c r="D571" s="76" t="s">
        <v>72</v>
      </c>
      <c r="E571" s="79">
        <v>34196.20307365054</v>
      </c>
      <c r="F571" s="47"/>
      <c r="G571" s="47"/>
      <c r="H571" s="47"/>
      <c r="I571" s="47"/>
      <c r="J571" s="47"/>
      <c r="K571" s="84"/>
      <c r="L571" s="47"/>
      <c r="M571" s="47"/>
      <c r="N571" s="47"/>
      <c r="O571" s="47"/>
      <c r="P571" s="47"/>
      <c r="Q571" s="47"/>
      <c r="R571" s="47">
        <f t="shared" si="9"/>
        <v>34196.20307365054</v>
      </c>
    </row>
    <row r="572" spans="1:18" x14ac:dyDescent="0.35">
      <c r="A572" s="76">
        <v>568</v>
      </c>
      <c r="B572" s="77" t="s">
        <v>1229</v>
      </c>
      <c r="C572" s="9" t="s">
        <v>1877</v>
      </c>
      <c r="D572" s="76" t="s">
        <v>231</v>
      </c>
      <c r="E572" s="79">
        <v>1813074.9739614027</v>
      </c>
      <c r="F572" s="47"/>
      <c r="G572" s="47"/>
      <c r="H572" s="47"/>
      <c r="I572" s="47"/>
      <c r="J572" s="47"/>
      <c r="K572" s="84"/>
      <c r="L572" s="47"/>
      <c r="M572" s="47"/>
      <c r="N572" s="47"/>
      <c r="O572" s="47"/>
      <c r="P572" s="47"/>
      <c r="Q572" s="47"/>
      <c r="R572" s="47">
        <f t="shared" si="9"/>
        <v>1813074.9739614027</v>
      </c>
    </row>
    <row r="573" spans="1:18" x14ac:dyDescent="0.35">
      <c r="A573" s="76">
        <v>569</v>
      </c>
      <c r="B573" s="77" t="s">
        <v>1231</v>
      </c>
      <c r="C573" s="9" t="s">
        <v>1232</v>
      </c>
      <c r="D573" s="76" t="s">
        <v>46</v>
      </c>
      <c r="E573" s="79">
        <v>198184.24563206383</v>
      </c>
      <c r="F573" s="47"/>
      <c r="G573" s="47"/>
      <c r="H573" s="47"/>
      <c r="I573" s="47"/>
      <c r="J573" s="47"/>
      <c r="K573" s="84"/>
      <c r="L573" s="47"/>
      <c r="M573" s="47"/>
      <c r="N573" s="47"/>
      <c r="O573" s="47"/>
      <c r="P573" s="47"/>
      <c r="Q573" s="47"/>
      <c r="R573" s="47">
        <f t="shared" si="9"/>
        <v>198184.24563206383</v>
      </c>
    </row>
    <row r="574" spans="1:18" x14ac:dyDescent="0.35">
      <c r="A574" s="76">
        <v>570</v>
      </c>
      <c r="B574" s="77" t="s">
        <v>1233</v>
      </c>
      <c r="C574" s="9" t="s">
        <v>1234</v>
      </c>
      <c r="D574" s="76" t="s">
        <v>95</v>
      </c>
      <c r="E574" s="79">
        <v>697057.16352551733</v>
      </c>
      <c r="F574" s="47"/>
      <c r="G574" s="47"/>
      <c r="H574" s="47"/>
      <c r="I574" s="47"/>
      <c r="J574" s="47"/>
      <c r="K574" s="84"/>
      <c r="L574" s="47"/>
      <c r="M574" s="47"/>
      <c r="N574" s="47"/>
      <c r="O574" s="47"/>
      <c r="P574" s="47"/>
      <c r="Q574" s="47"/>
      <c r="R574" s="47">
        <f t="shared" si="9"/>
        <v>697057.16352551733</v>
      </c>
    </row>
    <row r="575" spans="1:18" x14ac:dyDescent="0.35">
      <c r="A575" s="76">
        <v>571</v>
      </c>
      <c r="B575" s="77" t="s">
        <v>1235</v>
      </c>
      <c r="C575" s="9" t="s">
        <v>1236</v>
      </c>
      <c r="D575" s="76" t="s">
        <v>77</v>
      </c>
      <c r="E575" s="79">
        <v>875288.2030736506</v>
      </c>
      <c r="F575" s="47"/>
      <c r="G575" s="47"/>
      <c r="H575" s="47"/>
      <c r="I575" s="47"/>
      <c r="J575" s="47"/>
      <c r="K575" s="84"/>
      <c r="L575" s="47"/>
      <c r="M575" s="47"/>
      <c r="N575" s="47"/>
      <c r="O575" s="47"/>
      <c r="P575" s="47"/>
      <c r="Q575" s="47"/>
      <c r="R575" s="47">
        <f t="shared" si="9"/>
        <v>875288.2030736506</v>
      </c>
    </row>
    <row r="576" spans="1:18" x14ac:dyDescent="0.35">
      <c r="A576" s="76">
        <v>572</v>
      </c>
      <c r="B576" s="77" t="s">
        <v>1237</v>
      </c>
      <c r="C576" s="9" t="s">
        <v>779</v>
      </c>
      <c r="D576" s="76" t="s">
        <v>98</v>
      </c>
      <c r="E576" s="79">
        <v>923533.05397838482</v>
      </c>
      <c r="F576" s="47"/>
      <c r="G576" s="47"/>
      <c r="H576" s="47"/>
      <c r="I576" s="47"/>
      <c r="J576" s="47"/>
      <c r="K576" s="84"/>
      <c r="L576" s="47">
        <v>-239614.26599016422</v>
      </c>
      <c r="M576" s="47"/>
      <c r="N576" s="47"/>
      <c r="O576" s="47"/>
      <c r="P576" s="47"/>
      <c r="Q576" s="47"/>
      <c r="R576" s="47">
        <f t="shared" si="9"/>
        <v>683918.78798822057</v>
      </c>
    </row>
    <row r="577" spans="1:18" x14ac:dyDescent="0.35">
      <c r="A577" s="76">
        <v>573</v>
      </c>
      <c r="B577" s="77" t="s">
        <v>1238</v>
      </c>
      <c r="C577" s="9" t="s">
        <v>1239</v>
      </c>
      <c r="D577" s="76" t="s">
        <v>83</v>
      </c>
      <c r="E577" s="79">
        <v>1227096.9042075484</v>
      </c>
      <c r="F577" s="47"/>
      <c r="G577" s="47"/>
      <c r="H577" s="47"/>
      <c r="I577" s="47"/>
      <c r="J577" s="47"/>
      <c r="K577" s="84"/>
      <c r="L577" s="47"/>
      <c r="M577" s="47"/>
      <c r="N577" s="47"/>
      <c r="O577" s="47"/>
      <c r="P577" s="47"/>
      <c r="Q577" s="47"/>
      <c r="R577" s="47">
        <f t="shared" si="9"/>
        <v>1227096.9042075484</v>
      </c>
    </row>
    <row r="578" spans="1:18" x14ac:dyDescent="0.35">
      <c r="A578" s="76">
        <v>574</v>
      </c>
      <c r="B578" s="77" t="s">
        <v>1240</v>
      </c>
      <c r="C578" s="9" t="s">
        <v>1241</v>
      </c>
      <c r="D578" s="76" t="s">
        <v>72</v>
      </c>
      <c r="E578" s="79">
        <v>1151567.2926758321</v>
      </c>
      <c r="F578" s="47"/>
      <c r="G578" s="47"/>
      <c r="H578" s="47"/>
      <c r="I578" s="47"/>
      <c r="J578" s="47"/>
      <c r="K578" s="84"/>
      <c r="L578" s="47">
        <v>-358910.59413075377</v>
      </c>
      <c r="M578" s="47"/>
      <c r="N578" s="47"/>
      <c r="O578" s="47"/>
      <c r="P578" s="47"/>
      <c r="Q578" s="47"/>
      <c r="R578" s="47">
        <f t="shared" si="9"/>
        <v>792656.69854507828</v>
      </c>
    </row>
    <row r="579" spans="1:18" x14ac:dyDescent="0.35">
      <c r="A579" s="76">
        <v>575</v>
      </c>
      <c r="B579" s="77" t="s">
        <v>1242</v>
      </c>
      <c r="C579" s="9" t="s">
        <v>1243</v>
      </c>
      <c r="D579" s="76" t="s">
        <v>270</v>
      </c>
      <c r="E579" s="79">
        <v>662189.44296874595</v>
      </c>
      <c r="F579" s="47"/>
      <c r="G579" s="47"/>
      <c r="H579" s="47"/>
      <c r="I579" s="47"/>
      <c r="J579" s="47"/>
      <c r="K579" s="84"/>
      <c r="L579" s="47"/>
      <c r="M579" s="47"/>
      <c r="N579" s="47"/>
      <c r="O579" s="47"/>
      <c r="P579" s="47"/>
      <c r="Q579" s="47"/>
      <c r="R579" s="47">
        <f t="shared" si="9"/>
        <v>662189.44296874595</v>
      </c>
    </row>
    <row r="580" spans="1:18" x14ac:dyDescent="0.35">
      <c r="A580" s="76">
        <v>576</v>
      </c>
      <c r="B580" s="77" t="s">
        <v>1244</v>
      </c>
      <c r="C580" s="9" t="s">
        <v>1245</v>
      </c>
      <c r="D580" s="76" t="s">
        <v>49</v>
      </c>
      <c r="E580" s="79">
        <v>89754.594034806243</v>
      </c>
      <c r="F580" s="47"/>
      <c r="G580" s="47"/>
      <c r="H580" s="47"/>
      <c r="I580" s="47"/>
      <c r="J580" s="47"/>
      <c r="K580" s="84"/>
      <c r="L580" s="47"/>
      <c r="M580" s="47"/>
      <c r="N580" s="47"/>
      <c r="O580" s="47"/>
      <c r="P580" s="47"/>
      <c r="Q580" s="47"/>
      <c r="R580" s="47">
        <f t="shared" si="9"/>
        <v>89754.594034806243</v>
      </c>
    </row>
    <row r="581" spans="1:18" x14ac:dyDescent="0.35">
      <c r="A581" s="76">
        <v>577</v>
      </c>
      <c r="B581" s="77" t="s">
        <v>1246</v>
      </c>
      <c r="C581" s="9" t="s">
        <v>1247</v>
      </c>
      <c r="D581" s="76" t="s">
        <v>95</v>
      </c>
      <c r="E581" s="79">
        <v>1167805.6256163809</v>
      </c>
      <c r="F581" s="47">
        <v>-1167806</v>
      </c>
      <c r="G581" s="47"/>
      <c r="H581" s="47"/>
      <c r="I581" s="47"/>
      <c r="J581" s="47"/>
      <c r="K581" s="84"/>
      <c r="L581" s="47"/>
      <c r="M581" s="47"/>
      <c r="N581" s="47"/>
      <c r="O581" s="47"/>
      <c r="P581" s="47"/>
      <c r="Q581" s="47"/>
      <c r="R581" s="47">
        <f t="shared" si="9"/>
        <v>-0.37438361905515194</v>
      </c>
    </row>
    <row r="582" spans="1:18" x14ac:dyDescent="0.35">
      <c r="A582" s="76">
        <v>578</v>
      </c>
      <c r="B582" s="77" t="s">
        <v>1248</v>
      </c>
      <c r="C582" s="9" t="s">
        <v>1249</v>
      </c>
      <c r="D582" s="76" t="s">
        <v>77</v>
      </c>
      <c r="E582" s="79">
        <v>257804.54805421431</v>
      </c>
      <c r="F582" s="47"/>
      <c r="G582" s="47"/>
      <c r="H582" s="47"/>
      <c r="I582" s="47"/>
      <c r="J582" s="47"/>
      <c r="K582" s="84"/>
      <c r="L582" s="47"/>
      <c r="M582" s="47"/>
      <c r="N582" s="47"/>
      <c r="O582" s="47"/>
      <c r="P582" s="47"/>
      <c r="Q582" s="47"/>
      <c r="R582" s="47">
        <f t="shared" si="9"/>
        <v>257804.54805421431</v>
      </c>
    </row>
    <row r="583" spans="1:18" x14ac:dyDescent="0.35">
      <c r="A583" s="76">
        <v>579</v>
      </c>
      <c r="B583" s="77" t="s">
        <v>1250</v>
      </c>
      <c r="C583" s="9" t="s">
        <v>1251</v>
      </c>
      <c r="D583" s="76" t="s">
        <v>77</v>
      </c>
      <c r="E583" s="79">
        <v>-0.42491505807265639</v>
      </c>
      <c r="F583" s="47"/>
      <c r="G583" s="47"/>
      <c r="H583" s="47"/>
      <c r="I583" s="47"/>
      <c r="J583" s="47"/>
      <c r="K583" s="84"/>
      <c r="L583" s="47"/>
      <c r="M583" s="47"/>
      <c r="N583" s="47"/>
      <c r="O583" s="47"/>
      <c r="P583" s="47"/>
      <c r="Q583" s="47"/>
      <c r="R583" s="47">
        <f t="shared" si="9"/>
        <v>-0.42491505807265639</v>
      </c>
    </row>
    <row r="584" spans="1:18" x14ac:dyDescent="0.35">
      <c r="A584" s="76">
        <v>580</v>
      </c>
      <c r="B584" s="77" t="s">
        <v>1252</v>
      </c>
      <c r="C584" s="9" t="s">
        <v>1253</v>
      </c>
      <c r="D584" s="76" t="s">
        <v>60</v>
      </c>
      <c r="E584" s="79">
        <v>27259.634315028496</v>
      </c>
      <c r="F584" s="47"/>
      <c r="G584" s="47"/>
      <c r="H584" s="47"/>
      <c r="I584" s="47"/>
      <c r="J584" s="47"/>
      <c r="K584" s="84"/>
      <c r="L584" s="47"/>
      <c r="M584" s="47"/>
      <c r="N584" s="47"/>
      <c r="O584" s="47"/>
      <c r="P584" s="47"/>
      <c r="Q584" s="47"/>
      <c r="R584" s="47">
        <f t="shared" si="9"/>
        <v>27259.634315028496</v>
      </c>
    </row>
    <row r="585" spans="1:18" x14ac:dyDescent="0.35">
      <c r="A585" s="76">
        <v>581</v>
      </c>
      <c r="B585" s="77" t="s">
        <v>1254</v>
      </c>
      <c r="C585" s="9" t="s">
        <v>1255</v>
      </c>
      <c r="D585" s="76" t="s">
        <v>131</v>
      </c>
      <c r="E585" s="79">
        <v>1179558.2701371962</v>
      </c>
      <c r="F585" s="47"/>
      <c r="G585" s="47"/>
      <c r="H585" s="47"/>
      <c r="I585" s="47"/>
      <c r="J585" s="47"/>
      <c r="K585" s="84"/>
      <c r="L585" s="47">
        <v>-363120.18523718149</v>
      </c>
      <c r="M585" s="47"/>
      <c r="N585" s="47"/>
      <c r="O585" s="47"/>
      <c r="P585" s="47">
        <v>-1179558</v>
      </c>
      <c r="Q585" s="47"/>
      <c r="R585" s="47">
        <f t="shared" si="9"/>
        <v>-363119.91509998532</v>
      </c>
    </row>
    <row r="586" spans="1:18" x14ac:dyDescent="0.35">
      <c r="A586" s="76">
        <v>582</v>
      </c>
      <c r="B586" s="77" t="s">
        <v>1256</v>
      </c>
      <c r="C586" s="9" t="s">
        <v>1257</v>
      </c>
      <c r="D586" s="76" t="s">
        <v>123</v>
      </c>
      <c r="E586" s="79">
        <v>616204.67443352204</v>
      </c>
      <c r="F586" s="47"/>
      <c r="G586" s="47"/>
      <c r="H586" s="47"/>
      <c r="I586" s="47"/>
      <c r="J586" s="47"/>
      <c r="K586" s="84"/>
      <c r="L586" s="47"/>
      <c r="M586" s="47"/>
      <c r="N586" s="47"/>
      <c r="O586" s="47"/>
      <c r="P586" s="47"/>
      <c r="Q586" s="47"/>
      <c r="R586" s="47">
        <f t="shared" si="9"/>
        <v>616204.67443352204</v>
      </c>
    </row>
    <row r="587" spans="1:18" x14ac:dyDescent="0.35">
      <c r="A587" s="76">
        <v>583</v>
      </c>
      <c r="B587" s="77" t="s">
        <v>1258</v>
      </c>
      <c r="C587" s="9" t="s">
        <v>1259</v>
      </c>
      <c r="D587" s="76" t="s">
        <v>72</v>
      </c>
      <c r="E587" s="79">
        <v>437817.68200133205</v>
      </c>
      <c r="F587" s="47"/>
      <c r="G587" s="47"/>
      <c r="H587" s="47"/>
      <c r="I587" s="47"/>
      <c r="J587" s="47"/>
      <c r="K587" s="84"/>
      <c r="L587" s="47"/>
      <c r="M587" s="47"/>
      <c r="N587" s="47"/>
      <c r="O587" s="47"/>
      <c r="P587" s="47"/>
      <c r="Q587" s="47"/>
      <c r="R587" s="47">
        <f t="shared" si="9"/>
        <v>437817.68200133205</v>
      </c>
    </row>
    <row r="588" spans="1:18" x14ac:dyDescent="0.35">
      <c r="A588" s="76">
        <v>584</v>
      </c>
      <c r="B588" s="77" t="s">
        <v>1260</v>
      </c>
      <c r="C588" s="9" t="s">
        <v>1261</v>
      </c>
      <c r="D588" s="76" t="s">
        <v>60</v>
      </c>
      <c r="E588" s="79">
        <v>31707</v>
      </c>
      <c r="F588" s="47"/>
      <c r="G588" s="47"/>
      <c r="H588" s="47"/>
      <c r="I588" s="47"/>
      <c r="J588" s="47"/>
      <c r="K588" s="84"/>
      <c r="L588" s="47"/>
      <c r="M588" s="47"/>
      <c r="N588" s="47"/>
      <c r="O588" s="47"/>
      <c r="P588" s="47"/>
      <c r="Q588" s="47"/>
      <c r="R588" s="47">
        <f t="shared" si="9"/>
        <v>31707</v>
      </c>
    </row>
    <row r="589" spans="1:18" x14ac:dyDescent="0.35">
      <c r="A589" s="76">
        <v>585</v>
      </c>
      <c r="B589" s="77" t="s">
        <v>1262</v>
      </c>
      <c r="C589" s="9" t="s">
        <v>1263</v>
      </c>
      <c r="D589" s="76" t="s">
        <v>49</v>
      </c>
      <c r="E589" s="79">
        <v>18230</v>
      </c>
      <c r="F589" s="47"/>
      <c r="G589" s="47"/>
      <c r="H589" s="47"/>
      <c r="I589" s="47"/>
      <c r="J589" s="47"/>
      <c r="K589" s="84"/>
      <c r="L589" s="47"/>
      <c r="M589" s="47"/>
      <c r="N589" s="47"/>
      <c r="O589" s="47"/>
      <c r="P589" s="47"/>
      <c r="Q589" s="47"/>
      <c r="R589" s="47">
        <f t="shared" si="9"/>
        <v>18230</v>
      </c>
    </row>
    <row r="590" spans="1:18" x14ac:dyDescent="0.35">
      <c r="A590" s="76">
        <v>586</v>
      </c>
      <c r="B590" s="77" t="s">
        <v>1264</v>
      </c>
      <c r="C590" s="9" t="s">
        <v>1265</v>
      </c>
      <c r="D590" s="76" t="s">
        <v>128</v>
      </c>
      <c r="E590" s="79">
        <v>981399.26983006112</v>
      </c>
      <c r="F590" s="47"/>
      <c r="G590" s="47"/>
      <c r="H590" s="47"/>
      <c r="I590" s="47"/>
      <c r="J590" s="47"/>
      <c r="K590" s="84"/>
      <c r="L590" s="47"/>
      <c r="M590" s="47"/>
      <c r="N590" s="47"/>
      <c r="O590" s="47"/>
      <c r="P590" s="47"/>
      <c r="Q590" s="47"/>
      <c r="R590" s="47">
        <f t="shared" si="9"/>
        <v>981399.26983006112</v>
      </c>
    </row>
    <row r="591" spans="1:18" x14ac:dyDescent="0.35">
      <c r="A591" s="76">
        <v>587</v>
      </c>
      <c r="B591" s="77" t="s">
        <v>1266</v>
      </c>
      <c r="C591" s="9" t="s">
        <v>1267</v>
      </c>
      <c r="D591" s="76" t="s">
        <v>136</v>
      </c>
      <c r="E591" s="79">
        <v>1004712.9831700833</v>
      </c>
      <c r="F591" s="47"/>
      <c r="G591" s="47"/>
      <c r="H591" s="47"/>
      <c r="I591" s="47"/>
      <c r="J591" s="47"/>
      <c r="K591" s="84"/>
      <c r="L591" s="47">
        <v>-170429.05533124527</v>
      </c>
      <c r="M591" s="47"/>
      <c r="N591" s="47"/>
      <c r="O591" s="47"/>
      <c r="P591" s="47"/>
      <c r="Q591" s="47"/>
      <c r="R591" s="47">
        <f t="shared" si="9"/>
        <v>834283.92783883796</v>
      </c>
    </row>
    <row r="592" spans="1:18" x14ac:dyDescent="0.35">
      <c r="A592" s="76">
        <v>588</v>
      </c>
      <c r="B592" s="77" t="s">
        <v>1268</v>
      </c>
      <c r="C592" s="9" t="s">
        <v>1868</v>
      </c>
      <c r="D592" s="76" t="s">
        <v>136</v>
      </c>
      <c r="E592" s="79">
        <v>700085.07972485223</v>
      </c>
      <c r="F592" s="47"/>
      <c r="G592" s="47"/>
      <c r="H592" s="47"/>
      <c r="I592" s="47"/>
      <c r="J592" s="47"/>
      <c r="K592" s="84"/>
      <c r="L592" s="47"/>
      <c r="M592" s="47"/>
      <c r="N592" s="47"/>
      <c r="O592" s="47"/>
      <c r="P592" s="47"/>
      <c r="Q592" s="47"/>
      <c r="R592" s="47">
        <f t="shared" si="9"/>
        <v>700085.07972485223</v>
      </c>
    </row>
    <row r="593" spans="1:18" x14ac:dyDescent="0.35">
      <c r="A593" s="76">
        <v>589</v>
      </c>
      <c r="B593" s="77" t="s">
        <v>1270</v>
      </c>
      <c r="C593" s="9" t="s">
        <v>1876</v>
      </c>
      <c r="D593" s="76" t="s">
        <v>136</v>
      </c>
      <c r="E593" s="79">
        <v>999446.04644464387</v>
      </c>
      <c r="F593" s="47"/>
      <c r="G593" s="47"/>
      <c r="H593" s="47"/>
      <c r="I593" s="47"/>
      <c r="J593" s="47"/>
      <c r="K593" s="84"/>
      <c r="L593" s="47"/>
      <c r="M593" s="47"/>
      <c r="N593" s="47"/>
      <c r="O593" s="47"/>
      <c r="P593" s="47"/>
      <c r="Q593" s="47"/>
      <c r="R593" s="47">
        <f t="shared" si="9"/>
        <v>999446.04644464387</v>
      </c>
    </row>
    <row r="594" spans="1:18" x14ac:dyDescent="0.35">
      <c r="A594" s="76">
        <v>590</v>
      </c>
      <c r="B594" s="77" t="s">
        <v>1272</v>
      </c>
      <c r="C594" s="9" t="s">
        <v>1273</v>
      </c>
      <c r="D594" s="76" t="s">
        <v>429</v>
      </c>
      <c r="E594" s="79">
        <v>1561645.624030825</v>
      </c>
      <c r="F594" s="47"/>
      <c r="G594" s="47"/>
      <c r="H594" s="47"/>
      <c r="I594" s="47"/>
      <c r="J594" s="47"/>
      <c r="K594" s="84"/>
      <c r="L594" s="47"/>
      <c r="M594" s="47"/>
      <c r="N594" s="47"/>
      <c r="O594" s="47"/>
      <c r="P594" s="47"/>
      <c r="Q594" s="47"/>
      <c r="R594" s="47">
        <f t="shared" si="9"/>
        <v>1561645.624030825</v>
      </c>
    </row>
    <row r="595" spans="1:18" x14ac:dyDescent="0.35">
      <c r="A595" s="76">
        <v>591</v>
      </c>
      <c r="B595" s="77" t="s">
        <v>1274</v>
      </c>
      <c r="C595" s="9" t="s">
        <v>1672</v>
      </c>
      <c r="D595" s="76" t="s">
        <v>46</v>
      </c>
      <c r="E595" s="79">
        <v>45285.594983266608</v>
      </c>
      <c r="F595" s="47"/>
      <c r="G595" s="47"/>
      <c r="H595" s="47"/>
      <c r="I595" s="47"/>
      <c r="J595" s="47"/>
      <c r="K595" s="84"/>
      <c r="L595" s="47"/>
      <c r="M595" s="47"/>
      <c r="N595" s="47"/>
      <c r="O595" s="47"/>
      <c r="P595" s="47"/>
      <c r="Q595" s="47"/>
      <c r="R595" s="47">
        <f t="shared" si="9"/>
        <v>45285.594983266608</v>
      </c>
    </row>
    <row r="596" spans="1:18" x14ac:dyDescent="0.35">
      <c r="A596" s="76">
        <v>592</v>
      </c>
      <c r="B596" s="77" t="s">
        <v>1276</v>
      </c>
      <c r="C596" s="9" t="s">
        <v>1277</v>
      </c>
      <c r="D596" s="76" t="s">
        <v>128</v>
      </c>
      <c r="E596" s="79">
        <v>36113</v>
      </c>
      <c r="F596" s="47"/>
      <c r="G596" s="47"/>
      <c r="H596" s="47"/>
      <c r="I596" s="47"/>
      <c r="J596" s="47"/>
      <c r="K596" s="84"/>
      <c r="L596" s="47"/>
      <c r="M596" s="47"/>
      <c r="N596" s="47"/>
      <c r="O596" s="47"/>
      <c r="P596" s="47"/>
      <c r="Q596" s="47"/>
      <c r="R596" s="47">
        <f t="shared" si="9"/>
        <v>36113</v>
      </c>
    </row>
    <row r="597" spans="1:18" x14ac:dyDescent="0.35">
      <c r="A597" s="76">
        <v>593</v>
      </c>
      <c r="B597" s="77" t="s">
        <v>1278</v>
      </c>
      <c r="C597" s="9" t="s">
        <v>1844</v>
      </c>
      <c r="D597" s="76" t="s">
        <v>406</v>
      </c>
      <c r="E597" s="79">
        <v>1167805.6256163809</v>
      </c>
      <c r="F597" s="47"/>
      <c r="G597" s="47"/>
      <c r="H597" s="47"/>
      <c r="I597" s="47"/>
      <c r="J597" s="47"/>
      <c r="K597" s="84"/>
      <c r="L597" s="47"/>
      <c r="M597" s="47">
        <v>-1523912</v>
      </c>
      <c r="N597" s="47"/>
      <c r="O597" s="47"/>
      <c r="P597" s="47"/>
      <c r="Q597" s="47"/>
      <c r="R597" s="47">
        <f t="shared" si="9"/>
        <v>-356106.37438361906</v>
      </c>
    </row>
    <row r="598" spans="1:18" x14ac:dyDescent="0.35">
      <c r="A598" s="76">
        <v>594</v>
      </c>
      <c r="B598" s="77" t="s">
        <v>1280</v>
      </c>
      <c r="C598" s="9" t="s">
        <v>1281</v>
      </c>
      <c r="D598" s="76" t="s">
        <v>41</v>
      </c>
      <c r="E598" s="79">
        <v>85439.20307365054</v>
      </c>
      <c r="F598" s="47"/>
      <c r="G598" s="47"/>
      <c r="H598" s="47"/>
      <c r="I598" s="47"/>
      <c r="J598" s="47"/>
      <c r="K598" s="84"/>
      <c r="L598" s="47"/>
      <c r="M598" s="47"/>
      <c r="N598" s="47"/>
      <c r="O598" s="47"/>
      <c r="P598" s="47"/>
      <c r="Q598" s="47"/>
      <c r="R598" s="47">
        <f t="shared" si="9"/>
        <v>85439.20307365054</v>
      </c>
    </row>
    <row r="599" spans="1:18" x14ac:dyDescent="0.35">
      <c r="A599" s="76">
        <v>595</v>
      </c>
      <c r="B599" s="77" t="s">
        <v>1282</v>
      </c>
      <c r="C599" s="9" t="s">
        <v>1927</v>
      </c>
      <c r="D599" s="76" t="s">
        <v>128</v>
      </c>
      <c r="E599" s="79">
        <v>984609.60736237909</v>
      </c>
      <c r="F599" s="47"/>
      <c r="G599" s="47"/>
      <c r="H599" s="47"/>
      <c r="I599" s="47"/>
      <c r="J599" s="47"/>
      <c r="K599" s="84"/>
      <c r="L599" s="47"/>
      <c r="M599" s="47"/>
      <c r="N599" s="47"/>
      <c r="O599" s="47"/>
      <c r="P599" s="47"/>
      <c r="Q599" s="47"/>
      <c r="R599" s="47">
        <f t="shared" si="9"/>
        <v>984609.60736237909</v>
      </c>
    </row>
    <row r="600" spans="1:18" x14ac:dyDescent="0.35">
      <c r="A600" s="76">
        <v>596</v>
      </c>
      <c r="B600" s="77" t="s">
        <v>1284</v>
      </c>
      <c r="C600" s="9" t="s">
        <v>1673</v>
      </c>
      <c r="D600" s="76" t="s">
        <v>60</v>
      </c>
      <c r="E600" s="79">
        <v>34196.20307365054</v>
      </c>
      <c r="F600" s="47"/>
      <c r="G600" s="47"/>
      <c r="H600" s="47"/>
      <c r="I600" s="47"/>
      <c r="J600" s="47"/>
      <c r="K600" s="84"/>
      <c r="L600" s="47"/>
      <c r="M600" s="47"/>
      <c r="N600" s="47"/>
      <c r="O600" s="47"/>
      <c r="P600" s="47"/>
      <c r="Q600" s="47"/>
      <c r="R600" s="47">
        <f t="shared" si="9"/>
        <v>34196.20307365054</v>
      </c>
    </row>
    <row r="601" spans="1:18" x14ac:dyDescent="0.35">
      <c r="A601" s="76">
        <v>597</v>
      </c>
      <c r="B601" s="77" t="s">
        <v>1286</v>
      </c>
      <c r="C601" s="9" t="s">
        <v>1287</v>
      </c>
      <c r="D601" s="76" t="s">
        <v>49</v>
      </c>
      <c r="E601" s="79">
        <v>50275.423434650387</v>
      </c>
      <c r="F601" s="47"/>
      <c r="G601" s="47"/>
      <c r="H601" s="47"/>
      <c r="I601" s="47"/>
      <c r="J601" s="47"/>
      <c r="K601" s="84"/>
      <c r="L601" s="47"/>
      <c r="M601" s="47"/>
      <c r="N601" s="47"/>
      <c r="O601" s="47"/>
      <c r="P601" s="47"/>
      <c r="Q601" s="47"/>
      <c r="R601" s="47">
        <f t="shared" si="9"/>
        <v>50275.423434650387</v>
      </c>
    </row>
    <row r="602" spans="1:18" x14ac:dyDescent="0.35">
      <c r="A602" s="76">
        <v>598</v>
      </c>
      <c r="B602" s="77" t="s">
        <v>1288</v>
      </c>
      <c r="C602" s="9" t="s">
        <v>1289</v>
      </c>
      <c r="D602" s="76" t="s">
        <v>136</v>
      </c>
      <c r="E602" s="79">
        <v>975662.15455173538</v>
      </c>
      <c r="F602" s="47"/>
      <c r="G602" s="47"/>
      <c r="H602" s="47"/>
      <c r="I602" s="47"/>
      <c r="J602" s="47"/>
      <c r="K602" s="84"/>
      <c r="L602" s="47">
        <v>-167717.70555063928</v>
      </c>
      <c r="M602" s="47"/>
      <c r="N602" s="47"/>
      <c r="O602" s="47"/>
      <c r="P602" s="47"/>
      <c r="Q602" s="47"/>
      <c r="R602" s="47">
        <f t="shared" si="9"/>
        <v>807944.44900109607</v>
      </c>
    </row>
    <row r="603" spans="1:18" x14ac:dyDescent="0.35">
      <c r="A603" s="76">
        <v>599</v>
      </c>
      <c r="B603" s="77" t="s">
        <v>1290</v>
      </c>
      <c r="C603" s="9" t="s">
        <v>1291</v>
      </c>
      <c r="D603" s="76" t="s">
        <v>169</v>
      </c>
      <c r="E603" s="79">
        <v>148723.08401418221</v>
      </c>
      <c r="F603" s="47"/>
      <c r="G603" s="47"/>
      <c r="H603" s="47"/>
      <c r="I603" s="47"/>
      <c r="J603" s="47"/>
      <c r="K603" s="84"/>
      <c r="L603" s="47"/>
      <c r="M603" s="47"/>
      <c r="N603" s="47"/>
      <c r="O603" s="47"/>
      <c r="P603" s="47"/>
      <c r="Q603" s="47"/>
      <c r="R603" s="47">
        <f t="shared" si="9"/>
        <v>148723.08401418221</v>
      </c>
    </row>
    <row r="604" spans="1:18" x14ac:dyDescent="0.35">
      <c r="A604" s="76">
        <v>600</v>
      </c>
      <c r="B604" s="77" t="s">
        <v>1292</v>
      </c>
      <c r="C604" s="9" t="s">
        <v>1293</v>
      </c>
      <c r="D604" s="76" t="s">
        <v>169</v>
      </c>
      <c r="E604" s="79">
        <v>156861.89181990281</v>
      </c>
      <c r="F604" s="47"/>
      <c r="G604" s="47"/>
      <c r="H604" s="47"/>
      <c r="I604" s="47"/>
      <c r="J604" s="47"/>
      <c r="K604" s="84"/>
      <c r="L604" s="47"/>
      <c r="M604" s="47"/>
      <c r="N604" s="47"/>
      <c r="O604" s="47"/>
      <c r="P604" s="47"/>
      <c r="Q604" s="47"/>
      <c r="R604" s="47">
        <f t="shared" si="9"/>
        <v>156861.89181990281</v>
      </c>
    </row>
    <row r="605" spans="1:18" x14ac:dyDescent="0.35">
      <c r="A605" s="76">
        <v>601</v>
      </c>
      <c r="B605" s="77" t="s">
        <v>1294</v>
      </c>
      <c r="C605" s="9" t="s">
        <v>1295</v>
      </c>
      <c r="D605" s="76" t="s">
        <v>136</v>
      </c>
      <c r="E605" s="79">
        <v>-0.47883346967864782</v>
      </c>
      <c r="F605" s="47"/>
      <c r="G605" s="47"/>
      <c r="H605" s="47"/>
      <c r="I605" s="47"/>
      <c r="J605" s="47"/>
      <c r="K605" s="84"/>
      <c r="L605" s="47"/>
      <c r="M605" s="47"/>
      <c r="N605" s="47"/>
      <c r="O605" s="47"/>
      <c r="P605" s="47"/>
      <c r="Q605" s="47"/>
      <c r="R605" s="47">
        <f t="shared" si="9"/>
        <v>-0.47883346967864782</v>
      </c>
    </row>
    <row r="606" spans="1:18" x14ac:dyDescent="0.35">
      <c r="A606" s="76">
        <v>602</v>
      </c>
      <c r="B606" s="77" t="s">
        <v>1296</v>
      </c>
      <c r="C606" s="9" t="s">
        <v>1297</v>
      </c>
      <c r="D606" s="76" t="s">
        <v>136</v>
      </c>
      <c r="E606" s="79">
        <v>30328</v>
      </c>
      <c r="F606" s="47"/>
      <c r="G606" s="47"/>
      <c r="H606" s="47"/>
      <c r="I606" s="47"/>
      <c r="J606" s="47"/>
      <c r="K606" s="84"/>
      <c r="L606" s="47"/>
      <c r="M606" s="47"/>
      <c r="N606" s="47"/>
      <c r="O606" s="47"/>
      <c r="P606" s="47"/>
      <c r="Q606" s="47"/>
      <c r="R606" s="47">
        <f t="shared" ref="R606:R669" si="10">E606+F606+G606+H606+I606+J606+K606+L606+M606+N606+O606+P606+Q606</f>
        <v>30328</v>
      </c>
    </row>
    <row r="607" spans="1:18" x14ac:dyDescent="0.35">
      <c r="A607" s="76">
        <v>603</v>
      </c>
      <c r="B607" s="77" t="s">
        <v>1298</v>
      </c>
      <c r="C607" s="9" t="s">
        <v>1299</v>
      </c>
      <c r="D607" s="76" t="s">
        <v>136</v>
      </c>
      <c r="E607" s="79">
        <v>21717.488739338529</v>
      </c>
      <c r="F607" s="47"/>
      <c r="G607" s="47"/>
      <c r="H607" s="47"/>
      <c r="I607" s="47"/>
      <c r="J607" s="47"/>
      <c r="K607" s="84"/>
      <c r="L607" s="47"/>
      <c r="M607" s="47"/>
      <c r="N607" s="47"/>
      <c r="O607" s="47"/>
      <c r="P607" s="47"/>
      <c r="Q607" s="47"/>
      <c r="R607" s="47">
        <f t="shared" si="10"/>
        <v>21717.488739338529</v>
      </c>
    </row>
    <row r="608" spans="1:18" x14ac:dyDescent="0.35">
      <c r="A608" s="76">
        <v>604</v>
      </c>
      <c r="B608" s="77" t="s">
        <v>1300</v>
      </c>
      <c r="C608" s="9" t="s">
        <v>1301</v>
      </c>
      <c r="D608" s="76" t="s">
        <v>136</v>
      </c>
      <c r="E608" s="79">
        <v>392833.17728229426</v>
      </c>
      <c r="F608" s="47"/>
      <c r="G608" s="47"/>
      <c r="H608" s="47"/>
      <c r="I608" s="47"/>
      <c r="J608" s="47"/>
      <c r="K608" s="84"/>
      <c r="L608" s="47"/>
      <c r="M608" s="47"/>
      <c r="N608" s="47"/>
      <c r="O608" s="47"/>
      <c r="P608" s="47"/>
      <c r="Q608" s="47"/>
      <c r="R608" s="47">
        <f t="shared" si="10"/>
        <v>392833.17728229426</v>
      </c>
    </row>
    <row r="609" spans="1:18" x14ac:dyDescent="0.35">
      <c r="A609" s="76">
        <v>605</v>
      </c>
      <c r="B609" s="77" t="s">
        <v>1302</v>
      </c>
      <c r="C609" s="9" t="s">
        <v>1303</v>
      </c>
      <c r="D609" s="76" t="s">
        <v>169</v>
      </c>
      <c r="E609" s="79">
        <v>152987.48873933847</v>
      </c>
      <c r="F609" s="47"/>
      <c r="G609" s="47"/>
      <c r="H609" s="47"/>
      <c r="I609" s="47"/>
      <c r="J609" s="47"/>
      <c r="K609" s="84"/>
      <c r="L609" s="47"/>
      <c r="M609" s="47"/>
      <c r="N609" s="47"/>
      <c r="O609" s="47"/>
      <c r="P609" s="47"/>
      <c r="Q609" s="47"/>
      <c r="R609" s="47">
        <f t="shared" si="10"/>
        <v>152987.48873933847</v>
      </c>
    </row>
    <row r="610" spans="1:18" x14ac:dyDescent="0.35">
      <c r="A610" s="76">
        <v>606</v>
      </c>
      <c r="B610" s="77" t="s">
        <v>1304</v>
      </c>
      <c r="C610" s="9" t="s">
        <v>2110</v>
      </c>
      <c r="D610" s="76" t="s">
        <v>136</v>
      </c>
      <c r="E610" s="79">
        <v>961088.50696099258</v>
      </c>
      <c r="F610" s="47"/>
      <c r="G610" s="47"/>
      <c r="H610" s="47"/>
      <c r="I610" s="47"/>
      <c r="J610" s="47"/>
      <c r="K610" s="84"/>
      <c r="L610" s="47"/>
      <c r="M610" s="47"/>
      <c r="N610" s="47"/>
      <c r="O610" s="47"/>
      <c r="P610" s="47"/>
      <c r="Q610" s="47"/>
      <c r="R610" s="47">
        <f t="shared" si="10"/>
        <v>961088.50696099258</v>
      </c>
    </row>
    <row r="611" spans="1:18" x14ac:dyDescent="0.35">
      <c r="A611" s="76">
        <v>607</v>
      </c>
      <c r="B611" s="77" t="s">
        <v>1306</v>
      </c>
      <c r="C611" s="9" t="s">
        <v>2111</v>
      </c>
      <c r="D611" s="76" t="s">
        <v>136</v>
      </c>
      <c r="E611" s="79">
        <v>967539.18411382718</v>
      </c>
      <c r="F611" s="47"/>
      <c r="G611" s="47"/>
      <c r="H611" s="47"/>
      <c r="I611" s="47"/>
      <c r="J611" s="47"/>
      <c r="K611" s="84"/>
      <c r="L611" s="47"/>
      <c r="M611" s="47"/>
      <c r="N611" s="47"/>
      <c r="O611" s="47"/>
      <c r="P611" s="47"/>
      <c r="Q611" s="47"/>
      <c r="R611" s="47">
        <f t="shared" si="10"/>
        <v>967539.18411382718</v>
      </c>
    </row>
    <row r="612" spans="1:18" x14ac:dyDescent="0.35">
      <c r="A612" s="76">
        <v>608</v>
      </c>
      <c r="B612" s="77" t="s">
        <v>1308</v>
      </c>
      <c r="C612" s="9" t="s">
        <v>2112</v>
      </c>
      <c r="D612" s="76" t="s">
        <v>19</v>
      </c>
      <c r="E612" s="79">
        <v>618493.17351665755</v>
      </c>
      <c r="F612" s="47"/>
      <c r="G612" s="47"/>
      <c r="H612" s="47"/>
      <c r="I612" s="47"/>
      <c r="J612" s="47"/>
      <c r="K612" s="84"/>
      <c r="L612" s="47"/>
      <c r="M612" s="47"/>
      <c r="N612" s="47"/>
      <c r="O612" s="47"/>
      <c r="P612" s="47"/>
      <c r="Q612" s="47"/>
      <c r="R612" s="47">
        <f t="shared" si="10"/>
        <v>618493.17351665755</v>
      </c>
    </row>
    <row r="613" spans="1:18" x14ac:dyDescent="0.35">
      <c r="A613" s="76">
        <v>609</v>
      </c>
      <c r="B613" s="77" t="s">
        <v>1310</v>
      </c>
      <c r="C613" s="9" t="s">
        <v>1869</v>
      </c>
      <c r="D613" s="76" t="s">
        <v>136</v>
      </c>
      <c r="E613" s="79">
        <v>1133150.1159610113</v>
      </c>
      <c r="F613" s="47"/>
      <c r="G613" s="47"/>
      <c r="H613" s="47"/>
      <c r="I613" s="47"/>
      <c r="J613" s="47"/>
      <c r="K613" s="84"/>
      <c r="L613" s="47"/>
      <c r="M613" s="47"/>
      <c r="N613" s="47"/>
      <c r="O613" s="47"/>
      <c r="P613" s="47"/>
      <c r="Q613" s="47"/>
      <c r="R613" s="47">
        <f t="shared" si="10"/>
        <v>1133150.1159610113</v>
      </c>
    </row>
    <row r="614" spans="1:18" x14ac:dyDescent="0.35">
      <c r="A614" s="76">
        <v>610</v>
      </c>
      <c r="B614" s="77" t="s">
        <v>1312</v>
      </c>
      <c r="C614" s="9" t="s">
        <v>2113</v>
      </c>
      <c r="D614" s="76" t="s">
        <v>72</v>
      </c>
      <c r="E614" s="79">
        <v>1123182.6945219534</v>
      </c>
      <c r="F614" s="47"/>
      <c r="G614" s="47"/>
      <c r="H614" s="47"/>
      <c r="I614" s="47"/>
      <c r="J614" s="47"/>
      <c r="K614" s="84"/>
      <c r="L614" s="47"/>
      <c r="M614" s="47"/>
      <c r="N614" s="47"/>
      <c r="O614" s="47"/>
      <c r="P614" s="47"/>
      <c r="Q614" s="47"/>
      <c r="R614" s="47">
        <f t="shared" si="10"/>
        <v>1123182.6945219534</v>
      </c>
    </row>
    <row r="615" spans="1:18" x14ac:dyDescent="0.35">
      <c r="A615" s="76">
        <v>611</v>
      </c>
      <c r="B615" s="77" t="s">
        <v>1314</v>
      </c>
      <c r="C615" s="9" t="s">
        <v>2219</v>
      </c>
      <c r="D615" s="76" t="s">
        <v>77</v>
      </c>
      <c r="E615" s="79">
        <v>1132948.1852949846</v>
      </c>
      <c r="F615" s="47"/>
      <c r="G615" s="47"/>
      <c r="H615" s="47"/>
      <c r="I615" s="47"/>
      <c r="J615" s="47"/>
      <c r="K615" s="84"/>
      <c r="L615" s="47"/>
      <c r="M615" s="47"/>
      <c r="N615" s="47"/>
      <c r="O615" s="47"/>
      <c r="P615" s="47"/>
      <c r="Q615" s="47"/>
      <c r="R615" s="47">
        <f t="shared" si="10"/>
        <v>1132948.1852949846</v>
      </c>
    </row>
    <row r="616" spans="1:18" x14ac:dyDescent="0.35">
      <c r="A616" s="76">
        <v>612</v>
      </c>
      <c r="B616" s="77" t="s">
        <v>1316</v>
      </c>
      <c r="C616" s="9" t="s">
        <v>1317</v>
      </c>
      <c r="D616" s="76" t="s">
        <v>136</v>
      </c>
      <c r="E616" s="79">
        <v>1137647.0388451777</v>
      </c>
      <c r="F616" s="47"/>
      <c r="G616" s="47"/>
      <c r="H616" s="47"/>
      <c r="I616" s="47"/>
      <c r="J616" s="47"/>
      <c r="K616" s="84"/>
      <c r="L616" s="47">
        <v>-355671.21993870666</v>
      </c>
      <c r="M616" s="47"/>
      <c r="N616" s="47"/>
      <c r="O616" s="47"/>
      <c r="P616" s="47"/>
      <c r="Q616" s="47">
        <v>-1137647</v>
      </c>
      <c r="R616" s="47">
        <f t="shared" si="10"/>
        <v>-355671.18109352887</v>
      </c>
    </row>
    <row r="617" spans="1:18" x14ac:dyDescent="0.35">
      <c r="A617" s="76">
        <v>613</v>
      </c>
      <c r="B617" s="77" t="s">
        <v>1318</v>
      </c>
      <c r="C617" s="9" t="s">
        <v>1711</v>
      </c>
      <c r="D617" s="76" t="s">
        <v>367</v>
      </c>
      <c r="E617" s="79">
        <v>315340.03309765551</v>
      </c>
      <c r="F617" s="47"/>
      <c r="G617" s="47"/>
      <c r="H617" s="47"/>
      <c r="I617" s="47"/>
      <c r="J617" s="47"/>
      <c r="K617" s="84"/>
      <c r="L617" s="47"/>
      <c r="M617" s="47"/>
      <c r="N617" s="47"/>
      <c r="O617" s="47"/>
      <c r="P617" s="47"/>
      <c r="Q617" s="47"/>
      <c r="R617" s="47">
        <f t="shared" si="10"/>
        <v>315340.03309765551</v>
      </c>
    </row>
    <row r="618" spans="1:18" x14ac:dyDescent="0.35">
      <c r="A618" s="76">
        <v>614</v>
      </c>
      <c r="B618" s="77" t="s">
        <v>1320</v>
      </c>
      <c r="C618" s="9" t="s">
        <v>1674</v>
      </c>
      <c r="D618" s="76" t="s">
        <v>41</v>
      </c>
      <c r="E618" s="79">
        <v>80222.312835927587</v>
      </c>
      <c r="F618" s="47"/>
      <c r="G618" s="47"/>
      <c r="H618" s="47"/>
      <c r="I618" s="47"/>
      <c r="J618" s="47"/>
      <c r="K618" s="84"/>
      <c r="L618" s="47"/>
      <c r="M618" s="47"/>
      <c r="N618" s="47"/>
      <c r="O618" s="47"/>
      <c r="P618" s="47"/>
      <c r="Q618" s="47"/>
      <c r="R618" s="47">
        <f t="shared" si="10"/>
        <v>80222.312835927587</v>
      </c>
    </row>
    <row r="619" spans="1:18" x14ac:dyDescent="0.35">
      <c r="A619" s="76">
        <v>615</v>
      </c>
      <c r="B619" s="77" t="s">
        <v>1322</v>
      </c>
      <c r="C619" s="9" t="s">
        <v>1675</v>
      </c>
      <c r="D619" s="76" t="s">
        <v>131</v>
      </c>
      <c r="E619" s="79">
        <v>32558.312835927587</v>
      </c>
      <c r="F619" s="47"/>
      <c r="G619" s="47"/>
      <c r="H619" s="47"/>
      <c r="I619" s="47"/>
      <c r="J619" s="47"/>
      <c r="K619" s="84"/>
      <c r="L619" s="47"/>
      <c r="M619" s="47"/>
      <c r="N619" s="47"/>
      <c r="O619" s="47"/>
      <c r="P619" s="47"/>
      <c r="Q619" s="47"/>
      <c r="R619" s="47">
        <f t="shared" si="10"/>
        <v>32558.312835927587</v>
      </c>
    </row>
    <row r="620" spans="1:18" x14ac:dyDescent="0.35">
      <c r="A620" s="76">
        <v>616</v>
      </c>
      <c r="B620" s="77" t="s">
        <v>1324</v>
      </c>
      <c r="C620" s="9" t="s">
        <v>1325</v>
      </c>
      <c r="D620" s="76" t="s">
        <v>41</v>
      </c>
      <c r="E620" s="79">
        <v>0</v>
      </c>
      <c r="F620" s="47"/>
      <c r="G620" s="47"/>
      <c r="H620" s="47"/>
      <c r="I620" s="47"/>
      <c r="J620" s="47"/>
      <c r="K620" s="84"/>
      <c r="L620" s="47"/>
      <c r="M620" s="47"/>
      <c r="N620" s="47"/>
      <c r="O620" s="47"/>
      <c r="P620" s="47"/>
      <c r="Q620" s="47"/>
      <c r="R620" s="47">
        <f t="shared" si="10"/>
        <v>0</v>
      </c>
    </row>
    <row r="621" spans="1:18" x14ac:dyDescent="0.35">
      <c r="A621" s="76">
        <v>617</v>
      </c>
      <c r="B621" s="77" t="s">
        <v>1326</v>
      </c>
      <c r="C621" s="9" t="s">
        <v>1676</v>
      </c>
      <c r="D621" s="76" t="s">
        <v>367</v>
      </c>
      <c r="E621" s="79">
        <v>311612.31283592759</v>
      </c>
      <c r="F621" s="47"/>
      <c r="G621" s="47"/>
      <c r="H621" s="47"/>
      <c r="I621" s="47"/>
      <c r="J621" s="47"/>
      <c r="K621" s="84"/>
      <c r="L621" s="47"/>
      <c r="M621" s="47"/>
      <c r="N621" s="47"/>
      <c r="O621" s="47"/>
      <c r="P621" s="47"/>
      <c r="Q621" s="47"/>
      <c r="R621" s="47">
        <f t="shared" si="10"/>
        <v>311612.31283592759</v>
      </c>
    </row>
    <row r="622" spans="1:18" x14ac:dyDescent="0.35">
      <c r="A622" s="76">
        <v>618</v>
      </c>
      <c r="B622" s="77" t="s">
        <v>1328</v>
      </c>
      <c r="C622" s="9" t="s">
        <v>1677</v>
      </c>
      <c r="D622" s="76" t="s">
        <v>367</v>
      </c>
      <c r="E622" s="79">
        <v>270449.00137888337</v>
      </c>
      <c r="F622" s="47"/>
      <c r="G622" s="47"/>
      <c r="H622" s="47"/>
      <c r="I622" s="47"/>
      <c r="J622" s="47"/>
      <c r="K622" s="84"/>
      <c r="L622" s="47"/>
      <c r="M622" s="47"/>
      <c r="N622" s="47"/>
      <c r="O622" s="47"/>
      <c r="P622" s="47"/>
      <c r="Q622" s="47"/>
      <c r="R622" s="47">
        <f t="shared" si="10"/>
        <v>270449.00137888337</v>
      </c>
    </row>
    <row r="623" spans="1:18" x14ac:dyDescent="0.35">
      <c r="A623" s="76">
        <v>619</v>
      </c>
      <c r="B623" s="77" t="s">
        <v>1330</v>
      </c>
      <c r="C623" s="9" t="s">
        <v>1331</v>
      </c>
      <c r="D623" s="76" t="s">
        <v>49</v>
      </c>
      <c r="E623" s="79">
        <v>-4103</v>
      </c>
      <c r="F623" s="47"/>
      <c r="G623" s="47"/>
      <c r="H623" s="47"/>
      <c r="I623" s="47"/>
      <c r="J623" s="47"/>
      <c r="K623" s="84"/>
      <c r="L623" s="47"/>
      <c r="M623" s="47"/>
      <c r="N623" s="47"/>
      <c r="O623" s="47"/>
      <c r="P623" s="47"/>
      <c r="Q623" s="47"/>
      <c r="R623" s="47">
        <f t="shared" si="10"/>
        <v>-4103</v>
      </c>
    </row>
    <row r="624" spans="1:18" x14ac:dyDescent="0.35">
      <c r="A624" s="76">
        <v>620</v>
      </c>
      <c r="B624" s="77" t="s">
        <v>1332</v>
      </c>
      <c r="C624" s="9" t="s">
        <v>1333</v>
      </c>
      <c r="D624" s="76" t="s">
        <v>49</v>
      </c>
      <c r="E624" s="79">
        <v>2052</v>
      </c>
      <c r="F624" s="47"/>
      <c r="G624" s="47"/>
      <c r="H624" s="47"/>
      <c r="I624" s="47"/>
      <c r="J624" s="47"/>
      <c r="K624" s="84"/>
      <c r="L624" s="47"/>
      <c r="M624" s="47"/>
      <c r="N624" s="47"/>
      <c r="O624" s="47"/>
      <c r="P624" s="47"/>
      <c r="Q624" s="47"/>
      <c r="R624" s="47">
        <f t="shared" si="10"/>
        <v>2052</v>
      </c>
    </row>
    <row r="625" spans="1:18" x14ac:dyDescent="0.35">
      <c r="A625" s="76">
        <v>621</v>
      </c>
      <c r="B625" s="77" t="s">
        <v>1334</v>
      </c>
      <c r="C625" s="9" t="s">
        <v>1335</v>
      </c>
      <c r="D625" s="76" t="s">
        <v>49</v>
      </c>
      <c r="E625" s="79">
        <v>-4103</v>
      </c>
      <c r="F625" s="47"/>
      <c r="G625" s="47"/>
      <c r="H625" s="47"/>
      <c r="I625" s="47"/>
      <c r="J625" s="47"/>
      <c r="K625" s="84"/>
      <c r="L625" s="47"/>
      <c r="M625" s="47"/>
      <c r="N625" s="47"/>
      <c r="O625" s="47"/>
      <c r="P625" s="47"/>
      <c r="Q625" s="47"/>
      <c r="R625" s="47">
        <f t="shared" si="10"/>
        <v>-4103</v>
      </c>
    </row>
    <row r="626" spans="1:18" x14ac:dyDescent="0.35">
      <c r="A626" s="76">
        <v>622</v>
      </c>
      <c r="B626" s="77" t="s">
        <v>1336</v>
      </c>
      <c r="C626" s="9" t="s">
        <v>1337</v>
      </c>
      <c r="D626" s="76" t="s">
        <v>113</v>
      </c>
      <c r="E626" s="79">
        <v>321584.31671278446</v>
      </c>
      <c r="F626" s="47"/>
      <c r="G626" s="47"/>
      <c r="H626" s="47"/>
      <c r="I626" s="47"/>
      <c r="J626" s="47"/>
      <c r="K626" s="84"/>
      <c r="L626" s="47"/>
      <c r="M626" s="47"/>
      <c r="N626" s="47"/>
      <c r="O626" s="47"/>
      <c r="P626" s="47"/>
      <c r="Q626" s="47"/>
      <c r="R626" s="47">
        <f t="shared" si="10"/>
        <v>321584.31671278446</v>
      </c>
    </row>
    <row r="627" spans="1:18" x14ac:dyDescent="0.35">
      <c r="A627" s="76">
        <v>623</v>
      </c>
      <c r="B627" s="77" t="s">
        <v>1338</v>
      </c>
      <c r="C627" s="9" t="s">
        <v>1339</v>
      </c>
      <c r="D627" s="76" t="s">
        <v>136</v>
      </c>
      <c r="E627" s="79">
        <v>137069.93782773582</v>
      </c>
      <c r="F627" s="47"/>
      <c r="G627" s="47"/>
      <c r="H627" s="47"/>
      <c r="I627" s="47"/>
      <c r="J627" s="47"/>
      <c r="K627" s="84"/>
      <c r="L627" s="47"/>
      <c r="M627" s="47"/>
      <c r="N627" s="47"/>
      <c r="O627" s="47"/>
      <c r="P627" s="47"/>
      <c r="Q627" s="47"/>
      <c r="R627" s="47">
        <f t="shared" si="10"/>
        <v>137069.93782773582</v>
      </c>
    </row>
    <row r="628" spans="1:18" x14ac:dyDescent="0.35">
      <c r="A628" s="76">
        <v>624</v>
      </c>
      <c r="B628" s="77" t="s">
        <v>1340</v>
      </c>
      <c r="C628" s="9" t="s">
        <v>1341</v>
      </c>
      <c r="D628" s="76" t="s">
        <v>136</v>
      </c>
      <c r="E628" s="79">
        <v>1084033.5387792753</v>
      </c>
      <c r="F628" s="47"/>
      <c r="G628" s="47"/>
      <c r="H628" s="47"/>
      <c r="I628" s="47"/>
      <c r="J628" s="47"/>
      <c r="K628" s="84"/>
      <c r="L628" s="47">
        <v>-196161.70594885942</v>
      </c>
      <c r="M628" s="47"/>
      <c r="N628" s="47"/>
      <c r="O628" s="47"/>
      <c r="P628" s="47"/>
      <c r="Q628" s="47"/>
      <c r="R628" s="47">
        <f t="shared" si="10"/>
        <v>887871.83283041581</v>
      </c>
    </row>
    <row r="629" spans="1:18" x14ac:dyDescent="0.35">
      <c r="A629" s="76">
        <v>625</v>
      </c>
      <c r="B629" s="77" t="s">
        <v>1342</v>
      </c>
      <c r="C629" s="9" t="s">
        <v>1343</v>
      </c>
      <c r="D629" s="76" t="s">
        <v>136</v>
      </c>
      <c r="E629" s="79">
        <v>971019.91355306306</v>
      </c>
      <c r="F629" s="47"/>
      <c r="G629" s="47"/>
      <c r="H629" s="47"/>
      <c r="I629" s="47"/>
      <c r="J629" s="47"/>
      <c r="K629" s="84"/>
      <c r="L629" s="47">
        <v>-172947.42546494788</v>
      </c>
      <c r="M629" s="47"/>
      <c r="N629" s="47"/>
      <c r="O629" s="47"/>
      <c r="P629" s="47"/>
      <c r="Q629" s="47"/>
      <c r="R629" s="47">
        <f t="shared" si="10"/>
        <v>798072.48808811512</v>
      </c>
    </row>
    <row r="630" spans="1:18" x14ac:dyDescent="0.35">
      <c r="A630" s="76">
        <v>626</v>
      </c>
      <c r="B630" s="77" t="s">
        <v>1344</v>
      </c>
      <c r="C630" s="9" t="s">
        <v>2281</v>
      </c>
      <c r="D630" s="76" t="s">
        <v>98</v>
      </c>
      <c r="E630" s="79">
        <v>1123182.6945219534</v>
      </c>
      <c r="F630" s="47"/>
      <c r="G630" s="47"/>
      <c r="H630" s="47"/>
      <c r="I630" s="47"/>
      <c r="J630" s="47"/>
      <c r="K630" s="84"/>
      <c r="L630" s="47"/>
      <c r="M630" s="47"/>
      <c r="N630" s="47"/>
      <c r="O630" s="47"/>
      <c r="P630" s="47"/>
      <c r="Q630" s="47"/>
      <c r="R630" s="47">
        <f t="shared" si="10"/>
        <v>1123182.6945219534</v>
      </c>
    </row>
    <row r="631" spans="1:18" x14ac:dyDescent="0.35">
      <c r="A631" s="76">
        <v>627</v>
      </c>
      <c r="B631" s="77" t="s">
        <v>1346</v>
      </c>
      <c r="C631" s="9" t="s">
        <v>2282</v>
      </c>
      <c r="D631" s="76" t="s">
        <v>324</v>
      </c>
      <c r="E631" s="79">
        <v>1722407.3289155329</v>
      </c>
      <c r="F631" s="47"/>
      <c r="G631" s="47"/>
      <c r="H631" s="47"/>
      <c r="I631" s="47"/>
      <c r="J631" s="47"/>
      <c r="K631" s="84"/>
      <c r="L631" s="47"/>
      <c r="M631" s="47"/>
      <c r="N631" s="47"/>
      <c r="O631" s="47"/>
      <c r="P631" s="47"/>
      <c r="Q631" s="47"/>
      <c r="R631" s="47">
        <f t="shared" si="10"/>
        <v>1722407.3289155329</v>
      </c>
    </row>
    <row r="632" spans="1:18" x14ac:dyDescent="0.35">
      <c r="A632" s="76">
        <v>628</v>
      </c>
      <c r="B632" s="77" t="s">
        <v>1348</v>
      </c>
      <c r="C632" s="9" t="s">
        <v>2283</v>
      </c>
      <c r="D632" s="76" t="s">
        <v>77</v>
      </c>
      <c r="E632" s="79">
        <v>1141281.7890623298</v>
      </c>
      <c r="F632" s="47"/>
      <c r="G632" s="47"/>
      <c r="H632" s="47"/>
      <c r="I632" s="47"/>
      <c r="J632" s="47"/>
      <c r="K632" s="84"/>
      <c r="L632" s="47"/>
      <c r="M632" s="47"/>
      <c r="N632" s="47"/>
      <c r="O632" s="47"/>
      <c r="P632" s="47"/>
      <c r="Q632" s="47"/>
      <c r="R632" s="47">
        <f t="shared" si="10"/>
        <v>1141281.7890623298</v>
      </c>
    </row>
    <row r="633" spans="1:18" x14ac:dyDescent="0.35">
      <c r="A633" s="76">
        <v>629</v>
      </c>
      <c r="B633" s="77" t="s">
        <v>1350</v>
      </c>
      <c r="C633" s="9" t="s">
        <v>1351</v>
      </c>
      <c r="D633" s="76" t="s">
        <v>11</v>
      </c>
      <c r="E633" s="79">
        <v>821234.8186002624</v>
      </c>
      <c r="F633" s="47"/>
      <c r="G633" s="47"/>
      <c r="H633" s="47"/>
      <c r="I633" s="47"/>
      <c r="J633" s="47"/>
      <c r="K633" s="84"/>
      <c r="L633" s="47"/>
      <c r="M633" s="47"/>
      <c r="N633" s="47"/>
      <c r="O633" s="47"/>
      <c r="P633" s="47"/>
      <c r="Q633" s="47"/>
      <c r="R633" s="47">
        <f t="shared" si="10"/>
        <v>821234.8186002624</v>
      </c>
    </row>
    <row r="634" spans="1:18" x14ac:dyDescent="0.35">
      <c r="A634" s="76">
        <v>630</v>
      </c>
      <c r="B634" s="77" t="s">
        <v>1352</v>
      </c>
      <c r="C634" s="9" t="s">
        <v>1678</v>
      </c>
      <c r="D634" s="76" t="s">
        <v>11</v>
      </c>
      <c r="E634" s="79">
        <v>155854.36859637647</v>
      </c>
      <c r="F634" s="47"/>
      <c r="G634" s="47"/>
      <c r="H634" s="47"/>
      <c r="I634" s="47"/>
      <c r="J634" s="47"/>
      <c r="K634" s="84"/>
      <c r="L634" s="47"/>
      <c r="M634" s="47"/>
      <c r="N634" s="47"/>
      <c r="O634" s="47"/>
      <c r="P634" s="47"/>
      <c r="Q634" s="47"/>
      <c r="R634" s="47">
        <f t="shared" si="10"/>
        <v>155854.36859637647</v>
      </c>
    </row>
    <row r="635" spans="1:18" x14ac:dyDescent="0.35">
      <c r="A635" s="76">
        <v>631</v>
      </c>
      <c r="B635" s="77" t="s">
        <v>1354</v>
      </c>
      <c r="C635" s="9" t="s">
        <v>1710</v>
      </c>
      <c r="D635" s="76" t="s">
        <v>11</v>
      </c>
      <c r="E635" s="79">
        <v>162284.16104959993</v>
      </c>
      <c r="F635" s="47"/>
      <c r="G635" s="47"/>
      <c r="H635" s="47"/>
      <c r="I635" s="47"/>
      <c r="J635" s="47"/>
      <c r="K635" s="84"/>
      <c r="L635" s="47"/>
      <c r="M635" s="47"/>
      <c r="N635" s="47"/>
      <c r="O635" s="47"/>
      <c r="P635" s="47"/>
      <c r="Q635" s="47"/>
      <c r="R635" s="47">
        <f t="shared" si="10"/>
        <v>162284.16104959993</v>
      </c>
    </row>
    <row r="636" spans="1:18" x14ac:dyDescent="0.35">
      <c r="A636" s="76">
        <v>632</v>
      </c>
      <c r="B636" s="77" t="s">
        <v>1356</v>
      </c>
      <c r="C636" s="9" t="s">
        <v>1357</v>
      </c>
      <c r="D636" s="76" t="s">
        <v>11</v>
      </c>
      <c r="E636" s="79">
        <v>162284.16104959993</v>
      </c>
      <c r="F636" s="47"/>
      <c r="G636" s="47"/>
      <c r="H636" s="47"/>
      <c r="I636" s="47"/>
      <c r="J636" s="47"/>
      <c r="K636" s="84"/>
      <c r="L636" s="47"/>
      <c r="M636" s="47"/>
      <c r="N636" s="47"/>
      <c r="O636" s="47"/>
      <c r="P636" s="47"/>
      <c r="Q636" s="47"/>
      <c r="R636" s="47">
        <f t="shared" si="10"/>
        <v>162284.16104959993</v>
      </c>
    </row>
    <row r="637" spans="1:18" x14ac:dyDescent="0.35">
      <c r="A637" s="76">
        <v>633</v>
      </c>
      <c r="B637" s="77" t="s">
        <v>1358</v>
      </c>
      <c r="C637" s="9" t="s">
        <v>1359</v>
      </c>
      <c r="D637" s="76" t="s">
        <v>374</v>
      </c>
      <c r="E637" s="79">
        <v>852062.69690184854</v>
      </c>
      <c r="F637" s="47"/>
      <c r="G637" s="47"/>
      <c r="H637" s="47"/>
      <c r="I637" s="47"/>
      <c r="J637" s="47"/>
      <c r="K637" s="84"/>
      <c r="L637" s="47"/>
      <c r="M637" s="47"/>
      <c r="N637" s="47"/>
      <c r="O637" s="47"/>
      <c r="P637" s="47"/>
      <c r="Q637" s="47"/>
      <c r="R637" s="47">
        <f t="shared" si="10"/>
        <v>852062.69690184854</v>
      </c>
    </row>
    <row r="638" spans="1:18" x14ac:dyDescent="0.35">
      <c r="A638" s="76">
        <v>634</v>
      </c>
      <c r="B638" s="77" t="s">
        <v>1360</v>
      </c>
      <c r="C638" s="9" t="s">
        <v>1361</v>
      </c>
      <c r="D638" s="76" t="s">
        <v>429</v>
      </c>
      <c r="E638" s="79">
        <v>1188807.3858094465</v>
      </c>
      <c r="F638" s="47"/>
      <c r="G638" s="47"/>
      <c r="H638" s="47"/>
      <c r="I638" s="47"/>
      <c r="J638" s="47"/>
      <c r="K638" s="84"/>
      <c r="L638" s="47">
        <v>-222431.22240874748</v>
      </c>
      <c r="M638" s="47"/>
      <c r="N638" s="47"/>
      <c r="O638" s="47"/>
      <c r="P638" s="47"/>
      <c r="Q638" s="47"/>
      <c r="R638" s="47">
        <f t="shared" si="10"/>
        <v>966376.16340069892</v>
      </c>
    </row>
    <row r="639" spans="1:18" x14ac:dyDescent="0.35">
      <c r="A639" s="76">
        <v>635</v>
      </c>
      <c r="B639" s="77" t="s">
        <v>1362</v>
      </c>
      <c r="C639" s="9" t="s">
        <v>1363</v>
      </c>
      <c r="D639" s="76" t="s">
        <v>429</v>
      </c>
      <c r="E639" s="79">
        <v>1188808.3992154805</v>
      </c>
      <c r="F639" s="47"/>
      <c r="G639" s="47"/>
      <c r="H639" s="47"/>
      <c r="I639" s="47"/>
      <c r="J639" s="47"/>
      <c r="K639" s="84"/>
      <c r="L639" s="47"/>
      <c r="M639" s="47"/>
      <c r="N639" s="47"/>
      <c r="O639" s="47"/>
      <c r="P639" s="47"/>
      <c r="Q639" s="47"/>
      <c r="R639" s="47">
        <f t="shared" si="10"/>
        <v>1188808.3992154805</v>
      </c>
    </row>
    <row r="640" spans="1:18" x14ac:dyDescent="0.35">
      <c r="A640" s="76">
        <v>636</v>
      </c>
      <c r="B640" s="77" t="s">
        <v>1364</v>
      </c>
      <c r="C640" s="9" t="s">
        <v>1365</v>
      </c>
      <c r="D640" s="76" t="s">
        <v>429</v>
      </c>
      <c r="E640" s="79">
        <v>1188808.3992154805</v>
      </c>
      <c r="F640" s="47"/>
      <c r="G640" s="47"/>
      <c r="H640" s="47"/>
      <c r="I640" s="47"/>
      <c r="J640" s="47"/>
      <c r="K640" s="84"/>
      <c r="L640" s="47"/>
      <c r="M640" s="47"/>
      <c r="N640" s="47"/>
      <c r="O640" s="47"/>
      <c r="P640" s="47"/>
      <c r="Q640" s="47"/>
      <c r="R640" s="47">
        <f t="shared" si="10"/>
        <v>1188808.3992154805</v>
      </c>
    </row>
    <row r="641" spans="1:18" x14ac:dyDescent="0.35">
      <c r="A641" s="76">
        <v>637</v>
      </c>
      <c r="B641" s="77" t="s">
        <v>1366</v>
      </c>
      <c r="C641" s="9" t="s">
        <v>1367</v>
      </c>
      <c r="D641" s="76" t="s">
        <v>429</v>
      </c>
      <c r="E641" s="79">
        <v>1188808.3992154805</v>
      </c>
      <c r="F641" s="47"/>
      <c r="G641" s="47"/>
      <c r="H641" s="47"/>
      <c r="I641" s="47"/>
      <c r="J641" s="47"/>
      <c r="K641" s="84"/>
      <c r="L641" s="47"/>
      <c r="M641" s="47"/>
      <c r="N641" s="47"/>
      <c r="O641" s="47"/>
      <c r="P641" s="47"/>
      <c r="Q641" s="47"/>
      <c r="R641" s="47">
        <f t="shared" si="10"/>
        <v>1188808.3992154805</v>
      </c>
    </row>
    <row r="642" spans="1:18" x14ac:dyDescent="0.35">
      <c r="A642" s="76">
        <v>638</v>
      </c>
      <c r="B642" s="77" t="s">
        <v>1368</v>
      </c>
      <c r="C642" s="9" t="s">
        <v>1369</v>
      </c>
      <c r="D642" s="76" t="s">
        <v>429</v>
      </c>
      <c r="E642" s="79">
        <v>351200.95015490626</v>
      </c>
      <c r="F642" s="47"/>
      <c r="G642" s="47"/>
      <c r="H642" s="47"/>
      <c r="I642" s="47"/>
      <c r="J642" s="47"/>
      <c r="K642" s="84"/>
      <c r="L642" s="47"/>
      <c r="M642" s="47"/>
      <c r="N642" s="47"/>
      <c r="O642" s="47"/>
      <c r="P642" s="47"/>
      <c r="Q642" s="47"/>
      <c r="R642" s="47">
        <f t="shared" si="10"/>
        <v>351200.95015490626</v>
      </c>
    </row>
    <row r="643" spans="1:18" x14ac:dyDescent="0.35">
      <c r="A643" s="76">
        <v>639</v>
      </c>
      <c r="B643" s="77" t="s">
        <v>1370</v>
      </c>
      <c r="C643" s="9" t="s">
        <v>1371</v>
      </c>
      <c r="D643" s="76" t="s">
        <v>429</v>
      </c>
      <c r="E643" s="79">
        <v>1188808.3992154805</v>
      </c>
      <c r="F643" s="47"/>
      <c r="G643" s="47"/>
      <c r="H643" s="47"/>
      <c r="I643" s="47"/>
      <c r="J643" s="47"/>
      <c r="K643" s="84"/>
      <c r="L643" s="47"/>
      <c r="M643" s="47"/>
      <c r="N643" s="47"/>
      <c r="O643" s="47"/>
      <c r="P643" s="47"/>
      <c r="Q643" s="47"/>
      <c r="R643" s="47">
        <f t="shared" si="10"/>
        <v>1188808.3992154805</v>
      </c>
    </row>
    <row r="644" spans="1:18" x14ac:dyDescent="0.35">
      <c r="A644" s="76">
        <v>640</v>
      </c>
      <c r="B644" s="77" t="s">
        <v>1372</v>
      </c>
      <c r="C644" s="9" t="s">
        <v>1373</v>
      </c>
      <c r="D644" s="76" t="s">
        <v>429</v>
      </c>
      <c r="E644" s="79">
        <v>1188808.3992154805</v>
      </c>
      <c r="F644" s="47"/>
      <c r="G644" s="47"/>
      <c r="H644" s="47"/>
      <c r="I644" s="47"/>
      <c r="J644" s="47"/>
      <c r="K644" s="84"/>
      <c r="L644" s="47"/>
      <c r="M644" s="47"/>
      <c r="N644" s="47"/>
      <c r="O644" s="47"/>
      <c r="P644" s="47"/>
      <c r="Q644" s="47"/>
      <c r="R644" s="47">
        <f t="shared" si="10"/>
        <v>1188808.3992154805</v>
      </c>
    </row>
    <row r="645" spans="1:18" x14ac:dyDescent="0.35">
      <c r="A645" s="76">
        <v>641</v>
      </c>
      <c r="B645" s="77" t="s">
        <v>1374</v>
      </c>
      <c r="C645" s="9" t="s">
        <v>1897</v>
      </c>
      <c r="D645" s="76" t="s">
        <v>98</v>
      </c>
      <c r="E645" s="79">
        <v>628946.29735113634</v>
      </c>
      <c r="F645" s="47"/>
      <c r="G645" s="47"/>
      <c r="H645" s="47"/>
      <c r="I645" s="47"/>
      <c r="J645" s="47"/>
      <c r="K645" s="84"/>
      <c r="L645" s="47"/>
      <c r="M645" s="47"/>
      <c r="N645" s="47"/>
      <c r="O645" s="47"/>
      <c r="P645" s="47"/>
      <c r="Q645" s="47"/>
      <c r="R645" s="47">
        <f t="shared" si="10"/>
        <v>628946.29735113634</v>
      </c>
    </row>
    <row r="646" spans="1:18" x14ac:dyDescent="0.35">
      <c r="A646" s="76">
        <v>642</v>
      </c>
      <c r="B646" s="77" t="s">
        <v>1376</v>
      </c>
      <c r="C646" s="9" t="s">
        <v>1843</v>
      </c>
      <c r="D646" s="76" t="s">
        <v>22</v>
      </c>
      <c r="E646" s="79">
        <v>1264127.8556281885</v>
      </c>
      <c r="F646" s="47"/>
      <c r="G646" s="47"/>
      <c r="H646" s="47"/>
      <c r="I646" s="47"/>
      <c r="J646" s="47"/>
      <c r="K646" s="84"/>
      <c r="L646" s="47"/>
      <c r="M646" s="47"/>
      <c r="N646" s="47"/>
      <c r="O646" s="47"/>
      <c r="P646" s="47"/>
      <c r="Q646" s="47"/>
      <c r="R646" s="47">
        <f t="shared" si="10"/>
        <v>1264127.8556281885</v>
      </c>
    </row>
    <row r="647" spans="1:18" x14ac:dyDescent="0.35">
      <c r="A647" s="76">
        <v>643</v>
      </c>
      <c r="B647" s="77" t="s">
        <v>1378</v>
      </c>
      <c r="C647" s="9" t="s">
        <v>1379</v>
      </c>
      <c r="D647" s="76" t="s">
        <v>303</v>
      </c>
      <c r="E647" s="79">
        <v>235319.56466044969</v>
      </c>
      <c r="F647" s="47"/>
      <c r="G647" s="47"/>
      <c r="H647" s="47"/>
      <c r="I647" s="47"/>
      <c r="J647" s="47"/>
      <c r="K647" s="84"/>
      <c r="L647" s="47"/>
      <c r="M647" s="47"/>
      <c r="N647" s="47"/>
      <c r="O647" s="47"/>
      <c r="P647" s="47"/>
      <c r="Q647" s="47"/>
      <c r="R647" s="47">
        <f t="shared" si="10"/>
        <v>235319.56466044969</v>
      </c>
    </row>
    <row r="648" spans="1:18" x14ac:dyDescent="0.35">
      <c r="A648" s="76">
        <v>644</v>
      </c>
      <c r="B648" s="77" t="s">
        <v>1380</v>
      </c>
      <c r="C648" s="9" t="s">
        <v>1381</v>
      </c>
      <c r="D648" s="76" t="s">
        <v>49</v>
      </c>
      <c r="E648" s="79">
        <v>318679</v>
      </c>
      <c r="F648" s="47"/>
      <c r="G648" s="47"/>
      <c r="H648" s="47"/>
      <c r="I648" s="47"/>
      <c r="J648" s="47"/>
      <c r="K648" s="84"/>
      <c r="L648" s="47"/>
      <c r="M648" s="47"/>
      <c r="N648" s="47"/>
      <c r="O648" s="47"/>
      <c r="P648" s="47"/>
      <c r="Q648" s="47"/>
      <c r="R648" s="47">
        <f t="shared" si="10"/>
        <v>318679</v>
      </c>
    </row>
    <row r="649" spans="1:18" x14ac:dyDescent="0.35">
      <c r="A649" s="76">
        <v>645</v>
      </c>
      <c r="B649" s="77" t="s">
        <v>1382</v>
      </c>
      <c r="C649" s="9" t="s">
        <v>1383</v>
      </c>
      <c r="D649" s="76" t="s">
        <v>49</v>
      </c>
      <c r="E649" s="79">
        <v>34776.253203405475</v>
      </c>
      <c r="F649" s="47"/>
      <c r="G649" s="47"/>
      <c r="H649" s="47"/>
      <c r="I649" s="47"/>
      <c r="J649" s="47"/>
      <c r="K649" s="84"/>
      <c r="L649" s="47"/>
      <c r="M649" s="47"/>
      <c r="N649" s="47"/>
      <c r="O649" s="47"/>
      <c r="P649" s="47"/>
      <c r="Q649" s="47"/>
      <c r="R649" s="47">
        <f t="shared" si="10"/>
        <v>34776.253203405475</v>
      </c>
    </row>
    <row r="650" spans="1:18" x14ac:dyDescent="0.35">
      <c r="A650" s="76">
        <v>646</v>
      </c>
      <c r="B650" s="77" t="s">
        <v>1384</v>
      </c>
      <c r="C650" s="9" t="s">
        <v>2190</v>
      </c>
      <c r="D650" s="76" t="s">
        <v>128</v>
      </c>
      <c r="E650" s="79">
        <v>752771.42601862375</v>
      </c>
      <c r="F650" s="47"/>
      <c r="G650" s="47"/>
      <c r="H650" s="47"/>
      <c r="I650" s="47"/>
      <c r="J650" s="47"/>
      <c r="K650" s="84"/>
      <c r="L650" s="47"/>
      <c r="M650" s="47"/>
      <c r="N650" s="47"/>
      <c r="O650" s="47"/>
      <c r="P650" s="47"/>
      <c r="Q650" s="47"/>
      <c r="R650" s="47">
        <f t="shared" si="10"/>
        <v>752771.42601862375</v>
      </c>
    </row>
    <row r="651" spans="1:18" x14ac:dyDescent="0.35">
      <c r="A651" s="76">
        <v>647</v>
      </c>
      <c r="B651" s="77" t="s">
        <v>1386</v>
      </c>
      <c r="C651" s="9" t="s">
        <v>1387</v>
      </c>
      <c r="D651" s="76" t="s">
        <v>128</v>
      </c>
      <c r="E651" s="79">
        <v>23745.631233419146</v>
      </c>
      <c r="F651" s="47"/>
      <c r="G651" s="47"/>
      <c r="H651" s="47"/>
      <c r="I651" s="47"/>
      <c r="J651" s="47"/>
      <c r="K651" s="84"/>
      <c r="L651" s="47"/>
      <c r="M651" s="47"/>
      <c r="N651" s="47"/>
      <c r="O651" s="47"/>
      <c r="P651" s="47"/>
      <c r="Q651" s="47"/>
      <c r="R651" s="47">
        <f t="shared" si="10"/>
        <v>23745.631233419146</v>
      </c>
    </row>
    <row r="652" spans="1:18" x14ac:dyDescent="0.35">
      <c r="A652" s="76">
        <v>648</v>
      </c>
      <c r="B652" s="77" t="s">
        <v>1388</v>
      </c>
      <c r="C652" s="9" t="s">
        <v>1389</v>
      </c>
      <c r="D652" s="76" t="s">
        <v>128</v>
      </c>
      <c r="E652" s="79">
        <v>-4103</v>
      </c>
      <c r="F652" s="47"/>
      <c r="G652" s="47"/>
      <c r="H652" s="47"/>
      <c r="I652" s="47"/>
      <c r="J652" s="47"/>
      <c r="K652" s="84"/>
      <c r="L652" s="47"/>
      <c r="M652" s="47"/>
      <c r="N652" s="47"/>
      <c r="O652" s="47"/>
      <c r="P652" s="47"/>
      <c r="Q652" s="47"/>
      <c r="R652" s="47">
        <f t="shared" si="10"/>
        <v>-4103</v>
      </c>
    </row>
    <row r="653" spans="1:18" x14ac:dyDescent="0.35">
      <c r="A653" s="76">
        <v>649</v>
      </c>
      <c r="B653" s="77" t="s">
        <v>1390</v>
      </c>
      <c r="C653" s="9" t="s">
        <v>1391</v>
      </c>
      <c r="D653" s="76" t="s">
        <v>49</v>
      </c>
      <c r="E653" s="79">
        <v>-4103</v>
      </c>
      <c r="F653" s="47"/>
      <c r="G653" s="47"/>
      <c r="H653" s="47"/>
      <c r="I653" s="47"/>
      <c r="J653" s="47"/>
      <c r="K653" s="84"/>
      <c r="L653" s="47"/>
      <c r="M653" s="47"/>
      <c r="N653" s="47"/>
      <c r="O653" s="47"/>
      <c r="P653" s="47"/>
      <c r="Q653" s="47"/>
      <c r="R653" s="47">
        <f t="shared" si="10"/>
        <v>-4103</v>
      </c>
    </row>
    <row r="654" spans="1:18" x14ac:dyDescent="0.35">
      <c r="A654" s="76">
        <v>650</v>
      </c>
      <c r="B654" s="77" t="s">
        <v>1392</v>
      </c>
      <c r="C654" s="9" t="s">
        <v>1709</v>
      </c>
      <c r="D654" s="76" t="s">
        <v>49</v>
      </c>
      <c r="E654" s="79">
        <v>-4103</v>
      </c>
      <c r="F654" s="47"/>
      <c r="G654" s="47"/>
      <c r="H654" s="47"/>
      <c r="I654" s="47"/>
      <c r="J654" s="47"/>
      <c r="K654" s="84"/>
      <c r="L654" s="47"/>
      <c r="M654" s="47"/>
      <c r="N654" s="47"/>
      <c r="O654" s="47"/>
      <c r="P654" s="47"/>
      <c r="Q654" s="47"/>
      <c r="R654" s="47">
        <f t="shared" si="10"/>
        <v>-4103</v>
      </c>
    </row>
    <row r="655" spans="1:18" x14ac:dyDescent="0.35">
      <c r="A655" s="76">
        <v>651</v>
      </c>
      <c r="B655" s="77" t="s">
        <v>1394</v>
      </c>
      <c r="C655" s="9" t="s">
        <v>1395</v>
      </c>
      <c r="D655" s="76" t="s">
        <v>136</v>
      </c>
      <c r="E655" s="79">
        <v>0.39397890027612448</v>
      </c>
      <c r="F655" s="47"/>
      <c r="G655" s="47"/>
      <c r="H655" s="47"/>
      <c r="I655" s="47"/>
      <c r="J655" s="47"/>
      <c r="K655" s="84"/>
      <c r="L655" s="47"/>
      <c r="M655" s="47"/>
      <c r="N655" s="47"/>
      <c r="O655" s="47"/>
      <c r="P655" s="47"/>
      <c r="Q655" s="47"/>
      <c r="R655" s="47">
        <f t="shared" si="10"/>
        <v>0.39397890027612448</v>
      </c>
    </row>
    <row r="656" spans="1:18" x14ac:dyDescent="0.35">
      <c r="A656" s="76">
        <v>652</v>
      </c>
      <c r="B656" s="77" t="s">
        <v>1396</v>
      </c>
      <c r="C656" s="9" t="s">
        <v>1397</v>
      </c>
      <c r="D656" s="76" t="s">
        <v>41</v>
      </c>
      <c r="E656" s="79">
        <v>32185.811036850675</v>
      </c>
      <c r="F656" s="47"/>
      <c r="G656" s="47"/>
      <c r="H656" s="47"/>
      <c r="I656" s="47"/>
      <c r="J656" s="47"/>
      <c r="K656" s="84"/>
      <c r="L656" s="47"/>
      <c r="M656" s="47"/>
      <c r="N656" s="47"/>
      <c r="O656" s="47"/>
      <c r="P656" s="47"/>
      <c r="Q656" s="47"/>
      <c r="R656" s="47">
        <f t="shared" si="10"/>
        <v>32185.811036850675</v>
      </c>
    </row>
    <row r="657" spans="1:18" x14ac:dyDescent="0.35">
      <c r="A657" s="76">
        <v>653</v>
      </c>
      <c r="B657" s="77" t="s">
        <v>1398</v>
      </c>
      <c r="C657" s="9" t="s">
        <v>1898</v>
      </c>
      <c r="D657" s="76" t="s">
        <v>429</v>
      </c>
      <c r="E657" s="79">
        <v>1764603.6937459745</v>
      </c>
      <c r="F657" s="47"/>
      <c r="G657" s="47"/>
      <c r="H657" s="47"/>
      <c r="I657" s="47"/>
      <c r="J657" s="47"/>
      <c r="K657" s="84"/>
      <c r="L657" s="47"/>
      <c r="M657" s="47"/>
      <c r="N657" s="47"/>
      <c r="O657" s="47"/>
      <c r="P657" s="47"/>
      <c r="Q657" s="47"/>
      <c r="R657" s="47">
        <f t="shared" si="10"/>
        <v>1764603.6937459745</v>
      </c>
    </row>
    <row r="658" spans="1:18" x14ac:dyDescent="0.35">
      <c r="A658" s="76">
        <v>654</v>
      </c>
      <c r="B658" s="77" t="s">
        <v>1400</v>
      </c>
      <c r="C658" s="9" t="s">
        <v>2185</v>
      </c>
      <c r="D658" s="76" t="s">
        <v>19</v>
      </c>
      <c r="E658" s="79">
        <v>-0.30870014429092407</v>
      </c>
      <c r="F658" s="47"/>
      <c r="G658" s="47"/>
      <c r="H658" s="47"/>
      <c r="I658" s="47"/>
      <c r="J658" s="47"/>
      <c r="K658" s="84"/>
      <c r="L658" s="47"/>
      <c r="M658" s="47"/>
      <c r="N658" s="47"/>
      <c r="O658" s="47"/>
      <c r="P658" s="47"/>
      <c r="Q658" s="47"/>
      <c r="R658" s="47">
        <f t="shared" si="10"/>
        <v>-0.30870014429092407</v>
      </c>
    </row>
    <row r="659" spans="1:18" x14ac:dyDescent="0.35">
      <c r="A659" s="76">
        <v>655</v>
      </c>
      <c r="B659" s="77" t="s">
        <v>1402</v>
      </c>
      <c r="C659" s="9" t="s">
        <v>1403</v>
      </c>
      <c r="D659" s="76" t="s">
        <v>136</v>
      </c>
      <c r="E659" s="79">
        <v>770674.79174029082</v>
      </c>
      <c r="F659" s="47"/>
      <c r="G659" s="47"/>
      <c r="H659" s="47"/>
      <c r="I659" s="47"/>
      <c r="J659" s="47"/>
      <c r="K659" s="84"/>
      <c r="L659" s="47">
        <v>-158102.15191074973</v>
      </c>
      <c r="M659" s="47"/>
      <c r="N659" s="47"/>
      <c r="O659" s="47"/>
      <c r="P659" s="47"/>
      <c r="Q659" s="47"/>
      <c r="R659" s="47">
        <f t="shared" si="10"/>
        <v>612572.63982954109</v>
      </c>
    </row>
    <row r="660" spans="1:18" x14ac:dyDescent="0.35">
      <c r="A660" s="76">
        <v>656</v>
      </c>
      <c r="B660" s="77" t="s">
        <v>1404</v>
      </c>
      <c r="C660" s="9" t="s">
        <v>1405</v>
      </c>
      <c r="D660" s="76" t="s">
        <v>49</v>
      </c>
      <c r="E660" s="79">
        <v>86818</v>
      </c>
      <c r="F660" s="47"/>
      <c r="G660" s="47"/>
      <c r="H660" s="47"/>
      <c r="I660" s="47"/>
      <c r="J660" s="47"/>
      <c r="K660" s="84"/>
      <c r="L660" s="47"/>
      <c r="M660" s="47"/>
      <c r="N660" s="47"/>
      <c r="O660" s="47"/>
      <c r="P660" s="47"/>
      <c r="Q660" s="47"/>
      <c r="R660" s="47">
        <f t="shared" si="10"/>
        <v>86818</v>
      </c>
    </row>
    <row r="661" spans="1:18" x14ac:dyDescent="0.35">
      <c r="A661" s="76">
        <v>657</v>
      </c>
      <c r="B661" s="77" t="s">
        <v>1406</v>
      </c>
      <c r="C661" s="9" t="s">
        <v>1407</v>
      </c>
      <c r="D661" s="76" t="s">
        <v>92</v>
      </c>
      <c r="E661" s="79">
        <v>1305390.657092338</v>
      </c>
      <c r="F661" s="47"/>
      <c r="G661" s="47"/>
      <c r="H661" s="47"/>
      <c r="I661" s="47"/>
      <c r="J661" s="47"/>
      <c r="K661" s="84"/>
      <c r="L661" s="47"/>
      <c r="M661" s="47"/>
      <c r="N661" s="47"/>
      <c r="O661" s="47"/>
      <c r="P661" s="47"/>
      <c r="Q661" s="47"/>
      <c r="R661" s="47">
        <f t="shared" si="10"/>
        <v>1305390.657092338</v>
      </c>
    </row>
    <row r="662" spans="1:18" x14ac:dyDescent="0.35">
      <c r="A662" s="76">
        <v>658</v>
      </c>
      <c r="B662" s="77" t="s">
        <v>1408</v>
      </c>
      <c r="C662" s="9" t="s">
        <v>1409</v>
      </c>
      <c r="D662" s="76" t="s">
        <v>92</v>
      </c>
      <c r="E662" s="79">
        <v>159039.93437113264</v>
      </c>
      <c r="F662" s="47"/>
      <c r="G662" s="47"/>
      <c r="H662" s="47"/>
      <c r="I662" s="47"/>
      <c r="J662" s="47"/>
      <c r="K662" s="84"/>
      <c r="L662" s="47"/>
      <c r="M662" s="47"/>
      <c r="N662" s="47"/>
      <c r="O662" s="47"/>
      <c r="P662" s="47"/>
      <c r="Q662" s="47"/>
      <c r="R662" s="47">
        <f t="shared" si="10"/>
        <v>159039.93437113264</v>
      </c>
    </row>
    <row r="663" spans="1:18" x14ac:dyDescent="0.35">
      <c r="A663" s="76">
        <v>659</v>
      </c>
      <c r="B663" s="77" t="s">
        <v>1410</v>
      </c>
      <c r="C663" s="9" t="s">
        <v>1968</v>
      </c>
      <c r="D663" s="76" t="s">
        <v>108</v>
      </c>
      <c r="E663" s="79">
        <v>586660.41947753832</v>
      </c>
      <c r="F663" s="47"/>
      <c r="G663" s="47"/>
      <c r="H663" s="47"/>
      <c r="I663" s="47"/>
      <c r="J663" s="47"/>
      <c r="K663" s="84"/>
      <c r="L663" s="47"/>
      <c r="M663" s="47"/>
      <c r="N663" s="47"/>
      <c r="O663" s="47"/>
      <c r="P663" s="47"/>
      <c r="Q663" s="47"/>
      <c r="R663" s="47">
        <f t="shared" si="10"/>
        <v>586660.41947753832</v>
      </c>
    </row>
    <row r="664" spans="1:18" x14ac:dyDescent="0.35">
      <c r="A664" s="76">
        <v>660</v>
      </c>
      <c r="B664" s="77" t="s">
        <v>1412</v>
      </c>
      <c r="C664" s="9" t="s">
        <v>1413</v>
      </c>
      <c r="D664" s="76" t="s">
        <v>128</v>
      </c>
      <c r="E664" s="79">
        <v>1010371.2479977988</v>
      </c>
      <c r="F664" s="47"/>
      <c r="G664" s="47"/>
      <c r="H664" s="47"/>
      <c r="I664" s="47"/>
      <c r="J664" s="47"/>
      <c r="K664" s="84"/>
      <c r="L664" s="47"/>
      <c r="M664" s="47"/>
      <c r="N664" s="47"/>
      <c r="O664" s="47"/>
      <c r="P664" s="47"/>
      <c r="Q664" s="47"/>
      <c r="R664" s="47">
        <f t="shared" si="10"/>
        <v>1010371.2479977988</v>
      </c>
    </row>
    <row r="665" spans="1:18" x14ac:dyDescent="0.35">
      <c r="A665" s="76">
        <v>661</v>
      </c>
      <c r="B665" s="77" t="s">
        <v>1414</v>
      </c>
      <c r="C665" s="9" t="s">
        <v>1893</v>
      </c>
      <c r="D665" s="76" t="s">
        <v>128</v>
      </c>
      <c r="E665" s="79">
        <v>903027.27071082522</v>
      </c>
      <c r="F665" s="47"/>
      <c r="G665" s="47"/>
      <c r="H665" s="47"/>
      <c r="I665" s="47"/>
      <c r="J665" s="47"/>
      <c r="K665" s="84"/>
      <c r="L665" s="47">
        <v>-201446.48505771474</v>
      </c>
      <c r="M665" s="47"/>
      <c r="N665" s="47"/>
      <c r="O665" s="47"/>
      <c r="P665" s="47"/>
      <c r="Q665" s="47"/>
      <c r="R665" s="47">
        <f t="shared" si="10"/>
        <v>701580.78565311048</v>
      </c>
    </row>
    <row r="666" spans="1:18" x14ac:dyDescent="0.35">
      <c r="A666" s="76">
        <v>662</v>
      </c>
      <c r="B666" s="77" t="s">
        <v>1416</v>
      </c>
      <c r="C666" s="9" t="s">
        <v>1967</v>
      </c>
      <c r="D666" s="76" t="s">
        <v>303</v>
      </c>
      <c r="E666" s="79">
        <v>820379.50059315318</v>
      </c>
      <c r="F666" s="47"/>
      <c r="G666" s="47"/>
      <c r="H666" s="47"/>
      <c r="I666" s="47"/>
      <c r="J666" s="47"/>
      <c r="K666" s="84"/>
      <c r="L666" s="47"/>
      <c r="M666" s="47"/>
      <c r="N666" s="47"/>
      <c r="O666" s="47"/>
      <c r="P666" s="47"/>
      <c r="Q666" s="47"/>
      <c r="R666" s="47">
        <f t="shared" si="10"/>
        <v>820379.50059315318</v>
      </c>
    </row>
    <row r="667" spans="1:18" x14ac:dyDescent="0.35">
      <c r="A667" s="76">
        <v>663</v>
      </c>
      <c r="B667" s="77" t="s">
        <v>1418</v>
      </c>
      <c r="C667" s="9" t="s">
        <v>1419</v>
      </c>
      <c r="D667" s="76" t="s">
        <v>429</v>
      </c>
      <c r="E667" s="79">
        <v>674402.63802341651</v>
      </c>
      <c r="F667" s="47"/>
      <c r="G667" s="47"/>
      <c r="H667" s="47"/>
      <c r="I667" s="47"/>
      <c r="J667" s="47"/>
      <c r="K667" s="84"/>
      <c r="L667" s="47">
        <v>-173755.79501787166</v>
      </c>
      <c r="M667" s="47"/>
      <c r="N667" s="47"/>
      <c r="O667" s="47"/>
      <c r="P667" s="47"/>
      <c r="Q667" s="47"/>
      <c r="R667" s="47">
        <f t="shared" si="10"/>
        <v>500646.84300554486</v>
      </c>
    </row>
    <row r="668" spans="1:18" x14ac:dyDescent="0.35">
      <c r="A668" s="76">
        <v>664</v>
      </c>
      <c r="B668" s="77" t="s">
        <v>1420</v>
      </c>
      <c r="C668" s="9" t="s">
        <v>1421</v>
      </c>
      <c r="D668" s="76" t="s">
        <v>429</v>
      </c>
      <c r="E668" s="79">
        <v>674402.63802341651</v>
      </c>
      <c r="F668" s="47"/>
      <c r="G668" s="47"/>
      <c r="H668" s="47"/>
      <c r="I668" s="47"/>
      <c r="J668" s="47"/>
      <c r="K668" s="84"/>
      <c r="L668" s="47">
        <v>-173755.79501787166</v>
      </c>
      <c r="M668" s="47"/>
      <c r="N668" s="47"/>
      <c r="O668" s="47"/>
      <c r="P668" s="47"/>
      <c r="Q668" s="47"/>
      <c r="R668" s="47">
        <f t="shared" si="10"/>
        <v>500646.84300554486</v>
      </c>
    </row>
    <row r="669" spans="1:18" x14ac:dyDescent="0.35">
      <c r="A669" s="76">
        <v>665</v>
      </c>
      <c r="B669" s="77" t="s">
        <v>1422</v>
      </c>
      <c r="C669" s="9" t="s">
        <v>1423</v>
      </c>
      <c r="D669" s="76" t="s">
        <v>136</v>
      </c>
      <c r="E669" s="79">
        <v>515978.07407675765</v>
      </c>
      <c r="F669" s="47"/>
      <c r="G669" s="47"/>
      <c r="H669" s="47"/>
      <c r="I669" s="47"/>
      <c r="J669" s="47"/>
      <c r="K669" s="84"/>
      <c r="L669" s="47"/>
      <c r="M669" s="47"/>
      <c r="N669" s="47"/>
      <c r="O669" s="47"/>
      <c r="P669" s="47"/>
      <c r="Q669" s="47"/>
      <c r="R669" s="47">
        <f t="shared" si="10"/>
        <v>515978.07407675765</v>
      </c>
    </row>
    <row r="670" spans="1:18" x14ac:dyDescent="0.35">
      <c r="A670" s="76">
        <v>666</v>
      </c>
      <c r="B670" s="77" t="s">
        <v>1424</v>
      </c>
      <c r="C670" s="9" t="s">
        <v>1425</v>
      </c>
      <c r="D670" s="76" t="s">
        <v>215</v>
      </c>
      <c r="E670" s="79">
        <v>679337.87594562629</v>
      </c>
      <c r="F670" s="47"/>
      <c r="G670" s="47"/>
      <c r="H670" s="47"/>
      <c r="I670" s="47"/>
      <c r="J670" s="47"/>
      <c r="K670" s="84"/>
      <c r="L670" s="47"/>
      <c r="M670" s="47"/>
      <c r="N670" s="47"/>
      <c r="O670" s="47"/>
      <c r="P670" s="47"/>
      <c r="Q670" s="47"/>
      <c r="R670" s="47">
        <f t="shared" ref="R670:R733" si="11">E670+F670+G670+H670+I670+J670+K670+L670+M670+N670+O670+P670+Q670</f>
        <v>679337.87594562629</v>
      </c>
    </row>
    <row r="671" spans="1:18" x14ac:dyDescent="0.35">
      <c r="A671" s="76">
        <v>667</v>
      </c>
      <c r="B671" s="77" t="s">
        <v>1426</v>
      </c>
      <c r="C671" s="9" t="s">
        <v>1427</v>
      </c>
      <c r="D671" s="76" t="s">
        <v>215</v>
      </c>
      <c r="E671" s="79">
        <v>679337.87594562629</v>
      </c>
      <c r="F671" s="47"/>
      <c r="G671" s="47"/>
      <c r="H671" s="47"/>
      <c r="I671" s="47"/>
      <c r="J671" s="47"/>
      <c r="K671" s="84"/>
      <c r="L671" s="47"/>
      <c r="M671" s="47"/>
      <c r="N671" s="47"/>
      <c r="O671" s="47"/>
      <c r="P671" s="47"/>
      <c r="Q671" s="47"/>
      <c r="R671" s="47">
        <f t="shared" si="11"/>
        <v>679337.87594562629</v>
      </c>
    </row>
    <row r="672" spans="1:18" x14ac:dyDescent="0.35">
      <c r="A672" s="76">
        <v>668</v>
      </c>
      <c r="B672" s="77" t="s">
        <v>1428</v>
      </c>
      <c r="C672" s="9" t="s">
        <v>1429</v>
      </c>
      <c r="D672" s="76" t="s">
        <v>159</v>
      </c>
      <c r="E672" s="79">
        <v>667101.34697191813</v>
      </c>
      <c r="F672" s="47"/>
      <c r="G672" s="47"/>
      <c r="H672" s="47"/>
      <c r="I672" s="47"/>
      <c r="J672" s="47"/>
      <c r="K672" s="84"/>
      <c r="L672" s="47">
        <v>-178188.10391258655</v>
      </c>
      <c r="M672" s="47"/>
      <c r="N672" s="47"/>
      <c r="O672" s="47"/>
      <c r="P672" s="47"/>
      <c r="Q672" s="47"/>
      <c r="R672" s="47">
        <f t="shared" si="11"/>
        <v>488913.24305933155</v>
      </c>
    </row>
    <row r="673" spans="1:18" x14ac:dyDescent="0.35">
      <c r="A673" s="76">
        <v>669</v>
      </c>
      <c r="B673" s="77" t="s">
        <v>1430</v>
      </c>
      <c r="C673" s="9" t="s">
        <v>1431</v>
      </c>
      <c r="D673" s="76"/>
      <c r="E673" s="79">
        <v>10343.25</v>
      </c>
      <c r="F673" s="47"/>
      <c r="G673" s="47"/>
      <c r="H673" s="47"/>
      <c r="I673" s="47"/>
      <c r="J673" s="47"/>
      <c r="K673" s="84"/>
      <c r="L673" s="47"/>
      <c r="M673" s="47"/>
      <c r="N673" s="47"/>
      <c r="O673" s="47"/>
      <c r="P673" s="47"/>
      <c r="Q673" s="47"/>
      <c r="R673" s="47">
        <f t="shared" si="11"/>
        <v>10343.25</v>
      </c>
    </row>
    <row r="674" spans="1:18" x14ac:dyDescent="0.35">
      <c r="A674" s="76">
        <v>670</v>
      </c>
      <c r="B674" s="77" t="s">
        <v>1432</v>
      </c>
      <c r="C674" s="9" t="s">
        <v>1433</v>
      </c>
      <c r="D674" s="76" t="s">
        <v>524</v>
      </c>
      <c r="E674" s="79">
        <v>0</v>
      </c>
      <c r="F674" s="47"/>
      <c r="G674" s="47"/>
      <c r="H674" s="47"/>
      <c r="I674" s="47"/>
      <c r="J674" s="47"/>
      <c r="K674" s="84"/>
      <c r="L674" s="47"/>
      <c r="M674" s="47"/>
      <c r="N674" s="47"/>
      <c r="O674" s="47"/>
      <c r="P674" s="47"/>
      <c r="Q674" s="47"/>
      <c r="R674" s="47">
        <f t="shared" si="11"/>
        <v>0</v>
      </c>
    </row>
    <row r="675" spans="1:18" x14ac:dyDescent="0.35">
      <c r="A675" s="76">
        <v>671</v>
      </c>
      <c r="B675" s="77" t="s">
        <v>1434</v>
      </c>
      <c r="C675" s="9" t="s">
        <v>1435</v>
      </c>
      <c r="D675" s="76" t="s">
        <v>136</v>
      </c>
      <c r="E675" s="79">
        <v>486745.70500473562</v>
      </c>
      <c r="F675" s="47"/>
      <c r="G675" s="47"/>
      <c r="H675" s="47"/>
      <c r="I675" s="47"/>
      <c r="J675" s="47"/>
      <c r="K675" s="84"/>
      <c r="L675" s="47"/>
      <c r="M675" s="47"/>
      <c r="N675" s="47"/>
      <c r="O675" s="47"/>
      <c r="P675" s="47"/>
      <c r="Q675" s="47"/>
      <c r="R675" s="47">
        <f t="shared" si="11"/>
        <v>486745.70500473562</v>
      </c>
    </row>
    <row r="676" spans="1:18" x14ac:dyDescent="0.35">
      <c r="A676" s="76">
        <v>672</v>
      </c>
      <c r="B676" s="77" t="s">
        <v>1436</v>
      </c>
      <c r="C676" s="9" t="s">
        <v>1437</v>
      </c>
      <c r="D676" s="76" t="s">
        <v>52</v>
      </c>
      <c r="E676" s="79">
        <v>72873</v>
      </c>
      <c r="F676" s="47"/>
      <c r="G676" s="47"/>
      <c r="H676" s="47"/>
      <c r="I676" s="47"/>
      <c r="J676" s="47"/>
      <c r="K676" s="84"/>
      <c r="L676" s="47"/>
      <c r="M676" s="47"/>
      <c r="N676" s="47"/>
      <c r="O676" s="47"/>
      <c r="P676" s="47"/>
      <c r="Q676" s="47"/>
      <c r="R676" s="47">
        <f t="shared" si="11"/>
        <v>72873</v>
      </c>
    </row>
    <row r="677" spans="1:18" x14ac:dyDescent="0.35">
      <c r="A677" s="76">
        <v>673</v>
      </c>
      <c r="B677" s="77" t="s">
        <v>1438</v>
      </c>
      <c r="C677" s="9" t="s">
        <v>1439</v>
      </c>
      <c r="D677" s="76" t="s">
        <v>303</v>
      </c>
      <c r="E677" s="79">
        <v>316375.81720975612</v>
      </c>
      <c r="F677" s="47"/>
      <c r="G677" s="47"/>
      <c r="H677" s="47"/>
      <c r="I677" s="47"/>
      <c r="J677" s="47"/>
      <c r="K677" s="84"/>
      <c r="L677" s="47"/>
      <c r="M677" s="47"/>
      <c r="N677" s="47"/>
      <c r="O677" s="47"/>
      <c r="P677" s="47"/>
      <c r="Q677" s="47"/>
      <c r="R677" s="47">
        <f t="shared" si="11"/>
        <v>316375.81720975612</v>
      </c>
    </row>
    <row r="678" spans="1:18" x14ac:dyDescent="0.35">
      <c r="A678" s="76">
        <v>674</v>
      </c>
      <c r="B678" s="77" t="s">
        <v>1440</v>
      </c>
      <c r="C678" s="9" t="s">
        <v>1441</v>
      </c>
      <c r="D678" s="76" t="s">
        <v>65</v>
      </c>
      <c r="E678" s="79">
        <v>323078.83420773339</v>
      </c>
      <c r="F678" s="47"/>
      <c r="G678" s="47"/>
      <c r="H678" s="47"/>
      <c r="I678" s="47"/>
      <c r="J678" s="47"/>
      <c r="K678" s="84"/>
      <c r="L678" s="47"/>
      <c r="M678" s="47"/>
      <c r="N678" s="47"/>
      <c r="O678" s="47"/>
      <c r="P678" s="47"/>
      <c r="Q678" s="47"/>
      <c r="R678" s="47">
        <f t="shared" si="11"/>
        <v>323078.83420773339</v>
      </c>
    </row>
    <row r="679" spans="1:18" x14ac:dyDescent="0.35">
      <c r="A679" s="76">
        <v>675</v>
      </c>
      <c r="B679" s="77" t="s">
        <v>1442</v>
      </c>
      <c r="C679" s="9" t="s">
        <v>1443</v>
      </c>
      <c r="D679" s="76" t="s">
        <v>1444</v>
      </c>
      <c r="E679" s="79">
        <v>404293.96977295791</v>
      </c>
      <c r="F679" s="47"/>
      <c r="G679" s="47"/>
      <c r="H679" s="47"/>
      <c r="I679" s="47"/>
      <c r="J679" s="47"/>
      <c r="K679" s="84"/>
      <c r="L679" s="47"/>
      <c r="M679" s="47"/>
      <c r="N679" s="47"/>
      <c r="O679" s="47"/>
      <c r="P679" s="47"/>
      <c r="Q679" s="47"/>
      <c r="R679" s="47">
        <f t="shared" si="11"/>
        <v>404293.96977295791</v>
      </c>
    </row>
    <row r="680" spans="1:18" x14ac:dyDescent="0.35">
      <c r="A680" s="76">
        <v>676</v>
      </c>
      <c r="B680" s="77" t="s">
        <v>1445</v>
      </c>
      <c r="C680" s="9" t="s">
        <v>1446</v>
      </c>
      <c r="D680" s="76" t="s">
        <v>136</v>
      </c>
      <c r="E680" s="79">
        <v>0</v>
      </c>
      <c r="F680" s="47"/>
      <c r="G680" s="47"/>
      <c r="H680" s="47"/>
      <c r="I680" s="47"/>
      <c r="J680" s="47"/>
      <c r="K680" s="84"/>
      <c r="L680" s="47"/>
      <c r="M680" s="47"/>
      <c r="N680" s="47"/>
      <c r="O680" s="47"/>
      <c r="P680" s="47"/>
      <c r="Q680" s="47"/>
      <c r="R680" s="47">
        <f t="shared" si="11"/>
        <v>0</v>
      </c>
    </row>
    <row r="681" spans="1:18" x14ac:dyDescent="0.35">
      <c r="A681" s="76">
        <v>677</v>
      </c>
      <c r="B681" s="77" t="s">
        <v>1447</v>
      </c>
      <c r="C681" s="9" t="s">
        <v>2137</v>
      </c>
      <c r="D681" s="76" t="s">
        <v>751</v>
      </c>
      <c r="E681" s="79">
        <v>237229.42101056251</v>
      </c>
      <c r="F681" s="47"/>
      <c r="G681" s="47"/>
      <c r="H681" s="47"/>
      <c r="I681" s="47"/>
      <c r="J681" s="47"/>
      <c r="K681" s="84"/>
      <c r="L681" s="47"/>
      <c r="M681" s="47"/>
      <c r="N681" s="47"/>
      <c r="O681" s="47"/>
      <c r="P681" s="47"/>
      <c r="Q681" s="47"/>
      <c r="R681" s="47">
        <f t="shared" si="11"/>
        <v>237229.42101056251</v>
      </c>
    </row>
    <row r="682" spans="1:18" x14ac:dyDescent="0.35">
      <c r="A682" s="76">
        <v>678</v>
      </c>
      <c r="B682" s="77" t="s">
        <v>1449</v>
      </c>
      <c r="C682" s="9" t="s">
        <v>1450</v>
      </c>
      <c r="D682" s="76" t="s">
        <v>751</v>
      </c>
      <c r="E682" s="79">
        <v>218980.53628388816</v>
      </c>
      <c r="F682" s="47"/>
      <c r="G682" s="47"/>
      <c r="H682" s="47"/>
      <c r="I682" s="47"/>
      <c r="J682" s="47"/>
      <c r="K682" s="84"/>
      <c r="L682" s="47"/>
      <c r="M682" s="47"/>
      <c r="N682" s="47"/>
      <c r="O682" s="47"/>
      <c r="P682" s="47"/>
      <c r="Q682" s="47"/>
      <c r="R682" s="47">
        <f t="shared" si="11"/>
        <v>218980.53628388816</v>
      </c>
    </row>
    <row r="683" spans="1:18" x14ac:dyDescent="0.35">
      <c r="A683" s="76">
        <v>679</v>
      </c>
      <c r="B683" s="77" t="s">
        <v>1451</v>
      </c>
      <c r="C683" s="9" t="s">
        <v>1452</v>
      </c>
      <c r="D683" s="76" t="s">
        <v>136</v>
      </c>
      <c r="E683" s="79">
        <v>71658.764089283562</v>
      </c>
      <c r="F683" s="47"/>
      <c r="G683" s="47"/>
      <c r="H683" s="47"/>
      <c r="I683" s="47"/>
      <c r="J683" s="47"/>
      <c r="K683" s="84"/>
      <c r="L683" s="47"/>
      <c r="M683" s="47"/>
      <c r="N683" s="47"/>
      <c r="O683" s="47"/>
      <c r="P683" s="47"/>
      <c r="Q683" s="47"/>
      <c r="R683" s="47">
        <f t="shared" si="11"/>
        <v>71658.764089283562</v>
      </c>
    </row>
    <row r="684" spans="1:18" x14ac:dyDescent="0.35">
      <c r="A684" s="76">
        <v>680</v>
      </c>
      <c r="B684" s="77" t="s">
        <v>1453</v>
      </c>
      <c r="C684" s="9" t="s">
        <v>1454</v>
      </c>
      <c r="D684" s="76" t="s">
        <v>321</v>
      </c>
      <c r="E684" s="79">
        <v>375098.2311058765</v>
      </c>
      <c r="F684" s="47"/>
      <c r="G684" s="47"/>
      <c r="H684" s="47"/>
      <c r="I684" s="47"/>
      <c r="J684" s="47"/>
      <c r="K684" s="84"/>
      <c r="L684" s="47"/>
      <c r="M684" s="47"/>
      <c r="N684" s="47"/>
      <c r="O684" s="47"/>
      <c r="P684" s="47"/>
      <c r="Q684" s="47"/>
      <c r="R684" s="47">
        <f t="shared" si="11"/>
        <v>375098.2311058765</v>
      </c>
    </row>
    <row r="685" spans="1:18" x14ac:dyDescent="0.35">
      <c r="A685" s="76">
        <v>681</v>
      </c>
      <c r="B685" s="77" t="s">
        <v>1455</v>
      </c>
      <c r="C685" s="9" t="s">
        <v>2140</v>
      </c>
      <c r="D685" s="76" t="s">
        <v>22</v>
      </c>
      <c r="E685" s="79">
        <v>375098.2311058765</v>
      </c>
      <c r="F685" s="47"/>
      <c r="G685" s="47"/>
      <c r="H685" s="47"/>
      <c r="I685" s="47"/>
      <c r="J685" s="47"/>
      <c r="K685" s="84"/>
      <c r="L685" s="47"/>
      <c r="M685" s="47"/>
      <c r="N685" s="47"/>
      <c r="O685" s="47"/>
      <c r="P685" s="47"/>
      <c r="Q685" s="47"/>
      <c r="R685" s="47">
        <f t="shared" si="11"/>
        <v>375098.2311058765</v>
      </c>
    </row>
    <row r="686" spans="1:18" x14ac:dyDescent="0.35">
      <c r="A686" s="76">
        <v>682</v>
      </c>
      <c r="B686" s="77" t="s">
        <v>1457</v>
      </c>
      <c r="C686" s="9" t="s">
        <v>2141</v>
      </c>
      <c r="D686" s="76" t="s">
        <v>238</v>
      </c>
      <c r="E686" s="79">
        <v>386475.07673264307</v>
      </c>
      <c r="F686" s="47"/>
      <c r="G686" s="47"/>
      <c r="H686" s="47"/>
      <c r="I686" s="47"/>
      <c r="J686" s="47"/>
      <c r="K686" s="84"/>
      <c r="L686" s="47"/>
      <c r="M686" s="47"/>
      <c r="N686" s="47"/>
      <c r="O686" s="47"/>
      <c r="P686" s="47"/>
      <c r="Q686" s="47"/>
      <c r="R686" s="47">
        <f t="shared" si="11"/>
        <v>386475.07673264307</v>
      </c>
    </row>
    <row r="687" spans="1:18" x14ac:dyDescent="0.35">
      <c r="A687" s="76">
        <v>683</v>
      </c>
      <c r="B687" s="77" t="s">
        <v>1458</v>
      </c>
      <c r="C687" s="9" t="s">
        <v>2142</v>
      </c>
      <c r="D687" s="76" t="s">
        <v>303</v>
      </c>
      <c r="E687" s="79">
        <v>375098.2311058765</v>
      </c>
      <c r="F687" s="47"/>
      <c r="G687" s="47"/>
      <c r="H687" s="47"/>
      <c r="I687" s="47"/>
      <c r="J687" s="47"/>
      <c r="K687" s="84"/>
      <c r="L687" s="47"/>
      <c r="M687" s="47"/>
      <c r="N687" s="47"/>
      <c r="O687" s="47"/>
      <c r="P687" s="47"/>
      <c r="Q687" s="47"/>
      <c r="R687" s="47">
        <f t="shared" si="11"/>
        <v>375098.2311058765</v>
      </c>
    </row>
    <row r="688" spans="1:18" x14ac:dyDescent="0.35">
      <c r="A688" s="76">
        <v>684</v>
      </c>
      <c r="B688" s="77" t="s">
        <v>1460</v>
      </c>
      <c r="C688" s="9" t="s">
        <v>2143</v>
      </c>
      <c r="D688" s="76" t="s">
        <v>80</v>
      </c>
      <c r="E688" s="79">
        <v>0</v>
      </c>
      <c r="F688" s="47"/>
      <c r="G688" s="47"/>
      <c r="H688" s="47"/>
      <c r="I688" s="47"/>
      <c r="J688" s="47"/>
      <c r="K688" s="84"/>
      <c r="L688" s="47"/>
      <c r="M688" s="47"/>
      <c r="N688" s="47"/>
      <c r="O688" s="47"/>
      <c r="P688" s="47"/>
      <c r="Q688" s="47"/>
      <c r="R688" s="47">
        <f t="shared" si="11"/>
        <v>0</v>
      </c>
    </row>
    <row r="689" spans="1:18" x14ac:dyDescent="0.35">
      <c r="A689" s="76">
        <v>685</v>
      </c>
      <c r="B689" s="77" t="s">
        <v>1462</v>
      </c>
      <c r="C689" s="9" t="s">
        <v>2205</v>
      </c>
      <c r="D689" s="76" t="s">
        <v>80</v>
      </c>
      <c r="E689" s="79">
        <v>43822</v>
      </c>
      <c r="F689" s="47"/>
      <c r="G689" s="47"/>
      <c r="H689" s="47"/>
      <c r="I689" s="47"/>
      <c r="J689" s="47"/>
      <c r="K689" s="84"/>
      <c r="L689" s="47"/>
      <c r="M689" s="47"/>
      <c r="N689" s="47"/>
      <c r="O689" s="47"/>
      <c r="P689" s="47"/>
      <c r="Q689" s="47"/>
      <c r="R689" s="47">
        <f t="shared" si="11"/>
        <v>43822</v>
      </c>
    </row>
    <row r="690" spans="1:18" x14ac:dyDescent="0.35">
      <c r="A690" s="76">
        <v>686</v>
      </c>
      <c r="B690" s="77" t="s">
        <v>1464</v>
      </c>
      <c r="C690" s="9" t="s">
        <v>1848</v>
      </c>
      <c r="D690" s="76" t="s">
        <v>80</v>
      </c>
      <c r="E690" s="79">
        <v>0</v>
      </c>
      <c r="F690" s="47"/>
      <c r="G690" s="47"/>
      <c r="H690" s="47"/>
      <c r="I690" s="47"/>
      <c r="J690" s="47"/>
      <c r="K690" s="84"/>
      <c r="L690" s="47"/>
      <c r="M690" s="47"/>
      <c r="N690" s="47"/>
      <c r="O690" s="47"/>
      <c r="P690" s="47"/>
      <c r="Q690" s="47"/>
      <c r="R690" s="47">
        <f t="shared" si="11"/>
        <v>0</v>
      </c>
    </row>
    <row r="691" spans="1:18" x14ac:dyDescent="0.35">
      <c r="A691" s="76">
        <v>687</v>
      </c>
      <c r="B691" s="77" t="s">
        <v>1466</v>
      </c>
      <c r="C691" s="9" t="s">
        <v>2144</v>
      </c>
      <c r="D691" s="76" t="s">
        <v>238</v>
      </c>
      <c r="E691" s="79">
        <v>375098.2311058765</v>
      </c>
      <c r="F691" s="47"/>
      <c r="G691" s="47"/>
      <c r="H691" s="47"/>
      <c r="I691" s="47"/>
      <c r="J691" s="47"/>
      <c r="K691" s="84"/>
      <c r="L691" s="47"/>
      <c r="M691" s="47"/>
      <c r="N691" s="47"/>
      <c r="O691" s="47"/>
      <c r="P691" s="47"/>
      <c r="Q691" s="47"/>
      <c r="R691" s="47">
        <f t="shared" si="11"/>
        <v>375098.2311058765</v>
      </c>
    </row>
    <row r="692" spans="1:18" x14ac:dyDescent="0.35">
      <c r="A692" s="76">
        <v>688</v>
      </c>
      <c r="B692" s="77" t="s">
        <v>1468</v>
      </c>
      <c r="C692" s="9" t="s">
        <v>2145</v>
      </c>
      <c r="D692" s="76" t="s">
        <v>119</v>
      </c>
      <c r="E692" s="79">
        <v>375098.2311058765</v>
      </c>
      <c r="F692" s="47"/>
      <c r="G692" s="47"/>
      <c r="H692" s="47"/>
      <c r="I692" s="47"/>
      <c r="J692" s="47"/>
      <c r="K692" s="84"/>
      <c r="L692" s="47"/>
      <c r="M692" s="47"/>
      <c r="N692" s="47"/>
      <c r="O692" s="47"/>
      <c r="P692" s="47"/>
      <c r="Q692" s="47"/>
      <c r="R692" s="47">
        <f t="shared" si="11"/>
        <v>375098.2311058765</v>
      </c>
    </row>
    <row r="693" spans="1:18" x14ac:dyDescent="0.35">
      <c r="A693" s="76">
        <v>689</v>
      </c>
      <c r="B693" s="77" t="s">
        <v>1470</v>
      </c>
      <c r="C693" s="9" t="s">
        <v>1760</v>
      </c>
      <c r="D693" s="76" t="s">
        <v>318</v>
      </c>
      <c r="E693" s="79">
        <v>375098.2311058765</v>
      </c>
      <c r="F693" s="47"/>
      <c r="G693" s="47"/>
      <c r="H693" s="47"/>
      <c r="I693" s="47"/>
      <c r="J693" s="47"/>
      <c r="K693" s="84"/>
      <c r="L693" s="47"/>
      <c r="M693" s="47"/>
      <c r="N693" s="47"/>
      <c r="O693" s="47"/>
      <c r="P693" s="47"/>
      <c r="Q693" s="47"/>
      <c r="R693" s="47">
        <f t="shared" si="11"/>
        <v>375098.2311058765</v>
      </c>
    </row>
    <row r="694" spans="1:18" x14ac:dyDescent="0.35">
      <c r="A694" s="76">
        <v>690</v>
      </c>
      <c r="B694" s="77" t="s">
        <v>1472</v>
      </c>
      <c r="C694" s="9" t="s">
        <v>1473</v>
      </c>
      <c r="D694" s="76" t="s">
        <v>551</v>
      </c>
      <c r="E694" s="79">
        <v>86904</v>
      </c>
      <c r="F694" s="47"/>
      <c r="G694" s="47"/>
      <c r="H694" s="47"/>
      <c r="I694" s="47"/>
      <c r="J694" s="47"/>
      <c r="K694" s="84"/>
      <c r="L694" s="47"/>
      <c r="M694" s="47"/>
      <c r="N694" s="47"/>
      <c r="O694" s="47"/>
      <c r="P694" s="47"/>
      <c r="Q694" s="47"/>
      <c r="R694" s="47">
        <f t="shared" si="11"/>
        <v>86904</v>
      </c>
    </row>
    <row r="695" spans="1:18" x14ac:dyDescent="0.35">
      <c r="A695" s="76">
        <v>691</v>
      </c>
      <c r="B695" s="77" t="s">
        <v>1474</v>
      </c>
      <c r="C695" s="9" t="s">
        <v>1751</v>
      </c>
      <c r="D695" s="76" t="s">
        <v>1444</v>
      </c>
      <c r="E695" s="79">
        <v>375098.2311058765</v>
      </c>
      <c r="F695" s="47"/>
      <c r="G695" s="47"/>
      <c r="H695" s="47"/>
      <c r="I695" s="47"/>
      <c r="J695" s="47"/>
      <c r="K695" s="84"/>
      <c r="L695" s="47"/>
      <c r="M695" s="47"/>
      <c r="N695" s="47"/>
      <c r="O695" s="47"/>
      <c r="P695" s="47"/>
      <c r="Q695" s="47"/>
      <c r="R695" s="47">
        <f t="shared" si="11"/>
        <v>375098.2311058765</v>
      </c>
    </row>
    <row r="696" spans="1:18" x14ac:dyDescent="0.35">
      <c r="A696" s="76">
        <v>692</v>
      </c>
      <c r="B696" s="77" t="s">
        <v>1476</v>
      </c>
      <c r="C696" s="9" t="s">
        <v>1477</v>
      </c>
      <c r="D696" s="76" t="s">
        <v>1478</v>
      </c>
      <c r="E696" s="79">
        <v>381801.24810385372</v>
      </c>
      <c r="F696" s="47"/>
      <c r="G696" s="47"/>
      <c r="H696" s="47"/>
      <c r="I696" s="47"/>
      <c r="J696" s="47"/>
      <c r="K696" s="84"/>
      <c r="L696" s="47"/>
      <c r="M696" s="47"/>
      <c r="N696" s="47"/>
      <c r="O696" s="47"/>
      <c r="P696" s="47"/>
      <c r="Q696" s="47"/>
      <c r="R696" s="47">
        <f t="shared" si="11"/>
        <v>381801.24810385372</v>
      </c>
    </row>
    <row r="697" spans="1:18" x14ac:dyDescent="0.35">
      <c r="A697" s="76">
        <v>693</v>
      </c>
      <c r="B697" s="77" t="s">
        <v>1479</v>
      </c>
      <c r="C697" s="9" t="s">
        <v>1480</v>
      </c>
      <c r="D697" s="76" t="s">
        <v>116</v>
      </c>
      <c r="E697" s="79">
        <v>375098.2311058765</v>
      </c>
      <c r="F697" s="47"/>
      <c r="G697" s="47"/>
      <c r="H697" s="47"/>
      <c r="I697" s="47"/>
      <c r="J697" s="47"/>
      <c r="K697" s="84"/>
      <c r="L697" s="47"/>
      <c r="M697" s="47"/>
      <c r="N697" s="47"/>
      <c r="O697" s="47"/>
      <c r="P697" s="47"/>
      <c r="Q697" s="47"/>
      <c r="R697" s="47">
        <f t="shared" si="11"/>
        <v>375098.2311058765</v>
      </c>
    </row>
    <row r="698" spans="1:18" x14ac:dyDescent="0.35">
      <c r="A698" s="76">
        <v>694</v>
      </c>
      <c r="B698" s="77" t="s">
        <v>1481</v>
      </c>
      <c r="C698" s="9" t="s">
        <v>1482</v>
      </c>
      <c r="D698" s="76" t="s">
        <v>131</v>
      </c>
      <c r="E698" s="79">
        <v>375098.2311058765</v>
      </c>
      <c r="F698" s="47"/>
      <c r="G698" s="47"/>
      <c r="H698" s="47"/>
      <c r="I698" s="47"/>
      <c r="J698" s="47"/>
      <c r="K698" s="84"/>
      <c r="L698" s="47">
        <v>-146509.09838661482</v>
      </c>
      <c r="M698" s="47"/>
      <c r="N698" s="47"/>
      <c r="O698" s="47"/>
      <c r="P698" s="47"/>
      <c r="Q698" s="47"/>
      <c r="R698" s="47">
        <f t="shared" si="11"/>
        <v>228589.13271926169</v>
      </c>
    </row>
    <row r="699" spans="1:18" x14ac:dyDescent="0.35">
      <c r="A699" s="76">
        <v>695</v>
      </c>
      <c r="B699" s="77" t="s">
        <v>1483</v>
      </c>
      <c r="C699" s="9" t="s">
        <v>1484</v>
      </c>
      <c r="D699" s="76" t="s">
        <v>22</v>
      </c>
      <c r="E699" s="79">
        <v>375098.2311058765</v>
      </c>
      <c r="F699" s="47"/>
      <c r="G699" s="47"/>
      <c r="H699" s="47"/>
      <c r="I699" s="47"/>
      <c r="J699" s="47"/>
      <c r="K699" s="84"/>
      <c r="L699" s="47"/>
      <c r="M699" s="47"/>
      <c r="N699" s="47"/>
      <c r="O699" s="47"/>
      <c r="P699" s="47"/>
      <c r="Q699" s="47"/>
      <c r="R699" s="47">
        <f t="shared" si="11"/>
        <v>375098.2311058765</v>
      </c>
    </row>
    <row r="700" spans="1:18" x14ac:dyDescent="0.35">
      <c r="A700" s="76">
        <v>696</v>
      </c>
      <c r="B700" s="77" t="s">
        <v>1485</v>
      </c>
      <c r="C700" s="9" t="s">
        <v>1486</v>
      </c>
      <c r="D700" s="76" t="s">
        <v>119</v>
      </c>
      <c r="E700" s="79">
        <v>378449.73960486508</v>
      </c>
      <c r="F700" s="47"/>
      <c r="G700" s="47"/>
      <c r="H700" s="47"/>
      <c r="I700" s="47"/>
      <c r="J700" s="47"/>
      <c r="K700" s="84"/>
      <c r="L700" s="47">
        <v>-154131.30272192933</v>
      </c>
      <c r="M700" s="47"/>
      <c r="N700" s="47"/>
      <c r="O700" s="47"/>
      <c r="P700" s="47"/>
      <c r="Q700" s="47"/>
      <c r="R700" s="47">
        <f t="shared" si="11"/>
        <v>224318.43688293576</v>
      </c>
    </row>
    <row r="701" spans="1:18" x14ac:dyDescent="0.35">
      <c r="A701" s="76">
        <v>697</v>
      </c>
      <c r="B701" s="77" t="s">
        <v>1487</v>
      </c>
      <c r="C701" s="9" t="s">
        <v>1488</v>
      </c>
      <c r="D701" s="76" t="s">
        <v>136</v>
      </c>
      <c r="E701" s="79">
        <v>225023.21089784362</v>
      </c>
      <c r="F701" s="47"/>
      <c r="G701" s="47"/>
      <c r="H701" s="47"/>
      <c r="I701" s="47"/>
      <c r="J701" s="47"/>
      <c r="K701" s="84"/>
      <c r="L701" s="47"/>
      <c r="M701" s="47"/>
      <c r="N701" s="47"/>
      <c r="O701" s="47"/>
      <c r="P701" s="47"/>
      <c r="Q701" s="47"/>
      <c r="R701" s="47">
        <f t="shared" si="11"/>
        <v>225023.21089784362</v>
      </c>
    </row>
    <row r="702" spans="1:18" x14ac:dyDescent="0.35">
      <c r="A702" s="76">
        <v>698</v>
      </c>
      <c r="B702" s="77" t="s">
        <v>1489</v>
      </c>
      <c r="C702" s="9" t="s">
        <v>1490</v>
      </c>
      <c r="D702" s="76"/>
      <c r="E702" s="79">
        <v>63913</v>
      </c>
      <c r="F702" s="47"/>
      <c r="G702" s="47"/>
      <c r="H702" s="47"/>
      <c r="I702" s="47"/>
      <c r="J702" s="47"/>
      <c r="K702" s="84"/>
      <c r="L702" s="47"/>
      <c r="M702" s="47"/>
      <c r="N702" s="47"/>
      <c r="O702" s="47"/>
      <c r="P702" s="47"/>
      <c r="Q702" s="47"/>
      <c r="R702" s="47">
        <f t="shared" si="11"/>
        <v>63913</v>
      </c>
    </row>
    <row r="703" spans="1:18" x14ac:dyDescent="0.35">
      <c r="A703" s="76">
        <v>699</v>
      </c>
      <c r="B703" s="77" t="s">
        <v>1491</v>
      </c>
      <c r="C703" s="9" t="s">
        <v>1492</v>
      </c>
      <c r="D703" s="76"/>
      <c r="E703" s="79">
        <v>163525.00803300136</v>
      </c>
      <c r="F703" s="47"/>
      <c r="G703" s="47"/>
      <c r="H703" s="47"/>
      <c r="I703" s="47"/>
      <c r="J703" s="47"/>
      <c r="K703" s="84"/>
      <c r="L703" s="47"/>
      <c r="M703" s="47"/>
      <c r="N703" s="47"/>
      <c r="O703" s="47"/>
      <c r="P703" s="47"/>
      <c r="Q703" s="47"/>
      <c r="R703" s="47">
        <f t="shared" si="11"/>
        <v>163525.00803300136</v>
      </c>
    </row>
    <row r="704" spans="1:18" x14ac:dyDescent="0.35">
      <c r="A704" s="76">
        <v>700</v>
      </c>
      <c r="B704" s="77" t="s">
        <v>1493</v>
      </c>
      <c r="C704" s="9" t="s">
        <v>1494</v>
      </c>
      <c r="D704" s="76"/>
      <c r="E704" s="79">
        <v>63338</v>
      </c>
      <c r="F704" s="47"/>
      <c r="G704" s="47"/>
      <c r="H704" s="47"/>
      <c r="I704" s="47"/>
      <c r="J704" s="47"/>
      <c r="K704" s="84"/>
      <c r="L704" s="47"/>
      <c r="M704" s="47"/>
      <c r="N704" s="47"/>
      <c r="O704" s="47"/>
      <c r="P704" s="47"/>
      <c r="Q704" s="47"/>
      <c r="R704" s="47">
        <f t="shared" si="11"/>
        <v>63338</v>
      </c>
    </row>
    <row r="705" spans="1:18" x14ac:dyDescent="0.35">
      <c r="A705" s="76">
        <v>701</v>
      </c>
      <c r="B705" s="77" t="s">
        <v>1495</v>
      </c>
      <c r="C705" s="9" t="s">
        <v>1496</v>
      </c>
      <c r="D705" s="76"/>
      <c r="E705" s="79">
        <v>62977</v>
      </c>
      <c r="F705" s="47"/>
      <c r="G705" s="47"/>
      <c r="H705" s="47"/>
      <c r="I705" s="47"/>
      <c r="J705" s="47"/>
      <c r="K705" s="84"/>
      <c r="L705" s="47"/>
      <c r="M705" s="47"/>
      <c r="N705" s="47"/>
      <c r="O705" s="47"/>
      <c r="P705" s="47"/>
      <c r="Q705" s="47"/>
      <c r="R705" s="47">
        <f t="shared" si="11"/>
        <v>62977</v>
      </c>
    </row>
    <row r="706" spans="1:18" x14ac:dyDescent="0.35">
      <c r="A706" s="76">
        <v>702</v>
      </c>
      <c r="B706" s="77" t="s">
        <v>1497</v>
      </c>
      <c r="C706" s="9" t="s">
        <v>1498</v>
      </c>
      <c r="D706" s="76"/>
      <c r="E706" s="79">
        <v>63938</v>
      </c>
      <c r="F706" s="47"/>
      <c r="G706" s="47"/>
      <c r="H706" s="47"/>
      <c r="I706" s="47"/>
      <c r="J706" s="47"/>
      <c r="K706" s="84"/>
      <c r="L706" s="47"/>
      <c r="M706" s="47"/>
      <c r="N706" s="47"/>
      <c r="O706" s="47"/>
      <c r="P706" s="47"/>
      <c r="Q706" s="47"/>
      <c r="R706" s="47">
        <f t="shared" si="11"/>
        <v>63938</v>
      </c>
    </row>
    <row r="707" spans="1:18" x14ac:dyDescent="0.35">
      <c r="A707" s="76">
        <v>703</v>
      </c>
      <c r="B707" s="77" t="s">
        <v>1499</v>
      </c>
      <c r="C707" s="9" t="s">
        <v>1500</v>
      </c>
      <c r="D707" s="76"/>
      <c r="E707" s="79">
        <v>60183</v>
      </c>
      <c r="F707" s="47"/>
      <c r="G707" s="47"/>
      <c r="H707" s="47"/>
      <c r="I707" s="47"/>
      <c r="J707" s="47"/>
      <c r="K707" s="84"/>
      <c r="L707" s="47"/>
      <c r="M707" s="47"/>
      <c r="N707" s="47"/>
      <c r="O707" s="47"/>
      <c r="P707" s="47"/>
      <c r="Q707" s="47"/>
      <c r="R707" s="47">
        <f t="shared" si="11"/>
        <v>60183</v>
      </c>
    </row>
    <row r="708" spans="1:18" x14ac:dyDescent="0.35">
      <c r="A708" s="76">
        <v>704</v>
      </c>
      <c r="B708" s="77" t="s">
        <v>1501</v>
      </c>
      <c r="C708" s="9" t="s">
        <v>1502</v>
      </c>
      <c r="D708" s="76" t="s">
        <v>136</v>
      </c>
      <c r="E708" s="79">
        <v>174946.72317278472</v>
      </c>
      <c r="F708" s="47"/>
      <c r="G708" s="47"/>
      <c r="H708" s="47"/>
      <c r="I708" s="47"/>
      <c r="J708" s="47"/>
      <c r="K708" s="84"/>
      <c r="L708" s="47"/>
      <c r="M708" s="47"/>
      <c r="N708" s="47"/>
      <c r="O708" s="47"/>
      <c r="P708" s="47"/>
      <c r="Q708" s="47"/>
      <c r="R708" s="47">
        <f t="shared" si="11"/>
        <v>174946.72317278472</v>
      </c>
    </row>
    <row r="709" spans="1:18" x14ac:dyDescent="0.35">
      <c r="A709" s="76">
        <v>705</v>
      </c>
      <c r="B709" s="77" t="s">
        <v>1503</v>
      </c>
      <c r="C709" s="9" t="s">
        <v>1504</v>
      </c>
      <c r="D709" s="76" t="s">
        <v>14</v>
      </c>
      <c r="E709" s="79">
        <v>479977.22932654375</v>
      </c>
      <c r="F709" s="47"/>
      <c r="G709" s="47"/>
      <c r="H709" s="47"/>
      <c r="I709" s="47"/>
      <c r="J709" s="47"/>
      <c r="K709" s="84">
        <v>-686123</v>
      </c>
      <c r="L709" s="47"/>
      <c r="M709" s="47"/>
      <c r="N709" s="47"/>
      <c r="O709" s="47"/>
      <c r="P709" s="47"/>
      <c r="Q709" s="47"/>
      <c r="R709" s="47">
        <f t="shared" si="11"/>
        <v>-206145.77067345625</v>
      </c>
    </row>
    <row r="710" spans="1:18" x14ac:dyDescent="0.35">
      <c r="A710" s="76">
        <v>706</v>
      </c>
      <c r="B710" s="77" t="s">
        <v>1505</v>
      </c>
      <c r="C710" s="9" t="s">
        <v>1506</v>
      </c>
      <c r="D710" s="76" t="s">
        <v>751</v>
      </c>
      <c r="E710" s="79">
        <v>114371.43975772616</v>
      </c>
      <c r="F710" s="47"/>
      <c r="G710" s="47"/>
      <c r="H710" s="47"/>
      <c r="I710" s="47"/>
      <c r="J710" s="47"/>
      <c r="K710" s="84"/>
      <c r="L710" s="47"/>
      <c r="M710" s="47"/>
      <c r="N710" s="47"/>
      <c r="O710" s="47"/>
      <c r="P710" s="47"/>
      <c r="Q710" s="47"/>
      <c r="R710" s="47">
        <f t="shared" si="11"/>
        <v>114371.43975772616</v>
      </c>
    </row>
    <row r="711" spans="1:18" x14ac:dyDescent="0.35">
      <c r="A711" s="76">
        <v>707</v>
      </c>
      <c r="B711" s="77" t="s">
        <v>1507</v>
      </c>
      <c r="C711" s="9" t="s">
        <v>1508</v>
      </c>
      <c r="D711" s="76"/>
      <c r="E711" s="79">
        <v>0</v>
      </c>
      <c r="F711" s="47"/>
      <c r="G711" s="47"/>
      <c r="H711" s="47"/>
      <c r="I711" s="47"/>
      <c r="J711" s="47"/>
      <c r="K711" s="84"/>
      <c r="L711" s="47"/>
      <c r="M711" s="47"/>
      <c r="N711" s="47"/>
      <c r="O711" s="47"/>
      <c r="P711" s="47"/>
      <c r="Q711" s="47"/>
      <c r="R711" s="47">
        <f t="shared" si="11"/>
        <v>0</v>
      </c>
    </row>
    <row r="712" spans="1:18" x14ac:dyDescent="0.35">
      <c r="A712" s="76">
        <v>708</v>
      </c>
      <c r="B712" s="77" t="s">
        <v>1509</v>
      </c>
      <c r="C712" s="9" t="s">
        <v>1861</v>
      </c>
      <c r="D712" s="76" t="s">
        <v>374</v>
      </c>
      <c r="E712" s="79">
        <v>145376.15015667316</v>
      </c>
      <c r="F712" s="47"/>
      <c r="G712" s="47"/>
      <c r="H712" s="47"/>
      <c r="I712" s="47"/>
      <c r="J712" s="47"/>
      <c r="K712" s="84"/>
      <c r="L712" s="47"/>
      <c r="M712" s="47"/>
      <c r="N712" s="47"/>
      <c r="O712" s="47"/>
      <c r="P712" s="47"/>
      <c r="Q712" s="47"/>
      <c r="R712" s="47">
        <f t="shared" si="11"/>
        <v>145376.15015667316</v>
      </c>
    </row>
    <row r="713" spans="1:18" x14ac:dyDescent="0.35">
      <c r="A713" s="76">
        <v>709</v>
      </c>
      <c r="B713" s="77" t="s">
        <v>1511</v>
      </c>
      <c r="C713" s="9" t="s">
        <v>1512</v>
      </c>
      <c r="D713" s="76" t="s">
        <v>215</v>
      </c>
      <c r="E713" s="79">
        <v>272848.77033851785</v>
      </c>
      <c r="F713" s="47"/>
      <c r="G713" s="47"/>
      <c r="H713" s="47"/>
      <c r="I713" s="47"/>
      <c r="J713" s="47"/>
      <c r="K713" s="84"/>
      <c r="L713" s="47">
        <v>-184332.29880861481</v>
      </c>
      <c r="M713" s="47"/>
      <c r="N713" s="47"/>
      <c r="O713" s="47"/>
      <c r="P713" s="47"/>
      <c r="Q713" s="47"/>
      <c r="R713" s="47">
        <f t="shared" si="11"/>
        <v>88516.471529903036</v>
      </c>
    </row>
    <row r="714" spans="1:18" x14ac:dyDescent="0.35">
      <c r="A714" s="76">
        <v>710</v>
      </c>
      <c r="B714" s="77" t="s">
        <v>1513</v>
      </c>
      <c r="C714" s="9" t="s">
        <v>1514</v>
      </c>
      <c r="D714" s="76" t="s">
        <v>136</v>
      </c>
      <c r="E714" s="79">
        <v>98408.491515801492</v>
      </c>
      <c r="F714" s="47"/>
      <c r="G714" s="47"/>
      <c r="H714" s="47"/>
      <c r="I714" s="47"/>
      <c r="J714" s="47"/>
      <c r="K714" s="84"/>
      <c r="L714" s="47"/>
      <c r="M714" s="47"/>
      <c r="N714" s="47"/>
      <c r="O714" s="47"/>
      <c r="P714" s="47"/>
      <c r="Q714" s="47"/>
      <c r="R714" s="47">
        <f t="shared" si="11"/>
        <v>98408.491515801492</v>
      </c>
    </row>
    <row r="715" spans="1:18" x14ac:dyDescent="0.35">
      <c r="A715" s="76">
        <v>711</v>
      </c>
      <c r="B715" s="77" t="s">
        <v>1515</v>
      </c>
      <c r="C715" s="9" t="s">
        <v>1516</v>
      </c>
      <c r="D715" s="76" t="s">
        <v>136</v>
      </c>
      <c r="E715" s="79">
        <v>102959.43244771493</v>
      </c>
      <c r="F715" s="47"/>
      <c r="G715" s="47"/>
      <c r="H715" s="47"/>
      <c r="I715" s="47"/>
      <c r="J715" s="47"/>
      <c r="K715" s="84"/>
      <c r="L715" s="47"/>
      <c r="M715" s="47"/>
      <c r="N715" s="47"/>
      <c r="O715" s="47"/>
      <c r="P715" s="47"/>
      <c r="Q715" s="47"/>
      <c r="R715" s="47">
        <f t="shared" si="11"/>
        <v>102959.43244771493</v>
      </c>
    </row>
    <row r="716" spans="1:18" x14ac:dyDescent="0.35">
      <c r="A716" s="76">
        <v>712</v>
      </c>
      <c r="B716" s="77" t="s">
        <v>1517</v>
      </c>
      <c r="C716" s="9" t="s">
        <v>1518</v>
      </c>
      <c r="D716" s="76" t="s">
        <v>136</v>
      </c>
      <c r="E716" s="79">
        <v>111655.0712752906</v>
      </c>
      <c r="F716" s="47"/>
      <c r="G716" s="47"/>
      <c r="H716" s="47"/>
      <c r="I716" s="47"/>
      <c r="J716" s="47"/>
      <c r="K716" s="84"/>
      <c r="L716" s="47"/>
      <c r="M716" s="47"/>
      <c r="N716" s="47"/>
      <c r="O716" s="47"/>
      <c r="P716" s="47"/>
      <c r="Q716" s="47"/>
      <c r="R716" s="47">
        <f t="shared" si="11"/>
        <v>111655.0712752906</v>
      </c>
    </row>
    <row r="717" spans="1:18" x14ac:dyDescent="0.35">
      <c r="A717" s="76">
        <v>713</v>
      </c>
      <c r="B717" s="77" t="s">
        <v>1519</v>
      </c>
      <c r="C717" s="9" t="s">
        <v>1520</v>
      </c>
      <c r="D717" s="76" t="s">
        <v>303</v>
      </c>
      <c r="E717" s="79">
        <v>82815.611220849358</v>
      </c>
      <c r="F717" s="47"/>
      <c r="G717" s="47"/>
      <c r="H717" s="47"/>
      <c r="I717" s="47"/>
      <c r="J717" s="47"/>
      <c r="K717" s="84"/>
      <c r="L717" s="47"/>
      <c r="M717" s="47"/>
      <c r="N717" s="47"/>
      <c r="O717" s="47"/>
      <c r="P717" s="47"/>
      <c r="Q717" s="47"/>
      <c r="R717" s="47">
        <f t="shared" si="11"/>
        <v>82815.611220849358</v>
      </c>
    </row>
    <row r="718" spans="1:18" x14ac:dyDescent="0.35">
      <c r="A718" s="76">
        <v>714</v>
      </c>
      <c r="B718" s="77" t="s">
        <v>1521</v>
      </c>
      <c r="C718" s="9" t="s">
        <v>1522</v>
      </c>
      <c r="D718" s="76" t="s">
        <v>524</v>
      </c>
      <c r="E718" s="79">
        <v>414072.98907407676</v>
      </c>
      <c r="F718" s="47"/>
      <c r="G718" s="47"/>
      <c r="H718" s="47"/>
      <c r="I718" s="47"/>
      <c r="J718" s="47"/>
      <c r="K718" s="84"/>
      <c r="L718" s="47"/>
      <c r="M718" s="47"/>
      <c r="N718" s="47"/>
      <c r="O718" s="47"/>
      <c r="P718" s="47"/>
      <c r="Q718" s="47"/>
      <c r="R718" s="47">
        <f t="shared" si="11"/>
        <v>414072.98907407676</v>
      </c>
    </row>
    <row r="719" spans="1:18" x14ac:dyDescent="0.35">
      <c r="A719" s="76">
        <v>715</v>
      </c>
      <c r="B719" s="77" t="s">
        <v>1523</v>
      </c>
      <c r="C719" s="9" t="s">
        <v>2284</v>
      </c>
      <c r="D719" s="76" t="s">
        <v>215</v>
      </c>
      <c r="E719" s="79">
        <v>0</v>
      </c>
      <c r="F719" s="47"/>
      <c r="G719" s="47"/>
      <c r="H719" s="47"/>
      <c r="I719" s="47"/>
      <c r="J719" s="47"/>
      <c r="K719" s="84"/>
      <c r="L719" s="47"/>
      <c r="M719" s="47"/>
      <c r="N719" s="47"/>
      <c r="O719" s="47"/>
      <c r="P719" s="47"/>
      <c r="Q719" s="47"/>
      <c r="R719" s="47">
        <f t="shared" si="11"/>
        <v>0</v>
      </c>
    </row>
    <row r="720" spans="1:18" x14ac:dyDescent="0.35">
      <c r="A720" s="76">
        <v>716</v>
      </c>
      <c r="B720" s="77" t="s">
        <v>1525</v>
      </c>
      <c r="C720" s="9" t="s">
        <v>1526</v>
      </c>
      <c r="D720" s="76" t="s">
        <v>290</v>
      </c>
      <c r="E720" s="79">
        <v>60997</v>
      </c>
      <c r="F720" s="47"/>
      <c r="G720" s="47"/>
      <c r="H720" s="47"/>
      <c r="I720" s="47"/>
      <c r="J720" s="47"/>
      <c r="K720" s="84"/>
      <c r="L720" s="47"/>
      <c r="M720" s="47"/>
      <c r="N720" s="47"/>
      <c r="O720" s="47"/>
      <c r="P720" s="47"/>
      <c r="Q720" s="47"/>
      <c r="R720" s="47">
        <f t="shared" si="11"/>
        <v>60997</v>
      </c>
    </row>
    <row r="721" spans="1:18" x14ac:dyDescent="0.35">
      <c r="A721" s="76">
        <v>717</v>
      </c>
      <c r="B721" s="77" t="s">
        <v>1527</v>
      </c>
      <c r="C721" s="9" t="s">
        <v>2220</v>
      </c>
      <c r="D721" s="76" t="s">
        <v>128</v>
      </c>
      <c r="E721" s="79">
        <v>58316</v>
      </c>
      <c r="F721" s="47"/>
      <c r="G721" s="47"/>
      <c r="H721" s="47"/>
      <c r="I721" s="47"/>
      <c r="J721" s="47"/>
      <c r="K721" s="84"/>
      <c r="L721" s="47"/>
      <c r="M721" s="47"/>
      <c r="N721" s="47"/>
      <c r="O721" s="47"/>
      <c r="P721" s="47"/>
      <c r="Q721" s="47"/>
      <c r="R721" s="47">
        <f t="shared" si="11"/>
        <v>58316</v>
      </c>
    </row>
    <row r="722" spans="1:18" x14ac:dyDescent="0.35">
      <c r="A722" s="76">
        <v>724</v>
      </c>
      <c r="B722" s="77" t="s">
        <v>1529</v>
      </c>
      <c r="C722" s="9" t="s">
        <v>1915</v>
      </c>
      <c r="D722" s="76" t="s">
        <v>524</v>
      </c>
      <c r="E722" s="79">
        <v>80436.203975726792</v>
      </c>
      <c r="F722" s="47"/>
      <c r="G722" s="47"/>
      <c r="H722" s="47"/>
      <c r="I722" s="47"/>
      <c r="J722" s="47"/>
      <c r="K722" s="84"/>
      <c r="L722" s="47"/>
      <c r="M722" s="47"/>
      <c r="N722" s="47"/>
      <c r="O722" s="47"/>
      <c r="P722" s="47"/>
      <c r="Q722" s="47"/>
      <c r="R722" s="47">
        <f t="shared" si="11"/>
        <v>80436.203975726792</v>
      </c>
    </row>
    <row r="723" spans="1:18" x14ac:dyDescent="0.35">
      <c r="A723" s="76">
        <v>725</v>
      </c>
      <c r="B723" s="77" t="s">
        <v>1531</v>
      </c>
      <c r="C723" s="9" t="s">
        <v>1532</v>
      </c>
      <c r="D723" s="76" t="s">
        <v>524</v>
      </c>
      <c r="E723" s="79">
        <v>80436.203975726792</v>
      </c>
      <c r="F723" s="47"/>
      <c r="G723" s="47"/>
      <c r="H723" s="47"/>
      <c r="I723" s="47"/>
      <c r="J723" s="47"/>
      <c r="K723" s="84"/>
      <c r="L723" s="47"/>
      <c r="M723" s="47"/>
      <c r="N723" s="47"/>
      <c r="O723" s="47"/>
      <c r="P723" s="47"/>
      <c r="Q723" s="47"/>
      <c r="R723" s="47">
        <f t="shared" si="11"/>
        <v>80436.203975726792</v>
      </c>
    </row>
    <row r="724" spans="1:18" x14ac:dyDescent="0.35">
      <c r="A724" s="76">
        <v>726</v>
      </c>
      <c r="B724" s="77" t="s">
        <v>1533</v>
      </c>
      <c r="C724" s="9" t="s">
        <v>1534</v>
      </c>
      <c r="D724" s="76" t="s">
        <v>751</v>
      </c>
      <c r="E724" s="79">
        <v>-0.36260445008701936</v>
      </c>
      <c r="F724" s="47"/>
      <c r="G724" s="47"/>
      <c r="H724" s="47"/>
      <c r="I724" s="47"/>
      <c r="J724" s="47"/>
      <c r="K724" s="84"/>
      <c r="L724" s="47"/>
      <c r="M724" s="47"/>
      <c r="N724" s="47"/>
      <c r="O724" s="47"/>
      <c r="P724" s="47"/>
      <c r="Q724" s="47"/>
      <c r="R724" s="47">
        <f t="shared" si="11"/>
        <v>-0.36260445008701936</v>
      </c>
    </row>
    <row r="725" spans="1:18" x14ac:dyDescent="0.35">
      <c r="A725" s="76">
        <v>718</v>
      </c>
      <c r="B725" s="77" t="s">
        <v>1535</v>
      </c>
      <c r="C725" s="9" t="s">
        <v>1536</v>
      </c>
      <c r="D725" s="76" t="s">
        <v>324</v>
      </c>
      <c r="E725" s="79">
        <v>0.14589453852750012</v>
      </c>
      <c r="F725" s="47"/>
      <c r="G725" s="47"/>
      <c r="H725" s="47"/>
      <c r="I725" s="47"/>
      <c r="J725" s="47"/>
      <c r="K725" s="84"/>
      <c r="L725" s="47"/>
      <c r="M725" s="47"/>
      <c r="N725" s="47"/>
      <c r="O725" s="47"/>
      <c r="P725" s="47"/>
      <c r="Q725" s="47"/>
      <c r="R725" s="47">
        <f t="shared" si="11"/>
        <v>0.14589453852750012</v>
      </c>
    </row>
    <row r="726" spans="1:18" x14ac:dyDescent="0.35">
      <c r="A726" s="76">
        <v>719</v>
      </c>
      <c r="B726" s="77" t="s">
        <v>1537</v>
      </c>
      <c r="C726" s="9" t="s">
        <v>1538</v>
      </c>
      <c r="D726" s="76" t="s">
        <v>377</v>
      </c>
      <c r="E726" s="79">
        <v>0</v>
      </c>
      <c r="F726" s="47"/>
      <c r="G726" s="47"/>
      <c r="H726" s="47"/>
      <c r="I726" s="47"/>
      <c r="J726" s="47"/>
      <c r="K726" s="84"/>
      <c r="L726" s="47"/>
      <c r="M726" s="47"/>
      <c r="N726" s="47"/>
      <c r="O726" s="47"/>
      <c r="P726" s="47"/>
      <c r="Q726" s="47"/>
      <c r="R726" s="47">
        <f t="shared" si="11"/>
        <v>0</v>
      </c>
    </row>
    <row r="727" spans="1:18" x14ac:dyDescent="0.35">
      <c r="A727" s="76">
        <v>720</v>
      </c>
      <c r="B727" s="77" t="s">
        <v>1539</v>
      </c>
      <c r="C727" s="9" t="s">
        <v>1540</v>
      </c>
      <c r="D727" s="76" t="s">
        <v>260</v>
      </c>
      <c r="E727" s="79">
        <v>28152.67139150438</v>
      </c>
      <c r="F727" s="47"/>
      <c r="G727" s="47"/>
      <c r="H727" s="47"/>
      <c r="I727" s="47"/>
      <c r="J727" s="47"/>
      <c r="K727" s="84"/>
      <c r="L727" s="47"/>
      <c r="M727" s="47"/>
      <c r="N727" s="47"/>
      <c r="O727" s="47"/>
      <c r="P727" s="47"/>
      <c r="Q727" s="47"/>
      <c r="R727" s="47">
        <f t="shared" si="11"/>
        <v>28152.67139150438</v>
      </c>
    </row>
    <row r="728" spans="1:18" x14ac:dyDescent="0.35">
      <c r="A728" s="76">
        <v>721</v>
      </c>
      <c r="B728" s="77" t="s">
        <v>1541</v>
      </c>
      <c r="C728" s="9" t="s">
        <v>1542</v>
      </c>
      <c r="D728" s="76" t="s">
        <v>95</v>
      </c>
      <c r="E728" s="79">
        <v>30833.878190695272</v>
      </c>
      <c r="F728" s="47"/>
      <c r="G728" s="47"/>
      <c r="H728" s="47"/>
      <c r="I728" s="47"/>
      <c r="J728" s="47"/>
      <c r="K728" s="84"/>
      <c r="L728" s="47">
        <v>-101167.23619586356</v>
      </c>
      <c r="M728" s="47"/>
      <c r="N728" s="47"/>
      <c r="O728" s="47"/>
      <c r="P728" s="47"/>
      <c r="Q728" s="47"/>
      <c r="R728" s="47">
        <f t="shared" si="11"/>
        <v>-70333.358005168295</v>
      </c>
    </row>
    <row r="729" spans="1:18" x14ac:dyDescent="0.35">
      <c r="A729" s="76">
        <v>723</v>
      </c>
      <c r="B729" s="77" t="s">
        <v>1543</v>
      </c>
      <c r="C729" s="9" t="s">
        <v>1903</v>
      </c>
      <c r="D729" s="76" t="s">
        <v>98</v>
      </c>
      <c r="E729" s="79">
        <v>10054.525496965849</v>
      </c>
      <c r="F729" s="47"/>
      <c r="G729" s="47"/>
      <c r="H729" s="47"/>
      <c r="I729" s="47"/>
      <c r="J729" s="47"/>
      <c r="K729" s="84"/>
      <c r="L729" s="47">
        <v>-38766.663799367161</v>
      </c>
      <c r="M729" s="47"/>
      <c r="N729" s="47"/>
      <c r="O729" s="47"/>
      <c r="P729" s="47"/>
      <c r="Q729" s="47"/>
      <c r="R729" s="47">
        <f t="shared" si="11"/>
        <v>-28712.138302401312</v>
      </c>
    </row>
    <row r="730" spans="1:18" x14ac:dyDescent="0.35">
      <c r="A730" s="76">
        <v>724</v>
      </c>
      <c r="B730" s="77" t="s">
        <v>1545</v>
      </c>
      <c r="C730" s="9" t="s">
        <v>1546</v>
      </c>
      <c r="D730" s="76" t="s">
        <v>238</v>
      </c>
      <c r="E730" s="79">
        <v>20109.050993931698</v>
      </c>
      <c r="F730" s="47"/>
      <c r="G730" s="47"/>
      <c r="H730" s="47"/>
      <c r="I730" s="47"/>
      <c r="J730" s="47"/>
      <c r="K730" s="84"/>
      <c r="L730" s="47"/>
      <c r="M730" s="47"/>
      <c r="N730" s="47"/>
      <c r="O730" s="47"/>
      <c r="P730" s="47"/>
      <c r="Q730" s="47"/>
      <c r="R730" s="47">
        <f t="shared" si="11"/>
        <v>20109.050993931698</v>
      </c>
    </row>
    <row r="731" spans="1:18" x14ac:dyDescent="0.35">
      <c r="A731" s="76">
        <v>725</v>
      </c>
      <c r="B731" s="77" t="s">
        <v>1547</v>
      </c>
      <c r="C731" s="9" t="s">
        <v>1548</v>
      </c>
      <c r="D731" s="76" t="s">
        <v>98</v>
      </c>
      <c r="E731" s="79">
        <v>5362.413598381786</v>
      </c>
      <c r="F731" s="47"/>
      <c r="G731" s="47"/>
      <c r="H731" s="47"/>
      <c r="I731" s="47"/>
      <c r="J731" s="47"/>
      <c r="K731" s="84"/>
      <c r="L731" s="47"/>
      <c r="M731" s="47"/>
      <c r="N731" s="47"/>
      <c r="O731" s="47"/>
      <c r="P731" s="47"/>
      <c r="Q731" s="47"/>
      <c r="R731" s="47">
        <f t="shared" si="11"/>
        <v>5362.413598381786</v>
      </c>
    </row>
    <row r="732" spans="1:18" x14ac:dyDescent="0.35">
      <c r="A732" s="76">
        <v>726</v>
      </c>
      <c r="B732" s="77" t="s">
        <v>1549</v>
      </c>
      <c r="C732" s="9" t="s">
        <v>1550</v>
      </c>
      <c r="D732" s="76" t="s">
        <v>25</v>
      </c>
      <c r="E732" s="79">
        <v>8043.6203975726794</v>
      </c>
      <c r="F732" s="47"/>
      <c r="G732" s="47"/>
      <c r="H732" s="47"/>
      <c r="I732" s="47"/>
      <c r="J732" s="47"/>
      <c r="K732" s="84"/>
      <c r="L732" s="47"/>
      <c r="M732" s="47"/>
      <c r="N732" s="47"/>
      <c r="O732" s="47"/>
      <c r="P732" s="47"/>
      <c r="Q732" s="47"/>
      <c r="R732" s="47">
        <f t="shared" si="11"/>
        <v>8043.6203975726794</v>
      </c>
    </row>
    <row r="733" spans="1:18" x14ac:dyDescent="0.35">
      <c r="A733" s="76">
        <v>727</v>
      </c>
      <c r="B733" s="77" t="s">
        <v>1551</v>
      </c>
      <c r="C733" s="9" t="s">
        <v>1552</v>
      </c>
      <c r="D733" s="76" t="s">
        <v>159</v>
      </c>
      <c r="E733" s="79">
        <v>4021.8101987863397</v>
      </c>
      <c r="F733" s="47"/>
      <c r="G733" s="47"/>
      <c r="H733" s="47"/>
      <c r="I733" s="47"/>
      <c r="J733" s="47"/>
      <c r="K733" s="84"/>
      <c r="L733" s="47"/>
      <c r="M733" s="47"/>
      <c r="N733" s="47"/>
      <c r="O733" s="47"/>
      <c r="P733" s="47"/>
      <c r="Q733" s="47"/>
      <c r="R733" s="47">
        <f t="shared" si="11"/>
        <v>4021.8101987863397</v>
      </c>
    </row>
    <row r="734" spans="1:18" x14ac:dyDescent="0.35">
      <c r="A734" s="76">
        <v>728</v>
      </c>
      <c r="B734" s="77"/>
      <c r="C734" s="9" t="s">
        <v>2164</v>
      </c>
      <c r="D734" s="76" t="s">
        <v>136</v>
      </c>
      <c r="E734" s="79">
        <v>0</v>
      </c>
      <c r="F734" s="47"/>
      <c r="G734" s="47"/>
      <c r="H734" s="47"/>
      <c r="I734" s="47"/>
      <c r="J734" s="47"/>
      <c r="K734" s="84"/>
      <c r="L734" s="47">
        <v>-30285.811035092433</v>
      </c>
      <c r="M734" s="47"/>
      <c r="N734" s="47"/>
      <c r="O734" s="47"/>
      <c r="P734" s="47"/>
      <c r="Q734" s="47"/>
      <c r="R734" s="47">
        <f t="shared" ref="R734:R750" si="12">E734+F734+G734+H734+I734+J734+K734+L734+M734+N734+O734+P734+Q734</f>
        <v>-30285.811035092433</v>
      </c>
    </row>
    <row r="735" spans="1:18" x14ac:dyDescent="0.35">
      <c r="A735" s="76">
        <v>729</v>
      </c>
      <c r="B735" s="77"/>
      <c r="C735" s="9" t="s">
        <v>1554</v>
      </c>
      <c r="D735" s="76" t="s">
        <v>136</v>
      </c>
      <c r="E735" s="79">
        <v>0</v>
      </c>
      <c r="F735" s="47"/>
      <c r="G735" s="47"/>
      <c r="H735" s="47"/>
      <c r="I735" s="47"/>
      <c r="J735" s="47"/>
      <c r="K735" s="84"/>
      <c r="L735" s="47"/>
      <c r="M735" s="47"/>
      <c r="N735" s="47"/>
      <c r="O735" s="47"/>
      <c r="P735" s="47"/>
      <c r="Q735" s="47"/>
      <c r="R735" s="47">
        <f t="shared" si="12"/>
        <v>0</v>
      </c>
    </row>
    <row r="736" spans="1:18" x14ac:dyDescent="0.35">
      <c r="A736" s="76">
        <v>730</v>
      </c>
      <c r="B736" s="77"/>
      <c r="C736" s="9" t="s">
        <v>1555</v>
      </c>
      <c r="D736" s="76" t="s">
        <v>108</v>
      </c>
      <c r="E736" s="79">
        <v>0</v>
      </c>
      <c r="F736" s="47"/>
      <c r="G736" s="47"/>
      <c r="H736" s="47"/>
      <c r="I736" s="47"/>
      <c r="J736" s="47"/>
      <c r="K736" s="84"/>
      <c r="L736" s="47"/>
      <c r="M736" s="47"/>
      <c r="N736" s="47"/>
      <c r="O736" s="47"/>
      <c r="P736" s="47"/>
      <c r="Q736" s="47"/>
      <c r="R736" s="47">
        <f t="shared" si="12"/>
        <v>0</v>
      </c>
    </row>
    <row r="737" spans="1:18" x14ac:dyDescent="0.35">
      <c r="A737" s="76">
        <v>731</v>
      </c>
      <c r="B737" s="77"/>
      <c r="C737" s="9" t="s">
        <v>1556</v>
      </c>
      <c r="D737" s="76" t="s">
        <v>1444</v>
      </c>
      <c r="E737" s="79">
        <v>0</v>
      </c>
      <c r="F737" s="47"/>
      <c r="G737" s="47"/>
      <c r="H737" s="47"/>
      <c r="I737" s="47"/>
      <c r="J737" s="47"/>
      <c r="K737" s="84"/>
      <c r="L737" s="47">
        <v>-26500.084655705879</v>
      </c>
      <c r="M737" s="47"/>
      <c r="N737" s="47"/>
      <c r="O737" s="47"/>
      <c r="P737" s="47"/>
      <c r="Q737" s="47"/>
      <c r="R737" s="47">
        <f t="shared" si="12"/>
        <v>-26500.084655705879</v>
      </c>
    </row>
    <row r="738" spans="1:18" x14ac:dyDescent="0.35">
      <c r="A738" s="76">
        <v>732</v>
      </c>
      <c r="B738" s="77"/>
      <c r="C738" s="9" t="s">
        <v>1557</v>
      </c>
      <c r="D738" s="76" t="s">
        <v>136</v>
      </c>
      <c r="E738" s="79">
        <v>0</v>
      </c>
      <c r="F738" s="47"/>
      <c r="G738" s="47"/>
      <c r="H738" s="47"/>
      <c r="I738" s="47"/>
      <c r="J738" s="47"/>
      <c r="K738" s="84"/>
      <c r="L738" s="47">
        <v>-6814.307482895797</v>
      </c>
      <c r="M738" s="47"/>
      <c r="N738" s="47"/>
      <c r="O738" s="47"/>
      <c r="P738" s="47"/>
      <c r="Q738" s="47"/>
      <c r="R738" s="47">
        <f t="shared" si="12"/>
        <v>-6814.307482895797</v>
      </c>
    </row>
    <row r="739" spans="1:18" x14ac:dyDescent="0.35">
      <c r="A739" s="76">
        <v>733</v>
      </c>
      <c r="B739" s="77"/>
      <c r="C739" s="9" t="s">
        <v>1558</v>
      </c>
      <c r="D739" s="76" t="s">
        <v>25</v>
      </c>
      <c r="E739" s="79">
        <v>0</v>
      </c>
      <c r="F739" s="47"/>
      <c r="G739" s="47"/>
      <c r="H739" s="47"/>
      <c r="I739" s="47"/>
      <c r="J739" s="47"/>
      <c r="K739" s="84"/>
      <c r="L739" s="47">
        <v>-4542.8716552638643</v>
      </c>
      <c r="M739" s="47"/>
      <c r="N739" s="47"/>
      <c r="O739" s="47"/>
      <c r="P739" s="47"/>
      <c r="Q739" s="47"/>
      <c r="R739" s="47">
        <f t="shared" si="12"/>
        <v>-4542.8716552638643</v>
      </c>
    </row>
    <row r="740" spans="1:18" x14ac:dyDescent="0.35">
      <c r="A740" s="76">
        <v>734</v>
      </c>
      <c r="B740" s="77"/>
      <c r="C740" s="9" t="s">
        <v>1559</v>
      </c>
      <c r="D740" s="76" t="s">
        <v>25</v>
      </c>
      <c r="E740" s="79">
        <v>0</v>
      </c>
      <c r="F740" s="47"/>
      <c r="G740" s="47"/>
      <c r="H740" s="47"/>
      <c r="I740" s="47"/>
      <c r="J740" s="47"/>
      <c r="K740" s="84"/>
      <c r="L740" s="47"/>
      <c r="M740" s="47"/>
      <c r="N740" s="47"/>
      <c r="O740" s="47"/>
      <c r="P740" s="47"/>
      <c r="Q740" s="47"/>
      <c r="R740" s="47">
        <f t="shared" si="12"/>
        <v>0</v>
      </c>
    </row>
    <row r="741" spans="1:18" x14ac:dyDescent="0.35">
      <c r="A741" s="76">
        <v>735</v>
      </c>
      <c r="B741" s="77"/>
      <c r="C741" s="9" t="s">
        <v>1560</v>
      </c>
      <c r="D741" s="76" t="s">
        <v>25</v>
      </c>
      <c r="E741" s="79">
        <v>0</v>
      </c>
      <c r="F741" s="47"/>
      <c r="G741" s="47"/>
      <c r="H741" s="47"/>
      <c r="I741" s="47"/>
      <c r="J741" s="47"/>
      <c r="K741" s="84"/>
      <c r="L741" s="47">
        <v>-4542.8716552638643</v>
      </c>
      <c r="M741" s="47"/>
      <c r="N741" s="47"/>
      <c r="O741" s="47"/>
      <c r="P741" s="47"/>
      <c r="Q741" s="47"/>
      <c r="R741" s="47">
        <f t="shared" si="12"/>
        <v>-4542.8716552638643</v>
      </c>
    </row>
    <row r="742" spans="1:18" x14ac:dyDescent="0.35">
      <c r="A742" s="76">
        <v>736</v>
      </c>
      <c r="B742" s="77"/>
      <c r="C742" s="9" t="s">
        <v>1791</v>
      </c>
      <c r="D742" s="76" t="s">
        <v>25</v>
      </c>
      <c r="E742" s="79">
        <v>0</v>
      </c>
      <c r="F742" s="47"/>
      <c r="G742" s="47"/>
      <c r="H742" s="47"/>
      <c r="I742" s="47"/>
      <c r="J742" s="47"/>
      <c r="K742" s="84"/>
      <c r="L742" s="47"/>
      <c r="M742" s="47"/>
      <c r="N742" s="47"/>
      <c r="O742" s="47"/>
      <c r="P742" s="47"/>
      <c r="Q742" s="47"/>
      <c r="R742" s="47">
        <f t="shared" si="12"/>
        <v>0</v>
      </c>
    </row>
    <row r="743" spans="1:18" x14ac:dyDescent="0.35">
      <c r="A743" s="76">
        <v>737</v>
      </c>
      <c r="B743" s="77"/>
      <c r="C743" s="9" t="s">
        <v>1562</v>
      </c>
      <c r="D743" s="76" t="s">
        <v>25</v>
      </c>
      <c r="E743" s="79">
        <v>0</v>
      </c>
      <c r="F743" s="47"/>
      <c r="G743" s="47"/>
      <c r="H743" s="47"/>
      <c r="I743" s="47"/>
      <c r="J743" s="47"/>
      <c r="K743" s="84"/>
      <c r="L743" s="47">
        <v>-4542.8716552638643</v>
      </c>
      <c r="M743" s="47"/>
      <c r="N743" s="47"/>
      <c r="O743" s="47"/>
      <c r="P743" s="47"/>
      <c r="Q743" s="47"/>
      <c r="R743" s="47">
        <f t="shared" si="12"/>
        <v>-4542.8716552638643</v>
      </c>
    </row>
    <row r="744" spans="1:18" x14ac:dyDescent="0.35">
      <c r="A744" s="76">
        <v>738</v>
      </c>
      <c r="B744" s="77"/>
      <c r="C744" s="9" t="s">
        <v>1563</v>
      </c>
      <c r="D744" s="76" t="s">
        <v>25</v>
      </c>
      <c r="E744" s="79">
        <v>0</v>
      </c>
      <c r="F744" s="47"/>
      <c r="G744" s="47"/>
      <c r="H744" s="47"/>
      <c r="I744" s="47"/>
      <c r="J744" s="47"/>
      <c r="K744" s="84"/>
      <c r="L744" s="47">
        <v>-4542.8716552638643</v>
      </c>
      <c r="M744" s="47"/>
      <c r="N744" s="47"/>
      <c r="O744" s="47"/>
      <c r="P744" s="47"/>
      <c r="Q744" s="47"/>
      <c r="R744" s="47">
        <f t="shared" si="12"/>
        <v>-4542.8716552638643</v>
      </c>
    </row>
    <row r="745" spans="1:18" x14ac:dyDescent="0.35">
      <c r="A745" s="76">
        <v>739</v>
      </c>
      <c r="B745" s="77"/>
      <c r="C745" s="9" t="s">
        <v>1564</v>
      </c>
      <c r="D745" s="76" t="s">
        <v>318</v>
      </c>
      <c r="E745" s="79">
        <v>0</v>
      </c>
      <c r="F745" s="47"/>
      <c r="G745" s="47"/>
      <c r="H745" s="47"/>
      <c r="I745" s="47"/>
      <c r="J745" s="47"/>
      <c r="K745" s="84"/>
      <c r="L745" s="47"/>
      <c r="M745" s="47"/>
      <c r="N745" s="47"/>
      <c r="O745" s="47"/>
      <c r="P745" s="47"/>
      <c r="Q745" s="47"/>
      <c r="R745" s="47">
        <f t="shared" si="12"/>
        <v>0</v>
      </c>
    </row>
    <row r="746" spans="1:18" x14ac:dyDescent="0.35">
      <c r="A746" s="76">
        <v>740</v>
      </c>
      <c r="B746" s="77"/>
      <c r="C746" s="9" t="s">
        <v>1565</v>
      </c>
      <c r="D746" s="76" t="s">
        <v>318</v>
      </c>
      <c r="E746" s="79">
        <v>0</v>
      </c>
      <c r="F746" s="47"/>
      <c r="G746" s="47"/>
      <c r="H746" s="47"/>
      <c r="I746" s="47"/>
      <c r="J746" s="47"/>
      <c r="K746" s="84"/>
      <c r="L746" s="47"/>
      <c r="M746" s="47"/>
      <c r="N746" s="47"/>
      <c r="O746" s="47"/>
      <c r="P746" s="47"/>
      <c r="Q746" s="47"/>
      <c r="R746" s="47">
        <f t="shared" si="12"/>
        <v>0</v>
      </c>
    </row>
    <row r="747" spans="1:18" x14ac:dyDescent="0.35">
      <c r="A747" s="76">
        <v>741</v>
      </c>
      <c r="B747" s="77"/>
      <c r="C747" s="9" t="s">
        <v>1566</v>
      </c>
      <c r="D747" s="76" t="s">
        <v>318</v>
      </c>
      <c r="E747" s="79">
        <v>0</v>
      </c>
      <c r="F747" s="47"/>
      <c r="G747" s="47"/>
      <c r="H747" s="47"/>
      <c r="I747" s="47"/>
      <c r="J747" s="47"/>
      <c r="K747" s="84"/>
      <c r="L747" s="47"/>
      <c r="M747" s="47"/>
      <c r="N747" s="47"/>
      <c r="O747" s="47"/>
      <c r="P747" s="47"/>
      <c r="Q747" s="47"/>
      <c r="R747" s="47">
        <f t="shared" si="12"/>
        <v>0</v>
      </c>
    </row>
    <row r="748" spans="1:18" x14ac:dyDescent="0.35">
      <c r="A748" s="76">
        <v>742</v>
      </c>
      <c r="B748" s="77"/>
      <c r="C748" s="9" t="s">
        <v>1567</v>
      </c>
      <c r="D748" s="76" t="s">
        <v>318</v>
      </c>
      <c r="E748" s="79">
        <v>0</v>
      </c>
      <c r="F748" s="47"/>
      <c r="G748" s="47"/>
      <c r="H748" s="47"/>
      <c r="I748" s="47"/>
      <c r="J748" s="47"/>
      <c r="K748" s="84"/>
      <c r="L748" s="47"/>
      <c r="M748" s="47"/>
      <c r="N748" s="47"/>
      <c r="O748" s="47"/>
      <c r="P748" s="47"/>
      <c r="Q748" s="47">
        <v>-4543</v>
      </c>
      <c r="R748" s="47">
        <f t="shared" si="12"/>
        <v>-4543</v>
      </c>
    </row>
    <row r="749" spans="1:18" x14ac:dyDescent="0.35">
      <c r="A749" s="76">
        <v>743</v>
      </c>
      <c r="B749" s="77"/>
      <c r="C749" s="9" t="s">
        <v>1568</v>
      </c>
      <c r="D749" s="76" t="s">
        <v>128</v>
      </c>
      <c r="E749" s="79">
        <v>0</v>
      </c>
      <c r="F749" s="47"/>
      <c r="G749" s="47"/>
      <c r="H749" s="47"/>
      <c r="I749" s="47"/>
      <c r="J749" s="47"/>
      <c r="K749" s="84"/>
      <c r="L749" s="47"/>
      <c r="M749" s="47"/>
      <c r="N749" s="47"/>
      <c r="O749" s="47"/>
      <c r="P749" s="47"/>
      <c r="Q749" s="47"/>
      <c r="R749" s="47">
        <f t="shared" si="12"/>
        <v>0</v>
      </c>
    </row>
    <row r="750" spans="1:18" x14ac:dyDescent="0.35">
      <c r="A750" s="76">
        <v>744</v>
      </c>
      <c r="B750" s="77"/>
      <c r="C750" s="9" t="s">
        <v>2176</v>
      </c>
      <c r="D750" s="76" t="s">
        <v>751</v>
      </c>
      <c r="E750" s="79">
        <v>0</v>
      </c>
      <c r="F750" s="47"/>
      <c r="G750" s="47"/>
      <c r="H750" s="47"/>
      <c r="I750" s="47"/>
      <c r="J750" s="47"/>
      <c r="K750" s="84"/>
      <c r="L750" s="47"/>
      <c r="M750" s="47"/>
      <c r="N750" s="47"/>
      <c r="O750" s="47"/>
      <c r="P750" s="47"/>
      <c r="Q750" s="47"/>
      <c r="R750" s="47">
        <f t="shared" si="12"/>
        <v>0</v>
      </c>
    </row>
    <row r="751" spans="1:18" x14ac:dyDescent="0.35">
      <c r="A751" s="46"/>
      <c r="B751" s="46"/>
      <c r="C751" s="46"/>
      <c r="D751" s="46"/>
      <c r="E751" s="80">
        <f>SUM(E5:E750)</f>
        <v>1358267180.2041409</v>
      </c>
      <c r="F751" s="80">
        <f t="shared" ref="F751:L751" si="13">SUM(F5:F750)</f>
        <v>-16702535</v>
      </c>
      <c r="G751" s="80">
        <f t="shared" si="13"/>
        <v>-36107449</v>
      </c>
      <c r="H751" s="80">
        <f t="shared" si="13"/>
        <v>-11740874</v>
      </c>
      <c r="I751" s="80">
        <f t="shared" si="13"/>
        <v>0</v>
      </c>
      <c r="J751" s="80">
        <f t="shared" si="13"/>
        <v>-15003045</v>
      </c>
      <c r="K751" s="80">
        <f t="shared" si="13"/>
        <v>-686123</v>
      </c>
      <c r="L751" s="80">
        <f t="shared" si="13"/>
        <v>-52757212.51618357</v>
      </c>
      <c r="M751" s="80">
        <f>SUM(M5:M750)</f>
        <v>-18656485</v>
      </c>
      <c r="N751" s="80">
        <f t="shared" ref="N751:R751" si="14">SUM(N5:N750)</f>
        <v>-1255578</v>
      </c>
      <c r="O751" s="80">
        <f t="shared" si="14"/>
        <v>-29192474</v>
      </c>
      <c r="P751" s="80">
        <f t="shared" si="14"/>
        <v>-3831304</v>
      </c>
      <c r="Q751" s="80">
        <f>SUM(Q5:Q750)</f>
        <v>-9837950</v>
      </c>
      <c r="R751" s="80">
        <f t="shared" si="14"/>
        <v>1162496150.6879578</v>
      </c>
    </row>
    <row r="752" spans="1:18" x14ac:dyDescent="0.35">
      <c r="E752" s="81">
        <v>1358267181</v>
      </c>
      <c r="F752" s="29">
        <v>-16702533</v>
      </c>
      <c r="G752" s="29">
        <v>-36107449</v>
      </c>
      <c r="H752" s="29">
        <v>-11740874</v>
      </c>
      <c r="J752" s="29">
        <v>-15003045</v>
      </c>
      <c r="K752" s="83">
        <v>-686123</v>
      </c>
      <c r="L752" s="29">
        <f>566051-53323262</f>
        <v>-52757211</v>
      </c>
      <c r="M752" s="29">
        <v>-18656485</v>
      </c>
      <c r="N752" s="29">
        <v>-1255578</v>
      </c>
      <c r="O752" s="29">
        <v>-29192474</v>
      </c>
      <c r="P752" s="29">
        <v>-3831304</v>
      </c>
      <c r="Q752" s="29">
        <v>-9837950</v>
      </c>
      <c r="R752" s="29">
        <v>1162496155</v>
      </c>
    </row>
    <row r="753" spans="3:18" x14ac:dyDescent="0.35">
      <c r="E753" s="82">
        <f>E751-E752</f>
        <v>-0.79585909843444824</v>
      </c>
      <c r="F753" s="82">
        <f t="shared" ref="F753:M753" si="15">F751-F752</f>
        <v>-2</v>
      </c>
      <c r="G753" s="82">
        <f t="shared" si="15"/>
        <v>0</v>
      </c>
      <c r="H753" s="82">
        <f t="shared" si="15"/>
        <v>0</v>
      </c>
      <c r="I753" s="82">
        <f t="shared" si="15"/>
        <v>0</v>
      </c>
      <c r="J753" s="82">
        <f t="shared" si="15"/>
        <v>0</v>
      </c>
      <c r="K753" s="82">
        <f t="shared" si="15"/>
        <v>0</v>
      </c>
      <c r="L753" s="82">
        <f t="shared" si="15"/>
        <v>-1.5161835700273514</v>
      </c>
      <c r="M753" s="82">
        <f t="shared" si="15"/>
        <v>0</v>
      </c>
      <c r="N753" s="82">
        <f>N751-N752</f>
        <v>0</v>
      </c>
      <c r="O753" s="29">
        <f>O751-O752</f>
        <v>0</v>
      </c>
      <c r="R753" s="29">
        <f>R751-R752</f>
        <v>-4.312042236328125</v>
      </c>
    </row>
    <row r="756" spans="3:18" x14ac:dyDescent="0.35">
      <c r="C756" t="s">
        <v>1836</v>
      </c>
    </row>
  </sheetData>
  <autoFilter ref="A3:E4" xr:uid="{17E1E35F-A606-44E6-8203-C39CC8B0914D}"/>
  <mergeCells count="7">
    <mergeCell ref="F3:P3"/>
    <mergeCell ref="R3:R4"/>
    <mergeCell ref="A3:A4"/>
    <mergeCell ref="B3:B4"/>
    <mergeCell ref="C3:C4"/>
    <mergeCell ref="D3:D4"/>
    <mergeCell ref="E3:E4"/>
  </mergeCells>
  <conditionalFormatting sqref="C1:C212 C217:C225 C229:C230 C233:C243 C249:C264 C269:C274 C277:C1048576">
    <cfRule type="duplicateValues" dxfId="12" priority="70"/>
  </conditionalFormatting>
  <conditionalFormatting sqref="C213:C216">
    <cfRule type="duplicateValues" dxfId="11" priority="11"/>
    <cfRule type="duplicateValues" dxfId="10" priority="12"/>
  </conditionalFormatting>
  <conditionalFormatting sqref="C226:C228">
    <cfRule type="duplicateValues" dxfId="9" priority="9"/>
    <cfRule type="duplicateValues" dxfId="8" priority="10"/>
  </conditionalFormatting>
  <conditionalFormatting sqref="C231:C232">
    <cfRule type="duplicateValues" dxfId="7" priority="7"/>
    <cfRule type="duplicateValues" dxfId="6" priority="8"/>
  </conditionalFormatting>
  <conditionalFormatting sqref="C244:C248">
    <cfRule type="duplicateValues" dxfId="5" priority="5"/>
    <cfRule type="duplicateValues" dxfId="4" priority="6"/>
  </conditionalFormatting>
  <conditionalFormatting sqref="C265:C268">
    <cfRule type="duplicateValues" dxfId="3" priority="3"/>
    <cfRule type="duplicateValues" dxfId="2" priority="4"/>
  </conditionalFormatting>
  <conditionalFormatting sqref="C275:C276">
    <cfRule type="duplicateValues" dxfId="1" priority="1"/>
    <cfRule type="duplicateValues" dxfId="0" priority="2"/>
  </conditionalFormatting>
  <pageMargins left="0.7" right="0.7" top="0.75" bottom="0.75" header="0.3" footer="0.3"/>
  <pageSetup paperSize="9"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726A-006E-4430-9E07-26BDCB74645F}">
  <dimension ref="A1:L15"/>
  <sheetViews>
    <sheetView showGridLines="0" workbookViewId="0">
      <selection activeCell="D10" sqref="D10"/>
    </sheetView>
  </sheetViews>
  <sheetFormatPr defaultRowHeight="14.5" x14ac:dyDescent="0.35"/>
  <cols>
    <col min="1" max="1" width="6.90625" customWidth="1"/>
    <col min="2" max="2" width="25.453125" bestFit="1" customWidth="1"/>
    <col min="3" max="5" width="16.36328125" bestFit="1" customWidth="1"/>
    <col min="6" max="6" width="10" bestFit="1" customWidth="1"/>
    <col min="7" max="7" width="5.7265625" bestFit="1" customWidth="1"/>
    <col min="8" max="8" width="15.26953125" bestFit="1" customWidth="1"/>
    <col min="9" max="9" width="11.7265625" bestFit="1" customWidth="1"/>
    <col min="10" max="10" width="15.7265625" bestFit="1" customWidth="1"/>
    <col min="11" max="11" width="13.81640625" customWidth="1"/>
    <col min="12" max="12" width="11.54296875" customWidth="1"/>
  </cols>
  <sheetData>
    <row r="1" spans="1:12" ht="56" x14ac:dyDescent="0.35">
      <c r="A1" s="25" t="s">
        <v>1957</v>
      </c>
      <c r="B1" s="25" t="s">
        <v>26</v>
      </c>
      <c r="C1" s="26" t="s">
        <v>37</v>
      </c>
      <c r="D1" s="26" t="s">
        <v>38</v>
      </c>
      <c r="E1" s="26" t="s">
        <v>27</v>
      </c>
      <c r="F1" s="25" t="s">
        <v>28</v>
      </c>
      <c r="G1" s="27" t="s">
        <v>29</v>
      </c>
      <c r="H1" s="28" t="s">
        <v>30</v>
      </c>
      <c r="I1" s="25" t="s">
        <v>31</v>
      </c>
      <c r="J1" s="26" t="s">
        <v>32</v>
      </c>
      <c r="K1" s="26" t="s">
        <v>1575</v>
      </c>
      <c r="L1" s="26" t="s">
        <v>1958</v>
      </c>
    </row>
    <row r="2" spans="1:12" x14ac:dyDescent="0.35">
      <c r="A2" s="114">
        <v>1</v>
      </c>
      <c r="B2" s="10" t="s">
        <v>2221</v>
      </c>
      <c r="C2" s="16">
        <v>45840</v>
      </c>
      <c r="D2" s="17">
        <v>46024</v>
      </c>
      <c r="E2" s="11">
        <v>75000000</v>
      </c>
      <c r="F2" s="12">
        <v>7.4999999999999997E-2</v>
      </c>
      <c r="G2" s="13">
        <v>6</v>
      </c>
      <c r="H2" s="14">
        <f>E2*F2</f>
        <v>5625000</v>
      </c>
      <c r="I2" s="14">
        <f>H2*10%</f>
        <v>562500</v>
      </c>
      <c r="J2" s="14">
        <f>H2-I2</f>
        <v>5062500</v>
      </c>
      <c r="K2" s="14">
        <f>E2+J2</f>
        <v>80062500</v>
      </c>
      <c r="L2" s="46"/>
    </row>
    <row r="3" spans="1:12" x14ac:dyDescent="0.35">
      <c r="A3" s="114">
        <v>2</v>
      </c>
      <c r="B3" s="10" t="s">
        <v>2035</v>
      </c>
      <c r="C3" s="16">
        <v>45840</v>
      </c>
      <c r="D3" s="17">
        <v>46024</v>
      </c>
      <c r="E3" s="15">
        <v>74000000</v>
      </c>
      <c r="F3" s="12">
        <v>7.0000000000000007E-2</v>
      </c>
      <c r="G3" s="13">
        <v>6</v>
      </c>
      <c r="H3" s="14">
        <f t="shared" ref="H3:H6" si="0">E3*F3</f>
        <v>5180000.0000000009</v>
      </c>
      <c r="I3" s="14">
        <f t="shared" ref="I3:I6" si="1">H3*10%</f>
        <v>518000.00000000012</v>
      </c>
      <c r="J3" s="14">
        <f t="shared" ref="J3:J6" si="2">H3-I3</f>
        <v>4662000.0000000009</v>
      </c>
      <c r="K3" s="14">
        <f t="shared" ref="K3:K8" si="3">E3+J3</f>
        <v>78662000</v>
      </c>
      <c r="L3" s="46"/>
    </row>
    <row r="4" spans="1:12" x14ac:dyDescent="0.35">
      <c r="A4" s="114">
        <v>3</v>
      </c>
      <c r="B4" s="10" t="s">
        <v>1762</v>
      </c>
      <c r="C4" s="16">
        <v>45840</v>
      </c>
      <c r="D4" s="17">
        <v>46024</v>
      </c>
      <c r="E4" s="15">
        <v>55000000</v>
      </c>
      <c r="F4" s="12">
        <v>7.0000000000000007E-2</v>
      </c>
      <c r="G4" s="13">
        <v>6</v>
      </c>
      <c r="H4" s="14">
        <f t="shared" si="0"/>
        <v>3850000.0000000005</v>
      </c>
      <c r="I4" s="14">
        <f t="shared" si="1"/>
        <v>385000.00000000006</v>
      </c>
      <c r="J4" s="14">
        <f t="shared" si="2"/>
        <v>3465000.0000000005</v>
      </c>
      <c r="K4" s="14">
        <f>E4+J4</f>
        <v>58465000</v>
      </c>
      <c r="L4" s="46"/>
    </row>
    <row r="5" spans="1:12" x14ac:dyDescent="0.35">
      <c r="A5" s="114">
        <v>4</v>
      </c>
      <c r="B5" s="10" t="s">
        <v>2141</v>
      </c>
      <c r="C5" s="16">
        <v>45841</v>
      </c>
      <c r="D5" s="17">
        <v>46025</v>
      </c>
      <c r="E5" s="15">
        <v>100000000</v>
      </c>
      <c r="F5" s="12">
        <v>7.4999999999999997E-2</v>
      </c>
      <c r="G5" s="13">
        <v>6</v>
      </c>
      <c r="H5" s="14">
        <f t="shared" si="0"/>
        <v>7500000</v>
      </c>
      <c r="I5" s="14">
        <f>H5*10%</f>
        <v>750000</v>
      </c>
      <c r="J5" s="14">
        <f t="shared" si="2"/>
        <v>6750000</v>
      </c>
      <c r="K5" s="14">
        <f t="shared" si="3"/>
        <v>106750000</v>
      </c>
      <c r="L5" s="46"/>
    </row>
    <row r="6" spans="1:12" x14ac:dyDescent="0.35">
      <c r="A6" s="114">
        <v>5</v>
      </c>
      <c r="B6" s="10" t="s">
        <v>2058</v>
      </c>
      <c r="C6" s="16">
        <v>45841</v>
      </c>
      <c r="D6" s="17">
        <v>46025</v>
      </c>
      <c r="E6" s="15">
        <v>25000000</v>
      </c>
      <c r="F6" s="12">
        <v>6.5000000000000002E-2</v>
      </c>
      <c r="G6" s="13">
        <v>6</v>
      </c>
      <c r="H6" s="14">
        <f t="shared" si="0"/>
        <v>1625000</v>
      </c>
      <c r="I6" s="14">
        <f t="shared" si="1"/>
        <v>162500</v>
      </c>
      <c r="J6" s="14">
        <f t="shared" si="2"/>
        <v>1462500</v>
      </c>
      <c r="K6" s="14">
        <f t="shared" si="3"/>
        <v>26462500</v>
      </c>
      <c r="L6" s="46"/>
    </row>
    <row r="7" spans="1:12" x14ac:dyDescent="0.35">
      <c r="A7" s="114"/>
      <c r="B7" s="10" t="s">
        <v>2222</v>
      </c>
      <c r="C7" s="16">
        <v>45897</v>
      </c>
      <c r="D7" s="17">
        <v>46246</v>
      </c>
      <c r="E7" s="15">
        <v>200000000</v>
      </c>
      <c r="F7" s="12">
        <v>7.0000000000000007E-2</v>
      </c>
      <c r="G7" s="13">
        <v>12</v>
      </c>
      <c r="H7" s="14">
        <f t="shared" ref="H7" si="4">E7*F7</f>
        <v>14000000.000000002</v>
      </c>
      <c r="I7" s="14">
        <f t="shared" ref="I7" si="5">H7*10%</f>
        <v>1400000.0000000002</v>
      </c>
      <c r="J7" s="14">
        <f t="shared" ref="J7" si="6">H7-I7</f>
        <v>12600000.000000002</v>
      </c>
      <c r="K7" s="14">
        <f t="shared" ref="K7" si="7">E7+J7</f>
        <v>212600000</v>
      </c>
      <c r="L7" s="46"/>
    </row>
    <row r="8" spans="1:12" x14ac:dyDescent="0.35">
      <c r="A8" s="114">
        <v>6</v>
      </c>
      <c r="B8" s="10" t="s">
        <v>1765</v>
      </c>
      <c r="C8" s="16">
        <v>45841</v>
      </c>
      <c r="D8" s="17">
        <v>46025</v>
      </c>
      <c r="E8" s="15">
        <v>75000000</v>
      </c>
      <c r="F8" s="12">
        <v>7.4999999999999997E-2</v>
      </c>
      <c r="G8" s="13">
        <v>6</v>
      </c>
      <c r="H8" s="14">
        <f>E8*F8</f>
        <v>5625000</v>
      </c>
      <c r="I8" s="14">
        <f>H8*10%</f>
        <v>562500</v>
      </c>
      <c r="J8" s="14">
        <f>H8-I8</f>
        <v>5062500</v>
      </c>
      <c r="K8" s="14">
        <f t="shared" si="3"/>
        <v>80062500</v>
      </c>
      <c r="L8" s="46"/>
    </row>
    <row r="9" spans="1:12" x14ac:dyDescent="0.35">
      <c r="A9" s="114">
        <v>7</v>
      </c>
      <c r="B9" s="10" t="s">
        <v>2140</v>
      </c>
      <c r="C9" s="16">
        <v>45938</v>
      </c>
      <c r="D9" s="17">
        <v>46022</v>
      </c>
      <c r="E9" s="15">
        <v>250000000</v>
      </c>
      <c r="F9" s="12">
        <v>4.4444444399999998E-2</v>
      </c>
      <c r="G9" s="13">
        <v>3</v>
      </c>
      <c r="H9" s="14">
        <f>E9*F9</f>
        <v>11111111.1</v>
      </c>
      <c r="I9" s="14">
        <f t="shared" ref="I9:I12" si="8">H9*10%</f>
        <v>1111111.1100000001</v>
      </c>
      <c r="J9" s="14">
        <f t="shared" ref="J9:J12" si="9">H9-I9</f>
        <v>9999999.9900000002</v>
      </c>
      <c r="K9" s="14">
        <f t="shared" ref="K9:K12" si="10">E9+J9</f>
        <v>259999999.99000001</v>
      </c>
      <c r="L9" s="46"/>
    </row>
    <row r="10" spans="1:12" x14ac:dyDescent="0.35">
      <c r="A10" s="114">
        <v>8</v>
      </c>
      <c r="B10" s="10" t="s">
        <v>2173</v>
      </c>
      <c r="C10" s="16">
        <v>45954</v>
      </c>
      <c r="D10" s="17">
        <v>46318</v>
      </c>
      <c r="E10" s="15">
        <v>15000000</v>
      </c>
      <c r="F10" s="12">
        <v>7.0000000000000007E-2</v>
      </c>
      <c r="G10" s="13">
        <v>12</v>
      </c>
      <c r="H10" s="14">
        <f t="shared" ref="H10:H12" si="11">E10*F10</f>
        <v>1050000</v>
      </c>
      <c r="I10" s="14">
        <f t="shared" si="8"/>
        <v>105000</v>
      </c>
      <c r="J10" s="14">
        <f t="shared" si="9"/>
        <v>945000</v>
      </c>
      <c r="K10" s="14">
        <f t="shared" si="10"/>
        <v>15945000</v>
      </c>
      <c r="L10" s="46"/>
    </row>
    <row r="11" spans="1:12" x14ac:dyDescent="0.35">
      <c r="A11" s="114">
        <v>9</v>
      </c>
      <c r="B11" s="10" t="s">
        <v>2035</v>
      </c>
      <c r="C11" s="16">
        <v>45954</v>
      </c>
      <c r="D11" s="17">
        <v>46318</v>
      </c>
      <c r="E11" s="15">
        <v>35000000</v>
      </c>
      <c r="F11" s="12">
        <v>7.0000000000000007E-2</v>
      </c>
      <c r="G11" s="13">
        <v>12</v>
      </c>
      <c r="H11" s="14">
        <f t="shared" si="11"/>
        <v>2450000.0000000005</v>
      </c>
      <c r="I11" s="14">
        <f t="shared" si="8"/>
        <v>245000.00000000006</v>
      </c>
      <c r="J11" s="14">
        <f t="shared" si="9"/>
        <v>2205000.0000000005</v>
      </c>
      <c r="K11" s="14">
        <f t="shared" si="10"/>
        <v>37205000</v>
      </c>
      <c r="L11" s="46"/>
    </row>
    <row r="12" spans="1:12" x14ac:dyDescent="0.35">
      <c r="A12" s="114">
        <v>10</v>
      </c>
      <c r="B12" s="10" t="s">
        <v>1759</v>
      </c>
      <c r="C12" s="16">
        <v>45957</v>
      </c>
      <c r="D12" s="17">
        <v>46318</v>
      </c>
      <c r="E12" s="15">
        <v>100000000</v>
      </c>
      <c r="F12" s="12">
        <v>7.0000000000000007E-2</v>
      </c>
      <c r="G12" s="13">
        <v>12</v>
      </c>
      <c r="H12" s="14">
        <f t="shared" si="11"/>
        <v>7000000.0000000009</v>
      </c>
      <c r="I12" s="14">
        <f t="shared" si="8"/>
        <v>700000.00000000012</v>
      </c>
      <c r="J12" s="14">
        <f t="shared" si="9"/>
        <v>6300000.0000000009</v>
      </c>
      <c r="K12" s="14">
        <f t="shared" si="10"/>
        <v>106300000</v>
      </c>
      <c r="L12" s="46"/>
    </row>
    <row r="13" spans="1:12" x14ac:dyDescent="0.35">
      <c r="A13" s="30" t="s">
        <v>36</v>
      </c>
      <c r="B13" s="30" t="s">
        <v>36</v>
      </c>
      <c r="C13" s="31"/>
      <c r="D13" s="31"/>
      <c r="E13" s="31">
        <f>SUM(E2:E12)</f>
        <v>1004000000</v>
      </c>
      <c r="F13" s="31"/>
      <c r="G13" s="31"/>
      <c r="H13" s="31">
        <f>SUM(H2:H12)</f>
        <v>65016111.100000001</v>
      </c>
      <c r="I13" s="31">
        <f t="shared" ref="I13:J13" si="12">SUM(I2:I12)</f>
        <v>6501611.1100000003</v>
      </c>
      <c r="J13" s="31">
        <f t="shared" si="12"/>
        <v>58514499.990000002</v>
      </c>
      <c r="K13" s="31">
        <f>SUM(K2:K12)</f>
        <v>1062514499.99</v>
      </c>
      <c r="L13" s="31">
        <f>SUM(L2:L12)</f>
        <v>0</v>
      </c>
    </row>
    <row r="14" spans="1:12" x14ac:dyDescent="0.35">
      <c r="E14" s="115">
        <v>1004000000</v>
      </c>
      <c r="H14" s="117">
        <v>65016111</v>
      </c>
      <c r="J14" s="117">
        <v>58514500</v>
      </c>
      <c r="K14" s="119"/>
    </row>
    <row r="15" spans="1:12" x14ac:dyDescent="0.35">
      <c r="E15" s="116">
        <f>E13-E14</f>
        <v>0</v>
      </c>
      <c r="H15" s="118">
        <f>H13-H14</f>
        <v>0.10000000149011612</v>
      </c>
      <c r="J15" s="118">
        <f>J13-J14</f>
        <v>-9.9999979138374329E-3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All Simpanan </vt:lpstr>
      <vt:lpstr>Simpanan Wajib</vt:lpstr>
      <vt:lpstr>Simpanan Pokok</vt:lpstr>
      <vt:lpstr>Simpanan Khusus</vt:lpstr>
      <vt:lpstr>Simpanan Sukarela</vt:lpstr>
      <vt:lpstr>Simpanan Sukarela Berjangka</vt:lpstr>
      <vt:lpstr>'Simpanan Sukarela'!Print_Area</vt:lpstr>
      <vt:lpstr>'Simpanan Wajib'!Print_Area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Adawiyah</dc:creator>
  <cp:lastModifiedBy>Dea Adawiyah</cp:lastModifiedBy>
  <dcterms:created xsi:type="dcterms:W3CDTF">2025-07-24T04:43:55Z</dcterms:created>
  <dcterms:modified xsi:type="dcterms:W3CDTF">2026-02-24T10:00:54Z</dcterms:modified>
</cp:coreProperties>
</file>