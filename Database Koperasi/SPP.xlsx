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b474228dc75fd/Documents/2025 - JOB SHAIDAH/1. SPP/"/>
    </mc:Choice>
  </mc:AlternateContent>
  <xr:revisionPtr revIDLastSave="1887" documentId="13_ncr:1_{5AEE65C0-FB18-4558-AE9C-75057020CAFB}" xr6:coauthVersionLast="47" xr6:coauthVersionMax="47" xr10:uidLastSave="{99D1A764-4C35-48C5-AC69-3C66E79E89FA}"/>
  <bookViews>
    <workbookView xWindow="-110" yWindow="-110" windowWidth="19420" windowHeight="10300" tabRatio="933" firstSheet="15" activeTab="15" xr2:uid="{00000000-000D-0000-FFFF-FFFF00000000}"/>
  </bookViews>
  <sheets>
    <sheet name="JASA KONSULTAN" sheetId="50" r:id="rId1"/>
    <sheet name="ATK ENDAH" sheetId="57" r:id="rId2"/>
    <sheet name="Sewa Kendaraan Andrinusa (3)" sheetId="75" r:id="rId3"/>
    <sheet name="Sewa Kendaraan Andrinusa (2)" sheetId="39" r:id="rId4"/>
    <sheet name="Kendaraan Tanjung Bandung" sheetId="51" r:id="rId5"/>
    <sheet name="AQUA" sheetId="56" r:id="rId6"/>
    <sheet name="JNE" sheetId="49" r:id="rId7"/>
    <sheet name="INTEGRA PPN" sheetId="61" r:id="rId8"/>
    <sheet name="INTEGRA NON PPN" sheetId="60" r:id="rId9"/>
    <sheet name="Astrido 2023" sheetId="46" r:id="rId10"/>
    <sheet name="SOLUSI PRIMA I" sheetId="72" r:id="rId11"/>
    <sheet name="BINO MITR" sheetId="73" r:id="rId12"/>
    <sheet name="TURBO" sheetId="58" r:id="rId13"/>
    <sheet name="PIKNUS" sheetId="63" r:id="rId14"/>
    <sheet name="DATASCRIP" sheetId="71" r:id="rId15"/>
    <sheet name="Simpanan Anggota" sheetId="43" r:id="rId16"/>
    <sheet name="PINJAMAN ANGGOTA" sheetId="47" r:id="rId17"/>
    <sheet name="PINJAMAN EVA" sheetId="74" r:id="rId18"/>
    <sheet name="PINJAMAN DANDY" sheetId="77" r:id="rId19"/>
    <sheet name="PINJAMAN ERRY" sheetId="79" r:id="rId20"/>
    <sheet name="PPH 23 VSEWA" sheetId="44" r:id="rId21"/>
    <sheet name="BESTPRINT" sheetId="55" r:id="rId22"/>
    <sheet name="LARIKA" sheetId="76" r:id="rId23"/>
    <sheet name="BERSAMA KHANZA SERVIS" sheetId="85" r:id="rId24"/>
    <sheet name="SPT PPN KB" sheetId="70" r:id="rId25"/>
    <sheet name="BENAYA" sheetId="82" r:id="rId26"/>
    <sheet name="PT SRIKANDI DIAMONDS" sheetId="84" r:id="rId27"/>
    <sheet name="SPP 2025 (5)" sheetId="83" r:id="rId28"/>
    <sheet name="SPP 2025 (6)" sheetId="80" r:id="rId29"/>
    <sheet name="SPP 2025 (2)" sheetId="54" r:id="rId30"/>
    <sheet name="SPP 2025 (3)" sheetId="86" r:id="rId31"/>
    <sheet name="SPP 2025 (4)" sheetId="69" r:id="rId32"/>
    <sheet name="SPP 2025 (7)" sheetId="88" r:id="rId33"/>
    <sheet name="SPP 2025 (8)" sheetId="87" r:id="rId34"/>
    <sheet name="SPP 2025 (9)" sheetId="89" r:id="rId35"/>
    <sheet name="SPP 2025 (10)" sheetId="90" r:id="rId36"/>
    <sheet name="SPP 2025 (11)" sheetId="91" r:id="rId37"/>
    <sheet name="SPP 2025 (12)" sheetId="92" r:id="rId38"/>
    <sheet name="SPP 2025 (13)" sheetId="93" r:id="rId39"/>
    <sheet name="SPP 2025 (14)" sheetId="94" r:id="rId40"/>
    <sheet name="SPP 2025 (15)" sheetId="95" r:id="rId41"/>
    <sheet name="SPP 2025 (16)" sheetId="96" r:id="rId42"/>
    <sheet name="SPP 2025 (17)" sheetId="97" r:id="rId43"/>
    <sheet name="SPP 2025 (18)" sheetId="98" r:id="rId44"/>
    <sheet name="SPP 2025 (19)" sheetId="99" r:id="rId45"/>
    <sheet name="SPP 2025 (20)" sheetId="100" r:id="rId46"/>
    <sheet name="SPP 2025 (21)" sheetId="101" r:id="rId47"/>
    <sheet name="SPP 2025 (22)" sheetId="102" r:id="rId48"/>
    <sheet name="SPP 2025 (23)" sheetId="103" r:id="rId49"/>
    <sheet name="SPP 2025 (24)" sheetId="104" r:id="rId50"/>
    <sheet name="SPP 2025 (25)" sheetId="105" r:id="rId51"/>
    <sheet name="SPP 2025 (26)" sheetId="106" r:id="rId52"/>
    <sheet name="SPP 2025 (27)" sheetId="107" r:id="rId53"/>
    <sheet name="SPP 2025 (29)" sheetId="109" r:id="rId54"/>
    <sheet name="SPP 2025 (28)" sheetId="108" r:id="rId55"/>
    <sheet name="SPP 2025 (30)" sheetId="110" r:id="rId56"/>
    <sheet name="SPP 2025 (31)" sheetId="111" r:id="rId57"/>
    <sheet name="SPP 2025 (32)" sheetId="112" r:id="rId58"/>
    <sheet name="SPP 2025 (33)" sheetId="113" r:id="rId59"/>
    <sheet name="SPP 2025 (34)" sheetId="114" r:id="rId60"/>
    <sheet name="SPP 2025 (35)" sheetId="115" r:id="rId61"/>
    <sheet name="SPP 2025 (36)" sheetId="116" r:id="rId62"/>
    <sheet name="SPP 2025 (37)" sheetId="117" r:id="rId63"/>
    <sheet name="BAJU GATHERING" sheetId="59" r:id="rId64"/>
    <sheet name="PARAMUDA" sheetId="81" r:id="rId65"/>
    <sheet name="AORO M6" sheetId="78" r:id="rId66"/>
    <sheet name="CAB SORONG" sheetId="68" r:id="rId67"/>
    <sheet name="TV LG" sheetId="67" r:id="rId68"/>
    <sheet name="Sheet1" sheetId="26" r:id="rId69"/>
    <sheet name="REVISI" sheetId="52" r:id="rId70"/>
    <sheet name="Sheet3" sheetId="66" r:id="rId71"/>
  </sheets>
  <definedNames>
    <definedName name="_xlnm.Print_Area" localSheetId="65">'AORO M6'!$A$1:$Q$45</definedName>
    <definedName name="_xlnm.Print_Area" localSheetId="5">AQUA!$A$1:$Q$45</definedName>
    <definedName name="_xlnm.Print_Area" localSheetId="9">'Astrido 2023'!$B$1:$Q$44</definedName>
    <definedName name="_xlnm.Print_Area" localSheetId="1">'ATK ENDAH'!$A$1:$Q$45</definedName>
    <definedName name="_xlnm.Print_Area" localSheetId="63">'BAJU GATHERING'!$A$1:$Q$45</definedName>
    <definedName name="_xlnm.Print_Area" localSheetId="25">BENAYA!$B$1:$Q$45</definedName>
    <definedName name="_xlnm.Print_Area" localSheetId="23">'BERSAMA KHANZA SERVIS'!$B$1:$Q$45</definedName>
    <definedName name="_xlnm.Print_Area" localSheetId="21">BESTPRINT!$A$1:$Q$45</definedName>
    <definedName name="_xlnm.Print_Area" localSheetId="11">'BINO MITR'!$B$1:$Q$45</definedName>
    <definedName name="_xlnm.Print_Area" localSheetId="66">'CAB SORONG'!$A$1:$Q$45</definedName>
    <definedName name="_xlnm.Print_Area" localSheetId="14">DATASCRIP!$B$1:$Q$45</definedName>
    <definedName name="_xlnm.Print_Area" localSheetId="8">'INTEGRA NON PPN'!$A$1:$Q$45</definedName>
    <definedName name="_xlnm.Print_Area" localSheetId="7">'INTEGRA PPN'!$B$1:$Q$45</definedName>
    <definedName name="_xlnm.Print_Area" localSheetId="0">'JASA KONSULTAN'!$A$1:$Q$49</definedName>
    <definedName name="_xlnm.Print_Area" localSheetId="6">JNE!$B$1:$Q$43</definedName>
    <definedName name="_xlnm.Print_Area" localSheetId="4">'Kendaraan Tanjung Bandung'!$B$1:$Q$45</definedName>
    <definedName name="_xlnm.Print_Area" localSheetId="22">LARIKA!$A$1:$Q$45</definedName>
    <definedName name="_xlnm.Print_Area" localSheetId="64">PARAMUDA!$B$1:$Q$45</definedName>
    <definedName name="_xlnm.Print_Area" localSheetId="13">PIKNUS!$B$1:$Q$45</definedName>
    <definedName name="_xlnm.Print_Area" localSheetId="16">'PINJAMAN ANGGOTA'!$B$1:$Q$46</definedName>
    <definedName name="_xlnm.Print_Area" localSheetId="18">'PINJAMAN DANDY'!$B$1:$Q$46</definedName>
    <definedName name="_xlnm.Print_Area" localSheetId="19">'PINJAMAN ERRY'!$B$1:$Q$46</definedName>
    <definedName name="_xlnm.Print_Area" localSheetId="17">'PINJAMAN EVA'!$B$1:$Q$46</definedName>
    <definedName name="_xlnm.Print_Area" localSheetId="20">'PPH 23 VSEWA'!$A$1:$Q$45</definedName>
    <definedName name="_xlnm.Print_Area" localSheetId="26">'PT SRIKANDI DIAMONDS'!$B$1:$Q$45</definedName>
    <definedName name="_xlnm.Print_Area" localSheetId="69">REVISI!$A$1:$Q$45</definedName>
    <definedName name="_xlnm.Print_Area" localSheetId="3">'Sewa Kendaraan Andrinusa (2)'!$B$1:$Q$46</definedName>
    <definedName name="_xlnm.Print_Area" localSheetId="2">'Sewa Kendaraan Andrinusa (3)'!$B$1:$Q$46</definedName>
    <definedName name="_xlnm.Print_Area" localSheetId="68">Sheet1!$A$1:$D$514</definedName>
    <definedName name="_xlnm.Print_Area" localSheetId="15">'Simpanan Anggota'!$B$1:$Q$52</definedName>
    <definedName name="_xlnm.Print_Area" localSheetId="10">'SOLUSI PRIMA I'!$B$1:$Q$45</definedName>
    <definedName name="_xlnm.Print_Area" localSheetId="35">'SPP 2025 (10)'!$A$1:$Q$45</definedName>
    <definedName name="_xlnm.Print_Area" localSheetId="36">'SPP 2025 (11)'!$A$1:$Q$45</definedName>
    <definedName name="_xlnm.Print_Area" localSheetId="37">'SPP 2025 (12)'!$A$1:$Q$45</definedName>
    <definedName name="_xlnm.Print_Area" localSheetId="38">'SPP 2025 (13)'!$A$1:$Q$45</definedName>
    <definedName name="_xlnm.Print_Area" localSheetId="39">'SPP 2025 (14)'!$A$1:$Q$45</definedName>
    <definedName name="_xlnm.Print_Area" localSheetId="40">'SPP 2025 (15)'!$A$1:$Q$45</definedName>
    <definedName name="_xlnm.Print_Area" localSheetId="41">'SPP 2025 (16)'!$A$1:$Q$45</definedName>
    <definedName name="_xlnm.Print_Area" localSheetId="42">'SPP 2025 (17)'!$A$1:$Q$45</definedName>
    <definedName name="_xlnm.Print_Area" localSheetId="43">'SPP 2025 (18)'!$A$1:$Q$45</definedName>
    <definedName name="_xlnm.Print_Area" localSheetId="44">'SPP 2025 (19)'!$A$1:$Q$45</definedName>
    <definedName name="_xlnm.Print_Area" localSheetId="29">'SPP 2025 (2)'!$A$1:$Q$45</definedName>
    <definedName name="_xlnm.Print_Area" localSheetId="45">'SPP 2025 (20)'!$A$1:$Q$45</definedName>
    <definedName name="_xlnm.Print_Area" localSheetId="46">'SPP 2025 (21)'!$A$1:$Q$45</definedName>
    <definedName name="_xlnm.Print_Area" localSheetId="47">'SPP 2025 (22)'!$A$1:$Q$45</definedName>
    <definedName name="_xlnm.Print_Area" localSheetId="48">'SPP 2025 (23)'!$A$1:$Q$45</definedName>
    <definedName name="_xlnm.Print_Area" localSheetId="49">'SPP 2025 (24)'!$A$1:$Q$45</definedName>
    <definedName name="_xlnm.Print_Area" localSheetId="50">'SPP 2025 (25)'!$A$1:$Q$45</definedName>
    <definedName name="_xlnm.Print_Area" localSheetId="51">'SPP 2025 (26)'!$A$1:$Q$45</definedName>
    <definedName name="_xlnm.Print_Area" localSheetId="52">'SPP 2025 (27)'!$A$1:$Q$45</definedName>
    <definedName name="_xlnm.Print_Area" localSheetId="54">'SPP 2025 (28)'!$A$1:$Q$45</definedName>
    <definedName name="_xlnm.Print_Area" localSheetId="53">'SPP 2025 (29)'!$A$1:$Q$45</definedName>
    <definedName name="_xlnm.Print_Area" localSheetId="30">'SPP 2025 (3)'!$A$1:$Q$45</definedName>
    <definedName name="_xlnm.Print_Area" localSheetId="55">'SPP 2025 (30)'!$A$1:$Q$45</definedName>
    <definedName name="_xlnm.Print_Area" localSheetId="56">'SPP 2025 (31)'!$A$1:$Q$45</definedName>
    <definedName name="_xlnm.Print_Area" localSheetId="57">'SPP 2025 (32)'!$A$1:$Q$45</definedName>
    <definedName name="_xlnm.Print_Area" localSheetId="58">'SPP 2025 (33)'!$A$1:$Q$45</definedName>
    <definedName name="_xlnm.Print_Area" localSheetId="59">'SPP 2025 (34)'!$A$1:$Q$45</definedName>
    <definedName name="_xlnm.Print_Area" localSheetId="60">'SPP 2025 (35)'!$A$1:$Q$45</definedName>
    <definedName name="_xlnm.Print_Area" localSheetId="61">'SPP 2025 (36)'!$A$1:$Q$45</definedName>
    <definedName name="_xlnm.Print_Area" localSheetId="62">'SPP 2025 (37)'!$A$1:$Q$45</definedName>
    <definedName name="_xlnm.Print_Area" localSheetId="31">'SPP 2025 (4)'!$A$1:$Q$45</definedName>
    <definedName name="_xlnm.Print_Area" localSheetId="27">'SPP 2025 (5)'!$A$1:$Q$45</definedName>
    <definedName name="_xlnm.Print_Area" localSheetId="28">'SPP 2025 (6)'!$A$1:$Q$45</definedName>
    <definedName name="_xlnm.Print_Area" localSheetId="32">'SPP 2025 (7)'!$A$1:$Q$45</definedName>
    <definedName name="_xlnm.Print_Area" localSheetId="33">'SPP 2025 (8)'!$A$1:$Q$45</definedName>
    <definedName name="_xlnm.Print_Area" localSheetId="34">'SPP 2025 (9)'!$A$1:$Q$45</definedName>
    <definedName name="_xlnm.Print_Area" localSheetId="24">'SPT PPN KB'!$A$1:$Q$45</definedName>
    <definedName name="_xlnm.Print_Area" localSheetId="12">TURBO!$A$1:$Q$45</definedName>
    <definedName name="_xlnm.Print_Area" localSheetId="67">'TV LG'!$A$1:$Q$45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84" l="1"/>
  <c r="R57" i="117"/>
  <c r="W55" i="117"/>
  <c r="U53" i="117"/>
  <c r="E38" i="117"/>
  <c r="S33" i="117"/>
  <c r="N33" i="117"/>
  <c r="I12" i="117" s="1"/>
  <c r="R23" i="117" s="1"/>
  <c r="V27" i="117"/>
  <c r="V26" i="117"/>
  <c r="V25" i="117"/>
  <c r="V24" i="117"/>
  <c r="V23" i="117"/>
  <c r="V22" i="117"/>
  <c r="V20" i="117"/>
  <c r="V19" i="117"/>
  <c r="V18" i="117"/>
  <c r="R11" i="117"/>
  <c r="R57" i="116"/>
  <c r="W55" i="116"/>
  <c r="U53" i="116"/>
  <c r="E38" i="116"/>
  <c r="S33" i="116"/>
  <c r="N33" i="116"/>
  <c r="R34" i="116" s="1"/>
  <c r="V27" i="116"/>
  <c r="V26" i="116"/>
  <c r="V25" i="116"/>
  <c r="V24" i="116"/>
  <c r="V23" i="116"/>
  <c r="V22" i="116"/>
  <c r="V20" i="116"/>
  <c r="V19" i="116"/>
  <c r="V18" i="116"/>
  <c r="R11" i="116"/>
  <c r="R57" i="115"/>
  <c r="W55" i="115"/>
  <c r="U53" i="115"/>
  <c r="E38" i="115"/>
  <c r="S33" i="115"/>
  <c r="N33" i="115"/>
  <c r="I12" i="115" s="1"/>
  <c r="R23" i="115" s="1"/>
  <c r="V27" i="115"/>
  <c r="V26" i="115"/>
  <c r="V25" i="115"/>
  <c r="V24" i="115"/>
  <c r="V23" i="115"/>
  <c r="V22" i="115"/>
  <c r="V20" i="115"/>
  <c r="V19" i="115"/>
  <c r="V18" i="115"/>
  <c r="R11" i="115"/>
  <c r="R57" i="114"/>
  <c r="W55" i="114"/>
  <c r="U53" i="114"/>
  <c r="E38" i="114"/>
  <c r="S33" i="114"/>
  <c r="V27" i="114"/>
  <c r="V26" i="114"/>
  <c r="V25" i="114"/>
  <c r="V24" i="114"/>
  <c r="V23" i="114"/>
  <c r="V22" i="114"/>
  <c r="V20" i="114"/>
  <c r="V19" i="114"/>
  <c r="V18" i="114"/>
  <c r="N33" i="114"/>
  <c r="R11" i="114"/>
  <c r="N19" i="113"/>
  <c r="N18" i="113"/>
  <c r="N33" i="113"/>
  <c r="R34" i="113" s="1"/>
  <c r="R57" i="113"/>
  <c r="W55" i="113"/>
  <c r="U53" i="113"/>
  <c r="E38" i="113"/>
  <c r="S33" i="113"/>
  <c r="V27" i="113"/>
  <c r="V26" i="113"/>
  <c r="V25" i="113"/>
  <c r="V24" i="113"/>
  <c r="V23" i="113"/>
  <c r="V22" i="113"/>
  <c r="V20" i="113"/>
  <c r="V19" i="113"/>
  <c r="V18" i="113"/>
  <c r="R11" i="113"/>
  <c r="R57" i="112"/>
  <c r="W55" i="112"/>
  <c r="U53" i="112"/>
  <c r="E38" i="112"/>
  <c r="S33" i="112"/>
  <c r="N33" i="112"/>
  <c r="R34" i="112" s="1"/>
  <c r="V27" i="112"/>
  <c r="V26" i="112"/>
  <c r="V25" i="112"/>
  <c r="V24" i="112"/>
  <c r="V23" i="112"/>
  <c r="V22" i="112"/>
  <c r="V20" i="112"/>
  <c r="V19" i="112"/>
  <c r="V18" i="112"/>
  <c r="R11" i="112"/>
  <c r="R34" i="117" l="1"/>
  <c r="I12" i="116"/>
  <c r="R23" i="116" s="1"/>
  <c r="R34" i="115"/>
  <c r="R34" i="114"/>
  <c r="I12" i="114"/>
  <c r="R23" i="114" s="1"/>
  <c r="I12" i="113"/>
  <c r="R23" i="113" s="1"/>
  <c r="I12" i="112"/>
  <c r="R23" i="112" s="1"/>
  <c r="R57" i="111"/>
  <c r="W55" i="111"/>
  <c r="U53" i="111"/>
  <c r="E38" i="111"/>
  <c r="S33" i="111"/>
  <c r="N33" i="111"/>
  <c r="R34" i="111" s="1"/>
  <c r="V27" i="111"/>
  <c r="V26" i="111"/>
  <c r="V25" i="111"/>
  <c r="V24" i="111"/>
  <c r="V23" i="111"/>
  <c r="V22" i="111"/>
  <c r="V20" i="111"/>
  <c r="V19" i="111"/>
  <c r="V18" i="111"/>
  <c r="R11" i="111"/>
  <c r="M19" i="76"/>
  <c r="R57" i="110"/>
  <c r="W55" i="110"/>
  <c r="U53" i="110"/>
  <c r="E38" i="110"/>
  <c r="S33" i="110"/>
  <c r="N33" i="110"/>
  <c r="I12" i="110" s="1"/>
  <c r="R23" i="110" s="1"/>
  <c r="V27" i="110"/>
  <c r="V26" i="110"/>
  <c r="V25" i="110"/>
  <c r="V24" i="110"/>
  <c r="V23" i="110"/>
  <c r="V22" i="110"/>
  <c r="V20" i="110"/>
  <c r="V19" i="110"/>
  <c r="V18" i="110"/>
  <c r="R11" i="110"/>
  <c r="N21" i="43"/>
  <c r="N18" i="43"/>
  <c r="N17" i="43"/>
  <c r="R57" i="109"/>
  <c r="W55" i="109"/>
  <c r="U53" i="109"/>
  <c r="E38" i="109"/>
  <c r="S33" i="109"/>
  <c r="N33" i="109"/>
  <c r="I12" i="109" s="1"/>
  <c r="R23" i="109" s="1"/>
  <c r="V27" i="109"/>
  <c r="V26" i="109"/>
  <c r="V25" i="109"/>
  <c r="V24" i="109"/>
  <c r="V23" i="109"/>
  <c r="V22" i="109"/>
  <c r="V20" i="109"/>
  <c r="V19" i="109"/>
  <c r="V18" i="109"/>
  <c r="R11" i="109"/>
  <c r="R57" i="108"/>
  <c r="W55" i="108"/>
  <c r="U53" i="108"/>
  <c r="E38" i="108"/>
  <c r="S33" i="108"/>
  <c r="N33" i="108"/>
  <c r="R34" i="108" s="1"/>
  <c r="V27" i="108"/>
  <c r="V26" i="108"/>
  <c r="V25" i="108"/>
  <c r="V24" i="108"/>
  <c r="V23" i="108"/>
  <c r="V22" i="108"/>
  <c r="V20" i="108"/>
  <c r="V19" i="108"/>
  <c r="V18" i="108"/>
  <c r="R11" i="108"/>
  <c r="R57" i="107"/>
  <c r="W55" i="107"/>
  <c r="U53" i="107"/>
  <c r="E38" i="107"/>
  <c r="S33" i="107"/>
  <c r="N33" i="107"/>
  <c r="R34" i="107" s="1"/>
  <c r="V27" i="107"/>
  <c r="V26" i="107"/>
  <c r="V25" i="107"/>
  <c r="V24" i="107"/>
  <c r="V23" i="107"/>
  <c r="V22" i="107"/>
  <c r="V20" i="107"/>
  <c r="V19" i="107"/>
  <c r="V18" i="107"/>
  <c r="R11" i="107"/>
  <c r="R57" i="106"/>
  <c r="W55" i="106"/>
  <c r="U53" i="106"/>
  <c r="E38" i="106"/>
  <c r="S33" i="106"/>
  <c r="N33" i="106"/>
  <c r="R34" i="106" s="1"/>
  <c r="V27" i="106"/>
  <c r="V26" i="106"/>
  <c r="V25" i="106"/>
  <c r="V24" i="106"/>
  <c r="V23" i="106"/>
  <c r="V22" i="106"/>
  <c r="V20" i="106"/>
  <c r="V19" i="106"/>
  <c r="V18" i="106"/>
  <c r="R11" i="106"/>
  <c r="R57" i="105"/>
  <c r="W55" i="105"/>
  <c r="U53" i="105"/>
  <c r="E38" i="105"/>
  <c r="S33" i="105"/>
  <c r="N33" i="105"/>
  <c r="R34" i="105" s="1"/>
  <c r="V27" i="105"/>
  <c r="V26" i="105"/>
  <c r="V25" i="105"/>
  <c r="V24" i="105"/>
  <c r="V23" i="105"/>
  <c r="V22" i="105"/>
  <c r="V20" i="105"/>
  <c r="V19" i="105"/>
  <c r="V18" i="105"/>
  <c r="R11" i="105"/>
  <c r="I12" i="111" l="1"/>
  <c r="R23" i="111" s="1"/>
  <c r="R34" i="110"/>
  <c r="R34" i="109"/>
  <c r="I12" i="108"/>
  <c r="R23" i="108" s="1"/>
  <c r="I12" i="107"/>
  <c r="R23" i="107" s="1"/>
  <c r="I12" i="106"/>
  <c r="R23" i="106" s="1"/>
  <c r="I12" i="105"/>
  <c r="R23" i="105" s="1"/>
  <c r="R57" i="104"/>
  <c r="W55" i="104"/>
  <c r="U53" i="104"/>
  <c r="E38" i="104"/>
  <c r="S33" i="104"/>
  <c r="N33" i="104"/>
  <c r="R34" i="104" s="1"/>
  <c r="V27" i="104"/>
  <c r="V26" i="104"/>
  <c r="V25" i="104"/>
  <c r="V24" i="104"/>
  <c r="V23" i="104"/>
  <c r="V22" i="104"/>
  <c r="V20" i="104"/>
  <c r="V19" i="104"/>
  <c r="V18" i="104"/>
  <c r="R11" i="104"/>
  <c r="I12" i="104" l="1"/>
  <c r="R23" i="104" s="1"/>
  <c r="R57" i="103" l="1"/>
  <c r="W55" i="103"/>
  <c r="U53" i="103"/>
  <c r="E38" i="103"/>
  <c r="S33" i="103"/>
  <c r="N33" i="103"/>
  <c r="R34" i="103" s="1"/>
  <c r="V27" i="103"/>
  <c r="V26" i="103"/>
  <c r="V25" i="103"/>
  <c r="V24" i="103"/>
  <c r="V23" i="103"/>
  <c r="V22" i="103"/>
  <c r="V20" i="103"/>
  <c r="V19" i="103"/>
  <c r="V18" i="103"/>
  <c r="R11" i="103"/>
  <c r="R57" i="102"/>
  <c r="W55" i="102"/>
  <c r="U53" i="102"/>
  <c r="E38" i="102"/>
  <c r="S33" i="102"/>
  <c r="N33" i="102"/>
  <c r="R34" i="102" s="1"/>
  <c r="V27" i="102"/>
  <c r="V26" i="102"/>
  <c r="V25" i="102"/>
  <c r="V24" i="102"/>
  <c r="V23" i="102"/>
  <c r="V22" i="102"/>
  <c r="V20" i="102"/>
  <c r="V19" i="102"/>
  <c r="V18" i="102"/>
  <c r="R11" i="102"/>
  <c r="I12" i="103" l="1"/>
  <c r="R23" i="103" s="1"/>
  <c r="I12" i="102"/>
  <c r="R23" i="102" s="1"/>
  <c r="N18" i="81" l="1"/>
  <c r="R57" i="101"/>
  <c r="W55" i="101"/>
  <c r="U53" i="101"/>
  <c r="E38" i="101"/>
  <c r="S33" i="101"/>
  <c r="N33" i="101"/>
  <c r="R34" i="101" s="1"/>
  <c r="V27" i="101"/>
  <c r="V26" i="101"/>
  <c r="V25" i="101"/>
  <c r="V24" i="101"/>
  <c r="V23" i="101"/>
  <c r="V22" i="101"/>
  <c r="V20" i="101"/>
  <c r="V19" i="101"/>
  <c r="V18" i="101"/>
  <c r="R11" i="101"/>
  <c r="I12" i="101" l="1"/>
  <c r="R23" i="101" s="1"/>
  <c r="R57" i="100" l="1"/>
  <c r="W55" i="100"/>
  <c r="U53" i="100"/>
  <c r="E38" i="100"/>
  <c r="S33" i="100"/>
  <c r="N33" i="100"/>
  <c r="R34" i="100" s="1"/>
  <c r="V27" i="100"/>
  <c r="V26" i="100"/>
  <c r="V25" i="100"/>
  <c r="V24" i="100"/>
  <c r="V23" i="100"/>
  <c r="V22" i="100"/>
  <c r="V20" i="100"/>
  <c r="V19" i="100"/>
  <c r="V18" i="100"/>
  <c r="R11" i="100"/>
  <c r="I12" i="100" l="1"/>
  <c r="R23" i="100" s="1"/>
  <c r="R57" i="99"/>
  <c r="W55" i="99"/>
  <c r="U53" i="99"/>
  <c r="E38" i="99"/>
  <c r="S33" i="99"/>
  <c r="N33" i="99"/>
  <c r="R34" i="99" s="1"/>
  <c r="V27" i="99"/>
  <c r="V26" i="99"/>
  <c r="V25" i="99"/>
  <c r="V24" i="99"/>
  <c r="V23" i="99"/>
  <c r="V22" i="99"/>
  <c r="V20" i="99"/>
  <c r="V19" i="99"/>
  <c r="V18" i="99"/>
  <c r="R11" i="99"/>
  <c r="I12" i="99" l="1"/>
  <c r="R23" i="99" s="1"/>
  <c r="R57" i="98" l="1"/>
  <c r="W55" i="98"/>
  <c r="U53" i="98"/>
  <c r="E38" i="98"/>
  <c r="S33" i="98"/>
  <c r="N33" i="98"/>
  <c r="R34" i="98" s="1"/>
  <c r="V27" i="98"/>
  <c r="V26" i="98"/>
  <c r="V25" i="98"/>
  <c r="V24" i="98"/>
  <c r="V23" i="98"/>
  <c r="V22" i="98"/>
  <c r="V20" i="98"/>
  <c r="V19" i="98"/>
  <c r="V18" i="98"/>
  <c r="R11" i="98"/>
  <c r="R57" i="97"/>
  <c r="W55" i="97"/>
  <c r="U53" i="97"/>
  <c r="E38" i="97"/>
  <c r="S33" i="97"/>
  <c r="V27" i="97"/>
  <c r="V26" i="97"/>
  <c r="V25" i="97"/>
  <c r="V24" i="97"/>
  <c r="V23" i="97"/>
  <c r="V22" i="97"/>
  <c r="V20" i="97"/>
  <c r="V19" i="97"/>
  <c r="V18" i="97"/>
  <c r="N33" i="97"/>
  <c r="R11" i="97"/>
  <c r="N17" i="96"/>
  <c r="N33" i="96"/>
  <c r="R34" i="96" s="1"/>
  <c r="N20" i="95"/>
  <c r="N19" i="95"/>
  <c r="R57" i="96"/>
  <c r="W55" i="96"/>
  <c r="U53" i="96"/>
  <c r="E38" i="96"/>
  <c r="S33" i="96"/>
  <c r="V27" i="96"/>
  <c r="V26" i="96"/>
  <c r="V25" i="96"/>
  <c r="V24" i="96"/>
  <c r="V23" i="96"/>
  <c r="V22" i="96"/>
  <c r="V20" i="96"/>
  <c r="V19" i="96"/>
  <c r="V18" i="96"/>
  <c r="R11" i="96"/>
  <c r="R57" i="95"/>
  <c r="W55" i="95"/>
  <c r="U53" i="95"/>
  <c r="E38" i="95"/>
  <c r="S33" i="95"/>
  <c r="V27" i="95"/>
  <c r="V26" i="95"/>
  <c r="V25" i="95"/>
  <c r="V24" i="95"/>
  <c r="V23" i="95"/>
  <c r="V22" i="95"/>
  <c r="V20" i="95"/>
  <c r="V19" i="95"/>
  <c r="V18" i="95"/>
  <c r="R11" i="95"/>
  <c r="N17" i="76"/>
  <c r="R57" i="94"/>
  <c r="W55" i="94"/>
  <c r="U53" i="94"/>
  <c r="E38" i="94"/>
  <c r="S33" i="94"/>
  <c r="N33" i="94"/>
  <c r="R34" i="94" s="1"/>
  <c r="V27" i="94"/>
  <c r="V26" i="94"/>
  <c r="V25" i="94"/>
  <c r="V24" i="94"/>
  <c r="V23" i="94"/>
  <c r="V22" i="94"/>
  <c r="V20" i="94"/>
  <c r="V19" i="94"/>
  <c r="V18" i="94"/>
  <c r="R11" i="94"/>
  <c r="R57" i="93"/>
  <c r="W55" i="93"/>
  <c r="U53" i="93"/>
  <c r="E38" i="93"/>
  <c r="S33" i="93"/>
  <c r="N33" i="93"/>
  <c r="I12" i="93" s="1"/>
  <c r="R23" i="93" s="1"/>
  <c r="V27" i="93"/>
  <c r="V26" i="93"/>
  <c r="V25" i="93"/>
  <c r="V24" i="93"/>
  <c r="V23" i="93"/>
  <c r="V22" i="93"/>
  <c r="V20" i="93"/>
  <c r="V19" i="93"/>
  <c r="V18" i="93"/>
  <c r="R11" i="93"/>
  <c r="N17" i="92"/>
  <c r="R57" i="92"/>
  <c r="W55" i="92"/>
  <c r="U53" i="92"/>
  <c r="E38" i="92"/>
  <c r="S33" i="92"/>
  <c r="N33" i="92"/>
  <c r="R34" i="92" s="1"/>
  <c r="V27" i="92"/>
  <c r="V26" i="92"/>
  <c r="V25" i="92"/>
  <c r="V24" i="92"/>
  <c r="V23" i="92"/>
  <c r="V22" i="92"/>
  <c r="V20" i="92"/>
  <c r="V19" i="92"/>
  <c r="V18" i="92"/>
  <c r="R11" i="92"/>
  <c r="N17" i="91"/>
  <c r="N33" i="91"/>
  <c r="I12" i="91" s="1"/>
  <c r="R23" i="91" s="1"/>
  <c r="R57" i="91"/>
  <c r="W55" i="91"/>
  <c r="U53" i="91"/>
  <c r="E38" i="91"/>
  <c r="S33" i="91"/>
  <c r="V27" i="91"/>
  <c r="V26" i="91"/>
  <c r="V25" i="91"/>
  <c r="V24" i="91"/>
  <c r="V23" i="91"/>
  <c r="V22" i="91"/>
  <c r="V20" i="91"/>
  <c r="V19" i="91"/>
  <c r="V18" i="91"/>
  <c r="R11" i="91"/>
  <c r="R57" i="90"/>
  <c r="W55" i="90"/>
  <c r="U53" i="90"/>
  <c r="E38" i="90"/>
  <c r="S33" i="90"/>
  <c r="N33" i="90"/>
  <c r="R34" i="90" s="1"/>
  <c r="V27" i="90"/>
  <c r="V26" i="90"/>
  <c r="V25" i="90"/>
  <c r="V24" i="90"/>
  <c r="V23" i="90"/>
  <c r="V22" i="90"/>
  <c r="V20" i="90"/>
  <c r="V19" i="90"/>
  <c r="V18" i="90"/>
  <c r="R11" i="90"/>
  <c r="I12" i="98" l="1"/>
  <c r="R23" i="98" s="1"/>
  <c r="R34" i="97"/>
  <c r="I12" i="97"/>
  <c r="R23" i="97" s="1"/>
  <c r="N33" i="95"/>
  <c r="I12" i="95" s="1"/>
  <c r="R23" i="95" s="1"/>
  <c r="I12" i="96"/>
  <c r="R23" i="96" s="1"/>
  <c r="R34" i="95"/>
  <c r="I12" i="94"/>
  <c r="R23" i="94" s="1"/>
  <c r="R34" i="93"/>
  <c r="I12" i="92"/>
  <c r="R23" i="92" s="1"/>
  <c r="R34" i="91"/>
  <c r="I12" i="90"/>
  <c r="R23" i="90" s="1"/>
  <c r="R57" i="89" l="1"/>
  <c r="W55" i="89"/>
  <c r="U53" i="89"/>
  <c r="E38" i="89"/>
  <c r="S33" i="89"/>
  <c r="N33" i="89"/>
  <c r="I12" i="89" s="1"/>
  <c r="R23" i="89" s="1"/>
  <c r="V27" i="89"/>
  <c r="V26" i="89"/>
  <c r="V25" i="89"/>
  <c r="V24" i="89"/>
  <c r="V23" i="89"/>
  <c r="V22" i="89"/>
  <c r="V20" i="89"/>
  <c r="V19" i="89"/>
  <c r="V18" i="89"/>
  <c r="R11" i="89"/>
  <c r="R57" i="88"/>
  <c r="W55" i="88"/>
  <c r="U53" i="88"/>
  <c r="E38" i="88"/>
  <c r="S33" i="88"/>
  <c r="N33" i="88"/>
  <c r="R34" i="88" s="1"/>
  <c r="V27" i="88"/>
  <c r="V26" i="88"/>
  <c r="V25" i="88"/>
  <c r="V24" i="88"/>
  <c r="V23" i="88"/>
  <c r="V22" i="88"/>
  <c r="V20" i="88"/>
  <c r="V19" i="88"/>
  <c r="V18" i="88"/>
  <c r="R11" i="88"/>
  <c r="R57" i="87"/>
  <c r="W55" i="87"/>
  <c r="U53" i="87"/>
  <c r="E38" i="87"/>
  <c r="S33" i="87"/>
  <c r="N33" i="87"/>
  <c r="I12" i="87" s="1"/>
  <c r="R23" i="87" s="1"/>
  <c r="V27" i="87"/>
  <c r="V26" i="87"/>
  <c r="V25" i="87"/>
  <c r="V24" i="87"/>
  <c r="V23" i="87"/>
  <c r="V22" i="87"/>
  <c r="V20" i="87"/>
  <c r="V19" i="87"/>
  <c r="V18" i="87"/>
  <c r="R11" i="87"/>
  <c r="N18" i="86"/>
  <c r="N19" i="86"/>
  <c r="R57" i="86"/>
  <c r="W55" i="86"/>
  <c r="U53" i="86"/>
  <c r="E38" i="86"/>
  <c r="S33" i="86"/>
  <c r="N33" i="86"/>
  <c r="R34" i="86" s="1"/>
  <c r="V27" i="86"/>
  <c r="V26" i="86"/>
  <c r="V25" i="86"/>
  <c r="V24" i="86"/>
  <c r="V23" i="86"/>
  <c r="V22" i="86"/>
  <c r="V20" i="86"/>
  <c r="V19" i="86"/>
  <c r="V18" i="86"/>
  <c r="R11" i="86"/>
  <c r="J26" i="81"/>
  <c r="R34" i="89" l="1"/>
  <c r="I12" i="88"/>
  <c r="R23" i="88" s="1"/>
  <c r="R34" i="87"/>
  <c r="I12" i="86"/>
  <c r="R23" i="86" s="1"/>
  <c r="P64" i="85"/>
  <c r="P65" i="85" s="1"/>
  <c r="V55" i="85"/>
  <c r="S49" i="85"/>
  <c r="V49" i="85" s="1"/>
  <c r="V39" i="85"/>
  <c r="V38" i="85"/>
  <c r="E38" i="85"/>
  <c r="V37" i="85"/>
  <c r="R37" i="85"/>
  <c r="V36" i="85"/>
  <c r="V40" i="85" s="1"/>
  <c r="V35" i="85"/>
  <c r="R35" i="85"/>
  <c r="V34" i="85"/>
  <c r="V31" i="85"/>
  <c r="N25" i="85"/>
  <c r="N33" i="85" s="1"/>
  <c r="I12" i="85" s="1"/>
  <c r="S10" i="85"/>
  <c r="V7" i="85"/>
  <c r="J26" i="85" l="1"/>
  <c r="N25" i="84"/>
  <c r="N33" i="84" s="1"/>
  <c r="I12" i="84" s="1"/>
  <c r="P65" i="84"/>
  <c r="P64" i="84"/>
  <c r="V55" i="84"/>
  <c r="S49" i="84"/>
  <c r="V49" i="84" s="1"/>
  <c r="V39" i="84"/>
  <c r="V38" i="84"/>
  <c r="E38" i="84"/>
  <c r="V37" i="84"/>
  <c r="R37" i="84"/>
  <c r="V36" i="84"/>
  <c r="V35" i="84"/>
  <c r="V40" i="84" s="1"/>
  <c r="R35" i="84"/>
  <c r="V34" i="84"/>
  <c r="V31" i="84"/>
  <c r="S10" i="84"/>
  <c r="V7" i="84"/>
  <c r="N21" i="59" l="1"/>
  <c r="J21" i="59"/>
  <c r="J27" i="39" l="1"/>
  <c r="N29" i="39"/>
  <c r="K28" i="39"/>
  <c r="N26" i="39" l="1"/>
  <c r="N33" i="69" l="1"/>
  <c r="N33" i="80" l="1"/>
  <c r="N33" i="54" l="1"/>
  <c r="N33" i="83" l="1"/>
  <c r="R34" i="83" s="1"/>
  <c r="R57" i="83"/>
  <c r="W55" i="83"/>
  <c r="U53" i="83"/>
  <c r="E38" i="83"/>
  <c r="S33" i="83"/>
  <c r="V27" i="83"/>
  <c r="V26" i="83"/>
  <c r="V25" i="83"/>
  <c r="V24" i="83"/>
  <c r="V23" i="83"/>
  <c r="V22" i="83"/>
  <c r="V20" i="83"/>
  <c r="V19" i="83"/>
  <c r="V18" i="83"/>
  <c r="R11" i="83"/>
  <c r="I12" i="83" l="1"/>
  <c r="R23" i="83" s="1"/>
  <c r="N22" i="43"/>
  <c r="N29" i="43" s="1"/>
  <c r="N33" i="59" l="1"/>
  <c r="P65" i="82" l="1"/>
  <c r="P64" i="82"/>
  <c r="V55" i="82"/>
  <c r="S49" i="82"/>
  <c r="V49" i="82" s="1"/>
  <c r="V39" i="82"/>
  <c r="V38" i="82"/>
  <c r="E38" i="82"/>
  <c r="V37" i="82"/>
  <c r="R37" i="82"/>
  <c r="V36" i="82"/>
  <c r="V35" i="82"/>
  <c r="V40" i="82" s="1"/>
  <c r="R35" i="82"/>
  <c r="V34" i="82"/>
  <c r="V31" i="82"/>
  <c r="N25" i="82"/>
  <c r="J26" i="82" s="1"/>
  <c r="S10" i="82"/>
  <c r="V7" i="82"/>
  <c r="N33" i="82" l="1"/>
  <c r="I12" i="82" s="1"/>
  <c r="P65" i="81" l="1"/>
  <c r="P64" i="81"/>
  <c r="V55" i="81"/>
  <c r="V49" i="81"/>
  <c r="S49" i="81"/>
  <c r="V39" i="81"/>
  <c r="V38" i="81"/>
  <c r="E38" i="81"/>
  <c r="V37" i="81"/>
  <c r="R37" i="81"/>
  <c r="V36" i="81"/>
  <c r="V35" i="81"/>
  <c r="R35" i="81"/>
  <c r="V34" i="81"/>
  <c r="V40" i="81" s="1"/>
  <c r="V31" i="81"/>
  <c r="N25" i="81"/>
  <c r="N33" i="81" s="1"/>
  <c r="I12" i="81" s="1"/>
  <c r="S10" i="81"/>
  <c r="V7" i="81"/>
  <c r="N24" i="46"/>
  <c r="N22" i="46"/>
  <c r="K22" i="46"/>
  <c r="J21" i="46"/>
  <c r="N33" i="76" l="1"/>
  <c r="R57" i="80" l="1"/>
  <c r="W55" i="80"/>
  <c r="U53" i="80"/>
  <c r="E38" i="80"/>
  <c r="S33" i="80"/>
  <c r="R34" i="80"/>
  <c r="V27" i="80"/>
  <c r="V26" i="80"/>
  <c r="V25" i="80"/>
  <c r="V24" i="80"/>
  <c r="V23" i="80"/>
  <c r="V22" i="80"/>
  <c r="V20" i="80"/>
  <c r="V19" i="80"/>
  <c r="V18" i="80"/>
  <c r="R11" i="80"/>
  <c r="I12" i="80" l="1"/>
  <c r="R23" i="80" s="1"/>
  <c r="J20" i="49"/>
  <c r="N21" i="49" s="1"/>
  <c r="M18" i="56"/>
  <c r="J26" i="71"/>
  <c r="N25" i="51"/>
  <c r="J26" i="51" l="1"/>
  <c r="K27" i="51" s="1"/>
  <c r="N28" i="51" s="1"/>
  <c r="R58" i="79"/>
  <c r="V56" i="79"/>
  <c r="T54" i="79"/>
  <c r="E38" i="79"/>
  <c r="S35" i="79"/>
  <c r="R33" i="79"/>
  <c r="M26" i="79"/>
  <c r="N25" i="79"/>
  <c r="N33" i="79" s="1"/>
  <c r="I12" i="79" s="1"/>
  <c r="S17" i="79" s="1"/>
  <c r="S14" i="79"/>
  <c r="T13" i="79"/>
  <c r="T12" i="79"/>
  <c r="M19" i="78"/>
  <c r="R57" i="78"/>
  <c r="W55" i="78"/>
  <c r="U53" i="78"/>
  <c r="E38" i="78"/>
  <c r="S33" i="78"/>
  <c r="V27" i="78"/>
  <c r="V26" i="78"/>
  <c r="V25" i="78"/>
  <c r="V24" i="78"/>
  <c r="V23" i="78"/>
  <c r="V22" i="78"/>
  <c r="V20" i="78"/>
  <c r="M20" i="78"/>
  <c r="N17" i="78" s="1"/>
  <c r="N33" i="78" s="1"/>
  <c r="V19" i="78"/>
  <c r="V18" i="78"/>
  <c r="R11" i="78"/>
  <c r="R34" i="78" l="1"/>
  <c r="I12" i="78"/>
  <c r="R23" i="78" s="1"/>
  <c r="R58" i="77" l="1"/>
  <c r="V56" i="77"/>
  <c r="T54" i="77"/>
  <c r="E38" i="77"/>
  <c r="S35" i="77"/>
  <c r="R33" i="77"/>
  <c r="M26" i="77"/>
  <c r="N25" i="77"/>
  <c r="N33" i="77" s="1"/>
  <c r="I12" i="77" s="1"/>
  <c r="S17" i="77" s="1"/>
  <c r="S14" i="77"/>
  <c r="T13" i="77"/>
  <c r="T12" i="77"/>
  <c r="R57" i="76"/>
  <c r="W55" i="76"/>
  <c r="U53" i="76"/>
  <c r="E38" i="76"/>
  <c r="S33" i="76"/>
  <c r="V27" i="76"/>
  <c r="V26" i="76"/>
  <c r="V25" i="76"/>
  <c r="V24" i="76"/>
  <c r="V23" i="76"/>
  <c r="V22" i="76"/>
  <c r="V20" i="76"/>
  <c r="V19" i="76"/>
  <c r="V18" i="76"/>
  <c r="R11" i="76"/>
  <c r="R34" i="76" l="1"/>
  <c r="I12" i="76"/>
  <c r="R23" i="76" s="1"/>
  <c r="P65" i="75" l="1"/>
  <c r="P66" i="75" s="1"/>
  <c r="V56" i="75"/>
  <c r="S50" i="75"/>
  <c r="V50" i="75" s="1"/>
  <c r="V40" i="75"/>
  <c r="V39" i="75"/>
  <c r="E39" i="75"/>
  <c r="V38" i="75"/>
  <c r="V41" i="75" s="1"/>
  <c r="V37" i="75"/>
  <c r="V36" i="75"/>
  <c r="V35" i="75"/>
  <c r="V32" i="75"/>
  <c r="R29" i="75"/>
  <c r="R36" i="75" s="1"/>
  <c r="R38" i="75" s="1"/>
  <c r="N26" i="75"/>
  <c r="S10" i="75"/>
  <c r="V7" i="75"/>
  <c r="J27" i="75" l="1"/>
  <c r="K28" i="75"/>
  <c r="N29" i="75" s="1"/>
  <c r="N34" i="75" s="1"/>
  <c r="I12" i="75" s="1"/>
  <c r="N25" i="74"/>
  <c r="M26" i="74"/>
  <c r="R58" i="74" l="1"/>
  <c r="V56" i="74"/>
  <c r="T54" i="74"/>
  <c r="E38" i="74"/>
  <c r="S35" i="74"/>
  <c r="R33" i="74"/>
  <c r="N33" i="74"/>
  <c r="I12" i="74" s="1"/>
  <c r="S17" i="74" s="1"/>
  <c r="S14" i="74"/>
  <c r="T13" i="74"/>
  <c r="T12" i="74"/>
  <c r="N25" i="71" l="1"/>
  <c r="N33" i="73" l="1"/>
  <c r="J26" i="73"/>
  <c r="P65" i="73"/>
  <c r="P64" i="73"/>
  <c r="V55" i="73"/>
  <c r="S49" i="73"/>
  <c r="V49" i="73" s="1"/>
  <c r="V39" i="73"/>
  <c r="V38" i="73"/>
  <c r="E38" i="73"/>
  <c r="V37" i="73"/>
  <c r="R37" i="73"/>
  <c r="V36" i="73"/>
  <c r="V40" i="73" s="1"/>
  <c r="V35" i="73"/>
  <c r="R35" i="73"/>
  <c r="V34" i="73"/>
  <c r="V31" i="73"/>
  <c r="N25" i="73"/>
  <c r="S10" i="73"/>
  <c r="V7" i="73"/>
  <c r="P64" i="72"/>
  <c r="P65" i="72" s="1"/>
  <c r="V55" i="72"/>
  <c r="S49" i="72"/>
  <c r="V49" i="72" s="1"/>
  <c r="V39" i="72"/>
  <c r="V38" i="72"/>
  <c r="E38" i="72"/>
  <c r="V37" i="72"/>
  <c r="V36" i="72"/>
  <c r="V35" i="72"/>
  <c r="R35" i="72"/>
  <c r="R37" i="72" s="1"/>
  <c r="V34" i="72"/>
  <c r="V31" i="72"/>
  <c r="V40" i="72" s="1"/>
  <c r="N25" i="72"/>
  <c r="J26" i="72" s="1"/>
  <c r="S10" i="72"/>
  <c r="V7" i="72"/>
  <c r="N33" i="72" l="1"/>
  <c r="I12" i="72" s="1"/>
  <c r="I12" i="73"/>
  <c r="P64" i="71"/>
  <c r="P65" i="71" s="1"/>
  <c r="V55" i="71"/>
  <c r="S49" i="71"/>
  <c r="V49" i="71" s="1"/>
  <c r="V39" i="71"/>
  <c r="V38" i="71"/>
  <c r="E38" i="71"/>
  <c r="V37" i="71"/>
  <c r="R37" i="71"/>
  <c r="V36" i="71"/>
  <c r="V40" i="71" s="1"/>
  <c r="V35" i="71"/>
  <c r="R35" i="71"/>
  <c r="V34" i="71"/>
  <c r="V31" i="71"/>
  <c r="N33" i="71"/>
  <c r="I12" i="71" s="1"/>
  <c r="S10" i="71"/>
  <c r="V7" i="71"/>
  <c r="N25" i="61" l="1"/>
  <c r="J26" i="61" s="1"/>
  <c r="R57" i="70"/>
  <c r="W55" i="70"/>
  <c r="U53" i="70"/>
  <c r="E38" i="70"/>
  <c r="S33" i="70"/>
  <c r="N33" i="70"/>
  <c r="R34" i="70" s="1"/>
  <c r="V27" i="70"/>
  <c r="V26" i="70"/>
  <c r="V25" i="70"/>
  <c r="V24" i="70"/>
  <c r="V23" i="70"/>
  <c r="V22" i="70"/>
  <c r="V20" i="70"/>
  <c r="V19" i="70"/>
  <c r="V18" i="70"/>
  <c r="R11" i="70"/>
  <c r="M20" i="68"/>
  <c r="N17" i="68" s="1"/>
  <c r="I12" i="70" l="1"/>
  <c r="R23" i="70" s="1"/>
  <c r="R57" i="69" l="1"/>
  <c r="W55" i="69"/>
  <c r="U53" i="69"/>
  <c r="E38" i="69"/>
  <c r="S33" i="69"/>
  <c r="R34" i="69"/>
  <c r="V27" i="69"/>
  <c r="V26" i="69"/>
  <c r="V25" i="69"/>
  <c r="V24" i="69"/>
  <c r="V23" i="69"/>
  <c r="V22" i="69"/>
  <c r="V20" i="69"/>
  <c r="V19" i="69"/>
  <c r="V18" i="69"/>
  <c r="R11" i="69"/>
  <c r="I12" i="59"/>
  <c r="I12" i="69" l="1"/>
  <c r="R23" i="69" s="1"/>
  <c r="N33" i="61"/>
  <c r="R57" i="68" l="1"/>
  <c r="W55" i="68"/>
  <c r="U53" i="68"/>
  <c r="E38" i="68"/>
  <c r="S33" i="68"/>
  <c r="N33" i="68"/>
  <c r="R34" i="68" s="1"/>
  <c r="V27" i="68"/>
  <c r="V26" i="68"/>
  <c r="V25" i="68"/>
  <c r="V24" i="68"/>
  <c r="V23" i="68"/>
  <c r="V22" i="68"/>
  <c r="V20" i="68"/>
  <c r="V19" i="68"/>
  <c r="V18" i="68"/>
  <c r="R11" i="68"/>
  <c r="R57" i="67"/>
  <c r="W55" i="67"/>
  <c r="U53" i="67"/>
  <c r="E38" i="67"/>
  <c r="S33" i="67"/>
  <c r="N33" i="67"/>
  <c r="R34" i="67" s="1"/>
  <c r="V27" i="67"/>
  <c r="V26" i="67"/>
  <c r="V25" i="67"/>
  <c r="V24" i="67"/>
  <c r="V23" i="67"/>
  <c r="V22" i="67"/>
  <c r="V20" i="67"/>
  <c r="V19" i="67"/>
  <c r="V18" i="67"/>
  <c r="R11" i="67"/>
  <c r="N33" i="56"/>
  <c r="I12" i="68" l="1"/>
  <c r="R23" i="68" s="1"/>
  <c r="I12" i="67"/>
  <c r="R23" i="67" s="1"/>
  <c r="B27" i="26"/>
  <c r="C15" i="66"/>
  <c r="C4" i="66"/>
  <c r="C6" i="66"/>
  <c r="C11" i="66"/>
  <c r="C13" i="66" s="1"/>
  <c r="B12" i="26" l="1"/>
  <c r="B7" i="26"/>
  <c r="B13" i="26" s="1"/>
  <c r="B14" i="26" s="1"/>
  <c r="N33" i="58" l="1"/>
  <c r="I12" i="44"/>
  <c r="N21" i="55"/>
  <c r="M21" i="55"/>
  <c r="M22" i="63" l="1"/>
  <c r="N22" i="63" s="1"/>
  <c r="N25" i="63" s="1"/>
  <c r="P64" i="63"/>
  <c r="P65" i="63" s="1"/>
  <c r="V55" i="63"/>
  <c r="S49" i="63"/>
  <c r="V49" i="63" s="1"/>
  <c r="V39" i="63"/>
  <c r="V38" i="63"/>
  <c r="E38" i="63"/>
  <c r="V37" i="63"/>
  <c r="V36" i="63"/>
  <c r="V35" i="63"/>
  <c r="R35" i="63"/>
  <c r="R37" i="63" s="1"/>
  <c r="V34" i="63"/>
  <c r="V40" i="63" s="1"/>
  <c r="V31" i="63"/>
  <c r="S10" i="63"/>
  <c r="V7" i="63"/>
  <c r="N33" i="63" l="1"/>
  <c r="I12" i="63" s="1"/>
  <c r="P64" i="61"/>
  <c r="P65" i="61" s="1"/>
  <c r="V55" i="61"/>
  <c r="V49" i="61"/>
  <c r="S49" i="61"/>
  <c r="V39" i="61"/>
  <c r="V38" i="61"/>
  <c r="E38" i="61"/>
  <c r="V37" i="61"/>
  <c r="V36" i="61"/>
  <c r="V35" i="61"/>
  <c r="R35" i="61"/>
  <c r="R37" i="61" s="1"/>
  <c r="V34" i="61"/>
  <c r="V40" i="61" s="1"/>
  <c r="V31" i="61"/>
  <c r="S10" i="61"/>
  <c r="V7" i="61"/>
  <c r="R57" i="60"/>
  <c r="W55" i="60"/>
  <c r="U53" i="60"/>
  <c r="E38" i="60"/>
  <c r="S33" i="60"/>
  <c r="N33" i="60"/>
  <c r="R34" i="60" s="1"/>
  <c r="V27" i="60"/>
  <c r="V26" i="60"/>
  <c r="V25" i="60"/>
  <c r="V24" i="60"/>
  <c r="V23" i="60"/>
  <c r="V22" i="60"/>
  <c r="V20" i="60"/>
  <c r="V19" i="60"/>
  <c r="V18" i="60"/>
  <c r="R12" i="60"/>
  <c r="R13" i="60" s="1"/>
  <c r="I12" i="61" l="1"/>
  <c r="I12" i="60"/>
  <c r="R23" i="60" s="1"/>
  <c r="R57" i="59" l="1"/>
  <c r="W55" i="59"/>
  <c r="U53" i="59"/>
  <c r="E38" i="59"/>
  <c r="S33" i="59"/>
  <c r="V27" i="59"/>
  <c r="V26" i="59"/>
  <c r="V25" i="59"/>
  <c r="V24" i="59"/>
  <c r="V23" i="59"/>
  <c r="V22" i="59"/>
  <c r="V20" i="59"/>
  <c r="V19" i="59"/>
  <c r="V18" i="59"/>
  <c r="R11" i="59"/>
  <c r="R34" i="59" l="1"/>
  <c r="R23" i="59"/>
  <c r="R34" i="58"/>
  <c r="R57" i="58"/>
  <c r="W55" i="58"/>
  <c r="U53" i="58"/>
  <c r="E38" i="58"/>
  <c r="S33" i="58"/>
  <c r="V27" i="58"/>
  <c r="V26" i="58"/>
  <c r="V25" i="58"/>
  <c r="V24" i="58"/>
  <c r="V23" i="58"/>
  <c r="V22" i="58"/>
  <c r="V20" i="58"/>
  <c r="V19" i="58"/>
  <c r="V18" i="58"/>
  <c r="R12" i="58"/>
  <c r="R13" i="58" s="1"/>
  <c r="I12" i="58" l="1"/>
  <c r="R23" i="58" s="1"/>
  <c r="R11" i="54" l="1"/>
  <c r="R57" i="57" l="1"/>
  <c r="W55" i="57"/>
  <c r="U53" i="57"/>
  <c r="E38" i="57"/>
  <c r="S33" i="57"/>
  <c r="N33" i="57"/>
  <c r="V27" i="57"/>
  <c r="V26" i="57"/>
  <c r="V25" i="57"/>
  <c r="V24" i="57"/>
  <c r="V23" i="57"/>
  <c r="V22" i="57"/>
  <c r="V20" i="57"/>
  <c r="V19" i="57"/>
  <c r="V18" i="57"/>
  <c r="R12" i="57"/>
  <c r="R13" i="57" s="1"/>
  <c r="R57" i="56"/>
  <c r="W55" i="56"/>
  <c r="U53" i="56"/>
  <c r="E38" i="56"/>
  <c r="S33" i="56"/>
  <c r="I12" i="56"/>
  <c r="R23" i="56" s="1"/>
  <c r="V27" i="56"/>
  <c r="V26" i="56"/>
  <c r="V25" i="56"/>
  <c r="V24" i="56"/>
  <c r="V23" i="56"/>
  <c r="V22" i="56"/>
  <c r="V20" i="56"/>
  <c r="V19" i="56"/>
  <c r="V18" i="56"/>
  <c r="R13" i="56"/>
  <c r="R12" i="56"/>
  <c r="R13" i="55"/>
  <c r="R12" i="55"/>
  <c r="R34" i="56" l="1"/>
  <c r="R34" i="57"/>
  <c r="I12" i="57"/>
  <c r="R23" i="57" s="1"/>
  <c r="R57" i="55"/>
  <c r="W55" i="55"/>
  <c r="U53" i="55"/>
  <c r="E38" i="55"/>
  <c r="S33" i="55"/>
  <c r="N33" i="55"/>
  <c r="I12" i="55" s="1"/>
  <c r="V27" i="55"/>
  <c r="V26" i="55"/>
  <c r="V25" i="55"/>
  <c r="V24" i="55"/>
  <c r="V23" i="55"/>
  <c r="V22" i="55"/>
  <c r="V20" i="55"/>
  <c r="V19" i="55"/>
  <c r="V18" i="55"/>
  <c r="R34" i="55" l="1"/>
  <c r="R23" i="55"/>
  <c r="R57" i="54"/>
  <c r="W55" i="54"/>
  <c r="U53" i="54"/>
  <c r="E38" i="54"/>
  <c r="S33" i="54"/>
  <c r="I12" i="54"/>
  <c r="V27" i="54"/>
  <c r="V26" i="54"/>
  <c r="V25" i="54"/>
  <c r="V24" i="54"/>
  <c r="V23" i="54"/>
  <c r="V22" i="54"/>
  <c r="V20" i="54"/>
  <c r="V19" i="54"/>
  <c r="V18" i="54"/>
  <c r="R34" i="54" l="1"/>
  <c r="R23" i="54"/>
  <c r="R29" i="43" l="1"/>
  <c r="B505" i="26" l="1"/>
  <c r="B506" i="26" s="1"/>
  <c r="M20" i="52"/>
  <c r="N21" i="52" s="1"/>
  <c r="R57" i="52" l="1"/>
  <c r="W55" i="52"/>
  <c r="U53" i="52"/>
  <c r="E38" i="52"/>
  <c r="S33" i="52"/>
  <c r="N33" i="52"/>
  <c r="R34" i="52" s="1"/>
  <c r="V27" i="52"/>
  <c r="V26" i="52"/>
  <c r="V25" i="52"/>
  <c r="V24" i="52"/>
  <c r="V23" i="52"/>
  <c r="V22" i="52"/>
  <c r="V20" i="52"/>
  <c r="V19" i="52"/>
  <c r="V18" i="52"/>
  <c r="I12" i="52" l="1"/>
  <c r="R23" i="52" s="1"/>
  <c r="R29" i="39" l="1"/>
  <c r="D490" i="26" l="1"/>
  <c r="D491" i="26" s="1"/>
  <c r="D478" i="26" l="1"/>
  <c r="D480" i="26" s="1"/>
  <c r="D481" i="26" s="1"/>
  <c r="S22" i="43" l="1"/>
  <c r="D463" i="26" l="1"/>
  <c r="E463" i="26"/>
  <c r="E462" i="26"/>
  <c r="E464" i="26" s="1"/>
  <c r="D464" i="26"/>
  <c r="D465" i="26"/>
  <c r="D458" i="26" l="1"/>
  <c r="D449" i="26" l="1"/>
  <c r="D452" i="26" s="1"/>
  <c r="D453" i="26" l="1"/>
  <c r="D434" i="26" l="1"/>
  <c r="E433" i="26" l="1"/>
  <c r="D437" i="26"/>
  <c r="D438" i="26" s="1"/>
  <c r="N32" i="46" l="1"/>
  <c r="D414" i="26" l="1"/>
  <c r="D416" i="26" s="1"/>
  <c r="D395" i="26" l="1"/>
  <c r="D391" i="26"/>
  <c r="D399" i="26" l="1"/>
  <c r="D401" i="26" s="1"/>
  <c r="R15" i="46" l="1"/>
  <c r="D383" i="26" l="1"/>
  <c r="D371" i="26"/>
  <c r="D382" i="26"/>
  <c r="D384" i="26" l="1"/>
  <c r="D370" i="26"/>
  <c r="D372" i="26" s="1"/>
  <c r="D374" i="26" s="1"/>
  <c r="E384" i="26" l="1"/>
  <c r="D350" i="26"/>
  <c r="D352" i="26" s="1"/>
  <c r="D319" i="26" l="1"/>
  <c r="D324" i="26" s="1"/>
  <c r="D326" i="26" s="1"/>
  <c r="D306" i="26" l="1"/>
  <c r="D308" i="26" s="1"/>
  <c r="D288" i="26" l="1"/>
  <c r="D290" i="26" s="1"/>
  <c r="D292" i="26" s="1"/>
  <c r="E292" i="26" s="1"/>
  <c r="V19" i="44" l="1"/>
  <c r="V20" i="44"/>
  <c r="V22" i="44"/>
  <c r="V23" i="44"/>
  <c r="V24" i="44"/>
  <c r="V25" i="44"/>
  <c r="V26" i="44"/>
  <c r="V27" i="44"/>
  <c r="V18" i="44"/>
  <c r="N33" i="44"/>
  <c r="R23" i="44" s="1"/>
  <c r="P64" i="51" l="1"/>
  <c r="P65" i="51" s="1"/>
  <c r="V55" i="51"/>
  <c r="S49" i="51"/>
  <c r="V49" i="51" s="1"/>
  <c r="V39" i="51"/>
  <c r="V38" i="51"/>
  <c r="E38" i="51"/>
  <c r="V37" i="51"/>
  <c r="V36" i="51"/>
  <c r="V35" i="51"/>
  <c r="R35" i="51"/>
  <c r="R37" i="51" s="1"/>
  <c r="V34" i="51"/>
  <c r="V31" i="51"/>
  <c r="S10" i="51"/>
  <c r="V7" i="51"/>
  <c r="V40" i="51" l="1"/>
  <c r="N33" i="51"/>
  <c r="I12" i="51" s="1"/>
  <c r="N33" i="47" l="1"/>
  <c r="I12" i="47" s="1"/>
  <c r="D271" i="26" l="1"/>
  <c r="D274" i="26" s="1"/>
  <c r="R34" i="44" l="1"/>
  <c r="S33" i="44" l="1"/>
  <c r="D256" i="26" l="1"/>
  <c r="D258" i="26" s="1"/>
  <c r="R17" i="46" l="1"/>
  <c r="R61" i="50" l="1"/>
  <c r="V59" i="50"/>
  <c r="T57" i="50"/>
  <c r="E41" i="50"/>
  <c r="R36" i="50"/>
  <c r="L26" i="50"/>
  <c r="M27" i="50" s="1"/>
  <c r="M29" i="50" s="1"/>
  <c r="N22" i="50"/>
  <c r="T17" i="50"/>
  <c r="T15" i="50"/>
  <c r="S14" i="50"/>
  <c r="T13" i="50"/>
  <c r="T12" i="50"/>
  <c r="N36" i="50" l="1"/>
  <c r="I12" i="50" s="1"/>
  <c r="S17" i="50" s="1"/>
  <c r="N31" i="49"/>
  <c r="I12" i="49" s="1"/>
  <c r="P62" i="49"/>
  <c r="P63" i="49" s="1"/>
  <c r="V53" i="49"/>
  <c r="S47" i="49"/>
  <c r="V47" i="49" s="1"/>
  <c r="V37" i="49"/>
  <c r="V36" i="49"/>
  <c r="E36" i="49"/>
  <c r="V35" i="49"/>
  <c r="R35" i="49"/>
  <c r="V34" i="49"/>
  <c r="V33" i="49"/>
  <c r="R33" i="49"/>
  <c r="V32" i="49"/>
  <c r="V29" i="49"/>
  <c r="S10" i="49"/>
  <c r="V7" i="49"/>
  <c r="V38" i="49" l="1"/>
  <c r="D225" i="26"/>
  <c r="D222" i="26"/>
  <c r="E221" i="26"/>
  <c r="E223" i="26" s="1"/>
  <c r="S35" i="47" l="1"/>
  <c r="N42" i="43" l="1"/>
  <c r="I12" i="43" s="1"/>
  <c r="S17" i="47" l="1"/>
  <c r="R58" i="47"/>
  <c r="V56" i="47"/>
  <c r="T54" i="47"/>
  <c r="E38" i="47"/>
  <c r="R33" i="47"/>
  <c r="S14" i="47"/>
  <c r="T13" i="47"/>
  <c r="T12" i="47"/>
  <c r="P63" i="46" l="1"/>
  <c r="P64" i="46" s="1"/>
  <c r="V54" i="46"/>
  <c r="S48" i="46"/>
  <c r="V48" i="46" s="1"/>
  <c r="V38" i="46"/>
  <c r="V37" i="46"/>
  <c r="E37" i="46"/>
  <c r="V36" i="46"/>
  <c r="V35" i="46"/>
  <c r="V34" i="46"/>
  <c r="R34" i="46"/>
  <c r="R36" i="46" s="1"/>
  <c r="V33" i="46"/>
  <c r="V30" i="46"/>
  <c r="S10" i="46"/>
  <c r="V7" i="46"/>
  <c r="V39" i="46" l="1"/>
  <c r="I12" i="46"/>
  <c r="D213" i="26" l="1"/>
  <c r="D206" i="26"/>
  <c r="D208" i="26" s="1"/>
  <c r="D184" i="26" l="1"/>
  <c r="D186" i="26" s="1"/>
  <c r="P65" i="39" l="1"/>
  <c r="P66" i="39" s="1"/>
  <c r="D163" i="26"/>
  <c r="D165" i="26" s="1"/>
  <c r="N34" i="39" l="1"/>
  <c r="I12" i="39" s="1"/>
  <c r="R57" i="44"/>
  <c r="W55" i="44"/>
  <c r="U53" i="44"/>
  <c r="E38" i="44"/>
  <c r="R64" i="43"/>
  <c r="V62" i="43"/>
  <c r="T60" i="43"/>
  <c r="E47" i="43"/>
  <c r="R41" i="43"/>
  <c r="S14" i="43"/>
  <c r="S17" i="43" l="1"/>
  <c r="D139" i="26" l="1"/>
  <c r="D141" i="26" s="1"/>
  <c r="D119" i="26" l="1"/>
  <c r="R36" i="39" l="1"/>
  <c r="R38" i="39" s="1"/>
  <c r="H123" i="26" l="1"/>
  <c r="H102" i="26" l="1"/>
  <c r="H97" i="26" l="1"/>
  <c r="V56" i="39" l="1"/>
  <c r="S50" i="39"/>
  <c r="V50" i="39" s="1"/>
  <c r="V40" i="39"/>
  <c r="V39" i="39"/>
  <c r="E39" i="39"/>
  <c r="V38" i="39"/>
  <c r="V37" i="39"/>
  <c r="V36" i="39"/>
  <c r="V35" i="39"/>
  <c r="V32" i="39"/>
  <c r="S10" i="39"/>
  <c r="V7" i="39"/>
  <c r="V41" i="39" l="1"/>
  <c r="H92" i="26" l="1"/>
  <c r="H88" i="26" l="1"/>
  <c r="H72" i="26" l="1"/>
  <c r="H83" i="26"/>
  <c r="H65" i="26" l="1"/>
  <c r="I68" i="26" l="1"/>
  <c r="H61" i="26"/>
  <c r="H55" i="26" l="1"/>
  <c r="H49" i="26" l="1"/>
  <c r="H43" i="26" l="1"/>
  <c r="H36" i="26" l="1"/>
  <c r="D61" i="26" l="1"/>
  <c r="D62" i="26" s="1"/>
  <c r="D63" i="26" l="1"/>
  <c r="E23" i="26"/>
  <c r="E16" i="26"/>
  <c r="H29" i="26" l="1"/>
  <c r="H23" i="26" l="1"/>
  <c r="H19" i="26" l="1"/>
  <c r="H15" i="26" l="1"/>
  <c r="H11" i="26" l="1"/>
  <c r="H7" i="26" l="1"/>
  <c r="E10" i="26"/>
  <c r="D236" i="26" l="1"/>
  <c r="D238" i="26" s="1"/>
  <c r="E222" i="26"/>
</calcChain>
</file>

<file path=xl/sharedStrings.xml><?xml version="1.0" encoding="utf-8"?>
<sst xmlns="http://schemas.openxmlformats.org/spreadsheetml/2006/main" count="4406" uniqueCount="731">
  <si>
    <t>KOPERASI PEGAWAI BIRO KLASIFIKASI INDONESIA</t>
  </si>
  <si>
    <t>PERMINTAAN PEMBAYARAN</t>
  </si>
  <si>
    <t>Unit Kerja</t>
  </si>
  <si>
    <t>Tanggal Permintaan</t>
  </si>
  <si>
    <t>Dibayarkan Kepada</t>
  </si>
  <si>
    <t>Jumlah</t>
  </si>
  <si>
    <t>Bukti - bukti pembayaran</t>
  </si>
  <si>
    <t>:</t>
  </si>
  <si>
    <t>Jumlah (Rp.)</t>
  </si>
  <si>
    <t>TOTAL</t>
  </si>
  <si>
    <t>Mengetahui</t>
  </si>
  <si>
    <t>Dibuat tgl</t>
  </si>
  <si>
    <t xml:space="preserve">Verifikasi tgl </t>
  </si>
  <si>
    <t>Terbilang :</t>
  </si>
  <si>
    <t>No</t>
  </si>
  <si>
    <t>(</t>
  </si>
  <si>
    <t>)</t>
  </si>
  <si>
    <t>Koperasi Pegawai Biro Klasifikasi Indonesia</t>
  </si>
  <si>
    <t>Sulaeman</t>
  </si>
  <si>
    <t>Terlampir</t>
  </si>
  <si>
    <t>-</t>
  </si>
  <si>
    <t xml:space="preserve">  </t>
  </si>
  <si>
    <t xml:space="preserve"> </t>
  </si>
  <si>
    <t>Bank BJB</t>
  </si>
  <si>
    <t>Shaidatun Rohmah</t>
  </si>
  <si>
    <t xml:space="preserve">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</si>
  <si>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</si>
  <si>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</si>
  <si>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>010.003-20.85251970</t>
  </si>
  <si>
    <t>ATK</t>
  </si>
  <si>
    <t>Mandiri (Pinjaman)</t>
  </si>
  <si>
    <t>Syariah Mandiri (Pinjaman)</t>
  </si>
  <si>
    <t>BRI Syariah (Pinjaman)</t>
  </si>
  <si>
    <t>Mandiri (Leasing MUF)</t>
  </si>
  <si>
    <t xml:space="preserve">BJB (Pinjaman </t>
  </si>
  <si>
    <t>Petty Cash</t>
  </si>
  <si>
    <t>ATK (Tinta Koperasi)</t>
  </si>
  <si>
    <t>Pemb. Oli</t>
  </si>
  <si>
    <t>Perpanjangan STNK/ Pinjaman Sementara Nassarudin</t>
  </si>
  <si>
    <t>PPh 21/ 25</t>
  </si>
  <si>
    <t>WIFI, TELPHONE, BPJS, dan DPLK Pegawai</t>
  </si>
  <si>
    <t>Denda Pajak PPh 21/25 dan PPN</t>
  </si>
  <si>
    <t>Pengembalian Simpanan Anggota</t>
  </si>
  <si>
    <t>Petty Cash, Printer, Service Expander</t>
  </si>
  <si>
    <t>PNBP Sertifikat Kapal</t>
  </si>
  <si>
    <t xml:space="preserve">Pembayaran PPh 23 Sewa Kendaraan </t>
  </si>
  <si>
    <t>Sewa Software Akuntansi</t>
  </si>
  <si>
    <t>By Leasing Agus Widjaja</t>
  </si>
  <si>
    <t>Gaji bulan April</t>
  </si>
  <si>
    <t>Penukaran Uang / Pinjaman Sementara</t>
  </si>
  <si>
    <t>Mandiri Syariah</t>
  </si>
  <si>
    <t>BRI Syariah</t>
  </si>
  <si>
    <t>Bank Mandiri</t>
  </si>
  <si>
    <t>Angsuran Leasing MUF</t>
  </si>
  <si>
    <t>PPn 10%</t>
  </si>
  <si>
    <t>JUMLAH</t>
  </si>
  <si>
    <t>RTGS BANK</t>
  </si>
  <si>
    <t>LEASING MITSUI</t>
  </si>
  <si>
    <t>SLAMET DAN TRANSPORT</t>
  </si>
  <si>
    <t>STNK PAK TOTOK</t>
  </si>
  <si>
    <t xml:space="preserve">STNK B 2245 UKC &amp; B 2238 UKC </t>
  </si>
  <si>
    <t>B 2457 UKA / PINJAMAN SEMENTARA WIYONO</t>
  </si>
  <si>
    <t>DANSOS MASJID</t>
  </si>
  <si>
    <t>Pengurusan Sertifikat Kapal / Dermawan</t>
  </si>
  <si>
    <t xml:space="preserve">Perpanjang STNK Kendaraan </t>
  </si>
  <si>
    <t>Dirjend Pajak</t>
  </si>
  <si>
    <t>COOLER INDOGROSIR</t>
  </si>
  <si>
    <t>STNK B 2213 UKA</t>
  </si>
  <si>
    <t>PPH 23</t>
  </si>
  <si>
    <t>Pengantian Dana Statutoty</t>
  </si>
  <si>
    <t>Pembayaran PNBP Sertifikat Kapal / Sudah dibayar Statutory</t>
  </si>
  <si>
    <t>Petty Cash &amp; Uang Cuti Pak Leman</t>
  </si>
  <si>
    <t>PNBP SERTIFIKAT KAPAL</t>
  </si>
  <si>
    <t>TRANSPORT RAPAT DAN PEMBELIAN BENSIN</t>
  </si>
  <si>
    <t>Wahidin</t>
  </si>
  <si>
    <t>STP PPN tahun 2017</t>
  </si>
  <si>
    <t>STP PPh Tahun 2021</t>
  </si>
  <si>
    <t>PPN MASA BULAN DESEMBER 2021</t>
  </si>
  <si>
    <t>Tagihan Cetak KOP / SPP 011</t>
  </si>
  <si>
    <t>Tagihan Aqua Nov - Des / SPP 012</t>
  </si>
  <si>
    <t>Pengiriman Dok Via TIKI / SPP 013</t>
  </si>
  <si>
    <t>Tagihan Service Kend. Astrido / SPP 014</t>
  </si>
  <si>
    <t>Tagihan ATK ENDAH / SPP 015</t>
  </si>
  <si>
    <t xml:space="preserve">PNBP SERTIFIKAT KAPAL </t>
  </si>
  <si>
    <t xml:space="preserve">BY TENAGA KERJA / PENGURUSAN SERTIFIKAT </t>
  </si>
  <si>
    <t xml:space="preserve">ANGSRUAN LEASING 2 KONTRAK </t>
  </si>
  <si>
    <t xml:space="preserve">ANGGARAN PEMBELIAN ACCU B 2351 UKL DAN B 2551 UKS </t>
  </si>
  <si>
    <t>s</t>
  </si>
  <si>
    <t>ANGSURAN LEASING ACC</t>
  </si>
  <si>
    <t>ANGGARAN PEMBELIAN ACCU AVANZA B 2689 UOO</t>
  </si>
  <si>
    <t>Anggaran Ban Kendaraan Avanza B 2332 UOO / SPP 350</t>
  </si>
  <si>
    <t>Pengisian Petty Cash dan Anggaran Materai / SPP 355</t>
  </si>
  <si>
    <t>Total Bayar</t>
  </si>
  <si>
    <t>10 Innova &amp; 7 Xpander Cross</t>
  </si>
  <si>
    <t>3 Innova &amp; 23 Xpander Cross</t>
  </si>
  <si>
    <t>3 Innova &amp; 2 Xpander Cross</t>
  </si>
  <si>
    <t>1 Unit Xpander Cross</t>
  </si>
  <si>
    <t>TAFS 9544</t>
  </si>
  <si>
    <t>TAFS 0682</t>
  </si>
  <si>
    <t>TAFS 2976</t>
  </si>
  <si>
    <t>AQUA</t>
  </si>
  <si>
    <t>INTEGRA</t>
  </si>
  <si>
    <t>ENDAH ATK</t>
  </si>
  <si>
    <t xml:space="preserve">JNE </t>
  </si>
  <si>
    <t>EFCE</t>
  </si>
  <si>
    <t>PPH 23 EFCE</t>
  </si>
  <si>
    <t>ASTRIDO</t>
  </si>
  <si>
    <t>PPH 23 ASTRIDO</t>
  </si>
  <si>
    <t>ANDRINUSA JULI</t>
  </si>
  <si>
    <t>PPH 23 ANDRINUSA</t>
  </si>
  <si>
    <t>FILANDI FC</t>
  </si>
  <si>
    <t>PPH 23 FILANDI</t>
  </si>
  <si>
    <t>KERTAS DATA SCRIPT</t>
  </si>
  <si>
    <t>JNE</t>
  </si>
  <si>
    <t>TAFS</t>
  </si>
  <si>
    <t>Astrido / Service</t>
  </si>
  <si>
    <t>Pajak PPh 23 Astrido</t>
  </si>
  <si>
    <t>Filandi</t>
  </si>
  <si>
    <t>Pajak PPh 23 Filandi</t>
  </si>
  <si>
    <t>Tirta / Aqua</t>
  </si>
  <si>
    <t>Integra/ Tinta</t>
  </si>
  <si>
    <t>Endah Makmur / ATK</t>
  </si>
  <si>
    <t>DIPO</t>
  </si>
  <si>
    <t>Anggaran ATK</t>
  </si>
  <si>
    <t>PT ANDRINUSA UTAMAINDAH</t>
  </si>
  <si>
    <t>Pembayaran Biaya Sewa Kendaraan bulan Agustus  2022</t>
  </si>
  <si>
    <t>DIPO LEASING 4 UNIT</t>
  </si>
  <si>
    <t>DIPO 1 UNIT</t>
  </si>
  <si>
    <t>LEASING TAFS 1 AVANZA</t>
  </si>
  <si>
    <t xml:space="preserve">LEASING TAFS 2 UNIT AVANZA </t>
  </si>
  <si>
    <t>PPN OKTOBER 2022</t>
  </si>
  <si>
    <t xml:space="preserve">PPH 23 FILANDI </t>
  </si>
  <si>
    <t>PPH 23 ANDRINUSA UTAMAINDAH</t>
  </si>
  <si>
    <t xml:space="preserve">Astrido bulan Oktober </t>
  </si>
  <si>
    <t xml:space="preserve">Filandi September </t>
  </si>
  <si>
    <t>ANDRINUSA BULAN AGUSTUS</t>
  </si>
  <si>
    <t>ENDAH MAKMUR</t>
  </si>
  <si>
    <t>TINTA INTEGRA</t>
  </si>
  <si>
    <t>TIRTA INVESTAMA - AQUA</t>
  </si>
  <si>
    <t>SALDO BNI</t>
  </si>
  <si>
    <t>SISA SALDO</t>
  </si>
  <si>
    <t>No. Akun</t>
  </si>
  <si>
    <t>Keterangan Pembayaran</t>
  </si>
  <si>
    <t>3101.001</t>
  </si>
  <si>
    <t>Simpanan Wajib</t>
  </si>
  <si>
    <t>Simpanan Khusus</t>
  </si>
  <si>
    <t>3102.001</t>
  </si>
  <si>
    <t>3103.001</t>
  </si>
  <si>
    <t>2108.001</t>
  </si>
  <si>
    <t>1107.004</t>
  </si>
  <si>
    <t>Pinjaman Anggota</t>
  </si>
  <si>
    <t>PPH 25</t>
  </si>
  <si>
    <t>PPH 21</t>
  </si>
  <si>
    <t>BPJS KES</t>
  </si>
  <si>
    <t>BPJS TK</t>
  </si>
  <si>
    <t xml:space="preserve">PNBP </t>
  </si>
  <si>
    <t>DANSOS MASJID BKI</t>
  </si>
  <si>
    <t>SOFTWARE</t>
  </si>
  <si>
    <t>Total</t>
  </si>
  <si>
    <t>2101.001</t>
  </si>
  <si>
    <t>1107.001</t>
  </si>
  <si>
    <t>PPN Masukan</t>
  </si>
  <si>
    <t>2106.002</t>
  </si>
  <si>
    <t>DPP</t>
  </si>
  <si>
    <t>PPH 23 (Perhitungan Dari DPP)</t>
  </si>
  <si>
    <t>1103.001</t>
  </si>
  <si>
    <t>PPH 23 SEWA KENDARAAN</t>
  </si>
  <si>
    <t>PENGEMBALIAN SIMPANAN ANGGOTA</t>
  </si>
  <si>
    <t>PPH FINAL PENGEMBALIAN SIMPANAN</t>
  </si>
  <si>
    <t>PENGEMBALIAN PINJAMAN ANGGOTA</t>
  </si>
  <si>
    <t xml:space="preserve">PENGEMBALIAN DANA BLOKIRAN </t>
  </si>
  <si>
    <t>DPLK</t>
  </si>
  <si>
    <t>LEASING TAFS 0682</t>
  </si>
  <si>
    <t>LEASING TAFS 9544</t>
  </si>
  <si>
    <t>LEASING TAFS 2976</t>
  </si>
  <si>
    <t xml:space="preserve">PPN NOVEMBER </t>
  </si>
  <si>
    <t>ANGGARAN ATK</t>
  </si>
  <si>
    <t>RIDWAN</t>
  </si>
  <si>
    <t xml:space="preserve">DIPO 4 UNIT </t>
  </si>
  <si>
    <t>BSI</t>
  </si>
  <si>
    <t>MANDIRI</t>
  </si>
  <si>
    <t>MANDIRI - MUF</t>
  </si>
  <si>
    <t>PINJAMAN ANGGOTA</t>
  </si>
  <si>
    <t>PINJAMAN RACHMAT KURNIAWAN</t>
  </si>
  <si>
    <t xml:space="preserve">PELUNASAN PINJAMAN KHUSUS </t>
  </si>
  <si>
    <t>Potongan Adm</t>
  </si>
  <si>
    <t>Total Jasa Service untuk Pemotongan PPH 23</t>
  </si>
  <si>
    <t xml:space="preserve">Total Jasa  </t>
  </si>
  <si>
    <t>1103.002</t>
  </si>
  <si>
    <t>Andrinusa</t>
  </si>
  <si>
    <t>Endah Makmur</t>
  </si>
  <si>
    <t>Aqua</t>
  </si>
  <si>
    <t>Astrido</t>
  </si>
  <si>
    <t xml:space="preserve">EFCE Software </t>
  </si>
  <si>
    <t>Rapel Uang Kompensasi Gaji Karyawan</t>
  </si>
  <si>
    <t>Saldo Akhir</t>
  </si>
  <si>
    <t>RENCANA PEMBAYARAN PIHAK KE TIGA BULAN FEBRUARI 2023</t>
  </si>
  <si>
    <t>Astrido Jaya Mobilindo</t>
  </si>
  <si>
    <t>Total Pengembalian Simpanan</t>
  </si>
  <si>
    <t xml:space="preserve">Total Tagihan </t>
  </si>
  <si>
    <t>Total Bayar (Total Tagihan - PPh 23)</t>
  </si>
  <si>
    <t>No Telphone</t>
  </si>
  <si>
    <t>(021) 4359224</t>
  </si>
  <si>
    <t>ADI IMAN PATRIA</t>
  </si>
  <si>
    <t>BAYU MAHARDIKA W</t>
  </si>
  <si>
    <t>WAHIDIN</t>
  </si>
  <si>
    <t>SUDARMAN</t>
  </si>
  <si>
    <t>KANTOR</t>
  </si>
  <si>
    <t>0812-9409-607</t>
  </si>
  <si>
    <t>0812-8988-8084</t>
  </si>
  <si>
    <t>0813-8114-5600</t>
  </si>
  <si>
    <t>0812-9537-0818</t>
  </si>
  <si>
    <t>128/KOPEG/SPP/III/2023</t>
  </si>
  <si>
    <t xml:space="preserve">CV Anugerah Prima Solusi </t>
  </si>
  <si>
    <t>5201.014</t>
  </si>
  <si>
    <t xml:space="preserve">Fee Adm SPT Tahunan </t>
  </si>
  <si>
    <t>Fee Pembetulan SPT PPN (Okt s/d Des 2018)</t>
  </si>
  <si>
    <t>Fee Pembetulan SPT PPH pasal 23 masa Desember 2018</t>
  </si>
  <si>
    <t>Fee Jasa Pembetulan SPT PPh 4 Ayat (2) Masa Des 2018</t>
  </si>
  <si>
    <t xml:space="preserve">Pemotongan PPH 23 atas Jasa </t>
  </si>
  <si>
    <t xml:space="preserve">PPh 23 Atas Invoice sebelumnya </t>
  </si>
  <si>
    <t>Pembayaran Konsultan Pajak Inv 140/INV-APS/III/2023</t>
  </si>
  <si>
    <t>PPh 23 Atas Inv 140/INV-APS/III/2023</t>
  </si>
  <si>
    <t>Total Tagihan</t>
  </si>
  <si>
    <t>PPh 23 yang sudah dibayarkan sebelumnya (SPP 119)</t>
  </si>
  <si>
    <t>PPh 23 (Kurang Bayar) / Untuk Dirjend Pajak</t>
  </si>
  <si>
    <t>Sebelas Juta Enam Ratus Ribu Rupiah</t>
  </si>
  <si>
    <t xml:space="preserve">PPh 23 (Harus Bayar) / Untuk memotong tagihan </t>
  </si>
  <si>
    <t xml:space="preserve">Pinjaman Reguler </t>
  </si>
  <si>
    <t>BPJS Tk</t>
  </si>
  <si>
    <t>BPJS Kes</t>
  </si>
  <si>
    <t>PNBP</t>
  </si>
  <si>
    <t>Dana Blokiran Anggota</t>
  </si>
  <si>
    <t>Simpanan Anggota</t>
  </si>
  <si>
    <t>PPH Final</t>
  </si>
  <si>
    <t>Simpanan Pak Taufik H</t>
  </si>
  <si>
    <t>To</t>
  </si>
  <si>
    <t>ZUL FAJRIN ADZIN</t>
  </si>
  <si>
    <t>ANDRINUSA</t>
  </si>
  <si>
    <t>PPH Final Pasal 4 ayat 1</t>
  </si>
  <si>
    <t xml:space="preserve">PT. TANJUNG BANDUNG SERUNI </t>
  </si>
  <si>
    <t xml:space="preserve">SALDO BNI </t>
  </si>
  <si>
    <t xml:space="preserve">DIPO LEASING 4 UNIT </t>
  </si>
  <si>
    <t>DIPO LEASING 1 UNIT</t>
  </si>
  <si>
    <t xml:space="preserve">LEASING TAF 1 UNIT AVANZA </t>
  </si>
  <si>
    <t xml:space="preserve">RTGS PINJAMAN MANDIRI </t>
  </si>
  <si>
    <t>LEASING TAF 2 UNIT AVANZA</t>
  </si>
  <si>
    <t xml:space="preserve">PBK BNI KE MANDIRI </t>
  </si>
  <si>
    <t xml:space="preserve">PENGEMBALIAN SIMPANAN ANGGOTA </t>
  </si>
  <si>
    <t xml:space="preserve">PINJAMAN ANGGOTA </t>
  </si>
  <si>
    <t xml:space="preserve">TOTAL </t>
  </si>
  <si>
    <t xml:space="preserve">SALDO AKHIR </t>
  </si>
  <si>
    <t>TUNGGU PEMB. PUSAT</t>
  </si>
  <si>
    <t>Leasing DIPO 1 Unit Xpander Cross</t>
  </si>
  <si>
    <t xml:space="preserve">Endah Makmur </t>
  </si>
  <si>
    <t>Astrido Jaya</t>
  </si>
  <si>
    <t>Andrinusa Utamaindah</t>
  </si>
  <si>
    <t>TBS</t>
  </si>
  <si>
    <t>PPH 23 ANDRINUSA &amp; TBS</t>
  </si>
  <si>
    <t>SERTIFIKAT SELESAI</t>
  </si>
  <si>
    <t>Pinjaman Khusus</t>
  </si>
  <si>
    <t>ATK Tokopedia</t>
  </si>
  <si>
    <t xml:space="preserve">Photocopy Filandi </t>
  </si>
  <si>
    <t>TBS Zenic</t>
  </si>
  <si>
    <t>Andrinusa September 2023</t>
  </si>
  <si>
    <t>Astrido Service</t>
  </si>
  <si>
    <t xml:space="preserve">Pajak </t>
  </si>
  <si>
    <t xml:space="preserve">Pengembalian Simpanan </t>
  </si>
  <si>
    <t xml:space="preserve">Aqua Oktober </t>
  </si>
  <si>
    <t>ATK Endah</t>
  </si>
  <si>
    <t>KETERANGAN</t>
  </si>
  <si>
    <t>RENCANA PEMBAYARAN</t>
  </si>
  <si>
    <t>RENCANA DISETUJUI</t>
  </si>
  <si>
    <t>Pembuat Daftar,</t>
  </si>
  <si>
    <t>Jakarta, 28 November 2023</t>
  </si>
  <si>
    <t>Mengetahui,</t>
  </si>
  <si>
    <t>Rencana Pembayaran Koperasi BKI bulan November 2023</t>
  </si>
  <si>
    <t xml:space="preserve">PPH FINAL </t>
  </si>
  <si>
    <t xml:space="preserve">PHOTOCOPY FILANDI </t>
  </si>
  <si>
    <t xml:space="preserve">ANDRINUSA OKTOBER </t>
  </si>
  <si>
    <t xml:space="preserve">JNE DESEMBER </t>
  </si>
  <si>
    <t xml:space="preserve">ASTRIDO JAYA </t>
  </si>
  <si>
    <t xml:space="preserve">ATK ENDAH </t>
  </si>
  <si>
    <t xml:space="preserve">PPH 23 JASA </t>
  </si>
  <si>
    <t>BNI</t>
  </si>
  <si>
    <t>an Koperasi Pegawai Biro Klasifikasi Indonesia</t>
  </si>
  <si>
    <t>no Rek 0008064716</t>
  </si>
  <si>
    <t xml:space="preserve">Pembayaran Sewa Kendaraan </t>
  </si>
  <si>
    <t>ATK ENDAH</t>
  </si>
  <si>
    <t>AQUA PT TIRTA</t>
  </si>
  <si>
    <t>SEWA KEND TBS</t>
  </si>
  <si>
    <t xml:space="preserve">PPH 23 </t>
  </si>
  <si>
    <t>Rencana Pembayaran Lainnya</t>
  </si>
  <si>
    <t>Photocopy bulan Januari 2024</t>
  </si>
  <si>
    <t>Photocopy bulan Februari 2024</t>
  </si>
  <si>
    <t xml:space="preserve">Pengembalian Simpanan Anggota </t>
  </si>
  <si>
    <t>an Rachmady</t>
  </si>
  <si>
    <t>an Ridwan Djayanto Ispini</t>
  </si>
  <si>
    <t>Voucher Lebaran Cabang Rp 250.000 @99 anggota</t>
  </si>
  <si>
    <t xml:space="preserve">LEASING KENDARAAN </t>
  </si>
  <si>
    <t>Voucher Lebaran Pusat Rp 250.000 @265 anggota</t>
  </si>
  <si>
    <t xml:space="preserve">Pemb. Bisa dicicil </t>
  </si>
  <si>
    <t>Simpanan Pokok Anggota (Terlampir)</t>
  </si>
  <si>
    <t xml:space="preserve">PPH 23 SEWA KENDARAAN </t>
  </si>
  <si>
    <t>TBS 11 UNIT FEBRUARI 2024</t>
  </si>
  <si>
    <t>ANDRINUSA FEB 2024</t>
  </si>
  <si>
    <t>PHOTOCOPY FILANDI</t>
  </si>
  <si>
    <t>QURBAN</t>
  </si>
  <si>
    <t>TBS APRIL 1 UNIT</t>
  </si>
  <si>
    <t xml:space="preserve">Aqua Mei </t>
  </si>
  <si>
    <t>HUTANG PAJAK</t>
  </si>
  <si>
    <t xml:space="preserve">                                                                                                                 </t>
  </si>
  <si>
    <t>Annisyah Fazrin</t>
  </si>
  <si>
    <t xml:space="preserve">LEASING KENDARAAN DIPO 3 UNIT </t>
  </si>
  <si>
    <t>PENCAIRAN PINJAMAN KOPERASI</t>
  </si>
  <si>
    <t>NOMOR CHEQUE</t>
  </si>
  <si>
    <t>FILANDI (PHOTOCOPY)</t>
  </si>
  <si>
    <t>TANJUNG BANDUNG SERUNI (SEWA KENDARAAN)</t>
  </si>
  <si>
    <t>ANDRINUSA UTAMAINDAH (SEWA KENDARAAN)</t>
  </si>
  <si>
    <t>ASTRIDO JAYA MOBILINDO (SERVICE KENDARAAN)</t>
  </si>
  <si>
    <t xml:space="preserve">PPH 23 ATAS JASA </t>
  </si>
  <si>
    <t xml:space="preserve">ANGSURAN PINJAMAN BANK BSI DAN MANDIRI </t>
  </si>
  <si>
    <t xml:space="preserve">GAJI PENGURUS, PENGAWAS &amp; PEGAWAI </t>
  </si>
  <si>
    <t>CA098090</t>
  </si>
  <si>
    <t>CA098089</t>
  </si>
  <si>
    <t>CA098091</t>
  </si>
  <si>
    <t>CA098092</t>
  </si>
  <si>
    <t>CA098093</t>
  </si>
  <si>
    <t>RENCANA PEMBAYARAN TANGGAL 25 NOVEMBER 2024</t>
  </si>
  <si>
    <t xml:space="preserve">Tagihan Aqua Sept Okt </t>
  </si>
  <si>
    <t xml:space="preserve">Service Kendaraan Astrido </t>
  </si>
  <si>
    <t xml:space="preserve">PPh 23 Service Kendaraan Astrido </t>
  </si>
  <si>
    <t xml:space="preserve">Balas Jasa Pengurus - Pengawas </t>
  </si>
  <si>
    <t>Pencairan Pinjaman Anggota bulan Desember 2024</t>
  </si>
  <si>
    <t>CA 098094</t>
  </si>
  <si>
    <t>CA 098095</t>
  </si>
  <si>
    <t>CA 098096</t>
  </si>
  <si>
    <t xml:space="preserve">Tagihan Atk Endah </t>
  </si>
  <si>
    <t>RENCANA PEMBAYARAN TANGGAL 04 DESEMBER 2024</t>
  </si>
  <si>
    <t>RENCANA PEMBAYARAN TANGGAL 05 DESEMBER 2024</t>
  </si>
  <si>
    <t>CA098097</t>
  </si>
  <si>
    <t>BPJS KESEHATAN</t>
  </si>
  <si>
    <t>BPJS KETENAGAKERJAAN</t>
  </si>
  <si>
    <t>ANGGARAN PERMINTAAN PUMA</t>
  </si>
  <si>
    <t>RENCANA PEMBAYARAN TANGGAL 9 DESEMBER 2024</t>
  </si>
  <si>
    <t>CA098098</t>
  </si>
  <si>
    <t>Efce Software Desember 2024</t>
  </si>
  <si>
    <t xml:space="preserve">PPH 23 atas pemb. Sewa software akuntansi </t>
  </si>
  <si>
    <t xml:space="preserve">PPH Final atas pengembalian simpanan anggota </t>
  </si>
  <si>
    <t>Anggaran Perpanjangan STNK Kend. B 2434 UOU</t>
  </si>
  <si>
    <t xml:space="preserve">Pengembalian pinjaman Pardi </t>
  </si>
  <si>
    <t xml:space="preserve">Anggaran pembelian wearpack Banten Komersil </t>
  </si>
  <si>
    <t xml:space="preserve">Pemb. Leasing Kendaraan Dipo 5 Kontrak </t>
  </si>
  <si>
    <t>CA098099</t>
  </si>
  <si>
    <t>CA098100</t>
  </si>
  <si>
    <t>Pengembalian Dana Titipan Div. Statutory</t>
  </si>
  <si>
    <t xml:space="preserve">PNBP Sertifikat Kapal </t>
  </si>
  <si>
    <t>RENCANA PEMBAYARAN TANGGAL 12 DESEMBER 2024</t>
  </si>
  <si>
    <t>RENCANA PEMBAYARAN TANGGAL 19 DESEMBER 2024</t>
  </si>
  <si>
    <t>542/KOPEG/SPP/XII/2024</t>
  </si>
  <si>
    <t xml:space="preserve">Dirjend Pajak </t>
  </si>
  <si>
    <t xml:space="preserve">Pembayaran PPh 23 atas jasa sewa kendaraan inv Oktober November </t>
  </si>
  <si>
    <t>Tanjung Bandung Seruni (Okt - Nov)</t>
  </si>
  <si>
    <t>Andrinusa Utamaindah (Oktober)</t>
  </si>
  <si>
    <t>PPh 23 (Perhitungan dari DPP) (2% dari total DPP)</t>
  </si>
  <si>
    <t>Tiga Juta Lima Ratus Delapan Belas Ribu Empat Ratus Rupiah</t>
  </si>
  <si>
    <t xml:space="preserve">Sewa Kend - Andrinusa Utamaindah </t>
  </si>
  <si>
    <t>Sewa Kend - Tanjung Bandung Seruni</t>
  </si>
  <si>
    <t xml:space="preserve">Endah Makmur Jaya </t>
  </si>
  <si>
    <t xml:space="preserve">Penggantian Biaya ke Pengurus </t>
  </si>
  <si>
    <t xml:space="preserve">PPH 23 sewa kendaraan </t>
  </si>
  <si>
    <t>Jakarta, 17 Desember 2024</t>
  </si>
  <si>
    <t>Pembayaran Sewa Kendaraan</t>
  </si>
  <si>
    <t>Dea Adawiyah</t>
  </si>
  <si>
    <t>Vivi Hazlinda</t>
  </si>
  <si>
    <t xml:space="preserve"> Vivi Hazlinda</t>
  </si>
  <si>
    <t>4101.002</t>
  </si>
  <si>
    <t xml:space="preserve">Vivi Hazlinda </t>
  </si>
  <si>
    <t>PT TIRTA INVESTAMA</t>
  </si>
  <si>
    <t>ENDAH MAKMUR JAYA</t>
  </si>
  <si>
    <t>Pembayaran PPh 23 atas Jasa:</t>
  </si>
  <si>
    <t>Service Kendaraan Astrido Jaya Mobilindo Masa Bulan Januari 2025</t>
  </si>
  <si>
    <t>Photocopy Masa Bulan Januari 2025</t>
  </si>
  <si>
    <t>Photocopy Masa Bulan Februari 2025</t>
  </si>
  <si>
    <t>Sewa Kendaraan Andrinusa UtamaIndah</t>
  </si>
  <si>
    <t>DIBAYARKAN PUSAT</t>
  </si>
  <si>
    <t>REKAP KOP</t>
  </si>
  <si>
    <t>SELISIH</t>
  </si>
  <si>
    <t>149/KOPEG/SPP/III/2025</t>
  </si>
  <si>
    <t>1105.001</t>
  </si>
  <si>
    <t/>
  </si>
  <si>
    <t>PT.Turbo Mitra Perkasa - Mandiri 119.00.0742669.3</t>
  </si>
  <si>
    <t>Best Print - Pramono Budiharjo Mandiri 1660001176056</t>
  </si>
  <si>
    <t>Pembelian Toner Xerox 4 Set - Untuk Pengerjaan dari SBU ENI</t>
  </si>
  <si>
    <t>INTEGRA - MICHAEL DAVIS BCA  693 043 0381</t>
  </si>
  <si>
    <t>PT. INTEGRA INFOTEK SOLUSITAMA</t>
  </si>
  <si>
    <t>PPh 23</t>
  </si>
  <si>
    <t>Persada Nusantara Utama - Mandiri 1560012296648</t>
  </si>
  <si>
    <t>Pembayaran Tagihan Pemesanan Tiket Pesawat</t>
  </si>
  <si>
    <t>Total Jasa</t>
  </si>
  <si>
    <t>Jasa Service Management untuk Pemotongan PPH 23</t>
  </si>
  <si>
    <t>Jasa Service &amp; Fuser assy repair untuk Pemotongan PPH 23</t>
  </si>
  <si>
    <t>INV/2025/0116</t>
  </si>
  <si>
    <t>Dua Juta Delapan Ratus Sembilan Puluh Ribu Rupiah</t>
  </si>
  <si>
    <t>188/KOPEG/SPP/III/2025</t>
  </si>
  <si>
    <t>Tujuh Juta Tujuh Ratus Sembilan Ribu Delapan Puluh Rupiah</t>
  </si>
  <si>
    <t>1107.01</t>
  </si>
  <si>
    <t>197/KOPEG/SPP/III/2025</t>
  </si>
  <si>
    <t>INV/2025/0042 - Maret 2025</t>
  </si>
  <si>
    <t>Dua Juta Empat Ratus Tiga Puluh Delapan Ribu Lima Ratus Rupiah</t>
  </si>
  <si>
    <t>Pelunasan Pinjaman Khusus</t>
  </si>
  <si>
    <t>217/KOPEG/SPP/IV/2025</t>
  </si>
  <si>
    <t>TPSINV/25-000068</t>
  </si>
  <si>
    <t>Satu Juta Delapan Ratus Enam Puluh Dua Ribu Lima Ratus Delapan Puluh Rupiah</t>
  </si>
  <si>
    <t>Pembayaran Tagihan ATK April 2025 (Kertas Paperone 75gr, A4)</t>
  </si>
  <si>
    <t xml:space="preserve">Pelunasan Pinjaman Reguler </t>
  </si>
  <si>
    <t>By Pemb Souvenir untuk pemasaran</t>
  </si>
  <si>
    <t xml:space="preserve">By Gosend </t>
  </si>
  <si>
    <t>By Pencetakan Kartu Ucapan</t>
  </si>
  <si>
    <t>By Pemb Kain Batik Tulis Katun Prada</t>
  </si>
  <si>
    <t>By Pemb Hampers Harvest</t>
  </si>
  <si>
    <t>By Pemb Realfood</t>
  </si>
  <si>
    <t>By Pemb Hampers di Tokped</t>
  </si>
  <si>
    <t>Selisih</t>
  </si>
  <si>
    <t>226/KOPEG/SPP/IV/2025</t>
  </si>
  <si>
    <t>Pembayaran ATK Endah April 2025</t>
  </si>
  <si>
    <t>Tiga Juta Tiga Ratus Tujuh Puluh Dua Ribu Lima Ratus Rupiah</t>
  </si>
  <si>
    <t>PPH 23 dari DPP</t>
  </si>
  <si>
    <t>Biaya Adm (Jasa Pinjaman Khusus)</t>
  </si>
  <si>
    <t>4101.001</t>
  </si>
  <si>
    <t>Biaya Adm (Jasa Pinjaman Reguler)</t>
  </si>
  <si>
    <t>Pelunasan Jasa Pinjaman Khusus</t>
  </si>
  <si>
    <t>Nama Barang</t>
  </si>
  <si>
    <t>Qty</t>
  </si>
  <si>
    <t>Harga</t>
  </si>
  <si>
    <t xml:space="preserve">ISAFE IS530.1 HP </t>
  </si>
  <si>
    <t>Flir C5 Wi-Fi Compact Thermal Imaging Camera @Rp. 12.483.850</t>
  </si>
  <si>
    <t>Anggaran Awal Pembelian Permintaan SBU ENI</t>
  </si>
  <si>
    <t>Real Pembelian Permintaan SBU ENI</t>
  </si>
  <si>
    <t>Flir C5 Wi-Fi Compact Thermal Imaging Camera @Rp. 12.503.650</t>
  </si>
  <si>
    <t>Terdapat Selisih Pembelian Real dan Anggaran Awal</t>
  </si>
  <si>
    <t>Selisih dimasukan Ke Kas Kecil Koperasi</t>
  </si>
  <si>
    <t>Lima Juta Sembilan Ratus Delapan Puluh Ribu Rupiah</t>
  </si>
  <si>
    <t>Dea Adawiyah - BNI 718619562</t>
  </si>
  <si>
    <t>326/KOPEG/SPP/V/2025</t>
  </si>
  <si>
    <t>Penggantian Pembelian TV LG 43 UR7500 PSC - Pinj. Barang Dwi Cahya Kurniawan</t>
  </si>
  <si>
    <t>Tiga Juta Empat Ratus Ribu Rupiah</t>
  </si>
  <si>
    <t xml:space="preserve">Dea Adawiyah - BNI 718619562              </t>
  </si>
  <si>
    <t>Adesta Munas Latief - BNI 0837989423</t>
  </si>
  <si>
    <t>Muhammad Adityo Nugroho - BNI 2706900029</t>
  </si>
  <si>
    <t>Pengawas, Pengurus, Pegawai Koperasi &amp; Pemagang</t>
  </si>
  <si>
    <t>Bank BSI - 7666127778</t>
  </si>
  <si>
    <t>Annisyah Fazrin - BNI 0837956259</t>
  </si>
  <si>
    <t>Simpanan Sukarela s/d tahun 2024</t>
  </si>
  <si>
    <t>.../KOPEG/SPP/VII/2025</t>
  </si>
  <si>
    <t>SO/2025-04/0</t>
  </si>
  <si>
    <t>Pembayaran Tagihan Integra Non PPN Bulan …. 2025 :</t>
  </si>
  <si>
    <t>PT. Datascrip</t>
  </si>
  <si>
    <t xml:space="preserve">Dea Adawiyah - BNI 718619562               </t>
  </si>
  <si>
    <t xml:space="preserve">Terbilang : </t>
  </si>
  <si>
    <t>DP 50% Pada Tanggal 09 Juli 2025</t>
  </si>
  <si>
    <t>Dua Puluh Tiga Juta Delapan Ratus Delapan Puluh Tujuh Ribu Lima Ratus Rupiah</t>
  </si>
  <si>
    <t>Fattah Dwi Putro - BNI 1932444702</t>
  </si>
  <si>
    <t>PT. Solusi Prima Informatika - BCA 6930276861</t>
  </si>
  <si>
    <t>533/KOPEG/SPP/VII/2025</t>
  </si>
  <si>
    <t>PT. Bino Mitra Sejati - BCA 4139992323</t>
  </si>
  <si>
    <t>No Invoice 965714410</t>
  </si>
  <si>
    <t>Empat Juta Lima Puluh Satu Ribu Sembilan Ratus Empat Puluh Empat Rupiah</t>
  </si>
  <si>
    <t>Pembayaran Bantex Juli 2025: (Permintaan PKK &amp; SBU MNS)</t>
  </si>
  <si>
    <t>Pelunasan Pinjaman Reguler</t>
  </si>
  <si>
    <t xml:space="preserve">Annisyah Fazrin - BNI 0837956259           </t>
  </si>
  <si>
    <t>EFCE Software - Fajar Syahbani BCA 7010059920</t>
  </si>
  <si>
    <t>Jenyarti Dewi Arganata</t>
  </si>
  <si>
    <t>Pembayaran DP Alat Ultrasonic Thickness &amp; Calibration Block, Electric Yoke dan Anyload Load Cell</t>
  </si>
  <si>
    <t>Bank Mandiri - 1200010932247</t>
  </si>
  <si>
    <t>Anggota Koperasi - Eva Sintauli Saragih</t>
  </si>
  <si>
    <t>617/KOPEG/SPP/VIII/2025</t>
  </si>
  <si>
    <t>Pencairan Pertama</t>
  </si>
  <si>
    <t>Sisa Pencairan</t>
  </si>
  <si>
    <t>Dua Puluh Juta Rupiah</t>
  </si>
  <si>
    <t>646/KOPEG/SPP/IX/2025</t>
  </si>
  <si>
    <t>026/AU-INV/VI/2025 (Tagihan bulan Juni 2025)</t>
  </si>
  <si>
    <t>Seratus Empat Puluh Tujuh Juta Enam Ratus Sembilan Puluh Lima Ribu Rupiah</t>
  </si>
  <si>
    <t>antara siang atau sore</t>
  </si>
  <si>
    <t>Pelunasan Pinjaman Bank Mandiri Syariah</t>
  </si>
  <si>
    <t>1104.008</t>
  </si>
  <si>
    <t>4101.003</t>
  </si>
  <si>
    <t>Pelunasan Jasa Pinjaman Bank Mandiri Syariah</t>
  </si>
  <si>
    <t>2105.001</t>
  </si>
  <si>
    <t>Dana Tabungan Qurban selama 3 Bulan Terakhir(Juni, Juli &amp; Agustus 2025)</t>
  </si>
  <si>
    <t>LARIKA Floors - Ridwan Palada (BCA) - 7275017230</t>
  </si>
  <si>
    <t>697/KOPEG/SPP/IX/2025</t>
  </si>
  <si>
    <t>Anggota Koperasi - Dandy Rukmana</t>
  </si>
  <si>
    <t>Sumaryanto - CIMB NIAGA 762577716900</t>
  </si>
  <si>
    <t>Dua Puluh Dua Juta Lima Ratus Ribu Rupiah</t>
  </si>
  <si>
    <t>708/KOPEG/SPP/IX/2025</t>
  </si>
  <si>
    <t>Anggota Koperasi - Erry S.Djayus</t>
  </si>
  <si>
    <t>Lima Puluh Juta Rupiah</t>
  </si>
  <si>
    <t>Pelunasan atas AORO M6 EX UHF - Cab.Komersil Makassar</t>
  </si>
  <si>
    <t>DP 50% Pada Tanggal 25 September 2025</t>
  </si>
  <si>
    <t>577/KOPEG/SPP/VIII/2025</t>
  </si>
  <si>
    <t>720/KOPEG/SPP/IX/2025</t>
  </si>
  <si>
    <t>PSINV/25-136297</t>
  </si>
  <si>
    <t>Pembayaran ATK Bulan Agustus &amp; September 2025:</t>
  </si>
  <si>
    <t>PSINV/25-152360</t>
  </si>
  <si>
    <t>Empat Belas Juta Tiga Puluh Satu Ribu Seratus Tujuh Puluh Tujuh Rupiah</t>
  </si>
  <si>
    <t>733/KOPEG/SPP/X/2025</t>
  </si>
  <si>
    <t>768/KOPEG/SPP/X/2025</t>
  </si>
  <si>
    <t>Pembayaran SPT PPN Kurang Bayar Masa September 2025</t>
  </si>
  <si>
    <t>Lima Ratus Delapan Puluh Delapan Ribu Empat Ratus Lima Puluh Satu Rupiah</t>
  </si>
  <si>
    <t>PT PLAZA INDONESIA REALTY-Mandiri 1220005743482</t>
  </si>
  <si>
    <t>804/KOPEG/SPP/X/2025</t>
  </si>
  <si>
    <t>Pembayaran Tagihan Service Kendaraan Astrido September 2025</t>
  </si>
  <si>
    <t>No Kwitansi 2509215</t>
  </si>
  <si>
    <t>No Kwitansi 2509383</t>
  </si>
  <si>
    <t>Satu Juta Delapan Ratus Sembilan Puluh Dua Ribu Sembilan Ratus Dua Puluh Empat Rupiah</t>
  </si>
  <si>
    <t>807/KOPEG/SPP/X/2025</t>
  </si>
  <si>
    <t>Pembayaran Tagihan Aqua bulan September 2025</t>
  </si>
  <si>
    <t>Lima Belas Juta Delapan Ratus Tujuh Puluh Dua Ribu Dua Rupiah</t>
  </si>
  <si>
    <t>834/KOPEG/SPP/XI/2025</t>
  </si>
  <si>
    <t>Pembelian 1 Unit Samsung Flip Pro 85'' (Tipe WM65B - Interactive Pro) - SBU MNS</t>
  </si>
  <si>
    <t>PT. Benaya Visi Teknologi - Mandiri 1150007874284</t>
  </si>
  <si>
    <t>Enam Puluh Dua Juta Seratus Enam Puluh Ribu Rupiah</t>
  </si>
  <si>
    <t>INV0061025</t>
  </si>
  <si>
    <t>Annisyah Fazrin - Bank Mandiri 1200011758492</t>
  </si>
  <si>
    <t xml:space="preserve">CC </t>
  </si>
  <si>
    <t>Maybank Finance (Virtual) - 7891050901251178</t>
  </si>
  <si>
    <t>Nilai Kontrak</t>
  </si>
  <si>
    <t>912/KOPEG/SPP/XII/2025</t>
  </si>
  <si>
    <t>035/AU-INV/IX/2025 (Tagihan bulan September 2025)</t>
  </si>
  <si>
    <t>037/AU-INV/IX/2025 (Tagihan bulan September 2025)</t>
  </si>
  <si>
    <t>043/AU-INV/X/2025 (Tagihan bulan Oktober 2025)</t>
  </si>
  <si>
    <t>045/AU-INV/X/2025 (Tagihan bulan Oktober 2025)</t>
  </si>
  <si>
    <t>048/AU-INV/X/2025 (Tagihan bulan Oktober 2025)</t>
  </si>
  <si>
    <t>050/AU-INV/XI/2025 (Tagihan bulan November 2025)</t>
  </si>
  <si>
    <t>053/AU-INV/XI/2025 (Tagihan bulan November 2025)</t>
  </si>
  <si>
    <t>054/AU-INV/XI/2025 (Tagihan bulan November 2025)</t>
  </si>
  <si>
    <t>Seratus Sembilan Puluh Satu Juta Tujuh Ratus Tiga Puluh Satu Rupiah</t>
  </si>
  <si>
    <t>Pembayaran Tinta Bulan Oktober 2025:</t>
  </si>
  <si>
    <t>043/TBS-INV/IX/2025 (Sewa SBU ENI) - September 2025</t>
  </si>
  <si>
    <t>Tujuh Juta Sembilan Ratus Dua Ribu Lima Ratus Rupiah</t>
  </si>
  <si>
    <t>Pembayaran Tagihan JNE bulan Oktober 2025</t>
  </si>
  <si>
    <t>918/KOPEG/SPP/XII/2025</t>
  </si>
  <si>
    <t>Tiga Puluh Tujuh Ribu Empat Ratus Enam Puluh Rupiah</t>
  </si>
  <si>
    <t>919/KOPEG/SPP/XII/2025</t>
  </si>
  <si>
    <t>Pembayaran ATK Bulan Oktober 2025:</t>
  </si>
  <si>
    <t>No Invoice 25600397 (Bulan Oktober 2025)</t>
  </si>
  <si>
    <t>Sebelas Juta Dua Ratus Tujuh Ribu Lima Ratus Rupiah</t>
  </si>
  <si>
    <t>Sukma Maharani - BNI 0824065020</t>
  </si>
  <si>
    <t>PT. Wonder Mobilitas Indonesia - BCA 3970222676</t>
  </si>
  <si>
    <t>924/KOPEG/SPP/XII/2025</t>
  </si>
  <si>
    <t>TPW Clothing - Andan Wardani Mandiri 9000026445180</t>
  </si>
  <si>
    <t>Sisa Pembayaran</t>
  </si>
  <si>
    <t>DP 1 (Tanggal 21 November)</t>
  </si>
  <si>
    <t>DP 2 (Tanggal 01 Desember)</t>
  </si>
  <si>
    <t>Pelunasan Baju Family Gathering PT. BKI ( Koperasi Tagihnya ke Synerga Tata International ):</t>
  </si>
  <si>
    <t>Empat Puluh Enam Juta Empat Ratus Ribu Rupiah</t>
  </si>
  <si>
    <t>936/KOPEG/SPP/XII/2025</t>
  </si>
  <si>
    <t>945/KOPEG/SPP/XII/2025</t>
  </si>
  <si>
    <t>PT. Srikandi Diamonds Motors - BCA 4281501105</t>
  </si>
  <si>
    <t>Pembayaran Service Mobil B 2189 UZD (Mobil Koperasi)</t>
  </si>
  <si>
    <t>Empat Juta Empat Belas Ribu Enam Ratus Empat Puluh Delapan Rupiah</t>
  </si>
  <si>
    <t>948/KOPEG/SPP/XII/2025</t>
  </si>
  <si>
    <t>Tagihan Tinta No IT/2025-10/00455</t>
  </si>
  <si>
    <t>Dua Belas Juta Lima Ratus Delapan Puluh Lima Ribu Rupiah</t>
  </si>
  <si>
    <t xml:space="preserve">Pelunasan Pinjaman Khusus </t>
  </si>
  <si>
    <t xml:space="preserve">Pelunasan Jasa Pinjaman Khusus </t>
  </si>
  <si>
    <t>Purwantya - BNI 822364599</t>
  </si>
  <si>
    <t>5102.014</t>
  </si>
  <si>
    <t>KOPPEG BKI - BSI 7666127778</t>
  </si>
  <si>
    <t>960/KOPEG/SPP/XII/2025</t>
  </si>
  <si>
    <t>PT. Bersama Khanza Servis - CIMB Niaga 800171354300</t>
  </si>
  <si>
    <t>INV/BKS-KPBKI/EQUIP/12-25/188</t>
  </si>
  <si>
    <t>Pembelian Test Bench - Cabang Jambi</t>
  </si>
  <si>
    <t>Dua Ratus Enam Puluh Tiga Juta Enam Ratus Dua Puluh Lima Ribu Rupiah</t>
  </si>
  <si>
    <t>*Notes : Dasar Pengenaan PPN, dari Total Harga</t>
  </si>
  <si>
    <t>962/KOPEG/SPP/XII/2025</t>
  </si>
  <si>
    <t>Div. Statutory</t>
  </si>
  <si>
    <t>Pengembalian Kelebihan Dana Pekerja Sertifikat</t>
  </si>
  <si>
    <t>963/KOPEG/SPP/XII/2025</t>
  </si>
  <si>
    <t>Biaya Pengurusan Sertifikat Kapal Selesai</t>
  </si>
  <si>
    <t>Delapan Ratus Ribu Rupiah</t>
  </si>
  <si>
    <t>964/KOPEG/SPP/XII/2025</t>
  </si>
  <si>
    <t>Penggantian Pembayaran Biaya Transportasi dan Akomodasi Konsultan Pendamping Hukum - Div. Sekper</t>
  </si>
  <si>
    <t>Lima Juta Tiga Ratus Sembilan Puluh Sembilan Ribu Tiga Ratus Sembilan Puluh Satu Rupiah</t>
  </si>
  <si>
    <t>965/KOPEG/SPP/XII/2025</t>
  </si>
  <si>
    <t>Penggantian Pembayaran Cetak Cover + Softcover buku:</t>
  </si>
  <si>
    <t>2 Pcs Cetak Cover Jumbo + 4 Pcs Cetak Cover + Softcover - SBU MNS</t>
  </si>
  <si>
    <t>5 Pcs Cetak Cover + Softcover - Statutory</t>
  </si>
  <si>
    <t>Biaya Adm Trf ke Bank lain</t>
  </si>
  <si>
    <t>Enam Ratus Lima Puluh Tujuh Ribu Lima Ratus Rupiah</t>
  </si>
  <si>
    <t>966/KOPEG/SPP/XII/2025</t>
  </si>
  <si>
    <t>Penggantian Pembelian Snack dan Buah untuk RALB Tanggal 18 November 2025:</t>
  </si>
  <si>
    <t>110 Snack Box Holland Bakery</t>
  </si>
  <si>
    <t>3 Jenis Buah-buahan (1 Kg/buah)</t>
  </si>
  <si>
    <t>Dua Juta Empat Ratus Tiga Ribu Delapan Ratus Rupiah</t>
  </si>
  <si>
    <t>967/KOPEG/SPP/XII/2025</t>
  </si>
  <si>
    <t>Penggantian Pembelian Router - PUMA IDSurvey</t>
  </si>
  <si>
    <t>Empat Juta Empat Ratus Lima Puluh Empat Ribu Sembilan Ratus Rupiah</t>
  </si>
  <si>
    <t>968/KOPEG/SPP/XII/2025</t>
  </si>
  <si>
    <t>Dua Juta Tujuh Ratus Lima Puluh Delapan Ribu Rupiah</t>
  </si>
  <si>
    <t>969/KOPEG/SPP/XII/2025</t>
  </si>
  <si>
    <t>Biaya Pengiriman Barang CGK-DJB</t>
  </si>
  <si>
    <t>Penggantian atas Biaya Pengiriman 1 Set Peralatan Test Bench dan Sertifikasi PJK3 ke Jambi:</t>
  </si>
  <si>
    <t>Addcost Packing Barang</t>
  </si>
  <si>
    <t>Empat Juta Lima Ratus Delapan Puluh Enam Ribu Enam Ratus Empat Puluh Rupiah</t>
  </si>
  <si>
    <t>Penggantian Pembelian ATK - PUMA IDSurvey</t>
  </si>
  <si>
    <t>970/KOPEG/SPP/XII/2025</t>
  </si>
  <si>
    <t>Penggantian Pembayaran Biaya Translate - Div.Sekper PT.BKI</t>
  </si>
  <si>
    <t>Tiga Ratus Enam Puluh Sembilan Ribu Dua Ratus Tiga Puluh Satu Rupiah</t>
  </si>
  <si>
    <t>971/KOPEG/SPP/XII/2025</t>
  </si>
  <si>
    <t>Penggantian Biaya Pembelian Souvenir bulan Desember - Permintaan Div. Pemasaran Korporat</t>
  </si>
  <si>
    <t>972/KOPEG/SPP/XII/2025</t>
  </si>
  <si>
    <t>Annisyah Fazrin &amp; Dea Adawiyah</t>
  </si>
  <si>
    <t>Penggantian Biaya Marketing bulan Desember 2025</t>
  </si>
  <si>
    <t>Biaya Adm Trf ke Bank Lain</t>
  </si>
  <si>
    <t>Delapan Belas Juta Lima Ratus Enam Puluh Tiga Ribu Lima Puluh Rupiah</t>
  </si>
  <si>
    <t>Tiga Juta Delapan Ratus Sembilan Puluh Enam Ribu Tiga Ratus Lima Puluh Rupiah</t>
  </si>
  <si>
    <t>973/KOPEG/SPP/XII/2025</t>
  </si>
  <si>
    <t>Penggantian Pembelian 20 Voucher MAP untuk Persediaan Doorprize RAT tahun 2026</t>
  </si>
  <si>
    <t>Dua Juta Rupiah</t>
  </si>
  <si>
    <t>974/KOPEG/SPP/XII/2025</t>
  </si>
  <si>
    <t>Brams Fernandes - BNI 389138583</t>
  </si>
  <si>
    <t>Biaya Pengurusan Sertifikat Selesai</t>
  </si>
  <si>
    <t>Dua Juta Empat Ratus Ribu Rupiah</t>
  </si>
  <si>
    <t>975/KOPEG/SPP/XII/2025</t>
  </si>
  <si>
    <t>Tambahan Pekerjaan atas Renovasi Rumah Dinas Tahap II - Cab. Tj. Priok</t>
  </si>
  <si>
    <t>Tujuh Juta Empat Ratus Ribu Rupiah</t>
  </si>
  <si>
    <t>976/KOPEG/SPP/XII/2025</t>
  </si>
  <si>
    <t>Karangan Bunga Ucapan Ulang Tahun PT.Pertamina International Shipping</t>
  </si>
  <si>
    <t>Penggantian Pembelian 1 Karangan Bunga &amp; 1 Vas Bunga Anggrek - Div. Pemasaran Korporat :</t>
  </si>
  <si>
    <t>Bunga Vas Meja Anggrek Direktur Armada PT PIS</t>
  </si>
  <si>
    <t>Biaya Adm Trf Bank Lain</t>
  </si>
  <si>
    <t>Dua Juta Seratus Delapan Puluh Empat Ribu Rupiah</t>
  </si>
  <si>
    <t>977/KOPEG/SPP/XII/2025</t>
  </si>
  <si>
    <t>Empat Juta Tujuh Ratus Satu Ribu Lima Ratus Rupiah</t>
  </si>
  <si>
    <t>Penggantian Pembelian Sembako bulan Desember 2025-PUMA PT.BKI</t>
  </si>
  <si>
    <t>978/KOPEG/SPP/XII/2025</t>
  </si>
  <si>
    <t>Lima Juta Rupiah</t>
  </si>
  <si>
    <t>Biaya Marketing untuk Cab.Tj.Priok</t>
  </si>
  <si>
    <t>979/KOPEG/SPP/XII/2025</t>
  </si>
  <si>
    <t>Penggantian Pembayaran Biaya Operasional atas kedatangan Mobil Cherry</t>
  </si>
  <si>
    <t>Satu Juta Rupiah</t>
  </si>
  <si>
    <t>980/KOPEG/SPP/XII/2025</t>
  </si>
  <si>
    <t>5102.001</t>
  </si>
  <si>
    <t>Pembayaran Gaji bulan Desember 2025</t>
  </si>
  <si>
    <t>Pembayaran Gaji Magang</t>
  </si>
  <si>
    <t>Pengawas, Pengurus, Pegawai &amp; Pemagang Koperasi</t>
  </si>
  <si>
    <t>Enam Puluh Enam Juta Tujuh Ratus Ribu Empat Ratus Sembilan Puluh Satu Rupiah</t>
  </si>
  <si>
    <t>981/KOPEG/SPP/XII/2025</t>
  </si>
  <si>
    <t>1101.901</t>
  </si>
  <si>
    <t>Pembayaran Angsuran Pinjaman Anggota Bulan November 2025</t>
  </si>
  <si>
    <t>Seratus Lima Puluh Tiga Juta Delapan Ratus Tujuh Puluh Ribu Delapan Ratus Delapan Puluh Lima Rupiah</t>
  </si>
  <si>
    <t>982/KOPEG/SPP/XII/2025</t>
  </si>
  <si>
    <t>Pembayaran Angsuran Pinjaman Anggota Bulan Desember 2025</t>
  </si>
  <si>
    <t>Lima Puluh Enam Juta Delapan Ratus Dua Ribu Delapan Ratus Delapan Puluh Rupiah</t>
  </si>
  <si>
    <t>983/KOPEG/SPP/XII/2025</t>
  </si>
  <si>
    <t>PT. Paramuda Karya Mandiri - Mandiri 1210010287120</t>
  </si>
  <si>
    <t>Invoice No 117/INV-PKM/XII/2025</t>
  </si>
  <si>
    <t>Tiga Puluh Enam Juta Sembilan Ratus Tujuh Ribu Lima Ratus Rupiah</t>
  </si>
  <si>
    <t>Pembelian Alat Transducer Small  - Bitung Class Branch</t>
  </si>
  <si>
    <t>984/KOPEG/SPP/XII/2025</t>
  </si>
  <si>
    <t>Maybank Finance</t>
  </si>
  <si>
    <t>Pembayaran Angsuran ke 9, Mobil a.n Muhamad Sodik No Kontrak 51801251103</t>
  </si>
  <si>
    <t>Delapan Juta Rupiah</t>
  </si>
  <si>
    <t>985/KOPEG/SPP/XII/2025</t>
  </si>
  <si>
    <t>Penggantian Kekurangan Pembelian Sembako bulan Desember 2025-PUMA PT.BKI</t>
  </si>
  <si>
    <t>Satu Juta Dua Ratus Sembilan Ribu Rupiah</t>
  </si>
  <si>
    <t>986/KOPEG/SPP/XII/2025</t>
  </si>
  <si>
    <t>Pengawas, Pengurus, Pegawai</t>
  </si>
  <si>
    <t>Pembagian Dana Gathering 2025</t>
  </si>
  <si>
    <t>Tiga Puluh Sembilan Juta Tujuh Ratus Lima Ribu Delapan Ratus Tujuh Puluh Rupiah</t>
  </si>
  <si>
    <t>987/KOPEG/SPP/XII/2025</t>
  </si>
  <si>
    <t>BSI KOPPEG - 7666127778</t>
  </si>
  <si>
    <t>Dua Ratus Sembilan Puluh Lima Juta Tujuh Ratus Delapan Puluh Delapan Ribu Delapan Ratus Delapan Puluh Tiga Rupiah</t>
  </si>
  <si>
    <t>988/KOPEG/SPP/XII/2025</t>
  </si>
  <si>
    <t>Sembilan Juta Tiga Ratus Tiga Puluh Lima Ribu Lima Ratus Empat Puluh Dua Rupiah</t>
  </si>
  <si>
    <t>989/KOPEG/SPP/XII/2025</t>
  </si>
  <si>
    <t>Mandiri Koppeg BKI - 1200012070012</t>
  </si>
  <si>
    <t xml:space="preserve">Pembayaran Angsuran bulan Desember 2025 atas Pembiayaan Pembelian 28 Unit Kendaraan IDSurvey </t>
  </si>
  <si>
    <t xml:space="preserve">Pembayaran Angsuran bulan Desember 2025 atas Pembiayaan Pembelian 1 Unit Kendaraan New Geely EX5 Electric SUV IDSurvey </t>
  </si>
  <si>
    <t>Pembayaran Angsuran bulan Desember 2025 atas Pembelian 1 Unit Denza (Direktur)</t>
  </si>
  <si>
    <t>Dua Puluh Empat Juta Enam Ratus Dua Puluh Tujuh Ribu Rupiah</t>
  </si>
  <si>
    <t>Pembayaran Angsuran bulan Desember 2025 atas Pembelian BYD SEALION 7 - PUMA IDSurvey</t>
  </si>
  <si>
    <t>Delapan Belas Juta Enam Puluh Ribu Rupiah</t>
  </si>
  <si>
    <t>990/KOPEG/SPP/XII/2025</t>
  </si>
  <si>
    <t>Penggantian Pembelian 3 Unit Monitor Gigabyte Ultrawide Gaming Curved 34" - PUMA IDSurvey</t>
  </si>
  <si>
    <t>Sebelas Juta Empat Ratus Dua Ribu Lima Ratus Rupiah</t>
  </si>
  <si>
    <t>Pelunasan Pinjaman Reguler a.n Burhanuddin</t>
  </si>
  <si>
    <t>Delapan Puluh Tujuh Juta Tujuh Ratus Ribu Rupiah</t>
  </si>
  <si>
    <t>Anggota Koperasi - 5 Anggota</t>
  </si>
  <si>
    <t>991/KOPEG/SPP/XII/2025</t>
  </si>
  <si>
    <t>992/KOPEG/SPP/XII/2025</t>
  </si>
  <si>
    <t>Anggota Koperasi - M.Aris Sultan &amp; Afif Amrullah</t>
  </si>
  <si>
    <t>Simpanan Khusus M.Aris Sultan</t>
  </si>
  <si>
    <t>Lima Puluh Sembilan Juta Enam Ratus Tiga Puluh Dua Ribu Lima Empat Ratus Lima Ribu Rupiah</t>
  </si>
  <si>
    <t>993/KOPEG/SPP/XII/2025</t>
  </si>
  <si>
    <t>994/KOPEG/SPP/XII/2025</t>
  </si>
  <si>
    <t>Misbahul Munir - BNI 0822272696</t>
  </si>
  <si>
    <t>Satu Juta Tujuh Ratus Delapan Puluh Tiga Ribu Sepuluh Rupiah</t>
  </si>
  <si>
    <t>Penggantian Pembelian AKI (Accu) Mobil B 2326 UIO (Mobil Andrinusa Yang disewa SBU ENI)</t>
  </si>
  <si>
    <t>995/KOPEG/SPP/XII/2025</t>
  </si>
  <si>
    <t>Pembayaran PNBP Sertifikat Kapal</t>
  </si>
  <si>
    <t>Lima Juta Lima Ratus Ribu Rupiah</t>
  </si>
  <si>
    <t>996/KOPEG/SPP/XII/2025</t>
  </si>
  <si>
    <t>Tujuh Juta Seratus Ribu Rupiah</t>
  </si>
  <si>
    <t>997/KOPEG/SPP/XII/2025</t>
  </si>
  <si>
    <t>;</t>
  </si>
  <si>
    <t>Penggantian Pembelian Permintaan PUMA IDSurvey:</t>
  </si>
  <si>
    <t>Disepnser Sharp SWD 72 EHL</t>
  </si>
  <si>
    <t>HDMI Wireless Presentations System Video Transmitter</t>
  </si>
  <si>
    <t>Empat Juta Dua Ratus Tujuh Belas Ribu Dua Puluh Rupiah</t>
  </si>
  <si>
    <t>998/KOPEG/SPP/XII/2025</t>
  </si>
  <si>
    <t>Penggantian Pembelian 1 Unit Whiteboard standing 90 x 120 cm - PUMA IDSurvey</t>
  </si>
  <si>
    <t>Tujuh Ratus Dua Belas Ribu Empat Ratus Rupiah</t>
  </si>
  <si>
    <t>999/KOPEG/SPP/XII/2025</t>
  </si>
  <si>
    <t>Muhammad Adityo Nugroho &amp; Abdil Hafiizh</t>
  </si>
  <si>
    <t>Lima Juta Empat Ratus Delapan Puluh Dua Ribu Delapan Puluh Rupiah</t>
  </si>
  <si>
    <t>1000/KOPEG/SPP/XII/2025</t>
  </si>
  <si>
    <t>Pembagian Imbal Hasil Bersih atas Simpanan Sukarela Berjangka atas 6 Anggota:</t>
  </si>
  <si>
    <t>Anogi Akbar Ali</t>
  </si>
  <si>
    <t>Rosalina Amran</t>
  </si>
  <si>
    <t>Muhammad Adityo Nugroho</t>
  </si>
  <si>
    <t>Riana Patricia</t>
  </si>
  <si>
    <t>Warini</t>
  </si>
  <si>
    <t>Muhamad Sodik</t>
  </si>
  <si>
    <t>Dua Puluh Enam Juta Empat Ratus Enam Puluh Empat Ribu Lima Ratus Rupiah</t>
  </si>
  <si>
    <t>6 Anggota Koperasi</t>
  </si>
  <si>
    <t>1001/KOPEG/SPP/XII/2025</t>
  </si>
  <si>
    <t>Pembayaran Gaji Pegawai BKI Mart (Indah) bulan Desember 2025</t>
  </si>
  <si>
    <t>Dua Juta Tiga Ratus Tiga Ribu Dua Ratus Sembilan Puluh Dua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</si>
</sst>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&quot;Rp&quot;* #,##0_);_(&quot;Rp&quot;* \(#,##0\);_(&quot;Rp&quot;* &quot;-&quot;_);_(@_)"/>
    <numFmt numFmtId="165" formatCode="_(* #,##0_);_(* \(#,##0\);_(* &quot;-&quot;_);_(@_)"/>
    <numFmt numFmtId="166" formatCode="_(&quot;Rp&quot;* #,##0.00_);_(&quot;Rp&quot;* \(#,##0.00\);_(&quot;Rp&quot;* &quot;-&quot;??_);_(@_)"/>
    <numFmt numFmtId="167" formatCode="_(* #,##0.00_);_(* \(#,##0.00\);_(* &quot;-&quot;??_);_(@_)"/>
    <numFmt numFmtId="168" formatCode="_(&quot;$&quot;* #,##0.00_);_(&quot;$&quot;* \(#,##0.00\);_(&quot;$&quot;* &quot;-&quot;??_);_(@_)"/>
    <numFmt numFmtId="169" formatCode="_(&quot;Rp&quot;* #,##0.00_);_(&quot;Rp&quot;* \(#,##0.00\);_(&quot;Rp&quot;* &quot;-&quot;_);_(@_)"/>
    <numFmt numFmtId="170" formatCode="[$-421]dd\ mmmm\ yyyy;@"/>
    <numFmt numFmtId="171" formatCode="dd/mm/yyyy;@"/>
    <numFmt numFmtId="172" formatCode="_(* #,##0_);_(* \(#,##0\);_(* &quot;-&quot;??_);_(@_)"/>
    <numFmt numFmtId="173" formatCode="_(&quot;Rp&quot;* #,##0_);_(&quot;Rp&quot;* \(#,##0\);_(&quot;Rp&quot;* &quot;-&quot;??_);_(@_)"/>
    <numFmt numFmtId="174" formatCode="_(&quot;$&quot;* #,##0_);_(&quot;$&quot;* \(#,##0\);_(&quot;$&quot;* &quot;-&quot;??_);_(@_)"/>
    <numFmt numFmtId="175" formatCode="&quot;Rp&quot;#,##0"/>
    <numFmt numFmtId="176" formatCode="_-&quot;Rp&quot;* #,##0_-;\-&quot;Rp&quot;* #,##0_-;_-&quot;Rp&quot;* &quot;-&quot;??_-;_-@_-"/>
  </numFmts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Tahoma"/>
      <family val="2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9"/>
      <color theme="1"/>
      <name val="Tahoma"/>
      <family val="2"/>
    </font>
    <font>
      <sz val="11"/>
      <color theme="1"/>
      <name val="Tahoma"/>
      <family val="2"/>
    </font>
    <font>
      <sz val="11.5"/>
      <color rgb="FF000000"/>
      <name val="Times New Roman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u/>
      <sz val="11"/>
      <name val="Times New Roman"/>
      <family val="1"/>
    </font>
    <font>
      <b/>
      <u/>
      <sz val="13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11.5"/>
      <color rgb="FF000000"/>
      <name val="Times New Roman"/>
      <family val="1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medium">
        <color indexed="64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theme="1"/>
      </right>
      <top style="thin">
        <color indexed="64"/>
      </top>
      <bottom/>
      <diagonal/>
    </border>
    <border>
      <left/>
      <right style="thick">
        <color theme="1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theme="1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1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vertical="center"/>
    </xf>
    <xf numFmtId="165" fontId="2" fillId="0" borderId="0" xfId="1" applyFont="1"/>
    <xf numFmtId="0" fontId="2" fillId="0" borderId="0" xfId="0" quotePrefix="1" applyFont="1"/>
    <xf numFmtId="166" fontId="2" fillId="0" borderId="0" xfId="0" applyNumberFormat="1" applyFont="1"/>
    <xf numFmtId="0" fontId="6" fillId="0" borderId="0" xfId="0" quotePrefix="1" applyFont="1" applyAlignment="1">
      <alignment vertical="center"/>
    </xf>
    <xf numFmtId="17" fontId="6" fillId="0" borderId="5" xfId="0" applyNumberFormat="1" applyFont="1" applyBorder="1" applyAlignment="1">
      <alignment vertical="center" wrapText="1"/>
    </xf>
    <xf numFmtId="0" fontId="8" fillId="0" borderId="0" xfId="0" applyFont="1" applyAlignment="1">
      <alignment horizontal="left"/>
    </xf>
    <xf numFmtId="172" fontId="11" fillId="0" borderId="0" xfId="2" applyNumberFormat="1" applyFont="1"/>
    <xf numFmtId="172" fontId="11" fillId="0" borderId="0" xfId="2" applyNumberFormat="1" applyFont="1" applyAlignment="1">
      <alignment vertical="center"/>
    </xf>
    <xf numFmtId="172" fontId="11" fillId="0" borderId="0" xfId="0" applyNumberFormat="1" applyFont="1"/>
    <xf numFmtId="0" fontId="6" fillId="0" borderId="0" xfId="0" applyFont="1" applyAlignment="1">
      <alignment vertical="center"/>
    </xf>
    <xf numFmtId="17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7" fontId="6" fillId="0" borderId="0" xfId="0" applyNumberFormat="1" applyFont="1" applyAlignment="1">
      <alignment vertical="center"/>
    </xf>
    <xf numFmtId="0" fontId="11" fillId="0" borderId="15" xfId="0" applyFont="1" applyBorder="1"/>
    <xf numFmtId="172" fontId="11" fillId="0" borderId="2" xfId="2" applyNumberFormat="1" applyFont="1" applyBorder="1"/>
    <xf numFmtId="172" fontId="11" fillId="0" borderId="7" xfId="2" applyNumberFormat="1" applyFont="1" applyBorder="1"/>
    <xf numFmtId="0" fontId="4" fillId="0" borderId="0" xfId="0" applyFont="1" applyAlignment="1">
      <alignment vertical="center"/>
    </xf>
    <xf numFmtId="164" fontId="2" fillId="0" borderId="0" xfId="0" applyNumberFormat="1" applyFont="1"/>
    <xf numFmtId="0" fontId="4" fillId="0" borderId="0" xfId="0" applyFont="1" applyAlignment="1">
      <alignment vertical="top"/>
    </xf>
    <xf numFmtId="17" fontId="4" fillId="0" borderId="0" xfId="0" applyNumberFormat="1" applyFont="1" applyAlignment="1">
      <alignment vertical="center" wrapText="1"/>
    </xf>
    <xf numFmtId="9" fontId="11" fillId="0" borderId="0" xfId="0" applyNumberFormat="1" applyFont="1"/>
    <xf numFmtId="168" fontId="2" fillId="0" borderId="0" xfId="0" applyNumberFormat="1" applyFont="1"/>
    <xf numFmtId="168" fontId="2" fillId="0" borderId="0" xfId="0" applyNumberFormat="1" applyFont="1" applyAlignment="1">
      <alignment vertical="center"/>
    </xf>
    <xf numFmtId="168" fontId="2" fillId="0" borderId="4" xfId="0" applyNumberFormat="1" applyFont="1" applyBorder="1"/>
    <xf numFmtId="168" fontId="2" fillId="0" borderId="0" xfId="1" applyNumberFormat="1" applyFont="1"/>
    <xf numFmtId="165" fontId="0" fillId="0" borderId="0" xfId="1" applyFont="1"/>
    <xf numFmtId="0" fontId="0" fillId="0" borderId="16" xfId="0" applyBorder="1"/>
    <xf numFmtId="165" fontId="0" fillId="0" borderId="16" xfId="1" applyFont="1" applyBorder="1"/>
    <xf numFmtId="165" fontId="14" fillId="0" borderId="16" xfId="1" applyFont="1" applyBorder="1"/>
    <xf numFmtId="165" fontId="0" fillId="0" borderId="17" xfId="1" applyFont="1" applyBorder="1"/>
    <xf numFmtId="0" fontId="0" fillId="2" borderId="16" xfId="0" applyFill="1" applyBorder="1"/>
    <xf numFmtId="165" fontId="14" fillId="2" borderId="18" xfId="1" applyFont="1" applyFill="1" applyBorder="1"/>
    <xf numFmtId="0" fontId="0" fillId="0" borderId="1" xfId="0" applyBorder="1"/>
    <xf numFmtId="0" fontId="0" fillId="0" borderId="4" xfId="0" applyBorder="1"/>
    <xf numFmtId="0" fontId="0" fillId="3" borderId="6" xfId="0" applyFill="1" applyBorder="1"/>
    <xf numFmtId="165" fontId="0" fillId="0" borderId="19" xfId="1" applyFont="1" applyBorder="1"/>
    <xf numFmtId="165" fontId="0" fillId="0" borderId="20" xfId="1" applyFont="1" applyBorder="1"/>
    <xf numFmtId="165" fontId="14" fillId="3" borderId="21" xfId="1" applyFont="1" applyFill="1" applyBorder="1"/>
    <xf numFmtId="0" fontId="0" fillId="0" borderId="16" xfId="0" applyBorder="1" applyAlignment="1">
      <alignment wrapText="1"/>
    </xf>
    <xf numFmtId="0" fontId="0" fillId="3" borderId="16" xfId="0" applyFill="1" applyBorder="1"/>
    <xf numFmtId="165" fontId="14" fillId="3" borderId="16" xfId="1" applyFont="1" applyFill="1" applyBorder="1"/>
    <xf numFmtId="165" fontId="0" fillId="0" borderId="16" xfId="1" applyFont="1" applyBorder="1" applyAlignment="1">
      <alignment vertical="center"/>
    </xf>
    <xf numFmtId="165" fontId="0" fillId="0" borderId="16" xfId="1" applyFont="1" applyBorder="1" applyAlignment="1">
      <alignment wrapText="1"/>
    </xf>
    <xf numFmtId="165" fontId="0" fillId="3" borderId="16" xfId="1" applyFont="1" applyFill="1" applyBorder="1"/>
    <xf numFmtId="0" fontId="16" fillId="0" borderId="0" xfId="0" applyFont="1"/>
    <xf numFmtId="165" fontId="17" fillId="0" borderId="16" xfId="1" applyFont="1" applyBorder="1" applyAlignment="1">
      <alignment horizontal="center"/>
    </xf>
    <xf numFmtId="165" fontId="16" fillId="0" borderId="16" xfId="1" applyFont="1" applyBorder="1"/>
    <xf numFmtId="165" fontId="17" fillId="0" borderId="16" xfId="1" applyFont="1" applyBorder="1"/>
    <xf numFmtId="0" fontId="19" fillId="0" borderId="16" xfId="0" applyFont="1" applyBorder="1"/>
    <xf numFmtId="0" fontId="18" fillId="0" borderId="16" xfId="0" applyFont="1" applyBorder="1"/>
    <xf numFmtId="0" fontId="0" fillId="4" borderId="0" xfId="0" applyFill="1"/>
    <xf numFmtId="165" fontId="0" fillId="4" borderId="0" xfId="1" applyFont="1" applyFill="1"/>
    <xf numFmtId="0" fontId="4" fillId="0" borderId="0" xfId="0" quotePrefix="1" applyFont="1" applyAlignment="1">
      <alignment vertical="center"/>
    </xf>
    <xf numFmtId="0" fontId="8" fillId="0" borderId="0" xfId="0" quotePrefix="1" applyFont="1" applyAlignment="1">
      <alignment vertical="center"/>
    </xf>
    <xf numFmtId="0" fontId="8" fillId="0" borderId="5" xfId="0" quotePrefix="1" applyFont="1" applyBorder="1" applyAlignment="1">
      <alignment vertical="center"/>
    </xf>
    <xf numFmtId="0" fontId="6" fillId="0" borderId="0" xfId="0" applyFont="1"/>
    <xf numFmtId="0" fontId="13" fillId="0" borderId="0" xfId="0" quotePrefix="1" applyFont="1" applyAlignment="1">
      <alignment vertical="center"/>
    </xf>
    <xf numFmtId="0" fontId="13" fillId="0" borderId="5" xfId="0" quotePrefix="1" applyFont="1" applyBorder="1" applyAlignment="1">
      <alignment vertical="center"/>
    </xf>
    <xf numFmtId="17" fontId="13" fillId="0" borderId="0" xfId="0" applyNumberFormat="1" applyFont="1" applyAlignment="1">
      <alignment vertical="center" wrapText="1"/>
    </xf>
    <xf numFmtId="17" fontId="13" fillId="0" borderId="5" xfId="0" applyNumberFormat="1" applyFont="1" applyBorder="1" applyAlignment="1">
      <alignment vertical="center" wrapText="1"/>
    </xf>
    <xf numFmtId="0" fontId="21" fillId="0" borderId="4" xfId="0" applyFont="1" applyBorder="1"/>
    <xf numFmtId="0" fontId="21" fillId="0" borderId="0" xfId="0" applyFont="1"/>
    <xf numFmtId="172" fontId="23" fillId="0" borderId="0" xfId="2" applyNumberFormat="1" applyFont="1" applyBorder="1" applyAlignment="1">
      <alignment horizontal="left"/>
    </xf>
    <xf numFmtId="172" fontId="21" fillId="0" borderId="5" xfId="2" applyNumberFormat="1" applyFont="1" applyBorder="1"/>
    <xf numFmtId="172" fontId="21" fillId="0" borderId="0" xfId="2" applyNumberFormat="1" applyFont="1" applyBorder="1"/>
    <xf numFmtId="0" fontId="24" fillId="0" borderId="0" xfId="0" applyFont="1"/>
    <xf numFmtId="0" fontId="25" fillId="0" borderId="0" xfId="0" applyFont="1"/>
    <xf numFmtId="165" fontId="24" fillId="0" borderId="0" xfId="1" applyFont="1" applyBorder="1" applyAlignment="1">
      <alignment horizontal="center"/>
    </xf>
    <xf numFmtId="172" fontId="24" fillId="0" borderId="0" xfId="2" applyNumberFormat="1" applyFont="1" applyBorder="1" applyAlignment="1"/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172" fontId="15" fillId="0" borderId="0" xfId="2" applyNumberFormat="1" applyFont="1" applyBorder="1" applyAlignment="1">
      <alignment vertical="center"/>
    </xf>
    <xf numFmtId="172" fontId="15" fillId="0" borderId="5" xfId="2" applyNumberFormat="1" applyFont="1" applyBorder="1" applyAlignment="1">
      <alignment vertical="center"/>
    </xf>
    <xf numFmtId="0" fontId="15" fillId="0" borderId="0" xfId="0" applyFont="1"/>
    <xf numFmtId="0" fontId="23" fillId="0" borderId="0" xfId="0" applyFont="1" applyAlignment="1">
      <alignment vertical="center"/>
    </xf>
    <xf numFmtId="169" fontId="15" fillId="0" borderId="4" xfId="1" applyNumberFormat="1" applyFont="1" applyBorder="1" applyAlignment="1"/>
    <xf numFmtId="169" fontId="15" fillId="0" borderId="0" xfId="1" applyNumberFormat="1" applyFont="1" applyBorder="1" applyAlignment="1"/>
    <xf numFmtId="169" fontId="15" fillId="0" borderId="5" xfId="1" applyNumberFormat="1" applyFont="1" applyBorder="1" applyAlignment="1"/>
    <xf numFmtId="0" fontId="0" fillId="0" borderId="0" xfId="0" applyAlignment="1">
      <alignment horizontal="left" vertical="center"/>
    </xf>
    <xf numFmtId="165" fontId="0" fillId="0" borderId="0" xfId="1" applyFont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165" fontId="0" fillId="0" borderId="16" xfId="1" applyFont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165" fontId="14" fillId="3" borderId="16" xfId="1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0" fillId="2" borderId="18" xfId="1" applyFont="1" applyFill="1" applyBorder="1"/>
    <xf numFmtId="165" fontId="2" fillId="0" borderId="0" xfId="1" applyFont="1" applyAlignment="1">
      <alignment vertical="center"/>
    </xf>
    <xf numFmtId="0" fontId="14" fillId="0" borderId="0" xfId="0" applyFont="1"/>
    <xf numFmtId="165" fontId="14" fillId="0" borderId="0" xfId="1" applyFont="1"/>
    <xf numFmtId="0" fontId="14" fillId="5" borderId="0" xfId="0" applyFont="1" applyFill="1"/>
    <xf numFmtId="165" fontId="14" fillId="5" borderId="0" xfId="1" applyFont="1" applyFill="1"/>
    <xf numFmtId="0" fontId="6" fillId="0" borderId="0" xfId="0" quotePrefix="1" applyFont="1" applyAlignment="1">
      <alignment vertical="center" wrapText="1"/>
    </xf>
    <xf numFmtId="0" fontId="6" fillId="0" borderId="5" xfId="0" quotePrefix="1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1" fillId="0" borderId="1" xfId="0" applyFont="1" applyBorder="1"/>
    <xf numFmtId="0" fontId="21" fillId="0" borderId="2" xfId="0" applyFont="1" applyBorder="1"/>
    <xf numFmtId="165" fontId="21" fillId="0" borderId="2" xfId="1" applyFont="1" applyBorder="1" applyAlignment="1">
      <alignment horizontal="center"/>
    </xf>
    <xf numFmtId="172" fontId="21" fillId="0" borderId="2" xfId="2" applyNumberFormat="1" applyFont="1" applyBorder="1"/>
    <xf numFmtId="172" fontId="21" fillId="0" borderId="3" xfId="2" applyNumberFormat="1" applyFont="1" applyBorder="1"/>
    <xf numFmtId="164" fontId="21" fillId="0" borderId="0" xfId="0" applyNumberFormat="1" applyFont="1"/>
    <xf numFmtId="174" fontId="21" fillId="0" borderId="0" xfId="0" applyNumberFormat="1" applyFont="1"/>
    <xf numFmtId="168" fontId="15" fillId="0" borderId="0" xfId="0" applyNumberFormat="1" applyFont="1"/>
    <xf numFmtId="167" fontId="15" fillId="0" borderId="0" xfId="2" applyFont="1"/>
    <xf numFmtId="165" fontId="21" fillId="0" borderId="0" xfId="1" applyFont="1"/>
    <xf numFmtId="164" fontId="21" fillId="0" borderId="6" xfId="0" applyNumberFormat="1" applyFont="1" applyBorder="1"/>
    <xf numFmtId="168" fontId="21" fillId="0" borderId="0" xfId="0" applyNumberFormat="1" applyFont="1"/>
    <xf numFmtId="165" fontId="21" fillId="0" borderId="0" xfId="1" applyFont="1" applyAlignment="1">
      <alignment horizontal="center"/>
    </xf>
    <xf numFmtId="172" fontId="21" fillId="0" borderId="0" xfId="2" applyNumberFormat="1" applyFont="1"/>
    <xf numFmtId="167" fontId="15" fillId="0" borderId="0" xfId="2" applyFont="1" applyBorder="1"/>
    <xf numFmtId="164" fontId="21" fillId="0" borderId="0" xfId="0" applyNumberFormat="1" applyFont="1" applyAlignment="1">
      <alignment vertical="center"/>
    </xf>
    <xf numFmtId="168" fontId="15" fillId="0" borderId="0" xfId="0" applyNumberFormat="1" applyFont="1" applyAlignment="1">
      <alignment vertical="center"/>
    </xf>
    <xf numFmtId="167" fontId="15" fillId="0" borderId="0" xfId="2" applyFont="1" applyAlignment="1">
      <alignment vertical="center"/>
    </xf>
    <xf numFmtId="165" fontId="21" fillId="0" borderId="0" xfId="1" applyFont="1" applyAlignment="1">
      <alignment vertical="center"/>
    </xf>
    <xf numFmtId="0" fontId="21" fillId="0" borderId="5" xfId="0" applyFont="1" applyBorder="1"/>
    <xf numFmtId="164" fontId="21" fillId="0" borderId="7" xfId="0" applyNumberFormat="1" applyFont="1" applyBorder="1"/>
    <xf numFmtId="174" fontId="21" fillId="0" borderId="0" xfId="0" applyNumberFormat="1" applyFont="1" applyAlignment="1">
      <alignment vertical="center"/>
    </xf>
    <xf numFmtId="164" fontId="21" fillId="0" borderId="2" xfId="0" applyNumberFormat="1" applyFont="1" applyBorder="1"/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5" fontId="15" fillId="0" borderId="0" xfId="1" applyFont="1"/>
    <xf numFmtId="164" fontId="21" fillId="0" borderId="2" xfId="0" applyNumberFormat="1" applyFont="1" applyBorder="1" applyAlignment="1">
      <alignment vertical="center"/>
    </xf>
    <xf numFmtId="165" fontId="15" fillId="0" borderId="0" xfId="1" applyFont="1" applyAlignment="1">
      <alignment vertical="center"/>
    </xf>
    <xf numFmtId="164" fontId="15" fillId="0" borderId="0" xfId="0" applyNumberFormat="1" applyFont="1"/>
    <xf numFmtId="174" fontId="15" fillId="0" borderId="0" xfId="0" applyNumberFormat="1" applyFont="1"/>
    <xf numFmtId="164" fontId="21" fillId="0" borderId="10" xfId="0" applyNumberFormat="1" applyFont="1" applyBorder="1"/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/>
    <xf numFmtId="0" fontId="21" fillId="0" borderId="8" xfId="0" applyFont="1" applyBorder="1"/>
    <xf numFmtId="164" fontId="21" fillId="0" borderId="0" xfId="2" applyNumberFormat="1" applyFont="1" applyBorder="1"/>
    <xf numFmtId="164" fontId="21" fillId="0" borderId="5" xfId="2" applyNumberFormat="1" applyFont="1" applyBorder="1"/>
    <xf numFmtId="0" fontId="21" fillId="0" borderId="4" xfId="0" applyFont="1" applyBorder="1" applyAlignment="1">
      <alignment vertical="center"/>
    </xf>
    <xf numFmtId="167" fontId="21" fillId="0" borderId="0" xfId="2" applyFont="1"/>
    <xf numFmtId="172" fontId="21" fillId="0" borderId="0" xfId="2" applyNumberFormat="1" applyFont="1" applyBorder="1" applyAlignment="1">
      <alignment horizontal="center"/>
    </xf>
    <xf numFmtId="0" fontId="21" fillId="0" borderId="6" xfId="0" applyFont="1" applyBorder="1"/>
    <xf numFmtId="165" fontId="21" fillId="0" borderId="7" xfId="1" applyFont="1" applyBorder="1" applyAlignment="1">
      <alignment horizontal="center"/>
    </xf>
    <xf numFmtId="172" fontId="21" fillId="0" borderId="7" xfId="2" applyNumberFormat="1" applyFont="1" applyBorder="1"/>
    <xf numFmtId="172" fontId="21" fillId="0" borderId="8" xfId="2" applyNumberFormat="1" applyFont="1" applyBorder="1"/>
    <xf numFmtId="174" fontId="21" fillId="0" borderId="0" xfId="1" applyNumberFormat="1" applyFont="1"/>
    <xf numFmtId="164" fontId="21" fillId="0" borderId="9" xfId="0" applyNumberFormat="1" applyFont="1" applyBorder="1"/>
    <xf numFmtId="0" fontId="6" fillId="0" borderId="4" xfId="0" applyFont="1" applyBorder="1" applyAlignment="1">
      <alignment vertical="center"/>
    </xf>
    <xf numFmtId="165" fontId="2" fillId="0" borderId="9" xfId="1" applyFont="1" applyBorder="1"/>
    <xf numFmtId="0" fontId="6" fillId="0" borderId="5" xfId="0" applyFont="1" applyBorder="1" applyAlignment="1">
      <alignment vertical="center"/>
    </xf>
    <xf numFmtId="0" fontId="6" fillId="0" borderId="5" xfId="0" applyFont="1" applyBorder="1"/>
    <xf numFmtId="17" fontId="6" fillId="0" borderId="5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" fontId="28" fillId="0" borderId="5" xfId="0" applyNumberFormat="1" applyFont="1" applyBorder="1" applyAlignment="1">
      <alignment vertical="top" shrinkToFit="1"/>
    </xf>
    <xf numFmtId="1" fontId="28" fillId="0" borderId="0" xfId="0" applyNumberFormat="1" applyFont="1" applyAlignment="1">
      <alignment vertical="top" shrinkToFi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5" fillId="0" borderId="5" xfId="0" applyFont="1" applyBorder="1"/>
    <xf numFmtId="164" fontId="15" fillId="0" borderId="7" xfId="0" applyNumberFormat="1" applyFont="1" applyBorder="1"/>
    <xf numFmtId="0" fontId="21" fillId="0" borderId="7" xfId="0" applyFont="1" applyBorder="1" applyAlignment="1">
      <alignment horizontal="right"/>
    </xf>
    <xf numFmtId="172" fontId="21" fillId="0" borderId="7" xfId="2" applyNumberFormat="1" applyFont="1" applyBorder="1" applyAlignment="1">
      <alignment horizontal="center"/>
    </xf>
    <xf numFmtId="172" fontId="15" fillId="0" borderId="6" xfId="2" applyNumberFormat="1" applyFont="1" applyBorder="1" applyAlignment="1">
      <alignment vertical="center"/>
    </xf>
    <xf numFmtId="165" fontId="0" fillId="0" borderId="7" xfId="1" applyFont="1" applyBorder="1"/>
    <xf numFmtId="0" fontId="6" fillId="0" borderId="4" xfId="0" applyFont="1" applyBorder="1"/>
    <xf numFmtId="0" fontId="21" fillId="0" borderId="13" xfId="0" applyFont="1" applyBorder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/>
    </xf>
    <xf numFmtId="0" fontId="6" fillId="0" borderId="5" xfId="0" quotePrefix="1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4" xfId="0" applyFont="1" applyBorder="1" applyAlignment="1">
      <alignment horizontal="center" vertical="center"/>
    </xf>
    <xf numFmtId="165" fontId="21" fillId="0" borderId="0" xfId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21" fillId="0" borderId="23" xfId="0" applyNumberFormat="1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6" fillId="0" borderId="4" xfId="0" quotePrefix="1" applyFont="1" applyBorder="1" applyAlignment="1">
      <alignment vertical="center"/>
    </xf>
    <xf numFmtId="165" fontId="6" fillId="0" borderId="0" xfId="1" applyFont="1" applyFill="1" applyBorder="1" applyAlignment="1">
      <alignment vertical="center" wrapText="1"/>
    </xf>
    <xf numFmtId="174" fontId="21" fillId="0" borderId="2" xfId="0" applyNumberFormat="1" applyFont="1" applyBorder="1" applyAlignment="1">
      <alignment vertical="center"/>
    </xf>
    <xf numFmtId="164" fontId="21" fillId="0" borderId="22" xfId="0" applyNumberFormat="1" applyFont="1" applyBorder="1" applyAlignment="1">
      <alignment vertical="center"/>
    </xf>
    <xf numFmtId="165" fontId="6" fillId="0" borderId="5" xfId="1" quotePrefix="1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164" fontId="15" fillId="0" borderId="9" xfId="0" applyNumberFormat="1" applyFont="1" applyBorder="1"/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5" xfId="1" applyNumberFormat="1" applyFont="1" applyFill="1" applyBorder="1" applyAlignment="1">
      <alignment horizontal="center" vertical="center"/>
    </xf>
    <xf numFmtId="164" fontId="6" fillId="0" borderId="4" xfId="1" applyNumberFormat="1" applyFont="1" applyFill="1" applyBorder="1" applyAlignment="1">
      <alignment horizontal="center" vertical="center"/>
    </xf>
    <xf numFmtId="3" fontId="15" fillId="0" borderId="0" xfId="0" quotePrefix="1" applyNumberFormat="1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3" fontId="15" fillId="0" borderId="4" xfId="0" quotePrefix="1" applyNumberFormat="1" applyFont="1" applyBorder="1" applyAlignment="1">
      <alignment horizontal="center" vertical="center"/>
    </xf>
    <xf numFmtId="165" fontId="4" fillId="0" borderId="5" xfId="1" quotePrefix="1" applyFont="1" applyFill="1" applyBorder="1" applyAlignment="1">
      <alignment vertical="center" wrapText="1"/>
    </xf>
    <xf numFmtId="165" fontId="6" fillId="0" borderId="8" xfId="0" applyNumberFormat="1" applyFont="1" applyBorder="1" applyAlignment="1">
      <alignment vertical="center" wrapText="1"/>
    </xf>
    <xf numFmtId="164" fontId="15" fillId="0" borderId="6" xfId="0" applyNumberFormat="1" applyFont="1" applyBorder="1"/>
    <xf numFmtId="169" fontId="6" fillId="0" borderId="0" xfId="1" applyNumberFormat="1" applyFont="1" applyBorder="1" applyAlignment="1">
      <alignment horizontal="left" vertical="center"/>
    </xf>
    <xf numFmtId="169" fontId="6" fillId="0" borderId="5" xfId="1" applyNumberFormat="1" applyFont="1" applyBorder="1" applyAlignment="1">
      <alignment horizontal="left" vertical="center"/>
    </xf>
    <xf numFmtId="167" fontId="15" fillId="0" borderId="0" xfId="2" applyFont="1" applyFill="1"/>
    <xf numFmtId="165" fontId="15" fillId="0" borderId="0" xfId="1" applyFont="1" applyFill="1"/>
    <xf numFmtId="164" fontId="21" fillId="0" borderId="27" xfId="0" applyNumberFormat="1" applyFont="1" applyBorder="1"/>
    <xf numFmtId="168" fontId="15" fillId="0" borderId="4" xfId="0" applyNumberFormat="1" applyFont="1" applyBorder="1"/>
    <xf numFmtId="0" fontId="0" fillId="4" borderId="16" xfId="0" applyFill="1" applyBorder="1"/>
    <xf numFmtId="165" fontId="0" fillId="4" borderId="16" xfId="1" applyFont="1" applyFill="1" applyBorder="1"/>
    <xf numFmtId="165" fontId="21" fillId="0" borderId="0" xfId="1" applyFont="1" applyFill="1" applyBorder="1" applyAlignment="1">
      <alignment horizontal="center"/>
    </xf>
    <xf numFmtId="172" fontId="21" fillId="0" borderId="0" xfId="2" applyNumberFormat="1" applyFont="1" applyFill="1" applyBorder="1"/>
    <xf numFmtId="0" fontId="15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5" xfId="0" quotePrefix="1" applyFont="1" applyBorder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15" fillId="0" borderId="4" xfId="0" quotePrefix="1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164" fontId="21" fillId="0" borderId="1" xfId="0" applyNumberFormat="1" applyFont="1" applyBorder="1" applyAlignment="1">
      <alignment vertical="center"/>
    </xf>
    <xf numFmtId="164" fontId="21" fillId="0" borderId="9" xfId="0" applyNumberFormat="1" applyFont="1" applyBorder="1" applyAlignment="1">
      <alignment vertical="center"/>
    </xf>
    <xf numFmtId="167" fontId="15" fillId="0" borderId="0" xfId="2" applyFont="1" applyBorder="1" applyAlignment="1">
      <alignment vertical="center"/>
    </xf>
    <xf numFmtId="164" fontId="6" fillId="0" borderId="4" xfId="1" applyNumberFormat="1" applyFont="1" applyFill="1" applyBorder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4" fontId="6" fillId="0" borderId="5" xfId="1" applyNumberFormat="1" applyFont="1" applyFill="1" applyBorder="1" applyAlignment="1">
      <alignment vertical="center"/>
    </xf>
    <xf numFmtId="0" fontId="14" fillId="0" borderId="1" xfId="0" applyFont="1" applyBorder="1"/>
    <xf numFmtId="165" fontId="14" fillId="0" borderId="2" xfId="1" applyFont="1" applyBorder="1"/>
    <xf numFmtId="165" fontId="0" fillId="0" borderId="3" xfId="1" applyFont="1" applyBorder="1"/>
    <xf numFmtId="165" fontId="0" fillId="0" borderId="0" xfId="1" applyFont="1" applyBorder="1"/>
    <xf numFmtId="165" fontId="0" fillId="0" borderId="5" xfId="1" applyFont="1" applyBorder="1"/>
    <xf numFmtId="0" fontId="14" fillId="0" borderId="4" xfId="0" applyFont="1" applyBorder="1"/>
    <xf numFmtId="165" fontId="14" fillId="0" borderId="0" xfId="1" applyFont="1" applyBorder="1"/>
    <xf numFmtId="0" fontId="14" fillId="0" borderId="6" xfId="0" applyFont="1" applyBorder="1"/>
    <xf numFmtId="165" fontId="14" fillId="0" borderId="7" xfId="1" applyFont="1" applyBorder="1"/>
    <xf numFmtId="165" fontId="14" fillId="0" borderId="8" xfId="1" applyFont="1" applyBorder="1"/>
    <xf numFmtId="165" fontId="14" fillId="0" borderId="3" xfId="1" applyFont="1" applyBorder="1"/>
    <xf numFmtId="165" fontId="14" fillId="0" borderId="5" xfId="1" applyFont="1" applyBorder="1"/>
    <xf numFmtId="0" fontId="0" fillId="0" borderId="5" xfId="0" applyBorder="1"/>
    <xf numFmtId="172" fontId="15" fillId="0" borderId="22" xfId="2" applyNumberFormat="1" applyFont="1" applyBorder="1" applyAlignment="1">
      <alignment vertical="center"/>
    </xf>
    <xf numFmtId="174" fontId="21" fillId="0" borderId="2" xfId="0" applyNumberFormat="1" applyFont="1" applyBorder="1"/>
    <xf numFmtId="174" fontId="21" fillId="0" borderId="7" xfId="0" applyNumberFormat="1" applyFont="1" applyBorder="1"/>
    <xf numFmtId="172" fontId="15" fillId="0" borderId="7" xfId="2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4" xfId="0" applyBorder="1"/>
    <xf numFmtId="0" fontId="14" fillId="0" borderId="24" xfId="0" applyFont="1" applyBorder="1"/>
    <xf numFmtId="0" fontId="14" fillId="0" borderId="22" xfId="0" applyFont="1" applyBorder="1"/>
    <xf numFmtId="165" fontId="14" fillId="0" borderId="22" xfId="1" applyFont="1" applyBorder="1"/>
    <xf numFmtId="165" fontId="0" fillId="0" borderId="24" xfId="1" applyFont="1" applyBorder="1"/>
    <xf numFmtId="165" fontId="14" fillId="0" borderId="24" xfId="1" applyFont="1" applyBorder="1"/>
    <xf numFmtId="165" fontId="0" fillId="0" borderId="22" xfId="1" applyFont="1" applyBorder="1"/>
    <xf numFmtId="0" fontId="29" fillId="0" borderId="23" xfId="0" applyFont="1" applyBorder="1"/>
    <xf numFmtId="0" fontId="29" fillId="0" borderId="24" xfId="0" applyFont="1" applyBorder="1"/>
    <xf numFmtId="0" fontId="29" fillId="0" borderId="28" xfId="0" applyFont="1" applyBorder="1"/>
    <xf numFmtId="0" fontId="14" fillId="2" borderId="22" xfId="0" applyFont="1" applyFill="1" applyBorder="1"/>
    <xf numFmtId="165" fontId="14" fillId="2" borderId="22" xfId="1" applyFont="1" applyFill="1" applyBorder="1"/>
    <xf numFmtId="0" fontId="14" fillId="2" borderId="24" xfId="0" applyFont="1" applyFill="1" applyBorder="1"/>
    <xf numFmtId="165" fontId="14" fillId="2" borderId="24" xfId="1" applyFont="1" applyFill="1" applyBorder="1"/>
    <xf numFmtId="164" fontId="21" fillId="0" borderId="1" xfId="0" applyNumberFormat="1" applyFont="1" applyBorder="1"/>
    <xf numFmtId="0" fontId="21" fillId="0" borderId="0" xfId="0" quotePrefix="1" applyFont="1"/>
    <xf numFmtId="164" fontId="6" fillId="0" borderId="0" xfId="0" quotePrefix="1" applyNumberFormat="1" applyFont="1" applyAlignment="1">
      <alignment vertical="center" wrapText="1"/>
    </xf>
    <xf numFmtId="175" fontId="4" fillId="0" borderId="0" xfId="0" quotePrefix="1" applyNumberFormat="1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0" xfId="0" quotePrefix="1" applyFont="1" applyAlignment="1">
      <alignment vertical="center"/>
    </xf>
    <xf numFmtId="0" fontId="18" fillId="0" borderId="0" xfId="0" applyFont="1"/>
    <xf numFmtId="165" fontId="18" fillId="0" borderId="0" xfId="1" applyFont="1"/>
    <xf numFmtId="0" fontId="17" fillId="0" borderId="22" xfId="0" applyFont="1" applyBorder="1"/>
    <xf numFmtId="165" fontId="17" fillId="0" borderId="22" xfId="1" applyFont="1" applyBorder="1"/>
    <xf numFmtId="0" fontId="18" fillId="0" borderId="24" xfId="0" applyFont="1" applyBorder="1"/>
    <xf numFmtId="165" fontId="18" fillId="0" borderId="24" xfId="1" applyFont="1" applyBorder="1"/>
    <xf numFmtId="0" fontId="18" fillId="0" borderId="29" xfId="0" applyFont="1" applyBorder="1"/>
    <xf numFmtId="165" fontId="18" fillId="0" borderId="29" xfId="1" applyFont="1" applyBorder="1"/>
    <xf numFmtId="0" fontId="17" fillId="2" borderId="24" xfId="0" applyFont="1" applyFill="1" applyBorder="1"/>
    <xf numFmtId="165" fontId="17" fillId="2" borderId="24" xfId="1" applyFont="1" applyFill="1" applyBorder="1"/>
    <xf numFmtId="0" fontId="17" fillId="2" borderId="22" xfId="0" applyFont="1" applyFill="1" applyBorder="1"/>
    <xf numFmtId="165" fontId="17" fillId="2" borderId="22" xfId="1" applyFont="1" applyFill="1" applyBorder="1"/>
    <xf numFmtId="0" fontId="18" fillId="0" borderId="0" xfId="0" applyFont="1" applyAlignment="1">
      <alignment horizontal="center"/>
    </xf>
    <xf numFmtId="165" fontId="18" fillId="0" borderId="16" xfId="1" applyFont="1" applyBorder="1"/>
    <xf numFmtId="165" fontId="16" fillId="0" borderId="0" xfId="1" applyFont="1"/>
    <xf numFmtId="165" fontId="19" fillId="0" borderId="16" xfId="1" applyFont="1" applyFill="1" applyBorder="1" applyAlignment="1"/>
    <xf numFmtId="165" fontId="19" fillId="0" borderId="18" xfId="1" applyFont="1" applyFill="1" applyBorder="1" applyAlignment="1"/>
    <xf numFmtId="165" fontId="0" fillId="0" borderId="0" xfId="1" applyFont="1" applyAlignment="1">
      <alignment horizontal="center"/>
    </xf>
    <xf numFmtId="165" fontId="29" fillId="0" borderId="0" xfId="1" applyFont="1" applyBorder="1"/>
    <xf numFmtId="165" fontId="18" fillId="0" borderId="24" xfId="1" applyFont="1" applyBorder="1" applyAlignment="1">
      <alignment horizontal="center"/>
    </xf>
    <xf numFmtId="165" fontId="18" fillId="0" borderId="16" xfId="1" applyFont="1" applyBorder="1" applyAlignment="1">
      <alignment horizontal="center" vertical="center"/>
    </xf>
    <xf numFmtId="165" fontId="18" fillId="0" borderId="29" xfId="1" applyFont="1" applyBorder="1" applyAlignment="1">
      <alignment horizontal="center"/>
    </xf>
    <xf numFmtId="165" fontId="18" fillId="0" borderId="0" xfId="1" applyFont="1" applyAlignment="1">
      <alignment horizontal="center"/>
    </xf>
    <xf numFmtId="0" fontId="17" fillId="0" borderId="23" xfId="0" applyFont="1" applyBorder="1"/>
    <xf numFmtId="165" fontId="17" fillId="0" borderId="23" xfId="1" applyFont="1" applyBorder="1"/>
    <xf numFmtId="165" fontId="19" fillId="0" borderId="16" xfId="1" applyFont="1" applyFill="1" applyBorder="1" applyAlignment="1">
      <alignment horizontal="right"/>
    </xf>
    <xf numFmtId="165" fontId="20" fillId="0" borderId="18" xfId="1" applyFont="1" applyFill="1" applyBorder="1" applyAlignment="1">
      <alignment horizontal="right"/>
    </xf>
    <xf numFmtId="165" fontId="18" fillId="0" borderId="16" xfId="1" applyFont="1" applyBorder="1" applyAlignment="1"/>
    <xf numFmtId="0" fontId="18" fillId="0" borderId="30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18" fillId="0" borderId="30" xfId="0" applyFont="1" applyBorder="1"/>
    <xf numFmtId="165" fontId="18" fillId="0" borderId="30" xfId="1" applyFont="1" applyBorder="1" applyAlignment="1"/>
    <xf numFmtId="0" fontId="18" fillId="2" borderId="22" xfId="0" applyFont="1" applyFill="1" applyBorder="1" applyAlignment="1">
      <alignment vertical="center"/>
    </xf>
    <xf numFmtId="165" fontId="17" fillId="2" borderId="16" xfId="1" applyFont="1" applyFill="1" applyBorder="1" applyAlignment="1"/>
    <xf numFmtId="165" fontId="18" fillId="0" borderId="0" xfId="1" applyFont="1" applyBorder="1" applyAlignment="1"/>
    <xf numFmtId="0" fontId="18" fillId="2" borderId="28" xfId="0" applyFont="1" applyFill="1" applyBorder="1" applyAlignment="1">
      <alignment vertical="center"/>
    </xf>
    <xf numFmtId="0" fontId="18" fillId="0" borderId="16" xfId="0" applyFont="1" applyBorder="1" applyAlignment="1">
      <alignment horizontal="left" vertical="center"/>
    </xf>
    <xf numFmtId="0" fontId="18" fillId="0" borderId="18" xfId="0" applyFont="1" applyBorder="1" applyAlignment="1">
      <alignment vertical="center"/>
    </xf>
    <xf numFmtId="0" fontId="18" fillId="5" borderId="16" xfId="0" applyFont="1" applyFill="1" applyBorder="1" applyAlignment="1">
      <alignment vertical="center"/>
    </xf>
    <xf numFmtId="0" fontId="17" fillId="5" borderId="16" xfId="0" applyFont="1" applyFill="1" applyBorder="1"/>
    <xf numFmtId="165" fontId="17" fillId="5" borderId="16" xfId="1" applyFont="1" applyFill="1" applyBorder="1" applyAlignment="1"/>
    <xf numFmtId="0" fontId="17" fillId="0" borderId="0" xfId="0" applyFont="1"/>
    <xf numFmtId="0" fontId="18" fillId="0" borderId="0" xfId="0" applyFont="1" applyAlignment="1">
      <alignment vertical="center"/>
    </xf>
    <xf numFmtId="165" fontId="17" fillId="0" borderId="0" xfId="1" applyFont="1" applyFill="1" applyBorder="1"/>
    <xf numFmtId="0" fontId="18" fillId="0" borderId="25" xfId="0" applyFont="1" applyBorder="1"/>
    <xf numFmtId="165" fontId="18" fillId="0" borderId="26" xfId="1" applyFont="1" applyBorder="1" applyAlignment="1"/>
    <xf numFmtId="164" fontId="6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33" xfId="0" applyFont="1" applyBorder="1"/>
    <xf numFmtId="165" fontId="18" fillId="0" borderId="20" xfId="1" applyFont="1" applyBorder="1" applyAlignment="1"/>
    <xf numFmtId="164" fontId="6" fillId="0" borderId="8" xfId="0" applyNumberFormat="1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164" fontId="4" fillId="0" borderId="5" xfId="0" applyNumberFormat="1" applyFont="1" applyBorder="1" applyAlignment="1">
      <alignment vertical="center" wrapText="1"/>
    </xf>
    <xf numFmtId="172" fontId="21" fillId="0" borderId="4" xfId="2" applyNumberFormat="1" applyFont="1" applyBorder="1"/>
    <xf numFmtId="164" fontId="21" fillId="0" borderId="4" xfId="0" applyNumberFormat="1" applyFont="1" applyBorder="1"/>
    <xf numFmtId="165" fontId="6" fillId="0" borderId="34" xfId="0" applyNumberFormat="1" applyFont="1" applyBorder="1" applyAlignment="1">
      <alignment vertical="center" wrapText="1"/>
    </xf>
    <xf numFmtId="164" fontId="21" fillId="0" borderId="39" xfId="0" applyNumberFormat="1" applyFont="1" applyBorder="1"/>
    <xf numFmtId="164" fontId="21" fillId="0" borderId="4" xfId="0" applyNumberFormat="1" applyFont="1" applyBorder="1" applyAlignment="1">
      <alignment vertical="center"/>
    </xf>
    <xf numFmtId="164" fontId="21" fillId="0" borderId="40" xfId="0" applyNumberFormat="1" applyFont="1" applyBorder="1"/>
    <xf numFmtId="176" fontId="6" fillId="0" borderId="5" xfId="0" quotePrefix="1" applyNumberFormat="1" applyFont="1" applyBorder="1" applyAlignment="1">
      <alignment horizontal="left" vertical="center" wrapText="1"/>
    </xf>
    <xf numFmtId="176" fontId="6" fillId="0" borderId="5" xfId="0" applyNumberFormat="1" applyFont="1" applyBorder="1" applyAlignment="1">
      <alignment vertical="center" wrapText="1"/>
    </xf>
    <xf numFmtId="164" fontId="2" fillId="0" borderId="5" xfId="0" applyNumberFormat="1" applyFont="1" applyBorder="1"/>
    <xf numFmtId="164" fontId="4" fillId="0" borderId="0" xfId="0" applyNumberFormat="1" applyFont="1"/>
    <xf numFmtId="164" fontId="4" fillId="0" borderId="5" xfId="0" applyNumberFormat="1" applyFont="1" applyBorder="1"/>
    <xf numFmtId="176" fontId="6" fillId="0" borderId="0" xfId="2" applyNumberFormat="1" applyFont="1" applyBorder="1" applyAlignment="1">
      <alignment horizontal="left" vertical="center" wrapText="1"/>
    </xf>
    <xf numFmtId="176" fontId="6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7" fillId="2" borderId="26" xfId="0" applyFont="1" applyFill="1" applyBorder="1" applyAlignment="1">
      <alignment horizont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0" fillId="0" borderId="26" xfId="1" applyFont="1" applyBorder="1"/>
    <xf numFmtId="165" fontId="0" fillId="0" borderId="26" xfId="1" applyFont="1" applyBorder="1" applyAlignment="1">
      <alignment wrapText="1"/>
    </xf>
    <xf numFmtId="0" fontId="18" fillId="0" borderId="0" xfId="0" applyFont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5" fontId="17" fillId="0" borderId="0" xfId="1" applyFont="1" applyBorder="1"/>
    <xf numFmtId="165" fontId="17" fillId="2" borderId="0" xfId="1" applyFont="1" applyFill="1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right"/>
    </xf>
    <xf numFmtId="172" fontId="0" fillId="0" borderId="16" xfId="2" applyNumberFormat="1" applyFont="1" applyBorder="1" applyAlignment="1">
      <alignment horizontal="center" vertical="center"/>
    </xf>
    <xf numFmtId="172" fontId="0" fillId="0" borderId="16" xfId="0" applyNumberFormat="1" applyBorder="1"/>
    <xf numFmtId="172" fontId="0" fillId="0" borderId="0" xfId="0" applyNumberFormat="1"/>
    <xf numFmtId="3" fontId="6" fillId="0" borderId="4" xfId="0" quotePrefix="1" applyNumberFormat="1" applyFont="1" applyBorder="1" applyAlignment="1">
      <alignment vertical="center"/>
    </xf>
    <xf numFmtId="17" fontId="6" fillId="0" borderId="0" xfId="0" quotePrefix="1" applyNumberFormat="1" applyFont="1" applyAlignment="1">
      <alignment horizontal="left" vertical="center" wrapText="1"/>
    </xf>
    <xf numFmtId="17" fontId="6" fillId="0" borderId="4" xfId="0" quotePrefix="1" applyNumberFormat="1" applyFont="1" applyBorder="1" applyAlignment="1">
      <alignment horizontal="left" vertical="center" wrapText="1"/>
    </xf>
    <xf numFmtId="172" fontId="6" fillId="0" borderId="43" xfId="2" quotePrefix="1" applyNumberFormat="1" applyFont="1" applyBorder="1" applyAlignment="1">
      <alignment horizontal="left" vertical="center" wrapText="1"/>
    </xf>
    <xf numFmtId="172" fontId="6" fillId="0" borderId="44" xfId="2" quotePrefix="1" applyNumberFormat="1" applyFont="1" applyBorder="1" applyAlignment="1">
      <alignment horizontal="left" vertical="center" wrapText="1"/>
    </xf>
    <xf numFmtId="172" fontId="6" fillId="0" borderId="42" xfId="0" quotePrefix="1" applyNumberFormat="1" applyFont="1" applyBorder="1" applyAlignment="1">
      <alignment horizontal="left" vertical="center" wrapText="1"/>
    </xf>
    <xf numFmtId="164" fontId="21" fillId="0" borderId="10" xfId="0" applyNumberFormat="1" applyFont="1" applyBorder="1" applyAlignment="1">
      <alignment vertical="center"/>
    </xf>
    <xf numFmtId="17" fontId="6" fillId="0" borderId="5" xfId="0" quotePrefix="1" applyNumberFormat="1" applyFont="1" applyBorder="1" applyAlignment="1">
      <alignment horizontal="left" vertical="center" wrapText="1"/>
    </xf>
    <xf numFmtId="175" fontId="6" fillId="0" borderId="5" xfId="0" quotePrefix="1" applyNumberFormat="1" applyFont="1" applyBorder="1" applyAlignment="1">
      <alignment horizontal="left" vertical="center" wrapText="1"/>
    </xf>
    <xf numFmtId="175" fontId="6" fillId="0" borderId="0" xfId="0" quotePrefix="1" applyNumberFormat="1" applyFont="1" applyAlignment="1">
      <alignment horizontal="left" vertical="center" wrapText="1"/>
    </xf>
    <xf numFmtId="175" fontId="6" fillId="0" borderId="8" xfId="0" quotePrefix="1" applyNumberFormat="1" applyFont="1" applyBorder="1" applyAlignment="1">
      <alignment horizontal="left" vertical="center" wrapText="1"/>
    </xf>
    <xf numFmtId="175" fontId="6" fillId="0" borderId="3" xfId="0" quotePrefix="1" applyNumberFormat="1" applyFont="1" applyBorder="1" applyAlignment="1">
      <alignment horizontal="left" vertical="center" wrapText="1"/>
    </xf>
    <xf numFmtId="172" fontId="4" fillId="0" borderId="34" xfId="2" quotePrefix="1" applyNumberFormat="1" applyFont="1" applyBorder="1" applyAlignment="1">
      <alignment horizontal="left" vertical="center" wrapText="1"/>
    </xf>
    <xf numFmtId="176" fontId="13" fillId="0" borderId="5" xfId="0" applyNumberFormat="1" applyFont="1" applyBorder="1" applyAlignment="1">
      <alignment horizontal="right" vertical="center" wrapText="1"/>
    </xf>
    <xf numFmtId="169" fontId="6" fillId="0" borderId="0" xfId="1" applyNumberFormat="1" applyFont="1" applyBorder="1" applyAlignment="1">
      <alignment horizontal="center" vertical="center"/>
    </xf>
    <xf numFmtId="169" fontId="6" fillId="0" borderId="5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2" fontId="4" fillId="0" borderId="34" xfId="0" quotePrefix="1" applyNumberFormat="1" applyFont="1" applyBorder="1" applyAlignment="1">
      <alignment horizontal="left" vertical="center" wrapText="1"/>
    </xf>
    <xf numFmtId="172" fontId="4" fillId="0" borderId="44" xfId="2" quotePrefix="1" applyNumberFormat="1" applyFont="1" applyBorder="1" applyAlignment="1">
      <alignment horizontal="left" vertical="center" wrapText="1"/>
    </xf>
    <xf numFmtId="0" fontId="21" fillId="0" borderId="13" xfId="0" applyFont="1" applyBorder="1" applyAlignment="1">
      <alignment horizont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5" fillId="0" borderId="4" xfId="0" quotePrefix="1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5" xfId="0" quotePrefix="1" applyFont="1" applyBorder="1" applyAlignment="1">
      <alignment horizontal="center" vertical="center"/>
    </xf>
    <xf numFmtId="164" fontId="6" fillId="0" borderId="4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5" xfId="1" applyNumberFormat="1" applyFont="1" applyFill="1" applyBorder="1" applyAlignment="1">
      <alignment horizontal="center" vertical="center"/>
    </xf>
    <xf numFmtId="164" fontId="15" fillId="0" borderId="7" xfId="2" applyNumberFormat="1" applyFont="1" applyBorder="1" applyAlignment="1">
      <alignment horizontal="center"/>
    </xf>
    <xf numFmtId="164" fontId="15" fillId="0" borderId="8" xfId="2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17" fontId="6" fillId="0" borderId="4" xfId="0" quotePrefix="1" applyNumberFormat="1" applyFont="1" applyBorder="1" applyAlignment="1">
      <alignment horizontal="left" vertical="center" wrapText="1"/>
    </xf>
    <xf numFmtId="17" fontId="6" fillId="0" borderId="0" xfId="0" quotePrefix="1" applyNumberFormat="1" applyFont="1" applyAlignment="1">
      <alignment horizontal="left" vertical="center" wrapText="1"/>
    </xf>
    <xf numFmtId="17" fontId="6" fillId="0" borderId="5" xfId="0" quotePrefix="1" applyNumberFormat="1" applyFont="1" applyBorder="1" applyAlignment="1">
      <alignment horizontal="left" vertical="center" wrapText="1"/>
    </xf>
    <xf numFmtId="169" fontId="15" fillId="0" borderId="4" xfId="1" applyNumberFormat="1" applyFont="1" applyBorder="1" applyAlignment="1">
      <alignment horizontal="center"/>
    </xf>
    <xf numFmtId="169" fontId="15" fillId="0" borderId="0" xfId="1" applyNumberFormat="1" applyFont="1" applyBorder="1" applyAlignment="1">
      <alignment horizontal="center"/>
    </xf>
    <xf numFmtId="169" fontId="15" fillId="0" borderId="5" xfId="1" applyNumberFormat="1" applyFont="1" applyBorder="1" applyAlignment="1">
      <alignment horizontal="center"/>
    </xf>
    <xf numFmtId="165" fontId="21" fillId="0" borderId="0" xfId="1" applyFont="1" applyBorder="1" applyAlignment="1">
      <alignment horizontal="center"/>
    </xf>
    <xf numFmtId="164" fontId="21" fillId="0" borderId="13" xfId="2" applyNumberFormat="1" applyFont="1" applyBorder="1" applyAlignment="1">
      <alignment horizontal="center"/>
    </xf>
    <xf numFmtId="164" fontId="21" fillId="0" borderId="12" xfId="2" applyNumberFormat="1" applyFont="1" applyBorder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171" fontId="27" fillId="0" borderId="13" xfId="0" applyNumberFormat="1" applyFont="1" applyBorder="1" applyAlignment="1">
      <alignment horizontal="left"/>
    </xf>
    <xf numFmtId="0" fontId="21" fillId="0" borderId="0" xfId="0" applyFont="1" applyAlignment="1">
      <alignment horizontal="right"/>
    </xf>
    <xf numFmtId="172" fontId="21" fillId="0" borderId="13" xfId="2" applyNumberFormat="1" applyFont="1" applyBorder="1" applyAlignment="1">
      <alignment horizontal="center"/>
    </xf>
    <xf numFmtId="172" fontId="21" fillId="0" borderId="12" xfId="2" applyNumberFormat="1" applyFont="1" applyBorder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5" fontId="4" fillId="0" borderId="0" xfId="1" applyFont="1" applyFill="1" applyBorder="1" applyAlignment="1">
      <alignment horizontal="center" vertical="center" wrapText="1"/>
    </xf>
    <xf numFmtId="165" fontId="4" fillId="0" borderId="5" xfId="1" applyFont="1" applyFill="1" applyBorder="1" applyAlignment="1">
      <alignment horizontal="center" vertical="center" wrapText="1"/>
    </xf>
    <xf numFmtId="17" fontId="6" fillId="0" borderId="4" xfId="0" quotePrefix="1" applyNumberFormat="1" applyFont="1" applyBorder="1" applyAlignment="1">
      <alignment horizontal="left" vertical="center"/>
    </xf>
    <xf numFmtId="17" fontId="6" fillId="0" borderId="0" xfId="0" quotePrefix="1" applyNumberFormat="1" applyFont="1" applyAlignment="1">
      <alignment horizontal="left" vertical="center"/>
    </xf>
    <xf numFmtId="165" fontId="6" fillId="0" borderId="7" xfId="1" applyFont="1" applyFill="1" applyBorder="1" applyAlignment="1">
      <alignment horizontal="center" vertical="center" wrapText="1"/>
    </xf>
    <xf numFmtId="165" fontId="6" fillId="0" borderId="8" xfId="1" applyFont="1" applyFill="1" applyBorder="1" applyAlignment="1">
      <alignment horizontal="center" vertical="center" wrapText="1"/>
    </xf>
    <xf numFmtId="164" fontId="4" fillId="0" borderId="0" xfId="1" applyNumberFormat="1" applyFont="1" applyFill="1" applyBorder="1" applyAlignment="1">
      <alignment horizontal="center" vertical="center"/>
    </xf>
    <xf numFmtId="164" fontId="4" fillId="0" borderId="5" xfId="1" applyNumberFormat="1" applyFont="1" applyFill="1" applyBorder="1" applyAlignment="1">
      <alignment horizontal="center" vertical="center"/>
    </xf>
    <xf numFmtId="164" fontId="4" fillId="0" borderId="4" xfId="1" applyNumberFormat="1" applyFont="1" applyFill="1" applyBorder="1" applyAlignment="1">
      <alignment horizontal="center" vertical="center"/>
    </xf>
    <xf numFmtId="165" fontId="6" fillId="0" borderId="0" xfId="1" applyFont="1" applyFill="1" applyBorder="1" applyAlignment="1">
      <alignment horizontal="center" vertical="center" wrapText="1"/>
    </xf>
    <xf numFmtId="165" fontId="6" fillId="0" borderId="5" xfId="1" applyFont="1" applyFill="1" applyBorder="1" applyAlignment="1">
      <alignment horizontal="center" vertical="center" wrapText="1"/>
    </xf>
    <xf numFmtId="3" fontId="15" fillId="0" borderId="4" xfId="0" quotePrefix="1" applyNumberFormat="1" applyFont="1" applyBorder="1" applyAlignment="1">
      <alignment horizontal="center" vertical="center"/>
    </xf>
    <xf numFmtId="164" fontId="6" fillId="0" borderId="6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164" fontId="6" fillId="0" borderId="8" xfId="1" applyNumberFormat="1" applyFont="1" applyFill="1" applyBorder="1" applyAlignment="1">
      <alignment horizontal="center" vertical="center"/>
    </xf>
    <xf numFmtId="165" fontId="6" fillId="0" borderId="4" xfId="0" quotePrefix="1" applyNumberFormat="1" applyFont="1" applyBorder="1" applyAlignment="1">
      <alignment horizontal="left" vertical="center" wrapText="1"/>
    </xf>
    <xf numFmtId="0" fontId="22" fillId="0" borderId="0" xfId="0" applyFont="1" applyAlignment="1">
      <alignment horizontal="left"/>
    </xf>
    <xf numFmtId="0" fontId="26" fillId="0" borderId="13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170" fontId="15" fillId="0" borderId="14" xfId="0" applyNumberFormat="1" applyFont="1" applyBorder="1" applyAlignment="1">
      <alignment horizontal="left"/>
    </xf>
    <xf numFmtId="0" fontId="15" fillId="0" borderId="14" xfId="0" applyFont="1" applyBorder="1" applyAlignment="1">
      <alignment horizontal="left" vertical="center" wrapText="1"/>
    </xf>
    <xf numFmtId="164" fontId="15" fillId="0" borderId="13" xfId="0" applyNumberFormat="1" applyFont="1" applyBorder="1" applyAlignment="1">
      <alignment horizontal="left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72" fontId="21" fillId="0" borderId="10" xfId="2" applyNumberFormat="1" applyFont="1" applyBorder="1" applyAlignment="1">
      <alignment horizontal="center" vertical="center"/>
    </xf>
    <xf numFmtId="172" fontId="21" fillId="0" borderId="11" xfId="2" applyNumberFormat="1" applyFont="1" applyBorder="1" applyAlignment="1">
      <alignment horizontal="center" vertical="center"/>
    </xf>
    <xf numFmtId="172" fontId="15" fillId="0" borderId="2" xfId="2" applyNumberFormat="1" applyFont="1" applyBorder="1" applyAlignment="1">
      <alignment horizontal="center" vertical="center"/>
    </xf>
    <xf numFmtId="172" fontId="15" fillId="0" borderId="3" xfId="2" applyNumberFormat="1" applyFont="1" applyBorder="1" applyAlignment="1">
      <alignment horizontal="center" vertical="center"/>
    </xf>
    <xf numFmtId="172" fontId="15" fillId="0" borderId="1" xfId="2" applyNumberFormat="1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49" fontId="6" fillId="0" borderId="4" xfId="0" quotePrefix="1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7" fontId="6" fillId="0" borderId="4" xfId="0" applyNumberFormat="1" applyFont="1" applyBorder="1" applyAlignment="1">
      <alignment horizontal="left" vertical="center" wrapText="1"/>
    </xf>
    <xf numFmtId="17" fontId="6" fillId="0" borderId="0" xfId="0" applyNumberFormat="1" applyFont="1" applyAlignment="1">
      <alignment horizontal="left" vertical="center" wrapText="1"/>
    </xf>
    <xf numFmtId="17" fontId="6" fillId="0" borderId="5" xfId="0" applyNumberFormat="1" applyFont="1" applyBorder="1" applyAlignment="1">
      <alignment horizontal="left" vertical="center" wrapText="1"/>
    </xf>
    <xf numFmtId="164" fontId="15" fillId="0" borderId="6" xfId="2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top" shrinkToFit="1"/>
    </xf>
    <xf numFmtId="1" fontId="12" fillId="0" borderId="5" xfId="0" applyNumberFormat="1" applyFont="1" applyBorder="1" applyAlignment="1">
      <alignment horizontal="center" vertical="top" shrinkToFit="1"/>
    </xf>
    <xf numFmtId="17" fontId="4" fillId="0" borderId="0" xfId="0" applyNumberFormat="1" applyFont="1" applyAlignment="1">
      <alignment horizontal="center" vertical="center" wrapText="1"/>
    </xf>
    <xf numFmtId="17" fontId="4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73" fontId="2" fillId="0" borderId="13" xfId="1" applyNumberFormat="1" applyFont="1" applyBorder="1" applyAlignment="1">
      <alignment horizontal="center"/>
    </xf>
    <xf numFmtId="173" fontId="2" fillId="0" borderId="12" xfId="1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71" fontId="10" fillId="0" borderId="13" xfId="0" applyNumberFormat="1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9" fontId="6" fillId="0" borderId="0" xfId="1" applyNumberFormat="1" applyFont="1" applyBorder="1" applyAlignment="1">
      <alignment horizontal="center" vertical="center"/>
    </xf>
    <xf numFmtId="169" fontId="6" fillId="0" borderId="5" xfId="1" applyNumberFormat="1" applyFont="1" applyBorder="1" applyAlignment="1">
      <alignment horizontal="center" vertical="center"/>
    </xf>
    <xf numFmtId="169" fontId="6" fillId="0" borderId="4" xfId="1" applyNumberFormat="1" applyFont="1" applyBorder="1" applyAlignment="1">
      <alignment horizontal="center"/>
    </xf>
    <xf numFmtId="169" fontId="6" fillId="0" borderId="0" xfId="1" applyNumberFormat="1" applyFont="1" applyBorder="1" applyAlignment="1">
      <alignment horizontal="center"/>
    </xf>
    <xf numFmtId="169" fontId="6" fillId="0" borderId="5" xfId="1" applyNumberFormat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quotePrefix="1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69" fontId="6" fillId="0" borderId="0" xfId="1" applyNumberFormat="1" applyFont="1" applyFill="1" applyBorder="1" applyAlignment="1">
      <alignment horizontal="center" vertical="center"/>
    </xf>
    <xf numFmtId="169" fontId="6" fillId="0" borderId="5" xfId="1" applyNumberFormat="1" applyFont="1" applyFill="1" applyBorder="1" applyAlignment="1">
      <alignment horizontal="center" vertical="center"/>
    </xf>
    <xf numFmtId="164" fontId="6" fillId="0" borderId="7" xfId="1" applyNumberFormat="1" applyFont="1" applyBorder="1" applyAlignment="1">
      <alignment horizontal="center"/>
    </xf>
    <xf numFmtId="164" fontId="6" fillId="0" borderId="8" xfId="1" applyNumberFormat="1" applyFont="1" applyBorder="1" applyAlignment="1">
      <alignment horizontal="center"/>
    </xf>
    <xf numFmtId="17" fontId="8" fillId="0" borderId="0" xfId="0" applyNumberFormat="1" applyFont="1" applyAlignment="1">
      <alignment horizontal="center" vertical="center" wrapText="1"/>
    </xf>
    <xf numFmtId="17" fontId="8" fillId="0" borderId="5" xfId="0" applyNumberFormat="1" applyFont="1" applyBorder="1" applyAlignment="1">
      <alignment horizontal="center" vertical="center" wrapText="1"/>
    </xf>
    <xf numFmtId="169" fontId="6" fillId="0" borderId="1" xfId="1" applyNumberFormat="1" applyFont="1" applyBorder="1" applyAlignment="1">
      <alignment horizontal="left" vertical="center"/>
    </xf>
    <xf numFmtId="169" fontId="6" fillId="0" borderId="2" xfId="1" applyNumberFormat="1" applyFont="1" applyBorder="1" applyAlignment="1">
      <alignment horizontal="left" vertical="center"/>
    </xf>
    <xf numFmtId="169" fontId="6" fillId="0" borderId="3" xfId="1" applyNumberFormat="1" applyFont="1" applyBorder="1" applyAlignment="1">
      <alignment horizontal="left" vertical="center"/>
    </xf>
    <xf numFmtId="17" fontId="13" fillId="0" borderId="4" xfId="0" applyNumberFormat="1" applyFont="1" applyBorder="1" applyAlignment="1">
      <alignment horizontal="left" vertical="center" wrapText="1"/>
    </xf>
    <xf numFmtId="17" fontId="13" fillId="0" borderId="0" xfId="0" applyNumberFormat="1" applyFont="1" applyAlignment="1">
      <alignment horizontal="left" vertical="center" wrapText="1"/>
    </xf>
    <xf numFmtId="169" fontId="6" fillId="0" borderId="0" xfId="1" applyNumberFormat="1" applyFont="1" applyBorder="1" applyAlignment="1">
      <alignment horizontal="left" vertical="center"/>
    </xf>
    <xf numFmtId="169" fontId="6" fillId="0" borderId="5" xfId="1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8" fillId="0" borderId="13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170" fontId="6" fillId="0" borderId="13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164" fontId="6" fillId="0" borderId="13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left" vertical="center" wrapText="1"/>
    </xf>
    <xf numFmtId="169" fontId="6" fillId="0" borderId="6" xfId="1" applyNumberFormat="1" applyFont="1" applyBorder="1" applyAlignment="1">
      <alignment horizontal="center" vertical="center"/>
    </xf>
    <xf numFmtId="169" fontId="6" fillId="0" borderId="7" xfId="1" applyNumberFormat="1" applyFont="1" applyBorder="1" applyAlignment="1">
      <alignment horizontal="center" vertical="center"/>
    </xf>
    <xf numFmtId="169" fontId="6" fillId="0" borderId="8" xfId="1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17" fontId="13" fillId="0" borderId="4" xfId="0" applyNumberFormat="1" applyFont="1" applyBorder="1" applyAlignment="1">
      <alignment horizontal="center" vertical="center" wrapText="1"/>
    </xf>
    <xf numFmtId="17" fontId="13" fillId="0" borderId="0" xfId="0" applyNumberFormat="1" applyFont="1" applyAlignment="1">
      <alignment horizontal="center" vertical="center" wrapText="1"/>
    </xf>
    <xf numFmtId="17" fontId="13" fillId="0" borderId="5" xfId="0" applyNumberFormat="1" applyFont="1" applyBorder="1" applyAlignment="1">
      <alignment horizontal="center" vertical="center" wrapText="1"/>
    </xf>
    <xf numFmtId="165" fontId="6" fillId="0" borderId="0" xfId="1" quotePrefix="1" applyFont="1" applyFill="1" applyBorder="1" applyAlignment="1">
      <alignment horizontal="center" vertical="center" wrapText="1"/>
    </xf>
    <xf numFmtId="165" fontId="6" fillId="0" borderId="5" xfId="1" quotePrefix="1" applyFont="1" applyFill="1" applyBorder="1" applyAlignment="1">
      <alignment horizontal="center" vertical="center" wrapText="1"/>
    </xf>
    <xf numFmtId="17" fontId="13" fillId="0" borderId="4" xfId="0" quotePrefix="1" applyNumberFormat="1" applyFont="1" applyBorder="1" applyAlignment="1">
      <alignment horizontal="left" vertical="center" wrapText="1"/>
    </xf>
    <xf numFmtId="165" fontId="4" fillId="0" borderId="0" xfId="1" applyFont="1" applyFill="1" applyBorder="1" applyAlignment="1">
      <alignment horizontal="center"/>
    </xf>
    <xf numFmtId="165" fontId="4" fillId="0" borderId="5" xfId="1" applyFont="1" applyFill="1" applyBorder="1" applyAlignment="1">
      <alignment horizontal="center"/>
    </xf>
    <xf numFmtId="3" fontId="6" fillId="0" borderId="4" xfId="0" quotePrefix="1" applyNumberFormat="1" applyFont="1" applyBorder="1" applyAlignment="1">
      <alignment horizontal="center"/>
    </xf>
    <xf numFmtId="3" fontId="6" fillId="0" borderId="0" xfId="0" quotePrefix="1" applyNumberFormat="1" applyFont="1" applyAlignment="1">
      <alignment horizontal="center"/>
    </xf>
    <xf numFmtId="3" fontId="6" fillId="0" borderId="5" xfId="0" quotePrefix="1" applyNumberFormat="1" applyFont="1" applyBorder="1" applyAlignment="1">
      <alignment horizontal="center"/>
    </xf>
    <xf numFmtId="0" fontId="6" fillId="0" borderId="5" xfId="0" quotePrefix="1" applyFont="1" applyBorder="1" applyAlignment="1">
      <alignment horizontal="left" vertical="center"/>
    </xf>
    <xf numFmtId="169" fontId="6" fillId="0" borderId="4" xfId="1" applyNumberFormat="1" applyFont="1" applyBorder="1" applyAlignment="1">
      <alignment horizontal="center" vertical="center"/>
    </xf>
    <xf numFmtId="17" fontId="4" fillId="0" borderId="4" xfId="0" applyNumberFormat="1" applyFont="1" applyBorder="1" applyAlignment="1">
      <alignment horizontal="right" vertical="center" wrapText="1"/>
    </xf>
    <xf numFmtId="17" fontId="4" fillId="0" borderId="0" xfId="0" applyNumberFormat="1" applyFont="1" applyAlignment="1">
      <alignment horizontal="right" vertical="center" wrapText="1"/>
    </xf>
    <xf numFmtId="17" fontId="4" fillId="0" borderId="5" xfId="0" applyNumberFormat="1" applyFont="1" applyBorder="1" applyAlignment="1">
      <alignment horizontal="right" vertical="center" wrapText="1"/>
    </xf>
    <xf numFmtId="164" fontId="2" fillId="0" borderId="13" xfId="1" applyNumberFormat="1" applyFont="1" applyBorder="1" applyAlignment="1">
      <alignment horizontal="center"/>
    </xf>
    <xf numFmtId="164" fontId="2" fillId="0" borderId="12" xfId="1" applyNumberFormat="1" applyFont="1" applyBorder="1" applyAlignment="1">
      <alignment horizontal="center"/>
    </xf>
    <xf numFmtId="0" fontId="15" fillId="0" borderId="24" xfId="0" quotePrefix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left" vertical="center" wrapText="1"/>
    </xf>
    <xf numFmtId="0" fontId="6" fillId="0" borderId="24" xfId="0" quotePrefix="1" applyFont="1" applyBorder="1" applyAlignment="1">
      <alignment horizontal="left" vertical="center" wrapText="1"/>
    </xf>
    <xf numFmtId="164" fontId="6" fillId="0" borderId="24" xfId="1" applyNumberFormat="1" applyFont="1" applyFill="1" applyBorder="1" applyAlignment="1">
      <alignment horizontal="center" vertical="center"/>
    </xf>
    <xf numFmtId="0" fontId="6" fillId="0" borderId="0" xfId="0" quotePrefix="1" applyFont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5" fillId="0" borderId="4" xfId="0" quotePrefix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4" xfId="0" quotePrefix="1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164" fontId="4" fillId="0" borderId="24" xfId="1" applyNumberFormat="1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15" fillId="0" borderId="4" xfId="0" applyFont="1" applyBorder="1" applyAlignment="1">
      <alignment horizontal="left" vertical="center"/>
    </xf>
    <xf numFmtId="0" fontId="21" fillId="0" borderId="4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172" fontId="15" fillId="0" borderId="36" xfId="2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7" fontId="4" fillId="0" borderId="4" xfId="0" quotePrefix="1" applyNumberFormat="1" applyFont="1" applyBorder="1" applyAlignment="1">
      <alignment horizontal="left" vertical="center" wrapText="1"/>
    </xf>
    <xf numFmtId="17" fontId="4" fillId="0" borderId="0" xfId="0" quotePrefix="1" applyNumberFormat="1" applyFont="1" applyAlignment="1">
      <alignment horizontal="left" vertical="center" wrapText="1"/>
    </xf>
    <xf numFmtId="164" fontId="6" fillId="0" borderId="37" xfId="1" applyNumberFormat="1" applyFont="1" applyFill="1" applyBorder="1" applyAlignment="1">
      <alignment horizontal="center" vertical="center"/>
    </xf>
    <xf numFmtId="3" fontId="6" fillId="0" borderId="4" xfId="0" quotePrefix="1" applyNumberFormat="1" applyFont="1" applyBorder="1" applyAlignment="1">
      <alignment horizontal="center" vertical="center"/>
    </xf>
    <xf numFmtId="164" fontId="6" fillId="0" borderId="41" xfId="1" applyNumberFormat="1" applyFont="1" applyBorder="1" applyAlignment="1">
      <alignment horizontal="center" vertical="center"/>
    </xf>
    <xf numFmtId="164" fontId="6" fillId="0" borderId="37" xfId="1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 wrapText="1"/>
    </xf>
    <xf numFmtId="164" fontId="6" fillId="0" borderId="41" xfId="1" applyNumberFormat="1" applyFont="1" applyFill="1" applyBorder="1" applyAlignment="1">
      <alignment horizontal="center" vertical="center"/>
    </xf>
    <xf numFmtId="17" fontId="6" fillId="0" borderId="34" xfId="0" quotePrefix="1" applyNumberFormat="1" applyFont="1" applyBorder="1" applyAlignment="1">
      <alignment horizontal="left" vertical="center" wrapText="1"/>
    </xf>
    <xf numFmtId="164" fontId="15" fillId="0" borderId="38" xfId="2" applyNumberFormat="1" applyFont="1" applyBorder="1" applyAlignment="1">
      <alignment horizontal="center"/>
    </xf>
    <xf numFmtId="164" fontId="4" fillId="0" borderId="37" xfId="1" applyNumberFormat="1" applyFont="1" applyBorder="1" applyAlignment="1">
      <alignment horizontal="center" vertical="center"/>
    </xf>
    <xf numFmtId="172" fontId="6" fillId="0" borderId="0" xfId="0" applyNumberFormat="1" applyFont="1" applyAlignment="1">
      <alignment horizontal="left" vertical="center" wrapText="1"/>
    </xf>
    <xf numFmtId="172" fontId="6" fillId="0" borderId="0" xfId="2" applyNumberFormat="1" applyFont="1" applyBorder="1" applyAlignment="1">
      <alignment horizontal="left" vertical="center" wrapText="1"/>
    </xf>
    <xf numFmtId="172" fontId="6" fillId="0" borderId="34" xfId="2" applyNumberFormat="1" applyFont="1" applyBorder="1" applyAlignment="1">
      <alignment horizontal="left" vertical="center" wrapText="1"/>
    </xf>
    <xf numFmtId="172" fontId="6" fillId="0" borderId="0" xfId="2" applyNumberFormat="1" applyFont="1" applyBorder="1" applyAlignment="1">
      <alignment horizontal="center" vertical="center"/>
    </xf>
    <xf numFmtId="172" fontId="6" fillId="0" borderId="5" xfId="2" applyNumberFormat="1" applyFont="1" applyBorder="1" applyAlignment="1">
      <alignment horizontal="center" vertical="center"/>
    </xf>
    <xf numFmtId="164" fontId="6" fillId="0" borderId="0" xfId="0" quotePrefix="1" applyNumberFormat="1" applyFont="1" applyAlignment="1">
      <alignment horizontal="left" vertical="center" wrapText="1"/>
    </xf>
    <xf numFmtId="164" fontId="6" fillId="0" borderId="34" xfId="0" applyNumberFormat="1" applyFont="1" applyBorder="1" applyAlignment="1">
      <alignment horizontal="left" vertical="center" wrapText="1"/>
    </xf>
    <xf numFmtId="0" fontId="15" fillId="0" borderId="14" xfId="0" quotePrefix="1" applyFont="1" applyBorder="1" applyAlignment="1">
      <alignment horizontal="left" vertical="center" wrapText="1"/>
    </xf>
    <xf numFmtId="17" fontId="4" fillId="0" borderId="4" xfId="0" applyNumberFormat="1" applyFont="1" applyBorder="1" applyAlignment="1">
      <alignment horizontal="left" vertical="center" wrapText="1"/>
    </xf>
    <xf numFmtId="17" fontId="4" fillId="0" borderId="0" xfId="0" applyNumberFormat="1" applyFont="1" applyAlignment="1">
      <alignment horizontal="left" vertical="center" wrapText="1"/>
    </xf>
    <xf numFmtId="172" fontId="6" fillId="0" borderId="7" xfId="2" applyNumberFormat="1" applyFont="1" applyBorder="1" applyAlignment="1">
      <alignment horizontal="left" vertical="center" wrapText="1"/>
    </xf>
    <xf numFmtId="172" fontId="6" fillId="0" borderId="45" xfId="2" applyNumberFormat="1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14" fillId="0" borderId="0" xfId="0" applyFont="1" applyAlignment="1">
      <alignment horizontal="center"/>
    </xf>
    <xf numFmtId="165" fontId="18" fillId="0" borderId="16" xfId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7" fillId="2" borderId="25" xfId="0" applyFont="1" applyFill="1" applyBorder="1" applyAlignment="1">
      <alignment horizontal="center"/>
    </xf>
    <xf numFmtId="0" fontId="17" fillId="2" borderId="26" xfId="0" applyFont="1" applyFill="1" applyBorder="1" applyAlignment="1">
      <alignment horizontal="center"/>
    </xf>
    <xf numFmtId="164" fontId="6" fillId="0" borderId="4" xfId="1" applyNumberFormat="1" applyFont="1" applyBorder="1" applyAlignment="1">
      <alignment horizontal="left" vertical="center"/>
    </xf>
    <xf numFmtId="164" fontId="6" fillId="0" borderId="0" xfId="1" applyNumberFormat="1" applyFont="1" applyBorder="1" applyAlignment="1">
      <alignment horizontal="left" vertical="center"/>
    </xf>
    <xf numFmtId="164" fontId="6" fillId="0" borderId="5" xfId="1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63"/>
  <sheetViews>
    <sheetView showGridLines="0" view="pageBreakPreview" zoomScaleSheetLayoutView="100" workbookViewId="0">
      <selection activeCell="M24" sqref="M24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6" style="129" customWidth="1"/>
    <col min="21" max="21" width="16" style="130" customWidth="1"/>
    <col min="22" max="22" width="29.26953125" style="131" customWidth="1"/>
    <col min="23" max="27" width="8" style="86" customWidth="1"/>
    <col min="28" max="16384" width="9.1796875" style="86"/>
  </cols>
  <sheetData>
    <row r="1" spans="1:24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4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4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4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4" x14ac:dyDescent="0.3">
      <c r="B5" s="85"/>
      <c r="J5" s="193"/>
      <c r="K5" s="193"/>
      <c r="L5" s="193"/>
      <c r="M5" s="193"/>
      <c r="N5" s="89"/>
      <c r="O5" s="89"/>
      <c r="P5" s="89"/>
      <c r="Q5" s="88"/>
      <c r="X5" s="86" t="s">
        <v>21</v>
      </c>
    </row>
    <row r="6" spans="1:24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4" ht="23.25" customHeight="1" x14ac:dyDescent="0.3">
      <c r="B7" s="85"/>
      <c r="G7" s="94" t="s">
        <v>14</v>
      </c>
      <c r="H7" s="95" t="s">
        <v>7</v>
      </c>
      <c r="I7" s="434" t="s">
        <v>212</v>
      </c>
      <c r="J7" s="434"/>
      <c r="K7" s="434"/>
      <c r="L7" s="434"/>
      <c r="M7" s="434"/>
      <c r="N7" s="89"/>
      <c r="O7" s="89"/>
      <c r="P7" s="89"/>
      <c r="Q7" s="88"/>
      <c r="T7" s="129">
        <v>9866000</v>
      </c>
    </row>
    <row r="8" spans="1:24" x14ac:dyDescent="0.3">
      <c r="B8" s="85"/>
      <c r="I8" s="86" t="s">
        <v>22</v>
      </c>
      <c r="J8" s="193"/>
      <c r="K8" s="193"/>
      <c r="L8" s="193"/>
      <c r="M8" s="193"/>
      <c r="N8" s="89"/>
      <c r="O8" s="89"/>
      <c r="P8" s="89"/>
      <c r="Q8" s="88"/>
      <c r="T8" s="129">
        <v>50000</v>
      </c>
    </row>
    <row r="9" spans="1:24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 t="s">
        <v>87</v>
      </c>
      <c r="T9" s="129">
        <v>150000</v>
      </c>
    </row>
    <row r="10" spans="1:24" ht="24" customHeight="1" x14ac:dyDescent="0.3">
      <c r="B10" s="85"/>
      <c r="D10" s="86" t="s">
        <v>3</v>
      </c>
      <c r="H10" s="86" t="s">
        <v>7</v>
      </c>
      <c r="I10" s="436">
        <v>45013</v>
      </c>
      <c r="J10" s="436"/>
      <c r="K10" s="436"/>
      <c r="L10" s="436"/>
      <c r="M10" s="436"/>
      <c r="N10" s="436"/>
      <c r="O10" s="89"/>
      <c r="P10" s="89"/>
      <c r="Q10" s="88"/>
    </row>
    <row r="11" spans="1:24" ht="33.75" customHeight="1" thickBot="1" x14ac:dyDescent="0.35">
      <c r="B11" s="85"/>
      <c r="D11" s="86" t="s">
        <v>4</v>
      </c>
      <c r="H11" s="86" t="s">
        <v>7</v>
      </c>
      <c r="I11" s="437" t="s">
        <v>213</v>
      </c>
      <c r="J11" s="437"/>
      <c r="K11" s="437"/>
      <c r="L11" s="437"/>
      <c r="M11" s="437"/>
      <c r="N11" s="437"/>
      <c r="O11" s="89"/>
      <c r="P11" s="89"/>
      <c r="Q11" s="88"/>
      <c r="R11" s="132"/>
    </row>
    <row r="12" spans="1:24" ht="24" customHeight="1" x14ac:dyDescent="0.3">
      <c r="B12" s="85"/>
      <c r="D12" s="86" t="s">
        <v>5</v>
      </c>
      <c r="H12" s="86" t="s">
        <v>7</v>
      </c>
      <c r="I12" s="438">
        <f>N36</f>
        <v>11600000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128">
        <v>820793469</v>
      </c>
      <c r="T12" s="133">
        <f>5000000-55500</f>
        <v>4944500</v>
      </c>
    </row>
    <row r="13" spans="1:24" ht="24" customHeight="1" x14ac:dyDescent="0.3">
      <c r="A13" s="141"/>
      <c r="B13" s="85"/>
      <c r="D13" s="86" t="s">
        <v>6</v>
      </c>
      <c r="H13" s="86" t="s">
        <v>7</v>
      </c>
      <c r="J13" s="193"/>
      <c r="K13" s="193"/>
      <c r="L13" s="193"/>
      <c r="M13" s="193"/>
      <c r="N13" s="89"/>
      <c r="O13" s="89"/>
      <c r="P13" s="89"/>
      <c r="Q13" s="88"/>
      <c r="T13" s="129">
        <f>5000000*1.11%</f>
        <v>55500</v>
      </c>
      <c r="U13" s="136"/>
    </row>
    <row r="14" spans="1:24" ht="14.5" thickBot="1" x14ac:dyDescent="0.35">
      <c r="A14" s="141"/>
      <c r="B14" s="85"/>
      <c r="I14" s="435" t="s">
        <v>19</v>
      </c>
      <c r="J14" s="435"/>
      <c r="K14" s="435"/>
      <c r="L14" s="435"/>
      <c r="M14" s="435"/>
      <c r="N14" s="435"/>
      <c r="O14" s="89"/>
      <c r="P14" s="89"/>
      <c r="Q14" s="88"/>
      <c r="S14" s="128">
        <f>238869327-192000000</f>
        <v>46869327</v>
      </c>
      <c r="U14" s="136"/>
    </row>
    <row r="15" spans="1:24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00"/>
      <c r="S15" s="128"/>
      <c r="T15" s="138">
        <f>2600000+200000</f>
        <v>2800000</v>
      </c>
      <c r="U15" s="139"/>
      <c r="V15" s="140"/>
    </row>
    <row r="16" spans="1:24" ht="12.75" customHeight="1" thickBot="1" x14ac:dyDescent="0.35">
      <c r="A16" s="141"/>
      <c r="B16" s="109"/>
      <c r="C16" s="109"/>
      <c r="D16" s="146"/>
      <c r="J16" s="86"/>
      <c r="K16" s="86"/>
      <c r="L16" s="86"/>
      <c r="M16" s="141"/>
      <c r="N16" s="444"/>
      <c r="O16" s="444"/>
      <c r="P16" s="444"/>
      <c r="Q16" s="445"/>
      <c r="R16" s="142"/>
      <c r="S16" s="199">
        <v>105653000</v>
      </c>
    </row>
    <row r="17" spans="1:22" ht="24.75" customHeight="1" x14ac:dyDescent="0.3">
      <c r="A17" s="141"/>
      <c r="B17" s="390" t="s">
        <v>214</v>
      </c>
      <c r="C17" s="397"/>
      <c r="D17" s="398"/>
      <c r="E17" s="387" t="s">
        <v>221</v>
      </c>
      <c r="F17" s="388"/>
      <c r="G17" s="388"/>
      <c r="H17" s="388"/>
      <c r="I17" s="388"/>
      <c r="J17" s="388"/>
      <c r="K17" s="388"/>
      <c r="L17" s="388"/>
      <c r="M17" s="399"/>
      <c r="N17" s="392"/>
      <c r="O17" s="393"/>
      <c r="P17" s="393"/>
      <c r="Q17" s="394"/>
      <c r="R17" s="144"/>
      <c r="S17" s="128">
        <f>I12-S16</f>
        <v>-94053000</v>
      </c>
      <c r="T17" s="129">
        <f>2850000+200000</f>
        <v>3050000</v>
      </c>
    </row>
    <row r="18" spans="1:22" ht="23.25" customHeight="1" thickBot="1" x14ac:dyDescent="0.35">
      <c r="A18" s="141"/>
      <c r="B18" s="428"/>
      <c r="C18" s="397"/>
      <c r="D18" s="398"/>
      <c r="E18" s="387" t="s">
        <v>215</v>
      </c>
      <c r="F18" s="388"/>
      <c r="G18" s="388"/>
      <c r="H18" s="388"/>
      <c r="I18" s="388"/>
      <c r="J18" s="388"/>
      <c r="K18" s="388"/>
      <c r="L18" s="388"/>
      <c r="M18" s="399"/>
      <c r="N18" s="393">
        <v>7000000</v>
      </c>
      <c r="O18" s="393"/>
      <c r="P18" s="393"/>
      <c r="Q18" s="394"/>
      <c r="R18" s="184"/>
      <c r="S18" s="96"/>
      <c r="T18" s="96"/>
      <c r="U18" s="97"/>
      <c r="V18" s="147"/>
    </row>
    <row r="19" spans="1:22" s="121" customFormat="1" ht="20.149999999999999" customHeight="1" x14ac:dyDescent="0.35">
      <c r="A19" s="196"/>
      <c r="B19" s="389"/>
      <c r="C19" s="390"/>
      <c r="D19" s="391"/>
      <c r="E19" s="432" t="s">
        <v>216</v>
      </c>
      <c r="F19" s="401"/>
      <c r="G19" s="401"/>
      <c r="H19" s="401"/>
      <c r="I19" s="401"/>
      <c r="J19" s="401"/>
      <c r="K19" s="401"/>
      <c r="L19" s="401"/>
      <c r="M19" s="402"/>
      <c r="N19" s="392">
        <v>3000000</v>
      </c>
      <c r="O19" s="393"/>
      <c r="P19" s="393"/>
      <c r="Q19" s="394"/>
      <c r="R19" s="195"/>
      <c r="S19" s="143"/>
      <c r="T19" s="138"/>
      <c r="U19" s="139"/>
      <c r="V19" s="149"/>
    </row>
    <row r="20" spans="1:22" s="121" customFormat="1" ht="20.149999999999999" customHeight="1" x14ac:dyDescent="0.35">
      <c r="A20" s="196"/>
      <c r="B20" s="428"/>
      <c r="C20" s="397"/>
      <c r="D20" s="398"/>
      <c r="E20" s="387" t="s">
        <v>217</v>
      </c>
      <c r="F20" s="388"/>
      <c r="G20" s="388"/>
      <c r="H20" s="388"/>
      <c r="I20" s="388"/>
      <c r="J20" s="388"/>
      <c r="K20" s="388"/>
      <c r="L20" s="388"/>
      <c r="M20" s="399"/>
      <c r="N20" s="392">
        <v>1000000</v>
      </c>
      <c r="O20" s="393"/>
      <c r="P20" s="393"/>
      <c r="Q20" s="394"/>
      <c r="R20" s="137"/>
      <c r="S20" s="143"/>
      <c r="T20" s="138"/>
      <c r="U20" s="139"/>
      <c r="V20" s="149"/>
    </row>
    <row r="21" spans="1:22" s="98" customFormat="1" ht="20.149999999999999" customHeight="1" thickBot="1" x14ac:dyDescent="0.35">
      <c r="B21" s="428"/>
      <c r="C21" s="397"/>
      <c r="D21" s="398"/>
      <c r="E21" s="387" t="s">
        <v>218</v>
      </c>
      <c r="F21" s="388"/>
      <c r="G21" s="388"/>
      <c r="H21" s="388"/>
      <c r="I21" s="388"/>
      <c r="J21" s="388"/>
      <c r="K21" s="388"/>
      <c r="L21" s="388"/>
      <c r="M21" s="399"/>
      <c r="N21" s="429">
        <v>1000000</v>
      </c>
      <c r="O21" s="430"/>
      <c r="P21" s="430"/>
      <c r="Q21" s="431"/>
      <c r="R21" s="150"/>
      <c r="S21" s="151"/>
      <c r="T21" s="129"/>
      <c r="U21" s="130"/>
      <c r="V21" s="147"/>
    </row>
    <row r="22" spans="1:22" s="98" customFormat="1" ht="21" customHeight="1" thickBot="1" x14ac:dyDescent="0.35">
      <c r="B22" s="389"/>
      <c r="C22" s="390"/>
      <c r="D22" s="391"/>
      <c r="E22" s="419"/>
      <c r="F22" s="420"/>
      <c r="G22" s="420"/>
      <c r="H22" s="420"/>
      <c r="I22" s="420"/>
      <c r="J22" s="420"/>
      <c r="K22" s="420"/>
      <c r="L22" s="420"/>
      <c r="M22" s="212" t="s">
        <v>158</v>
      </c>
      <c r="N22" s="425">
        <f>N18+N19+N20+N21</f>
        <v>12000000</v>
      </c>
      <c r="O22" s="423"/>
      <c r="P22" s="423"/>
      <c r="Q22" s="424"/>
      <c r="R22" s="203"/>
      <c r="S22" s="151"/>
      <c r="T22" s="129"/>
      <c r="U22" s="130"/>
      <c r="V22" s="147"/>
    </row>
    <row r="23" spans="1:22" ht="20.149999999999999" customHeight="1" thickBot="1" x14ac:dyDescent="0.35">
      <c r="A23" s="86" t="s">
        <v>22</v>
      </c>
      <c r="B23" s="389"/>
      <c r="C23" s="397"/>
      <c r="D23" s="398"/>
      <c r="E23" s="387" t="s">
        <v>219</v>
      </c>
      <c r="F23" s="388"/>
      <c r="G23" s="388"/>
      <c r="H23" s="388"/>
      <c r="I23" s="388"/>
      <c r="J23" s="35"/>
      <c r="K23" s="35"/>
      <c r="L23" s="426"/>
      <c r="M23" s="427"/>
      <c r="N23" s="392"/>
      <c r="O23" s="393"/>
      <c r="P23" s="393"/>
      <c r="Q23" s="394"/>
      <c r="R23" s="168"/>
      <c r="V23" s="147"/>
    </row>
    <row r="24" spans="1:22" ht="20.149999999999999" customHeight="1" x14ac:dyDescent="0.3">
      <c r="B24" s="389"/>
      <c r="C24" s="397"/>
      <c r="D24" s="398"/>
      <c r="E24" s="419" t="s">
        <v>220</v>
      </c>
      <c r="F24" s="420"/>
      <c r="G24" s="420"/>
      <c r="H24" s="420"/>
      <c r="I24" s="420"/>
      <c r="J24" s="420"/>
      <c r="K24" s="420"/>
      <c r="L24" s="420"/>
      <c r="M24" s="201">
        <v>8000000</v>
      </c>
      <c r="N24" s="392"/>
      <c r="O24" s="393"/>
      <c r="P24" s="393"/>
      <c r="Q24" s="394"/>
      <c r="R24" s="144"/>
      <c r="V24" s="147"/>
    </row>
    <row r="25" spans="1:22" s="98" customFormat="1" ht="20.149999999999999" customHeight="1" thickBot="1" x14ac:dyDescent="0.35">
      <c r="B25" s="192"/>
      <c r="C25" s="109"/>
      <c r="D25" s="190"/>
      <c r="E25" s="387" t="s">
        <v>222</v>
      </c>
      <c r="F25" s="388"/>
      <c r="G25" s="388"/>
      <c r="H25" s="388"/>
      <c r="I25" s="388"/>
      <c r="J25" s="35"/>
      <c r="K25" s="35"/>
      <c r="L25" s="421">
        <v>12000000</v>
      </c>
      <c r="M25" s="422"/>
      <c r="N25" s="423"/>
      <c r="O25" s="423"/>
      <c r="P25" s="423"/>
      <c r="Q25" s="424"/>
      <c r="R25" s="214"/>
      <c r="S25" s="151" t="s">
        <v>177</v>
      </c>
      <c r="T25" s="129"/>
      <c r="U25" s="130"/>
      <c r="V25" s="147"/>
    </row>
    <row r="26" spans="1:22" ht="20.149999999999999" customHeight="1" thickBot="1" x14ac:dyDescent="0.35">
      <c r="B26" s="389"/>
      <c r="C26" s="397"/>
      <c r="D26" s="398"/>
      <c r="E26" s="415" t="s">
        <v>223</v>
      </c>
      <c r="F26" s="416"/>
      <c r="G26" s="416"/>
      <c r="H26" s="416"/>
      <c r="I26" s="416"/>
      <c r="J26" s="35"/>
      <c r="K26" s="198"/>
      <c r="L26" s="417">
        <f>M24+L25</f>
        <v>20000000</v>
      </c>
      <c r="M26" s="418"/>
      <c r="N26" s="392"/>
      <c r="O26" s="393"/>
      <c r="P26" s="393"/>
      <c r="Q26" s="394"/>
      <c r="R26" s="152"/>
      <c r="S26" s="128" t="s">
        <v>52</v>
      </c>
      <c r="V26" s="147"/>
    </row>
    <row r="27" spans="1:22" ht="20.149999999999999" customHeight="1" x14ac:dyDescent="0.3">
      <c r="B27" s="389" t="s">
        <v>162</v>
      </c>
      <c r="C27" s="390"/>
      <c r="D27" s="391"/>
      <c r="E27" s="169" t="s">
        <v>227</v>
      </c>
      <c r="F27" s="33"/>
      <c r="G27" s="33"/>
      <c r="H27" s="33"/>
      <c r="I27" s="33"/>
      <c r="J27" s="33"/>
      <c r="K27" s="33"/>
      <c r="L27" s="33"/>
      <c r="M27" s="202">
        <f>-L26*2%</f>
        <v>-400000</v>
      </c>
      <c r="N27" s="392">
        <v>-400000</v>
      </c>
      <c r="O27" s="393"/>
      <c r="P27" s="393"/>
      <c r="Q27" s="394"/>
      <c r="R27" s="144"/>
      <c r="S27" s="128">
        <v>1490004396208</v>
      </c>
    </row>
    <row r="28" spans="1:22" ht="20.149999999999999" customHeight="1" thickBot="1" x14ac:dyDescent="0.35">
      <c r="A28" s="141"/>
      <c r="B28" s="209"/>
      <c r="C28" s="194"/>
      <c r="D28" s="210"/>
      <c r="E28" s="387" t="s">
        <v>224</v>
      </c>
      <c r="F28" s="388"/>
      <c r="G28" s="388"/>
      <c r="H28" s="388"/>
      <c r="I28" s="388"/>
      <c r="J28" s="388"/>
      <c r="K28" s="388"/>
      <c r="L28" s="35"/>
      <c r="M28" s="213">
        <v>-360000</v>
      </c>
      <c r="N28" s="208"/>
      <c r="O28" s="206"/>
      <c r="P28" s="206"/>
      <c r="Q28" s="207"/>
    </row>
    <row r="29" spans="1:22" ht="20.149999999999999" customHeight="1" x14ac:dyDescent="0.3">
      <c r="A29" s="141"/>
      <c r="E29" s="387" t="s">
        <v>225</v>
      </c>
      <c r="F29" s="388"/>
      <c r="G29" s="388"/>
      <c r="H29" s="388"/>
      <c r="I29" s="388"/>
      <c r="J29" s="388"/>
      <c r="K29" s="388"/>
      <c r="L29" s="388"/>
      <c r="M29" s="202">
        <f>M27-M28</f>
        <v>-40000</v>
      </c>
      <c r="N29" s="392"/>
      <c r="O29" s="393"/>
      <c r="P29" s="393"/>
      <c r="Q29" s="394"/>
    </row>
    <row r="30" spans="1:22" ht="20.149999999999999" customHeight="1" x14ac:dyDescent="0.3">
      <c r="B30" s="211"/>
      <c r="C30" s="194"/>
      <c r="D30" s="210"/>
      <c r="E30" s="204"/>
      <c r="F30" s="205"/>
      <c r="G30" s="205"/>
      <c r="H30" s="205"/>
      <c r="I30" s="205"/>
      <c r="J30" s="35"/>
      <c r="K30" s="35"/>
      <c r="L30" s="35"/>
      <c r="M30" s="202"/>
      <c r="N30" s="208"/>
      <c r="O30" s="206"/>
      <c r="P30" s="206"/>
      <c r="Q30" s="207"/>
    </row>
    <row r="31" spans="1:22" ht="20.149999999999999" customHeight="1" x14ac:dyDescent="0.3">
      <c r="B31" s="211"/>
      <c r="C31" s="194"/>
      <c r="D31" s="210"/>
      <c r="E31" s="204"/>
      <c r="F31" s="205"/>
      <c r="G31" s="205"/>
      <c r="H31" s="205"/>
      <c r="I31" s="205"/>
      <c r="J31" s="35"/>
      <c r="K31" s="35"/>
      <c r="L31" s="35"/>
      <c r="M31" s="202"/>
      <c r="N31" s="208"/>
      <c r="O31" s="206"/>
      <c r="P31" s="206"/>
      <c r="Q31" s="207"/>
    </row>
    <row r="32" spans="1:22" ht="20.149999999999999" customHeight="1" x14ac:dyDescent="0.3">
      <c r="B32" s="389"/>
      <c r="C32" s="397"/>
      <c r="D32" s="398"/>
      <c r="E32" s="387"/>
      <c r="F32" s="388"/>
      <c r="G32" s="388"/>
      <c r="H32" s="388"/>
      <c r="I32" s="388"/>
      <c r="J32" s="388"/>
      <c r="K32" s="388"/>
      <c r="L32" s="388"/>
      <c r="M32" s="399"/>
      <c r="N32" s="392"/>
      <c r="O32" s="393"/>
      <c r="P32" s="393"/>
      <c r="Q32" s="394"/>
    </row>
    <row r="33" spans="2:25" ht="20.149999999999999" customHeight="1" x14ac:dyDescent="0.3">
      <c r="B33" s="389"/>
      <c r="C33" s="397"/>
      <c r="D33" s="398"/>
      <c r="E33" s="400"/>
      <c r="F33" s="401"/>
      <c r="G33" s="401"/>
      <c r="H33" s="401"/>
      <c r="I33" s="401"/>
      <c r="J33" s="401"/>
      <c r="K33" s="401"/>
      <c r="L33" s="401"/>
      <c r="M33" s="402"/>
      <c r="N33" s="392"/>
      <c r="O33" s="393"/>
      <c r="P33" s="393"/>
      <c r="Q33" s="394"/>
    </row>
    <row r="34" spans="2:25" ht="14.5" thickBot="1" x14ac:dyDescent="0.35">
      <c r="B34" s="153"/>
      <c r="C34" s="154"/>
      <c r="D34" s="155"/>
      <c r="E34" s="156"/>
      <c r="F34" s="156"/>
      <c r="G34" s="156"/>
      <c r="H34" s="156"/>
      <c r="I34" s="156"/>
      <c r="J34" s="156"/>
      <c r="K34" s="156"/>
      <c r="L34" s="156"/>
      <c r="M34" s="157"/>
      <c r="N34" s="395"/>
      <c r="O34" s="395"/>
      <c r="P34" s="395"/>
      <c r="Q34" s="396"/>
      <c r="V34" s="100"/>
      <c r="W34" s="101"/>
      <c r="X34" s="101"/>
      <c r="Y34" s="102"/>
    </row>
    <row r="35" spans="2:25" x14ac:dyDescent="0.3">
      <c r="B35" s="85"/>
      <c r="J35" s="193"/>
      <c r="K35" s="193"/>
      <c r="L35" s="193"/>
      <c r="M35" s="193"/>
      <c r="N35" s="158"/>
      <c r="O35" s="158"/>
      <c r="P35" s="158"/>
      <c r="Q35" s="159"/>
      <c r="R35" s="127">
        <v>30448700</v>
      </c>
      <c r="V35" s="403"/>
      <c r="W35" s="404"/>
      <c r="X35" s="404"/>
      <c r="Y35" s="405"/>
    </row>
    <row r="36" spans="2:25" x14ac:dyDescent="0.3">
      <c r="B36" s="85"/>
      <c r="J36" s="406" t="s">
        <v>9</v>
      </c>
      <c r="K36" s="406"/>
      <c r="L36" s="406"/>
      <c r="M36" s="406"/>
      <c r="N36" s="407">
        <f>N22+N27</f>
        <v>11600000</v>
      </c>
      <c r="O36" s="407"/>
      <c r="P36" s="407"/>
      <c r="Q36" s="408"/>
      <c r="R36" s="127">
        <f>R35-21560000</f>
        <v>8888700</v>
      </c>
    </row>
    <row r="37" spans="2:25" x14ac:dyDescent="0.3">
      <c r="B37" s="85"/>
      <c r="J37" s="193"/>
      <c r="K37" s="193"/>
      <c r="L37" s="193"/>
      <c r="M37" s="193"/>
      <c r="N37" s="89" t="s">
        <v>22</v>
      </c>
      <c r="O37" s="89"/>
      <c r="P37" s="89"/>
      <c r="Q37" s="88"/>
    </row>
    <row r="38" spans="2:25" s="121" customFormat="1" ht="31.5" customHeight="1" x14ac:dyDescent="0.3">
      <c r="B38" s="160"/>
      <c r="D38" s="99" t="s">
        <v>13</v>
      </c>
      <c r="E38" s="409" t="s">
        <v>226</v>
      </c>
      <c r="F38" s="409"/>
      <c r="G38" s="409"/>
      <c r="H38" s="409"/>
      <c r="I38" s="409"/>
      <c r="J38" s="409"/>
      <c r="K38" s="409"/>
      <c r="L38" s="409"/>
      <c r="M38" s="409"/>
      <c r="N38" s="409"/>
      <c r="O38" s="409"/>
      <c r="P38" s="409"/>
      <c r="Q38" s="410"/>
      <c r="R38" s="137"/>
      <c r="S38" s="128"/>
      <c r="T38" s="138"/>
      <c r="U38" s="139"/>
      <c r="V38" s="131"/>
    </row>
    <row r="39" spans="2:25" ht="9.75" customHeight="1" x14ac:dyDescent="0.3">
      <c r="B39" s="85"/>
      <c r="E39" s="188" t="s">
        <v>22</v>
      </c>
      <c r="J39" s="193"/>
      <c r="K39" s="193"/>
      <c r="L39" s="193"/>
      <c r="M39" s="193"/>
      <c r="N39" s="89"/>
      <c r="O39" s="89"/>
      <c r="P39" s="89"/>
      <c r="Q39" s="88"/>
    </row>
    <row r="40" spans="2:25" x14ac:dyDescent="0.3">
      <c r="B40" s="85"/>
      <c r="I40" s="86" t="s">
        <v>25</v>
      </c>
      <c r="J40" s="193"/>
      <c r="K40" s="193"/>
      <c r="L40" s="193"/>
      <c r="M40" s="193"/>
      <c r="N40" s="89"/>
      <c r="O40" s="89"/>
      <c r="P40" s="89"/>
      <c r="Q40" s="88"/>
    </row>
    <row r="41" spans="2:25" x14ac:dyDescent="0.3">
      <c r="B41" s="85"/>
      <c r="D41" s="86" t="s">
        <v>11</v>
      </c>
      <c r="E41" s="411">
        <f>I10</f>
        <v>45013</v>
      </c>
      <c r="F41" s="411"/>
      <c r="G41" s="411"/>
      <c r="I41" s="191" t="s">
        <v>10</v>
      </c>
      <c r="J41" s="193"/>
      <c r="K41" s="193"/>
      <c r="L41" s="193"/>
      <c r="M41" s="412" t="s">
        <v>12</v>
      </c>
      <c r="N41" s="412"/>
      <c r="O41" s="413"/>
      <c r="P41" s="413"/>
      <c r="Q41" s="414"/>
    </row>
    <row r="42" spans="2:25" x14ac:dyDescent="0.3">
      <c r="B42" s="85"/>
      <c r="J42" s="193"/>
      <c r="K42" s="193"/>
      <c r="L42" s="193"/>
      <c r="M42" s="193"/>
      <c r="N42" s="89"/>
      <c r="O42" s="89"/>
      <c r="P42" s="89"/>
      <c r="Q42" s="88"/>
    </row>
    <row r="43" spans="2:25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5" x14ac:dyDescent="0.3">
      <c r="B44" s="85"/>
      <c r="J44" s="193"/>
      <c r="K44" s="193"/>
      <c r="L44" s="193"/>
      <c r="M44" s="193"/>
      <c r="N44" s="89"/>
      <c r="O44" s="89"/>
      <c r="P44" s="89"/>
      <c r="Q44" s="88"/>
    </row>
    <row r="45" spans="2:25" x14ac:dyDescent="0.3">
      <c r="B45" s="85"/>
      <c r="J45" s="193"/>
      <c r="K45" s="193"/>
      <c r="L45" s="193"/>
      <c r="M45" s="193"/>
      <c r="N45" s="89"/>
      <c r="O45" s="89"/>
      <c r="P45" s="89"/>
      <c r="Q45" s="88"/>
      <c r="U45" s="161"/>
    </row>
    <row r="46" spans="2:25" ht="12" customHeight="1" x14ac:dyDescent="0.3">
      <c r="B46" s="85"/>
      <c r="J46" s="193"/>
      <c r="K46" s="193"/>
      <c r="L46" s="193"/>
      <c r="M46" s="193"/>
      <c r="N46" s="89"/>
      <c r="O46" s="89"/>
      <c r="P46" s="89"/>
      <c r="Q46" s="88"/>
    </row>
    <row r="47" spans="2:25" x14ac:dyDescent="0.3">
      <c r="B47" s="85"/>
      <c r="J47" s="193"/>
      <c r="K47" s="193"/>
      <c r="L47" s="193"/>
      <c r="M47" s="193"/>
      <c r="N47" s="89"/>
      <c r="O47" s="89"/>
      <c r="P47" s="89"/>
      <c r="Q47" s="88"/>
    </row>
    <row r="48" spans="2:25" x14ac:dyDescent="0.3">
      <c r="B48" s="85"/>
      <c r="C48" s="86" t="s">
        <v>15</v>
      </c>
      <c r="D48" s="386" t="s">
        <v>24</v>
      </c>
      <c r="E48" s="386"/>
      <c r="F48" s="86" t="s">
        <v>16</v>
      </c>
      <c r="H48" s="189" t="s">
        <v>15</v>
      </c>
      <c r="I48" s="187" t="s">
        <v>18</v>
      </c>
      <c r="J48" s="193" t="s">
        <v>16</v>
      </c>
      <c r="K48" s="193"/>
      <c r="L48" s="193" t="s">
        <v>15</v>
      </c>
      <c r="M48" s="386" t="s">
        <v>74</v>
      </c>
      <c r="N48" s="386"/>
      <c r="O48" s="386"/>
      <c r="P48" s="162" t="s">
        <v>16</v>
      </c>
      <c r="Q48" s="88"/>
    </row>
    <row r="49" spans="2:22" ht="7.5" customHeight="1" thickBot="1" x14ac:dyDescent="0.35">
      <c r="B49" s="163"/>
      <c r="C49" s="156"/>
      <c r="D49" s="156"/>
      <c r="E49" s="156"/>
      <c r="F49" s="156"/>
      <c r="G49" s="156"/>
      <c r="H49" s="156"/>
      <c r="I49" s="156"/>
      <c r="J49" s="164"/>
      <c r="K49" s="164"/>
      <c r="L49" s="164"/>
      <c r="M49" s="164"/>
      <c r="N49" s="165"/>
      <c r="O49" s="165"/>
      <c r="P49" s="165"/>
      <c r="Q49" s="166"/>
      <c r="S49" s="167"/>
    </row>
    <row r="50" spans="2:22" x14ac:dyDescent="0.3">
      <c r="S50" s="167"/>
    </row>
    <row r="51" spans="2:22" x14ac:dyDescent="0.3">
      <c r="M51" s="134">
        <v>197146984</v>
      </c>
      <c r="S51" s="167"/>
    </row>
    <row r="52" spans="2:22" x14ac:dyDescent="0.3">
      <c r="S52" s="167"/>
    </row>
    <row r="53" spans="2:22" x14ac:dyDescent="0.3">
      <c r="S53" s="167"/>
    </row>
    <row r="54" spans="2:22" x14ac:dyDescent="0.3">
      <c r="R54" s="127">
        <v>34182000</v>
      </c>
      <c r="S54" s="167"/>
    </row>
    <row r="55" spans="2:22" x14ac:dyDescent="0.3">
      <c r="F55" s="98" t="s">
        <v>28</v>
      </c>
      <c r="R55" s="127">
        <v>48687000</v>
      </c>
      <c r="S55" s="167"/>
    </row>
    <row r="56" spans="2:22" x14ac:dyDescent="0.3">
      <c r="R56" s="127">
        <v>17687000</v>
      </c>
      <c r="S56" s="167">
        <v>16686135</v>
      </c>
    </row>
    <row r="57" spans="2:22" x14ac:dyDescent="0.3">
      <c r="R57" s="127">
        <v>20128582</v>
      </c>
      <c r="S57" s="167">
        <v>19452942</v>
      </c>
      <c r="T57" s="129">
        <f>335*2</f>
        <v>670</v>
      </c>
      <c r="V57" s="131">
        <v>874500</v>
      </c>
    </row>
    <row r="58" spans="2:22" x14ac:dyDescent="0.3">
      <c r="R58" s="127">
        <v>5324994</v>
      </c>
      <c r="S58" s="167">
        <v>25498845</v>
      </c>
      <c r="V58" s="131">
        <v>1080000</v>
      </c>
    </row>
    <row r="59" spans="2:22" s="98" customFormat="1" x14ac:dyDescent="0.3">
      <c r="B59" s="86"/>
      <c r="C59" s="86"/>
      <c r="D59" s="86"/>
      <c r="E59" s="86"/>
      <c r="F59" s="86"/>
      <c r="G59" s="86"/>
      <c r="H59" s="86"/>
      <c r="I59" s="86"/>
      <c r="J59" s="134"/>
      <c r="K59" s="134"/>
      <c r="L59" s="134"/>
      <c r="M59" s="134"/>
      <c r="N59" s="135"/>
      <c r="O59" s="135"/>
      <c r="P59" s="135"/>
      <c r="Q59" s="135"/>
      <c r="R59" s="127">
        <v>31587576</v>
      </c>
      <c r="S59" s="167"/>
      <c r="T59" s="129"/>
      <c r="U59" s="130"/>
      <c r="V59" s="131">
        <f>V57+V58</f>
        <v>1954500</v>
      </c>
    </row>
    <row r="60" spans="2:22" x14ac:dyDescent="0.3">
      <c r="R60" s="127">
        <v>18502000</v>
      </c>
    </row>
    <row r="61" spans="2:22" x14ac:dyDescent="0.3">
      <c r="Q61" s="135" t="s">
        <v>27</v>
      </c>
      <c r="R61" s="127">
        <f>SUM(R54:R60)</f>
        <v>176099152</v>
      </c>
    </row>
    <row r="62" spans="2:22" x14ac:dyDescent="0.3">
      <c r="R62" s="127">
        <v>19750000</v>
      </c>
    </row>
    <row r="63" spans="2:22" x14ac:dyDescent="0.3">
      <c r="R63" s="127">
        <v>417</v>
      </c>
    </row>
  </sheetData>
  <mergeCells count="64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4:N14"/>
    <mergeCell ref="B15:D15"/>
    <mergeCell ref="E15:M15"/>
    <mergeCell ref="N15:Q15"/>
    <mergeCell ref="N16:Q16"/>
    <mergeCell ref="B18:D18"/>
    <mergeCell ref="E18:M18"/>
    <mergeCell ref="N18:Q18"/>
    <mergeCell ref="B19:D19"/>
    <mergeCell ref="E19:M19"/>
    <mergeCell ref="N19:Q19"/>
    <mergeCell ref="B20:D20"/>
    <mergeCell ref="E20:M20"/>
    <mergeCell ref="N20:Q20"/>
    <mergeCell ref="B21:D21"/>
    <mergeCell ref="E21:M21"/>
    <mergeCell ref="N21:Q21"/>
    <mergeCell ref="B22:D22"/>
    <mergeCell ref="E22:L22"/>
    <mergeCell ref="N22:Q22"/>
    <mergeCell ref="B23:D23"/>
    <mergeCell ref="E23:I23"/>
    <mergeCell ref="L23:M23"/>
    <mergeCell ref="N23:Q23"/>
    <mergeCell ref="B24:D24"/>
    <mergeCell ref="E24:L24"/>
    <mergeCell ref="N24:Q24"/>
    <mergeCell ref="E25:I25"/>
    <mergeCell ref="L25:M25"/>
    <mergeCell ref="N25:Q25"/>
    <mergeCell ref="B26:D26"/>
    <mergeCell ref="E26:I26"/>
    <mergeCell ref="L26:M26"/>
    <mergeCell ref="N26:Q26"/>
    <mergeCell ref="N27:Q27"/>
    <mergeCell ref="V35:Y35"/>
    <mergeCell ref="J36:M36"/>
    <mergeCell ref="N36:Q36"/>
    <mergeCell ref="E38:Q38"/>
    <mergeCell ref="E41:G41"/>
    <mergeCell ref="M41:N41"/>
    <mergeCell ref="O41:Q41"/>
    <mergeCell ref="D48:E48"/>
    <mergeCell ref="M48:O48"/>
    <mergeCell ref="E28:K28"/>
    <mergeCell ref="B27:D27"/>
    <mergeCell ref="E29:L29"/>
    <mergeCell ref="N29:Q29"/>
    <mergeCell ref="N34:Q34"/>
    <mergeCell ref="B32:D32"/>
    <mergeCell ref="E32:M32"/>
    <mergeCell ref="N32:Q32"/>
    <mergeCell ref="B33:D33"/>
    <mergeCell ref="E33:M33"/>
    <mergeCell ref="N33:Q33"/>
  </mergeCells>
  <printOptions horizontalCentered="1"/>
  <pageMargins left="0.39370078740157483" right="0.47244094488188981" top="0.74803149606299213" bottom="0.35433070866141736" header="0.31496062992125984" footer="0.31496062992125984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EA64-A981-4A02-9613-69E33802ABC4}">
  <sheetPr codeName="Sheet10"/>
  <dimension ref="A1:Z59"/>
  <sheetViews>
    <sheetView showGridLines="0" view="pageBreakPreview" zoomScaleSheetLayoutView="100" workbookViewId="0">
      <selection activeCell="E36" sqref="E36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4.7265625" style="134" bestFit="1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424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 t="s">
        <v>87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45768</v>
      </c>
      <c r="J10" s="436"/>
      <c r="K10" s="436"/>
      <c r="L10" s="436"/>
      <c r="M10" s="436"/>
      <c r="N10" s="436"/>
      <c r="O10" s="89"/>
      <c r="P10" s="89"/>
      <c r="Q10" s="88"/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379</v>
      </c>
      <c r="J11" s="437"/>
      <c r="K11" s="437"/>
      <c r="L11" s="437"/>
      <c r="M11" s="437"/>
      <c r="N11" s="437"/>
      <c r="O11" s="89"/>
      <c r="P11" s="89"/>
      <c r="Q11" s="88"/>
      <c r="R11" s="132"/>
      <c r="S11" s="253"/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3372500</v>
      </c>
      <c r="J12" s="438"/>
      <c r="K12" s="438"/>
      <c r="L12" s="438"/>
      <c r="M12" s="438"/>
      <c r="N12" s="438"/>
      <c r="O12" s="89"/>
      <c r="P12" s="89" t="s">
        <v>22</v>
      </c>
      <c r="Q12" s="88"/>
      <c r="R12" s="127">
        <f>629250*12%</f>
        <v>75510</v>
      </c>
      <c r="S12" s="252"/>
      <c r="U12" s="133"/>
      <c r="V12" s="136"/>
    </row>
    <row r="13" spans="1:25" ht="24" customHeight="1" thickBot="1" x14ac:dyDescent="0.35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132">
        <f>629250+R12</f>
        <v>704760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168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33"/>
      <c r="S15" s="128"/>
      <c r="T15" s="128"/>
      <c r="U15" s="138"/>
      <c r="V15" s="234"/>
      <c r="W15" s="140"/>
    </row>
    <row r="16" spans="1:25" ht="12.75" customHeight="1" thickBot="1" x14ac:dyDescent="0.35">
      <c r="A16" s="141"/>
      <c r="B16" s="109"/>
      <c r="C16" s="109"/>
      <c r="D16" s="146"/>
      <c r="E16" s="271"/>
      <c r="J16" s="86"/>
      <c r="K16" s="86"/>
      <c r="L16" s="86"/>
      <c r="M16" s="86"/>
      <c r="N16" s="446"/>
      <c r="O16" s="444"/>
      <c r="P16" s="444"/>
      <c r="Q16" s="445"/>
      <c r="R16" s="168"/>
      <c r="S16" s="143"/>
      <c r="T16" s="143"/>
      <c r="V16" s="136"/>
    </row>
    <row r="17" spans="1:26" ht="29.25" customHeight="1" x14ac:dyDescent="0.3">
      <c r="A17" s="141"/>
      <c r="B17" s="453" t="s">
        <v>159</v>
      </c>
      <c r="C17" s="454"/>
      <c r="D17" s="455"/>
      <c r="E17" s="387" t="s">
        <v>425</v>
      </c>
      <c r="F17" s="388"/>
      <c r="G17" s="388"/>
      <c r="H17" s="388"/>
      <c r="I17" s="388"/>
      <c r="J17" s="388"/>
      <c r="K17" s="388"/>
      <c r="L17" s="388"/>
      <c r="M17" s="399"/>
      <c r="N17" s="450">
        <v>3372500</v>
      </c>
      <c r="O17" s="451"/>
      <c r="P17" s="451"/>
      <c r="Q17" s="452"/>
      <c r="R17" s="270"/>
      <c r="V17" s="136"/>
    </row>
    <row r="18" spans="1:26" ht="23.25" customHeight="1" thickBot="1" x14ac:dyDescent="0.35">
      <c r="A18" s="141" t="s">
        <v>22</v>
      </c>
      <c r="B18" s="453"/>
      <c r="C18" s="454"/>
      <c r="D18" s="455"/>
      <c r="E18" s="387"/>
      <c r="F18" s="388"/>
      <c r="G18" s="388"/>
      <c r="H18" s="388"/>
      <c r="I18" s="388"/>
      <c r="J18" s="388"/>
      <c r="K18" s="388"/>
      <c r="L18" s="388"/>
      <c r="M18" s="399"/>
      <c r="N18" s="450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387"/>
      <c r="F19" s="388"/>
      <c r="G19" s="388"/>
      <c r="H19" s="388"/>
      <c r="I19" s="388"/>
      <c r="J19" s="388"/>
      <c r="K19" s="388"/>
      <c r="L19" s="388"/>
      <c r="M19" s="399"/>
      <c r="N19" s="450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387"/>
      <c r="F20" s="388"/>
      <c r="G20" s="388"/>
      <c r="H20" s="388"/>
      <c r="I20" s="388"/>
      <c r="J20" s="388"/>
      <c r="K20" s="388"/>
      <c r="L20" s="388"/>
      <c r="M20" s="399"/>
      <c r="N20" s="39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387"/>
      <c r="F21" s="388"/>
      <c r="G21" s="388"/>
      <c r="H21" s="388"/>
      <c r="I21" s="388"/>
      <c r="J21" s="388"/>
      <c r="K21" s="388"/>
      <c r="L21" s="388"/>
      <c r="M21" s="330"/>
      <c r="N21" s="450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387"/>
      <c r="F22" s="388"/>
      <c r="G22" s="388"/>
      <c r="H22" s="388"/>
      <c r="I22" s="388"/>
      <c r="J22" s="388"/>
      <c r="K22" s="388"/>
      <c r="L22" s="388"/>
      <c r="M22" s="322"/>
      <c r="N22" s="392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60"/>
      <c r="F23" s="461"/>
      <c r="G23" s="461"/>
      <c r="H23" s="461"/>
      <c r="I23" s="461"/>
      <c r="J23" s="461"/>
      <c r="K23" s="461"/>
      <c r="L23" s="461"/>
      <c r="M23" s="462"/>
      <c r="N23" s="451"/>
      <c r="O23" s="451"/>
      <c r="P23" s="451"/>
      <c r="Q23" s="452"/>
      <c r="R23" s="214">
        <f>I12-22600000</f>
        <v>-19227500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450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388"/>
      <c r="N25" s="392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450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464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24"/>
      <c r="N28" s="392"/>
      <c r="O28" s="393"/>
      <c r="P28" s="393"/>
      <c r="Q28" s="394"/>
      <c r="R28" s="270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88"/>
      <c r="N29" s="392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1"/>
      <c r="N30" s="331"/>
      <c r="R30" s="332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463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3372500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24027500</v>
      </c>
    </row>
    <row r="35" spans="2:23" s="121" customFormat="1" ht="31.5" customHeight="1" x14ac:dyDescent="0.3">
      <c r="B35" s="160"/>
      <c r="D35" s="99" t="s">
        <v>13</v>
      </c>
      <c r="E35" s="409" t="s">
        <v>426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45768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1">
    <mergeCell ref="D44:E44"/>
    <mergeCell ref="M44:O44"/>
    <mergeCell ref="W32:Z32"/>
    <mergeCell ref="J33:M33"/>
    <mergeCell ref="N33:Q33"/>
    <mergeCell ref="E35:Q35"/>
    <mergeCell ref="E38:G38"/>
    <mergeCell ref="M38:N38"/>
    <mergeCell ref="O38:Q38"/>
    <mergeCell ref="N31:Q31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B26:D26"/>
    <mergeCell ref="E26:M26"/>
    <mergeCell ref="N26:Q26"/>
    <mergeCell ref="B22:D22"/>
    <mergeCell ref="E22:L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L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N20:Q20"/>
    <mergeCell ref="E20:M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scale="8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77C7-ADB8-42D4-BBF1-12740F24A4C1}">
  <sheetPr codeName="Sheet19"/>
  <dimension ref="B1:Y69"/>
  <sheetViews>
    <sheetView showGridLines="0" view="pageBreakPreview" topLeftCell="A4" zoomScaleSheetLayoutView="100" workbookViewId="0">
      <selection activeCell="E36" sqref="E36:Q36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311</v>
      </c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480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45903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124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N34</f>
        <v>147695000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2:25" ht="20.149999999999999" customHeight="1" thickBot="1" x14ac:dyDescent="0.35">
      <c r="B17" s="485" t="s">
        <v>159</v>
      </c>
      <c r="C17" s="486"/>
      <c r="D17" s="487"/>
      <c r="E17" s="387" t="s">
        <v>372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2:25" ht="20.149999999999999" customHeight="1" thickBot="1" x14ac:dyDescent="0.35">
      <c r="B18" s="503"/>
      <c r="C18" s="504"/>
      <c r="D18" s="505"/>
      <c r="E18" s="387" t="s">
        <v>481</v>
      </c>
      <c r="F18" s="388"/>
      <c r="G18" s="388"/>
      <c r="H18" s="388"/>
      <c r="I18" s="388"/>
      <c r="J18" s="388"/>
      <c r="K18" s="388"/>
      <c r="L18" s="388"/>
      <c r="M18" s="399"/>
      <c r="N18" s="392">
        <v>150405000</v>
      </c>
      <c r="O18" s="393"/>
      <c r="P18" s="393"/>
      <c r="Q18" s="394"/>
      <c r="R18" s="170">
        <v>135500000</v>
      </c>
      <c r="S18" s="170"/>
      <c r="T18" s="170"/>
      <c r="U18" s="170"/>
      <c r="V18" s="45">
        <v>0.1</v>
      </c>
    </row>
    <row r="19" spans="2:25" s="18" customFormat="1" ht="20.149999999999999" customHeight="1" thickBot="1" x14ac:dyDescent="0.35">
      <c r="B19" s="503"/>
      <c r="C19" s="504"/>
      <c r="D19" s="505"/>
      <c r="E19" s="387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170">
        <v>37000000</v>
      </c>
      <c r="S19" s="170"/>
      <c r="T19" s="170"/>
      <c r="U19" s="170"/>
      <c r="V19" s="23"/>
    </row>
    <row r="20" spans="2:25" s="22" customFormat="1" ht="20.149999999999999" customHeight="1" thickBot="1" x14ac:dyDescent="0.35">
      <c r="B20" s="169"/>
      <c r="C20" s="33"/>
      <c r="D20" s="172"/>
      <c r="E20" s="387"/>
      <c r="F20" s="388"/>
      <c r="G20" s="388"/>
      <c r="H20" s="388"/>
      <c r="I20" s="388"/>
      <c r="J20" s="388"/>
      <c r="K20" s="388"/>
      <c r="L20" s="388"/>
      <c r="M20" s="399"/>
      <c r="N20" s="392"/>
      <c r="O20" s="393"/>
      <c r="P20" s="393"/>
      <c r="Q20" s="394"/>
      <c r="R20" s="170">
        <v>11700000</v>
      </c>
      <c r="S20" s="170"/>
      <c r="T20" s="170"/>
      <c r="U20" s="170"/>
    </row>
    <row r="21" spans="2:25" ht="20.149999999999999" customHeight="1" x14ac:dyDescent="0.3">
      <c r="B21" s="174"/>
      <c r="C21" s="41"/>
      <c r="D21" s="171"/>
      <c r="E21" s="387"/>
      <c r="F21" s="388"/>
      <c r="G21" s="388"/>
      <c r="H21" s="388"/>
      <c r="I21" s="388"/>
      <c r="J21" s="388"/>
      <c r="K21" s="388"/>
      <c r="L21" s="388"/>
      <c r="M21" s="399"/>
      <c r="N21" s="392"/>
      <c r="O21" s="393"/>
      <c r="P21" s="393"/>
      <c r="Q21" s="394"/>
      <c r="R21" s="501"/>
      <c r="S21" s="501"/>
      <c r="T21" s="501"/>
      <c r="U21" s="502"/>
      <c r="V21" s="22"/>
    </row>
    <row r="22" spans="2:25" ht="20.149999999999999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2"/>
      <c r="O22" s="393"/>
      <c r="P22" s="393"/>
      <c r="Q22" s="394"/>
      <c r="R22" s="501"/>
      <c r="S22" s="501"/>
      <c r="T22" s="501"/>
      <c r="U22" s="502"/>
      <c r="V22" s="22"/>
    </row>
    <row r="23" spans="2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2"/>
      <c r="O23" s="393"/>
      <c r="P23" s="393"/>
      <c r="Q23" s="394"/>
      <c r="R23" s="215"/>
      <c r="S23" s="215"/>
      <c r="T23" s="215"/>
      <c r="U23" s="216"/>
      <c r="V23" s="22"/>
    </row>
    <row r="24" spans="2:25" ht="20.149999999999999" customHeight="1" x14ac:dyDescent="0.3">
      <c r="B24" s="174"/>
      <c r="C24" s="41"/>
      <c r="D24" s="172"/>
      <c r="E24" s="387"/>
      <c r="F24" s="388"/>
      <c r="G24" s="388"/>
      <c r="H24" s="388"/>
      <c r="I24" s="388"/>
      <c r="J24" s="388"/>
      <c r="K24" s="388"/>
      <c r="L24" s="388"/>
      <c r="M24" s="399"/>
      <c r="N24" s="392"/>
      <c r="O24" s="393"/>
      <c r="P24" s="393"/>
      <c r="Q24" s="394"/>
      <c r="R24" s="215"/>
      <c r="S24" s="215"/>
      <c r="T24" s="215"/>
      <c r="U24" s="216"/>
      <c r="V24" s="22"/>
    </row>
    <row r="25" spans="2:25" ht="20.149999999999999" customHeight="1" thickBot="1" x14ac:dyDescent="0.35">
      <c r="B25" s="174"/>
      <c r="C25" s="41"/>
      <c r="D25" s="172"/>
      <c r="E25" s="387"/>
      <c r="F25" s="388"/>
      <c r="G25" s="388"/>
      <c r="H25" s="388"/>
      <c r="I25" s="388"/>
      <c r="J25" s="388"/>
      <c r="K25" s="388"/>
      <c r="L25" s="388"/>
      <c r="M25" s="399"/>
      <c r="N25" s="429"/>
      <c r="O25" s="430"/>
      <c r="P25" s="430"/>
      <c r="Q25" s="431"/>
      <c r="R25" s="215"/>
      <c r="S25" s="215"/>
      <c r="T25" s="215"/>
      <c r="U25" s="216"/>
      <c r="V25" s="22"/>
    </row>
    <row r="26" spans="2:25" s="22" customFormat="1" ht="20.149999999999999" customHeight="1" x14ac:dyDescent="0.3">
      <c r="B26" s="169"/>
      <c r="C26" s="41"/>
      <c r="D26" s="172"/>
      <c r="E26" s="83"/>
      <c r="F26" s="83"/>
      <c r="G26" s="83"/>
      <c r="H26" s="83"/>
      <c r="I26" s="83"/>
      <c r="J26" s="83"/>
      <c r="K26" s="494" t="s">
        <v>158</v>
      </c>
      <c r="L26" s="494"/>
      <c r="M26" s="495"/>
      <c r="N26" s="425">
        <f>SUM(N18:Q25)</f>
        <v>150405000</v>
      </c>
      <c r="O26" s="423"/>
      <c r="P26" s="423"/>
      <c r="Q26" s="424"/>
      <c r="R26" s="496"/>
      <c r="S26" s="497"/>
      <c r="T26" s="497"/>
      <c r="U26" s="498"/>
    </row>
    <row r="27" spans="2:25" ht="20.149999999999999" customHeight="1" x14ac:dyDescent="0.3">
      <c r="B27" s="447" t="s">
        <v>160</v>
      </c>
      <c r="C27" s="456"/>
      <c r="D27" s="457"/>
      <c r="E27" s="499" t="s">
        <v>161</v>
      </c>
      <c r="F27" s="500"/>
      <c r="G27" s="500"/>
      <c r="H27" s="500"/>
      <c r="I27" s="83"/>
      <c r="J27" s="393">
        <f>-N26/1.11*11%</f>
        <v>-14905000</v>
      </c>
      <c r="K27" s="393"/>
      <c r="L27" s="393"/>
      <c r="M27" s="394"/>
      <c r="Q27" s="6"/>
      <c r="R27" s="501"/>
      <c r="S27" s="501"/>
      <c r="T27" s="501"/>
      <c r="U27" s="502"/>
      <c r="V27" s="22"/>
    </row>
    <row r="28" spans="2:25" ht="20.149999999999999" customHeight="1" x14ac:dyDescent="0.3">
      <c r="B28" s="485"/>
      <c r="C28" s="486"/>
      <c r="D28" s="487"/>
      <c r="E28" s="488" t="s">
        <v>163</v>
      </c>
      <c r="F28" s="489"/>
      <c r="G28" s="489"/>
      <c r="H28" s="489"/>
      <c r="I28" s="489"/>
      <c r="J28" s="34"/>
      <c r="K28" s="417">
        <f>N26+J27</f>
        <v>135500000</v>
      </c>
      <c r="L28" s="417"/>
      <c r="M28" s="418"/>
      <c r="N28" s="425"/>
      <c r="O28" s="423"/>
      <c r="P28" s="423"/>
      <c r="Q28" s="424"/>
      <c r="U28" s="30"/>
      <c r="V28" s="24"/>
    </row>
    <row r="29" spans="2:25" ht="20.149999999999999" customHeight="1" x14ac:dyDescent="0.3">
      <c r="B29" s="447" t="s">
        <v>162</v>
      </c>
      <c r="C29" s="456"/>
      <c r="D29" s="457"/>
      <c r="E29" s="460" t="s">
        <v>164</v>
      </c>
      <c r="F29" s="461"/>
      <c r="G29" s="461"/>
      <c r="H29" s="461"/>
      <c r="I29" s="461"/>
      <c r="J29" s="461"/>
      <c r="K29" s="461"/>
      <c r="L29" s="461"/>
      <c r="M29" s="462"/>
      <c r="N29" s="465">
        <f>-K28*2%</f>
        <v>-2710000</v>
      </c>
      <c r="O29" s="465"/>
      <c r="P29" s="465"/>
      <c r="Q29" s="466"/>
      <c r="R29" s="24">
        <f>3710562-145000-145000</f>
        <v>3420562</v>
      </c>
      <c r="U29" s="30"/>
      <c r="V29" s="24"/>
    </row>
    <row r="30" spans="2:25" ht="20.149999999999999" customHeight="1" x14ac:dyDescent="0.3">
      <c r="B30" s="11"/>
      <c r="C30" s="27"/>
      <c r="D30" s="175"/>
      <c r="E30" s="176"/>
      <c r="F30" s="176"/>
      <c r="G30" s="176"/>
      <c r="H30" s="176"/>
      <c r="I30" s="176"/>
      <c r="J30" s="176"/>
      <c r="K30" s="176"/>
      <c r="L30" s="176"/>
      <c r="M30" s="175"/>
      <c r="N30" s="10"/>
      <c r="O30" s="10"/>
      <c r="P30" s="10"/>
      <c r="Q30" s="12"/>
      <c r="U30" s="30"/>
      <c r="V30" s="482">
        <v>110155442</v>
      </c>
      <c r="W30" s="483"/>
      <c r="X30" s="483"/>
      <c r="Y30" s="484"/>
    </row>
    <row r="31" spans="2:25" ht="20.149999999999999" customHeight="1" x14ac:dyDescent="0.3">
      <c r="B31" s="11"/>
      <c r="C31" s="27"/>
      <c r="D31" s="173"/>
      <c r="E31" s="34"/>
      <c r="F31" s="34"/>
      <c r="G31" s="34"/>
      <c r="H31" s="34"/>
      <c r="I31" s="44"/>
      <c r="J31" s="34"/>
      <c r="K31" s="34"/>
      <c r="L31" s="34"/>
      <c r="M31" s="28"/>
      <c r="N31" s="490"/>
      <c r="O31" s="490"/>
      <c r="P31" s="490"/>
      <c r="Q31" s="491"/>
      <c r="U31" s="30"/>
      <c r="V31" s="482">
        <v>-110155871</v>
      </c>
      <c r="W31" s="483"/>
      <c r="X31" s="483"/>
      <c r="Y31" s="484"/>
    </row>
    <row r="32" spans="2:25" ht="20.149999999999999" customHeight="1" thickBot="1" x14ac:dyDescent="0.35">
      <c r="B32" s="177"/>
      <c r="C32" s="178"/>
      <c r="D32" s="179"/>
      <c r="E32" s="178"/>
      <c r="F32" s="178"/>
      <c r="G32" s="178"/>
      <c r="H32" s="178"/>
      <c r="I32" s="178"/>
      <c r="J32" s="178"/>
      <c r="K32" s="178"/>
      <c r="L32" s="178"/>
      <c r="M32" s="179"/>
      <c r="N32" s="492"/>
      <c r="O32" s="492"/>
      <c r="P32" s="492"/>
      <c r="Q32" s="493"/>
      <c r="R32" s="24">
        <v>7892100</v>
      </c>
      <c r="U32" s="30"/>
      <c r="V32" s="482">
        <f>V30+V31</f>
        <v>-429</v>
      </c>
      <c r="W32" s="483"/>
      <c r="X32" s="483"/>
      <c r="Y32" s="484"/>
    </row>
    <row r="33" spans="2:25" x14ac:dyDescent="0.3">
      <c r="B33" s="5"/>
      <c r="Q33" s="6"/>
      <c r="R33" s="24">
        <v>7892100</v>
      </c>
      <c r="U33" s="30"/>
      <c r="V33" s="482"/>
      <c r="W33" s="483"/>
      <c r="X33" s="483"/>
      <c r="Y33" s="484"/>
    </row>
    <row r="34" spans="2:25" x14ac:dyDescent="0.3">
      <c r="B34" s="5"/>
      <c r="J34" s="471" t="s">
        <v>9</v>
      </c>
      <c r="K34" s="471"/>
      <c r="L34" s="471"/>
      <c r="M34" s="471"/>
      <c r="N34" s="472">
        <f>N26+N29</f>
        <v>147695000</v>
      </c>
      <c r="O34" s="472"/>
      <c r="P34" s="472"/>
      <c r="Q34" s="473"/>
      <c r="R34" s="24">
        <v>7892100</v>
      </c>
      <c r="U34" s="30"/>
      <c r="V34" s="24"/>
    </row>
    <row r="35" spans="2:25" x14ac:dyDescent="0.3">
      <c r="B35" s="5"/>
      <c r="N35" s="4" t="s">
        <v>22</v>
      </c>
      <c r="Q35" s="6"/>
      <c r="R35" s="24">
        <v>7892100</v>
      </c>
      <c r="U35" s="30"/>
      <c r="V35" s="24">
        <f t="shared" ref="V35:V40" si="0">T35*U35</f>
        <v>0</v>
      </c>
    </row>
    <row r="36" spans="2:25" s="18" customFormat="1" ht="31.5" customHeight="1" x14ac:dyDescent="0.3">
      <c r="B36" s="16"/>
      <c r="D36" s="17" t="s">
        <v>13</v>
      </c>
      <c r="E36" s="474" t="s">
        <v>482</v>
      </c>
      <c r="F36" s="474"/>
      <c r="G36" s="474"/>
      <c r="H36" s="474"/>
      <c r="I36" s="474"/>
      <c r="J36" s="474"/>
      <c r="K36" s="474"/>
      <c r="L36" s="474"/>
      <c r="M36" s="474"/>
      <c r="N36" s="474"/>
      <c r="O36" s="474"/>
      <c r="P36" s="474"/>
      <c r="Q36" s="475"/>
      <c r="R36" s="114">
        <f>SUM(R28:R35)</f>
        <v>34988962</v>
      </c>
      <c r="S36" s="47"/>
      <c r="T36" s="23"/>
      <c r="U36" s="31"/>
      <c r="V36" s="24">
        <f>T36*U36</f>
        <v>0</v>
      </c>
    </row>
    <row r="37" spans="2:25" ht="9.75" customHeight="1" x14ac:dyDescent="0.3">
      <c r="B37" s="5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Q37" s="6"/>
      <c r="U37" s="30"/>
      <c r="V37" s="24">
        <f t="shared" si="0"/>
        <v>0</v>
      </c>
    </row>
    <row r="38" spans="2:25" x14ac:dyDescent="0.3">
      <c r="B38" s="5"/>
      <c r="D38" s="10"/>
      <c r="E38" s="10"/>
      <c r="F38" s="10"/>
      <c r="G38" s="10"/>
      <c r="H38" s="10"/>
      <c r="I38" s="10" t="s">
        <v>22</v>
      </c>
      <c r="J38" s="10"/>
      <c r="K38" s="10"/>
      <c r="L38" s="10"/>
      <c r="M38" s="10"/>
      <c r="N38" s="10"/>
      <c r="Q38" s="6"/>
      <c r="R38" s="24">
        <f>-R36/1.11*2%</f>
        <v>-630431.74774774769</v>
      </c>
      <c r="U38" s="30"/>
      <c r="V38" s="24">
        <f t="shared" si="0"/>
        <v>0</v>
      </c>
    </row>
    <row r="39" spans="2:25" x14ac:dyDescent="0.3">
      <c r="B39" s="5"/>
      <c r="D39" s="10" t="s">
        <v>11</v>
      </c>
      <c r="E39" s="476">
        <f>I10</f>
        <v>45903</v>
      </c>
      <c r="F39" s="476"/>
      <c r="G39" s="476"/>
      <c r="I39" s="14" t="s">
        <v>10</v>
      </c>
      <c r="J39" s="10"/>
      <c r="K39" s="10"/>
      <c r="L39" s="10"/>
      <c r="M39" s="477" t="s">
        <v>12</v>
      </c>
      <c r="N39" s="477"/>
      <c r="O39" s="478"/>
      <c r="P39" s="478"/>
      <c r="Q39" s="479"/>
      <c r="U39" s="30"/>
      <c r="V39" s="24">
        <f t="shared" si="0"/>
        <v>0</v>
      </c>
    </row>
    <row r="40" spans="2:25" x14ac:dyDescent="0.3">
      <c r="B40" s="5"/>
      <c r="Q40" s="6"/>
      <c r="U40" s="30"/>
      <c r="V40" s="24">
        <f t="shared" si="0"/>
        <v>0</v>
      </c>
    </row>
    <row r="41" spans="2:25" x14ac:dyDescent="0.3">
      <c r="B41" s="5"/>
      <c r="Q41" s="6"/>
      <c r="U41" s="30"/>
      <c r="V41" s="24">
        <f>SUM(V28:V40)</f>
        <v>-858</v>
      </c>
    </row>
    <row r="42" spans="2:25" x14ac:dyDescent="0.3">
      <c r="B42" s="5"/>
      <c r="Q42" s="6"/>
      <c r="S42" s="48"/>
      <c r="U42" s="30"/>
      <c r="V42" s="24"/>
    </row>
    <row r="43" spans="2:25" ht="12" customHeight="1" x14ac:dyDescent="0.3">
      <c r="B43" s="5"/>
      <c r="Q43" s="6"/>
      <c r="U43" s="30"/>
      <c r="V43" s="24"/>
    </row>
    <row r="44" spans="2:25" x14ac:dyDescent="0.3">
      <c r="B44" s="5"/>
      <c r="Q44" s="6"/>
      <c r="U44" s="30"/>
    </row>
    <row r="45" spans="2:25" x14ac:dyDescent="0.3">
      <c r="B45" s="5"/>
      <c r="C45" s="4" t="s">
        <v>15</v>
      </c>
      <c r="D45" s="478" t="s">
        <v>377</v>
      </c>
      <c r="E45" s="478"/>
      <c r="F45" s="4" t="s">
        <v>16</v>
      </c>
      <c r="H45" s="19" t="s">
        <v>15</v>
      </c>
      <c r="I45" s="110" t="s">
        <v>373</v>
      </c>
      <c r="J45" s="112" t="s">
        <v>16</v>
      </c>
      <c r="L45" s="4" t="s">
        <v>15</v>
      </c>
      <c r="M45" s="478" t="s">
        <v>312</v>
      </c>
      <c r="N45" s="478"/>
      <c r="O45" s="478"/>
      <c r="P45" s="111" t="s">
        <v>16</v>
      </c>
      <c r="Q45" s="6"/>
      <c r="U45" s="30"/>
    </row>
    <row r="46" spans="2:25" ht="7.5" customHeight="1" thickBot="1" x14ac:dyDescent="0.35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S46" s="49"/>
      <c r="U46" s="30"/>
    </row>
    <row r="47" spans="2:25" x14ac:dyDescent="0.3">
      <c r="S47" s="49">
        <v>4489649</v>
      </c>
      <c r="U47" s="30"/>
    </row>
    <row r="48" spans="2:25" x14ac:dyDescent="0.3">
      <c r="S48" s="49">
        <v>2944612</v>
      </c>
      <c r="U48" s="30"/>
    </row>
    <row r="49" spans="2:22" x14ac:dyDescent="0.3">
      <c r="S49" s="49">
        <v>3432872</v>
      </c>
      <c r="U49" s="30"/>
    </row>
    <row r="50" spans="2:22" x14ac:dyDescent="0.3">
      <c r="S50" s="49">
        <f>SUM(S47:S49)</f>
        <v>10867133</v>
      </c>
      <c r="U50" s="30"/>
      <c r="V50" s="26">
        <f>U50-S50</f>
        <v>-10867133</v>
      </c>
    </row>
    <row r="51" spans="2:22" x14ac:dyDescent="0.3">
      <c r="S51" s="49"/>
      <c r="U51" s="30"/>
    </row>
    <row r="52" spans="2:22" x14ac:dyDescent="0.3">
      <c r="S52" s="49"/>
      <c r="U52" s="30"/>
    </row>
    <row r="53" spans="2:22" x14ac:dyDescent="0.3">
      <c r="S53" s="49">
        <v>16686135</v>
      </c>
      <c r="U53" s="30"/>
    </row>
    <row r="54" spans="2:22" x14ac:dyDescent="0.3">
      <c r="S54" s="49">
        <v>19452942</v>
      </c>
      <c r="U54" s="30"/>
      <c r="V54" s="4">
        <v>874500</v>
      </c>
    </row>
    <row r="55" spans="2:22" x14ac:dyDescent="0.3">
      <c r="S55" s="49">
        <v>25498845</v>
      </c>
      <c r="U55" s="30"/>
      <c r="V55" s="4">
        <v>1080000</v>
      </c>
    </row>
    <row r="56" spans="2:22" s="22" customFormat="1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4"/>
      <c r="S56" s="49"/>
      <c r="U56" s="30"/>
      <c r="V56" s="4">
        <f>V54+V55</f>
        <v>1954500</v>
      </c>
    </row>
    <row r="57" spans="2:22" x14ac:dyDescent="0.3">
      <c r="E57" s="43"/>
      <c r="F57" s="33" t="s">
        <v>125</v>
      </c>
      <c r="G57" s="35"/>
      <c r="H57" s="35"/>
      <c r="I57" s="35"/>
      <c r="J57" s="35"/>
      <c r="K57" s="35"/>
      <c r="L57" s="35"/>
      <c r="M57" s="35"/>
      <c r="N57" s="35"/>
      <c r="O57" s="36"/>
      <c r="P57" s="480"/>
      <c r="Q57" s="480"/>
      <c r="R57" s="480"/>
      <c r="S57" s="481"/>
      <c r="U57" s="30"/>
    </row>
    <row r="58" spans="2:22" x14ac:dyDescent="0.3">
      <c r="E58" s="41"/>
      <c r="F58" s="33"/>
      <c r="G58" s="35"/>
      <c r="H58" s="35"/>
      <c r="I58" s="35"/>
      <c r="J58" s="35"/>
      <c r="K58" s="35"/>
      <c r="L58" s="35"/>
      <c r="M58" s="35"/>
      <c r="N58" s="35"/>
      <c r="O58" s="36"/>
      <c r="P58" s="392"/>
      <c r="Q58" s="393"/>
      <c r="R58" s="393"/>
      <c r="S58" s="394"/>
      <c r="U58" s="30"/>
    </row>
    <row r="59" spans="2:22" ht="15" x14ac:dyDescent="0.3">
      <c r="E59" s="41" t="s">
        <v>20</v>
      </c>
      <c r="F59" s="33" t="s">
        <v>93</v>
      </c>
      <c r="G59" s="77"/>
      <c r="H59" s="77"/>
      <c r="I59" s="77"/>
      <c r="J59" s="77"/>
      <c r="K59" s="77"/>
      <c r="L59" s="78"/>
      <c r="M59" s="78"/>
      <c r="N59" s="78"/>
      <c r="O59" s="79"/>
      <c r="P59" s="392">
        <v>123093450</v>
      </c>
      <c r="Q59" s="393"/>
      <c r="R59" s="393"/>
      <c r="S59" s="394"/>
      <c r="U59" s="30"/>
    </row>
    <row r="60" spans="2:22" x14ac:dyDescent="0.3">
      <c r="E60" s="33" t="s">
        <v>20</v>
      </c>
      <c r="F60" s="80" t="s">
        <v>94</v>
      </c>
      <c r="G60" s="35"/>
      <c r="H60" s="35"/>
      <c r="I60" s="35"/>
      <c r="J60" s="35"/>
      <c r="K60" s="35"/>
      <c r="L60" s="35"/>
      <c r="M60" s="35"/>
      <c r="N60" s="35"/>
      <c r="O60" s="36"/>
      <c r="P60" s="392">
        <v>168814350</v>
      </c>
      <c r="Q60" s="393"/>
      <c r="R60" s="393"/>
      <c r="S60" s="394"/>
    </row>
    <row r="61" spans="2:22" ht="15.5" x14ac:dyDescent="0.3">
      <c r="E61" s="41" t="s">
        <v>20</v>
      </c>
      <c r="F61" s="33" t="s">
        <v>95</v>
      </c>
      <c r="L61" s="81"/>
      <c r="M61" s="81"/>
      <c r="N61" s="81"/>
      <c r="O61" s="81"/>
      <c r="P61" s="392">
        <v>36297000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27"/>
      <c r="H62" s="27"/>
      <c r="I62" s="27"/>
      <c r="J62" s="27"/>
      <c r="K62" s="27"/>
      <c r="L62" s="81"/>
      <c r="M62" s="81"/>
      <c r="N62" s="81"/>
      <c r="O62" s="82"/>
      <c r="P62" s="392">
        <v>7892100</v>
      </c>
      <c r="Q62" s="393"/>
      <c r="R62" s="393"/>
      <c r="S62" s="394"/>
    </row>
    <row r="63" spans="2:22" ht="15.5" x14ac:dyDescent="0.3">
      <c r="E63" s="41" t="s">
        <v>20</v>
      </c>
      <c r="F63" s="80" t="s">
        <v>96</v>
      </c>
      <c r="G63" s="83"/>
      <c r="H63" s="83"/>
      <c r="I63" s="83"/>
      <c r="J63" s="83"/>
      <c r="K63" s="83"/>
      <c r="L63" s="83"/>
      <c r="M63" s="83"/>
      <c r="N63" s="83"/>
      <c r="O63" s="6"/>
      <c r="P63" s="393">
        <v>7892100</v>
      </c>
      <c r="Q63" s="393"/>
      <c r="R63" s="393"/>
      <c r="S63" s="393"/>
    </row>
    <row r="64" spans="2:22" ht="16" thickBot="1" x14ac:dyDescent="0.35">
      <c r="F64" s="33"/>
      <c r="G64" s="83"/>
      <c r="H64" s="83"/>
      <c r="I64" s="83"/>
      <c r="J64" s="83"/>
      <c r="K64" s="83"/>
      <c r="L64" s="83"/>
      <c r="M64" s="83"/>
      <c r="N64" s="83"/>
      <c r="O64" s="6"/>
      <c r="P64" s="429"/>
      <c r="Q64" s="430"/>
      <c r="R64" s="430"/>
      <c r="S64" s="431"/>
    </row>
    <row r="65" spans="5:21" ht="15.5" x14ac:dyDescent="0.3">
      <c r="E65" s="41"/>
      <c r="F65" s="33"/>
      <c r="G65" s="27"/>
      <c r="H65" s="27"/>
      <c r="I65" s="27"/>
      <c r="J65" s="27"/>
      <c r="K65" s="34"/>
      <c r="L65" s="34"/>
      <c r="M65" s="34"/>
      <c r="N65" s="34"/>
      <c r="O65" s="84"/>
      <c r="P65" s="425">
        <f>P58+P59+P60+P61+P62+P63+P64</f>
        <v>343989000</v>
      </c>
      <c r="Q65" s="423"/>
      <c r="R65" s="423"/>
      <c r="S65" s="424"/>
    </row>
    <row r="66" spans="5:21" x14ac:dyDescent="0.3">
      <c r="E66" s="25"/>
      <c r="F66" s="37"/>
      <c r="G66" s="34"/>
      <c r="H66" s="34"/>
      <c r="I66" s="34"/>
      <c r="J66" s="34"/>
      <c r="K66" s="469" t="s">
        <v>68</v>
      </c>
      <c r="L66" s="469"/>
      <c r="M66" s="469"/>
      <c r="N66" s="469"/>
      <c r="O66" s="470"/>
      <c r="P66" s="465">
        <f>-P65/1.11*2%</f>
        <v>-6198000</v>
      </c>
      <c r="Q66" s="465"/>
      <c r="R66" s="465"/>
      <c r="S66" s="466"/>
    </row>
    <row r="67" spans="5:21" ht="15" x14ac:dyDescent="0.3">
      <c r="E67" s="27"/>
      <c r="F67" s="467"/>
      <c r="G67" s="467"/>
      <c r="H67" s="467"/>
      <c r="I67" s="467"/>
      <c r="J67" s="467"/>
      <c r="K67" s="467"/>
      <c r="L67" s="467"/>
      <c r="M67" s="467"/>
      <c r="N67" s="467"/>
      <c r="O67" s="468"/>
      <c r="R67" s="4"/>
      <c r="S67" s="4"/>
    </row>
    <row r="69" spans="5:21" x14ac:dyDescent="0.3">
      <c r="U69" s="32"/>
    </row>
  </sheetData>
  <mergeCells count="74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E22:M22"/>
    <mergeCell ref="N22:Q22"/>
    <mergeCell ref="R22:U22"/>
    <mergeCell ref="B18:D18"/>
    <mergeCell ref="E18:M18"/>
    <mergeCell ref="N18:Q18"/>
    <mergeCell ref="B19:D19"/>
    <mergeCell ref="E19:M19"/>
    <mergeCell ref="N19:Q19"/>
    <mergeCell ref="E20:M20"/>
    <mergeCell ref="N20:Q20"/>
    <mergeCell ref="E21:M21"/>
    <mergeCell ref="N21:Q21"/>
    <mergeCell ref="R21:U21"/>
    <mergeCell ref="E23:M23"/>
    <mergeCell ref="N23:Q23"/>
    <mergeCell ref="E24:M24"/>
    <mergeCell ref="N24:Q24"/>
    <mergeCell ref="E25:M25"/>
    <mergeCell ref="N25:Q25"/>
    <mergeCell ref="K26:M26"/>
    <mergeCell ref="N26:Q26"/>
    <mergeCell ref="R26:U26"/>
    <mergeCell ref="B27:D27"/>
    <mergeCell ref="E27:H27"/>
    <mergeCell ref="J27:M27"/>
    <mergeCell ref="R27:U27"/>
    <mergeCell ref="V33:Y33"/>
    <mergeCell ref="B28:D28"/>
    <mergeCell ref="E28:I28"/>
    <mergeCell ref="K28:M28"/>
    <mergeCell ref="N28:Q28"/>
    <mergeCell ref="B29:D29"/>
    <mergeCell ref="E29:M29"/>
    <mergeCell ref="N29:Q29"/>
    <mergeCell ref="V30:Y30"/>
    <mergeCell ref="N31:Q31"/>
    <mergeCell ref="V31:Y31"/>
    <mergeCell ref="N32:Q32"/>
    <mergeCell ref="V32:Y32"/>
    <mergeCell ref="P60:S60"/>
    <mergeCell ref="J34:M34"/>
    <mergeCell ref="N34:Q34"/>
    <mergeCell ref="E36:Q36"/>
    <mergeCell ref="E39:G39"/>
    <mergeCell ref="M39:N39"/>
    <mergeCell ref="O39:Q39"/>
    <mergeCell ref="D45:E45"/>
    <mergeCell ref="M45:O45"/>
    <mergeCell ref="P57:S57"/>
    <mergeCell ref="P58:S58"/>
    <mergeCell ref="P59:S59"/>
    <mergeCell ref="F67:O67"/>
    <mergeCell ref="P61:S61"/>
    <mergeCell ref="P62:S62"/>
    <mergeCell ref="P63:S63"/>
    <mergeCell ref="P64:S64"/>
    <mergeCell ref="P65:S65"/>
    <mergeCell ref="K66:O66"/>
    <mergeCell ref="P66:S66"/>
  </mergeCells>
  <printOptions horizontalCentered="1"/>
  <pageMargins left="0.38" right="0.47244094488188998" top="0.74803149606299202" bottom="0.37" header="0.31496062992126" footer="0.31496062992126"/>
  <pageSetup scale="8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69"/>
  <sheetViews>
    <sheetView showGridLines="0" view="pageBreakPreview" zoomScaleSheetLayoutView="100" workbookViewId="0">
      <selection activeCell="N20" sqref="N20:Q20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311</v>
      </c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528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45992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124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N34</f>
        <v>191731000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2:25" ht="20.149999999999999" customHeight="1" thickBot="1" x14ac:dyDescent="0.35">
      <c r="B17" s="485" t="s">
        <v>159</v>
      </c>
      <c r="C17" s="486"/>
      <c r="D17" s="487"/>
      <c r="E17" s="387" t="s">
        <v>372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2:25" ht="20.149999999999999" customHeight="1" thickBot="1" x14ac:dyDescent="0.35">
      <c r="B18" s="503"/>
      <c r="C18" s="504"/>
      <c r="D18" s="505"/>
      <c r="E18" s="387" t="s">
        <v>529</v>
      </c>
      <c r="F18" s="388"/>
      <c r="G18" s="388"/>
      <c r="H18" s="388"/>
      <c r="I18" s="388"/>
      <c r="J18" s="388"/>
      <c r="K18" s="388"/>
      <c r="L18" s="388"/>
      <c r="M18" s="399"/>
      <c r="N18" s="392">
        <v>12987000</v>
      </c>
      <c r="O18" s="393"/>
      <c r="P18" s="393"/>
      <c r="Q18" s="394"/>
      <c r="R18" s="170">
        <v>135500000</v>
      </c>
      <c r="S18" s="170"/>
      <c r="T18" s="170"/>
      <c r="U18" s="170"/>
      <c r="V18" s="45">
        <v>0.1</v>
      </c>
    </row>
    <row r="19" spans="2:25" s="18" customFormat="1" ht="20.149999999999999" customHeight="1" thickBot="1" x14ac:dyDescent="0.35">
      <c r="B19" s="503"/>
      <c r="C19" s="504"/>
      <c r="D19" s="505"/>
      <c r="E19" s="387" t="s">
        <v>530</v>
      </c>
      <c r="F19" s="388"/>
      <c r="G19" s="388"/>
      <c r="H19" s="388"/>
      <c r="I19" s="388"/>
      <c r="J19" s="388"/>
      <c r="K19" s="388"/>
      <c r="L19" s="388"/>
      <c r="M19" s="399"/>
      <c r="N19" s="392">
        <v>41070000</v>
      </c>
      <c r="O19" s="393"/>
      <c r="P19" s="393"/>
      <c r="Q19" s="394"/>
      <c r="R19" s="170">
        <v>37000000</v>
      </c>
      <c r="S19" s="170"/>
      <c r="T19" s="170"/>
      <c r="U19" s="170"/>
      <c r="V19" s="23"/>
    </row>
    <row r="20" spans="2:25" s="22" customFormat="1" ht="20.149999999999999" customHeight="1" thickBot="1" x14ac:dyDescent="0.35">
      <c r="B20" s="169"/>
      <c r="C20" s="33"/>
      <c r="D20" s="172"/>
      <c r="E20" s="387" t="s">
        <v>531</v>
      </c>
      <c r="F20" s="388"/>
      <c r="G20" s="388"/>
      <c r="H20" s="388"/>
      <c r="I20" s="388"/>
      <c r="J20" s="388"/>
      <c r="K20" s="388"/>
      <c r="L20" s="388"/>
      <c r="M20" s="399"/>
      <c r="N20" s="392">
        <v>12987000</v>
      </c>
      <c r="O20" s="393"/>
      <c r="P20" s="393"/>
      <c r="Q20" s="394"/>
      <c r="R20" s="170">
        <v>11700000</v>
      </c>
      <c r="S20" s="170"/>
      <c r="T20" s="170"/>
      <c r="U20" s="170"/>
    </row>
    <row r="21" spans="2:25" ht="20.149999999999999" customHeight="1" x14ac:dyDescent="0.3">
      <c r="B21" s="174"/>
      <c r="C21" s="41"/>
      <c r="D21" s="171"/>
      <c r="E21" s="387" t="s">
        <v>532</v>
      </c>
      <c r="F21" s="388"/>
      <c r="G21" s="388"/>
      <c r="H21" s="388"/>
      <c r="I21" s="388"/>
      <c r="J21" s="388"/>
      <c r="K21" s="388"/>
      <c r="L21" s="388"/>
      <c r="M21" s="399"/>
      <c r="N21" s="392">
        <v>41070000</v>
      </c>
      <c r="O21" s="393"/>
      <c r="P21" s="393"/>
      <c r="Q21" s="394"/>
      <c r="R21" s="501"/>
      <c r="S21" s="501"/>
      <c r="T21" s="501"/>
      <c r="U21" s="502"/>
      <c r="V21" s="22"/>
    </row>
    <row r="22" spans="2:25" ht="20.149999999999999" customHeight="1" x14ac:dyDescent="0.3">
      <c r="B22" s="174"/>
      <c r="C22" s="41"/>
      <c r="D22" s="172"/>
      <c r="E22" s="387" t="s">
        <v>533</v>
      </c>
      <c r="F22" s="388"/>
      <c r="G22" s="388"/>
      <c r="H22" s="388"/>
      <c r="I22" s="388"/>
      <c r="J22" s="388"/>
      <c r="K22" s="388"/>
      <c r="L22" s="388"/>
      <c r="M22" s="399"/>
      <c r="N22" s="392">
        <v>27195000</v>
      </c>
      <c r="O22" s="393"/>
      <c r="P22" s="393"/>
      <c r="Q22" s="394"/>
      <c r="R22" s="501"/>
      <c r="S22" s="501"/>
      <c r="T22" s="501"/>
      <c r="U22" s="502"/>
      <c r="V22" s="22"/>
    </row>
    <row r="23" spans="2:25" ht="20.149999999999999" customHeight="1" x14ac:dyDescent="0.3">
      <c r="B23" s="174"/>
      <c r="C23" s="41"/>
      <c r="D23" s="172"/>
      <c r="E23" s="387" t="s">
        <v>534</v>
      </c>
      <c r="F23" s="388"/>
      <c r="G23" s="388"/>
      <c r="H23" s="388"/>
      <c r="I23" s="388"/>
      <c r="J23" s="388"/>
      <c r="K23" s="388"/>
      <c r="L23" s="388"/>
      <c r="M23" s="399"/>
      <c r="N23" s="392">
        <v>12987000</v>
      </c>
      <c r="O23" s="393"/>
      <c r="P23" s="393"/>
      <c r="Q23" s="394"/>
      <c r="R23" s="215"/>
      <c r="S23" s="215"/>
      <c r="T23" s="215"/>
      <c r="U23" s="216"/>
      <c r="V23" s="22"/>
    </row>
    <row r="24" spans="2:25" ht="20.149999999999999" customHeight="1" x14ac:dyDescent="0.3">
      <c r="B24" s="174"/>
      <c r="C24" s="41"/>
      <c r="D24" s="172"/>
      <c r="E24" s="387" t="s">
        <v>535</v>
      </c>
      <c r="F24" s="388"/>
      <c r="G24" s="388"/>
      <c r="H24" s="388"/>
      <c r="I24" s="388"/>
      <c r="J24" s="388"/>
      <c r="K24" s="388"/>
      <c r="L24" s="388"/>
      <c r="M24" s="399"/>
      <c r="N24" s="392">
        <v>19758000</v>
      </c>
      <c r="O24" s="393"/>
      <c r="P24" s="393"/>
      <c r="Q24" s="394"/>
      <c r="R24" s="215"/>
      <c r="S24" s="215"/>
      <c r="T24" s="215"/>
      <c r="U24" s="216"/>
      <c r="V24" s="22"/>
    </row>
    <row r="25" spans="2:25" ht="20.149999999999999" customHeight="1" thickBot="1" x14ac:dyDescent="0.35">
      <c r="B25" s="174"/>
      <c r="C25" s="41"/>
      <c r="D25" s="172"/>
      <c r="E25" s="387" t="s">
        <v>536</v>
      </c>
      <c r="F25" s="388"/>
      <c r="G25" s="388"/>
      <c r="H25" s="388"/>
      <c r="I25" s="388"/>
      <c r="J25" s="388"/>
      <c r="K25" s="388"/>
      <c r="L25" s="388"/>
      <c r="M25" s="399"/>
      <c r="N25" s="429">
        <v>27195000</v>
      </c>
      <c r="O25" s="430"/>
      <c r="P25" s="430"/>
      <c r="Q25" s="431"/>
      <c r="R25" s="215"/>
      <c r="S25" s="215"/>
      <c r="T25" s="215"/>
      <c r="U25" s="216"/>
      <c r="V25" s="22"/>
    </row>
    <row r="26" spans="2:25" s="22" customFormat="1" ht="20.149999999999999" customHeight="1" x14ac:dyDescent="0.3">
      <c r="B26" s="169"/>
      <c r="C26" s="41"/>
      <c r="D26" s="172"/>
      <c r="E26" s="83"/>
      <c r="F26" s="83"/>
      <c r="G26" s="83"/>
      <c r="H26" s="83"/>
      <c r="I26" s="83"/>
      <c r="J26" s="83"/>
      <c r="K26" s="494" t="s">
        <v>158</v>
      </c>
      <c r="L26" s="494"/>
      <c r="M26" s="495"/>
      <c r="N26" s="425">
        <f>SUM(N18:Q25)</f>
        <v>195249000</v>
      </c>
      <c r="O26" s="423"/>
      <c r="P26" s="423"/>
      <c r="Q26" s="424"/>
      <c r="R26" s="496"/>
      <c r="S26" s="497"/>
      <c r="T26" s="497"/>
      <c r="U26" s="498"/>
    </row>
    <row r="27" spans="2:25" ht="20.149999999999999" customHeight="1" x14ac:dyDescent="0.3">
      <c r="B27" s="447" t="s">
        <v>160</v>
      </c>
      <c r="C27" s="456"/>
      <c r="D27" s="457"/>
      <c r="E27" s="499" t="s">
        <v>161</v>
      </c>
      <c r="F27" s="500"/>
      <c r="G27" s="500"/>
      <c r="H27" s="500"/>
      <c r="I27" s="83"/>
      <c r="J27" s="393">
        <f>-N26/1.11*11%</f>
        <v>-19348999.999999996</v>
      </c>
      <c r="K27" s="393"/>
      <c r="L27" s="393"/>
      <c r="M27" s="394"/>
      <c r="Q27" s="6"/>
      <c r="R27" s="501"/>
      <c r="S27" s="501"/>
      <c r="T27" s="501"/>
      <c r="U27" s="502"/>
      <c r="V27" s="22"/>
    </row>
    <row r="28" spans="2:25" ht="20.149999999999999" customHeight="1" x14ac:dyDescent="0.3">
      <c r="B28" s="485"/>
      <c r="C28" s="486"/>
      <c r="D28" s="487"/>
      <c r="E28" s="488" t="s">
        <v>163</v>
      </c>
      <c r="F28" s="489"/>
      <c r="G28" s="489"/>
      <c r="H28" s="489"/>
      <c r="I28" s="489"/>
      <c r="J28" s="34"/>
      <c r="K28" s="417">
        <f>N26+J27</f>
        <v>175900000</v>
      </c>
      <c r="L28" s="417"/>
      <c r="M28" s="418"/>
      <c r="N28" s="425"/>
      <c r="O28" s="423"/>
      <c r="P28" s="423"/>
      <c r="Q28" s="424"/>
      <c r="U28" s="30"/>
      <c r="V28" s="24"/>
    </row>
    <row r="29" spans="2:25" ht="20.149999999999999" customHeight="1" x14ac:dyDescent="0.3">
      <c r="B29" s="447" t="s">
        <v>162</v>
      </c>
      <c r="C29" s="456"/>
      <c r="D29" s="457"/>
      <c r="E29" s="460" t="s">
        <v>164</v>
      </c>
      <c r="F29" s="461"/>
      <c r="G29" s="461"/>
      <c r="H29" s="461"/>
      <c r="I29" s="461"/>
      <c r="J29" s="461"/>
      <c r="K29" s="461"/>
      <c r="L29" s="461"/>
      <c r="M29" s="462"/>
      <c r="N29" s="465">
        <f>-K28*2%</f>
        <v>-3518000</v>
      </c>
      <c r="O29" s="465"/>
      <c r="P29" s="465"/>
      <c r="Q29" s="466"/>
      <c r="R29" s="24">
        <f>3710562-145000-145000</f>
        <v>3420562</v>
      </c>
      <c r="U29" s="30"/>
      <c r="V29" s="24"/>
    </row>
    <row r="30" spans="2:25" ht="20.149999999999999" customHeight="1" x14ac:dyDescent="0.3">
      <c r="B30" s="11"/>
      <c r="C30" s="27"/>
      <c r="D30" s="175"/>
      <c r="E30" s="176"/>
      <c r="F30" s="176"/>
      <c r="G30" s="176"/>
      <c r="H30" s="176"/>
      <c r="I30" s="176"/>
      <c r="J30" s="176"/>
      <c r="K30" s="176"/>
      <c r="L30" s="176"/>
      <c r="M30" s="175"/>
      <c r="N30" s="10"/>
      <c r="O30" s="10"/>
      <c r="P30" s="10"/>
      <c r="Q30" s="12"/>
      <c r="U30" s="30"/>
      <c r="V30" s="482">
        <v>110155442</v>
      </c>
      <c r="W30" s="483"/>
      <c r="X30" s="483"/>
      <c r="Y30" s="484"/>
    </row>
    <row r="31" spans="2:25" ht="20.149999999999999" customHeight="1" x14ac:dyDescent="0.3">
      <c r="B31" s="11"/>
      <c r="C31" s="27"/>
      <c r="D31" s="173"/>
      <c r="E31" s="34"/>
      <c r="F31" s="34"/>
      <c r="G31" s="34"/>
      <c r="H31" s="34"/>
      <c r="I31" s="44"/>
      <c r="J31" s="34"/>
      <c r="K31" s="34"/>
      <c r="L31" s="34"/>
      <c r="M31" s="28"/>
      <c r="N31" s="490"/>
      <c r="O31" s="490"/>
      <c r="P31" s="490"/>
      <c r="Q31" s="491"/>
      <c r="U31" s="30"/>
      <c r="V31" s="482">
        <v>-110155871</v>
      </c>
      <c r="W31" s="483"/>
      <c r="X31" s="483"/>
      <c r="Y31" s="484"/>
    </row>
    <row r="32" spans="2:25" ht="20.149999999999999" customHeight="1" thickBot="1" x14ac:dyDescent="0.35">
      <c r="B32" s="177"/>
      <c r="C32" s="178"/>
      <c r="D32" s="179"/>
      <c r="E32" s="178"/>
      <c r="F32" s="178"/>
      <c r="G32" s="178"/>
      <c r="H32" s="178"/>
      <c r="I32" s="178"/>
      <c r="J32" s="178"/>
      <c r="K32" s="178"/>
      <c r="L32" s="178"/>
      <c r="M32" s="179"/>
      <c r="N32" s="492"/>
      <c r="O32" s="492"/>
      <c r="P32" s="492"/>
      <c r="Q32" s="493"/>
      <c r="R32" s="24">
        <v>7892100</v>
      </c>
      <c r="U32" s="30"/>
      <c r="V32" s="482">
        <f>V30+V31</f>
        <v>-429</v>
      </c>
      <c r="W32" s="483"/>
      <c r="X32" s="483"/>
      <c r="Y32" s="484"/>
    </row>
    <row r="33" spans="2:25" x14ac:dyDescent="0.3">
      <c r="B33" s="5"/>
      <c r="Q33" s="6"/>
      <c r="R33" s="24">
        <v>7892100</v>
      </c>
      <c r="U33" s="30"/>
      <c r="V33" s="482"/>
      <c r="W33" s="483"/>
      <c r="X33" s="483"/>
      <c r="Y33" s="484"/>
    </row>
    <row r="34" spans="2:25" x14ac:dyDescent="0.3">
      <c r="B34" s="5"/>
      <c r="J34" s="471" t="s">
        <v>9</v>
      </c>
      <c r="K34" s="471"/>
      <c r="L34" s="471"/>
      <c r="M34" s="471"/>
      <c r="N34" s="472">
        <f>N26+N29</f>
        <v>191731000</v>
      </c>
      <c r="O34" s="472"/>
      <c r="P34" s="472"/>
      <c r="Q34" s="473"/>
      <c r="R34" s="24">
        <v>7892100</v>
      </c>
      <c r="U34" s="30"/>
      <c r="V34" s="24"/>
    </row>
    <row r="35" spans="2:25" x14ac:dyDescent="0.3">
      <c r="B35" s="5"/>
      <c r="N35" s="4" t="s">
        <v>22</v>
      </c>
      <c r="Q35" s="6"/>
      <c r="R35" s="24">
        <v>7892100</v>
      </c>
      <c r="U35" s="30"/>
      <c r="V35" s="24">
        <f t="shared" ref="V35:V40" si="0">T35*U35</f>
        <v>0</v>
      </c>
    </row>
    <row r="36" spans="2:25" s="18" customFormat="1" ht="31.5" customHeight="1" x14ac:dyDescent="0.3">
      <c r="B36" s="16"/>
      <c r="D36" s="17" t="s">
        <v>13</v>
      </c>
      <c r="E36" s="474" t="s">
        <v>537</v>
      </c>
      <c r="F36" s="474"/>
      <c r="G36" s="474"/>
      <c r="H36" s="474"/>
      <c r="I36" s="474"/>
      <c r="J36" s="474"/>
      <c r="K36" s="474"/>
      <c r="L36" s="474"/>
      <c r="M36" s="474"/>
      <c r="N36" s="474"/>
      <c r="O36" s="474"/>
      <c r="P36" s="474"/>
      <c r="Q36" s="475"/>
      <c r="R36" s="114">
        <f>SUM(R28:R35)</f>
        <v>34988962</v>
      </c>
      <c r="S36" s="47"/>
      <c r="T36" s="23"/>
      <c r="U36" s="31"/>
      <c r="V36" s="24">
        <f>T36*U36</f>
        <v>0</v>
      </c>
    </row>
    <row r="37" spans="2:25" ht="9.75" customHeight="1" x14ac:dyDescent="0.3">
      <c r="B37" s="5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Q37" s="6"/>
      <c r="U37" s="30"/>
      <c r="V37" s="24">
        <f t="shared" si="0"/>
        <v>0</v>
      </c>
    </row>
    <row r="38" spans="2:25" x14ac:dyDescent="0.3">
      <c r="B38" s="5"/>
      <c r="D38" s="10"/>
      <c r="E38" s="10"/>
      <c r="F38" s="10"/>
      <c r="G38" s="10"/>
      <c r="H38" s="10"/>
      <c r="I38" s="10" t="s">
        <v>22</v>
      </c>
      <c r="J38" s="10"/>
      <c r="K38" s="10"/>
      <c r="L38" s="10"/>
      <c r="M38" s="10"/>
      <c r="N38" s="10"/>
      <c r="Q38" s="6"/>
      <c r="R38" s="24">
        <f>-R36/1.11*2%</f>
        <v>-630431.74774774769</v>
      </c>
      <c r="U38" s="30"/>
      <c r="V38" s="24">
        <f t="shared" si="0"/>
        <v>0</v>
      </c>
    </row>
    <row r="39" spans="2:25" x14ac:dyDescent="0.3">
      <c r="B39" s="5"/>
      <c r="D39" s="10" t="s">
        <v>11</v>
      </c>
      <c r="E39" s="476">
        <f>I10</f>
        <v>45992</v>
      </c>
      <c r="F39" s="476"/>
      <c r="G39" s="476"/>
      <c r="I39" s="14" t="s">
        <v>10</v>
      </c>
      <c r="J39" s="10"/>
      <c r="K39" s="10"/>
      <c r="L39" s="10"/>
      <c r="M39" s="477" t="s">
        <v>12</v>
      </c>
      <c r="N39" s="477"/>
      <c r="O39" s="478"/>
      <c r="P39" s="478"/>
      <c r="Q39" s="479"/>
      <c r="U39" s="30"/>
      <c r="V39" s="24">
        <f t="shared" si="0"/>
        <v>0</v>
      </c>
    </row>
    <row r="40" spans="2:25" x14ac:dyDescent="0.3">
      <c r="B40" s="5"/>
      <c r="Q40" s="6"/>
      <c r="U40" s="30"/>
      <c r="V40" s="24">
        <f t="shared" si="0"/>
        <v>0</v>
      </c>
    </row>
    <row r="41" spans="2:25" x14ac:dyDescent="0.3">
      <c r="B41" s="5"/>
      <c r="Q41" s="6"/>
      <c r="U41" s="30"/>
      <c r="V41" s="24">
        <f>SUM(V28:V40)</f>
        <v>-858</v>
      </c>
    </row>
    <row r="42" spans="2:25" x14ac:dyDescent="0.3">
      <c r="B42" s="5"/>
      <c r="Q42" s="6"/>
      <c r="S42" s="48"/>
      <c r="U42" s="30"/>
      <c r="V42" s="24"/>
    </row>
    <row r="43" spans="2:25" ht="12" customHeight="1" x14ac:dyDescent="0.3">
      <c r="B43" s="5"/>
      <c r="Q43" s="6"/>
      <c r="U43" s="30"/>
      <c r="V43" s="24"/>
    </row>
    <row r="44" spans="2:25" x14ac:dyDescent="0.3">
      <c r="B44" s="5"/>
      <c r="Q44" s="6"/>
      <c r="U44" s="30"/>
    </row>
    <row r="45" spans="2:25" x14ac:dyDescent="0.3">
      <c r="B45" s="5"/>
      <c r="C45" s="4" t="s">
        <v>15</v>
      </c>
      <c r="D45" s="478" t="s">
        <v>377</v>
      </c>
      <c r="E45" s="478"/>
      <c r="F45" s="4" t="s">
        <v>16</v>
      </c>
      <c r="H45" s="19" t="s">
        <v>15</v>
      </c>
      <c r="I45" s="110" t="s">
        <v>373</v>
      </c>
      <c r="J45" s="112" t="s">
        <v>16</v>
      </c>
      <c r="L45" s="4" t="s">
        <v>15</v>
      </c>
      <c r="M45" s="478" t="s">
        <v>312</v>
      </c>
      <c r="N45" s="478"/>
      <c r="O45" s="478"/>
      <c r="P45" s="111" t="s">
        <v>16</v>
      </c>
      <c r="Q45" s="6"/>
      <c r="U45" s="30"/>
    </row>
    <row r="46" spans="2:25" ht="7.5" customHeight="1" thickBot="1" x14ac:dyDescent="0.35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S46" s="49"/>
      <c r="U46" s="30"/>
    </row>
    <row r="47" spans="2:25" x14ac:dyDescent="0.3">
      <c r="S47" s="49">
        <v>4489649</v>
      </c>
      <c r="U47" s="30"/>
    </row>
    <row r="48" spans="2:25" x14ac:dyDescent="0.3">
      <c r="S48" s="49">
        <v>2944612</v>
      </c>
      <c r="U48" s="30"/>
    </row>
    <row r="49" spans="2:22" x14ac:dyDescent="0.3">
      <c r="S49" s="49">
        <v>3432872</v>
      </c>
      <c r="U49" s="30"/>
    </row>
    <row r="50" spans="2:22" x14ac:dyDescent="0.3">
      <c r="S50" s="49">
        <f>SUM(S47:S49)</f>
        <v>10867133</v>
      </c>
      <c r="U50" s="30"/>
      <c r="V50" s="26">
        <f>U50-S50</f>
        <v>-10867133</v>
      </c>
    </row>
    <row r="51" spans="2:22" x14ac:dyDescent="0.3">
      <c r="S51" s="49"/>
      <c r="U51" s="30"/>
    </row>
    <row r="52" spans="2:22" x14ac:dyDescent="0.3">
      <c r="S52" s="49"/>
      <c r="U52" s="30"/>
    </row>
    <row r="53" spans="2:22" x14ac:dyDescent="0.3">
      <c r="S53" s="49">
        <v>16686135</v>
      </c>
      <c r="U53" s="30"/>
    </row>
    <row r="54" spans="2:22" x14ac:dyDescent="0.3">
      <c r="S54" s="49">
        <v>19452942</v>
      </c>
      <c r="U54" s="30"/>
      <c r="V54" s="4">
        <v>874500</v>
      </c>
    </row>
    <row r="55" spans="2:22" x14ac:dyDescent="0.3">
      <c r="S55" s="49">
        <v>25498845</v>
      </c>
      <c r="U55" s="30"/>
      <c r="V55" s="4">
        <v>1080000</v>
      </c>
    </row>
    <row r="56" spans="2:22" s="22" customFormat="1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4"/>
      <c r="S56" s="49"/>
      <c r="U56" s="30"/>
      <c r="V56" s="4">
        <f>V54+V55</f>
        <v>1954500</v>
      </c>
    </row>
    <row r="57" spans="2:22" x14ac:dyDescent="0.3">
      <c r="E57" s="43"/>
      <c r="F57" s="33" t="s">
        <v>125</v>
      </c>
      <c r="G57" s="35"/>
      <c r="H57" s="35"/>
      <c r="I57" s="35"/>
      <c r="J57" s="35"/>
      <c r="K57" s="35"/>
      <c r="L57" s="35"/>
      <c r="M57" s="35"/>
      <c r="N57" s="35"/>
      <c r="O57" s="36"/>
      <c r="P57" s="480"/>
      <c r="Q57" s="480"/>
      <c r="R57" s="480"/>
      <c r="S57" s="481"/>
      <c r="U57" s="30"/>
    </row>
    <row r="58" spans="2:22" x14ac:dyDescent="0.3">
      <c r="E58" s="41"/>
      <c r="F58" s="33"/>
      <c r="G58" s="35"/>
      <c r="H58" s="35"/>
      <c r="I58" s="35"/>
      <c r="J58" s="35"/>
      <c r="K58" s="35"/>
      <c r="L58" s="35"/>
      <c r="M58" s="35"/>
      <c r="N58" s="35"/>
      <c r="O58" s="36"/>
      <c r="P58" s="392"/>
      <c r="Q58" s="393"/>
      <c r="R58" s="393"/>
      <c r="S58" s="394"/>
      <c r="U58" s="30"/>
    </row>
    <row r="59" spans="2:22" ht="15" x14ac:dyDescent="0.3">
      <c r="E59" s="41" t="s">
        <v>20</v>
      </c>
      <c r="F59" s="33" t="s">
        <v>93</v>
      </c>
      <c r="G59" s="77"/>
      <c r="H59" s="77"/>
      <c r="I59" s="77"/>
      <c r="J59" s="77"/>
      <c r="K59" s="77"/>
      <c r="L59" s="78"/>
      <c r="M59" s="78"/>
      <c r="N59" s="78"/>
      <c r="O59" s="79"/>
      <c r="P59" s="392">
        <v>123093450</v>
      </c>
      <c r="Q59" s="393"/>
      <c r="R59" s="393"/>
      <c r="S59" s="394"/>
      <c r="U59" s="30"/>
    </row>
    <row r="60" spans="2:22" x14ac:dyDescent="0.3">
      <c r="E60" s="33" t="s">
        <v>20</v>
      </c>
      <c r="F60" s="80" t="s">
        <v>94</v>
      </c>
      <c r="G60" s="35"/>
      <c r="H60" s="35"/>
      <c r="I60" s="35"/>
      <c r="J60" s="35"/>
      <c r="K60" s="35"/>
      <c r="L60" s="35"/>
      <c r="M60" s="35"/>
      <c r="N60" s="35"/>
      <c r="O60" s="36"/>
      <c r="P60" s="392">
        <v>168814350</v>
      </c>
      <c r="Q60" s="393"/>
      <c r="R60" s="393"/>
      <c r="S60" s="394"/>
    </row>
    <row r="61" spans="2:22" ht="15.5" x14ac:dyDescent="0.3">
      <c r="E61" s="41" t="s">
        <v>20</v>
      </c>
      <c r="F61" s="33" t="s">
        <v>95</v>
      </c>
      <c r="L61" s="81"/>
      <c r="M61" s="81"/>
      <c r="N61" s="81"/>
      <c r="O61" s="81"/>
      <c r="P61" s="392">
        <v>36297000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27"/>
      <c r="H62" s="27"/>
      <c r="I62" s="27"/>
      <c r="J62" s="27"/>
      <c r="K62" s="27"/>
      <c r="L62" s="81"/>
      <c r="M62" s="81"/>
      <c r="N62" s="81"/>
      <c r="O62" s="82"/>
      <c r="P62" s="392">
        <v>7892100</v>
      </c>
      <c r="Q62" s="393"/>
      <c r="R62" s="393"/>
      <c r="S62" s="394"/>
    </row>
    <row r="63" spans="2:22" ht="15.5" x14ac:dyDescent="0.3">
      <c r="E63" s="41" t="s">
        <v>20</v>
      </c>
      <c r="F63" s="80" t="s">
        <v>96</v>
      </c>
      <c r="G63" s="83"/>
      <c r="H63" s="83"/>
      <c r="I63" s="83"/>
      <c r="J63" s="83"/>
      <c r="K63" s="83"/>
      <c r="L63" s="83"/>
      <c r="M63" s="83"/>
      <c r="N63" s="83"/>
      <c r="O63" s="6"/>
      <c r="P63" s="393">
        <v>7892100</v>
      </c>
      <c r="Q63" s="393"/>
      <c r="R63" s="393"/>
      <c r="S63" s="393"/>
    </row>
    <row r="64" spans="2:22" ht="16" thickBot="1" x14ac:dyDescent="0.35">
      <c r="F64" s="33"/>
      <c r="G64" s="83"/>
      <c r="H64" s="83"/>
      <c r="I64" s="83"/>
      <c r="J64" s="83"/>
      <c r="K64" s="83"/>
      <c r="L64" s="83"/>
      <c r="M64" s="83"/>
      <c r="N64" s="83"/>
      <c r="O64" s="6"/>
      <c r="P64" s="429"/>
      <c r="Q64" s="430"/>
      <c r="R64" s="430"/>
      <c r="S64" s="431"/>
    </row>
    <row r="65" spans="5:21" ht="15.5" x14ac:dyDescent="0.3">
      <c r="E65" s="41"/>
      <c r="F65" s="33"/>
      <c r="G65" s="27"/>
      <c r="H65" s="27"/>
      <c r="I65" s="27"/>
      <c r="J65" s="27"/>
      <c r="K65" s="34"/>
      <c r="L65" s="34"/>
      <c r="M65" s="34"/>
      <c r="N65" s="34"/>
      <c r="O65" s="84"/>
      <c r="P65" s="425">
        <f>P58+P59+P60+P61+P62+P63+P64</f>
        <v>343989000</v>
      </c>
      <c r="Q65" s="423"/>
      <c r="R65" s="423"/>
      <c r="S65" s="424"/>
    </row>
    <row r="66" spans="5:21" x14ac:dyDescent="0.3">
      <c r="E66" s="25"/>
      <c r="F66" s="37"/>
      <c r="G66" s="34"/>
      <c r="H66" s="34"/>
      <c r="I66" s="34"/>
      <c r="J66" s="34"/>
      <c r="K66" s="469" t="s">
        <v>68</v>
      </c>
      <c r="L66" s="469"/>
      <c r="M66" s="469"/>
      <c r="N66" s="469"/>
      <c r="O66" s="470"/>
      <c r="P66" s="465">
        <f>-P65/1.11*2%</f>
        <v>-6198000</v>
      </c>
      <c r="Q66" s="465"/>
      <c r="R66" s="465"/>
      <c r="S66" s="466"/>
    </row>
    <row r="67" spans="5:21" ht="15" x14ac:dyDescent="0.3">
      <c r="E67" s="27"/>
      <c r="F67" s="467"/>
      <c r="G67" s="467"/>
      <c r="H67" s="467"/>
      <c r="I67" s="467"/>
      <c r="J67" s="467"/>
      <c r="K67" s="467"/>
      <c r="L67" s="467"/>
      <c r="M67" s="467"/>
      <c r="N67" s="467"/>
      <c r="O67" s="468"/>
      <c r="R67" s="4"/>
      <c r="S67" s="4"/>
    </row>
    <row r="69" spans="5:21" x14ac:dyDescent="0.3">
      <c r="U69" s="32"/>
    </row>
  </sheetData>
  <mergeCells count="74">
    <mergeCell ref="E25:M25"/>
    <mergeCell ref="N25:Q25"/>
    <mergeCell ref="V33:Y33"/>
    <mergeCell ref="V30:Y30"/>
    <mergeCell ref="N31:Q31"/>
    <mergeCell ref="V31:Y31"/>
    <mergeCell ref="N32:Q32"/>
    <mergeCell ref="V32:Y32"/>
    <mergeCell ref="R27:U27"/>
    <mergeCell ref="N28:Q28"/>
    <mergeCell ref="N29:Q29"/>
    <mergeCell ref="K28:M28"/>
    <mergeCell ref="E29:M29"/>
    <mergeCell ref="E21:M21"/>
    <mergeCell ref="N21:Q21"/>
    <mergeCell ref="N24:Q24"/>
    <mergeCell ref="E24:M24"/>
    <mergeCell ref="N22:Q22"/>
    <mergeCell ref="N23:Q23"/>
    <mergeCell ref="E22:M22"/>
    <mergeCell ref="E23:M23"/>
    <mergeCell ref="N19:Q19"/>
    <mergeCell ref="R21:U21"/>
    <mergeCell ref="N20:Q20"/>
    <mergeCell ref="R22:U22"/>
    <mergeCell ref="N26:Q26"/>
    <mergeCell ref="R26:U26"/>
    <mergeCell ref="I12:N12"/>
    <mergeCell ref="I13:N13"/>
    <mergeCell ref="N15:Q15"/>
    <mergeCell ref="N16:Q16"/>
    <mergeCell ref="N18:Q18"/>
    <mergeCell ref="D3:O3"/>
    <mergeCell ref="I7:M7"/>
    <mergeCell ref="I9:N9"/>
    <mergeCell ref="I10:N10"/>
    <mergeCell ref="I11:N11"/>
    <mergeCell ref="P65:S65"/>
    <mergeCell ref="K66:O66"/>
    <mergeCell ref="P66:S66"/>
    <mergeCell ref="P57:S57"/>
    <mergeCell ref="P58:S58"/>
    <mergeCell ref="P59:S59"/>
    <mergeCell ref="P60:S60"/>
    <mergeCell ref="P61:S61"/>
    <mergeCell ref="P62:S62"/>
    <mergeCell ref="P63:S63"/>
    <mergeCell ref="P64:S64"/>
    <mergeCell ref="N34:Q34"/>
    <mergeCell ref="E36:Q36"/>
    <mergeCell ref="E39:G39"/>
    <mergeCell ref="M39:N39"/>
    <mergeCell ref="O39:Q39"/>
    <mergeCell ref="B29:D29"/>
    <mergeCell ref="E27:H27"/>
    <mergeCell ref="E28:I28"/>
    <mergeCell ref="J27:M27"/>
    <mergeCell ref="J34:M34"/>
    <mergeCell ref="F67:O67"/>
    <mergeCell ref="B15:D15"/>
    <mergeCell ref="E15:M15"/>
    <mergeCell ref="E17:M17"/>
    <mergeCell ref="B17:D17"/>
    <mergeCell ref="B19:D19"/>
    <mergeCell ref="B18:D18"/>
    <mergeCell ref="E18:M18"/>
    <mergeCell ref="E19:M19"/>
    <mergeCell ref="E20:M20"/>
    <mergeCell ref="K26:M26"/>
    <mergeCell ref="B27:D27"/>
    <mergeCell ref="B28:D28"/>
    <mergeCell ref="N17:Q17"/>
    <mergeCell ref="D45:E45"/>
    <mergeCell ref="M45:O45"/>
  </mergeCells>
  <printOptions horizontalCentered="1"/>
  <pageMargins left="0.38" right="0.47244094488188998" top="0.74803149606299202" bottom="0.37" header="0.31496062992126" footer="0.31496062992126"/>
  <pageSetup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68"/>
  <sheetViews>
    <sheetView showGridLines="0" view="pageBreakPreview" zoomScaleSheetLayoutView="100" workbookViewId="0">
      <selection activeCell="I8" sqref="I8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557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45993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240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7902500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20.149999999999999" customHeight="1" thickBot="1" x14ac:dyDescent="0.35">
      <c r="B17" s="485" t="s">
        <v>159</v>
      </c>
      <c r="C17" s="486"/>
      <c r="D17" s="487"/>
      <c r="E17" s="387" t="s">
        <v>287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539</v>
      </c>
      <c r="F18" s="388"/>
      <c r="G18" s="388"/>
      <c r="H18" s="388"/>
      <c r="I18" s="388"/>
      <c r="J18" s="388"/>
      <c r="K18" s="388"/>
      <c r="L18" s="388"/>
      <c r="M18" s="399"/>
      <c r="N18" s="392">
        <v>8047500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thickBot="1" x14ac:dyDescent="0.4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18" customFormat="1" ht="32.25" customHeight="1" thickBot="1" x14ac:dyDescent="0.4">
      <c r="B20" s="503"/>
      <c r="C20" s="504"/>
      <c r="D20" s="505"/>
      <c r="E20" s="515"/>
      <c r="F20" s="388"/>
      <c r="G20" s="388"/>
      <c r="H20" s="388"/>
      <c r="I20" s="388"/>
      <c r="J20" s="388"/>
      <c r="K20" s="388"/>
      <c r="L20" s="388"/>
      <c r="M20" s="399"/>
      <c r="N20" s="392"/>
      <c r="O20" s="393"/>
      <c r="P20" s="393"/>
      <c r="Q20" s="394"/>
      <c r="R20" s="496"/>
      <c r="S20" s="497"/>
      <c r="T20" s="497"/>
      <c r="U20" s="498"/>
      <c r="V20" s="23"/>
    </row>
    <row r="21" spans="1:25" s="18" customFormat="1" ht="32.25" customHeight="1" x14ac:dyDescent="0.35">
      <c r="A21" s="18" t="s">
        <v>20</v>
      </c>
      <c r="B21" s="503"/>
      <c r="C21" s="504"/>
      <c r="D21" s="505"/>
      <c r="E21" s="515"/>
      <c r="F21" s="388"/>
      <c r="G21" s="388"/>
      <c r="H21" s="388"/>
      <c r="I21" s="388"/>
      <c r="J21" s="388"/>
      <c r="K21" s="388"/>
      <c r="L21" s="388"/>
      <c r="M21" s="399"/>
      <c r="N21" s="392"/>
      <c r="O21" s="393"/>
      <c r="P21" s="393"/>
      <c r="Q21" s="394"/>
      <c r="R21" s="496"/>
      <c r="S21" s="497"/>
      <c r="T21" s="497"/>
      <c r="U21" s="498"/>
      <c r="V21" s="23"/>
    </row>
    <row r="22" spans="1:25" ht="20.149999999999999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8047500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-N25/1.11*11%</f>
        <v>-797499.99999999988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 t="s">
        <v>163</v>
      </c>
      <c r="F27" s="489"/>
      <c r="G27" s="489"/>
      <c r="H27" s="489"/>
      <c r="I27" s="489"/>
      <c r="J27" s="34"/>
      <c r="K27" s="417">
        <f>N25+J26</f>
        <v>7250000</v>
      </c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 t="s">
        <v>162</v>
      </c>
      <c r="C28" s="456"/>
      <c r="D28" s="457"/>
      <c r="E28" s="460" t="s">
        <v>164</v>
      </c>
      <c r="F28" s="461"/>
      <c r="G28" s="461"/>
      <c r="H28" s="461"/>
      <c r="I28" s="461"/>
      <c r="J28" s="461"/>
      <c r="K28" s="461"/>
      <c r="L28" s="461"/>
      <c r="M28" s="462"/>
      <c r="N28" s="465">
        <f>-K27*2%</f>
        <v>-145000</v>
      </c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/>
      <c r="K33" s="471"/>
      <c r="L33" s="471"/>
      <c r="M33" s="471"/>
      <c r="N33" s="472">
        <f>N25+N28</f>
        <v>7902500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540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45993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7">
    <mergeCell ref="F66:O66"/>
    <mergeCell ref="P60:S60"/>
    <mergeCell ref="P61:S61"/>
    <mergeCell ref="P62:S62"/>
    <mergeCell ref="P63:S63"/>
    <mergeCell ref="P64:S64"/>
    <mergeCell ref="K65:O65"/>
    <mergeCell ref="P65:S65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K25:M25"/>
    <mergeCell ref="N25:Q25"/>
    <mergeCell ref="R25:U25"/>
    <mergeCell ref="B26:D26"/>
    <mergeCell ref="E26:H26"/>
    <mergeCell ref="J26:M26"/>
    <mergeCell ref="R26:U26"/>
    <mergeCell ref="R19:U19"/>
    <mergeCell ref="E24:M24"/>
    <mergeCell ref="N24:Q24"/>
    <mergeCell ref="E20:M20"/>
    <mergeCell ref="N20:Q20"/>
    <mergeCell ref="R20:U20"/>
    <mergeCell ref="E21:M21"/>
    <mergeCell ref="N21:Q21"/>
    <mergeCell ref="R21:U21"/>
    <mergeCell ref="E22:M22"/>
    <mergeCell ref="N22:Q22"/>
    <mergeCell ref="R22:U22"/>
    <mergeCell ref="E23:M23"/>
    <mergeCell ref="N23:Q23"/>
    <mergeCell ref="N16:Q16"/>
    <mergeCell ref="B18:D18"/>
    <mergeCell ref="E18:M18"/>
    <mergeCell ref="N18:Q18"/>
    <mergeCell ref="R18:U18"/>
    <mergeCell ref="I12:N12"/>
    <mergeCell ref="I13:N13"/>
    <mergeCell ref="B15:D15"/>
    <mergeCell ref="E15:M15"/>
    <mergeCell ref="N15:Q15"/>
    <mergeCell ref="D3:O3"/>
    <mergeCell ref="I7:M7"/>
    <mergeCell ref="I9:N9"/>
    <mergeCell ref="I10:N10"/>
    <mergeCell ref="I11:N11"/>
    <mergeCell ref="B20:D20"/>
    <mergeCell ref="B21:D21"/>
    <mergeCell ref="B17:D17"/>
    <mergeCell ref="E17:M17"/>
    <mergeCell ref="N17:Q17"/>
    <mergeCell ref="B19:D19"/>
    <mergeCell ref="E19:M19"/>
    <mergeCell ref="N19:Q19"/>
  </mergeCells>
  <printOptions horizontalCentered="1"/>
  <pageMargins left="0.38" right="0.47244094488188998" top="0.74803149606299202" bottom="0.37" header="0.31496062992126" footer="0.31496062992126"/>
  <pageSetup scale="8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4E37-396B-4850-8420-B08322016447}">
  <sheetPr codeName="Sheet11"/>
  <dimension ref="A1:Z59"/>
  <sheetViews>
    <sheetView showGridLines="0" view="pageBreakPreview" topLeftCell="A4" zoomScaleSheetLayoutView="100" workbookViewId="0">
      <selection activeCell="E36" sqref="E36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8.453125" style="134" bestFit="1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516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 t="s">
        <v>87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45957</v>
      </c>
      <c r="J10" s="436"/>
      <c r="K10" s="436"/>
      <c r="L10" s="436"/>
      <c r="M10" s="436"/>
      <c r="N10" s="436"/>
      <c r="O10" s="89"/>
      <c r="P10" s="89"/>
      <c r="Q10" s="88"/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378</v>
      </c>
      <c r="J11" s="437"/>
      <c r="K11" s="437"/>
      <c r="L11" s="437"/>
      <c r="M11" s="437"/>
      <c r="N11" s="437"/>
      <c r="O11" s="89"/>
      <c r="P11" s="89"/>
      <c r="Q11" s="88"/>
      <c r="R11" s="132"/>
      <c r="S11" s="253"/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15872002</v>
      </c>
      <c r="J12" s="438"/>
      <c r="K12" s="438"/>
      <c r="L12" s="438"/>
      <c r="M12" s="438"/>
      <c r="N12" s="438"/>
      <c r="O12" s="89"/>
      <c r="P12" s="89" t="s">
        <v>22</v>
      </c>
      <c r="Q12" s="88"/>
      <c r="R12" s="127">
        <f>629250*12%</f>
        <v>75510</v>
      </c>
      <c r="S12" s="252"/>
      <c r="U12" s="133"/>
      <c r="V12" s="136"/>
    </row>
    <row r="13" spans="1:25" ht="24" customHeight="1" thickBot="1" x14ac:dyDescent="0.35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132">
        <f>629250+R12</f>
        <v>704760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168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33"/>
      <c r="S15" s="128"/>
      <c r="T15" s="128"/>
      <c r="U15" s="138"/>
      <c r="V15" s="234"/>
      <c r="W15" s="140"/>
    </row>
    <row r="16" spans="1:25" ht="12.75" customHeight="1" thickBot="1" x14ac:dyDescent="0.35">
      <c r="A16" s="141"/>
      <c r="B16" s="109"/>
      <c r="C16" s="109"/>
      <c r="D16" s="146"/>
      <c r="E16" s="271"/>
      <c r="J16" s="86"/>
      <c r="K16" s="86"/>
      <c r="L16" s="86"/>
      <c r="M16" s="86"/>
      <c r="N16" s="446"/>
      <c r="O16" s="444"/>
      <c r="P16" s="444"/>
      <c r="Q16" s="445"/>
      <c r="R16" s="168"/>
      <c r="S16" s="143"/>
      <c r="T16" s="143"/>
      <c r="V16" s="136"/>
    </row>
    <row r="17" spans="1:26" ht="29.25" customHeight="1" x14ac:dyDescent="0.3">
      <c r="A17" s="141"/>
      <c r="B17" s="453" t="s">
        <v>159</v>
      </c>
      <c r="C17" s="454"/>
      <c r="D17" s="455"/>
      <c r="E17" s="387" t="s">
        <v>517</v>
      </c>
      <c r="F17" s="388"/>
      <c r="G17" s="388"/>
      <c r="H17" s="388"/>
      <c r="I17" s="388"/>
      <c r="J17" s="388"/>
      <c r="K17" s="388"/>
      <c r="L17" s="388"/>
      <c r="M17" s="399"/>
      <c r="N17" s="450">
        <v>15872002</v>
      </c>
      <c r="O17" s="451"/>
      <c r="P17" s="451"/>
      <c r="Q17" s="452"/>
      <c r="R17" s="270"/>
      <c r="V17" s="136"/>
    </row>
    <row r="18" spans="1:26" ht="23.25" customHeight="1" thickBot="1" x14ac:dyDescent="0.35">
      <c r="A18" s="141" t="s">
        <v>22</v>
      </c>
      <c r="B18" s="453" t="s">
        <v>160</v>
      </c>
      <c r="C18" s="454"/>
      <c r="D18" s="455"/>
      <c r="E18" s="499" t="s">
        <v>161</v>
      </c>
      <c r="F18" s="500"/>
      <c r="G18" s="500"/>
      <c r="H18" s="500"/>
      <c r="I18" s="500"/>
      <c r="J18" s="500"/>
      <c r="K18" s="500"/>
      <c r="L18" s="500"/>
      <c r="M18" s="378">
        <f>-N17/1.11*11%</f>
        <v>-1572901.0990990989</v>
      </c>
      <c r="N18" s="450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387"/>
      <c r="F19" s="388"/>
      <c r="G19" s="388"/>
      <c r="H19" s="388"/>
      <c r="I19" s="388"/>
      <c r="J19" s="388"/>
      <c r="K19" s="388"/>
      <c r="L19" s="388"/>
      <c r="M19" s="399"/>
      <c r="N19" s="450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329"/>
      <c r="N20" s="39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275"/>
      <c r="F21" s="34"/>
      <c r="G21" s="34"/>
      <c r="H21" s="34"/>
      <c r="I21" s="34"/>
      <c r="J21" s="34"/>
      <c r="K21" s="34"/>
      <c r="L21" s="34"/>
      <c r="M21" s="330"/>
      <c r="N21" s="450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275"/>
      <c r="F22" s="274"/>
      <c r="G22" s="274"/>
      <c r="H22" s="274"/>
      <c r="J22" s="274"/>
      <c r="K22" s="274"/>
      <c r="L22" s="274"/>
      <c r="M22" s="322"/>
      <c r="N22" s="392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60"/>
      <c r="F23" s="461"/>
      <c r="G23" s="461"/>
      <c r="H23" s="461"/>
      <c r="I23" s="461"/>
      <c r="J23" s="461"/>
      <c r="K23" s="461"/>
      <c r="L23" s="461"/>
      <c r="M23" s="462"/>
      <c r="N23" s="451"/>
      <c r="O23" s="451"/>
      <c r="P23" s="451"/>
      <c r="Q23" s="452"/>
      <c r="R23" s="214">
        <f>I12-22600000</f>
        <v>-6727998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450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388"/>
      <c r="N25" s="392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450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464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24"/>
      <c r="N28" s="392"/>
      <c r="O28" s="393"/>
      <c r="P28" s="393"/>
      <c r="Q28" s="394"/>
      <c r="R28" s="270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88"/>
      <c r="N29" s="392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1"/>
      <c r="N30" s="331"/>
      <c r="R30" s="332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463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15872002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11527998</v>
      </c>
    </row>
    <row r="35" spans="2:23" s="121" customFormat="1" ht="31.5" customHeight="1" x14ac:dyDescent="0.3">
      <c r="B35" s="160"/>
      <c r="D35" s="99" t="s">
        <v>13</v>
      </c>
      <c r="E35" s="409" t="s">
        <v>518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45957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0">
    <mergeCell ref="E35:Q35"/>
    <mergeCell ref="E38:G38"/>
    <mergeCell ref="M38:N38"/>
    <mergeCell ref="O38:Q38"/>
    <mergeCell ref="D44:E44"/>
    <mergeCell ref="M44:O44"/>
    <mergeCell ref="B30:D30"/>
    <mergeCell ref="E30:M30"/>
    <mergeCell ref="N31:Q31"/>
    <mergeCell ref="W32:Z32"/>
    <mergeCell ref="J33:M33"/>
    <mergeCell ref="N33:Q33"/>
    <mergeCell ref="B28:D28"/>
    <mergeCell ref="E28:I28"/>
    <mergeCell ref="N28:Q28"/>
    <mergeCell ref="B29:D29"/>
    <mergeCell ref="E29:M29"/>
    <mergeCell ref="N29:Q29"/>
    <mergeCell ref="B27:D27"/>
    <mergeCell ref="E27:M27"/>
    <mergeCell ref="N27:Q27"/>
    <mergeCell ref="B22:D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6:D26"/>
    <mergeCell ref="E26:M26"/>
    <mergeCell ref="N26:Q26"/>
    <mergeCell ref="B21:D21"/>
    <mergeCell ref="N21:Q21"/>
    <mergeCell ref="B17:D17"/>
    <mergeCell ref="E17:M17"/>
    <mergeCell ref="N17:Q17"/>
    <mergeCell ref="B18:D18"/>
    <mergeCell ref="N18:Q18"/>
    <mergeCell ref="B19:D19"/>
    <mergeCell ref="E19:M19"/>
    <mergeCell ref="N19:Q19"/>
    <mergeCell ref="E20:L20"/>
    <mergeCell ref="N20:Q20"/>
    <mergeCell ref="E18:H18"/>
    <mergeCell ref="I18:L18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66"/>
  <sheetViews>
    <sheetView showGridLines="0" view="pageBreakPreview" topLeftCell="B1" zoomScaleSheetLayoutView="100" workbookViewId="0">
      <selection activeCell="N16" sqref="N16:Q16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434" t="s">
        <v>542</v>
      </c>
      <c r="J7" s="434"/>
      <c r="K7" s="434"/>
      <c r="L7" s="434"/>
      <c r="M7" s="434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45995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113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N31</f>
        <v>37460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30" customHeight="1" thickBot="1" x14ac:dyDescent="0.35">
      <c r="B17" s="485"/>
      <c r="C17" s="486"/>
      <c r="D17" s="487"/>
      <c r="E17" s="387" t="s">
        <v>541</v>
      </c>
      <c r="F17" s="388"/>
      <c r="G17" s="388"/>
      <c r="H17" s="388"/>
      <c r="I17" s="388"/>
      <c r="J17" s="388"/>
      <c r="K17" s="388"/>
      <c r="L17" s="388"/>
      <c r="M17" s="399"/>
      <c r="N17" s="451"/>
      <c r="O17" s="451"/>
      <c r="P17" s="451"/>
      <c r="Q17" s="452"/>
      <c r="R17" s="170"/>
      <c r="U17" s="30"/>
    </row>
    <row r="18" spans="1:25" ht="20.149999999999999" customHeight="1" thickBot="1" x14ac:dyDescent="0.35">
      <c r="B18" s="503"/>
      <c r="C18" s="504"/>
      <c r="D18" s="505"/>
      <c r="E18" s="387" t="s">
        <v>199</v>
      </c>
      <c r="F18" s="388"/>
      <c r="G18" s="388"/>
      <c r="H18" s="388"/>
      <c r="I18" s="388"/>
      <c r="J18" s="426">
        <v>38216</v>
      </c>
      <c r="K18" s="426"/>
      <c r="L18" s="426"/>
      <c r="M18" s="427"/>
      <c r="N18" s="392"/>
      <c r="O18" s="393"/>
      <c r="P18" s="393"/>
      <c r="Q18" s="394"/>
      <c r="R18" s="480"/>
      <c r="S18" s="480"/>
      <c r="T18" s="480"/>
      <c r="U18" s="481"/>
      <c r="V18" s="45">
        <v>0.1</v>
      </c>
    </row>
    <row r="19" spans="1:25" s="18" customFormat="1" ht="20.149999999999999" customHeight="1" x14ac:dyDescent="0.35">
      <c r="B19" s="503"/>
      <c r="C19" s="504"/>
      <c r="D19" s="505"/>
      <c r="E19" s="197" t="s">
        <v>163</v>
      </c>
      <c r="F19" s="27"/>
      <c r="G19" s="27"/>
      <c r="H19" s="27"/>
      <c r="I19" s="27"/>
      <c r="J19" s="525">
        <v>37800</v>
      </c>
      <c r="K19" s="525"/>
      <c r="L19" s="525"/>
      <c r="M19" s="526"/>
      <c r="N19" s="392"/>
      <c r="O19" s="393"/>
      <c r="P19" s="393"/>
      <c r="Q19" s="394"/>
      <c r="R19" s="497"/>
      <c r="S19" s="497"/>
      <c r="T19" s="497"/>
      <c r="U19" s="498"/>
      <c r="V19" s="23"/>
    </row>
    <row r="20" spans="1:25" s="22" customFormat="1" ht="24.75" customHeight="1" x14ac:dyDescent="0.3">
      <c r="B20" s="530" t="s">
        <v>162</v>
      </c>
      <c r="C20" s="531"/>
      <c r="D20" s="532"/>
      <c r="E20" s="387" t="s">
        <v>427</v>
      </c>
      <c r="F20" s="388"/>
      <c r="G20" s="388"/>
      <c r="H20" s="388"/>
      <c r="I20" s="388"/>
      <c r="J20" s="426">
        <f>-J19*2%</f>
        <v>-756</v>
      </c>
      <c r="K20" s="426"/>
      <c r="L20" s="426"/>
      <c r="M20" s="427"/>
      <c r="N20" s="392"/>
      <c r="O20" s="393"/>
      <c r="P20" s="393"/>
      <c r="Q20" s="394"/>
      <c r="R20" s="480"/>
      <c r="S20" s="480"/>
      <c r="T20" s="480"/>
      <c r="U20" s="481"/>
    </row>
    <row r="21" spans="1:25" ht="20.149999999999999" customHeight="1" x14ac:dyDescent="0.3">
      <c r="A21" s="4" t="s">
        <v>20</v>
      </c>
      <c r="B21" s="485" t="s">
        <v>159</v>
      </c>
      <c r="C21" s="486"/>
      <c r="D21" s="487"/>
      <c r="E21" s="186" t="s">
        <v>200</v>
      </c>
      <c r="F21" s="10"/>
      <c r="G21" s="10"/>
      <c r="H21" s="10"/>
      <c r="I21" s="10"/>
      <c r="J21" s="10"/>
      <c r="K21" s="528"/>
      <c r="L21" s="528"/>
      <c r="M21" s="529"/>
      <c r="N21" s="392">
        <f>J18+J20</f>
        <v>37460</v>
      </c>
      <c r="O21" s="393"/>
      <c r="P21" s="393"/>
      <c r="Q21" s="394"/>
      <c r="R21" s="501"/>
      <c r="S21" s="501"/>
      <c r="T21" s="501"/>
      <c r="U21" s="502"/>
      <c r="V21" s="22"/>
    </row>
    <row r="22" spans="1:25" ht="20.149999999999999" customHeight="1" thickBot="1" x14ac:dyDescent="0.35">
      <c r="B22" s="174"/>
      <c r="C22" s="41"/>
      <c r="D22" s="172"/>
      <c r="E22" s="519"/>
      <c r="F22" s="520"/>
      <c r="G22" s="520"/>
      <c r="H22" s="520"/>
      <c r="I22" s="520"/>
      <c r="J22" s="520"/>
      <c r="K22" s="520"/>
      <c r="L22" s="520"/>
      <c r="M22" s="521"/>
      <c r="N22" s="392"/>
      <c r="O22" s="393"/>
      <c r="P22" s="393"/>
      <c r="Q22" s="394"/>
      <c r="R22" s="501"/>
      <c r="S22" s="501"/>
      <c r="T22" s="501"/>
      <c r="U22" s="502"/>
      <c r="V22" s="22"/>
    </row>
    <row r="23" spans="1:25" s="22" customFormat="1" ht="20.149999999999999" customHeight="1" x14ac:dyDescent="0.3">
      <c r="B23" s="169"/>
      <c r="C23" s="41"/>
      <c r="D23" s="172"/>
      <c r="E23" s="522"/>
      <c r="F23" s="523"/>
      <c r="G23" s="523"/>
      <c r="H23" s="523"/>
      <c r="I23" s="523"/>
      <c r="J23" s="523"/>
      <c r="K23" s="523"/>
      <c r="L23" s="523"/>
      <c r="M23" s="524"/>
      <c r="N23" s="425"/>
      <c r="O23" s="423"/>
      <c r="P23" s="423"/>
      <c r="Q23" s="424"/>
      <c r="R23" s="497"/>
      <c r="S23" s="497"/>
      <c r="T23" s="497"/>
      <c r="U23" s="498"/>
    </row>
    <row r="24" spans="1:25" ht="20.149999999999999" customHeight="1" x14ac:dyDescent="0.3">
      <c r="B24" s="447" t="s">
        <v>160</v>
      </c>
      <c r="C24" s="456"/>
      <c r="D24" s="457"/>
      <c r="E24" s="527" t="s">
        <v>161</v>
      </c>
      <c r="F24" s="500"/>
      <c r="G24" s="500"/>
      <c r="H24" s="500"/>
      <c r="I24" s="83"/>
      <c r="J24" s="393">
        <v>-673</v>
      </c>
      <c r="K24" s="393"/>
      <c r="L24" s="393"/>
      <c r="M24" s="394"/>
      <c r="Q24" s="6"/>
      <c r="R24" s="501"/>
      <c r="S24" s="501"/>
      <c r="T24" s="501"/>
      <c r="U24" s="502"/>
      <c r="V24" s="22"/>
    </row>
    <row r="25" spans="1:25" ht="20.149999999999999" customHeight="1" x14ac:dyDescent="0.3">
      <c r="B25" s="485"/>
      <c r="C25" s="486"/>
      <c r="D25" s="487"/>
      <c r="E25" s="447"/>
      <c r="F25" s="448"/>
      <c r="G25" s="448"/>
      <c r="H25" s="448"/>
      <c r="I25" s="448"/>
      <c r="J25" s="34"/>
      <c r="K25" s="417"/>
      <c r="L25" s="417"/>
      <c r="M25" s="418"/>
      <c r="N25" s="423"/>
      <c r="O25" s="423"/>
      <c r="P25" s="423"/>
      <c r="Q25" s="424"/>
      <c r="U25" s="30"/>
      <c r="V25" s="24"/>
    </row>
    <row r="26" spans="1:25" ht="20.149999999999999" customHeight="1" x14ac:dyDescent="0.3">
      <c r="B26" s="447"/>
      <c r="C26" s="456"/>
      <c r="D26" s="457"/>
      <c r="E26" s="460"/>
      <c r="F26" s="461"/>
      <c r="G26" s="461"/>
      <c r="H26" s="461"/>
      <c r="I26" s="461"/>
      <c r="J26" s="461"/>
      <c r="K26" s="461"/>
      <c r="L26" s="461"/>
      <c r="M26" s="462"/>
      <c r="N26" s="465"/>
      <c r="O26" s="465"/>
      <c r="P26" s="465"/>
      <c r="Q26" s="466"/>
      <c r="U26" s="30"/>
      <c r="V26" s="24"/>
    </row>
    <row r="27" spans="1:25" ht="20.149999999999999" customHeight="1" x14ac:dyDescent="0.3">
      <c r="B27" s="11"/>
      <c r="C27" s="27"/>
      <c r="D27" s="175"/>
      <c r="E27" s="176"/>
      <c r="F27" s="176"/>
      <c r="G27" s="176"/>
      <c r="H27" s="176"/>
      <c r="I27" s="176"/>
      <c r="J27" s="176"/>
      <c r="K27" s="176"/>
      <c r="L27" s="176"/>
      <c r="M27" s="175"/>
      <c r="N27" s="10"/>
      <c r="O27" s="10"/>
      <c r="P27" s="10"/>
      <c r="Q27" s="12"/>
      <c r="U27" s="30"/>
      <c r="V27" s="482">
        <v>110155442</v>
      </c>
      <c r="W27" s="483"/>
      <c r="X27" s="483"/>
      <c r="Y27" s="484"/>
    </row>
    <row r="28" spans="1:25" ht="20.149999999999999" customHeight="1" x14ac:dyDescent="0.3">
      <c r="B28" s="11"/>
      <c r="C28" s="27"/>
      <c r="D28" s="173"/>
      <c r="E28" s="34"/>
      <c r="F28" s="34"/>
      <c r="G28" s="34"/>
      <c r="H28" s="34"/>
      <c r="I28" s="44"/>
      <c r="J28" s="34"/>
      <c r="K28" s="34"/>
      <c r="L28" s="34"/>
      <c r="M28" s="28"/>
      <c r="N28" s="490"/>
      <c r="O28" s="490"/>
      <c r="P28" s="490"/>
      <c r="Q28" s="491"/>
      <c r="U28" s="30"/>
      <c r="V28" s="482">
        <v>-110155871</v>
      </c>
      <c r="W28" s="483"/>
      <c r="X28" s="483"/>
      <c r="Y28" s="484"/>
    </row>
    <row r="29" spans="1:25" ht="20.149999999999999" customHeight="1" thickBot="1" x14ac:dyDescent="0.35">
      <c r="B29" s="177"/>
      <c r="C29" s="178"/>
      <c r="D29" s="179"/>
      <c r="E29" s="178"/>
      <c r="F29" s="178"/>
      <c r="G29" s="178"/>
      <c r="H29" s="178"/>
      <c r="I29" s="178"/>
      <c r="J29" s="178"/>
      <c r="K29" s="178"/>
      <c r="L29" s="178"/>
      <c r="M29" s="179"/>
      <c r="N29" s="492"/>
      <c r="O29" s="492"/>
      <c r="P29" s="492"/>
      <c r="Q29" s="493"/>
      <c r="R29" s="24">
        <v>7892100</v>
      </c>
      <c r="U29" s="30"/>
      <c r="V29" s="482">
        <f>V27+V28</f>
        <v>-429</v>
      </c>
      <c r="W29" s="483"/>
      <c r="X29" s="483"/>
      <c r="Y29" s="484"/>
    </row>
    <row r="30" spans="1:25" x14ac:dyDescent="0.3">
      <c r="B30" s="5"/>
      <c r="Q30" s="6"/>
      <c r="R30" s="24">
        <v>7892100</v>
      </c>
      <c r="U30" s="30"/>
      <c r="V30" s="482"/>
      <c r="W30" s="483"/>
      <c r="X30" s="483"/>
      <c r="Y30" s="484"/>
    </row>
    <row r="31" spans="1:25" x14ac:dyDescent="0.3">
      <c r="B31" s="5"/>
      <c r="J31" s="471" t="s">
        <v>9</v>
      </c>
      <c r="K31" s="471"/>
      <c r="L31" s="471"/>
      <c r="M31" s="471"/>
      <c r="N31" s="472">
        <f>SUM(N17:Q23)</f>
        <v>37460</v>
      </c>
      <c r="O31" s="472"/>
      <c r="P31" s="472"/>
      <c r="Q31" s="473"/>
      <c r="R31" s="24">
        <v>7892100</v>
      </c>
      <c r="U31" s="30"/>
      <c r="V31" s="24"/>
    </row>
    <row r="32" spans="1:25" x14ac:dyDescent="0.3">
      <c r="B32" s="5"/>
      <c r="N32" s="4" t="s">
        <v>22</v>
      </c>
      <c r="Q32" s="6"/>
      <c r="R32" s="24">
        <v>7892100</v>
      </c>
      <c r="U32" s="30"/>
      <c r="V32" s="24">
        <f t="shared" ref="V32:V37" si="0">T32*U32</f>
        <v>0</v>
      </c>
    </row>
    <row r="33" spans="2:22" s="18" customFormat="1" ht="25" customHeight="1" x14ac:dyDescent="0.3">
      <c r="B33" s="16"/>
      <c r="D33" s="17" t="s">
        <v>13</v>
      </c>
      <c r="E33" s="474" t="s">
        <v>543</v>
      </c>
      <c r="F33" s="474"/>
      <c r="G33" s="474"/>
      <c r="H33" s="474"/>
      <c r="I33" s="474"/>
      <c r="J33" s="474"/>
      <c r="K33" s="474"/>
      <c r="L33" s="474"/>
      <c r="M33" s="474"/>
      <c r="N33" s="474"/>
      <c r="O33" s="474"/>
      <c r="P33" s="474"/>
      <c r="Q33" s="475"/>
      <c r="R33" s="114">
        <f>SUM(R25:R32)</f>
        <v>31568400</v>
      </c>
      <c r="S33" s="47"/>
      <c r="T33" s="23"/>
      <c r="U33" s="31"/>
      <c r="V33" s="24">
        <f>T33*U33</f>
        <v>0</v>
      </c>
    </row>
    <row r="34" spans="2:22" ht="9.75" customHeight="1" x14ac:dyDescent="0.3">
      <c r="B34" s="5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Q34" s="6"/>
      <c r="U34" s="30"/>
      <c r="V34" s="24">
        <f t="shared" si="0"/>
        <v>0</v>
      </c>
    </row>
    <row r="35" spans="2:22" x14ac:dyDescent="0.3">
      <c r="B35" s="5"/>
      <c r="D35" s="10"/>
      <c r="E35" s="10"/>
      <c r="F35" s="10"/>
      <c r="G35" s="10"/>
      <c r="H35" s="10"/>
      <c r="I35" s="10" t="s">
        <v>22</v>
      </c>
      <c r="J35" s="10"/>
      <c r="K35" s="10"/>
      <c r="L35" s="10"/>
      <c r="M35" s="10"/>
      <c r="N35" s="10"/>
      <c r="Q35" s="6"/>
      <c r="R35" s="24">
        <f>-R33/1.11*2%</f>
        <v>-568799.99999999988</v>
      </c>
      <c r="U35" s="30"/>
      <c r="V35" s="24">
        <f t="shared" si="0"/>
        <v>0</v>
      </c>
    </row>
    <row r="36" spans="2:22" x14ac:dyDescent="0.3">
      <c r="B36" s="5"/>
      <c r="D36" s="10" t="s">
        <v>11</v>
      </c>
      <c r="E36" s="476">
        <f>I10</f>
        <v>45995</v>
      </c>
      <c r="F36" s="476"/>
      <c r="G36" s="476"/>
      <c r="I36" s="14" t="s">
        <v>10</v>
      </c>
      <c r="J36" s="10"/>
      <c r="K36" s="10"/>
      <c r="L36" s="10"/>
      <c r="M36" s="477" t="s">
        <v>12</v>
      </c>
      <c r="N36" s="477"/>
      <c r="O36" s="478"/>
      <c r="P36" s="478"/>
      <c r="Q36" s="479"/>
      <c r="U36" s="30"/>
      <c r="V36" s="24">
        <f t="shared" si="0"/>
        <v>0</v>
      </c>
    </row>
    <row r="37" spans="2:22" x14ac:dyDescent="0.3">
      <c r="B37" s="5"/>
      <c r="Q37" s="6"/>
      <c r="U37" s="30"/>
      <c r="V37" s="24">
        <f t="shared" si="0"/>
        <v>0</v>
      </c>
    </row>
    <row r="38" spans="2:22" x14ac:dyDescent="0.3">
      <c r="B38" s="5"/>
      <c r="Q38" s="6"/>
      <c r="U38" s="30"/>
      <c r="V38" s="24">
        <f>SUM(V25:V37)</f>
        <v>-858</v>
      </c>
    </row>
    <row r="39" spans="2:22" x14ac:dyDescent="0.3">
      <c r="B39" s="5"/>
      <c r="Q39" s="6"/>
      <c r="S39" s="48"/>
      <c r="U39" s="30"/>
      <c r="V39" s="24"/>
    </row>
    <row r="40" spans="2:22" ht="12" customHeight="1" x14ac:dyDescent="0.3">
      <c r="B40" s="5"/>
      <c r="Q40" s="6"/>
      <c r="U40" s="30"/>
      <c r="V40" s="24"/>
    </row>
    <row r="41" spans="2:22" x14ac:dyDescent="0.3">
      <c r="B41" s="5"/>
      <c r="Q41" s="6"/>
      <c r="U41" s="30"/>
    </row>
    <row r="42" spans="2:22" x14ac:dyDescent="0.3">
      <c r="B42" s="5"/>
      <c r="C42" s="4" t="s">
        <v>15</v>
      </c>
      <c r="D42" s="478" t="s">
        <v>374</v>
      </c>
      <c r="E42" s="478"/>
      <c r="F42" s="4" t="s">
        <v>16</v>
      </c>
      <c r="H42" s="19" t="s">
        <v>15</v>
      </c>
      <c r="I42" s="110" t="s">
        <v>373</v>
      </c>
      <c r="J42" s="112" t="s">
        <v>16</v>
      </c>
      <c r="L42" s="4" t="s">
        <v>15</v>
      </c>
      <c r="M42" s="478" t="s">
        <v>312</v>
      </c>
      <c r="N42" s="478"/>
      <c r="O42" s="478"/>
      <c r="P42" s="111" t="s">
        <v>16</v>
      </c>
      <c r="Q42" s="6"/>
      <c r="U42" s="30"/>
    </row>
    <row r="43" spans="2:22" ht="7.5" customHeight="1" thickBot="1" x14ac:dyDescent="0.35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9"/>
      <c r="S43" s="49"/>
      <c r="U43" s="30"/>
    </row>
    <row r="44" spans="2:22" x14ac:dyDescent="0.3">
      <c r="S44" s="49">
        <v>4489649</v>
      </c>
      <c r="U44" s="30"/>
    </row>
    <row r="45" spans="2:22" x14ac:dyDescent="0.3">
      <c r="S45" s="49">
        <v>2944612</v>
      </c>
      <c r="U45" s="30"/>
    </row>
    <row r="46" spans="2:22" x14ac:dyDescent="0.3">
      <c r="S46" s="49">
        <v>3432872</v>
      </c>
      <c r="U46" s="30"/>
    </row>
    <row r="47" spans="2:22" x14ac:dyDescent="0.3">
      <c r="S47" s="49">
        <f>SUM(S44:S46)</f>
        <v>10867133</v>
      </c>
      <c r="U47" s="30"/>
      <c r="V47" s="26">
        <f>U47-S47</f>
        <v>-10867133</v>
      </c>
    </row>
    <row r="48" spans="2:22" x14ac:dyDescent="0.3">
      <c r="S48" s="49"/>
      <c r="U48" s="30"/>
    </row>
    <row r="49" spans="2:22" x14ac:dyDescent="0.3">
      <c r="S49" s="49"/>
      <c r="U49" s="30"/>
    </row>
    <row r="50" spans="2:22" x14ac:dyDescent="0.3">
      <c r="S50" s="49">
        <v>16686135</v>
      </c>
      <c r="U50" s="30"/>
    </row>
    <row r="51" spans="2:22" x14ac:dyDescent="0.3">
      <c r="S51" s="49">
        <v>19452942</v>
      </c>
      <c r="U51" s="30"/>
      <c r="V51" s="4">
        <v>874500</v>
      </c>
    </row>
    <row r="52" spans="2:22" x14ac:dyDescent="0.3">
      <c r="S52" s="49">
        <v>25498845</v>
      </c>
      <c r="U52" s="30"/>
      <c r="V52" s="4">
        <v>1080000</v>
      </c>
    </row>
    <row r="53" spans="2:22" s="22" customFormat="1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24"/>
      <c r="S53" s="49"/>
      <c r="U53" s="30"/>
      <c r="V53" s="4">
        <f>V51+V52</f>
        <v>1954500</v>
      </c>
    </row>
    <row r="54" spans="2:22" x14ac:dyDescent="0.3">
      <c r="E54" s="43"/>
      <c r="F54" s="33" t="s">
        <v>125</v>
      </c>
      <c r="G54" s="35"/>
      <c r="H54" s="35"/>
      <c r="I54" s="35"/>
      <c r="J54" s="35"/>
      <c r="K54" s="35"/>
      <c r="L54" s="35"/>
      <c r="M54" s="35"/>
      <c r="N54" s="35"/>
      <c r="O54" s="36"/>
      <c r="P54" s="480"/>
      <c r="Q54" s="480"/>
      <c r="R54" s="480"/>
      <c r="S54" s="481"/>
      <c r="U54" s="30"/>
    </row>
    <row r="55" spans="2:22" x14ac:dyDescent="0.3">
      <c r="E55" s="41"/>
      <c r="F55" s="33"/>
      <c r="G55" s="35"/>
      <c r="H55" s="35"/>
      <c r="I55" s="35"/>
      <c r="J55" s="35"/>
      <c r="K55" s="35"/>
      <c r="L55" s="35"/>
      <c r="M55" s="35"/>
      <c r="N55" s="35"/>
      <c r="O55" s="36"/>
      <c r="P55" s="392"/>
      <c r="Q55" s="393"/>
      <c r="R55" s="393"/>
      <c r="S55" s="394"/>
      <c r="U55" s="30"/>
    </row>
    <row r="56" spans="2:22" ht="15" x14ac:dyDescent="0.3">
      <c r="E56" s="41" t="s">
        <v>20</v>
      </c>
      <c r="F56" s="33" t="s">
        <v>93</v>
      </c>
      <c r="G56" s="77"/>
      <c r="H56" s="77"/>
      <c r="I56" s="77"/>
      <c r="J56" s="77"/>
      <c r="K56" s="77"/>
      <c r="L56" s="78"/>
      <c r="M56" s="78"/>
      <c r="N56" s="78"/>
      <c r="O56" s="79"/>
      <c r="P56" s="392">
        <v>123093450</v>
      </c>
      <c r="Q56" s="393"/>
      <c r="R56" s="393"/>
      <c r="S56" s="394"/>
      <c r="U56" s="30"/>
    </row>
    <row r="57" spans="2:22" x14ac:dyDescent="0.3">
      <c r="E57" s="33" t="s">
        <v>20</v>
      </c>
      <c r="F57" s="80" t="s">
        <v>94</v>
      </c>
      <c r="G57" s="35"/>
      <c r="H57" s="35"/>
      <c r="I57" s="35"/>
      <c r="J57" s="35"/>
      <c r="K57" s="35"/>
      <c r="L57" s="35"/>
      <c r="M57" s="35"/>
      <c r="N57" s="35"/>
      <c r="O57" s="36"/>
      <c r="P57" s="392">
        <v>168814350</v>
      </c>
      <c r="Q57" s="393"/>
      <c r="R57" s="393"/>
      <c r="S57" s="394"/>
    </row>
    <row r="58" spans="2:22" ht="15.5" x14ac:dyDescent="0.3">
      <c r="E58" s="41" t="s">
        <v>20</v>
      </c>
      <c r="F58" s="33" t="s">
        <v>95</v>
      </c>
      <c r="L58" s="81"/>
      <c r="M58" s="81"/>
      <c r="N58" s="81"/>
      <c r="O58" s="81"/>
      <c r="P58" s="392">
        <v>36297000</v>
      </c>
      <c r="Q58" s="393"/>
      <c r="R58" s="393"/>
      <c r="S58" s="394"/>
    </row>
    <row r="59" spans="2:22" ht="15.5" x14ac:dyDescent="0.3">
      <c r="E59" s="41" t="s">
        <v>20</v>
      </c>
      <c r="F59" s="80" t="s">
        <v>96</v>
      </c>
      <c r="G59" s="27"/>
      <c r="H59" s="27"/>
      <c r="I59" s="27"/>
      <c r="J59" s="27"/>
      <c r="K59" s="27"/>
      <c r="L59" s="81"/>
      <c r="M59" s="81"/>
      <c r="N59" s="81"/>
      <c r="O59" s="82"/>
      <c r="P59" s="392">
        <v>7892100</v>
      </c>
      <c r="Q59" s="393"/>
      <c r="R59" s="393"/>
      <c r="S59" s="394"/>
    </row>
    <row r="60" spans="2:22" ht="15.5" x14ac:dyDescent="0.3">
      <c r="E60" s="41" t="s">
        <v>20</v>
      </c>
      <c r="F60" s="80" t="s">
        <v>96</v>
      </c>
      <c r="G60" s="83"/>
      <c r="H60" s="83"/>
      <c r="I60" s="83"/>
      <c r="J60" s="83"/>
      <c r="K60" s="83"/>
      <c r="L60" s="83"/>
      <c r="M60" s="83"/>
      <c r="N60" s="83"/>
      <c r="O60" s="6"/>
      <c r="P60" s="393">
        <v>7892100</v>
      </c>
      <c r="Q60" s="393"/>
      <c r="R60" s="393"/>
      <c r="S60" s="393"/>
    </row>
    <row r="61" spans="2:22" ht="16" thickBot="1" x14ac:dyDescent="0.35">
      <c r="F61" s="33"/>
      <c r="G61" s="83"/>
      <c r="H61" s="83"/>
      <c r="I61" s="83"/>
      <c r="J61" s="83"/>
      <c r="K61" s="83"/>
      <c r="L61" s="83"/>
      <c r="M61" s="83"/>
      <c r="N61" s="83"/>
      <c r="O61" s="6"/>
      <c r="P61" s="429"/>
      <c r="Q61" s="430"/>
      <c r="R61" s="430"/>
      <c r="S61" s="431"/>
    </row>
    <row r="62" spans="2:22" ht="15.5" x14ac:dyDescent="0.3">
      <c r="E62" s="41"/>
      <c r="F62" s="33"/>
      <c r="G62" s="27"/>
      <c r="H62" s="27"/>
      <c r="I62" s="27"/>
      <c r="J62" s="27"/>
      <c r="K62" s="34"/>
      <c r="L62" s="34"/>
      <c r="M62" s="34"/>
      <c r="N62" s="34"/>
      <c r="O62" s="84"/>
      <c r="P62" s="425">
        <f>P55+P56+P57+P58+P59+P60+P61</f>
        <v>343989000</v>
      </c>
      <c r="Q62" s="423"/>
      <c r="R62" s="423"/>
      <c r="S62" s="424"/>
    </row>
    <row r="63" spans="2:22" x14ac:dyDescent="0.3">
      <c r="E63" s="25"/>
      <c r="F63" s="37"/>
      <c r="G63" s="34"/>
      <c r="H63" s="34"/>
      <c r="I63" s="34"/>
      <c r="J63" s="34"/>
      <c r="K63" s="469" t="s">
        <v>68</v>
      </c>
      <c r="L63" s="469"/>
      <c r="M63" s="469"/>
      <c r="N63" s="469"/>
      <c r="O63" s="470"/>
      <c r="P63" s="465">
        <f>-P62/1.11*2%</f>
        <v>-6198000</v>
      </c>
      <c r="Q63" s="465"/>
      <c r="R63" s="465"/>
      <c r="S63" s="466"/>
    </row>
    <row r="64" spans="2:22" ht="15" x14ac:dyDescent="0.3">
      <c r="E64" s="27"/>
      <c r="F64" s="467"/>
      <c r="G64" s="467"/>
      <c r="H64" s="467"/>
      <c r="I64" s="467"/>
      <c r="J64" s="467"/>
      <c r="K64" s="467"/>
      <c r="L64" s="467"/>
      <c r="M64" s="467"/>
      <c r="N64" s="467"/>
      <c r="O64" s="468"/>
      <c r="R64" s="4"/>
      <c r="S64" s="4"/>
    </row>
    <row r="66" spans="21:21" x14ac:dyDescent="0.3">
      <c r="U66" s="32"/>
    </row>
  </sheetData>
  <mergeCells count="75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E20:I20"/>
    <mergeCell ref="B18:D18"/>
    <mergeCell ref="N18:Q18"/>
    <mergeCell ref="R18:U18"/>
    <mergeCell ref="B19:D19"/>
    <mergeCell ref="N19:Q19"/>
    <mergeCell ref="R19:U19"/>
    <mergeCell ref="J20:M20"/>
    <mergeCell ref="N20:Q20"/>
    <mergeCell ref="R20:U20"/>
    <mergeCell ref="B20:D20"/>
    <mergeCell ref="K21:M21"/>
    <mergeCell ref="N21:Q21"/>
    <mergeCell ref="R21:U21"/>
    <mergeCell ref="V27:Y27"/>
    <mergeCell ref="N28:Q28"/>
    <mergeCell ref="V28:Y28"/>
    <mergeCell ref="E24:H24"/>
    <mergeCell ref="J24:M24"/>
    <mergeCell ref="R24:U24"/>
    <mergeCell ref="B25:D25"/>
    <mergeCell ref="E25:I25"/>
    <mergeCell ref="K25:M25"/>
    <mergeCell ref="N25:Q25"/>
    <mergeCell ref="V29:Y29"/>
    <mergeCell ref="V30:Y30"/>
    <mergeCell ref="J31:M31"/>
    <mergeCell ref="N31:Q31"/>
    <mergeCell ref="E33:Q33"/>
    <mergeCell ref="F64:O64"/>
    <mergeCell ref="E18:I18"/>
    <mergeCell ref="J18:M18"/>
    <mergeCell ref="J19:M19"/>
    <mergeCell ref="P55:S55"/>
    <mergeCell ref="P56:S56"/>
    <mergeCell ref="P57:S57"/>
    <mergeCell ref="P58:S58"/>
    <mergeCell ref="P59:S59"/>
    <mergeCell ref="P60:S60"/>
    <mergeCell ref="E36:G36"/>
    <mergeCell ref="M36:N36"/>
    <mergeCell ref="O36:Q36"/>
    <mergeCell ref="D42:E42"/>
    <mergeCell ref="M42:O42"/>
    <mergeCell ref="P54:S54"/>
    <mergeCell ref="B21:D21"/>
    <mergeCell ref="P61:S61"/>
    <mergeCell ref="P62:S62"/>
    <mergeCell ref="K63:O63"/>
    <mergeCell ref="P63:S63"/>
    <mergeCell ref="N29:Q29"/>
    <mergeCell ref="B26:D26"/>
    <mergeCell ref="E26:M26"/>
    <mergeCell ref="N26:Q26"/>
    <mergeCell ref="E22:M22"/>
    <mergeCell ref="N22:Q22"/>
    <mergeCell ref="R22:U22"/>
    <mergeCell ref="E23:M23"/>
    <mergeCell ref="N23:Q23"/>
    <mergeCell ref="R23:U23"/>
    <mergeCell ref="B24:D24"/>
  </mergeCells>
  <printOptions horizontalCentered="1"/>
  <pageMargins left="0.38" right="0.47244094488188998" top="0.74803149606299202" bottom="0.37" header="0.31496062992126" footer="0.31496062992126"/>
  <pageSetup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A4E3-223E-42DB-8B73-45EF38E66025}">
  <sheetPr codeName="Sheet13"/>
  <dimension ref="A1:Y68"/>
  <sheetViews>
    <sheetView showGridLines="0" view="pageBreakPreview" topLeftCell="A22" zoomScaleSheetLayoutView="100" workbookViewId="0">
      <selection activeCell="E36" sqref="E36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562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46006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395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12585000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20.149999999999999" customHeight="1" thickBot="1" x14ac:dyDescent="0.35">
      <c r="B17" s="485" t="s">
        <v>159</v>
      </c>
      <c r="C17" s="486"/>
      <c r="D17" s="487"/>
      <c r="E17" s="387" t="s">
        <v>538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563</v>
      </c>
      <c r="F18" s="388"/>
      <c r="G18" s="388"/>
      <c r="H18" s="388"/>
      <c r="I18" s="388"/>
      <c r="J18" s="388"/>
      <c r="K18" s="388"/>
      <c r="L18" s="388"/>
      <c r="M18" s="399"/>
      <c r="N18" s="392">
        <v>12585000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thickBot="1" x14ac:dyDescent="0.4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18" customFormat="1" ht="32.25" customHeight="1" x14ac:dyDescent="0.35">
      <c r="B20" s="503"/>
      <c r="C20" s="504"/>
      <c r="D20" s="505"/>
      <c r="E20" s="515"/>
      <c r="F20" s="388"/>
      <c r="G20" s="388"/>
      <c r="H20" s="388"/>
      <c r="I20" s="388"/>
      <c r="J20" s="388"/>
      <c r="K20" s="388"/>
      <c r="L20" s="388"/>
      <c r="M20" s="399"/>
      <c r="N20" s="392"/>
      <c r="O20" s="393"/>
      <c r="P20" s="393"/>
      <c r="Q20" s="394"/>
      <c r="R20" s="496"/>
      <c r="S20" s="497"/>
      <c r="T20" s="497"/>
      <c r="U20" s="498"/>
      <c r="V20" s="23"/>
    </row>
    <row r="21" spans="1:25" ht="31.5" customHeight="1" x14ac:dyDescent="0.3">
      <c r="A21" s="4" t="s">
        <v>20</v>
      </c>
      <c r="B21" s="174"/>
      <c r="C21" s="41"/>
      <c r="D21" s="171"/>
      <c r="E21" s="515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30.5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12585000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-N25/1.11*11%</f>
        <v>-1247162.1621621621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N25+N28</f>
        <v>12585000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564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46006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6">
    <mergeCell ref="B20:D20"/>
    <mergeCell ref="F66:O66"/>
    <mergeCell ref="P60:S60"/>
    <mergeCell ref="P61:S61"/>
    <mergeCell ref="P62:S62"/>
    <mergeCell ref="P63:S63"/>
    <mergeCell ref="P64:S64"/>
    <mergeCell ref="K65:O65"/>
    <mergeCell ref="P65:S65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K25:M25"/>
    <mergeCell ref="N25:Q25"/>
    <mergeCell ref="R25:U25"/>
    <mergeCell ref="B26:D26"/>
    <mergeCell ref="E26:H26"/>
    <mergeCell ref="J26:M26"/>
    <mergeCell ref="R26:U26"/>
    <mergeCell ref="E24:M24"/>
    <mergeCell ref="N24:Q24"/>
    <mergeCell ref="E20:M20"/>
    <mergeCell ref="N20:Q20"/>
    <mergeCell ref="R20:U20"/>
    <mergeCell ref="E21:M21"/>
    <mergeCell ref="N21:Q21"/>
    <mergeCell ref="R21:U21"/>
    <mergeCell ref="E22:M22"/>
    <mergeCell ref="N22:Q22"/>
    <mergeCell ref="R22:U22"/>
    <mergeCell ref="E23:M23"/>
    <mergeCell ref="N23:Q23"/>
    <mergeCell ref="B18:D18"/>
    <mergeCell ref="E18:M18"/>
    <mergeCell ref="N18:Q18"/>
    <mergeCell ref="R18:U18"/>
    <mergeCell ref="B19:D19"/>
    <mergeCell ref="E19:M19"/>
    <mergeCell ref="N19:Q19"/>
    <mergeCell ref="R19:U19"/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</mergeCells>
  <printOptions horizontalCentered="1"/>
  <pageMargins left="0.38" right="0.47244094488188998" top="0.74803149606299202" bottom="0.37" header="0.31496062992126" footer="0.31496062992126"/>
  <pageSetup scale="8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1EC4-A5E6-43E6-9967-B464DAA8B50C}">
  <sheetPr codeName="Sheet14"/>
  <dimension ref="A1:Z59"/>
  <sheetViews>
    <sheetView showGridLines="0" view="pageBreakPreview" topLeftCell="A4" zoomScaleSheetLayoutView="100" workbookViewId="0">
      <selection activeCell="T14" sqref="T14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4.7265625" style="134" bestFit="1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454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 t="s">
        <v>87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45840</v>
      </c>
      <c r="J10" s="436"/>
      <c r="K10" s="436"/>
      <c r="L10" s="436"/>
      <c r="M10" s="436"/>
      <c r="N10" s="436"/>
      <c r="O10" s="89"/>
      <c r="P10" s="89"/>
      <c r="Q10" s="88"/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394</v>
      </c>
      <c r="J11" s="437"/>
      <c r="K11" s="437"/>
      <c r="L11" s="437"/>
      <c r="M11" s="437"/>
      <c r="N11" s="437"/>
      <c r="O11" s="89"/>
      <c r="P11" s="89"/>
      <c r="Q11" s="88"/>
      <c r="R11" s="132"/>
      <c r="S11" s="253"/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0</v>
      </c>
      <c r="J12" s="438"/>
      <c r="K12" s="438"/>
      <c r="L12" s="438"/>
      <c r="M12" s="438"/>
      <c r="N12" s="438"/>
      <c r="O12" s="89"/>
      <c r="P12" s="89" t="s">
        <v>22</v>
      </c>
      <c r="Q12" s="88"/>
      <c r="R12" s="127">
        <f>629250*12%</f>
        <v>75510</v>
      </c>
      <c r="S12" s="252"/>
      <c r="U12" s="133"/>
      <c r="V12" s="136"/>
    </row>
    <row r="13" spans="1:25" ht="24" customHeight="1" thickBot="1" x14ac:dyDescent="0.35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132">
        <f>629250+R12</f>
        <v>704760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168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33"/>
      <c r="S15" s="128"/>
      <c r="T15" s="128"/>
      <c r="U15" s="138"/>
      <c r="V15" s="234"/>
      <c r="W15" s="140"/>
    </row>
    <row r="16" spans="1:25" ht="12.75" customHeight="1" thickBot="1" x14ac:dyDescent="0.35">
      <c r="A16" s="141"/>
      <c r="B16" s="109"/>
      <c r="C16" s="109"/>
      <c r="D16" s="146"/>
      <c r="E16" s="271"/>
      <c r="J16" s="86"/>
      <c r="K16" s="86"/>
      <c r="L16" s="86"/>
      <c r="M16" s="86"/>
      <c r="N16" s="446"/>
      <c r="O16" s="444"/>
      <c r="P16" s="444"/>
      <c r="Q16" s="445"/>
      <c r="R16" s="168"/>
      <c r="S16" s="143"/>
      <c r="T16" s="143"/>
      <c r="V16" s="136"/>
    </row>
    <row r="17" spans="1:26" ht="29.25" customHeight="1" x14ac:dyDescent="0.3">
      <c r="A17" s="141"/>
      <c r="B17" s="453" t="s">
        <v>159</v>
      </c>
      <c r="C17" s="454"/>
      <c r="D17" s="455"/>
      <c r="E17" s="387" t="s">
        <v>456</v>
      </c>
      <c r="F17" s="388"/>
      <c r="G17" s="388"/>
      <c r="H17" s="388"/>
      <c r="I17" s="388"/>
      <c r="J17" s="388"/>
      <c r="K17" s="388"/>
      <c r="L17" s="388"/>
      <c r="M17" s="399"/>
      <c r="N17" s="450"/>
      <c r="O17" s="451"/>
      <c r="P17" s="451"/>
      <c r="Q17" s="452"/>
      <c r="R17" s="270"/>
      <c r="V17" s="136"/>
    </row>
    <row r="18" spans="1:26" ht="23.25" customHeight="1" thickBot="1" x14ac:dyDescent="0.35">
      <c r="A18" s="141" t="s">
        <v>22</v>
      </c>
      <c r="B18" s="453"/>
      <c r="C18" s="454"/>
      <c r="D18" s="455"/>
      <c r="E18" s="387" t="s">
        <v>455</v>
      </c>
      <c r="F18" s="388"/>
      <c r="G18" s="388"/>
      <c r="H18" s="388"/>
      <c r="I18" s="388"/>
      <c r="J18" s="388"/>
      <c r="K18" s="388"/>
      <c r="L18" s="388"/>
      <c r="M18" s="399"/>
      <c r="N18" s="450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387"/>
      <c r="F19" s="388"/>
      <c r="G19" s="388"/>
      <c r="H19" s="388"/>
      <c r="I19" s="388"/>
      <c r="J19" s="388"/>
      <c r="K19" s="388"/>
      <c r="L19" s="388"/>
      <c r="M19" s="399"/>
      <c r="N19" s="450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387"/>
      <c r="F20" s="388"/>
      <c r="G20" s="388"/>
      <c r="H20" s="388"/>
      <c r="I20" s="388"/>
      <c r="J20" s="388"/>
      <c r="K20" s="388"/>
      <c r="L20" s="388"/>
      <c r="M20" s="329"/>
      <c r="N20" s="39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275"/>
      <c r="F21" s="34"/>
      <c r="G21" s="34"/>
      <c r="H21" s="34"/>
      <c r="I21" s="34"/>
      <c r="J21" s="34"/>
      <c r="K21" s="34"/>
      <c r="L21" s="34"/>
      <c r="M21" s="330"/>
      <c r="N21" s="450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275"/>
      <c r="F22" s="274"/>
      <c r="G22" s="274"/>
      <c r="H22" s="274"/>
      <c r="J22" s="274"/>
      <c r="K22" s="274"/>
      <c r="L22" s="274"/>
      <c r="M22" s="322"/>
      <c r="N22" s="392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60"/>
      <c r="F23" s="461"/>
      <c r="G23" s="461"/>
      <c r="H23" s="461"/>
      <c r="I23" s="461"/>
      <c r="J23" s="461"/>
      <c r="K23" s="461"/>
      <c r="L23" s="461"/>
      <c r="M23" s="462"/>
      <c r="N23" s="451"/>
      <c r="O23" s="451"/>
      <c r="P23" s="451"/>
      <c r="Q23" s="452"/>
      <c r="R23" s="214">
        <f>I12-22600000</f>
        <v>-22600000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450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388"/>
      <c r="N25" s="392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450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464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24"/>
      <c r="N28" s="392"/>
      <c r="O28" s="393"/>
      <c r="P28" s="393"/>
      <c r="Q28" s="394"/>
      <c r="R28" s="270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88"/>
      <c r="N29" s="392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1"/>
      <c r="N30" s="331"/>
      <c r="R30" s="332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463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27400000</v>
      </c>
    </row>
    <row r="35" spans="2:23" s="121" customFormat="1" ht="31.5" customHeight="1" x14ac:dyDescent="0.3">
      <c r="B35" s="160"/>
      <c r="D35" s="99" t="s">
        <v>13</v>
      </c>
      <c r="E35" s="409" t="s">
        <v>442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45840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59">
    <mergeCell ref="E35:Q35"/>
    <mergeCell ref="E38:G38"/>
    <mergeCell ref="M38:N38"/>
    <mergeCell ref="O38:Q38"/>
    <mergeCell ref="D44:E44"/>
    <mergeCell ref="M44:O44"/>
    <mergeCell ref="B30:D30"/>
    <mergeCell ref="E30:M30"/>
    <mergeCell ref="N31:Q31"/>
    <mergeCell ref="W32:Z32"/>
    <mergeCell ref="J33:M33"/>
    <mergeCell ref="N33:Q33"/>
    <mergeCell ref="B28:D28"/>
    <mergeCell ref="E28:I28"/>
    <mergeCell ref="N28:Q28"/>
    <mergeCell ref="B29:D29"/>
    <mergeCell ref="E29:M29"/>
    <mergeCell ref="N29:Q29"/>
    <mergeCell ref="B27:D27"/>
    <mergeCell ref="E27:M27"/>
    <mergeCell ref="N27:Q27"/>
    <mergeCell ref="B22:D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6:D26"/>
    <mergeCell ref="E26:M26"/>
    <mergeCell ref="N26:Q26"/>
    <mergeCell ref="B21:D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L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67"/>
  <sheetViews>
    <sheetView showGridLines="0" view="pageBreakPreview" topLeftCell="B22" zoomScaleSheetLayoutView="100" workbookViewId="0">
      <selection activeCell="E35" sqref="E35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434" t="s">
        <v>511</v>
      </c>
      <c r="J7" s="434"/>
      <c r="K7" s="434"/>
      <c r="L7" s="434"/>
      <c r="M7" s="434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45957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197</v>
      </c>
      <c r="J11" s="510"/>
      <c r="K11" s="510"/>
      <c r="L11" s="510"/>
      <c r="M11" s="510"/>
      <c r="N11" s="510"/>
      <c r="O11" s="10"/>
      <c r="P11" s="10"/>
      <c r="Q11" s="12"/>
      <c r="S11" s="46">
        <v>595632</v>
      </c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N32</f>
        <v>1892923.6</v>
      </c>
      <c r="J12" s="511"/>
      <c r="K12" s="511"/>
      <c r="L12" s="511"/>
      <c r="M12" s="511"/>
      <c r="N12" s="511"/>
      <c r="O12" s="10"/>
      <c r="P12" s="10"/>
      <c r="Q12" s="12"/>
      <c r="S12" s="46">
        <v>1837200</v>
      </c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S13" s="46">
        <v>745760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S14" s="46">
        <v>132300</v>
      </c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>
        <f>36344+2484+17788</f>
        <v>56616</v>
      </c>
      <c r="S15" s="47">
        <v>492500</v>
      </c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27.75" customHeight="1" thickBot="1" x14ac:dyDescent="0.35">
      <c r="B17" s="447" t="s">
        <v>159</v>
      </c>
      <c r="C17" s="456"/>
      <c r="D17" s="457"/>
      <c r="E17" s="387" t="s">
        <v>512</v>
      </c>
      <c r="F17" s="388"/>
      <c r="G17" s="388"/>
      <c r="H17" s="388"/>
      <c r="I17" s="388"/>
      <c r="J17" s="388"/>
      <c r="K17" s="388"/>
      <c r="L17" s="388"/>
      <c r="M17" s="399"/>
      <c r="N17" s="451"/>
      <c r="O17" s="451"/>
      <c r="P17" s="451"/>
      <c r="Q17" s="452"/>
      <c r="R17" s="170">
        <f>3141645+1776042+798789+675510</f>
        <v>6391986</v>
      </c>
      <c r="U17" s="30"/>
    </row>
    <row r="18" spans="1:25" ht="27" customHeight="1" x14ac:dyDescent="0.3">
      <c r="B18" s="503"/>
      <c r="C18" s="504"/>
      <c r="D18" s="505"/>
      <c r="E18" s="387" t="s">
        <v>513</v>
      </c>
      <c r="F18" s="388"/>
      <c r="G18" s="388"/>
      <c r="H18" s="388"/>
      <c r="I18" s="388"/>
      <c r="J18" s="388"/>
      <c r="K18" s="388"/>
      <c r="L18" s="388"/>
      <c r="M18" s="399"/>
      <c r="N18" s="392">
        <v>581654</v>
      </c>
      <c r="O18" s="393"/>
      <c r="P18" s="393"/>
      <c r="Q18" s="394"/>
      <c r="R18" s="480"/>
      <c r="S18" s="480"/>
      <c r="T18" s="480"/>
      <c r="U18" s="481"/>
      <c r="V18" s="45">
        <v>0.1</v>
      </c>
    </row>
    <row r="19" spans="1:25" ht="27" customHeight="1" thickBot="1" x14ac:dyDescent="0.35">
      <c r="B19" s="381"/>
      <c r="C19" s="382"/>
      <c r="D19" s="383"/>
      <c r="E19" s="387" t="s">
        <v>514</v>
      </c>
      <c r="F19" s="388"/>
      <c r="G19" s="388"/>
      <c r="H19" s="388"/>
      <c r="I19" s="388"/>
      <c r="J19" s="388"/>
      <c r="K19" s="388"/>
      <c r="L19" s="388"/>
      <c r="M19" s="399"/>
      <c r="N19" s="392">
        <v>1325393</v>
      </c>
      <c r="O19" s="393"/>
      <c r="P19" s="393"/>
      <c r="Q19" s="394"/>
      <c r="R19" s="379"/>
      <c r="S19" s="379"/>
      <c r="T19" s="379"/>
      <c r="U19" s="380"/>
      <c r="V19" s="45"/>
    </row>
    <row r="20" spans="1:25" s="18" customFormat="1" ht="20.149999999999999" customHeight="1" x14ac:dyDescent="0.35">
      <c r="B20" s="503"/>
      <c r="C20" s="504"/>
      <c r="D20" s="505"/>
      <c r="E20" s="488" t="s">
        <v>186</v>
      </c>
      <c r="F20" s="489"/>
      <c r="G20" s="489"/>
      <c r="H20" s="489"/>
      <c r="I20" s="489"/>
      <c r="J20" s="489"/>
      <c r="K20" s="489"/>
      <c r="L20" s="489"/>
      <c r="M20" s="533"/>
      <c r="N20" s="392"/>
      <c r="O20" s="393"/>
      <c r="P20" s="393"/>
      <c r="Q20" s="394"/>
      <c r="R20" s="497"/>
      <c r="S20" s="497"/>
      <c r="T20" s="497"/>
      <c r="U20" s="498"/>
      <c r="V20" s="23"/>
    </row>
    <row r="21" spans="1:25" s="22" customFormat="1" ht="20.149999999999999" customHeight="1" x14ac:dyDescent="0.3">
      <c r="B21" s="169"/>
      <c r="C21" s="33"/>
      <c r="D21" s="172"/>
      <c r="E21" s="387" t="s">
        <v>187</v>
      </c>
      <c r="F21" s="388"/>
      <c r="G21" s="388"/>
      <c r="H21" s="388"/>
      <c r="I21" s="35"/>
      <c r="J21" s="426">
        <f>228000+478170</f>
        <v>706170</v>
      </c>
      <c r="K21" s="426"/>
      <c r="L21" s="426"/>
      <c r="M21" s="427"/>
      <c r="N21" s="392"/>
      <c r="O21" s="393"/>
      <c r="P21" s="393"/>
      <c r="Q21" s="394"/>
      <c r="R21" s="480"/>
      <c r="S21" s="480"/>
      <c r="T21" s="480"/>
      <c r="U21" s="481"/>
    </row>
    <row r="22" spans="1:25" ht="20.149999999999999" customHeight="1" x14ac:dyDescent="0.3">
      <c r="A22" s="4" t="s">
        <v>20</v>
      </c>
      <c r="B22" s="174"/>
      <c r="C22" s="41"/>
      <c r="D22" s="171"/>
      <c r="E22" s="186" t="s">
        <v>68</v>
      </c>
      <c r="F22" s="10"/>
      <c r="G22" s="10"/>
      <c r="H22" s="10"/>
      <c r="I22" s="10"/>
      <c r="J22" s="10"/>
      <c r="K22" s="528">
        <f>J21*2%</f>
        <v>14123.4</v>
      </c>
      <c r="L22" s="528"/>
      <c r="M22" s="529"/>
      <c r="N22" s="392">
        <f>-K22</f>
        <v>-14123.4</v>
      </c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thickBot="1" x14ac:dyDescent="0.35">
      <c r="B23" s="174"/>
      <c r="C23" s="41"/>
      <c r="D23" s="172"/>
      <c r="E23" s="519"/>
      <c r="F23" s="520"/>
      <c r="G23" s="520"/>
      <c r="H23" s="520"/>
      <c r="I23" s="520"/>
      <c r="J23" s="520"/>
      <c r="K23" s="520"/>
      <c r="L23" s="520"/>
      <c r="M23" s="521"/>
      <c r="N23" s="392"/>
      <c r="O23" s="393"/>
      <c r="P23" s="393"/>
      <c r="Q23" s="394"/>
      <c r="R23" s="501"/>
      <c r="S23" s="501"/>
      <c r="T23" s="501"/>
      <c r="U23" s="502"/>
      <c r="V23" s="22"/>
    </row>
    <row r="24" spans="1:25" s="22" customFormat="1" ht="20.149999999999999" customHeight="1" x14ac:dyDescent="0.3">
      <c r="B24" s="169"/>
      <c r="C24" s="41"/>
      <c r="D24" s="172"/>
      <c r="E24" s="522" t="s">
        <v>92</v>
      </c>
      <c r="F24" s="523"/>
      <c r="G24" s="523"/>
      <c r="H24" s="523"/>
      <c r="I24" s="523"/>
      <c r="J24" s="523"/>
      <c r="K24" s="523"/>
      <c r="L24" s="523"/>
      <c r="M24" s="524"/>
      <c r="N24" s="425">
        <f>N18+N19+N22</f>
        <v>1892923.6</v>
      </c>
      <c r="O24" s="423"/>
      <c r="P24" s="423"/>
      <c r="Q24" s="424"/>
      <c r="R24" s="497"/>
      <c r="S24" s="497"/>
      <c r="T24" s="497"/>
      <c r="U24" s="498"/>
    </row>
    <row r="25" spans="1:25" ht="20.149999999999999" customHeight="1" x14ac:dyDescent="0.3">
      <c r="B25" s="447"/>
      <c r="C25" s="456"/>
      <c r="D25" s="457"/>
      <c r="E25" s="499"/>
      <c r="F25" s="500"/>
      <c r="G25" s="500"/>
      <c r="H25" s="500"/>
      <c r="I25" s="83"/>
      <c r="J25" s="393"/>
      <c r="K25" s="393"/>
      <c r="L25" s="393"/>
      <c r="M25" s="394"/>
      <c r="Q25" s="6"/>
      <c r="R25" s="501"/>
      <c r="S25" s="501"/>
      <c r="T25" s="501"/>
      <c r="U25" s="502"/>
      <c r="V25" s="22"/>
    </row>
    <row r="26" spans="1:25" ht="20.149999999999999" customHeight="1" x14ac:dyDescent="0.3">
      <c r="B26" s="485"/>
      <c r="C26" s="486"/>
      <c r="D26" s="487"/>
      <c r="E26" s="447"/>
      <c r="F26" s="448"/>
      <c r="G26" s="448"/>
      <c r="H26" s="448"/>
      <c r="I26" s="448"/>
      <c r="J26" s="34"/>
      <c r="K26" s="417"/>
      <c r="L26" s="417"/>
      <c r="M26" s="418"/>
      <c r="N26" s="423"/>
      <c r="O26" s="423"/>
      <c r="P26" s="423"/>
      <c r="Q26" s="424"/>
      <c r="U26" s="30"/>
      <c r="V26" s="24"/>
    </row>
    <row r="27" spans="1:25" ht="20.149999999999999" customHeight="1" x14ac:dyDescent="0.3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2"/>
      <c r="N27" s="465"/>
      <c r="O27" s="465"/>
      <c r="P27" s="465"/>
      <c r="Q27" s="466"/>
      <c r="U27" s="30"/>
      <c r="V27" s="24"/>
    </row>
    <row r="28" spans="1:25" ht="20.149999999999999" customHeight="1" x14ac:dyDescent="0.3">
      <c r="B28" s="11"/>
      <c r="C28" s="27"/>
      <c r="D28" s="175"/>
      <c r="E28" s="176"/>
      <c r="F28" s="176"/>
      <c r="G28" s="176"/>
      <c r="H28" s="176"/>
      <c r="I28" s="176"/>
      <c r="J28" s="176"/>
      <c r="K28" s="176"/>
      <c r="L28" s="176"/>
      <c r="M28" s="175"/>
      <c r="N28" s="10"/>
      <c r="O28" s="10"/>
      <c r="P28" s="10"/>
      <c r="Q28" s="12"/>
      <c r="U28" s="30"/>
      <c r="V28" s="482">
        <v>110155442</v>
      </c>
      <c r="W28" s="483"/>
      <c r="X28" s="483"/>
      <c r="Y28" s="484"/>
    </row>
    <row r="29" spans="1:25" ht="20.149999999999999" customHeight="1" x14ac:dyDescent="0.3">
      <c r="B29" s="11"/>
      <c r="C29" s="27"/>
      <c r="D29" s="173"/>
      <c r="E29" s="34"/>
      <c r="F29" s="34"/>
      <c r="G29" s="34"/>
      <c r="H29" s="34"/>
      <c r="I29" s="44"/>
      <c r="J29" s="34"/>
      <c r="K29" s="34"/>
      <c r="L29" s="34"/>
      <c r="M29" s="28"/>
      <c r="N29" s="490"/>
      <c r="O29" s="490"/>
      <c r="P29" s="490"/>
      <c r="Q29" s="491"/>
      <c r="U29" s="30"/>
      <c r="V29" s="482">
        <v>-110155871</v>
      </c>
      <c r="W29" s="483"/>
      <c r="X29" s="483"/>
      <c r="Y29" s="484"/>
    </row>
    <row r="30" spans="1:25" ht="20.149999999999999" customHeight="1" thickBot="1" x14ac:dyDescent="0.35">
      <c r="B30" s="177"/>
      <c r="C30" s="178"/>
      <c r="D30" s="179"/>
      <c r="E30" s="178"/>
      <c r="F30" s="178"/>
      <c r="G30" s="178"/>
      <c r="H30" s="178"/>
      <c r="I30" s="178"/>
      <c r="J30" s="178"/>
      <c r="K30" s="178"/>
      <c r="L30" s="178"/>
      <c r="M30" s="179"/>
      <c r="N30" s="492"/>
      <c r="O30" s="492"/>
      <c r="P30" s="492"/>
      <c r="Q30" s="493"/>
      <c r="R30" s="24">
        <v>7892100</v>
      </c>
      <c r="U30" s="30"/>
      <c r="V30" s="482">
        <f>V28+V29</f>
        <v>-429</v>
      </c>
      <c r="W30" s="483"/>
      <c r="X30" s="483"/>
      <c r="Y30" s="484"/>
    </row>
    <row r="31" spans="1:25" x14ac:dyDescent="0.3">
      <c r="B31" s="5"/>
      <c r="Q31" s="6"/>
      <c r="R31" s="24">
        <v>7892100</v>
      </c>
      <c r="U31" s="30"/>
      <c r="V31" s="482"/>
      <c r="W31" s="483"/>
      <c r="X31" s="483"/>
      <c r="Y31" s="484"/>
    </row>
    <row r="32" spans="1:25" x14ac:dyDescent="0.3">
      <c r="B32" s="5"/>
      <c r="J32" s="471" t="s">
        <v>9</v>
      </c>
      <c r="K32" s="471"/>
      <c r="L32" s="471"/>
      <c r="M32" s="471"/>
      <c r="N32" s="472">
        <f>N24+N27</f>
        <v>1892923.6</v>
      </c>
      <c r="O32" s="472"/>
      <c r="P32" s="472"/>
      <c r="Q32" s="473"/>
      <c r="R32" s="24">
        <v>7892100</v>
      </c>
      <c r="U32" s="30"/>
      <c r="V32" s="24"/>
    </row>
    <row r="33" spans="2:22" x14ac:dyDescent="0.3">
      <c r="B33" s="5"/>
      <c r="N33" s="4" t="s">
        <v>22</v>
      </c>
      <c r="Q33" s="6"/>
      <c r="R33" s="24">
        <v>7892100</v>
      </c>
      <c r="U33" s="30"/>
      <c r="V33" s="24">
        <f t="shared" ref="V33:V38" si="0">T33*U33</f>
        <v>0</v>
      </c>
    </row>
    <row r="34" spans="2:22" s="18" customFormat="1" ht="31.5" customHeight="1" x14ac:dyDescent="0.3">
      <c r="B34" s="16"/>
      <c r="D34" s="17" t="s">
        <v>13</v>
      </c>
      <c r="E34" s="474" t="s">
        <v>515</v>
      </c>
      <c r="F34" s="474"/>
      <c r="G34" s="474"/>
      <c r="H34" s="474"/>
      <c r="I34" s="474"/>
      <c r="J34" s="474"/>
      <c r="K34" s="474"/>
      <c r="L34" s="474"/>
      <c r="M34" s="474"/>
      <c r="N34" s="474"/>
      <c r="O34" s="474"/>
      <c r="P34" s="474"/>
      <c r="Q34" s="475"/>
      <c r="R34" s="114">
        <f>SUM(R26:R33)</f>
        <v>31568400</v>
      </c>
      <c r="S34" s="47"/>
      <c r="T34" s="23"/>
      <c r="U34" s="31"/>
      <c r="V34" s="24">
        <f>T34*U34</f>
        <v>0</v>
      </c>
    </row>
    <row r="35" spans="2:22" ht="9.75" customHeight="1" x14ac:dyDescent="0.3">
      <c r="B35" s="5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Q35" s="6"/>
      <c r="U35" s="30"/>
      <c r="V35" s="24">
        <f t="shared" si="0"/>
        <v>0</v>
      </c>
    </row>
    <row r="36" spans="2:22" x14ac:dyDescent="0.3">
      <c r="B36" s="5"/>
      <c r="D36" s="10"/>
      <c r="E36" s="10"/>
      <c r="F36" s="10"/>
      <c r="G36" s="10"/>
      <c r="H36" s="10"/>
      <c r="I36" s="10" t="s">
        <v>22</v>
      </c>
      <c r="J36" s="10"/>
      <c r="K36" s="10"/>
      <c r="L36" s="10"/>
      <c r="M36" s="10"/>
      <c r="N36" s="10"/>
      <c r="Q36" s="6"/>
      <c r="R36" s="24">
        <f>-R34/1.11*2%</f>
        <v>-568799.99999999988</v>
      </c>
      <c r="U36" s="30"/>
      <c r="V36" s="24">
        <f t="shared" si="0"/>
        <v>0</v>
      </c>
    </row>
    <row r="37" spans="2:22" x14ac:dyDescent="0.3">
      <c r="B37" s="5"/>
      <c r="D37" s="10" t="s">
        <v>11</v>
      </c>
      <c r="E37" s="476">
        <f>I10</f>
        <v>45957</v>
      </c>
      <c r="F37" s="476"/>
      <c r="G37" s="476"/>
      <c r="I37" s="14" t="s">
        <v>10</v>
      </c>
      <c r="J37" s="10"/>
      <c r="K37" s="10"/>
      <c r="L37" s="10"/>
      <c r="M37" s="477" t="s">
        <v>12</v>
      </c>
      <c r="N37" s="477"/>
      <c r="O37" s="478"/>
      <c r="P37" s="478"/>
      <c r="Q37" s="479"/>
      <c r="U37" s="30"/>
      <c r="V37" s="24">
        <f t="shared" si="0"/>
        <v>0</v>
      </c>
    </row>
    <row r="38" spans="2:22" x14ac:dyDescent="0.3">
      <c r="B38" s="5"/>
      <c r="Q38" s="6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>SUM(V26:V38)</f>
        <v>-858</v>
      </c>
    </row>
    <row r="40" spans="2:22" x14ac:dyDescent="0.3">
      <c r="B40" s="5"/>
      <c r="Q40" s="6"/>
      <c r="S40" s="48"/>
      <c r="U40" s="30"/>
      <c r="V40" s="24"/>
    </row>
    <row r="41" spans="2:22" ht="12" customHeight="1" x14ac:dyDescent="0.3">
      <c r="B41" s="5"/>
      <c r="Q41" s="6"/>
      <c r="U41" s="30"/>
      <c r="V41" s="24"/>
    </row>
    <row r="42" spans="2:22" x14ac:dyDescent="0.3">
      <c r="B42" s="5"/>
      <c r="Q42" s="6"/>
      <c r="U42" s="30"/>
    </row>
    <row r="43" spans="2:22" x14ac:dyDescent="0.3">
      <c r="B43" s="5"/>
      <c r="C43" s="4" t="s">
        <v>15</v>
      </c>
      <c r="D43" s="478" t="s">
        <v>374</v>
      </c>
      <c r="E43" s="478"/>
      <c r="F43" s="4" t="s">
        <v>16</v>
      </c>
      <c r="H43" s="19" t="s">
        <v>15</v>
      </c>
      <c r="I43" s="110" t="s">
        <v>373</v>
      </c>
      <c r="J43" s="112" t="s">
        <v>16</v>
      </c>
      <c r="L43" s="4" t="s">
        <v>15</v>
      </c>
      <c r="M43" s="478" t="s">
        <v>312</v>
      </c>
      <c r="N43" s="478"/>
      <c r="O43" s="478"/>
      <c r="P43" s="111" t="s">
        <v>16</v>
      </c>
      <c r="Q43" s="6"/>
      <c r="U43" s="30"/>
    </row>
    <row r="44" spans="2:22" ht="7.5" customHeight="1" thickBot="1" x14ac:dyDescent="0.35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9"/>
      <c r="S44" s="49"/>
      <c r="U44" s="30"/>
    </row>
    <row r="45" spans="2:22" x14ac:dyDescent="0.3">
      <c r="S45" s="49">
        <v>4489649</v>
      </c>
      <c r="U45" s="30"/>
    </row>
    <row r="46" spans="2:22" x14ac:dyDescent="0.3">
      <c r="S46" s="49">
        <v>2944612</v>
      </c>
      <c r="U46" s="30"/>
    </row>
    <row r="47" spans="2:22" x14ac:dyDescent="0.3">
      <c r="S47" s="49">
        <v>3432872</v>
      </c>
      <c r="U47" s="30"/>
    </row>
    <row r="48" spans="2:22" x14ac:dyDescent="0.3">
      <c r="S48" s="49">
        <f>SUM(S45:S47)</f>
        <v>10867133</v>
      </c>
      <c r="U48" s="30"/>
      <c r="V48" s="26">
        <f>U48-S48</f>
        <v>-10867133</v>
      </c>
    </row>
    <row r="49" spans="2:22" x14ac:dyDescent="0.3">
      <c r="S49" s="49"/>
      <c r="U49" s="30"/>
    </row>
    <row r="50" spans="2:22" x14ac:dyDescent="0.3">
      <c r="S50" s="49"/>
      <c r="U50" s="30"/>
    </row>
    <row r="51" spans="2:22" x14ac:dyDescent="0.3">
      <c r="S51" s="49">
        <v>16686135</v>
      </c>
      <c r="U51" s="30"/>
    </row>
    <row r="52" spans="2:22" x14ac:dyDescent="0.3">
      <c r="S52" s="49">
        <v>19452942</v>
      </c>
      <c r="U52" s="30"/>
      <c r="V52" s="4">
        <v>874500</v>
      </c>
    </row>
    <row r="53" spans="2:22" x14ac:dyDescent="0.3">
      <c r="S53" s="49">
        <v>25498845</v>
      </c>
      <c r="U53" s="30"/>
      <c r="V53" s="4">
        <v>1080000</v>
      </c>
    </row>
    <row r="54" spans="2:22" s="22" customFormat="1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24"/>
      <c r="S54" s="49"/>
      <c r="U54" s="30"/>
      <c r="V54" s="4">
        <f>V52+V53</f>
        <v>1954500</v>
      </c>
    </row>
    <row r="55" spans="2:22" x14ac:dyDescent="0.3">
      <c r="E55" s="43"/>
      <c r="F55" s="33" t="s">
        <v>125</v>
      </c>
      <c r="G55" s="35"/>
      <c r="H55" s="35"/>
      <c r="I55" s="35"/>
      <c r="J55" s="35"/>
      <c r="K55" s="35"/>
      <c r="L55" s="35"/>
      <c r="M55" s="35"/>
      <c r="N55" s="35"/>
      <c r="O55" s="36"/>
      <c r="P55" s="480"/>
      <c r="Q55" s="480"/>
      <c r="R55" s="480"/>
      <c r="S55" s="481"/>
      <c r="U55" s="30"/>
    </row>
    <row r="56" spans="2:22" x14ac:dyDescent="0.3">
      <c r="E56" s="41"/>
      <c r="F56" s="33"/>
      <c r="G56" s="35"/>
      <c r="H56" s="35"/>
      <c r="I56" s="35"/>
      <c r="J56" s="35"/>
      <c r="K56" s="35"/>
      <c r="L56" s="35"/>
      <c r="M56" s="35"/>
      <c r="N56" s="35"/>
      <c r="O56" s="36"/>
      <c r="P56" s="392"/>
      <c r="Q56" s="393"/>
      <c r="R56" s="393"/>
      <c r="S56" s="394"/>
      <c r="U56" s="30"/>
    </row>
    <row r="57" spans="2:22" ht="15" x14ac:dyDescent="0.3">
      <c r="E57" s="41" t="s">
        <v>20</v>
      </c>
      <c r="F57" s="33" t="s">
        <v>93</v>
      </c>
      <c r="G57" s="77"/>
      <c r="H57" s="77"/>
      <c r="I57" s="77"/>
      <c r="J57" s="77"/>
      <c r="K57" s="77"/>
      <c r="L57" s="78"/>
      <c r="M57" s="78"/>
      <c r="N57" s="78"/>
      <c r="O57" s="79"/>
      <c r="P57" s="392">
        <v>123093450</v>
      </c>
      <c r="Q57" s="393"/>
      <c r="R57" s="393"/>
      <c r="S57" s="394"/>
      <c r="U57" s="30"/>
    </row>
    <row r="58" spans="2:22" x14ac:dyDescent="0.3">
      <c r="E58" s="33" t="s">
        <v>20</v>
      </c>
      <c r="F58" s="80" t="s">
        <v>94</v>
      </c>
      <c r="G58" s="35"/>
      <c r="H58" s="35"/>
      <c r="I58" s="35"/>
      <c r="J58" s="35"/>
      <c r="K58" s="35"/>
      <c r="L58" s="35"/>
      <c r="M58" s="35"/>
      <c r="N58" s="35"/>
      <c r="O58" s="36"/>
      <c r="P58" s="392">
        <v>168814350</v>
      </c>
      <c r="Q58" s="393"/>
      <c r="R58" s="393"/>
      <c r="S58" s="394"/>
    </row>
    <row r="59" spans="2:22" ht="15.5" x14ac:dyDescent="0.3">
      <c r="E59" s="41" t="s">
        <v>20</v>
      </c>
      <c r="F59" s="33" t="s">
        <v>95</v>
      </c>
      <c r="L59" s="81"/>
      <c r="M59" s="81"/>
      <c r="N59" s="81"/>
      <c r="O59" s="81"/>
      <c r="P59" s="392">
        <v>36297000</v>
      </c>
      <c r="Q59" s="393"/>
      <c r="R59" s="393"/>
      <c r="S59" s="394"/>
    </row>
    <row r="60" spans="2:22" ht="15.5" x14ac:dyDescent="0.3">
      <c r="E60" s="41" t="s">
        <v>20</v>
      </c>
      <c r="F60" s="80" t="s">
        <v>96</v>
      </c>
      <c r="G60" s="27"/>
      <c r="H60" s="27"/>
      <c r="I60" s="27"/>
      <c r="J60" s="27"/>
      <c r="K60" s="27"/>
      <c r="L60" s="81"/>
      <c r="M60" s="81"/>
      <c r="N60" s="81"/>
      <c r="O60" s="82"/>
      <c r="P60" s="392">
        <v>7892100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83"/>
      <c r="H61" s="83"/>
      <c r="I61" s="83"/>
      <c r="J61" s="83"/>
      <c r="K61" s="83"/>
      <c r="L61" s="83"/>
      <c r="M61" s="83"/>
      <c r="N61" s="83"/>
      <c r="O61" s="6"/>
      <c r="P61" s="393">
        <v>7892100</v>
      </c>
      <c r="Q61" s="393"/>
      <c r="R61" s="393"/>
      <c r="S61" s="393"/>
    </row>
    <row r="62" spans="2:22" ht="16" thickBot="1" x14ac:dyDescent="0.35">
      <c r="F62" s="33"/>
      <c r="G62" s="83"/>
      <c r="H62" s="83"/>
      <c r="I62" s="83"/>
      <c r="J62" s="83"/>
      <c r="K62" s="83"/>
      <c r="L62" s="83"/>
      <c r="M62" s="83"/>
      <c r="N62" s="83"/>
      <c r="O62" s="6"/>
      <c r="P62" s="429"/>
      <c r="Q62" s="430"/>
      <c r="R62" s="430"/>
      <c r="S62" s="431"/>
    </row>
    <row r="63" spans="2:22" ht="15.5" x14ac:dyDescent="0.3">
      <c r="E63" s="41"/>
      <c r="F63" s="33"/>
      <c r="G63" s="27"/>
      <c r="H63" s="27"/>
      <c r="I63" s="27"/>
      <c r="J63" s="27"/>
      <c r="K63" s="34"/>
      <c r="L63" s="34"/>
      <c r="M63" s="34"/>
      <c r="N63" s="34"/>
      <c r="O63" s="84"/>
      <c r="P63" s="425">
        <f>P56+P57+P58+P59+P60+P61+P62</f>
        <v>343989000</v>
      </c>
      <c r="Q63" s="423"/>
      <c r="R63" s="423"/>
      <c r="S63" s="424"/>
    </row>
    <row r="64" spans="2:22" x14ac:dyDescent="0.3">
      <c r="E64" s="25"/>
      <c r="F64" s="37"/>
      <c r="G64" s="34"/>
      <c r="H64" s="34"/>
      <c r="I64" s="34"/>
      <c r="J64" s="34"/>
      <c r="K64" s="469" t="s">
        <v>68</v>
      </c>
      <c r="L64" s="469"/>
      <c r="M64" s="469"/>
      <c r="N64" s="469"/>
      <c r="O64" s="470"/>
      <c r="P64" s="465">
        <f>-P63/1.11*2%</f>
        <v>-6198000</v>
      </c>
      <c r="Q64" s="465"/>
      <c r="R64" s="465"/>
      <c r="S64" s="466"/>
    </row>
    <row r="65" spans="5:21" ht="15" x14ac:dyDescent="0.3">
      <c r="E65" s="27"/>
      <c r="F65" s="467"/>
      <c r="G65" s="467"/>
      <c r="H65" s="467"/>
      <c r="I65" s="467"/>
      <c r="J65" s="467"/>
      <c r="K65" s="467"/>
      <c r="L65" s="467"/>
      <c r="M65" s="467"/>
      <c r="N65" s="467"/>
      <c r="O65" s="468"/>
      <c r="R65" s="4"/>
      <c r="S65" s="4"/>
    </row>
    <row r="67" spans="5:21" x14ac:dyDescent="0.3">
      <c r="U67" s="32"/>
    </row>
  </sheetData>
  <mergeCells count="74">
    <mergeCell ref="P62:S62"/>
    <mergeCell ref="P63:S63"/>
    <mergeCell ref="K64:O64"/>
    <mergeCell ref="P64:S64"/>
    <mergeCell ref="F65:O65"/>
    <mergeCell ref="E21:H21"/>
    <mergeCell ref="J21:M21"/>
    <mergeCell ref="K22:M22"/>
    <mergeCell ref="P56:S56"/>
    <mergeCell ref="P57:S57"/>
    <mergeCell ref="N30:Q30"/>
    <mergeCell ref="E23:M23"/>
    <mergeCell ref="N23:Q23"/>
    <mergeCell ref="R23:U23"/>
    <mergeCell ref="N24:Q24"/>
    <mergeCell ref="R24:U24"/>
    <mergeCell ref="E24:M24"/>
    <mergeCell ref="N21:Q21"/>
    <mergeCell ref="R21:U21"/>
    <mergeCell ref="N22:Q22"/>
    <mergeCell ref="R22:U22"/>
    <mergeCell ref="P58:S58"/>
    <mergeCell ref="P59:S59"/>
    <mergeCell ref="P60:S60"/>
    <mergeCell ref="P61:S61"/>
    <mergeCell ref="E37:G37"/>
    <mergeCell ref="M37:N37"/>
    <mergeCell ref="O37:Q37"/>
    <mergeCell ref="D43:E43"/>
    <mergeCell ref="M43:O43"/>
    <mergeCell ref="P55:S55"/>
    <mergeCell ref="V30:Y30"/>
    <mergeCell ref="V31:Y31"/>
    <mergeCell ref="J32:M32"/>
    <mergeCell ref="N32:Q32"/>
    <mergeCell ref="E34:Q34"/>
    <mergeCell ref="B27:D27"/>
    <mergeCell ref="E27:M27"/>
    <mergeCell ref="N27:Q27"/>
    <mergeCell ref="V28:Y28"/>
    <mergeCell ref="N29:Q29"/>
    <mergeCell ref="V29:Y29"/>
    <mergeCell ref="B25:D25"/>
    <mergeCell ref="E25:H25"/>
    <mergeCell ref="J25:M25"/>
    <mergeCell ref="R25:U25"/>
    <mergeCell ref="B26:D26"/>
    <mergeCell ref="E26:I26"/>
    <mergeCell ref="K26:M26"/>
    <mergeCell ref="N26:Q26"/>
    <mergeCell ref="B18:D18"/>
    <mergeCell ref="E18:M18"/>
    <mergeCell ref="N18:Q18"/>
    <mergeCell ref="R18:U18"/>
    <mergeCell ref="B20:D20"/>
    <mergeCell ref="E20:M20"/>
    <mergeCell ref="N20:Q20"/>
    <mergeCell ref="R20:U20"/>
    <mergeCell ref="E19:M19"/>
    <mergeCell ref="N19:Q19"/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</mergeCells>
  <printOptions horizontalCentered="1"/>
  <pageMargins left="0.38" right="0.47244094488188998" top="0.74803149606299202" bottom="0.37" header="0.31496062992126" footer="0.31496062992126"/>
  <pageSetup scale="8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84ED-0812-4913-9A4C-50FD1474B9DE}">
  <sheetPr codeName="Sheet21"/>
  <dimension ref="A1:Y68"/>
  <sheetViews>
    <sheetView showGridLines="0" view="pageBreakPreview" zoomScaleSheetLayoutView="100" workbookViewId="0">
      <selection activeCell="I12" sqref="I12:N12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544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45995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463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11207500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20.149999999999999" customHeight="1" thickBot="1" x14ac:dyDescent="0.35">
      <c r="B17" s="485" t="s">
        <v>159</v>
      </c>
      <c r="C17" s="486"/>
      <c r="D17" s="487"/>
      <c r="E17" s="387" t="s">
        <v>545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546</v>
      </c>
      <c r="F18" s="388"/>
      <c r="G18" s="388"/>
      <c r="H18" s="388"/>
      <c r="I18" s="388"/>
      <c r="J18" s="388"/>
      <c r="K18" s="388"/>
      <c r="L18" s="388"/>
      <c r="M18" s="399"/>
      <c r="N18" s="392">
        <v>11207500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x14ac:dyDescent="0.35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22" customFormat="1" ht="20.149999999999999" customHeight="1" x14ac:dyDescent="0.3">
      <c r="B20" s="169"/>
      <c r="C20" s="33"/>
      <c r="D20" s="172"/>
      <c r="E20" s="515"/>
      <c r="F20" s="388"/>
      <c r="G20" s="388"/>
      <c r="H20" s="388"/>
      <c r="I20" s="388"/>
      <c r="J20" s="388"/>
      <c r="K20" s="388"/>
      <c r="L20" s="388"/>
      <c r="M20" s="399"/>
      <c r="N20" s="393"/>
      <c r="O20" s="393"/>
      <c r="P20" s="393"/>
      <c r="Q20" s="394"/>
      <c r="R20" s="534"/>
      <c r="S20" s="480"/>
      <c r="T20" s="480"/>
      <c r="U20" s="481"/>
    </row>
    <row r="21" spans="1:25" ht="20.149999999999999" customHeight="1" x14ac:dyDescent="0.3">
      <c r="A21" s="4" t="s">
        <v>20</v>
      </c>
      <c r="B21" s="174"/>
      <c r="C21" s="41"/>
      <c r="D21" s="171"/>
      <c r="E21" s="387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20.149999999999999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11207500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-N25/1.11*11%</f>
        <v>-1110653.1531531531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N25+N28</f>
        <v>11207500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547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45995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5">
    <mergeCell ref="F66:O66"/>
    <mergeCell ref="P60:S60"/>
    <mergeCell ref="P61:S61"/>
    <mergeCell ref="P62:S62"/>
    <mergeCell ref="P63:S63"/>
    <mergeCell ref="P64:S64"/>
    <mergeCell ref="K65:O65"/>
    <mergeCell ref="P65:S65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K25:M25"/>
    <mergeCell ref="N25:Q25"/>
    <mergeCell ref="R25:U25"/>
    <mergeCell ref="B26:D26"/>
    <mergeCell ref="E26:H26"/>
    <mergeCell ref="J26:M26"/>
    <mergeCell ref="R26:U26"/>
    <mergeCell ref="E24:M24"/>
    <mergeCell ref="N24:Q24"/>
    <mergeCell ref="E20:M20"/>
    <mergeCell ref="N20:Q20"/>
    <mergeCell ref="R20:U20"/>
    <mergeCell ref="E21:M21"/>
    <mergeCell ref="N21:Q21"/>
    <mergeCell ref="R21:U21"/>
    <mergeCell ref="E22:M22"/>
    <mergeCell ref="N22:Q22"/>
    <mergeCell ref="R22:U22"/>
    <mergeCell ref="E23:M23"/>
    <mergeCell ref="N23:Q23"/>
    <mergeCell ref="B18:D18"/>
    <mergeCell ref="E18:M18"/>
    <mergeCell ref="N18:Q18"/>
    <mergeCell ref="R18:U18"/>
    <mergeCell ref="B19:D19"/>
    <mergeCell ref="E19:M19"/>
    <mergeCell ref="N19:Q19"/>
    <mergeCell ref="R19:U19"/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</mergeCells>
  <printOptions horizontalCentered="1"/>
  <pageMargins left="0.38" right="0.47244094488188998" top="0.74803149606299202" bottom="0.37" header="0.31496062992126" footer="0.31496062992126"/>
  <pageSetup scale="8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4D8F-38D4-46F7-819A-076399A97841}">
  <sheetPr codeName="Sheet22"/>
  <dimension ref="A1:Y68"/>
  <sheetViews>
    <sheetView showGridLines="0" view="pageBreakPreview" topLeftCell="A16" zoomScaleSheetLayoutView="100" workbookViewId="0">
      <selection activeCell="N34" sqref="N34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464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45869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465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4051944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20.149999999999999" customHeight="1" thickBot="1" x14ac:dyDescent="0.35">
      <c r="B17" s="485" t="s">
        <v>159</v>
      </c>
      <c r="C17" s="486"/>
      <c r="D17" s="487"/>
      <c r="E17" s="387" t="s">
        <v>468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466</v>
      </c>
      <c r="F18" s="388"/>
      <c r="G18" s="388"/>
      <c r="H18" s="388"/>
      <c r="I18" s="388"/>
      <c r="J18" s="388"/>
      <c r="K18" s="388"/>
      <c r="L18" s="388"/>
      <c r="M18" s="399"/>
      <c r="N18" s="392">
        <v>3650400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x14ac:dyDescent="0.35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22" customFormat="1" ht="20.149999999999999" customHeight="1" x14ac:dyDescent="0.3">
      <c r="B20" s="169"/>
      <c r="C20" s="33"/>
      <c r="D20" s="172"/>
      <c r="E20" s="515"/>
      <c r="F20" s="388"/>
      <c r="G20" s="388"/>
      <c r="H20" s="388"/>
      <c r="I20" s="388"/>
      <c r="J20" s="388"/>
      <c r="K20" s="388"/>
      <c r="L20" s="388"/>
      <c r="M20" s="399"/>
      <c r="N20" s="393"/>
      <c r="O20" s="393"/>
      <c r="P20" s="393"/>
      <c r="Q20" s="394"/>
      <c r="R20" s="534"/>
      <c r="S20" s="480"/>
      <c r="T20" s="480"/>
      <c r="U20" s="481"/>
    </row>
    <row r="21" spans="1:25" ht="20.149999999999999" customHeight="1" x14ac:dyDescent="0.3">
      <c r="A21" s="4" t="s">
        <v>20</v>
      </c>
      <c r="B21" s="174"/>
      <c r="C21" s="41"/>
      <c r="D21" s="171"/>
      <c r="E21" s="387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20.149999999999999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3650400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N25*11%</f>
        <v>401544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N25+J26</f>
        <v>4051944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467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45869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5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B18:D18"/>
    <mergeCell ref="E18:M18"/>
    <mergeCell ref="N18:Q18"/>
    <mergeCell ref="R18:U18"/>
    <mergeCell ref="B19:D19"/>
    <mergeCell ref="E19:M19"/>
    <mergeCell ref="N19:Q19"/>
    <mergeCell ref="R19:U19"/>
    <mergeCell ref="E24:M24"/>
    <mergeCell ref="N24:Q24"/>
    <mergeCell ref="E20:M20"/>
    <mergeCell ref="N20:Q20"/>
    <mergeCell ref="R20:U20"/>
    <mergeCell ref="E21:M21"/>
    <mergeCell ref="N21:Q21"/>
    <mergeCell ref="R21:U21"/>
    <mergeCell ref="E22:M22"/>
    <mergeCell ref="N22:Q22"/>
    <mergeCell ref="R22:U22"/>
    <mergeCell ref="E23:M23"/>
    <mergeCell ref="N23:Q23"/>
    <mergeCell ref="K25:M25"/>
    <mergeCell ref="N25:Q25"/>
    <mergeCell ref="R25:U25"/>
    <mergeCell ref="B26:D26"/>
    <mergeCell ref="E26:H26"/>
    <mergeCell ref="J26:M26"/>
    <mergeCell ref="R26:U26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F66:O66"/>
    <mergeCell ref="P60:S60"/>
    <mergeCell ref="P61:S61"/>
    <mergeCell ref="P62:S62"/>
    <mergeCell ref="P63:S63"/>
    <mergeCell ref="P64:S64"/>
    <mergeCell ref="K65:O65"/>
    <mergeCell ref="P65:S65"/>
  </mergeCells>
  <printOptions horizontalCentered="1"/>
  <pageMargins left="0.38" right="0.47244094488188998" top="0.74803149606299202" bottom="0.37" header="0.31496062992126" footer="0.31496062992126"/>
  <pageSetup scale="8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2881-FF29-4A32-A2F7-8BAEC1007DD4}">
  <sheetPr codeName="Sheet12"/>
  <dimension ref="A1:Z59"/>
  <sheetViews>
    <sheetView showGridLines="0" view="pageBreakPreview" zoomScale="98" zoomScaleSheetLayoutView="98" workbookViewId="0">
      <selection activeCell="N19" sqref="N19:Q19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4.7265625" style="134" bestFit="1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411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 t="s">
        <v>87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45761</v>
      </c>
      <c r="J10" s="436"/>
      <c r="K10" s="436"/>
      <c r="L10" s="436"/>
      <c r="M10" s="436"/>
      <c r="N10" s="436"/>
      <c r="O10" s="89"/>
      <c r="P10" s="89"/>
      <c r="Q10" s="88"/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391</v>
      </c>
      <c r="J11" s="437"/>
      <c r="K11" s="437"/>
      <c r="L11" s="437"/>
      <c r="M11" s="437"/>
      <c r="N11" s="437"/>
      <c r="O11" s="89"/>
      <c r="P11" s="89"/>
      <c r="Q11" s="88"/>
      <c r="R11" s="132"/>
      <c r="S11" s="253"/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1862580</v>
      </c>
      <c r="J12" s="438"/>
      <c r="K12" s="438"/>
      <c r="L12" s="438"/>
      <c r="M12" s="438"/>
      <c r="N12" s="438"/>
      <c r="O12" s="89"/>
      <c r="P12" s="89" t="s">
        <v>22</v>
      </c>
      <c r="Q12" s="88"/>
      <c r="R12" s="127">
        <f>629250*12%</f>
        <v>75510</v>
      </c>
      <c r="S12" s="252"/>
      <c r="U12" s="133"/>
      <c r="V12" s="136"/>
    </row>
    <row r="13" spans="1:25" ht="24" customHeight="1" thickBot="1" x14ac:dyDescent="0.35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132">
        <f>629250+R12</f>
        <v>704760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168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33"/>
      <c r="S15" s="128"/>
      <c r="T15" s="128"/>
      <c r="U15" s="138"/>
      <c r="V15" s="234"/>
      <c r="W15" s="140"/>
    </row>
    <row r="16" spans="1:25" ht="12.75" customHeight="1" thickBot="1" x14ac:dyDescent="0.35">
      <c r="A16" s="141"/>
      <c r="B16" s="109"/>
      <c r="C16" s="109"/>
      <c r="D16" s="146"/>
      <c r="E16" s="271"/>
      <c r="J16" s="86"/>
      <c r="K16" s="86"/>
      <c r="L16" s="86"/>
      <c r="M16" s="86"/>
      <c r="N16" s="446"/>
      <c r="O16" s="444"/>
      <c r="P16" s="444"/>
      <c r="Q16" s="445"/>
      <c r="R16" s="168"/>
      <c r="S16" s="143"/>
      <c r="T16" s="143"/>
      <c r="V16" s="136"/>
    </row>
    <row r="17" spans="1:26" ht="29.25" customHeight="1" x14ac:dyDescent="0.3">
      <c r="A17" s="141"/>
      <c r="B17" s="453" t="s">
        <v>159</v>
      </c>
      <c r="C17" s="454"/>
      <c r="D17" s="455"/>
      <c r="E17" s="387" t="s">
        <v>414</v>
      </c>
      <c r="F17" s="388"/>
      <c r="G17" s="388"/>
      <c r="H17" s="388"/>
      <c r="I17" s="388"/>
      <c r="J17" s="388"/>
      <c r="K17" s="388"/>
      <c r="L17" s="388"/>
      <c r="M17" s="399"/>
      <c r="N17" s="450"/>
      <c r="O17" s="451"/>
      <c r="P17" s="451"/>
      <c r="Q17" s="452"/>
      <c r="R17" s="270"/>
      <c r="V17" s="136"/>
    </row>
    <row r="18" spans="1:26" ht="23.25" customHeight="1" thickBot="1" x14ac:dyDescent="0.35">
      <c r="A18" s="141" t="s">
        <v>22</v>
      </c>
      <c r="B18" s="453"/>
      <c r="C18" s="454"/>
      <c r="D18" s="455"/>
      <c r="E18" s="400" t="s">
        <v>412</v>
      </c>
      <c r="F18" s="401"/>
      <c r="G18" s="401"/>
      <c r="H18" s="401"/>
      <c r="I18" s="401"/>
      <c r="J18" s="401"/>
      <c r="K18" s="401"/>
      <c r="L18" s="401"/>
      <c r="M18" s="337"/>
      <c r="N18" s="450">
        <v>1862580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337"/>
      <c r="N19" s="450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338"/>
      <c r="N20" s="39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275"/>
      <c r="F21" s="34"/>
      <c r="G21" s="34"/>
      <c r="H21" s="34"/>
      <c r="I21" s="34"/>
      <c r="J21" s="34"/>
      <c r="K21" s="34"/>
      <c r="L21" s="34"/>
      <c r="M21" s="338"/>
      <c r="N21" s="450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275"/>
      <c r="F22" s="274"/>
      <c r="G22" s="274"/>
      <c r="H22" s="274"/>
      <c r="J22" s="274"/>
      <c r="K22" s="274"/>
      <c r="L22" s="274"/>
      <c r="M22" s="322"/>
      <c r="N22" s="392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535"/>
      <c r="F23" s="536"/>
      <c r="G23" s="536"/>
      <c r="H23" s="536"/>
      <c r="I23" s="536"/>
      <c r="J23" s="536"/>
      <c r="K23" s="536"/>
      <c r="L23" s="536"/>
      <c r="M23" s="537"/>
      <c r="N23" s="451"/>
      <c r="O23" s="451"/>
      <c r="P23" s="451"/>
      <c r="Q23" s="452"/>
      <c r="R23" s="214">
        <f>I12-22600000</f>
        <v>-20737420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450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B25" s="453"/>
      <c r="C25" s="454"/>
      <c r="D25" s="455" t="s">
        <v>406</v>
      </c>
      <c r="E25" s="458"/>
      <c r="F25" s="388"/>
      <c r="G25" s="388"/>
      <c r="H25" s="388"/>
      <c r="I25" s="388"/>
      <c r="J25" s="388"/>
      <c r="K25" s="388"/>
      <c r="L25" s="388"/>
      <c r="M25" s="388"/>
      <c r="N25" s="392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450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464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24"/>
      <c r="N28" s="392"/>
      <c r="O28" s="393"/>
      <c r="P28" s="393"/>
      <c r="Q28" s="394"/>
      <c r="R28" s="270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88"/>
      <c r="N29" s="392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1"/>
      <c r="N30" s="331"/>
      <c r="R30" s="332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463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SUM(N18:Q31)</f>
        <v>1862580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25537420</v>
      </c>
    </row>
    <row r="35" spans="2:23" s="121" customFormat="1" ht="31.5" customHeight="1" x14ac:dyDescent="0.3">
      <c r="B35" s="160"/>
      <c r="D35" s="99" t="s">
        <v>13</v>
      </c>
      <c r="E35" s="409" t="s">
        <v>413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45761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0">
    <mergeCell ref="B27:D27"/>
    <mergeCell ref="E27:M27"/>
    <mergeCell ref="N27:Q27"/>
    <mergeCell ref="B26:D26"/>
    <mergeCell ref="E26:M26"/>
    <mergeCell ref="N26:Q26"/>
    <mergeCell ref="D44:E44"/>
    <mergeCell ref="M44:O44"/>
    <mergeCell ref="B30:D30"/>
    <mergeCell ref="E30:M30"/>
    <mergeCell ref="N31:Q31"/>
    <mergeCell ref="E35:Q35"/>
    <mergeCell ref="E38:G38"/>
    <mergeCell ref="M38:N38"/>
    <mergeCell ref="O38:Q38"/>
    <mergeCell ref="W32:Z32"/>
    <mergeCell ref="J33:M33"/>
    <mergeCell ref="N33:Q33"/>
    <mergeCell ref="B28:D28"/>
    <mergeCell ref="E28:I28"/>
    <mergeCell ref="N28:Q28"/>
    <mergeCell ref="B29:D29"/>
    <mergeCell ref="E29:M29"/>
    <mergeCell ref="N29:Q29"/>
    <mergeCell ref="B22:D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5:D25"/>
    <mergeCell ref="B19:D19"/>
    <mergeCell ref="N19:Q19"/>
    <mergeCell ref="E20:L20"/>
    <mergeCell ref="N20:Q20"/>
    <mergeCell ref="B21:D21"/>
    <mergeCell ref="N21:Q21"/>
    <mergeCell ref="E19:L19"/>
    <mergeCell ref="B17:D17"/>
    <mergeCell ref="E17:M17"/>
    <mergeCell ref="N17:Q17"/>
    <mergeCell ref="B18:D18"/>
    <mergeCell ref="N18:Q18"/>
    <mergeCell ref="E18:L18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F23B-9204-49A2-AD52-D5530D906A5B}">
  <sheetPr codeName="Sheet15"/>
  <dimension ref="A1:Y68"/>
  <sheetViews>
    <sheetView showGridLines="0" view="pageBreakPreview" topLeftCell="A22" zoomScaleSheetLayoutView="100" workbookViewId="0">
      <selection activeCell="S15" sqref="S15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4.726562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407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45742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397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2438500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20.149999999999999" customHeight="1" thickBot="1" x14ac:dyDescent="0.35">
      <c r="B17" s="485" t="s">
        <v>159</v>
      </c>
      <c r="C17" s="486"/>
      <c r="D17" s="487"/>
      <c r="E17" s="387" t="s">
        <v>398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408</v>
      </c>
      <c r="F18" s="388"/>
      <c r="G18" s="388"/>
      <c r="H18" s="388"/>
      <c r="I18" s="388"/>
      <c r="J18" s="388"/>
      <c r="K18" s="388"/>
      <c r="L18" s="388"/>
      <c r="M18" s="399"/>
      <c r="N18" s="392">
        <v>2438500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x14ac:dyDescent="0.35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22" customFormat="1" ht="20.149999999999999" customHeight="1" x14ac:dyDescent="0.3">
      <c r="B20" s="169"/>
      <c r="C20" s="33"/>
      <c r="D20" s="172"/>
      <c r="E20" s="515" t="s">
        <v>400</v>
      </c>
      <c r="F20" s="388"/>
      <c r="G20" s="388"/>
      <c r="H20" s="388"/>
      <c r="I20" s="388"/>
      <c r="J20" s="388"/>
      <c r="K20" s="388"/>
      <c r="L20" s="388"/>
      <c r="M20" s="399"/>
      <c r="N20" s="393"/>
      <c r="O20" s="393"/>
      <c r="P20" s="393"/>
      <c r="Q20" s="394"/>
      <c r="R20" s="534"/>
      <c r="S20" s="480"/>
      <c r="T20" s="480"/>
      <c r="U20" s="481"/>
    </row>
    <row r="21" spans="1:25" ht="20.149999999999999" customHeight="1" x14ac:dyDescent="0.3">
      <c r="A21" s="4" t="s">
        <v>20</v>
      </c>
      <c r="B21" s="174"/>
      <c r="C21" s="41"/>
      <c r="D21" s="171"/>
      <c r="E21" s="387" t="s">
        <v>399</v>
      </c>
      <c r="F21" s="388"/>
      <c r="G21" s="388"/>
      <c r="H21" s="388"/>
      <c r="I21" s="388"/>
      <c r="J21" s="388"/>
      <c r="K21" s="388"/>
      <c r="L21" s="388"/>
      <c r="M21" s="342">
        <v>0</v>
      </c>
      <c r="N21" s="392"/>
      <c r="O21" s="393"/>
      <c r="P21" s="393"/>
      <c r="Q21" s="394"/>
      <c r="R21" s="501"/>
      <c r="S21" s="501"/>
      <c r="T21" s="501"/>
      <c r="U21" s="502"/>
      <c r="V21" s="22"/>
    </row>
    <row r="22" spans="1:25" ht="20.149999999999999" customHeight="1" x14ac:dyDescent="0.3">
      <c r="B22" s="174"/>
      <c r="C22" s="41"/>
      <c r="D22" s="172"/>
      <c r="E22" s="387" t="s">
        <v>396</v>
      </c>
      <c r="F22" s="388"/>
      <c r="G22" s="388"/>
      <c r="H22" s="388"/>
      <c r="I22" s="388"/>
      <c r="J22" s="388"/>
      <c r="K22" s="388"/>
      <c r="L22" s="388"/>
      <c r="M22" s="343">
        <f>M21*2%</f>
        <v>0</v>
      </c>
      <c r="N22" s="392">
        <f>-M22</f>
        <v>0</v>
      </c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2438500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/>
      <c r="C26" s="456"/>
      <c r="D26" s="457"/>
      <c r="E26" s="499"/>
      <c r="F26" s="500"/>
      <c r="G26" s="500"/>
      <c r="H26" s="500"/>
      <c r="I26" s="83"/>
      <c r="J26" s="393"/>
      <c r="K26" s="393"/>
      <c r="L26" s="393"/>
      <c r="M26" s="394"/>
      <c r="N26" s="42"/>
      <c r="O26" s="42"/>
      <c r="P26" s="42"/>
      <c r="Q26" s="339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340"/>
      <c r="O29" s="340"/>
      <c r="P29" s="340"/>
      <c r="Q29" s="341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393"/>
      <c r="O30" s="393"/>
      <c r="P30" s="393"/>
      <c r="Q30" s="394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N32" s="42"/>
      <c r="O32" s="42"/>
      <c r="P32" s="42"/>
      <c r="Q32" s="339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538">
        <f>N25+N28</f>
        <v>2438500</v>
      </c>
      <c r="O33" s="538"/>
      <c r="P33" s="538"/>
      <c r="Q33" s="539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409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45742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7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B18:D18"/>
    <mergeCell ref="E18:M18"/>
    <mergeCell ref="N18:Q18"/>
    <mergeCell ref="R18:U18"/>
    <mergeCell ref="B19:D19"/>
    <mergeCell ref="E19:M19"/>
    <mergeCell ref="N19:Q19"/>
    <mergeCell ref="R19:U19"/>
    <mergeCell ref="E20:M20"/>
    <mergeCell ref="N20:Q20"/>
    <mergeCell ref="R20:U20"/>
    <mergeCell ref="N21:Q21"/>
    <mergeCell ref="R21:U21"/>
    <mergeCell ref="R22:U22"/>
    <mergeCell ref="E23:M23"/>
    <mergeCell ref="N23:Q23"/>
    <mergeCell ref="E24:M24"/>
    <mergeCell ref="N24:Q24"/>
    <mergeCell ref="R25:U25"/>
    <mergeCell ref="B26:D26"/>
    <mergeCell ref="E26:H26"/>
    <mergeCell ref="J26:M26"/>
    <mergeCell ref="R26:U26"/>
    <mergeCell ref="P64:S64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P59:S59"/>
    <mergeCell ref="P60:S60"/>
    <mergeCell ref="P61:S61"/>
    <mergeCell ref="P62:S62"/>
    <mergeCell ref="P63:S63"/>
    <mergeCell ref="D44:E44"/>
    <mergeCell ref="M44:O44"/>
    <mergeCell ref="P56:S56"/>
    <mergeCell ref="P57:S57"/>
    <mergeCell ref="P58:S58"/>
    <mergeCell ref="F66:O66"/>
    <mergeCell ref="E21:H21"/>
    <mergeCell ref="I21:L21"/>
    <mergeCell ref="E22:H22"/>
    <mergeCell ref="I22:L22"/>
    <mergeCell ref="K65:O65"/>
    <mergeCell ref="J33:M33"/>
    <mergeCell ref="N33:Q33"/>
    <mergeCell ref="E35:Q35"/>
    <mergeCell ref="E38:G38"/>
    <mergeCell ref="M38:N38"/>
    <mergeCell ref="O38:Q38"/>
    <mergeCell ref="K25:M25"/>
    <mergeCell ref="N25:Q25"/>
    <mergeCell ref="N22:Q22"/>
    <mergeCell ref="P65:S65"/>
  </mergeCells>
  <printOptions horizontalCentered="1"/>
  <pageMargins left="0.38" right="0.47244094488188998" top="0.74803149606299202" bottom="0.37" header="0.31496062992126" footer="0.31496062992126"/>
  <pageSetup scale="8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E99E-17BF-4F7D-8492-CFBCC620CBFA}">
  <sheetPr codeName="Sheet23"/>
  <dimension ref="A1:Y68"/>
  <sheetViews>
    <sheetView showGridLines="0" view="pageBreakPreview" topLeftCell="A19" zoomScaleSheetLayoutView="100" workbookViewId="0">
      <selection activeCell="E36" sqref="E36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501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45930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457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14031177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20.149999999999999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20.149999999999999" customHeight="1" thickBot="1" x14ac:dyDescent="0.35">
      <c r="B17" s="485" t="s">
        <v>159</v>
      </c>
      <c r="C17" s="486"/>
      <c r="D17" s="487"/>
      <c r="E17" s="387" t="s">
        <v>503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502</v>
      </c>
      <c r="F18" s="388"/>
      <c r="G18" s="388"/>
      <c r="H18" s="388"/>
      <c r="I18" s="388"/>
      <c r="J18" s="388"/>
      <c r="K18" s="388"/>
      <c r="L18" s="388"/>
      <c r="M18" s="399"/>
      <c r="N18" s="392">
        <v>7837377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x14ac:dyDescent="0.35">
      <c r="B19" s="503"/>
      <c r="C19" s="504"/>
      <c r="D19" s="505"/>
      <c r="E19" s="515" t="s">
        <v>504</v>
      </c>
      <c r="F19" s="388"/>
      <c r="G19" s="388"/>
      <c r="H19" s="388"/>
      <c r="I19" s="388"/>
      <c r="J19" s="388"/>
      <c r="K19" s="388"/>
      <c r="L19" s="388"/>
      <c r="M19" s="399"/>
      <c r="N19" s="392">
        <v>6193800</v>
      </c>
      <c r="O19" s="393"/>
      <c r="P19" s="393"/>
      <c r="Q19" s="394"/>
      <c r="R19" s="496"/>
      <c r="S19" s="497"/>
      <c r="T19" s="497"/>
      <c r="U19" s="498"/>
      <c r="V19" s="23"/>
    </row>
    <row r="20" spans="1:25" s="22" customFormat="1" ht="20.149999999999999" customHeight="1" x14ac:dyDescent="0.3">
      <c r="B20" s="169"/>
      <c r="C20" s="33"/>
      <c r="D20" s="172"/>
      <c r="E20" s="515"/>
      <c r="F20" s="388"/>
      <c r="G20" s="388"/>
      <c r="H20" s="388"/>
      <c r="I20" s="388"/>
      <c r="J20" s="388"/>
      <c r="K20" s="388"/>
      <c r="L20" s="388"/>
      <c r="M20" s="399"/>
      <c r="N20" s="393"/>
      <c r="O20" s="393"/>
      <c r="P20" s="393"/>
      <c r="Q20" s="394"/>
      <c r="R20" s="534"/>
      <c r="S20" s="480"/>
      <c r="T20" s="480"/>
      <c r="U20" s="481"/>
    </row>
    <row r="21" spans="1:25" ht="20.149999999999999" customHeight="1" x14ac:dyDescent="0.3">
      <c r="A21" s="4" t="s">
        <v>20</v>
      </c>
      <c r="B21" s="174"/>
      <c r="C21" s="41"/>
      <c r="D21" s="171"/>
      <c r="E21" s="387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20.149999999999999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14031177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-N25/1.11*11%</f>
        <v>-1390476.9999999998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N25+N28</f>
        <v>14031177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505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45930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5">
    <mergeCell ref="F66:O66"/>
    <mergeCell ref="P60:S60"/>
    <mergeCell ref="P61:S61"/>
    <mergeCell ref="P62:S62"/>
    <mergeCell ref="P63:S63"/>
    <mergeCell ref="P64:S64"/>
    <mergeCell ref="K65:O65"/>
    <mergeCell ref="P65:S65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K25:M25"/>
    <mergeCell ref="N25:Q25"/>
    <mergeCell ref="R25:U25"/>
    <mergeCell ref="B26:D26"/>
    <mergeCell ref="E26:H26"/>
    <mergeCell ref="J26:M26"/>
    <mergeCell ref="R26:U26"/>
    <mergeCell ref="E24:M24"/>
    <mergeCell ref="N24:Q24"/>
    <mergeCell ref="E20:M20"/>
    <mergeCell ref="N20:Q20"/>
    <mergeCell ref="R20:U20"/>
    <mergeCell ref="E21:M21"/>
    <mergeCell ref="N21:Q21"/>
    <mergeCell ref="R21:U21"/>
    <mergeCell ref="E22:M22"/>
    <mergeCell ref="N22:Q22"/>
    <mergeCell ref="R22:U22"/>
    <mergeCell ref="E23:M23"/>
    <mergeCell ref="N23:Q23"/>
    <mergeCell ref="B18:D18"/>
    <mergeCell ref="E18:M18"/>
    <mergeCell ref="N18:Q18"/>
    <mergeCell ref="R18:U18"/>
    <mergeCell ref="B19:D19"/>
    <mergeCell ref="E19:M19"/>
    <mergeCell ref="N19:Q19"/>
    <mergeCell ref="R19:U19"/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</mergeCells>
  <printOptions horizontalCentered="1"/>
  <pageMargins left="0.38" right="0.47244094488188998" top="0.74803149606299202" bottom="0.37" header="0.31496062992126" footer="0.31496062992126"/>
  <pageSetup scale="8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69"/>
  <sheetViews>
    <sheetView showGridLines="0" tabSelected="1" view="pageBreakPreview" topLeftCell="A19" zoomScaleSheetLayoutView="100" workbookViewId="0">
      <selection activeCell="E45" sqref="E45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5.7265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19.81640625" style="128" customWidth="1"/>
    <col min="20" max="20" width="26" style="129" customWidth="1"/>
    <col min="21" max="21" width="16" style="130" customWidth="1"/>
    <col min="22" max="22" width="29.26953125" style="131" customWidth="1"/>
    <col min="23" max="27" width="8" style="86" customWidth="1"/>
    <col min="28" max="16384" width="9.1796875" style="86"/>
  </cols>
  <sheetData>
    <row r="1" spans="2:24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2:24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2:24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2:24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2:24" x14ac:dyDescent="0.3">
      <c r="B5" s="85"/>
      <c r="J5" s="193"/>
      <c r="K5" s="193"/>
      <c r="L5" s="193"/>
      <c r="M5" s="193"/>
      <c r="N5" s="89"/>
      <c r="O5" s="89"/>
      <c r="P5" s="89"/>
      <c r="Q5" s="88"/>
      <c r="X5" s="86" t="s">
        <v>21</v>
      </c>
    </row>
    <row r="6" spans="2:24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2:24" ht="23.25" customHeight="1" x14ac:dyDescent="0.3">
      <c r="B7" s="85"/>
      <c r="G7" s="94" t="s">
        <v>14</v>
      </c>
      <c r="H7" s="95" t="s">
        <v>7</v>
      </c>
      <c r="I7" s="434" t="s">
        <v>692</v>
      </c>
      <c r="J7" s="434"/>
      <c r="K7" s="434"/>
      <c r="L7" s="434"/>
      <c r="M7" s="434"/>
      <c r="N7" s="89"/>
      <c r="O7" s="89"/>
      <c r="P7" s="89"/>
      <c r="Q7" s="88"/>
      <c r="T7" s="129">
        <v>9866000</v>
      </c>
    </row>
    <row r="8" spans="2:24" x14ac:dyDescent="0.3">
      <c r="B8" s="85"/>
      <c r="I8" s="86" t="s">
        <v>22</v>
      </c>
      <c r="J8" s="193"/>
      <c r="K8" s="193"/>
      <c r="L8" s="193"/>
      <c r="M8" s="193"/>
      <c r="N8" s="89"/>
      <c r="O8" s="89"/>
      <c r="P8" s="89"/>
      <c r="Q8" s="88"/>
      <c r="T8" s="129">
        <v>50000</v>
      </c>
    </row>
    <row r="9" spans="2:24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 t="s">
        <v>87</v>
      </c>
      <c r="T9" s="129">
        <v>150000</v>
      </c>
    </row>
    <row r="10" spans="2:24" ht="24" customHeight="1" x14ac:dyDescent="0.3">
      <c r="B10" s="85"/>
      <c r="D10" s="86" t="s">
        <v>3</v>
      </c>
      <c r="H10" s="86" t="s">
        <v>7</v>
      </c>
      <c r="I10" s="436">
        <v>46017</v>
      </c>
      <c r="J10" s="436"/>
      <c r="K10" s="436"/>
      <c r="L10" s="436"/>
      <c r="M10" s="436"/>
      <c r="N10" s="436"/>
      <c r="O10" s="89"/>
      <c r="P10" s="89"/>
      <c r="Q10" s="88"/>
    </row>
    <row r="11" spans="2:24" ht="33.75" customHeight="1" thickBot="1" x14ac:dyDescent="0.35">
      <c r="B11" s="85"/>
      <c r="D11" s="86" t="s">
        <v>4</v>
      </c>
      <c r="H11" s="86" t="s">
        <v>7</v>
      </c>
      <c r="I11" s="437" t="s">
        <v>693</v>
      </c>
      <c r="J11" s="437"/>
      <c r="K11" s="437"/>
      <c r="L11" s="437"/>
      <c r="M11" s="437"/>
      <c r="N11" s="437"/>
      <c r="O11" s="89"/>
      <c r="P11" s="89"/>
      <c r="Q11" s="88"/>
      <c r="R11" s="142"/>
    </row>
    <row r="12" spans="2:24" ht="24" customHeight="1" x14ac:dyDescent="0.3">
      <c r="B12" s="85"/>
      <c r="D12" s="86" t="s">
        <v>5</v>
      </c>
      <c r="H12" s="86" t="s">
        <v>7</v>
      </c>
      <c r="I12" s="438">
        <f>N42</f>
        <v>59632405.399999999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128">
        <v>820793469</v>
      </c>
      <c r="T12" s="133"/>
    </row>
    <row r="13" spans="2:24" ht="24" customHeight="1" x14ac:dyDescent="0.3"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U13" s="136"/>
    </row>
    <row r="14" spans="2:24" ht="14.5" thickBot="1" x14ac:dyDescent="0.35"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S14" s="128">
        <f>238869327-192000000</f>
        <v>46869327</v>
      </c>
      <c r="U14" s="136"/>
    </row>
    <row r="15" spans="2:24" s="121" customFormat="1" ht="21" customHeight="1" thickBot="1" x14ac:dyDescent="0.35">
      <c r="B15" s="441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137"/>
      <c r="S15" s="128"/>
      <c r="T15" s="138"/>
      <c r="U15" s="139"/>
      <c r="V15" s="140"/>
    </row>
    <row r="16" spans="2:24" ht="12.75" customHeight="1" thickBot="1" x14ac:dyDescent="0.35">
      <c r="B16" s="145"/>
      <c r="C16" s="109"/>
      <c r="D16" s="146"/>
      <c r="J16" s="86"/>
      <c r="K16" s="86"/>
      <c r="L16" s="86"/>
      <c r="M16" s="141"/>
      <c r="N16" s="446"/>
      <c r="O16" s="444"/>
      <c r="P16" s="444"/>
      <c r="Q16" s="445"/>
      <c r="R16" s="142"/>
      <c r="S16" s="143">
        <v>105653000</v>
      </c>
    </row>
    <row r="17" spans="1:25" ht="24" customHeight="1" x14ac:dyDescent="0.3">
      <c r="B17" s="428" t="s">
        <v>143</v>
      </c>
      <c r="C17" s="397"/>
      <c r="D17" s="398"/>
      <c r="E17" s="546" t="s">
        <v>302</v>
      </c>
      <c r="F17" s="547"/>
      <c r="G17" s="547"/>
      <c r="H17" s="547"/>
      <c r="I17" s="547"/>
      <c r="J17" s="547"/>
      <c r="K17" s="547"/>
      <c r="L17" s="547"/>
      <c r="M17" s="548"/>
      <c r="N17" s="450">
        <f>0+5000</f>
        <v>5000</v>
      </c>
      <c r="O17" s="451"/>
      <c r="P17" s="451"/>
      <c r="Q17" s="452"/>
      <c r="R17" s="144"/>
      <c r="S17" s="128">
        <f>I12-S16</f>
        <v>-46020594.600000001</v>
      </c>
    </row>
    <row r="18" spans="1:25" ht="23.25" customHeight="1" thickBot="1" x14ac:dyDescent="0.35">
      <c r="B18" s="389" t="s">
        <v>146</v>
      </c>
      <c r="C18" s="397"/>
      <c r="D18" s="398"/>
      <c r="E18" s="387" t="s">
        <v>144</v>
      </c>
      <c r="F18" s="388"/>
      <c r="G18" s="388"/>
      <c r="H18" s="388"/>
      <c r="I18" s="388"/>
      <c r="J18" s="388"/>
      <c r="K18" s="388"/>
      <c r="L18" s="388"/>
      <c r="M18" s="399"/>
      <c r="N18" s="392">
        <f>24600000+32045000</f>
        <v>56645000</v>
      </c>
      <c r="O18" s="393"/>
      <c r="P18" s="393"/>
      <c r="Q18" s="394"/>
      <c r="R18" s="96"/>
      <c r="S18" s="96"/>
      <c r="T18" s="96"/>
      <c r="U18" s="97"/>
      <c r="V18" s="147"/>
    </row>
    <row r="19" spans="1:25" s="121" customFormat="1" ht="20.149999999999999" customHeight="1" x14ac:dyDescent="0.35">
      <c r="B19" s="389" t="s">
        <v>147</v>
      </c>
      <c r="C19" s="397"/>
      <c r="D19" s="398"/>
      <c r="E19" s="400" t="s">
        <v>694</v>
      </c>
      <c r="F19" s="401"/>
      <c r="G19" s="401"/>
      <c r="H19" s="401"/>
      <c r="I19" s="401"/>
      <c r="J19" s="401"/>
      <c r="K19" s="401"/>
      <c r="L19" s="401"/>
      <c r="M19" s="402"/>
      <c r="N19" s="392">
        <v>250000</v>
      </c>
      <c r="O19" s="393"/>
      <c r="P19" s="393"/>
      <c r="Q19" s="394"/>
      <c r="R19" s="148"/>
      <c r="S19" s="143"/>
      <c r="T19" s="138"/>
      <c r="U19" s="139"/>
      <c r="V19" s="149"/>
    </row>
    <row r="20" spans="1:25" s="121" customFormat="1" ht="20.149999999999999" hidden="1" customHeight="1" x14ac:dyDescent="0.35">
      <c r="B20" s="389" t="s">
        <v>488</v>
      </c>
      <c r="C20" s="397"/>
      <c r="D20" s="398"/>
      <c r="E20" s="400" t="s">
        <v>489</v>
      </c>
      <c r="F20" s="401"/>
      <c r="G20" s="401"/>
      <c r="H20" s="401"/>
      <c r="I20" s="401"/>
      <c r="J20" s="401"/>
      <c r="K20" s="401"/>
      <c r="L20" s="401"/>
      <c r="M20" s="402"/>
      <c r="N20" s="392"/>
      <c r="O20" s="393"/>
      <c r="P20" s="393"/>
      <c r="Q20" s="394"/>
      <c r="R20" s="137"/>
      <c r="S20" s="143"/>
      <c r="T20" s="138"/>
      <c r="U20" s="139"/>
      <c r="V20" s="149"/>
    </row>
    <row r="21" spans="1:25" s="98" customFormat="1" ht="20.149999999999999" customHeight="1" x14ac:dyDescent="0.3">
      <c r="B21" s="389" t="s">
        <v>148</v>
      </c>
      <c r="C21" s="397"/>
      <c r="D21" s="398"/>
      <c r="E21" s="515" t="s">
        <v>453</v>
      </c>
      <c r="F21" s="545"/>
      <c r="G21" s="545"/>
      <c r="H21" s="545"/>
      <c r="I21" s="545"/>
      <c r="J21" s="545"/>
      <c r="K21" s="545"/>
      <c r="L21" s="545"/>
      <c r="M21" s="542"/>
      <c r="N21" s="392">
        <f>1137647+1429243+469116</f>
        <v>3036006</v>
      </c>
      <c r="O21" s="393"/>
      <c r="P21" s="393"/>
      <c r="Q21" s="394"/>
      <c r="R21" s="150"/>
      <c r="S21" s="151"/>
      <c r="T21" s="129"/>
      <c r="U21" s="130"/>
      <c r="V21" s="147"/>
    </row>
    <row r="22" spans="1:25" s="98" customFormat="1" ht="20.149999999999999" customHeight="1" thickBot="1" x14ac:dyDescent="0.35">
      <c r="B22" s="389" t="s">
        <v>149</v>
      </c>
      <c r="C22" s="390"/>
      <c r="D22" s="391"/>
      <c r="E22" s="515" t="s">
        <v>239</v>
      </c>
      <c r="F22" s="545"/>
      <c r="G22" s="545"/>
      <c r="H22" s="545"/>
      <c r="I22" s="545"/>
      <c r="J22" s="545"/>
      <c r="K22" s="545"/>
      <c r="L22" s="545"/>
      <c r="M22" s="542"/>
      <c r="N22" s="392">
        <f>-N21*10%</f>
        <v>-303600.60000000003</v>
      </c>
      <c r="O22" s="393"/>
      <c r="P22" s="393"/>
      <c r="Q22" s="394"/>
      <c r="R22" s="150"/>
      <c r="S22" s="151">
        <f>18562067+22427685</f>
        <v>40989752</v>
      </c>
      <c r="T22" s="220"/>
      <c r="U22" s="130"/>
      <c r="V22" s="147"/>
    </row>
    <row r="23" spans="1:25" ht="20.149999999999999" customHeight="1" thickBot="1" x14ac:dyDescent="0.35">
      <c r="A23" s="86" t="s">
        <v>22</v>
      </c>
      <c r="B23" s="389" t="s">
        <v>188</v>
      </c>
      <c r="C23" s="397"/>
      <c r="D23" s="398"/>
      <c r="E23" s="515" t="s">
        <v>410</v>
      </c>
      <c r="F23" s="545"/>
      <c r="G23" s="545"/>
      <c r="H23" s="545"/>
      <c r="I23" s="545"/>
      <c r="J23" s="545"/>
      <c r="K23" s="545"/>
      <c r="L23" s="545"/>
      <c r="M23" s="542"/>
      <c r="N23" s="392">
        <v>0</v>
      </c>
      <c r="O23" s="393"/>
      <c r="P23" s="393"/>
      <c r="Q23" s="394"/>
      <c r="R23" s="144"/>
      <c r="V23" s="147"/>
    </row>
    <row r="24" spans="1:25" ht="20.149999999999999" customHeight="1" thickBot="1" x14ac:dyDescent="0.35">
      <c r="B24" s="389" t="s">
        <v>376</v>
      </c>
      <c r="C24" s="397"/>
      <c r="D24" s="398"/>
      <c r="E24" s="549" t="s">
        <v>431</v>
      </c>
      <c r="F24" s="550"/>
      <c r="G24" s="550"/>
      <c r="H24" s="550"/>
      <c r="I24" s="550"/>
      <c r="J24" s="550"/>
      <c r="K24" s="550"/>
      <c r="L24" s="550"/>
      <c r="M24" s="551"/>
      <c r="N24" s="392">
        <v>0</v>
      </c>
      <c r="O24" s="393"/>
      <c r="P24" s="393"/>
      <c r="Q24" s="394"/>
      <c r="R24" s="219"/>
      <c r="V24" s="147"/>
    </row>
    <row r="25" spans="1:25" ht="20.149999999999999" customHeight="1" thickTop="1" x14ac:dyDescent="0.3">
      <c r="B25" s="389" t="s">
        <v>165</v>
      </c>
      <c r="C25" s="390"/>
      <c r="D25" s="391"/>
      <c r="E25" s="515" t="s">
        <v>469</v>
      </c>
      <c r="F25" s="545"/>
      <c r="G25" s="545"/>
      <c r="H25" s="545"/>
      <c r="I25" s="545"/>
      <c r="J25" s="545"/>
      <c r="K25" s="545"/>
      <c r="L25" s="545"/>
      <c r="M25" s="542"/>
      <c r="N25" s="392">
        <v>0</v>
      </c>
      <c r="O25" s="393"/>
      <c r="P25" s="393"/>
      <c r="Q25" s="394"/>
      <c r="U25" s="217"/>
      <c r="V25" s="218"/>
    </row>
    <row r="26" spans="1:25" s="98" customFormat="1" ht="20.149999999999999" customHeight="1" thickBot="1" x14ac:dyDescent="0.35">
      <c r="B26" s="389" t="s">
        <v>485</v>
      </c>
      <c r="C26" s="397"/>
      <c r="D26" s="398"/>
      <c r="E26" s="552" t="s">
        <v>484</v>
      </c>
      <c r="F26" s="553"/>
      <c r="G26" s="553"/>
      <c r="H26" s="553"/>
      <c r="I26" s="553"/>
      <c r="J26" s="553"/>
      <c r="K26" s="553"/>
      <c r="L26" s="553"/>
      <c r="M26" s="553"/>
      <c r="N26" s="392">
        <v>0</v>
      </c>
      <c r="O26" s="393"/>
      <c r="P26" s="393"/>
      <c r="Q26" s="394"/>
      <c r="R26" s="181"/>
      <c r="S26" s="151"/>
      <c r="T26" s="129"/>
      <c r="U26" s="130"/>
      <c r="V26" s="147"/>
    </row>
    <row r="27" spans="1:25" ht="20.149999999999999" customHeight="1" thickBot="1" x14ac:dyDescent="0.35">
      <c r="B27" s="389" t="s">
        <v>486</v>
      </c>
      <c r="C27" s="397"/>
      <c r="D27" s="398"/>
      <c r="E27" s="515" t="s">
        <v>487</v>
      </c>
      <c r="F27" s="545"/>
      <c r="G27" s="545"/>
      <c r="H27" s="545"/>
      <c r="I27" s="545"/>
      <c r="J27" s="545"/>
      <c r="K27" s="545"/>
      <c r="L27" s="545"/>
      <c r="M27" s="542"/>
      <c r="N27" s="392">
        <v>0</v>
      </c>
      <c r="O27" s="393"/>
      <c r="P27" s="393"/>
      <c r="Q27" s="394"/>
      <c r="R27" s="152"/>
      <c r="V27" s="147"/>
    </row>
    <row r="28" spans="1:25" ht="20.149999999999999" customHeight="1" thickBot="1" x14ac:dyDescent="0.35">
      <c r="B28" s="230"/>
      <c r="C28" s="194"/>
      <c r="D28" s="210"/>
      <c r="E28" s="515"/>
      <c r="F28" s="545"/>
      <c r="G28" s="545"/>
      <c r="H28" s="545"/>
      <c r="I28" s="545"/>
      <c r="J28" s="545"/>
      <c r="K28" s="545"/>
      <c r="L28" s="545"/>
      <c r="M28" s="542"/>
      <c r="N28" s="392"/>
      <c r="O28" s="393"/>
      <c r="P28" s="393"/>
      <c r="Q28" s="394"/>
      <c r="R28" s="152"/>
      <c r="V28" s="147"/>
    </row>
    <row r="29" spans="1:25" ht="20.149999999999999" customHeight="1" thickBot="1" x14ac:dyDescent="0.35">
      <c r="B29" s="428"/>
      <c r="C29" s="397"/>
      <c r="D29" s="398"/>
      <c r="E29" s="562" t="s">
        <v>198</v>
      </c>
      <c r="F29" s="563"/>
      <c r="G29" s="563"/>
      <c r="H29" s="563"/>
      <c r="I29" s="563"/>
      <c r="J29" s="563"/>
      <c r="K29" s="563"/>
      <c r="L29" s="563"/>
      <c r="M29" s="564"/>
      <c r="N29" s="423">
        <f>N17+N18+N19+N20+N21+N22+N23+N24+N25+N26+N27+N28</f>
        <v>59632405.399999999</v>
      </c>
      <c r="O29" s="423"/>
      <c r="P29" s="423"/>
      <c r="Q29" s="424"/>
      <c r="R29" s="152">
        <f>23601025+22346519</f>
        <v>45947544</v>
      </c>
    </row>
    <row r="30" spans="1:25" ht="20.149999999999999" customHeight="1" thickBot="1" x14ac:dyDescent="0.35">
      <c r="A30" s="141"/>
      <c r="B30" s="389"/>
      <c r="C30" s="397"/>
      <c r="D30" s="398"/>
      <c r="E30" s="387"/>
      <c r="F30" s="388"/>
      <c r="G30" s="388"/>
      <c r="H30" s="388"/>
      <c r="I30" s="388"/>
      <c r="J30" s="388"/>
      <c r="K30" s="388"/>
      <c r="L30" s="388"/>
      <c r="M30" s="399"/>
      <c r="N30" s="393"/>
      <c r="O30" s="393"/>
      <c r="P30" s="393"/>
      <c r="Q30" s="394"/>
      <c r="R30" s="152"/>
    </row>
    <row r="31" spans="1:25" ht="20.149999999999999" customHeight="1" thickBot="1" x14ac:dyDescent="0.35">
      <c r="A31" s="141"/>
      <c r="B31" s="389"/>
      <c r="C31" s="397"/>
      <c r="D31" s="398"/>
      <c r="E31" s="400"/>
      <c r="F31" s="401"/>
      <c r="G31" s="401"/>
      <c r="H31" s="401"/>
      <c r="I31" s="401"/>
      <c r="J31" s="401"/>
      <c r="K31" s="401"/>
      <c r="L31" s="401"/>
      <c r="M31" s="402"/>
      <c r="N31" s="393"/>
      <c r="O31" s="393"/>
      <c r="P31" s="393"/>
      <c r="Q31" s="394"/>
      <c r="R31" s="152"/>
    </row>
    <row r="32" spans="1:25" ht="23.25" customHeight="1" x14ac:dyDescent="0.3">
      <c r="A32" s="141"/>
      <c r="B32" s="389"/>
      <c r="C32" s="397"/>
      <c r="D32" s="398"/>
      <c r="E32" s="515"/>
      <c r="F32" s="545"/>
      <c r="G32" s="545"/>
      <c r="H32" s="545"/>
      <c r="I32" s="545"/>
      <c r="J32" s="545"/>
      <c r="K32" s="545"/>
      <c r="L32" s="545"/>
      <c r="M32" s="542"/>
      <c r="N32" s="393"/>
      <c r="O32" s="393"/>
      <c r="P32" s="393"/>
      <c r="Q32" s="394"/>
      <c r="V32" s="100"/>
      <c r="W32" s="101"/>
      <c r="X32" s="101"/>
      <c r="Y32" s="102"/>
    </row>
    <row r="33" spans="1:25" ht="23.25" customHeight="1" x14ac:dyDescent="0.3">
      <c r="A33" s="141"/>
      <c r="B33" s="389"/>
      <c r="C33" s="397"/>
      <c r="D33" s="398"/>
      <c r="E33" s="400" t="s">
        <v>22</v>
      </c>
      <c r="F33" s="401"/>
      <c r="G33" s="401"/>
      <c r="H33" s="401"/>
      <c r="I33" s="401"/>
      <c r="J33" s="401"/>
      <c r="K33" s="401"/>
      <c r="L33" s="401"/>
      <c r="M33" s="402"/>
      <c r="N33" s="393"/>
      <c r="O33" s="393"/>
      <c r="P33" s="393"/>
      <c r="Q33" s="394"/>
      <c r="V33" s="100"/>
      <c r="W33" s="101"/>
      <c r="X33" s="101"/>
      <c r="Y33" s="102"/>
    </row>
    <row r="34" spans="1:25" ht="23.25" customHeight="1" x14ac:dyDescent="0.3">
      <c r="A34" s="141"/>
      <c r="B34" s="540"/>
      <c r="C34" s="541"/>
      <c r="D34" s="541"/>
      <c r="E34" s="542"/>
      <c r="F34" s="543"/>
      <c r="G34" s="543"/>
      <c r="H34" s="543"/>
      <c r="I34" s="543"/>
      <c r="J34" s="543"/>
      <c r="K34" s="543"/>
      <c r="L34" s="543"/>
      <c r="M34" s="543"/>
      <c r="N34" s="544"/>
      <c r="O34" s="544"/>
      <c r="P34" s="544"/>
      <c r="Q34" s="544"/>
      <c r="V34" s="100"/>
      <c r="W34" s="101"/>
      <c r="X34" s="101"/>
      <c r="Y34" s="102"/>
    </row>
    <row r="35" spans="1:25" ht="23.25" customHeight="1" x14ac:dyDescent="0.3">
      <c r="A35" s="141"/>
      <c r="B35" s="230"/>
      <c r="C35" s="194"/>
      <c r="D35" s="210"/>
      <c r="E35" s="226"/>
      <c r="F35" s="226"/>
      <c r="G35" s="226"/>
      <c r="H35" s="226"/>
      <c r="I35" s="559"/>
      <c r="J35" s="559"/>
      <c r="K35" s="559"/>
      <c r="L35" s="559"/>
      <c r="M35" s="560"/>
      <c r="N35" s="544"/>
      <c r="O35" s="544"/>
      <c r="P35" s="544"/>
      <c r="Q35" s="544"/>
      <c r="V35" s="100"/>
      <c r="W35" s="101"/>
      <c r="X35" s="101"/>
      <c r="Y35" s="102"/>
    </row>
    <row r="36" spans="1:25" ht="23.25" customHeight="1" x14ac:dyDescent="0.3">
      <c r="A36" s="141"/>
      <c r="B36" s="389"/>
      <c r="C36" s="397"/>
      <c r="D36" s="398"/>
      <c r="E36" s="550"/>
      <c r="F36" s="550"/>
      <c r="G36" s="550"/>
      <c r="H36" s="550"/>
      <c r="I36" s="550"/>
      <c r="J36" s="550"/>
      <c r="K36" s="550"/>
      <c r="L36" s="550"/>
      <c r="M36" s="551"/>
      <c r="N36" s="544"/>
      <c r="O36" s="544"/>
      <c r="P36" s="544"/>
      <c r="Q36" s="544"/>
      <c r="V36" s="100"/>
      <c r="W36" s="101"/>
      <c r="X36" s="101"/>
      <c r="Y36" s="102"/>
    </row>
    <row r="37" spans="1:25" ht="23.25" customHeight="1" x14ac:dyDescent="0.3">
      <c r="A37" s="141"/>
      <c r="B37" s="389"/>
      <c r="C37" s="390"/>
      <c r="D37" s="391"/>
      <c r="E37" s="226"/>
      <c r="F37" s="226"/>
      <c r="G37" s="226"/>
      <c r="H37" s="226"/>
      <c r="I37" s="228"/>
      <c r="J37" s="228"/>
      <c r="K37" s="228"/>
      <c r="L37" s="228"/>
      <c r="M37" s="229"/>
      <c r="N37" s="544"/>
      <c r="O37" s="544"/>
      <c r="P37" s="544"/>
      <c r="Q37" s="544"/>
      <c r="V37" s="100"/>
      <c r="W37" s="101"/>
      <c r="X37" s="101"/>
      <c r="Y37" s="102"/>
    </row>
    <row r="38" spans="1:25" ht="23.25" customHeight="1" x14ac:dyDescent="0.3">
      <c r="A38" s="141"/>
      <c r="B38" s="230"/>
      <c r="C38" s="225"/>
      <c r="D38" s="227"/>
      <c r="E38" s="226"/>
      <c r="F38" s="226"/>
      <c r="G38" s="226"/>
      <c r="H38" s="226"/>
      <c r="I38" s="557"/>
      <c r="J38" s="557"/>
      <c r="K38" s="557"/>
      <c r="L38" s="557"/>
      <c r="M38" s="558"/>
      <c r="N38" s="544"/>
      <c r="O38" s="544"/>
      <c r="P38" s="544"/>
      <c r="Q38" s="544"/>
      <c r="V38" s="100"/>
      <c r="W38" s="101"/>
      <c r="X38" s="101"/>
      <c r="Y38" s="102"/>
    </row>
    <row r="39" spans="1:25" x14ac:dyDescent="0.3">
      <c r="A39" s="141"/>
      <c r="B39" s="230"/>
      <c r="C39" s="194"/>
      <c r="D39" s="210"/>
      <c r="E39" s="226"/>
      <c r="F39" s="226"/>
      <c r="G39" s="226"/>
      <c r="H39" s="226"/>
      <c r="I39" s="554"/>
      <c r="J39" s="554"/>
      <c r="K39" s="554"/>
      <c r="L39" s="554"/>
      <c r="M39" s="555"/>
      <c r="N39" s="556"/>
      <c r="O39" s="556"/>
      <c r="P39" s="556"/>
      <c r="Q39" s="556"/>
      <c r="V39" s="100"/>
      <c r="W39" s="101"/>
      <c r="X39" s="101"/>
      <c r="Y39" s="102"/>
    </row>
    <row r="40" spans="1:25" ht="14.5" thickBot="1" x14ac:dyDescent="0.35">
      <c r="A40" s="141"/>
      <c r="B40" s="153"/>
      <c r="C40" s="154"/>
      <c r="D40" s="155"/>
      <c r="E40" s="156"/>
      <c r="F40" s="156"/>
      <c r="G40" s="156"/>
      <c r="H40" s="156"/>
      <c r="I40" s="156"/>
      <c r="J40" s="156"/>
      <c r="K40" s="156"/>
      <c r="L40" s="156"/>
      <c r="M40" s="157"/>
      <c r="N40" s="463"/>
      <c r="O40" s="395"/>
      <c r="P40" s="395"/>
      <c r="Q40" s="396"/>
      <c r="R40" s="127">
        <v>30448700</v>
      </c>
      <c r="V40" s="403"/>
      <c r="W40" s="404"/>
      <c r="X40" s="404"/>
      <c r="Y40" s="405"/>
    </row>
    <row r="41" spans="1:25" x14ac:dyDescent="0.3">
      <c r="A41" s="141"/>
      <c r="B41" s="85"/>
      <c r="J41" s="193"/>
      <c r="K41" s="193"/>
      <c r="L41" s="193"/>
      <c r="M41" s="193"/>
      <c r="N41" s="158"/>
      <c r="O41" s="158"/>
      <c r="P41" s="158"/>
      <c r="Q41" s="159"/>
      <c r="R41" s="127">
        <f>R40-21560000</f>
        <v>8888700</v>
      </c>
    </row>
    <row r="42" spans="1:25" x14ac:dyDescent="0.3">
      <c r="A42" s="141"/>
      <c r="B42" s="85"/>
      <c r="J42" s="406" t="s">
        <v>9</v>
      </c>
      <c r="K42" s="406"/>
      <c r="L42" s="406"/>
      <c r="M42" s="406"/>
      <c r="N42" s="407">
        <f>N29</f>
        <v>59632405.399999999</v>
      </c>
      <c r="O42" s="407"/>
      <c r="P42" s="407"/>
      <c r="Q42" s="408"/>
    </row>
    <row r="43" spans="1:25" s="121" customFormat="1" ht="31.5" customHeight="1" x14ac:dyDescent="0.3">
      <c r="A43" s="196"/>
      <c r="B43" s="85"/>
      <c r="C43" s="86"/>
      <c r="D43" s="86"/>
      <c r="E43" s="86"/>
      <c r="F43" s="86"/>
      <c r="G43" s="86"/>
      <c r="H43" s="86"/>
      <c r="I43" s="86"/>
      <c r="J43" s="193"/>
      <c r="K43" s="193"/>
      <c r="L43" s="193"/>
      <c r="M43" s="193"/>
      <c r="N43" s="89" t="s">
        <v>22</v>
      </c>
      <c r="O43" s="89"/>
      <c r="P43" s="89"/>
      <c r="Q43" s="88"/>
      <c r="R43" s="137"/>
      <c r="S43" s="128"/>
      <c r="T43" s="138"/>
      <c r="U43" s="139"/>
      <c r="V43" s="131"/>
    </row>
    <row r="44" spans="1:25" ht="28.5" customHeight="1" x14ac:dyDescent="0.3">
      <c r="A44" s="141"/>
      <c r="B44" s="160"/>
      <c r="C44" s="121"/>
      <c r="D44" s="99" t="s">
        <v>13</v>
      </c>
      <c r="E44" s="409" t="s">
        <v>695</v>
      </c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10"/>
    </row>
    <row r="45" spans="1:25" x14ac:dyDescent="0.3">
      <c r="A45" s="141"/>
      <c r="B45" s="85"/>
      <c r="E45" s="188" t="s">
        <v>22</v>
      </c>
      <c r="J45" s="193"/>
      <c r="K45" s="193"/>
      <c r="L45" s="193"/>
      <c r="M45" s="193"/>
      <c r="N45" s="89"/>
      <c r="O45" s="89"/>
      <c r="P45" s="89"/>
      <c r="Q45" s="88"/>
    </row>
    <row r="46" spans="1:25" x14ac:dyDescent="0.3">
      <c r="A46" s="141"/>
      <c r="B46" s="85"/>
      <c r="I46" s="86" t="s">
        <v>25</v>
      </c>
      <c r="J46" s="193"/>
      <c r="K46" s="193"/>
      <c r="L46" s="193"/>
      <c r="M46" s="193"/>
      <c r="N46" s="89"/>
      <c r="O46" s="89"/>
      <c r="P46" s="89"/>
      <c r="Q46" s="88"/>
    </row>
    <row r="47" spans="1:25" x14ac:dyDescent="0.3">
      <c r="A47" s="141"/>
      <c r="B47" s="85"/>
      <c r="D47" s="86" t="s">
        <v>11</v>
      </c>
      <c r="E47" s="411">
        <f>I10</f>
        <v>46017</v>
      </c>
      <c r="F47" s="411"/>
      <c r="G47" s="411"/>
      <c r="I47" s="191" t="s">
        <v>10</v>
      </c>
      <c r="J47" s="193"/>
      <c r="K47" s="193"/>
      <c r="L47" s="193"/>
      <c r="M47" s="412" t="s">
        <v>12</v>
      </c>
      <c r="N47" s="412"/>
      <c r="O47" s="413"/>
      <c r="P47" s="413"/>
      <c r="Q47" s="414"/>
    </row>
    <row r="48" spans="1:25" x14ac:dyDescent="0.3">
      <c r="A48" s="141"/>
      <c r="B48" s="85"/>
      <c r="J48" s="193"/>
      <c r="K48" s="193"/>
      <c r="L48" s="193"/>
      <c r="M48" s="193"/>
      <c r="N48" s="89"/>
      <c r="O48" s="89"/>
      <c r="P48" s="89"/>
      <c r="Q48" s="88"/>
      <c r="U48" s="161"/>
    </row>
    <row r="49" spans="1:22" ht="12" customHeight="1" x14ac:dyDescent="0.3">
      <c r="A49" s="141"/>
      <c r="B49" s="85"/>
      <c r="J49" s="193"/>
      <c r="K49" s="193"/>
      <c r="L49" s="193"/>
      <c r="M49" s="193"/>
      <c r="N49" s="89"/>
      <c r="O49" s="89"/>
      <c r="P49" s="89"/>
      <c r="Q49" s="88"/>
    </row>
    <row r="50" spans="1:22" x14ac:dyDescent="0.3">
      <c r="A50" s="141"/>
      <c r="B50" s="85"/>
      <c r="J50" s="193"/>
      <c r="K50" s="193"/>
      <c r="L50" s="193"/>
      <c r="M50" s="193"/>
      <c r="N50" s="89"/>
      <c r="O50" s="89"/>
      <c r="P50" s="89"/>
      <c r="Q50" s="88"/>
    </row>
    <row r="51" spans="1:22" ht="8.25" customHeight="1" x14ac:dyDescent="0.3">
      <c r="A51" s="141"/>
      <c r="B51" s="85"/>
      <c r="J51" s="193"/>
      <c r="K51" s="193"/>
      <c r="L51" s="193"/>
      <c r="M51" s="193"/>
      <c r="N51" s="89"/>
      <c r="O51" s="89"/>
      <c r="P51" s="89"/>
      <c r="Q51" s="88"/>
    </row>
    <row r="52" spans="1:22" ht="15.75" customHeight="1" thickBot="1" x14ac:dyDescent="0.35">
      <c r="A52" s="141"/>
      <c r="B52" s="163"/>
      <c r="C52" s="156" t="s">
        <v>15</v>
      </c>
      <c r="D52" s="561" t="s">
        <v>374</v>
      </c>
      <c r="E52" s="561"/>
      <c r="F52" s="156" t="s">
        <v>16</v>
      </c>
      <c r="G52" s="156"/>
      <c r="H52" s="182" t="s">
        <v>15</v>
      </c>
      <c r="I52" s="231" t="s">
        <v>373</v>
      </c>
      <c r="J52" s="164" t="s">
        <v>16</v>
      </c>
      <c r="K52" s="164"/>
      <c r="L52" s="164" t="s">
        <v>15</v>
      </c>
      <c r="M52" s="561" t="s">
        <v>312</v>
      </c>
      <c r="N52" s="561"/>
      <c r="O52" s="561"/>
      <c r="P52" s="183" t="s">
        <v>16</v>
      </c>
      <c r="Q52" s="166"/>
      <c r="S52" s="167"/>
    </row>
    <row r="53" spans="1:22" ht="14.5" thickBot="1" x14ac:dyDescent="0.35">
      <c r="A53" s="141"/>
      <c r="B53" s="156"/>
      <c r="C53" s="156"/>
      <c r="D53" s="156"/>
      <c r="E53" s="156"/>
      <c r="F53" s="156"/>
      <c r="G53" s="156"/>
      <c r="H53" s="156"/>
      <c r="I53" s="156"/>
      <c r="J53" s="164"/>
      <c r="K53" s="164"/>
      <c r="L53" s="164"/>
      <c r="M53" s="164"/>
      <c r="N53" s="165"/>
      <c r="O53" s="165"/>
      <c r="P53" s="165"/>
      <c r="Q53" s="166"/>
      <c r="S53" s="167"/>
    </row>
    <row r="54" spans="1:22" x14ac:dyDescent="0.3">
      <c r="S54" s="167"/>
    </row>
    <row r="55" spans="1:22" x14ac:dyDescent="0.3">
      <c r="M55" s="134">
        <v>197146984</v>
      </c>
      <c r="S55" s="167"/>
    </row>
    <row r="56" spans="1:22" x14ac:dyDescent="0.3">
      <c r="S56" s="167"/>
    </row>
    <row r="57" spans="1:22" x14ac:dyDescent="0.3">
      <c r="R57" s="127">
        <v>34182000</v>
      </c>
      <c r="S57" s="167"/>
    </row>
    <row r="58" spans="1:22" x14ac:dyDescent="0.3">
      <c r="R58" s="127">
        <v>48687000</v>
      </c>
      <c r="S58" s="167"/>
    </row>
    <row r="59" spans="1:22" x14ac:dyDescent="0.3">
      <c r="F59" s="98" t="s">
        <v>28</v>
      </c>
      <c r="R59" s="127">
        <v>17687000</v>
      </c>
      <c r="S59" s="167">
        <v>16686135</v>
      </c>
    </row>
    <row r="60" spans="1:22" x14ac:dyDescent="0.3">
      <c r="R60" s="127">
        <v>20128582</v>
      </c>
      <c r="S60" s="167">
        <v>19452942</v>
      </c>
      <c r="T60" s="129">
        <f>335*2</f>
        <v>670</v>
      </c>
      <c r="V60" s="131">
        <v>874500</v>
      </c>
    </row>
    <row r="61" spans="1:22" x14ac:dyDescent="0.3">
      <c r="R61" s="127">
        <v>5324994</v>
      </c>
      <c r="S61" s="167">
        <v>25498845</v>
      </c>
      <c r="V61" s="131">
        <v>1080000</v>
      </c>
    </row>
    <row r="62" spans="1:22" s="98" customFormat="1" x14ac:dyDescent="0.3">
      <c r="B62" s="86"/>
      <c r="C62" s="86"/>
      <c r="D62" s="86"/>
      <c r="E62" s="86"/>
      <c r="F62" s="86"/>
      <c r="G62" s="86"/>
      <c r="H62" s="86"/>
      <c r="I62" s="86"/>
      <c r="J62" s="134"/>
      <c r="K62" s="134"/>
      <c r="L62" s="134"/>
      <c r="M62" s="134"/>
      <c r="N62" s="135"/>
      <c r="O62" s="135"/>
      <c r="P62" s="135"/>
      <c r="Q62" s="135"/>
      <c r="R62" s="127">
        <v>31587576</v>
      </c>
      <c r="S62" s="167"/>
      <c r="T62" s="129"/>
      <c r="U62" s="130"/>
      <c r="V62" s="131">
        <f>V60+V61</f>
        <v>1954500</v>
      </c>
    </row>
    <row r="63" spans="1:22" x14ac:dyDescent="0.3">
      <c r="R63" s="127">
        <v>18502000</v>
      </c>
    </row>
    <row r="64" spans="1:22" x14ac:dyDescent="0.3">
      <c r="R64" s="127">
        <f>SUM(R57:R63)</f>
        <v>176099152</v>
      </c>
    </row>
    <row r="65" spans="9:18" x14ac:dyDescent="0.3">
      <c r="Q65" s="135" t="s">
        <v>27</v>
      </c>
      <c r="R65" s="127">
        <v>19750000</v>
      </c>
    </row>
    <row r="66" spans="9:18" x14ac:dyDescent="0.3">
      <c r="R66" s="127">
        <v>417</v>
      </c>
    </row>
    <row r="68" spans="9:18" ht="14.5" thickBot="1" x14ac:dyDescent="0.35"/>
    <row r="69" spans="9:18" x14ac:dyDescent="0.3">
      <c r="I69" s="123"/>
    </row>
  </sheetData>
  <mergeCells count="86">
    <mergeCell ref="D52:E52"/>
    <mergeCell ref="M52:O52"/>
    <mergeCell ref="N40:Q40"/>
    <mergeCell ref="B29:D29"/>
    <mergeCell ref="E29:M29"/>
    <mergeCell ref="N29:Q29"/>
    <mergeCell ref="B30:D30"/>
    <mergeCell ref="E30:M30"/>
    <mergeCell ref="N30:Q30"/>
    <mergeCell ref="B31:D31"/>
    <mergeCell ref="E31:M31"/>
    <mergeCell ref="N31:Q31"/>
    <mergeCell ref="B32:D32"/>
    <mergeCell ref="E32:M32"/>
    <mergeCell ref="J42:M42"/>
    <mergeCell ref="N42:Q42"/>
    <mergeCell ref="E44:Q44"/>
    <mergeCell ref="E47:G47"/>
    <mergeCell ref="M47:N47"/>
    <mergeCell ref="O47:Q47"/>
    <mergeCell ref="B27:D27"/>
    <mergeCell ref="N36:Q36"/>
    <mergeCell ref="B25:D25"/>
    <mergeCell ref="N25:Q25"/>
    <mergeCell ref="E26:M26"/>
    <mergeCell ref="V40:Y40"/>
    <mergeCell ref="E28:M28"/>
    <mergeCell ref="N28:Q28"/>
    <mergeCell ref="B37:D37"/>
    <mergeCell ref="I39:M39"/>
    <mergeCell ref="N39:Q39"/>
    <mergeCell ref="N37:Q37"/>
    <mergeCell ref="N38:Q38"/>
    <mergeCell ref="I38:M38"/>
    <mergeCell ref="I35:M35"/>
    <mergeCell ref="N35:Q35"/>
    <mergeCell ref="B36:D36"/>
    <mergeCell ref="E36:M36"/>
    <mergeCell ref="N24:Q24"/>
    <mergeCell ref="E27:M27"/>
    <mergeCell ref="N27:Q27"/>
    <mergeCell ref="E25:M25"/>
    <mergeCell ref="N32:Q32"/>
    <mergeCell ref="B19:D19"/>
    <mergeCell ref="E19:M19"/>
    <mergeCell ref="N19:Q19"/>
    <mergeCell ref="B26:D26"/>
    <mergeCell ref="N26:Q26"/>
    <mergeCell ref="E23:M23"/>
    <mergeCell ref="B23:D23"/>
    <mergeCell ref="B22:D22"/>
    <mergeCell ref="E22:M22"/>
    <mergeCell ref="N22:Q22"/>
    <mergeCell ref="B20:D20"/>
    <mergeCell ref="E20:M20"/>
    <mergeCell ref="N20:Q20"/>
    <mergeCell ref="N23:Q23"/>
    <mergeCell ref="B24:D24"/>
    <mergeCell ref="E24:M24"/>
    <mergeCell ref="D3:O3"/>
    <mergeCell ref="I7:M7"/>
    <mergeCell ref="I9:N9"/>
    <mergeCell ref="I10:N10"/>
    <mergeCell ref="I11:N11"/>
    <mergeCell ref="I12:N12"/>
    <mergeCell ref="I14:N14"/>
    <mergeCell ref="B15:D15"/>
    <mergeCell ref="E15:M15"/>
    <mergeCell ref="N15:Q15"/>
    <mergeCell ref="I13:N13"/>
    <mergeCell ref="N16:Q16"/>
    <mergeCell ref="B33:D33"/>
    <mergeCell ref="E33:M33"/>
    <mergeCell ref="N33:Q33"/>
    <mergeCell ref="B34:D34"/>
    <mergeCell ref="E34:M34"/>
    <mergeCell ref="N34:Q34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</mergeCells>
  <printOptions horizontalCentered="1" verticalCentered="1"/>
  <pageMargins left="0" right="0" top="0" bottom="0" header="0.31496062992125984" footer="0.31496062992125984"/>
  <pageSetup paperSize="9" scale="8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Y60"/>
  <sheetViews>
    <sheetView showGridLines="0" view="pageBreakPreview" zoomScaleSheetLayoutView="100" workbookViewId="0">
      <selection activeCell="R36" sqref="R36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6" style="129" customWidth="1"/>
    <col min="21" max="21" width="16" style="130" customWidth="1"/>
    <col min="22" max="22" width="29.26953125" style="131" customWidth="1"/>
    <col min="23" max="27" width="8" style="86" customWidth="1"/>
    <col min="28" max="16384" width="9.1796875" style="86"/>
  </cols>
  <sheetData>
    <row r="1" spans="2:24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2:24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2:24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2:24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2:24" x14ac:dyDescent="0.3">
      <c r="B5" s="85"/>
      <c r="J5" s="193"/>
      <c r="K5" s="193"/>
      <c r="L5" s="193"/>
      <c r="M5" s="193"/>
      <c r="N5" s="89"/>
      <c r="O5" s="89"/>
      <c r="P5" s="89"/>
      <c r="Q5" s="88"/>
      <c r="X5" s="86" t="s">
        <v>21</v>
      </c>
    </row>
    <row r="6" spans="2:24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2:24" ht="23.25" customHeight="1" x14ac:dyDescent="0.3">
      <c r="B7" s="85"/>
      <c r="G7" s="94" t="s">
        <v>14</v>
      </c>
      <c r="H7" s="95" t="s">
        <v>7</v>
      </c>
      <c r="I7" s="434" t="s">
        <v>696</v>
      </c>
      <c r="J7" s="434"/>
      <c r="K7" s="434"/>
      <c r="L7" s="434"/>
      <c r="M7" s="434"/>
      <c r="N7" s="89"/>
      <c r="O7" s="89"/>
      <c r="P7" s="89"/>
      <c r="Q7" s="88"/>
      <c r="T7" s="129">
        <v>9866000</v>
      </c>
    </row>
    <row r="8" spans="2:24" x14ac:dyDescent="0.3">
      <c r="B8" s="85"/>
      <c r="I8" s="86" t="s">
        <v>22</v>
      </c>
      <c r="J8" s="193"/>
      <c r="K8" s="193"/>
      <c r="L8" s="193"/>
      <c r="M8" s="193"/>
      <c r="N8" s="89"/>
      <c r="O8" s="89"/>
      <c r="P8" s="89"/>
      <c r="Q8" s="88"/>
      <c r="T8" s="129">
        <v>50000</v>
      </c>
    </row>
    <row r="9" spans="2:24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T9" s="129">
        <v>150000</v>
      </c>
    </row>
    <row r="10" spans="2:24" ht="24" customHeight="1" x14ac:dyDescent="0.3">
      <c r="B10" s="85"/>
      <c r="D10" s="86" t="s">
        <v>3</v>
      </c>
      <c r="H10" s="86" t="s">
        <v>7</v>
      </c>
      <c r="I10" s="436">
        <v>46020</v>
      </c>
      <c r="J10" s="436"/>
      <c r="K10" s="436"/>
      <c r="L10" s="436"/>
      <c r="M10" s="436"/>
      <c r="N10" s="436"/>
      <c r="O10" s="89"/>
      <c r="P10" s="89"/>
      <c r="Q10" s="88"/>
    </row>
    <row r="11" spans="2:24" ht="33.75" customHeight="1" thickBot="1" x14ac:dyDescent="0.35">
      <c r="B11" s="85"/>
      <c r="D11" s="86" t="s">
        <v>4</v>
      </c>
      <c r="H11" s="86" t="s">
        <v>7</v>
      </c>
      <c r="I11" s="437" t="s">
        <v>690</v>
      </c>
      <c r="J11" s="437"/>
      <c r="K11" s="437"/>
      <c r="L11" s="437"/>
      <c r="M11" s="437"/>
      <c r="N11" s="437"/>
      <c r="O11" s="89"/>
      <c r="P11" s="89"/>
      <c r="Q11" s="88"/>
      <c r="R11" s="132"/>
    </row>
    <row r="12" spans="2:24" ht="24" customHeight="1" x14ac:dyDescent="0.3">
      <c r="B12" s="85"/>
      <c r="D12" s="86" t="s">
        <v>5</v>
      </c>
      <c r="H12" s="86" t="s">
        <v>7</v>
      </c>
      <c r="I12" s="438">
        <f>N33</f>
        <v>87700000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128">
        <v>820793469</v>
      </c>
      <c r="T12" s="133">
        <f>5000000-55500</f>
        <v>4944500</v>
      </c>
    </row>
    <row r="13" spans="2:24" ht="24" customHeight="1" x14ac:dyDescent="0.3"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T13" s="129">
        <f>5000000*1.11%</f>
        <v>55500</v>
      </c>
      <c r="U13" s="136"/>
    </row>
    <row r="14" spans="2:24" ht="14.5" thickBot="1" x14ac:dyDescent="0.35"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S14" s="128">
        <f>238869327-192000000</f>
        <v>46869327</v>
      </c>
      <c r="U14" s="136"/>
    </row>
    <row r="15" spans="2:24" s="121" customFormat="1" ht="21" customHeight="1" thickBot="1" x14ac:dyDescent="0.35">
      <c r="B15" s="441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137"/>
      <c r="S15" s="128"/>
      <c r="T15" s="138"/>
      <c r="U15" s="139"/>
      <c r="V15" s="140"/>
    </row>
    <row r="16" spans="2:24" ht="12.75" customHeight="1" thickBot="1" x14ac:dyDescent="0.35">
      <c r="B16" s="145"/>
      <c r="C16" s="109"/>
      <c r="D16" s="146"/>
      <c r="J16" s="86"/>
      <c r="K16" s="86"/>
      <c r="L16" s="86"/>
      <c r="M16" s="141"/>
      <c r="N16" s="444"/>
      <c r="O16" s="444"/>
      <c r="P16" s="444"/>
      <c r="Q16" s="445"/>
      <c r="R16" s="142"/>
      <c r="S16" s="143">
        <v>105653000</v>
      </c>
    </row>
    <row r="17" spans="1:25" ht="21.75" customHeight="1" x14ac:dyDescent="0.3">
      <c r="B17" s="447" t="s">
        <v>165</v>
      </c>
      <c r="C17" s="456"/>
      <c r="D17" s="457"/>
      <c r="E17" s="387" t="s">
        <v>228</v>
      </c>
      <c r="F17" s="388"/>
      <c r="G17" s="388"/>
      <c r="H17" s="388"/>
      <c r="I17" s="388"/>
      <c r="J17" s="388"/>
      <c r="K17" s="388"/>
      <c r="L17" s="388"/>
      <c r="M17" s="399"/>
      <c r="N17" s="392">
        <v>40000000</v>
      </c>
      <c r="O17" s="393"/>
      <c r="P17" s="393"/>
      <c r="Q17" s="394"/>
      <c r="R17" s="144"/>
      <c r="S17" s="128">
        <f>I12-S16</f>
        <v>-17953000</v>
      </c>
    </row>
    <row r="18" spans="1:25" ht="23.25" customHeight="1" thickBot="1" x14ac:dyDescent="0.35">
      <c r="B18" s="389" t="s">
        <v>188</v>
      </c>
      <c r="C18" s="397"/>
      <c r="D18" s="398"/>
      <c r="E18" s="387" t="s">
        <v>260</v>
      </c>
      <c r="F18" s="388"/>
      <c r="G18" s="388"/>
      <c r="H18" s="388"/>
      <c r="I18" s="388"/>
      <c r="J18" s="388"/>
      <c r="K18" s="388"/>
      <c r="L18" s="388"/>
      <c r="M18" s="399"/>
      <c r="N18" s="392">
        <v>50000000</v>
      </c>
      <c r="O18" s="393"/>
      <c r="P18" s="393"/>
      <c r="Q18" s="394"/>
      <c r="R18" s="184"/>
      <c r="S18" s="96"/>
      <c r="T18" s="96"/>
      <c r="U18" s="97"/>
      <c r="V18" s="147"/>
    </row>
    <row r="19" spans="1:25" s="121" customFormat="1" ht="20.149999999999999" customHeight="1" x14ac:dyDescent="0.35">
      <c r="B19" s="389" t="s">
        <v>147</v>
      </c>
      <c r="C19" s="397"/>
      <c r="D19" s="398"/>
      <c r="E19" s="400" t="s">
        <v>145</v>
      </c>
      <c r="F19" s="401"/>
      <c r="G19" s="401"/>
      <c r="H19" s="401"/>
      <c r="I19" s="401"/>
      <c r="J19" s="401"/>
      <c r="K19" s="401"/>
      <c r="L19" s="401"/>
      <c r="M19" s="402"/>
      <c r="N19" s="392">
        <v>-400000</v>
      </c>
      <c r="O19" s="393"/>
      <c r="P19" s="393"/>
      <c r="Q19" s="394"/>
      <c r="R19" s="148"/>
      <c r="S19" s="143"/>
      <c r="T19" s="138"/>
      <c r="U19" s="139"/>
      <c r="V19" s="149"/>
    </row>
    <row r="20" spans="1:25" s="98" customFormat="1" ht="20.149999999999999" customHeight="1" x14ac:dyDescent="0.3">
      <c r="B20" s="428" t="s">
        <v>376</v>
      </c>
      <c r="C20" s="397"/>
      <c r="D20" s="398"/>
      <c r="E20" s="546" t="s">
        <v>428</v>
      </c>
      <c r="F20" s="547"/>
      <c r="G20" s="547"/>
      <c r="H20" s="547"/>
      <c r="I20" s="547"/>
      <c r="J20" s="547"/>
      <c r="K20" s="547"/>
      <c r="L20" s="547"/>
      <c r="M20" s="548"/>
      <c r="N20" s="392">
        <v>-500000</v>
      </c>
      <c r="O20" s="393"/>
      <c r="P20" s="393"/>
      <c r="Q20" s="394"/>
      <c r="R20" s="150"/>
      <c r="S20" s="151"/>
      <c r="T20" s="129"/>
      <c r="U20" s="130"/>
      <c r="V20" s="147"/>
    </row>
    <row r="21" spans="1:25" s="98" customFormat="1" ht="20.149999999999999" customHeight="1" x14ac:dyDescent="0.3">
      <c r="B21" s="428" t="s">
        <v>429</v>
      </c>
      <c r="C21" s="397"/>
      <c r="D21" s="398"/>
      <c r="E21" s="546" t="s">
        <v>430</v>
      </c>
      <c r="F21" s="547"/>
      <c r="G21" s="547"/>
      <c r="H21" s="547"/>
      <c r="I21" s="547"/>
      <c r="J21" s="547"/>
      <c r="K21" s="547"/>
      <c r="L21" s="547"/>
      <c r="M21" s="548"/>
      <c r="N21" s="392">
        <v>-400000</v>
      </c>
      <c r="O21" s="393"/>
      <c r="P21" s="393"/>
      <c r="Q21" s="394"/>
      <c r="R21" s="150"/>
      <c r="S21" s="151"/>
      <c r="T21" s="129"/>
      <c r="U21" s="130"/>
      <c r="V21" s="147"/>
    </row>
    <row r="22" spans="1:25" s="98" customFormat="1" ht="21" customHeight="1" x14ac:dyDescent="0.3">
      <c r="B22" s="389" t="s">
        <v>188</v>
      </c>
      <c r="C22" s="397"/>
      <c r="D22" s="398"/>
      <c r="E22" s="387" t="s">
        <v>565</v>
      </c>
      <c r="F22" s="388"/>
      <c r="G22" s="388"/>
      <c r="H22" s="388"/>
      <c r="I22" s="388"/>
      <c r="J22" s="388"/>
      <c r="K22" s="388"/>
      <c r="L22" s="388"/>
      <c r="M22" s="399"/>
      <c r="N22" s="392">
        <v>0</v>
      </c>
      <c r="O22" s="393"/>
      <c r="P22" s="393"/>
      <c r="Q22" s="394"/>
      <c r="R22" s="150"/>
      <c r="S22" s="151"/>
      <c r="T22" s="129"/>
      <c r="U22" s="130"/>
      <c r="V22" s="147"/>
    </row>
    <row r="23" spans="1:25" s="98" customFormat="1" ht="21" customHeight="1" thickBot="1" x14ac:dyDescent="0.35">
      <c r="B23" s="428" t="s">
        <v>376</v>
      </c>
      <c r="C23" s="397"/>
      <c r="D23" s="398"/>
      <c r="E23" s="387" t="s">
        <v>566</v>
      </c>
      <c r="F23" s="388"/>
      <c r="G23" s="388"/>
      <c r="H23" s="388"/>
      <c r="I23" s="388"/>
      <c r="J23" s="388"/>
      <c r="K23" s="388"/>
      <c r="L23" s="388"/>
      <c r="M23" s="399"/>
      <c r="N23" s="392">
        <v>0</v>
      </c>
      <c r="O23" s="393"/>
      <c r="P23" s="393"/>
      <c r="Q23" s="394"/>
      <c r="R23" s="150"/>
      <c r="S23" s="151"/>
      <c r="T23" s="129"/>
      <c r="U23" s="130"/>
      <c r="V23" s="147"/>
    </row>
    <row r="24" spans="1:25" ht="20.149999999999999" customHeight="1" thickBot="1" x14ac:dyDescent="0.35">
      <c r="A24" s="86" t="s">
        <v>22</v>
      </c>
      <c r="B24" s="389" t="s">
        <v>188</v>
      </c>
      <c r="C24" s="397"/>
      <c r="D24" s="398"/>
      <c r="E24" s="565" t="s">
        <v>688</v>
      </c>
      <c r="F24" s="550"/>
      <c r="G24" s="550"/>
      <c r="H24" s="550"/>
      <c r="I24" s="550"/>
      <c r="J24" s="550"/>
      <c r="K24" s="550"/>
      <c r="L24" s="550"/>
      <c r="M24" s="551"/>
      <c r="N24" s="392">
        <v>-1000000</v>
      </c>
      <c r="O24" s="393"/>
      <c r="P24" s="393"/>
      <c r="Q24" s="394"/>
      <c r="R24" s="168"/>
      <c r="V24" s="147"/>
    </row>
    <row r="25" spans="1:25" ht="20.149999999999999" customHeight="1" x14ac:dyDescent="0.3">
      <c r="B25" s="389"/>
      <c r="C25" s="397"/>
      <c r="D25" s="398"/>
      <c r="E25" s="565"/>
      <c r="F25" s="550"/>
      <c r="G25" s="550"/>
      <c r="H25" s="550"/>
      <c r="I25" s="550"/>
      <c r="J25" s="550"/>
      <c r="K25" s="550"/>
      <c r="L25" s="550"/>
      <c r="M25" s="551"/>
      <c r="N25" s="392"/>
      <c r="O25" s="393"/>
      <c r="P25" s="393"/>
      <c r="Q25" s="394"/>
      <c r="R25" s="144"/>
      <c r="V25" s="147"/>
    </row>
    <row r="26" spans="1:25" s="98" customFormat="1" ht="20.149999999999999" customHeight="1" thickBot="1" x14ac:dyDescent="0.35">
      <c r="B26" s="389"/>
      <c r="C26" s="397"/>
      <c r="D26" s="398"/>
      <c r="E26" s="565"/>
      <c r="F26" s="550"/>
      <c r="G26" s="550"/>
      <c r="H26" s="550"/>
      <c r="I26" s="550"/>
      <c r="J26" s="550"/>
      <c r="K26" s="550"/>
      <c r="L26" s="550"/>
      <c r="M26" s="551"/>
      <c r="N26" s="392"/>
      <c r="O26" s="393"/>
      <c r="P26" s="393"/>
      <c r="Q26" s="394"/>
      <c r="R26" s="150"/>
      <c r="S26" s="151" t="s">
        <v>177</v>
      </c>
      <c r="T26" s="129"/>
      <c r="U26" s="130"/>
      <c r="V26" s="147"/>
    </row>
    <row r="27" spans="1:25" ht="20.149999999999999" customHeight="1" thickBot="1" x14ac:dyDescent="0.35">
      <c r="B27" s="145"/>
      <c r="C27" s="194"/>
      <c r="D27" s="190"/>
      <c r="E27" s="119"/>
      <c r="F27" s="119"/>
      <c r="G27" s="119"/>
      <c r="H27" s="119"/>
      <c r="I27" s="119"/>
      <c r="J27" s="119"/>
      <c r="K27" s="119"/>
      <c r="L27" s="119"/>
      <c r="M27" s="120"/>
      <c r="N27" s="392"/>
      <c r="O27" s="393"/>
      <c r="P27" s="393"/>
      <c r="Q27" s="394"/>
      <c r="R27" s="152"/>
      <c r="S27" s="128" t="s">
        <v>52</v>
      </c>
      <c r="V27" s="147"/>
    </row>
    <row r="28" spans="1:25" ht="20.149999999999999" customHeight="1" x14ac:dyDescent="0.3">
      <c r="B28" s="428"/>
      <c r="C28" s="397"/>
      <c r="D28" s="398"/>
      <c r="E28" s="546"/>
      <c r="F28" s="547"/>
      <c r="G28" s="547"/>
      <c r="H28" s="547"/>
      <c r="I28" s="547"/>
      <c r="J28" s="547"/>
      <c r="K28" s="547"/>
      <c r="L28" s="547"/>
      <c r="M28" s="548"/>
      <c r="N28" s="450"/>
      <c r="O28" s="451"/>
      <c r="P28" s="451"/>
      <c r="Q28" s="452"/>
      <c r="R28" s="144"/>
      <c r="S28" s="128">
        <v>1490004396208</v>
      </c>
    </row>
    <row r="29" spans="1:25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99"/>
      <c r="N29" s="392"/>
      <c r="O29" s="393"/>
      <c r="P29" s="393"/>
      <c r="Q29" s="394"/>
    </row>
    <row r="30" spans="1:25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2"/>
      <c r="N30" s="392"/>
      <c r="O30" s="393"/>
      <c r="P30" s="393"/>
      <c r="Q30" s="394"/>
    </row>
    <row r="31" spans="1:25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7"/>
      <c r="N31" s="395"/>
      <c r="O31" s="395"/>
      <c r="P31" s="395"/>
      <c r="Q31" s="396"/>
      <c r="V31" s="100"/>
      <c r="W31" s="101"/>
      <c r="X31" s="101"/>
      <c r="Y31" s="102"/>
    </row>
    <row r="32" spans="1:25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V32" s="403"/>
      <c r="W32" s="404"/>
      <c r="X32" s="404"/>
      <c r="Y32" s="405"/>
    </row>
    <row r="33" spans="2:22" x14ac:dyDescent="0.3">
      <c r="B33" s="85"/>
      <c r="J33" s="406" t="s">
        <v>9</v>
      </c>
      <c r="K33" s="406"/>
      <c r="L33" s="406"/>
      <c r="M33" s="406"/>
      <c r="N33" s="407">
        <f>SUM(N17:Q32)</f>
        <v>87700000</v>
      </c>
      <c r="O33" s="407"/>
      <c r="P33" s="407"/>
      <c r="Q33" s="408"/>
      <c r="R33" s="127">
        <f>R32-21560000</f>
        <v>8888700</v>
      </c>
    </row>
    <row r="34" spans="2:22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</row>
    <row r="35" spans="2:22" s="121" customFormat="1" ht="31.5" customHeight="1" x14ac:dyDescent="0.3">
      <c r="B35" s="160"/>
      <c r="D35" s="99" t="s">
        <v>13</v>
      </c>
      <c r="E35" s="409" t="s">
        <v>689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>
        <f>50000-22500</f>
        <v>27500</v>
      </c>
      <c r="T35" s="138"/>
      <c r="U35" s="139"/>
      <c r="V35" s="131"/>
    </row>
    <row r="36" spans="2:22" ht="9.75" customHeight="1" x14ac:dyDescent="0.3">
      <c r="B36" s="85"/>
      <c r="E36" s="188" t="s">
        <v>22</v>
      </c>
      <c r="J36" s="193"/>
      <c r="K36" s="193"/>
      <c r="L36" s="193"/>
      <c r="M36" s="193"/>
      <c r="N36" s="89"/>
      <c r="O36" s="89"/>
      <c r="P36" s="89"/>
      <c r="Q36" s="88"/>
    </row>
    <row r="37" spans="2:22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2" x14ac:dyDescent="0.3">
      <c r="B38" s="85"/>
      <c r="D38" s="86" t="s">
        <v>11</v>
      </c>
      <c r="E38" s="411">
        <f>I10</f>
        <v>46020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2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2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2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2" x14ac:dyDescent="0.3">
      <c r="B42" s="85"/>
      <c r="J42" s="193"/>
      <c r="K42" s="193"/>
      <c r="L42" s="193"/>
      <c r="M42" s="193"/>
      <c r="N42" s="89"/>
      <c r="O42" s="89"/>
      <c r="P42" s="89"/>
      <c r="Q42" s="88"/>
      <c r="U42" s="161"/>
    </row>
    <row r="43" spans="2:22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2" x14ac:dyDescent="0.3">
      <c r="B44" s="85"/>
      <c r="J44" s="193"/>
      <c r="K44" s="193"/>
      <c r="L44" s="193"/>
      <c r="M44" s="193"/>
      <c r="N44" s="89"/>
      <c r="O44" s="89"/>
      <c r="P44" s="89"/>
      <c r="Q44" s="88"/>
    </row>
    <row r="45" spans="2:22" x14ac:dyDescent="0.3">
      <c r="B45" s="85"/>
      <c r="C45" s="86" t="s">
        <v>15</v>
      </c>
      <c r="D45" s="386" t="s">
        <v>375</v>
      </c>
      <c r="E45" s="386"/>
      <c r="F45" s="86" t="s">
        <v>16</v>
      </c>
      <c r="H45" s="189" t="s">
        <v>15</v>
      </c>
      <c r="I45" s="187" t="s">
        <v>373</v>
      </c>
      <c r="J45" s="193" t="s">
        <v>16</v>
      </c>
      <c r="K45" s="193"/>
      <c r="L45" s="193" t="s">
        <v>15</v>
      </c>
      <c r="M45" s="386" t="s">
        <v>312</v>
      </c>
      <c r="N45" s="386"/>
      <c r="O45" s="386"/>
      <c r="P45" s="162" t="s">
        <v>16</v>
      </c>
      <c r="Q45" s="88"/>
    </row>
    <row r="46" spans="2:22" ht="7.5" customHeight="1" thickBot="1" x14ac:dyDescent="0.35">
      <c r="B46" s="163"/>
      <c r="C46" s="156"/>
      <c r="D46" s="156"/>
      <c r="E46" s="156"/>
      <c r="F46" s="156"/>
      <c r="G46" s="156"/>
      <c r="H46" s="156"/>
      <c r="I46" s="156"/>
      <c r="J46" s="164"/>
      <c r="K46" s="164"/>
      <c r="L46" s="164"/>
      <c r="M46" s="164"/>
      <c r="N46" s="165"/>
      <c r="O46" s="165"/>
      <c r="P46" s="165"/>
      <c r="Q46" s="166"/>
      <c r="S46" s="167"/>
    </row>
    <row r="47" spans="2:22" x14ac:dyDescent="0.3">
      <c r="S47" s="167"/>
    </row>
    <row r="48" spans="2:22" x14ac:dyDescent="0.3">
      <c r="M48" s="134">
        <v>197146984</v>
      </c>
      <c r="S48" s="167"/>
    </row>
    <row r="49" spans="2:22" x14ac:dyDescent="0.3">
      <c r="S49" s="167"/>
    </row>
    <row r="50" spans="2:22" x14ac:dyDescent="0.3">
      <c r="S50" s="167"/>
    </row>
    <row r="51" spans="2:22" x14ac:dyDescent="0.3">
      <c r="R51" s="127">
        <v>34182000</v>
      </c>
      <c r="S51" s="167"/>
    </row>
    <row r="52" spans="2:22" x14ac:dyDescent="0.3">
      <c r="F52" s="98" t="s">
        <v>28</v>
      </c>
      <c r="R52" s="127">
        <v>48687000</v>
      </c>
      <c r="S52" s="167"/>
    </row>
    <row r="53" spans="2:22" x14ac:dyDescent="0.3">
      <c r="R53" s="127">
        <v>17687000</v>
      </c>
      <c r="S53" s="167">
        <v>16686135</v>
      </c>
    </row>
    <row r="54" spans="2:22" x14ac:dyDescent="0.3">
      <c r="R54" s="127">
        <v>20128582</v>
      </c>
      <c r="S54" s="167">
        <v>19452942</v>
      </c>
      <c r="T54" s="129">
        <f>335*2</f>
        <v>670</v>
      </c>
      <c r="V54" s="131">
        <v>874500</v>
      </c>
    </row>
    <row r="55" spans="2:22" x14ac:dyDescent="0.3">
      <c r="R55" s="127">
        <v>5324994</v>
      </c>
      <c r="S55" s="167">
        <v>25498845</v>
      </c>
      <c r="V55" s="131">
        <v>1080000</v>
      </c>
    </row>
    <row r="56" spans="2:22" s="98" customFormat="1" x14ac:dyDescent="0.3">
      <c r="B56" s="86"/>
      <c r="C56" s="86"/>
      <c r="D56" s="86"/>
      <c r="E56" s="86"/>
      <c r="F56" s="86"/>
      <c r="G56" s="86"/>
      <c r="H56" s="86"/>
      <c r="I56" s="86"/>
      <c r="J56" s="134"/>
      <c r="K56" s="134"/>
      <c r="L56" s="134"/>
      <c r="M56" s="134"/>
      <c r="N56" s="135"/>
      <c r="O56" s="135"/>
      <c r="P56" s="135"/>
      <c r="Q56" s="135"/>
      <c r="R56" s="127">
        <v>31587576</v>
      </c>
      <c r="S56" s="167"/>
      <c r="T56" s="129"/>
      <c r="U56" s="130"/>
      <c r="V56" s="131">
        <f>V54+V55</f>
        <v>1954500</v>
      </c>
    </row>
    <row r="57" spans="2:22" x14ac:dyDescent="0.3">
      <c r="R57" s="127">
        <v>18502000</v>
      </c>
    </row>
    <row r="58" spans="2:22" x14ac:dyDescent="0.3">
      <c r="Q58" s="135" t="s">
        <v>27</v>
      </c>
      <c r="R58" s="127">
        <f>SUM(R51:R57)</f>
        <v>176099152</v>
      </c>
    </row>
    <row r="59" spans="2:22" x14ac:dyDescent="0.3">
      <c r="R59" s="127">
        <v>19750000</v>
      </c>
    </row>
    <row r="60" spans="2:22" x14ac:dyDescent="0.3">
      <c r="R60" s="127">
        <v>417</v>
      </c>
    </row>
  </sheetData>
  <mergeCells count="62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4:N14"/>
    <mergeCell ref="B15:D15"/>
    <mergeCell ref="E15:M15"/>
    <mergeCell ref="N15:Q15"/>
    <mergeCell ref="N16:Q16"/>
    <mergeCell ref="I13:N13"/>
    <mergeCell ref="B18:D18"/>
    <mergeCell ref="E18:M18"/>
    <mergeCell ref="N18:Q18"/>
    <mergeCell ref="B19:D19"/>
    <mergeCell ref="E19:M19"/>
    <mergeCell ref="N19:Q19"/>
    <mergeCell ref="B20:D20"/>
    <mergeCell ref="E20:M20"/>
    <mergeCell ref="N20:Q20"/>
    <mergeCell ref="B22:D22"/>
    <mergeCell ref="E22:M22"/>
    <mergeCell ref="N22:Q22"/>
    <mergeCell ref="E21:M21"/>
    <mergeCell ref="B21:D21"/>
    <mergeCell ref="N21:Q21"/>
    <mergeCell ref="N28:Q28"/>
    <mergeCell ref="B26:D26"/>
    <mergeCell ref="E26:M26"/>
    <mergeCell ref="B24:D24"/>
    <mergeCell ref="E24:M24"/>
    <mergeCell ref="N24:Q24"/>
    <mergeCell ref="B25:D25"/>
    <mergeCell ref="E25:M25"/>
    <mergeCell ref="N25:Q25"/>
    <mergeCell ref="V32:Y32"/>
    <mergeCell ref="J33:M33"/>
    <mergeCell ref="N33:Q33"/>
    <mergeCell ref="E35:Q35"/>
    <mergeCell ref="E38:G38"/>
    <mergeCell ref="M38:N38"/>
    <mergeCell ref="O38:Q38"/>
    <mergeCell ref="B23:D23"/>
    <mergeCell ref="E23:M23"/>
    <mergeCell ref="N23:Q23"/>
    <mergeCell ref="D45:E45"/>
    <mergeCell ref="M45:O45"/>
    <mergeCell ref="N31:Q31"/>
    <mergeCell ref="B29:D29"/>
    <mergeCell ref="E29:M29"/>
    <mergeCell ref="N29:Q29"/>
    <mergeCell ref="B30:D30"/>
    <mergeCell ref="E30:M30"/>
    <mergeCell ref="N30:Q30"/>
    <mergeCell ref="N26:Q26"/>
    <mergeCell ref="N27:Q27"/>
    <mergeCell ref="B28:D28"/>
    <mergeCell ref="E28:M2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9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F941-EE44-4074-B23D-94C7FFF1821E}">
  <sheetPr codeName="Sheet24"/>
  <dimension ref="A1:Y60"/>
  <sheetViews>
    <sheetView showGridLines="0" view="pageBreakPreview" zoomScaleSheetLayoutView="100" workbookViewId="0">
      <selection activeCell="I11" sqref="I11:N11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4.4531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6" style="129" customWidth="1"/>
    <col min="21" max="21" width="16" style="130" customWidth="1"/>
    <col min="22" max="22" width="29.26953125" style="131" customWidth="1"/>
    <col min="23" max="27" width="8" style="86" customWidth="1"/>
    <col min="28" max="16384" width="9.1796875" style="86"/>
  </cols>
  <sheetData>
    <row r="1" spans="2:24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2:24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2:24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2:24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2:24" x14ac:dyDescent="0.3">
      <c r="B5" s="85"/>
      <c r="J5" s="193"/>
      <c r="K5" s="193"/>
      <c r="L5" s="193"/>
      <c r="M5" s="193"/>
      <c r="N5" s="89"/>
      <c r="O5" s="89"/>
      <c r="P5" s="89"/>
      <c r="Q5" s="88"/>
      <c r="X5" s="86" t="s">
        <v>21</v>
      </c>
    </row>
    <row r="6" spans="2:24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2:24" ht="23.25" customHeight="1" x14ac:dyDescent="0.3">
      <c r="B7" s="85"/>
      <c r="G7" s="94" t="s">
        <v>14</v>
      </c>
      <c r="H7" s="95" t="s">
        <v>7</v>
      </c>
      <c r="I7" s="434" t="s">
        <v>476</v>
      </c>
      <c r="J7" s="434"/>
      <c r="K7" s="434"/>
      <c r="L7" s="434"/>
      <c r="M7" s="434"/>
      <c r="N7" s="89"/>
      <c r="O7" s="89"/>
      <c r="P7" s="89"/>
      <c r="Q7" s="88"/>
      <c r="T7" s="129">
        <v>9866000</v>
      </c>
    </row>
    <row r="8" spans="2:24" x14ac:dyDescent="0.3">
      <c r="B8" s="85"/>
      <c r="I8" s="86" t="s">
        <v>22</v>
      </c>
      <c r="J8" s="193"/>
      <c r="K8" s="193"/>
      <c r="L8" s="193"/>
      <c r="M8" s="193"/>
      <c r="N8" s="89"/>
      <c r="O8" s="89"/>
      <c r="P8" s="89"/>
      <c r="Q8" s="88"/>
      <c r="T8" s="129">
        <v>50000</v>
      </c>
    </row>
    <row r="9" spans="2:24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T9" s="129">
        <v>150000</v>
      </c>
    </row>
    <row r="10" spans="2:24" ht="24" customHeight="1" x14ac:dyDescent="0.3">
      <c r="B10" s="85"/>
      <c r="D10" s="86" t="s">
        <v>3</v>
      </c>
      <c r="H10" s="86" t="s">
        <v>7</v>
      </c>
      <c r="I10" s="436">
        <v>45898</v>
      </c>
      <c r="J10" s="436"/>
      <c r="K10" s="436"/>
      <c r="L10" s="436"/>
      <c r="M10" s="436"/>
      <c r="N10" s="436"/>
      <c r="O10" s="89"/>
      <c r="P10" s="89"/>
      <c r="Q10" s="88"/>
    </row>
    <row r="11" spans="2:24" ht="33.75" customHeight="1" thickBot="1" x14ac:dyDescent="0.35">
      <c r="B11" s="85"/>
      <c r="D11" s="86" t="s">
        <v>4</v>
      </c>
      <c r="H11" s="86" t="s">
        <v>7</v>
      </c>
      <c r="I11" s="437" t="s">
        <v>475</v>
      </c>
      <c r="J11" s="437"/>
      <c r="K11" s="437"/>
      <c r="L11" s="437"/>
      <c r="M11" s="437"/>
      <c r="N11" s="437"/>
      <c r="O11" s="89"/>
      <c r="P11" s="89"/>
      <c r="Q11" s="88"/>
      <c r="R11" s="132"/>
    </row>
    <row r="12" spans="2:24" ht="24" customHeight="1" x14ac:dyDescent="0.3">
      <c r="B12" s="85"/>
      <c r="D12" s="86" t="s">
        <v>5</v>
      </c>
      <c r="H12" s="86" t="s">
        <v>7</v>
      </c>
      <c r="I12" s="438">
        <f>N33</f>
        <v>20000000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128">
        <v>820793469</v>
      </c>
      <c r="T12" s="133">
        <f>5000000-55500</f>
        <v>4944500</v>
      </c>
    </row>
    <row r="13" spans="2:24" ht="24" customHeight="1" x14ac:dyDescent="0.3"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T13" s="129">
        <f>5000000*1.11%</f>
        <v>55500</v>
      </c>
      <c r="U13" s="136"/>
    </row>
    <row r="14" spans="2:24" ht="14.5" thickBot="1" x14ac:dyDescent="0.35"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S14" s="128">
        <f>238869327-192000000</f>
        <v>46869327</v>
      </c>
      <c r="U14" s="136"/>
    </row>
    <row r="15" spans="2:24" s="121" customFormat="1" ht="21" customHeight="1" thickBot="1" x14ac:dyDescent="0.35">
      <c r="B15" s="441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137"/>
      <c r="S15" s="128"/>
      <c r="T15" s="138"/>
      <c r="U15" s="139"/>
      <c r="V15" s="140"/>
    </row>
    <row r="16" spans="2:24" ht="12.75" customHeight="1" thickBot="1" x14ac:dyDescent="0.35">
      <c r="B16" s="145"/>
      <c r="C16" s="109"/>
      <c r="D16" s="146"/>
      <c r="J16" s="86"/>
      <c r="K16" s="86"/>
      <c r="L16" s="86"/>
      <c r="M16" s="141"/>
      <c r="N16" s="444"/>
      <c r="O16" s="444"/>
      <c r="P16" s="444"/>
      <c r="Q16" s="445"/>
      <c r="R16" s="142"/>
      <c r="S16" s="143">
        <v>105653000</v>
      </c>
    </row>
    <row r="17" spans="1:25" ht="21.75" customHeight="1" x14ac:dyDescent="0.3">
      <c r="B17" s="447" t="s">
        <v>165</v>
      </c>
      <c r="C17" s="456"/>
      <c r="D17" s="457"/>
      <c r="E17" s="387" t="s">
        <v>228</v>
      </c>
      <c r="F17" s="388"/>
      <c r="G17" s="388"/>
      <c r="H17" s="388"/>
      <c r="I17" s="388"/>
      <c r="J17" s="388"/>
      <c r="K17" s="388"/>
      <c r="L17" s="388"/>
      <c r="M17" s="399"/>
      <c r="N17" s="392">
        <v>0</v>
      </c>
      <c r="O17" s="393"/>
      <c r="P17" s="393"/>
      <c r="Q17" s="394"/>
      <c r="R17" s="144"/>
      <c r="S17" s="128">
        <f>I12-S16</f>
        <v>-85653000</v>
      </c>
    </row>
    <row r="18" spans="1:25" ht="23.25" customHeight="1" thickBot="1" x14ac:dyDescent="0.35">
      <c r="B18" s="389" t="s">
        <v>188</v>
      </c>
      <c r="C18" s="397"/>
      <c r="D18" s="398"/>
      <c r="E18" s="400" t="s">
        <v>260</v>
      </c>
      <c r="F18" s="401"/>
      <c r="G18" s="401"/>
      <c r="H18" s="401"/>
      <c r="I18" s="401"/>
      <c r="J18" s="401"/>
      <c r="K18" s="401"/>
      <c r="L18" s="401"/>
      <c r="M18" s="373">
        <v>150000000</v>
      </c>
      <c r="N18" s="392">
        <v>0</v>
      </c>
      <c r="O18" s="393"/>
      <c r="P18" s="393"/>
      <c r="Q18" s="394"/>
      <c r="R18" s="184"/>
      <c r="S18" s="96"/>
      <c r="T18" s="96"/>
      <c r="U18" s="97"/>
      <c r="V18" s="147"/>
    </row>
    <row r="19" spans="1:25" s="121" customFormat="1" ht="20.149999999999999" customHeight="1" x14ac:dyDescent="0.35">
      <c r="B19" s="389" t="s">
        <v>147</v>
      </c>
      <c r="C19" s="397"/>
      <c r="D19" s="398"/>
      <c r="E19" s="400" t="s">
        <v>145</v>
      </c>
      <c r="F19" s="401"/>
      <c r="G19" s="401"/>
      <c r="H19" s="401"/>
      <c r="I19" s="401"/>
      <c r="J19" s="401"/>
      <c r="K19" s="401"/>
      <c r="L19" s="401"/>
      <c r="M19" s="402"/>
      <c r="N19" s="392">
        <v>0</v>
      </c>
      <c r="O19" s="393"/>
      <c r="P19" s="393"/>
      <c r="Q19" s="394"/>
      <c r="R19" s="148"/>
      <c r="S19" s="143"/>
      <c r="T19" s="138"/>
      <c r="U19" s="139"/>
      <c r="V19" s="149"/>
    </row>
    <row r="20" spans="1:25" s="98" customFormat="1" ht="20.149999999999999" customHeight="1" x14ac:dyDescent="0.3">
      <c r="B20" s="428" t="s">
        <v>376</v>
      </c>
      <c r="C20" s="397"/>
      <c r="D20" s="398"/>
      <c r="E20" s="400" t="s">
        <v>428</v>
      </c>
      <c r="F20" s="401"/>
      <c r="G20" s="401"/>
      <c r="H20" s="401"/>
      <c r="I20" s="401"/>
      <c r="J20" s="401"/>
      <c r="K20" s="401"/>
      <c r="L20" s="401"/>
      <c r="M20" s="373">
        <v>-750000</v>
      </c>
      <c r="N20" s="392">
        <v>0</v>
      </c>
      <c r="O20" s="393"/>
      <c r="P20" s="393"/>
      <c r="Q20" s="394"/>
      <c r="R20" s="150"/>
      <c r="S20" s="151"/>
      <c r="T20" s="129"/>
      <c r="U20" s="130"/>
      <c r="V20" s="147"/>
    </row>
    <row r="21" spans="1:25" s="98" customFormat="1" ht="20.149999999999999" customHeight="1" x14ac:dyDescent="0.3">
      <c r="B21" s="428" t="s">
        <v>429</v>
      </c>
      <c r="C21" s="397"/>
      <c r="D21" s="398"/>
      <c r="E21" s="546" t="s">
        <v>430</v>
      </c>
      <c r="F21" s="547"/>
      <c r="G21" s="547"/>
      <c r="H21" s="547"/>
      <c r="I21" s="547"/>
      <c r="J21" s="547"/>
      <c r="K21" s="547"/>
      <c r="L21" s="547"/>
      <c r="M21" s="548"/>
      <c r="N21" s="392">
        <v>0</v>
      </c>
      <c r="O21" s="393"/>
      <c r="P21" s="393"/>
      <c r="Q21" s="394"/>
      <c r="R21" s="150"/>
      <c r="S21" s="151"/>
      <c r="T21" s="129"/>
      <c r="U21" s="130"/>
      <c r="V21" s="147"/>
    </row>
    <row r="22" spans="1:25" s="98" customFormat="1" ht="21" customHeight="1" x14ac:dyDescent="0.3">
      <c r="B22" s="389" t="s">
        <v>188</v>
      </c>
      <c r="C22" s="397"/>
      <c r="D22" s="398"/>
      <c r="E22" s="400" t="s">
        <v>410</v>
      </c>
      <c r="F22" s="401"/>
      <c r="G22" s="401"/>
      <c r="H22" s="401"/>
      <c r="I22" s="401"/>
      <c r="J22" s="401"/>
      <c r="K22" s="401"/>
      <c r="L22" s="401"/>
      <c r="M22" s="373">
        <v>-95333333</v>
      </c>
      <c r="N22" s="392">
        <v>0</v>
      </c>
      <c r="O22" s="393"/>
      <c r="P22" s="393"/>
      <c r="Q22" s="394"/>
      <c r="R22" s="150"/>
      <c r="S22" s="151"/>
      <c r="T22" s="129"/>
      <c r="U22" s="130"/>
      <c r="V22" s="147"/>
    </row>
    <row r="23" spans="1:25" s="98" customFormat="1" ht="21" customHeight="1" thickBot="1" x14ac:dyDescent="0.35">
      <c r="B23" s="428" t="s">
        <v>376</v>
      </c>
      <c r="C23" s="397"/>
      <c r="D23" s="398"/>
      <c r="E23" s="400" t="s">
        <v>431</v>
      </c>
      <c r="F23" s="401"/>
      <c r="G23" s="401"/>
      <c r="H23" s="401"/>
      <c r="I23" s="401"/>
      <c r="J23" s="401"/>
      <c r="K23" s="401"/>
      <c r="L23" s="401"/>
      <c r="M23" s="374">
        <v>-687500</v>
      </c>
      <c r="N23" s="392">
        <v>0</v>
      </c>
      <c r="O23" s="393"/>
      <c r="P23" s="393"/>
      <c r="Q23" s="394"/>
      <c r="R23" s="150"/>
      <c r="S23" s="151"/>
      <c r="T23" s="129"/>
      <c r="U23" s="130"/>
      <c r="V23" s="147"/>
    </row>
    <row r="24" spans="1:25" ht="20.149999999999999" customHeight="1" thickBot="1" x14ac:dyDescent="0.35">
      <c r="A24" s="86" t="s">
        <v>22</v>
      </c>
      <c r="B24" s="389" t="s">
        <v>188</v>
      </c>
      <c r="C24" s="397"/>
      <c r="D24" s="398"/>
      <c r="E24" s="400" t="s">
        <v>415</v>
      </c>
      <c r="F24" s="401"/>
      <c r="G24" s="401"/>
      <c r="H24" s="401"/>
      <c r="I24" s="401"/>
      <c r="J24" s="401"/>
      <c r="K24" s="401"/>
      <c r="L24" s="401"/>
      <c r="M24" s="373">
        <v>-6000000</v>
      </c>
      <c r="N24" s="392">
        <v>0</v>
      </c>
      <c r="O24" s="393"/>
      <c r="P24" s="393"/>
      <c r="Q24" s="394"/>
      <c r="R24" s="168"/>
      <c r="V24" s="147"/>
    </row>
    <row r="25" spans="1:25" ht="20.149999999999999" customHeight="1" thickBot="1" x14ac:dyDescent="0.35">
      <c r="B25" s="389"/>
      <c r="C25" s="397"/>
      <c r="D25" s="398"/>
      <c r="E25" s="400" t="s">
        <v>477</v>
      </c>
      <c r="F25" s="401"/>
      <c r="G25" s="401"/>
      <c r="H25" s="401"/>
      <c r="I25" s="401"/>
      <c r="J25" s="401"/>
      <c r="K25" s="401"/>
      <c r="L25" s="401"/>
      <c r="M25" s="375">
        <v>20000000</v>
      </c>
      <c r="N25" s="392">
        <f>M25</f>
        <v>20000000</v>
      </c>
      <c r="O25" s="393"/>
      <c r="P25" s="393"/>
      <c r="Q25" s="394"/>
      <c r="R25" s="144"/>
      <c r="V25" s="147"/>
    </row>
    <row r="26" spans="1:25" s="98" customFormat="1" ht="20.149999999999999" customHeight="1" thickBot="1" x14ac:dyDescent="0.35">
      <c r="B26" s="389"/>
      <c r="C26" s="397"/>
      <c r="D26" s="398"/>
      <c r="E26" s="400" t="s">
        <v>478</v>
      </c>
      <c r="F26" s="401"/>
      <c r="G26" s="401"/>
      <c r="H26" s="401"/>
      <c r="I26" s="401"/>
      <c r="J26" s="401"/>
      <c r="K26" s="401"/>
      <c r="L26" s="401"/>
      <c r="M26" s="376">
        <f>M18+M20+M22+M23+M24-M25</f>
        <v>27229167</v>
      </c>
      <c r="N26" s="392"/>
      <c r="O26" s="393"/>
      <c r="P26" s="393"/>
      <c r="Q26" s="394"/>
      <c r="R26" s="150"/>
      <c r="S26" s="151" t="s">
        <v>177</v>
      </c>
      <c r="T26" s="129"/>
      <c r="U26" s="130"/>
      <c r="V26" s="147"/>
    </row>
    <row r="27" spans="1:25" ht="20.149999999999999" customHeight="1" thickBot="1" x14ac:dyDescent="0.35">
      <c r="B27" s="145"/>
      <c r="C27" s="194"/>
      <c r="D27" s="190"/>
      <c r="E27" s="119"/>
      <c r="F27" s="119"/>
      <c r="G27" s="119"/>
      <c r="H27" s="119"/>
      <c r="I27" s="119"/>
      <c r="J27" s="119"/>
      <c r="K27" s="119"/>
      <c r="L27" s="119"/>
      <c r="M27" s="120"/>
      <c r="N27" s="392"/>
      <c r="O27" s="393"/>
      <c r="P27" s="393"/>
      <c r="Q27" s="394"/>
      <c r="R27" s="152"/>
      <c r="S27" s="128" t="s">
        <v>52</v>
      </c>
      <c r="V27" s="147"/>
    </row>
    <row r="28" spans="1:25" ht="20.149999999999999" customHeight="1" x14ac:dyDescent="0.3">
      <c r="B28" s="428"/>
      <c r="C28" s="397"/>
      <c r="D28" s="398"/>
      <c r="E28" s="546"/>
      <c r="F28" s="547"/>
      <c r="G28" s="547"/>
      <c r="H28" s="547"/>
      <c r="I28" s="547"/>
      <c r="J28" s="547"/>
      <c r="K28" s="547"/>
      <c r="L28" s="547"/>
      <c r="M28" s="548"/>
      <c r="N28" s="450"/>
      <c r="O28" s="451"/>
      <c r="P28" s="451"/>
      <c r="Q28" s="452"/>
      <c r="R28" s="144"/>
      <c r="S28" s="128">
        <v>1490004396208</v>
      </c>
    </row>
    <row r="29" spans="1:25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99"/>
      <c r="N29" s="392"/>
      <c r="O29" s="393"/>
      <c r="P29" s="393"/>
      <c r="Q29" s="394"/>
    </row>
    <row r="30" spans="1:25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2"/>
      <c r="N30" s="392"/>
      <c r="O30" s="393"/>
      <c r="P30" s="393"/>
      <c r="Q30" s="394"/>
    </row>
    <row r="31" spans="1:25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7"/>
      <c r="N31" s="395"/>
      <c r="O31" s="395"/>
      <c r="P31" s="395"/>
      <c r="Q31" s="396"/>
      <c r="V31" s="100"/>
      <c r="W31" s="101"/>
      <c r="X31" s="101"/>
      <c r="Y31" s="102"/>
    </row>
    <row r="32" spans="1:25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V32" s="403"/>
      <c r="W32" s="404"/>
      <c r="X32" s="404"/>
      <c r="Y32" s="405"/>
    </row>
    <row r="33" spans="2:22" x14ac:dyDescent="0.3">
      <c r="B33" s="85"/>
      <c r="J33" s="406" t="s">
        <v>9</v>
      </c>
      <c r="K33" s="406"/>
      <c r="L33" s="406"/>
      <c r="M33" s="406"/>
      <c r="N33" s="407">
        <f>SUM(N17:Q32)</f>
        <v>20000000</v>
      </c>
      <c r="O33" s="407"/>
      <c r="P33" s="407"/>
      <c r="Q33" s="408"/>
      <c r="R33" s="127">
        <f>R32-21560000</f>
        <v>8888700</v>
      </c>
    </row>
    <row r="34" spans="2:22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</row>
    <row r="35" spans="2:22" s="121" customFormat="1" ht="31.5" customHeight="1" x14ac:dyDescent="0.3">
      <c r="B35" s="160"/>
      <c r="D35" s="99" t="s">
        <v>13</v>
      </c>
      <c r="E35" s="409" t="s">
        <v>479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>
        <f>50000-22500</f>
        <v>27500</v>
      </c>
      <c r="T35" s="138"/>
      <c r="U35" s="139"/>
      <c r="V35" s="131"/>
    </row>
    <row r="36" spans="2:22" ht="9.75" customHeight="1" x14ac:dyDescent="0.3">
      <c r="B36" s="85"/>
      <c r="E36" s="188" t="s">
        <v>22</v>
      </c>
      <c r="J36" s="193"/>
      <c r="K36" s="193"/>
      <c r="L36" s="193"/>
      <c r="M36" s="193"/>
      <c r="N36" s="89"/>
      <c r="O36" s="89"/>
      <c r="P36" s="89"/>
      <c r="Q36" s="88"/>
    </row>
    <row r="37" spans="2:22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2" x14ac:dyDescent="0.3">
      <c r="B38" s="85"/>
      <c r="D38" s="86" t="s">
        <v>11</v>
      </c>
      <c r="E38" s="411">
        <f>I10</f>
        <v>45898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2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2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2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2" x14ac:dyDescent="0.3">
      <c r="B42" s="85"/>
      <c r="J42" s="193"/>
      <c r="K42" s="193"/>
      <c r="L42" s="193"/>
      <c r="M42" s="193"/>
      <c r="N42" s="89"/>
      <c r="O42" s="89"/>
      <c r="P42" s="89"/>
      <c r="Q42" s="88"/>
      <c r="U42" s="161"/>
    </row>
    <row r="43" spans="2:22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2" x14ac:dyDescent="0.3">
      <c r="B44" s="85"/>
      <c r="J44" s="193"/>
      <c r="K44" s="193"/>
      <c r="L44" s="193"/>
      <c r="M44" s="193"/>
      <c r="N44" s="89"/>
      <c r="O44" s="89"/>
      <c r="P44" s="89"/>
      <c r="Q44" s="88"/>
    </row>
    <row r="45" spans="2:22" x14ac:dyDescent="0.3">
      <c r="B45" s="85"/>
      <c r="C45" s="86" t="s">
        <v>15</v>
      </c>
      <c r="D45" s="386" t="s">
        <v>375</v>
      </c>
      <c r="E45" s="386"/>
      <c r="F45" s="86" t="s">
        <v>16</v>
      </c>
      <c r="H45" s="189" t="s">
        <v>15</v>
      </c>
      <c r="I45" s="187" t="s">
        <v>373</v>
      </c>
      <c r="J45" s="193" t="s">
        <v>16</v>
      </c>
      <c r="K45" s="193"/>
      <c r="L45" s="193" t="s">
        <v>15</v>
      </c>
      <c r="M45" s="386" t="s">
        <v>312</v>
      </c>
      <c r="N45" s="386"/>
      <c r="O45" s="386"/>
      <c r="P45" s="162" t="s">
        <v>16</v>
      </c>
      <c r="Q45" s="88"/>
    </row>
    <row r="46" spans="2:22" ht="7.5" customHeight="1" thickBot="1" x14ac:dyDescent="0.35">
      <c r="B46" s="163"/>
      <c r="C46" s="156"/>
      <c r="D46" s="156"/>
      <c r="E46" s="156"/>
      <c r="F46" s="156"/>
      <c r="G46" s="156"/>
      <c r="H46" s="156"/>
      <c r="I46" s="156"/>
      <c r="J46" s="164"/>
      <c r="K46" s="164"/>
      <c r="L46" s="164"/>
      <c r="M46" s="164"/>
      <c r="N46" s="165"/>
      <c r="O46" s="165"/>
      <c r="P46" s="165"/>
      <c r="Q46" s="166"/>
      <c r="S46" s="167"/>
    </row>
    <row r="47" spans="2:22" x14ac:dyDescent="0.3">
      <c r="S47" s="167"/>
    </row>
    <row r="48" spans="2:22" x14ac:dyDescent="0.3">
      <c r="M48" s="134">
        <v>197146984</v>
      </c>
      <c r="S48" s="167"/>
    </row>
    <row r="49" spans="2:22" x14ac:dyDescent="0.3">
      <c r="S49" s="167"/>
    </row>
    <row r="50" spans="2:22" x14ac:dyDescent="0.3">
      <c r="S50" s="167"/>
    </row>
    <row r="51" spans="2:22" x14ac:dyDescent="0.3">
      <c r="R51" s="127">
        <v>34182000</v>
      </c>
      <c r="S51" s="167"/>
    </row>
    <row r="52" spans="2:22" x14ac:dyDescent="0.3">
      <c r="F52" s="98" t="s">
        <v>28</v>
      </c>
      <c r="R52" s="127">
        <v>48687000</v>
      </c>
      <c r="S52" s="167"/>
    </row>
    <row r="53" spans="2:22" x14ac:dyDescent="0.3">
      <c r="R53" s="127">
        <v>17687000</v>
      </c>
      <c r="S53" s="167">
        <v>16686135</v>
      </c>
    </row>
    <row r="54" spans="2:22" x14ac:dyDescent="0.3">
      <c r="R54" s="127">
        <v>20128582</v>
      </c>
      <c r="S54" s="167">
        <v>19452942</v>
      </c>
      <c r="T54" s="129">
        <f>335*2</f>
        <v>670</v>
      </c>
      <c r="V54" s="131">
        <v>874500</v>
      </c>
    </row>
    <row r="55" spans="2:22" x14ac:dyDescent="0.3">
      <c r="R55" s="127">
        <v>5324994</v>
      </c>
      <c r="S55" s="167">
        <v>25498845</v>
      </c>
      <c r="V55" s="131">
        <v>1080000</v>
      </c>
    </row>
    <row r="56" spans="2:22" s="98" customFormat="1" x14ac:dyDescent="0.3">
      <c r="B56" s="86"/>
      <c r="C56" s="86"/>
      <c r="D56" s="86"/>
      <c r="E56" s="86"/>
      <c r="F56" s="86"/>
      <c r="G56" s="86"/>
      <c r="H56" s="86"/>
      <c r="I56" s="86"/>
      <c r="J56" s="134"/>
      <c r="K56" s="134"/>
      <c r="L56" s="134"/>
      <c r="M56" s="134"/>
      <c r="N56" s="135"/>
      <c r="O56" s="135"/>
      <c r="P56" s="135"/>
      <c r="Q56" s="135"/>
      <c r="R56" s="127">
        <v>31587576</v>
      </c>
      <c r="S56" s="167"/>
      <c r="T56" s="129"/>
      <c r="U56" s="130"/>
      <c r="V56" s="131">
        <f>V54+V55</f>
        <v>1954500</v>
      </c>
    </row>
    <row r="57" spans="2:22" x14ac:dyDescent="0.3">
      <c r="R57" s="127">
        <v>18502000</v>
      </c>
    </row>
    <row r="58" spans="2:22" x14ac:dyDescent="0.3">
      <c r="Q58" s="135" t="s">
        <v>27</v>
      </c>
      <c r="R58" s="127">
        <f>SUM(R51:R57)</f>
        <v>176099152</v>
      </c>
    </row>
    <row r="59" spans="2:22" x14ac:dyDescent="0.3">
      <c r="R59" s="127">
        <v>19750000</v>
      </c>
    </row>
    <row r="60" spans="2:22" x14ac:dyDescent="0.3">
      <c r="R60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17:D17"/>
    <mergeCell ref="E17:M17"/>
    <mergeCell ref="N17:Q17"/>
    <mergeCell ref="B18:D18"/>
    <mergeCell ref="N18:Q18"/>
    <mergeCell ref="E18:L18"/>
    <mergeCell ref="B19:D19"/>
    <mergeCell ref="E19:M19"/>
    <mergeCell ref="N19:Q19"/>
    <mergeCell ref="B20:D20"/>
    <mergeCell ref="N20:Q20"/>
    <mergeCell ref="E20:L20"/>
    <mergeCell ref="B21:D21"/>
    <mergeCell ref="E21:M21"/>
    <mergeCell ref="N21:Q21"/>
    <mergeCell ref="B22:D22"/>
    <mergeCell ref="N22:Q22"/>
    <mergeCell ref="E22:L22"/>
    <mergeCell ref="B23:D23"/>
    <mergeCell ref="N23:Q23"/>
    <mergeCell ref="B24:D24"/>
    <mergeCell ref="N24:Q24"/>
    <mergeCell ref="E24:L24"/>
    <mergeCell ref="E23:L23"/>
    <mergeCell ref="N27:Q27"/>
    <mergeCell ref="B28:D28"/>
    <mergeCell ref="E28:M28"/>
    <mergeCell ref="N28:Q28"/>
    <mergeCell ref="B29:D29"/>
    <mergeCell ref="E29:M29"/>
    <mergeCell ref="N29:Q29"/>
    <mergeCell ref="B25:D25"/>
    <mergeCell ref="N25:Q25"/>
    <mergeCell ref="B26:D26"/>
    <mergeCell ref="N26:Q26"/>
    <mergeCell ref="E25:L25"/>
    <mergeCell ref="E26:L26"/>
    <mergeCell ref="V32:Y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D45:E45"/>
    <mergeCell ref="M45:O4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A7BD-B32D-4562-8B3E-4C95DF4C1BC5}">
  <sheetPr codeName="Sheet25"/>
  <dimension ref="A1:Y60"/>
  <sheetViews>
    <sheetView showGridLines="0" view="pageBreakPreview" topLeftCell="A4" zoomScaleSheetLayoutView="100" workbookViewId="0">
      <selection activeCell="E35" sqref="E35:Q35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4.4531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6" style="129" customWidth="1"/>
    <col min="21" max="21" width="16" style="130" customWidth="1"/>
    <col min="22" max="22" width="29.26953125" style="131" customWidth="1"/>
    <col min="23" max="27" width="8" style="86" customWidth="1"/>
    <col min="28" max="16384" width="9.1796875" style="86"/>
  </cols>
  <sheetData>
    <row r="1" spans="2:24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2:24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2:24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2:24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2:24" x14ac:dyDescent="0.3">
      <c r="B5" s="85"/>
      <c r="J5" s="193"/>
      <c r="K5" s="193"/>
      <c r="L5" s="193"/>
      <c r="M5" s="193"/>
      <c r="N5" s="89"/>
      <c r="O5" s="89"/>
      <c r="P5" s="89"/>
      <c r="Q5" s="88"/>
      <c r="X5" s="86" t="s">
        <v>21</v>
      </c>
    </row>
    <row r="6" spans="2:24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2:24" ht="23.25" customHeight="1" x14ac:dyDescent="0.3">
      <c r="B7" s="85"/>
      <c r="G7" s="94" t="s">
        <v>14</v>
      </c>
      <c r="H7" s="95" t="s">
        <v>7</v>
      </c>
      <c r="I7" s="434" t="s">
        <v>491</v>
      </c>
      <c r="J7" s="434"/>
      <c r="K7" s="434"/>
      <c r="L7" s="434"/>
      <c r="M7" s="434"/>
      <c r="N7" s="89"/>
      <c r="O7" s="89"/>
      <c r="P7" s="89"/>
      <c r="Q7" s="88"/>
      <c r="T7" s="129">
        <v>9866000</v>
      </c>
    </row>
    <row r="8" spans="2:24" x14ac:dyDescent="0.3">
      <c r="B8" s="85"/>
      <c r="I8" s="86" t="s">
        <v>22</v>
      </c>
      <c r="J8" s="193"/>
      <c r="K8" s="193"/>
      <c r="L8" s="193"/>
      <c r="M8" s="193"/>
      <c r="N8" s="89"/>
      <c r="O8" s="89"/>
      <c r="P8" s="89"/>
      <c r="Q8" s="88"/>
      <c r="T8" s="129">
        <v>50000</v>
      </c>
    </row>
    <row r="9" spans="2:24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T9" s="129">
        <v>150000</v>
      </c>
    </row>
    <row r="10" spans="2:24" ht="24" customHeight="1" x14ac:dyDescent="0.3">
      <c r="B10" s="85"/>
      <c r="D10" s="86" t="s">
        <v>3</v>
      </c>
      <c r="H10" s="86" t="s">
        <v>7</v>
      </c>
      <c r="I10" s="436">
        <v>45920</v>
      </c>
      <c r="J10" s="436"/>
      <c r="K10" s="436"/>
      <c r="L10" s="436"/>
      <c r="M10" s="436"/>
      <c r="N10" s="436"/>
      <c r="O10" s="89"/>
      <c r="P10" s="89"/>
      <c r="Q10" s="88"/>
    </row>
    <row r="11" spans="2:24" ht="33.75" customHeight="1" thickBot="1" x14ac:dyDescent="0.35">
      <c r="B11" s="85"/>
      <c r="D11" s="86" t="s">
        <v>4</v>
      </c>
      <c r="H11" s="86" t="s">
        <v>7</v>
      </c>
      <c r="I11" s="437" t="s">
        <v>492</v>
      </c>
      <c r="J11" s="437"/>
      <c r="K11" s="437"/>
      <c r="L11" s="437"/>
      <c r="M11" s="437"/>
      <c r="N11" s="437"/>
      <c r="O11" s="89"/>
      <c r="P11" s="89"/>
      <c r="Q11" s="88"/>
      <c r="R11" s="132"/>
    </row>
    <row r="12" spans="2:24" ht="24" customHeight="1" x14ac:dyDescent="0.3">
      <c r="B12" s="85"/>
      <c r="D12" s="86" t="s">
        <v>5</v>
      </c>
      <c r="H12" s="86" t="s">
        <v>7</v>
      </c>
      <c r="I12" s="438">
        <f>N33</f>
        <v>20000000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128">
        <v>820793469</v>
      </c>
      <c r="T12" s="133">
        <f>5000000-55500</f>
        <v>4944500</v>
      </c>
    </row>
    <row r="13" spans="2:24" ht="24" customHeight="1" x14ac:dyDescent="0.3"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T13" s="129">
        <f>5000000*1.11%</f>
        <v>55500</v>
      </c>
      <c r="U13" s="136"/>
    </row>
    <row r="14" spans="2:24" ht="14.5" thickBot="1" x14ac:dyDescent="0.35"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S14" s="128">
        <f>238869327-192000000</f>
        <v>46869327</v>
      </c>
      <c r="U14" s="136"/>
    </row>
    <row r="15" spans="2:24" s="121" customFormat="1" ht="21" customHeight="1" thickBot="1" x14ac:dyDescent="0.35">
      <c r="B15" s="441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137"/>
      <c r="S15" s="128"/>
      <c r="T15" s="138"/>
      <c r="U15" s="139"/>
      <c r="V15" s="140"/>
    </row>
    <row r="16" spans="2:24" ht="12.75" customHeight="1" thickBot="1" x14ac:dyDescent="0.35">
      <c r="B16" s="145"/>
      <c r="C16" s="109"/>
      <c r="D16" s="146"/>
      <c r="J16" s="86"/>
      <c r="K16" s="86"/>
      <c r="L16" s="86"/>
      <c r="M16" s="141"/>
      <c r="N16" s="444"/>
      <c r="O16" s="444"/>
      <c r="P16" s="444"/>
      <c r="Q16" s="445"/>
      <c r="R16" s="142"/>
      <c r="S16" s="143">
        <v>105653000</v>
      </c>
    </row>
    <row r="17" spans="1:25" ht="21.75" customHeight="1" x14ac:dyDescent="0.3">
      <c r="B17" s="447" t="s">
        <v>165</v>
      </c>
      <c r="C17" s="456"/>
      <c r="D17" s="457"/>
      <c r="E17" s="387" t="s">
        <v>228</v>
      </c>
      <c r="F17" s="388"/>
      <c r="G17" s="388"/>
      <c r="H17" s="388"/>
      <c r="I17" s="388"/>
      <c r="J17" s="388"/>
      <c r="K17" s="388"/>
      <c r="L17" s="388"/>
      <c r="M17" s="399"/>
      <c r="N17" s="392">
        <v>0</v>
      </c>
      <c r="O17" s="393"/>
      <c r="P17" s="393"/>
      <c r="Q17" s="394"/>
      <c r="R17" s="144"/>
      <c r="S17" s="128">
        <f>I12-S16</f>
        <v>-85653000</v>
      </c>
    </row>
    <row r="18" spans="1:25" ht="23.25" customHeight="1" thickBot="1" x14ac:dyDescent="0.35">
      <c r="B18" s="389" t="s">
        <v>188</v>
      </c>
      <c r="C18" s="397"/>
      <c r="D18" s="398"/>
      <c r="E18" s="400" t="s">
        <v>260</v>
      </c>
      <c r="F18" s="401"/>
      <c r="G18" s="401"/>
      <c r="H18" s="401"/>
      <c r="I18" s="401"/>
      <c r="J18" s="401"/>
      <c r="K18" s="401"/>
      <c r="L18" s="401"/>
      <c r="M18" s="373">
        <v>60000000</v>
      </c>
      <c r="N18" s="392">
        <v>0</v>
      </c>
      <c r="O18" s="393"/>
      <c r="P18" s="393"/>
      <c r="Q18" s="394"/>
      <c r="R18" s="184"/>
      <c r="S18" s="96"/>
      <c r="T18" s="96"/>
      <c r="U18" s="97"/>
      <c r="V18" s="147"/>
    </row>
    <row r="19" spans="1:25" s="121" customFormat="1" ht="20.149999999999999" customHeight="1" x14ac:dyDescent="0.35">
      <c r="B19" s="389" t="s">
        <v>147</v>
      </c>
      <c r="C19" s="397"/>
      <c r="D19" s="398"/>
      <c r="E19" s="400" t="s">
        <v>145</v>
      </c>
      <c r="F19" s="401"/>
      <c r="G19" s="401"/>
      <c r="H19" s="401"/>
      <c r="I19" s="401"/>
      <c r="J19" s="401"/>
      <c r="K19" s="401"/>
      <c r="L19" s="401"/>
      <c r="M19" s="402"/>
      <c r="N19" s="392">
        <v>0</v>
      </c>
      <c r="O19" s="393"/>
      <c r="P19" s="393"/>
      <c r="Q19" s="394"/>
      <c r="R19" s="148"/>
      <c r="S19" s="143"/>
      <c r="T19" s="138"/>
      <c r="U19" s="139"/>
      <c r="V19" s="149"/>
    </row>
    <row r="20" spans="1:25" s="98" customFormat="1" ht="20.149999999999999" customHeight="1" x14ac:dyDescent="0.3">
      <c r="B20" s="428" t="s">
        <v>376</v>
      </c>
      <c r="C20" s="397"/>
      <c r="D20" s="398"/>
      <c r="E20" s="400" t="s">
        <v>428</v>
      </c>
      <c r="F20" s="401"/>
      <c r="G20" s="401"/>
      <c r="H20" s="401"/>
      <c r="I20" s="401"/>
      <c r="J20" s="401"/>
      <c r="K20" s="401"/>
      <c r="L20" s="401"/>
      <c r="M20" s="373">
        <v>-750000</v>
      </c>
      <c r="N20" s="392">
        <v>0</v>
      </c>
      <c r="O20" s="393"/>
      <c r="P20" s="393"/>
      <c r="Q20" s="394"/>
      <c r="R20" s="150"/>
      <c r="S20" s="151"/>
      <c r="T20" s="129"/>
      <c r="U20" s="130"/>
      <c r="V20" s="147"/>
    </row>
    <row r="21" spans="1:25" s="98" customFormat="1" ht="20.149999999999999" customHeight="1" x14ac:dyDescent="0.3">
      <c r="B21" s="428" t="s">
        <v>429</v>
      </c>
      <c r="C21" s="397"/>
      <c r="D21" s="398"/>
      <c r="E21" s="546" t="s">
        <v>430</v>
      </c>
      <c r="F21" s="547"/>
      <c r="G21" s="547"/>
      <c r="H21" s="547"/>
      <c r="I21" s="547"/>
      <c r="J21" s="547"/>
      <c r="K21" s="547"/>
      <c r="L21" s="547"/>
      <c r="M21" s="548"/>
      <c r="N21" s="392">
        <v>0</v>
      </c>
      <c r="O21" s="393"/>
      <c r="P21" s="393"/>
      <c r="Q21" s="394"/>
      <c r="R21" s="150"/>
      <c r="S21" s="151"/>
      <c r="T21" s="129"/>
      <c r="U21" s="130"/>
      <c r="V21" s="147"/>
    </row>
    <row r="22" spans="1:25" s="98" customFormat="1" ht="21" customHeight="1" x14ac:dyDescent="0.3">
      <c r="B22" s="389" t="s">
        <v>188</v>
      </c>
      <c r="C22" s="397"/>
      <c r="D22" s="398"/>
      <c r="E22" s="400" t="s">
        <v>410</v>
      </c>
      <c r="F22" s="401"/>
      <c r="G22" s="401"/>
      <c r="H22" s="401"/>
      <c r="I22" s="401"/>
      <c r="J22" s="401"/>
      <c r="K22" s="401"/>
      <c r="L22" s="401"/>
      <c r="M22" s="373">
        <v>0</v>
      </c>
      <c r="N22" s="392">
        <v>0</v>
      </c>
      <c r="O22" s="393"/>
      <c r="P22" s="393"/>
      <c r="Q22" s="394"/>
      <c r="R22" s="150"/>
      <c r="S22" s="151"/>
      <c r="T22" s="129"/>
      <c r="U22" s="130"/>
      <c r="V22" s="147"/>
    </row>
    <row r="23" spans="1:25" s="98" customFormat="1" ht="21" customHeight="1" thickBot="1" x14ac:dyDescent="0.35">
      <c r="B23" s="428" t="s">
        <v>376</v>
      </c>
      <c r="C23" s="397"/>
      <c r="D23" s="398"/>
      <c r="E23" s="400" t="s">
        <v>431</v>
      </c>
      <c r="F23" s="401"/>
      <c r="G23" s="401"/>
      <c r="H23" s="401"/>
      <c r="I23" s="401"/>
      <c r="J23" s="401"/>
      <c r="K23" s="401"/>
      <c r="L23" s="401"/>
      <c r="M23" s="374">
        <v>0</v>
      </c>
      <c r="N23" s="392">
        <v>0</v>
      </c>
      <c r="O23" s="393"/>
      <c r="P23" s="393"/>
      <c r="Q23" s="394"/>
      <c r="R23" s="150"/>
      <c r="S23" s="151"/>
      <c r="T23" s="129"/>
      <c r="U23" s="130"/>
      <c r="V23" s="147"/>
    </row>
    <row r="24" spans="1:25" ht="20.149999999999999" customHeight="1" thickBot="1" x14ac:dyDescent="0.35">
      <c r="A24" s="86" t="s">
        <v>22</v>
      </c>
      <c r="B24" s="389" t="s">
        <v>188</v>
      </c>
      <c r="C24" s="397"/>
      <c r="D24" s="398"/>
      <c r="E24" s="400" t="s">
        <v>415</v>
      </c>
      <c r="F24" s="401"/>
      <c r="G24" s="401"/>
      <c r="H24" s="401"/>
      <c r="I24" s="401"/>
      <c r="J24" s="401"/>
      <c r="K24" s="401"/>
      <c r="L24" s="401"/>
      <c r="M24" s="373">
        <v>0</v>
      </c>
      <c r="N24" s="392">
        <v>0</v>
      </c>
      <c r="O24" s="393"/>
      <c r="P24" s="393"/>
      <c r="Q24" s="394"/>
      <c r="R24" s="168"/>
      <c r="V24" s="147"/>
    </row>
    <row r="25" spans="1:25" ht="20.149999999999999" customHeight="1" thickBot="1" x14ac:dyDescent="0.35">
      <c r="B25" s="389"/>
      <c r="C25" s="397"/>
      <c r="D25" s="398"/>
      <c r="E25" s="400" t="s">
        <v>477</v>
      </c>
      <c r="F25" s="401"/>
      <c r="G25" s="401"/>
      <c r="H25" s="401"/>
      <c r="I25" s="401"/>
      <c r="J25" s="401"/>
      <c r="K25" s="401"/>
      <c r="L25" s="401"/>
      <c r="M25" s="375">
        <v>20000000</v>
      </c>
      <c r="N25" s="392">
        <f>M25</f>
        <v>20000000</v>
      </c>
      <c r="O25" s="393"/>
      <c r="P25" s="393"/>
      <c r="Q25" s="394"/>
      <c r="R25" s="144"/>
      <c r="V25" s="147"/>
    </row>
    <row r="26" spans="1:25" s="98" customFormat="1" ht="20.149999999999999" customHeight="1" thickBot="1" x14ac:dyDescent="0.35">
      <c r="B26" s="389"/>
      <c r="C26" s="397"/>
      <c r="D26" s="398"/>
      <c r="E26" s="400" t="s">
        <v>478</v>
      </c>
      <c r="F26" s="401"/>
      <c r="G26" s="401"/>
      <c r="H26" s="401"/>
      <c r="I26" s="401"/>
      <c r="J26" s="401"/>
      <c r="K26" s="401"/>
      <c r="L26" s="401"/>
      <c r="M26" s="376">
        <f>M18+M20+M22+M23+M24-M25</f>
        <v>39250000</v>
      </c>
      <c r="N26" s="392"/>
      <c r="O26" s="393"/>
      <c r="P26" s="393"/>
      <c r="Q26" s="394"/>
      <c r="R26" s="150"/>
      <c r="S26" s="151" t="s">
        <v>177</v>
      </c>
      <c r="T26" s="129"/>
      <c r="U26" s="130"/>
      <c r="V26" s="147"/>
    </row>
    <row r="27" spans="1:25" ht="20.149999999999999" customHeight="1" thickBot="1" x14ac:dyDescent="0.35">
      <c r="B27" s="145"/>
      <c r="C27" s="194"/>
      <c r="D27" s="190"/>
      <c r="E27" s="119"/>
      <c r="F27" s="119"/>
      <c r="G27" s="119"/>
      <c r="H27" s="119"/>
      <c r="I27" s="119"/>
      <c r="J27" s="119"/>
      <c r="K27" s="119"/>
      <c r="L27" s="119"/>
      <c r="M27" s="120"/>
      <c r="N27" s="392"/>
      <c r="O27" s="393"/>
      <c r="P27" s="393"/>
      <c r="Q27" s="394"/>
      <c r="R27" s="152"/>
      <c r="S27" s="128" t="s">
        <v>52</v>
      </c>
      <c r="V27" s="147"/>
    </row>
    <row r="28" spans="1:25" ht="20.149999999999999" customHeight="1" x14ac:dyDescent="0.3">
      <c r="B28" s="428"/>
      <c r="C28" s="397"/>
      <c r="D28" s="398"/>
      <c r="E28" s="546"/>
      <c r="F28" s="547"/>
      <c r="G28" s="547"/>
      <c r="H28" s="547"/>
      <c r="I28" s="547"/>
      <c r="J28" s="547"/>
      <c r="K28" s="547"/>
      <c r="L28" s="547"/>
      <c r="M28" s="548"/>
      <c r="N28" s="450"/>
      <c r="O28" s="451"/>
      <c r="P28" s="451"/>
      <c r="Q28" s="452"/>
      <c r="R28" s="144"/>
      <c r="S28" s="128">
        <v>1490004396208</v>
      </c>
    </row>
    <row r="29" spans="1:25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99"/>
      <c r="N29" s="392"/>
      <c r="O29" s="393"/>
      <c r="P29" s="393"/>
      <c r="Q29" s="394"/>
    </row>
    <row r="30" spans="1:25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2"/>
      <c r="N30" s="392"/>
      <c r="O30" s="393"/>
      <c r="P30" s="393"/>
      <c r="Q30" s="394"/>
    </row>
    <row r="31" spans="1:25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7"/>
      <c r="N31" s="395"/>
      <c r="O31" s="395"/>
      <c r="P31" s="395"/>
      <c r="Q31" s="396"/>
      <c r="V31" s="100"/>
      <c r="W31" s="101"/>
      <c r="X31" s="101"/>
      <c r="Y31" s="102"/>
    </row>
    <row r="32" spans="1:25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V32" s="403"/>
      <c r="W32" s="404"/>
      <c r="X32" s="404"/>
      <c r="Y32" s="405"/>
    </row>
    <row r="33" spans="2:22" x14ac:dyDescent="0.3">
      <c r="B33" s="85"/>
      <c r="J33" s="406" t="s">
        <v>9</v>
      </c>
      <c r="K33" s="406"/>
      <c r="L33" s="406"/>
      <c r="M33" s="406"/>
      <c r="N33" s="407">
        <f>SUM(N17:Q32)</f>
        <v>20000000</v>
      </c>
      <c r="O33" s="407"/>
      <c r="P33" s="407"/>
      <c r="Q33" s="408"/>
      <c r="R33" s="127">
        <f>R32-21560000</f>
        <v>8888700</v>
      </c>
    </row>
    <row r="34" spans="2:22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</row>
    <row r="35" spans="2:22" s="121" customFormat="1" ht="31.5" customHeight="1" x14ac:dyDescent="0.3">
      <c r="B35" s="160"/>
      <c r="D35" s="99" t="s">
        <v>13</v>
      </c>
      <c r="E35" s="409" t="s">
        <v>479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>
        <f>50000-22500</f>
        <v>27500</v>
      </c>
      <c r="T35" s="138"/>
      <c r="U35" s="139"/>
      <c r="V35" s="131"/>
    </row>
    <row r="36" spans="2:22" ht="9.75" customHeight="1" x14ac:dyDescent="0.3">
      <c r="B36" s="85"/>
      <c r="E36" s="188" t="s">
        <v>22</v>
      </c>
      <c r="J36" s="193"/>
      <c r="K36" s="193"/>
      <c r="L36" s="193"/>
      <c r="M36" s="193"/>
      <c r="N36" s="89"/>
      <c r="O36" s="89"/>
      <c r="P36" s="89"/>
      <c r="Q36" s="88"/>
    </row>
    <row r="37" spans="2:22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2" x14ac:dyDescent="0.3">
      <c r="B38" s="85"/>
      <c r="D38" s="86" t="s">
        <v>11</v>
      </c>
      <c r="E38" s="411">
        <f>I10</f>
        <v>45920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2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2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2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2" x14ac:dyDescent="0.3">
      <c r="B42" s="85"/>
      <c r="J42" s="193"/>
      <c r="K42" s="193"/>
      <c r="L42" s="193"/>
      <c r="M42" s="193"/>
      <c r="N42" s="89"/>
      <c r="O42" s="89"/>
      <c r="P42" s="89"/>
      <c r="Q42" s="88"/>
      <c r="U42" s="161"/>
    </row>
    <row r="43" spans="2:22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2" x14ac:dyDescent="0.3">
      <c r="B44" s="85"/>
      <c r="J44" s="193"/>
      <c r="K44" s="193"/>
      <c r="L44" s="193"/>
      <c r="M44" s="193"/>
      <c r="N44" s="89"/>
      <c r="O44" s="89"/>
      <c r="P44" s="89"/>
      <c r="Q44" s="88"/>
    </row>
    <row r="45" spans="2:22" x14ac:dyDescent="0.3">
      <c r="B45" s="85"/>
      <c r="C45" s="86" t="s">
        <v>15</v>
      </c>
      <c r="D45" s="386" t="s">
        <v>375</v>
      </c>
      <c r="E45" s="386"/>
      <c r="F45" s="86" t="s">
        <v>16</v>
      </c>
      <c r="H45" s="189" t="s">
        <v>15</v>
      </c>
      <c r="I45" s="187" t="s">
        <v>373</v>
      </c>
      <c r="J45" s="193" t="s">
        <v>16</v>
      </c>
      <c r="K45" s="193"/>
      <c r="L45" s="193" t="s">
        <v>15</v>
      </c>
      <c r="M45" s="386" t="s">
        <v>312</v>
      </c>
      <c r="N45" s="386"/>
      <c r="O45" s="386"/>
      <c r="P45" s="162" t="s">
        <v>16</v>
      </c>
      <c r="Q45" s="88"/>
    </row>
    <row r="46" spans="2:22" ht="7.5" customHeight="1" thickBot="1" x14ac:dyDescent="0.35">
      <c r="B46" s="163"/>
      <c r="C46" s="156"/>
      <c r="D46" s="156"/>
      <c r="E46" s="156"/>
      <c r="F46" s="156"/>
      <c r="G46" s="156"/>
      <c r="H46" s="156"/>
      <c r="I46" s="156"/>
      <c r="J46" s="164"/>
      <c r="K46" s="164"/>
      <c r="L46" s="164"/>
      <c r="M46" s="164"/>
      <c r="N46" s="165"/>
      <c r="O46" s="165"/>
      <c r="P46" s="165"/>
      <c r="Q46" s="166"/>
      <c r="S46" s="167"/>
    </row>
    <row r="47" spans="2:22" x14ac:dyDescent="0.3">
      <c r="S47" s="167"/>
    </row>
    <row r="48" spans="2:22" x14ac:dyDescent="0.3">
      <c r="M48" s="134">
        <v>197146984</v>
      </c>
      <c r="S48" s="167"/>
    </row>
    <row r="49" spans="2:22" x14ac:dyDescent="0.3">
      <c r="S49" s="167"/>
    </row>
    <row r="50" spans="2:22" x14ac:dyDescent="0.3">
      <c r="S50" s="167"/>
    </row>
    <row r="51" spans="2:22" x14ac:dyDescent="0.3">
      <c r="R51" s="127">
        <v>34182000</v>
      </c>
      <c r="S51" s="167"/>
    </row>
    <row r="52" spans="2:22" x14ac:dyDescent="0.3">
      <c r="F52" s="98" t="s">
        <v>28</v>
      </c>
      <c r="R52" s="127">
        <v>48687000</v>
      </c>
      <c r="S52" s="167"/>
    </row>
    <row r="53" spans="2:22" x14ac:dyDescent="0.3">
      <c r="R53" s="127">
        <v>17687000</v>
      </c>
      <c r="S53" s="167">
        <v>16686135</v>
      </c>
    </row>
    <row r="54" spans="2:22" x14ac:dyDescent="0.3">
      <c r="R54" s="127">
        <v>20128582</v>
      </c>
      <c r="S54" s="167">
        <v>19452942</v>
      </c>
      <c r="T54" s="129">
        <f>335*2</f>
        <v>670</v>
      </c>
      <c r="V54" s="131">
        <v>874500</v>
      </c>
    </row>
    <row r="55" spans="2:22" x14ac:dyDescent="0.3">
      <c r="R55" s="127">
        <v>5324994</v>
      </c>
      <c r="S55" s="167">
        <v>25498845</v>
      </c>
      <c r="V55" s="131">
        <v>1080000</v>
      </c>
    </row>
    <row r="56" spans="2:22" s="98" customFormat="1" x14ac:dyDescent="0.3">
      <c r="B56" s="86"/>
      <c r="C56" s="86"/>
      <c r="D56" s="86"/>
      <c r="E56" s="86"/>
      <c r="F56" s="86"/>
      <c r="G56" s="86"/>
      <c r="H56" s="86"/>
      <c r="I56" s="86"/>
      <c r="J56" s="134"/>
      <c r="K56" s="134"/>
      <c r="L56" s="134"/>
      <c r="M56" s="134"/>
      <c r="N56" s="135"/>
      <c r="O56" s="135"/>
      <c r="P56" s="135"/>
      <c r="Q56" s="135"/>
      <c r="R56" s="127">
        <v>31587576</v>
      </c>
      <c r="S56" s="167"/>
      <c r="T56" s="129"/>
      <c r="U56" s="130"/>
      <c r="V56" s="131">
        <f>V54+V55</f>
        <v>1954500</v>
      </c>
    </row>
    <row r="57" spans="2:22" x14ac:dyDescent="0.3">
      <c r="R57" s="127">
        <v>18502000</v>
      </c>
    </row>
    <row r="58" spans="2:22" x14ac:dyDescent="0.3">
      <c r="Q58" s="135" t="s">
        <v>27</v>
      </c>
      <c r="R58" s="127">
        <f>SUM(R51:R57)</f>
        <v>176099152</v>
      </c>
    </row>
    <row r="59" spans="2:22" x14ac:dyDescent="0.3">
      <c r="R59" s="127">
        <v>19750000</v>
      </c>
    </row>
    <row r="60" spans="2:22" x14ac:dyDescent="0.3">
      <c r="R60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17:D17"/>
    <mergeCell ref="E17:M17"/>
    <mergeCell ref="N17:Q17"/>
    <mergeCell ref="B18:D18"/>
    <mergeCell ref="E18:L18"/>
    <mergeCell ref="N18:Q18"/>
    <mergeCell ref="B19:D19"/>
    <mergeCell ref="E19:M19"/>
    <mergeCell ref="N19:Q19"/>
    <mergeCell ref="B20:D20"/>
    <mergeCell ref="E20:L20"/>
    <mergeCell ref="N20:Q20"/>
    <mergeCell ref="B21:D21"/>
    <mergeCell ref="E21:M21"/>
    <mergeCell ref="N21:Q21"/>
    <mergeCell ref="B22:D22"/>
    <mergeCell ref="E22:L22"/>
    <mergeCell ref="N22:Q22"/>
    <mergeCell ref="B23:D23"/>
    <mergeCell ref="E23:L23"/>
    <mergeCell ref="N23:Q23"/>
    <mergeCell ref="B24:D24"/>
    <mergeCell ref="E24:L24"/>
    <mergeCell ref="N24:Q24"/>
    <mergeCell ref="N27:Q27"/>
    <mergeCell ref="B28:D28"/>
    <mergeCell ref="E28:M28"/>
    <mergeCell ref="N28:Q28"/>
    <mergeCell ref="B29:D29"/>
    <mergeCell ref="E29:M29"/>
    <mergeCell ref="N29:Q29"/>
    <mergeCell ref="B25:D25"/>
    <mergeCell ref="E25:L25"/>
    <mergeCell ref="N25:Q25"/>
    <mergeCell ref="B26:D26"/>
    <mergeCell ref="E26:L26"/>
    <mergeCell ref="N26:Q26"/>
    <mergeCell ref="V32:Y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D45:E45"/>
    <mergeCell ref="M45:O4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D1DB-2605-4C7F-9351-ACEB8959B069}">
  <sheetPr codeName="Sheet26"/>
  <dimension ref="A1:Y60"/>
  <sheetViews>
    <sheetView showGridLines="0" view="pageBreakPreview" zoomScaleSheetLayoutView="100" workbookViewId="0">
      <selection activeCell="I11" sqref="I11:N11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4.4531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6" style="129" customWidth="1"/>
    <col min="21" max="21" width="16" style="130" customWidth="1"/>
    <col min="22" max="22" width="29.26953125" style="131" customWidth="1"/>
    <col min="23" max="27" width="8" style="86" customWidth="1"/>
    <col min="28" max="16384" width="9.1796875" style="86"/>
  </cols>
  <sheetData>
    <row r="1" spans="2:24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2:24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2:24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2:24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2:24" x14ac:dyDescent="0.3">
      <c r="B5" s="85"/>
      <c r="J5" s="193"/>
      <c r="K5" s="193"/>
      <c r="L5" s="193"/>
      <c r="M5" s="193"/>
      <c r="N5" s="89"/>
      <c r="O5" s="89"/>
      <c r="P5" s="89"/>
      <c r="Q5" s="88"/>
      <c r="X5" s="86" t="s">
        <v>21</v>
      </c>
    </row>
    <row r="6" spans="2:24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2:24" ht="23.25" customHeight="1" x14ac:dyDescent="0.3">
      <c r="B7" s="85"/>
      <c r="G7" s="94" t="s">
        <v>14</v>
      </c>
      <c r="H7" s="95" t="s">
        <v>7</v>
      </c>
      <c r="I7" s="434" t="s">
        <v>495</v>
      </c>
      <c r="J7" s="434"/>
      <c r="K7" s="434"/>
      <c r="L7" s="434"/>
      <c r="M7" s="434"/>
      <c r="N7" s="89"/>
      <c r="O7" s="89"/>
      <c r="P7" s="89"/>
      <c r="Q7" s="88"/>
      <c r="T7" s="129">
        <v>9866000</v>
      </c>
    </row>
    <row r="8" spans="2:24" x14ac:dyDescent="0.3">
      <c r="B8" s="85"/>
      <c r="I8" s="86" t="s">
        <v>22</v>
      </c>
      <c r="J8" s="193"/>
      <c r="K8" s="193"/>
      <c r="L8" s="193"/>
      <c r="M8" s="193"/>
      <c r="N8" s="89"/>
      <c r="O8" s="89"/>
      <c r="P8" s="89"/>
      <c r="Q8" s="88"/>
      <c r="T8" s="129">
        <v>50000</v>
      </c>
    </row>
    <row r="9" spans="2:24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T9" s="129">
        <v>150000</v>
      </c>
    </row>
    <row r="10" spans="2:24" ht="24" customHeight="1" x14ac:dyDescent="0.3">
      <c r="B10" s="85"/>
      <c r="D10" s="86" t="s">
        <v>3</v>
      </c>
      <c r="H10" s="86" t="s">
        <v>7</v>
      </c>
      <c r="I10" s="436">
        <v>45925</v>
      </c>
      <c r="J10" s="436"/>
      <c r="K10" s="436"/>
      <c r="L10" s="436"/>
      <c r="M10" s="436"/>
      <c r="N10" s="436"/>
      <c r="O10" s="89"/>
      <c r="P10" s="89"/>
      <c r="Q10" s="88"/>
    </row>
    <row r="11" spans="2:24" ht="33.75" customHeight="1" thickBot="1" x14ac:dyDescent="0.35">
      <c r="B11" s="85"/>
      <c r="D11" s="86" t="s">
        <v>4</v>
      </c>
      <c r="H11" s="86" t="s">
        <v>7</v>
      </c>
      <c r="I11" s="437" t="s">
        <v>496</v>
      </c>
      <c r="J11" s="437"/>
      <c r="K11" s="437"/>
      <c r="L11" s="437"/>
      <c r="M11" s="437"/>
      <c r="N11" s="437"/>
      <c r="O11" s="89"/>
      <c r="P11" s="89"/>
      <c r="Q11" s="88"/>
      <c r="R11" s="132"/>
    </row>
    <row r="12" spans="2:24" ht="24" customHeight="1" x14ac:dyDescent="0.3">
      <c r="B12" s="85"/>
      <c r="D12" s="86" t="s">
        <v>5</v>
      </c>
      <c r="H12" s="86" t="s">
        <v>7</v>
      </c>
      <c r="I12" s="438">
        <f>N33</f>
        <v>50000000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128">
        <v>820793469</v>
      </c>
      <c r="T12" s="133">
        <f>5000000-55500</f>
        <v>4944500</v>
      </c>
    </row>
    <row r="13" spans="2:24" ht="24" customHeight="1" x14ac:dyDescent="0.3"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T13" s="129">
        <f>5000000*1.11%</f>
        <v>55500</v>
      </c>
      <c r="U13" s="136"/>
    </row>
    <row r="14" spans="2:24" ht="14.5" thickBot="1" x14ac:dyDescent="0.35"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S14" s="128">
        <f>238869327-192000000</f>
        <v>46869327</v>
      </c>
      <c r="U14" s="136"/>
    </row>
    <row r="15" spans="2:24" s="121" customFormat="1" ht="21" customHeight="1" thickBot="1" x14ac:dyDescent="0.35">
      <c r="B15" s="441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137"/>
      <c r="S15" s="128"/>
      <c r="T15" s="138"/>
      <c r="U15" s="139"/>
      <c r="V15" s="140"/>
    </row>
    <row r="16" spans="2:24" ht="12.75" customHeight="1" thickBot="1" x14ac:dyDescent="0.35">
      <c r="B16" s="145"/>
      <c r="C16" s="109"/>
      <c r="D16" s="146"/>
      <c r="J16" s="86"/>
      <c r="K16" s="86"/>
      <c r="L16" s="86"/>
      <c r="M16" s="141"/>
      <c r="N16" s="444"/>
      <c r="O16" s="444"/>
      <c r="P16" s="444"/>
      <c r="Q16" s="445"/>
      <c r="R16" s="142"/>
      <c r="S16" s="143">
        <v>105653000</v>
      </c>
    </row>
    <row r="17" spans="1:25" ht="21.75" customHeight="1" x14ac:dyDescent="0.3">
      <c r="B17" s="447" t="s">
        <v>165</v>
      </c>
      <c r="C17" s="456"/>
      <c r="D17" s="457"/>
      <c r="E17" s="387" t="s">
        <v>228</v>
      </c>
      <c r="F17" s="388"/>
      <c r="G17" s="388"/>
      <c r="H17" s="388"/>
      <c r="I17" s="388"/>
      <c r="J17" s="388"/>
      <c r="K17" s="388"/>
      <c r="L17" s="388"/>
      <c r="M17" s="399"/>
      <c r="N17" s="392">
        <v>0</v>
      </c>
      <c r="O17" s="393"/>
      <c r="P17" s="393"/>
      <c r="Q17" s="394"/>
      <c r="R17" s="144"/>
      <c r="S17" s="128">
        <f>I12-S16</f>
        <v>-55653000</v>
      </c>
    </row>
    <row r="18" spans="1:25" ht="23.25" customHeight="1" thickBot="1" x14ac:dyDescent="0.35">
      <c r="B18" s="389" t="s">
        <v>188</v>
      </c>
      <c r="C18" s="397"/>
      <c r="D18" s="398"/>
      <c r="E18" s="400" t="s">
        <v>260</v>
      </c>
      <c r="F18" s="401"/>
      <c r="G18" s="401"/>
      <c r="H18" s="401"/>
      <c r="I18" s="401"/>
      <c r="J18" s="401"/>
      <c r="K18" s="401"/>
      <c r="L18" s="401"/>
      <c r="M18" s="373">
        <v>250000000</v>
      </c>
      <c r="N18" s="392">
        <v>0</v>
      </c>
      <c r="O18" s="393"/>
      <c r="P18" s="393"/>
      <c r="Q18" s="394"/>
      <c r="R18" s="184"/>
      <c r="S18" s="96"/>
      <c r="T18" s="96"/>
      <c r="U18" s="97"/>
      <c r="V18" s="147"/>
    </row>
    <row r="19" spans="1:25" s="121" customFormat="1" ht="20.149999999999999" customHeight="1" x14ac:dyDescent="0.35">
      <c r="B19" s="389" t="s">
        <v>147</v>
      </c>
      <c r="C19" s="397"/>
      <c r="D19" s="398"/>
      <c r="E19" s="400" t="s">
        <v>145</v>
      </c>
      <c r="F19" s="401"/>
      <c r="G19" s="401"/>
      <c r="H19" s="401"/>
      <c r="I19" s="401"/>
      <c r="J19" s="401"/>
      <c r="K19" s="401"/>
      <c r="L19" s="401"/>
      <c r="M19" s="402"/>
      <c r="N19" s="392">
        <v>0</v>
      </c>
      <c r="O19" s="393"/>
      <c r="P19" s="393"/>
      <c r="Q19" s="394"/>
      <c r="R19" s="148"/>
      <c r="S19" s="143"/>
      <c r="T19" s="138"/>
      <c r="U19" s="139"/>
      <c r="V19" s="149"/>
    </row>
    <row r="20" spans="1:25" s="98" customFormat="1" ht="20.149999999999999" customHeight="1" x14ac:dyDescent="0.3">
      <c r="B20" s="428" t="s">
        <v>376</v>
      </c>
      <c r="C20" s="397"/>
      <c r="D20" s="398"/>
      <c r="E20" s="400" t="s">
        <v>428</v>
      </c>
      <c r="F20" s="401"/>
      <c r="G20" s="401"/>
      <c r="H20" s="401"/>
      <c r="I20" s="401"/>
      <c r="J20" s="401"/>
      <c r="K20" s="401"/>
      <c r="L20" s="401"/>
      <c r="M20" s="373">
        <v>-750000</v>
      </c>
      <c r="N20" s="392">
        <v>0</v>
      </c>
      <c r="O20" s="393"/>
      <c r="P20" s="393"/>
      <c r="Q20" s="394"/>
      <c r="R20" s="150"/>
      <c r="S20" s="151"/>
      <c r="T20" s="129"/>
      <c r="U20" s="130"/>
      <c r="V20" s="147"/>
    </row>
    <row r="21" spans="1:25" s="98" customFormat="1" ht="20.149999999999999" customHeight="1" x14ac:dyDescent="0.3">
      <c r="B21" s="428" t="s">
        <v>429</v>
      </c>
      <c r="C21" s="397"/>
      <c r="D21" s="398"/>
      <c r="E21" s="546" t="s">
        <v>430</v>
      </c>
      <c r="F21" s="547"/>
      <c r="G21" s="547"/>
      <c r="H21" s="547"/>
      <c r="I21" s="547"/>
      <c r="J21" s="547"/>
      <c r="K21" s="547"/>
      <c r="L21" s="547"/>
      <c r="M21" s="548"/>
      <c r="N21" s="392">
        <v>0</v>
      </c>
      <c r="O21" s="393"/>
      <c r="P21" s="393"/>
      <c r="Q21" s="394"/>
      <c r="R21" s="150"/>
      <c r="S21" s="151"/>
      <c r="T21" s="129"/>
      <c r="U21" s="130"/>
      <c r="V21" s="147"/>
    </row>
    <row r="22" spans="1:25" s="98" customFormat="1" ht="21" customHeight="1" x14ac:dyDescent="0.3">
      <c r="B22" s="389" t="s">
        <v>188</v>
      </c>
      <c r="C22" s="397"/>
      <c r="D22" s="398"/>
      <c r="E22" s="400" t="s">
        <v>410</v>
      </c>
      <c r="F22" s="401"/>
      <c r="G22" s="401"/>
      <c r="H22" s="401"/>
      <c r="I22" s="401"/>
      <c r="J22" s="401"/>
      <c r="K22" s="401"/>
      <c r="L22" s="401"/>
      <c r="M22" s="373">
        <v>-137500000</v>
      </c>
      <c r="N22" s="392">
        <v>0</v>
      </c>
      <c r="O22" s="393"/>
      <c r="P22" s="393"/>
      <c r="Q22" s="394"/>
      <c r="R22" s="150"/>
      <c r="S22" s="151"/>
      <c r="T22" s="129"/>
      <c r="U22" s="130"/>
      <c r="V22" s="147"/>
    </row>
    <row r="23" spans="1:25" s="98" customFormat="1" ht="21" customHeight="1" thickBot="1" x14ac:dyDescent="0.35">
      <c r="B23" s="428" t="s">
        <v>376</v>
      </c>
      <c r="C23" s="397"/>
      <c r="D23" s="398"/>
      <c r="E23" s="400" t="s">
        <v>431</v>
      </c>
      <c r="F23" s="401"/>
      <c r="G23" s="401"/>
      <c r="H23" s="401"/>
      <c r="I23" s="401"/>
      <c r="J23" s="401"/>
      <c r="K23" s="401"/>
      <c r="L23" s="401"/>
      <c r="M23" s="374">
        <v>-937500</v>
      </c>
      <c r="N23" s="392">
        <v>0</v>
      </c>
      <c r="O23" s="393"/>
      <c r="P23" s="393"/>
      <c r="Q23" s="394"/>
      <c r="R23" s="150"/>
      <c r="S23" s="151"/>
      <c r="T23" s="129"/>
      <c r="U23" s="130"/>
      <c r="V23" s="147"/>
    </row>
    <row r="24" spans="1:25" ht="20.149999999999999" customHeight="1" thickBot="1" x14ac:dyDescent="0.35">
      <c r="A24" s="86" t="s">
        <v>22</v>
      </c>
      <c r="B24" s="389" t="s">
        <v>188</v>
      </c>
      <c r="C24" s="397"/>
      <c r="D24" s="398"/>
      <c r="E24" s="400" t="s">
        <v>415</v>
      </c>
      <c r="F24" s="401"/>
      <c r="G24" s="401"/>
      <c r="H24" s="401"/>
      <c r="I24" s="401"/>
      <c r="J24" s="401"/>
      <c r="K24" s="401"/>
      <c r="L24" s="401"/>
      <c r="M24" s="373">
        <v>0</v>
      </c>
      <c r="N24" s="392">
        <v>0</v>
      </c>
      <c r="O24" s="393"/>
      <c r="P24" s="393"/>
      <c r="Q24" s="394"/>
      <c r="R24" s="168"/>
      <c r="V24" s="147"/>
    </row>
    <row r="25" spans="1:25" ht="20.149999999999999" customHeight="1" thickBot="1" x14ac:dyDescent="0.35">
      <c r="B25" s="389"/>
      <c r="C25" s="397"/>
      <c r="D25" s="398"/>
      <c r="E25" s="400" t="s">
        <v>477</v>
      </c>
      <c r="F25" s="401"/>
      <c r="G25" s="401"/>
      <c r="H25" s="401"/>
      <c r="I25" s="401"/>
      <c r="J25" s="401"/>
      <c r="K25" s="401"/>
      <c r="L25" s="401"/>
      <c r="M25" s="375">
        <v>50000000</v>
      </c>
      <c r="N25" s="392">
        <f>M25</f>
        <v>50000000</v>
      </c>
      <c r="O25" s="393"/>
      <c r="P25" s="393"/>
      <c r="Q25" s="394"/>
      <c r="R25" s="144"/>
      <c r="V25" s="147"/>
    </row>
    <row r="26" spans="1:25" s="98" customFormat="1" ht="20.149999999999999" customHeight="1" thickBot="1" x14ac:dyDescent="0.35">
      <c r="B26" s="389"/>
      <c r="C26" s="397"/>
      <c r="D26" s="398"/>
      <c r="E26" s="400" t="s">
        <v>478</v>
      </c>
      <c r="F26" s="401"/>
      <c r="G26" s="401"/>
      <c r="H26" s="401"/>
      <c r="I26" s="401"/>
      <c r="J26" s="401"/>
      <c r="K26" s="401"/>
      <c r="L26" s="401"/>
      <c r="M26" s="376">
        <f>M18+M20+M22+M23+M24-M25</f>
        <v>60812500</v>
      </c>
      <c r="N26" s="392"/>
      <c r="O26" s="393"/>
      <c r="P26" s="393"/>
      <c r="Q26" s="394"/>
      <c r="R26" s="150"/>
      <c r="S26" s="151" t="s">
        <v>177</v>
      </c>
      <c r="T26" s="129"/>
      <c r="U26" s="130"/>
      <c r="V26" s="147"/>
    </row>
    <row r="27" spans="1:25" ht="20.149999999999999" customHeight="1" thickBot="1" x14ac:dyDescent="0.35">
      <c r="B27" s="145"/>
      <c r="C27" s="194"/>
      <c r="D27" s="190"/>
      <c r="E27" s="119"/>
      <c r="F27" s="119"/>
      <c r="G27" s="119"/>
      <c r="H27" s="119"/>
      <c r="I27" s="119"/>
      <c r="J27" s="119"/>
      <c r="K27" s="119"/>
      <c r="L27" s="119"/>
      <c r="M27" s="120"/>
      <c r="N27" s="392"/>
      <c r="O27" s="393"/>
      <c r="P27" s="393"/>
      <c r="Q27" s="394"/>
      <c r="R27" s="152"/>
      <c r="S27" s="128" t="s">
        <v>52</v>
      </c>
      <c r="V27" s="147"/>
    </row>
    <row r="28" spans="1:25" ht="20.149999999999999" customHeight="1" x14ac:dyDescent="0.3">
      <c r="B28" s="428"/>
      <c r="C28" s="397"/>
      <c r="D28" s="398"/>
      <c r="E28" s="546"/>
      <c r="F28" s="547"/>
      <c r="G28" s="547"/>
      <c r="H28" s="547"/>
      <c r="I28" s="547"/>
      <c r="J28" s="547"/>
      <c r="K28" s="547"/>
      <c r="L28" s="547"/>
      <c r="M28" s="548"/>
      <c r="N28" s="450"/>
      <c r="O28" s="451"/>
      <c r="P28" s="451"/>
      <c r="Q28" s="452"/>
      <c r="R28" s="144"/>
      <c r="S28" s="128">
        <v>1490004396208</v>
      </c>
    </row>
    <row r="29" spans="1:25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99"/>
      <c r="N29" s="392"/>
      <c r="O29" s="393"/>
      <c r="P29" s="393"/>
      <c r="Q29" s="394"/>
    </row>
    <row r="30" spans="1:25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2"/>
      <c r="N30" s="392"/>
      <c r="O30" s="393"/>
      <c r="P30" s="393"/>
      <c r="Q30" s="394"/>
    </row>
    <row r="31" spans="1:25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7"/>
      <c r="N31" s="395"/>
      <c r="O31" s="395"/>
      <c r="P31" s="395"/>
      <c r="Q31" s="396"/>
      <c r="V31" s="100"/>
      <c r="W31" s="101"/>
      <c r="X31" s="101"/>
      <c r="Y31" s="102"/>
    </row>
    <row r="32" spans="1:25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V32" s="403"/>
      <c r="W32" s="404"/>
      <c r="X32" s="404"/>
      <c r="Y32" s="405"/>
    </row>
    <row r="33" spans="2:22" x14ac:dyDescent="0.3">
      <c r="B33" s="85"/>
      <c r="J33" s="406" t="s">
        <v>9</v>
      </c>
      <c r="K33" s="406"/>
      <c r="L33" s="406"/>
      <c r="M33" s="406"/>
      <c r="N33" s="407">
        <f>SUM(N17:Q32)</f>
        <v>50000000</v>
      </c>
      <c r="O33" s="407"/>
      <c r="P33" s="407"/>
      <c r="Q33" s="408"/>
      <c r="R33" s="127">
        <f>R32-21560000</f>
        <v>8888700</v>
      </c>
    </row>
    <row r="34" spans="2:22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</row>
    <row r="35" spans="2:22" s="121" customFormat="1" ht="31.5" customHeight="1" x14ac:dyDescent="0.3">
      <c r="B35" s="160"/>
      <c r="D35" s="99" t="s">
        <v>13</v>
      </c>
      <c r="E35" s="409" t="s">
        <v>497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>
        <f>50000-22500</f>
        <v>27500</v>
      </c>
      <c r="T35" s="138"/>
      <c r="U35" s="139"/>
      <c r="V35" s="131"/>
    </row>
    <row r="36" spans="2:22" ht="9.75" customHeight="1" x14ac:dyDescent="0.3">
      <c r="B36" s="85"/>
      <c r="E36" s="188" t="s">
        <v>22</v>
      </c>
      <c r="J36" s="193"/>
      <c r="K36" s="193"/>
      <c r="L36" s="193"/>
      <c r="M36" s="193"/>
      <c r="N36" s="89"/>
      <c r="O36" s="89"/>
      <c r="P36" s="89"/>
      <c r="Q36" s="88"/>
    </row>
    <row r="37" spans="2:22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2" x14ac:dyDescent="0.3">
      <c r="B38" s="85"/>
      <c r="D38" s="86" t="s">
        <v>11</v>
      </c>
      <c r="E38" s="411">
        <f>I10</f>
        <v>45925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2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2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2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2" x14ac:dyDescent="0.3">
      <c r="B42" s="85"/>
      <c r="J42" s="193"/>
      <c r="K42" s="193"/>
      <c r="L42" s="193"/>
      <c r="M42" s="193"/>
      <c r="N42" s="89"/>
      <c r="O42" s="89"/>
      <c r="P42" s="89"/>
      <c r="Q42" s="88"/>
      <c r="U42" s="161"/>
    </row>
    <row r="43" spans="2:22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2" x14ac:dyDescent="0.3">
      <c r="B44" s="85"/>
      <c r="J44" s="193"/>
      <c r="K44" s="193"/>
      <c r="L44" s="193"/>
      <c r="M44" s="193"/>
      <c r="N44" s="89"/>
      <c r="O44" s="89"/>
      <c r="P44" s="89"/>
      <c r="Q44" s="88"/>
    </row>
    <row r="45" spans="2:22" x14ac:dyDescent="0.3">
      <c r="B45" s="85"/>
      <c r="C45" s="86" t="s">
        <v>15</v>
      </c>
      <c r="D45" s="386" t="s">
        <v>375</v>
      </c>
      <c r="E45" s="386"/>
      <c r="F45" s="86" t="s">
        <v>16</v>
      </c>
      <c r="H45" s="189" t="s">
        <v>15</v>
      </c>
      <c r="I45" s="187" t="s">
        <v>373</v>
      </c>
      <c r="J45" s="193" t="s">
        <v>16</v>
      </c>
      <c r="K45" s="193"/>
      <c r="L45" s="193" t="s">
        <v>15</v>
      </c>
      <c r="M45" s="386" t="s">
        <v>312</v>
      </c>
      <c r="N45" s="386"/>
      <c r="O45" s="386"/>
      <c r="P45" s="162" t="s">
        <v>16</v>
      </c>
      <c r="Q45" s="88"/>
    </row>
    <row r="46" spans="2:22" ht="7.5" customHeight="1" thickBot="1" x14ac:dyDescent="0.35">
      <c r="B46" s="163"/>
      <c r="C46" s="156"/>
      <c r="D46" s="156"/>
      <c r="E46" s="156"/>
      <c r="F46" s="156"/>
      <c r="G46" s="156"/>
      <c r="H46" s="156"/>
      <c r="I46" s="156"/>
      <c r="J46" s="164"/>
      <c r="K46" s="164"/>
      <c r="L46" s="164"/>
      <c r="M46" s="164"/>
      <c r="N46" s="165"/>
      <c r="O46" s="165"/>
      <c r="P46" s="165"/>
      <c r="Q46" s="166"/>
      <c r="S46" s="167"/>
    </row>
    <row r="47" spans="2:22" x14ac:dyDescent="0.3">
      <c r="S47" s="167"/>
    </row>
    <row r="48" spans="2:22" x14ac:dyDescent="0.3">
      <c r="M48" s="134">
        <v>197146984</v>
      </c>
      <c r="S48" s="167"/>
    </row>
    <row r="49" spans="2:22" x14ac:dyDescent="0.3">
      <c r="S49" s="167"/>
    </row>
    <row r="50" spans="2:22" x14ac:dyDescent="0.3">
      <c r="S50" s="167"/>
    </row>
    <row r="51" spans="2:22" x14ac:dyDescent="0.3">
      <c r="R51" s="127">
        <v>34182000</v>
      </c>
      <c r="S51" s="167"/>
    </row>
    <row r="52" spans="2:22" x14ac:dyDescent="0.3">
      <c r="F52" s="98" t="s">
        <v>28</v>
      </c>
      <c r="R52" s="127">
        <v>48687000</v>
      </c>
      <c r="S52" s="167"/>
    </row>
    <row r="53" spans="2:22" x14ac:dyDescent="0.3">
      <c r="R53" s="127">
        <v>17687000</v>
      </c>
      <c r="S53" s="167">
        <v>16686135</v>
      </c>
    </row>
    <row r="54" spans="2:22" x14ac:dyDescent="0.3">
      <c r="R54" s="127">
        <v>20128582</v>
      </c>
      <c r="S54" s="167">
        <v>19452942</v>
      </c>
      <c r="T54" s="129">
        <f>335*2</f>
        <v>670</v>
      </c>
      <c r="V54" s="131">
        <v>874500</v>
      </c>
    </row>
    <row r="55" spans="2:22" x14ac:dyDescent="0.3">
      <c r="R55" s="127">
        <v>5324994</v>
      </c>
      <c r="S55" s="167">
        <v>25498845</v>
      </c>
      <c r="V55" s="131">
        <v>1080000</v>
      </c>
    </row>
    <row r="56" spans="2:22" s="98" customFormat="1" x14ac:dyDescent="0.3">
      <c r="B56" s="86"/>
      <c r="C56" s="86"/>
      <c r="D56" s="86"/>
      <c r="E56" s="86"/>
      <c r="F56" s="86"/>
      <c r="G56" s="86"/>
      <c r="H56" s="86"/>
      <c r="I56" s="86"/>
      <c r="J56" s="134"/>
      <c r="K56" s="134"/>
      <c r="L56" s="134"/>
      <c r="M56" s="134"/>
      <c r="N56" s="135"/>
      <c r="O56" s="135"/>
      <c r="P56" s="135"/>
      <c r="Q56" s="135"/>
      <c r="R56" s="127">
        <v>31587576</v>
      </c>
      <c r="S56" s="167"/>
      <c r="T56" s="129"/>
      <c r="U56" s="130"/>
      <c r="V56" s="131">
        <f>V54+V55</f>
        <v>1954500</v>
      </c>
    </row>
    <row r="57" spans="2:22" x14ac:dyDescent="0.3">
      <c r="R57" s="127">
        <v>18502000</v>
      </c>
    </row>
    <row r="58" spans="2:22" x14ac:dyDescent="0.3">
      <c r="Q58" s="135" t="s">
        <v>27</v>
      </c>
      <c r="R58" s="127">
        <f>SUM(R51:R57)</f>
        <v>176099152</v>
      </c>
    </row>
    <row r="59" spans="2:22" x14ac:dyDescent="0.3">
      <c r="R59" s="127">
        <v>19750000</v>
      </c>
    </row>
    <row r="60" spans="2:22" x14ac:dyDescent="0.3">
      <c r="R60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17:D17"/>
    <mergeCell ref="E17:M17"/>
    <mergeCell ref="N17:Q17"/>
    <mergeCell ref="B18:D18"/>
    <mergeCell ref="E18:L18"/>
    <mergeCell ref="N18:Q18"/>
    <mergeCell ref="B19:D19"/>
    <mergeCell ref="E19:M19"/>
    <mergeCell ref="N19:Q19"/>
    <mergeCell ref="B20:D20"/>
    <mergeCell ref="E20:L20"/>
    <mergeCell ref="N20:Q20"/>
    <mergeCell ref="B21:D21"/>
    <mergeCell ref="E21:M21"/>
    <mergeCell ref="N21:Q21"/>
    <mergeCell ref="B22:D22"/>
    <mergeCell ref="E22:L22"/>
    <mergeCell ref="N22:Q22"/>
    <mergeCell ref="B23:D23"/>
    <mergeCell ref="E23:L23"/>
    <mergeCell ref="N23:Q23"/>
    <mergeCell ref="B24:D24"/>
    <mergeCell ref="E24:L24"/>
    <mergeCell ref="N24:Q24"/>
    <mergeCell ref="N27:Q27"/>
    <mergeCell ref="B28:D28"/>
    <mergeCell ref="E28:M28"/>
    <mergeCell ref="N28:Q28"/>
    <mergeCell ref="B29:D29"/>
    <mergeCell ref="E29:M29"/>
    <mergeCell ref="N29:Q29"/>
    <mergeCell ref="B25:D25"/>
    <mergeCell ref="E25:L25"/>
    <mergeCell ref="N25:Q25"/>
    <mergeCell ref="B26:D26"/>
    <mergeCell ref="E26:L26"/>
    <mergeCell ref="N26:Q26"/>
    <mergeCell ref="V32:Y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D45:E45"/>
    <mergeCell ref="M45:O4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59"/>
  <sheetViews>
    <sheetView showGridLines="0" view="pageBreakPreview" topLeftCell="B19" zoomScaleSheetLayoutView="100" workbookViewId="0">
      <selection activeCell="E19" sqref="E19:L19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4.7265625" style="134" bestFit="1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404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45741</v>
      </c>
      <c r="J10" s="436"/>
      <c r="K10" s="436"/>
      <c r="L10" s="436"/>
      <c r="M10" s="436"/>
      <c r="N10" s="436"/>
      <c r="O10" s="89"/>
      <c r="P10" s="89"/>
      <c r="Q10" s="88"/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65</v>
      </c>
      <c r="J11" s="437"/>
      <c r="K11" s="437"/>
      <c r="L11" s="437"/>
      <c r="M11" s="437"/>
      <c r="N11" s="437"/>
      <c r="O11" s="89"/>
      <c r="P11" s="89"/>
      <c r="Q11" s="88"/>
      <c r="R11" s="132"/>
      <c r="S11" s="253"/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7709080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thickBot="1" x14ac:dyDescent="0.35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1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168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33"/>
      <c r="S15" s="128"/>
      <c r="T15" s="128"/>
      <c r="U15" s="138"/>
      <c r="V15" s="234"/>
      <c r="W15" s="140"/>
    </row>
    <row r="16" spans="1:25" ht="12.75" customHeight="1" thickBot="1" x14ac:dyDescent="0.35">
      <c r="A16" s="141"/>
      <c r="B16" s="109"/>
      <c r="C16" s="109"/>
      <c r="D16" s="146"/>
      <c r="E16" s="271"/>
      <c r="J16" s="86"/>
      <c r="K16" s="86"/>
      <c r="L16" s="86"/>
      <c r="M16" s="86"/>
      <c r="N16" s="446"/>
      <c r="O16" s="444"/>
      <c r="P16" s="444"/>
      <c r="Q16" s="445"/>
      <c r="R16" s="168"/>
      <c r="S16" s="143"/>
      <c r="T16" s="143"/>
      <c r="V16" s="136"/>
    </row>
    <row r="17" spans="1:26" ht="29.25" customHeight="1" x14ac:dyDescent="0.3">
      <c r="A17" s="141"/>
      <c r="B17" s="453" t="s">
        <v>159</v>
      </c>
      <c r="C17" s="454"/>
      <c r="D17" s="455"/>
      <c r="E17" s="387" t="s">
        <v>380</v>
      </c>
      <c r="F17" s="388"/>
      <c r="G17" s="388"/>
      <c r="H17" s="388"/>
      <c r="I17" s="388"/>
      <c r="J17" s="388"/>
      <c r="K17" s="388"/>
      <c r="L17" s="388"/>
      <c r="M17" s="399"/>
      <c r="N17" s="450"/>
      <c r="O17" s="451"/>
      <c r="P17" s="451"/>
      <c r="Q17" s="452"/>
      <c r="R17" s="270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387" t="s">
        <v>381</v>
      </c>
      <c r="F18" s="388"/>
      <c r="G18" s="388"/>
      <c r="H18" s="388"/>
      <c r="I18" s="388"/>
      <c r="J18" s="388"/>
      <c r="K18" s="388"/>
      <c r="L18" s="388"/>
      <c r="M18" s="399"/>
      <c r="N18" s="450">
        <v>4560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382</v>
      </c>
      <c r="F19" s="401"/>
      <c r="G19" s="401"/>
      <c r="H19" s="401"/>
      <c r="I19" s="401"/>
      <c r="J19" s="401"/>
      <c r="K19" s="401"/>
      <c r="L19" s="401"/>
      <c r="M19" s="372"/>
      <c r="N19" s="450">
        <v>2452180</v>
      </c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 t="s">
        <v>383</v>
      </c>
      <c r="F20" s="401"/>
      <c r="G20" s="401"/>
      <c r="H20" s="401"/>
      <c r="I20" s="401"/>
      <c r="J20" s="401"/>
      <c r="K20" s="401"/>
      <c r="L20" s="401"/>
      <c r="M20" s="329"/>
      <c r="N20" s="393">
        <v>608540</v>
      </c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400" t="s">
        <v>384</v>
      </c>
      <c r="F21" s="401"/>
      <c r="G21" s="401"/>
      <c r="H21" s="401"/>
      <c r="I21" s="401"/>
      <c r="J21" s="401"/>
      <c r="K21" s="401"/>
      <c r="L21" s="401"/>
      <c r="M21" s="330"/>
      <c r="N21" s="450">
        <v>4643800</v>
      </c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322"/>
      <c r="N22" s="392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60"/>
      <c r="F23" s="461"/>
      <c r="G23" s="461"/>
      <c r="H23" s="461"/>
      <c r="I23" s="461"/>
      <c r="J23" s="461"/>
      <c r="K23" s="461"/>
      <c r="L23" s="461"/>
      <c r="M23" s="462"/>
      <c r="N23" s="451"/>
      <c r="O23" s="451"/>
      <c r="P23" s="451"/>
      <c r="Q23" s="452"/>
      <c r="R23" s="214">
        <f>I12-22600000</f>
        <v>-14890920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450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388"/>
      <c r="N25" s="392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450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464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24"/>
      <c r="N28" s="392"/>
      <c r="O28" s="393"/>
      <c r="P28" s="393"/>
      <c r="Q28" s="394"/>
      <c r="R28" s="270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88"/>
      <c r="N29" s="392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1"/>
      <c r="N30" s="331"/>
      <c r="R30" s="332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463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7709080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19690920</v>
      </c>
    </row>
    <row r="35" spans="2:23" s="121" customFormat="1" ht="31.5" customHeight="1" x14ac:dyDescent="0.3">
      <c r="B35" s="160"/>
      <c r="D35" s="99" t="s">
        <v>13</v>
      </c>
      <c r="E35" s="409" t="s">
        <v>405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45741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sortState xmlns:xlrd2="http://schemas.microsoft.com/office/spreadsheetml/2017/richdata2" ref="U18:U27">
    <sortCondition ref="U18"/>
  </sortState>
  <mergeCells count="61">
    <mergeCell ref="B24:D24"/>
    <mergeCell ref="E24:M24"/>
    <mergeCell ref="E26:M26"/>
    <mergeCell ref="N23:Q23"/>
    <mergeCell ref="B21:D21"/>
    <mergeCell ref="B23:D23"/>
    <mergeCell ref="B22:D22"/>
    <mergeCell ref="N24:Q24"/>
    <mergeCell ref="N25:Q25"/>
    <mergeCell ref="E25:M25"/>
    <mergeCell ref="E23:M23"/>
    <mergeCell ref="E21:L21"/>
    <mergeCell ref="E22:L22"/>
    <mergeCell ref="N19:Q19"/>
    <mergeCell ref="N20:Q20"/>
    <mergeCell ref="N21:Q21"/>
    <mergeCell ref="N22:Q22"/>
    <mergeCell ref="E20:L20"/>
    <mergeCell ref="D44:E44"/>
    <mergeCell ref="M44:O44"/>
    <mergeCell ref="J33:M33"/>
    <mergeCell ref="N33:Q33"/>
    <mergeCell ref="E35:Q35"/>
    <mergeCell ref="E38:G38"/>
    <mergeCell ref="M38:N38"/>
    <mergeCell ref="O38:Q38"/>
    <mergeCell ref="W32:Z32"/>
    <mergeCell ref="B26:D26"/>
    <mergeCell ref="B30:D30"/>
    <mergeCell ref="B28:D28"/>
    <mergeCell ref="B29:D29"/>
    <mergeCell ref="N26:Q26"/>
    <mergeCell ref="N31:Q31"/>
    <mergeCell ref="N27:Q27"/>
    <mergeCell ref="E30:M30"/>
    <mergeCell ref="N29:Q29"/>
    <mergeCell ref="N28:Q28"/>
    <mergeCell ref="E29:M29"/>
    <mergeCell ref="B27:D27"/>
    <mergeCell ref="E28:I28"/>
    <mergeCell ref="E27:M27"/>
    <mergeCell ref="D3:O3"/>
    <mergeCell ref="I7:M7"/>
    <mergeCell ref="I9:N9"/>
    <mergeCell ref="I10:N10"/>
    <mergeCell ref="I11:N11"/>
    <mergeCell ref="N15:Q15"/>
    <mergeCell ref="N16:Q16"/>
    <mergeCell ref="N17:Q17"/>
    <mergeCell ref="N18:Q18"/>
    <mergeCell ref="I12:N12"/>
    <mergeCell ref="I14:N14"/>
    <mergeCell ref="I13:N13"/>
    <mergeCell ref="E18:M18"/>
    <mergeCell ref="B17:D17"/>
    <mergeCell ref="B15:D15"/>
    <mergeCell ref="E15:M15"/>
    <mergeCell ref="B18:D18"/>
    <mergeCell ref="B19:D19"/>
    <mergeCell ref="E17:M17"/>
    <mergeCell ref="E19:L19"/>
  </mergeCells>
  <printOptions horizontalCentered="1"/>
  <pageMargins left="0.39370078740157483" right="0.47244094488188981" top="0.74803149606299213" bottom="0.35433070866141736" header="0.31496062992125984" footer="0.31496062992125984"/>
  <pageSetup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6E9-EA56-4A6C-BE2E-4F806E11C016}">
  <sheetPr codeName="Sheet16"/>
  <dimension ref="A1:Z59"/>
  <sheetViews>
    <sheetView showGridLines="0" view="pageBreakPreview" topLeftCell="A4" zoomScaleNormal="100" zoomScaleSheetLayoutView="100" workbookViewId="0">
      <selection activeCell="E18" sqref="E18:M18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bestFit="1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388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45728</v>
      </c>
      <c r="J10" s="436"/>
      <c r="K10" s="436"/>
      <c r="L10" s="436"/>
      <c r="M10" s="436"/>
      <c r="N10" s="436"/>
      <c r="O10" s="89"/>
      <c r="P10" s="89"/>
      <c r="Q10" s="88"/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392</v>
      </c>
      <c r="J11" s="437"/>
      <c r="K11" s="437"/>
      <c r="L11" s="437"/>
      <c r="M11" s="437"/>
      <c r="N11" s="437"/>
      <c r="O11" s="89"/>
      <c r="P11" s="89"/>
      <c r="Q11" s="88"/>
      <c r="R11" s="132"/>
      <c r="S11" s="253"/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2890000</v>
      </c>
      <c r="J12" s="438"/>
      <c r="K12" s="438"/>
      <c r="L12" s="438"/>
      <c r="M12" s="438"/>
      <c r="N12" s="438"/>
      <c r="O12" s="89"/>
      <c r="P12" s="89" t="s">
        <v>22</v>
      </c>
      <c r="Q12" s="88"/>
      <c r="R12" s="127">
        <f>629250*12%</f>
        <v>75510</v>
      </c>
      <c r="S12" s="252"/>
      <c r="U12" s="133"/>
      <c r="V12" s="136"/>
    </row>
    <row r="13" spans="1:25" ht="24" customHeight="1" thickBot="1" x14ac:dyDescent="0.35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132">
        <f>629250+R12</f>
        <v>704760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168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33"/>
      <c r="S15" s="128"/>
      <c r="T15" s="128"/>
      <c r="U15" s="138"/>
      <c r="V15" s="234"/>
      <c r="W15" s="140"/>
    </row>
    <row r="16" spans="1:25" ht="12.75" customHeight="1" thickBot="1" x14ac:dyDescent="0.35">
      <c r="A16" s="141"/>
      <c r="B16" s="109"/>
      <c r="C16" s="109"/>
      <c r="D16" s="146"/>
      <c r="E16" s="271"/>
      <c r="J16" s="86"/>
      <c r="K16" s="86"/>
      <c r="L16" s="86"/>
      <c r="M16" s="86"/>
      <c r="N16" s="446"/>
      <c r="O16" s="444"/>
      <c r="P16" s="444"/>
      <c r="Q16" s="445"/>
      <c r="R16" s="168"/>
      <c r="S16" s="143"/>
      <c r="T16" s="143"/>
      <c r="V16" s="136"/>
    </row>
    <row r="17" spans="1:26" ht="29.25" customHeight="1" x14ac:dyDescent="0.3">
      <c r="A17" s="141"/>
      <c r="B17" s="566" t="s">
        <v>389</v>
      </c>
      <c r="C17" s="567"/>
      <c r="D17" s="568"/>
      <c r="E17" s="387" t="s">
        <v>393</v>
      </c>
      <c r="F17" s="388"/>
      <c r="G17" s="388"/>
      <c r="H17" s="388"/>
      <c r="I17" s="388"/>
      <c r="J17" s="388"/>
      <c r="K17" s="388"/>
      <c r="L17" s="388"/>
      <c r="M17" s="399"/>
      <c r="N17" s="450"/>
      <c r="O17" s="451"/>
      <c r="P17" s="451"/>
      <c r="Q17" s="452"/>
      <c r="R17" s="270"/>
      <c r="V17" s="136"/>
    </row>
    <row r="18" spans="1:26" ht="23.25" customHeight="1" thickBot="1" x14ac:dyDescent="0.35">
      <c r="A18" s="141" t="s">
        <v>22</v>
      </c>
      <c r="B18" s="453"/>
      <c r="C18" s="454"/>
      <c r="D18" s="455"/>
      <c r="E18" s="387" t="s">
        <v>402</v>
      </c>
      <c r="F18" s="388"/>
      <c r="G18" s="388"/>
      <c r="H18" s="388"/>
      <c r="I18" s="388"/>
      <c r="J18" s="388"/>
      <c r="K18" s="388"/>
      <c r="L18" s="388"/>
      <c r="M18" s="399"/>
      <c r="N18" s="450">
        <v>2900000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515" t="s">
        <v>401</v>
      </c>
      <c r="F19" s="388"/>
      <c r="G19" s="388"/>
      <c r="H19" s="388"/>
      <c r="I19" s="388"/>
      <c r="J19" s="388"/>
      <c r="K19" s="388"/>
      <c r="L19" s="388"/>
      <c r="M19" s="399"/>
      <c r="N19" s="450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387" t="s">
        <v>187</v>
      </c>
      <c r="F20" s="388"/>
      <c r="G20" s="388"/>
      <c r="H20" s="388"/>
      <c r="I20" s="388"/>
      <c r="J20" s="388"/>
      <c r="K20" s="388"/>
      <c r="L20" s="388"/>
      <c r="M20" s="329">
        <v>500000</v>
      </c>
      <c r="N20" s="39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387" t="s">
        <v>68</v>
      </c>
      <c r="F21" s="388"/>
      <c r="G21" s="388"/>
      <c r="H21" s="388"/>
      <c r="I21" s="388"/>
      <c r="J21" s="388"/>
      <c r="K21" s="388"/>
      <c r="L21" s="388"/>
      <c r="M21" s="329">
        <f>M20*2%</f>
        <v>10000</v>
      </c>
      <c r="N21" s="450">
        <f>-M21</f>
        <v>-10000</v>
      </c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387"/>
      <c r="F22" s="388"/>
      <c r="G22" s="388"/>
      <c r="H22" s="388"/>
      <c r="I22" s="388"/>
      <c r="J22" s="388"/>
      <c r="K22" s="388"/>
      <c r="L22" s="388"/>
      <c r="M22" s="322"/>
      <c r="N22" s="392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60"/>
      <c r="F23" s="461"/>
      <c r="G23" s="461"/>
      <c r="H23" s="461"/>
      <c r="I23" s="461"/>
      <c r="J23" s="461"/>
      <c r="K23" s="461"/>
      <c r="L23" s="461"/>
      <c r="M23" s="462"/>
      <c r="N23" s="451"/>
      <c r="O23" s="451"/>
      <c r="P23" s="451"/>
      <c r="Q23" s="452"/>
      <c r="R23" s="214">
        <f>I12-22600000</f>
        <v>-19710000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450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388"/>
      <c r="N25" s="392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450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464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24"/>
      <c r="N28" s="392"/>
      <c r="O28" s="393"/>
      <c r="P28" s="393"/>
      <c r="Q28" s="394"/>
      <c r="R28" s="270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88"/>
      <c r="N29" s="392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1"/>
      <c r="N30" s="331"/>
      <c r="R30" s="332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463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2890000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24510000</v>
      </c>
    </row>
    <row r="35" spans="2:23" s="121" customFormat="1" ht="31.5" customHeight="1" x14ac:dyDescent="0.3">
      <c r="B35" s="160"/>
      <c r="D35" s="99" t="s">
        <v>13</v>
      </c>
      <c r="E35" s="409" t="s">
        <v>403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45728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1">
    <mergeCell ref="E35:Q35"/>
    <mergeCell ref="E38:G38"/>
    <mergeCell ref="M38:N38"/>
    <mergeCell ref="O38:Q38"/>
    <mergeCell ref="D44:E44"/>
    <mergeCell ref="M44:O44"/>
    <mergeCell ref="B30:D30"/>
    <mergeCell ref="E30:M30"/>
    <mergeCell ref="N31:Q31"/>
    <mergeCell ref="W32:Z32"/>
    <mergeCell ref="J33:M33"/>
    <mergeCell ref="N33:Q33"/>
    <mergeCell ref="B28:D28"/>
    <mergeCell ref="E28:I28"/>
    <mergeCell ref="N28:Q28"/>
    <mergeCell ref="B29:D29"/>
    <mergeCell ref="E29:M29"/>
    <mergeCell ref="N29:Q29"/>
    <mergeCell ref="B27:D27"/>
    <mergeCell ref="E27:M27"/>
    <mergeCell ref="N27:Q27"/>
    <mergeCell ref="B23:D23"/>
    <mergeCell ref="E23:M23"/>
    <mergeCell ref="N23:Q23"/>
    <mergeCell ref="B24:D24"/>
    <mergeCell ref="E24:M24"/>
    <mergeCell ref="N24:Q24"/>
    <mergeCell ref="E25:M25"/>
    <mergeCell ref="N25:Q25"/>
    <mergeCell ref="B26:D26"/>
    <mergeCell ref="E26:M26"/>
    <mergeCell ref="N26:Q26"/>
    <mergeCell ref="E20:L20"/>
    <mergeCell ref="N20:Q20"/>
    <mergeCell ref="B21:D21"/>
    <mergeCell ref="N21:Q21"/>
    <mergeCell ref="B22:D22"/>
    <mergeCell ref="N22:Q22"/>
    <mergeCell ref="E21:L21"/>
    <mergeCell ref="E22:L22"/>
    <mergeCell ref="B19:D19"/>
    <mergeCell ref="N19:Q19"/>
    <mergeCell ref="E18:M18"/>
    <mergeCell ref="E19:M19"/>
    <mergeCell ref="I13:N13"/>
    <mergeCell ref="I14:N14"/>
    <mergeCell ref="B15:D15"/>
    <mergeCell ref="E15:M15"/>
    <mergeCell ref="N15:Q15"/>
    <mergeCell ref="N16:Q16"/>
    <mergeCell ref="N17:Q17"/>
    <mergeCell ref="B18:D18"/>
    <mergeCell ref="N18:Q18"/>
    <mergeCell ref="B17:D17"/>
    <mergeCell ref="E17:M17"/>
    <mergeCell ref="I12:N12"/>
    <mergeCell ref="D3:O3"/>
    <mergeCell ref="I7:M7"/>
    <mergeCell ref="I9:N9"/>
    <mergeCell ref="I10:N10"/>
    <mergeCell ref="I11:N11"/>
  </mergeCells>
  <printOptions horizontalCentered="1"/>
  <pageMargins left="0.39370078740157483" right="0.47244094488188981" top="0.74803149606299213" bottom="0.35433070866141736" header="0.31496062992125984" footer="0.31496062992125984"/>
  <pageSetup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139E-6FF0-4786-BB04-2DFC560B3CEE}">
  <sheetPr codeName="Sheet27"/>
  <dimension ref="A1:Z59"/>
  <sheetViews>
    <sheetView showGridLines="0" view="pageBreakPreview" topLeftCell="A4" zoomScaleSheetLayoutView="100" workbookViewId="0">
      <selection activeCell="N20" sqref="N20:Q20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R5" s="127" t="s">
        <v>490</v>
      </c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450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625</v>
      </c>
      <c r="J7" s="434"/>
      <c r="K7" s="434"/>
      <c r="L7" s="434"/>
      <c r="M7" s="434"/>
      <c r="N7" s="89"/>
      <c r="O7" s="89"/>
      <c r="P7" s="89"/>
      <c r="Q7" s="88"/>
      <c r="R7" s="127" t="s">
        <v>447</v>
      </c>
      <c r="S7" s="128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490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7400000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25" customHeight="1" x14ac:dyDescent="0.3">
      <c r="A17" s="141"/>
      <c r="B17" s="574" t="s">
        <v>390</v>
      </c>
      <c r="C17" s="456"/>
      <c r="D17" s="457"/>
      <c r="E17" s="400" t="s">
        <v>626</v>
      </c>
      <c r="F17" s="401"/>
      <c r="G17" s="401"/>
      <c r="H17" s="401"/>
      <c r="I17" s="401"/>
      <c r="J17" s="401"/>
      <c r="K17" s="401"/>
      <c r="L17" s="401"/>
      <c r="M17" s="401"/>
      <c r="N17" s="575">
        <f>M18</f>
        <v>7400000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571" t="s">
        <v>527</v>
      </c>
      <c r="F18" s="572"/>
      <c r="G18" s="572"/>
      <c r="H18" s="572"/>
      <c r="I18" s="572"/>
      <c r="J18" s="572"/>
      <c r="K18" s="572"/>
      <c r="L18" s="572"/>
      <c r="M18" s="385">
        <v>7400000</v>
      </c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571" t="s">
        <v>396</v>
      </c>
      <c r="F19" s="572"/>
      <c r="G19" s="572"/>
      <c r="H19" s="572"/>
      <c r="I19" s="572"/>
      <c r="J19" s="572"/>
      <c r="K19" s="572"/>
      <c r="L19" s="572"/>
      <c r="M19" s="377">
        <f>M18*2%</f>
        <v>148000</v>
      </c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571"/>
      <c r="F20" s="572"/>
      <c r="G20" s="572"/>
      <c r="H20" s="572"/>
      <c r="I20" s="572"/>
      <c r="J20" s="572"/>
      <c r="K20" s="572"/>
      <c r="L20" s="572"/>
      <c r="M20" s="384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571"/>
      <c r="F21" s="572"/>
      <c r="G21" s="572"/>
      <c r="H21" s="572"/>
      <c r="I21" s="572"/>
      <c r="J21" s="572"/>
      <c r="K21" s="572"/>
      <c r="L21" s="572"/>
      <c r="M21" s="384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367"/>
      <c r="F22" s="366"/>
      <c r="G22" s="366"/>
      <c r="H22" s="366"/>
      <c r="I22" s="366"/>
      <c r="J22" s="366"/>
      <c r="K22" s="366"/>
      <c r="L22" s="366"/>
      <c r="M22" s="366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367"/>
      <c r="F23" s="366"/>
      <c r="G23" s="366"/>
      <c r="H23" s="366"/>
      <c r="I23" s="366"/>
      <c r="J23" s="366"/>
      <c r="K23" s="366"/>
      <c r="L23" s="366"/>
      <c r="M23" s="366"/>
      <c r="N23" s="578"/>
      <c r="O23" s="393"/>
      <c r="P23" s="393"/>
      <c r="Q23" s="394"/>
      <c r="R23" s="214">
        <f>I12-22600000</f>
        <v>-15200000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7400000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20000000</v>
      </c>
    </row>
    <row r="35" spans="2:23" s="121" customFormat="1" ht="31.5" customHeight="1" x14ac:dyDescent="0.3">
      <c r="B35" s="160"/>
      <c r="D35" s="99" t="s">
        <v>13</v>
      </c>
      <c r="E35" s="409" t="s">
        <v>627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0">
    <mergeCell ref="D44:E44"/>
    <mergeCell ref="M44:O44"/>
    <mergeCell ref="W32:Z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26:D26"/>
    <mergeCell ref="E26:M26"/>
    <mergeCell ref="N26:Q26"/>
    <mergeCell ref="B21:D21"/>
    <mergeCell ref="N21:Q21"/>
    <mergeCell ref="B24:D24"/>
    <mergeCell ref="E24:M24"/>
    <mergeCell ref="N24:Q24"/>
    <mergeCell ref="E25:M25"/>
    <mergeCell ref="N25:Q25"/>
    <mergeCell ref="B22:D22"/>
    <mergeCell ref="N22:Q22"/>
    <mergeCell ref="B23:D23"/>
    <mergeCell ref="N23:Q23"/>
    <mergeCell ref="E21:L21"/>
    <mergeCell ref="E20:L20"/>
    <mergeCell ref="N20:Q20"/>
    <mergeCell ref="B17:D17"/>
    <mergeCell ref="E17:M17"/>
    <mergeCell ref="N17:Q17"/>
    <mergeCell ref="B18:D18"/>
    <mergeCell ref="E18:L18"/>
    <mergeCell ref="N18:Q18"/>
    <mergeCell ref="B19:D19"/>
    <mergeCell ref="E19:L19"/>
    <mergeCell ref="N19:Q19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F52B-1553-416F-BC4C-C7651B03D76E}">
  <dimension ref="A1:Y68"/>
  <sheetViews>
    <sheetView showGridLines="0" view="pageBreakPreview" topLeftCell="A16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570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46010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571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263625000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14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31" customHeight="1" thickBot="1" x14ac:dyDescent="0.35">
      <c r="B17" s="485" t="s">
        <v>159</v>
      </c>
      <c r="C17" s="486"/>
      <c r="D17" s="487"/>
      <c r="E17" s="387" t="s">
        <v>573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572</v>
      </c>
      <c r="F18" s="388"/>
      <c r="G18" s="388"/>
      <c r="H18" s="388"/>
      <c r="I18" s="388"/>
      <c r="J18" s="388"/>
      <c r="K18" s="388"/>
      <c r="L18" s="388"/>
      <c r="M18" s="399"/>
      <c r="N18" s="392">
        <v>263625000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thickBot="1" x14ac:dyDescent="0.4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18" customFormat="1" ht="32.25" customHeight="1" x14ac:dyDescent="0.35">
      <c r="B20" s="503"/>
      <c r="C20" s="504"/>
      <c r="D20" s="505"/>
      <c r="E20" s="515"/>
      <c r="F20" s="388"/>
      <c r="G20" s="388"/>
      <c r="H20" s="388"/>
      <c r="I20" s="388"/>
      <c r="J20" s="388"/>
      <c r="K20" s="388"/>
      <c r="L20" s="388"/>
      <c r="M20" s="399"/>
      <c r="N20" s="392"/>
      <c r="O20" s="393"/>
      <c r="P20" s="393"/>
      <c r="Q20" s="394"/>
      <c r="R20" s="496"/>
      <c r="S20" s="497"/>
      <c r="T20" s="497"/>
      <c r="U20" s="498"/>
      <c r="V20" s="23"/>
    </row>
    <row r="21" spans="1:25" ht="31.5" customHeight="1" x14ac:dyDescent="0.3">
      <c r="A21" s="4" t="s">
        <v>20</v>
      </c>
      <c r="B21" s="174"/>
      <c r="C21" s="41"/>
      <c r="D21" s="171"/>
      <c r="E21" s="515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30.5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263625000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-N25/1.11*11%</f>
        <v>-26124999.999999996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N25+N28</f>
        <v>263625000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574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46010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6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R20:U20"/>
    <mergeCell ref="E21:M21"/>
    <mergeCell ref="N21:Q21"/>
    <mergeCell ref="R21:U21"/>
    <mergeCell ref="B18:D18"/>
    <mergeCell ref="E18:M18"/>
    <mergeCell ref="N18:Q18"/>
    <mergeCell ref="R18:U18"/>
    <mergeCell ref="B19:D19"/>
    <mergeCell ref="E19:M19"/>
    <mergeCell ref="N19:Q19"/>
    <mergeCell ref="R19:U19"/>
    <mergeCell ref="B20:D20"/>
    <mergeCell ref="E20:M20"/>
    <mergeCell ref="N20:Q20"/>
    <mergeCell ref="E22:M22"/>
    <mergeCell ref="N22:Q22"/>
    <mergeCell ref="R22:U22"/>
    <mergeCell ref="E23:M23"/>
    <mergeCell ref="N23:Q23"/>
    <mergeCell ref="K25:M25"/>
    <mergeCell ref="N25:Q25"/>
    <mergeCell ref="R25:U25"/>
    <mergeCell ref="E24:M24"/>
    <mergeCell ref="N24:Q24"/>
    <mergeCell ref="B26:D26"/>
    <mergeCell ref="E26:H26"/>
    <mergeCell ref="J26:M26"/>
    <mergeCell ref="R26:U26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F66:O66"/>
    <mergeCell ref="P60:S60"/>
    <mergeCell ref="P61:S61"/>
    <mergeCell ref="P62:S62"/>
    <mergeCell ref="P63:S63"/>
    <mergeCell ref="P64:S64"/>
    <mergeCell ref="K65:O65"/>
    <mergeCell ref="P65:S65"/>
  </mergeCells>
  <printOptions horizontalCentered="1"/>
  <pageMargins left="0.38" right="0.47244094488188998" top="0.74803149606299202" bottom="0.37" header="0.31496062992126" footer="0.31496062992126"/>
  <pageSetup scale="81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C71F-6E63-4A0A-8893-BFA9DD98AAC2}">
  <sheetPr codeName="Sheet28"/>
  <dimension ref="A1:Z59"/>
  <sheetViews>
    <sheetView showGridLines="0" view="pageBreakPreview" topLeftCell="A10" zoomScaleSheetLayoutView="100" workbookViewId="0">
      <selection activeCell="I7" sqref="I7:M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471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R5" s="150" t="s">
        <v>448</v>
      </c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507</v>
      </c>
      <c r="J7" s="434"/>
      <c r="K7" s="434"/>
      <c r="L7" s="434"/>
      <c r="M7" s="434"/>
      <c r="N7" s="89"/>
      <c r="O7" s="89"/>
      <c r="P7" s="89"/>
      <c r="Q7" s="88"/>
      <c r="R7" s="127" t="s">
        <v>452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45946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65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588451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31" customHeight="1" x14ac:dyDescent="0.3">
      <c r="A17" s="141"/>
      <c r="B17" s="574" t="s">
        <v>390</v>
      </c>
      <c r="C17" s="456"/>
      <c r="D17" s="457"/>
      <c r="E17" s="400" t="s">
        <v>508</v>
      </c>
      <c r="F17" s="401"/>
      <c r="G17" s="401"/>
      <c r="H17" s="401"/>
      <c r="I17" s="401"/>
      <c r="J17" s="401"/>
      <c r="K17" s="401"/>
      <c r="L17" s="401"/>
      <c r="M17" s="401"/>
      <c r="N17" s="575">
        <v>588451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387"/>
      <c r="F20" s="388"/>
      <c r="G20" s="388"/>
      <c r="H20" s="388"/>
      <c r="I20" s="388"/>
      <c r="J20" s="583"/>
      <c r="K20" s="583"/>
      <c r="L20" s="583"/>
      <c r="M20" s="584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387"/>
      <c r="F21" s="388"/>
      <c r="G21" s="388"/>
      <c r="H21" s="388"/>
      <c r="I21" s="388"/>
      <c r="J21" s="582"/>
      <c r="K21" s="388"/>
      <c r="L21" s="388"/>
      <c r="M21" s="577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-22011549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588451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26811549</v>
      </c>
    </row>
    <row r="35" spans="2:23" s="121" customFormat="1" ht="31.5" customHeight="1" x14ac:dyDescent="0.3">
      <c r="B35" s="160"/>
      <c r="D35" s="99" t="s">
        <v>459</v>
      </c>
      <c r="E35" s="409" t="s">
        <v>509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45946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4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N25:Q25"/>
    <mergeCell ref="B27:D27"/>
    <mergeCell ref="E27:M27"/>
    <mergeCell ref="N27:Q27"/>
    <mergeCell ref="B28:D28"/>
    <mergeCell ref="E28:I28"/>
    <mergeCell ref="N28:Q28"/>
    <mergeCell ref="N20:Q20"/>
    <mergeCell ref="E20:I20"/>
    <mergeCell ref="J20:M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B17:D17"/>
    <mergeCell ref="E17:M17"/>
    <mergeCell ref="N17:Q17"/>
    <mergeCell ref="B18:D18"/>
    <mergeCell ref="N19:Q19"/>
    <mergeCell ref="E19:M19"/>
    <mergeCell ref="E18:M18"/>
    <mergeCell ref="N18:Q18"/>
    <mergeCell ref="B19:D19"/>
    <mergeCell ref="E21:I21"/>
    <mergeCell ref="J21:M21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N21:Q21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AE7B-9A2C-45F7-A905-36D2085D669E}">
  <sheetPr codeName="Sheet29"/>
  <dimension ref="A1:Y68"/>
  <sheetViews>
    <sheetView showGridLines="0" view="pageBreakPreview" zoomScaleSheetLayoutView="100" workbookViewId="0">
      <selection activeCell="J26" sqref="J26:M26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519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45966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521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62160000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14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31" customHeight="1" thickBot="1" x14ac:dyDescent="0.35">
      <c r="B17" s="485" t="s">
        <v>159</v>
      </c>
      <c r="C17" s="486"/>
      <c r="D17" s="487"/>
      <c r="E17" s="387" t="s">
        <v>520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515" t="s">
        <v>523</v>
      </c>
      <c r="F18" s="388"/>
      <c r="G18" s="388"/>
      <c r="H18" s="388"/>
      <c r="I18" s="388"/>
      <c r="J18" s="388"/>
      <c r="K18" s="388"/>
      <c r="L18" s="388"/>
      <c r="M18" s="399"/>
      <c r="N18" s="392">
        <v>62160000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thickBot="1" x14ac:dyDescent="0.4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18" customFormat="1" ht="32.25" customHeight="1" x14ac:dyDescent="0.35">
      <c r="B20" s="503"/>
      <c r="C20" s="504"/>
      <c r="D20" s="505"/>
      <c r="E20" s="515"/>
      <c r="F20" s="388"/>
      <c r="G20" s="388"/>
      <c r="H20" s="388"/>
      <c r="I20" s="388"/>
      <c r="J20" s="388"/>
      <c r="K20" s="388"/>
      <c r="L20" s="388"/>
      <c r="M20" s="399"/>
      <c r="N20" s="392"/>
      <c r="O20" s="393"/>
      <c r="P20" s="393"/>
      <c r="Q20" s="394"/>
      <c r="R20" s="496"/>
      <c r="S20" s="497"/>
      <c r="T20" s="497"/>
      <c r="U20" s="498"/>
      <c r="V20" s="23"/>
    </row>
    <row r="21" spans="1:25" ht="31.5" customHeight="1" x14ac:dyDescent="0.3">
      <c r="A21" s="4" t="s">
        <v>20</v>
      </c>
      <c r="B21" s="174"/>
      <c r="C21" s="41"/>
      <c r="D21" s="171"/>
      <c r="E21" s="515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30.5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62160000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-N25/1.11*11%</f>
        <v>-6159999.9999999991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N25+N28</f>
        <v>62160000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522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45966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6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R20:U20"/>
    <mergeCell ref="E21:M21"/>
    <mergeCell ref="N21:Q21"/>
    <mergeCell ref="R21:U21"/>
    <mergeCell ref="B18:D18"/>
    <mergeCell ref="E18:M18"/>
    <mergeCell ref="N18:Q18"/>
    <mergeCell ref="R18:U18"/>
    <mergeCell ref="B19:D19"/>
    <mergeCell ref="E19:M19"/>
    <mergeCell ref="N19:Q19"/>
    <mergeCell ref="R19:U19"/>
    <mergeCell ref="B20:D20"/>
    <mergeCell ref="E20:M20"/>
    <mergeCell ref="N20:Q20"/>
    <mergeCell ref="E22:M22"/>
    <mergeCell ref="N22:Q22"/>
    <mergeCell ref="R22:U22"/>
    <mergeCell ref="E23:M23"/>
    <mergeCell ref="N23:Q23"/>
    <mergeCell ref="K25:M25"/>
    <mergeCell ref="N25:Q25"/>
    <mergeCell ref="R25:U25"/>
    <mergeCell ref="E24:M24"/>
    <mergeCell ref="N24:Q24"/>
    <mergeCell ref="B26:D26"/>
    <mergeCell ref="E26:H26"/>
    <mergeCell ref="J26:M26"/>
    <mergeCell ref="R26:U26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F66:O66"/>
    <mergeCell ref="P60:S60"/>
    <mergeCell ref="P61:S61"/>
    <mergeCell ref="P62:S62"/>
    <mergeCell ref="P63:S63"/>
    <mergeCell ref="P64:S64"/>
    <mergeCell ref="K65:O65"/>
    <mergeCell ref="P65:S65"/>
  </mergeCells>
  <printOptions horizontalCentered="1"/>
  <pageMargins left="0.38" right="0.47244094488188998" top="0.74803149606299202" bottom="0.37" header="0.31496062992126" footer="0.31496062992126"/>
  <pageSetup scale="8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5C68-A103-4E1F-9006-84C672A365DB}">
  <dimension ref="A1:Y68"/>
  <sheetViews>
    <sheetView showGridLines="0" view="pageBreakPreview" zoomScaleSheetLayoutView="100" workbookViewId="0">
      <selection activeCell="K25" sqref="K25:M25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19.5429687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558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46002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559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4014648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14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31" customHeight="1" thickBot="1" x14ac:dyDescent="0.35">
      <c r="B17" s="485" t="s">
        <v>390</v>
      </c>
      <c r="C17" s="486"/>
      <c r="D17" s="487"/>
      <c r="E17" s="515" t="s">
        <v>560</v>
      </c>
      <c r="F17" s="388"/>
      <c r="G17" s="388"/>
      <c r="H17" s="388"/>
      <c r="I17" s="388"/>
      <c r="J17" s="388"/>
      <c r="K17" s="388"/>
      <c r="L17" s="388"/>
      <c r="M17" s="399"/>
      <c r="N17" s="585">
        <v>4014648</v>
      </c>
      <c r="O17" s="585"/>
      <c r="P17" s="585"/>
      <c r="Q17" s="586"/>
      <c r="R17" s="170"/>
      <c r="U17" s="30"/>
    </row>
    <row r="18" spans="1:25" ht="30" customHeight="1" thickBot="1" x14ac:dyDescent="0.35">
      <c r="B18" s="503"/>
      <c r="C18" s="504"/>
      <c r="D18" s="505"/>
      <c r="E18" s="515"/>
      <c r="F18" s="388"/>
      <c r="G18" s="388"/>
      <c r="H18" s="388"/>
      <c r="I18" s="388"/>
      <c r="J18" s="388"/>
      <c r="K18" s="388"/>
      <c r="L18" s="388"/>
      <c r="M18" s="399"/>
      <c r="N18" s="392"/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thickBot="1" x14ac:dyDescent="0.4">
      <c r="B19" s="503"/>
      <c r="C19" s="504"/>
      <c r="D19" s="505"/>
      <c r="E19" s="515"/>
      <c r="F19" s="388"/>
      <c r="G19" s="388"/>
      <c r="H19" s="388"/>
      <c r="I19" s="388"/>
      <c r="J19" s="388"/>
      <c r="K19" s="388"/>
      <c r="L19" s="388"/>
      <c r="M19" s="399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18" customFormat="1" ht="32.25" customHeight="1" x14ac:dyDescent="0.35">
      <c r="B20" s="503"/>
      <c r="C20" s="504"/>
      <c r="D20" s="505"/>
      <c r="E20" s="515"/>
      <c r="F20" s="388"/>
      <c r="G20" s="388"/>
      <c r="H20" s="388"/>
      <c r="I20" s="388"/>
      <c r="J20" s="388"/>
      <c r="K20" s="388"/>
      <c r="L20" s="388"/>
      <c r="M20" s="399"/>
      <c r="N20" s="392"/>
      <c r="O20" s="393"/>
      <c r="P20" s="393"/>
      <c r="Q20" s="394"/>
      <c r="R20" s="496"/>
      <c r="S20" s="497"/>
      <c r="T20" s="497"/>
      <c r="U20" s="498"/>
      <c r="V20" s="23"/>
    </row>
    <row r="21" spans="1:25" ht="31.5" customHeight="1" x14ac:dyDescent="0.3">
      <c r="A21" s="4" t="s">
        <v>20</v>
      </c>
      <c r="B21" s="174"/>
      <c r="C21" s="41"/>
      <c r="D21" s="171"/>
      <c r="E21" s="515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30.5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SUM(N17:Q24)</f>
        <v>4014648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-N25/1.11*11%</f>
        <v>-397847.99999999994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/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N25+N28</f>
        <v>4014648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561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46002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6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R20:U20"/>
    <mergeCell ref="E21:M21"/>
    <mergeCell ref="N21:Q21"/>
    <mergeCell ref="R21:U21"/>
    <mergeCell ref="B18:D18"/>
    <mergeCell ref="E18:M18"/>
    <mergeCell ref="N18:Q18"/>
    <mergeCell ref="R18:U18"/>
    <mergeCell ref="B19:D19"/>
    <mergeCell ref="E19:M19"/>
    <mergeCell ref="N19:Q19"/>
    <mergeCell ref="R19:U19"/>
    <mergeCell ref="B20:D20"/>
    <mergeCell ref="E20:M20"/>
    <mergeCell ref="N20:Q20"/>
    <mergeCell ref="E22:M22"/>
    <mergeCell ref="N22:Q22"/>
    <mergeCell ref="R22:U22"/>
    <mergeCell ref="E23:M23"/>
    <mergeCell ref="N23:Q23"/>
    <mergeCell ref="K25:M25"/>
    <mergeCell ref="N25:Q25"/>
    <mergeCell ref="R25:U25"/>
    <mergeCell ref="E24:M24"/>
    <mergeCell ref="N24:Q24"/>
    <mergeCell ref="B26:D26"/>
    <mergeCell ref="E26:H26"/>
    <mergeCell ref="J26:M26"/>
    <mergeCell ref="R26:U26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F66:O66"/>
    <mergeCell ref="P60:S60"/>
    <mergeCell ref="P61:S61"/>
    <mergeCell ref="P62:S62"/>
    <mergeCell ref="P63:S63"/>
    <mergeCell ref="P64:S64"/>
    <mergeCell ref="K65:O65"/>
    <mergeCell ref="P65:S65"/>
  </mergeCells>
  <printOptions horizontalCentered="1"/>
  <pageMargins left="0.38" right="0.47244094488188998" top="0.74803149606299202" bottom="0.37" header="0.31496062992126" footer="0.31496062992126"/>
  <pageSetup scale="8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468D-414A-42DE-B64D-C7D1D295A9CE}">
  <sheetPr>
    <pageSetUpPr fitToPage="1"/>
  </sheetPr>
  <dimension ref="A1:Z59"/>
  <sheetViews>
    <sheetView showGridLines="0" view="pageBreakPreview" topLeftCell="A4" zoomScaleSheetLayoutView="100" workbookViewId="0">
      <selection activeCell="R7" sqref="R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8.3632812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  <c r="R1" s="127" t="s">
        <v>524</v>
      </c>
      <c r="T1" s="128" t="s">
        <v>525</v>
      </c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474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470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R5" s="127" t="s">
        <v>462</v>
      </c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458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576</v>
      </c>
      <c r="J7" s="434"/>
      <c r="K7" s="434"/>
      <c r="L7" s="434"/>
      <c r="M7" s="434"/>
      <c r="N7" s="89"/>
      <c r="O7" s="89"/>
      <c r="P7" s="89"/>
      <c r="Q7" s="88"/>
      <c r="R7" s="127" t="s">
        <v>449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R8" s="127" t="s">
        <v>548</v>
      </c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577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50000000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30.5" customHeight="1" x14ac:dyDescent="0.3">
      <c r="A17" s="141"/>
      <c r="B17" s="574"/>
      <c r="C17" s="456"/>
      <c r="D17" s="457"/>
      <c r="E17" s="400" t="s">
        <v>578</v>
      </c>
      <c r="F17" s="401"/>
      <c r="G17" s="401"/>
      <c r="H17" s="401"/>
      <c r="I17" s="401"/>
      <c r="J17" s="401"/>
      <c r="K17" s="401"/>
      <c r="L17" s="401"/>
      <c r="M17" s="401"/>
      <c r="N17" s="575">
        <v>50000000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33.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5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7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5"/>
      <c r="O20" s="451"/>
      <c r="P20" s="451"/>
      <c r="Q20" s="452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571"/>
      <c r="F21" s="572"/>
      <c r="G21" s="572"/>
      <c r="H21" s="572"/>
      <c r="I21" s="572"/>
      <c r="J21" s="572"/>
      <c r="K21" s="572"/>
      <c r="L21" s="572"/>
      <c r="M21" s="572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30" customHeight="1" x14ac:dyDescent="0.3">
      <c r="A22" s="196"/>
      <c r="B22" s="447"/>
      <c r="C22" s="456"/>
      <c r="D22" s="457"/>
      <c r="E22" s="571"/>
      <c r="F22" s="572"/>
      <c r="G22" s="572"/>
      <c r="H22" s="572"/>
      <c r="I22" s="572"/>
      <c r="J22" s="572"/>
      <c r="K22" s="572"/>
      <c r="L22" s="572"/>
      <c r="M22" s="572"/>
      <c r="N22" s="576"/>
      <c r="O22" s="451"/>
      <c r="P22" s="451"/>
      <c r="Q22" s="452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6"/>
      <c r="O23" s="451"/>
      <c r="P23" s="451"/>
      <c r="Q23" s="452"/>
      <c r="R23" s="214">
        <f>I12-22600000</f>
        <v>27400000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00"/>
      <c r="F24" s="401"/>
      <c r="G24" s="401"/>
      <c r="H24" s="401"/>
      <c r="I24" s="401"/>
      <c r="J24" s="401"/>
      <c r="K24" s="401"/>
      <c r="L24" s="401"/>
      <c r="M24" s="40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B25" s="365"/>
      <c r="C25" s="33"/>
      <c r="E25" s="400"/>
      <c r="F25" s="401"/>
      <c r="G25" s="401"/>
      <c r="H25" s="401"/>
      <c r="I25" s="401"/>
      <c r="J25" s="401"/>
      <c r="K25" s="401"/>
      <c r="L25" s="401"/>
      <c r="M25" s="401"/>
      <c r="N25" s="578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00"/>
      <c r="F26" s="401"/>
      <c r="G26" s="401"/>
      <c r="H26" s="401"/>
      <c r="I26" s="401"/>
      <c r="J26" s="401"/>
      <c r="K26" s="401"/>
      <c r="L26" s="401"/>
      <c r="M26" s="401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00"/>
      <c r="F27" s="401"/>
      <c r="G27" s="401"/>
      <c r="H27" s="401"/>
      <c r="I27" s="401"/>
      <c r="J27" s="401"/>
      <c r="K27" s="401"/>
      <c r="L27" s="401"/>
      <c r="M27" s="40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587"/>
      <c r="M28" s="588"/>
      <c r="N28" s="57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50000000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-22600000</v>
      </c>
    </row>
    <row r="35" spans="2:23" s="121" customFormat="1" ht="31.5" customHeight="1" x14ac:dyDescent="0.3">
      <c r="B35" s="160"/>
      <c r="D35" s="99" t="s">
        <v>13</v>
      </c>
      <c r="E35" s="409" t="s">
        <v>497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3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L28:M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25" right="0.25" top="0.75" bottom="0.75" header="0.3" footer="0.3"/>
  <pageSetup paperSize="9" scale="8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91F4-C299-4AF8-8B4A-2F0926CCC2E7}">
  <sheetPr codeName="Sheet30"/>
  <dimension ref="A1:Z59"/>
  <sheetViews>
    <sheetView showGridLines="0" view="pageBreakPreview" topLeftCell="A4" zoomScaleSheetLayoutView="100" workbookViewId="0">
      <selection activeCell="R10" sqref="R10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474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471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R5" s="127" t="s">
        <v>448</v>
      </c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579</v>
      </c>
      <c r="J7" s="434"/>
      <c r="K7" s="434"/>
      <c r="L7" s="434"/>
      <c r="M7" s="434"/>
      <c r="N7" s="89"/>
      <c r="O7" s="89"/>
      <c r="P7" s="89"/>
      <c r="Q7" s="88"/>
      <c r="R7" s="127" t="s">
        <v>452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R8" s="127" t="s">
        <v>569</v>
      </c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567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800000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8" customHeight="1" x14ac:dyDescent="0.3">
      <c r="A17" s="141"/>
      <c r="B17" s="574" t="s">
        <v>568</v>
      </c>
      <c r="C17" s="456"/>
      <c r="D17" s="457"/>
      <c r="E17" s="400" t="s">
        <v>580</v>
      </c>
      <c r="F17" s="401"/>
      <c r="G17" s="401"/>
      <c r="H17" s="401"/>
      <c r="I17" s="401"/>
      <c r="J17" s="401"/>
      <c r="K17" s="401"/>
      <c r="L17" s="401"/>
      <c r="M17" s="401"/>
      <c r="N17" s="575">
        <v>800000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387"/>
      <c r="F20" s="388"/>
      <c r="G20" s="388"/>
      <c r="H20" s="388"/>
      <c r="I20" s="388"/>
      <c r="J20" s="582"/>
      <c r="K20" s="388"/>
      <c r="L20" s="388"/>
      <c r="M20" s="577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-21800000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SUM(N17:Q30)</f>
        <v>800000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26600000</v>
      </c>
    </row>
    <row r="35" spans="2:23" s="121" customFormat="1" ht="31.5" customHeight="1" x14ac:dyDescent="0.3">
      <c r="B35" s="160"/>
      <c r="D35" s="99" t="s">
        <v>459</v>
      </c>
      <c r="E35" s="409" t="s">
        <v>581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3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17:D17"/>
    <mergeCell ref="E17:M17"/>
    <mergeCell ref="N17:Q17"/>
    <mergeCell ref="B18:D18"/>
    <mergeCell ref="N18:Q18"/>
    <mergeCell ref="E18:M18"/>
    <mergeCell ref="B19:D19"/>
    <mergeCell ref="N19:Q19"/>
    <mergeCell ref="N20:Q20"/>
    <mergeCell ref="E20:I20"/>
    <mergeCell ref="J20:M20"/>
    <mergeCell ref="E19:M19"/>
    <mergeCell ref="B21:D21"/>
    <mergeCell ref="N21:Q21"/>
    <mergeCell ref="B22:D22"/>
    <mergeCell ref="E22:M22"/>
    <mergeCell ref="N22:Q22"/>
    <mergeCell ref="E21:M21"/>
    <mergeCell ref="E25:M25"/>
    <mergeCell ref="N25:Q25"/>
    <mergeCell ref="B26:D26"/>
    <mergeCell ref="E26:M26"/>
    <mergeCell ref="N26:Q26"/>
    <mergeCell ref="B23:D23"/>
    <mergeCell ref="E23:M23"/>
    <mergeCell ref="N23:Q23"/>
    <mergeCell ref="B24:D24"/>
    <mergeCell ref="E24:M24"/>
    <mergeCell ref="N24:Q24"/>
    <mergeCell ref="B30:D30"/>
    <mergeCell ref="E30:M30"/>
    <mergeCell ref="N30:Q30"/>
    <mergeCell ref="N31:Q31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D44:E44"/>
    <mergeCell ref="M44:O44"/>
    <mergeCell ref="W32:Z32"/>
    <mergeCell ref="E35:Q35"/>
    <mergeCell ref="E38:G38"/>
    <mergeCell ref="M38:N38"/>
    <mergeCell ref="O38:Q38"/>
    <mergeCell ref="J33:M33"/>
    <mergeCell ref="N33:Q33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/>
  <dimension ref="A1:Z59"/>
  <sheetViews>
    <sheetView showGridLines="0" view="pageBreakPreview" topLeftCell="A10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582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452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5399391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583</v>
      </c>
      <c r="F17" s="401"/>
      <c r="G17" s="401"/>
      <c r="H17" s="401"/>
      <c r="I17" s="401"/>
      <c r="J17" s="401"/>
      <c r="K17" s="401"/>
      <c r="L17" s="401"/>
      <c r="M17" s="401"/>
      <c r="N17" s="575">
        <v>5399391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-17200609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5399391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22000609</v>
      </c>
    </row>
    <row r="35" spans="2:23" s="121" customFormat="1" ht="31.5" customHeight="1" x14ac:dyDescent="0.3">
      <c r="B35" s="160"/>
      <c r="D35" s="99" t="s">
        <v>13</v>
      </c>
      <c r="E35" s="409" t="s">
        <v>584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W32:Z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23:D23"/>
    <mergeCell ref="E23:M23"/>
    <mergeCell ref="N23:Q23"/>
    <mergeCell ref="B24:D24"/>
    <mergeCell ref="E24:M24"/>
    <mergeCell ref="N24:Q24"/>
    <mergeCell ref="E25:M25"/>
    <mergeCell ref="N25:Q25"/>
    <mergeCell ref="B26:D26"/>
    <mergeCell ref="E26:M26"/>
    <mergeCell ref="N26:Q26"/>
    <mergeCell ref="N20:Q20"/>
    <mergeCell ref="B21:D21"/>
    <mergeCell ref="N21:Q21"/>
    <mergeCell ref="B22:D22"/>
    <mergeCell ref="N22:Q22"/>
    <mergeCell ref="E20:M20"/>
    <mergeCell ref="E21:M21"/>
    <mergeCell ref="E22:M22"/>
    <mergeCell ref="B18:D18"/>
    <mergeCell ref="N18:Q18"/>
    <mergeCell ref="B19:D19"/>
    <mergeCell ref="N19:Q19"/>
    <mergeCell ref="E18:M18"/>
    <mergeCell ref="E19:M19"/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4:N14"/>
    <mergeCell ref="B15:D15"/>
    <mergeCell ref="E15:M15"/>
    <mergeCell ref="N15:Q15"/>
    <mergeCell ref="N16:Q16"/>
    <mergeCell ref="I13:N13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D788-D874-424E-BD30-B4BAC0C5983B}">
  <dimension ref="A1:Z59"/>
  <sheetViews>
    <sheetView showGridLines="0" view="pageBreakPreview" zoomScaleSheetLayoutView="100" workbookViewId="0">
      <selection activeCell="F8" sqref="F8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585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657500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586</v>
      </c>
      <c r="F17" s="401"/>
      <c r="G17" s="401"/>
      <c r="H17" s="401"/>
      <c r="I17" s="401"/>
      <c r="J17" s="401"/>
      <c r="K17" s="401"/>
      <c r="L17" s="401"/>
      <c r="M17" s="401"/>
      <c r="N17" s="575"/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587</v>
      </c>
      <c r="F18" s="401"/>
      <c r="G18" s="401"/>
      <c r="H18" s="401"/>
      <c r="I18" s="401"/>
      <c r="J18" s="401"/>
      <c r="K18" s="401"/>
      <c r="L18" s="401"/>
      <c r="M18" s="401"/>
      <c r="N18" s="576">
        <f>80000*2+55000*4</f>
        <v>380000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588</v>
      </c>
      <c r="F19" s="401"/>
      <c r="G19" s="401"/>
      <c r="H19" s="401"/>
      <c r="I19" s="401"/>
      <c r="J19" s="401"/>
      <c r="K19" s="401"/>
      <c r="L19" s="401"/>
      <c r="M19" s="401"/>
      <c r="N19" s="576">
        <f>55000*5</f>
        <v>275000</v>
      </c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 t="s">
        <v>589</v>
      </c>
      <c r="F20" s="401"/>
      <c r="G20" s="401"/>
      <c r="H20" s="401"/>
      <c r="I20" s="401"/>
      <c r="J20" s="401"/>
      <c r="K20" s="401"/>
      <c r="L20" s="401"/>
      <c r="M20" s="401"/>
      <c r="N20" s="573">
        <v>2500</v>
      </c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-21942500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657500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26742500</v>
      </c>
    </row>
    <row r="35" spans="2:23" s="121" customFormat="1" ht="31.5" customHeight="1" x14ac:dyDescent="0.3">
      <c r="B35" s="160"/>
      <c r="D35" s="99" t="s">
        <v>13</v>
      </c>
      <c r="E35" s="409" t="s">
        <v>590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0609-000F-413E-8DB9-FD08826A716E}">
  <sheetPr codeName="Sheet31"/>
  <dimension ref="A1:Z59"/>
  <sheetViews>
    <sheetView showGridLines="0" view="pageBreakPreview" topLeftCell="B4" zoomScaleSheetLayoutView="100" workbookViewId="0">
      <selection activeCell="E20" sqref="E20:M20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2.1796875" style="134" bestFit="1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549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526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510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R5" s="127" t="s">
        <v>451</v>
      </c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2" customHeight="1" x14ac:dyDescent="0.3">
      <c r="B7" s="85"/>
      <c r="G7" s="94" t="s">
        <v>14</v>
      </c>
      <c r="H7" s="95" t="s">
        <v>21</v>
      </c>
      <c r="I7" s="434" t="s">
        <v>591</v>
      </c>
      <c r="J7" s="434"/>
      <c r="K7" s="434"/>
      <c r="L7" s="434"/>
      <c r="M7" s="434"/>
      <c r="N7" s="89"/>
      <c r="O7" s="89"/>
      <c r="P7" s="89"/>
      <c r="Q7" s="88"/>
      <c r="R7" s="127" t="s">
        <v>452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R8" s="127" t="s">
        <v>448</v>
      </c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2403800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4.5" customHeight="1" x14ac:dyDescent="0.3">
      <c r="A17" s="141"/>
      <c r="B17" s="574" t="s">
        <v>390</v>
      </c>
      <c r="C17" s="456"/>
      <c r="D17" s="457"/>
      <c r="E17" s="400" t="s">
        <v>592</v>
      </c>
      <c r="F17" s="401"/>
      <c r="G17" s="401"/>
      <c r="H17" s="401"/>
      <c r="I17" s="401"/>
      <c r="J17" s="401"/>
      <c r="K17" s="401"/>
      <c r="L17" s="401"/>
      <c r="M17" s="401"/>
      <c r="N17" s="575"/>
      <c r="O17" s="451"/>
      <c r="P17" s="451"/>
      <c r="Q17" s="452"/>
      <c r="R17" s="336"/>
      <c r="V17" s="136"/>
    </row>
    <row r="18" spans="1:26" ht="25" customHeight="1" thickBot="1" x14ac:dyDescent="0.35">
      <c r="A18" s="141" t="s">
        <v>22</v>
      </c>
      <c r="B18" s="447"/>
      <c r="C18" s="456"/>
      <c r="D18" s="457"/>
      <c r="E18" s="400" t="s">
        <v>593</v>
      </c>
      <c r="F18" s="401"/>
      <c r="G18" s="401"/>
      <c r="H18" s="401"/>
      <c r="I18" s="401"/>
      <c r="J18" s="401"/>
      <c r="K18" s="401"/>
      <c r="L18" s="401"/>
      <c r="M18" s="401"/>
      <c r="N18" s="576">
        <v>2249800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594</v>
      </c>
      <c r="F19" s="401"/>
      <c r="G19" s="401"/>
      <c r="H19" s="401"/>
      <c r="I19" s="401"/>
      <c r="J19" s="401"/>
      <c r="K19" s="401"/>
      <c r="L19" s="401"/>
      <c r="M19" s="401"/>
      <c r="N19" s="576">
        <v>154000</v>
      </c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6"/>
      <c r="O20" s="451"/>
      <c r="P20" s="451"/>
      <c r="Q20" s="452"/>
      <c r="R20" s="371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6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32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33.5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-20196200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2403800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24996200</v>
      </c>
    </row>
    <row r="35" spans="2:23" s="121" customFormat="1" ht="31.5" customHeight="1" x14ac:dyDescent="0.3">
      <c r="B35" s="160"/>
      <c r="D35" s="99" t="s">
        <v>13</v>
      </c>
      <c r="E35" s="409" t="s">
        <v>595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N21:Q21"/>
    <mergeCell ref="B17:D17"/>
    <mergeCell ref="E17:M17"/>
    <mergeCell ref="N17:Q17"/>
    <mergeCell ref="B18:D18"/>
    <mergeCell ref="E18:M18"/>
    <mergeCell ref="N18:Q18"/>
    <mergeCell ref="B19:D19"/>
    <mergeCell ref="N19:Q19"/>
    <mergeCell ref="E20:M20"/>
    <mergeCell ref="N20:Q20"/>
    <mergeCell ref="E21:M21"/>
    <mergeCell ref="E19:M19"/>
    <mergeCell ref="B26:D26"/>
    <mergeCell ref="E26:M26"/>
    <mergeCell ref="N26:Q26"/>
    <mergeCell ref="B22:D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E22:M22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2180-9C05-4FAC-B653-F945EF5C21CD}">
  <dimension ref="A1:Z59"/>
  <sheetViews>
    <sheetView showGridLines="0" view="pageBreakPreview" topLeftCell="A7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596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4454900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597</v>
      </c>
      <c r="F17" s="401"/>
      <c r="G17" s="401"/>
      <c r="H17" s="401"/>
      <c r="I17" s="401"/>
      <c r="J17" s="401"/>
      <c r="K17" s="401"/>
      <c r="L17" s="401"/>
      <c r="M17" s="401"/>
      <c r="N17" s="575">
        <v>4454900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-18145100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4454900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22945100</v>
      </c>
    </row>
    <row r="35" spans="2:23" s="121" customFormat="1" ht="31.5" customHeight="1" x14ac:dyDescent="0.3">
      <c r="B35" s="160"/>
      <c r="D35" s="99" t="s">
        <v>13</v>
      </c>
      <c r="E35" s="409" t="s">
        <v>598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A47-07AE-4EF7-AC82-069273495000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599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2758000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606</v>
      </c>
      <c r="F17" s="401"/>
      <c r="G17" s="401"/>
      <c r="H17" s="401"/>
      <c r="I17" s="401"/>
      <c r="J17" s="401"/>
      <c r="K17" s="401"/>
      <c r="L17" s="401"/>
      <c r="M17" s="401"/>
      <c r="N17" s="575">
        <v>2758000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-19842000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2758000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24642000</v>
      </c>
    </row>
    <row r="35" spans="2:23" s="121" customFormat="1" ht="31.5" customHeight="1" x14ac:dyDescent="0.3">
      <c r="B35" s="160"/>
      <c r="D35" s="99" t="s">
        <v>13</v>
      </c>
      <c r="E35" s="409" t="s">
        <v>600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742F-A530-4F0F-BB53-9E72CD2926FD}">
  <dimension ref="A1:Z59"/>
  <sheetViews>
    <sheetView showGridLines="0" view="pageBreakPreview" topLeftCell="A10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601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4586640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603</v>
      </c>
      <c r="F17" s="401"/>
      <c r="G17" s="401"/>
      <c r="H17" s="401"/>
      <c r="I17" s="401"/>
      <c r="J17" s="401"/>
      <c r="K17" s="401"/>
      <c r="L17" s="401"/>
      <c r="M17" s="401"/>
      <c r="N17" s="575"/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602</v>
      </c>
      <c r="F18" s="401"/>
      <c r="G18" s="401"/>
      <c r="H18" s="401"/>
      <c r="I18" s="401"/>
      <c r="J18" s="401"/>
      <c r="K18" s="401"/>
      <c r="L18" s="401"/>
      <c r="M18" s="401"/>
      <c r="N18" s="576">
        <v>4286640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604</v>
      </c>
      <c r="F19" s="401"/>
      <c r="G19" s="401"/>
      <c r="H19" s="401"/>
      <c r="I19" s="401"/>
      <c r="J19" s="401"/>
      <c r="K19" s="401"/>
      <c r="L19" s="401"/>
      <c r="M19" s="401"/>
      <c r="N19" s="576">
        <v>300000</v>
      </c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-18013360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4586640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22813360</v>
      </c>
    </row>
    <row r="35" spans="2:23" s="121" customFormat="1" ht="31.5" customHeight="1" x14ac:dyDescent="0.3">
      <c r="B35" s="160"/>
      <c r="D35" s="99" t="s">
        <v>13</v>
      </c>
      <c r="E35" s="409" t="s">
        <v>605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4C05-92BB-4D1E-89B1-CD5D77992680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607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452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369231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608</v>
      </c>
      <c r="F17" s="401"/>
      <c r="G17" s="401"/>
      <c r="H17" s="401"/>
      <c r="I17" s="401"/>
      <c r="J17" s="401"/>
      <c r="K17" s="401"/>
      <c r="L17" s="401"/>
      <c r="M17" s="401"/>
      <c r="N17" s="575">
        <v>369231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-22230769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369231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27030769</v>
      </c>
    </row>
    <row r="35" spans="2:23" s="121" customFormat="1" ht="31.5" customHeight="1" x14ac:dyDescent="0.3">
      <c r="B35" s="160"/>
      <c r="D35" s="99" t="s">
        <v>13</v>
      </c>
      <c r="E35" s="409" t="s">
        <v>609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D7C9-E77B-4BF6-8291-A6C7CA577B40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610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452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18563050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611</v>
      </c>
      <c r="F17" s="401"/>
      <c r="G17" s="401"/>
      <c r="H17" s="401"/>
      <c r="I17" s="401"/>
      <c r="J17" s="401"/>
      <c r="K17" s="401"/>
      <c r="L17" s="401"/>
      <c r="M17" s="401"/>
      <c r="N17" s="575">
        <f>2208600+4383850+10928200+1041400</f>
        <v>18562050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615</v>
      </c>
      <c r="F18" s="401"/>
      <c r="G18" s="401"/>
      <c r="H18" s="401"/>
      <c r="I18" s="401"/>
      <c r="J18" s="401"/>
      <c r="K18" s="401"/>
      <c r="L18" s="401"/>
      <c r="M18" s="401"/>
      <c r="N18" s="576">
        <v>1000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-4036950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18563050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8836950</v>
      </c>
    </row>
    <row r="35" spans="2:23" s="121" customFormat="1" ht="31.5" customHeight="1" x14ac:dyDescent="0.3">
      <c r="B35" s="160"/>
      <c r="D35" s="99" t="s">
        <v>13</v>
      </c>
      <c r="E35" s="409" t="s">
        <v>616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6036-4E27-4C72-8FBF-A05E88DCBF3F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612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613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3896350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614</v>
      </c>
      <c r="F17" s="401"/>
      <c r="G17" s="401"/>
      <c r="H17" s="401"/>
      <c r="I17" s="401"/>
      <c r="J17" s="401"/>
      <c r="K17" s="401"/>
      <c r="L17" s="401"/>
      <c r="M17" s="401"/>
      <c r="N17" s="575">
        <f>2234100+1662250</f>
        <v>3896350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-18703650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3896350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23503650</v>
      </c>
    </row>
    <row r="35" spans="2:23" s="121" customFormat="1" ht="31.5" customHeight="1" x14ac:dyDescent="0.3">
      <c r="B35" s="160"/>
      <c r="D35" s="99" t="s">
        <v>13</v>
      </c>
      <c r="E35" s="409" t="s">
        <v>617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F720-FD36-44D7-81A3-0777DC165D71}">
  <dimension ref="A1:Z59"/>
  <sheetViews>
    <sheetView showGridLines="0" view="pageBreakPreview" zoomScaleSheetLayoutView="100" workbookViewId="0">
      <selection activeCell="T9" sqref="T9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618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452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619</v>
      </c>
      <c r="F17" s="401"/>
      <c r="G17" s="401"/>
      <c r="H17" s="401"/>
      <c r="I17" s="401"/>
      <c r="J17" s="401"/>
      <c r="K17" s="401"/>
      <c r="L17" s="401"/>
      <c r="M17" s="401"/>
      <c r="N17" s="575">
        <v>2000000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-20600000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2000000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25400000</v>
      </c>
    </row>
    <row r="35" spans="2:23" s="121" customFormat="1" ht="31.5" customHeight="1" x14ac:dyDescent="0.3">
      <c r="B35" s="160"/>
      <c r="D35" s="99" t="s">
        <v>13</v>
      </c>
      <c r="E35" s="409" t="s">
        <v>620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8A15-7053-4783-A67C-B74C2EBD1A9F}">
  <dimension ref="A1:Z59"/>
  <sheetViews>
    <sheetView showGridLines="0" view="pageBreakPreview" topLeftCell="A4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621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622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2400000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568</v>
      </c>
      <c r="C17" s="456"/>
      <c r="D17" s="457"/>
      <c r="E17" s="400" t="s">
        <v>623</v>
      </c>
      <c r="F17" s="401"/>
      <c r="G17" s="401"/>
      <c r="H17" s="401"/>
      <c r="I17" s="401"/>
      <c r="J17" s="401"/>
      <c r="K17" s="401"/>
      <c r="L17" s="401"/>
      <c r="M17" s="401"/>
      <c r="N17" s="575">
        <v>2400000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-20200000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2400000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25000000</v>
      </c>
    </row>
    <row r="35" spans="2:23" s="121" customFormat="1" ht="31.5" customHeight="1" x14ac:dyDescent="0.3">
      <c r="B35" s="160"/>
      <c r="D35" s="99" t="s">
        <v>13</v>
      </c>
      <c r="E35" s="409" t="s">
        <v>624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C188-2866-422A-A32D-751A12A523C2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628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46014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2184000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630</v>
      </c>
      <c r="F17" s="401"/>
      <c r="G17" s="401"/>
      <c r="H17" s="401"/>
      <c r="I17" s="401"/>
      <c r="J17" s="401"/>
      <c r="K17" s="401"/>
      <c r="L17" s="401"/>
      <c r="M17" s="401"/>
      <c r="N17" s="575"/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629</v>
      </c>
      <c r="F18" s="401"/>
      <c r="G18" s="401"/>
      <c r="H18" s="401"/>
      <c r="I18" s="401"/>
      <c r="J18" s="401"/>
      <c r="K18" s="401"/>
      <c r="L18" s="401"/>
      <c r="M18" s="401"/>
      <c r="N18" s="576">
        <v>750000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631</v>
      </c>
      <c r="F19" s="401"/>
      <c r="G19" s="401"/>
      <c r="H19" s="401"/>
      <c r="I19" s="401"/>
      <c r="J19" s="401"/>
      <c r="K19" s="401"/>
      <c r="L19" s="401"/>
      <c r="M19" s="401"/>
      <c r="N19" s="576">
        <f>1290000+139000</f>
        <v>1429000</v>
      </c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 t="s">
        <v>632</v>
      </c>
      <c r="F20" s="401"/>
      <c r="G20" s="401"/>
      <c r="H20" s="401"/>
      <c r="I20" s="401"/>
      <c r="J20" s="401"/>
      <c r="K20" s="401"/>
      <c r="L20" s="401"/>
      <c r="M20" s="401"/>
      <c r="N20" s="573">
        <f>2500+2500</f>
        <v>5000</v>
      </c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-20416000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2184000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25216000</v>
      </c>
    </row>
    <row r="35" spans="2:23" s="121" customFormat="1" ht="31.5" customHeight="1" x14ac:dyDescent="0.3">
      <c r="B35" s="160"/>
      <c r="D35" s="99" t="s">
        <v>13</v>
      </c>
      <c r="E35" s="409" t="s">
        <v>633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46014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E1E-5F5D-4CD3-85A1-0692FFC641AF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634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46014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4701500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636</v>
      </c>
      <c r="F17" s="401"/>
      <c r="G17" s="401"/>
      <c r="H17" s="401"/>
      <c r="I17" s="401"/>
      <c r="J17" s="401"/>
      <c r="K17" s="401"/>
      <c r="L17" s="401"/>
      <c r="M17" s="401"/>
      <c r="N17" s="575">
        <f>2430500+2080000+5000+186000</f>
        <v>4701500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-17898500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4701500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22698500</v>
      </c>
    </row>
    <row r="35" spans="2:23" s="121" customFormat="1" ht="31.5" customHeight="1" x14ac:dyDescent="0.3">
      <c r="B35" s="160"/>
      <c r="D35" s="99" t="s">
        <v>13</v>
      </c>
      <c r="E35" s="409" t="s">
        <v>635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46014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044-C871-4A3B-8985-D1C80AB53917}">
  <dimension ref="A1:Z59"/>
  <sheetViews>
    <sheetView showGridLines="0" view="pageBreakPreview" topLeftCell="A4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637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46014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5000000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639</v>
      </c>
      <c r="F17" s="401"/>
      <c r="G17" s="401"/>
      <c r="H17" s="401"/>
      <c r="I17" s="401"/>
      <c r="J17" s="401"/>
      <c r="K17" s="401"/>
      <c r="L17" s="401"/>
      <c r="M17" s="401"/>
      <c r="N17" s="575">
        <v>5000000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-17600000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5000000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22400000</v>
      </c>
    </row>
    <row r="35" spans="2:23" s="121" customFormat="1" ht="31.5" customHeight="1" x14ac:dyDescent="0.3">
      <c r="B35" s="160"/>
      <c r="D35" s="99" t="s">
        <v>13</v>
      </c>
      <c r="E35" s="409" t="s">
        <v>638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46014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338F-7980-4FF2-938E-EC2F50BFA27E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640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46014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452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641</v>
      </c>
      <c r="F17" s="401"/>
      <c r="G17" s="401"/>
      <c r="H17" s="401"/>
      <c r="I17" s="401"/>
      <c r="J17" s="401"/>
      <c r="K17" s="401"/>
      <c r="L17" s="401"/>
      <c r="M17" s="401"/>
      <c r="N17" s="575">
        <v>1000000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-21600000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1000000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26400000</v>
      </c>
    </row>
    <row r="35" spans="2:23" s="121" customFormat="1" ht="31.5" customHeight="1" x14ac:dyDescent="0.3">
      <c r="B35" s="160"/>
      <c r="D35" s="99" t="s">
        <v>13</v>
      </c>
      <c r="E35" s="409" t="s">
        <v>642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46014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E57B-2732-46CC-9F6C-43B7ED71BBA7}">
  <dimension ref="A1:Z59"/>
  <sheetViews>
    <sheetView showGridLines="0" view="pageBreakPreview" zoomScaleSheetLayoutView="100" workbookViewId="0">
      <selection activeCell="R17" sqref="R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643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46014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647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66700491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644</v>
      </c>
      <c r="C17" s="456"/>
      <c r="D17" s="457"/>
      <c r="E17" s="400" t="s">
        <v>645</v>
      </c>
      <c r="F17" s="401"/>
      <c r="G17" s="401"/>
      <c r="H17" s="401"/>
      <c r="I17" s="401"/>
      <c r="J17" s="401"/>
      <c r="K17" s="401"/>
      <c r="L17" s="401"/>
      <c r="M17" s="401"/>
      <c r="N17" s="575">
        <v>65367491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646</v>
      </c>
      <c r="F18" s="401"/>
      <c r="G18" s="401"/>
      <c r="H18" s="401"/>
      <c r="I18" s="401"/>
      <c r="J18" s="401"/>
      <c r="K18" s="401"/>
      <c r="L18" s="401"/>
      <c r="M18" s="401"/>
      <c r="N18" s="576">
        <v>1333000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44100491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66700491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-39300491</v>
      </c>
    </row>
    <row r="35" spans="2:23" s="121" customFormat="1" ht="31.5" customHeight="1" x14ac:dyDescent="0.3">
      <c r="B35" s="160"/>
      <c r="D35" s="99" t="s">
        <v>13</v>
      </c>
      <c r="E35" s="409" t="s">
        <v>648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46014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5083-AA1B-4641-8A37-455BA0F11E3B}">
  <dimension ref="A1:Z59"/>
  <sheetViews>
    <sheetView showGridLines="0" view="pageBreakPreview" topLeftCell="A13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649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46014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451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153870885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650</v>
      </c>
      <c r="C17" s="456"/>
      <c r="D17" s="457"/>
      <c r="E17" s="400" t="s">
        <v>651</v>
      </c>
      <c r="F17" s="401"/>
      <c r="G17" s="401"/>
      <c r="H17" s="401"/>
      <c r="I17" s="401"/>
      <c r="J17" s="401"/>
      <c r="K17" s="401"/>
      <c r="L17" s="401"/>
      <c r="M17" s="401"/>
      <c r="N17" s="575">
        <v>153870885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131270885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153870885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-126470885</v>
      </c>
    </row>
    <row r="35" spans="2:23" s="121" customFormat="1" ht="31.5" customHeight="1" x14ac:dyDescent="0.3">
      <c r="B35" s="160"/>
      <c r="D35" s="99" t="s">
        <v>13</v>
      </c>
      <c r="E35" s="409" t="s">
        <v>652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46014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C219-E952-441D-ACFF-BBC5B995DB23}">
  <dimension ref="A1:Z59"/>
  <sheetViews>
    <sheetView showGridLines="0" view="pageBreakPreview" zoomScaleSheetLayoutView="100" workbookViewId="0">
      <selection activeCell="R41" sqref="R41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653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46014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474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56802880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650</v>
      </c>
      <c r="C17" s="456"/>
      <c r="D17" s="457"/>
      <c r="E17" s="400" t="s">
        <v>654</v>
      </c>
      <c r="F17" s="401"/>
      <c r="G17" s="401"/>
      <c r="H17" s="401"/>
      <c r="I17" s="401"/>
      <c r="J17" s="401"/>
      <c r="K17" s="401"/>
      <c r="L17" s="401"/>
      <c r="M17" s="401"/>
      <c r="N17" s="575">
        <v>56802880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34202880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56802880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-29402880</v>
      </c>
    </row>
    <row r="35" spans="2:23" s="121" customFormat="1" ht="31.5" customHeight="1" x14ac:dyDescent="0.3">
      <c r="B35" s="160"/>
      <c r="D35" s="99" t="s">
        <v>13</v>
      </c>
      <c r="E35" s="409" t="s">
        <v>655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46014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D2CC-6A7D-40DF-8E72-2007E8E96A4C}">
  <dimension ref="A1:Z59"/>
  <sheetViews>
    <sheetView showGridLines="0" view="pageBreakPreview" topLeftCell="A13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661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662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8000000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663</v>
      </c>
      <c r="F17" s="401"/>
      <c r="G17" s="401"/>
      <c r="H17" s="401"/>
      <c r="I17" s="401"/>
      <c r="J17" s="401"/>
      <c r="K17" s="401"/>
      <c r="L17" s="401"/>
      <c r="M17" s="401"/>
      <c r="N17" s="575">
        <v>8000000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-14600000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8000000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19400000</v>
      </c>
    </row>
    <row r="35" spans="2:23" s="121" customFormat="1" ht="31.5" customHeight="1" x14ac:dyDescent="0.3">
      <c r="B35" s="160"/>
      <c r="D35" s="99" t="s">
        <v>13</v>
      </c>
      <c r="E35" s="409" t="s">
        <v>664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A8FC-FCF5-4CE2-8C5B-659412D3FFF7}">
  <dimension ref="A1:Z59"/>
  <sheetViews>
    <sheetView showGridLines="0" view="pageBreakPreview" topLeftCell="A7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665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1209000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666</v>
      </c>
      <c r="F17" s="401"/>
      <c r="G17" s="401"/>
      <c r="H17" s="401"/>
      <c r="I17" s="401"/>
      <c r="J17" s="401"/>
      <c r="K17" s="401"/>
      <c r="L17" s="401"/>
      <c r="M17" s="401"/>
      <c r="N17" s="575">
        <v>1209000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-21391000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1209000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26191000</v>
      </c>
    </row>
    <row r="35" spans="2:23" s="121" customFormat="1" ht="31.5" customHeight="1" x14ac:dyDescent="0.3">
      <c r="B35" s="160"/>
      <c r="D35" s="99" t="s">
        <v>13</v>
      </c>
      <c r="E35" s="409" t="s">
        <v>667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5608-6CA6-434A-A037-31832EBC81D9}">
  <dimension ref="A1:Z59"/>
  <sheetViews>
    <sheetView showGridLines="0" view="pageBreakPreview" topLeftCell="A10" zoomScaleSheetLayoutView="100" workbookViewId="0">
      <selection activeCell="S38" sqref="S38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668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669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39705870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670</v>
      </c>
      <c r="F17" s="401"/>
      <c r="G17" s="401"/>
      <c r="H17" s="401"/>
      <c r="I17" s="401"/>
      <c r="J17" s="401"/>
      <c r="K17" s="401"/>
      <c r="L17" s="401"/>
      <c r="M17" s="401"/>
      <c r="N17" s="575">
        <v>39705870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17105870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39705870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-12305870</v>
      </c>
    </row>
    <row r="35" spans="2:23" s="121" customFormat="1" ht="31.5" customHeight="1" x14ac:dyDescent="0.3">
      <c r="B35" s="160"/>
      <c r="D35" s="99" t="s">
        <v>13</v>
      </c>
      <c r="E35" s="409" t="s">
        <v>671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0B31-2491-4133-AD3F-72431D7D9B66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672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673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295788883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679</v>
      </c>
      <c r="F17" s="401"/>
      <c r="G17" s="401"/>
      <c r="H17" s="401"/>
      <c r="I17" s="401"/>
      <c r="J17" s="401"/>
      <c r="K17" s="401"/>
      <c r="L17" s="401"/>
      <c r="M17" s="401"/>
      <c r="N17" s="575">
        <v>295788883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273188883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295788883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-268388883</v>
      </c>
    </row>
    <row r="35" spans="2:23" s="121" customFormat="1" ht="31.5" customHeight="1" x14ac:dyDescent="0.3">
      <c r="B35" s="160"/>
      <c r="D35" s="99" t="s">
        <v>13</v>
      </c>
      <c r="E35" s="409" t="s">
        <v>674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FCCA-349B-4A23-9F59-1153A1CE5EEF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675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673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9335542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680</v>
      </c>
      <c r="F17" s="401"/>
      <c r="G17" s="401"/>
      <c r="H17" s="401"/>
      <c r="I17" s="401"/>
      <c r="J17" s="401"/>
      <c r="K17" s="401"/>
      <c r="L17" s="401"/>
      <c r="M17" s="401"/>
      <c r="N17" s="575">
        <v>9335542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-13264458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9335542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18064458</v>
      </c>
    </row>
    <row r="35" spans="2:23" s="121" customFormat="1" ht="31.5" customHeight="1" x14ac:dyDescent="0.3">
      <c r="B35" s="160"/>
      <c r="D35" s="99" t="s">
        <v>13</v>
      </c>
      <c r="E35" s="409" t="s">
        <v>676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32FD-0191-4FC7-BE80-4331D922DC8E}">
  <dimension ref="A1:Z59"/>
  <sheetViews>
    <sheetView showGridLines="0" view="pageBreakPreview" topLeftCell="A7" zoomScaleSheetLayoutView="100" workbookViewId="0">
      <selection activeCell="R18" sqref="R18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677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678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24627000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681</v>
      </c>
      <c r="F17" s="401"/>
      <c r="G17" s="401"/>
      <c r="H17" s="401"/>
      <c r="I17" s="401"/>
      <c r="J17" s="401"/>
      <c r="K17" s="401"/>
      <c r="L17" s="401"/>
      <c r="M17" s="401"/>
      <c r="N17" s="575">
        <v>24627000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2027000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24627000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2773000</v>
      </c>
    </row>
    <row r="35" spans="2:23" s="121" customFormat="1" ht="31.5" customHeight="1" x14ac:dyDescent="0.3">
      <c r="B35" s="160"/>
      <c r="D35" s="99" t="s">
        <v>13</v>
      </c>
      <c r="E35" s="409" t="s">
        <v>682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C84B-B9FD-42C9-8092-9F665558955A}">
  <dimension ref="A1:Z59"/>
  <sheetViews>
    <sheetView showGridLines="0" view="pageBreakPreview" zoomScaleSheetLayoutView="100" workbookViewId="0">
      <selection activeCell="S13" sqref="S13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685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452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11402500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686</v>
      </c>
      <c r="F17" s="401"/>
      <c r="G17" s="401"/>
      <c r="H17" s="401"/>
      <c r="I17" s="401"/>
      <c r="J17" s="401"/>
      <c r="K17" s="401"/>
      <c r="L17" s="401"/>
      <c r="M17" s="401"/>
      <c r="N17" s="575">
        <v>11400000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615</v>
      </c>
      <c r="F18" s="401"/>
      <c r="G18" s="401"/>
      <c r="H18" s="401"/>
      <c r="I18" s="401"/>
      <c r="J18" s="401"/>
      <c r="K18" s="401"/>
      <c r="L18" s="401"/>
      <c r="M18" s="401"/>
      <c r="N18" s="576">
        <v>2500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-11197500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11402500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15997500</v>
      </c>
    </row>
    <row r="35" spans="2:23" s="121" customFormat="1" ht="31.5" customHeight="1" x14ac:dyDescent="0.3">
      <c r="B35" s="160"/>
      <c r="D35" s="99" t="s">
        <v>13</v>
      </c>
      <c r="E35" s="409" t="s">
        <v>687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CE29-FD33-4A6A-9F44-9FFFA5AF5CE8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691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678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18060000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683</v>
      </c>
      <c r="F17" s="401"/>
      <c r="G17" s="401"/>
      <c r="H17" s="401"/>
      <c r="I17" s="401"/>
      <c r="J17" s="401"/>
      <c r="K17" s="401"/>
      <c r="L17" s="401"/>
      <c r="M17" s="401"/>
      <c r="N17" s="575">
        <v>18060000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-4540000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18060000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9340000</v>
      </c>
    </row>
    <row r="35" spans="2:23" s="121" customFormat="1" ht="31.5" customHeight="1" x14ac:dyDescent="0.3">
      <c r="B35" s="160"/>
      <c r="D35" s="99" t="s">
        <v>13</v>
      </c>
      <c r="E35" s="409" t="s">
        <v>684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2378-68E4-4379-9FF7-280484C4A8C6}">
  <dimension ref="A1:Z59"/>
  <sheetViews>
    <sheetView showGridLines="0" view="pageBreakPreview" topLeftCell="A4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697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46020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698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1783010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/>
      <c r="C17" s="456"/>
      <c r="D17" s="457"/>
      <c r="E17" s="400" t="s">
        <v>700</v>
      </c>
      <c r="F17" s="401"/>
      <c r="G17" s="401"/>
      <c r="H17" s="401"/>
      <c r="I17" s="401"/>
      <c r="J17" s="401"/>
      <c r="K17" s="401"/>
      <c r="L17" s="401"/>
      <c r="M17" s="401"/>
      <c r="N17" s="575">
        <v>1783010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-20816990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1783010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25616990</v>
      </c>
    </row>
    <row r="35" spans="2:23" s="121" customFormat="1" ht="31.5" customHeight="1" x14ac:dyDescent="0.3">
      <c r="B35" s="160"/>
      <c r="D35" s="99" t="s">
        <v>13</v>
      </c>
      <c r="E35" s="409" t="s">
        <v>699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46020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B826-1597-4CF3-9B77-8DB9A72A522B}">
  <dimension ref="A1:Z59"/>
  <sheetViews>
    <sheetView showGridLines="0" view="pageBreakPreview" topLeftCell="A4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701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46021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65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5500000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568</v>
      </c>
      <c r="C17" s="456"/>
      <c r="D17" s="457"/>
      <c r="E17" s="400" t="s">
        <v>702</v>
      </c>
      <c r="F17" s="401"/>
      <c r="G17" s="401"/>
      <c r="H17" s="401"/>
      <c r="I17" s="401"/>
      <c r="J17" s="401"/>
      <c r="K17" s="401"/>
      <c r="L17" s="401"/>
      <c r="M17" s="401"/>
      <c r="N17" s="575">
        <v>5500000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-17100000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5500000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21900000</v>
      </c>
    </row>
    <row r="35" spans="2:23" s="121" customFormat="1" ht="31.5" customHeight="1" x14ac:dyDescent="0.3">
      <c r="B35" s="160"/>
      <c r="D35" s="99" t="s">
        <v>13</v>
      </c>
      <c r="E35" s="409" t="s">
        <v>703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46021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A011-5C88-4821-A984-93D13D8A071F}">
  <dimension ref="A1:Z59"/>
  <sheetViews>
    <sheetView showGridLines="0" view="pageBreakPreview" zoomScaleSheetLayoutView="100" workbookViewId="0">
      <selection activeCell="T4" sqref="T4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704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46021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65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7100000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568</v>
      </c>
      <c r="C17" s="456"/>
      <c r="D17" s="457"/>
      <c r="E17" s="400" t="s">
        <v>702</v>
      </c>
      <c r="F17" s="401"/>
      <c r="G17" s="401"/>
      <c r="H17" s="401"/>
      <c r="I17" s="401"/>
      <c r="J17" s="401"/>
      <c r="K17" s="401"/>
      <c r="L17" s="401"/>
      <c r="M17" s="401"/>
      <c r="N17" s="575">
        <v>7100000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-15500000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7100000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20300000</v>
      </c>
    </row>
    <row r="35" spans="2:23" s="121" customFormat="1" ht="31.5" customHeight="1" x14ac:dyDescent="0.3">
      <c r="B35" s="160"/>
      <c r="D35" s="99" t="s">
        <v>13</v>
      </c>
      <c r="E35" s="409" t="s">
        <v>705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46021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FB60-E16C-439E-BA18-615C55FF3273}">
  <dimension ref="A1:Z59"/>
  <sheetViews>
    <sheetView showGridLines="0" view="pageBreakPreview" topLeftCell="A16" zoomScaleSheetLayoutView="100" workbookViewId="0">
      <selection activeCell="B17" sqref="B17:D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706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46022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4217020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708</v>
      </c>
      <c r="F17" s="401"/>
      <c r="G17" s="401"/>
      <c r="H17" s="401"/>
      <c r="I17" s="401"/>
      <c r="J17" s="401"/>
      <c r="K17" s="401"/>
      <c r="L17" s="401"/>
      <c r="M17" s="401"/>
      <c r="N17" s="575"/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709</v>
      </c>
      <c r="F18" s="401"/>
      <c r="G18" s="401"/>
      <c r="H18" s="401"/>
      <c r="I18" s="401"/>
      <c r="J18" s="401"/>
      <c r="K18" s="401"/>
      <c r="L18" s="401"/>
      <c r="M18" s="401"/>
      <c r="N18" s="576">
        <f>2392040+500</f>
        <v>2392540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710</v>
      </c>
      <c r="F19" s="401"/>
      <c r="G19" s="401"/>
      <c r="H19" s="401"/>
      <c r="I19" s="401"/>
      <c r="J19" s="401"/>
      <c r="K19" s="401"/>
      <c r="L19" s="401"/>
      <c r="M19" s="401"/>
      <c r="N19" s="576">
        <f>1823980+500</f>
        <v>1824480</v>
      </c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-18382980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4217020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23182980</v>
      </c>
    </row>
    <row r="35" spans="2:23" s="121" customFormat="1" ht="31.5" customHeight="1" x14ac:dyDescent="0.3">
      <c r="B35" s="160"/>
      <c r="D35" s="99" t="s">
        <v>13</v>
      </c>
      <c r="E35" s="409" t="s">
        <v>711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46022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E2AF-C3D6-4560-A099-8122B537A6BA}">
  <dimension ref="A1:Z59"/>
  <sheetViews>
    <sheetView showGridLines="0" view="pageBreakPreview" topLeftCell="A7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712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46022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712400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713</v>
      </c>
      <c r="F17" s="401"/>
      <c r="G17" s="401"/>
      <c r="H17" s="401"/>
      <c r="I17" s="401"/>
      <c r="J17" s="401"/>
      <c r="K17" s="401"/>
      <c r="L17" s="401"/>
      <c r="M17" s="401"/>
      <c r="N17" s="575">
        <v>712400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-21887600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712400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26687600</v>
      </c>
    </row>
    <row r="35" spans="2:23" s="121" customFormat="1" ht="31.5" customHeight="1" x14ac:dyDescent="0.3">
      <c r="B35" s="160"/>
      <c r="D35" s="99" t="s">
        <v>13</v>
      </c>
      <c r="E35" s="409" t="s">
        <v>714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46022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08A3-C307-4C6B-9D7D-7E075DD793AF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715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46022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716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5482080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390</v>
      </c>
      <c r="C17" s="456"/>
      <c r="D17" s="457"/>
      <c r="E17" s="400" t="s">
        <v>614</v>
      </c>
      <c r="F17" s="401"/>
      <c r="G17" s="401"/>
      <c r="H17" s="401"/>
      <c r="I17" s="401"/>
      <c r="J17" s="401"/>
      <c r="K17" s="401"/>
      <c r="L17" s="401"/>
      <c r="M17" s="401"/>
      <c r="N17" s="575">
        <v>5482080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-17117920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5482080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21917920</v>
      </c>
    </row>
    <row r="35" spans="2:23" s="121" customFormat="1" ht="31.5" customHeight="1" x14ac:dyDescent="0.3">
      <c r="B35" s="160"/>
      <c r="D35" s="99" t="s">
        <v>13</v>
      </c>
      <c r="E35" s="409" t="s">
        <v>717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46022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8E1B-BFEB-4DC8-9F4D-B68B847B230E}">
  <dimension ref="A1:Z59"/>
  <sheetViews>
    <sheetView showGridLines="0" view="pageBreakPreview" topLeftCell="A16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718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46022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727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26464500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707</v>
      </c>
      <c r="C17" s="456"/>
      <c r="D17" s="457"/>
      <c r="E17" s="571" t="s">
        <v>719</v>
      </c>
      <c r="F17" s="572"/>
      <c r="G17" s="572"/>
      <c r="H17" s="572"/>
      <c r="I17" s="572"/>
      <c r="J17" s="572"/>
      <c r="K17" s="572"/>
      <c r="L17" s="572"/>
      <c r="M17" s="572"/>
      <c r="N17" s="575"/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720</v>
      </c>
      <c r="F18" s="401"/>
      <c r="G18" s="401"/>
      <c r="H18" s="401"/>
      <c r="I18" s="401"/>
      <c r="J18" s="401"/>
      <c r="K18" s="401"/>
      <c r="L18" s="401"/>
      <c r="M18" s="401"/>
      <c r="N18" s="576">
        <v>5062500</v>
      </c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721</v>
      </c>
      <c r="F19" s="401"/>
      <c r="G19" s="401"/>
      <c r="H19" s="401"/>
      <c r="I19" s="401"/>
      <c r="J19" s="401"/>
      <c r="K19" s="401"/>
      <c r="L19" s="401"/>
      <c r="M19" s="401"/>
      <c r="N19" s="576">
        <v>4662000</v>
      </c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 t="s">
        <v>722</v>
      </c>
      <c r="F20" s="401"/>
      <c r="G20" s="401"/>
      <c r="H20" s="401"/>
      <c r="I20" s="401"/>
      <c r="J20" s="401"/>
      <c r="K20" s="401"/>
      <c r="L20" s="401"/>
      <c r="M20" s="401"/>
      <c r="N20" s="573">
        <v>3465000</v>
      </c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 t="s">
        <v>723</v>
      </c>
      <c r="F21" s="401"/>
      <c r="G21" s="401"/>
      <c r="H21" s="401"/>
      <c r="I21" s="401"/>
      <c r="J21" s="401"/>
      <c r="K21" s="401"/>
      <c r="L21" s="401"/>
      <c r="M21" s="401"/>
      <c r="N21" s="576">
        <v>6750000</v>
      </c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 t="s">
        <v>724</v>
      </c>
      <c r="F22" s="401"/>
      <c r="G22" s="401"/>
      <c r="H22" s="401"/>
      <c r="I22" s="401"/>
      <c r="J22" s="401"/>
      <c r="K22" s="401"/>
      <c r="L22" s="401"/>
      <c r="M22" s="401"/>
      <c r="N22" s="578">
        <v>1462500</v>
      </c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 t="s">
        <v>725</v>
      </c>
      <c r="F23" s="401"/>
      <c r="G23" s="401"/>
      <c r="H23" s="401"/>
      <c r="I23" s="401"/>
      <c r="J23" s="401"/>
      <c r="K23" s="401"/>
      <c r="L23" s="401"/>
      <c r="M23" s="401"/>
      <c r="N23" s="578">
        <v>5062500</v>
      </c>
      <c r="O23" s="393"/>
      <c r="P23" s="393"/>
      <c r="Q23" s="394"/>
      <c r="R23" s="214">
        <f>I12-22600000</f>
        <v>3864500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31" customHeight="1" thickBot="1" x14ac:dyDescent="0.35">
      <c r="A24" s="180"/>
      <c r="B24" s="447"/>
      <c r="C24" s="456"/>
      <c r="D24" s="457"/>
      <c r="E24" s="590"/>
      <c r="F24" s="591"/>
      <c r="G24" s="591"/>
      <c r="H24" s="591"/>
      <c r="I24" s="591"/>
      <c r="J24" s="591"/>
      <c r="K24" s="591"/>
      <c r="L24" s="591"/>
      <c r="M24" s="59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26464500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935500</v>
      </c>
    </row>
    <row r="35" spans="2:23" s="121" customFormat="1" ht="31.5" customHeight="1" x14ac:dyDescent="0.3">
      <c r="B35" s="160"/>
      <c r="D35" s="99" t="s">
        <v>13</v>
      </c>
      <c r="E35" s="409" t="s">
        <v>726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46022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N30:Q30"/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6B20-6881-48DD-ACD5-1B1DB9A9D5E5}">
  <dimension ref="A1:Z59"/>
  <sheetViews>
    <sheetView showGridLines="0" view="pageBreakPreview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449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452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447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728</v>
      </c>
      <c r="J7" s="434"/>
      <c r="K7" s="434"/>
      <c r="L7" s="434"/>
      <c r="M7" s="434"/>
      <c r="N7" s="89"/>
      <c r="O7" s="89"/>
      <c r="P7" s="89"/>
      <c r="Q7" s="88"/>
      <c r="R7" s="127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46015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647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2303292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 t="s">
        <v>483</v>
      </c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5" customHeight="1" x14ac:dyDescent="0.3">
      <c r="A17" s="141"/>
      <c r="B17" s="574" t="s">
        <v>644</v>
      </c>
      <c r="C17" s="456"/>
      <c r="D17" s="457"/>
      <c r="E17" s="400" t="s">
        <v>729</v>
      </c>
      <c r="F17" s="401"/>
      <c r="G17" s="401"/>
      <c r="H17" s="401"/>
      <c r="I17" s="401"/>
      <c r="J17" s="401"/>
      <c r="K17" s="401"/>
      <c r="L17" s="401"/>
      <c r="M17" s="401"/>
      <c r="N17" s="575">
        <v>2303292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6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-20296708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2303292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25096708</v>
      </c>
    </row>
    <row r="35" spans="2:23" s="121" customFormat="1" ht="31.5" customHeight="1" x14ac:dyDescent="0.3">
      <c r="B35" s="160"/>
      <c r="D35" s="99" t="s">
        <v>13</v>
      </c>
      <c r="E35" s="409" t="s">
        <v>730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46015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3310-C40E-4201-8644-55D47B4CB86C}">
  <sheetPr codeName="Sheet17">
    <pageSetUpPr fitToPage="1"/>
  </sheetPr>
  <dimension ref="A1:Z59"/>
  <sheetViews>
    <sheetView showGridLines="0" view="pageBreakPreview" zoomScaleSheetLayoutView="100" workbookViewId="0">
      <selection activeCell="N24" sqref="N24:Q24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8.3632812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  <c r="R1" s="127" t="s">
        <v>524</v>
      </c>
      <c r="T1" s="128" t="s">
        <v>525</v>
      </c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  <c r="R2" s="127" t="s">
        <v>474</v>
      </c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  <c r="R3" s="127" t="s">
        <v>470</v>
      </c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  <c r="R4" s="127" t="s">
        <v>451</v>
      </c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R5" s="127" t="s">
        <v>462</v>
      </c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458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550</v>
      </c>
      <c r="J7" s="434"/>
      <c r="K7" s="434"/>
      <c r="L7" s="434"/>
      <c r="M7" s="434"/>
      <c r="N7" s="89"/>
      <c r="O7" s="89"/>
      <c r="P7" s="89"/>
      <c r="Q7" s="88"/>
      <c r="R7" s="127" t="s">
        <v>449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45996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551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46400000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30.5" customHeight="1" x14ac:dyDescent="0.3">
      <c r="A17" s="141"/>
      <c r="B17" s="574"/>
      <c r="C17" s="456"/>
      <c r="D17" s="457"/>
      <c r="E17" s="400" t="s">
        <v>555</v>
      </c>
      <c r="F17" s="401"/>
      <c r="G17" s="401"/>
      <c r="H17" s="401"/>
      <c r="I17" s="401"/>
      <c r="J17" s="401"/>
      <c r="K17" s="401"/>
      <c r="L17" s="401"/>
      <c r="M17" s="401"/>
      <c r="N17" s="575"/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387" t="s">
        <v>434</v>
      </c>
      <c r="F18" s="388"/>
      <c r="G18" s="388"/>
      <c r="H18" s="388"/>
      <c r="I18" s="388"/>
      <c r="J18" s="583">
        <v>101400000</v>
      </c>
      <c r="K18" s="583"/>
      <c r="L18" s="583"/>
      <c r="M18" s="584"/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387" t="s">
        <v>553</v>
      </c>
      <c r="F19" s="388"/>
      <c r="G19" s="388"/>
      <c r="H19" s="388"/>
      <c r="I19" s="388"/>
      <c r="J19" s="583">
        <v>-45000000</v>
      </c>
      <c r="K19" s="583"/>
      <c r="L19" s="583"/>
      <c r="M19" s="584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7" customHeight="1" thickBot="1" x14ac:dyDescent="0.35">
      <c r="A20" s="196"/>
      <c r="E20" s="387" t="s">
        <v>554</v>
      </c>
      <c r="F20" s="388"/>
      <c r="G20" s="388"/>
      <c r="H20" s="388"/>
      <c r="I20" s="388"/>
      <c r="J20" s="592">
        <v>-10000000</v>
      </c>
      <c r="K20" s="592"/>
      <c r="L20" s="592"/>
      <c r="M20" s="593"/>
      <c r="N20" s="576"/>
      <c r="O20" s="451"/>
      <c r="P20" s="451"/>
      <c r="Q20" s="452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/>
      <c r="C21" s="448"/>
      <c r="D21" s="449"/>
      <c r="E21" s="387" t="s">
        <v>552</v>
      </c>
      <c r="F21" s="388"/>
      <c r="G21" s="388"/>
      <c r="H21" s="388"/>
      <c r="I21" s="388"/>
      <c r="J21" s="582">
        <f>SUM(J18:M20)</f>
        <v>46400000</v>
      </c>
      <c r="K21" s="388"/>
      <c r="L21" s="388"/>
      <c r="M21" s="388"/>
      <c r="N21" s="576">
        <f>J21</f>
        <v>46400000</v>
      </c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30" customHeight="1" x14ac:dyDescent="0.3">
      <c r="A22" s="196"/>
      <c r="B22" s="447"/>
      <c r="C22" s="456"/>
      <c r="D22" s="457"/>
      <c r="E22" s="571"/>
      <c r="F22" s="572"/>
      <c r="G22" s="572"/>
      <c r="H22" s="572"/>
      <c r="I22" s="572"/>
      <c r="J22" s="572"/>
      <c r="K22" s="572"/>
      <c r="L22" s="572"/>
      <c r="M22" s="572"/>
      <c r="N22" s="576"/>
      <c r="O22" s="451"/>
      <c r="P22" s="451"/>
      <c r="Q22" s="452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6"/>
      <c r="O23" s="451"/>
      <c r="P23" s="451"/>
      <c r="Q23" s="452"/>
      <c r="R23" s="214">
        <f>I12-22600000</f>
        <v>23800000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00"/>
      <c r="F24" s="401"/>
      <c r="G24" s="401"/>
      <c r="H24" s="401"/>
      <c r="I24" s="401"/>
      <c r="J24" s="401"/>
      <c r="K24" s="401"/>
      <c r="L24" s="401"/>
      <c r="M24" s="40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B25" s="365"/>
      <c r="C25" s="33"/>
      <c r="E25" s="400"/>
      <c r="F25" s="401"/>
      <c r="G25" s="401"/>
      <c r="H25" s="401"/>
      <c r="I25" s="401"/>
      <c r="J25" s="401"/>
      <c r="K25" s="401"/>
      <c r="L25" s="401"/>
      <c r="M25" s="401"/>
      <c r="N25" s="578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00"/>
      <c r="F26" s="401"/>
      <c r="G26" s="401"/>
      <c r="H26" s="401"/>
      <c r="I26" s="401"/>
      <c r="J26" s="401"/>
      <c r="K26" s="401"/>
      <c r="L26" s="401"/>
      <c r="M26" s="401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00"/>
      <c r="F27" s="401"/>
      <c r="G27" s="401"/>
      <c r="H27" s="401"/>
      <c r="I27" s="401"/>
      <c r="J27" s="401"/>
      <c r="K27" s="401"/>
      <c r="L27" s="401"/>
      <c r="M27" s="40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587"/>
      <c r="M28" s="588"/>
      <c r="N28" s="57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SUM(N17:Q31)</f>
        <v>46400000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-19000000</v>
      </c>
    </row>
    <row r="35" spans="2:23" s="121" customFormat="1" ht="31.5" customHeight="1" x14ac:dyDescent="0.3">
      <c r="B35" s="160"/>
      <c r="D35" s="99" t="s">
        <v>13</v>
      </c>
      <c r="E35" s="409" t="s">
        <v>556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45996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7">
    <mergeCell ref="B17:D17"/>
    <mergeCell ref="E17:M17"/>
    <mergeCell ref="N17:Q17"/>
    <mergeCell ref="E26:M26"/>
    <mergeCell ref="E27:M27"/>
    <mergeCell ref="B19:D19"/>
    <mergeCell ref="N19:Q19"/>
    <mergeCell ref="N20:Q20"/>
    <mergeCell ref="E22:M22"/>
    <mergeCell ref="E23:M23"/>
    <mergeCell ref="E24:M24"/>
    <mergeCell ref="E25:M25"/>
    <mergeCell ref="E19:I19"/>
    <mergeCell ref="J19:M19"/>
    <mergeCell ref="E20:I20"/>
    <mergeCell ref="J20:M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  <mergeCell ref="B18:D18"/>
    <mergeCell ref="N18:Q18"/>
    <mergeCell ref="B26:D26"/>
    <mergeCell ref="N26:Q26"/>
    <mergeCell ref="B21:D21"/>
    <mergeCell ref="N21:Q21"/>
    <mergeCell ref="B24:D24"/>
    <mergeCell ref="N24:Q24"/>
    <mergeCell ref="N25:Q25"/>
    <mergeCell ref="B22:D22"/>
    <mergeCell ref="N22:Q22"/>
    <mergeCell ref="B23:D23"/>
    <mergeCell ref="N23:Q23"/>
    <mergeCell ref="E21:I21"/>
    <mergeCell ref="J21:M21"/>
    <mergeCell ref="E18:I18"/>
    <mergeCell ref="B28:D28"/>
    <mergeCell ref="E28:I28"/>
    <mergeCell ref="N28:Q28"/>
    <mergeCell ref="B29:D29"/>
    <mergeCell ref="E29:M29"/>
    <mergeCell ref="N29:Q29"/>
    <mergeCell ref="L28:M28"/>
    <mergeCell ref="J18:M18"/>
    <mergeCell ref="D44:E44"/>
    <mergeCell ref="M44:O44"/>
    <mergeCell ref="W32:Z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B27:D27"/>
    <mergeCell ref="N27:Q27"/>
  </mergeCells>
  <printOptions horizontalCentered="1"/>
  <pageMargins left="0.25" right="0.25" top="0.75" bottom="0.75" header="0.3" footer="0.3"/>
  <pageSetup paperSize="9" scale="88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9142-77FC-46A6-A62A-B6E26E4A6A28}">
  <sheetPr codeName="Sheet32"/>
  <dimension ref="A1:Y68"/>
  <sheetViews>
    <sheetView showGridLines="0" view="pageBreakPreview" topLeftCell="A13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4" customWidth="1"/>
    <col min="2" max="2" width="2.1796875" style="4" customWidth="1"/>
    <col min="3" max="3" width="1.81640625" style="4" customWidth="1"/>
    <col min="4" max="4" width="12.26953125" style="4" customWidth="1"/>
    <col min="5" max="5" width="9.81640625" style="4" customWidth="1"/>
    <col min="6" max="6" width="2" style="4" customWidth="1"/>
    <col min="7" max="7" width="1.81640625" style="4" customWidth="1"/>
    <col min="8" max="8" width="4.81640625" style="4" customWidth="1"/>
    <col min="9" max="9" width="22.6328125" style="4" customWidth="1"/>
    <col min="10" max="10" width="3.26953125" style="4" customWidth="1"/>
    <col min="11" max="11" width="2.81640625" style="4" customWidth="1"/>
    <col min="12" max="12" width="2.453125" style="4" customWidth="1"/>
    <col min="13" max="13" width="13.1796875" style="4" customWidth="1"/>
    <col min="14" max="14" width="6.7265625" style="4" customWidth="1"/>
    <col min="15" max="15" width="3.453125" style="4" customWidth="1"/>
    <col min="16" max="16" width="2.81640625" style="4" customWidth="1"/>
    <col min="17" max="17" width="9.453125" style="4" customWidth="1"/>
    <col min="18" max="18" width="28.81640625" style="24" customWidth="1"/>
    <col min="19" max="19" width="30.453125" style="46" customWidth="1"/>
    <col min="20" max="20" width="8" style="22" customWidth="1"/>
    <col min="21" max="21" width="20.81640625" style="22" customWidth="1"/>
    <col min="22" max="22" width="17.453125" style="4" customWidth="1"/>
    <col min="23" max="27" width="8" style="4" customWidth="1"/>
    <col min="28" max="16384" width="9.1796875" style="4"/>
  </cols>
  <sheetData>
    <row r="1" spans="2:24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2:24" x14ac:dyDescent="0.3">
      <c r="B2" s="5"/>
      <c r="Q2" s="6"/>
    </row>
    <row r="3" spans="2:24" ht="15.5" x14ac:dyDescent="0.35">
      <c r="B3" s="11"/>
      <c r="C3" s="10"/>
      <c r="D3" s="506" t="s">
        <v>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15"/>
      <c r="Q3" s="12"/>
    </row>
    <row r="4" spans="2:24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"/>
    </row>
    <row r="5" spans="2:24" x14ac:dyDescent="0.3"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X5" s="4" t="s">
        <v>21</v>
      </c>
    </row>
    <row r="6" spans="2:24" ht="15" customHeight="1" x14ac:dyDescent="0.35">
      <c r="B6" s="11"/>
      <c r="C6" s="10"/>
      <c r="D6" s="10"/>
      <c r="E6" s="13"/>
      <c r="F6" s="13"/>
      <c r="G6" s="20" t="s">
        <v>1</v>
      </c>
      <c r="H6" s="13"/>
      <c r="I6" s="13"/>
      <c r="J6" s="13"/>
      <c r="K6" s="13"/>
      <c r="L6" s="13"/>
      <c r="M6" s="13"/>
      <c r="N6" s="13"/>
      <c r="O6" s="13"/>
      <c r="P6" s="13"/>
      <c r="Q6" s="12"/>
      <c r="X6" s="4" t="s">
        <v>22</v>
      </c>
    </row>
    <row r="7" spans="2:24" ht="23.25" customHeight="1" x14ac:dyDescent="0.3">
      <c r="B7" s="11"/>
      <c r="C7" s="10"/>
      <c r="D7" s="10"/>
      <c r="E7" s="10"/>
      <c r="F7" s="10"/>
      <c r="G7" s="21" t="s">
        <v>14</v>
      </c>
      <c r="H7" s="29" t="s">
        <v>7</v>
      </c>
      <c r="I7" s="507" t="s">
        <v>656</v>
      </c>
      <c r="J7" s="507"/>
      <c r="K7" s="507"/>
      <c r="L7" s="507"/>
      <c r="M7" s="507"/>
      <c r="Q7" s="12"/>
      <c r="V7" s="42">
        <f>7000000+938000+1981500</f>
        <v>9919500</v>
      </c>
    </row>
    <row r="8" spans="2:24" x14ac:dyDescent="0.3"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/>
      <c r="T8" s="38"/>
    </row>
    <row r="9" spans="2:24" ht="24" customHeight="1" x14ac:dyDescent="0.3">
      <c r="B9" s="11"/>
      <c r="C9" s="10"/>
      <c r="D9" s="10" t="s">
        <v>2</v>
      </c>
      <c r="E9" s="10"/>
      <c r="F9" s="10"/>
      <c r="G9" s="10"/>
      <c r="H9" s="10" t="s">
        <v>7</v>
      </c>
      <c r="I9" s="508" t="s">
        <v>17</v>
      </c>
      <c r="J9" s="508"/>
      <c r="K9" s="508"/>
      <c r="L9" s="508"/>
      <c r="M9" s="508"/>
      <c r="N9" s="508"/>
      <c r="O9" s="10"/>
      <c r="P9" s="10"/>
      <c r="Q9" s="12"/>
      <c r="U9" s="30"/>
    </row>
    <row r="10" spans="2:24" ht="24" customHeight="1" x14ac:dyDescent="0.3">
      <c r="B10" s="11"/>
      <c r="C10" s="10"/>
      <c r="D10" s="10" t="s">
        <v>3</v>
      </c>
      <c r="E10" s="10"/>
      <c r="F10" s="10"/>
      <c r="G10" s="10"/>
      <c r="H10" s="10" t="s">
        <v>7</v>
      </c>
      <c r="I10" s="509">
        <v>46015</v>
      </c>
      <c r="J10" s="509"/>
      <c r="K10" s="509"/>
      <c r="L10" s="509"/>
      <c r="M10" s="509"/>
      <c r="N10" s="509"/>
      <c r="O10" s="10"/>
      <c r="P10" s="10"/>
      <c r="Q10" s="12"/>
      <c r="S10" s="46">
        <f>238425000-234090000</f>
        <v>4335000</v>
      </c>
      <c r="U10" s="30"/>
    </row>
    <row r="11" spans="2:24" ht="24" customHeight="1" x14ac:dyDescent="0.3">
      <c r="B11" s="11"/>
      <c r="C11" s="10"/>
      <c r="D11" s="10" t="s">
        <v>4</v>
      </c>
      <c r="E11" s="10"/>
      <c r="F11" s="10"/>
      <c r="G11" s="10"/>
      <c r="H11" s="10" t="s">
        <v>7</v>
      </c>
      <c r="I11" s="510" t="s">
        <v>657</v>
      </c>
      <c r="J11" s="510"/>
      <c r="K11" s="510"/>
      <c r="L11" s="510"/>
      <c r="M11" s="510"/>
      <c r="N11" s="510"/>
      <c r="O11" s="10"/>
      <c r="P11" s="10"/>
      <c r="Q11" s="12"/>
      <c r="U11" s="30"/>
    </row>
    <row r="12" spans="2:24" ht="24" customHeight="1" x14ac:dyDescent="0.3">
      <c r="B12" s="11"/>
      <c r="C12" s="10"/>
      <c r="D12" s="10" t="s">
        <v>5</v>
      </c>
      <c r="E12" s="10"/>
      <c r="F12" s="10"/>
      <c r="G12" s="10"/>
      <c r="H12" s="10" t="s">
        <v>7</v>
      </c>
      <c r="I12" s="511">
        <f>N33</f>
        <v>36907500</v>
      </c>
      <c r="J12" s="511"/>
      <c r="K12" s="511"/>
      <c r="L12" s="511"/>
      <c r="M12" s="511"/>
      <c r="N12" s="511"/>
      <c r="O12" s="10"/>
      <c r="P12" s="10"/>
      <c r="Q12" s="12"/>
      <c r="U12" s="30"/>
    </row>
    <row r="13" spans="2:24" ht="24" customHeight="1" thickBot="1" x14ac:dyDescent="0.35">
      <c r="B13" s="11"/>
      <c r="C13" s="10"/>
      <c r="D13" s="10" t="s">
        <v>6</v>
      </c>
      <c r="E13" s="10"/>
      <c r="F13" s="10"/>
      <c r="G13" s="10"/>
      <c r="H13" s="10" t="s">
        <v>7</v>
      </c>
      <c r="I13" s="508" t="s">
        <v>19</v>
      </c>
      <c r="J13" s="508"/>
      <c r="K13" s="508"/>
      <c r="L13" s="508"/>
      <c r="M13" s="508"/>
      <c r="N13" s="508"/>
      <c r="O13" s="10"/>
      <c r="P13" s="10"/>
      <c r="Q13" s="12"/>
      <c r="R13" s="24">
        <v>5382600</v>
      </c>
      <c r="U13" s="40"/>
    </row>
    <row r="14" spans="2:24" ht="14.5" thickBot="1" x14ac:dyDescent="0.35">
      <c r="B14" s="11"/>
      <c r="C14" s="10"/>
      <c r="D14" s="10"/>
      <c r="E14" s="10"/>
      <c r="F14" s="10"/>
      <c r="G14" s="10"/>
      <c r="H14" s="10"/>
      <c r="I14" s="10"/>
      <c r="J14" s="10" t="s">
        <v>22</v>
      </c>
      <c r="K14" s="10"/>
      <c r="L14" s="10" t="s">
        <v>22</v>
      </c>
      <c r="M14" s="10"/>
      <c r="N14" s="10"/>
      <c r="O14" s="10"/>
      <c r="P14" s="10"/>
      <c r="Q14" s="12"/>
      <c r="U14" s="39"/>
    </row>
    <row r="15" spans="2:24" s="18" customFormat="1" ht="21" customHeight="1" thickBot="1" x14ac:dyDescent="0.4">
      <c r="B15" s="512" t="s">
        <v>141</v>
      </c>
      <c r="C15" s="513"/>
      <c r="D15" s="514"/>
      <c r="E15" s="512" t="s">
        <v>142</v>
      </c>
      <c r="F15" s="513"/>
      <c r="G15" s="513"/>
      <c r="H15" s="513"/>
      <c r="I15" s="513"/>
      <c r="J15" s="513"/>
      <c r="K15" s="513"/>
      <c r="L15" s="513"/>
      <c r="M15" s="514"/>
      <c r="N15" s="513" t="s">
        <v>8</v>
      </c>
      <c r="O15" s="513"/>
      <c r="P15" s="513"/>
      <c r="Q15" s="514"/>
      <c r="R15" s="114"/>
      <c r="S15" s="47"/>
      <c r="T15" s="23"/>
      <c r="U15" s="31"/>
    </row>
    <row r="16" spans="2:24" ht="14" customHeight="1" thickBot="1" x14ac:dyDescent="0.35">
      <c r="B16" s="11"/>
      <c r="C16" s="10"/>
      <c r="D16" s="12"/>
      <c r="E16" s="10"/>
      <c r="F16" s="10"/>
      <c r="G16" s="10"/>
      <c r="H16" s="10"/>
      <c r="I16" s="10"/>
      <c r="J16" s="10"/>
      <c r="K16" s="10"/>
      <c r="L16" s="10"/>
      <c r="M16" s="12"/>
      <c r="N16" s="480"/>
      <c r="O16" s="480"/>
      <c r="P16" s="480"/>
      <c r="Q16" s="481"/>
      <c r="U16" s="30"/>
    </row>
    <row r="17" spans="1:25" ht="31" customHeight="1" thickBot="1" x14ac:dyDescent="0.35">
      <c r="B17" s="485" t="s">
        <v>159</v>
      </c>
      <c r="C17" s="486"/>
      <c r="D17" s="487"/>
      <c r="E17" s="515" t="s">
        <v>660</v>
      </c>
      <c r="F17" s="388"/>
      <c r="G17" s="388"/>
      <c r="H17" s="388"/>
      <c r="I17" s="388"/>
      <c r="J17" s="388"/>
      <c r="K17" s="388"/>
      <c r="L17" s="388"/>
      <c r="M17" s="399"/>
      <c r="N17" s="480"/>
      <c r="O17" s="480"/>
      <c r="P17" s="480"/>
      <c r="Q17" s="481"/>
      <c r="R17" s="170"/>
      <c r="U17" s="30"/>
    </row>
    <row r="18" spans="1:25" ht="30" customHeight="1" thickBot="1" x14ac:dyDescent="0.35">
      <c r="B18" s="503"/>
      <c r="C18" s="504"/>
      <c r="D18" s="505"/>
      <c r="E18" s="488" t="s">
        <v>658</v>
      </c>
      <c r="F18" s="489"/>
      <c r="G18" s="489"/>
      <c r="H18" s="489"/>
      <c r="I18" s="489"/>
      <c r="J18" s="393">
        <v>36907500</v>
      </c>
      <c r="K18" s="393"/>
      <c r="L18" s="393"/>
      <c r="M18" s="394"/>
      <c r="N18" s="392">
        <f>J18</f>
        <v>36907500</v>
      </c>
      <c r="O18" s="393"/>
      <c r="P18" s="393"/>
      <c r="Q18" s="394"/>
      <c r="R18" s="516"/>
      <c r="S18" s="517"/>
      <c r="T18" s="517"/>
      <c r="U18" s="518"/>
      <c r="V18" s="45">
        <v>0.1</v>
      </c>
    </row>
    <row r="19" spans="1:25" s="18" customFormat="1" ht="32.25" customHeight="1" thickBot="1" x14ac:dyDescent="0.4">
      <c r="B19" s="503"/>
      <c r="C19" s="504"/>
      <c r="D19" s="505"/>
      <c r="E19" s="515"/>
      <c r="F19" s="545"/>
      <c r="G19" s="545"/>
      <c r="H19" s="545"/>
      <c r="I19" s="545"/>
      <c r="J19" s="393"/>
      <c r="K19" s="393"/>
      <c r="L19" s="393"/>
      <c r="M19" s="394"/>
      <c r="N19" s="392"/>
      <c r="O19" s="393"/>
      <c r="P19" s="393"/>
      <c r="Q19" s="394"/>
      <c r="R19" s="496"/>
      <c r="S19" s="497"/>
      <c r="T19" s="497"/>
      <c r="U19" s="498"/>
      <c r="V19" s="23"/>
    </row>
    <row r="20" spans="1:25" s="18" customFormat="1" ht="32.25" customHeight="1" x14ac:dyDescent="0.35">
      <c r="B20" s="503"/>
      <c r="C20" s="504"/>
      <c r="D20" s="505"/>
      <c r="E20" s="594"/>
      <c r="F20" s="595"/>
      <c r="G20" s="595"/>
      <c r="H20" s="595"/>
      <c r="I20" s="595"/>
      <c r="J20" s="423"/>
      <c r="K20" s="423"/>
      <c r="L20" s="423"/>
      <c r="M20" s="424"/>
      <c r="N20" s="392"/>
      <c r="O20" s="393"/>
      <c r="P20" s="393"/>
      <c r="Q20" s="394"/>
      <c r="R20" s="496"/>
      <c r="S20" s="497"/>
      <c r="T20" s="497"/>
      <c r="U20" s="498"/>
      <c r="V20" s="23"/>
    </row>
    <row r="21" spans="1:25" ht="31.5" customHeight="1" x14ac:dyDescent="0.3">
      <c r="A21" s="4" t="s">
        <v>20</v>
      </c>
      <c r="B21" s="174"/>
      <c r="C21" s="41"/>
      <c r="D21" s="171"/>
      <c r="E21" s="515"/>
      <c r="F21" s="388"/>
      <c r="G21" s="388"/>
      <c r="H21" s="388"/>
      <c r="I21" s="388"/>
      <c r="J21" s="388"/>
      <c r="K21" s="388"/>
      <c r="L21" s="388"/>
      <c r="M21" s="399"/>
      <c r="N21" s="393"/>
      <c r="O21" s="393"/>
      <c r="P21" s="393"/>
      <c r="Q21" s="394"/>
      <c r="R21" s="501"/>
      <c r="S21" s="501"/>
      <c r="T21" s="501"/>
      <c r="U21" s="502"/>
      <c r="V21" s="22"/>
    </row>
    <row r="22" spans="1:25" ht="30.5" customHeight="1" x14ac:dyDescent="0.3">
      <c r="B22" s="174"/>
      <c r="C22" s="41"/>
      <c r="D22" s="172"/>
      <c r="E22" s="387"/>
      <c r="F22" s="388"/>
      <c r="G22" s="388"/>
      <c r="H22" s="388"/>
      <c r="I22" s="388"/>
      <c r="J22" s="388"/>
      <c r="K22" s="388"/>
      <c r="L22" s="388"/>
      <c r="M22" s="399"/>
      <c r="N22" s="393"/>
      <c r="O22" s="393"/>
      <c r="P22" s="393"/>
      <c r="Q22" s="394"/>
      <c r="R22" s="501"/>
      <c r="S22" s="501"/>
      <c r="T22" s="501"/>
      <c r="U22" s="502"/>
      <c r="V22" s="22"/>
    </row>
    <row r="23" spans="1:25" ht="20.149999999999999" customHeight="1" x14ac:dyDescent="0.3">
      <c r="B23" s="174"/>
      <c r="C23" s="41"/>
      <c r="D23" s="172"/>
      <c r="E23" s="387"/>
      <c r="F23" s="388"/>
      <c r="G23" s="388"/>
      <c r="H23" s="388"/>
      <c r="I23" s="388"/>
      <c r="J23" s="388"/>
      <c r="K23" s="388"/>
      <c r="L23" s="388"/>
      <c r="M23" s="399"/>
      <c r="N23" s="393"/>
      <c r="O23" s="393"/>
      <c r="P23" s="393"/>
      <c r="Q23" s="394"/>
      <c r="R23" s="215"/>
      <c r="S23" s="215"/>
      <c r="T23" s="215"/>
      <c r="U23" s="216"/>
      <c r="V23" s="22"/>
    </row>
    <row r="24" spans="1:25" ht="20.149999999999999" customHeight="1" thickBot="1" x14ac:dyDescent="0.35">
      <c r="B24" s="174"/>
      <c r="C24" s="41"/>
      <c r="D24" s="172"/>
      <c r="E24" s="519"/>
      <c r="F24" s="520"/>
      <c r="G24" s="520"/>
      <c r="H24" s="520"/>
      <c r="I24" s="520"/>
      <c r="J24" s="520"/>
      <c r="K24" s="520"/>
      <c r="L24" s="520"/>
      <c r="M24" s="521"/>
      <c r="N24" s="429"/>
      <c r="O24" s="430"/>
      <c r="P24" s="430"/>
      <c r="Q24" s="431"/>
      <c r="R24" s="215"/>
      <c r="S24" s="215"/>
      <c r="T24" s="215"/>
      <c r="U24" s="216"/>
      <c r="V24" s="22"/>
    </row>
    <row r="25" spans="1:25" s="22" customFormat="1" ht="20.149999999999999" customHeight="1" x14ac:dyDescent="0.3">
      <c r="B25" s="169"/>
      <c r="C25" s="41"/>
      <c r="D25" s="172"/>
      <c r="E25" s="83"/>
      <c r="F25" s="83"/>
      <c r="G25" s="83"/>
      <c r="H25" s="83"/>
      <c r="I25" s="83"/>
      <c r="J25" s="83"/>
      <c r="K25" s="494" t="s">
        <v>158</v>
      </c>
      <c r="L25" s="494"/>
      <c r="M25" s="495"/>
      <c r="N25" s="423">
        <f>SUM(N18:Q24)</f>
        <v>36907500</v>
      </c>
      <c r="O25" s="423"/>
      <c r="P25" s="423"/>
      <c r="Q25" s="424"/>
      <c r="R25" s="497"/>
      <c r="S25" s="497"/>
      <c r="T25" s="497"/>
      <c r="U25" s="498"/>
    </row>
    <row r="26" spans="1:25" ht="20.149999999999999" customHeight="1" x14ac:dyDescent="0.3">
      <c r="B26" s="447" t="s">
        <v>160</v>
      </c>
      <c r="C26" s="456"/>
      <c r="D26" s="457"/>
      <c r="E26" s="499" t="s">
        <v>161</v>
      </c>
      <c r="F26" s="500"/>
      <c r="G26" s="500"/>
      <c r="H26" s="500"/>
      <c r="I26" s="83"/>
      <c r="J26" s="393">
        <f>-J18/1.11*11%</f>
        <v>-3657499.9999999995</v>
      </c>
      <c r="K26" s="393"/>
      <c r="L26" s="393"/>
      <c r="M26" s="394"/>
      <c r="Q26" s="6"/>
      <c r="R26" s="501"/>
      <c r="S26" s="501"/>
      <c r="T26" s="501"/>
      <c r="U26" s="502"/>
      <c r="V26" s="22"/>
    </row>
    <row r="27" spans="1:25" ht="20.149999999999999" customHeight="1" x14ac:dyDescent="0.3">
      <c r="B27" s="485"/>
      <c r="C27" s="486"/>
      <c r="D27" s="487"/>
      <c r="E27" s="488" t="s">
        <v>575</v>
      </c>
      <c r="F27" s="489"/>
      <c r="G27" s="489"/>
      <c r="H27" s="489"/>
      <c r="I27" s="489"/>
      <c r="J27" s="34"/>
      <c r="K27" s="417"/>
      <c r="L27" s="417"/>
      <c r="M27" s="418"/>
      <c r="N27" s="423"/>
      <c r="O27" s="423"/>
      <c r="P27" s="423"/>
      <c r="Q27" s="424"/>
      <c r="U27" s="30"/>
      <c r="V27" s="24"/>
    </row>
    <row r="28" spans="1:25" ht="20.149999999999999" customHeight="1" x14ac:dyDescent="0.3">
      <c r="B28" s="447"/>
      <c r="C28" s="456"/>
      <c r="D28" s="457"/>
      <c r="E28" s="460"/>
      <c r="F28" s="461"/>
      <c r="G28" s="461"/>
      <c r="H28" s="461"/>
      <c r="I28" s="461"/>
      <c r="J28" s="461"/>
      <c r="K28" s="461"/>
      <c r="L28" s="461"/>
      <c r="M28" s="462"/>
      <c r="N28" s="465"/>
      <c r="O28" s="465"/>
      <c r="P28" s="465"/>
      <c r="Q28" s="466"/>
      <c r="U28" s="30"/>
      <c r="V28" s="24"/>
    </row>
    <row r="29" spans="1:25" ht="20.149999999999999" customHeight="1" x14ac:dyDescent="0.3">
      <c r="B29" s="11"/>
      <c r="C29" s="27"/>
      <c r="D29" s="175"/>
      <c r="E29" s="176"/>
      <c r="F29" s="176"/>
      <c r="G29" s="176"/>
      <c r="H29" s="176"/>
      <c r="I29" s="176"/>
      <c r="J29" s="176"/>
      <c r="K29" s="176"/>
      <c r="L29" s="176"/>
      <c r="M29" s="175"/>
      <c r="N29" s="10"/>
      <c r="O29" s="10"/>
      <c r="P29" s="10"/>
      <c r="Q29" s="12"/>
      <c r="U29" s="30"/>
      <c r="V29" s="482">
        <v>110155442</v>
      </c>
      <c r="W29" s="483"/>
      <c r="X29" s="483"/>
      <c r="Y29" s="484"/>
    </row>
    <row r="30" spans="1:25" ht="20.149999999999999" customHeight="1" x14ac:dyDescent="0.3">
      <c r="B30" s="11"/>
      <c r="C30" s="27"/>
      <c r="D30" s="173"/>
      <c r="E30" s="34"/>
      <c r="F30" s="34"/>
      <c r="G30" s="34"/>
      <c r="H30" s="34"/>
      <c r="I30" s="44"/>
      <c r="J30" s="34"/>
      <c r="K30" s="34"/>
      <c r="L30" s="34"/>
      <c r="M30" s="28"/>
      <c r="N30" s="490"/>
      <c r="O30" s="490"/>
      <c r="P30" s="490"/>
      <c r="Q30" s="491"/>
      <c r="U30" s="30"/>
      <c r="V30" s="482">
        <v>-110155871</v>
      </c>
      <c r="W30" s="483"/>
      <c r="X30" s="483"/>
      <c r="Y30" s="484"/>
    </row>
    <row r="31" spans="1:25" ht="20.149999999999999" customHeight="1" thickBot="1" x14ac:dyDescent="0.35">
      <c r="B31" s="177"/>
      <c r="C31" s="178"/>
      <c r="D31" s="179"/>
      <c r="E31" s="178"/>
      <c r="F31" s="178"/>
      <c r="G31" s="178"/>
      <c r="H31" s="178"/>
      <c r="I31" s="178"/>
      <c r="J31" s="178"/>
      <c r="K31" s="178"/>
      <c r="L31" s="178"/>
      <c r="M31" s="179"/>
      <c r="N31" s="492"/>
      <c r="O31" s="492"/>
      <c r="P31" s="492"/>
      <c r="Q31" s="493"/>
      <c r="R31" s="24">
        <v>7892100</v>
      </c>
      <c r="U31" s="30"/>
      <c r="V31" s="482">
        <f>V29+V30</f>
        <v>-429</v>
      </c>
      <c r="W31" s="483"/>
      <c r="X31" s="483"/>
      <c r="Y31" s="484"/>
    </row>
    <row r="32" spans="1:25" x14ac:dyDescent="0.3">
      <c r="B32" s="5"/>
      <c r="Q32" s="6"/>
      <c r="R32" s="24">
        <v>7892100</v>
      </c>
      <c r="U32" s="30"/>
      <c r="V32" s="482"/>
      <c r="W32" s="483"/>
      <c r="X32" s="483"/>
      <c r="Y32" s="484"/>
    </row>
    <row r="33" spans="2:22" x14ac:dyDescent="0.3">
      <c r="B33" s="5"/>
      <c r="J33" s="471" t="s">
        <v>9</v>
      </c>
      <c r="K33" s="471"/>
      <c r="L33" s="471"/>
      <c r="M33" s="471"/>
      <c r="N33" s="472">
        <f>N25+N28</f>
        <v>36907500</v>
      </c>
      <c r="O33" s="472"/>
      <c r="P33" s="472"/>
      <c r="Q33" s="473"/>
      <c r="R33" s="24">
        <v>7892100</v>
      </c>
      <c r="U33" s="30"/>
      <c r="V33" s="24"/>
    </row>
    <row r="34" spans="2:22" x14ac:dyDescent="0.3">
      <c r="B34" s="5"/>
      <c r="N34" s="4" t="s">
        <v>22</v>
      </c>
      <c r="Q34" s="6"/>
      <c r="R34" s="24">
        <v>7892100</v>
      </c>
      <c r="U34" s="30"/>
      <c r="V34" s="24">
        <f t="shared" ref="V34:V39" si="0">T34*U34</f>
        <v>0</v>
      </c>
    </row>
    <row r="35" spans="2:22" s="18" customFormat="1" ht="31.5" customHeight="1" x14ac:dyDescent="0.3">
      <c r="B35" s="16"/>
      <c r="D35" s="17" t="s">
        <v>13</v>
      </c>
      <c r="E35" s="474" t="s">
        <v>659</v>
      </c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5"/>
      <c r="R35" s="114">
        <f>SUM(R27:R34)</f>
        <v>31568400</v>
      </c>
      <c r="S35" s="47"/>
      <c r="T35" s="23"/>
      <c r="U35" s="31"/>
      <c r="V35" s="24">
        <f>T35*U35</f>
        <v>0</v>
      </c>
    </row>
    <row r="36" spans="2:22" ht="9.75" customHeight="1" x14ac:dyDescent="0.3">
      <c r="B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Q36" s="6"/>
      <c r="U36" s="30"/>
      <c r="V36" s="24">
        <f t="shared" si="0"/>
        <v>0</v>
      </c>
    </row>
    <row r="37" spans="2:22" x14ac:dyDescent="0.3">
      <c r="B37" s="5"/>
      <c r="D37" s="10"/>
      <c r="E37" s="10"/>
      <c r="F37" s="10"/>
      <c r="G37" s="10"/>
      <c r="H37" s="10"/>
      <c r="I37" s="10" t="s">
        <v>22</v>
      </c>
      <c r="J37" s="10"/>
      <c r="K37" s="10"/>
      <c r="L37" s="10"/>
      <c r="M37" s="10"/>
      <c r="N37" s="10"/>
      <c r="Q37" s="6"/>
      <c r="R37" s="24">
        <f>-R35/1.11*2%</f>
        <v>-568799.99999999988</v>
      </c>
      <c r="U37" s="30"/>
      <c r="V37" s="24">
        <f t="shared" si="0"/>
        <v>0</v>
      </c>
    </row>
    <row r="38" spans="2:22" x14ac:dyDescent="0.3">
      <c r="B38" s="5"/>
      <c r="D38" s="10" t="s">
        <v>11</v>
      </c>
      <c r="E38" s="476">
        <f>I10</f>
        <v>46015</v>
      </c>
      <c r="F38" s="476"/>
      <c r="G38" s="476"/>
      <c r="I38" s="14" t="s">
        <v>10</v>
      </c>
      <c r="J38" s="10"/>
      <c r="K38" s="10"/>
      <c r="L38" s="10"/>
      <c r="M38" s="477" t="s">
        <v>12</v>
      </c>
      <c r="N38" s="477"/>
      <c r="O38" s="478"/>
      <c r="P38" s="478"/>
      <c r="Q38" s="479"/>
      <c r="U38" s="30"/>
      <c r="V38" s="24">
        <f t="shared" si="0"/>
        <v>0</v>
      </c>
    </row>
    <row r="39" spans="2:22" x14ac:dyDescent="0.3">
      <c r="B39" s="5"/>
      <c r="Q39" s="6"/>
      <c r="U39" s="30"/>
      <c r="V39" s="24">
        <f t="shared" si="0"/>
        <v>0</v>
      </c>
    </row>
    <row r="40" spans="2:22" x14ac:dyDescent="0.3">
      <c r="B40" s="5"/>
      <c r="Q40" s="6"/>
      <c r="U40" s="30"/>
      <c r="V40" s="24">
        <f>SUM(V27:V39)</f>
        <v>-858</v>
      </c>
    </row>
    <row r="41" spans="2:22" x14ac:dyDescent="0.3">
      <c r="B41" s="5"/>
      <c r="Q41" s="6"/>
      <c r="S41" s="48"/>
      <c r="U41" s="30"/>
      <c r="V41" s="24"/>
    </row>
    <row r="42" spans="2:22" ht="12" customHeight="1" x14ac:dyDescent="0.3">
      <c r="B42" s="5"/>
      <c r="Q42" s="6"/>
      <c r="U42" s="30"/>
      <c r="V42" s="24"/>
    </row>
    <row r="43" spans="2:22" x14ac:dyDescent="0.3">
      <c r="B43" s="5"/>
      <c r="Q43" s="6"/>
      <c r="U43" s="30"/>
    </row>
    <row r="44" spans="2:22" x14ac:dyDescent="0.3">
      <c r="B44" s="5"/>
      <c r="C44" s="4" t="s">
        <v>15</v>
      </c>
      <c r="D44" s="478" t="s">
        <v>374</v>
      </c>
      <c r="E44" s="478"/>
      <c r="F44" s="4" t="s">
        <v>16</v>
      </c>
      <c r="H44" s="19" t="s">
        <v>15</v>
      </c>
      <c r="I44" s="110" t="s">
        <v>373</v>
      </c>
      <c r="J44" s="112" t="s">
        <v>16</v>
      </c>
      <c r="L44" s="4" t="s">
        <v>15</v>
      </c>
      <c r="M44" s="478" t="s">
        <v>312</v>
      </c>
      <c r="N44" s="478"/>
      <c r="O44" s="478"/>
      <c r="P44" s="111" t="s">
        <v>16</v>
      </c>
      <c r="Q44" s="6"/>
      <c r="U44" s="30"/>
    </row>
    <row r="45" spans="2:22" ht="7.5" customHeight="1" thickBot="1" x14ac:dyDescent="0.3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S45" s="49"/>
      <c r="U45" s="30"/>
    </row>
    <row r="46" spans="2:22" x14ac:dyDescent="0.3">
      <c r="S46" s="49">
        <v>4489649</v>
      </c>
      <c r="U46" s="30"/>
    </row>
    <row r="47" spans="2:22" x14ac:dyDescent="0.3">
      <c r="S47" s="49">
        <v>2944612</v>
      </c>
      <c r="U47" s="30"/>
    </row>
    <row r="48" spans="2:22" x14ac:dyDescent="0.3">
      <c r="S48" s="49">
        <v>3432872</v>
      </c>
      <c r="U48" s="30"/>
    </row>
    <row r="49" spans="2:22" x14ac:dyDescent="0.3">
      <c r="S49" s="49">
        <f>SUM(S46:S48)</f>
        <v>10867133</v>
      </c>
      <c r="U49" s="30"/>
      <c r="V49" s="26">
        <f>U49-S49</f>
        <v>-10867133</v>
      </c>
    </row>
    <row r="50" spans="2:22" x14ac:dyDescent="0.3">
      <c r="S50" s="49"/>
      <c r="U50" s="30"/>
    </row>
    <row r="51" spans="2:22" x14ac:dyDescent="0.3">
      <c r="S51" s="49"/>
      <c r="U51" s="30"/>
    </row>
    <row r="52" spans="2:22" x14ac:dyDescent="0.3">
      <c r="S52" s="49">
        <v>16686135</v>
      </c>
      <c r="U52" s="30"/>
    </row>
    <row r="53" spans="2:22" x14ac:dyDescent="0.3">
      <c r="S53" s="49">
        <v>19452942</v>
      </c>
      <c r="U53" s="30"/>
      <c r="V53" s="4">
        <v>874500</v>
      </c>
    </row>
    <row r="54" spans="2:22" x14ac:dyDescent="0.3">
      <c r="S54" s="49">
        <v>25498845</v>
      </c>
      <c r="U54" s="30"/>
      <c r="V54" s="4">
        <v>1080000</v>
      </c>
    </row>
    <row r="55" spans="2:22" s="22" customFormat="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4"/>
      <c r="S55" s="49"/>
      <c r="U55" s="30"/>
      <c r="V55" s="4">
        <f>V53+V54</f>
        <v>1954500</v>
      </c>
    </row>
    <row r="56" spans="2:22" x14ac:dyDescent="0.3">
      <c r="E56" s="43"/>
      <c r="F56" s="33" t="s">
        <v>125</v>
      </c>
      <c r="G56" s="35"/>
      <c r="H56" s="35"/>
      <c r="I56" s="35"/>
      <c r="J56" s="35"/>
      <c r="K56" s="35"/>
      <c r="L56" s="35"/>
      <c r="M56" s="35"/>
      <c r="N56" s="35"/>
      <c r="O56" s="36"/>
      <c r="P56" s="480"/>
      <c r="Q56" s="480"/>
      <c r="R56" s="480"/>
      <c r="S56" s="481"/>
      <c r="U56" s="30"/>
    </row>
    <row r="57" spans="2:22" x14ac:dyDescent="0.3">
      <c r="E57" s="41"/>
      <c r="F57" s="33"/>
      <c r="G57" s="35"/>
      <c r="H57" s="35"/>
      <c r="I57" s="35"/>
      <c r="J57" s="35"/>
      <c r="K57" s="35"/>
      <c r="L57" s="35"/>
      <c r="M57" s="35"/>
      <c r="N57" s="35"/>
      <c r="O57" s="36"/>
      <c r="P57" s="392"/>
      <c r="Q57" s="393"/>
      <c r="R57" s="393"/>
      <c r="S57" s="394"/>
      <c r="U57" s="30"/>
    </row>
    <row r="58" spans="2:22" ht="15" x14ac:dyDescent="0.3">
      <c r="E58" s="41" t="s">
        <v>20</v>
      </c>
      <c r="F58" s="33" t="s">
        <v>93</v>
      </c>
      <c r="G58" s="77"/>
      <c r="H58" s="77"/>
      <c r="I58" s="77"/>
      <c r="J58" s="77"/>
      <c r="K58" s="77"/>
      <c r="L58" s="78"/>
      <c r="M58" s="78"/>
      <c r="N58" s="78"/>
      <c r="O58" s="79"/>
      <c r="P58" s="392">
        <v>123093450</v>
      </c>
      <c r="Q58" s="393"/>
      <c r="R58" s="393"/>
      <c r="S58" s="394"/>
      <c r="U58" s="30"/>
    </row>
    <row r="59" spans="2:22" x14ac:dyDescent="0.3">
      <c r="E59" s="33" t="s">
        <v>20</v>
      </c>
      <c r="F59" s="80" t="s">
        <v>94</v>
      </c>
      <c r="G59" s="35"/>
      <c r="H59" s="35"/>
      <c r="I59" s="35"/>
      <c r="J59" s="35"/>
      <c r="K59" s="35"/>
      <c r="L59" s="35"/>
      <c r="M59" s="35"/>
      <c r="N59" s="35"/>
      <c r="O59" s="36"/>
      <c r="P59" s="392">
        <v>168814350</v>
      </c>
      <c r="Q59" s="393"/>
      <c r="R59" s="393"/>
      <c r="S59" s="394"/>
    </row>
    <row r="60" spans="2:22" ht="15.5" x14ac:dyDescent="0.3">
      <c r="E60" s="41" t="s">
        <v>20</v>
      </c>
      <c r="F60" s="33" t="s">
        <v>95</v>
      </c>
      <c r="L60" s="81"/>
      <c r="M60" s="81"/>
      <c r="N60" s="81"/>
      <c r="O60" s="81"/>
      <c r="P60" s="392">
        <v>36297000</v>
      </c>
      <c r="Q60" s="393"/>
      <c r="R60" s="393"/>
      <c r="S60" s="394"/>
    </row>
    <row r="61" spans="2:22" ht="15.5" x14ac:dyDescent="0.3">
      <c r="E61" s="41" t="s">
        <v>20</v>
      </c>
      <c r="F61" s="80" t="s">
        <v>96</v>
      </c>
      <c r="G61" s="27"/>
      <c r="H61" s="27"/>
      <c r="I61" s="27"/>
      <c r="J61" s="27"/>
      <c r="K61" s="27"/>
      <c r="L61" s="81"/>
      <c r="M61" s="81"/>
      <c r="N61" s="81"/>
      <c r="O61" s="82"/>
      <c r="P61" s="392">
        <v>7892100</v>
      </c>
      <c r="Q61" s="393"/>
      <c r="R61" s="393"/>
      <c r="S61" s="394"/>
    </row>
    <row r="62" spans="2:22" ht="15.5" x14ac:dyDescent="0.3">
      <c r="E62" s="41" t="s">
        <v>20</v>
      </c>
      <c r="F62" s="80" t="s">
        <v>96</v>
      </c>
      <c r="G62" s="83"/>
      <c r="H62" s="83"/>
      <c r="I62" s="83"/>
      <c r="J62" s="83"/>
      <c r="K62" s="83"/>
      <c r="L62" s="83"/>
      <c r="M62" s="83"/>
      <c r="N62" s="83"/>
      <c r="O62" s="6"/>
      <c r="P62" s="393">
        <v>7892100</v>
      </c>
      <c r="Q62" s="393"/>
      <c r="R62" s="393"/>
      <c r="S62" s="393"/>
    </row>
    <row r="63" spans="2:22" ht="16" thickBot="1" x14ac:dyDescent="0.35">
      <c r="F63" s="33"/>
      <c r="G63" s="83"/>
      <c r="H63" s="83"/>
      <c r="I63" s="83"/>
      <c r="J63" s="83"/>
      <c r="K63" s="83"/>
      <c r="L63" s="83"/>
      <c r="M63" s="83"/>
      <c r="N63" s="83"/>
      <c r="O63" s="6"/>
      <c r="P63" s="429"/>
      <c r="Q63" s="430"/>
      <c r="R63" s="430"/>
      <c r="S63" s="431"/>
    </row>
    <row r="64" spans="2:22" ht="15.5" x14ac:dyDescent="0.3">
      <c r="E64" s="41"/>
      <c r="F64" s="33"/>
      <c r="G64" s="27"/>
      <c r="H64" s="27"/>
      <c r="I64" s="27"/>
      <c r="J64" s="27"/>
      <c r="K64" s="34"/>
      <c r="L64" s="34"/>
      <c r="M64" s="34"/>
      <c r="N64" s="34"/>
      <c r="O64" s="84"/>
      <c r="P64" s="425">
        <f>P57+P58+P59+P60+P61+P62+P63</f>
        <v>343989000</v>
      </c>
      <c r="Q64" s="423"/>
      <c r="R64" s="423"/>
      <c r="S64" s="424"/>
    </row>
    <row r="65" spans="5:21" x14ac:dyDescent="0.3">
      <c r="E65" s="25"/>
      <c r="F65" s="37"/>
      <c r="G65" s="34"/>
      <c r="H65" s="34"/>
      <c r="I65" s="34"/>
      <c r="J65" s="34"/>
      <c r="K65" s="469" t="s">
        <v>68</v>
      </c>
      <c r="L65" s="469"/>
      <c r="M65" s="469"/>
      <c r="N65" s="469"/>
      <c r="O65" s="470"/>
      <c r="P65" s="465">
        <f>-P64/1.11*2%</f>
        <v>-6198000</v>
      </c>
      <c r="Q65" s="465"/>
      <c r="R65" s="465"/>
      <c r="S65" s="466"/>
    </row>
    <row r="66" spans="5:21" ht="15" x14ac:dyDescent="0.3">
      <c r="E66" s="27"/>
      <c r="F66" s="467"/>
      <c r="G66" s="467"/>
      <c r="H66" s="467"/>
      <c r="I66" s="467"/>
      <c r="J66" s="467"/>
      <c r="K66" s="467"/>
      <c r="L66" s="467"/>
      <c r="M66" s="467"/>
      <c r="N66" s="467"/>
      <c r="O66" s="468"/>
      <c r="R66" s="4"/>
      <c r="S66" s="4"/>
    </row>
    <row r="68" spans="5:21" x14ac:dyDescent="0.3">
      <c r="U68" s="32"/>
    </row>
  </sheetData>
  <mergeCells count="79"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3:N13"/>
    <mergeCell ref="B15:D15"/>
    <mergeCell ref="E15:M15"/>
    <mergeCell ref="N15:Q15"/>
    <mergeCell ref="N16:Q16"/>
    <mergeCell ref="R18:U18"/>
    <mergeCell ref="B19:D19"/>
    <mergeCell ref="N19:Q19"/>
    <mergeCell ref="R19:U19"/>
    <mergeCell ref="N22:Q22"/>
    <mergeCell ref="R22:U22"/>
    <mergeCell ref="B20:D20"/>
    <mergeCell ref="N20:Q20"/>
    <mergeCell ref="E18:I18"/>
    <mergeCell ref="J18:M18"/>
    <mergeCell ref="E19:I19"/>
    <mergeCell ref="J19:M19"/>
    <mergeCell ref="B18:D18"/>
    <mergeCell ref="N18:Q18"/>
    <mergeCell ref="E23:M23"/>
    <mergeCell ref="N23:Q23"/>
    <mergeCell ref="R20:U20"/>
    <mergeCell ref="E21:M21"/>
    <mergeCell ref="N21:Q21"/>
    <mergeCell ref="R21:U21"/>
    <mergeCell ref="E20:I20"/>
    <mergeCell ref="J20:M20"/>
    <mergeCell ref="E22:M22"/>
    <mergeCell ref="B26:D26"/>
    <mergeCell ref="E26:H26"/>
    <mergeCell ref="J26:M26"/>
    <mergeCell ref="R26:U26"/>
    <mergeCell ref="V32:Y32"/>
    <mergeCell ref="B27:D27"/>
    <mergeCell ref="E27:I27"/>
    <mergeCell ref="K27:M27"/>
    <mergeCell ref="N27:Q27"/>
    <mergeCell ref="B28:D28"/>
    <mergeCell ref="E28:M28"/>
    <mergeCell ref="N28:Q28"/>
    <mergeCell ref="V29:Y29"/>
    <mergeCell ref="N30:Q30"/>
    <mergeCell ref="V30:Y30"/>
    <mergeCell ref="N31:Q31"/>
    <mergeCell ref="V31:Y31"/>
    <mergeCell ref="P59:S59"/>
    <mergeCell ref="J33:M33"/>
    <mergeCell ref="N33:Q33"/>
    <mergeCell ref="E35:Q35"/>
    <mergeCell ref="E38:G38"/>
    <mergeCell ref="M38:N38"/>
    <mergeCell ref="O38:Q38"/>
    <mergeCell ref="D44:E44"/>
    <mergeCell ref="M44:O44"/>
    <mergeCell ref="P56:S56"/>
    <mergeCell ref="P57:S57"/>
    <mergeCell ref="P58:S58"/>
    <mergeCell ref="F66:O66"/>
    <mergeCell ref="P60:S60"/>
    <mergeCell ref="P61:S61"/>
    <mergeCell ref="P62:S62"/>
    <mergeCell ref="P63:S63"/>
    <mergeCell ref="P64:S64"/>
    <mergeCell ref="K65:O65"/>
    <mergeCell ref="P65:S65"/>
    <mergeCell ref="K25:M25"/>
    <mergeCell ref="N25:Q25"/>
    <mergeCell ref="R25:U25"/>
    <mergeCell ref="E24:M24"/>
    <mergeCell ref="N24:Q24"/>
  </mergeCells>
  <printOptions horizontalCentered="1"/>
  <pageMargins left="0.38" right="0.47244094488188998" top="1.3230314960629919" bottom="0.37" header="0.31496062992126" footer="0.31496062992126"/>
  <pageSetup paperSize="9" scale="76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C266-2234-4CB2-BA77-E6080C95A236}">
  <sheetPr codeName="Sheet33"/>
  <dimension ref="A1:Z59"/>
  <sheetViews>
    <sheetView showGridLines="0" view="pageBreakPreview" topLeftCell="A4" zoomScaleSheetLayoutView="100" workbookViewId="0">
      <selection activeCell="E17" sqref="E17:M17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450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506</v>
      </c>
      <c r="J7" s="434"/>
      <c r="K7" s="434"/>
      <c r="L7" s="434"/>
      <c r="M7" s="434"/>
      <c r="N7" s="89"/>
      <c r="O7" s="89"/>
      <c r="P7" s="89"/>
      <c r="Q7" s="88"/>
      <c r="R7" s="127" t="s">
        <v>447</v>
      </c>
      <c r="S7" s="128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45937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589" t="s">
        <v>493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22500000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25" customHeight="1" x14ac:dyDescent="0.3">
      <c r="A17" s="141"/>
      <c r="B17" s="574" t="s">
        <v>390</v>
      </c>
      <c r="C17" s="456"/>
      <c r="D17" s="457"/>
      <c r="E17" s="400" t="s">
        <v>498</v>
      </c>
      <c r="F17" s="401"/>
      <c r="G17" s="401"/>
      <c r="H17" s="401"/>
      <c r="I17" s="401"/>
      <c r="J17" s="401"/>
      <c r="K17" s="401"/>
      <c r="L17" s="401"/>
      <c r="M17" s="401"/>
      <c r="N17" s="575">
        <f>M20</f>
        <v>22500000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434</v>
      </c>
      <c r="F18" s="401"/>
      <c r="G18" s="401"/>
      <c r="H18" s="401"/>
      <c r="I18" s="401"/>
      <c r="J18" s="401"/>
      <c r="K18" s="401"/>
      <c r="L18" s="401"/>
      <c r="M18" s="369">
        <v>45000000</v>
      </c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499</v>
      </c>
      <c r="F19" s="401"/>
      <c r="G19" s="401"/>
      <c r="H19" s="401"/>
      <c r="I19" s="401"/>
      <c r="J19" s="401"/>
      <c r="K19" s="401"/>
      <c r="L19" s="401"/>
      <c r="M19" s="368">
        <f>-M18*50%</f>
        <v>-22500000</v>
      </c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370">
        <f>M18+M19</f>
        <v>22500000</v>
      </c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367"/>
      <c r="F22" s="366"/>
      <c r="G22" s="366"/>
      <c r="H22" s="366"/>
      <c r="I22" s="366"/>
      <c r="J22" s="366"/>
      <c r="K22" s="366"/>
      <c r="L22" s="366"/>
      <c r="M22" s="366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22500000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4900000</v>
      </c>
    </row>
    <row r="35" spans="2:23" s="121" customFormat="1" ht="31.5" customHeight="1" x14ac:dyDescent="0.3">
      <c r="B35" s="160"/>
      <c r="D35" s="99" t="s">
        <v>13</v>
      </c>
      <c r="E35" s="409" t="s">
        <v>494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45937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1">
    <mergeCell ref="D44:E44"/>
    <mergeCell ref="M44:O44"/>
    <mergeCell ref="W32:Z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26:D26"/>
    <mergeCell ref="E26:M26"/>
    <mergeCell ref="N26:Q26"/>
    <mergeCell ref="B21:D21"/>
    <mergeCell ref="E21:M21"/>
    <mergeCell ref="N21:Q21"/>
    <mergeCell ref="B24:D24"/>
    <mergeCell ref="E24:M24"/>
    <mergeCell ref="N24:Q24"/>
    <mergeCell ref="E25:M25"/>
    <mergeCell ref="N25:Q25"/>
    <mergeCell ref="B22:D22"/>
    <mergeCell ref="N22:Q22"/>
    <mergeCell ref="B23:D23"/>
    <mergeCell ref="E23:M23"/>
    <mergeCell ref="N23:Q23"/>
    <mergeCell ref="B17:D17"/>
    <mergeCell ref="E17:M17"/>
    <mergeCell ref="N17:Q17"/>
    <mergeCell ref="B18:D18"/>
    <mergeCell ref="E18:L18"/>
    <mergeCell ref="N18:Q18"/>
    <mergeCell ref="B19:D19"/>
    <mergeCell ref="E19:L19"/>
    <mergeCell ref="N19:Q19"/>
    <mergeCell ref="E20:L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F858-C9E2-4059-BE8F-FF35787F6286}">
  <sheetPr codeName="Sheet34"/>
  <dimension ref="A1:Z59"/>
  <sheetViews>
    <sheetView showGridLines="0" view="pageBreakPreview" topLeftCell="A4" zoomScaleSheetLayoutView="100" workbookViewId="0">
      <selection activeCell="M18" sqref="M18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  <c r="R6" s="127" t="s">
        <v>450</v>
      </c>
    </row>
    <row r="7" spans="1:25" ht="23.25" customHeight="1" x14ac:dyDescent="0.3">
      <c r="B7" s="85"/>
      <c r="G7" s="94" t="s">
        <v>14</v>
      </c>
      <c r="H7" s="95" t="s">
        <v>21</v>
      </c>
      <c r="I7" s="434" t="s">
        <v>500</v>
      </c>
      <c r="J7" s="434"/>
      <c r="K7" s="434"/>
      <c r="L7" s="434"/>
      <c r="M7" s="434"/>
      <c r="N7" s="89"/>
      <c r="O7" s="89"/>
      <c r="P7" s="89"/>
      <c r="Q7" s="88"/>
      <c r="R7" s="127" t="s">
        <v>447</v>
      </c>
      <c r="S7" s="128" t="s">
        <v>448</v>
      </c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45889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472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25" customHeight="1" x14ac:dyDescent="0.3">
      <c r="A17" s="141"/>
      <c r="B17" s="574" t="s">
        <v>390</v>
      </c>
      <c r="C17" s="456"/>
      <c r="D17" s="457"/>
      <c r="E17" s="400" t="s">
        <v>473</v>
      </c>
      <c r="F17" s="401"/>
      <c r="G17" s="401"/>
      <c r="H17" s="401"/>
      <c r="I17" s="401"/>
      <c r="J17" s="401"/>
      <c r="K17" s="401"/>
      <c r="L17" s="401"/>
      <c r="M17" s="401"/>
      <c r="N17" s="575">
        <f>M20</f>
        <v>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 t="s">
        <v>434</v>
      </c>
      <c r="F18" s="401"/>
      <c r="G18" s="401"/>
      <c r="H18" s="401"/>
      <c r="I18" s="401"/>
      <c r="J18" s="401"/>
      <c r="K18" s="401"/>
      <c r="L18" s="401"/>
      <c r="M18" s="369"/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 t="s">
        <v>460</v>
      </c>
      <c r="F19" s="401"/>
      <c r="G19" s="401"/>
      <c r="H19" s="401"/>
      <c r="I19" s="401"/>
      <c r="J19" s="401"/>
      <c r="K19" s="401"/>
      <c r="L19" s="401"/>
      <c r="M19" s="368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370">
        <f>M18+M19</f>
        <v>0</v>
      </c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367"/>
      <c r="F22" s="366"/>
      <c r="G22" s="366"/>
      <c r="H22" s="366"/>
      <c r="I22" s="366"/>
      <c r="J22" s="366"/>
      <c r="K22" s="366"/>
      <c r="L22" s="366"/>
      <c r="M22" s="366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-22600000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27400000</v>
      </c>
    </row>
    <row r="35" spans="2:23" s="121" customFormat="1" ht="31.5" customHeight="1" x14ac:dyDescent="0.3">
      <c r="B35" s="160"/>
      <c r="D35" s="99" t="s">
        <v>13</v>
      </c>
      <c r="E35" s="409" t="s">
        <v>461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45889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1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N30:Q30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30:D30"/>
    <mergeCell ref="E30:M30"/>
    <mergeCell ref="B26:D26"/>
    <mergeCell ref="E26:M26"/>
    <mergeCell ref="N26:Q26"/>
    <mergeCell ref="B22:D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N18:Q18"/>
    <mergeCell ref="B19:D19"/>
    <mergeCell ref="N19:Q19"/>
    <mergeCell ref="N20:Q20"/>
    <mergeCell ref="E18:L18"/>
    <mergeCell ref="E19:L19"/>
    <mergeCell ref="E20:L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B8A6-0266-4809-AA73-4B5EC2255436}">
  <sheetPr codeName="Sheet35"/>
  <dimension ref="A1:Z59"/>
  <sheetViews>
    <sheetView showGridLines="0" view="pageBreakPreview" topLeftCell="A13" zoomScaleSheetLayoutView="100" workbookViewId="0">
      <selection activeCell="I11" sqref="I11:N11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444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>
        <v>561044118</v>
      </c>
      <c r="S9" s="128" t="s">
        <v>386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45793</v>
      </c>
      <c r="J10" s="436"/>
      <c r="K10" s="436"/>
      <c r="L10" s="436"/>
      <c r="M10" s="436"/>
      <c r="N10" s="436"/>
      <c r="O10" s="89"/>
      <c r="P10" s="89"/>
      <c r="Q10" s="88"/>
      <c r="R10" s="127">
        <v>560694118</v>
      </c>
      <c r="S10" s="128" t="s">
        <v>385</v>
      </c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443</v>
      </c>
      <c r="J11" s="437"/>
      <c r="K11" s="437"/>
      <c r="L11" s="437"/>
      <c r="M11" s="437"/>
      <c r="N11" s="437"/>
      <c r="O11" s="89"/>
      <c r="P11" s="89"/>
      <c r="Q11" s="88"/>
      <c r="R11" s="132">
        <f>R9-R10</f>
        <v>350000</v>
      </c>
      <c r="S11" s="253" t="s">
        <v>387</v>
      </c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3400000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x14ac:dyDescent="0.3">
      <c r="A13" s="141"/>
      <c r="B13" s="85"/>
      <c r="D13" s="86" t="s">
        <v>6</v>
      </c>
      <c r="H13" s="86" t="s">
        <v>7</v>
      </c>
      <c r="I13" s="437" t="s">
        <v>19</v>
      </c>
      <c r="J13" s="437"/>
      <c r="K13" s="437"/>
      <c r="L13" s="437"/>
      <c r="M13" s="437"/>
      <c r="N13" s="437"/>
      <c r="O13" s="89"/>
      <c r="P13" s="89"/>
      <c r="Q13" s="88"/>
      <c r="R13" s="3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R14" s="334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570"/>
      <c r="N15" s="442" t="s">
        <v>8</v>
      </c>
      <c r="O15" s="442"/>
      <c r="P15" s="442"/>
      <c r="Q15" s="443"/>
      <c r="R15" s="335"/>
      <c r="S15" s="128"/>
      <c r="T15" s="128"/>
      <c r="U15" s="138"/>
      <c r="V15" s="234"/>
      <c r="W15" s="140"/>
    </row>
    <row r="16" spans="1:25" ht="12.75" customHeight="1" x14ac:dyDescent="0.3">
      <c r="A16" s="141"/>
      <c r="B16" s="109"/>
      <c r="C16" s="109"/>
      <c r="D16" s="146"/>
      <c r="E16" s="271"/>
      <c r="J16" s="86"/>
      <c r="K16" s="86"/>
      <c r="L16" s="86"/>
      <c r="M16" s="86"/>
      <c r="N16" s="569"/>
      <c r="O16" s="444"/>
      <c r="P16" s="444"/>
      <c r="Q16" s="445"/>
      <c r="R16" s="336"/>
      <c r="S16" s="143"/>
      <c r="T16" s="143"/>
      <c r="V16" s="136"/>
    </row>
    <row r="17" spans="1:26" ht="29.25" customHeight="1" x14ac:dyDescent="0.3">
      <c r="A17" s="141"/>
      <c r="B17" s="574" t="s">
        <v>390</v>
      </c>
      <c r="C17" s="456"/>
      <c r="D17" s="457"/>
      <c r="E17" s="400" t="s">
        <v>445</v>
      </c>
      <c r="F17" s="401"/>
      <c r="G17" s="401"/>
      <c r="H17" s="401"/>
      <c r="I17" s="401"/>
      <c r="J17" s="401"/>
      <c r="K17" s="401"/>
      <c r="L17" s="401"/>
      <c r="M17" s="401"/>
      <c r="N17" s="575">
        <v>3400000</v>
      </c>
      <c r="O17" s="451"/>
      <c r="P17" s="451"/>
      <c r="Q17" s="452"/>
      <c r="R17" s="336"/>
      <c r="V17" s="136"/>
    </row>
    <row r="18" spans="1:26" ht="23.25" customHeight="1" thickBot="1" x14ac:dyDescent="0.35">
      <c r="A18" s="141" t="s">
        <v>22</v>
      </c>
      <c r="B18" s="447"/>
      <c r="C18" s="456"/>
      <c r="D18" s="457"/>
      <c r="E18" s="400"/>
      <c r="F18" s="401"/>
      <c r="G18" s="401"/>
      <c r="H18" s="401"/>
      <c r="I18" s="401"/>
      <c r="J18" s="401"/>
      <c r="K18" s="401"/>
      <c r="L18" s="401"/>
      <c r="M18" s="401"/>
      <c r="N18" s="575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447"/>
      <c r="C19" s="456"/>
      <c r="D19" s="457"/>
      <c r="E19" s="400"/>
      <c r="F19" s="401"/>
      <c r="G19" s="401"/>
      <c r="H19" s="401"/>
      <c r="I19" s="401"/>
      <c r="J19" s="401"/>
      <c r="K19" s="401"/>
      <c r="L19" s="401"/>
      <c r="M19" s="401"/>
      <c r="N19" s="576"/>
      <c r="O19" s="451"/>
      <c r="P19" s="451"/>
      <c r="Q19" s="452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401"/>
      <c r="G20" s="401"/>
      <c r="H20" s="401"/>
      <c r="I20" s="401"/>
      <c r="J20" s="401"/>
      <c r="K20" s="401"/>
      <c r="L20" s="401"/>
      <c r="M20" s="401"/>
      <c r="N20" s="573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2.5" customHeight="1" thickBot="1" x14ac:dyDescent="0.35">
      <c r="A21" s="196"/>
      <c r="B21" s="447"/>
      <c r="C21" s="448"/>
      <c r="D21" s="449"/>
      <c r="E21" s="400"/>
      <c r="F21" s="401"/>
      <c r="G21" s="401"/>
      <c r="H21" s="401"/>
      <c r="I21" s="401"/>
      <c r="J21" s="401"/>
      <c r="K21" s="401"/>
      <c r="L21" s="401"/>
      <c r="M21" s="401"/>
      <c r="N21" s="576"/>
      <c r="O21" s="451"/>
      <c r="P21" s="451"/>
      <c r="Q21" s="452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400"/>
      <c r="F22" s="401"/>
      <c r="G22" s="401"/>
      <c r="H22" s="401"/>
      <c r="I22" s="401"/>
      <c r="J22" s="401"/>
      <c r="K22" s="401"/>
      <c r="L22" s="401"/>
      <c r="M22" s="401"/>
      <c r="N22" s="578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00"/>
      <c r="F23" s="401"/>
      <c r="G23" s="401"/>
      <c r="H23" s="401"/>
      <c r="I23" s="401"/>
      <c r="J23" s="401"/>
      <c r="K23" s="401"/>
      <c r="L23" s="401"/>
      <c r="M23" s="401"/>
      <c r="N23" s="578"/>
      <c r="O23" s="393"/>
      <c r="P23" s="393"/>
      <c r="Q23" s="394"/>
      <c r="R23" s="214">
        <f>I12-22600000</f>
        <v>-19200000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576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577"/>
      <c r="N25" s="393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576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581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33"/>
      <c r="N28" s="393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577"/>
      <c r="N29" s="393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579"/>
      <c r="N30" s="393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580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3400000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24000000</v>
      </c>
    </row>
    <row r="35" spans="2:23" s="121" customFormat="1" ht="31.5" customHeight="1" x14ac:dyDescent="0.3">
      <c r="B35" s="160"/>
      <c r="D35" s="99" t="s">
        <v>13</v>
      </c>
      <c r="E35" s="409" t="s">
        <v>446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45793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374</v>
      </c>
      <c r="E44" s="386"/>
      <c r="F44" s="86" t="s">
        <v>16</v>
      </c>
      <c r="H44" s="189" t="s">
        <v>15</v>
      </c>
      <c r="I44" s="187" t="s">
        <v>373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2">
    <mergeCell ref="D44:E44"/>
    <mergeCell ref="M44:O44"/>
    <mergeCell ref="N31:Q31"/>
    <mergeCell ref="W32:Z32"/>
    <mergeCell ref="J33:M33"/>
    <mergeCell ref="N33:Q33"/>
    <mergeCell ref="E35:Q35"/>
    <mergeCell ref="E38:G38"/>
    <mergeCell ref="M38:N38"/>
    <mergeCell ref="O38:Q38"/>
    <mergeCell ref="B29:D29"/>
    <mergeCell ref="E29:M29"/>
    <mergeCell ref="N29:Q29"/>
    <mergeCell ref="B30:D30"/>
    <mergeCell ref="E30:M30"/>
    <mergeCell ref="N30:Q30"/>
    <mergeCell ref="B27:D27"/>
    <mergeCell ref="E27:M27"/>
    <mergeCell ref="N27:Q27"/>
    <mergeCell ref="B28:D28"/>
    <mergeCell ref="E28:I28"/>
    <mergeCell ref="N28:Q28"/>
    <mergeCell ref="B26:D26"/>
    <mergeCell ref="E26:M26"/>
    <mergeCell ref="N26:Q26"/>
    <mergeCell ref="B22:D22"/>
    <mergeCell ref="E22:M22"/>
    <mergeCell ref="N22:Q22"/>
    <mergeCell ref="B23:D23"/>
    <mergeCell ref="E23:M23"/>
    <mergeCell ref="N23:Q23"/>
    <mergeCell ref="B24:D24"/>
    <mergeCell ref="E24:M24"/>
    <mergeCell ref="N24:Q24"/>
    <mergeCell ref="E25:M25"/>
    <mergeCell ref="N25:Q25"/>
    <mergeCell ref="B21:D21"/>
    <mergeCell ref="E21:M21"/>
    <mergeCell ref="N21:Q21"/>
    <mergeCell ref="B17:D17"/>
    <mergeCell ref="E17:M17"/>
    <mergeCell ref="N17:Q17"/>
    <mergeCell ref="B18:D18"/>
    <mergeCell ref="E18:M18"/>
    <mergeCell ref="N18:Q18"/>
    <mergeCell ref="B19:D19"/>
    <mergeCell ref="E19:M19"/>
    <mergeCell ref="N19:Q19"/>
    <mergeCell ref="E20:M20"/>
    <mergeCell ref="N20:Q20"/>
    <mergeCell ref="N16:Q16"/>
    <mergeCell ref="D3:O3"/>
    <mergeCell ref="I7:M7"/>
    <mergeCell ref="I9:N9"/>
    <mergeCell ref="I10:N10"/>
    <mergeCell ref="I11:N11"/>
    <mergeCell ref="I12:N12"/>
    <mergeCell ref="I13:N13"/>
    <mergeCell ref="I14:N14"/>
    <mergeCell ref="B15:D15"/>
    <mergeCell ref="E15:M15"/>
    <mergeCell ref="N15:Q15"/>
  </mergeCells>
  <printOptions horizontalCentered="1"/>
  <pageMargins left="0.39370078740157483" right="0.47244094488188981" top="0.74803149606299213" bottom="0.35433070866141736" header="0.31496062992125984" footer="0.31496062992125984"/>
  <pageSetup paperSize="9" scale="87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J513"/>
  <sheetViews>
    <sheetView view="pageBreakPreview" zoomScale="85" zoomScaleNormal="100" zoomScaleSheetLayoutView="85" workbookViewId="0">
      <selection activeCell="C17" sqref="C17"/>
    </sheetView>
  </sheetViews>
  <sheetFormatPr defaultRowHeight="14.5" x14ac:dyDescent="0.35"/>
  <cols>
    <col min="1" max="1" width="35.6328125" customWidth="1"/>
    <col min="2" max="3" width="29" style="50" customWidth="1"/>
    <col min="4" max="4" width="28.26953125" style="50" customWidth="1"/>
    <col min="5" max="5" width="23.1796875" style="50" customWidth="1"/>
    <col min="6" max="6" width="5" customWidth="1"/>
    <col min="7" max="7" width="27.26953125" customWidth="1"/>
    <col min="8" max="8" width="18.7265625" style="50" customWidth="1"/>
    <col min="9" max="9" width="11.54296875" style="50" bestFit="1" customWidth="1"/>
  </cols>
  <sheetData>
    <row r="1" spans="1:8" x14ac:dyDescent="0.35">
      <c r="C1" s="241"/>
    </row>
    <row r="2" spans="1:8" x14ac:dyDescent="0.35">
      <c r="C2" s="241"/>
    </row>
    <row r="3" spans="1:8" x14ac:dyDescent="0.35">
      <c r="C3" s="241"/>
    </row>
    <row r="4" spans="1:8" x14ac:dyDescent="0.35">
      <c r="C4" s="241"/>
    </row>
    <row r="5" spans="1:8" x14ac:dyDescent="0.35">
      <c r="A5" s="51" t="s">
        <v>416</v>
      </c>
      <c r="B5" s="52">
        <v>37814320</v>
      </c>
      <c r="C5" s="241"/>
      <c r="D5" s="352" t="s">
        <v>30</v>
      </c>
      <c r="E5" s="52">
        <v>268028858</v>
      </c>
      <c r="G5" s="51" t="s">
        <v>35</v>
      </c>
      <c r="H5" s="52">
        <v>1975000</v>
      </c>
    </row>
    <row r="6" spans="1:8" ht="15" thickBot="1" x14ac:dyDescent="0.4">
      <c r="A6" s="51"/>
      <c r="B6" s="52"/>
      <c r="C6" s="241"/>
      <c r="D6" s="352" t="s">
        <v>31</v>
      </c>
      <c r="E6" s="52">
        <v>39401214</v>
      </c>
      <c r="G6" s="51" t="s">
        <v>36</v>
      </c>
      <c r="H6" s="54">
        <v>1525000</v>
      </c>
    </row>
    <row r="7" spans="1:8" x14ac:dyDescent="0.35">
      <c r="A7" s="51" t="s">
        <v>417</v>
      </c>
      <c r="B7" s="52">
        <f>149000+68000+116500+59500+70500</f>
        <v>463500</v>
      </c>
      <c r="C7" s="241"/>
      <c r="D7" s="352" t="s">
        <v>32</v>
      </c>
      <c r="E7" s="52">
        <v>13514190</v>
      </c>
      <c r="G7" s="55"/>
      <c r="H7" s="56">
        <f>H5+H6</f>
        <v>3500000</v>
      </c>
    </row>
    <row r="8" spans="1:8" ht="15" thickBot="1" x14ac:dyDescent="0.4">
      <c r="A8" s="51" t="s">
        <v>418</v>
      </c>
      <c r="B8" s="52">
        <v>3452000</v>
      </c>
      <c r="C8" s="241"/>
      <c r="D8" s="352" t="s">
        <v>33</v>
      </c>
      <c r="E8" s="52">
        <v>40000000</v>
      </c>
    </row>
    <row r="9" spans="1:8" x14ac:dyDescent="0.35">
      <c r="A9" s="51" t="s">
        <v>419</v>
      </c>
      <c r="B9" s="52">
        <v>2601500</v>
      </c>
      <c r="C9" s="241"/>
      <c r="D9" s="352" t="s">
        <v>34</v>
      </c>
      <c r="E9" s="52">
        <v>101082104</v>
      </c>
      <c r="G9" s="57" t="s">
        <v>22</v>
      </c>
      <c r="H9" s="60">
        <v>28568372</v>
      </c>
    </row>
    <row r="10" spans="1:8" x14ac:dyDescent="0.35">
      <c r="A10" s="51" t="s">
        <v>420</v>
      </c>
      <c r="B10" s="52">
        <v>14706000</v>
      </c>
      <c r="C10" s="241"/>
      <c r="D10" s="352"/>
      <c r="E10" s="53">
        <f>SUM(E5:E9)</f>
        <v>462026366</v>
      </c>
      <c r="G10" s="58" t="s">
        <v>37</v>
      </c>
      <c r="H10" s="61">
        <v>2480000</v>
      </c>
    </row>
    <row r="11" spans="1:8" ht="15" thickBot="1" x14ac:dyDescent="0.4">
      <c r="A11" s="51" t="s">
        <v>421</v>
      </c>
      <c r="B11" s="52">
        <v>4319000</v>
      </c>
      <c r="C11" s="241"/>
      <c r="G11" s="59"/>
      <c r="H11" s="62">
        <f>H9+H10</f>
        <v>31048372</v>
      </c>
    </row>
    <row r="12" spans="1:8" x14ac:dyDescent="0.35">
      <c r="A12" s="51" t="s">
        <v>422</v>
      </c>
      <c r="B12" s="52">
        <f>1461400+2008900+2039500+1821650+1571100+1079800+829320+1049650</f>
        <v>11861320</v>
      </c>
      <c r="C12" s="241"/>
    </row>
    <row r="13" spans="1:8" ht="29" x14ac:dyDescent="0.35">
      <c r="A13" s="51" t="s">
        <v>158</v>
      </c>
      <c r="B13" s="52">
        <f>SUM(B7:B12)</f>
        <v>37403320</v>
      </c>
      <c r="C13" s="241"/>
      <c r="G13" s="63" t="s">
        <v>38</v>
      </c>
      <c r="H13" s="52">
        <v>6825000</v>
      </c>
    </row>
    <row r="14" spans="1:8" ht="24" customHeight="1" x14ac:dyDescent="0.35">
      <c r="A14" s="51" t="s">
        <v>423</v>
      </c>
      <c r="B14" s="52">
        <f>B5-B13</f>
        <v>411000</v>
      </c>
      <c r="C14" s="241"/>
      <c r="D14" s="353" t="s">
        <v>48</v>
      </c>
      <c r="E14" s="66">
        <v>43699083</v>
      </c>
      <c r="G14" s="51" t="s">
        <v>39</v>
      </c>
      <c r="H14" s="52">
        <v>31970409</v>
      </c>
    </row>
    <row r="15" spans="1:8" ht="38.25" customHeight="1" x14ac:dyDescent="0.35">
      <c r="D15" s="67" t="s">
        <v>49</v>
      </c>
      <c r="E15" s="52">
        <v>30600000</v>
      </c>
      <c r="G15" s="64"/>
      <c r="H15" s="65">
        <f>H13+H14</f>
        <v>38795409</v>
      </c>
    </row>
    <row r="16" spans="1:8" x14ac:dyDescent="0.35">
      <c r="D16" s="68"/>
      <c r="E16" s="65">
        <f>E14+E15</f>
        <v>74299083</v>
      </c>
    </row>
    <row r="17" spans="2:8" ht="29" x14ac:dyDescent="0.35">
      <c r="B17" s="76">
        <v>455100</v>
      </c>
      <c r="G17" s="63" t="s">
        <v>40</v>
      </c>
      <c r="H17" s="66">
        <v>5434644</v>
      </c>
    </row>
    <row r="18" spans="2:8" x14ac:dyDescent="0.35">
      <c r="B18" s="76">
        <v>10463620</v>
      </c>
      <c r="D18" s="67" t="s">
        <v>50</v>
      </c>
      <c r="E18" s="66">
        <v>40867479</v>
      </c>
      <c r="G18" s="51" t="s">
        <v>41</v>
      </c>
      <c r="H18" s="52">
        <v>3226224</v>
      </c>
    </row>
    <row r="19" spans="2:8" x14ac:dyDescent="0.35">
      <c r="B19" s="76">
        <v>1200000</v>
      </c>
      <c r="D19" s="67" t="s">
        <v>51</v>
      </c>
      <c r="E19" s="52">
        <v>13514190</v>
      </c>
      <c r="G19" s="64"/>
      <c r="H19" s="65">
        <f>H17+H18</f>
        <v>8660868</v>
      </c>
    </row>
    <row r="20" spans="2:8" x14ac:dyDescent="0.35">
      <c r="B20" s="76">
        <v>150000</v>
      </c>
      <c r="D20" s="67" t="s">
        <v>52</v>
      </c>
      <c r="E20" s="52">
        <v>257573330</v>
      </c>
    </row>
    <row r="21" spans="2:8" ht="18" customHeight="1" x14ac:dyDescent="0.35">
      <c r="B21" s="50">
        <v>94380</v>
      </c>
      <c r="D21" s="67" t="s">
        <v>23</v>
      </c>
      <c r="E21" s="52">
        <v>101082104</v>
      </c>
      <c r="G21" s="63" t="s">
        <v>42</v>
      </c>
      <c r="H21" s="66">
        <v>39717838</v>
      </c>
    </row>
    <row r="22" spans="2:8" ht="15.75" customHeight="1" x14ac:dyDescent="0.35">
      <c r="B22" s="76">
        <v>4630972</v>
      </c>
      <c r="D22" s="67" t="s">
        <v>53</v>
      </c>
      <c r="E22" s="52">
        <v>70000000</v>
      </c>
      <c r="G22" s="63" t="s">
        <v>43</v>
      </c>
      <c r="H22" s="52">
        <v>6893000</v>
      </c>
    </row>
    <row r="23" spans="2:8" x14ac:dyDescent="0.35">
      <c r="B23" s="50">
        <v>5670000</v>
      </c>
      <c r="D23" s="68"/>
      <c r="E23" s="65">
        <f>SUM(E18:E22)</f>
        <v>483037103</v>
      </c>
      <c r="G23" s="64"/>
      <c r="H23" s="65">
        <f>H21+H22</f>
        <v>46610838</v>
      </c>
    </row>
    <row r="24" spans="2:8" x14ac:dyDescent="0.35">
      <c r="B24" s="50">
        <v>18000000</v>
      </c>
    </row>
    <row r="25" spans="2:8" x14ac:dyDescent="0.35">
      <c r="B25" s="50">
        <v>612260</v>
      </c>
      <c r="G25" s="63" t="s">
        <v>44</v>
      </c>
      <c r="H25" s="66">
        <v>5375000</v>
      </c>
    </row>
    <row r="26" spans="2:8" ht="29" x14ac:dyDescent="0.35">
      <c r="B26" s="50">
        <v>88800</v>
      </c>
      <c r="G26" s="63" t="s">
        <v>45</v>
      </c>
      <c r="H26" s="52">
        <v>4335000</v>
      </c>
    </row>
    <row r="27" spans="2:8" x14ac:dyDescent="0.35">
      <c r="B27" s="50">
        <f>SUM(B17:B26)</f>
        <v>41365132</v>
      </c>
      <c r="G27" s="63" t="s">
        <v>46</v>
      </c>
      <c r="H27" s="52">
        <v>6500000</v>
      </c>
    </row>
    <row r="28" spans="2:8" x14ac:dyDescent="0.35">
      <c r="G28" s="63" t="s">
        <v>47</v>
      </c>
      <c r="H28" s="52">
        <v>15250000</v>
      </c>
    </row>
    <row r="29" spans="2:8" x14ac:dyDescent="0.35">
      <c r="G29" s="64"/>
      <c r="H29" s="65">
        <f>H25+H26+H27+H28</f>
        <v>31460000</v>
      </c>
    </row>
    <row r="32" spans="2:8" x14ac:dyDescent="0.35">
      <c r="G32" t="s">
        <v>56</v>
      </c>
      <c r="H32" s="50">
        <v>483037103</v>
      </c>
    </row>
    <row r="33" spans="1:8" ht="15.5" x14ac:dyDescent="0.35">
      <c r="A33" s="69"/>
      <c r="B33" s="290"/>
      <c r="C33" s="290"/>
      <c r="D33" s="70" t="s">
        <v>29</v>
      </c>
      <c r="G33" t="s">
        <v>57</v>
      </c>
      <c r="H33" s="50">
        <v>8568800</v>
      </c>
    </row>
    <row r="34" spans="1:8" ht="15.5" x14ac:dyDescent="0.35">
      <c r="A34" s="69"/>
      <c r="B34" s="290"/>
      <c r="C34" s="290"/>
      <c r="D34" s="71">
        <v>9357040</v>
      </c>
      <c r="G34" s="75" t="s">
        <v>58</v>
      </c>
      <c r="H34" s="76">
        <v>15240234</v>
      </c>
    </row>
    <row r="35" spans="1:8" ht="15.5" x14ac:dyDescent="0.35">
      <c r="A35" s="69"/>
      <c r="B35" s="290"/>
      <c r="C35" s="290"/>
      <c r="D35" s="71">
        <v>13473240</v>
      </c>
      <c r="G35" s="75" t="s">
        <v>59</v>
      </c>
      <c r="H35" s="76">
        <v>15212000</v>
      </c>
    </row>
    <row r="36" spans="1:8" ht="15.5" x14ac:dyDescent="0.35">
      <c r="A36" s="69"/>
      <c r="B36" s="290"/>
      <c r="C36" s="290"/>
      <c r="D36" s="71">
        <v>16742955</v>
      </c>
      <c r="H36" s="50">
        <f>H32+H33+H34+H35</f>
        <v>522058137</v>
      </c>
    </row>
    <row r="37" spans="1:8" ht="15.5" x14ac:dyDescent="0.35">
      <c r="A37" s="69"/>
      <c r="B37" s="290"/>
      <c r="C37" s="290"/>
      <c r="D37" s="71">
        <v>8641875</v>
      </c>
    </row>
    <row r="38" spans="1:8" ht="15.5" x14ac:dyDescent="0.35">
      <c r="A38" s="69"/>
      <c r="B38" s="290"/>
      <c r="C38" s="290"/>
      <c r="D38" s="71">
        <v>10766800</v>
      </c>
    </row>
    <row r="39" spans="1:8" ht="15.5" x14ac:dyDescent="0.35">
      <c r="A39" s="69"/>
      <c r="B39" s="290"/>
      <c r="C39" s="290"/>
      <c r="D39" s="71">
        <v>7038040</v>
      </c>
      <c r="G39" s="63" t="s">
        <v>60</v>
      </c>
      <c r="H39" s="66">
        <v>9223000</v>
      </c>
    </row>
    <row r="40" spans="1:8" ht="29" x14ac:dyDescent="0.35">
      <c r="A40" s="69"/>
      <c r="B40" s="290"/>
      <c r="C40" s="290"/>
      <c r="D40" s="71">
        <v>10107075</v>
      </c>
      <c r="G40" s="63" t="s">
        <v>61</v>
      </c>
      <c r="H40" s="52">
        <v>4840000</v>
      </c>
    </row>
    <row r="41" spans="1:8" ht="15.5" x14ac:dyDescent="0.35">
      <c r="A41" s="69"/>
      <c r="B41" s="290"/>
      <c r="C41" s="290"/>
      <c r="D41" s="71">
        <v>9891255</v>
      </c>
      <c r="G41" s="63" t="s">
        <v>62</v>
      </c>
      <c r="H41" s="52">
        <v>2000000</v>
      </c>
    </row>
    <row r="42" spans="1:8" ht="29" x14ac:dyDescent="0.35">
      <c r="A42" s="69"/>
      <c r="B42" s="290"/>
      <c r="C42" s="290"/>
      <c r="D42" s="71">
        <v>9561550</v>
      </c>
      <c r="G42" s="63" t="s">
        <v>63</v>
      </c>
      <c r="H42" s="52">
        <v>1050000</v>
      </c>
    </row>
    <row r="43" spans="1:8" ht="15.5" x14ac:dyDescent="0.35">
      <c r="A43" s="69"/>
      <c r="B43" s="290"/>
      <c r="C43" s="290"/>
      <c r="D43" s="71">
        <v>13430175</v>
      </c>
      <c r="G43" s="64"/>
      <c r="H43" s="65">
        <f>H39+H40+H41+H42</f>
        <v>17113000</v>
      </c>
    </row>
    <row r="44" spans="1:8" ht="15.5" x14ac:dyDescent="0.35">
      <c r="A44" s="69"/>
      <c r="B44" s="290"/>
      <c r="C44" s="290"/>
      <c r="D44" s="71">
        <v>8716565</v>
      </c>
    </row>
    <row r="45" spans="1:8" ht="15.5" x14ac:dyDescent="0.35">
      <c r="A45" s="69"/>
      <c r="B45" s="290"/>
      <c r="C45" s="290"/>
      <c r="D45" s="71">
        <v>4773505</v>
      </c>
      <c r="G45" s="63" t="s">
        <v>64</v>
      </c>
      <c r="H45" s="66">
        <v>4840400</v>
      </c>
    </row>
    <row r="46" spans="1:8" ht="15.5" x14ac:dyDescent="0.35">
      <c r="A46" s="69"/>
      <c r="B46" s="290"/>
      <c r="C46" s="290"/>
      <c r="D46" s="71">
        <v>10195460</v>
      </c>
      <c r="G46" s="63" t="s">
        <v>65</v>
      </c>
      <c r="H46" s="52">
        <v>32431005</v>
      </c>
    </row>
    <row r="47" spans="1:8" ht="15.5" x14ac:dyDescent="0.35">
      <c r="A47" s="69"/>
      <c r="B47" s="290"/>
      <c r="C47" s="290"/>
      <c r="D47" s="71">
        <v>11690470</v>
      </c>
      <c r="G47" s="63"/>
      <c r="H47" s="52"/>
    </row>
    <row r="48" spans="1:8" ht="15.5" x14ac:dyDescent="0.35">
      <c r="A48" s="69"/>
      <c r="B48" s="290"/>
      <c r="C48" s="290"/>
      <c r="D48" s="71">
        <v>35649570</v>
      </c>
      <c r="G48" s="63"/>
      <c r="H48" s="52"/>
    </row>
    <row r="49" spans="1:9" ht="15.5" x14ac:dyDescent="0.35">
      <c r="A49" s="69"/>
      <c r="B49" s="290"/>
      <c r="C49" s="290"/>
      <c r="D49" s="71">
        <v>28932530</v>
      </c>
      <c r="G49" s="64"/>
      <c r="H49" s="65">
        <f>H45+H46+H47+H48</f>
        <v>37271405</v>
      </c>
    </row>
    <row r="50" spans="1:9" ht="15.5" x14ac:dyDescent="0.35">
      <c r="A50" s="69"/>
      <c r="B50" s="290"/>
      <c r="C50" s="290"/>
      <c r="D50" s="71">
        <v>27051750</v>
      </c>
    </row>
    <row r="51" spans="1:9" ht="15.5" x14ac:dyDescent="0.35">
      <c r="A51" s="69"/>
      <c r="B51" s="290"/>
      <c r="C51" s="290"/>
      <c r="D51" s="71">
        <v>20338065</v>
      </c>
      <c r="G51" s="63" t="s">
        <v>66</v>
      </c>
      <c r="H51" s="66">
        <v>3722730</v>
      </c>
    </row>
    <row r="52" spans="1:9" ht="15.5" x14ac:dyDescent="0.35">
      <c r="A52" s="69"/>
      <c r="B52" s="290"/>
      <c r="C52" s="290"/>
      <c r="D52" s="71">
        <v>17921475</v>
      </c>
      <c r="G52" s="63" t="s">
        <v>67</v>
      </c>
      <c r="H52" s="52">
        <v>4070000</v>
      </c>
    </row>
    <row r="53" spans="1:9" ht="15.5" x14ac:dyDescent="0.35">
      <c r="A53" s="69"/>
      <c r="B53" s="290"/>
      <c r="C53" s="290"/>
      <c r="D53" s="71">
        <v>1315875</v>
      </c>
      <c r="G53" s="63"/>
      <c r="H53" s="52"/>
    </row>
    <row r="54" spans="1:9" ht="15.5" x14ac:dyDescent="0.35">
      <c r="A54" s="69"/>
      <c r="B54" s="290"/>
      <c r="C54" s="290"/>
      <c r="D54" s="71">
        <v>34076350</v>
      </c>
      <c r="G54" s="63"/>
      <c r="H54" s="52"/>
    </row>
    <row r="55" spans="1:9" ht="15.5" x14ac:dyDescent="0.35">
      <c r="A55" s="69"/>
      <c r="B55" s="290"/>
      <c r="C55" s="290"/>
      <c r="D55" s="71">
        <v>25896145</v>
      </c>
      <c r="G55" s="64"/>
      <c r="H55" s="65">
        <f>H51+H52+H53+H54</f>
        <v>7792730</v>
      </c>
    </row>
    <row r="56" spans="1:9" ht="15.5" x14ac:dyDescent="0.35">
      <c r="A56" s="69"/>
      <c r="B56" s="290"/>
      <c r="C56" s="290"/>
      <c r="D56" s="71">
        <v>20978320</v>
      </c>
    </row>
    <row r="57" spans="1:9" ht="15.5" x14ac:dyDescent="0.35">
      <c r="A57" s="69"/>
      <c r="B57" s="290"/>
      <c r="C57" s="290"/>
      <c r="D57" s="71">
        <v>22220055</v>
      </c>
      <c r="G57" s="63" t="s">
        <v>69</v>
      </c>
      <c r="H57" s="66">
        <v>30000000</v>
      </c>
    </row>
    <row r="58" spans="1:9" ht="43.5" x14ac:dyDescent="0.35">
      <c r="A58" s="69"/>
      <c r="B58" s="290"/>
      <c r="C58" s="290"/>
      <c r="D58" s="71">
        <v>16289361</v>
      </c>
      <c r="G58" s="63" t="s">
        <v>70</v>
      </c>
      <c r="H58" s="52">
        <v>5500000</v>
      </c>
    </row>
    <row r="59" spans="1:9" ht="29" x14ac:dyDescent="0.35">
      <c r="A59" s="69"/>
      <c r="B59" s="290"/>
      <c r="C59" s="290"/>
      <c r="D59" s="71">
        <v>50187152</v>
      </c>
      <c r="G59" s="63" t="s">
        <v>71</v>
      </c>
      <c r="H59" s="52">
        <v>10879000</v>
      </c>
    </row>
    <row r="60" spans="1:9" ht="15.5" x14ac:dyDescent="0.35">
      <c r="A60" s="69"/>
      <c r="B60" s="290"/>
      <c r="C60" s="290"/>
      <c r="D60" s="71">
        <v>40545450</v>
      </c>
      <c r="G60" s="63"/>
      <c r="H60" s="52"/>
    </row>
    <row r="61" spans="1:9" ht="15.5" x14ac:dyDescent="0.35">
      <c r="A61" s="74" t="s">
        <v>9</v>
      </c>
      <c r="B61" s="289"/>
      <c r="C61" s="289"/>
      <c r="D61" s="72">
        <f>SUM(D34:D60)</f>
        <v>485788103</v>
      </c>
      <c r="G61" s="64"/>
      <c r="H61" s="65">
        <f>H57+H58+H59+H60</f>
        <v>46379000</v>
      </c>
    </row>
    <row r="62" spans="1:9" ht="15.5" x14ac:dyDescent="0.35">
      <c r="A62" s="73" t="s">
        <v>54</v>
      </c>
      <c r="B62" s="291"/>
      <c r="C62" s="291"/>
      <c r="D62" s="301">
        <f>-D61/1.1*10%</f>
        <v>-44162554.818181813</v>
      </c>
    </row>
    <row r="63" spans="1:9" ht="15.5" x14ac:dyDescent="0.35">
      <c r="A63" s="73" t="s">
        <v>55</v>
      </c>
      <c r="B63" s="292"/>
      <c r="C63" s="292"/>
      <c r="D63" s="302">
        <f>D61+D62</f>
        <v>441625548.18181819</v>
      </c>
      <c r="G63" s="63" t="s">
        <v>72</v>
      </c>
      <c r="H63" s="66">
        <v>6400000</v>
      </c>
      <c r="I63" s="50">
        <v>3500000</v>
      </c>
    </row>
    <row r="64" spans="1:9" ht="29" x14ac:dyDescent="0.35">
      <c r="G64" s="63" t="s">
        <v>73</v>
      </c>
      <c r="H64" s="52">
        <v>1550000</v>
      </c>
      <c r="I64" s="50">
        <v>5250000</v>
      </c>
    </row>
    <row r="65" spans="2:9" x14ac:dyDescent="0.35">
      <c r="G65" s="64"/>
      <c r="H65" s="65">
        <f>H63+H64</f>
        <v>7950000</v>
      </c>
      <c r="I65" s="50">
        <v>15350000</v>
      </c>
    </row>
    <row r="66" spans="2:9" x14ac:dyDescent="0.35">
      <c r="I66" s="50">
        <v>3550000</v>
      </c>
    </row>
    <row r="67" spans="2:9" x14ac:dyDescent="0.35">
      <c r="I67" s="50">
        <v>750000</v>
      </c>
    </row>
    <row r="68" spans="2:9" x14ac:dyDescent="0.35">
      <c r="I68" s="50">
        <f>SUM(I63:I67)</f>
        <v>28400000</v>
      </c>
    </row>
    <row r="69" spans="2:9" s="103" customFormat="1" ht="30" customHeight="1" x14ac:dyDescent="0.35">
      <c r="B69" s="104"/>
      <c r="C69" s="104"/>
      <c r="D69" s="104"/>
      <c r="E69" s="104"/>
      <c r="G69" s="105" t="s">
        <v>75</v>
      </c>
      <c r="H69" s="106">
        <v>2000000</v>
      </c>
      <c r="I69" s="104"/>
    </row>
    <row r="70" spans="2:9" s="103" customFormat="1" ht="30" customHeight="1" x14ac:dyDescent="0.35">
      <c r="B70" s="104"/>
      <c r="C70" s="104"/>
      <c r="D70" s="104"/>
      <c r="E70" s="104"/>
      <c r="G70" s="105" t="s">
        <v>76</v>
      </c>
      <c r="H70" s="106">
        <v>212185</v>
      </c>
      <c r="I70" s="104"/>
    </row>
    <row r="71" spans="2:9" s="103" customFormat="1" ht="30" customHeight="1" x14ac:dyDescent="0.35">
      <c r="B71" s="104"/>
      <c r="C71" s="104"/>
      <c r="D71" s="104"/>
      <c r="E71" s="104"/>
      <c r="G71" s="105" t="s">
        <v>77</v>
      </c>
      <c r="H71" s="106">
        <v>26837360</v>
      </c>
      <c r="I71" s="104"/>
    </row>
    <row r="72" spans="2:9" s="103" customFormat="1" ht="30" customHeight="1" x14ac:dyDescent="0.35">
      <c r="B72" s="104"/>
      <c r="C72" s="104"/>
      <c r="D72" s="104"/>
      <c r="E72" s="104"/>
      <c r="G72" s="107"/>
      <c r="H72" s="108">
        <f>H69+H70+H71</f>
        <v>29049545</v>
      </c>
      <c r="I72" s="104"/>
    </row>
    <row r="77" spans="2:9" x14ac:dyDescent="0.35">
      <c r="G77" s="105" t="s">
        <v>78</v>
      </c>
      <c r="H77" s="106">
        <v>3245000</v>
      </c>
    </row>
    <row r="78" spans="2:9" ht="29" x14ac:dyDescent="0.35">
      <c r="G78" s="105" t="s">
        <v>79</v>
      </c>
      <c r="H78" s="106">
        <v>19030502</v>
      </c>
    </row>
    <row r="79" spans="2:9" ht="29" x14ac:dyDescent="0.35">
      <c r="G79" s="105" t="s">
        <v>80</v>
      </c>
      <c r="H79" s="106">
        <v>1057167</v>
      </c>
    </row>
    <row r="80" spans="2:9" ht="29" x14ac:dyDescent="0.35">
      <c r="G80" s="105" t="s">
        <v>81</v>
      </c>
      <c r="H80" s="106">
        <v>6836383</v>
      </c>
    </row>
    <row r="81" spans="7:8" x14ac:dyDescent="0.35">
      <c r="G81" s="105" t="s">
        <v>82</v>
      </c>
      <c r="H81" s="106">
        <v>16412000</v>
      </c>
    </row>
    <row r="82" spans="7:8" x14ac:dyDescent="0.35">
      <c r="G82" s="105"/>
      <c r="H82" s="106"/>
    </row>
    <row r="83" spans="7:8" x14ac:dyDescent="0.35">
      <c r="G83" s="107"/>
      <c r="H83" s="108">
        <f>H77+H78+H82+H79+H80+H81</f>
        <v>46581052</v>
      </c>
    </row>
    <row r="86" spans="7:8" x14ac:dyDescent="0.35">
      <c r="G86" s="105" t="s">
        <v>83</v>
      </c>
      <c r="H86" s="106">
        <v>7650000</v>
      </c>
    </row>
    <row r="87" spans="7:8" ht="29" x14ac:dyDescent="0.35">
      <c r="G87" s="105" t="s">
        <v>84</v>
      </c>
      <c r="H87" s="106">
        <v>3175000</v>
      </c>
    </row>
    <row r="88" spans="7:8" x14ac:dyDescent="0.35">
      <c r="G88" s="107"/>
      <c r="H88" s="108">
        <f>H86+H87</f>
        <v>10825000</v>
      </c>
    </row>
    <row r="90" spans="7:8" ht="29" x14ac:dyDescent="0.35">
      <c r="G90" s="105" t="s">
        <v>85</v>
      </c>
      <c r="H90" s="106">
        <v>10677000</v>
      </c>
    </row>
    <row r="91" spans="7:8" ht="29" x14ac:dyDescent="0.35">
      <c r="G91" s="105" t="s">
        <v>86</v>
      </c>
      <c r="H91" s="106">
        <v>1564000</v>
      </c>
    </row>
    <row r="92" spans="7:8" x14ac:dyDescent="0.35">
      <c r="G92" s="107"/>
      <c r="H92" s="108">
        <f>H90+H91</f>
        <v>12241000</v>
      </c>
    </row>
    <row r="95" spans="7:8" x14ac:dyDescent="0.35">
      <c r="G95" s="105" t="s">
        <v>88</v>
      </c>
      <c r="H95" s="106">
        <v>5056000</v>
      </c>
    </row>
    <row r="96" spans="7:8" ht="29" x14ac:dyDescent="0.35">
      <c r="G96" s="105" t="s">
        <v>89</v>
      </c>
      <c r="H96" s="106">
        <v>1000000</v>
      </c>
    </row>
    <row r="97" spans="1:8" x14ac:dyDescent="0.35">
      <c r="G97" s="107"/>
      <c r="H97" s="108">
        <f>H95+H96</f>
        <v>6056000</v>
      </c>
    </row>
    <row r="100" spans="1:8" ht="29" x14ac:dyDescent="0.35">
      <c r="G100" s="105" t="s">
        <v>90</v>
      </c>
      <c r="H100" s="106">
        <v>2000000</v>
      </c>
    </row>
    <row r="101" spans="1:8" ht="29" x14ac:dyDescent="0.35">
      <c r="G101" s="105" t="s">
        <v>91</v>
      </c>
      <c r="H101" s="106">
        <v>2500000</v>
      </c>
    </row>
    <row r="102" spans="1:8" x14ac:dyDescent="0.35">
      <c r="G102" s="107"/>
      <c r="H102" s="108">
        <f>H100+H101</f>
        <v>4500000</v>
      </c>
    </row>
    <row r="106" spans="1:8" x14ac:dyDescent="0.35">
      <c r="G106" s="51" t="s">
        <v>62</v>
      </c>
      <c r="H106" s="52">
        <v>1000000</v>
      </c>
    </row>
    <row r="107" spans="1:8" x14ac:dyDescent="0.35">
      <c r="A107" s="51" t="s">
        <v>113</v>
      </c>
      <c r="B107" s="52"/>
      <c r="C107" s="52"/>
      <c r="D107" s="52">
        <v>1524920</v>
      </c>
      <c r="G107" s="51" t="s">
        <v>97</v>
      </c>
      <c r="H107" s="52">
        <v>5355000</v>
      </c>
    </row>
    <row r="108" spans="1:8" x14ac:dyDescent="0.35">
      <c r="A108" s="51" t="s">
        <v>115</v>
      </c>
      <c r="B108" s="52"/>
      <c r="C108" s="52"/>
      <c r="D108" s="52">
        <v>5724551</v>
      </c>
      <c r="G108" s="51" t="s">
        <v>98</v>
      </c>
      <c r="H108" s="52">
        <v>5308000</v>
      </c>
    </row>
    <row r="109" spans="1:8" x14ac:dyDescent="0.35">
      <c r="A109" s="51" t="s">
        <v>116</v>
      </c>
      <c r="B109" s="52"/>
      <c r="C109" s="52"/>
      <c r="D109" s="52">
        <v>23728</v>
      </c>
      <c r="G109" s="51" t="s">
        <v>99</v>
      </c>
      <c r="H109" s="52">
        <v>5369000</v>
      </c>
    </row>
    <row r="110" spans="1:8" x14ac:dyDescent="0.35">
      <c r="A110" s="51" t="s">
        <v>117</v>
      </c>
      <c r="B110" s="52"/>
      <c r="C110" s="52"/>
      <c r="D110" s="52">
        <v>16788880</v>
      </c>
      <c r="G110" s="51" t="s">
        <v>100</v>
      </c>
      <c r="H110" s="52">
        <v>11250762</v>
      </c>
    </row>
    <row r="111" spans="1:8" x14ac:dyDescent="0.35">
      <c r="A111" s="51" t="s">
        <v>118</v>
      </c>
      <c r="B111" s="52"/>
      <c r="C111" s="52"/>
      <c r="D111" s="52">
        <v>5588120</v>
      </c>
      <c r="G111" s="51" t="s">
        <v>101</v>
      </c>
      <c r="H111" s="52">
        <v>11120000</v>
      </c>
    </row>
    <row r="112" spans="1:8" x14ac:dyDescent="0.35">
      <c r="A112" s="51" t="s">
        <v>119</v>
      </c>
      <c r="B112" s="52"/>
      <c r="C112" s="52"/>
      <c r="D112" s="52">
        <v>11539855</v>
      </c>
      <c r="G112" s="51" t="s">
        <v>102</v>
      </c>
      <c r="H112" s="52">
        <v>41879000</v>
      </c>
    </row>
    <row r="113" spans="1:8" x14ac:dyDescent="0.35">
      <c r="A113" s="51" t="s">
        <v>120</v>
      </c>
      <c r="B113" s="52"/>
      <c r="C113" s="52"/>
      <c r="D113" s="52">
        <v>24475158</v>
      </c>
      <c r="G113" s="51" t="s">
        <v>103</v>
      </c>
      <c r="H113" s="52">
        <v>1988494</v>
      </c>
    </row>
    <row r="114" spans="1:8" x14ac:dyDescent="0.35">
      <c r="A114" s="51" t="s">
        <v>121</v>
      </c>
      <c r="B114" s="52"/>
      <c r="C114" s="52"/>
      <c r="D114" s="52">
        <v>7492500</v>
      </c>
      <c r="G114" s="51" t="s">
        <v>104</v>
      </c>
      <c r="H114" s="52">
        <v>6370000</v>
      </c>
    </row>
    <row r="115" spans="1:8" x14ac:dyDescent="0.35">
      <c r="A115" s="51" t="s">
        <v>114</v>
      </c>
      <c r="B115" s="52"/>
      <c r="C115" s="52"/>
      <c r="D115" s="52">
        <v>5308000</v>
      </c>
      <c r="G115" s="51" t="s">
        <v>105</v>
      </c>
      <c r="H115" s="52">
        <v>130000</v>
      </c>
    </row>
    <row r="116" spans="1:8" x14ac:dyDescent="0.35">
      <c r="A116" s="51" t="s">
        <v>114</v>
      </c>
      <c r="B116" s="52"/>
      <c r="C116" s="52"/>
      <c r="D116" s="52">
        <v>5369000</v>
      </c>
      <c r="G116" s="51" t="s">
        <v>106</v>
      </c>
      <c r="H116" s="52">
        <v>4630025</v>
      </c>
    </row>
    <row r="117" spans="1:8" x14ac:dyDescent="0.35">
      <c r="A117" s="51" t="s">
        <v>122</v>
      </c>
      <c r="B117" s="52"/>
      <c r="C117" s="52"/>
      <c r="D117" s="52">
        <v>4991700</v>
      </c>
      <c r="G117" s="51" t="s">
        <v>107</v>
      </c>
      <c r="H117" s="52">
        <v>20694</v>
      </c>
    </row>
    <row r="118" spans="1:8" x14ac:dyDescent="0.35">
      <c r="A118" s="51" t="s">
        <v>123</v>
      </c>
      <c r="B118" s="52"/>
      <c r="C118" s="52"/>
      <c r="D118" s="52">
        <v>8770000</v>
      </c>
      <c r="G118" s="51" t="s">
        <v>108</v>
      </c>
      <c r="H118" s="52">
        <v>337734655</v>
      </c>
    </row>
    <row r="119" spans="1:8" x14ac:dyDescent="0.35">
      <c r="A119" s="55"/>
      <c r="B119" s="113"/>
      <c r="C119" s="113"/>
      <c r="D119" s="113">
        <f>SUM(D107:D118)</f>
        <v>97596412</v>
      </c>
      <c r="G119" s="51" t="s">
        <v>109</v>
      </c>
      <c r="H119" s="52">
        <v>6254345</v>
      </c>
    </row>
    <row r="120" spans="1:8" x14ac:dyDescent="0.35">
      <c r="G120" s="51" t="s">
        <v>110</v>
      </c>
      <c r="H120" s="52">
        <v>34384280</v>
      </c>
    </row>
    <row r="121" spans="1:8" x14ac:dyDescent="0.35">
      <c r="G121" s="51" t="s">
        <v>111</v>
      </c>
      <c r="H121" s="52">
        <v>701720</v>
      </c>
    </row>
    <row r="122" spans="1:8" x14ac:dyDescent="0.35">
      <c r="A122" s="115" t="s">
        <v>139</v>
      </c>
      <c r="B122" s="116"/>
      <c r="C122" s="116"/>
      <c r="D122" s="116">
        <v>792982023</v>
      </c>
      <c r="G122" s="51" t="s">
        <v>112</v>
      </c>
      <c r="H122" s="52">
        <v>4300029</v>
      </c>
    </row>
    <row r="123" spans="1:8" x14ac:dyDescent="0.35">
      <c r="G123" s="55"/>
      <c r="H123" s="113">
        <f>SUM(H106:H122)</f>
        <v>477796004</v>
      </c>
    </row>
    <row r="124" spans="1:8" x14ac:dyDescent="0.35">
      <c r="A124" s="51" t="s">
        <v>138</v>
      </c>
      <c r="B124" s="52"/>
      <c r="C124" s="52"/>
      <c r="D124" s="52">
        <v>14799377</v>
      </c>
    </row>
    <row r="125" spans="1:8" x14ac:dyDescent="0.35">
      <c r="A125" s="51" t="s">
        <v>137</v>
      </c>
      <c r="B125" s="52"/>
      <c r="C125" s="52"/>
      <c r="D125" s="52">
        <v>14609999</v>
      </c>
    </row>
    <row r="126" spans="1:8" x14ac:dyDescent="0.35">
      <c r="A126" s="51" t="s">
        <v>136</v>
      </c>
      <c r="B126" s="52"/>
      <c r="C126" s="52"/>
      <c r="D126" s="52">
        <v>13442000</v>
      </c>
    </row>
    <row r="127" spans="1:8" x14ac:dyDescent="0.35">
      <c r="A127" s="51" t="s">
        <v>113</v>
      </c>
      <c r="B127" s="52"/>
      <c r="C127" s="52"/>
      <c r="D127" s="52">
        <v>1093425</v>
      </c>
    </row>
    <row r="128" spans="1:8" x14ac:dyDescent="0.35">
      <c r="A128" s="51" t="s">
        <v>135</v>
      </c>
      <c r="B128" s="52"/>
      <c r="C128" s="52"/>
      <c r="D128" s="52">
        <v>337791000</v>
      </c>
    </row>
    <row r="129" spans="1:4" x14ac:dyDescent="0.35">
      <c r="A129" s="51" t="s">
        <v>134</v>
      </c>
      <c r="B129" s="52"/>
      <c r="C129" s="52"/>
      <c r="D129" s="52">
        <v>38516940</v>
      </c>
    </row>
    <row r="130" spans="1:4" x14ac:dyDescent="0.35">
      <c r="A130" s="51" t="s">
        <v>133</v>
      </c>
      <c r="B130" s="52"/>
      <c r="C130" s="52"/>
      <c r="D130" s="52">
        <v>11171216</v>
      </c>
    </row>
    <row r="131" spans="1:4" x14ac:dyDescent="0.35">
      <c r="A131" s="51" t="s">
        <v>132</v>
      </c>
      <c r="B131" s="52"/>
      <c r="C131" s="52"/>
      <c r="D131" s="52">
        <v>6198000</v>
      </c>
    </row>
    <row r="132" spans="1:4" x14ac:dyDescent="0.35">
      <c r="A132" s="51" t="s">
        <v>131</v>
      </c>
      <c r="B132" s="52"/>
      <c r="C132" s="52"/>
      <c r="D132" s="52">
        <v>786060</v>
      </c>
    </row>
    <row r="133" spans="1:4" x14ac:dyDescent="0.35">
      <c r="A133" s="51" t="s">
        <v>107</v>
      </c>
      <c r="B133" s="52"/>
      <c r="C133" s="52"/>
      <c r="D133" s="52">
        <v>145143</v>
      </c>
    </row>
    <row r="134" spans="1:4" x14ac:dyDescent="0.35">
      <c r="A134" s="51" t="s">
        <v>130</v>
      </c>
      <c r="B134" s="52"/>
      <c r="C134" s="52"/>
      <c r="D134" s="52">
        <v>23826243</v>
      </c>
    </row>
    <row r="135" spans="1:4" x14ac:dyDescent="0.35">
      <c r="A135" s="51" t="s">
        <v>129</v>
      </c>
      <c r="B135" s="52"/>
      <c r="C135" s="52"/>
      <c r="D135" s="52">
        <v>9005000</v>
      </c>
    </row>
    <row r="136" spans="1:4" x14ac:dyDescent="0.35">
      <c r="A136" s="51" t="s">
        <v>128</v>
      </c>
      <c r="B136" s="52"/>
      <c r="C136" s="52"/>
      <c r="D136" s="52">
        <v>4505000</v>
      </c>
    </row>
    <row r="137" spans="1:4" x14ac:dyDescent="0.35">
      <c r="A137" s="51" t="s">
        <v>127</v>
      </c>
      <c r="B137" s="52"/>
      <c r="C137" s="52"/>
      <c r="D137" s="52">
        <v>4991700</v>
      </c>
    </row>
    <row r="138" spans="1:4" x14ac:dyDescent="0.35">
      <c r="A138" s="51" t="s">
        <v>126</v>
      </c>
      <c r="B138" s="52"/>
      <c r="C138" s="52"/>
      <c r="D138" s="52">
        <v>29950000</v>
      </c>
    </row>
    <row r="139" spans="1:4" x14ac:dyDescent="0.35">
      <c r="A139" s="55"/>
      <c r="B139" s="113"/>
      <c r="C139" s="113"/>
      <c r="D139" s="113">
        <f>SUM(D124:D138)</f>
        <v>510831103</v>
      </c>
    </row>
    <row r="141" spans="1:4" x14ac:dyDescent="0.35">
      <c r="A141" s="117" t="s">
        <v>140</v>
      </c>
      <c r="B141" s="118"/>
      <c r="C141" s="118"/>
      <c r="D141" s="118">
        <f>D122-D139</f>
        <v>282150920</v>
      </c>
    </row>
    <row r="146" spans="1:4" x14ac:dyDescent="0.35">
      <c r="A146" s="115" t="s">
        <v>139</v>
      </c>
      <c r="B146" s="116"/>
      <c r="C146" s="116"/>
      <c r="D146" s="116">
        <v>827196261</v>
      </c>
    </row>
    <row r="148" spans="1:4" x14ac:dyDescent="0.35">
      <c r="A148" s="51" t="s">
        <v>150</v>
      </c>
      <c r="B148" s="52"/>
      <c r="C148" s="52"/>
      <c r="D148" s="52">
        <v>155195000</v>
      </c>
    </row>
    <row r="149" spans="1:4" x14ac:dyDescent="0.35">
      <c r="A149" s="51" t="s">
        <v>151</v>
      </c>
      <c r="B149" s="52"/>
      <c r="C149" s="52"/>
      <c r="D149" s="52">
        <v>5222331</v>
      </c>
    </row>
    <row r="150" spans="1:4" x14ac:dyDescent="0.35">
      <c r="A150" s="51" t="s">
        <v>152</v>
      </c>
      <c r="B150" s="52"/>
      <c r="C150" s="52"/>
      <c r="D150" s="52">
        <v>1479791</v>
      </c>
    </row>
    <row r="151" spans="1:4" x14ac:dyDescent="0.35">
      <c r="A151" s="51" t="s">
        <v>153</v>
      </c>
      <c r="B151" s="52"/>
      <c r="C151" s="52"/>
      <c r="D151" s="52">
        <v>1392558</v>
      </c>
    </row>
    <row r="152" spans="1:4" x14ac:dyDescent="0.35">
      <c r="A152" s="51" t="s">
        <v>154</v>
      </c>
      <c r="B152" s="52"/>
      <c r="C152" s="52"/>
      <c r="D152" s="52">
        <v>3756864</v>
      </c>
    </row>
    <row r="153" spans="1:4" x14ac:dyDescent="0.35">
      <c r="A153" s="51" t="s">
        <v>155</v>
      </c>
      <c r="B153" s="52"/>
      <c r="C153" s="52"/>
      <c r="D153" s="52">
        <v>1500000</v>
      </c>
    </row>
    <row r="154" spans="1:4" x14ac:dyDescent="0.35">
      <c r="A154" s="51" t="s">
        <v>156</v>
      </c>
      <c r="B154" s="52"/>
      <c r="C154" s="52"/>
      <c r="D154" s="52">
        <v>2000000</v>
      </c>
    </row>
    <row r="155" spans="1:4" x14ac:dyDescent="0.35">
      <c r="A155" s="51" t="s">
        <v>157</v>
      </c>
      <c r="B155" s="52"/>
      <c r="C155" s="52"/>
      <c r="D155" s="52">
        <v>6370000</v>
      </c>
    </row>
    <row r="156" spans="1:4" x14ac:dyDescent="0.35">
      <c r="A156" s="51" t="s">
        <v>68</v>
      </c>
      <c r="B156" s="52"/>
      <c r="C156" s="52"/>
      <c r="D156" s="52">
        <v>130000</v>
      </c>
    </row>
    <row r="157" spans="1:4" x14ac:dyDescent="0.35">
      <c r="A157" s="51"/>
      <c r="B157" s="52"/>
      <c r="C157" s="52"/>
      <c r="D157" s="52"/>
    </row>
    <row r="158" spans="1:4" x14ac:dyDescent="0.35">
      <c r="A158" s="51"/>
      <c r="B158" s="52"/>
      <c r="C158" s="52"/>
      <c r="D158" s="52"/>
    </row>
    <row r="159" spans="1:4" x14ac:dyDescent="0.35">
      <c r="A159" s="51"/>
      <c r="B159" s="52"/>
      <c r="C159" s="52"/>
      <c r="D159" s="52"/>
    </row>
    <row r="160" spans="1:4" x14ac:dyDescent="0.35">
      <c r="A160" s="51"/>
      <c r="B160" s="52"/>
      <c r="C160" s="52"/>
      <c r="D160" s="52"/>
    </row>
    <row r="161" spans="1:4" x14ac:dyDescent="0.35">
      <c r="A161" s="51"/>
      <c r="B161" s="52"/>
      <c r="C161" s="52"/>
      <c r="D161" s="52"/>
    </row>
    <row r="162" spans="1:4" x14ac:dyDescent="0.35">
      <c r="A162" s="51"/>
      <c r="B162" s="52"/>
      <c r="C162" s="52"/>
      <c r="D162" s="52"/>
    </row>
    <row r="163" spans="1:4" x14ac:dyDescent="0.35">
      <c r="A163" s="55"/>
      <c r="B163" s="113"/>
      <c r="C163" s="113"/>
      <c r="D163" s="113">
        <f>SUM(D148:D162)</f>
        <v>177046544</v>
      </c>
    </row>
    <row r="165" spans="1:4" x14ac:dyDescent="0.35">
      <c r="A165" s="117" t="s">
        <v>140</v>
      </c>
      <c r="B165" s="118"/>
      <c r="C165" s="118"/>
      <c r="D165" s="118">
        <f>D146-D163</f>
        <v>650149717</v>
      </c>
    </row>
    <row r="167" spans="1:4" x14ac:dyDescent="0.35">
      <c r="A167" s="115" t="s">
        <v>139</v>
      </c>
      <c r="B167" s="116"/>
      <c r="C167" s="116"/>
      <c r="D167" s="116">
        <v>642943917</v>
      </c>
    </row>
    <row r="169" spans="1:4" x14ac:dyDescent="0.35">
      <c r="A169" s="51" t="s">
        <v>124</v>
      </c>
      <c r="B169" s="52"/>
      <c r="C169" s="52"/>
      <c r="D169" s="52">
        <v>337791000</v>
      </c>
    </row>
    <row r="170" spans="1:4" x14ac:dyDescent="0.35">
      <c r="A170" s="51" t="s">
        <v>166</v>
      </c>
      <c r="B170" s="52"/>
      <c r="C170" s="52"/>
      <c r="D170" s="52">
        <v>6198000</v>
      </c>
    </row>
    <row r="171" spans="1:4" x14ac:dyDescent="0.35">
      <c r="A171" s="51" t="s">
        <v>167</v>
      </c>
      <c r="B171" s="52"/>
      <c r="C171" s="52"/>
      <c r="D171" s="52">
        <v>19013019</v>
      </c>
    </row>
    <row r="172" spans="1:4" x14ac:dyDescent="0.35">
      <c r="A172" s="51" t="s">
        <v>168</v>
      </c>
      <c r="B172" s="52"/>
      <c r="C172" s="52"/>
      <c r="D172" s="52">
        <v>105748</v>
      </c>
    </row>
    <row r="173" spans="1:4" x14ac:dyDescent="0.35">
      <c r="A173" s="51" t="s">
        <v>169</v>
      </c>
      <c r="B173" s="52"/>
      <c r="C173" s="52"/>
      <c r="D173" s="52">
        <v>1000000</v>
      </c>
    </row>
    <row r="174" spans="1:4" x14ac:dyDescent="0.35">
      <c r="A174" s="51" t="s">
        <v>170</v>
      </c>
      <c r="B174" s="52"/>
      <c r="C174" s="52"/>
      <c r="D174" s="52">
        <v>1425000</v>
      </c>
    </row>
    <row r="175" spans="1:4" x14ac:dyDescent="0.35">
      <c r="A175" s="51" t="s">
        <v>171</v>
      </c>
      <c r="B175" s="52"/>
      <c r="C175" s="52"/>
      <c r="D175" s="52">
        <v>500000</v>
      </c>
    </row>
    <row r="176" spans="1:4" x14ac:dyDescent="0.35">
      <c r="A176" s="51" t="s">
        <v>172</v>
      </c>
      <c r="B176" s="52"/>
      <c r="C176" s="52"/>
      <c r="D176" s="52">
        <v>5308000</v>
      </c>
    </row>
    <row r="177" spans="1:4" x14ac:dyDescent="0.35">
      <c r="A177" s="51" t="s">
        <v>173</v>
      </c>
      <c r="B177" s="52"/>
      <c r="C177" s="52"/>
      <c r="D177" s="52">
        <v>5355000</v>
      </c>
    </row>
    <row r="178" spans="1:4" x14ac:dyDescent="0.35">
      <c r="A178" s="51" t="s">
        <v>174</v>
      </c>
      <c r="B178" s="52"/>
      <c r="C178" s="52"/>
      <c r="D178" s="52">
        <v>5369000</v>
      </c>
    </row>
    <row r="179" spans="1:4" x14ac:dyDescent="0.35">
      <c r="A179" s="51" t="s">
        <v>175</v>
      </c>
      <c r="B179" s="52"/>
      <c r="C179" s="52"/>
      <c r="D179" s="52">
        <v>18372882</v>
      </c>
    </row>
    <row r="180" spans="1:4" x14ac:dyDescent="0.35">
      <c r="A180" s="51" t="s">
        <v>176</v>
      </c>
      <c r="B180" s="52"/>
      <c r="C180" s="52"/>
      <c r="D180" s="52">
        <v>13325000</v>
      </c>
    </row>
    <row r="181" spans="1:4" x14ac:dyDescent="0.35">
      <c r="A181" s="51"/>
      <c r="B181" s="52"/>
      <c r="C181" s="52"/>
      <c r="D181" s="52"/>
    </row>
    <row r="182" spans="1:4" x14ac:dyDescent="0.35">
      <c r="A182" s="51"/>
      <c r="B182" s="52"/>
      <c r="C182" s="52"/>
      <c r="D182" s="52"/>
    </row>
    <row r="183" spans="1:4" x14ac:dyDescent="0.35">
      <c r="A183" s="51"/>
      <c r="B183" s="52"/>
      <c r="C183" s="52"/>
      <c r="D183" s="52"/>
    </row>
    <row r="184" spans="1:4" x14ac:dyDescent="0.35">
      <c r="A184" s="55"/>
      <c r="B184" s="113"/>
      <c r="C184" s="113"/>
      <c r="D184" s="113">
        <f>SUM(D169:D183)</f>
        <v>413762649</v>
      </c>
    </row>
    <row r="186" spans="1:4" x14ac:dyDescent="0.35">
      <c r="A186" s="117" t="s">
        <v>140</v>
      </c>
      <c r="B186" s="118"/>
      <c r="C186" s="118"/>
      <c r="D186" s="118">
        <f>D167-D184</f>
        <v>229181268</v>
      </c>
    </row>
    <row r="189" spans="1:4" x14ac:dyDescent="0.35">
      <c r="A189" s="115" t="s">
        <v>139</v>
      </c>
      <c r="B189" s="116"/>
      <c r="C189" s="116"/>
      <c r="D189" s="116">
        <v>1446645182</v>
      </c>
    </row>
    <row r="191" spans="1:4" x14ac:dyDescent="0.35">
      <c r="A191" s="51" t="s">
        <v>114</v>
      </c>
      <c r="B191" s="52"/>
      <c r="C191" s="52"/>
      <c r="D191" s="52">
        <v>4505000</v>
      </c>
    </row>
    <row r="192" spans="1:4" x14ac:dyDescent="0.35">
      <c r="A192" s="51" t="s">
        <v>114</v>
      </c>
      <c r="B192" s="52"/>
      <c r="C192" s="52"/>
      <c r="D192" s="52">
        <v>9005000</v>
      </c>
    </row>
    <row r="193" spans="1:4" x14ac:dyDescent="0.35">
      <c r="A193" s="51" t="s">
        <v>114</v>
      </c>
      <c r="B193" s="52"/>
      <c r="C193" s="52"/>
      <c r="D193" s="52">
        <v>11204000</v>
      </c>
    </row>
    <row r="194" spans="1:4" x14ac:dyDescent="0.35">
      <c r="A194" s="51" t="s">
        <v>178</v>
      </c>
      <c r="B194" s="52"/>
      <c r="C194" s="52"/>
      <c r="D194" s="52">
        <v>29950000</v>
      </c>
    </row>
    <row r="195" spans="1:4" x14ac:dyDescent="0.35">
      <c r="A195" s="51" t="s">
        <v>179</v>
      </c>
      <c r="B195" s="52"/>
      <c r="C195" s="52"/>
      <c r="D195" s="52">
        <v>141865446</v>
      </c>
    </row>
    <row r="196" spans="1:4" x14ac:dyDescent="0.35">
      <c r="A196" s="51" t="s">
        <v>180</v>
      </c>
      <c r="B196" s="52"/>
      <c r="C196" s="52"/>
      <c r="D196" s="52">
        <v>161340022</v>
      </c>
    </row>
    <row r="197" spans="1:4" x14ac:dyDescent="0.35">
      <c r="A197" s="51" t="s">
        <v>181</v>
      </c>
      <c r="B197" s="52"/>
      <c r="C197" s="52"/>
      <c r="D197" s="52">
        <v>40000000</v>
      </c>
    </row>
    <row r="198" spans="1:4" x14ac:dyDescent="0.35">
      <c r="A198" s="51" t="s">
        <v>182</v>
      </c>
      <c r="B198" s="52"/>
      <c r="C198" s="52"/>
      <c r="D198" s="52">
        <v>233300000</v>
      </c>
    </row>
    <row r="199" spans="1:4" x14ac:dyDescent="0.35">
      <c r="A199" s="51" t="s">
        <v>183</v>
      </c>
      <c r="B199" s="52"/>
      <c r="C199" s="52"/>
      <c r="D199" s="52">
        <v>24500000</v>
      </c>
    </row>
    <row r="200" spans="1:4" x14ac:dyDescent="0.35">
      <c r="A200" s="51"/>
      <c r="B200" s="52"/>
      <c r="C200" s="52"/>
      <c r="D200" s="52"/>
    </row>
    <row r="201" spans="1:4" x14ac:dyDescent="0.35">
      <c r="A201" s="51"/>
      <c r="B201" s="52"/>
      <c r="C201" s="52"/>
      <c r="D201" s="52"/>
    </row>
    <row r="202" spans="1:4" x14ac:dyDescent="0.35">
      <c r="A202" s="51"/>
      <c r="B202" s="52"/>
      <c r="C202" s="52"/>
      <c r="D202" s="52"/>
    </row>
    <row r="203" spans="1:4" x14ac:dyDescent="0.35">
      <c r="A203" s="51"/>
      <c r="B203" s="52"/>
      <c r="C203" s="52"/>
      <c r="D203" s="52"/>
    </row>
    <row r="204" spans="1:4" x14ac:dyDescent="0.35">
      <c r="A204" s="51"/>
      <c r="B204" s="52"/>
      <c r="C204" s="52"/>
      <c r="D204" s="52"/>
    </row>
    <row r="205" spans="1:4" x14ac:dyDescent="0.35">
      <c r="A205" s="51"/>
      <c r="B205" s="52"/>
      <c r="C205" s="52"/>
      <c r="D205" s="52"/>
    </row>
    <row r="206" spans="1:4" x14ac:dyDescent="0.35">
      <c r="A206" s="55"/>
      <c r="B206" s="113"/>
      <c r="C206" s="113"/>
      <c r="D206" s="113">
        <f>SUM(D191:D205)</f>
        <v>655669468</v>
      </c>
    </row>
    <row r="208" spans="1:4" x14ac:dyDescent="0.35">
      <c r="A208" s="117" t="s">
        <v>140</v>
      </c>
      <c r="B208" s="118"/>
      <c r="C208" s="118"/>
      <c r="D208" s="118">
        <f>D189-D206</f>
        <v>790975714</v>
      </c>
    </row>
    <row r="210" spans="1:5" x14ac:dyDescent="0.35">
      <c r="A210" t="s">
        <v>183</v>
      </c>
      <c r="D210" s="50">
        <v>50000000</v>
      </c>
    </row>
    <row r="211" spans="1:5" x14ac:dyDescent="0.35">
      <c r="A211" t="s">
        <v>184</v>
      </c>
      <c r="D211" s="50">
        <v>-25000000</v>
      </c>
    </row>
    <row r="212" spans="1:5" ht="15" thickBot="1" x14ac:dyDescent="0.4">
      <c r="A212" t="s">
        <v>185</v>
      </c>
      <c r="D212" s="185">
        <v>-500000</v>
      </c>
    </row>
    <row r="213" spans="1:5" x14ac:dyDescent="0.35">
      <c r="D213" s="116">
        <f>D210+D211+D212</f>
        <v>24500000</v>
      </c>
    </row>
    <row r="217" spans="1:5" x14ac:dyDescent="0.35">
      <c r="A217" s="599" t="s">
        <v>196</v>
      </c>
      <c r="B217" s="599"/>
      <c r="C217" s="599"/>
      <c r="D217" s="599"/>
    </row>
    <row r="219" spans="1:5" x14ac:dyDescent="0.35">
      <c r="A219" s="115" t="s">
        <v>139</v>
      </c>
      <c r="B219" s="116"/>
      <c r="C219" s="116"/>
      <c r="D219" s="116">
        <v>1036996361</v>
      </c>
    </row>
    <row r="221" spans="1:5" x14ac:dyDescent="0.35">
      <c r="A221" s="51" t="s">
        <v>189</v>
      </c>
      <c r="B221" s="52"/>
      <c r="C221" s="52"/>
      <c r="D221" s="52">
        <v>343989000</v>
      </c>
      <c r="E221" s="52">
        <f>123093450+168814350+36297000+7892100+7892100</f>
        <v>343989000</v>
      </c>
    </row>
    <row r="222" spans="1:5" x14ac:dyDescent="0.35">
      <c r="A222" s="51" t="s">
        <v>190</v>
      </c>
      <c r="B222" s="52"/>
      <c r="C222" s="52"/>
      <c r="D222" s="52">
        <f>16882500+14530000+3515500+35000+8928000</f>
        <v>43891000</v>
      </c>
      <c r="E222" s="50">
        <f>E221-E223</f>
        <v>337791000</v>
      </c>
    </row>
    <row r="223" spans="1:5" x14ac:dyDescent="0.35">
      <c r="A223" s="51" t="s">
        <v>191</v>
      </c>
      <c r="B223" s="52"/>
      <c r="C223" s="52"/>
      <c r="D223" s="52">
        <v>15826093</v>
      </c>
      <c r="E223" s="52">
        <f>E221/1.11*2%</f>
        <v>6198000</v>
      </c>
    </row>
    <row r="224" spans="1:5" x14ac:dyDescent="0.35">
      <c r="A224" s="51" t="s">
        <v>117</v>
      </c>
      <c r="B224" s="52"/>
      <c r="C224" s="52"/>
      <c r="D224" s="52">
        <v>36339000</v>
      </c>
    </row>
    <row r="225" spans="1:4" x14ac:dyDescent="0.35">
      <c r="A225" s="51" t="s">
        <v>113</v>
      </c>
      <c r="B225" s="52"/>
      <c r="C225" s="52"/>
      <c r="D225" s="52">
        <f>611674+590525+1223021</f>
        <v>2425220</v>
      </c>
    </row>
    <row r="226" spans="1:4" x14ac:dyDescent="0.35">
      <c r="A226" s="51" t="s">
        <v>192</v>
      </c>
      <c r="B226" s="52"/>
      <c r="C226" s="52"/>
      <c r="D226" s="52">
        <v>3126504</v>
      </c>
    </row>
    <row r="227" spans="1:4" x14ac:dyDescent="0.35">
      <c r="A227" s="51" t="s">
        <v>193</v>
      </c>
      <c r="B227" s="52"/>
      <c r="C227" s="52"/>
      <c r="D227" s="52">
        <v>6500000</v>
      </c>
    </row>
    <row r="228" spans="1:4" x14ac:dyDescent="0.35">
      <c r="A228" s="51" t="s">
        <v>194</v>
      </c>
      <c r="B228" s="52"/>
      <c r="C228" s="52"/>
      <c r="D228" s="52">
        <v>20141667</v>
      </c>
    </row>
    <row r="229" spans="1:4" x14ac:dyDescent="0.35">
      <c r="A229" s="51"/>
      <c r="B229" s="52"/>
      <c r="C229" s="52"/>
      <c r="D229" s="52"/>
    </row>
    <row r="230" spans="1:4" x14ac:dyDescent="0.35">
      <c r="A230" s="51"/>
      <c r="B230" s="52"/>
      <c r="C230" s="52"/>
      <c r="D230" s="52"/>
    </row>
    <row r="231" spans="1:4" x14ac:dyDescent="0.35">
      <c r="A231" s="51"/>
      <c r="B231" s="52"/>
      <c r="C231" s="52"/>
      <c r="D231" s="52"/>
    </row>
    <row r="232" spans="1:4" x14ac:dyDescent="0.35">
      <c r="A232" s="51"/>
      <c r="B232" s="52"/>
      <c r="C232" s="52"/>
      <c r="D232" s="52"/>
    </row>
    <row r="233" spans="1:4" x14ac:dyDescent="0.35">
      <c r="A233" s="51"/>
      <c r="B233" s="52"/>
      <c r="C233" s="52"/>
      <c r="D233" s="52"/>
    </row>
    <row r="234" spans="1:4" x14ac:dyDescent="0.35">
      <c r="A234" s="51"/>
      <c r="B234" s="52"/>
      <c r="C234" s="52"/>
      <c r="D234" s="52"/>
    </row>
    <row r="235" spans="1:4" x14ac:dyDescent="0.35">
      <c r="A235" s="51"/>
      <c r="B235" s="52"/>
      <c r="C235" s="52"/>
      <c r="D235" s="52"/>
    </row>
    <row r="236" spans="1:4" x14ac:dyDescent="0.35">
      <c r="A236" s="55"/>
      <c r="B236" s="113"/>
      <c r="C236" s="113"/>
      <c r="D236" s="113">
        <f>SUM(D221:D235)</f>
        <v>472238484</v>
      </c>
    </row>
    <row r="238" spans="1:4" x14ac:dyDescent="0.35">
      <c r="A238" t="s">
        <v>195</v>
      </c>
      <c r="D238" s="50">
        <f>D219-D236</f>
        <v>564757877</v>
      </c>
    </row>
    <row r="241" spans="1:8" x14ac:dyDescent="0.35">
      <c r="A241" s="599" t="s">
        <v>22</v>
      </c>
      <c r="B241" s="599"/>
      <c r="C241" s="599"/>
      <c r="D241" s="599"/>
    </row>
    <row r="243" spans="1:8" x14ac:dyDescent="0.35">
      <c r="A243" s="115" t="s">
        <v>139</v>
      </c>
      <c r="B243" s="116"/>
      <c r="C243" s="116"/>
      <c r="D243" s="116">
        <v>983979406</v>
      </c>
    </row>
    <row r="244" spans="1:8" x14ac:dyDescent="0.35">
      <c r="G244" s="597" t="s">
        <v>201</v>
      </c>
      <c r="H244" s="598"/>
    </row>
    <row r="245" spans="1:8" x14ac:dyDescent="0.35">
      <c r="A245" s="51" t="s">
        <v>152</v>
      </c>
      <c r="B245" s="52"/>
      <c r="C245" s="52"/>
      <c r="D245" s="52">
        <v>3388042</v>
      </c>
      <c r="G245" s="51" t="s">
        <v>207</v>
      </c>
      <c r="H245" s="52" t="s">
        <v>202</v>
      </c>
    </row>
    <row r="246" spans="1:8" x14ac:dyDescent="0.35">
      <c r="A246" s="51" t="s">
        <v>151</v>
      </c>
      <c r="B246" s="52"/>
      <c r="C246" s="52"/>
      <c r="D246" s="52">
        <v>5222331</v>
      </c>
      <c r="G246" s="51" t="s">
        <v>203</v>
      </c>
      <c r="H246" s="52" t="s">
        <v>208</v>
      </c>
    </row>
    <row r="247" spans="1:8" x14ac:dyDescent="0.35">
      <c r="A247" s="51" t="s">
        <v>229</v>
      </c>
      <c r="B247" s="52"/>
      <c r="C247" s="52"/>
      <c r="D247" s="52">
        <v>3794424</v>
      </c>
      <c r="G247" s="51" t="s">
        <v>204</v>
      </c>
      <c r="H247" s="52" t="s">
        <v>209</v>
      </c>
    </row>
    <row r="248" spans="1:8" x14ac:dyDescent="0.35">
      <c r="A248" s="51" t="s">
        <v>230</v>
      </c>
      <c r="B248" s="52"/>
      <c r="C248" s="52"/>
      <c r="D248" s="52">
        <v>1470600</v>
      </c>
      <c r="G248" s="51" t="s">
        <v>205</v>
      </c>
      <c r="H248" s="52" t="s">
        <v>210</v>
      </c>
    </row>
    <row r="249" spans="1:8" x14ac:dyDescent="0.35">
      <c r="A249" s="51" t="s">
        <v>231</v>
      </c>
      <c r="B249" s="52"/>
      <c r="C249" s="52"/>
      <c r="D249" s="52">
        <v>3850000</v>
      </c>
      <c r="G249" s="51" t="s">
        <v>206</v>
      </c>
      <c r="H249" s="52" t="s">
        <v>211</v>
      </c>
    </row>
    <row r="250" spans="1:8" x14ac:dyDescent="0.35">
      <c r="A250" s="51" t="s">
        <v>232</v>
      </c>
      <c r="B250" s="52"/>
      <c r="C250" s="52"/>
      <c r="D250" s="52">
        <v>5074056</v>
      </c>
    </row>
    <row r="251" spans="1:8" x14ac:dyDescent="0.35">
      <c r="A251" s="51" t="s">
        <v>233</v>
      </c>
      <c r="B251" s="52"/>
      <c r="C251" s="52"/>
      <c r="D251" s="52">
        <v>94711893</v>
      </c>
    </row>
    <row r="252" spans="1:8" x14ac:dyDescent="0.35">
      <c r="A252" s="51" t="s">
        <v>234</v>
      </c>
      <c r="B252" s="52"/>
      <c r="C252" s="52"/>
      <c r="D252" s="52">
        <v>366073</v>
      </c>
    </row>
    <row r="253" spans="1:8" x14ac:dyDescent="0.35">
      <c r="A253" s="221" t="s">
        <v>235</v>
      </c>
      <c r="B253" s="222"/>
      <c r="C253" s="222"/>
      <c r="D253" s="222">
        <v>92102792</v>
      </c>
      <c r="G253" t="s">
        <v>236</v>
      </c>
    </row>
    <row r="254" spans="1:8" x14ac:dyDescent="0.35">
      <c r="A254" s="51"/>
      <c r="B254" s="52"/>
      <c r="C254" s="52"/>
      <c r="D254" s="52"/>
      <c r="G254" t="s">
        <v>237</v>
      </c>
    </row>
    <row r="255" spans="1:8" x14ac:dyDescent="0.35">
      <c r="A255" s="51"/>
      <c r="B255" s="52"/>
      <c r="C255" s="52"/>
      <c r="D255" s="52"/>
    </row>
    <row r="256" spans="1:8" x14ac:dyDescent="0.35">
      <c r="A256" s="55"/>
      <c r="B256" s="113"/>
      <c r="C256" s="113"/>
      <c r="D256" s="113">
        <f>SUM(D245:D255)</f>
        <v>209980211</v>
      </c>
    </row>
    <row r="258" spans="1:4" x14ac:dyDescent="0.35">
      <c r="A258" t="s">
        <v>195</v>
      </c>
      <c r="D258" s="50">
        <f>D243-D256</f>
        <v>773999195</v>
      </c>
    </row>
    <row r="261" spans="1:4" x14ac:dyDescent="0.35">
      <c r="A261" s="115" t="s">
        <v>139</v>
      </c>
      <c r="B261" s="116"/>
      <c r="C261" s="116"/>
      <c r="D261" s="116">
        <v>886324173</v>
      </c>
    </row>
    <row r="263" spans="1:4" x14ac:dyDescent="0.35">
      <c r="A263" t="s">
        <v>179</v>
      </c>
      <c r="D263" s="50">
        <v>148522803</v>
      </c>
    </row>
    <row r="264" spans="1:4" x14ac:dyDescent="0.35">
      <c r="A264" t="s">
        <v>59</v>
      </c>
      <c r="D264" s="50">
        <v>5000000</v>
      </c>
    </row>
    <row r="265" spans="1:4" x14ac:dyDescent="0.35">
      <c r="A265" t="s">
        <v>231</v>
      </c>
      <c r="D265" s="50">
        <v>1600000</v>
      </c>
    </row>
    <row r="266" spans="1:4" x14ac:dyDescent="0.35">
      <c r="A266" t="s">
        <v>100</v>
      </c>
      <c r="D266" s="50">
        <v>12152001</v>
      </c>
    </row>
    <row r="267" spans="1:4" x14ac:dyDescent="0.35">
      <c r="A267" t="s">
        <v>101</v>
      </c>
      <c r="D267" s="50">
        <v>9904999</v>
      </c>
    </row>
    <row r="268" spans="1:4" x14ac:dyDescent="0.35">
      <c r="A268" t="s">
        <v>136</v>
      </c>
      <c r="D268" s="50">
        <v>25636500</v>
      </c>
    </row>
    <row r="269" spans="1:4" x14ac:dyDescent="0.35">
      <c r="A269" t="s">
        <v>238</v>
      </c>
      <c r="D269" s="50">
        <v>63895800</v>
      </c>
    </row>
    <row r="270" spans="1:4" x14ac:dyDescent="0.35">
      <c r="A270" t="s">
        <v>68</v>
      </c>
      <c r="D270" s="50">
        <v>1172400</v>
      </c>
    </row>
    <row r="271" spans="1:4" x14ac:dyDescent="0.35">
      <c r="A271" t="s">
        <v>182</v>
      </c>
      <c r="D271" s="50">
        <f>10000000+10000000+25000000+25000000+12500000</f>
        <v>82500000</v>
      </c>
    </row>
    <row r="274" spans="1:5" x14ac:dyDescent="0.35">
      <c r="A274" t="s">
        <v>195</v>
      </c>
      <c r="D274" s="116">
        <f>SUM(D263:D271)</f>
        <v>350384503</v>
      </c>
    </row>
    <row r="278" spans="1:5" ht="15" thickBot="1" x14ac:dyDescent="0.4"/>
    <row r="279" spans="1:5" x14ac:dyDescent="0.35">
      <c r="A279" s="238" t="s">
        <v>241</v>
      </c>
      <c r="B279" s="239"/>
      <c r="C279" s="239"/>
      <c r="D279" s="239">
        <v>813307057</v>
      </c>
      <c r="E279" s="240"/>
    </row>
    <row r="280" spans="1:5" x14ac:dyDescent="0.35">
      <c r="A280" s="58"/>
      <c r="B280" s="241"/>
      <c r="C280" s="241"/>
      <c r="D280" s="241"/>
      <c r="E280" s="242"/>
    </row>
    <row r="281" spans="1:5" x14ac:dyDescent="0.35">
      <c r="A281" s="58" t="s">
        <v>242</v>
      </c>
      <c r="B281" s="241"/>
      <c r="C281" s="241"/>
      <c r="D281" s="241">
        <v>29950000</v>
      </c>
      <c r="E281" s="242"/>
    </row>
    <row r="282" spans="1:5" x14ac:dyDescent="0.35">
      <c r="A282" s="58" t="s">
        <v>243</v>
      </c>
      <c r="B282" s="241"/>
      <c r="C282" s="241"/>
      <c r="D282" s="241">
        <v>4991700</v>
      </c>
      <c r="E282" s="242"/>
    </row>
    <row r="283" spans="1:5" x14ac:dyDescent="0.35">
      <c r="A283" s="58" t="s">
        <v>244</v>
      </c>
      <c r="B283" s="241"/>
      <c r="C283" s="241"/>
      <c r="D283" s="241">
        <v>4505000</v>
      </c>
      <c r="E283" s="242"/>
    </row>
    <row r="284" spans="1:5" x14ac:dyDescent="0.35">
      <c r="A284" s="58" t="s">
        <v>245</v>
      </c>
      <c r="B284" s="241"/>
      <c r="C284" s="241"/>
      <c r="D284" s="241">
        <v>119042330</v>
      </c>
      <c r="E284" s="242" t="s">
        <v>252</v>
      </c>
    </row>
    <row r="285" spans="1:5" x14ac:dyDescent="0.35">
      <c r="A285" s="58" t="s">
        <v>246</v>
      </c>
      <c r="B285" s="241"/>
      <c r="C285" s="241"/>
      <c r="D285" s="241">
        <v>9005000</v>
      </c>
      <c r="E285" s="242"/>
    </row>
    <row r="286" spans="1:5" x14ac:dyDescent="0.35">
      <c r="A286" s="58" t="s">
        <v>247</v>
      </c>
      <c r="B286" s="241"/>
      <c r="C286" s="241"/>
      <c r="D286" s="241">
        <v>18000000</v>
      </c>
      <c r="E286" s="242"/>
    </row>
    <row r="287" spans="1:5" x14ac:dyDescent="0.35">
      <c r="A287" s="58" t="s">
        <v>248</v>
      </c>
      <c r="B287" s="241"/>
      <c r="C287" s="241"/>
      <c r="D287" s="241">
        <v>97910347</v>
      </c>
      <c r="E287" s="242"/>
    </row>
    <row r="288" spans="1:5" x14ac:dyDescent="0.35">
      <c r="A288" s="58" t="s">
        <v>249</v>
      </c>
      <c r="B288" s="241"/>
      <c r="C288" s="241"/>
      <c r="D288" s="241">
        <f>20000000+13000000+10000000+15000000+25000000+200000000</f>
        <v>283000000</v>
      </c>
      <c r="E288" s="242"/>
    </row>
    <row r="289" spans="1:10" x14ac:dyDescent="0.35">
      <c r="A289" s="58"/>
      <c r="B289" s="241"/>
      <c r="C289" s="241"/>
      <c r="D289" s="241"/>
      <c r="E289" s="242"/>
    </row>
    <row r="290" spans="1:10" x14ac:dyDescent="0.35">
      <c r="A290" s="243" t="s">
        <v>250</v>
      </c>
      <c r="B290" s="244"/>
      <c r="C290" s="244"/>
      <c r="D290" s="244">
        <f>SUM(D281:D288)</f>
        <v>566404377</v>
      </c>
      <c r="E290" s="242"/>
    </row>
    <row r="291" spans="1:10" x14ac:dyDescent="0.35">
      <c r="A291" s="58"/>
      <c r="B291" s="241"/>
      <c r="C291" s="241"/>
      <c r="D291" s="241"/>
      <c r="E291" s="242"/>
    </row>
    <row r="292" spans="1:10" ht="15" thickBot="1" x14ac:dyDescent="0.4">
      <c r="A292" s="245" t="s">
        <v>251</v>
      </c>
      <c r="B292" s="246"/>
      <c r="C292" s="246"/>
      <c r="D292" s="246">
        <f>D279-D290</f>
        <v>246902680</v>
      </c>
      <c r="E292" s="247">
        <f>D292+D284</f>
        <v>365945010</v>
      </c>
    </row>
    <row r="294" spans="1:10" ht="15" thickBot="1" x14ac:dyDescent="0.4"/>
    <row r="295" spans="1:10" x14ac:dyDescent="0.35">
      <c r="A295" s="238" t="s">
        <v>241</v>
      </c>
      <c r="B295" s="239"/>
      <c r="C295" s="239"/>
      <c r="D295" s="248">
        <v>1220887569</v>
      </c>
      <c r="E295"/>
      <c r="G295" s="50"/>
      <c r="I295"/>
      <c r="J295" s="250"/>
    </row>
    <row r="296" spans="1:10" x14ac:dyDescent="0.35">
      <c r="A296" s="58"/>
      <c r="B296" s="241"/>
      <c r="C296" s="241"/>
      <c r="D296" s="242"/>
      <c r="E296"/>
      <c r="G296" s="50"/>
      <c r="I296"/>
    </row>
    <row r="297" spans="1:10" x14ac:dyDescent="0.35">
      <c r="A297" s="58" t="s">
        <v>253</v>
      </c>
      <c r="B297" s="241"/>
      <c r="C297" s="241"/>
      <c r="D297" s="242">
        <v>4991700</v>
      </c>
      <c r="E297"/>
      <c r="G297" s="50"/>
      <c r="I297"/>
    </row>
    <row r="298" spans="1:10" x14ac:dyDescent="0.35">
      <c r="A298" s="58" t="s">
        <v>254</v>
      </c>
      <c r="B298" s="241"/>
      <c r="C298" s="241"/>
      <c r="D298" s="242">
        <v>13419000</v>
      </c>
      <c r="E298"/>
      <c r="G298" s="50"/>
      <c r="I298"/>
    </row>
    <row r="299" spans="1:10" x14ac:dyDescent="0.35">
      <c r="A299" s="58" t="s">
        <v>255</v>
      </c>
      <c r="B299" s="241"/>
      <c r="C299" s="241"/>
      <c r="D299" s="242">
        <v>2862363</v>
      </c>
      <c r="E299"/>
      <c r="G299" s="50"/>
      <c r="I299"/>
    </row>
    <row r="300" spans="1:10" x14ac:dyDescent="0.35">
      <c r="A300" s="58" t="s">
        <v>256</v>
      </c>
      <c r="B300" s="241"/>
      <c r="C300" s="241"/>
      <c r="D300" s="242">
        <v>350544000</v>
      </c>
      <c r="E300"/>
      <c r="G300" s="50"/>
      <c r="I300"/>
    </row>
    <row r="301" spans="1:10" x14ac:dyDescent="0.35">
      <c r="A301" s="58" t="s">
        <v>257</v>
      </c>
      <c r="B301" s="241"/>
      <c r="C301" s="241"/>
      <c r="D301" s="242">
        <v>87745000</v>
      </c>
      <c r="E301"/>
      <c r="G301" s="50"/>
      <c r="I301"/>
    </row>
    <row r="302" spans="1:10" x14ac:dyDescent="0.35">
      <c r="A302" s="58" t="s">
        <v>258</v>
      </c>
      <c r="B302" s="241"/>
      <c r="C302" s="241"/>
      <c r="D302" s="242">
        <v>8042000</v>
      </c>
      <c r="E302"/>
      <c r="G302" s="50"/>
      <c r="I302"/>
    </row>
    <row r="303" spans="1:10" x14ac:dyDescent="0.35">
      <c r="A303" s="58" t="s">
        <v>107</v>
      </c>
      <c r="B303" s="241"/>
      <c r="C303" s="241"/>
      <c r="D303" s="242">
        <v>19961</v>
      </c>
      <c r="E303"/>
      <c r="G303" s="50"/>
      <c r="I303"/>
    </row>
    <row r="304" spans="1:10" x14ac:dyDescent="0.35">
      <c r="A304" s="58" t="s">
        <v>259</v>
      </c>
      <c r="B304" s="241"/>
      <c r="C304" s="241"/>
      <c r="D304" s="242">
        <v>500000</v>
      </c>
      <c r="E304"/>
      <c r="G304" s="50"/>
      <c r="I304"/>
    </row>
    <row r="305" spans="1:9" x14ac:dyDescent="0.35">
      <c r="A305" s="58"/>
      <c r="B305" s="241"/>
      <c r="C305" s="241"/>
      <c r="D305" s="242"/>
      <c r="E305"/>
      <c r="G305" s="50"/>
      <c r="I305"/>
    </row>
    <row r="306" spans="1:9" x14ac:dyDescent="0.35">
      <c r="A306" s="243" t="s">
        <v>250</v>
      </c>
      <c r="B306" s="244"/>
      <c r="C306" s="244"/>
      <c r="D306" s="249">
        <f>SUM(D297:D304)</f>
        <v>468124024</v>
      </c>
      <c r="E306"/>
      <c r="G306" s="50"/>
      <c r="I306"/>
    </row>
    <row r="307" spans="1:9" x14ac:dyDescent="0.35">
      <c r="A307" s="58"/>
      <c r="B307" s="241"/>
      <c r="C307" s="241"/>
      <c r="D307" s="242"/>
      <c r="E307"/>
      <c r="G307" s="50"/>
      <c r="I307"/>
    </row>
    <row r="308" spans="1:9" ht="15" thickBot="1" x14ac:dyDescent="0.4">
      <c r="A308" s="245" t="s">
        <v>251</v>
      </c>
      <c r="B308" s="246"/>
      <c r="C308" s="246"/>
      <c r="D308" s="247">
        <f>D295-D306</f>
        <v>752763545</v>
      </c>
      <c r="E308"/>
      <c r="G308" s="50"/>
      <c r="I308"/>
    </row>
    <row r="310" spans="1:9" x14ac:dyDescent="0.35">
      <c r="A310" s="599" t="s">
        <v>276</v>
      </c>
      <c r="B310" s="599"/>
      <c r="C310" s="599"/>
      <c r="D310" s="599"/>
      <c r="E310" s="599"/>
    </row>
    <row r="311" spans="1:9" ht="15" thickBot="1" x14ac:dyDescent="0.4"/>
    <row r="312" spans="1:9" ht="15" thickBot="1" x14ac:dyDescent="0.4">
      <c r="A312" s="258" t="s">
        <v>241</v>
      </c>
      <c r="B312" s="259"/>
      <c r="C312" s="259"/>
      <c r="D312" s="259">
        <v>1401695692</v>
      </c>
      <c r="E312" s="244"/>
    </row>
    <row r="313" spans="1:9" ht="15" thickBot="1" x14ac:dyDescent="0.4">
      <c r="A313" s="258" t="s">
        <v>270</v>
      </c>
      <c r="B313" s="259"/>
      <c r="C313" s="259"/>
      <c r="D313" s="259" t="s">
        <v>271</v>
      </c>
      <c r="E313" s="259" t="s">
        <v>272</v>
      </c>
    </row>
    <row r="314" spans="1:9" x14ac:dyDescent="0.35">
      <c r="A314" s="256" t="s">
        <v>261</v>
      </c>
      <c r="B314" s="260"/>
      <c r="C314" s="260"/>
      <c r="D314" s="260">
        <v>30870000</v>
      </c>
      <c r="E314" s="260"/>
    </row>
    <row r="315" spans="1:9" x14ac:dyDescent="0.35">
      <c r="A315" s="256" t="s">
        <v>262</v>
      </c>
      <c r="B315" s="260"/>
      <c r="C315" s="260"/>
      <c r="D315" s="260">
        <v>43946140</v>
      </c>
      <c r="E315" s="260"/>
    </row>
    <row r="316" spans="1:9" x14ac:dyDescent="0.35">
      <c r="A316" s="256" t="s">
        <v>263</v>
      </c>
      <c r="B316" s="260"/>
      <c r="C316" s="260"/>
      <c r="D316" s="260">
        <v>7902500</v>
      </c>
      <c r="E316" s="260"/>
    </row>
    <row r="317" spans="1:9" x14ac:dyDescent="0.35">
      <c r="A317" s="256" t="s">
        <v>264</v>
      </c>
      <c r="B317" s="260"/>
      <c r="C317" s="260"/>
      <c r="D317" s="260">
        <v>350544000</v>
      </c>
      <c r="E317" s="260"/>
    </row>
    <row r="318" spans="1:9" x14ac:dyDescent="0.35">
      <c r="A318" s="256" t="s">
        <v>265</v>
      </c>
      <c r="B318" s="260"/>
      <c r="C318" s="260"/>
      <c r="D318" s="260">
        <v>8986926</v>
      </c>
      <c r="E318" s="260"/>
    </row>
    <row r="319" spans="1:9" x14ac:dyDescent="0.35">
      <c r="A319" s="256" t="s">
        <v>266</v>
      </c>
      <c r="B319" s="260"/>
      <c r="C319" s="260"/>
      <c r="D319" s="260">
        <f>982948+6577000+2877318</f>
        <v>10437266</v>
      </c>
      <c r="E319" s="260"/>
    </row>
    <row r="320" spans="1:9" x14ac:dyDescent="0.35">
      <c r="A320" s="256" t="s">
        <v>267</v>
      </c>
      <c r="B320" s="260"/>
      <c r="C320" s="260"/>
      <c r="D320" s="260">
        <v>129878920</v>
      </c>
      <c r="E320" s="260"/>
    </row>
    <row r="321" spans="1:5" x14ac:dyDescent="0.35">
      <c r="A321" s="256" t="s">
        <v>268</v>
      </c>
      <c r="B321" s="260"/>
      <c r="C321" s="260"/>
      <c r="D321" s="260">
        <v>14276999</v>
      </c>
      <c r="E321" s="260"/>
    </row>
    <row r="322" spans="1:5" x14ac:dyDescent="0.35">
      <c r="A322" s="256" t="s">
        <v>269</v>
      </c>
      <c r="B322" s="260"/>
      <c r="C322" s="260"/>
      <c r="D322" s="260">
        <v>56427000</v>
      </c>
      <c r="E322" s="260"/>
    </row>
    <row r="323" spans="1:5" x14ac:dyDescent="0.35">
      <c r="A323" s="256"/>
      <c r="B323" s="260"/>
      <c r="C323" s="260"/>
      <c r="D323" s="260"/>
      <c r="E323" s="260"/>
    </row>
    <row r="324" spans="1:5" x14ac:dyDescent="0.35">
      <c r="A324" s="257" t="s">
        <v>250</v>
      </c>
      <c r="B324" s="261"/>
      <c r="C324" s="261"/>
      <c r="D324" s="261">
        <f>SUM(D314:D322)</f>
        <v>653269751</v>
      </c>
      <c r="E324" s="260"/>
    </row>
    <row r="325" spans="1:5" ht="15" thickBot="1" x14ac:dyDescent="0.4">
      <c r="A325" s="256"/>
      <c r="B325" s="260"/>
      <c r="C325" s="260"/>
      <c r="D325" s="260"/>
      <c r="E325" s="260"/>
    </row>
    <row r="326" spans="1:5" ht="15" thickBot="1" x14ac:dyDescent="0.4">
      <c r="A326" s="258" t="s">
        <v>251</v>
      </c>
      <c r="B326" s="259"/>
      <c r="C326" s="259"/>
      <c r="D326" s="259">
        <f>D312-D324</f>
        <v>748425941</v>
      </c>
      <c r="E326" s="262"/>
    </row>
    <row r="329" spans="1:5" x14ac:dyDescent="0.35">
      <c r="D329" s="104" t="s">
        <v>273</v>
      </c>
    </row>
    <row r="330" spans="1:5" x14ac:dyDescent="0.35">
      <c r="A330" s="255" t="s">
        <v>275</v>
      </c>
      <c r="B330" s="293"/>
      <c r="C330" s="293"/>
      <c r="D330" s="104" t="s">
        <v>274</v>
      </c>
    </row>
    <row r="331" spans="1:5" x14ac:dyDescent="0.35">
      <c r="A331" s="255"/>
      <c r="B331" s="293"/>
      <c r="C331" s="293"/>
      <c r="D331" s="104"/>
    </row>
    <row r="332" spans="1:5" x14ac:dyDescent="0.35">
      <c r="A332" s="255"/>
      <c r="B332" s="293"/>
      <c r="C332" s="293"/>
      <c r="D332" s="104"/>
    </row>
    <row r="333" spans="1:5" x14ac:dyDescent="0.35">
      <c r="A333" s="255"/>
      <c r="B333" s="293"/>
      <c r="C333" s="293"/>
      <c r="D333" s="104"/>
    </row>
    <row r="334" spans="1:5" x14ac:dyDescent="0.35">
      <c r="A334" s="255" t="s">
        <v>18</v>
      </c>
      <c r="B334" s="293"/>
      <c r="C334" s="293"/>
      <c r="D334" s="104" t="s">
        <v>24</v>
      </c>
    </row>
    <row r="336" spans="1:5" ht="15" thickBot="1" x14ac:dyDescent="0.4"/>
    <row r="337" spans="1:4" ht="15" thickBot="1" x14ac:dyDescent="0.4">
      <c r="A337" s="258" t="s">
        <v>241</v>
      </c>
      <c r="B337" s="259"/>
      <c r="C337" s="259"/>
      <c r="D337" s="259">
        <v>1094973924</v>
      </c>
    </row>
    <row r="338" spans="1:4" ht="15" thickBot="1" x14ac:dyDescent="0.4">
      <c r="A338" s="258" t="s">
        <v>270</v>
      </c>
      <c r="B338" s="259"/>
      <c r="C338" s="259"/>
      <c r="D338" s="259" t="s">
        <v>271</v>
      </c>
    </row>
    <row r="339" spans="1:4" x14ac:dyDescent="0.35">
      <c r="A339" s="256" t="s">
        <v>150</v>
      </c>
      <c r="B339" s="260"/>
      <c r="C339" s="260"/>
      <c r="D339" s="260">
        <v>19500000</v>
      </c>
    </row>
    <row r="340" spans="1:4" x14ac:dyDescent="0.35">
      <c r="A340" s="256" t="s">
        <v>267</v>
      </c>
      <c r="B340" s="260"/>
      <c r="C340" s="260"/>
      <c r="D340" s="260">
        <v>16613471</v>
      </c>
    </row>
    <row r="341" spans="1:4" x14ac:dyDescent="0.35">
      <c r="A341" s="256" t="s">
        <v>277</v>
      </c>
      <c r="B341" s="260"/>
      <c r="C341" s="260"/>
      <c r="D341" s="260">
        <v>202888</v>
      </c>
    </row>
    <row r="342" spans="1:4" x14ac:dyDescent="0.35">
      <c r="A342" s="256" t="s">
        <v>157</v>
      </c>
      <c r="B342" s="260"/>
      <c r="C342" s="260"/>
      <c r="D342" s="260">
        <v>6370000</v>
      </c>
    </row>
    <row r="343" spans="1:4" x14ac:dyDescent="0.35">
      <c r="A343" s="256" t="s">
        <v>278</v>
      </c>
      <c r="B343" s="260"/>
      <c r="C343" s="260"/>
      <c r="D343" s="260">
        <v>40405400</v>
      </c>
    </row>
    <row r="344" spans="1:4" x14ac:dyDescent="0.35">
      <c r="A344" s="256" t="s">
        <v>279</v>
      </c>
      <c r="B344" s="260"/>
      <c r="C344" s="260"/>
      <c r="D344" s="260">
        <v>350544000</v>
      </c>
    </row>
    <row r="345" spans="1:4" x14ac:dyDescent="0.35">
      <c r="A345" s="256" t="s">
        <v>280</v>
      </c>
      <c r="B345" s="260"/>
      <c r="C345" s="260"/>
      <c r="D345" s="260">
        <v>393991</v>
      </c>
    </row>
    <row r="346" spans="1:4" x14ac:dyDescent="0.35">
      <c r="A346" s="256" t="s">
        <v>281</v>
      </c>
      <c r="B346" s="260"/>
      <c r="C346" s="260"/>
      <c r="D346" s="260">
        <v>1125674</v>
      </c>
    </row>
    <row r="347" spans="1:4" x14ac:dyDescent="0.35">
      <c r="A347" s="256" t="s">
        <v>282</v>
      </c>
      <c r="B347" s="260"/>
      <c r="C347" s="260"/>
      <c r="D347" s="260">
        <v>43952000</v>
      </c>
    </row>
    <row r="348" spans="1:4" x14ac:dyDescent="0.35">
      <c r="A348" s="256" t="s">
        <v>109</v>
      </c>
      <c r="B348" s="260"/>
      <c r="C348" s="260"/>
      <c r="D348" s="260">
        <v>6432000</v>
      </c>
    </row>
    <row r="349" spans="1:4" x14ac:dyDescent="0.35">
      <c r="A349" s="256" t="s">
        <v>283</v>
      </c>
      <c r="B349" s="260"/>
      <c r="C349" s="260"/>
      <c r="D349" s="260">
        <v>959100</v>
      </c>
    </row>
    <row r="350" spans="1:4" x14ac:dyDescent="0.35">
      <c r="A350" s="257" t="s">
        <v>250</v>
      </c>
      <c r="B350" s="261"/>
      <c r="C350" s="261"/>
      <c r="D350" s="261">
        <f>SUM(D339:D349)</f>
        <v>486498524</v>
      </c>
    </row>
    <row r="351" spans="1:4" ht="15" thickBot="1" x14ac:dyDescent="0.4">
      <c r="A351" s="256"/>
      <c r="B351" s="260"/>
      <c r="C351" s="260"/>
      <c r="D351" s="260"/>
    </row>
    <row r="352" spans="1:4" ht="15" thickBot="1" x14ac:dyDescent="0.4">
      <c r="A352" s="258" t="s">
        <v>251</v>
      </c>
      <c r="B352" s="259"/>
      <c r="C352" s="259"/>
      <c r="D352" s="259">
        <f>D337-D350</f>
        <v>608475400</v>
      </c>
    </row>
    <row r="356" spans="1:4" ht="15" thickBot="1" x14ac:dyDescent="0.4"/>
    <row r="357" spans="1:4" ht="17" x14ac:dyDescent="0.4">
      <c r="A357" s="263" t="s">
        <v>284</v>
      </c>
      <c r="B357" s="294"/>
      <c r="C357" s="294"/>
    </row>
    <row r="358" spans="1:4" ht="17" x14ac:dyDescent="0.4">
      <c r="A358" s="264" t="s">
        <v>285</v>
      </c>
      <c r="B358" s="294"/>
      <c r="C358" s="294"/>
    </row>
    <row r="359" spans="1:4" ht="17.5" thickBot="1" x14ac:dyDescent="0.45">
      <c r="A359" s="265" t="s">
        <v>286</v>
      </c>
      <c r="B359" s="294"/>
      <c r="C359" s="294"/>
    </row>
    <row r="362" spans="1:4" ht="15" thickBot="1" x14ac:dyDescent="0.4"/>
    <row r="363" spans="1:4" ht="15" thickBot="1" x14ac:dyDescent="0.4">
      <c r="A363" s="258" t="s">
        <v>241</v>
      </c>
      <c r="B363" s="259"/>
      <c r="C363" s="259"/>
      <c r="D363" s="259">
        <v>1630710587</v>
      </c>
    </row>
    <row r="364" spans="1:4" ht="15" thickBot="1" x14ac:dyDescent="0.4">
      <c r="A364" s="258" t="s">
        <v>270</v>
      </c>
      <c r="B364" s="259"/>
      <c r="C364" s="259"/>
      <c r="D364" s="259" t="s">
        <v>271</v>
      </c>
    </row>
    <row r="365" spans="1:4" x14ac:dyDescent="0.35">
      <c r="A365" s="256" t="s">
        <v>288</v>
      </c>
      <c r="B365" s="260"/>
      <c r="C365" s="260"/>
      <c r="D365" s="260">
        <v>20310000</v>
      </c>
    </row>
    <row r="366" spans="1:4" x14ac:dyDescent="0.35">
      <c r="A366" s="256" t="s">
        <v>289</v>
      </c>
      <c r="B366" s="260"/>
      <c r="C366" s="260"/>
      <c r="D366" s="260">
        <v>6035000</v>
      </c>
    </row>
    <row r="367" spans="1:4" x14ac:dyDescent="0.35">
      <c r="A367" s="256" t="s">
        <v>290</v>
      </c>
      <c r="B367" s="260"/>
      <c r="C367" s="260"/>
      <c r="D367" s="260">
        <v>79842500</v>
      </c>
    </row>
    <row r="368" spans="1:4" x14ac:dyDescent="0.35">
      <c r="A368" s="256" t="s">
        <v>238</v>
      </c>
      <c r="B368" s="260"/>
      <c r="C368" s="260"/>
      <c r="D368" s="260">
        <v>350544000</v>
      </c>
    </row>
    <row r="369" spans="1:5" x14ac:dyDescent="0.35">
      <c r="A369" s="256" t="s">
        <v>291</v>
      </c>
      <c r="B369" s="260"/>
      <c r="C369" s="260"/>
      <c r="D369" s="260">
        <v>7897000</v>
      </c>
    </row>
    <row r="370" spans="1:5" x14ac:dyDescent="0.35">
      <c r="A370" s="256" t="s">
        <v>182</v>
      </c>
      <c r="B370" s="260"/>
      <c r="C370" s="260"/>
      <c r="D370" s="260">
        <f>10000000+5000000+15000000+25000000+10000000</f>
        <v>65000000</v>
      </c>
    </row>
    <row r="371" spans="1:5" x14ac:dyDescent="0.35">
      <c r="A371" s="256" t="s">
        <v>299</v>
      </c>
      <c r="B371" s="260"/>
      <c r="C371" s="260"/>
      <c r="D371" s="260">
        <f>29950000+4991700+4500000+9000000+10000</f>
        <v>48451700</v>
      </c>
    </row>
    <row r="372" spans="1:5" x14ac:dyDescent="0.35">
      <c r="A372" s="268" t="s">
        <v>250</v>
      </c>
      <c r="B372" s="269"/>
      <c r="C372" s="269"/>
      <c r="D372" s="269">
        <f>SUM(D365:D371)</f>
        <v>578080200</v>
      </c>
    </row>
    <row r="373" spans="1:5" ht="15" thickBot="1" x14ac:dyDescent="0.4">
      <c r="A373" s="256"/>
      <c r="B373" s="260"/>
      <c r="C373" s="260"/>
      <c r="D373" s="260"/>
    </row>
    <row r="374" spans="1:5" ht="15" thickBot="1" x14ac:dyDescent="0.4">
      <c r="A374" s="266" t="s">
        <v>251</v>
      </c>
      <c r="B374" s="267"/>
      <c r="C374" s="267"/>
      <c r="D374" s="267">
        <f>D363-D372</f>
        <v>1052630387</v>
      </c>
    </row>
    <row r="376" spans="1:5" x14ac:dyDescent="0.35">
      <c r="A376" s="115" t="s">
        <v>292</v>
      </c>
      <c r="B376" s="116"/>
      <c r="C376" s="116"/>
    </row>
    <row r="377" spans="1:5" x14ac:dyDescent="0.35">
      <c r="A377" t="s">
        <v>293</v>
      </c>
      <c r="D377" s="50">
        <v>53332380</v>
      </c>
    </row>
    <row r="378" spans="1:5" x14ac:dyDescent="0.35">
      <c r="A378" t="s">
        <v>294</v>
      </c>
      <c r="D378" s="50">
        <v>38266000</v>
      </c>
    </row>
    <row r="379" spans="1:5" x14ac:dyDescent="0.35">
      <c r="A379" t="s">
        <v>295</v>
      </c>
    </row>
    <row r="380" spans="1:5" x14ac:dyDescent="0.35">
      <c r="A380" t="s">
        <v>296</v>
      </c>
      <c r="D380" s="50">
        <v>70325733</v>
      </c>
    </row>
    <row r="381" spans="1:5" x14ac:dyDescent="0.35">
      <c r="A381" t="s">
        <v>297</v>
      </c>
      <c r="D381" s="50">
        <v>65337002</v>
      </c>
    </row>
    <row r="382" spans="1:5" x14ac:dyDescent="0.35">
      <c r="A382" t="s">
        <v>298</v>
      </c>
      <c r="D382" s="50">
        <f>250000*99</f>
        <v>24750000</v>
      </c>
    </row>
    <row r="383" spans="1:5" ht="15" thickBot="1" x14ac:dyDescent="0.4">
      <c r="A383" t="s">
        <v>300</v>
      </c>
      <c r="D383" s="185">
        <f>250000*265</f>
        <v>66250000</v>
      </c>
      <c r="E383" s="50" t="s">
        <v>301</v>
      </c>
    </row>
    <row r="384" spans="1:5" x14ac:dyDescent="0.35">
      <c r="A384" t="s">
        <v>158</v>
      </c>
      <c r="D384" s="116">
        <f>SUM(D377:D383)</f>
        <v>318261115</v>
      </c>
      <c r="E384" s="50">
        <f>D374-D384+66250000</f>
        <v>800619272</v>
      </c>
    </row>
    <row r="387" spans="1:4" ht="15" thickBot="1" x14ac:dyDescent="0.4"/>
    <row r="388" spans="1:4" ht="15" thickBot="1" x14ac:dyDescent="0.4">
      <c r="A388" s="258" t="s">
        <v>241</v>
      </c>
      <c r="B388" s="259"/>
      <c r="C388" s="259"/>
      <c r="D388" s="259">
        <v>1158872906</v>
      </c>
    </row>
    <row r="389" spans="1:4" ht="15" thickBot="1" x14ac:dyDescent="0.4">
      <c r="A389" s="258" t="s">
        <v>270</v>
      </c>
      <c r="B389" s="259"/>
      <c r="C389" s="259"/>
      <c r="D389" s="259" t="s">
        <v>271</v>
      </c>
    </row>
    <row r="390" spans="1:4" x14ac:dyDescent="0.35">
      <c r="A390" s="256" t="s">
        <v>303</v>
      </c>
      <c r="B390" s="260"/>
      <c r="C390" s="260"/>
      <c r="D390" s="260">
        <v>7752000</v>
      </c>
    </row>
    <row r="391" spans="1:4" x14ac:dyDescent="0.35">
      <c r="A391" s="256" t="s">
        <v>307</v>
      </c>
      <c r="B391" s="260"/>
      <c r="C391" s="260"/>
      <c r="D391" s="260">
        <f>1100000*12</f>
        <v>13200000</v>
      </c>
    </row>
    <row r="392" spans="1:4" x14ac:dyDescent="0.35">
      <c r="A392" s="256" t="s">
        <v>306</v>
      </c>
      <c r="B392" s="260"/>
      <c r="C392" s="260"/>
      <c r="D392" s="260">
        <v>35023500</v>
      </c>
    </row>
    <row r="393" spans="1:4" x14ac:dyDescent="0.35">
      <c r="A393" s="256" t="s">
        <v>304</v>
      </c>
      <c r="B393" s="260"/>
      <c r="C393" s="260"/>
      <c r="D393" s="260">
        <v>71940000</v>
      </c>
    </row>
    <row r="394" spans="1:4" x14ac:dyDescent="0.35">
      <c r="A394" s="256" t="s">
        <v>305</v>
      </c>
      <c r="B394" s="260"/>
      <c r="C394" s="260"/>
      <c r="D394" s="260">
        <v>350544000</v>
      </c>
    </row>
    <row r="395" spans="1:4" x14ac:dyDescent="0.35">
      <c r="A395" s="256" t="s">
        <v>308</v>
      </c>
      <c r="B395" s="260"/>
      <c r="C395" s="260"/>
      <c r="D395" s="260">
        <f>D316</f>
        <v>7902500</v>
      </c>
    </row>
    <row r="396" spans="1:4" x14ac:dyDescent="0.35">
      <c r="A396" s="256"/>
      <c r="B396" s="260"/>
      <c r="C396" s="260"/>
      <c r="D396" s="260"/>
    </row>
    <row r="397" spans="1:4" x14ac:dyDescent="0.35">
      <c r="A397" s="256"/>
      <c r="B397" s="260"/>
      <c r="C397" s="260"/>
      <c r="D397" s="260"/>
    </row>
    <row r="398" spans="1:4" x14ac:dyDescent="0.35">
      <c r="A398" s="256"/>
      <c r="B398" s="260"/>
      <c r="C398" s="260"/>
      <c r="D398" s="260"/>
    </row>
    <row r="399" spans="1:4" x14ac:dyDescent="0.35">
      <c r="A399" s="268" t="s">
        <v>250</v>
      </c>
      <c r="B399" s="269"/>
      <c r="C399" s="269"/>
      <c r="D399" s="269">
        <f>SUM(D390:D395)</f>
        <v>486362000</v>
      </c>
    </row>
    <row r="400" spans="1:4" ht="15" thickBot="1" x14ac:dyDescent="0.4">
      <c r="A400" s="256"/>
      <c r="B400" s="260"/>
      <c r="C400" s="260"/>
      <c r="D400" s="260"/>
    </row>
    <row r="401" spans="1:4" ht="15" thickBot="1" x14ac:dyDescent="0.4">
      <c r="A401" s="266" t="s">
        <v>251</v>
      </c>
      <c r="B401" s="267"/>
      <c r="C401" s="267"/>
      <c r="D401" s="267">
        <f>D388-D399</f>
        <v>672510906</v>
      </c>
    </row>
    <row r="402" spans="1:4" ht="15" thickBot="1" x14ac:dyDescent="0.4"/>
    <row r="403" spans="1:4" ht="15" thickBot="1" x14ac:dyDescent="0.4">
      <c r="A403" s="258" t="s">
        <v>241</v>
      </c>
      <c r="B403" s="259"/>
      <c r="C403" s="259"/>
      <c r="D403" s="259">
        <v>1048489963</v>
      </c>
    </row>
    <row r="404" spans="1:4" ht="15" thickBot="1" x14ac:dyDescent="0.4">
      <c r="A404" s="258" t="s">
        <v>270</v>
      </c>
      <c r="B404" s="259"/>
      <c r="C404" s="259"/>
      <c r="D404" s="259" t="s">
        <v>271</v>
      </c>
    </row>
    <row r="405" spans="1:4" x14ac:dyDescent="0.35">
      <c r="A405" s="256" t="s">
        <v>190</v>
      </c>
      <c r="B405" s="260"/>
      <c r="C405" s="260"/>
      <c r="D405" s="260">
        <v>49267000</v>
      </c>
    </row>
    <row r="406" spans="1:4" x14ac:dyDescent="0.35">
      <c r="A406" s="256" t="s">
        <v>309</v>
      </c>
      <c r="B406" s="260"/>
      <c r="C406" s="260"/>
      <c r="D406" s="260">
        <v>7841000</v>
      </c>
    </row>
    <row r="407" spans="1:4" x14ac:dyDescent="0.35">
      <c r="A407" s="256" t="s">
        <v>113</v>
      </c>
      <c r="B407" s="260"/>
      <c r="C407" s="260"/>
      <c r="D407" s="260">
        <v>629080</v>
      </c>
    </row>
    <row r="408" spans="1:4" x14ac:dyDescent="0.35">
      <c r="A408" s="256" t="s">
        <v>231</v>
      </c>
      <c r="B408" s="260"/>
      <c r="C408" s="260"/>
      <c r="D408" s="260">
        <v>17600000</v>
      </c>
    </row>
    <row r="409" spans="1:4" x14ac:dyDescent="0.35">
      <c r="A409" s="256" t="s">
        <v>310</v>
      </c>
      <c r="B409" s="260"/>
      <c r="C409" s="260"/>
      <c r="D409" s="260">
        <v>31417425</v>
      </c>
    </row>
    <row r="410" spans="1:4" x14ac:dyDescent="0.35">
      <c r="A410" s="256"/>
      <c r="B410" s="260"/>
      <c r="C410" s="260"/>
      <c r="D410" s="260"/>
    </row>
    <row r="411" spans="1:4" x14ac:dyDescent="0.35">
      <c r="A411" s="256"/>
      <c r="B411" s="260"/>
      <c r="C411" s="260"/>
      <c r="D411" s="260"/>
    </row>
    <row r="412" spans="1:4" x14ac:dyDescent="0.35">
      <c r="A412" s="256"/>
      <c r="B412" s="260"/>
      <c r="C412" s="260"/>
      <c r="D412" s="260"/>
    </row>
    <row r="413" spans="1:4" x14ac:dyDescent="0.35">
      <c r="A413" s="256"/>
      <c r="B413" s="260"/>
      <c r="C413" s="260"/>
      <c r="D413" s="260"/>
    </row>
    <row r="414" spans="1:4" x14ac:dyDescent="0.35">
      <c r="A414" s="268" t="s">
        <v>250</v>
      </c>
      <c r="B414" s="269"/>
      <c r="C414" s="269"/>
      <c r="D414" s="269">
        <f>SUM(D405:D410)</f>
        <v>106754505</v>
      </c>
    </row>
    <row r="415" spans="1:4" ht="15" thickBot="1" x14ac:dyDescent="0.4">
      <c r="A415" s="256"/>
      <c r="B415" s="260"/>
      <c r="C415" s="260"/>
      <c r="D415" s="260"/>
    </row>
    <row r="416" spans="1:4" ht="15" thickBot="1" x14ac:dyDescent="0.4">
      <c r="A416" s="266" t="s">
        <v>251</v>
      </c>
      <c r="B416" s="267"/>
      <c r="C416" s="267"/>
      <c r="D416" s="267">
        <f>D403-D414</f>
        <v>941735458</v>
      </c>
    </row>
    <row r="421" spans="1:4" ht="23.25" customHeight="1" x14ac:dyDescent="0.35">
      <c r="A421" s="596" t="s">
        <v>328</v>
      </c>
      <c r="B421" s="596"/>
      <c r="C421" s="596"/>
      <c r="D421" s="596"/>
    </row>
    <row r="422" spans="1:4" ht="16" thickBot="1" x14ac:dyDescent="0.4">
      <c r="A422" s="276"/>
      <c r="B422" s="277"/>
      <c r="C422" s="277"/>
      <c r="D422" s="277"/>
    </row>
    <row r="423" spans="1:4" ht="16" thickBot="1" x14ac:dyDescent="0.4">
      <c r="A423" s="278" t="s">
        <v>241</v>
      </c>
      <c r="B423" s="279"/>
      <c r="C423" s="279"/>
      <c r="D423" s="279">
        <v>1156894618</v>
      </c>
    </row>
    <row r="424" spans="1:4" ht="16" thickBot="1" x14ac:dyDescent="0.4">
      <c r="A424" s="278" t="s">
        <v>270</v>
      </c>
      <c r="B424" s="279" t="s">
        <v>315</v>
      </c>
      <c r="C424" s="279"/>
      <c r="D424" s="279" t="s">
        <v>271</v>
      </c>
    </row>
    <row r="425" spans="1:4" ht="15.5" x14ac:dyDescent="0.35">
      <c r="A425" s="280" t="s">
        <v>313</v>
      </c>
      <c r="B425" s="295" t="s">
        <v>324</v>
      </c>
      <c r="C425" s="295"/>
      <c r="D425" s="281">
        <v>15204700</v>
      </c>
    </row>
    <row r="426" spans="1:4" ht="15.5" x14ac:dyDescent="0.35">
      <c r="A426" s="280" t="s">
        <v>314</v>
      </c>
      <c r="B426" s="295" t="s">
        <v>323</v>
      </c>
      <c r="C426" s="295"/>
      <c r="D426" s="281">
        <v>120272500</v>
      </c>
    </row>
    <row r="427" spans="1:4" ht="15.5" x14ac:dyDescent="0.35">
      <c r="A427" s="280"/>
      <c r="B427" s="295"/>
      <c r="C427" s="295"/>
      <c r="D427" s="281"/>
    </row>
    <row r="428" spans="1:4" ht="15.5" x14ac:dyDescent="0.35">
      <c r="A428" s="74" t="s">
        <v>316</v>
      </c>
      <c r="B428" s="600" t="s">
        <v>325</v>
      </c>
      <c r="C428" s="296"/>
      <c r="D428" s="289">
        <v>27362580</v>
      </c>
    </row>
    <row r="429" spans="1:4" ht="15.5" x14ac:dyDescent="0.35">
      <c r="A429" s="74" t="s">
        <v>317</v>
      </c>
      <c r="B429" s="600"/>
      <c r="C429" s="296"/>
      <c r="D429" s="289">
        <v>79842500</v>
      </c>
    </row>
    <row r="430" spans="1:4" ht="15.5" x14ac:dyDescent="0.35">
      <c r="A430" s="74" t="s">
        <v>318</v>
      </c>
      <c r="B430" s="600"/>
      <c r="C430" s="296"/>
      <c r="D430" s="289">
        <v>28252800</v>
      </c>
    </row>
    <row r="431" spans="1:4" ht="15.5" x14ac:dyDescent="0.35">
      <c r="A431" s="74" t="s">
        <v>319</v>
      </c>
      <c r="B431" s="600"/>
      <c r="C431" s="296"/>
      <c r="D431" s="289">
        <v>7201799</v>
      </c>
    </row>
    <row r="432" spans="1:4" ht="15.5" x14ac:dyDescent="0.35">
      <c r="A432" s="74" t="s">
        <v>113</v>
      </c>
      <c r="B432" s="600"/>
      <c r="C432" s="296"/>
      <c r="D432" s="289">
        <v>819379</v>
      </c>
    </row>
    <row r="433" spans="1:5" ht="15.5" x14ac:dyDescent="0.35">
      <c r="A433" s="74" t="s">
        <v>320</v>
      </c>
      <c r="B433" s="600"/>
      <c r="C433" s="296"/>
      <c r="D433" s="289">
        <v>2588892</v>
      </c>
      <c r="E433" s="50">
        <f>SUM(D428:D433)</f>
        <v>146067950</v>
      </c>
    </row>
    <row r="434" spans="1:5" ht="15.5" x14ac:dyDescent="0.35">
      <c r="A434" s="74"/>
      <c r="B434" s="296"/>
      <c r="C434" s="296"/>
      <c r="D434" s="72">
        <f>SUM(D428:D433)</f>
        <v>146067950</v>
      </c>
    </row>
    <row r="435" spans="1:5" ht="15.5" x14ac:dyDescent="0.35">
      <c r="A435" s="280" t="s">
        <v>321</v>
      </c>
      <c r="B435" s="295" t="s">
        <v>326</v>
      </c>
      <c r="C435" s="295"/>
      <c r="D435" s="281">
        <v>258933642</v>
      </c>
    </row>
    <row r="436" spans="1:5" ht="15.5" x14ac:dyDescent="0.35">
      <c r="A436" s="282" t="s">
        <v>322</v>
      </c>
      <c r="B436" s="297" t="s">
        <v>327</v>
      </c>
      <c r="C436" s="297"/>
      <c r="D436" s="283">
        <v>46257822</v>
      </c>
    </row>
    <row r="437" spans="1:5" ht="16" thickBot="1" x14ac:dyDescent="0.4">
      <c r="A437" s="284" t="s">
        <v>250</v>
      </c>
      <c r="B437" s="285"/>
      <c r="C437" s="285"/>
      <c r="D437" s="285">
        <f>SUM(D425:D436)</f>
        <v>732804564</v>
      </c>
    </row>
    <row r="438" spans="1:5" ht="16" thickBot="1" x14ac:dyDescent="0.4">
      <c r="A438" s="286" t="s">
        <v>251</v>
      </c>
      <c r="B438" s="287"/>
      <c r="C438" s="287"/>
      <c r="D438" s="287">
        <f>D423-D437</f>
        <v>424090054</v>
      </c>
    </row>
    <row r="439" spans="1:5" ht="15.5" x14ac:dyDescent="0.35">
      <c r="A439" s="276"/>
      <c r="B439" s="277"/>
      <c r="C439" s="277"/>
      <c r="D439" s="277"/>
    </row>
    <row r="440" spans="1:5" ht="15.5" x14ac:dyDescent="0.35">
      <c r="A440" s="276"/>
      <c r="B440" s="277"/>
      <c r="C440" s="277"/>
      <c r="D440" s="277"/>
    </row>
    <row r="441" spans="1:5" ht="15.5" x14ac:dyDescent="0.35">
      <c r="A441" s="596" t="s">
        <v>338</v>
      </c>
      <c r="B441" s="596"/>
      <c r="C441" s="596"/>
      <c r="D441" s="596"/>
    </row>
    <row r="442" spans="1:5" ht="16" thickBot="1" x14ac:dyDescent="0.4">
      <c r="A442" s="276"/>
      <c r="B442" s="277"/>
      <c r="C442" s="277"/>
      <c r="D442" s="277"/>
    </row>
    <row r="443" spans="1:5" ht="16" thickBot="1" x14ac:dyDescent="0.4">
      <c r="A443" s="278" t="s">
        <v>241</v>
      </c>
      <c r="B443" s="279"/>
      <c r="C443" s="279"/>
      <c r="D443" s="279">
        <v>1205073649</v>
      </c>
    </row>
    <row r="444" spans="1:5" ht="15.5" x14ac:dyDescent="0.35">
      <c r="A444" s="299" t="s">
        <v>270</v>
      </c>
      <c r="B444" s="300" t="s">
        <v>315</v>
      </c>
      <c r="C444" s="300"/>
      <c r="D444" s="300" t="s">
        <v>271</v>
      </c>
    </row>
    <row r="445" spans="1:5" ht="15.75" customHeight="1" x14ac:dyDescent="0.35">
      <c r="A445" s="74" t="s">
        <v>329</v>
      </c>
      <c r="B445" s="606" t="s">
        <v>334</v>
      </c>
      <c r="C445" s="345"/>
      <c r="D445" s="303">
        <v>36745994</v>
      </c>
    </row>
    <row r="446" spans="1:5" ht="15.75" customHeight="1" x14ac:dyDescent="0.35">
      <c r="A446" s="74" t="s">
        <v>337</v>
      </c>
      <c r="B446" s="607"/>
      <c r="C446" s="346"/>
      <c r="D446" s="303">
        <v>30055000</v>
      </c>
    </row>
    <row r="447" spans="1:5" ht="15.75" customHeight="1" x14ac:dyDescent="0.35">
      <c r="A447" s="74" t="s">
        <v>330</v>
      </c>
      <c r="B447" s="607"/>
      <c r="C447" s="346"/>
      <c r="D447" s="303">
        <v>810009</v>
      </c>
    </row>
    <row r="448" spans="1:5" ht="15.75" customHeight="1" x14ac:dyDescent="0.35">
      <c r="A448" s="74" t="s">
        <v>331</v>
      </c>
      <c r="B448" s="608"/>
      <c r="C448" s="347"/>
      <c r="D448" s="303">
        <v>11052</v>
      </c>
    </row>
    <row r="449" spans="1:5" ht="15.75" customHeight="1" x14ac:dyDescent="0.35">
      <c r="A449" s="609" t="s">
        <v>9</v>
      </c>
      <c r="B449" s="610"/>
      <c r="C449" s="348"/>
      <c r="D449" s="309">
        <f>D445+D446+D447+D448</f>
        <v>67622055</v>
      </c>
    </row>
    <row r="450" spans="1:5" ht="15.75" customHeight="1" x14ac:dyDescent="0.35">
      <c r="A450" s="74" t="s">
        <v>332</v>
      </c>
      <c r="B450" s="304" t="s">
        <v>335</v>
      </c>
      <c r="C450" s="304"/>
      <c r="D450" s="303">
        <v>54337500</v>
      </c>
    </row>
    <row r="451" spans="1:5" ht="15.75" customHeight="1" thickBot="1" x14ac:dyDescent="0.4">
      <c r="A451" s="306" t="s">
        <v>333</v>
      </c>
      <c r="B451" s="305" t="s">
        <v>336</v>
      </c>
      <c r="C451" s="305"/>
      <c r="D451" s="307">
        <v>277200000</v>
      </c>
    </row>
    <row r="452" spans="1:5" ht="16" thickBot="1" x14ac:dyDescent="0.4">
      <c r="A452" s="286" t="s">
        <v>250</v>
      </c>
      <c r="B452" s="308"/>
      <c r="C452" s="308"/>
      <c r="D452" s="287">
        <f>D449+D450+D451</f>
        <v>399159555</v>
      </c>
    </row>
    <row r="453" spans="1:5" ht="16" thickBot="1" x14ac:dyDescent="0.4">
      <c r="A453" s="286" t="s">
        <v>251</v>
      </c>
      <c r="B453" s="308"/>
      <c r="C453" s="308"/>
      <c r="D453" s="287">
        <f>D443-D452</f>
        <v>805914094</v>
      </c>
    </row>
    <row r="454" spans="1:5" ht="15.5" x14ac:dyDescent="0.35">
      <c r="A454" s="276"/>
      <c r="B454" s="277"/>
      <c r="C454" s="277"/>
      <c r="D454" s="277"/>
    </row>
    <row r="455" spans="1:5" ht="16.5" customHeight="1" x14ac:dyDescent="0.35">
      <c r="A455" s="276"/>
      <c r="B455" s="277"/>
      <c r="C455" s="277"/>
      <c r="D455" s="277"/>
    </row>
    <row r="456" spans="1:5" ht="16.5" customHeight="1" x14ac:dyDescent="0.35">
      <c r="A456" s="596" t="s">
        <v>339</v>
      </c>
      <c r="B456" s="596"/>
      <c r="C456" s="596"/>
      <c r="D456" s="596"/>
    </row>
    <row r="457" spans="1:5" ht="16.5" customHeight="1" thickBot="1" x14ac:dyDescent="0.4">
      <c r="A457" s="276"/>
      <c r="B457" s="277"/>
      <c r="C457" s="277"/>
      <c r="D457" s="277"/>
    </row>
    <row r="458" spans="1:5" ht="16.5" customHeight="1" thickBot="1" x14ac:dyDescent="0.4">
      <c r="A458" s="278" t="s">
        <v>241</v>
      </c>
      <c r="B458" s="279"/>
      <c r="C458" s="279"/>
      <c r="D458" s="279">
        <f>D465+D464</f>
        <v>818414094</v>
      </c>
    </row>
    <row r="459" spans="1:5" ht="16.5" customHeight="1" x14ac:dyDescent="0.35">
      <c r="A459" s="299" t="s">
        <v>270</v>
      </c>
      <c r="B459" s="300" t="s">
        <v>315</v>
      </c>
      <c r="C459" s="300"/>
      <c r="D459" s="300" t="s">
        <v>271</v>
      </c>
    </row>
    <row r="460" spans="1:5" ht="16.5" customHeight="1" x14ac:dyDescent="0.35">
      <c r="A460" s="74" t="s">
        <v>341</v>
      </c>
      <c r="B460" s="606" t="s">
        <v>340</v>
      </c>
      <c r="C460" s="345"/>
      <c r="D460" s="303">
        <v>1266845</v>
      </c>
    </row>
    <row r="461" spans="1:5" ht="16.5" customHeight="1" x14ac:dyDescent="0.35">
      <c r="A461" s="74" t="s">
        <v>342</v>
      </c>
      <c r="B461" s="607"/>
      <c r="C461" s="346"/>
      <c r="D461" s="303">
        <v>2983857</v>
      </c>
    </row>
    <row r="462" spans="1:5" ht="16.5" customHeight="1" x14ac:dyDescent="0.35">
      <c r="A462" s="74" t="s">
        <v>152</v>
      </c>
      <c r="B462" s="607"/>
      <c r="C462" s="346"/>
      <c r="D462" s="303">
        <v>715547</v>
      </c>
      <c r="E462" s="50">
        <f>D460+D461+D462+42500000</f>
        <v>47466249</v>
      </c>
    </row>
    <row r="463" spans="1:5" ht="16.5" customHeight="1" thickBot="1" x14ac:dyDescent="0.4">
      <c r="A463" s="74" t="s">
        <v>343</v>
      </c>
      <c r="B463" s="608"/>
      <c r="C463" s="347"/>
      <c r="D463" s="303">
        <f>42500000+33751</f>
        <v>42533751</v>
      </c>
      <c r="E463" s="50">
        <f>47500000</f>
        <v>47500000</v>
      </c>
    </row>
    <row r="464" spans="1:5" ht="16.5" customHeight="1" thickBot="1" x14ac:dyDescent="0.4">
      <c r="A464" s="286" t="s">
        <v>250</v>
      </c>
      <c r="B464" s="308"/>
      <c r="C464" s="308"/>
      <c r="D464" s="287">
        <f>D460+D461+D462+D463</f>
        <v>47500000</v>
      </c>
      <c r="E464" s="50">
        <f>E463-E462</f>
        <v>33751</v>
      </c>
    </row>
    <row r="465" spans="1:4" ht="16.5" customHeight="1" thickBot="1" x14ac:dyDescent="0.4">
      <c r="A465" s="286" t="s">
        <v>251</v>
      </c>
      <c r="B465" s="308"/>
      <c r="C465" s="308"/>
      <c r="D465" s="287">
        <f>770914094</f>
        <v>770914094</v>
      </c>
    </row>
    <row r="466" spans="1:4" ht="16.5" customHeight="1" x14ac:dyDescent="0.35">
      <c r="A466" s="276"/>
      <c r="B466" s="277"/>
      <c r="C466" s="277"/>
      <c r="D466" s="277"/>
    </row>
    <row r="467" spans="1:4" ht="16.5" customHeight="1" x14ac:dyDescent="0.35">
      <c r="A467" s="596" t="s">
        <v>344</v>
      </c>
      <c r="B467" s="596"/>
      <c r="C467" s="596"/>
      <c r="D467" s="596"/>
    </row>
    <row r="468" spans="1:4" ht="16.5" customHeight="1" thickBot="1" x14ac:dyDescent="0.4">
      <c r="A468" s="276"/>
      <c r="B468" s="277"/>
      <c r="C468" s="277"/>
      <c r="D468" s="277"/>
    </row>
    <row r="469" spans="1:4" ht="16.5" customHeight="1" thickBot="1" x14ac:dyDescent="0.4">
      <c r="A469" s="278" t="s">
        <v>241</v>
      </c>
      <c r="B469" s="279"/>
      <c r="C469" s="279"/>
      <c r="D469" s="279">
        <v>771114094</v>
      </c>
    </row>
    <row r="470" spans="1:4" ht="16.5" customHeight="1" x14ac:dyDescent="0.35">
      <c r="A470" s="299" t="s">
        <v>270</v>
      </c>
      <c r="B470" s="300" t="s">
        <v>315</v>
      </c>
      <c r="C470" s="300"/>
      <c r="D470" s="300" t="s">
        <v>271</v>
      </c>
    </row>
    <row r="471" spans="1:4" ht="16.5" customHeight="1" x14ac:dyDescent="0.35">
      <c r="A471" s="74" t="s">
        <v>346</v>
      </c>
      <c r="B471" s="603" t="s">
        <v>345</v>
      </c>
      <c r="C471" s="349"/>
      <c r="D471" s="303">
        <v>3430000</v>
      </c>
    </row>
    <row r="472" spans="1:4" ht="16.5" customHeight="1" x14ac:dyDescent="0.35">
      <c r="A472" s="74" t="s">
        <v>295</v>
      </c>
      <c r="B472" s="604"/>
      <c r="C472" s="350"/>
      <c r="D472" s="303">
        <v>40989752</v>
      </c>
    </row>
    <row r="473" spans="1:4" ht="16.5" customHeight="1" x14ac:dyDescent="0.35">
      <c r="A473" s="74" t="s">
        <v>347</v>
      </c>
      <c r="B473" s="604"/>
      <c r="C473" s="350"/>
      <c r="D473" s="303">
        <v>70000</v>
      </c>
    </row>
    <row r="474" spans="1:4" ht="16.5" customHeight="1" x14ac:dyDescent="0.35">
      <c r="A474" s="74" t="s">
        <v>348</v>
      </c>
      <c r="B474" s="604"/>
      <c r="C474" s="350"/>
      <c r="D474" s="303">
        <v>419132</v>
      </c>
    </row>
    <row r="475" spans="1:4" ht="16.5" customHeight="1" x14ac:dyDescent="0.35">
      <c r="A475" s="74" t="s">
        <v>349</v>
      </c>
      <c r="B475" s="604"/>
      <c r="C475" s="350"/>
      <c r="D475" s="303">
        <v>4388000</v>
      </c>
    </row>
    <row r="476" spans="1:4" ht="16.5" customHeight="1" x14ac:dyDescent="0.35">
      <c r="A476" s="74" t="s">
        <v>350</v>
      </c>
      <c r="B476" s="605"/>
      <c r="C476" s="351"/>
      <c r="D476" s="303">
        <v>712500</v>
      </c>
    </row>
    <row r="477" spans="1:4" ht="16.5" customHeight="1" x14ac:dyDescent="0.35">
      <c r="A477" s="74" t="s">
        <v>351</v>
      </c>
      <c r="B477" s="313"/>
      <c r="C477" s="313"/>
      <c r="D477" s="303">
        <v>7110000</v>
      </c>
    </row>
    <row r="478" spans="1:4" ht="16.5" customHeight="1" x14ac:dyDescent="0.35">
      <c r="A478" s="315" t="s">
        <v>250</v>
      </c>
      <c r="B478" s="314"/>
      <c r="C478" s="314"/>
      <c r="D478" s="316">
        <f>D471+D472+D473+D474+D475+D476+D477</f>
        <v>57119384</v>
      </c>
    </row>
    <row r="479" spans="1:4" ht="16.5" customHeight="1" thickBot="1" x14ac:dyDescent="0.4">
      <c r="A479" s="276" t="s">
        <v>352</v>
      </c>
      <c r="B479" s="312" t="s">
        <v>353</v>
      </c>
      <c r="C479" s="354"/>
      <c r="D479" s="310">
        <v>25603900</v>
      </c>
    </row>
    <row r="480" spans="1:4" ht="16.5" customHeight="1" thickBot="1" x14ac:dyDescent="0.4">
      <c r="A480" s="286" t="s">
        <v>250</v>
      </c>
      <c r="B480" s="311"/>
      <c r="C480" s="311"/>
      <c r="D480" s="287">
        <f>D478+D477+D479</f>
        <v>89833284</v>
      </c>
    </row>
    <row r="481" spans="1:9" ht="16.5" customHeight="1" thickBot="1" x14ac:dyDescent="0.4">
      <c r="A481" s="286" t="s">
        <v>251</v>
      </c>
      <c r="B481" s="308"/>
      <c r="C481" s="308"/>
      <c r="D481" s="287">
        <f>D469-D480</f>
        <v>681280810</v>
      </c>
    </row>
    <row r="482" spans="1:9" ht="16.5" customHeight="1" x14ac:dyDescent="0.35">
      <c r="A482" s="276"/>
      <c r="B482" s="277"/>
      <c r="C482" s="277"/>
      <c r="D482" s="277"/>
    </row>
    <row r="483" spans="1:9" ht="16.5" customHeight="1" x14ac:dyDescent="0.35">
      <c r="A483" s="276"/>
      <c r="B483" s="277"/>
      <c r="C483" s="277"/>
      <c r="D483" s="277"/>
    </row>
    <row r="484" spans="1:9" ht="16.5" customHeight="1" x14ac:dyDescent="0.35">
      <c r="A484" s="596" t="s">
        <v>357</v>
      </c>
      <c r="B484" s="596"/>
      <c r="C484" s="596"/>
      <c r="D484" s="596"/>
    </row>
    <row r="485" spans="1:9" ht="16.5" customHeight="1" thickBot="1" x14ac:dyDescent="0.4">
      <c r="A485" s="276"/>
      <c r="B485" s="277"/>
      <c r="C485" s="277"/>
      <c r="D485" s="277"/>
    </row>
    <row r="486" spans="1:9" ht="16.5" customHeight="1" thickBot="1" x14ac:dyDescent="0.4">
      <c r="A486" s="278" t="s">
        <v>241</v>
      </c>
      <c r="B486" s="279"/>
      <c r="C486" s="279"/>
      <c r="D486" s="279">
        <v>838949297</v>
      </c>
    </row>
    <row r="487" spans="1:9" ht="16.5" customHeight="1" x14ac:dyDescent="0.35">
      <c r="A487" s="299" t="s">
        <v>270</v>
      </c>
      <c r="B487" s="300" t="s">
        <v>315</v>
      </c>
      <c r="C487" s="300"/>
      <c r="D487" s="300" t="s">
        <v>271</v>
      </c>
    </row>
    <row r="488" spans="1:9" ht="16.5" customHeight="1" x14ac:dyDescent="0.35">
      <c r="A488" s="320" t="s">
        <v>355</v>
      </c>
      <c r="B488" s="601" t="s">
        <v>354</v>
      </c>
      <c r="C488" s="355"/>
      <c r="D488" s="321">
        <v>35000000</v>
      </c>
    </row>
    <row r="489" spans="1:9" ht="16.5" customHeight="1" thickBot="1" x14ac:dyDescent="0.4">
      <c r="A489" s="320" t="s">
        <v>356</v>
      </c>
      <c r="B489" s="602"/>
      <c r="C489" s="356"/>
      <c r="D489" s="321">
        <v>2900000</v>
      </c>
    </row>
    <row r="490" spans="1:9" ht="16.5" customHeight="1" thickBot="1" x14ac:dyDescent="0.4">
      <c r="A490" s="286" t="s">
        <v>250</v>
      </c>
      <c r="B490" s="308"/>
      <c r="C490" s="308"/>
      <c r="D490" s="287">
        <f>D488+D489</f>
        <v>37900000</v>
      </c>
    </row>
    <row r="491" spans="1:9" ht="16.5" customHeight="1" thickBot="1" x14ac:dyDescent="0.4">
      <c r="A491" s="286" t="s">
        <v>251</v>
      </c>
      <c r="B491" s="308"/>
      <c r="C491" s="308"/>
      <c r="D491" s="287">
        <f>D486-D490</f>
        <v>801049297</v>
      </c>
    </row>
    <row r="492" spans="1:9" ht="16.5" customHeight="1" x14ac:dyDescent="0.35">
      <c r="A492" s="317"/>
      <c r="B492" s="318"/>
      <c r="C492" s="318"/>
      <c r="D492" s="319"/>
    </row>
    <row r="493" spans="1:9" ht="16.5" customHeight="1" x14ac:dyDescent="0.35">
      <c r="A493" s="317"/>
      <c r="B493" s="318"/>
      <c r="C493" s="318"/>
      <c r="D493" s="319"/>
    </row>
    <row r="494" spans="1:9" ht="16.5" customHeight="1" x14ac:dyDescent="0.35">
      <c r="A494" s="596" t="s">
        <v>358</v>
      </c>
      <c r="B494" s="596"/>
      <c r="C494" s="344"/>
      <c r="D494" s="325"/>
    </row>
    <row r="495" spans="1:9" ht="16.5" customHeight="1" thickBot="1" x14ac:dyDescent="0.4">
      <c r="A495" s="276"/>
      <c r="B495" s="277"/>
      <c r="C495" s="277"/>
      <c r="D495" s="277"/>
    </row>
    <row r="496" spans="1:9" ht="16.5" customHeight="1" thickBot="1" x14ac:dyDescent="0.4">
      <c r="A496" s="278" t="s">
        <v>241</v>
      </c>
      <c r="B496" s="279">
        <v>801665667</v>
      </c>
      <c r="C496" s="357"/>
      <c r="E496"/>
      <c r="G496" s="50"/>
      <c r="I496"/>
    </row>
    <row r="497" spans="1:9" ht="16.5" customHeight="1" x14ac:dyDescent="0.35">
      <c r="A497" s="299" t="s">
        <v>270</v>
      </c>
      <c r="B497" s="300" t="s">
        <v>271</v>
      </c>
      <c r="C497" s="357"/>
      <c r="E497"/>
      <c r="G497" s="50"/>
      <c r="I497"/>
    </row>
    <row r="498" spans="1:9" ht="16.5" customHeight="1" x14ac:dyDescent="0.35">
      <c r="A498" s="326" t="s">
        <v>366</v>
      </c>
      <c r="B498" s="327">
        <v>175947800</v>
      </c>
      <c r="C498" s="310"/>
      <c r="E498"/>
      <c r="G498" s="50"/>
      <c r="I498"/>
    </row>
    <row r="499" spans="1:9" ht="16.5" customHeight="1" x14ac:dyDescent="0.35">
      <c r="A499" s="326" t="s">
        <v>367</v>
      </c>
      <c r="B499" s="327">
        <v>15805000</v>
      </c>
      <c r="C499" s="310"/>
      <c r="E499"/>
      <c r="G499" s="50"/>
      <c r="I499"/>
    </row>
    <row r="500" spans="1:9" ht="16.5" customHeight="1" x14ac:dyDescent="0.35">
      <c r="A500" s="326" t="s">
        <v>103</v>
      </c>
      <c r="B500" s="327">
        <v>533760</v>
      </c>
      <c r="C500" s="310"/>
      <c r="E500"/>
      <c r="G500" s="50"/>
      <c r="I500"/>
    </row>
    <row r="501" spans="1:9" ht="16.5" customHeight="1" x14ac:dyDescent="0.35">
      <c r="A501" s="326" t="s">
        <v>368</v>
      </c>
      <c r="B501" s="327">
        <v>37180000</v>
      </c>
      <c r="C501" s="310"/>
      <c r="E501"/>
      <c r="G501" s="50"/>
      <c r="I501"/>
    </row>
    <row r="502" spans="1:9" ht="16.5" customHeight="1" x14ac:dyDescent="0.35">
      <c r="A502" s="326" t="s">
        <v>356</v>
      </c>
      <c r="B502" s="327">
        <v>9700000</v>
      </c>
      <c r="C502" s="310"/>
      <c r="E502"/>
      <c r="G502" s="50"/>
      <c r="I502"/>
    </row>
    <row r="503" spans="1:9" ht="16.5" customHeight="1" x14ac:dyDescent="0.35">
      <c r="A503" s="326" t="s">
        <v>369</v>
      </c>
      <c r="B503" s="327">
        <v>2496200</v>
      </c>
      <c r="C503" s="310"/>
      <c r="E503"/>
      <c r="G503" s="50"/>
      <c r="I503"/>
    </row>
    <row r="504" spans="1:9" ht="16.5" customHeight="1" thickBot="1" x14ac:dyDescent="0.4">
      <c r="A504" s="326" t="s">
        <v>370</v>
      </c>
      <c r="B504" s="327">
        <v>3518400</v>
      </c>
      <c r="C504" s="310"/>
      <c r="E504"/>
      <c r="G504" s="50"/>
      <c r="I504"/>
    </row>
    <row r="505" spans="1:9" ht="16.5" customHeight="1" thickBot="1" x14ac:dyDescent="0.4">
      <c r="A505" s="286" t="s">
        <v>250</v>
      </c>
      <c r="B505" s="287">
        <f>SUM(B498:B504)</f>
        <v>245181160</v>
      </c>
      <c r="C505" s="358"/>
      <c r="E505"/>
      <c r="G505" s="50"/>
      <c r="I505"/>
    </row>
    <row r="506" spans="1:9" ht="16.5" customHeight="1" thickBot="1" x14ac:dyDescent="0.4">
      <c r="A506" s="286" t="s">
        <v>251</v>
      </c>
      <c r="B506" s="287">
        <f>B496-B505</f>
        <v>556484507</v>
      </c>
      <c r="C506" s="358"/>
      <c r="E506"/>
      <c r="G506" s="50"/>
      <c r="I506"/>
    </row>
    <row r="507" spans="1:9" ht="16.5" customHeight="1" x14ac:dyDescent="0.35">
      <c r="A507" s="317"/>
      <c r="B507" s="318"/>
      <c r="C507" s="318"/>
      <c r="D507" s="319"/>
    </row>
    <row r="508" spans="1:9" ht="15.5" x14ac:dyDescent="0.35">
      <c r="A508" s="276"/>
      <c r="B508" s="298" t="s">
        <v>371</v>
      </c>
      <c r="C508" s="298"/>
      <c r="D508" s="277"/>
    </row>
    <row r="509" spans="1:9" ht="15.5" x14ac:dyDescent="0.35">
      <c r="A509" s="288" t="s">
        <v>275</v>
      </c>
      <c r="B509" s="298" t="s">
        <v>273</v>
      </c>
      <c r="C509" s="298"/>
      <c r="D509" s="277"/>
    </row>
    <row r="510" spans="1:9" ht="15.5" x14ac:dyDescent="0.35">
      <c r="A510" s="288"/>
      <c r="B510" s="298"/>
      <c r="C510" s="298"/>
      <c r="D510" s="277"/>
    </row>
    <row r="511" spans="1:9" ht="15.5" x14ac:dyDescent="0.35">
      <c r="A511" s="288"/>
      <c r="B511" s="298"/>
      <c r="C511" s="298"/>
      <c r="D511" s="277"/>
    </row>
    <row r="512" spans="1:9" ht="15.5" x14ac:dyDescent="0.35">
      <c r="A512" s="288"/>
      <c r="B512" s="298"/>
      <c r="C512" s="298"/>
      <c r="D512" s="277"/>
    </row>
    <row r="513" spans="1:4" ht="15.5" x14ac:dyDescent="0.35">
      <c r="A513" s="288" t="s">
        <v>18</v>
      </c>
      <c r="B513" s="298" t="s">
        <v>24</v>
      </c>
      <c r="C513" s="298"/>
      <c r="D513" s="277"/>
    </row>
  </sheetData>
  <mergeCells count="16">
    <mergeCell ref="A217:D217"/>
    <mergeCell ref="A456:D456"/>
    <mergeCell ref="B460:B463"/>
    <mergeCell ref="A441:D441"/>
    <mergeCell ref="B445:B448"/>
    <mergeCell ref="A449:B449"/>
    <mergeCell ref="A494:B494"/>
    <mergeCell ref="G244:H244"/>
    <mergeCell ref="A241:D241"/>
    <mergeCell ref="A310:E310"/>
    <mergeCell ref="B428:B433"/>
    <mergeCell ref="A421:D421"/>
    <mergeCell ref="A484:D484"/>
    <mergeCell ref="B488:B489"/>
    <mergeCell ref="A467:D467"/>
    <mergeCell ref="B471:B476"/>
  </mergeCells>
  <pageMargins left="0.59055118110236227" right="0.39370078740157483" top="0.74803149606299213" bottom="0.74803149606299213" header="0.31496062992125984" footer="0.31496062992125984"/>
  <pageSetup scale="85" orientation="portrait" r:id="rId1"/>
  <rowBreaks count="5" manualBreakCount="5">
    <brk id="297" max="2" man="1"/>
    <brk id="353" max="2" man="1"/>
    <brk id="417" max="2" man="1"/>
    <brk id="468" max="2" man="1"/>
    <brk id="524" max="2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/>
  <dimension ref="A1:Z59"/>
  <sheetViews>
    <sheetView showGridLines="0" view="pageBreakPreview" topLeftCell="A10" zoomScaleSheetLayoutView="100" workbookViewId="0">
      <selection activeCell="N21" sqref="N21:Q21"/>
    </sheetView>
  </sheetViews>
  <sheetFormatPr defaultColWidth="9.1796875" defaultRowHeight="14" x14ac:dyDescent="0.3"/>
  <cols>
    <col min="1" max="1" width="1.7265625" style="86" customWidth="1"/>
    <col min="2" max="2" width="2.1796875" style="86" customWidth="1"/>
    <col min="3" max="3" width="1.81640625" style="86" customWidth="1"/>
    <col min="4" max="4" width="12.26953125" style="86" customWidth="1"/>
    <col min="5" max="5" width="9.81640625" style="86" customWidth="1"/>
    <col min="6" max="6" width="2" style="86" customWidth="1"/>
    <col min="7" max="7" width="1.81640625" style="86" customWidth="1"/>
    <col min="8" max="8" width="7.1796875" style="86" customWidth="1"/>
    <col min="9" max="9" width="19.54296875" style="86" customWidth="1"/>
    <col min="10" max="10" width="3.26953125" style="134" customWidth="1"/>
    <col min="11" max="11" width="2.81640625" style="134" customWidth="1"/>
    <col min="12" max="12" width="2.453125" style="134" customWidth="1"/>
    <col min="13" max="13" width="16.81640625" style="134" customWidth="1"/>
    <col min="14" max="14" width="6.7265625" style="135" customWidth="1"/>
    <col min="15" max="15" width="3.453125" style="135" customWidth="1"/>
    <col min="16" max="16" width="2.81640625" style="135" customWidth="1"/>
    <col min="17" max="17" width="9.453125" style="135" customWidth="1"/>
    <col min="18" max="18" width="22.81640625" style="127" customWidth="1"/>
    <col min="19" max="19" width="21" style="128" bestFit="1" customWidth="1"/>
    <col min="20" max="20" width="21" style="128" customWidth="1"/>
    <col min="21" max="21" width="26" style="129" customWidth="1"/>
    <col min="22" max="22" width="16" style="130" customWidth="1"/>
    <col min="23" max="23" width="29.26953125" style="131" customWidth="1"/>
    <col min="24" max="28" width="8" style="86" customWidth="1"/>
    <col min="29" max="16384" width="9.1796875" style="86"/>
  </cols>
  <sheetData>
    <row r="1" spans="1:25" x14ac:dyDescent="0.3">
      <c r="B1" s="122"/>
      <c r="C1" s="123"/>
      <c r="D1" s="123"/>
      <c r="E1" s="123"/>
      <c r="F1" s="123"/>
      <c r="G1" s="123"/>
      <c r="H1" s="123"/>
      <c r="I1" s="123"/>
      <c r="J1" s="124"/>
      <c r="K1" s="124"/>
      <c r="L1" s="124"/>
      <c r="M1" s="124"/>
      <c r="N1" s="125"/>
      <c r="O1" s="125"/>
      <c r="P1" s="125"/>
      <c r="Q1" s="126"/>
    </row>
    <row r="2" spans="1:25" x14ac:dyDescent="0.3">
      <c r="B2" s="85"/>
      <c r="J2" s="193"/>
      <c r="K2" s="193"/>
      <c r="L2" s="193"/>
      <c r="M2" s="193"/>
      <c r="N2" s="89"/>
      <c r="O2" s="89"/>
      <c r="P2" s="89"/>
      <c r="Q2" s="88"/>
    </row>
    <row r="3" spans="1:25" ht="15.5" x14ac:dyDescent="0.35">
      <c r="B3" s="85"/>
      <c r="D3" s="433" t="s">
        <v>0</v>
      </c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87"/>
      <c r="Q3" s="88"/>
    </row>
    <row r="4" spans="1:25" x14ac:dyDescent="0.3">
      <c r="B4" s="85"/>
      <c r="J4" s="193"/>
      <c r="K4" s="193"/>
      <c r="L4" s="193"/>
      <c r="M4" s="193"/>
      <c r="N4" s="89"/>
      <c r="O4" s="89"/>
      <c r="P4" s="89"/>
      <c r="Q4" s="88"/>
    </row>
    <row r="5" spans="1:25" x14ac:dyDescent="0.3">
      <c r="B5" s="85"/>
      <c r="J5" s="193"/>
      <c r="K5" s="193"/>
      <c r="L5" s="193"/>
      <c r="M5" s="193"/>
      <c r="N5" s="89"/>
      <c r="O5" s="89"/>
      <c r="P5" s="89"/>
      <c r="Q5" s="88"/>
      <c r="Y5" s="86" t="s">
        <v>21</v>
      </c>
    </row>
    <row r="6" spans="1:25" ht="15" customHeight="1" x14ac:dyDescent="0.35">
      <c r="B6" s="85"/>
      <c r="E6" s="90"/>
      <c r="F6" s="90"/>
      <c r="G6" s="91" t="s">
        <v>1</v>
      </c>
      <c r="H6" s="90"/>
      <c r="I6" s="90"/>
      <c r="J6" s="92"/>
      <c r="K6" s="92"/>
      <c r="L6" s="92"/>
      <c r="M6" s="92"/>
      <c r="N6" s="93"/>
      <c r="O6" s="93"/>
      <c r="P6" s="93"/>
      <c r="Q6" s="88"/>
    </row>
    <row r="7" spans="1:25" ht="23.25" customHeight="1" x14ac:dyDescent="0.3">
      <c r="B7" s="85"/>
      <c r="G7" s="94" t="s">
        <v>14</v>
      </c>
      <c r="H7" s="95" t="s">
        <v>21</v>
      </c>
      <c r="I7" s="434" t="s">
        <v>359</v>
      </c>
      <c r="J7" s="434"/>
      <c r="K7" s="434"/>
      <c r="L7" s="434"/>
      <c r="M7" s="434"/>
      <c r="N7" s="89"/>
      <c r="O7" s="89"/>
      <c r="P7" s="89"/>
      <c r="Q7" s="88"/>
      <c r="V7" s="136"/>
    </row>
    <row r="8" spans="1:25" x14ac:dyDescent="0.3">
      <c r="B8" s="85"/>
      <c r="J8" s="193"/>
      <c r="K8" s="193"/>
      <c r="L8" s="193"/>
      <c r="M8" s="193"/>
      <c r="N8" s="89"/>
      <c r="O8" s="89"/>
      <c r="P8" s="89"/>
      <c r="Q8" s="88"/>
      <c r="V8" s="136"/>
    </row>
    <row r="9" spans="1:25" ht="24" customHeight="1" x14ac:dyDescent="0.3">
      <c r="B9" s="85"/>
      <c r="D9" s="86" t="s">
        <v>2</v>
      </c>
      <c r="E9" s="86" t="s">
        <v>26</v>
      </c>
      <c r="H9" s="86" t="s">
        <v>7</v>
      </c>
      <c r="I9" s="435" t="s">
        <v>17</v>
      </c>
      <c r="J9" s="435"/>
      <c r="K9" s="435"/>
      <c r="L9" s="435"/>
      <c r="M9" s="435"/>
      <c r="N9" s="435"/>
      <c r="O9" s="89"/>
      <c r="P9" s="89"/>
      <c r="Q9" s="88"/>
      <c r="R9" s="127" t="s">
        <v>87</v>
      </c>
      <c r="V9" s="136"/>
    </row>
    <row r="10" spans="1:25" ht="24" customHeight="1" x14ac:dyDescent="0.3">
      <c r="B10" s="85"/>
      <c r="D10" s="86" t="s">
        <v>3</v>
      </c>
      <c r="H10" s="86" t="s">
        <v>7</v>
      </c>
      <c r="I10" s="436">
        <v>45643</v>
      </c>
      <c r="J10" s="436"/>
      <c r="K10" s="436"/>
      <c r="L10" s="436"/>
      <c r="M10" s="436"/>
      <c r="N10" s="436"/>
      <c r="O10" s="89"/>
      <c r="P10" s="89"/>
      <c r="Q10" s="88"/>
      <c r="V10" s="136"/>
    </row>
    <row r="11" spans="1:25" ht="33.75" customHeight="1" thickBot="1" x14ac:dyDescent="0.35">
      <c r="B11" s="85"/>
      <c r="D11" s="86" t="s">
        <v>4</v>
      </c>
      <c r="H11" s="86" t="s">
        <v>7</v>
      </c>
      <c r="I11" s="437" t="s">
        <v>360</v>
      </c>
      <c r="J11" s="437"/>
      <c r="K11" s="437"/>
      <c r="L11" s="437"/>
      <c r="M11" s="437"/>
      <c r="N11" s="437"/>
      <c r="O11" s="89"/>
      <c r="P11" s="89"/>
      <c r="Q11" s="88"/>
      <c r="R11" s="132"/>
      <c r="S11" s="253"/>
      <c r="V11" s="136"/>
    </row>
    <row r="12" spans="1:25" ht="24" customHeight="1" x14ac:dyDescent="0.3">
      <c r="B12" s="85"/>
      <c r="D12" s="86" t="s">
        <v>5</v>
      </c>
      <c r="H12" s="86" t="s">
        <v>7</v>
      </c>
      <c r="I12" s="438">
        <f>N33</f>
        <v>3518400</v>
      </c>
      <c r="J12" s="438"/>
      <c r="K12" s="438"/>
      <c r="L12" s="438"/>
      <c r="M12" s="438"/>
      <c r="N12" s="438"/>
      <c r="O12" s="89"/>
      <c r="P12" s="89" t="s">
        <v>22</v>
      </c>
      <c r="Q12" s="88"/>
      <c r="S12" s="252"/>
      <c r="U12" s="133"/>
      <c r="V12" s="136"/>
    </row>
    <row r="13" spans="1:25" ht="24" customHeight="1" thickBot="1" x14ac:dyDescent="0.35">
      <c r="A13" s="141"/>
      <c r="B13" s="85"/>
      <c r="D13" s="86" t="s">
        <v>6</v>
      </c>
      <c r="H13" s="86" t="s">
        <v>7</v>
      </c>
      <c r="J13" s="223"/>
      <c r="K13" s="223"/>
      <c r="L13" s="223"/>
      <c r="M13" s="223"/>
      <c r="N13" s="224"/>
      <c r="O13" s="89"/>
      <c r="P13" s="89"/>
      <c r="Q13" s="88"/>
      <c r="R13" s="132"/>
      <c r="V13" s="136"/>
    </row>
    <row r="14" spans="1:25" ht="14.5" thickBot="1" x14ac:dyDescent="0.35">
      <c r="A14" s="141"/>
      <c r="B14" s="85"/>
      <c r="I14" s="435"/>
      <c r="J14" s="435"/>
      <c r="K14" s="435"/>
      <c r="L14" s="435"/>
      <c r="M14" s="435"/>
      <c r="N14" s="435"/>
      <c r="O14" s="89"/>
      <c r="P14" s="89"/>
      <c r="Q14" s="88"/>
      <c r="V14" s="136"/>
    </row>
    <row r="15" spans="1:25" s="121" customFormat="1" ht="21" customHeight="1" thickBot="1" x14ac:dyDescent="0.35">
      <c r="A15" s="196"/>
      <c r="B15" s="439" t="s">
        <v>141</v>
      </c>
      <c r="C15" s="439"/>
      <c r="D15" s="440"/>
      <c r="E15" s="441" t="s">
        <v>142</v>
      </c>
      <c r="F15" s="439"/>
      <c r="G15" s="439"/>
      <c r="H15" s="439"/>
      <c r="I15" s="439"/>
      <c r="J15" s="439"/>
      <c r="K15" s="439"/>
      <c r="L15" s="439"/>
      <c r="M15" s="440"/>
      <c r="N15" s="442" t="s">
        <v>8</v>
      </c>
      <c r="O15" s="442"/>
      <c r="P15" s="442"/>
      <c r="Q15" s="443"/>
      <c r="R15" s="233"/>
      <c r="S15" s="128"/>
      <c r="T15" s="128"/>
      <c r="U15" s="138"/>
      <c r="V15" s="234"/>
      <c r="W15" s="140"/>
    </row>
    <row r="16" spans="1:25" ht="12.75" customHeight="1" thickBot="1" x14ac:dyDescent="0.35">
      <c r="A16" s="141"/>
      <c r="B16" s="109"/>
      <c r="C16" s="109"/>
      <c r="D16" s="146"/>
      <c r="E16" s="271"/>
      <c r="J16" s="86"/>
      <c r="K16" s="86"/>
      <c r="L16" s="86"/>
      <c r="M16" s="86"/>
      <c r="N16" s="446"/>
      <c r="O16" s="444"/>
      <c r="P16" s="444"/>
      <c r="Q16" s="445"/>
      <c r="R16" s="168"/>
      <c r="S16" s="143"/>
      <c r="T16" s="143"/>
      <c r="V16" s="136"/>
    </row>
    <row r="17" spans="1:26" ht="29.25" customHeight="1" x14ac:dyDescent="0.3">
      <c r="A17" s="141"/>
      <c r="B17" s="447"/>
      <c r="C17" s="456"/>
      <c r="D17" s="457"/>
      <c r="E17" s="387" t="s">
        <v>361</v>
      </c>
      <c r="F17" s="388"/>
      <c r="G17" s="388"/>
      <c r="H17" s="388"/>
      <c r="I17" s="388"/>
      <c r="J17" s="388"/>
      <c r="K17" s="388"/>
      <c r="L17" s="388"/>
      <c r="M17" s="388"/>
      <c r="N17" s="450"/>
      <c r="O17" s="451"/>
      <c r="P17" s="451"/>
      <c r="Q17" s="452"/>
      <c r="R17" s="270"/>
      <c r="V17" s="136"/>
    </row>
    <row r="18" spans="1:26" ht="23.25" customHeight="1" thickBot="1" x14ac:dyDescent="0.35">
      <c r="A18" s="141"/>
      <c r="B18" s="447"/>
      <c r="C18" s="456"/>
      <c r="D18" s="457"/>
      <c r="E18" s="460" t="s">
        <v>362</v>
      </c>
      <c r="F18" s="461"/>
      <c r="G18" s="461"/>
      <c r="H18" s="461"/>
      <c r="I18" s="461"/>
      <c r="J18" s="34"/>
      <c r="K18" s="34"/>
      <c r="L18" s="34"/>
      <c r="M18" s="322">
        <v>14500000</v>
      </c>
      <c r="N18" s="450"/>
      <c r="O18" s="451"/>
      <c r="P18" s="451"/>
      <c r="Q18" s="452"/>
      <c r="R18" s="184"/>
      <c r="S18" s="143">
        <v>337500</v>
      </c>
      <c r="T18" s="96"/>
      <c r="U18" s="236">
        <v>337500</v>
      </c>
      <c r="V18" s="236">
        <f>S18-U18</f>
        <v>0</v>
      </c>
      <c r="W18" s="236"/>
      <c r="X18" s="237"/>
    </row>
    <row r="19" spans="1:26" ht="23.25" customHeight="1" thickBot="1" x14ac:dyDescent="0.35">
      <c r="A19" s="141"/>
      <c r="B19" s="389"/>
      <c r="C19" s="390"/>
      <c r="D19" s="391"/>
      <c r="E19" s="515" t="s">
        <v>363</v>
      </c>
      <c r="F19" s="545"/>
      <c r="G19" s="545"/>
      <c r="H19" s="545"/>
      <c r="I19" s="545"/>
      <c r="J19" s="545"/>
      <c r="K19" s="545"/>
      <c r="L19" s="545"/>
      <c r="M19" s="328">
        <v>161420000</v>
      </c>
      <c r="N19" s="392"/>
      <c r="O19" s="393"/>
      <c r="P19" s="393"/>
      <c r="Q19" s="394"/>
      <c r="R19" s="251"/>
      <c r="S19" s="151">
        <v>475000</v>
      </c>
      <c r="T19" s="96"/>
      <c r="U19" s="236">
        <v>525000</v>
      </c>
      <c r="V19" s="236">
        <f t="shared" ref="V19:V27" si="0">S19-U19</f>
        <v>-50000</v>
      </c>
      <c r="W19" s="236"/>
      <c r="X19" s="237"/>
    </row>
    <row r="20" spans="1:26" s="121" customFormat="1" ht="20.149999999999999" customHeight="1" thickBot="1" x14ac:dyDescent="0.35">
      <c r="A20" s="196"/>
      <c r="E20" s="400"/>
      <c r="F20" s="587"/>
      <c r="G20" s="587"/>
      <c r="H20" s="587"/>
      <c r="I20" s="587"/>
      <c r="J20" s="587"/>
      <c r="K20" s="272"/>
      <c r="L20" s="273"/>
      <c r="M20" s="323">
        <f>M18+M19</f>
        <v>175920000</v>
      </c>
      <c r="N20" s="392"/>
      <c r="O20" s="393"/>
      <c r="P20" s="393"/>
      <c r="Q20" s="394"/>
      <c r="R20" s="233"/>
      <c r="S20" s="128">
        <v>525000</v>
      </c>
      <c r="T20" s="143"/>
      <c r="U20" s="236">
        <v>1225000</v>
      </c>
      <c r="V20" s="236">
        <f t="shared" si="0"/>
        <v>-700000</v>
      </c>
      <c r="W20" s="236"/>
      <c r="X20" s="237"/>
    </row>
    <row r="21" spans="1:26" s="121" customFormat="1" ht="20.149999999999999" customHeight="1" thickBot="1" x14ac:dyDescent="0.35">
      <c r="A21" s="196"/>
      <c r="B21" s="447" t="s">
        <v>162</v>
      </c>
      <c r="C21" s="456"/>
      <c r="D21" s="457"/>
      <c r="E21" s="460" t="s">
        <v>364</v>
      </c>
      <c r="F21" s="461"/>
      <c r="G21" s="461"/>
      <c r="H21" s="461"/>
      <c r="I21" s="461"/>
      <c r="J21" s="461"/>
      <c r="K21" s="461"/>
      <c r="L21" s="461"/>
      <c r="M21" s="461"/>
      <c r="N21" s="464">
        <f>M20*2%</f>
        <v>3518400</v>
      </c>
      <c r="O21" s="465"/>
      <c r="P21" s="465"/>
      <c r="Q21" s="466"/>
      <c r="R21" s="232"/>
      <c r="S21" s="128"/>
      <c r="T21" s="143"/>
      <c r="U21" s="236"/>
      <c r="V21" s="236"/>
      <c r="W21" s="236"/>
      <c r="X21" s="237"/>
    </row>
    <row r="22" spans="1:26" s="121" customFormat="1" ht="20.149999999999999" customHeight="1" x14ac:dyDescent="0.3">
      <c r="A22" s="196"/>
      <c r="B22" s="447"/>
      <c r="C22" s="456"/>
      <c r="D22" s="457"/>
      <c r="E22" s="275"/>
      <c r="F22" s="274"/>
      <c r="G22" s="274"/>
      <c r="H22" s="274"/>
      <c r="J22" s="274"/>
      <c r="K22" s="274"/>
      <c r="L22" s="274"/>
      <c r="M22" s="322"/>
      <c r="N22" s="392"/>
      <c r="O22" s="393"/>
      <c r="P22" s="393"/>
      <c r="Q22" s="394"/>
      <c r="R22" s="195"/>
      <c r="S22" s="151">
        <v>1225000</v>
      </c>
      <c r="T22" s="143"/>
      <c r="U22" s="236">
        <v>2730000</v>
      </c>
      <c r="V22" s="236">
        <f t="shared" si="0"/>
        <v>-1505000</v>
      </c>
      <c r="W22" s="236"/>
      <c r="X22" s="237"/>
    </row>
    <row r="23" spans="1:26" s="98" customFormat="1" ht="20.149999999999999" customHeight="1" thickBot="1" x14ac:dyDescent="0.35">
      <c r="A23" s="180"/>
      <c r="B23" s="447"/>
      <c r="C23" s="456"/>
      <c r="D23" s="457"/>
      <c r="E23" s="460"/>
      <c r="F23" s="461"/>
      <c r="G23" s="461"/>
      <c r="H23" s="461"/>
      <c r="I23" s="461"/>
      <c r="J23" s="461"/>
      <c r="K23" s="461"/>
      <c r="L23" s="461"/>
      <c r="M23" s="322"/>
      <c r="N23" s="611"/>
      <c r="O23" s="612"/>
      <c r="P23" s="612"/>
      <c r="Q23" s="613"/>
      <c r="R23" s="214">
        <f>I12-22600000</f>
        <v>-19081600</v>
      </c>
      <c r="S23" s="96">
        <v>2730000</v>
      </c>
      <c r="T23" s="151"/>
      <c r="U23" s="236">
        <v>3195000</v>
      </c>
      <c r="V23" s="236">
        <f t="shared" si="0"/>
        <v>-465000</v>
      </c>
      <c r="W23" s="236"/>
      <c r="X23" s="237"/>
    </row>
    <row r="24" spans="1:26" s="98" customFormat="1" ht="21" customHeight="1" thickBot="1" x14ac:dyDescent="0.35">
      <c r="A24" s="180"/>
      <c r="B24" s="447"/>
      <c r="C24" s="456"/>
      <c r="D24" s="457"/>
      <c r="E24" s="460"/>
      <c r="F24" s="461"/>
      <c r="G24" s="461"/>
      <c r="H24" s="461"/>
      <c r="I24" s="461"/>
      <c r="J24" s="461"/>
      <c r="K24" s="461"/>
      <c r="L24" s="461"/>
      <c r="M24" s="461"/>
      <c r="N24" s="450"/>
      <c r="O24" s="451"/>
      <c r="P24" s="451"/>
      <c r="Q24" s="452"/>
      <c r="R24" s="203"/>
      <c r="S24" s="128">
        <v>3195000</v>
      </c>
      <c r="T24" s="151"/>
      <c r="U24" s="236">
        <v>3897500</v>
      </c>
      <c r="V24" s="236">
        <f t="shared" si="0"/>
        <v>-702500</v>
      </c>
      <c r="W24" s="236"/>
      <c r="X24" s="237"/>
    </row>
    <row r="25" spans="1:26" ht="20.149999999999999" customHeight="1" thickBot="1" x14ac:dyDescent="0.35">
      <c r="A25" s="141" t="s">
        <v>22</v>
      </c>
      <c r="E25" s="458"/>
      <c r="F25" s="388"/>
      <c r="G25" s="388"/>
      <c r="H25" s="388"/>
      <c r="I25" s="388"/>
      <c r="J25" s="388"/>
      <c r="K25" s="388"/>
      <c r="L25" s="388"/>
      <c r="M25" s="388"/>
      <c r="N25" s="392"/>
      <c r="O25" s="393"/>
      <c r="P25" s="393"/>
      <c r="Q25" s="394"/>
      <c r="R25" s="152"/>
      <c r="S25" s="128">
        <v>3897500</v>
      </c>
      <c r="U25" s="236">
        <v>9432500</v>
      </c>
      <c r="V25" s="236">
        <f t="shared" si="0"/>
        <v>-5535000</v>
      </c>
      <c r="W25" s="236"/>
      <c r="X25" s="237"/>
    </row>
    <row r="26" spans="1:26" ht="20.149999999999999" customHeight="1" thickBot="1" x14ac:dyDescent="0.35">
      <c r="B26" s="447"/>
      <c r="C26" s="456"/>
      <c r="D26" s="457"/>
      <c r="E26" s="458"/>
      <c r="F26" s="459"/>
      <c r="G26" s="459"/>
      <c r="H26" s="459"/>
      <c r="I26" s="459"/>
      <c r="J26" s="459"/>
      <c r="K26" s="459"/>
      <c r="L26" s="459"/>
      <c r="M26" s="459"/>
      <c r="N26" s="450"/>
      <c r="O26" s="451"/>
      <c r="P26" s="451"/>
      <c r="Q26" s="452"/>
      <c r="R26" s="144"/>
      <c r="S26" s="143">
        <v>9432500</v>
      </c>
      <c r="U26" s="236">
        <v>12185000</v>
      </c>
      <c r="V26" s="236">
        <f t="shared" si="0"/>
        <v>-2752500</v>
      </c>
      <c r="W26" s="236"/>
      <c r="X26" s="237"/>
    </row>
    <row r="27" spans="1:26" ht="20.149999999999999" customHeight="1" thickBot="1" x14ac:dyDescent="0.35">
      <c r="B27" s="447"/>
      <c r="C27" s="456"/>
      <c r="D27" s="457"/>
      <c r="E27" s="460"/>
      <c r="F27" s="461"/>
      <c r="G27" s="461"/>
      <c r="H27" s="461"/>
      <c r="I27" s="461"/>
      <c r="J27" s="461"/>
      <c r="K27" s="461"/>
      <c r="L27" s="461"/>
      <c r="M27" s="461"/>
      <c r="N27" s="464"/>
      <c r="O27" s="465"/>
      <c r="P27" s="465"/>
      <c r="Q27" s="466"/>
      <c r="R27" s="152"/>
      <c r="S27" s="128">
        <v>12185000</v>
      </c>
      <c r="U27" s="235">
        <v>13203500</v>
      </c>
      <c r="V27" s="236">
        <f t="shared" si="0"/>
        <v>-1018500</v>
      </c>
      <c r="W27" s="236"/>
      <c r="X27" s="237"/>
    </row>
    <row r="28" spans="1:26" ht="20.149999999999999" customHeight="1" thickBot="1" x14ac:dyDescent="0.35">
      <c r="B28" s="428"/>
      <c r="C28" s="397"/>
      <c r="D28" s="398"/>
      <c r="E28" s="387"/>
      <c r="F28" s="388"/>
      <c r="G28" s="388"/>
      <c r="H28" s="388"/>
      <c r="I28" s="388"/>
      <c r="J28" s="35"/>
      <c r="K28" s="35"/>
      <c r="L28" s="35"/>
      <c r="M28" s="324"/>
      <c r="N28" s="392"/>
      <c r="O28" s="393"/>
      <c r="P28" s="393"/>
      <c r="Q28" s="394"/>
      <c r="R28" s="144"/>
      <c r="S28" s="254">
        <v>13203500</v>
      </c>
      <c r="U28" s="235"/>
      <c r="V28" s="236"/>
      <c r="W28" s="236"/>
      <c r="X28" s="237"/>
    </row>
    <row r="29" spans="1:26" ht="20.149999999999999" customHeight="1" x14ac:dyDescent="0.3">
      <c r="B29" s="389"/>
      <c r="C29" s="397"/>
      <c r="D29" s="398"/>
      <c r="E29" s="387"/>
      <c r="F29" s="388"/>
      <c r="G29" s="388"/>
      <c r="H29" s="388"/>
      <c r="I29" s="388"/>
      <c r="J29" s="388"/>
      <c r="K29" s="388"/>
      <c r="L29" s="388"/>
      <c r="M29" s="388"/>
      <c r="N29" s="392"/>
      <c r="O29" s="393"/>
      <c r="P29" s="393"/>
      <c r="Q29" s="394"/>
      <c r="S29" s="252"/>
      <c r="V29" s="136"/>
    </row>
    <row r="30" spans="1:26" ht="20.149999999999999" customHeight="1" x14ac:dyDescent="0.3">
      <c r="B30" s="389"/>
      <c r="C30" s="397"/>
      <c r="D30" s="398"/>
      <c r="E30" s="400"/>
      <c r="F30" s="401"/>
      <c r="G30" s="401"/>
      <c r="H30" s="401"/>
      <c r="I30" s="401"/>
      <c r="J30" s="401"/>
      <c r="K30" s="401"/>
      <c r="L30" s="401"/>
      <c r="M30" s="401"/>
      <c r="N30" s="392"/>
      <c r="O30" s="393"/>
      <c r="P30" s="393"/>
      <c r="Q30" s="394"/>
      <c r="V30" s="136"/>
    </row>
    <row r="31" spans="1:26" ht="14.5" thickBot="1" x14ac:dyDescent="0.35">
      <c r="B31" s="153"/>
      <c r="C31" s="154"/>
      <c r="D31" s="155"/>
      <c r="E31" s="156"/>
      <c r="F31" s="156"/>
      <c r="G31" s="156"/>
      <c r="H31" s="156"/>
      <c r="I31" s="156"/>
      <c r="J31" s="156"/>
      <c r="K31" s="156"/>
      <c r="L31" s="156"/>
      <c r="M31" s="156"/>
      <c r="N31" s="463"/>
      <c r="O31" s="395"/>
      <c r="P31" s="395"/>
      <c r="Q31" s="396"/>
      <c r="V31" s="136"/>
      <c r="W31" s="101"/>
      <c r="X31" s="101"/>
      <c r="Y31" s="101"/>
      <c r="Z31" s="102"/>
    </row>
    <row r="32" spans="1:26" x14ac:dyDescent="0.3">
      <c r="B32" s="85"/>
      <c r="J32" s="193"/>
      <c r="K32" s="193"/>
      <c r="L32" s="193"/>
      <c r="M32" s="193"/>
      <c r="N32" s="158"/>
      <c r="O32" s="158"/>
      <c r="P32" s="158"/>
      <c r="Q32" s="159"/>
      <c r="R32" s="127">
        <v>30448700</v>
      </c>
      <c r="W32" s="403"/>
      <c r="X32" s="404"/>
      <c r="Y32" s="404"/>
      <c r="Z32" s="405"/>
    </row>
    <row r="33" spans="2:23" x14ac:dyDescent="0.3">
      <c r="B33" s="85"/>
      <c r="J33" s="406" t="s">
        <v>9</v>
      </c>
      <c r="K33" s="406"/>
      <c r="L33" s="406"/>
      <c r="M33" s="406"/>
      <c r="N33" s="407">
        <f>SUM(N17:Q29)</f>
        <v>3518400</v>
      </c>
      <c r="O33" s="407"/>
      <c r="P33" s="407"/>
      <c r="Q33" s="408"/>
      <c r="R33" s="127">
        <v>27400000</v>
      </c>
      <c r="S33" s="128">
        <f>1500000*6</f>
        <v>9000000</v>
      </c>
    </row>
    <row r="34" spans="2:23" x14ac:dyDescent="0.3">
      <c r="B34" s="85"/>
      <c r="J34" s="193"/>
      <c r="K34" s="193"/>
      <c r="L34" s="193"/>
      <c r="M34" s="193"/>
      <c r="N34" s="89" t="s">
        <v>22</v>
      </c>
      <c r="O34" s="89"/>
      <c r="P34" s="89"/>
      <c r="Q34" s="88"/>
      <c r="R34" s="127">
        <f>R33-N33</f>
        <v>23881600</v>
      </c>
    </row>
    <row r="35" spans="2:23" s="121" customFormat="1" ht="31.5" customHeight="1" x14ac:dyDescent="0.3">
      <c r="B35" s="160"/>
      <c r="D35" s="99" t="s">
        <v>13</v>
      </c>
      <c r="E35" s="409" t="s">
        <v>365</v>
      </c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10"/>
      <c r="R35" s="137"/>
      <c r="S35" s="128"/>
      <c r="T35" s="128"/>
      <c r="U35" s="138"/>
      <c r="V35" s="139"/>
      <c r="W35" s="131"/>
    </row>
    <row r="36" spans="2:23" ht="9.75" customHeight="1" x14ac:dyDescent="0.3">
      <c r="B36" s="85"/>
      <c r="E36" s="188"/>
      <c r="J36" s="193"/>
      <c r="K36" s="193"/>
      <c r="L36" s="193"/>
      <c r="M36" s="193"/>
      <c r="N36" s="89"/>
      <c r="O36" s="89"/>
      <c r="P36" s="89"/>
      <c r="Q36" s="88"/>
    </row>
    <row r="37" spans="2:23" x14ac:dyDescent="0.3">
      <c r="B37" s="85"/>
      <c r="I37" s="86" t="s">
        <v>25</v>
      </c>
      <c r="J37" s="193"/>
      <c r="K37" s="193"/>
      <c r="L37" s="193"/>
      <c r="M37" s="193"/>
      <c r="N37" s="89"/>
      <c r="O37" s="89"/>
      <c r="P37" s="89"/>
      <c r="Q37" s="88"/>
    </row>
    <row r="38" spans="2:23" x14ac:dyDescent="0.3">
      <c r="B38" s="85"/>
      <c r="D38" s="86" t="s">
        <v>11</v>
      </c>
      <c r="E38" s="411">
        <f>I10</f>
        <v>45643</v>
      </c>
      <c r="F38" s="411"/>
      <c r="G38" s="411"/>
      <c r="I38" s="191" t="s">
        <v>10</v>
      </c>
      <c r="J38" s="193"/>
      <c r="K38" s="193"/>
      <c r="L38" s="193"/>
      <c r="M38" s="412" t="s">
        <v>12</v>
      </c>
      <c r="N38" s="412"/>
      <c r="O38" s="413"/>
      <c r="P38" s="413"/>
      <c r="Q38" s="414"/>
    </row>
    <row r="39" spans="2:23" x14ac:dyDescent="0.3">
      <c r="B39" s="85"/>
      <c r="J39" s="193"/>
      <c r="K39" s="193"/>
      <c r="L39" s="193"/>
      <c r="M39" s="193"/>
      <c r="N39" s="89"/>
      <c r="O39" s="89"/>
      <c r="P39" s="89"/>
      <c r="Q39" s="88"/>
    </row>
    <row r="40" spans="2:23" x14ac:dyDescent="0.3">
      <c r="B40" s="85"/>
      <c r="J40" s="193"/>
      <c r="K40" s="193"/>
      <c r="L40" s="193"/>
      <c r="M40" s="193"/>
      <c r="N40" s="89"/>
      <c r="O40" s="89"/>
      <c r="P40" s="89"/>
      <c r="Q40" s="88"/>
    </row>
    <row r="41" spans="2:23" x14ac:dyDescent="0.3">
      <c r="B41" s="85"/>
      <c r="J41" s="193"/>
      <c r="K41" s="193"/>
      <c r="L41" s="193"/>
      <c r="M41" s="193"/>
      <c r="N41" s="89"/>
      <c r="O41" s="89"/>
      <c r="P41" s="89"/>
      <c r="Q41" s="88"/>
    </row>
    <row r="42" spans="2:23" x14ac:dyDescent="0.3">
      <c r="B42" s="85"/>
      <c r="J42" s="193"/>
      <c r="K42" s="193"/>
      <c r="L42" s="193"/>
      <c r="M42" s="193"/>
      <c r="N42" s="89"/>
      <c r="O42" s="89"/>
      <c r="P42" s="89"/>
      <c r="Q42" s="88"/>
      <c r="V42" s="161"/>
    </row>
    <row r="43" spans="2:23" ht="12" customHeight="1" x14ac:dyDescent="0.3">
      <c r="B43" s="85"/>
      <c r="J43" s="193"/>
      <c r="K43" s="193"/>
      <c r="L43" s="193"/>
      <c r="M43" s="193"/>
      <c r="N43" s="89"/>
      <c r="O43" s="89"/>
      <c r="P43" s="89"/>
      <c r="Q43" s="88"/>
    </row>
    <row r="44" spans="2:23" x14ac:dyDescent="0.3">
      <c r="B44" s="85"/>
      <c r="C44" s="86" t="s">
        <v>15</v>
      </c>
      <c r="D44" s="386" t="s">
        <v>24</v>
      </c>
      <c r="E44" s="386"/>
      <c r="F44" s="86" t="s">
        <v>16</v>
      </c>
      <c r="H44" s="189" t="s">
        <v>15</v>
      </c>
      <c r="I44" s="187" t="s">
        <v>18</v>
      </c>
      <c r="J44" s="193" t="s">
        <v>16</v>
      </c>
      <c r="K44" s="193"/>
      <c r="L44" s="193" t="s">
        <v>15</v>
      </c>
      <c r="M44" s="386" t="s">
        <v>312</v>
      </c>
      <c r="N44" s="386"/>
      <c r="O44" s="386"/>
      <c r="P44" s="162" t="s">
        <v>16</v>
      </c>
      <c r="Q44" s="88"/>
    </row>
    <row r="45" spans="2:23" ht="7.5" customHeight="1" thickBot="1" x14ac:dyDescent="0.35">
      <c r="B45" s="163"/>
      <c r="C45" s="156"/>
      <c r="D45" s="156"/>
      <c r="E45" s="156"/>
      <c r="F45" s="156"/>
      <c r="G45" s="156"/>
      <c r="H45" s="156"/>
      <c r="I45" s="156"/>
      <c r="J45" s="164"/>
      <c r="K45" s="164"/>
      <c r="L45" s="164"/>
      <c r="M45" s="164"/>
      <c r="N45" s="165"/>
      <c r="O45" s="165"/>
      <c r="P45" s="165"/>
      <c r="Q45" s="166"/>
      <c r="S45" s="167"/>
      <c r="T45" s="167"/>
    </row>
    <row r="46" spans="2:23" x14ac:dyDescent="0.3">
      <c r="S46" s="167"/>
      <c r="T46" s="167"/>
    </row>
    <row r="47" spans="2:23" x14ac:dyDescent="0.3">
      <c r="M47" s="134">
        <v>197146984</v>
      </c>
      <c r="S47" s="167"/>
      <c r="T47" s="167"/>
    </row>
    <row r="48" spans="2:23" x14ac:dyDescent="0.3">
      <c r="S48" s="167"/>
      <c r="T48" s="167"/>
    </row>
    <row r="49" spans="2:23" x14ac:dyDescent="0.3">
      <c r="S49" s="167"/>
      <c r="T49" s="167"/>
    </row>
    <row r="50" spans="2:23" x14ac:dyDescent="0.3">
      <c r="R50" s="127">
        <v>34182000</v>
      </c>
      <c r="S50" s="167"/>
      <c r="T50" s="167"/>
    </row>
    <row r="51" spans="2:23" x14ac:dyDescent="0.3">
      <c r="F51" s="98" t="s">
        <v>28</v>
      </c>
      <c r="R51" s="127">
        <v>48687000</v>
      </c>
      <c r="S51" s="167"/>
      <c r="T51" s="167"/>
    </row>
    <row r="52" spans="2:23" x14ac:dyDescent="0.3">
      <c r="R52" s="127">
        <v>17687000</v>
      </c>
      <c r="S52" s="167">
        <v>16686135</v>
      </c>
      <c r="T52" s="167"/>
    </row>
    <row r="53" spans="2:23" x14ac:dyDescent="0.3">
      <c r="R53" s="127">
        <v>20128582</v>
      </c>
      <c r="S53" s="167">
        <v>19452942</v>
      </c>
      <c r="T53" s="167"/>
      <c r="U53" s="129">
        <f>335*2</f>
        <v>670</v>
      </c>
      <c r="W53" s="131">
        <v>874500</v>
      </c>
    </row>
    <row r="54" spans="2:23" x14ac:dyDescent="0.3">
      <c r="R54" s="127">
        <v>5324994</v>
      </c>
      <c r="S54" s="167">
        <v>25498845</v>
      </c>
      <c r="T54" s="167"/>
      <c r="W54" s="131">
        <v>1080000</v>
      </c>
    </row>
    <row r="55" spans="2:23" s="98" customFormat="1" x14ac:dyDescent="0.3">
      <c r="B55" s="86"/>
      <c r="C55" s="86"/>
      <c r="D55" s="86"/>
      <c r="E55" s="86"/>
      <c r="F55" s="86"/>
      <c r="G55" s="86"/>
      <c r="H55" s="86"/>
      <c r="I55" s="86"/>
      <c r="J55" s="134"/>
      <c r="K55" s="134"/>
      <c r="L55" s="134"/>
      <c r="M55" s="134"/>
      <c r="N55" s="135"/>
      <c r="O55" s="135"/>
      <c r="P55" s="135"/>
      <c r="Q55" s="135"/>
      <c r="R55" s="127">
        <v>31587576</v>
      </c>
      <c r="S55" s="167"/>
      <c r="T55" s="167"/>
      <c r="U55" s="129"/>
      <c r="V55" s="130"/>
      <c r="W55" s="131">
        <f>W53+W54</f>
        <v>1954500</v>
      </c>
    </row>
    <row r="56" spans="2:23" x14ac:dyDescent="0.3">
      <c r="R56" s="127">
        <v>18502000</v>
      </c>
    </row>
    <row r="57" spans="2:23" x14ac:dyDescent="0.3">
      <c r="Q57" s="135" t="s">
        <v>27</v>
      </c>
      <c r="R57" s="127">
        <f>SUM(R50:R56)</f>
        <v>176099152</v>
      </c>
    </row>
    <row r="58" spans="2:23" x14ac:dyDescent="0.3">
      <c r="R58" s="127">
        <v>19750000</v>
      </c>
    </row>
    <row r="59" spans="2:23" x14ac:dyDescent="0.3">
      <c r="R59" s="127">
        <v>417</v>
      </c>
    </row>
  </sheetData>
  <mergeCells count="60">
    <mergeCell ref="D44:E44"/>
    <mergeCell ref="M44:O44"/>
    <mergeCell ref="W32:Z32"/>
    <mergeCell ref="E35:Q35"/>
    <mergeCell ref="E38:G38"/>
    <mergeCell ref="M38:N38"/>
    <mergeCell ref="O38:Q38"/>
    <mergeCell ref="J33:M33"/>
    <mergeCell ref="N33:Q33"/>
    <mergeCell ref="B30:D30"/>
    <mergeCell ref="E30:M30"/>
    <mergeCell ref="N30:Q30"/>
    <mergeCell ref="N31:Q31"/>
    <mergeCell ref="B27:D27"/>
    <mergeCell ref="E27:M27"/>
    <mergeCell ref="N27:Q27"/>
    <mergeCell ref="B28:D28"/>
    <mergeCell ref="E28:I28"/>
    <mergeCell ref="N28:Q28"/>
    <mergeCell ref="B29:D29"/>
    <mergeCell ref="E29:M29"/>
    <mergeCell ref="N29:Q29"/>
    <mergeCell ref="B23:D23"/>
    <mergeCell ref="E23:L23"/>
    <mergeCell ref="N23:Q23"/>
    <mergeCell ref="B24:D24"/>
    <mergeCell ref="E24:M24"/>
    <mergeCell ref="N24:Q24"/>
    <mergeCell ref="E25:M25"/>
    <mergeCell ref="N25:Q25"/>
    <mergeCell ref="B26:D26"/>
    <mergeCell ref="E26:M26"/>
    <mergeCell ref="N26:Q26"/>
    <mergeCell ref="B22:D22"/>
    <mergeCell ref="N22:Q22"/>
    <mergeCell ref="B18:D18"/>
    <mergeCell ref="E18:I18"/>
    <mergeCell ref="N18:Q18"/>
    <mergeCell ref="B19:D19"/>
    <mergeCell ref="E19:L19"/>
    <mergeCell ref="N19:Q19"/>
    <mergeCell ref="E20:J20"/>
    <mergeCell ref="N20:Q20"/>
    <mergeCell ref="B21:D21"/>
    <mergeCell ref="E21:M21"/>
    <mergeCell ref="N21:Q21"/>
    <mergeCell ref="B17:D17"/>
    <mergeCell ref="E17:M17"/>
    <mergeCell ref="N17:Q17"/>
    <mergeCell ref="D3:O3"/>
    <mergeCell ref="I7:M7"/>
    <mergeCell ref="I9:N9"/>
    <mergeCell ref="I10:N10"/>
    <mergeCell ref="I11:N11"/>
    <mergeCell ref="I12:N12"/>
    <mergeCell ref="I14:N14"/>
    <mergeCell ref="B15:D15"/>
    <mergeCell ref="E15:M15"/>
    <mergeCell ref="N15:Q15"/>
    <mergeCell ref="N16:Q16"/>
  </mergeCells>
  <printOptions horizontalCentered="1"/>
  <pageMargins left="0.39370078740157483" right="0.47244094488188981" top="0.74803149606299213" bottom="0.35433070866141736" header="0.31496062992125984" footer="0.31496062992125984"/>
  <pageSetup scale="88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AE13-1C0C-43D1-97DB-6E9FFC87004E}">
  <sheetPr codeName="Sheet36"/>
  <dimension ref="A1:C16"/>
  <sheetViews>
    <sheetView workbookViewId="0">
      <selection activeCell="F16" sqref="F16"/>
    </sheetView>
  </sheetViews>
  <sheetFormatPr defaultRowHeight="14.5" x14ac:dyDescent="0.35"/>
  <cols>
    <col min="1" max="1" width="55.26953125" bestFit="1" customWidth="1"/>
    <col min="3" max="3" width="13.7265625" bestFit="1" customWidth="1"/>
  </cols>
  <sheetData>
    <row r="1" spans="1:3" x14ac:dyDescent="0.35">
      <c r="A1" s="614"/>
      <c r="B1" s="614"/>
      <c r="C1" s="614"/>
    </row>
    <row r="2" spans="1:3" x14ac:dyDescent="0.35">
      <c r="A2" s="115" t="s">
        <v>437</v>
      </c>
    </row>
    <row r="3" spans="1:3" x14ac:dyDescent="0.35">
      <c r="A3" s="359" t="s">
        <v>432</v>
      </c>
      <c r="B3" s="359" t="s">
        <v>433</v>
      </c>
      <c r="C3" s="359" t="s">
        <v>434</v>
      </c>
    </row>
    <row r="4" spans="1:3" x14ac:dyDescent="0.35">
      <c r="A4" s="51" t="s">
        <v>439</v>
      </c>
      <c r="B4" s="360">
        <v>2</v>
      </c>
      <c r="C4" s="362">
        <f>12503650*2</f>
        <v>25007300</v>
      </c>
    </row>
    <row r="5" spans="1:3" x14ac:dyDescent="0.35">
      <c r="A5" s="51" t="s">
        <v>435</v>
      </c>
      <c r="B5" s="360">
        <v>1</v>
      </c>
      <c r="C5" s="362">
        <v>33999000</v>
      </c>
    </row>
    <row r="6" spans="1:3" x14ac:dyDescent="0.35">
      <c r="A6" s="361" t="s">
        <v>55</v>
      </c>
      <c r="B6" s="51"/>
      <c r="C6" s="363">
        <f>SUM(C4:C5)</f>
        <v>59006300</v>
      </c>
    </row>
    <row r="9" spans="1:3" x14ac:dyDescent="0.35">
      <c r="A9" s="115" t="s">
        <v>438</v>
      </c>
    </row>
    <row r="10" spans="1:3" x14ac:dyDescent="0.35">
      <c r="A10" s="359" t="s">
        <v>432</v>
      </c>
      <c r="B10" s="359" t="s">
        <v>433</v>
      </c>
      <c r="C10" s="359" t="s">
        <v>434</v>
      </c>
    </row>
    <row r="11" spans="1:3" x14ac:dyDescent="0.35">
      <c r="A11" s="51" t="s">
        <v>436</v>
      </c>
      <c r="B11" s="360">
        <v>2</v>
      </c>
      <c r="C11" s="362">
        <f>12483850*2</f>
        <v>24967700</v>
      </c>
    </row>
    <row r="12" spans="1:3" x14ac:dyDescent="0.35">
      <c r="A12" s="51" t="s">
        <v>435</v>
      </c>
      <c r="B12" s="360">
        <v>1</v>
      </c>
      <c r="C12" s="362">
        <v>34001000</v>
      </c>
    </row>
    <row r="13" spans="1:3" x14ac:dyDescent="0.35">
      <c r="A13" s="361" t="s">
        <v>55</v>
      </c>
      <c r="B13" s="51"/>
      <c r="C13" s="363">
        <f>SUM(C11:C12)</f>
        <v>58968700</v>
      </c>
    </row>
    <row r="15" spans="1:3" x14ac:dyDescent="0.35">
      <c r="A15" t="s">
        <v>440</v>
      </c>
      <c r="C15" s="364">
        <f>C6-C13</f>
        <v>37600</v>
      </c>
    </row>
    <row r="16" spans="1:3" x14ac:dyDescent="0.35">
      <c r="A16" s="615" t="s">
        <v>441</v>
      </c>
      <c r="B16" s="615"/>
      <c r="C16" s="615"/>
    </row>
  </sheetData>
  <mergeCells count="2">
    <mergeCell ref="A1:C1"/>
    <mergeCell ref="A16:C1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71</vt:i4>
      </vt:variant>
      <vt:variant>
        <vt:lpstr>Named Ranges</vt:lpstr>
      </vt:variant>
      <vt:variant>
        <vt:i4>70</vt:i4>
      </vt:variant>
    </vt:vector>
  </HeadingPairs>
  <TitlesOfParts>
    <vt:vector size="141" baseType="lpstr">
      <vt:lpstr>JASA KONSULTAN</vt:lpstr>
      <vt:lpstr>ATK ENDAH</vt:lpstr>
      <vt:lpstr>Sewa Kendaraan Andrinusa (3)</vt:lpstr>
      <vt:lpstr>Sewa Kendaraan Andrinusa (2)</vt:lpstr>
      <vt:lpstr>Kendaraan Tanjung Bandung</vt:lpstr>
      <vt:lpstr>AQUA</vt:lpstr>
      <vt:lpstr>JNE</vt:lpstr>
      <vt:lpstr>INTEGRA PPN</vt:lpstr>
      <vt:lpstr>INTEGRA NON PPN</vt:lpstr>
      <vt:lpstr>Astrido 2023</vt:lpstr>
      <vt:lpstr>SOLUSI PRIMA I</vt:lpstr>
      <vt:lpstr>BINO MITR</vt:lpstr>
      <vt:lpstr>TURBO</vt:lpstr>
      <vt:lpstr>PIKNUS</vt:lpstr>
      <vt:lpstr>DATASCRIP</vt:lpstr>
      <vt:lpstr>Simpanan Anggota</vt:lpstr>
      <vt:lpstr>PINJAMAN ANGGOTA</vt:lpstr>
      <vt:lpstr>PINJAMAN EVA</vt:lpstr>
      <vt:lpstr>PINJAMAN DANDY</vt:lpstr>
      <vt:lpstr>PINJAMAN ERRY</vt:lpstr>
      <vt:lpstr>PPH 23 VSEWA</vt:lpstr>
      <vt:lpstr>BESTPRINT</vt:lpstr>
      <vt:lpstr>LARIKA</vt:lpstr>
      <vt:lpstr>BERSAMA KHANZA SERVIS</vt:lpstr>
      <vt:lpstr>SPT PPN KB</vt:lpstr>
      <vt:lpstr>BENAYA</vt:lpstr>
      <vt:lpstr>PT SRIKANDI DIAMONDS</vt:lpstr>
      <vt:lpstr>SPP 2025 (5)</vt:lpstr>
      <vt:lpstr>SPP 2025 (6)</vt:lpstr>
      <vt:lpstr>SPP 2025 (2)</vt:lpstr>
      <vt:lpstr>SPP 2025 (3)</vt:lpstr>
      <vt:lpstr>SPP 2025 (4)</vt:lpstr>
      <vt:lpstr>SPP 2025 (7)</vt:lpstr>
      <vt:lpstr>SPP 2025 (8)</vt:lpstr>
      <vt:lpstr>SPP 2025 (9)</vt:lpstr>
      <vt:lpstr>SPP 2025 (10)</vt:lpstr>
      <vt:lpstr>SPP 2025 (11)</vt:lpstr>
      <vt:lpstr>SPP 2025 (12)</vt:lpstr>
      <vt:lpstr>SPP 2025 (13)</vt:lpstr>
      <vt:lpstr>SPP 2025 (14)</vt:lpstr>
      <vt:lpstr>SPP 2025 (15)</vt:lpstr>
      <vt:lpstr>SPP 2025 (16)</vt:lpstr>
      <vt:lpstr>SPP 2025 (17)</vt:lpstr>
      <vt:lpstr>SPP 2025 (18)</vt:lpstr>
      <vt:lpstr>SPP 2025 (19)</vt:lpstr>
      <vt:lpstr>SPP 2025 (20)</vt:lpstr>
      <vt:lpstr>SPP 2025 (21)</vt:lpstr>
      <vt:lpstr>SPP 2025 (22)</vt:lpstr>
      <vt:lpstr>SPP 2025 (23)</vt:lpstr>
      <vt:lpstr>SPP 2025 (24)</vt:lpstr>
      <vt:lpstr>SPP 2025 (25)</vt:lpstr>
      <vt:lpstr>SPP 2025 (26)</vt:lpstr>
      <vt:lpstr>SPP 2025 (27)</vt:lpstr>
      <vt:lpstr>SPP 2025 (29)</vt:lpstr>
      <vt:lpstr>SPP 2025 (28)</vt:lpstr>
      <vt:lpstr>SPP 2025 (30)</vt:lpstr>
      <vt:lpstr>SPP 2025 (31)</vt:lpstr>
      <vt:lpstr>SPP 2025 (32)</vt:lpstr>
      <vt:lpstr>SPP 2025 (33)</vt:lpstr>
      <vt:lpstr>SPP 2025 (34)</vt:lpstr>
      <vt:lpstr>SPP 2025 (35)</vt:lpstr>
      <vt:lpstr>SPP 2025 (36)</vt:lpstr>
      <vt:lpstr>SPP 2025 (37)</vt:lpstr>
      <vt:lpstr>BAJU GATHERING</vt:lpstr>
      <vt:lpstr>PARAMUDA</vt:lpstr>
      <vt:lpstr>AORO M6</vt:lpstr>
      <vt:lpstr>CAB SORONG</vt:lpstr>
      <vt:lpstr>TV LG</vt:lpstr>
      <vt:lpstr>Sheet1</vt:lpstr>
      <vt:lpstr>REVISI</vt:lpstr>
      <vt:lpstr>Sheet3</vt:lpstr>
      <vt:lpstr>'AORO M6'!Print_Area</vt:lpstr>
      <vt:lpstr>AQUA!Print_Area</vt:lpstr>
      <vt:lpstr>'Astrido 2023'!Print_Area</vt:lpstr>
      <vt:lpstr>'ATK ENDAH'!Print_Area</vt:lpstr>
      <vt:lpstr>'BAJU GATHERING'!Print_Area</vt:lpstr>
      <vt:lpstr>BENAYA!Print_Area</vt:lpstr>
      <vt:lpstr>'BERSAMA KHANZA SERVIS'!Print_Area</vt:lpstr>
      <vt:lpstr>BESTPRINT!Print_Area</vt:lpstr>
      <vt:lpstr>'BINO MITR'!Print_Area</vt:lpstr>
      <vt:lpstr>'CAB SORONG'!Print_Area</vt:lpstr>
      <vt:lpstr>DATASCRIP!Print_Area</vt:lpstr>
      <vt:lpstr>'INTEGRA NON PPN'!Print_Area</vt:lpstr>
      <vt:lpstr>'INTEGRA PPN'!Print_Area</vt:lpstr>
      <vt:lpstr>'JASA KONSULTAN'!Print_Area</vt:lpstr>
      <vt:lpstr>JNE!Print_Area</vt:lpstr>
      <vt:lpstr>'Kendaraan Tanjung Bandung'!Print_Area</vt:lpstr>
      <vt:lpstr>LARIKA!Print_Area</vt:lpstr>
      <vt:lpstr>PARAMUDA!Print_Area</vt:lpstr>
      <vt:lpstr>PIKNUS!Print_Area</vt:lpstr>
      <vt:lpstr>'PINJAMAN ANGGOTA'!Print_Area</vt:lpstr>
      <vt:lpstr>'PINJAMAN DANDY'!Print_Area</vt:lpstr>
      <vt:lpstr>'PINJAMAN ERRY'!Print_Area</vt:lpstr>
      <vt:lpstr>'PINJAMAN EVA'!Print_Area</vt:lpstr>
      <vt:lpstr>'PPH 23 VSEWA'!Print_Area</vt:lpstr>
      <vt:lpstr>'PT SRIKANDI DIAMONDS'!Print_Area</vt:lpstr>
      <vt:lpstr>REVISI!Print_Area</vt:lpstr>
      <vt:lpstr>'Sewa Kendaraan Andrinusa (2)'!Print_Area</vt:lpstr>
      <vt:lpstr>'Sewa Kendaraan Andrinusa (3)'!Print_Area</vt:lpstr>
      <vt:lpstr>Sheet1!Print_Area</vt:lpstr>
      <vt:lpstr>'Simpanan Anggota'!Print_Area</vt:lpstr>
      <vt:lpstr>'SOLUSI PRIMA I'!Print_Area</vt:lpstr>
      <vt:lpstr>'SPP 2025 (10)'!Print_Area</vt:lpstr>
      <vt:lpstr>'SPP 2025 (11)'!Print_Area</vt:lpstr>
      <vt:lpstr>'SPP 2025 (12)'!Print_Area</vt:lpstr>
      <vt:lpstr>'SPP 2025 (13)'!Print_Area</vt:lpstr>
      <vt:lpstr>'SPP 2025 (14)'!Print_Area</vt:lpstr>
      <vt:lpstr>'SPP 2025 (15)'!Print_Area</vt:lpstr>
      <vt:lpstr>'SPP 2025 (16)'!Print_Area</vt:lpstr>
      <vt:lpstr>'SPP 2025 (17)'!Print_Area</vt:lpstr>
      <vt:lpstr>'SPP 2025 (18)'!Print_Area</vt:lpstr>
      <vt:lpstr>'SPP 2025 (19)'!Print_Area</vt:lpstr>
      <vt:lpstr>'SPP 2025 (2)'!Print_Area</vt:lpstr>
      <vt:lpstr>'SPP 2025 (20)'!Print_Area</vt:lpstr>
      <vt:lpstr>'SPP 2025 (21)'!Print_Area</vt:lpstr>
      <vt:lpstr>'SPP 2025 (22)'!Print_Area</vt:lpstr>
      <vt:lpstr>'SPP 2025 (23)'!Print_Area</vt:lpstr>
      <vt:lpstr>'SPP 2025 (24)'!Print_Area</vt:lpstr>
      <vt:lpstr>'SPP 2025 (25)'!Print_Area</vt:lpstr>
      <vt:lpstr>'SPP 2025 (26)'!Print_Area</vt:lpstr>
      <vt:lpstr>'SPP 2025 (27)'!Print_Area</vt:lpstr>
      <vt:lpstr>'SPP 2025 (28)'!Print_Area</vt:lpstr>
      <vt:lpstr>'SPP 2025 (29)'!Print_Area</vt:lpstr>
      <vt:lpstr>'SPP 2025 (3)'!Print_Area</vt:lpstr>
      <vt:lpstr>'SPP 2025 (30)'!Print_Area</vt:lpstr>
      <vt:lpstr>'SPP 2025 (31)'!Print_Area</vt:lpstr>
      <vt:lpstr>'SPP 2025 (32)'!Print_Area</vt:lpstr>
      <vt:lpstr>'SPP 2025 (33)'!Print_Area</vt:lpstr>
      <vt:lpstr>'SPP 2025 (34)'!Print_Area</vt:lpstr>
      <vt:lpstr>'SPP 2025 (35)'!Print_Area</vt:lpstr>
      <vt:lpstr>'SPP 2025 (36)'!Print_Area</vt:lpstr>
      <vt:lpstr>'SPP 2025 (37)'!Print_Area</vt:lpstr>
      <vt:lpstr>'SPP 2025 (4)'!Print_Area</vt:lpstr>
      <vt:lpstr>'SPP 2025 (5)'!Print_Area</vt:lpstr>
      <vt:lpstr>'SPP 2025 (6)'!Print_Area</vt:lpstr>
      <vt:lpstr>'SPP 2025 (7)'!Print_Area</vt:lpstr>
      <vt:lpstr>'SPP 2025 (8)'!Print_Area</vt:lpstr>
      <vt:lpstr>'SPP 2025 (9)'!Print_Area</vt:lpstr>
      <vt:lpstr>'SPT PPN KB'!Print_Area</vt:lpstr>
      <vt:lpstr>TURBO!Print_Area</vt:lpstr>
      <vt:lpstr>'TV LG'!Print_Area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KOPERASI BKI</dc:creator>
  <cp:lastModifiedBy>Vivi Hazlinda</cp:lastModifiedBy>
  <cp:lastPrinted>2026-01-22T07:02:08Z</cp:lastPrinted>
  <dcterms:created xsi:type="dcterms:W3CDTF">2019-10-03T02:38:22Z</dcterms:created>
  <dcterms:modified xsi:type="dcterms:W3CDTF">2026-01-22T07:06:18Z</dcterms:modified>
</cp:coreProperties>
</file>