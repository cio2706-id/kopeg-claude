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DARH\Desktop\2025 - SHAIDATUN ROHMAH\2025 - SHAIDATUN ROHMAH\C. KERTAS KERJA 2025\"/>
    </mc:Choice>
  </mc:AlternateContent>
  <xr:revisionPtr revIDLastSave="0" documentId="13_ncr:1_{1464CDD2-D45B-4D29-A352-D7799BB4B082}" xr6:coauthVersionLast="47" xr6:coauthVersionMax="47" xr10:uidLastSave="{00000000-0000-0000-0000-000000000000}"/>
  <bookViews>
    <workbookView xWindow="-110" yWindow="-110" windowWidth="19420" windowHeight="10300" tabRatio="962" xr2:uid="{11030908-9006-4049-8896-5258531C5185}"/>
  </bookViews>
  <sheets>
    <sheet name="REKAP PIUTANG REGULER" sheetId="1" r:id="rId1"/>
    <sheet name="Sheet2" sheetId="11" r:id="rId2"/>
  </sheets>
  <definedNames>
    <definedName name="_xlnm._FilterDatabase" localSheetId="0" hidden="1">'REKAP PIUTANG REGULER'!$AY$5:$AZ$201</definedName>
    <definedName name="_xlnm.Print_Area" localSheetId="0">'REKAP PIUTANG REGULER'!$A$1:$BC$199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A6" i="1" l="1"/>
  <c r="BA196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Y198" i="1"/>
  <c r="AD198" i="1"/>
  <c r="AC198" i="1"/>
  <c r="BB194" i="1"/>
  <c r="BC194" i="1"/>
  <c r="BA195" i="1"/>
  <c r="BB195" i="1"/>
  <c r="BC195" i="1"/>
  <c r="AZ186" i="1"/>
  <c r="AZ170" i="1"/>
  <c r="AZ155" i="1" l="1"/>
  <c r="AZ171" i="1"/>
  <c r="AZ157" i="1"/>
  <c r="AZ168" i="1"/>
  <c r="AZ94" i="1"/>
  <c r="G4" i="11" l="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3" i="11"/>
  <c r="AZ196" i="1" l="1"/>
  <c r="AZ198" i="1" s="1"/>
  <c r="AY196" i="1" l="1"/>
  <c r="AX170" i="1"/>
  <c r="AX196" i="1" l="1"/>
  <c r="AX198" i="1" s="1"/>
  <c r="AW196" i="1"/>
  <c r="BB189" i="1"/>
  <c r="BB25" i="1"/>
  <c r="BB69" i="1"/>
  <c r="BB76" i="1"/>
  <c r="AJ54" i="1" l="1"/>
  <c r="AJ177" i="1"/>
  <c r="AI196" i="1" l="1"/>
  <c r="AF196" i="1" l="1"/>
  <c r="AD141" i="1"/>
  <c r="AC196" i="1"/>
  <c r="AD70" i="1"/>
  <c r="AD196" i="1" l="1"/>
  <c r="BB192" i="1"/>
  <c r="BB193" i="1"/>
  <c r="AU196" i="1"/>
  <c r="AV185" i="1"/>
  <c r="AV54" i="1"/>
  <c r="AV196" i="1" s="1"/>
  <c r="AV150" i="1"/>
  <c r="BC193" i="1" l="1"/>
  <c r="BC192" i="1"/>
  <c r="BB191" i="1" l="1"/>
  <c r="BC191" i="1" l="1"/>
  <c r="AT196" i="1"/>
  <c r="AS196" i="1" l="1"/>
  <c r="AR47" i="1" l="1"/>
  <c r="AR143" i="1" l="1"/>
  <c r="AR41" i="1"/>
  <c r="AR35" i="1"/>
  <c r="AR154" i="1" l="1"/>
  <c r="AR157" i="1"/>
  <c r="AR168" i="1"/>
  <c r="AR170" i="1"/>
  <c r="AR171" i="1"/>
  <c r="AR172" i="1"/>
  <c r="AR186" i="1"/>
  <c r="AR94" i="1" l="1"/>
  <c r="AR196" i="1" s="1"/>
  <c r="AP155" i="1" l="1"/>
  <c r="AP171" i="1" l="1"/>
  <c r="AP172" i="1"/>
  <c r="AP170" i="1"/>
  <c r="AP157" i="1"/>
  <c r="AP168" i="1"/>
  <c r="AP154" i="1"/>
  <c r="AO196" i="1" l="1"/>
  <c r="AP196" i="1"/>
  <c r="AN163" i="1" l="1"/>
  <c r="AM196" i="1" l="1"/>
  <c r="AN196" i="1"/>
  <c r="AE196" i="1"/>
  <c r="AG196" i="1"/>
  <c r="AK196" i="1"/>
  <c r="AL110" i="1" l="1"/>
  <c r="AL33" i="1"/>
  <c r="AL196" i="1" s="1"/>
  <c r="AB24" i="1" l="1"/>
  <c r="BB190" i="1"/>
  <c r="AQ196" i="1"/>
  <c r="BC190" i="1" l="1"/>
  <c r="C196" i="1" l="1"/>
  <c r="D196" i="1"/>
  <c r="F196" i="1"/>
  <c r="G196" i="1"/>
  <c r="H196" i="1"/>
  <c r="J196" i="1"/>
  <c r="K196" i="1"/>
  <c r="L196" i="1"/>
  <c r="M196" i="1"/>
  <c r="N196" i="1"/>
  <c r="O196" i="1"/>
  <c r="P196" i="1"/>
  <c r="R196" i="1"/>
  <c r="T196" i="1"/>
  <c r="V196" i="1"/>
  <c r="W196" i="1"/>
  <c r="X196" i="1"/>
  <c r="Y196" i="1"/>
  <c r="Z196" i="1"/>
  <c r="AH171" i="1" l="1"/>
  <c r="AH172" i="1"/>
  <c r="AH157" i="1"/>
  <c r="AH37" i="1" l="1"/>
  <c r="AH196" i="1" l="1"/>
  <c r="BC189" i="1" l="1"/>
  <c r="BB183" i="1" l="1"/>
  <c r="BB184" i="1"/>
  <c r="BB185" i="1"/>
  <c r="BB186" i="1"/>
  <c r="BC186" i="1" s="1"/>
  <c r="BB187" i="1"/>
  <c r="BB188" i="1"/>
  <c r="AA47" i="1"/>
  <c r="AA196" i="1" l="1"/>
  <c r="AB47" i="1"/>
  <c r="BC187" i="1"/>
  <c r="BC188" i="1"/>
  <c r="BC184" i="1"/>
  <c r="BC185" i="1"/>
  <c r="BC183" i="1"/>
  <c r="AB33" i="1" l="1"/>
  <c r="AJ196" i="1" l="1"/>
  <c r="BB166" i="1" l="1"/>
  <c r="BB179" i="1"/>
  <c r="BB182" i="1" l="1"/>
  <c r="BC182" i="1" s="1"/>
  <c r="BB173" i="1"/>
  <c r="BB11" i="1"/>
  <c r="Z198" i="1" l="1"/>
  <c r="Y198" i="1"/>
  <c r="X198" i="1"/>
  <c r="W198" i="1"/>
  <c r="V198" i="1"/>
  <c r="T198" i="1"/>
  <c r="R198" i="1"/>
  <c r="P198" i="1"/>
  <c r="O198" i="1"/>
  <c r="N198" i="1"/>
  <c r="M198" i="1"/>
  <c r="L198" i="1"/>
  <c r="K198" i="1"/>
  <c r="J198" i="1"/>
  <c r="H198" i="1"/>
  <c r="G198" i="1"/>
  <c r="F198" i="1"/>
  <c r="D198" i="1"/>
  <c r="C198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S88" i="1"/>
  <c r="AB88" i="1" s="1"/>
  <c r="AB87" i="1"/>
  <c r="AB86" i="1"/>
  <c r="AB85" i="1"/>
  <c r="S84" i="1"/>
  <c r="I84" i="1"/>
  <c r="I196" i="1" s="1"/>
  <c r="AB83" i="1"/>
  <c r="AB82" i="1"/>
  <c r="AB81" i="1"/>
  <c r="AB80" i="1"/>
  <c r="AB79" i="1"/>
  <c r="AB78" i="1"/>
  <c r="AB77" i="1"/>
  <c r="S76" i="1"/>
  <c r="E76" i="1"/>
  <c r="AB76" i="1" s="1"/>
  <c r="AB75" i="1"/>
  <c r="AB74" i="1"/>
  <c r="AB73" i="1"/>
  <c r="AB72" i="1"/>
  <c r="AB71" i="1"/>
  <c r="AB70" i="1"/>
  <c r="U69" i="1"/>
  <c r="U196" i="1" s="1"/>
  <c r="AB68" i="1"/>
  <c r="AB67" i="1"/>
  <c r="AB66" i="1"/>
  <c r="AB65" i="1"/>
  <c r="AB63" i="1"/>
  <c r="AB62" i="1"/>
  <c r="AB61" i="1"/>
  <c r="AB60" i="1"/>
  <c r="AB59" i="1"/>
  <c r="AB58" i="1"/>
  <c r="AB57" i="1"/>
  <c r="AB56" i="1"/>
  <c r="AB55" i="1"/>
  <c r="Q54" i="1"/>
  <c r="Q196" i="1" s="1"/>
  <c r="AB53" i="1"/>
  <c r="AB52" i="1"/>
  <c r="E51" i="1"/>
  <c r="E196" i="1" s="1"/>
  <c r="AB50" i="1"/>
  <c r="AB49" i="1"/>
  <c r="AB48" i="1"/>
  <c r="AA198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2" i="1"/>
  <c r="AB31" i="1"/>
  <c r="AB30" i="1"/>
  <c r="AB29" i="1"/>
  <c r="AB28" i="1"/>
  <c r="AB27" i="1"/>
  <c r="AB26" i="1"/>
  <c r="AB25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B6" i="1"/>
  <c r="BC179" i="1" l="1"/>
  <c r="S196" i="1"/>
  <c r="S198" i="1" s="1"/>
  <c r="Q198" i="1"/>
  <c r="U198" i="1"/>
  <c r="AB84" i="1"/>
  <c r="E198" i="1"/>
  <c r="AB69" i="1"/>
  <c r="AB51" i="1"/>
  <c r="BC76" i="1"/>
  <c r="I198" i="1"/>
  <c r="AB54" i="1"/>
  <c r="BA198" i="1" l="1"/>
  <c r="BA199" i="1" s="1"/>
  <c r="AB196" i="1"/>
  <c r="AB198" i="1" s="1"/>
  <c r="BB7" i="1"/>
  <c r="BC7" i="1" s="1"/>
  <c r="BB19" i="1"/>
  <c r="BC19" i="1" s="1"/>
  <c r="BB31" i="1"/>
  <c r="BC31" i="1" s="1"/>
  <c r="BB43" i="1"/>
  <c r="BC43" i="1" s="1"/>
  <c r="BB55" i="1"/>
  <c r="BC55" i="1" s="1"/>
  <c r="BB67" i="1"/>
  <c r="BC67" i="1" s="1"/>
  <c r="BB79" i="1"/>
  <c r="BC79" i="1" s="1"/>
  <c r="BB91" i="1"/>
  <c r="BC91" i="1" s="1"/>
  <c r="BB127" i="1"/>
  <c r="BC127" i="1" s="1"/>
  <c r="BB139" i="1"/>
  <c r="BC139" i="1" s="1"/>
  <c r="BB151" i="1"/>
  <c r="BC151" i="1" s="1"/>
  <c r="BB163" i="1"/>
  <c r="BC163" i="1" s="1"/>
  <c r="BB175" i="1"/>
  <c r="BC175" i="1" s="1"/>
  <c r="BB159" i="1"/>
  <c r="BC159" i="1" s="1"/>
  <c r="BB160" i="1"/>
  <c r="BC160" i="1" s="1"/>
  <c r="BB18" i="1"/>
  <c r="BC18" i="1" s="1"/>
  <c r="BB90" i="1"/>
  <c r="BC90" i="1" s="1"/>
  <c r="BB150" i="1"/>
  <c r="BC150" i="1" s="1"/>
  <c r="BB8" i="1"/>
  <c r="BC8" i="1" s="1"/>
  <c r="BB20" i="1"/>
  <c r="BC20" i="1" s="1"/>
  <c r="BB32" i="1"/>
  <c r="BC32" i="1" s="1"/>
  <c r="BB44" i="1"/>
  <c r="BC44" i="1" s="1"/>
  <c r="BB56" i="1"/>
  <c r="BC56" i="1" s="1"/>
  <c r="BB68" i="1"/>
  <c r="BC68" i="1" s="1"/>
  <c r="BB80" i="1"/>
  <c r="BC80" i="1" s="1"/>
  <c r="BB92" i="1"/>
  <c r="BC92" i="1" s="1"/>
  <c r="BB104" i="1"/>
  <c r="BC104" i="1" s="1"/>
  <c r="BB116" i="1"/>
  <c r="BC116" i="1" s="1"/>
  <c r="BB128" i="1"/>
  <c r="BC128" i="1" s="1"/>
  <c r="BB140" i="1"/>
  <c r="BC140" i="1" s="1"/>
  <c r="BB152" i="1"/>
  <c r="BC152" i="1" s="1"/>
  <c r="BB164" i="1"/>
  <c r="BC164" i="1" s="1"/>
  <c r="BB129" i="1"/>
  <c r="BC129" i="1" s="1"/>
  <c r="BB153" i="1"/>
  <c r="BC153" i="1" s="1"/>
  <c r="BB177" i="1"/>
  <c r="BC177" i="1" s="1"/>
  <c r="BB62" i="1"/>
  <c r="BC62" i="1" s="1"/>
  <c r="BB146" i="1"/>
  <c r="BC146" i="1" s="1"/>
  <c r="BB75" i="1"/>
  <c r="BC75" i="1" s="1"/>
  <c r="BB147" i="1"/>
  <c r="BC147" i="1" s="1"/>
  <c r="BB28" i="1"/>
  <c r="BC28" i="1" s="1"/>
  <c r="BB100" i="1"/>
  <c r="BC100" i="1" s="1"/>
  <c r="BB136" i="1"/>
  <c r="BC136" i="1" s="1"/>
  <c r="BB17" i="1"/>
  <c r="BC17" i="1" s="1"/>
  <c r="BB65" i="1"/>
  <c r="BC65" i="1" s="1"/>
  <c r="BB125" i="1"/>
  <c r="BC125" i="1" s="1"/>
  <c r="BB149" i="1"/>
  <c r="BC149" i="1" s="1"/>
  <c r="BB42" i="1"/>
  <c r="BC42" i="1" s="1"/>
  <c r="BB138" i="1"/>
  <c r="BC138" i="1" s="1"/>
  <c r="BB9" i="1"/>
  <c r="BC9" i="1" s="1"/>
  <c r="BB21" i="1"/>
  <c r="BC21" i="1" s="1"/>
  <c r="BB45" i="1"/>
  <c r="BC45" i="1" s="1"/>
  <c r="BB57" i="1"/>
  <c r="BC57" i="1" s="1"/>
  <c r="BC69" i="1"/>
  <c r="BB81" i="1"/>
  <c r="BC81" i="1" s="1"/>
  <c r="BB93" i="1"/>
  <c r="BC93" i="1" s="1"/>
  <c r="BB105" i="1"/>
  <c r="BC105" i="1" s="1"/>
  <c r="BB141" i="1"/>
  <c r="BC141" i="1" s="1"/>
  <c r="BB165" i="1"/>
  <c r="BC165" i="1" s="1"/>
  <c r="BB158" i="1"/>
  <c r="BC158" i="1" s="1"/>
  <c r="BB123" i="1"/>
  <c r="BC123" i="1" s="1"/>
  <c r="BB40" i="1"/>
  <c r="BC40" i="1" s="1"/>
  <c r="BB29" i="1"/>
  <c r="BC29" i="1" s="1"/>
  <c r="BB162" i="1"/>
  <c r="BC162" i="1" s="1"/>
  <c r="BB10" i="1"/>
  <c r="BC10" i="1" s="1"/>
  <c r="BB22" i="1"/>
  <c r="BC22" i="1" s="1"/>
  <c r="BB34" i="1"/>
  <c r="BC34" i="1" s="1"/>
  <c r="BB46" i="1"/>
  <c r="BC46" i="1" s="1"/>
  <c r="BB82" i="1"/>
  <c r="BC82" i="1" s="1"/>
  <c r="BB94" i="1"/>
  <c r="BC94" i="1" s="1"/>
  <c r="BB142" i="1"/>
  <c r="BC142" i="1" s="1"/>
  <c r="BB154" i="1"/>
  <c r="BC154" i="1" s="1"/>
  <c r="BB168" i="1"/>
  <c r="BC168" i="1" s="1"/>
  <c r="BB85" i="1"/>
  <c r="BC85" i="1" s="1"/>
  <c r="BB145" i="1"/>
  <c r="BC145" i="1" s="1"/>
  <c r="BB169" i="1"/>
  <c r="BC169" i="1" s="1"/>
  <c r="BB26" i="1"/>
  <c r="BB74" i="1"/>
  <c r="BC74" i="1" s="1"/>
  <c r="BB122" i="1"/>
  <c r="BC122" i="1" s="1"/>
  <c r="BB15" i="1"/>
  <c r="BC15" i="1" s="1"/>
  <c r="BB63" i="1"/>
  <c r="BC63" i="1" s="1"/>
  <c r="BB111" i="1"/>
  <c r="BC111" i="1" s="1"/>
  <c r="BB171" i="1"/>
  <c r="BC171" i="1" s="1"/>
  <c r="BB52" i="1"/>
  <c r="BC52" i="1" s="1"/>
  <c r="BB112" i="1"/>
  <c r="BC112" i="1" s="1"/>
  <c r="BB172" i="1"/>
  <c r="BC172" i="1" s="1"/>
  <c r="BB53" i="1"/>
  <c r="BC53" i="1" s="1"/>
  <c r="BB113" i="1"/>
  <c r="BC113" i="1" s="1"/>
  <c r="BB161" i="1"/>
  <c r="BC161" i="1" s="1"/>
  <c r="BB23" i="1"/>
  <c r="BC23" i="1" s="1"/>
  <c r="BB47" i="1"/>
  <c r="BC47" i="1" s="1"/>
  <c r="BB59" i="1"/>
  <c r="BC59" i="1" s="1"/>
  <c r="BB71" i="1"/>
  <c r="BC71" i="1" s="1"/>
  <c r="BB95" i="1"/>
  <c r="BC95" i="1" s="1"/>
  <c r="BB107" i="1"/>
  <c r="BC107" i="1" s="1"/>
  <c r="BB119" i="1"/>
  <c r="BC119" i="1" s="1"/>
  <c r="BB131" i="1"/>
  <c r="BC131" i="1" s="1"/>
  <c r="BB143" i="1"/>
  <c r="BC143" i="1" s="1"/>
  <c r="BB155" i="1"/>
  <c r="BC155" i="1" s="1"/>
  <c r="BB12" i="1"/>
  <c r="BC12" i="1" s="1"/>
  <c r="BB24" i="1"/>
  <c r="BC24" i="1" s="1"/>
  <c r="BB36" i="1"/>
  <c r="BC36" i="1" s="1"/>
  <c r="BB48" i="1"/>
  <c r="BC48" i="1" s="1"/>
  <c r="BB60" i="1"/>
  <c r="BC60" i="1" s="1"/>
  <c r="BB72" i="1"/>
  <c r="BC72" i="1" s="1"/>
  <c r="BB96" i="1"/>
  <c r="BC96" i="1" s="1"/>
  <c r="BB108" i="1"/>
  <c r="BC108" i="1" s="1"/>
  <c r="BB120" i="1"/>
  <c r="BC120" i="1" s="1"/>
  <c r="BB156" i="1"/>
  <c r="BC156" i="1" s="1"/>
  <c r="BB49" i="1"/>
  <c r="BC49" i="1" s="1"/>
  <c r="BB109" i="1"/>
  <c r="BC109" i="1" s="1"/>
  <c r="BB157" i="1"/>
  <c r="BC157" i="1" s="1"/>
  <c r="BB14" i="1"/>
  <c r="BC14" i="1" s="1"/>
  <c r="BB38" i="1"/>
  <c r="BC38" i="1" s="1"/>
  <c r="BB98" i="1"/>
  <c r="BC98" i="1" s="1"/>
  <c r="BB134" i="1"/>
  <c r="BC134" i="1" s="1"/>
  <c r="BB170" i="1"/>
  <c r="BC170" i="1" s="1"/>
  <c r="BB16" i="1"/>
  <c r="BC16" i="1" s="1"/>
  <c r="BB88" i="1"/>
  <c r="BC88" i="1" s="1"/>
  <c r="BB77" i="1"/>
  <c r="BC77" i="1" s="1"/>
  <c r="BC173" i="1"/>
  <c r="BB54" i="1"/>
  <c r="BC54" i="1" s="1"/>
  <c r="BB102" i="1"/>
  <c r="BC102" i="1" s="1"/>
  <c r="BB126" i="1"/>
  <c r="BC126" i="1" s="1"/>
  <c r="BB6" i="1"/>
  <c r="BA201" i="1" l="1"/>
  <c r="BC26" i="1"/>
  <c r="AB200" i="1"/>
  <c r="BC6" i="1"/>
  <c r="BB181" i="1" l="1"/>
  <c r="BC181" i="1" s="1"/>
  <c r="BB174" i="1" l="1"/>
  <c r="BB118" i="1" l="1"/>
  <c r="BC118" i="1" s="1"/>
  <c r="BB180" i="1" l="1"/>
  <c r="BC180" i="1" s="1"/>
  <c r="BB97" i="1" l="1"/>
  <c r="BC97" i="1" s="1"/>
  <c r="BB124" i="1" l="1"/>
  <c r="BC124" i="1" s="1"/>
  <c r="BB61" i="1"/>
  <c r="BC61" i="1" s="1"/>
  <c r="BC25" i="1" l="1"/>
  <c r="BB86" i="1" l="1"/>
  <c r="BC86" i="1" s="1"/>
  <c r="BB178" i="1" l="1"/>
  <c r="BC178" i="1" s="1"/>
  <c r="BB87" i="1"/>
  <c r="BC87" i="1" s="1"/>
  <c r="BB176" i="1"/>
  <c r="BC176" i="1" s="1"/>
  <c r="BB73" i="1" l="1"/>
  <c r="BC73" i="1" s="1"/>
  <c r="BB50" i="1" l="1"/>
  <c r="BC50" i="1" s="1"/>
  <c r="BB167" i="1" l="1"/>
  <c r="BC167" i="1" s="1"/>
  <c r="BB121" i="1"/>
  <c r="BC121" i="1" s="1"/>
  <c r="BB27" i="1" l="1"/>
  <c r="BC27" i="1" s="1"/>
  <c r="BB115" i="1" l="1"/>
  <c r="BC115" i="1" s="1"/>
  <c r="BB133" i="1" l="1"/>
  <c r="BC133" i="1" s="1"/>
  <c r="BB66" i="1" l="1"/>
  <c r="BC66" i="1" s="1"/>
  <c r="BB13" i="1" l="1"/>
  <c r="BB30" i="1"/>
  <c r="BC30" i="1" s="1"/>
  <c r="BC13" i="1" l="1"/>
  <c r="BC166" i="1"/>
  <c r="BB41" i="1" l="1"/>
  <c r="BC41" i="1" s="1"/>
  <c r="BB78" i="1" l="1"/>
  <c r="BC78" i="1" l="1"/>
  <c r="BB148" i="1"/>
  <c r="BC148" i="1" s="1"/>
  <c r="BB117" i="1" l="1"/>
  <c r="BC117" i="1" s="1"/>
  <c r="BB84" i="1" l="1"/>
  <c r="BC84" i="1" s="1"/>
  <c r="BB130" i="1" l="1"/>
  <c r="BC130" i="1" s="1"/>
  <c r="BB99" i="1" l="1"/>
  <c r="BC99" i="1" s="1"/>
  <c r="BB58" i="1" l="1"/>
  <c r="BC58" i="1" s="1"/>
  <c r="BB33" i="1"/>
  <c r="BC33" i="1" l="1"/>
  <c r="BB106" i="1"/>
  <c r="BC106" i="1" s="1"/>
  <c r="BB103" i="1" l="1"/>
  <c r="BC103" i="1" s="1"/>
  <c r="BB35" i="1" l="1"/>
  <c r="BC35" i="1" l="1"/>
  <c r="BB135" i="1"/>
  <c r="BC135" i="1" l="1"/>
  <c r="BC11" i="1"/>
  <c r="BB51" i="1"/>
  <c r="BC51" i="1" s="1"/>
  <c r="BB132" i="1" l="1"/>
  <c r="BC132" i="1" s="1"/>
  <c r="BB137" i="1"/>
  <c r="BC137" i="1" s="1"/>
  <c r="BB70" i="1" l="1"/>
  <c r="BB144" i="1"/>
  <c r="BB114" i="1"/>
  <c r="BC114" i="1" s="1"/>
  <c r="BC70" i="1" l="1"/>
  <c r="BC144" i="1"/>
  <c r="BB64" i="1"/>
  <c r="BC64" i="1" s="1"/>
  <c r="BB110" i="1" l="1"/>
  <c r="BC110" i="1" s="1"/>
  <c r="BB37" i="1" l="1"/>
  <c r="BC37" i="1" l="1"/>
  <c r="BB83" i="1"/>
  <c r="BC83" i="1" s="1"/>
  <c r="BB39" i="1" l="1"/>
  <c r="BC39" i="1" l="1"/>
  <c r="BB101" i="1"/>
  <c r="BB196" i="1" s="1"/>
  <c r="BC101" i="1" l="1"/>
  <c r="BC196" i="1" s="1"/>
  <c r="BB89" i="1"/>
  <c r="BB198" i="1" l="1"/>
  <c r="BC89" i="1"/>
  <c r="BC198" i="1" l="1"/>
</calcChain>
</file>

<file path=xl/sharedStrings.xml><?xml version="1.0" encoding="utf-8"?>
<sst xmlns="http://schemas.openxmlformats.org/spreadsheetml/2006/main" count="311" uniqueCount="224">
  <si>
    <t>1103.001</t>
  </si>
  <si>
    <t>Piutang Anggota - Reguler</t>
  </si>
  <si>
    <t>NO</t>
  </si>
  <si>
    <t>NAMA ANGGOTA</t>
  </si>
  <si>
    <t>SALDO AKHIR PIUTANG REGULER - 2023</t>
  </si>
  <si>
    <t>PEMBAYARAN 2024</t>
  </si>
  <si>
    <t>SALDO HUTANG PIUTANG 2024</t>
  </si>
  <si>
    <t>PEMBAYARAN 2025</t>
  </si>
  <si>
    <t>SALDO HUTANG PIUTANG 2025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</si>
  <si>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</si>
  <si>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</si>
  <si>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</si>
  <si>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</si>
  <si>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</si>
  <si>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</si>
  <si>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</si>
  <si>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</si>
  <si>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</si>
  <si>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</si>
  <si>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</si>
  <si>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DECEMBER</t>
  </si>
  <si>
    <t>Penambahan</t>
  </si>
  <si>
    <t>Angsuran Bulanan</t>
  </si>
  <si>
    <t>Achmad</t>
  </si>
  <si>
    <t>LUNAS</t>
  </si>
  <si>
    <t>Ade Sugandi</t>
  </si>
  <si>
    <t>Adi Imam Patria</t>
  </si>
  <si>
    <t>Ahmad Aliyudin</t>
  </si>
  <si>
    <t>Ahmad Yunus</t>
  </si>
  <si>
    <t>Ahmad Zakky</t>
  </si>
  <si>
    <t>Andri Suryawan</t>
  </si>
  <si>
    <t>Anton Goli</t>
  </si>
  <si>
    <t>Ardiansah</t>
  </si>
  <si>
    <t>Arief Budi Permana</t>
  </si>
  <si>
    <t>Arief Rachman</t>
  </si>
  <si>
    <t>Arif Bijaksana Satria N</t>
  </si>
  <si>
    <t>Asgar</t>
  </si>
  <si>
    <t>Awan Setiawan</t>
  </si>
  <si>
    <t>Bambang Irwan</t>
  </si>
  <si>
    <t>Bambang Wijanarko</t>
  </si>
  <si>
    <t>Budi Setiawan</t>
  </si>
  <si>
    <t>Burhanuddin</t>
  </si>
  <si>
    <t>Diding Suwandi</t>
  </si>
  <si>
    <t>Didit E Firmansyah.</t>
  </si>
  <si>
    <t>Edwin Olaf J.D ST</t>
  </si>
  <si>
    <t>Elis Rosida</t>
  </si>
  <si>
    <t>Elva Moch. Ramdhani</t>
  </si>
  <si>
    <t>Erlini Agung</t>
  </si>
  <si>
    <t>Erry Sanjaya Djayus</t>
  </si>
  <si>
    <t>Eva Rosida Dwi Aditirta</t>
  </si>
  <si>
    <t>Eva Sintauli Saragih</t>
  </si>
  <si>
    <t>Farrah Mutia. N</t>
  </si>
  <si>
    <t>Himawan</t>
  </si>
  <si>
    <t>HWK Tuapattinaja</t>
  </si>
  <si>
    <t>Ilyas</t>
  </si>
  <si>
    <t>Imam Kusnandar</t>
  </si>
  <si>
    <t>Irviandi</t>
  </si>
  <si>
    <t>Jamaluddin Gani</t>
  </si>
  <si>
    <t>Jeffrey B. Massie</t>
  </si>
  <si>
    <t>Joeliantoro</t>
  </si>
  <si>
    <t>Joko Utomo</t>
  </si>
  <si>
    <t>Lidya Salim</t>
  </si>
  <si>
    <t>Lily Pandansari</t>
  </si>
  <si>
    <t>Linda Kurniaty</t>
  </si>
  <si>
    <t>Lisa Sri Andayani</t>
  </si>
  <si>
    <t>M. Aspar</t>
  </si>
  <si>
    <t>M. Nur Ardam</t>
  </si>
  <si>
    <t>Mamin Rifiat</t>
  </si>
  <si>
    <t>Manggarseta Jatnika</t>
  </si>
  <si>
    <t>Mega Hadiyanti</t>
  </si>
  <si>
    <t>Miftah Faridy</t>
  </si>
  <si>
    <t>Mohamad Cholil</t>
  </si>
  <si>
    <t>Muflikhin</t>
  </si>
  <si>
    <t>Nasaruddin</t>
  </si>
  <si>
    <t>Nerlan</t>
  </si>
  <si>
    <t>Nusirwan</t>
  </si>
  <si>
    <t>Ono Haryono</t>
  </si>
  <si>
    <t>Pujatmanto Bastriadi</t>
  </si>
  <si>
    <t>Pujianto</t>
  </si>
  <si>
    <t>R.M. Kurnaefi</t>
  </si>
  <si>
    <t>Rachmadi S</t>
  </si>
  <si>
    <t>Rachmatullah</t>
  </si>
  <si>
    <t>Ratna Nurcahya</t>
  </si>
  <si>
    <t>Ratna S. Rini</t>
  </si>
  <si>
    <t>Rima  Novedia  Bangun</t>
  </si>
  <si>
    <t>Riska Tri Handayani</t>
  </si>
  <si>
    <t>Rochmansyah</t>
  </si>
  <si>
    <t>Romillo Libra Setiadi</t>
  </si>
  <si>
    <t>Rosalina Amran</t>
  </si>
  <si>
    <t>Safril</t>
  </si>
  <si>
    <t>Saridi</t>
  </si>
  <si>
    <t>Soleh Abidin</t>
  </si>
  <si>
    <t>Sri Dewi Amalia</t>
  </si>
  <si>
    <t>Sri Mulyanti</t>
  </si>
  <si>
    <t>Sri S. Pantirawati</t>
  </si>
  <si>
    <t>Suad Syuhada</t>
  </si>
  <si>
    <t>Sudirman</t>
  </si>
  <si>
    <t>Sudiro, A.md.</t>
  </si>
  <si>
    <t>Sugeng Yulianto</t>
  </si>
  <si>
    <t>Suismono</t>
  </si>
  <si>
    <t>Sukadi Redji</t>
  </si>
  <si>
    <t>Sulaeman</t>
  </si>
  <si>
    <t>Sumartini</t>
  </si>
  <si>
    <t>Supardi</t>
  </si>
  <si>
    <t>Suroyo</t>
  </si>
  <si>
    <t>Sutrisno_x000D_
 SBU Industri</t>
  </si>
  <si>
    <t>Syahruddin Nur</t>
  </si>
  <si>
    <t>Syarif Hidayat</t>
  </si>
  <si>
    <t>Tantyo Prayoga</t>
  </si>
  <si>
    <t>Taufik Hidayat</t>
  </si>
  <si>
    <t>Teguh Andani</t>
  </si>
  <si>
    <t>Togap Hidayat</t>
  </si>
  <si>
    <t>Totok Achmad</t>
  </si>
  <si>
    <t>Ucu Rusmanto</t>
  </si>
  <si>
    <t>Untung Prasetyo</t>
  </si>
  <si>
    <t>Wawan Priya Widyanta</t>
  </si>
  <si>
    <t>Wawan Sulaeman</t>
  </si>
  <si>
    <t>Yohana Kaonseng</t>
  </si>
  <si>
    <t>Yosep Setia Putra</t>
  </si>
  <si>
    <t>M Yunus</t>
  </si>
  <si>
    <t>Agris Setyawan</t>
  </si>
  <si>
    <t>Angga Yustiawan</t>
  </si>
  <si>
    <t>Bayu Mahardika W</t>
  </si>
  <si>
    <t>Busrol Karim</t>
  </si>
  <si>
    <t>Ghofar Arifin</t>
  </si>
  <si>
    <t>M. Yudi Oktavianto</t>
  </si>
  <si>
    <t>Mahesa Saga</t>
  </si>
  <si>
    <t>Neni Yuniarti</t>
  </si>
  <si>
    <t>Sumardi Satpam</t>
  </si>
  <si>
    <t>Abdur Rahman ST</t>
  </si>
  <si>
    <t>Irawati</t>
  </si>
  <si>
    <t>Hardian</t>
  </si>
  <si>
    <t>Muhammad Sofyan</t>
  </si>
  <si>
    <t>Rany Rahmawanti</t>
  </si>
  <si>
    <t>Tri Budiyanto</t>
  </si>
  <si>
    <t>Edit Hasta Prihantika</t>
  </si>
  <si>
    <t>Azhar_x000D_
 Ghipari</t>
  </si>
  <si>
    <t>Deborah Nindya Pawestri</t>
  </si>
  <si>
    <t>Rangsang Kusumadilaga</t>
  </si>
  <si>
    <t>Samsul Muslim</t>
  </si>
  <si>
    <t>Annissa Fadhillah</t>
  </si>
  <si>
    <t>Yudi Prawoto</t>
  </si>
  <si>
    <t>Alwin Ridwan</t>
  </si>
  <si>
    <t>Noval Der Sartapayu</t>
  </si>
  <si>
    <t>Elvino Yusca Putra</t>
  </si>
  <si>
    <t>Satria Adi Sukma Negara, ST</t>
  </si>
  <si>
    <t>Defi Rizki Prasetya Ade N</t>
  </si>
  <si>
    <t>Desty Luna</t>
  </si>
  <si>
    <t>Muhammad Ardiansyah</t>
  </si>
  <si>
    <t>Murdiyanta</t>
  </si>
  <si>
    <t>Rony Wiranto S</t>
  </si>
  <si>
    <t>Nur Cahyo FebriantoPutro</t>
  </si>
  <si>
    <t>Tunjung Widiyatmo</t>
  </si>
  <si>
    <t>Hediar Hapri Bangabua</t>
  </si>
  <si>
    <t>R Ade Wardoyo</t>
  </si>
  <si>
    <t>Tantry Octaviani</t>
  </si>
  <si>
    <t>Randy Yolanda Annofci Pratama</t>
  </si>
  <si>
    <t>Dimas Putra Prasetyo</t>
  </si>
  <si>
    <t>Sudarman /  Budi</t>
  </si>
  <si>
    <t>Irawan Wijayanto</t>
  </si>
  <si>
    <t>Riana Patricia</t>
  </si>
  <si>
    <t>Muhammad Rio</t>
  </si>
  <si>
    <t>Harry Santoso</t>
  </si>
  <si>
    <t>Hengky Prabowo</t>
  </si>
  <si>
    <t>Aldi Muhammad Rianto</t>
  </si>
  <si>
    <t>Aldi Wahyu Prasetyo</t>
  </si>
  <si>
    <t>Iqbal Rezky</t>
  </si>
  <si>
    <t>Farhan Abdul Karim</t>
  </si>
  <si>
    <t>Muhtar</t>
  </si>
  <si>
    <t>Kenedi Pangaribuan</t>
  </si>
  <si>
    <t>Raka Dwita Setyanegara</t>
  </si>
  <si>
    <t>M RIZKI SATRIO</t>
  </si>
  <si>
    <t>MARINA ARIFIANTI</t>
  </si>
  <si>
    <t>RATNA DEWI</t>
  </si>
  <si>
    <t>SAHDAT FAMA RIDHO</t>
  </si>
  <si>
    <t>SARI GITA TANTINIS</t>
  </si>
  <si>
    <t>YULIA DIAN ANGGRAINI</t>
  </si>
  <si>
    <t>NOSY OSRIAT</t>
  </si>
  <si>
    <t>R. AGUS DODDY DWISAGITA</t>
  </si>
  <si>
    <t>RUSDIN HALUDIN</t>
  </si>
  <si>
    <t>KARTIKA WIJAYANTI KUSUMAWADHANI</t>
  </si>
  <si>
    <t>REGIYAN DRININ KAWASUGI</t>
  </si>
  <si>
    <t>FERRY HARFIANTO EFFENDY</t>
  </si>
  <si>
    <t>DWI CAHYA KURNIAWANI</t>
  </si>
  <si>
    <t>WILLY ADI NUGROHO</t>
  </si>
  <si>
    <t>SALDO PENAMBAHAN 2025</t>
  </si>
  <si>
    <t>SALDO PEMBAYARAN 2025</t>
  </si>
  <si>
    <t>ERRY SANJAYA DJAYUS</t>
  </si>
  <si>
    <t>HARDIAN</t>
  </si>
  <si>
    <t>PUJATMANTO BASTRIADI</t>
  </si>
  <si>
    <t>RIZAL FEBRIANTO</t>
  </si>
  <si>
    <t>SUMARTINI</t>
  </si>
  <si>
    <t>YULIA FAJRI KINANTI</t>
  </si>
  <si>
    <t>ABDUR RAHMAN</t>
  </si>
  <si>
    <t>BUSROL KARIM</t>
  </si>
  <si>
    <t xml:space="preserve"> </t>
  </si>
  <si>
    <t>GDE SANDHYANA PRADHITA</t>
  </si>
  <si>
    <t>HAERUDIN</t>
  </si>
  <si>
    <t>KOSIM BIN MARI</t>
  </si>
  <si>
    <t>LYZA YUNI SETIAWATI</t>
  </si>
  <si>
    <t>PRASETYO</t>
  </si>
  <si>
    <t>RACHMAD KURNIAWAN</t>
  </si>
  <si>
    <t>PUTRI NUR LAKSMI</t>
  </si>
  <si>
    <t>MIA MARTINA INDAH</t>
  </si>
  <si>
    <t>DESI HARDIANAWATI</t>
  </si>
  <si>
    <t>DEDE MA'MUN SUMANTRI</t>
  </si>
  <si>
    <t>Hendy Zulfan</t>
  </si>
  <si>
    <t>Winarto</t>
  </si>
  <si>
    <t>ARY FIRMANSYAH FIRLI</t>
  </si>
  <si>
    <t>Efry Talamma</t>
  </si>
  <si>
    <t>ISHAK CHRISTIAN MEGAWE</t>
  </si>
  <si>
    <t>Dandy Rukmana</t>
  </si>
  <si>
    <t>Kartika Kus Hendratna</t>
  </si>
  <si>
    <t>Rusdi Wangsa</t>
  </si>
  <si>
    <t>Bakti Nugroho</t>
  </si>
  <si>
    <t>DHITYA PUTRA RAMADHAN</t>
  </si>
  <si>
    <t>MUHAMMAD IRVAN WIDYA</t>
  </si>
  <si>
    <t>Yulia Fajri Kinanti</t>
  </si>
  <si>
    <t>Muhammad Dafit</t>
  </si>
  <si>
    <t>Muhammad Adityo Nugroho</t>
  </si>
  <si>
    <t>Siswanto</t>
  </si>
  <si>
    <t>SYAHLIR</t>
  </si>
  <si>
    <t>ANDRI SURYAWAN</t>
  </si>
  <si>
    <t>Shaidatun Rohmah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</si>
</sst>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(* #,##0_);_(* \(#,##0\);_(* &quot;-&quot;_);_(@_)"/>
  </numFmts>
  <fonts count="1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 Narrow"/>
      <family val="2"/>
    </font>
    <font>
      <sz val="11"/>
      <color theme="1"/>
      <name val="Calibri"/>
      <family val="2"/>
      <charset val="1"/>
      <scheme val="minor"/>
    </font>
    <font>
      <sz val="10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0"/>
      <color rgb="FFFF0000"/>
      <name val="Calibri"/>
      <family val="2"/>
      <scheme val="minor"/>
    </font>
    <font>
      <sz val="7"/>
      <color rgb="FF212121"/>
      <name val="Arial"/>
      <family val="2"/>
    </font>
    <font>
      <sz val="10"/>
      <color rgb="FF212121"/>
      <name val="Arial"/>
      <family val="2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top"/>
    </xf>
    <xf numFmtId="43" fontId="1" fillId="0" borderId="0" applyFont="0" applyFill="0" applyBorder="0" applyAlignment="0" applyProtection="0">
      <alignment vertical="top"/>
    </xf>
    <xf numFmtId="0" fontId="5" fillId="0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92">
    <xf numFmtId="0" fontId="0" fillId="0" borderId="0" xfId="0">
      <alignment vertical="top"/>
    </xf>
    <xf numFmtId="164" fontId="2" fillId="0" borderId="0" xfId="0" applyNumberFormat="1" applyFont="1">
      <alignment vertical="top"/>
    </xf>
    <xf numFmtId="164" fontId="3" fillId="0" borderId="0" xfId="0" applyNumberFormat="1" applyFont="1">
      <alignment vertical="top"/>
    </xf>
    <xf numFmtId="164" fontId="2" fillId="0" borderId="5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2" borderId="8" xfId="1" applyNumberFormat="1" applyFont="1" applyFill="1" applyBorder="1" applyAlignment="1">
      <alignment vertical="top"/>
    </xf>
    <xf numFmtId="164" fontId="2" fillId="0" borderId="8" xfId="1" applyNumberFormat="1" applyFont="1" applyFill="1" applyBorder="1" applyAlignment="1">
      <alignment vertical="top"/>
    </xf>
    <xf numFmtId="164" fontId="3" fillId="0" borderId="8" xfId="1" applyNumberFormat="1" applyFont="1" applyBorder="1">
      <alignment vertical="top"/>
    </xf>
    <xf numFmtId="164" fontId="3" fillId="2" borderId="8" xfId="1" applyNumberFormat="1" applyFont="1" applyFill="1" applyBorder="1">
      <alignment vertical="top"/>
    </xf>
    <xf numFmtId="164" fontId="3" fillId="0" borderId="8" xfId="1" applyNumberFormat="1" applyFont="1" applyFill="1" applyBorder="1">
      <alignment vertical="top"/>
    </xf>
    <xf numFmtId="164" fontId="4" fillId="2" borderId="0" xfId="1" applyNumberFormat="1" applyFont="1" applyFill="1" applyAlignment="1">
      <alignment vertical="top"/>
    </xf>
    <xf numFmtId="164" fontId="3" fillId="0" borderId="0" xfId="1" applyNumberFormat="1" applyFont="1" applyFill="1">
      <alignment vertical="top"/>
    </xf>
    <xf numFmtId="164" fontId="4" fillId="0" borderId="0" xfId="1" applyNumberFormat="1" applyFont="1" applyFill="1" applyAlignment="1">
      <alignment vertical="top"/>
    </xf>
    <xf numFmtId="164" fontId="2" fillId="3" borderId="8" xfId="1" applyNumberFormat="1" applyFont="1" applyFill="1" applyBorder="1" applyAlignment="1">
      <alignment vertical="top"/>
    </xf>
    <xf numFmtId="164" fontId="3" fillId="0" borderId="5" xfId="0" applyNumberFormat="1" applyFont="1" applyBorder="1">
      <alignment vertical="top"/>
    </xf>
    <xf numFmtId="164" fontId="2" fillId="0" borderId="5" xfId="1" applyNumberFormat="1" applyFont="1" applyFill="1" applyBorder="1">
      <alignment vertical="top"/>
    </xf>
    <xf numFmtId="164" fontId="3" fillId="0" borderId="5" xfId="1" applyNumberFormat="1" applyFont="1" applyFill="1" applyBorder="1">
      <alignment vertical="top"/>
    </xf>
    <xf numFmtId="164" fontId="2" fillId="2" borderId="5" xfId="1" applyNumberFormat="1" applyFont="1" applyFill="1" applyBorder="1" applyAlignment="1">
      <alignment vertical="top"/>
    </xf>
    <xf numFmtId="164" fontId="3" fillId="0" borderId="9" xfId="1" applyNumberFormat="1" applyFont="1" applyFill="1" applyBorder="1">
      <alignment vertical="top"/>
    </xf>
    <xf numFmtId="164" fontId="3" fillId="0" borderId="10" xfId="1" applyNumberFormat="1" applyFont="1" applyFill="1" applyBorder="1">
      <alignment vertical="top"/>
    </xf>
    <xf numFmtId="166" fontId="7" fillId="0" borderId="9" xfId="4" applyFont="1" applyFill="1" applyBorder="1"/>
    <xf numFmtId="166" fontId="7" fillId="0" borderId="12" xfId="4" applyFont="1" applyFill="1" applyBorder="1"/>
    <xf numFmtId="164" fontId="2" fillId="0" borderId="0" xfId="1" applyNumberFormat="1" applyFont="1" applyFill="1" applyAlignment="1">
      <alignment vertical="top"/>
    </xf>
    <xf numFmtId="3" fontId="10" fillId="0" borderId="0" xfId="0" applyNumberFormat="1" applyFont="1">
      <alignment vertical="top"/>
    </xf>
    <xf numFmtId="3" fontId="9" fillId="0" borderId="0" xfId="0" applyNumberFormat="1" applyFont="1">
      <alignment vertical="top"/>
    </xf>
    <xf numFmtId="164" fontId="10" fillId="0" borderId="0" xfId="0" applyNumberFormat="1" applyFont="1">
      <alignment vertical="top"/>
    </xf>
    <xf numFmtId="164" fontId="8" fillId="2" borderId="8" xfId="1" applyNumberFormat="1" applyFont="1" applyFill="1" applyBorder="1" applyAlignment="1">
      <alignment vertical="top"/>
    </xf>
    <xf numFmtId="164" fontId="8" fillId="0" borderId="8" xfId="1" applyNumberFormat="1" applyFont="1" applyFill="1" applyBorder="1" applyAlignment="1">
      <alignment vertical="top"/>
    </xf>
    <xf numFmtId="164" fontId="2" fillId="3" borderId="8" xfId="0" applyNumberFormat="1" applyFont="1" applyFill="1" applyBorder="1">
      <alignment vertical="top"/>
    </xf>
    <xf numFmtId="164" fontId="3" fillId="3" borderId="8" xfId="1" applyNumberFormat="1" applyFont="1" applyFill="1" applyBorder="1">
      <alignment vertical="top"/>
    </xf>
    <xf numFmtId="164" fontId="2" fillId="3" borderId="5" xfId="0" applyNumberFormat="1" applyFont="1" applyFill="1" applyBorder="1">
      <alignment vertical="top"/>
    </xf>
    <xf numFmtId="164" fontId="2" fillId="3" borderId="5" xfId="1" applyNumberFormat="1" applyFont="1" applyFill="1" applyBorder="1" applyAlignment="1">
      <alignment vertical="top"/>
    </xf>
    <xf numFmtId="164" fontId="3" fillId="3" borderId="5" xfId="1" applyNumberFormat="1" applyFont="1" applyFill="1" applyBorder="1">
      <alignment vertical="top"/>
    </xf>
    <xf numFmtId="164" fontId="3" fillId="3" borderId="10" xfId="1" applyNumberFormat="1" applyFont="1" applyFill="1" applyBorder="1">
      <alignment vertical="top"/>
    </xf>
    <xf numFmtId="164" fontId="2" fillId="3" borderId="8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>
      <alignment vertical="top"/>
    </xf>
    <xf numFmtId="164" fontId="2" fillId="0" borderId="5" xfId="1" applyNumberFormat="1" applyFont="1" applyFill="1" applyBorder="1" applyAlignment="1">
      <alignment horizontal="center" vertical="center" wrapText="1"/>
    </xf>
    <xf numFmtId="164" fontId="2" fillId="0" borderId="8" xfId="1" applyNumberFormat="1" applyFont="1" applyFill="1" applyBorder="1" applyAlignment="1">
      <alignment horizontal="center" vertical="center" wrapText="1"/>
    </xf>
    <xf numFmtId="164" fontId="2" fillId="0" borderId="8" xfId="0" applyNumberFormat="1" applyFont="1" applyBorder="1">
      <alignment vertical="top"/>
    </xf>
    <xf numFmtId="164" fontId="3" fillId="0" borderId="8" xfId="0" applyNumberFormat="1" applyFont="1" applyBorder="1">
      <alignment vertical="top"/>
    </xf>
    <xf numFmtId="164" fontId="8" fillId="0" borderId="8" xfId="0" applyNumberFormat="1" applyFont="1" applyBorder="1">
      <alignment vertical="top"/>
    </xf>
    <xf numFmtId="164" fontId="11" fillId="0" borderId="8" xfId="1" applyNumberFormat="1" applyFont="1" applyFill="1" applyBorder="1">
      <alignment vertical="top"/>
    </xf>
    <xf numFmtId="164" fontId="2" fillId="0" borderId="5" xfId="0" applyNumberFormat="1" applyFont="1" applyBorder="1">
      <alignment vertical="top"/>
    </xf>
    <xf numFmtId="164" fontId="2" fillId="0" borderId="5" xfId="1" applyNumberFormat="1" applyFont="1" applyFill="1" applyBorder="1" applyAlignment="1">
      <alignment vertical="top"/>
    </xf>
    <xf numFmtId="166" fontId="7" fillId="0" borderId="9" xfId="4" applyFont="1" applyFill="1" applyBorder="1" applyAlignment="1">
      <alignment horizontal="right"/>
    </xf>
    <xf numFmtId="166" fontId="0" fillId="0" borderId="0" xfId="0" applyNumberFormat="1">
      <alignment vertical="top"/>
    </xf>
    <xf numFmtId="164" fontId="2" fillId="3" borderId="5" xfId="0" applyNumberFormat="1" applyFont="1" applyFill="1" applyBorder="1" applyAlignment="1">
      <alignment horizontal="center" vertical="center"/>
    </xf>
    <xf numFmtId="164" fontId="3" fillId="3" borderId="9" xfId="1" applyNumberFormat="1" applyFont="1" applyFill="1" applyBorder="1">
      <alignment vertical="top"/>
    </xf>
    <xf numFmtId="164" fontId="8" fillId="3" borderId="8" xfId="0" applyNumberFormat="1" applyFont="1" applyFill="1" applyBorder="1">
      <alignment vertical="top"/>
    </xf>
    <xf numFmtId="164" fontId="3" fillId="3" borderId="0" xfId="1" applyNumberFormat="1" applyFont="1" applyFill="1">
      <alignment vertical="top"/>
    </xf>
    <xf numFmtId="164" fontId="3" fillId="3" borderId="6" xfId="1" applyNumberFormat="1" applyFont="1" applyFill="1" applyBorder="1">
      <alignment vertical="top"/>
    </xf>
    <xf numFmtId="164" fontId="3" fillId="3" borderId="7" xfId="1" applyNumberFormat="1" applyFont="1" applyFill="1" applyBorder="1">
      <alignment vertical="top"/>
    </xf>
    <xf numFmtId="164" fontId="3" fillId="0" borderId="6" xfId="1" applyNumberFormat="1" applyFont="1" applyFill="1" applyBorder="1">
      <alignment vertical="top"/>
    </xf>
    <xf numFmtId="164" fontId="3" fillId="0" borderId="7" xfId="1" applyNumberFormat="1" applyFont="1" applyFill="1" applyBorder="1">
      <alignment vertical="top"/>
    </xf>
    <xf numFmtId="166" fontId="7" fillId="0" borderId="15" xfId="4" applyFont="1" applyFill="1" applyBorder="1"/>
    <xf numFmtId="166" fontId="7" fillId="4" borderId="9" xfId="4" applyFont="1" applyFill="1" applyBorder="1" applyAlignment="1">
      <alignment horizontal="right"/>
    </xf>
    <xf numFmtId="4" fontId="10" fillId="0" borderId="0" xfId="0" applyNumberFormat="1" applyFont="1">
      <alignment vertical="top"/>
    </xf>
    <xf numFmtId="166" fontId="7" fillId="4" borderId="13" xfId="4" applyFont="1" applyFill="1" applyBorder="1"/>
    <xf numFmtId="0" fontId="6" fillId="0" borderId="12" xfId="0" applyFont="1" applyBorder="1" applyAlignment="1"/>
    <xf numFmtId="0" fontId="6" fillId="0" borderId="12" xfId="0" quotePrefix="1" applyFont="1" applyBorder="1" applyAlignment="1">
      <alignment horizontal="left"/>
    </xf>
    <xf numFmtId="0" fontId="6" fillId="0" borderId="14" xfId="0" applyFont="1" applyBorder="1" applyAlignment="1"/>
    <xf numFmtId="164" fontId="12" fillId="5" borderId="8" xfId="0" applyNumberFormat="1" applyFont="1" applyFill="1" applyBorder="1" applyAlignment="1">
      <alignment horizontal="center" vertical="center"/>
    </xf>
    <xf numFmtId="164" fontId="12" fillId="5" borderId="8" xfId="0" applyNumberFormat="1" applyFont="1" applyFill="1" applyBorder="1">
      <alignment vertical="top"/>
    </xf>
    <xf numFmtId="164" fontId="12" fillId="5" borderId="8" xfId="1" applyNumberFormat="1" applyFont="1" applyFill="1" applyBorder="1" applyAlignment="1">
      <alignment vertical="top"/>
    </xf>
    <xf numFmtId="164" fontId="13" fillId="5" borderId="8" xfId="1" applyNumberFormat="1" applyFont="1" applyFill="1" applyBorder="1">
      <alignment vertical="top"/>
    </xf>
    <xf numFmtId="164" fontId="2" fillId="5" borderId="8" xfId="0" applyNumberFormat="1" applyFont="1" applyFill="1" applyBorder="1" applyAlignment="1">
      <alignment horizontal="center" vertical="center"/>
    </xf>
    <xf numFmtId="164" fontId="2" fillId="5" borderId="8" xfId="0" applyNumberFormat="1" applyFont="1" applyFill="1" applyBorder="1">
      <alignment vertical="top"/>
    </xf>
    <xf numFmtId="164" fontId="2" fillId="5" borderId="8" xfId="1" applyNumberFormat="1" applyFont="1" applyFill="1" applyBorder="1" applyAlignment="1">
      <alignment vertical="top"/>
    </xf>
    <xf numFmtId="164" fontId="3" fillId="5" borderId="8" xfId="1" applyNumberFormat="1" applyFont="1" applyFill="1" applyBorder="1">
      <alignment vertical="top"/>
    </xf>
    <xf numFmtId="164" fontId="2" fillId="5" borderId="5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>
      <alignment vertical="top"/>
    </xf>
    <xf numFmtId="164" fontId="2" fillId="5" borderId="5" xfId="1" applyNumberFormat="1" applyFont="1" applyFill="1" applyBorder="1" applyAlignment="1">
      <alignment vertical="top"/>
    </xf>
    <xf numFmtId="164" fontId="3" fillId="5" borderId="5" xfId="1" applyNumberFormat="1" applyFont="1" applyFill="1" applyBorder="1">
      <alignment vertical="top"/>
    </xf>
    <xf numFmtId="164" fontId="3" fillId="5" borderId="10" xfId="1" applyNumberFormat="1" applyFont="1" applyFill="1" applyBorder="1">
      <alignment vertical="top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11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164" fontId="2" fillId="0" borderId="11" xfId="1" applyNumberFormat="1" applyFont="1" applyFill="1" applyBorder="1" applyAlignment="1">
      <alignment horizontal="center" vertical="center" wrapText="1"/>
    </xf>
    <xf numFmtId="164" fontId="2" fillId="0" borderId="5" xfId="1" applyNumberFormat="1" applyFont="1" applyFill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top"/>
    </xf>
    <xf numFmtId="164" fontId="2" fillId="0" borderId="7" xfId="1" applyNumberFormat="1" applyFont="1" applyBorder="1" applyAlignment="1">
      <alignment horizontal="center" vertical="top"/>
    </xf>
    <xf numFmtId="164" fontId="2" fillId="0" borderId="2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/>
    </xf>
    <xf numFmtId="164" fontId="2" fillId="0" borderId="6" xfId="1" applyNumberFormat="1" applyFont="1" applyFill="1" applyBorder="1" applyAlignment="1">
      <alignment horizontal="center" vertical="top"/>
    </xf>
    <xf numFmtId="164" fontId="2" fillId="0" borderId="7" xfId="1" applyNumberFormat="1" applyFont="1" applyFill="1" applyBorder="1" applyAlignment="1">
      <alignment horizontal="center" vertical="top"/>
    </xf>
  </cellXfs>
  <cellStyles count="5">
    <cellStyle name="Comma" xfId="1" builtinId="3"/>
    <cellStyle name="Comma [0] 2" xfId="4" xr:uid="{4E5EADD7-1D7E-4D96-B090-EB0F1C23CFFC}"/>
    <cellStyle name="Comma 2" xfId="3" xr:uid="{A18B7983-9EBA-469D-B8CA-A244D2CD2D95}"/>
    <cellStyle name="Normal" xfId="0" builtinId="0"/>
    <cellStyle name="Normal 2" xfId="2" xr:uid="{E5EEA07E-4ACF-474E-9F94-11E84214B603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E024-F1A2-422C-994E-DFF8979AFCE6}">
  <dimension ref="A2:BC201"/>
  <sheetViews>
    <sheetView tabSelected="1" view="pageBreakPreview" topLeftCell="AR1" zoomScale="85" zoomScaleNormal="70" zoomScaleSheetLayoutView="85" workbookViewId="0">
      <pane ySplit="5" topLeftCell="A168" activePane="bottomLeft" state="frozen"/>
      <selection activeCell="C1" sqref="C1"/>
      <selection pane="bottomLeft" activeCell="AY171" sqref="AY171"/>
    </sheetView>
  </sheetViews>
  <sheetFormatPr defaultRowHeight="13" x14ac:dyDescent="0.25"/>
  <cols>
    <col min="1" max="1" width="8.7265625" style="2"/>
    <col min="2" max="2" width="25.54296875" style="1" customWidth="1"/>
    <col min="3" max="3" width="17.7265625" style="11" hidden="1" customWidth="1"/>
    <col min="4" max="27" width="15.6328125" style="11" hidden="1" customWidth="1"/>
    <col min="28" max="28" width="15.1796875" style="11" customWidth="1"/>
    <col min="29" max="35" width="15.6328125" style="2" customWidth="1"/>
    <col min="36" max="36" width="15.90625" style="2" customWidth="1"/>
    <col min="37" max="37" width="12" style="2" customWidth="1"/>
    <col min="38" max="38" width="15.90625" style="2" customWidth="1"/>
    <col min="39" max="39" width="12" style="2" customWidth="1"/>
    <col min="40" max="40" width="15.90625" style="2" customWidth="1"/>
    <col min="41" max="41" width="14.6328125" style="2" customWidth="1"/>
    <col min="42" max="42" width="15.90625" style="2" customWidth="1"/>
    <col min="43" max="43" width="15.7265625" style="2" customWidth="1"/>
    <col min="44" max="44" width="15.90625" style="2" customWidth="1"/>
    <col min="45" max="45" width="14.54296875" style="2" customWidth="1"/>
    <col min="46" max="46" width="15.90625" style="2" customWidth="1"/>
    <col min="47" max="47" width="12" style="2" customWidth="1"/>
    <col min="48" max="48" width="15.90625" style="2" customWidth="1"/>
    <col min="49" max="49" width="12" style="2" customWidth="1"/>
    <col min="50" max="50" width="15.90625" style="2" customWidth="1"/>
    <col min="51" max="51" width="12" style="2" customWidth="1"/>
    <col min="52" max="52" width="15.90625" style="2" customWidth="1"/>
    <col min="53" max="54" width="15.6328125" style="2" customWidth="1"/>
    <col min="55" max="55" width="20.6328125" style="2" customWidth="1"/>
    <col min="56" max="259" width="8.7265625" style="2"/>
    <col min="260" max="260" width="31.26953125" style="2" customWidth="1"/>
    <col min="261" max="261" width="17.7265625" style="2" customWidth="1"/>
    <col min="262" max="285" width="0" style="2" hidden="1" customWidth="1"/>
    <col min="286" max="286" width="20.54296875" style="2" customWidth="1"/>
    <col min="287" max="310" width="15.6328125" style="2" customWidth="1"/>
    <col min="311" max="311" width="20.6328125" style="2" customWidth="1"/>
    <col min="312" max="515" width="8.7265625" style="2"/>
    <col min="516" max="516" width="31.26953125" style="2" customWidth="1"/>
    <col min="517" max="517" width="17.7265625" style="2" customWidth="1"/>
    <col min="518" max="541" width="0" style="2" hidden="1" customWidth="1"/>
    <col min="542" max="542" width="20.54296875" style="2" customWidth="1"/>
    <col min="543" max="566" width="15.6328125" style="2" customWidth="1"/>
    <col min="567" max="567" width="20.6328125" style="2" customWidth="1"/>
    <col min="568" max="771" width="8.7265625" style="2"/>
    <col min="772" max="772" width="31.26953125" style="2" customWidth="1"/>
    <col min="773" max="773" width="17.7265625" style="2" customWidth="1"/>
    <col min="774" max="797" width="0" style="2" hidden="1" customWidth="1"/>
    <col min="798" max="798" width="20.54296875" style="2" customWidth="1"/>
    <col min="799" max="822" width="15.6328125" style="2" customWidth="1"/>
    <col min="823" max="823" width="20.6328125" style="2" customWidth="1"/>
    <col min="824" max="1027" width="8.7265625" style="2"/>
    <col min="1028" max="1028" width="31.26953125" style="2" customWidth="1"/>
    <col min="1029" max="1029" width="17.7265625" style="2" customWidth="1"/>
    <col min="1030" max="1053" width="0" style="2" hidden="1" customWidth="1"/>
    <col min="1054" max="1054" width="20.54296875" style="2" customWidth="1"/>
    <col min="1055" max="1078" width="15.6328125" style="2" customWidth="1"/>
    <col min="1079" max="1079" width="20.6328125" style="2" customWidth="1"/>
    <col min="1080" max="1283" width="8.7265625" style="2"/>
    <col min="1284" max="1284" width="31.26953125" style="2" customWidth="1"/>
    <col min="1285" max="1285" width="17.7265625" style="2" customWidth="1"/>
    <col min="1286" max="1309" width="0" style="2" hidden="1" customWidth="1"/>
    <col min="1310" max="1310" width="20.54296875" style="2" customWidth="1"/>
    <col min="1311" max="1334" width="15.6328125" style="2" customWidth="1"/>
    <col min="1335" max="1335" width="20.6328125" style="2" customWidth="1"/>
    <col min="1336" max="1539" width="8.7265625" style="2"/>
    <col min="1540" max="1540" width="31.26953125" style="2" customWidth="1"/>
    <col min="1541" max="1541" width="17.7265625" style="2" customWidth="1"/>
    <col min="1542" max="1565" width="0" style="2" hidden="1" customWidth="1"/>
    <col min="1566" max="1566" width="20.54296875" style="2" customWidth="1"/>
    <col min="1567" max="1590" width="15.6328125" style="2" customWidth="1"/>
    <col min="1591" max="1591" width="20.6328125" style="2" customWidth="1"/>
    <col min="1592" max="1795" width="8.7265625" style="2"/>
    <col min="1796" max="1796" width="31.26953125" style="2" customWidth="1"/>
    <col min="1797" max="1797" width="17.7265625" style="2" customWidth="1"/>
    <col min="1798" max="1821" width="0" style="2" hidden="1" customWidth="1"/>
    <col min="1822" max="1822" width="20.54296875" style="2" customWidth="1"/>
    <col min="1823" max="1846" width="15.6328125" style="2" customWidth="1"/>
    <col min="1847" max="1847" width="20.6328125" style="2" customWidth="1"/>
    <col min="1848" max="2051" width="8.7265625" style="2"/>
    <col min="2052" max="2052" width="31.26953125" style="2" customWidth="1"/>
    <col min="2053" max="2053" width="17.7265625" style="2" customWidth="1"/>
    <col min="2054" max="2077" width="0" style="2" hidden="1" customWidth="1"/>
    <col min="2078" max="2078" width="20.54296875" style="2" customWidth="1"/>
    <col min="2079" max="2102" width="15.6328125" style="2" customWidth="1"/>
    <col min="2103" max="2103" width="20.6328125" style="2" customWidth="1"/>
    <col min="2104" max="2307" width="8.7265625" style="2"/>
    <col min="2308" max="2308" width="31.26953125" style="2" customWidth="1"/>
    <col min="2309" max="2309" width="17.7265625" style="2" customWidth="1"/>
    <col min="2310" max="2333" width="0" style="2" hidden="1" customWidth="1"/>
    <col min="2334" max="2334" width="20.54296875" style="2" customWidth="1"/>
    <col min="2335" max="2358" width="15.6328125" style="2" customWidth="1"/>
    <col min="2359" max="2359" width="20.6328125" style="2" customWidth="1"/>
    <col min="2360" max="2563" width="8.7265625" style="2"/>
    <col min="2564" max="2564" width="31.26953125" style="2" customWidth="1"/>
    <col min="2565" max="2565" width="17.7265625" style="2" customWidth="1"/>
    <col min="2566" max="2589" width="0" style="2" hidden="1" customWidth="1"/>
    <col min="2590" max="2590" width="20.54296875" style="2" customWidth="1"/>
    <col min="2591" max="2614" width="15.6328125" style="2" customWidth="1"/>
    <col min="2615" max="2615" width="20.6328125" style="2" customWidth="1"/>
    <col min="2616" max="2819" width="8.7265625" style="2"/>
    <col min="2820" max="2820" width="31.26953125" style="2" customWidth="1"/>
    <col min="2821" max="2821" width="17.7265625" style="2" customWidth="1"/>
    <col min="2822" max="2845" width="0" style="2" hidden="1" customWidth="1"/>
    <col min="2846" max="2846" width="20.54296875" style="2" customWidth="1"/>
    <col min="2847" max="2870" width="15.6328125" style="2" customWidth="1"/>
    <col min="2871" max="2871" width="20.6328125" style="2" customWidth="1"/>
    <col min="2872" max="3075" width="8.7265625" style="2"/>
    <col min="3076" max="3076" width="31.26953125" style="2" customWidth="1"/>
    <col min="3077" max="3077" width="17.7265625" style="2" customWidth="1"/>
    <col min="3078" max="3101" width="0" style="2" hidden="1" customWidth="1"/>
    <col min="3102" max="3102" width="20.54296875" style="2" customWidth="1"/>
    <col min="3103" max="3126" width="15.6328125" style="2" customWidth="1"/>
    <col min="3127" max="3127" width="20.6328125" style="2" customWidth="1"/>
    <col min="3128" max="3331" width="8.7265625" style="2"/>
    <col min="3332" max="3332" width="31.26953125" style="2" customWidth="1"/>
    <col min="3333" max="3333" width="17.7265625" style="2" customWidth="1"/>
    <col min="3334" max="3357" width="0" style="2" hidden="1" customWidth="1"/>
    <col min="3358" max="3358" width="20.54296875" style="2" customWidth="1"/>
    <col min="3359" max="3382" width="15.6328125" style="2" customWidth="1"/>
    <col min="3383" max="3383" width="20.6328125" style="2" customWidth="1"/>
    <col min="3384" max="3587" width="8.7265625" style="2"/>
    <col min="3588" max="3588" width="31.26953125" style="2" customWidth="1"/>
    <col min="3589" max="3589" width="17.7265625" style="2" customWidth="1"/>
    <col min="3590" max="3613" width="0" style="2" hidden="1" customWidth="1"/>
    <col min="3614" max="3614" width="20.54296875" style="2" customWidth="1"/>
    <col min="3615" max="3638" width="15.6328125" style="2" customWidth="1"/>
    <col min="3639" max="3639" width="20.6328125" style="2" customWidth="1"/>
    <col min="3640" max="3843" width="8.7265625" style="2"/>
    <col min="3844" max="3844" width="31.26953125" style="2" customWidth="1"/>
    <col min="3845" max="3845" width="17.7265625" style="2" customWidth="1"/>
    <col min="3846" max="3869" width="0" style="2" hidden="1" customWidth="1"/>
    <col min="3870" max="3870" width="20.54296875" style="2" customWidth="1"/>
    <col min="3871" max="3894" width="15.6328125" style="2" customWidth="1"/>
    <col min="3895" max="3895" width="20.6328125" style="2" customWidth="1"/>
    <col min="3896" max="4099" width="8.7265625" style="2"/>
    <col min="4100" max="4100" width="31.26953125" style="2" customWidth="1"/>
    <col min="4101" max="4101" width="17.7265625" style="2" customWidth="1"/>
    <col min="4102" max="4125" width="0" style="2" hidden="1" customWidth="1"/>
    <col min="4126" max="4126" width="20.54296875" style="2" customWidth="1"/>
    <col min="4127" max="4150" width="15.6328125" style="2" customWidth="1"/>
    <col min="4151" max="4151" width="20.6328125" style="2" customWidth="1"/>
    <col min="4152" max="4355" width="8.7265625" style="2"/>
    <col min="4356" max="4356" width="31.26953125" style="2" customWidth="1"/>
    <col min="4357" max="4357" width="17.7265625" style="2" customWidth="1"/>
    <col min="4358" max="4381" width="0" style="2" hidden="1" customWidth="1"/>
    <col min="4382" max="4382" width="20.54296875" style="2" customWidth="1"/>
    <col min="4383" max="4406" width="15.6328125" style="2" customWidth="1"/>
    <col min="4407" max="4407" width="20.6328125" style="2" customWidth="1"/>
    <col min="4408" max="4611" width="8.7265625" style="2"/>
    <col min="4612" max="4612" width="31.26953125" style="2" customWidth="1"/>
    <col min="4613" max="4613" width="17.7265625" style="2" customWidth="1"/>
    <col min="4614" max="4637" width="0" style="2" hidden="1" customWidth="1"/>
    <col min="4638" max="4638" width="20.54296875" style="2" customWidth="1"/>
    <col min="4639" max="4662" width="15.6328125" style="2" customWidth="1"/>
    <col min="4663" max="4663" width="20.6328125" style="2" customWidth="1"/>
    <col min="4664" max="4867" width="8.7265625" style="2"/>
    <col min="4868" max="4868" width="31.26953125" style="2" customWidth="1"/>
    <col min="4869" max="4869" width="17.7265625" style="2" customWidth="1"/>
    <col min="4870" max="4893" width="0" style="2" hidden="1" customWidth="1"/>
    <col min="4894" max="4894" width="20.54296875" style="2" customWidth="1"/>
    <col min="4895" max="4918" width="15.6328125" style="2" customWidth="1"/>
    <col min="4919" max="4919" width="20.6328125" style="2" customWidth="1"/>
    <col min="4920" max="5123" width="8.7265625" style="2"/>
    <col min="5124" max="5124" width="31.26953125" style="2" customWidth="1"/>
    <col min="5125" max="5125" width="17.7265625" style="2" customWidth="1"/>
    <col min="5126" max="5149" width="0" style="2" hidden="1" customWidth="1"/>
    <col min="5150" max="5150" width="20.54296875" style="2" customWidth="1"/>
    <col min="5151" max="5174" width="15.6328125" style="2" customWidth="1"/>
    <col min="5175" max="5175" width="20.6328125" style="2" customWidth="1"/>
    <col min="5176" max="5379" width="8.7265625" style="2"/>
    <col min="5380" max="5380" width="31.26953125" style="2" customWidth="1"/>
    <col min="5381" max="5381" width="17.7265625" style="2" customWidth="1"/>
    <col min="5382" max="5405" width="0" style="2" hidden="1" customWidth="1"/>
    <col min="5406" max="5406" width="20.54296875" style="2" customWidth="1"/>
    <col min="5407" max="5430" width="15.6328125" style="2" customWidth="1"/>
    <col min="5431" max="5431" width="20.6328125" style="2" customWidth="1"/>
    <col min="5432" max="5635" width="8.7265625" style="2"/>
    <col min="5636" max="5636" width="31.26953125" style="2" customWidth="1"/>
    <col min="5637" max="5637" width="17.7265625" style="2" customWidth="1"/>
    <col min="5638" max="5661" width="0" style="2" hidden="1" customWidth="1"/>
    <col min="5662" max="5662" width="20.54296875" style="2" customWidth="1"/>
    <col min="5663" max="5686" width="15.6328125" style="2" customWidth="1"/>
    <col min="5687" max="5687" width="20.6328125" style="2" customWidth="1"/>
    <col min="5688" max="5891" width="8.7265625" style="2"/>
    <col min="5892" max="5892" width="31.26953125" style="2" customWidth="1"/>
    <col min="5893" max="5893" width="17.7265625" style="2" customWidth="1"/>
    <col min="5894" max="5917" width="0" style="2" hidden="1" customWidth="1"/>
    <col min="5918" max="5918" width="20.54296875" style="2" customWidth="1"/>
    <col min="5919" max="5942" width="15.6328125" style="2" customWidth="1"/>
    <col min="5943" max="5943" width="20.6328125" style="2" customWidth="1"/>
    <col min="5944" max="6147" width="8.7265625" style="2"/>
    <col min="6148" max="6148" width="31.26953125" style="2" customWidth="1"/>
    <col min="6149" max="6149" width="17.7265625" style="2" customWidth="1"/>
    <col min="6150" max="6173" width="0" style="2" hidden="1" customWidth="1"/>
    <col min="6174" max="6174" width="20.54296875" style="2" customWidth="1"/>
    <col min="6175" max="6198" width="15.6328125" style="2" customWidth="1"/>
    <col min="6199" max="6199" width="20.6328125" style="2" customWidth="1"/>
    <col min="6200" max="6403" width="8.7265625" style="2"/>
    <col min="6404" max="6404" width="31.26953125" style="2" customWidth="1"/>
    <col min="6405" max="6405" width="17.7265625" style="2" customWidth="1"/>
    <col min="6406" max="6429" width="0" style="2" hidden="1" customWidth="1"/>
    <col min="6430" max="6430" width="20.54296875" style="2" customWidth="1"/>
    <col min="6431" max="6454" width="15.6328125" style="2" customWidth="1"/>
    <col min="6455" max="6455" width="20.6328125" style="2" customWidth="1"/>
    <col min="6456" max="6659" width="8.7265625" style="2"/>
    <col min="6660" max="6660" width="31.26953125" style="2" customWidth="1"/>
    <col min="6661" max="6661" width="17.7265625" style="2" customWidth="1"/>
    <col min="6662" max="6685" width="0" style="2" hidden="1" customWidth="1"/>
    <col min="6686" max="6686" width="20.54296875" style="2" customWidth="1"/>
    <col min="6687" max="6710" width="15.6328125" style="2" customWidth="1"/>
    <col min="6711" max="6711" width="20.6328125" style="2" customWidth="1"/>
    <col min="6712" max="6915" width="8.7265625" style="2"/>
    <col min="6916" max="6916" width="31.26953125" style="2" customWidth="1"/>
    <col min="6917" max="6917" width="17.7265625" style="2" customWidth="1"/>
    <col min="6918" max="6941" width="0" style="2" hidden="1" customWidth="1"/>
    <col min="6942" max="6942" width="20.54296875" style="2" customWidth="1"/>
    <col min="6943" max="6966" width="15.6328125" style="2" customWidth="1"/>
    <col min="6967" max="6967" width="20.6328125" style="2" customWidth="1"/>
    <col min="6968" max="7171" width="8.7265625" style="2"/>
    <col min="7172" max="7172" width="31.26953125" style="2" customWidth="1"/>
    <col min="7173" max="7173" width="17.7265625" style="2" customWidth="1"/>
    <col min="7174" max="7197" width="0" style="2" hidden="1" customWidth="1"/>
    <col min="7198" max="7198" width="20.54296875" style="2" customWidth="1"/>
    <col min="7199" max="7222" width="15.6328125" style="2" customWidth="1"/>
    <col min="7223" max="7223" width="20.6328125" style="2" customWidth="1"/>
    <col min="7224" max="7427" width="8.7265625" style="2"/>
    <col min="7428" max="7428" width="31.26953125" style="2" customWidth="1"/>
    <col min="7429" max="7429" width="17.7265625" style="2" customWidth="1"/>
    <col min="7430" max="7453" width="0" style="2" hidden="1" customWidth="1"/>
    <col min="7454" max="7454" width="20.54296875" style="2" customWidth="1"/>
    <col min="7455" max="7478" width="15.6328125" style="2" customWidth="1"/>
    <col min="7479" max="7479" width="20.6328125" style="2" customWidth="1"/>
    <col min="7480" max="7683" width="8.7265625" style="2"/>
    <col min="7684" max="7684" width="31.26953125" style="2" customWidth="1"/>
    <col min="7685" max="7685" width="17.7265625" style="2" customWidth="1"/>
    <col min="7686" max="7709" width="0" style="2" hidden="1" customWidth="1"/>
    <col min="7710" max="7710" width="20.54296875" style="2" customWidth="1"/>
    <col min="7711" max="7734" width="15.6328125" style="2" customWidth="1"/>
    <col min="7735" max="7735" width="20.6328125" style="2" customWidth="1"/>
    <col min="7736" max="7939" width="8.7265625" style="2"/>
    <col min="7940" max="7940" width="31.26953125" style="2" customWidth="1"/>
    <col min="7941" max="7941" width="17.7265625" style="2" customWidth="1"/>
    <col min="7942" max="7965" width="0" style="2" hidden="1" customWidth="1"/>
    <col min="7966" max="7966" width="20.54296875" style="2" customWidth="1"/>
    <col min="7967" max="7990" width="15.6328125" style="2" customWidth="1"/>
    <col min="7991" max="7991" width="20.6328125" style="2" customWidth="1"/>
    <col min="7992" max="8195" width="8.7265625" style="2"/>
    <col min="8196" max="8196" width="31.26953125" style="2" customWidth="1"/>
    <col min="8197" max="8197" width="17.7265625" style="2" customWidth="1"/>
    <col min="8198" max="8221" width="0" style="2" hidden="1" customWidth="1"/>
    <col min="8222" max="8222" width="20.54296875" style="2" customWidth="1"/>
    <col min="8223" max="8246" width="15.6328125" style="2" customWidth="1"/>
    <col min="8247" max="8247" width="20.6328125" style="2" customWidth="1"/>
    <col min="8248" max="8451" width="8.7265625" style="2"/>
    <col min="8452" max="8452" width="31.26953125" style="2" customWidth="1"/>
    <col min="8453" max="8453" width="17.7265625" style="2" customWidth="1"/>
    <col min="8454" max="8477" width="0" style="2" hidden="1" customWidth="1"/>
    <col min="8478" max="8478" width="20.54296875" style="2" customWidth="1"/>
    <col min="8479" max="8502" width="15.6328125" style="2" customWidth="1"/>
    <col min="8503" max="8503" width="20.6328125" style="2" customWidth="1"/>
    <col min="8504" max="8707" width="8.7265625" style="2"/>
    <col min="8708" max="8708" width="31.26953125" style="2" customWidth="1"/>
    <col min="8709" max="8709" width="17.7265625" style="2" customWidth="1"/>
    <col min="8710" max="8733" width="0" style="2" hidden="1" customWidth="1"/>
    <col min="8734" max="8734" width="20.54296875" style="2" customWidth="1"/>
    <col min="8735" max="8758" width="15.6328125" style="2" customWidth="1"/>
    <col min="8759" max="8759" width="20.6328125" style="2" customWidth="1"/>
    <col min="8760" max="8963" width="8.7265625" style="2"/>
    <col min="8964" max="8964" width="31.26953125" style="2" customWidth="1"/>
    <col min="8965" max="8965" width="17.7265625" style="2" customWidth="1"/>
    <col min="8966" max="8989" width="0" style="2" hidden="1" customWidth="1"/>
    <col min="8990" max="8990" width="20.54296875" style="2" customWidth="1"/>
    <col min="8991" max="9014" width="15.6328125" style="2" customWidth="1"/>
    <col min="9015" max="9015" width="20.6328125" style="2" customWidth="1"/>
    <col min="9016" max="9219" width="8.7265625" style="2"/>
    <col min="9220" max="9220" width="31.26953125" style="2" customWidth="1"/>
    <col min="9221" max="9221" width="17.7265625" style="2" customWidth="1"/>
    <col min="9222" max="9245" width="0" style="2" hidden="1" customWidth="1"/>
    <col min="9246" max="9246" width="20.54296875" style="2" customWidth="1"/>
    <col min="9247" max="9270" width="15.6328125" style="2" customWidth="1"/>
    <col min="9271" max="9271" width="20.6328125" style="2" customWidth="1"/>
    <col min="9272" max="9475" width="8.7265625" style="2"/>
    <col min="9476" max="9476" width="31.26953125" style="2" customWidth="1"/>
    <col min="9477" max="9477" width="17.7265625" style="2" customWidth="1"/>
    <col min="9478" max="9501" width="0" style="2" hidden="1" customWidth="1"/>
    <col min="9502" max="9502" width="20.54296875" style="2" customWidth="1"/>
    <col min="9503" max="9526" width="15.6328125" style="2" customWidth="1"/>
    <col min="9527" max="9527" width="20.6328125" style="2" customWidth="1"/>
    <col min="9528" max="9731" width="8.7265625" style="2"/>
    <col min="9732" max="9732" width="31.26953125" style="2" customWidth="1"/>
    <col min="9733" max="9733" width="17.7265625" style="2" customWidth="1"/>
    <col min="9734" max="9757" width="0" style="2" hidden="1" customWidth="1"/>
    <col min="9758" max="9758" width="20.54296875" style="2" customWidth="1"/>
    <col min="9759" max="9782" width="15.6328125" style="2" customWidth="1"/>
    <col min="9783" max="9783" width="20.6328125" style="2" customWidth="1"/>
    <col min="9784" max="9987" width="8.7265625" style="2"/>
    <col min="9988" max="9988" width="31.26953125" style="2" customWidth="1"/>
    <col min="9989" max="9989" width="17.7265625" style="2" customWidth="1"/>
    <col min="9990" max="10013" width="0" style="2" hidden="1" customWidth="1"/>
    <col min="10014" max="10014" width="20.54296875" style="2" customWidth="1"/>
    <col min="10015" max="10038" width="15.6328125" style="2" customWidth="1"/>
    <col min="10039" max="10039" width="20.6328125" style="2" customWidth="1"/>
    <col min="10040" max="10243" width="8.7265625" style="2"/>
    <col min="10244" max="10244" width="31.26953125" style="2" customWidth="1"/>
    <col min="10245" max="10245" width="17.7265625" style="2" customWidth="1"/>
    <col min="10246" max="10269" width="0" style="2" hidden="1" customWidth="1"/>
    <col min="10270" max="10270" width="20.54296875" style="2" customWidth="1"/>
    <col min="10271" max="10294" width="15.6328125" style="2" customWidth="1"/>
    <col min="10295" max="10295" width="20.6328125" style="2" customWidth="1"/>
    <col min="10296" max="10499" width="8.7265625" style="2"/>
    <col min="10500" max="10500" width="31.26953125" style="2" customWidth="1"/>
    <col min="10501" max="10501" width="17.7265625" style="2" customWidth="1"/>
    <col min="10502" max="10525" width="0" style="2" hidden="1" customWidth="1"/>
    <col min="10526" max="10526" width="20.54296875" style="2" customWidth="1"/>
    <col min="10527" max="10550" width="15.6328125" style="2" customWidth="1"/>
    <col min="10551" max="10551" width="20.6328125" style="2" customWidth="1"/>
    <col min="10552" max="10755" width="8.7265625" style="2"/>
    <col min="10756" max="10756" width="31.26953125" style="2" customWidth="1"/>
    <col min="10757" max="10757" width="17.7265625" style="2" customWidth="1"/>
    <col min="10758" max="10781" width="0" style="2" hidden="1" customWidth="1"/>
    <col min="10782" max="10782" width="20.54296875" style="2" customWidth="1"/>
    <col min="10783" max="10806" width="15.6328125" style="2" customWidth="1"/>
    <col min="10807" max="10807" width="20.6328125" style="2" customWidth="1"/>
    <col min="10808" max="11011" width="8.7265625" style="2"/>
    <col min="11012" max="11012" width="31.26953125" style="2" customWidth="1"/>
    <col min="11013" max="11013" width="17.7265625" style="2" customWidth="1"/>
    <col min="11014" max="11037" width="0" style="2" hidden="1" customWidth="1"/>
    <col min="11038" max="11038" width="20.54296875" style="2" customWidth="1"/>
    <col min="11039" max="11062" width="15.6328125" style="2" customWidth="1"/>
    <col min="11063" max="11063" width="20.6328125" style="2" customWidth="1"/>
    <col min="11064" max="11267" width="8.7265625" style="2"/>
    <col min="11268" max="11268" width="31.26953125" style="2" customWidth="1"/>
    <col min="11269" max="11269" width="17.7265625" style="2" customWidth="1"/>
    <col min="11270" max="11293" width="0" style="2" hidden="1" customWidth="1"/>
    <col min="11294" max="11294" width="20.54296875" style="2" customWidth="1"/>
    <col min="11295" max="11318" width="15.6328125" style="2" customWidth="1"/>
    <col min="11319" max="11319" width="20.6328125" style="2" customWidth="1"/>
    <col min="11320" max="11523" width="8.7265625" style="2"/>
    <col min="11524" max="11524" width="31.26953125" style="2" customWidth="1"/>
    <col min="11525" max="11525" width="17.7265625" style="2" customWidth="1"/>
    <col min="11526" max="11549" width="0" style="2" hidden="1" customWidth="1"/>
    <col min="11550" max="11550" width="20.54296875" style="2" customWidth="1"/>
    <col min="11551" max="11574" width="15.6328125" style="2" customWidth="1"/>
    <col min="11575" max="11575" width="20.6328125" style="2" customWidth="1"/>
    <col min="11576" max="11779" width="8.7265625" style="2"/>
    <col min="11780" max="11780" width="31.26953125" style="2" customWidth="1"/>
    <col min="11781" max="11781" width="17.7265625" style="2" customWidth="1"/>
    <col min="11782" max="11805" width="0" style="2" hidden="1" customWidth="1"/>
    <col min="11806" max="11806" width="20.54296875" style="2" customWidth="1"/>
    <col min="11807" max="11830" width="15.6328125" style="2" customWidth="1"/>
    <col min="11831" max="11831" width="20.6328125" style="2" customWidth="1"/>
    <col min="11832" max="12035" width="8.7265625" style="2"/>
    <col min="12036" max="12036" width="31.26953125" style="2" customWidth="1"/>
    <col min="12037" max="12037" width="17.7265625" style="2" customWidth="1"/>
    <col min="12038" max="12061" width="0" style="2" hidden="1" customWidth="1"/>
    <col min="12062" max="12062" width="20.54296875" style="2" customWidth="1"/>
    <col min="12063" max="12086" width="15.6328125" style="2" customWidth="1"/>
    <col min="12087" max="12087" width="20.6328125" style="2" customWidth="1"/>
    <col min="12088" max="12291" width="8.7265625" style="2"/>
    <col min="12292" max="12292" width="31.26953125" style="2" customWidth="1"/>
    <col min="12293" max="12293" width="17.7265625" style="2" customWidth="1"/>
    <col min="12294" max="12317" width="0" style="2" hidden="1" customWidth="1"/>
    <col min="12318" max="12318" width="20.54296875" style="2" customWidth="1"/>
    <col min="12319" max="12342" width="15.6328125" style="2" customWidth="1"/>
    <col min="12343" max="12343" width="20.6328125" style="2" customWidth="1"/>
    <col min="12344" max="12547" width="8.7265625" style="2"/>
    <col min="12548" max="12548" width="31.26953125" style="2" customWidth="1"/>
    <col min="12549" max="12549" width="17.7265625" style="2" customWidth="1"/>
    <col min="12550" max="12573" width="0" style="2" hidden="1" customWidth="1"/>
    <col min="12574" max="12574" width="20.54296875" style="2" customWidth="1"/>
    <col min="12575" max="12598" width="15.6328125" style="2" customWidth="1"/>
    <col min="12599" max="12599" width="20.6328125" style="2" customWidth="1"/>
    <col min="12600" max="12803" width="8.7265625" style="2"/>
    <col min="12804" max="12804" width="31.26953125" style="2" customWidth="1"/>
    <col min="12805" max="12805" width="17.7265625" style="2" customWidth="1"/>
    <col min="12806" max="12829" width="0" style="2" hidden="1" customWidth="1"/>
    <col min="12830" max="12830" width="20.54296875" style="2" customWidth="1"/>
    <col min="12831" max="12854" width="15.6328125" style="2" customWidth="1"/>
    <col min="12855" max="12855" width="20.6328125" style="2" customWidth="1"/>
    <col min="12856" max="13059" width="8.7265625" style="2"/>
    <col min="13060" max="13060" width="31.26953125" style="2" customWidth="1"/>
    <col min="13061" max="13061" width="17.7265625" style="2" customWidth="1"/>
    <col min="13062" max="13085" width="0" style="2" hidden="1" customWidth="1"/>
    <col min="13086" max="13086" width="20.54296875" style="2" customWidth="1"/>
    <col min="13087" max="13110" width="15.6328125" style="2" customWidth="1"/>
    <col min="13111" max="13111" width="20.6328125" style="2" customWidth="1"/>
    <col min="13112" max="13315" width="8.7265625" style="2"/>
    <col min="13316" max="13316" width="31.26953125" style="2" customWidth="1"/>
    <col min="13317" max="13317" width="17.7265625" style="2" customWidth="1"/>
    <col min="13318" max="13341" width="0" style="2" hidden="1" customWidth="1"/>
    <col min="13342" max="13342" width="20.54296875" style="2" customWidth="1"/>
    <col min="13343" max="13366" width="15.6328125" style="2" customWidth="1"/>
    <col min="13367" max="13367" width="20.6328125" style="2" customWidth="1"/>
    <col min="13368" max="13571" width="8.7265625" style="2"/>
    <col min="13572" max="13572" width="31.26953125" style="2" customWidth="1"/>
    <col min="13573" max="13573" width="17.7265625" style="2" customWidth="1"/>
    <col min="13574" max="13597" width="0" style="2" hidden="1" customWidth="1"/>
    <col min="13598" max="13598" width="20.54296875" style="2" customWidth="1"/>
    <col min="13599" max="13622" width="15.6328125" style="2" customWidth="1"/>
    <col min="13623" max="13623" width="20.6328125" style="2" customWidth="1"/>
    <col min="13624" max="13827" width="8.7265625" style="2"/>
    <col min="13828" max="13828" width="31.26953125" style="2" customWidth="1"/>
    <col min="13829" max="13829" width="17.7265625" style="2" customWidth="1"/>
    <col min="13830" max="13853" width="0" style="2" hidden="1" customWidth="1"/>
    <col min="13854" max="13854" width="20.54296875" style="2" customWidth="1"/>
    <col min="13855" max="13878" width="15.6328125" style="2" customWidth="1"/>
    <col min="13879" max="13879" width="20.6328125" style="2" customWidth="1"/>
    <col min="13880" max="14083" width="8.7265625" style="2"/>
    <col min="14084" max="14084" width="31.26953125" style="2" customWidth="1"/>
    <col min="14085" max="14085" width="17.7265625" style="2" customWidth="1"/>
    <col min="14086" max="14109" width="0" style="2" hidden="1" customWidth="1"/>
    <col min="14110" max="14110" width="20.54296875" style="2" customWidth="1"/>
    <col min="14111" max="14134" width="15.6328125" style="2" customWidth="1"/>
    <col min="14135" max="14135" width="20.6328125" style="2" customWidth="1"/>
    <col min="14136" max="14339" width="8.7265625" style="2"/>
    <col min="14340" max="14340" width="31.26953125" style="2" customWidth="1"/>
    <col min="14341" max="14341" width="17.7265625" style="2" customWidth="1"/>
    <col min="14342" max="14365" width="0" style="2" hidden="1" customWidth="1"/>
    <col min="14366" max="14366" width="20.54296875" style="2" customWidth="1"/>
    <col min="14367" max="14390" width="15.6328125" style="2" customWidth="1"/>
    <col min="14391" max="14391" width="20.6328125" style="2" customWidth="1"/>
    <col min="14392" max="14595" width="8.7265625" style="2"/>
    <col min="14596" max="14596" width="31.26953125" style="2" customWidth="1"/>
    <col min="14597" max="14597" width="17.7265625" style="2" customWidth="1"/>
    <col min="14598" max="14621" width="0" style="2" hidden="1" customWidth="1"/>
    <col min="14622" max="14622" width="20.54296875" style="2" customWidth="1"/>
    <col min="14623" max="14646" width="15.6328125" style="2" customWidth="1"/>
    <col min="14647" max="14647" width="20.6328125" style="2" customWidth="1"/>
    <col min="14648" max="14851" width="8.7265625" style="2"/>
    <col min="14852" max="14852" width="31.26953125" style="2" customWidth="1"/>
    <col min="14853" max="14853" width="17.7265625" style="2" customWidth="1"/>
    <col min="14854" max="14877" width="0" style="2" hidden="1" customWidth="1"/>
    <col min="14878" max="14878" width="20.54296875" style="2" customWidth="1"/>
    <col min="14879" max="14902" width="15.6328125" style="2" customWidth="1"/>
    <col min="14903" max="14903" width="20.6328125" style="2" customWidth="1"/>
    <col min="14904" max="15107" width="8.7265625" style="2"/>
    <col min="15108" max="15108" width="31.26953125" style="2" customWidth="1"/>
    <col min="15109" max="15109" width="17.7265625" style="2" customWidth="1"/>
    <col min="15110" max="15133" width="0" style="2" hidden="1" customWidth="1"/>
    <col min="15134" max="15134" width="20.54296875" style="2" customWidth="1"/>
    <col min="15135" max="15158" width="15.6328125" style="2" customWidth="1"/>
    <col min="15159" max="15159" width="20.6328125" style="2" customWidth="1"/>
    <col min="15160" max="15363" width="8.7265625" style="2"/>
    <col min="15364" max="15364" width="31.26953125" style="2" customWidth="1"/>
    <col min="15365" max="15365" width="17.7265625" style="2" customWidth="1"/>
    <col min="15366" max="15389" width="0" style="2" hidden="1" customWidth="1"/>
    <col min="15390" max="15390" width="20.54296875" style="2" customWidth="1"/>
    <col min="15391" max="15414" width="15.6328125" style="2" customWidth="1"/>
    <col min="15415" max="15415" width="20.6328125" style="2" customWidth="1"/>
    <col min="15416" max="15619" width="8.7265625" style="2"/>
    <col min="15620" max="15620" width="31.26953125" style="2" customWidth="1"/>
    <col min="15621" max="15621" width="17.7265625" style="2" customWidth="1"/>
    <col min="15622" max="15645" width="0" style="2" hidden="1" customWidth="1"/>
    <col min="15646" max="15646" width="20.54296875" style="2" customWidth="1"/>
    <col min="15647" max="15670" width="15.6328125" style="2" customWidth="1"/>
    <col min="15671" max="15671" width="20.6328125" style="2" customWidth="1"/>
    <col min="15672" max="15875" width="8.7265625" style="2"/>
    <col min="15876" max="15876" width="31.26953125" style="2" customWidth="1"/>
    <col min="15877" max="15877" width="17.7265625" style="2" customWidth="1"/>
    <col min="15878" max="15901" width="0" style="2" hidden="1" customWidth="1"/>
    <col min="15902" max="15902" width="20.54296875" style="2" customWidth="1"/>
    <col min="15903" max="15926" width="15.6328125" style="2" customWidth="1"/>
    <col min="15927" max="15927" width="20.6328125" style="2" customWidth="1"/>
    <col min="15928" max="16131" width="8.7265625" style="2"/>
    <col min="16132" max="16132" width="31.26953125" style="2" customWidth="1"/>
    <col min="16133" max="16133" width="17.7265625" style="2" customWidth="1"/>
    <col min="16134" max="16157" width="0" style="2" hidden="1" customWidth="1"/>
    <col min="16158" max="16158" width="20.54296875" style="2" customWidth="1"/>
    <col min="16159" max="16182" width="15.6328125" style="2" customWidth="1"/>
    <col min="16183" max="16183" width="20.6328125" style="2" customWidth="1"/>
    <col min="16184" max="16384" width="8.7265625" style="2"/>
  </cols>
  <sheetData>
    <row r="2" spans="1:55" x14ac:dyDescent="0.25">
      <c r="A2" s="1" t="s">
        <v>0</v>
      </c>
      <c r="B2" s="1" t="s">
        <v>1</v>
      </c>
      <c r="C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55" ht="39" customHeight="1" x14ac:dyDescent="0.25">
      <c r="A3" s="85" t="s">
        <v>2</v>
      </c>
      <c r="B3" s="85" t="s">
        <v>3</v>
      </c>
      <c r="C3" s="77" t="s">
        <v>4</v>
      </c>
      <c r="D3" s="87" t="s">
        <v>5</v>
      </c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9"/>
      <c r="AB3" s="77" t="s">
        <v>6</v>
      </c>
      <c r="AC3" s="82" t="s">
        <v>7</v>
      </c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4"/>
      <c r="BA3" s="77" t="s">
        <v>185</v>
      </c>
      <c r="BB3" s="77" t="s">
        <v>186</v>
      </c>
      <c r="BC3" s="74" t="s">
        <v>8</v>
      </c>
    </row>
    <row r="4" spans="1:55" x14ac:dyDescent="0.25">
      <c r="A4" s="86"/>
      <c r="B4" s="86"/>
      <c r="C4" s="79"/>
      <c r="D4" s="90" t="s">
        <v>9</v>
      </c>
      <c r="E4" s="91"/>
      <c r="F4" s="90" t="s">
        <v>10</v>
      </c>
      <c r="G4" s="91"/>
      <c r="H4" s="90" t="s">
        <v>11</v>
      </c>
      <c r="I4" s="91"/>
      <c r="J4" s="90" t="s">
        <v>12</v>
      </c>
      <c r="K4" s="91"/>
      <c r="L4" s="90" t="s">
        <v>13</v>
      </c>
      <c r="M4" s="91"/>
      <c r="N4" s="90" t="s">
        <v>14</v>
      </c>
      <c r="O4" s="91"/>
      <c r="P4" s="90" t="s">
        <v>15</v>
      </c>
      <c r="Q4" s="91"/>
      <c r="R4" s="90" t="s">
        <v>16</v>
      </c>
      <c r="S4" s="91"/>
      <c r="T4" s="90" t="s">
        <v>17</v>
      </c>
      <c r="U4" s="91"/>
      <c r="V4" s="90" t="s">
        <v>18</v>
      </c>
      <c r="W4" s="91"/>
      <c r="X4" s="90" t="s">
        <v>19</v>
      </c>
      <c r="Y4" s="91"/>
      <c r="Z4" s="90" t="s">
        <v>20</v>
      </c>
      <c r="AA4" s="91"/>
      <c r="AB4" s="79"/>
      <c r="AC4" s="80" t="s">
        <v>9</v>
      </c>
      <c r="AD4" s="81"/>
      <c r="AE4" s="80" t="s">
        <v>10</v>
      </c>
      <c r="AF4" s="81"/>
      <c r="AG4" s="80" t="s">
        <v>11</v>
      </c>
      <c r="AH4" s="81"/>
      <c r="AI4" s="80" t="s">
        <v>12</v>
      </c>
      <c r="AJ4" s="81"/>
      <c r="AK4" s="80" t="s">
        <v>13</v>
      </c>
      <c r="AL4" s="81"/>
      <c r="AM4" s="80" t="s">
        <v>14</v>
      </c>
      <c r="AN4" s="81"/>
      <c r="AO4" s="80" t="s">
        <v>15</v>
      </c>
      <c r="AP4" s="81"/>
      <c r="AQ4" s="80" t="s">
        <v>16</v>
      </c>
      <c r="AR4" s="81"/>
      <c r="AS4" s="80" t="s">
        <v>17</v>
      </c>
      <c r="AT4" s="81"/>
      <c r="AU4" s="80" t="s">
        <v>18</v>
      </c>
      <c r="AV4" s="81"/>
      <c r="AW4" s="80" t="s">
        <v>19</v>
      </c>
      <c r="AX4" s="81"/>
      <c r="AY4" s="80" t="s">
        <v>20</v>
      </c>
      <c r="AZ4" s="81"/>
      <c r="BA4" s="78"/>
      <c r="BB4" s="78"/>
      <c r="BC4" s="75"/>
    </row>
    <row r="5" spans="1:55" x14ac:dyDescent="0.25">
      <c r="A5" s="4"/>
      <c r="B5" s="4"/>
      <c r="C5" s="37"/>
      <c r="D5" s="6" t="s">
        <v>21</v>
      </c>
      <c r="E5" s="6" t="s">
        <v>22</v>
      </c>
      <c r="F5" s="6" t="s">
        <v>21</v>
      </c>
      <c r="G5" s="6" t="s">
        <v>22</v>
      </c>
      <c r="H5" s="6" t="s">
        <v>21</v>
      </c>
      <c r="I5" s="6" t="s">
        <v>22</v>
      </c>
      <c r="J5" s="6" t="s">
        <v>21</v>
      </c>
      <c r="K5" s="6" t="s">
        <v>22</v>
      </c>
      <c r="L5" s="6" t="s">
        <v>21</v>
      </c>
      <c r="M5" s="6" t="s">
        <v>22</v>
      </c>
      <c r="N5" s="6" t="s">
        <v>21</v>
      </c>
      <c r="O5" s="6" t="s">
        <v>22</v>
      </c>
      <c r="P5" s="6" t="s">
        <v>21</v>
      </c>
      <c r="Q5" s="6" t="s">
        <v>22</v>
      </c>
      <c r="R5" s="6" t="s">
        <v>21</v>
      </c>
      <c r="S5" s="6" t="s">
        <v>22</v>
      </c>
      <c r="T5" s="6" t="s">
        <v>21</v>
      </c>
      <c r="U5" s="6" t="s">
        <v>22</v>
      </c>
      <c r="V5" s="6" t="s">
        <v>21</v>
      </c>
      <c r="W5" s="6" t="s">
        <v>22</v>
      </c>
      <c r="X5" s="6" t="s">
        <v>21</v>
      </c>
      <c r="Y5" s="6" t="s">
        <v>22</v>
      </c>
      <c r="Z5" s="6" t="s">
        <v>21</v>
      </c>
      <c r="AA5" s="6" t="s">
        <v>22</v>
      </c>
      <c r="AB5" s="36"/>
      <c r="AC5" s="6" t="s">
        <v>21</v>
      </c>
      <c r="AD5" s="5" t="s">
        <v>22</v>
      </c>
      <c r="AE5" s="6" t="s">
        <v>21</v>
      </c>
      <c r="AF5" s="5" t="s">
        <v>22</v>
      </c>
      <c r="AG5" s="6" t="s">
        <v>21</v>
      </c>
      <c r="AH5" s="5" t="s">
        <v>22</v>
      </c>
      <c r="AI5" s="6" t="s">
        <v>21</v>
      </c>
      <c r="AJ5" s="5" t="s">
        <v>22</v>
      </c>
      <c r="AK5" s="6" t="s">
        <v>21</v>
      </c>
      <c r="AL5" s="6" t="s">
        <v>22</v>
      </c>
      <c r="AM5" s="6" t="s">
        <v>21</v>
      </c>
      <c r="AN5" s="6" t="s">
        <v>22</v>
      </c>
      <c r="AO5" s="6" t="s">
        <v>21</v>
      </c>
      <c r="AP5" s="5" t="s">
        <v>22</v>
      </c>
      <c r="AQ5" s="6" t="s">
        <v>21</v>
      </c>
      <c r="AR5" s="5" t="s">
        <v>22</v>
      </c>
      <c r="AS5" s="6" t="s">
        <v>21</v>
      </c>
      <c r="AT5" s="5" t="s">
        <v>22</v>
      </c>
      <c r="AU5" s="6" t="s">
        <v>21</v>
      </c>
      <c r="AV5" s="5" t="s">
        <v>22</v>
      </c>
      <c r="AW5" s="6" t="s">
        <v>21</v>
      </c>
      <c r="AX5" s="5" t="s">
        <v>22</v>
      </c>
      <c r="AY5" s="6" t="s">
        <v>21</v>
      </c>
      <c r="AZ5" s="5" t="s">
        <v>22</v>
      </c>
      <c r="BA5" s="79"/>
      <c r="BB5" s="79"/>
      <c r="BC5" s="76"/>
    </row>
    <row r="6" spans="1:55" s="35" customFormat="1" x14ac:dyDescent="0.25">
      <c r="A6" s="34">
        <v>1</v>
      </c>
      <c r="B6" s="28" t="s">
        <v>193</v>
      </c>
      <c r="C6" s="29"/>
      <c r="D6" s="13"/>
      <c r="E6" s="13"/>
      <c r="F6" s="13"/>
      <c r="G6" s="13"/>
      <c r="H6" s="13"/>
      <c r="I6" s="13"/>
      <c r="J6" s="13"/>
      <c r="K6" s="13"/>
      <c r="L6" s="13"/>
      <c r="M6" s="13"/>
      <c r="N6" s="13">
        <v>0</v>
      </c>
      <c r="O6" s="13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>
        <f>C6+D6+E6+F6+G6+H6+I6+J6+K6+L6+M6+N6+O6+P6+Q6+R6+S6+T6+U6+V6+W6+X6+Y6+Z6+AA6</f>
        <v>0</v>
      </c>
      <c r="AC6" s="13"/>
      <c r="AD6" s="13">
        <v>0</v>
      </c>
      <c r="AE6" s="13"/>
      <c r="AF6" s="13">
        <v>0</v>
      </c>
      <c r="AG6" s="13"/>
      <c r="AH6" s="13">
        <v>0</v>
      </c>
      <c r="AI6" s="13">
        <v>15000000</v>
      </c>
      <c r="AJ6" s="13">
        <v>1500000</v>
      </c>
      <c r="AK6" s="13"/>
      <c r="AL6" s="13">
        <v>1500000</v>
      </c>
      <c r="AM6" s="13"/>
      <c r="AN6" s="13">
        <v>1500000</v>
      </c>
      <c r="AO6" s="29"/>
      <c r="AP6" s="29">
        <v>1500000</v>
      </c>
      <c r="AQ6" s="29"/>
      <c r="AR6" s="29">
        <v>1500000</v>
      </c>
      <c r="AS6" s="29"/>
      <c r="AT6" s="29">
        <v>1500000</v>
      </c>
      <c r="AU6" s="29"/>
      <c r="AV6" s="29">
        <v>1500000</v>
      </c>
      <c r="AW6" s="29"/>
      <c r="AX6" s="29">
        <v>1500000</v>
      </c>
      <c r="AY6" s="29"/>
      <c r="AZ6" s="29">
        <v>1500000</v>
      </c>
      <c r="BA6" s="9">
        <f t="shared" ref="BA6:BA69" si="0">AB6+AC6+AE6+AG6+AI6+AK6+AM6+AO6+AQ6+AS6+AU6+AW6+AY6</f>
        <v>15000000</v>
      </c>
      <c r="BB6" s="29">
        <f>AD6+AF6+AH6+AJ6+AL6+AN6+AP6+AR6+AT6+AV6+AX6+AZ6</f>
        <v>13500000</v>
      </c>
      <c r="BC6" s="29">
        <f>BA6-BB6</f>
        <v>1500000</v>
      </c>
    </row>
    <row r="7" spans="1:55" x14ac:dyDescent="0.25">
      <c r="A7" s="4">
        <f>A6+1</f>
        <v>2</v>
      </c>
      <c r="B7" s="38" t="s">
        <v>23</v>
      </c>
      <c r="C7" s="6">
        <v>1400000</v>
      </c>
      <c r="D7" s="6">
        <v>0</v>
      </c>
      <c r="E7" s="6">
        <v>-200000</v>
      </c>
      <c r="F7" s="6"/>
      <c r="G7" s="6">
        <v>-200000</v>
      </c>
      <c r="H7" s="6"/>
      <c r="I7" s="6">
        <v>-200000</v>
      </c>
      <c r="J7" s="6"/>
      <c r="K7" s="6"/>
      <c r="L7" s="6"/>
      <c r="M7" s="6">
        <v>-200000</v>
      </c>
      <c r="N7" s="6"/>
      <c r="O7" s="6">
        <v>-200000</v>
      </c>
      <c r="P7" s="9"/>
      <c r="Q7" s="6">
        <v>-200000</v>
      </c>
      <c r="R7" s="9"/>
      <c r="S7" s="6">
        <v>-200000</v>
      </c>
      <c r="T7" s="9"/>
      <c r="U7" s="9"/>
      <c r="V7" s="9"/>
      <c r="W7" s="9"/>
      <c r="X7" s="9"/>
      <c r="Y7" s="9"/>
      <c r="Z7" s="9"/>
      <c r="AA7" s="9"/>
      <c r="AB7" s="9" t="s">
        <v>24</v>
      </c>
      <c r="AC7" s="9">
        <v>0</v>
      </c>
      <c r="AD7" s="9"/>
      <c r="AE7" s="9">
        <v>0</v>
      </c>
      <c r="AF7" s="9"/>
      <c r="AG7" s="9">
        <v>0</v>
      </c>
      <c r="AH7" s="9">
        <v>0</v>
      </c>
      <c r="AI7" s="9">
        <v>0</v>
      </c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f t="shared" ref="BB7:BB70" si="1">AD7+AF7+AH7+AJ7+AL7+AN7+AP7+AR7+AT7+AV7+AX7+AZ7</f>
        <v>0</v>
      </c>
      <c r="BC7" s="9">
        <f t="shared" ref="BC7:BC8" si="2">BA7-BB7</f>
        <v>0</v>
      </c>
    </row>
    <row r="8" spans="1:55" x14ac:dyDescent="0.25">
      <c r="A8" s="4">
        <f t="shared" ref="A8:A71" si="3">A7+1</f>
        <v>3</v>
      </c>
      <c r="B8" s="38" t="s">
        <v>25</v>
      </c>
      <c r="C8" s="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>
        <f t="shared" ref="AB8:AB74" si="4">C8+D8+E8+F8+G8+H8+I8+J8+K8+L8+M8+N8+O8+P8+Q8+R8+S8+T8+U8+V8+W8+X8+Y8+Z8+AA8</f>
        <v>0</v>
      </c>
      <c r="AC8" s="6"/>
      <c r="AD8" s="5"/>
      <c r="AE8" s="6"/>
      <c r="AF8" s="5"/>
      <c r="AG8" s="6"/>
      <c r="AH8" s="5">
        <v>0</v>
      </c>
      <c r="AI8" s="6"/>
      <c r="AJ8" s="5"/>
      <c r="AK8" s="6"/>
      <c r="AL8" s="6">
        <v>0</v>
      </c>
      <c r="AM8" s="6"/>
      <c r="AN8" s="6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>
        <f t="shared" si="0"/>
        <v>0</v>
      </c>
      <c r="BB8" s="9">
        <f t="shared" si="1"/>
        <v>0</v>
      </c>
      <c r="BC8" s="9">
        <f t="shared" si="2"/>
        <v>0</v>
      </c>
    </row>
    <row r="9" spans="1:55" x14ac:dyDescent="0.25">
      <c r="A9" s="4">
        <f t="shared" si="3"/>
        <v>4</v>
      </c>
      <c r="B9" s="38" t="s">
        <v>26</v>
      </c>
      <c r="C9" s="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>
        <f t="shared" si="4"/>
        <v>0</v>
      </c>
      <c r="AC9" s="6"/>
      <c r="AD9" s="5"/>
      <c r="AE9" s="6"/>
      <c r="AF9" s="5"/>
      <c r="AG9" s="6"/>
      <c r="AH9" s="5">
        <v>0</v>
      </c>
      <c r="AI9" s="6"/>
      <c r="AJ9" s="5"/>
      <c r="AK9" s="6"/>
      <c r="AL9" s="6">
        <v>0</v>
      </c>
      <c r="AM9" s="6"/>
      <c r="AN9" s="6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>
        <f t="shared" si="0"/>
        <v>0</v>
      </c>
      <c r="BB9" s="9">
        <f t="shared" si="1"/>
        <v>0</v>
      </c>
      <c r="BC9" s="7">
        <f t="shared" ref="BC9:BC70" si="5">BA9-BB9</f>
        <v>0</v>
      </c>
    </row>
    <row r="10" spans="1:55" x14ac:dyDescent="0.25">
      <c r="A10" s="4">
        <f t="shared" si="3"/>
        <v>5</v>
      </c>
      <c r="B10" s="38" t="s">
        <v>27</v>
      </c>
      <c r="C10" s="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>
        <f t="shared" si="4"/>
        <v>0</v>
      </c>
      <c r="AC10" s="6"/>
      <c r="AD10" s="5"/>
      <c r="AE10" s="6"/>
      <c r="AF10" s="5"/>
      <c r="AG10" s="6"/>
      <c r="AH10" s="5">
        <v>0</v>
      </c>
      <c r="AI10" s="6"/>
      <c r="AJ10" s="5"/>
      <c r="AK10" s="6"/>
      <c r="AL10" s="6">
        <v>0</v>
      </c>
      <c r="AM10" s="6"/>
      <c r="AN10" s="6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>
        <f t="shared" si="0"/>
        <v>0</v>
      </c>
      <c r="BB10" s="9">
        <f t="shared" si="1"/>
        <v>0</v>
      </c>
      <c r="BC10" s="7">
        <f t="shared" si="5"/>
        <v>0</v>
      </c>
    </row>
    <row r="11" spans="1:55" s="35" customFormat="1" x14ac:dyDescent="0.25">
      <c r="A11" s="34">
        <f t="shared" si="3"/>
        <v>6</v>
      </c>
      <c r="B11" s="28" t="s">
        <v>28</v>
      </c>
      <c r="C11" s="29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29"/>
      <c r="Q11" s="29"/>
      <c r="R11" s="29">
        <v>15000000</v>
      </c>
      <c r="S11" s="29">
        <v>-1500000</v>
      </c>
      <c r="T11" s="29"/>
      <c r="U11" s="29">
        <v>-1500000</v>
      </c>
      <c r="V11" s="29"/>
      <c r="W11" s="29">
        <v>-1500000</v>
      </c>
      <c r="X11" s="29"/>
      <c r="Y11" s="29">
        <v>-1500000</v>
      </c>
      <c r="Z11" s="29"/>
      <c r="AA11" s="29">
        <v>-1500000</v>
      </c>
      <c r="AB11" s="29">
        <f>C11+D11+E11+F11+G11+H11+I11+J11+K11+L11+M11+N11+O11+P11+Q11+R11+S11+T11+U11+V11+W11+X11+Y11+Z11+AA11</f>
        <v>7500000</v>
      </c>
      <c r="AC11" s="13">
        <v>0</v>
      </c>
      <c r="AD11" s="13">
        <v>1500000</v>
      </c>
      <c r="AE11" s="13">
        <v>0</v>
      </c>
      <c r="AF11" s="13">
        <v>1500000</v>
      </c>
      <c r="AG11" s="13">
        <v>0</v>
      </c>
      <c r="AH11" s="13">
        <v>0</v>
      </c>
      <c r="AI11" s="13">
        <v>0</v>
      </c>
      <c r="AJ11" s="13">
        <v>1500000</v>
      </c>
      <c r="AK11" s="13">
        <v>0</v>
      </c>
      <c r="AL11" s="13">
        <v>1500000</v>
      </c>
      <c r="AM11" s="13">
        <v>0</v>
      </c>
      <c r="AN11" s="13">
        <v>1500000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9">
        <f t="shared" si="0"/>
        <v>7500000</v>
      </c>
      <c r="BB11" s="29">
        <f>AD11+AF11+AH11+AJ11+AL11+AN11+AP11+AR11+AT11+AV11+AX11+AZ11</f>
        <v>7500000</v>
      </c>
      <c r="BC11" s="29">
        <f t="shared" si="5"/>
        <v>0</v>
      </c>
    </row>
    <row r="12" spans="1:55" x14ac:dyDescent="0.25">
      <c r="A12" s="4">
        <f t="shared" si="3"/>
        <v>7</v>
      </c>
      <c r="B12" s="38" t="s">
        <v>29</v>
      </c>
      <c r="C12" s="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>
        <f t="shared" si="4"/>
        <v>0</v>
      </c>
      <c r="AC12" s="6"/>
      <c r="AD12" s="5"/>
      <c r="AE12" s="6"/>
      <c r="AF12" s="5"/>
      <c r="AG12" s="6"/>
      <c r="AH12" s="5">
        <v>0</v>
      </c>
      <c r="AI12" s="6"/>
      <c r="AJ12" s="5"/>
      <c r="AK12" s="6"/>
      <c r="AL12" s="6">
        <v>0</v>
      </c>
      <c r="AM12" s="6"/>
      <c r="AN12" s="6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>
        <f t="shared" si="0"/>
        <v>0</v>
      </c>
      <c r="BB12" s="9">
        <f t="shared" si="1"/>
        <v>0</v>
      </c>
      <c r="BC12" s="7">
        <f t="shared" si="5"/>
        <v>0</v>
      </c>
    </row>
    <row r="13" spans="1:55" s="35" customFormat="1" x14ac:dyDescent="0.25">
      <c r="A13" s="34">
        <f t="shared" si="3"/>
        <v>8</v>
      </c>
      <c r="B13" s="28" t="s">
        <v>30</v>
      </c>
      <c r="C13" s="13">
        <v>15000000</v>
      </c>
      <c r="D13" s="13"/>
      <c r="E13" s="13">
        <v>-2500000</v>
      </c>
      <c r="F13" s="13"/>
      <c r="G13" s="13">
        <v>-2500000</v>
      </c>
      <c r="H13" s="13"/>
      <c r="I13" s="13">
        <v>-2500000</v>
      </c>
      <c r="J13" s="13"/>
      <c r="K13" s="13"/>
      <c r="L13" s="13"/>
      <c r="M13" s="13">
        <v>-2500000</v>
      </c>
      <c r="N13" s="13"/>
      <c r="O13" s="13">
        <v>-2500000</v>
      </c>
      <c r="P13" s="29"/>
      <c r="Q13" s="13">
        <v>-2500000</v>
      </c>
      <c r="R13" s="29"/>
      <c r="S13" s="29"/>
      <c r="T13" s="29"/>
      <c r="U13" s="29"/>
      <c r="V13" s="29">
        <v>25000000</v>
      </c>
      <c r="W13" s="29"/>
      <c r="X13" s="29"/>
      <c r="Y13" s="29">
        <v>-2500000</v>
      </c>
      <c r="Z13" s="29"/>
      <c r="AA13" s="29">
        <v>-2500000</v>
      </c>
      <c r="AB13" s="29">
        <f>C13+D13+E13+F13+G13+H13+I13+J13+K13+L13+M13+N13+O13+P13+Q13+R13+S13+T13+U13+V13+W13+X13+Y13+Z13+AA13</f>
        <v>20000000</v>
      </c>
      <c r="AC13" s="13"/>
      <c r="AD13" s="13">
        <v>2500000</v>
      </c>
      <c r="AE13" s="13"/>
      <c r="AF13" s="13">
        <v>2500000</v>
      </c>
      <c r="AG13" s="13"/>
      <c r="AH13" s="13">
        <v>0</v>
      </c>
      <c r="AI13" s="13"/>
      <c r="AJ13" s="13">
        <v>2500000</v>
      </c>
      <c r="AK13" s="13"/>
      <c r="AL13" s="13">
        <v>2500000</v>
      </c>
      <c r="AM13" s="13"/>
      <c r="AN13" s="13">
        <v>2500000</v>
      </c>
      <c r="AO13" s="29"/>
      <c r="AP13" s="29">
        <v>2500000</v>
      </c>
      <c r="AQ13" s="29"/>
      <c r="AR13" s="29">
        <v>2500000</v>
      </c>
      <c r="AS13" s="29"/>
      <c r="AT13" s="29">
        <v>2500000</v>
      </c>
      <c r="AU13" s="29">
        <v>25000000</v>
      </c>
      <c r="AV13" s="29">
        <v>0</v>
      </c>
      <c r="AW13" s="29"/>
      <c r="AX13" s="29">
        <v>2500000</v>
      </c>
      <c r="AY13" s="29"/>
      <c r="AZ13" s="29">
        <v>2500000</v>
      </c>
      <c r="BA13" s="9">
        <f t="shared" si="0"/>
        <v>45000000</v>
      </c>
      <c r="BB13" s="29">
        <f t="shared" si="1"/>
        <v>25000000</v>
      </c>
      <c r="BC13" s="29">
        <f t="shared" si="5"/>
        <v>20000000</v>
      </c>
    </row>
    <row r="14" spans="1:55" x14ac:dyDescent="0.25">
      <c r="A14" s="4">
        <f t="shared" si="3"/>
        <v>9</v>
      </c>
      <c r="B14" s="38" t="s">
        <v>31</v>
      </c>
      <c r="C14" s="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f t="shared" si="4"/>
        <v>0</v>
      </c>
      <c r="AC14" s="6"/>
      <c r="AD14" s="5"/>
      <c r="AE14" s="6"/>
      <c r="AF14" s="5"/>
      <c r="AG14" s="6"/>
      <c r="AH14" s="5">
        <v>0</v>
      </c>
      <c r="AI14" s="6"/>
      <c r="AJ14" s="5"/>
      <c r="AK14" s="6"/>
      <c r="AL14" s="6">
        <v>0</v>
      </c>
      <c r="AM14" s="6"/>
      <c r="AN14" s="6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>
        <f t="shared" si="0"/>
        <v>0</v>
      </c>
      <c r="BB14" s="9">
        <f t="shared" si="1"/>
        <v>0</v>
      </c>
      <c r="BC14" s="7">
        <f t="shared" si="5"/>
        <v>0</v>
      </c>
    </row>
    <row r="15" spans="1:55" x14ac:dyDescent="0.25">
      <c r="A15" s="4">
        <f t="shared" si="3"/>
        <v>10</v>
      </c>
      <c r="B15" s="38" t="s">
        <v>32</v>
      </c>
      <c r="C15" s="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f t="shared" si="4"/>
        <v>0</v>
      </c>
      <c r="AC15" s="6"/>
      <c r="AD15" s="5"/>
      <c r="AE15" s="6"/>
      <c r="AF15" s="5"/>
      <c r="AG15" s="6"/>
      <c r="AH15" s="5">
        <v>0</v>
      </c>
      <c r="AI15" s="6"/>
      <c r="AJ15" s="5"/>
      <c r="AK15" s="6"/>
      <c r="AL15" s="6">
        <v>0</v>
      </c>
      <c r="AM15" s="6"/>
      <c r="AN15" s="6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>
        <f t="shared" si="0"/>
        <v>0</v>
      </c>
      <c r="BB15" s="9">
        <f t="shared" si="1"/>
        <v>0</v>
      </c>
      <c r="BC15" s="7">
        <f t="shared" si="5"/>
        <v>0</v>
      </c>
    </row>
    <row r="16" spans="1:55" x14ac:dyDescent="0.25">
      <c r="A16" s="4">
        <f t="shared" si="3"/>
        <v>11</v>
      </c>
      <c r="B16" s="38" t="s">
        <v>33</v>
      </c>
      <c r="C16" s="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f t="shared" si="4"/>
        <v>0</v>
      </c>
      <c r="AC16" s="6"/>
      <c r="AD16" s="5"/>
      <c r="AE16" s="6"/>
      <c r="AF16" s="5"/>
      <c r="AG16" s="6"/>
      <c r="AH16" s="5">
        <v>0</v>
      </c>
      <c r="AI16" s="6"/>
      <c r="AJ16" s="5"/>
      <c r="AK16" s="6"/>
      <c r="AL16" s="6">
        <v>0</v>
      </c>
      <c r="AM16" s="6"/>
      <c r="AN16" s="6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>
        <f t="shared" si="0"/>
        <v>0</v>
      </c>
      <c r="BB16" s="9">
        <f t="shared" si="1"/>
        <v>0</v>
      </c>
      <c r="BC16" s="7">
        <f t="shared" si="5"/>
        <v>0</v>
      </c>
    </row>
    <row r="17" spans="1:55" x14ac:dyDescent="0.25">
      <c r="A17" s="4">
        <f t="shared" si="3"/>
        <v>12</v>
      </c>
      <c r="B17" s="38" t="s">
        <v>34</v>
      </c>
      <c r="C17" s="6">
        <v>6000000</v>
      </c>
      <c r="D17" s="6"/>
      <c r="E17" s="6">
        <v>-1000000</v>
      </c>
      <c r="F17" s="6"/>
      <c r="G17" s="6">
        <v>-1000000</v>
      </c>
      <c r="H17" s="6"/>
      <c r="I17" s="6">
        <v>-1000000</v>
      </c>
      <c r="J17" s="6"/>
      <c r="K17" s="39"/>
      <c r="L17" s="2"/>
      <c r="M17" s="6">
        <v>-1000000</v>
      </c>
      <c r="N17" s="6"/>
      <c r="O17" s="6">
        <v>-1000000</v>
      </c>
      <c r="P17" s="9"/>
      <c r="Q17" s="6">
        <v>-1000000</v>
      </c>
      <c r="S17" s="9"/>
      <c r="T17" s="12">
        <v>12000000</v>
      </c>
      <c r="U17" s="9"/>
      <c r="V17" s="9"/>
      <c r="W17" s="12">
        <v>-1200000</v>
      </c>
      <c r="X17" s="9"/>
      <c r="Y17" s="12">
        <v>-1200000</v>
      </c>
      <c r="Z17" s="9"/>
      <c r="AA17" s="12">
        <v>-1200000</v>
      </c>
      <c r="AB17" s="9">
        <f t="shared" si="4"/>
        <v>8400000</v>
      </c>
      <c r="AC17" s="6"/>
      <c r="AD17" s="5">
        <v>1200000</v>
      </c>
      <c r="AE17" s="6"/>
      <c r="AF17" s="5">
        <v>1200000</v>
      </c>
      <c r="AG17" s="6"/>
      <c r="AH17" s="5">
        <v>0</v>
      </c>
      <c r="AI17" s="6"/>
      <c r="AJ17" s="5">
        <v>1200000</v>
      </c>
      <c r="AL17" s="6">
        <v>1200000</v>
      </c>
      <c r="AM17" s="6"/>
      <c r="AN17" s="6">
        <v>1200000</v>
      </c>
      <c r="AO17" s="9"/>
      <c r="AP17" s="5">
        <v>1200000</v>
      </c>
      <c r="AQ17" s="11"/>
      <c r="AR17" s="8">
        <v>1200000</v>
      </c>
      <c r="AS17" s="12">
        <v>10000000</v>
      </c>
      <c r="AT17" s="8"/>
      <c r="AU17" s="9"/>
      <c r="AV17" s="10">
        <v>1000000</v>
      </c>
      <c r="AW17" s="9"/>
      <c r="AX17" s="10">
        <v>1000000</v>
      </c>
      <c r="AY17" s="9"/>
      <c r="AZ17" s="10">
        <v>1000000</v>
      </c>
      <c r="BA17" s="9">
        <f t="shared" si="0"/>
        <v>18400000</v>
      </c>
      <c r="BB17" s="9">
        <f t="shared" si="1"/>
        <v>11400000</v>
      </c>
      <c r="BC17" s="7">
        <f t="shared" si="5"/>
        <v>7000000</v>
      </c>
    </row>
    <row r="18" spans="1:55" x14ac:dyDescent="0.25">
      <c r="A18" s="4">
        <f t="shared" si="3"/>
        <v>13</v>
      </c>
      <c r="B18" s="38" t="s">
        <v>35</v>
      </c>
      <c r="C18" s="6">
        <v>8000000</v>
      </c>
      <c r="D18" s="6"/>
      <c r="E18" s="6">
        <v>-1500000</v>
      </c>
      <c r="F18" s="6"/>
      <c r="G18" s="6">
        <v>-1500000</v>
      </c>
      <c r="H18" s="6"/>
      <c r="I18" s="6"/>
      <c r="J18" s="6"/>
      <c r="K18" s="6"/>
      <c r="L18" s="6"/>
      <c r="M18" s="6"/>
      <c r="N18" s="6"/>
      <c r="O18" s="6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>
        <f t="shared" si="4"/>
        <v>5000000</v>
      </c>
      <c r="AC18" s="6"/>
      <c r="AD18" s="5"/>
      <c r="AE18" s="6"/>
      <c r="AF18" s="5"/>
      <c r="AG18" s="6"/>
      <c r="AH18" s="5">
        <v>0</v>
      </c>
      <c r="AI18" s="6"/>
      <c r="AJ18" s="5"/>
      <c r="AK18" s="6"/>
      <c r="AL18" s="6">
        <v>0</v>
      </c>
      <c r="AM18" s="6"/>
      <c r="AN18" s="6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>
        <f t="shared" si="0"/>
        <v>5000000</v>
      </c>
      <c r="BB18" s="9">
        <f t="shared" si="1"/>
        <v>0</v>
      </c>
      <c r="BC18" s="7">
        <f t="shared" si="5"/>
        <v>5000000</v>
      </c>
    </row>
    <row r="19" spans="1:55" x14ac:dyDescent="0.25">
      <c r="A19" s="4">
        <f t="shared" si="3"/>
        <v>14</v>
      </c>
      <c r="B19" s="38" t="s">
        <v>36</v>
      </c>
      <c r="C19" s="6">
        <v>1500000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>
        <f t="shared" si="4"/>
        <v>1500000</v>
      </c>
      <c r="AC19" s="6"/>
      <c r="AD19" s="5"/>
      <c r="AE19" s="6"/>
      <c r="AF19" s="5"/>
      <c r="AG19" s="6"/>
      <c r="AH19" s="5">
        <v>0</v>
      </c>
      <c r="AI19" s="6"/>
      <c r="AJ19" s="5"/>
      <c r="AK19" s="6"/>
      <c r="AL19" s="6">
        <v>0</v>
      </c>
      <c r="AM19" s="6"/>
      <c r="AN19" s="6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>
        <f t="shared" si="0"/>
        <v>1500000</v>
      </c>
      <c r="BB19" s="9">
        <f t="shared" si="1"/>
        <v>0</v>
      </c>
      <c r="BC19" s="7">
        <f t="shared" si="5"/>
        <v>1500000</v>
      </c>
    </row>
    <row r="20" spans="1:55" x14ac:dyDescent="0.25">
      <c r="A20" s="4">
        <f t="shared" si="3"/>
        <v>15</v>
      </c>
      <c r="B20" s="38" t="s">
        <v>37</v>
      </c>
      <c r="C20" s="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>
        <f t="shared" si="4"/>
        <v>0</v>
      </c>
      <c r="AC20" s="6"/>
      <c r="AD20" s="5"/>
      <c r="AE20" s="6"/>
      <c r="AF20" s="5"/>
      <c r="AG20" s="6"/>
      <c r="AH20" s="5">
        <v>0</v>
      </c>
      <c r="AI20" s="6"/>
      <c r="AJ20" s="5"/>
      <c r="AK20" s="6"/>
      <c r="AL20" s="6">
        <v>0</v>
      </c>
      <c r="AM20" s="6"/>
      <c r="AN20" s="6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>
        <f t="shared" si="0"/>
        <v>0</v>
      </c>
      <c r="BB20" s="9">
        <f t="shared" si="1"/>
        <v>0</v>
      </c>
      <c r="BC20" s="7">
        <f t="shared" si="5"/>
        <v>0</v>
      </c>
    </row>
    <row r="21" spans="1:55" x14ac:dyDescent="0.25">
      <c r="A21" s="4">
        <f t="shared" si="3"/>
        <v>16</v>
      </c>
      <c r="B21" s="38" t="s">
        <v>38</v>
      </c>
      <c r="C21" s="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>
        <f t="shared" si="4"/>
        <v>0</v>
      </c>
      <c r="AC21" s="6"/>
      <c r="AD21" s="5"/>
      <c r="AE21" s="6"/>
      <c r="AF21" s="5"/>
      <c r="AG21" s="6"/>
      <c r="AH21" s="5">
        <v>0</v>
      </c>
      <c r="AI21" s="6"/>
      <c r="AJ21" s="5"/>
      <c r="AK21" s="6"/>
      <c r="AL21" s="6">
        <v>0</v>
      </c>
      <c r="AM21" s="6"/>
      <c r="AN21" s="6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>
        <f t="shared" si="0"/>
        <v>0</v>
      </c>
      <c r="BB21" s="9">
        <f t="shared" si="1"/>
        <v>0</v>
      </c>
      <c r="BC21" s="7">
        <f t="shared" si="5"/>
        <v>0</v>
      </c>
    </row>
    <row r="22" spans="1:55" x14ac:dyDescent="0.25">
      <c r="A22" s="4">
        <f t="shared" si="3"/>
        <v>17</v>
      </c>
      <c r="B22" s="38" t="s">
        <v>39</v>
      </c>
      <c r="C22" s="6">
        <v>15000000</v>
      </c>
      <c r="D22" s="6"/>
      <c r="E22" s="6">
        <v>-2500000</v>
      </c>
      <c r="F22" s="6"/>
      <c r="G22" s="6">
        <v>-2500000</v>
      </c>
      <c r="H22" s="6"/>
      <c r="I22" s="6">
        <v>-2500000</v>
      </c>
      <c r="J22" s="6"/>
      <c r="K22" s="6"/>
      <c r="L22" s="6"/>
      <c r="M22" s="6">
        <v>-2500000</v>
      </c>
      <c r="N22" s="6"/>
      <c r="O22" s="6">
        <v>-2500000</v>
      </c>
      <c r="P22" s="9"/>
      <c r="Q22" s="6">
        <v>-2500000</v>
      </c>
      <c r="R22" s="9"/>
      <c r="S22" s="6"/>
      <c r="T22" s="9"/>
      <c r="U22" s="6"/>
      <c r="V22" s="9"/>
      <c r="W22" s="9"/>
      <c r="X22" s="9"/>
      <c r="Y22" s="9"/>
      <c r="Z22" s="9"/>
      <c r="AA22" s="9"/>
      <c r="AB22" s="9">
        <f t="shared" si="4"/>
        <v>0</v>
      </c>
      <c r="AC22" s="13"/>
      <c r="AD22" s="13">
        <v>0</v>
      </c>
      <c r="AE22" s="13"/>
      <c r="AF22" s="13">
        <v>0</v>
      </c>
      <c r="AG22" s="13"/>
      <c r="AH22" s="13">
        <v>0</v>
      </c>
      <c r="AI22" s="13">
        <v>25000000</v>
      </c>
      <c r="AJ22" s="5"/>
      <c r="AK22" s="6"/>
      <c r="AL22" s="6">
        <v>2500000</v>
      </c>
      <c r="AM22" s="6"/>
      <c r="AN22" s="6">
        <v>2500000</v>
      </c>
      <c r="AO22" s="9"/>
      <c r="AP22" s="5">
        <v>2500000</v>
      </c>
      <c r="AQ22" s="9"/>
      <c r="AR22" s="5">
        <v>2500000</v>
      </c>
      <c r="AS22" s="9"/>
      <c r="AT22" s="5">
        <v>2500000</v>
      </c>
      <c r="AU22" s="9"/>
      <c r="AV22" s="8">
        <v>2500000</v>
      </c>
      <c r="AW22" s="9"/>
      <c r="AX22" s="8">
        <v>2500000</v>
      </c>
      <c r="AY22" s="9"/>
      <c r="AZ22" s="8">
        <v>2500000</v>
      </c>
      <c r="BA22" s="9">
        <f t="shared" si="0"/>
        <v>25000000</v>
      </c>
      <c r="BB22" s="9">
        <f t="shared" si="1"/>
        <v>20000000</v>
      </c>
      <c r="BC22" s="7">
        <f t="shared" si="5"/>
        <v>5000000</v>
      </c>
    </row>
    <row r="23" spans="1:55" x14ac:dyDescent="0.25">
      <c r="A23" s="4">
        <f t="shared" si="3"/>
        <v>18</v>
      </c>
      <c r="B23" s="38" t="s">
        <v>40</v>
      </c>
      <c r="C23" s="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>
        <f t="shared" si="4"/>
        <v>0</v>
      </c>
      <c r="AC23" s="6"/>
      <c r="AD23" s="5"/>
      <c r="AE23" s="6"/>
      <c r="AF23" s="5"/>
      <c r="AG23" s="6"/>
      <c r="AH23" s="5">
        <v>0</v>
      </c>
      <c r="AI23" s="6"/>
      <c r="AJ23" s="5"/>
      <c r="AK23" s="6"/>
      <c r="AL23" s="6">
        <v>0</v>
      </c>
      <c r="AM23" s="6"/>
      <c r="AN23" s="6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>
        <f t="shared" si="0"/>
        <v>0</v>
      </c>
      <c r="BB23" s="9">
        <f t="shared" si="1"/>
        <v>0</v>
      </c>
      <c r="BC23" s="7">
        <f t="shared" si="5"/>
        <v>0</v>
      </c>
    </row>
    <row r="24" spans="1:55" x14ac:dyDescent="0.25">
      <c r="A24" s="4">
        <f t="shared" si="3"/>
        <v>19</v>
      </c>
      <c r="B24" s="38" t="s">
        <v>41</v>
      </c>
      <c r="C24" s="6">
        <v>15000000</v>
      </c>
      <c r="D24" s="6"/>
      <c r="E24" s="6">
        <v>-1500000</v>
      </c>
      <c r="F24" s="6"/>
      <c r="G24" s="6">
        <v>-1500000</v>
      </c>
      <c r="H24" s="6"/>
      <c r="I24" s="6">
        <v>-1500000</v>
      </c>
      <c r="J24" s="6"/>
      <c r="K24" s="6"/>
      <c r="L24" s="6"/>
      <c r="M24" s="6">
        <v>-1500000</v>
      </c>
      <c r="N24" s="6"/>
      <c r="O24" s="6">
        <v>-1500000</v>
      </c>
      <c r="P24" s="9"/>
      <c r="Q24" s="6">
        <v>-1500000</v>
      </c>
      <c r="R24" s="9"/>
      <c r="S24" s="6">
        <v>-1500000</v>
      </c>
      <c r="T24" s="6"/>
      <c r="U24" s="6">
        <v>-1500000</v>
      </c>
      <c r="V24" s="9"/>
      <c r="W24" s="6">
        <v>-1500000</v>
      </c>
      <c r="X24" s="9"/>
      <c r="Y24" s="6">
        <v>-1500000</v>
      </c>
      <c r="Z24" s="9"/>
      <c r="AA24" s="9"/>
      <c r="AB24" s="9">
        <f t="shared" si="4"/>
        <v>0</v>
      </c>
      <c r="AC24" s="6">
        <v>10000000</v>
      </c>
      <c r="AD24" s="5"/>
      <c r="AE24" s="6"/>
      <c r="AF24" s="5">
        <v>1000000</v>
      </c>
      <c r="AG24" s="6"/>
      <c r="AH24" s="5">
        <v>0</v>
      </c>
      <c r="AI24" s="6"/>
      <c r="AJ24" s="5">
        <v>1000000</v>
      </c>
      <c r="AK24" s="6"/>
      <c r="AL24" s="6">
        <v>1000000</v>
      </c>
      <c r="AM24" s="6"/>
      <c r="AN24" s="6">
        <v>1000000</v>
      </c>
      <c r="AO24" s="9"/>
      <c r="AP24" s="5">
        <v>1000000</v>
      </c>
      <c r="AQ24" s="9"/>
      <c r="AR24" s="5">
        <v>1000000</v>
      </c>
      <c r="AS24" s="6"/>
      <c r="AT24" s="5">
        <v>1000000</v>
      </c>
      <c r="AU24" s="9"/>
      <c r="AV24" s="5">
        <v>1000000</v>
      </c>
      <c r="AW24" s="9"/>
      <c r="AX24" s="5">
        <v>1000000</v>
      </c>
      <c r="AY24" s="9">
        <v>10000000</v>
      </c>
      <c r="AZ24" s="8">
        <v>1000000</v>
      </c>
      <c r="BA24" s="9">
        <f t="shared" si="0"/>
        <v>20000000</v>
      </c>
      <c r="BB24" s="9">
        <f t="shared" si="1"/>
        <v>10000000</v>
      </c>
      <c r="BC24" s="7">
        <f t="shared" si="5"/>
        <v>10000000</v>
      </c>
    </row>
    <row r="25" spans="1:55" s="35" customFormat="1" x14ac:dyDescent="0.25">
      <c r="A25" s="34">
        <f t="shared" si="3"/>
        <v>20</v>
      </c>
      <c r="B25" s="48" t="s">
        <v>205</v>
      </c>
      <c r="C25" s="13">
        <v>33580000</v>
      </c>
      <c r="D25" s="13"/>
      <c r="E25" s="13">
        <v>-2500000</v>
      </c>
      <c r="F25" s="13"/>
      <c r="G25" s="13">
        <v>-2500000</v>
      </c>
      <c r="H25" s="13"/>
      <c r="I25" s="13">
        <v>-2500000</v>
      </c>
      <c r="J25" s="13">
        <v>25000000</v>
      </c>
      <c r="K25" s="13">
        <v>-12500000</v>
      </c>
      <c r="L25" s="13"/>
      <c r="M25" s="13">
        <v>-2500000</v>
      </c>
      <c r="N25" s="13"/>
      <c r="O25" s="13">
        <v>-2500000</v>
      </c>
      <c r="P25" s="29"/>
      <c r="Q25" s="13">
        <v>-2500000</v>
      </c>
      <c r="R25" s="29"/>
      <c r="S25" s="13">
        <v>-2500000</v>
      </c>
      <c r="T25" s="29"/>
      <c r="U25" s="13">
        <v>-2500000</v>
      </c>
      <c r="V25" s="29">
        <v>25000000</v>
      </c>
      <c r="W25" s="29">
        <v>-12500000</v>
      </c>
      <c r="X25" s="29"/>
      <c r="Y25" s="29">
        <v>-2500000</v>
      </c>
      <c r="Z25" s="29"/>
      <c r="AA25" s="29">
        <v>-2500000</v>
      </c>
      <c r="AB25" s="29">
        <f t="shared" si="4"/>
        <v>33580000</v>
      </c>
      <c r="AC25" s="13"/>
      <c r="AD25" s="13">
        <v>2500000</v>
      </c>
      <c r="AE25" s="13"/>
      <c r="AF25" s="13">
        <v>2500000</v>
      </c>
      <c r="AG25" s="13"/>
      <c r="AH25" s="13">
        <v>0</v>
      </c>
      <c r="AI25" s="13"/>
      <c r="AJ25" s="13">
        <v>2500000</v>
      </c>
      <c r="AK25" s="13"/>
      <c r="AL25" s="13">
        <v>2500000</v>
      </c>
      <c r="AM25" s="13"/>
      <c r="AN25" s="13">
        <v>2500000</v>
      </c>
      <c r="AO25" s="29"/>
      <c r="AP25" s="29">
        <v>2500000</v>
      </c>
      <c r="AQ25" s="29"/>
      <c r="AR25" s="29">
        <v>2500000</v>
      </c>
      <c r="AS25" s="29"/>
      <c r="AT25" s="29">
        <v>2500000</v>
      </c>
      <c r="AU25" s="29">
        <v>25000000</v>
      </c>
      <c r="AV25" s="29">
        <v>2500000</v>
      </c>
      <c r="AW25" s="29"/>
      <c r="AX25" s="29">
        <v>2500000</v>
      </c>
      <c r="AY25" s="29"/>
      <c r="AZ25" s="29">
        <v>2500000</v>
      </c>
      <c r="BA25" s="9">
        <f t="shared" si="0"/>
        <v>58580000</v>
      </c>
      <c r="BB25" s="29">
        <f>AD25+AF25+AH25+AJ25+AL25+AN25+AP25+AR25+AT25+AV25+AX25+AZ25</f>
        <v>27500000</v>
      </c>
      <c r="BC25" s="29">
        <f t="shared" si="5"/>
        <v>31080000</v>
      </c>
    </row>
    <row r="26" spans="1:55" s="35" customFormat="1" x14ac:dyDescent="0.25">
      <c r="A26" s="34">
        <f t="shared" si="3"/>
        <v>21</v>
      </c>
      <c r="B26" s="48" t="s">
        <v>204</v>
      </c>
      <c r="C26" s="2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29"/>
      <c r="Q26" s="29"/>
      <c r="R26" s="29">
        <v>10000000</v>
      </c>
      <c r="S26" s="29">
        <v>-1000000</v>
      </c>
      <c r="T26" s="29"/>
      <c r="U26" s="29">
        <v>-1000000</v>
      </c>
      <c r="V26" s="29"/>
      <c r="W26" s="29">
        <v>-1000000</v>
      </c>
      <c r="X26" s="29"/>
      <c r="Y26" s="29">
        <v>-1000000</v>
      </c>
      <c r="Z26" s="29"/>
      <c r="AA26" s="29">
        <v>-1000000</v>
      </c>
      <c r="AB26" s="29">
        <f t="shared" si="4"/>
        <v>5000000</v>
      </c>
      <c r="AC26" s="13"/>
      <c r="AD26" s="13">
        <v>1000000</v>
      </c>
      <c r="AE26" s="13"/>
      <c r="AF26" s="13">
        <v>1000000</v>
      </c>
      <c r="AG26" s="13"/>
      <c r="AH26" s="13">
        <v>0</v>
      </c>
      <c r="AI26" s="13"/>
      <c r="AJ26" s="13">
        <v>1000000</v>
      </c>
      <c r="AK26" s="13"/>
      <c r="AL26" s="13">
        <v>1000000</v>
      </c>
      <c r="AM26" s="13"/>
      <c r="AN26" s="13">
        <v>1000000</v>
      </c>
      <c r="AO26" s="29"/>
      <c r="AP26" s="29">
        <v>0</v>
      </c>
      <c r="AQ26" s="29"/>
      <c r="AR26" s="29">
        <v>0</v>
      </c>
      <c r="AS26" s="29"/>
      <c r="AT26" s="29">
        <v>0</v>
      </c>
      <c r="AU26" s="29"/>
      <c r="AV26" s="29">
        <v>0</v>
      </c>
      <c r="AW26" s="29"/>
      <c r="AX26" s="29">
        <v>0</v>
      </c>
      <c r="AY26" s="29"/>
      <c r="AZ26" s="29">
        <v>0</v>
      </c>
      <c r="BA26" s="9">
        <f t="shared" si="0"/>
        <v>5000000</v>
      </c>
      <c r="BB26" s="29">
        <f t="shared" si="1"/>
        <v>5000000</v>
      </c>
      <c r="BC26" s="29">
        <f t="shared" si="5"/>
        <v>0</v>
      </c>
    </row>
    <row r="27" spans="1:55" x14ac:dyDescent="0.25">
      <c r="A27" s="4">
        <f t="shared" si="3"/>
        <v>22</v>
      </c>
      <c r="B27" s="38" t="s">
        <v>42</v>
      </c>
      <c r="C27" s="6">
        <v>7500000</v>
      </c>
      <c r="D27" s="6"/>
      <c r="E27" s="6">
        <v>-2500000</v>
      </c>
      <c r="F27" s="6"/>
      <c r="G27" s="6">
        <v>-2500000</v>
      </c>
      <c r="H27" s="6"/>
      <c r="I27" s="6">
        <v>-2500000</v>
      </c>
      <c r="J27" s="6"/>
      <c r="K27" s="6"/>
      <c r="L27" s="6"/>
      <c r="M27" s="6"/>
      <c r="N27" s="6"/>
      <c r="O27" s="6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>
        <f t="shared" si="4"/>
        <v>0</v>
      </c>
      <c r="AC27" s="6"/>
      <c r="AD27" s="5"/>
      <c r="AE27" s="6"/>
      <c r="AF27" s="5"/>
      <c r="AG27" s="6"/>
      <c r="AH27" s="5">
        <v>0</v>
      </c>
      <c r="AI27" s="6"/>
      <c r="AJ27" s="5"/>
      <c r="AK27" s="6"/>
      <c r="AL27" s="6">
        <v>0</v>
      </c>
      <c r="AM27" s="6"/>
      <c r="AN27" s="6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>
        <f t="shared" si="0"/>
        <v>0</v>
      </c>
      <c r="BB27" s="9">
        <f t="shared" si="1"/>
        <v>0</v>
      </c>
      <c r="BC27" s="7">
        <f t="shared" si="5"/>
        <v>0</v>
      </c>
    </row>
    <row r="28" spans="1:55" x14ac:dyDescent="0.25">
      <c r="A28" s="4">
        <f t="shared" si="3"/>
        <v>23</v>
      </c>
      <c r="B28" s="38" t="s">
        <v>43</v>
      </c>
      <c r="C28" s="6"/>
      <c r="D28" s="6">
        <v>5000000</v>
      </c>
      <c r="E28" s="6"/>
      <c r="F28" s="6"/>
      <c r="G28" s="6">
        <v>-500000</v>
      </c>
      <c r="H28" s="6"/>
      <c r="I28" s="6">
        <v>-500000</v>
      </c>
      <c r="J28" s="6"/>
      <c r="K28" s="6"/>
      <c r="L28" s="6"/>
      <c r="M28" s="6">
        <v>-500000</v>
      </c>
      <c r="N28" s="6"/>
      <c r="O28" s="6">
        <v>-500000</v>
      </c>
      <c r="P28" s="9"/>
      <c r="Q28" s="6">
        <v>-500000</v>
      </c>
      <c r="R28" s="9"/>
      <c r="S28" s="6">
        <v>-500000</v>
      </c>
      <c r="T28" s="9"/>
      <c r="U28" s="6">
        <v>-500000</v>
      </c>
      <c r="V28" s="9"/>
      <c r="W28" s="6">
        <v>-500000</v>
      </c>
      <c r="X28" s="9"/>
      <c r="Y28" s="6">
        <v>-500000</v>
      </c>
      <c r="Z28" s="9"/>
      <c r="AA28" s="6">
        <v>-500000</v>
      </c>
      <c r="AB28" s="9">
        <f t="shared" si="4"/>
        <v>0</v>
      </c>
      <c r="AC28" s="6"/>
      <c r="AD28" s="5"/>
      <c r="AE28" s="6"/>
      <c r="AF28" s="5"/>
      <c r="AG28" s="6"/>
      <c r="AH28" s="5">
        <v>0</v>
      </c>
      <c r="AI28" s="6"/>
      <c r="AJ28" s="5"/>
      <c r="AK28" s="6"/>
      <c r="AL28" s="6">
        <v>0</v>
      </c>
      <c r="AM28" s="6"/>
      <c r="AN28" s="6"/>
      <c r="AO28" s="9"/>
      <c r="AP28" s="5"/>
      <c r="AQ28" s="9"/>
      <c r="AR28" s="5"/>
      <c r="AS28" s="9"/>
      <c r="AT28" s="5"/>
      <c r="AU28" s="9"/>
      <c r="AV28" s="5"/>
      <c r="AW28" s="9"/>
      <c r="AX28" s="5"/>
      <c r="AY28" s="9">
        <v>10000000</v>
      </c>
      <c r="AZ28" s="29">
        <v>0</v>
      </c>
      <c r="BA28" s="9">
        <f t="shared" si="0"/>
        <v>10000000</v>
      </c>
      <c r="BB28" s="9">
        <f t="shared" si="1"/>
        <v>0</v>
      </c>
      <c r="BC28" s="7">
        <f t="shared" si="5"/>
        <v>10000000</v>
      </c>
    </row>
    <row r="29" spans="1:55" x14ac:dyDescent="0.25">
      <c r="A29" s="4">
        <f t="shared" si="3"/>
        <v>24</v>
      </c>
      <c r="B29" s="38" t="s">
        <v>44</v>
      </c>
      <c r="C29" s="6">
        <v>2500000</v>
      </c>
      <c r="D29" s="6"/>
      <c r="E29" s="6">
        <v>-2500000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>
        <f t="shared" si="4"/>
        <v>0</v>
      </c>
      <c r="AC29" s="6"/>
      <c r="AD29" s="5"/>
      <c r="AE29" s="6"/>
      <c r="AF29" s="5"/>
      <c r="AG29" s="6"/>
      <c r="AH29" s="5">
        <v>0</v>
      </c>
      <c r="AI29" s="6"/>
      <c r="AJ29" s="5"/>
      <c r="AK29" s="6"/>
      <c r="AL29" s="6">
        <v>0</v>
      </c>
      <c r="AM29" s="6"/>
      <c r="AN29" s="6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>
        <f t="shared" si="0"/>
        <v>0</v>
      </c>
      <c r="BB29" s="9">
        <f t="shared" si="1"/>
        <v>0</v>
      </c>
      <c r="BC29" s="7">
        <f t="shared" si="5"/>
        <v>0</v>
      </c>
    </row>
    <row r="30" spans="1:55" x14ac:dyDescent="0.25">
      <c r="A30" s="4">
        <f t="shared" si="3"/>
        <v>25</v>
      </c>
      <c r="B30" s="38" t="s">
        <v>45</v>
      </c>
      <c r="C30" s="6">
        <v>12500000</v>
      </c>
      <c r="D30" s="6"/>
      <c r="E30" s="6">
        <v>-2500000</v>
      </c>
      <c r="F30" s="6"/>
      <c r="G30" s="6">
        <v>-2500000</v>
      </c>
      <c r="H30" s="6"/>
      <c r="I30" s="6">
        <v>-2500000</v>
      </c>
      <c r="J30" s="6"/>
      <c r="K30" s="6"/>
      <c r="L30" s="6"/>
      <c r="M30" s="6">
        <v>-2500000</v>
      </c>
      <c r="N30" s="6"/>
      <c r="O30" s="6">
        <v>-2500000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>
        <f t="shared" si="4"/>
        <v>0</v>
      </c>
      <c r="AC30" s="6"/>
      <c r="AD30" s="5"/>
      <c r="AE30" s="6"/>
      <c r="AF30" s="5"/>
      <c r="AG30" s="6"/>
      <c r="AH30" s="5">
        <v>0</v>
      </c>
      <c r="AI30" s="6"/>
      <c r="AJ30" s="5"/>
      <c r="AK30" s="6"/>
      <c r="AL30" s="6">
        <v>0</v>
      </c>
      <c r="AM30" s="6"/>
      <c r="AN30" s="6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>
        <f t="shared" si="0"/>
        <v>0</v>
      </c>
      <c r="BB30" s="9">
        <f t="shared" si="1"/>
        <v>0</v>
      </c>
      <c r="BC30" s="7">
        <f t="shared" si="5"/>
        <v>0</v>
      </c>
    </row>
    <row r="31" spans="1:55" x14ac:dyDescent="0.25">
      <c r="A31" s="4">
        <f t="shared" si="3"/>
        <v>26</v>
      </c>
      <c r="B31" s="38" t="s">
        <v>46</v>
      </c>
      <c r="C31" s="6">
        <v>2500000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>
        <f t="shared" si="4"/>
        <v>2500000</v>
      </c>
      <c r="AC31" s="6"/>
      <c r="AD31" s="5"/>
      <c r="AE31" s="6"/>
      <c r="AF31" s="5"/>
      <c r="AG31" s="6"/>
      <c r="AH31" s="5">
        <v>0</v>
      </c>
      <c r="AI31" s="6"/>
      <c r="AJ31" s="5"/>
      <c r="AK31" s="6"/>
      <c r="AL31" s="6">
        <v>0</v>
      </c>
      <c r="AM31" s="6"/>
      <c r="AN31" s="6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>
        <f t="shared" si="0"/>
        <v>2500000</v>
      </c>
      <c r="BB31" s="9">
        <f t="shared" si="1"/>
        <v>0</v>
      </c>
      <c r="BC31" s="7">
        <f t="shared" si="5"/>
        <v>2500000</v>
      </c>
    </row>
    <row r="32" spans="1:55" x14ac:dyDescent="0.25">
      <c r="A32" s="4">
        <f t="shared" si="3"/>
        <v>27</v>
      </c>
      <c r="B32" s="38" t="s">
        <v>47</v>
      </c>
      <c r="C32" s="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>
        <f t="shared" si="4"/>
        <v>0</v>
      </c>
      <c r="AC32" s="6"/>
      <c r="AD32" s="5"/>
      <c r="AE32" s="6"/>
      <c r="AF32" s="5"/>
      <c r="AG32" s="6"/>
      <c r="AH32" s="5">
        <v>0</v>
      </c>
      <c r="AI32" s="6"/>
      <c r="AJ32" s="5"/>
      <c r="AK32" s="6"/>
      <c r="AL32" s="6">
        <v>0</v>
      </c>
      <c r="AM32" s="6"/>
      <c r="AN32" s="6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>
        <f t="shared" si="0"/>
        <v>0</v>
      </c>
      <c r="BB32" s="9">
        <f t="shared" si="1"/>
        <v>0</v>
      </c>
      <c r="BC32" s="7">
        <f t="shared" si="5"/>
        <v>0</v>
      </c>
    </row>
    <row r="33" spans="1:55" s="35" customFormat="1" x14ac:dyDescent="0.25">
      <c r="A33" s="34">
        <f t="shared" si="3"/>
        <v>28</v>
      </c>
      <c r="B33" s="48" t="s">
        <v>48</v>
      </c>
      <c r="C33" s="13">
        <v>25000000</v>
      </c>
      <c r="D33" s="13"/>
      <c r="E33" s="13">
        <v>-2500000</v>
      </c>
      <c r="F33" s="13"/>
      <c r="G33" s="13">
        <v>-2500000</v>
      </c>
      <c r="H33" s="13"/>
      <c r="I33" s="13">
        <v>-2500000</v>
      </c>
      <c r="J33" s="13"/>
      <c r="K33" s="13"/>
      <c r="L33" s="13"/>
      <c r="M33" s="13">
        <v>-2500000</v>
      </c>
      <c r="N33" s="13"/>
      <c r="O33" s="13">
        <v>-2500000</v>
      </c>
      <c r="P33" s="29"/>
      <c r="Q33" s="13">
        <v>-2500000</v>
      </c>
      <c r="R33" s="29">
        <v>25000000</v>
      </c>
      <c r="S33" s="13">
        <v>-10000000</v>
      </c>
      <c r="T33" s="29"/>
      <c r="U33" s="13">
        <v>-2500000</v>
      </c>
      <c r="V33" s="29"/>
      <c r="W33" s="13">
        <v>-2500000</v>
      </c>
      <c r="X33" s="29"/>
      <c r="Y33" s="13">
        <v>-2500000</v>
      </c>
      <c r="Z33" s="29"/>
      <c r="AA33" s="13">
        <v>-2500000</v>
      </c>
      <c r="AB33" s="29">
        <f>C33+D33+E33+F33+G33+H33+I33+J33+K33+L33+M33+N33+O33+P33+Q33+R33+S33+T33+U33+V33+W33+X33+Y33+Z33+AA33</f>
        <v>15000000</v>
      </c>
      <c r="AC33" s="13">
        <v>25000000</v>
      </c>
      <c r="AD33" s="13">
        <v>15000000</v>
      </c>
      <c r="AE33" s="13"/>
      <c r="AF33" s="13">
        <v>2500000</v>
      </c>
      <c r="AG33" s="13"/>
      <c r="AH33" s="13">
        <v>0</v>
      </c>
      <c r="AI33" s="13"/>
      <c r="AJ33" s="13">
        <v>2500000</v>
      </c>
      <c r="AK33" s="13">
        <v>25000000</v>
      </c>
      <c r="AL33" s="13">
        <f>15000000+2500000</f>
        <v>17500000</v>
      </c>
      <c r="AM33" s="13"/>
      <c r="AN33" s="13">
        <v>2500000</v>
      </c>
      <c r="AO33" s="29"/>
      <c r="AP33" s="29">
        <v>2500000</v>
      </c>
      <c r="AQ33" s="29"/>
      <c r="AR33" s="29">
        <v>2500000</v>
      </c>
      <c r="AS33" s="29"/>
      <c r="AT33" s="29">
        <v>2500000</v>
      </c>
      <c r="AU33" s="29"/>
      <c r="AV33" s="29">
        <v>2500000</v>
      </c>
      <c r="AW33" s="29"/>
      <c r="AX33" s="29">
        <v>2500000</v>
      </c>
      <c r="AY33" s="29"/>
      <c r="AZ33" s="29">
        <v>2500000</v>
      </c>
      <c r="BA33" s="9">
        <f t="shared" si="0"/>
        <v>65000000</v>
      </c>
      <c r="BB33" s="29">
        <f t="shared" si="1"/>
        <v>55000000</v>
      </c>
      <c r="BC33" s="29">
        <f t="shared" si="5"/>
        <v>10000000</v>
      </c>
    </row>
    <row r="34" spans="1:55" x14ac:dyDescent="0.25">
      <c r="A34" s="4">
        <f t="shared" si="3"/>
        <v>29</v>
      </c>
      <c r="B34" s="38" t="s">
        <v>49</v>
      </c>
      <c r="C34" s="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>
        <f t="shared" si="4"/>
        <v>0</v>
      </c>
      <c r="AC34" s="6"/>
      <c r="AD34" s="5"/>
      <c r="AE34" s="6"/>
      <c r="AF34" s="5"/>
      <c r="AG34" s="6"/>
      <c r="AH34" s="5">
        <v>0</v>
      </c>
      <c r="AI34" s="6"/>
      <c r="AJ34" s="5"/>
      <c r="AK34" s="6"/>
      <c r="AL34" s="6">
        <v>0</v>
      </c>
      <c r="AM34" s="6"/>
      <c r="AN34" s="6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>
        <f t="shared" si="0"/>
        <v>0</v>
      </c>
      <c r="BB34" s="9">
        <f t="shared" si="1"/>
        <v>0</v>
      </c>
      <c r="BC34" s="7">
        <f t="shared" si="5"/>
        <v>0</v>
      </c>
    </row>
    <row r="35" spans="1:55" s="35" customFormat="1" x14ac:dyDescent="0.25">
      <c r="A35" s="34">
        <f t="shared" si="3"/>
        <v>30</v>
      </c>
      <c r="B35" s="28" t="s">
        <v>50</v>
      </c>
      <c r="C35" s="29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>
        <f t="shared" si="4"/>
        <v>0</v>
      </c>
      <c r="AC35" s="13">
        <v>15000000</v>
      </c>
      <c r="AD35" s="13">
        <v>0</v>
      </c>
      <c r="AE35" s="13"/>
      <c r="AF35" s="13">
        <v>1500000</v>
      </c>
      <c r="AG35" s="13"/>
      <c r="AH35" s="13">
        <v>0</v>
      </c>
      <c r="AI35" s="13"/>
      <c r="AJ35" s="13">
        <v>1500000</v>
      </c>
      <c r="AK35" s="13"/>
      <c r="AL35" s="13">
        <v>1500000</v>
      </c>
      <c r="AM35" s="13"/>
      <c r="AN35" s="13">
        <v>1500000</v>
      </c>
      <c r="AO35" s="29"/>
      <c r="AP35" s="29">
        <v>1500000</v>
      </c>
      <c r="AQ35" s="29"/>
      <c r="AR35" s="29">
        <f>6000000+1500000</f>
        <v>7500000</v>
      </c>
      <c r="AS35" s="29"/>
      <c r="AT35" s="29">
        <v>0</v>
      </c>
      <c r="AU35" s="29"/>
      <c r="AV35" s="29">
        <v>0</v>
      </c>
      <c r="AW35" s="29"/>
      <c r="AX35" s="29">
        <v>0</v>
      </c>
      <c r="AY35" s="29"/>
      <c r="AZ35" s="29">
        <v>0</v>
      </c>
      <c r="BA35" s="9">
        <f t="shared" si="0"/>
        <v>15000000</v>
      </c>
      <c r="BB35" s="29">
        <f t="shared" si="1"/>
        <v>15000000</v>
      </c>
      <c r="BC35" s="29">
        <f t="shared" si="5"/>
        <v>0</v>
      </c>
    </row>
    <row r="36" spans="1:55" x14ac:dyDescent="0.25">
      <c r="A36" s="4">
        <f t="shared" si="3"/>
        <v>31</v>
      </c>
      <c r="B36" s="38" t="s">
        <v>51</v>
      </c>
      <c r="C36" s="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>
        <f t="shared" si="4"/>
        <v>0</v>
      </c>
      <c r="AC36" s="6"/>
      <c r="AD36" s="5"/>
      <c r="AE36" s="6"/>
      <c r="AF36" s="5"/>
      <c r="AG36" s="6"/>
      <c r="AH36" s="5">
        <v>0</v>
      </c>
      <c r="AI36" s="6"/>
      <c r="AJ36" s="5"/>
      <c r="AK36" s="6"/>
      <c r="AL36" s="6">
        <v>0</v>
      </c>
      <c r="AM36" s="6"/>
      <c r="AN36" s="6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>
        <f t="shared" si="0"/>
        <v>0</v>
      </c>
      <c r="BB36" s="9">
        <f t="shared" si="1"/>
        <v>0</v>
      </c>
      <c r="BC36" s="7">
        <f t="shared" si="5"/>
        <v>0</v>
      </c>
    </row>
    <row r="37" spans="1:55" s="35" customFormat="1" x14ac:dyDescent="0.25">
      <c r="A37" s="34">
        <f t="shared" si="3"/>
        <v>32</v>
      </c>
      <c r="B37" s="48" t="s">
        <v>182</v>
      </c>
      <c r="C37" s="29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29"/>
      <c r="Q37" s="29"/>
      <c r="R37" s="29"/>
      <c r="S37" s="29"/>
      <c r="T37" s="29"/>
      <c r="U37" s="29"/>
      <c r="V37" s="29">
        <v>15000000</v>
      </c>
      <c r="W37" s="29">
        <v>-2500000</v>
      </c>
      <c r="X37" s="29"/>
      <c r="Y37" s="29">
        <v>-500000</v>
      </c>
      <c r="Z37" s="29"/>
      <c r="AA37" s="29">
        <v>-500000</v>
      </c>
      <c r="AB37" s="29">
        <f t="shared" si="4"/>
        <v>11500000</v>
      </c>
      <c r="AC37" s="13"/>
      <c r="AD37" s="13">
        <v>1500000</v>
      </c>
      <c r="AE37" s="13"/>
      <c r="AF37" s="13">
        <v>1500000</v>
      </c>
      <c r="AG37" s="13">
        <v>25000000</v>
      </c>
      <c r="AH37" s="13">
        <f>1500000+7500000</f>
        <v>9000000</v>
      </c>
      <c r="AI37" s="13"/>
      <c r="AJ37" s="13">
        <v>2500000</v>
      </c>
      <c r="AK37" s="13"/>
      <c r="AL37" s="13">
        <v>2500000</v>
      </c>
      <c r="AM37" s="13"/>
      <c r="AN37" s="13">
        <v>2500000</v>
      </c>
      <c r="AO37" s="29"/>
      <c r="AP37" s="29">
        <v>2500000</v>
      </c>
      <c r="AQ37" s="29"/>
      <c r="AR37" s="29">
        <v>2500000</v>
      </c>
      <c r="AS37" s="29"/>
      <c r="AT37" s="29">
        <v>2500000</v>
      </c>
      <c r="AU37" s="29"/>
      <c r="AV37" s="29">
        <v>2500000</v>
      </c>
      <c r="AW37" s="29"/>
      <c r="AX37" s="29">
        <v>2500000</v>
      </c>
      <c r="AY37" s="29"/>
      <c r="AZ37" s="29">
        <v>0</v>
      </c>
      <c r="BA37" s="9">
        <f t="shared" si="0"/>
        <v>36500000</v>
      </c>
      <c r="BB37" s="29">
        <f t="shared" si="1"/>
        <v>32000000</v>
      </c>
      <c r="BC37" s="29">
        <f t="shared" si="5"/>
        <v>4500000</v>
      </c>
    </row>
    <row r="38" spans="1:55" s="35" customFormat="1" x14ac:dyDescent="0.25">
      <c r="A38" s="34">
        <f t="shared" si="3"/>
        <v>33</v>
      </c>
      <c r="B38" s="28" t="s">
        <v>197</v>
      </c>
      <c r="C38" s="13">
        <v>13500000</v>
      </c>
      <c r="D38" s="13"/>
      <c r="E38" s="13">
        <v>-1500000</v>
      </c>
      <c r="F38" s="13"/>
      <c r="G38" s="13">
        <v>-1500000</v>
      </c>
      <c r="H38" s="13"/>
      <c r="I38" s="13">
        <v>-1500000</v>
      </c>
      <c r="J38" s="13"/>
      <c r="K38" s="13"/>
      <c r="L38" s="13"/>
      <c r="M38" s="13">
        <v>-1500000</v>
      </c>
      <c r="N38" s="13"/>
      <c r="O38" s="13">
        <v>-1500000</v>
      </c>
      <c r="P38" s="29"/>
      <c r="Q38" s="13">
        <v>-1500000</v>
      </c>
      <c r="R38" s="29"/>
      <c r="S38" s="13">
        <v>-1500000</v>
      </c>
      <c r="T38" s="29"/>
      <c r="U38" s="13">
        <v>-1500000</v>
      </c>
      <c r="V38" s="29"/>
      <c r="W38" s="13">
        <v>-1500000</v>
      </c>
      <c r="X38" s="29"/>
      <c r="Y38" s="29"/>
      <c r="Z38" s="29">
        <v>15000000</v>
      </c>
      <c r="AA38" s="29">
        <v>-1500000</v>
      </c>
      <c r="AB38" s="29">
        <f t="shared" si="4"/>
        <v>13500000</v>
      </c>
      <c r="AC38" s="13"/>
      <c r="AD38" s="13">
        <v>1500000</v>
      </c>
      <c r="AE38" s="13"/>
      <c r="AF38" s="13">
        <v>1500000</v>
      </c>
      <c r="AG38" s="13"/>
      <c r="AH38" s="13">
        <v>0</v>
      </c>
      <c r="AI38" s="13"/>
      <c r="AJ38" s="13">
        <v>1500000</v>
      </c>
      <c r="AK38" s="13"/>
      <c r="AL38" s="13">
        <v>1500000</v>
      </c>
      <c r="AM38" s="13"/>
      <c r="AN38" s="13">
        <v>1500000</v>
      </c>
      <c r="AO38" s="29"/>
      <c r="AP38" s="29">
        <v>1500000</v>
      </c>
      <c r="AQ38" s="29"/>
      <c r="AR38" s="29">
        <v>1500000</v>
      </c>
      <c r="AS38" s="29"/>
      <c r="AT38" s="29">
        <v>1500000</v>
      </c>
      <c r="AU38" s="29">
        <v>20000000</v>
      </c>
      <c r="AV38" s="29">
        <v>1500000</v>
      </c>
      <c r="AW38" s="29"/>
      <c r="AX38" s="29">
        <v>2000000</v>
      </c>
      <c r="AY38" s="29"/>
      <c r="AZ38" s="29">
        <v>2000000</v>
      </c>
      <c r="BA38" s="9">
        <f t="shared" si="0"/>
        <v>33500000</v>
      </c>
      <c r="BB38" s="29">
        <f t="shared" si="1"/>
        <v>17500000</v>
      </c>
      <c r="BC38" s="29">
        <f t="shared" si="5"/>
        <v>16000000</v>
      </c>
    </row>
    <row r="39" spans="1:55" x14ac:dyDescent="0.25">
      <c r="A39" s="4">
        <f t="shared" si="3"/>
        <v>34</v>
      </c>
      <c r="B39" s="38" t="s">
        <v>52</v>
      </c>
      <c r="C39" s="9"/>
      <c r="D39" s="6"/>
      <c r="E39" s="6"/>
      <c r="F39" s="6"/>
      <c r="G39" s="6"/>
      <c r="H39" s="6"/>
      <c r="I39" s="6"/>
      <c r="J39" s="6">
        <v>25000000</v>
      </c>
      <c r="K39" s="6"/>
      <c r="L39" s="6"/>
      <c r="M39" s="6">
        <v>-25000000</v>
      </c>
      <c r="N39" s="6"/>
      <c r="O39" s="6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>
        <f t="shared" si="4"/>
        <v>0</v>
      </c>
      <c r="AC39" s="6"/>
      <c r="AD39" s="5"/>
      <c r="AE39" s="6"/>
      <c r="AF39" s="5"/>
      <c r="AG39" s="6"/>
      <c r="AH39" s="5">
        <v>0</v>
      </c>
      <c r="AI39" s="6"/>
      <c r="AJ39" s="5"/>
      <c r="AK39" s="6"/>
      <c r="AL39" s="6">
        <v>0</v>
      </c>
      <c r="AM39" s="6"/>
      <c r="AN39" s="6"/>
      <c r="AO39" s="9"/>
      <c r="AP39" s="8"/>
      <c r="AQ39" s="9"/>
      <c r="AR39" s="8"/>
      <c r="AS39" s="9"/>
      <c r="AT39" s="8"/>
      <c r="AU39" s="9"/>
      <c r="AV39" s="8"/>
      <c r="AW39" s="9"/>
      <c r="AX39" s="8"/>
      <c r="AY39" s="9"/>
      <c r="AZ39" s="8"/>
      <c r="BA39" s="9">
        <f t="shared" si="0"/>
        <v>0</v>
      </c>
      <c r="BB39" s="9">
        <f t="shared" si="1"/>
        <v>0</v>
      </c>
      <c r="BC39" s="7">
        <f t="shared" si="5"/>
        <v>0</v>
      </c>
    </row>
    <row r="40" spans="1:55" x14ac:dyDescent="0.25">
      <c r="A40" s="4">
        <f t="shared" si="3"/>
        <v>35</v>
      </c>
      <c r="B40" s="38" t="s">
        <v>53</v>
      </c>
      <c r="C40" s="6">
        <v>6832614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>
        <f t="shared" si="4"/>
        <v>6832614</v>
      </c>
      <c r="AC40" s="6"/>
      <c r="AD40" s="5"/>
      <c r="AE40" s="6"/>
      <c r="AF40" s="5"/>
      <c r="AG40" s="6"/>
      <c r="AH40" s="5">
        <v>0</v>
      </c>
      <c r="AI40" s="6"/>
      <c r="AJ40" s="5"/>
      <c r="AK40" s="6"/>
      <c r="AL40" s="6">
        <v>0</v>
      </c>
      <c r="AM40" s="6"/>
      <c r="AN40" s="6"/>
      <c r="AO40" s="9"/>
      <c r="AP40" s="8"/>
      <c r="AQ40" s="9"/>
      <c r="AR40" s="8"/>
      <c r="AS40" s="9"/>
      <c r="AT40" s="8"/>
      <c r="AU40" s="9"/>
      <c r="AV40" s="8"/>
      <c r="AW40" s="9"/>
      <c r="AX40" s="8"/>
      <c r="AY40" s="9"/>
      <c r="AZ40" s="8"/>
      <c r="BA40" s="9">
        <f t="shared" si="0"/>
        <v>6832614</v>
      </c>
      <c r="BB40" s="9">
        <f t="shared" si="1"/>
        <v>0</v>
      </c>
      <c r="BC40" s="7">
        <f t="shared" si="5"/>
        <v>6832614</v>
      </c>
    </row>
    <row r="41" spans="1:55" s="35" customFormat="1" x14ac:dyDescent="0.25">
      <c r="A41" s="34">
        <f t="shared" si="3"/>
        <v>36</v>
      </c>
      <c r="B41" s="28" t="s">
        <v>54</v>
      </c>
      <c r="C41" s="13"/>
      <c r="D41" s="13"/>
      <c r="E41" s="13"/>
      <c r="F41" s="13"/>
      <c r="G41" s="13"/>
      <c r="H41" s="13">
        <v>5000000</v>
      </c>
      <c r="I41" s="13"/>
      <c r="J41" s="13"/>
      <c r="K41" s="13"/>
      <c r="L41" s="13"/>
      <c r="M41" s="13">
        <v>-500000</v>
      </c>
      <c r="N41" s="13"/>
      <c r="O41" s="13">
        <v>-500000</v>
      </c>
      <c r="P41" s="29"/>
      <c r="Q41" s="13">
        <v>-500000</v>
      </c>
      <c r="R41" s="29"/>
      <c r="S41" s="13">
        <v>-500000</v>
      </c>
      <c r="T41" s="29"/>
      <c r="U41" s="13">
        <v>-500000</v>
      </c>
      <c r="V41" s="29"/>
      <c r="W41" s="13">
        <v>-500000</v>
      </c>
      <c r="X41" s="29"/>
      <c r="Y41" s="13">
        <v>-500000</v>
      </c>
      <c r="Z41" s="29"/>
      <c r="AA41" s="13">
        <v>-500000</v>
      </c>
      <c r="AB41" s="29">
        <f>C41+D41+E41+F41+G41+H41+I41+J41+K41+L41+M41+N41+O41+P41+Q41+R41+S41+T41+U41+V41+W41+X41+Y41+Z41+AA41</f>
        <v>1000000</v>
      </c>
      <c r="AC41" s="13">
        <v>5000000</v>
      </c>
      <c r="AD41" s="13">
        <v>500000</v>
      </c>
      <c r="AE41" s="13"/>
      <c r="AF41" s="13">
        <v>500000</v>
      </c>
      <c r="AG41" s="13"/>
      <c r="AH41" s="13">
        <v>0</v>
      </c>
      <c r="AI41" s="13"/>
      <c r="AJ41" s="13">
        <v>500000</v>
      </c>
      <c r="AK41" s="13"/>
      <c r="AL41" s="13">
        <v>500000</v>
      </c>
      <c r="AM41" s="13"/>
      <c r="AN41" s="13">
        <v>500000</v>
      </c>
      <c r="AO41" s="29"/>
      <c r="AP41" s="29">
        <v>500000</v>
      </c>
      <c r="AQ41" s="29"/>
      <c r="AR41" s="13">
        <f>2500000+500000</f>
        <v>3000000</v>
      </c>
      <c r="AS41" s="29"/>
      <c r="AT41" s="29">
        <v>0</v>
      </c>
      <c r="AU41" s="29"/>
      <c r="AV41" s="29">
        <v>0</v>
      </c>
      <c r="AW41" s="29"/>
      <c r="AX41" s="29">
        <v>0</v>
      </c>
      <c r="AY41" s="29"/>
      <c r="AZ41" s="29">
        <v>0</v>
      </c>
      <c r="BA41" s="9">
        <f t="shared" si="0"/>
        <v>6000000</v>
      </c>
      <c r="BB41" s="29">
        <f t="shared" si="1"/>
        <v>6000000</v>
      </c>
      <c r="BC41" s="29">
        <f t="shared" si="5"/>
        <v>0</v>
      </c>
    </row>
    <row r="42" spans="1:55" x14ac:dyDescent="0.25">
      <c r="A42" s="4">
        <f t="shared" si="3"/>
        <v>37</v>
      </c>
      <c r="B42" s="38" t="s">
        <v>55</v>
      </c>
      <c r="C42" s="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>
        <f t="shared" si="4"/>
        <v>0</v>
      </c>
      <c r="AC42" s="6"/>
      <c r="AD42" s="5"/>
      <c r="AE42" s="6"/>
      <c r="AF42" s="5"/>
      <c r="AG42" s="6"/>
      <c r="AH42" s="5">
        <v>0</v>
      </c>
      <c r="AI42" s="6"/>
      <c r="AJ42" s="5"/>
      <c r="AK42" s="6"/>
      <c r="AL42" s="6">
        <v>0</v>
      </c>
      <c r="AM42" s="6"/>
      <c r="AN42" s="6"/>
      <c r="AO42" s="9"/>
      <c r="AP42" s="8"/>
      <c r="AQ42" s="9"/>
      <c r="AR42" s="8"/>
      <c r="AS42" s="8">
        <v>6866000</v>
      </c>
      <c r="AT42" s="8">
        <v>6866000</v>
      </c>
      <c r="AU42" s="9"/>
      <c r="AV42" s="8"/>
      <c r="AW42" s="9"/>
      <c r="AX42" s="8"/>
      <c r="AY42" s="9"/>
      <c r="AZ42" s="8"/>
      <c r="BA42" s="9">
        <f t="shared" si="0"/>
        <v>6866000</v>
      </c>
      <c r="BB42" s="9">
        <f t="shared" si="1"/>
        <v>6866000</v>
      </c>
      <c r="BC42" s="7">
        <f t="shared" si="5"/>
        <v>0</v>
      </c>
    </row>
    <row r="43" spans="1:55" x14ac:dyDescent="0.25">
      <c r="A43" s="4">
        <f t="shared" si="3"/>
        <v>38</v>
      </c>
      <c r="B43" s="38" t="s">
        <v>56</v>
      </c>
      <c r="C43" s="6">
        <v>16000000</v>
      </c>
      <c r="D43" s="6"/>
      <c r="E43" s="6">
        <v>-2000000</v>
      </c>
      <c r="F43" s="6"/>
      <c r="G43" s="6">
        <v>-2000000</v>
      </c>
      <c r="H43" s="6"/>
      <c r="I43" s="6">
        <v>-2000000</v>
      </c>
      <c r="J43" s="6"/>
      <c r="K43" s="6"/>
      <c r="L43" s="6"/>
      <c r="M43" s="6">
        <v>-2000000</v>
      </c>
      <c r="N43" s="6"/>
      <c r="O43" s="6">
        <v>-2000000</v>
      </c>
      <c r="P43" s="9"/>
      <c r="Q43" s="9">
        <v>-2000000</v>
      </c>
      <c r="R43" s="9"/>
      <c r="S43" s="9">
        <v>-4000000</v>
      </c>
      <c r="T43" s="9"/>
      <c r="U43" s="9"/>
      <c r="V43" s="9"/>
      <c r="W43" s="9"/>
      <c r="X43" s="9"/>
      <c r="Y43" s="9"/>
      <c r="Z43" s="9"/>
      <c r="AA43" s="9"/>
      <c r="AB43" s="9">
        <f t="shared" si="4"/>
        <v>0</v>
      </c>
      <c r="AC43" s="6"/>
      <c r="AD43" s="5"/>
      <c r="AE43" s="6"/>
      <c r="AF43" s="5"/>
      <c r="AG43" s="6"/>
      <c r="AH43" s="5">
        <v>0</v>
      </c>
      <c r="AI43" s="6"/>
      <c r="AJ43" s="5"/>
      <c r="AK43" s="6"/>
      <c r="AL43" s="6">
        <v>0</v>
      </c>
      <c r="AM43" s="6"/>
      <c r="AN43" s="6"/>
      <c r="AO43" s="9"/>
      <c r="AP43" s="8"/>
      <c r="AQ43" s="9"/>
      <c r="AR43" s="8"/>
      <c r="AS43" s="9"/>
      <c r="AT43" s="8"/>
      <c r="AU43" s="9"/>
      <c r="AV43" s="8"/>
      <c r="AW43" s="9"/>
      <c r="AX43" s="8"/>
      <c r="AY43" s="9"/>
      <c r="AZ43" s="8"/>
      <c r="BA43" s="9">
        <f t="shared" si="0"/>
        <v>0</v>
      </c>
      <c r="BB43" s="9">
        <f t="shared" si="1"/>
        <v>0</v>
      </c>
      <c r="BC43" s="7">
        <f t="shared" si="5"/>
        <v>0</v>
      </c>
    </row>
    <row r="44" spans="1:55" x14ac:dyDescent="0.25">
      <c r="A44" s="4">
        <f t="shared" si="3"/>
        <v>39</v>
      </c>
      <c r="B44" s="38" t="s">
        <v>57</v>
      </c>
      <c r="C44" s="6">
        <v>7000000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>
        <f t="shared" si="4"/>
        <v>7000000</v>
      </c>
      <c r="AC44" s="6"/>
      <c r="AD44" s="5"/>
      <c r="AE44" s="6"/>
      <c r="AF44" s="5"/>
      <c r="AG44" s="6"/>
      <c r="AH44" s="5">
        <v>0</v>
      </c>
      <c r="AI44" s="6"/>
      <c r="AJ44" s="5"/>
      <c r="AK44" s="6"/>
      <c r="AL44" s="6">
        <v>0</v>
      </c>
      <c r="AM44" s="6"/>
      <c r="AN44" s="6"/>
      <c r="AO44" s="9"/>
      <c r="AP44" s="8"/>
      <c r="AQ44" s="9"/>
      <c r="AR44" s="8"/>
      <c r="AS44" s="9"/>
      <c r="AT44" s="8"/>
      <c r="AU44" s="9"/>
      <c r="AV44" s="8"/>
      <c r="AW44" s="9"/>
      <c r="AX44" s="8"/>
      <c r="AY44" s="9"/>
      <c r="AZ44" s="8"/>
      <c r="BA44" s="9">
        <f t="shared" si="0"/>
        <v>7000000</v>
      </c>
      <c r="BB44" s="9">
        <f t="shared" si="1"/>
        <v>0</v>
      </c>
      <c r="BC44" s="7">
        <f t="shared" si="5"/>
        <v>7000000</v>
      </c>
    </row>
    <row r="45" spans="1:55" x14ac:dyDescent="0.25">
      <c r="A45" s="4">
        <f t="shared" si="3"/>
        <v>40</v>
      </c>
      <c r="B45" s="38" t="s">
        <v>58</v>
      </c>
      <c r="C45" s="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>
        <f t="shared" si="4"/>
        <v>0</v>
      </c>
      <c r="AC45" s="6"/>
      <c r="AD45" s="5"/>
      <c r="AE45" s="6"/>
      <c r="AF45" s="5"/>
      <c r="AG45" s="6"/>
      <c r="AH45" s="5">
        <v>0</v>
      </c>
      <c r="AI45" s="6"/>
      <c r="AJ45" s="5"/>
      <c r="AK45" s="6"/>
      <c r="AL45" s="6">
        <v>0</v>
      </c>
      <c r="AM45" s="6"/>
      <c r="AN45" s="6"/>
      <c r="AO45" s="9"/>
      <c r="AP45" s="8"/>
      <c r="AQ45" s="9"/>
      <c r="AR45" s="8"/>
      <c r="AS45" s="9"/>
      <c r="AT45" s="8"/>
      <c r="AU45" s="9"/>
      <c r="AV45" s="8"/>
      <c r="AW45" s="9"/>
      <c r="AX45" s="8"/>
      <c r="AY45" s="9"/>
      <c r="AZ45" s="8"/>
      <c r="BA45" s="9">
        <f t="shared" si="0"/>
        <v>0</v>
      </c>
      <c r="BB45" s="9">
        <f t="shared" si="1"/>
        <v>0</v>
      </c>
      <c r="BC45" s="7">
        <f t="shared" si="5"/>
        <v>0</v>
      </c>
    </row>
    <row r="46" spans="1:55" x14ac:dyDescent="0.25">
      <c r="A46" s="4">
        <f t="shared" si="3"/>
        <v>41</v>
      </c>
      <c r="B46" s="38" t="s">
        <v>59</v>
      </c>
      <c r="C46" s="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>
        <f t="shared" si="4"/>
        <v>0</v>
      </c>
      <c r="AC46" s="6"/>
      <c r="AD46" s="5"/>
      <c r="AE46" s="6"/>
      <c r="AF46" s="5"/>
      <c r="AG46" s="6"/>
      <c r="AH46" s="5">
        <v>0</v>
      </c>
      <c r="AI46" s="6"/>
      <c r="AJ46" s="5"/>
      <c r="AK46" s="6"/>
      <c r="AL46" s="6">
        <v>0</v>
      </c>
      <c r="AM46" s="6"/>
      <c r="AN46" s="6"/>
      <c r="AO46" s="9"/>
      <c r="AP46" s="8"/>
      <c r="AQ46" s="9"/>
      <c r="AR46" s="8"/>
      <c r="AS46" s="9"/>
      <c r="AT46" s="8"/>
      <c r="AU46" s="9"/>
      <c r="AV46" s="8"/>
      <c r="AW46" s="9"/>
      <c r="AX46" s="8"/>
      <c r="AY46" s="9"/>
      <c r="AZ46" s="8"/>
      <c r="BA46" s="9">
        <f t="shared" si="0"/>
        <v>0</v>
      </c>
      <c r="BB46" s="9">
        <f t="shared" si="1"/>
        <v>0</v>
      </c>
      <c r="BC46" s="7">
        <f t="shared" si="5"/>
        <v>0</v>
      </c>
    </row>
    <row r="47" spans="1:55" x14ac:dyDescent="0.25">
      <c r="A47" s="4">
        <f t="shared" si="3"/>
        <v>42</v>
      </c>
      <c r="B47" s="38" t="s">
        <v>60</v>
      </c>
      <c r="C47" s="9"/>
      <c r="D47" s="6"/>
      <c r="E47" s="6"/>
      <c r="F47" s="6"/>
      <c r="G47" s="6"/>
      <c r="H47" s="6"/>
      <c r="I47" s="6"/>
      <c r="J47" s="6"/>
      <c r="K47" s="6"/>
      <c r="L47" s="6"/>
      <c r="M47" s="6"/>
      <c r="N47" s="6">
        <v>25000000</v>
      </c>
      <c r="O47" s="6"/>
      <c r="P47" s="9"/>
      <c r="Q47" s="9">
        <v>-2500000</v>
      </c>
      <c r="R47" s="9"/>
      <c r="S47" s="9">
        <v>-2500000</v>
      </c>
      <c r="T47" s="9"/>
      <c r="U47" s="9">
        <v>-2500000</v>
      </c>
      <c r="V47" s="9"/>
      <c r="W47" s="9">
        <v>-2500000</v>
      </c>
      <c r="X47" s="9"/>
      <c r="Y47" s="9">
        <v>-2500000</v>
      </c>
      <c r="Z47" s="9">
        <v>25000000</v>
      </c>
      <c r="AA47" s="9">
        <f>-15000000</f>
        <v>-15000000</v>
      </c>
      <c r="AB47" s="9">
        <f>C47+D47+E47+F47+G47+H47+I47+J47+K47+L47+M47+N47+O47+P47+Q47+R47+S47+T47+U47+V47+W47+X47+Y47+Z47+AA47</f>
        <v>22500000</v>
      </c>
      <c r="AC47" s="6"/>
      <c r="AD47" s="5">
        <v>2500000</v>
      </c>
      <c r="AE47" s="6"/>
      <c r="AF47" s="5">
        <v>2500000</v>
      </c>
      <c r="AG47" s="6"/>
      <c r="AH47" s="5">
        <v>0</v>
      </c>
      <c r="AI47" s="6"/>
      <c r="AJ47" s="5">
        <v>2500000</v>
      </c>
      <c r="AK47" s="6"/>
      <c r="AL47" s="6">
        <v>2500000</v>
      </c>
      <c r="AM47" s="6"/>
      <c r="AN47" s="6">
        <v>2500000</v>
      </c>
      <c r="AO47" s="9"/>
      <c r="AP47" s="8">
        <v>2500000</v>
      </c>
      <c r="AQ47" s="9">
        <v>25000000</v>
      </c>
      <c r="AR47" s="8">
        <f>5000000+2500000</f>
        <v>7500000</v>
      </c>
      <c r="AS47" s="9"/>
      <c r="AT47" s="8">
        <v>2500000</v>
      </c>
      <c r="AU47" s="9"/>
      <c r="AV47" s="8">
        <v>2500000</v>
      </c>
      <c r="AW47" s="9"/>
      <c r="AX47" s="8">
        <v>2500000</v>
      </c>
      <c r="AY47" s="9"/>
      <c r="AZ47" s="8">
        <v>2500000</v>
      </c>
      <c r="BA47" s="9">
        <f t="shared" si="0"/>
        <v>47500000</v>
      </c>
      <c r="BB47" s="9">
        <f t="shared" si="1"/>
        <v>32500000</v>
      </c>
      <c r="BC47" s="7">
        <f t="shared" si="5"/>
        <v>15000000</v>
      </c>
    </row>
    <row r="48" spans="1:55" s="35" customFormat="1" x14ac:dyDescent="0.25">
      <c r="A48" s="34">
        <f t="shared" si="3"/>
        <v>43</v>
      </c>
      <c r="B48" s="28" t="s">
        <v>198</v>
      </c>
      <c r="C48" s="13">
        <v>3500000</v>
      </c>
      <c r="D48" s="13"/>
      <c r="E48" s="13">
        <v>-500000</v>
      </c>
      <c r="F48" s="13"/>
      <c r="G48" s="13">
        <v>-500000</v>
      </c>
      <c r="H48" s="13"/>
      <c r="I48" s="13">
        <v>-500000</v>
      </c>
      <c r="J48" s="13"/>
      <c r="K48" s="13"/>
      <c r="L48" s="13"/>
      <c r="M48" s="13">
        <v>-500000</v>
      </c>
      <c r="N48" s="13"/>
      <c r="O48" s="13">
        <v>-500000</v>
      </c>
      <c r="P48" s="29"/>
      <c r="Q48" s="13">
        <v>-500000</v>
      </c>
      <c r="R48" s="29">
        <v>10000000</v>
      </c>
      <c r="S48" s="13">
        <v>-500000</v>
      </c>
      <c r="T48" s="29"/>
      <c r="U48" s="29">
        <v>-1000000</v>
      </c>
      <c r="V48" s="29"/>
      <c r="W48" s="29">
        <v>-1000000</v>
      </c>
      <c r="X48" s="29"/>
      <c r="Y48" s="29">
        <v>-1000000</v>
      </c>
      <c r="Z48" s="29"/>
      <c r="AA48" s="29">
        <v>-1000000</v>
      </c>
      <c r="AB48" s="29">
        <f t="shared" si="4"/>
        <v>6000000</v>
      </c>
      <c r="AC48" s="13"/>
      <c r="AD48" s="13">
        <v>1000000</v>
      </c>
      <c r="AE48" s="13"/>
      <c r="AF48" s="13">
        <v>1000000</v>
      </c>
      <c r="AG48" s="13"/>
      <c r="AH48" s="13">
        <v>0</v>
      </c>
      <c r="AI48" s="13"/>
      <c r="AJ48" s="13">
        <v>4000000</v>
      </c>
      <c r="AK48" s="13"/>
      <c r="AL48" s="13">
        <v>0</v>
      </c>
      <c r="AM48" s="13"/>
      <c r="AN48" s="13"/>
      <c r="AO48" s="29"/>
      <c r="AP48" s="13"/>
      <c r="AQ48" s="29"/>
      <c r="AR48" s="13"/>
      <c r="AS48" s="29"/>
      <c r="AT48" s="29"/>
      <c r="AU48" s="29">
        <v>10000000</v>
      </c>
      <c r="AV48" s="29"/>
      <c r="AW48" s="29"/>
      <c r="AX48" s="29">
        <v>1000000</v>
      </c>
      <c r="AY48" s="29"/>
      <c r="AZ48" s="29">
        <v>1000000</v>
      </c>
      <c r="BA48" s="9">
        <f t="shared" si="0"/>
        <v>16000000</v>
      </c>
      <c r="BB48" s="29">
        <f t="shared" si="1"/>
        <v>8000000</v>
      </c>
      <c r="BC48" s="29">
        <f t="shared" si="5"/>
        <v>8000000</v>
      </c>
    </row>
    <row r="49" spans="1:55" x14ac:dyDescent="0.25">
      <c r="A49" s="4">
        <f t="shared" si="3"/>
        <v>44</v>
      </c>
      <c r="B49" s="38" t="s">
        <v>61</v>
      </c>
      <c r="C49" s="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>
        <f t="shared" si="4"/>
        <v>0</v>
      </c>
      <c r="AC49" s="6"/>
      <c r="AD49" s="5"/>
      <c r="AE49" s="6"/>
      <c r="AF49" s="5"/>
      <c r="AG49" s="6"/>
      <c r="AH49" s="5">
        <v>0</v>
      </c>
      <c r="AI49" s="6"/>
      <c r="AJ49" s="13"/>
      <c r="AK49" s="6"/>
      <c r="AL49" s="6">
        <v>0</v>
      </c>
      <c r="AM49" s="6"/>
      <c r="AN49" s="6"/>
      <c r="AO49" s="9"/>
      <c r="AP49" s="8"/>
      <c r="AQ49" s="9"/>
      <c r="AR49" s="8"/>
      <c r="AS49" s="9"/>
      <c r="AT49" s="8"/>
      <c r="AU49" s="9"/>
      <c r="AV49" s="8"/>
      <c r="AW49" s="9"/>
      <c r="AX49" s="8"/>
      <c r="AY49" s="9"/>
      <c r="AZ49" s="8"/>
      <c r="BA49" s="9">
        <f t="shared" si="0"/>
        <v>0</v>
      </c>
      <c r="BB49" s="9">
        <f t="shared" si="1"/>
        <v>0</v>
      </c>
      <c r="BC49" s="7">
        <f t="shared" si="5"/>
        <v>0</v>
      </c>
    </row>
    <row r="50" spans="1:55" x14ac:dyDescent="0.25">
      <c r="A50" s="4">
        <f t="shared" si="3"/>
        <v>45</v>
      </c>
      <c r="B50" s="38" t="s">
        <v>62</v>
      </c>
      <c r="C50" s="6">
        <v>8000000</v>
      </c>
      <c r="D50" s="6"/>
      <c r="E50" s="6">
        <v>-1000000</v>
      </c>
      <c r="F50" s="6"/>
      <c r="G50" s="6">
        <v>-1000000</v>
      </c>
      <c r="H50" s="6"/>
      <c r="I50" s="6">
        <v>-1000000</v>
      </c>
      <c r="J50" s="6"/>
      <c r="K50" s="6"/>
      <c r="L50" s="6"/>
      <c r="M50" s="6">
        <v>-1000000</v>
      </c>
      <c r="N50" s="6"/>
      <c r="O50" s="6">
        <v>-1000000</v>
      </c>
      <c r="P50" s="9"/>
      <c r="Q50" s="6">
        <v>-1000000</v>
      </c>
      <c r="R50" s="9"/>
      <c r="S50" s="6">
        <v>-1000000</v>
      </c>
      <c r="T50" s="9"/>
      <c r="U50" s="6">
        <v>-1000000</v>
      </c>
      <c r="V50" s="9"/>
      <c r="W50" s="9"/>
      <c r="X50" s="9"/>
      <c r="Y50" s="9"/>
      <c r="Z50" s="9"/>
      <c r="AA50" s="9"/>
      <c r="AB50" s="9">
        <f t="shared" si="4"/>
        <v>0</v>
      </c>
      <c r="AC50" s="6"/>
      <c r="AD50" s="5"/>
      <c r="AE50" s="6"/>
      <c r="AF50" s="5"/>
      <c r="AG50" s="6"/>
      <c r="AH50" s="5">
        <v>0</v>
      </c>
      <c r="AI50" s="6"/>
      <c r="AJ50" s="5"/>
      <c r="AK50" s="6"/>
      <c r="AL50" s="6">
        <v>0</v>
      </c>
      <c r="AM50" s="6"/>
      <c r="AN50" s="6"/>
      <c r="AO50" s="9"/>
      <c r="AP50" s="5"/>
      <c r="AQ50" s="9"/>
      <c r="AR50" s="5"/>
      <c r="AS50" s="9"/>
      <c r="AT50" s="5"/>
      <c r="AU50" s="9"/>
      <c r="AV50" s="8"/>
      <c r="AW50" s="9"/>
      <c r="AX50" s="8"/>
      <c r="AY50" s="9"/>
      <c r="AZ50" s="8"/>
      <c r="BA50" s="9">
        <f t="shared" si="0"/>
        <v>0</v>
      </c>
      <c r="BB50" s="9">
        <f t="shared" si="1"/>
        <v>0</v>
      </c>
      <c r="BC50" s="7">
        <f t="shared" si="5"/>
        <v>0</v>
      </c>
    </row>
    <row r="51" spans="1:55" s="35" customFormat="1" x14ac:dyDescent="0.25">
      <c r="A51" s="34">
        <f t="shared" si="3"/>
        <v>46</v>
      </c>
      <c r="B51" s="28" t="s">
        <v>63</v>
      </c>
      <c r="C51" s="13">
        <v>5000000</v>
      </c>
      <c r="D51" s="13">
        <v>25000000</v>
      </c>
      <c r="E51" s="13">
        <f>(-2500000)+(-2500000)</f>
        <v>-5000000</v>
      </c>
      <c r="F51" s="13"/>
      <c r="G51" s="13">
        <v>-2500000</v>
      </c>
      <c r="H51" s="13"/>
      <c r="I51" s="13">
        <v>-2500000</v>
      </c>
      <c r="J51" s="13"/>
      <c r="K51" s="13"/>
      <c r="L51" s="13"/>
      <c r="M51" s="13">
        <v>-2500000</v>
      </c>
      <c r="N51" s="13"/>
      <c r="O51" s="13">
        <v>-2500000</v>
      </c>
      <c r="P51" s="29"/>
      <c r="Q51" s="13">
        <v>-2500000</v>
      </c>
      <c r="R51" s="29"/>
      <c r="S51" s="13">
        <v>-2500000</v>
      </c>
      <c r="T51" s="29"/>
      <c r="U51" s="13">
        <v>-2500000</v>
      </c>
      <c r="V51" s="29"/>
      <c r="W51" s="13">
        <v>-2500000</v>
      </c>
      <c r="X51" s="29"/>
      <c r="Y51" s="13">
        <v>-2500000</v>
      </c>
      <c r="Z51" s="29">
        <v>25000000</v>
      </c>
      <c r="AA51" s="13">
        <v>-2500000</v>
      </c>
      <c r="AB51" s="29">
        <f>C51+D51+E51+F51+G51+H51+I51+J51+K51+L51+M51+N51+O51+P51+Q51+R51+S51+T51+U51+V51+W51+X51+Y51+Z51+AA51</f>
        <v>25000000</v>
      </c>
      <c r="AC51" s="13"/>
      <c r="AD51" s="13">
        <v>2500000</v>
      </c>
      <c r="AE51" s="13"/>
      <c r="AF51" s="13">
        <v>2500000</v>
      </c>
      <c r="AG51" s="13"/>
      <c r="AH51" s="13">
        <v>0</v>
      </c>
      <c r="AI51" s="13"/>
      <c r="AJ51" s="13">
        <v>2500000</v>
      </c>
      <c r="AK51" s="13"/>
      <c r="AL51" s="13">
        <v>2500000</v>
      </c>
      <c r="AM51" s="13"/>
      <c r="AN51" s="13">
        <v>2500000</v>
      </c>
      <c r="AO51" s="29"/>
      <c r="AP51" s="29">
        <v>2500000</v>
      </c>
      <c r="AQ51" s="29"/>
      <c r="AR51" s="29">
        <v>2500000</v>
      </c>
      <c r="AS51" s="29"/>
      <c r="AT51" s="29">
        <v>2500000</v>
      </c>
      <c r="AU51" s="29"/>
      <c r="AV51" s="29">
        <v>2500000</v>
      </c>
      <c r="AW51" s="29"/>
      <c r="AX51" s="29">
        <v>2500000</v>
      </c>
      <c r="AY51" s="29"/>
      <c r="AZ51" s="29">
        <v>0</v>
      </c>
      <c r="BA51" s="9">
        <f t="shared" si="0"/>
        <v>25000000</v>
      </c>
      <c r="BB51" s="29">
        <f t="shared" si="1"/>
        <v>25000000</v>
      </c>
      <c r="BC51" s="29">
        <f t="shared" si="5"/>
        <v>0</v>
      </c>
    </row>
    <row r="52" spans="1:55" x14ac:dyDescent="0.25">
      <c r="A52" s="4">
        <f t="shared" si="3"/>
        <v>47</v>
      </c>
      <c r="B52" s="38" t="s">
        <v>64</v>
      </c>
      <c r="C52" s="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>
        <f t="shared" si="4"/>
        <v>0</v>
      </c>
      <c r="AC52" s="6"/>
      <c r="AD52" s="5"/>
      <c r="AE52" s="6"/>
      <c r="AF52" s="5"/>
      <c r="AG52" s="6"/>
      <c r="AH52" s="5">
        <v>0</v>
      </c>
      <c r="AI52" s="6"/>
      <c r="AJ52" s="5"/>
      <c r="AK52" s="6"/>
      <c r="AL52" s="6">
        <v>0</v>
      </c>
      <c r="AM52" s="6"/>
      <c r="AN52" s="6"/>
      <c r="AO52" s="9"/>
      <c r="AP52" s="8"/>
      <c r="AQ52" s="9"/>
      <c r="AR52" s="8"/>
      <c r="AS52" s="9"/>
      <c r="AT52" s="8"/>
      <c r="AU52" s="9"/>
      <c r="AV52" s="8"/>
      <c r="AW52" s="9"/>
      <c r="AX52" s="8"/>
      <c r="AY52" s="9"/>
      <c r="AZ52" s="8"/>
      <c r="BA52" s="9">
        <f t="shared" si="0"/>
        <v>0</v>
      </c>
      <c r="BB52" s="9">
        <f t="shared" si="1"/>
        <v>0</v>
      </c>
      <c r="BC52" s="7">
        <f t="shared" si="5"/>
        <v>0</v>
      </c>
    </row>
    <row r="53" spans="1:55" s="35" customFormat="1" x14ac:dyDescent="0.25">
      <c r="A53" s="34">
        <f t="shared" si="3"/>
        <v>48</v>
      </c>
      <c r="B53" s="28" t="s">
        <v>199</v>
      </c>
      <c r="C53" s="13">
        <v>2500000</v>
      </c>
      <c r="D53" s="13"/>
      <c r="E53" s="13">
        <v>-2500000</v>
      </c>
      <c r="F53" s="13"/>
      <c r="G53" s="13"/>
      <c r="H53" s="13"/>
      <c r="I53" s="13"/>
      <c r="J53" s="13">
        <v>25000000</v>
      </c>
      <c r="K53" s="13"/>
      <c r="L53" s="13"/>
      <c r="M53" s="13">
        <v>-2500000</v>
      </c>
      <c r="N53" s="13"/>
      <c r="O53" s="13">
        <v>-2500000</v>
      </c>
      <c r="P53" s="29"/>
      <c r="Q53" s="13">
        <v>-2500000</v>
      </c>
      <c r="R53" s="29"/>
      <c r="S53" s="13">
        <v>-2500000</v>
      </c>
      <c r="T53" s="29"/>
      <c r="U53" s="13">
        <v>-2500000</v>
      </c>
      <c r="V53" s="29"/>
      <c r="W53" s="13">
        <v>-2500000</v>
      </c>
      <c r="X53" s="29"/>
      <c r="Y53" s="13">
        <v>-2500000</v>
      </c>
      <c r="Z53" s="29"/>
      <c r="AA53" s="13">
        <v>-2500000</v>
      </c>
      <c r="AB53" s="29">
        <f t="shared" si="4"/>
        <v>5000000</v>
      </c>
      <c r="AC53" s="13"/>
      <c r="AD53" s="13">
        <v>2500000</v>
      </c>
      <c r="AE53" s="13"/>
      <c r="AF53" s="13">
        <v>2500000</v>
      </c>
      <c r="AG53" s="13"/>
      <c r="AH53" s="13">
        <v>0</v>
      </c>
      <c r="AI53" s="13"/>
      <c r="AJ53" s="13">
        <v>0</v>
      </c>
      <c r="AK53" s="13"/>
      <c r="AL53" s="13">
        <v>0</v>
      </c>
      <c r="AM53" s="13"/>
      <c r="AN53" s="13"/>
      <c r="AO53" s="29"/>
      <c r="AP53" s="13"/>
      <c r="AQ53" s="29"/>
      <c r="AR53" s="13"/>
      <c r="AS53" s="29"/>
      <c r="AT53" s="13"/>
      <c r="AU53" s="29"/>
      <c r="AV53" s="13"/>
      <c r="AW53" s="29"/>
      <c r="AX53" s="29">
        <v>0</v>
      </c>
      <c r="AY53" s="29"/>
      <c r="AZ53" s="29">
        <v>0</v>
      </c>
      <c r="BA53" s="9">
        <f t="shared" si="0"/>
        <v>5000000</v>
      </c>
      <c r="BB53" s="29">
        <f t="shared" si="1"/>
        <v>5000000</v>
      </c>
      <c r="BC53" s="29">
        <f t="shared" si="5"/>
        <v>0</v>
      </c>
    </row>
    <row r="54" spans="1:55" x14ac:dyDescent="0.25">
      <c r="A54" s="4">
        <f t="shared" si="3"/>
        <v>49</v>
      </c>
      <c r="B54" s="38" t="s">
        <v>65</v>
      </c>
      <c r="C54" s="6">
        <v>10500000</v>
      </c>
      <c r="D54" s="6"/>
      <c r="E54" s="6">
        <v>-1500000</v>
      </c>
      <c r="F54" s="6"/>
      <c r="G54" s="6">
        <v>-1500000</v>
      </c>
      <c r="H54" s="6"/>
      <c r="I54" s="6">
        <v>-1500000</v>
      </c>
      <c r="J54" s="6"/>
      <c r="K54" s="6"/>
      <c r="L54" s="6"/>
      <c r="M54" s="6"/>
      <c r="N54" s="6"/>
      <c r="O54" s="6">
        <v>-1500000</v>
      </c>
      <c r="P54" s="9">
        <v>17000000</v>
      </c>
      <c r="Q54" s="9">
        <f>(-3000000)+(-1500000)</f>
        <v>-4500000</v>
      </c>
      <c r="R54" s="9"/>
      <c r="S54" s="9">
        <v>-1700000</v>
      </c>
      <c r="T54" s="9"/>
      <c r="U54" s="9">
        <v>-1700000</v>
      </c>
      <c r="V54" s="9"/>
      <c r="W54" s="9">
        <v>-1700000</v>
      </c>
      <c r="X54" s="9"/>
      <c r="Y54" s="9">
        <v>-1700000</v>
      </c>
      <c r="Z54" s="9"/>
      <c r="AA54" s="9">
        <v>-1700000</v>
      </c>
      <c r="AB54" s="9">
        <f t="shared" si="4"/>
        <v>8500000</v>
      </c>
      <c r="AC54" s="13"/>
      <c r="AD54" s="13">
        <v>1700000</v>
      </c>
      <c r="AE54" s="13"/>
      <c r="AF54" s="13">
        <v>1700000</v>
      </c>
      <c r="AG54" s="13"/>
      <c r="AH54" s="13">
        <v>0</v>
      </c>
      <c r="AI54" s="13">
        <v>15000000</v>
      </c>
      <c r="AJ54" s="5">
        <f>1700000+3400000</f>
        <v>5100000</v>
      </c>
      <c r="AK54" s="6"/>
      <c r="AL54" s="6">
        <v>1700000</v>
      </c>
      <c r="AM54" s="6"/>
      <c r="AN54" s="6">
        <v>1300000</v>
      </c>
      <c r="AO54" s="9"/>
      <c r="AP54" s="8">
        <v>1500000</v>
      </c>
      <c r="AQ54" s="9"/>
      <c r="AR54" s="8">
        <v>1500000</v>
      </c>
      <c r="AS54" s="9"/>
      <c r="AT54" s="8">
        <v>1500000</v>
      </c>
      <c r="AU54" s="9">
        <v>15306122</v>
      </c>
      <c r="AV54" s="8">
        <f>1530612+7500000</f>
        <v>9030612</v>
      </c>
      <c r="AW54" s="9"/>
      <c r="AX54" s="8">
        <v>1530612</v>
      </c>
      <c r="AY54" s="9"/>
      <c r="AZ54" s="8">
        <v>1530612</v>
      </c>
      <c r="BA54" s="9">
        <f t="shared" si="0"/>
        <v>38806122</v>
      </c>
      <c r="BB54" s="9">
        <f t="shared" si="1"/>
        <v>28091836</v>
      </c>
      <c r="BC54" s="7">
        <f t="shared" si="5"/>
        <v>10714286</v>
      </c>
    </row>
    <row r="55" spans="1:55" x14ac:dyDescent="0.25">
      <c r="A55" s="4">
        <f t="shared" si="3"/>
        <v>50</v>
      </c>
      <c r="B55" s="38" t="s">
        <v>66</v>
      </c>
      <c r="C55" s="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>
        <f t="shared" si="4"/>
        <v>0</v>
      </c>
      <c r="AC55" s="6"/>
      <c r="AD55" s="5"/>
      <c r="AE55" s="6"/>
      <c r="AF55" s="5"/>
      <c r="AG55" s="6"/>
      <c r="AH55" s="5">
        <v>0</v>
      </c>
      <c r="AI55" s="6"/>
      <c r="AJ55" s="5"/>
      <c r="AK55" s="6"/>
      <c r="AL55" s="6">
        <v>0</v>
      </c>
      <c r="AM55" s="6"/>
      <c r="AN55" s="6"/>
      <c r="AO55" s="9"/>
      <c r="AP55" s="8"/>
      <c r="AQ55" s="9"/>
      <c r="AR55" s="8"/>
      <c r="AS55" s="9"/>
      <c r="AT55" s="8"/>
      <c r="AU55" s="9"/>
      <c r="AV55" s="8"/>
      <c r="AW55" s="9"/>
      <c r="AX55" s="8"/>
      <c r="AY55" s="9"/>
      <c r="AZ55" s="8"/>
      <c r="BA55" s="9">
        <f t="shared" si="0"/>
        <v>0</v>
      </c>
      <c r="BB55" s="9">
        <f t="shared" si="1"/>
        <v>0</v>
      </c>
      <c r="BC55" s="7">
        <f t="shared" si="5"/>
        <v>0</v>
      </c>
    </row>
    <row r="56" spans="1:55" x14ac:dyDescent="0.25">
      <c r="A56" s="4">
        <f t="shared" si="3"/>
        <v>51</v>
      </c>
      <c r="B56" s="38" t="s">
        <v>67</v>
      </c>
      <c r="C56" s="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>
        <f t="shared" si="4"/>
        <v>0</v>
      </c>
      <c r="AC56" s="6"/>
      <c r="AD56" s="5"/>
      <c r="AE56" s="6"/>
      <c r="AF56" s="5"/>
      <c r="AG56" s="6"/>
      <c r="AH56" s="5">
        <v>0</v>
      </c>
      <c r="AI56" s="6"/>
      <c r="AJ56" s="5"/>
      <c r="AK56" s="6"/>
      <c r="AL56" s="6">
        <v>0</v>
      </c>
      <c r="AM56" s="6"/>
      <c r="AN56" s="6"/>
      <c r="AO56" s="9"/>
      <c r="AP56" s="8"/>
      <c r="AQ56" s="9"/>
      <c r="AR56" s="8"/>
      <c r="AS56" s="9"/>
      <c r="AT56" s="8"/>
      <c r="AU56" s="9"/>
      <c r="AV56" s="8"/>
      <c r="AW56" s="9"/>
      <c r="AX56" s="8"/>
      <c r="AY56" s="9"/>
      <c r="AZ56" s="8"/>
      <c r="BA56" s="9">
        <f t="shared" si="0"/>
        <v>0</v>
      </c>
      <c r="BB56" s="9">
        <f t="shared" si="1"/>
        <v>0</v>
      </c>
      <c r="BC56" s="7">
        <f t="shared" si="5"/>
        <v>0</v>
      </c>
    </row>
    <row r="57" spans="1:55" x14ac:dyDescent="0.25">
      <c r="A57" s="4">
        <f t="shared" si="3"/>
        <v>52</v>
      </c>
      <c r="B57" s="40" t="s">
        <v>68</v>
      </c>
      <c r="C57" s="27">
        <v>4152000</v>
      </c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41"/>
      <c r="Q57" s="41"/>
      <c r="R57" s="41"/>
      <c r="S57" s="41"/>
      <c r="T57" s="41"/>
      <c r="U57" s="27"/>
      <c r="V57" s="41"/>
      <c r="W57" s="41"/>
      <c r="X57" s="41"/>
      <c r="Y57" s="41"/>
      <c r="Z57" s="41"/>
      <c r="AA57" s="41"/>
      <c r="AB57" s="41">
        <f t="shared" si="4"/>
        <v>4152000</v>
      </c>
      <c r="AC57" s="27"/>
      <c r="AD57" s="26"/>
      <c r="AE57" s="27"/>
      <c r="AF57" s="26">
        <v>4152000</v>
      </c>
      <c r="AG57" s="6"/>
      <c r="AH57" s="5">
        <v>0</v>
      </c>
      <c r="AI57" s="6"/>
      <c r="AJ57" s="5"/>
      <c r="AK57" s="6"/>
      <c r="AL57" s="6">
        <v>0</v>
      </c>
      <c r="AM57" s="6"/>
      <c r="AN57" s="6"/>
      <c r="AO57" s="9"/>
      <c r="AP57" s="8"/>
      <c r="AQ57" s="9"/>
      <c r="AR57" s="8"/>
      <c r="AS57" s="9"/>
      <c r="AT57" s="5"/>
      <c r="AU57" s="9"/>
      <c r="AV57" s="8"/>
      <c r="AW57" s="9"/>
      <c r="AX57" s="8"/>
      <c r="AY57" s="9"/>
      <c r="AZ57" s="8"/>
      <c r="BA57" s="9">
        <f t="shared" si="0"/>
        <v>4152000</v>
      </c>
      <c r="BB57" s="9">
        <f t="shared" si="1"/>
        <v>4152000</v>
      </c>
      <c r="BC57" s="7">
        <f t="shared" si="5"/>
        <v>0</v>
      </c>
    </row>
    <row r="58" spans="1:55" s="35" customFormat="1" x14ac:dyDescent="0.25">
      <c r="A58" s="34">
        <f t="shared" si="3"/>
        <v>53</v>
      </c>
      <c r="B58" s="28" t="s">
        <v>172</v>
      </c>
      <c r="C58" s="13">
        <v>25000000</v>
      </c>
      <c r="D58" s="13"/>
      <c r="E58" s="13">
        <v>-2500000</v>
      </c>
      <c r="F58" s="13"/>
      <c r="G58" s="13">
        <v>-2500000</v>
      </c>
      <c r="H58" s="13"/>
      <c r="I58" s="13">
        <v>-2500000</v>
      </c>
      <c r="J58" s="13"/>
      <c r="K58" s="13"/>
      <c r="L58" s="13"/>
      <c r="M58" s="13">
        <v>-2500000</v>
      </c>
      <c r="N58" s="13"/>
      <c r="O58" s="13">
        <v>-2500000</v>
      </c>
      <c r="P58" s="29"/>
      <c r="Q58" s="13">
        <v>-2500000</v>
      </c>
      <c r="R58" s="29"/>
      <c r="S58" s="13">
        <v>-2500000</v>
      </c>
      <c r="T58" s="29"/>
      <c r="U58" s="13">
        <v>-2500000</v>
      </c>
      <c r="V58" s="29"/>
      <c r="W58" s="13">
        <v>-2500000</v>
      </c>
      <c r="X58" s="29"/>
      <c r="Y58" s="13">
        <v>-2500000</v>
      </c>
      <c r="Z58" s="29">
        <v>20000000</v>
      </c>
      <c r="AA58" s="13"/>
      <c r="AB58" s="29">
        <f t="shared" si="4"/>
        <v>20000000</v>
      </c>
      <c r="AC58" s="13"/>
      <c r="AD58" s="13">
        <v>2000000</v>
      </c>
      <c r="AE58" s="13"/>
      <c r="AF58" s="13">
        <v>2000000</v>
      </c>
      <c r="AG58" s="13"/>
      <c r="AH58" s="13">
        <v>0</v>
      </c>
      <c r="AI58" s="13"/>
      <c r="AJ58" s="13">
        <v>2000000</v>
      </c>
      <c r="AK58" s="13"/>
      <c r="AL58" s="13">
        <v>2000000</v>
      </c>
      <c r="AM58" s="13"/>
      <c r="AN58" s="13">
        <v>2000000</v>
      </c>
      <c r="AO58" s="29"/>
      <c r="AP58" s="29">
        <v>2000000</v>
      </c>
      <c r="AQ58" s="29"/>
      <c r="AR58" s="29">
        <v>2000000</v>
      </c>
      <c r="AS58" s="29"/>
      <c r="AT58" s="29">
        <v>2000000</v>
      </c>
      <c r="AU58" s="29"/>
      <c r="AV58" s="29">
        <v>2000000</v>
      </c>
      <c r="AW58" s="29"/>
      <c r="AX58" s="29">
        <v>2000000</v>
      </c>
      <c r="AY58" s="29"/>
      <c r="AZ58" s="29">
        <v>0</v>
      </c>
      <c r="BA58" s="9">
        <f t="shared" si="0"/>
        <v>20000000</v>
      </c>
      <c r="BB58" s="29">
        <f t="shared" si="1"/>
        <v>20000000</v>
      </c>
      <c r="BC58" s="29">
        <f t="shared" si="5"/>
        <v>0</v>
      </c>
    </row>
    <row r="59" spans="1:55" x14ac:dyDescent="0.25">
      <c r="A59" s="4">
        <f t="shared" si="3"/>
        <v>54</v>
      </c>
      <c r="B59" s="38" t="s">
        <v>69</v>
      </c>
      <c r="C59" s="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>
        <f t="shared" si="4"/>
        <v>0</v>
      </c>
      <c r="AC59" s="6"/>
      <c r="AD59" s="5"/>
      <c r="AE59" s="6"/>
      <c r="AF59" s="5"/>
      <c r="AG59" s="6"/>
      <c r="AH59" s="5">
        <v>0</v>
      </c>
      <c r="AI59" s="6"/>
      <c r="AJ59" s="5"/>
      <c r="AK59" s="6"/>
      <c r="AL59" s="6">
        <v>0</v>
      </c>
      <c r="AM59" s="6"/>
      <c r="AN59" s="6"/>
      <c r="AO59" s="9"/>
      <c r="AP59" s="8"/>
      <c r="AQ59" s="9"/>
      <c r="AR59" s="8"/>
      <c r="AS59" s="9"/>
      <c r="AT59" s="8"/>
      <c r="AU59" s="9"/>
      <c r="AV59" s="8"/>
      <c r="AW59" s="9"/>
      <c r="AX59" s="8"/>
      <c r="AY59" s="9"/>
      <c r="AZ59" s="8"/>
      <c r="BA59" s="9">
        <f t="shared" si="0"/>
        <v>0</v>
      </c>
      <c r="BB59" s="9">
        <f t="shared" si="1"/>
        <v>0</v>
      </c>
      <c r="BC59" s="7">
        <f t="shared" si="5"/>
        <v>0</v>
      </c>
    </row>
    <row r="60" spans="1:55" s="35" customFormat="1" x14ac:dyDescent="0.25">
      <c r="A60" s="34">
        <f t="shared" si="3"/>
        <v>55</v>
      </c>
      <c r="B60" s="28" t="s">
        <v>203</v>
      </c>
      <c r="C60" s="13">
        <v>3000000</v>
      </c>
      <c r="D60" s="13"/>
      <c r="E60" s="13">
        <v>-1100000</v>
      </c>
      <c r="F60" s="13"/>
      <c r="G60" s="13">
        <v>-1000000</v>
      </c>
      <c r="H60" s="13"/>
      <c r="I60" s="13">
        <v>-1000000</v>
      </c>
      <c r="J60" s="13">
        <v>20000000</v>
      </c>
      <c r="K60" s="13"/>
      <c r="L60" s="49"/>
      <c r="M60" s="13">
        <v>-2000000</v>
      </c>
      <c r="N60" s="29"/>
      <c r="O60" s="13">
        <v>-2000000</v>
      </c>
      <c r="P60" s="29"/>
      <c r="Q60" s="13">
        <v>-2000000</v>
      </c>
      <c r="R60" s="29"/>
      <c r="S60" s="13">
        <v>-2000000</v>
      </c>
      <c r="T60" s="29"/>
      <c r="U60" s="13">
        <v>-2000000</v>
      </c>
      <c r="V60" s="49"/>
      <c r="W60" s="13">
        <v>-2000000</v>
      </c>
      <c r="X60" s="29"/>
      <c r="Y60" s="13">
        <v>-2000000</v>
      </c>
      <c r="Z60" s="29"/>
      <c r="AA60" s="13">
        <v>-2000000</v>
      </c>
      <c r="AB60" s="29">
        <f t="shared" si="4"/>
        <v>3900000</v>
      </c>
      <c r="AC60" s="13"/>
      <c r="AD60" s="13">
        <v>2000000</v>
      </c>
      <c r="AE60" s="13"/>
      <c r="AF60" s="13">
        <v>2000000</v>
      </c>
      <c r="AG60" s="13"/>
      <c r="AH60" s="13">
        <v>0</v>
      </c>
      <c r="AI60" s="13"/>
      <c r="AJ60" s="13">
        <v>0</v>
      </c>
      <c r="AK60" s="49"/>
      <c r="AL60" s="13">
        <v>0</v>
      </c>
      <c r="AM60" s="29"/>
      <c r="AN60" s="13">
        <v>1906250</v>
      </c>
      <c r="AO60" s="29"/>
      <c r="AP60" s="29">
        <v>1500000</v>
      </c>
      <c r="AQ60" s="29"/>
      <c r="AR60" s="29">
        <v>1500000</v>
      </c>
      <c r="AS60" s="29"/>
      <c r="AT60" s="29">
        <v>1500000</v>
      </c>
      <c r="AU60" s="49"/>
      <c r="AV60" s="29">
        <v>1500000</v>
      </c>
      <c r="AW60" s="29"/>
      <c r="AX60" s="29">
        <v>1500000</v>
      </c>
      <c r="AY60" s="29"/>
      <c r="AZ60" s="29">
        <v>1500000</v>
      </c>
      <c r="BA60" s="9">
        <f t="shared" si="0"/>
        <v>3900000</v>
      </c>
      <c r="BB60" s="29">
        <f t="shared" si="1"/>
        <v>14906250</v>
      </c>
      <c r="BC60" s="29">
        <f t="shared" si="5"/>
        <v>-11006250</v>
      </c>
    </row>
    <row r="61" spans="1:55" s="35" customFormat="1" x14ac:dyDescent="0.25">
      <c r="A61" s="34">
        <f t="shared" si="3"/>
        <v>56</v>
      </c>
      <c r="B61" s="28" t="s">
        <v>70</v>
      </c>
      <c r="C61" s="13"/>
      <c r="D61" s="13"/>
      <c r="E61" s="13"/>
      <c r="F61" s="13"/>
      <c r="G61" s="13"/>
      <c r="H61" s="13"/>
      <c r="I61" s="13"/>
      <c r="J61" s="13"/>
      <c r="K61" s="13"/>
      <c r="L61" s="49"/>
      <c r="M61" s="13"/>
      <c r="N61" s="29"/>
      <c r="O61" s="13"/>
      <c r="P61" s="29"/>
      <c r="Q61" s="13"/>
      <c r="R61" s="29">
        <v>20000000</v>
      </c>
      <c r="S61" s="13">
        <v>-2000000</v>
      </c>
      <c r="T61" s="29"/>
      <c r="U61" s="13">
        <v>-2000000</v>
      </c>
      <c r="V61" s="49"/>
      <c r="W61" s="13">
        <v>-2000000</v>
      </c>
      <c r="X61" s="29"/>
      <c r="Y61" s="13">
        <v>-2000000</v>
      </c>
      <c r="Z61" s="29"/>
      <c r="AA61" s="13">
        <v>-2000000</v>
      </c>
      <c r="AB61" s="29">
        <f t="shared" si="4"/>
        <v>10000000</v>
      </c>
      <c r="AC61" s="13">
        <v>0</v>
      </c>
      <c r="AD61" s="13">
        <v>2000000</v>
      </c>
      <c r="AE61" s="13">
        <v>0</v>
      </c>
      <c r="AF61" s="13">
        <v>2000000</v>
      </c>
      <c r="AG61" s="13">
        <v>0</v>
      </c>
      <c r="AH61" s="13">
        <v>0</v>
      </c>
      <c r="AI61" s="13">
        <v>0</v>
      </c>
      <c r="AJ61" s="13">
        <v>2000000</v>
      </c>
      <c r="AK61" s="49">
        <v>0</v>
      </c>
      <c r="AL61" s="13">
        <v>2000000</v>
      </c>
      <c r="AM61" s="29">
        <v>0</v>
      </c>
      <c r="AN61" s="13">
        <v>2000000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49">
        <v>0</v>
      </c>
      <c r="AV61" s="29">
        <v>0</v>
      </c>
      <c r="AW61" s="29">
        <v>0</v>
      </c>
      <c r="AX61" s="29">
        <v>0</v>
      </c>
      <c r="AY61" s="29">
        <v>0</v>
      </c>
      <c r="AZ61" s="29">
        <v>0</v>
      </c>
      <c r="BA61" s="9">
        <f t="shared" si="0"/>
        <v>10000000</v>
      </c>
      <c r="BB61" s="29">
        <f t="shared" si="1"/>
        <v>10000000</v>
      </c>
      <c r="BC61" s="29">
        <f t="shared" si="5"/>
        <v>0</v>
      </c>
    </row>
    <row r="62" spans="1:55" x14ac:dyDescent="0.25">
      <c r="A62" s="4">
        <f t="shared" si="3"/>
        <v>57</v>
      </c>
      <c r="B62" s="38" t="s">
        <v>71</v>
      </c>
      <c r="C62" s="6">
        <v>23937400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>
        <f>C62+D62+E62+F62+G62+H62+I62+J62+K62+L62+M62+N62+O62+P62+Q62+R62+S62+T62+U62+V62+W62+X62+Y62+Z62+AA62</f>
        <v>23937400</v>
      </c>
      <c r="AC62" s="6"/>
      <c r="AD62" s="5"/>
      <c r="AE62" s="6"/>
      <c r="AF62" s="5"/>
      <c r="AG62" s="6"/>
      <c r="AH62" s="5">
        <v>0</v>
      </c>
      <c r="AI62" s="6"/>
      <c r="AJ62" s="5"/>
      <c r="AK62" s="6"/>
      <c r="AL62" s="6">
        <v>0</v>
      </c>
      <c r="AM62" s="6"/>
      <c r="AN62" s="6"/>
      <c r="AO62" s="9"/>
      <c r="AP62" s="8"/>
      <c r="AQ62" s="9"/>
      <c r="AR62" s="8"/>
      <c r="AS62" s="9"/>
      <c r="AT62" s="8"/>
      <c r="AU62" s="9"/>
      <c r="AV62" s="8"/>
      <c r="AW62" s="9"/>
      <c r="AX62" s="8"/>
      <c r="AY62" s="9"/>
      <c r="AZ62" s="8"/>
      <c r="BA62" s="9">
        <f t="shared" si="0"/>
        <v>23937400</v>
      </c>
      <c r="BB62" s="9">
        <f t="shared" si="1"/>
        <v>0</v>
      </c>
      <c r="BC62" s="7">
        <f t="shared" si="5"/>
        <v>23937400</v>
      </c>
    </row>
    <row r="63" spans="1:55" x14ac:dyDescent="0.25">
      <c r="A63" s="4">
        <f t="shared" si="3"/>
        <v>58</v>
      </c>
      <c r="B63" s="38" t="s">
        <v>72</v>
      </c>
      <c r="C63" s="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>
        <f t="shared" si="4"/>
        <v>0</v>
      </c>
      <c r="AC63" s="6"/>
      <c r="AD63" s="5"/>
      <c r="AE63" s="6"/>
      <c r="AF63" s="5"/>
      <c r="AG63" s="6"/>
      <c r="AH63" s="5">
        <v>0</v>
      </c>
      <c r="AI63" s="6"/>
      <c r="AJ63" s="5"/>
      <c r="AK63" s="6"/>
      <c r="AL63" s="6">
        <v>0</v>
      </c>
      <c r="AM63" s="6"/>
      <c r="AN63" s="6"/>
      <c r="AO63" s="9"/>
      <c r="AP63" s="8"/>
      <c r="AQ63" s="9"/>
      <c r="AR63" s="8"/>
      <c r="AS63" s="9"/>
      <c r="AT63" s="8"/>
      <c r="AU63" s="9"/>
      <c r="AV63" s="8"/>
      <c r="AW63" s="9"/>
      <c r="AX63" s="8"/>
      <c r="AY63" s="9"/>
      <c r="AZ63" s="8"/>
      <c r="BA63" s="9">
        <f t="shared" si="0"/>
        <v>0</v>
      </c>
      <c r="BB63" s="9">
        <f t="shared" si="1"/>
        <v>0</v>
      </c>
      <c r="BC63" s="7">
        <f t="shared" si="5"/>
        <v>0</v>
      </c>
    </row>
    <row r="64" spans="1:55" x14ac:dyDescent="0.25">
      <c r="A64" s="4">
        <f t="shared" si="3"/>
        <v>59</v>
      </c>
      <c r="B64" s="38" t="s">
        <v>73</v>
      </c>
      <c r="C64" s="6">
        <v>16547858</v>
      </c>
      <c r="D64" s="6"/>
      <c r="E64" s="6">
        <v>-1428571</v>
      </c>
      <c r="F64" s="6"/>
      <c r="G64" s="6">
        <v>-1428571</v>
      </c>
      <c r="H64" s="6"/>
      <c r="I64" s="6">
        <v>-1428571</v>
      </c>
      <c r="J64" s="6"/>
      <c r="K64" s="6">
        <v>-1428571</v>
      </c>
      <c r="L64" s="6"/>
      <c r="M64" s="6">
        <v>-1428571</v>
      </c>
      <c r="N64" s="6"/>
      <c r="O64" s="6">
        <v>-1567500</v>
      </c>
      <c r="P64" s="9"/>
      <c r="Q64" s="6">
        <v>-1567500</v>
      </c>
      <c r="R64" s="9"/>
      <c r="S64" s="6">
        <v>-1567500</v>
      </c>
      <c r="T64" s="9"/>
      <c r="U64" s="6">
        <v>-1567500</v>
      </c>
      <c r="V64" s="9"/>
      <c r="W64" s="6">
        <v>-1567500</v>
      </c>
      <c r="X64" s="9"/>
      <c r="Y64" s="6">
        <v>-1567500</v>
      </c>
      <c r="Z64" s="9"/>
      <c r="AA64" s="6">
        <v>-1567500</v>
      </c>
      <c r="AB64" s="9">
        <v>0</v>
      </c>
      <c r="AC64" s="6"/>
      <c r="AD64" s="5"/>
      <c r="AE64" s="6"/>
      <c r="AF64" s="5"/>
      <c r="AG64" s="6"/>
      <c r="AH64" s="5">
        <v>0</v>
      </c>
      <c r="AI64" s="6"/>
      <c r="AJ64" s="5"/>
      <c r="AK64" s="6"/>
      <c r="AL64" s="6">
        <v>0</v>
      </c>
      <c r="AM64" s="6"/>
      <c r="AN64" s="6"/>
      <c r="AO64" s="9"/>
      <c r="AP64" s="5"/>
      <c r="AQ64" s="9"/>
      <c r="AR64" s="5"/>
      <c r="AS64" s="9"/>
      <c r="AT64" s="5"/>
      <c r="AU64" s="9"/>
      <c r="AV64" s="5"/>
      <c r="AW64" s="9"/>
      <c r="AX64" s="5"/>
      <c r="AY64" s="9"/>
      <c r="AZ64" s="5"/>
      <c r="BA64" s="9">
        <f t="shared" si="0"/>
        <v>0</v>
      </c>
      <c r="BB64" s="9">
        <f t="shared" si="1"/>
        <v>0</v>
      </c>
      <c r="BC64" s="7">
        <f t="shared" si="5"/>
        <v>0</v>
      </c>
    </row>
    <row r="65" spans="1:55" x14ac:dyDescent="0.25">
      <c r="A65" s="4">
        <f t="shared" si="3"/>
        <v>60</v>
      </c>
      <c r="B65" s="38" t="s">
        <v>74</v>
      </c>
      <c r="C65" s="6">
        <v>-2000000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>
        <f t="shared" si="4"/>
        <v>-2000000</v>
      </c>
      <c r="AC65" s="6"/>
      <c r="AD65" s="5"/>
      <c r="AE65" s="6"/>
      <c r="AF65" s="5"/>
      <c r="AG65" s="6"/>
      <c r="AH65" s="5">
        <v>0</v>
      </c>
      <c r="AI65" s="6"/>
      <c r="AJ65" s="5"/>
      <c r="AK65" s="6"/>
      <c r="AL65" s="6">
        <v>0</v>
      </c>
      <c r="AM65" s="6"/>
      <c r="AN65" s="6"/>
      <c r="AO65" s="9"/>
      <c r="AP65" s="8"/>
      <c r="AQ65" s="9"/>
      <c r="AR65" s="8"/>
      <c r="AS65" s="9"/>
      <c r="AT65" s="8"/>
      <c r="AU65" s="9"/>
      <c r="AV65" s="8"/>
      <c r="AW65" s="9"/>
      <c r="AX65" s="8"/>
      <c r="AY65" s="9"/>
      <c r="AZ65" s="8"/>
      <c r="BA65" s="9">
        <f t="shared" si="0"/>
        <v>-2000000</v>
      </c>
      <c r="BB65" s="9">
        <f t="shared" si="1"/>
        <v>0</v>
      </c>
      <c r="BC65" s="7">
        <f t="shared" si="5"/>
        <v>-2000000</v>
      </c>
    </row>
    <row r="66" spans="1:55" s="35" customFormat="1" x14ac:dyDescent="0.25">
      <c r="A66" s="34">
        <f t="shared" si="3"/>
        <v>61</v>
      </c>
      <c r="B66" s="28" t="s">
        <v>177</v>
      </c>
      <c r="C66" s="13">
        <v>37500000</v>
      </c>
      <c r="D66" s="13"/>
      <c r="E66" s="13">
        <v>-2500000</v>
      </c>
      <c r="F66" s="13"/>
      <c r="G66" s="13">
        <v>-2500000</v>
      </c>
      <c r="H66" s="13"/>
      <c r="I66" s="13">
        <v>-2500000</v>
      </c>
      <c r="J66" s="13"/>
      <c r="K66" s="13"/>
      <c r="L66" s="13"/>
      <c r="M66" s="13">
        <v>-2500000</v>
      </c>
      <c r="N66" s="13"/>
      <c r="O66" s="13">
        <v>-2500000</v>
      </c>
      <c r="P66" s="29"/>
      <c r="Q66" s="13">
        <v>-2500000</v>
      </c>
      <c r="R66" s="29">
        <v>25000000</v>
      </c>
      <c r="S66" s="13">
        <v>-2500000</v>
      </c>
      <c r="T66" s="29"/>
      <c r="U66" s="29">
        <v>-5000000</v>
      </c>
      <c r="V66" s="29"/>
      <c r="W66" s="29">
        <v>-5000000</v>
      </c>
      <c r="X66" s="29"/>
      <c r="Y66" s="29">
        <v>-5000000</v>
      </c>
      <c r="Z66" s="29"/>
      <c r="AA66" s="29">
        <v>-5000000</v>
      </c>
      <c r="AB66" s="29">
        <f t="shared" si="4"/>
        <v>25000000</v>
      </c>
      <c r="AC66" s="13"/>
      <c r="AD66" s="13">
        <v>5000000</v>
      </c>
      <c r="AE66" s="13"/>
      <c r="AF66" s="13">
        <v>5000000</v>
      </c>
      <c r="AG66" s="13"/>
      <c r="AH66" s="13">
        <v>0</v>
      </c>
      <c r="AI66" s="13"/>
      <c r="AJ66" s="13">
        <v>5000000</v>
      </c>
      <c r="AK66" s="13"/>
      <c r="AL66" s="13">
        <v>5000000</v>
      </c>
      <c r="AM66" s="13"/>
      <c r="AN66" s="13">
        <v>2500000</v>
      </c>
      <c r="AO66" s="29"/>
      <c r="AP66" s="29">
        <v>2500000</v>
      </c>
      <c r="AQ66" s="29"/>
      <c r="AR66" s="29">
        <v>0</v>
      </c>
      <c r="AS66" s="29"/>
      <c r="AT66" s="29">
        <v>0</v>
      </c>
      <c r="AU66" s="29"/>
      <c r="AV66" s="29">
        <v>0</v>
      </c>
      <c r="AW66" s="29"/>
      <c r="AX66" s="29">
        <v>0</v>
      </c>
      <c r="AY66" s="29"/>
      <c r="AZ66" s="29">
        <v>0</v>
      </c>
      <c r="BA66" s="9">
        <f t="shared" si="0"/>
        <v>25000000</v>
      </c>
      <c r="BB66" s="29">
        <f t="shared" si="1"/>
        <v>25000000</v>
      </c>
      <c r="BC66" s="29">
        <f t="shared" si="5"/>
        <v>0</v>
      </c>
    </row>
    <row r="67" spans="1:55" x14ac:dyDescent="0.25">
      <c r="A67" s="4">
        <f t="shared" si="3"/>
        <v>62</v>
      </c>
      <c r="B67" s="38" t="s">
        <v>75</v>
      </c>
      <c r="C67" s="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>
        <f t="shared" si="4"/>
        <v>0</v>
      </c>
      <c r="AC67" s="6"/>
      <c r="AD67" s="5"/>
      <c r="AE67" s="6"/>
      <c r="AF67" s="5"/>
      <c r="AG67" s="6"/>
      <c r="AH67" s="5">
        <v>0</v>
      </c>
      <c r="AI67" s="6"/>
      <c r="AJ67" s="5"/>
      <c r="AK67" s="6"/>
      <c r="AL67" s="6">
        <v>0</v>
      </c>
      <c r="AM67" s="6"/>
      <c r="AN67" s="6"/>
      <c r="AO67" s="9"/>
      <c r="AP67" s="8"/>
      <c r="AQ67" s="9"/>
      <c r="AR67" s="8"/>
      <c r="AS67" s="9"/>
      <c r="AT67" s="8"/>
      <c r="AU67" s="9"/>
      <c r="AV67" s="8"/>
      <c r="AW67" s="9"/>
      <c r="AX67" s="8"/>
      <c r="AY67" s="9"/>
      <c r="AZ67" s="8"/>
      <c r="BA67" s="9">
        <f t="shared" si="0"/>
        <v>0</v>
      </c>
      <c r="BB67" s="9">
        <f t="shared" si="1"/>
        <v>0</v>
      </c>
      <c r="BC67" s="7">
        <f t="shared" si="5"/>
        <v>0</v>
      </c>
    </row>
    <row r="68" spans="1:55" x14ac:dyDescent="0.25">
      <c r="A68" s="4">
        <f t="shared" si="3"/>
        <v>63</v>
      </c>
      <c r="B68" s="38" t="s">
        <v>76</v>
      </c>
      <c r="C68" s="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>
        <f t="shared" si="4"/>
        <v>0</v>
      </c>
      <c r="AC68" s="6"/>
      <c r="AD68" s="5"/>
      <c r="AE68" s="6"/>
      <c r="AF68" s="5"/>
      <c r="AG68" s="6"/>
      <c r="AH68" s="5">
        <v>0</v>
      </c>
      <c r="AI68" s="6"/>
      <c r="AJ68" s="5"/>
      <c r="AK68" s="6"/>
      <c r="AL68" s="6">
        <v>0</v>
      </c>
      <c r="AM68" s="6"/>
      <c r="AN68" s="6"/>
      <c r="AO68" s="9"/>
      <c r="AP68" s="8"/>
      <c r="AQ68" s="9"/>
      <c r="AR68" s="8"/>
      <c r="AS68" s="9"/>
      <c r="AT68" s="8"/>
      <c r="AU68" s="9"/>
      <c r="AV68" s="8"/>
      <c r="AW68" s="9"/>
      <c r="AX68" s="8"/>
      <c r="AY68" s="9"/>
      <c r="AZ68" s="8"/>
      <c r="BA68" s="9">
        <f t="shared" si="0"/>
        <v>0</v>
      </c>
      <c r="BB68" s="9">
        <f t="shared" si="1"/>
        <v>0</v>
      </c>
      <c r="BC68" s="7">
        <f t="shared" si="5"/>
        <v>0</v>
      </c>
    </row>
    <row r="69" spans="1:55" s="35" customFormat="1" x14ac:dyDescent="0.25">
      <c r="A69" s="34">
        <f t="shared" si="3"/>
        <v>64</v>
      </c>
      <c r="B69" s="28" t="s">
        <v>200</v>
      </c>
      <c r="C69" s="29"/>
      <c r="D69" s="13"/>
      <c r="E69" s="13"/>
      <c r="F69" s="13"/>
      <c r="G69" s="13"/>
      <c r="H69" s="13"/>
      <c r="I69" s="13"/>
      <c r="J69" s="13">
        <v>10000000</v>
      </c>
      <c r="K69" s="13"/>
      <c r="L69" s="13"/>
      <c r="M69" s="13">
        <v>-1000000</v>
      </c>
      <c r="N69" s="13"/>
      <c r="O69" s="13">
        <v>-1000000</v>
      </c>
      <c r="P69" s="29"/>
      <c r="Q69" s="13">
        <v>-1000000</v>
      </c>
      <c r="R69" s="29"/>
      <c r="S69" s="13">
        <v>-1000000</v>
      </c>
      <c r="T69" s="29">
        <v>20000000</v>
      </c>
      <c r="U69" s="13">
        <f>-1000000+(-5000000)</f>
        <v>-6000000</v>
      </c>
      <c r="V69" s="29"/>
      <c r="W69" s="29">
        <v>-1000000</v>
      </c>
      <c r="X69" s="29"/>
      <c r="Y69" s="29">
        <v>-1000000</v>
      </c>
      <c r="Z69" s="29"/>
      <c r="AA69" s="29">
        <v>-1000000</v>
      </c>
      <c r="AB69" s="29">
        <f t="shared" si="4"/>
        <v>17000000</v>
      </c>
      <c r="AC69" s="13"/>
      <c r="AD69" s="13">
        <v>2000000</v>
      </c>
      <c r="AE69" s="13"/>
      <c r="AF69" s="13">
        <v>2000000</v>
      </c>
      <c r="AG69" s="13"/>
      <c r="AH69" s="13">
        <v>0</v>
      </c>
      <c r="AI69" s="13">
        <v>0</v>
      </c>
      <c r="AJ69" s="13">
        <v>10000000</v>
      </c>
      <c r="AK69" s="13">
        <v>0</v>
      </c>
      <c r="AL69" s="13">
        <v>0</v>
      </c>
      <c r="AM69" s="13">
        <v>0</v>
      </c>
      <c r="AN69" s="13">
        <v>0</v>
      </c>
      <c r="AO69" s="29">
        <v>0</v>
      </c>
      <c r="AP69" s="13">
        <v>0</v>
      </c>
      <c r="AQ69" s="29">
        <v>0</v>
      </c>
      <c r="AR69" s="13">
        <v>0</v>
      </c>
      <c r="AS69" s="29">
        <v>0</v>
      </c>
      <c r="AT69" s="13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0</v>
      </c>
      <c r="AZ69" s="29">
        <v>0</v>
      </c>
      <c r="BA69" s="9">
        <f t="shared" si="0"/>
        <v>17000000</v>
      </c>
      <c r="BB69" s="29">
        <f>AD69+AF69+AH69+AJ69+AL69+AN69+AP69+AR69+AT69+AV69+AX69+AZ69</f>
        <v>14000000</v>
      </c>
      <c r="BC69" s="29">
        <f t="shared" si="5"/>
        <v>3000000</v>
      </c>
    </row>
    <row r="70" spans="1:55" s="35" customFormat="1" x14ac:dyDescent="0.25">
      <c r="A70" s="34">
        <f t="shared" si="3"/>
        <v>65</v>
      </c>
      <c r="B70" s="28" t="s">
        <v>77</v>
      </c>
      <c r="C70" s="13">
        <v>12000000</v>
      </c>
      <c r="D70" s="13"/>
      <c r="E70" s="13">
        <v>-1500000</v>
      </c>
      <c r="F70" s="13"/>
      <c r="G70" s="13">
        <v>-1500000</v>
      </c>
      <c r="H70" s="13"/>
      <c r="I70" s="13">
        <v>-1500000</v>
      </c>
      <c r="J70" s="13"/>
      <c r="K70" s="13"/>
      <c r="L70" s="13"/>
      <c r="M70" s="13">
        <v>-1500000</v>
      </c>
      <c r="N70" s="13">
        <v>10000000</v>
      </c>
      <c r="O70" s="13">
        <v>-1500000</v>
      </c>
      <c r="P70" s="29"/>
      <c r="Q70" s="29">
        <v>-2500000</v>
      </c>
      <c r="R70" s="29"/>
      <c r="S70" s="29">
        <v>-2500000</v>
      </c>
      <c r="T70" s="29"/>
      <c r="U70" s="29">
        <v>-2500000</v>
      </c>
      <c r="V70" s="29"/>
      <c r="W70" s="29">
        <v>-1000000</v>
      </c>
      <c r="X70" s="29"/>
      <c r="Y70" s="29">
        <v>-1000000</v>
      </c>
      <c r="Z70" s="29"/>
      <c r="AA70" s="29">
        <v>-1000000</v>
      </c>
      <c r="AB70" s="29">
        <f t="shared" si="4"/>
        <v>4000000</v>
      </c>
      <c r="AC70" s="13"/>
      <c r="AD70" s="13">
        <f>1000000+1000000</f>
        <v>2000000</v>
      </c>
      <c r="AE70" s="13"/>
      <c r="AF70" s="13">
        <v>1000000</v>
      </c>
      <c r="AG70" s="13"/>
      <c r="AH70" s="13"/>
      <c r="AI70" s="13"/>
      <c r="AJ70" s="13">
        <v>1000000</v>
      </c>
      <c r="AK70" s="13"/>
      <c r="AL70" s="13">
        <v>0</v>
      </c>
      <c r="AM70" s="13"/>
      <c r="AN70" s="13"/>
      <c r="AO70" s="29"/>
      <c r="AP70" s="29"/>
      <c r="AQ70" s="29">
        <v>25000000</v>
      </c>
      <c r="AR70" s="29"/>
      <c r="AS70" s="29"/>
      <c r="AT70" s="29">
        <v>2500000</v>
      </c>
      <c r="AU70" s="29"/>
      <c r="AV70" s="29">
        <v>2500000</v>
      </c>
      <c r="AW70" s="29"/>
      <c r="AX70" s="29">
        <v>2500000</v>
      </c>
      <c r="AY70" s="29"/>
      <c r="AZ70" s="29">
        <v>2500000</v>
      </c>
      <c r="BA70" s="9">
        <f t="shared" ref="BA70:BA133" si="6">AB70+AC70+AE70+AG70+AI70+AK70+AM70+AO70+AQ70+AS70+AU70+AW70+AY70</f>
        <v>29000000</v>
      </c>
      <c r="BB70" s="29">
        <f t="shared" si="1"/>
        <v>14000000</v>
      </c>
      <c r="BC70" s="29">
        <f t="shared" si="5"/>
        <v>15000000</v>
      </c>
    </row>
    <row r="71" spans="1:55" x14ac:dyDescent="0.25">
      <c r="A71" s="4">
        <f t="shared" si="3"/>
        <v>66</v>
      </c>
      <c r="B71" s="38" t="s">
        <v>78</v>
      </c>
      <c r="C71" s="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>
        <f t="shared" si="4"/>
        <v>0</v>
      </c>
      <c r="AC71" s="6"/>
      <c r="AD71" s="5"/>
      <c r="AE71" s="6"/>
      <c r="AF71" s="5"/>
      <c r="AG71" s="6"/>
      <c r="AH71" s="5">
        <v>0</v>
      </c>
      <c r="AI71" s="6"/>
      <c r="AJ71" s="5"/>
      <c r="AK71" s="6"/>
      <c r="AL71" s="6">
        <v>0</v>
      </c>
      <c r="AM71" s="6"/>
      <c r="AN71" s="6"/>
      <c r="AO71" s="9"/>
      <c r="AP71" s="8"/>
      <c r="AQ71" s="9"/>
      <c r="AR71" s="8"/>
      <c r="AS71" s="9"/>
      <c r="AT71" s="8"/>
      <c r="AU71" s="9"/>
      <c r="AV71" s="8"/>
      <c r="AW71" s="9"/>
      <c r="AX71" s="8">
        <v>5000000</v>
      </c>
      <c r="AY71" s="9"/>
      <c r="AZ71" s="8"/>
      <c r="BA71" s="9">
        <f t="shared" si="6"/>
        <v>0</v>
      </c>
      <c r="BB71" s="9">
        <f t="shared" ref="BB71:BB134" si="7">AD71+AF71+AH71+AJ71+AL71+AN71+AP71+AR71+AT71+AV71+AX71+AZ71</f>
        <v>5000000</v>
      </c>
      <c r="BC71" s="7">
        <f t="shared" ref="BC71:BC134" si="8">BA71-BB71</f>
        <v>-5000000</v>
      </c>
    </row>
    <row r="72" spans="1:55" s="35" customFormat="1" x14ac:dyDescent="0.25">
      <c r="A72" s="34">
        <f t="shared" ref="A72:A135" si="9">A71+1</f>
        <v>67</v>
      </c>
      <c r="B72" s="28" t="s">
        <v>202</v>
      </c>
      <c r="C72" s="13">
        <v>8000000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>
        <f t="shared" si="4"/>
        <v>8000000</v>
      </c>
      <c r="AC72" s="13"/>
      <c r="AD72" s="13">
        <v>0</v>
      </c>
      <c r="AE72" s="13"/>
      <c r="AF72" s="13">
        <v>0</v>
      </c>
      <c r="AG72" s="13">
        <v>25000000</v>
      </c>
      <c r="AH72" s="13">
        <v>0</v>
      </c>
      <c r="AI72" s="13"/>
      <c r="AJ72" s="13">
        <v>2500000</v>
      </c>
      <c r="AK72" s="13"/>
      <c r="AL72" s="13">
        <v>2500000</v>
      </c>
      <c r="AM72" s="13"/>
      <c r="AN72" s="13">
        <v>2500000</v>
      </c>
      <c r="AO72" s="29"/>
      <c r="AP72" s="29">
        <v>2500000</v>
      </c>
      <c r="AQ72" s="29"/>
      <c r="AR72" s="29">
        <v>2500000</v>
      </c>
      <c r="AS72" s="29"/>
      <c r="AT72" s="29">
        <v>2500000</v>
      </c>
      <c r="AU72" s="29"/>
      <c r="AV72" s="29">
        <v>2500000</v>
      </c>
      <c r="AW72" s="29">
        <v>25000000</v>
      </c>
      <c r="AX72" s="29">
        <v>2500000</v>
      </c>
      <c r="AY72" s="29"/>
      <c r="AZ72" s="29">
        <v>2500000</v>
      </c>
      <c r="BA72" s="9">
        <f t="shared" si="6"/>
        <v>58000000</v>
      </c>
      <c r="BB72" s="29">
        <f t="shared" si="7"/>
        <v>22500000</v>
      </c>
      <c r="BC72" s="29">
        <f t="shared" si="8"/>
        <v>35500000</v>
      </c>
    </row>
    <row r="73" spans="1:55" s="35" customFormat="1" x14ac:dyDescent="0.25">
      <c r="A73" s="34">
        <f t="shared" si="9"/>
        <v>68</v>
      </c>
      <c r="B73" s="28" t="s">
        <v>178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29"/>
      <c r="Q73" s="29"/>
      <c r="R73" s="29">
        <v>25000000</v>
      </c>
      <c r="S73" s="29">
        <v>-2500000</v>
      </c>
      <c r="T73" s="29"/>
      <c r="U73" s="29">
        <v>-2500000</v>
      </c>
      <c r="V73" s="29"/>
      <c r="W73" s="29">
        <v>-2500000</v>
      </c>
      <c r="X73" s="29"/>
      <c r="Y73" s="29">
        <v>-2500000</v>
      </c>
      <c r="Z73" s="29"/>
      <c r="AA73" s="29">
        <v>-2500000</v>
      </c>
      <c r="AB73" s="29">
        <f t="shared" si="4"/>
        <v>12500000</v>
      </c>
      <c r="AC73" s="13"/>
      <c r="AD73" s="13">
        <v>2500000</v>
      </c>
      <c r="AE73" s="13"/>
      <c r="AF73" s="13">
        <v>2500000</v>
      </c>
      <c r="AG73" s="13"/>
      <c r="AH73" s="13">
        <v>0</v>
      </c>
      <c r="AI73" s="13"/>
      <c r="AJ73" s="13">
        <v>7500000</v>
      </c>
      <c r="AK73" s="13"/>
      <c r="AL73" s="13">
        <v>0</v>
      </c>
      <c r="AM73" s="13"/>
      <c r="AN73" s="13"/>
      <c r="AO73" s="29"/>
      <c r="AP73" s="29"/>
      <c r="AQ73" s="29"/>
      <c r="AR73" s="29"/>
      <c r="AS73" s="29"/>
      <c r="AT73" s="29"/>
      <c r="AU73" s="29"/>
      <c r="AV73" s="29"/>
      <c r="AW73" s="29"/>
      <c r="AX73" s="29">
        <v>0</v>
      </c>
      <c r="AY73" s="29"/>
      <c r="AZ73" s="29">
        <v>0</v>
      </c>
      <c r="BA73" s="9">
        <f t="shared" si="6"/>
        <v>12500000</v>
      </c>
      <c r="BB73" s="29">
        <f t="shared" si="7"/>
        <v>12500000</v>
      </c>
      <c r="BC73" s="29">
        <f t="shared" si="8"/>
        <v>0</v>
      </c>
    </row>
    <row r="74" spans="1:55" x14ac:dyDescent="0.25">
      <c r="A74" s="4">
        <f t="shared" si="9"/>
        <v>69</v>
      </c>
      <c r="B74" s="38" t="s">
        <v>79</v>
      </c>
      <c r="C74" s="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9"/>
      <c r="Q74" s="9"/>
      <c r="R74" s="9">
        <v>15000000</v>
      </c>
      <c r="S74" s="9">
        <v>-1500000</v>
      </c>
      <c r="T74" s="9"/>
      <c r="U74" s="9">
        <v>-1500000</v>
      </c>
      <c r="V74" s="9"/>
      <c r="W74" s="9">
        <v>-1500000</v>
      </c>
      <c r="X74" s="9"/>
      <c r="Y74" s="9">
        <v>-1500000</v>
      </c>
      <c r="Z74" s="9"/>
      <c r="AA74" s="9">
        <v>-1500000</v>
      </c>
      <c r="AB74" s="9">
        <f t="shared" si="4"/>
        <v>7500000</v>
      </c>
      <c r="AC74" s="6"/>
      <c r="AD74" s="5">
        <v>1500000</v>
      </c>
      <c r="AE74" s="6"/>
      <c r="AF74" s="5">
        <v>1500000</v>
      </c>
      <c r="AG74" s="6"/>
      <c r="AH74" s="5">
        <v>0</v>
      </c>
      <c r="AI74" s="6"/>
      <c r="AJ74" s="5">
        <v>1500000</v>
      </c>
      <c r="AK74" s="6"/>
      <c r="AL74" s="6">
        <v>1500000</v>
      </c>
      <c r="AM74" s="6"/>
      <c r="AN74" s="6">
        <v>1500000</v>
      </c>
      <c r="AO74" s="9"/>
      <c r="AP74" s="8"/>
      <c r="AQ74" s="9"/>
      <c r="AR74" s="8"/>
      <c r="AS74" s="9"/>
      <c r="AT74" s="8"/>
      <c r="AU74" s="9"/>
      <c r="AV74" s="8"/>
      <c r="AW74" s="9"/>
      <c r="AX74" s="8"/>
      <c r="AY74" s="9"/>
      <c r="AZ74" s="8"/>
      <c r="BA74" s="9">
        <f t="shared" si="6"/>
        <v>7500000</v>
      </c>
      <c r="BB74" s="9">
        <f t="shared" si="7"/>
        <v>7500000</v>
      </c>
      <c r="BC74" s="7">
        <f t="shared" si="8"/>
        <v>0</v>
      </c>
    </row>
    <row r="75" spans="1:55" x14ac:dyDescent="0.25">
      <c r="A75" s="4">
        <f t="shared" si="9"/>
        <v>70</v>
      </c>
      <c r="B75" s="38" t="s">
        <v>80</v>
      </c>
      <c r="C75" s="6">
        <v>6650000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>
        <f t="shared" ref="AB75:AB146" si="10">C75+D75+E75+F75+G75+H75+I75+J75+K75+L75+M75+N75+O75+P75+Q75+R75+S75+T75+U75+V75+W75+X75+Y75+Z75+AA75</f>
        <v>6650000</v>
      </c>
      <c r="AC75" s="6"/>
      <c r="AD75" s="5"/>
      <c r="AE75" s="6"/>
      <c r="AF75" s="5"/>
      <c r="AG75" s="6"/>
      <c r="AH75" s="5">
        <v>0</v>
      </c>
      <c r="AI75" s="6"/>
      <c r="AJ75" s="5"/>
      <c r="AK75" s="6"/>
      <c r="AL75" s="6">
        <v>0</v>
      </c>
      <c r="AM75" s="6"/>
      <c r="AN75" s="6"/>
      <c r="AO75" s="9"/>
      <c r="AP75" s="8"/>
      <c r="AQ75" s="9"/>
      <c r="AR75" s="8"/>
      <c r="AS75" s="9"/>
      <c r="AT75" s="8"/>
      <c r="AU75" s="9"/>
      <c r="AV75" s="8"/>
      <c r="AW75" s="9"/>
      <c r="AX75" s="8"/>
      <c r="AY75" s="9"/>
      <c r="AZ75" s="8"/>
      <c r="BA75" s="9">
        <f t="shared" si="6"/>
        <v>6650000</v>
      </c>
      <c r="BB75" s="9">
        <f t="shared" si="7"/>
        <v>0</v>
      </c>
      <c r="BC75" s="7">
        <f t="shared" si="8"/>
        <v>6650000</v>
      </c>
    </row>
    <row r="76" spans="1:55" s="35" customFormat="1" x14ac:dyDescent="0.25">
      <c r="A76" s="34">
        <f t="shared" si="9"/>
        <v>71</v>
      </c>
      <c r="B76" s="48" t="s">
        <v>201</v>
      </c>
      <c r="C76" s="13">
        <v>5600000</v>
      </c>
      <c r="D76" s="13">
        <v>13000000</v>
      </c>
      <c r="E76" s="13">
        <f>(-700000)+(-4900000)</f>
        <v>-5600000</v>
      </c>
      <c r="F76" s="13"/>
      <c r="G76" s="13">
        <v>-1300000</v>
      </c>
      <c r="H76" s="13"/>
      <c r="I76" s="13">
        <v>-1300000</v>
      </c>
      <c r="J76" s="13"/>
      <c r="K76" s="13"/>
      <c r="L76" s="13"/>
      <c r="M76" s="13">
        <v>-1300000</v>
      </c>
      <c r="N76" s="13"/>
      <c r="O76" s="13">
        <v>-1300000</v>
      </c>
      <c r="P76" s="29"/>
      <c r="Q76" s="13">
        <v>-1300000</v>
      </c>
      <c r="R76" s="29">
        <v>11000000</v>
      </c>
      <c r="S76" s="13">
        <f>(-1300000)+(-5200000)</f>
        <v>-6500000</v>
      </c>
      <c r="T76" s="29"/>
      <c r="U76" s="29">
        <v>-1100000</v>
      </c>
      <c r="V76" s="29"/>
      <c r="W76" s="29">
        <v>-1100000</v>
      </c>
      <c r="X76" s="29"/>
      <c r="Y76" s="29">
        <v>-1100000</v>
      </c>
      <c r="Z76" s="29"/>
      <c r="AA76" s="29">
        <v>-1100000</v>
      </c>
      <c r="AB76" s="29">
        <f>C76+D76+E76+F76+G76+H76+I76+J76+K76+L76+M76+N76+O76+P76+Q76+R76+S76+T76+U76+V76+W76+X76+Y76+Z76+AA76</f>
        <v>6600000</v>
      </c>
      <c r="AC76" s="13"/>
      <c r="AD76" s="13">
        <v>1100000</v>
      </c>
      <c r="AE76" s="13"/>
      <c r="AF76" s="13">
        <v>1100000</v>
      </c>
      <c r="AG76" s="13"/>
      <c r="AH76" s="13">
        <v>0</v>
      </c>
      <c r="AI76" s="13">
        <v>0</v>
      </c>
      <c r="AJ76" s="13">
        <v>1100000</v>
      </c>
      <c r="AK76" s="13">
        <v>0</v>
      </c>
      <c r="AL76" s="13">
        <v>1100000</v>
      </c>
      <c r="AM76" s="13">
        <v>0</v>
      </c>
      <c r="AN76" s="13">
        <v>1100000</v>
      </c>
      <c r="AO76" s="29">
        <v>0</v>
      </c>
      <c r="AP76" s="29">
        <v>1100000</v>
      </c>
      <c r="AQ76" s="29">
        <v>0</v>
      </c>
      <c r="AR76" s="29">
        <v>0</v>
      </c>
      <c r="AS76" s="29">
        <v>5500000</v>
      </c>
      <c r="AT76" s="29">
        <v>0</v>
      </c>
      <c r="AU76" s="29">
        <v>0</v>
      </c>
      <c r="AV76" s="29">
        <v>550000</v>
      </c>
      <c r="AW76" s="29">
        <v>0</v>
      </c>
      <c r="AX76" s="29">
        <v>550000</v>
      </c>
      <c r="AY76" s="29">
        <v>0</v>
      </c>
      <c r="AZ76" s="29">
        <v>550000</v>
      </c>
      <c r="BA76" s="9">
        <f t="shared" si="6"/>
        <v>12100000</v>
      </c>
      <c r="BB76" s="29">
        <f>AD76+AF76+AH76+AJ76+AL76+AN76+AP76+AR76+AT76+AV76+AX76+AZ76</f>
        <v>8250000</v>
      </c>
      <c r="BC76" s="29">
        <f>BA76-BB76</f>
        <v>3850000</v>
      </c>
    </row>
    <row r="77" spans="1:55" x14ac:dyDescent="0.25">
      <c r="A77" s="4">
        <f t="shared" si="9"/>
        <v>72</v>
      </c>
      <c r="B77" s="38" t="s">
        <v>81</v>
      </c>
      <c r="C77" s="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>
        <f t="shared" si="10"/>
        <v>0</v>
      </c>
      <c r="AC77" s="6"/>
      <c r="AD77" s="5"/>
      <c r="AE77" s="6"/>
      <c r="AF77" s="5"/>
      <c r="AG77" s="6"/>
      <c r="AH77" s="5">
        <v>0</v>
      </c>
      <c r="AI77" s="6"/>
      <c r="AJ77" s="5"/>
      <c r="AK77" s="6"/>
      <c r="AL77" s="6">
        <v>0</v>
      </c>
      <c r="AM77" s="6"/>
      <c r="AN77" s="6"/>
      <c r="AO77" s="9"/>
      <c r="AP77" s="8"/>
      <c r="AQ77" s="9"/>
      <c r="AR77" s="8"/>
      <c r="AS77" s="9"/>
      <c r="AT77" s="8"/>
      <c r="AU77" s="9"/>
      <c r="AV77" s="8"/>
      <c r="AW77" s="9"/>
      <c r="AX77" s="8"/>
      <c r="AY77" s="9"/>
      <c r="AZ77" s="8"/>
      <c r="BA77" s="9">
        <f t="shared" si="6"/>
        <v>0</v>
      </c>
      <c r="BB77" s="9">
        <f t="shared" si="7"/>
        <v>0</v>
      </c>
      <c r="BC77" s="7">
        <f t="shared" si="8"/>
        <v>0</v>
      </c>
    </row>
    <row r="78" spans="1:55" s="35" customFormat="1" x14ac:dyDescent="0.25">
      <c r="A78" s="34">
        <f t="shared" si="9"/>
        <v>73</v>
      </c>
      <c r="B78" s="28" t="s">
        <v>173</v>
      </c>
      <c r="C78" s="13">
        <v>6750000</v>
      </c>
      <c r="D78" s="13"/>
      <c r="E78" s="13">
        <v>-750000</v>
      </c>
      <c r="F78" s="13"/>
      <c r="G78" s="13">
        <v>-750000</v>
      </c>
      <c r="H78" s="13"/>
      <c r="I78" s="13">
        <v>-750000</v>
      </c>
      <c r="J78" s="13"/>
      <c r="K78" s="13">
        <v>-750000</v>
      </c>
      <c r="L78" s="13"/>
      <c r="M78" s="13">
        <v>-750000</v>
      </c>
      <c r="N78" s="13"/>
      <c r="O78" s="13">
        <v>-750000</v>
      </c>
      <c r="P78" s="29"/>
      <c r="Q78" s="13">
        <v>-750000</v>
      </c>
      <c r="R78" s="29"/>
      <c r="S78" s="13">
        <v>-750000</v>
      </c>
      <c r="T78" s="29">
        <v>10000000</v>
      </c>
      <c r="U78" s="13">
        <v>-750000</v>
      </c>
      <c r="V78" s="29"/>
      <c r="W78" s="29">
        <v>-1000000</v>
      </c>
      <c r="X78" s="29"/>
      <c r="Y78" s="29">
        <v>-1000000</v>
      </c>
      <c r="Z78" s="29"/>
      <c r="AA78" s="29">
        <v>-1000000</v>
      </c>
      <c r="AB78" s="29">
        <f t="shared" si="10"/>
        <v>7000000</v>
      </c>
      <c r="AC78" s="13"/>
      <c r="AD78" s="13">
        <v>1000000</v>
      </c>
      <c r="AE78" s="13"/>
      <c r="AF78" s="13">
        <v>1000000</v>
      </c>
      <c r="AG78" s="13"/>
      <c r="AH78" s="13">
        <v>1000000</v>
      </c>
      <c r="AI78" s="13"/>
      <c r="AJ78" s="13">
        <v>1000000</v>
      </c>
      <c r="AK78" s="13"/>
      <c r="AL78" s="13">
        <v>1000000</v>
      </c>
      <c r="AM78" s="13"/>
      <c r="AN78" s="13">
        <v>1000000</v>
      </c>
      <c r="AO78" s="29"/>
      <c r="AP78" s="29">
        <v>1000000</v>
      </c>
      <c r="AQ78" s="29"/>
      <c r="AR78" s="29">
        <v>1000000</v>
      </c>
      <c r="AS78" s="29">
        <v>12000000</v>
      </c>
      <c r="AT78" s="29">
        <v>0</v>
      </c>
      <c r="AU78" s="29">
        <v>0</v>
      </c>
      <c r="AV78" s="29">
        <v>1200000</v>
      </c>
      <c r="AW78" s="29">
        <v>0</v>
      </c>
      <c r="AX78" s="29">
        <v>1200000</v>
      </c>
      <c r="AY78" s="29">
        <v>0</v>
      </c>
      <c r="AZ78" s="29">
        <v>0</v>
      </c>
      <c r="BA78" s="9">
        <f t="shared" si="6"/>
        <v>19000000</v>
      </c>
      <c r="BB78" s="29">
        <f t="shared" si="7"/>
        <v>10400000</v>
      </c>
      <c r="BC78" s="29">
        <f t="shared" si="8"/>
        <v>8600000</v>
      </c>
    </row>
    <row r="79" spans="1:55" x14ac:dyDescent="0.25">
      <c r="A79" s="4">
        <f t="shared" si="9"/>
        <v>74</v>
      </c>
      <c r="B79" s="38" t="s">
        <v>82</v>
      </c>
      <c r="C79" s="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>
        <f t="shared" si="10"/>
        <v>0</v>
      </c>
      <c r="AC79" s="6"/>
      <c r="AD79" s="5"/>
      <c r="AE79" s="6"/>
      <c r="AF79" s="5"/>
      <c r="AG79" s="6"/>
      <c r="AH79" s="5">
        <v>0</v>
      </c>
      <c r="AI79" s="6"/>
      <c r="AJ79" s="5"/>
      <c r="AK79" s="6"/>
      <c r="AL79" s="6">
        <v>0</v>
      </c>
      <c r="AM79" s="6"/>
      <c r="AN79" s="6"/>
      <c r="AO79" s="9"/>
      <c r="AP79" s="8"/>
      <c r="AQ79" s="9"/>
      <c r="AR79" s="8"/>
      <c r="AS79" s="9"/>
      <c r="AT79" s="8"/>
      <c r="AU79" s="9"/>
      <c r="AV79" s="8"/>
      <c r="AW79" s="9"/>
      <c r="AX79" s="8"/>
      <c r="AY79" s="9"/>
      <c r="AZ79" s="29">
        <v>0</v>
      </c>
      <c r="BA79" s="9">
        <f t="shared" si="6"/>
        <v>0</v>
      </c>
      <c r="BB79" s="9">
        <f t="shared" si="7"/>
        <v>0</v>
      </c>
      <c r="BC79" s="7">
        <f t="shared" si="8"/>
        <v>0</v>
      </c>
    </row>
    <row r="80" spans="1:55" x14ac:dyDescent="0.25">
      <c r="A80" s="4">
        <f t="shared" si="9"/>
        <v>75</v>
      </c>
      <c r="B80" s="38" t="s">
        <v>83</v>
      </c>
      <c r="C80" s="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>
        <f t="shared" si="10"/>
        <v>0</v>
      </c>
      <c r="AC80" s="6"/>
      <c r="AD80" s="5"/>
      <c r="AE80" s="6"/>
      <c r="AF80" s="5"/>
      <c r="AG80" s="6"/>
      <c r="AH80" s="5">
        <v>0</v>
      </c>
      <c r="AI80" s="6"/>
      <c r="AJ80" s="5"/>
      <c r="AK80" s="6"/>
      <c r="AL80" s="6">
        <v>0</v>
      </c>
      <c r="AM80" s="6"/>
      <c r="AN80" s="6"/>
      <c r="AO80" s="9"/>
      <c r="AP80" s="8"/>
      <c r="AQ80" s="9"/>
      <c r="AR80" s="8"/>
      <c r="AS80" s="9"/>
      <c r="AT80" s="8"/>
      <c r="AU80" s="9"/>
      <c r="AV80" s="8"/>
      <c r="AW80" s="9"/>
      <c r="AX80" s="8"/>
      <c r="AY80" s="9"/>
      <c r="AZ80" s="8"/>
      <c r="BA80" s="9">
        <f t="shared" si="6"/>
        <v>0</v>
      </c>
      <c r="BB80" s="9">
        <f t="shared" si="7"/>
        <v>0</v>
      </c>
      <c r="BC80" s="7">
        <f t="shared" si="8"/>
        <v>0</v>
      </c>
    </row>
    <row r="81" spans="1:55" x14ac:dyDescent="0.25">
      <c r="A81" s="4">
        <f t="shared" si="9"/>
        <v>76</v>
      </c>
      <c r="B81" s="38" t="s">
        <v>84</v>
      </c>
      <c r="C81" s="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>
        <f t="shared" si="10"/>
        <v>0</v>
      </c>
      <c r="AC81" s="6"/>
      <c r="AD81" s="5"/>
      <c r="AE81" s="6"/>
      <c r="AF81" s="5"/>
      <c r="AG81" s="6"/>
      <c r="AH81" s="5">
        <v>0</v>
      </c>
      <c r="AI81" s="6"/>
      <c r="AJ81" s="5"/>
      <c r="AK81" s="6"/>
      <c r="AL81" s="6">
        <v>0</v>
      </c>
      <c r="AM81" s="6"/>
      <c r="AN81" s="6"/>
      <c r="AO81" s="9"/>
      <c r="AP81" s="8"/>
      <c r="AQ81" s="9"/>
      <c r="AR81" s="8"/>
      <c r="AS81" s="9"/>
      <c r="AT81" s="8"/>
      <c r="AU81" s="9"/>
      <c r="AV81" s="8"/>
      <c r="AW81" s="9"/>
      <c r="AX81" s="8"/>
      <c r="AY81" s="9"/>
      <c r="AZ81" s="8"/>
      <c r="BA81" s="9">
        <f t="shared" si="6"/>
        <v>0</v>
      </c>
      <c r="BB81" s="9">
        <f t="shared" si="7"/>
        <v>0</v>
      </c>
      <c r="BC81" s="7">
        <f t="shared" si="8"/>
        <v>0</v>
      </c>
    </row>
    <row r="82" spans="1:55" x14ac:dyDescent="0.25">
      <c r="A82" s="4">
        <f t="shared" si="9"/>
        <v>77</v>
      </c>
      <c r="B82" s="38" t="s">
        <v>85</v>
      </c>
      <c r="C82" s="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>
        <f t="shared" si="10"/>
        <v>0</v>
      </c>
      <c r="AC82" s="6"/>
      <c r="AD82" s="5"/>
      <c r="AE82" s="6"/>
      <c r="AF82" s="5"/>
      <c r="AG82" s="6"/>
      <c r="AH82" s="5">
        <v>0</v>
      </c>
      <c r="AI82" s="6"/>
      <c r="AJ82" s="5"/>
      <c r="AK82" s="6"/>
      <c r="AL82" s="6">
        <v>0</v>
      </c>
      <c r="AM82" s="6"/>
      <c r="AN82" s="6"/>
      <c r="AO82" s="9"/>
      <c r="AP82" s="8"/>
      <c r="AQ82" s="9"/>
      <c r="AR82" s="8"/>
      <c r="AS82" s="9"/>
      <c r="AT82" s="8"/>
      <c r="AU82" s="9"/>
      <c r="AV82" s="8"/>
      <c r="AW82" s="9"/>
      <c r="AX82" s="8"/>
      <c r="AY82" s="9"/>
      <c r="AZ82" s="8"/>
      <c r="BA82" s="9">
        <f t="shared" si="6"/>
        <v>0</v>
      </c>
      <c r="BB82" s="9">
        <f t="shared" si="7"/>
        <v>0</v>
      </c>
      <c r="BC82" s="7">
        <f t="shared" si="8"/>
        <v>0</v>
      </c>
    </row>
    <row r="83" spans="1:55" s="35" customFormat="1" x14ac:dyDescent="0.25">
      <c r="A83" s="34">
        <f t="shared" si="9"/>
        <v>78</v>
      </c>
      <c r="B83" s="28" t="s">
        <v>190</v>
      </c>
      <c r="C83" s="29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29"/>
      <c r="Q83" s="29"/>
      <c r="R83" s="29"/>
      <c r="S83" s="29"/>
      <c r="T83" s="29"/>
      <c r="U83" s="29"/>
      <c r="V83" s="29">
        <v>5000000</v>
      </c>
      <c r="W83" s="29"/>
      <c r="X83" s="29"/>
      <c r="Y83" s="29">
        <v>-500000</v>
      </c>
      <c r="Z83" s="29"/>
      <c r="AA83" s="29">
        <v>-500000</v>
      </c>
      <c r="AB83" s="29">
        <f t="shared" si="10"/>
        <v>4000000</v>
      </c>
      <c r="AC83" s="13"/>
      <c r="AD83" s="13">
        <v>500000</v>
      </c>
      <c r="AE83" s="13"/>
      <c r="AF83" s="13">
        <v>500000</v>
      </c>
      <c r="AG83" s="13"/>
      <c r="AH83" s="13">
        <v>3000000</v>
      </c>
      <c r="AI83" s="13"/>
      <c r="AJ83" s="13">
        <v>0</v>
      </c>
      <c r="AK83" s="13"/>
      <c r="AL83" s="13">
        <v>0</v>
      </c>
      <c r="AM83" s="13"/>
      <c r="AN83" s="13"/>
      <c r="AO83" s="29"/>
      <c r="AP83" s="29"/>
      <c r="AQ83" s="29"/>
      <c r="AR83" s="29"/>
      <c r="AS83" s="29"/>
      <c r="AT83" s="29"/>
      <c r="AU83" s="29"/>
      <c r="AV83" s="29"/>
      <c r="AW83" s="29"/>
      <c r="AX83" s="29">
        <v>0</v>
      </c>
      <c r="AY83" s="29"/>
      <c r="AZ83" s="29">
        <v>0</v>
      </c>
      <c r="BA83" s="9">
        <f t="shared" si="6"/>
        <v>4000000</v>
      </c>
      <c r="BB83" s="29">
        <f t="shared" si="7"/>
        <v>4000000</v>
      </c>
      <c r="BC83" s="29">
        <f t="shared" si="8"/>
        <v>0</v>
      </c>
    </row>
    <row r="84" spans="1:55" s="35" customFormat="1" x14ac:dyDescent="0.25">
      <c r="A84" s="34">
        <f t="shared" si="9"/>
        <v>79</v>
      </c>
      <c r="B84" s="28" t="s">
        <v>86</v>
      </c>
      <c r="C84" s="13">
        <v>12000000</v>
      </c>
      <c r="D84" s="13"/>
      <c r="E84" s="13">
        <v>-1500000</v>
      </c>
      <c r="F84" s="13"/>
      <c r="G84" s="13">
        <v>-1500000</v>
      </c>
      <c r="H84" s="13">
        <v>15000000</v>
      </c>
      <c r="I84" s="13">
        <f>(-1500000)+(-7500000)</f>
        <v>-9000000</v>
      </c>
      <c r="J84" s="13"/>
      <c r="K84" s="13"/>
      <c r="L84" s="13"/>
      <c r="M84" s="13">
        <v>-1500000</v>
      </c>
      <c r="N84" s="13"/>
      <c r="O84" s="13">
        <v>-1500000</v>
      </c>
      <c r="P84" s="29"/>
      <c r="Q84" s="13">
        <v>-1500000</v>
      </c>
      <c r="R84" s="29">
        <v>20000000</v>
      </c>
      <c r="S84" s="29">
        <f>(-10500000)+(-2000000)</f>
        <v>-12500000</v>
      </c>
      <c r="T84" s="29"/>
      <c r="U84" s="29">
        <v>-2000000</v>
      </c>
      <c r="V84" s="29"/>
      <c r="W84" s="29">
        <v>-2000000</v>
      </c>
      <c r="X84" s="29"/>
      <c r="Y84" s="29">
        <v>-2000000</v>
      </c>
      <c r="Z84" s="29"/>
      <c r="AA84" s="29">
        <v>-2000000</v>
      </c>
      <c r="AB84" s="29">
        <f t="shared" si="10"/>
        <v>10000000</v>
      </c>
      <c r="AC84" s="13"/>
      <c r="AD84" s="13">
        <v>2000000</v>
      </c>
      <c r="AE84" s="13"/>
      <c r="AF84" s="13">
        <v>2000000</v>
      </c>
      <c r="AG84" s="13">
        <v>25000000</v>
      </c>
      <c r="AH84" s="13">
        <v>6000000</v>
      </c>
      <c r="AI84" s="13"/>
      <c r="AJ84" s="13">
        <v>2500000</v>
      </c>
      <c r="AK84" s="13"/>
      <c r="AL84" s="13">
        <v>2500000</v>
      </c>
      <c r="AM84" s="13"/>
      <c r="AN84" s="13">
        <v>2500000</v>
      </c>
      <c r="AO84" s="29"/>
      <c r="AP84" s="29">
        <v>2500000</v>
      </c>
      <c r="AQ84" s="29"/>
      <c r="AR84" s="29">
        <v>15000000</v>
      </c>
      <c r="AS84" s="29"/>
      <c r="AT84" s="29">
        <v>0</v>
      </c>
      <c r="AU84" s="29"/>
      <c r="AV84" s="29">
        <v>0</v>
      </c>
      <c r="AW84" s="29"/>
      <c r="AX84" s="29">
        <v>0</v>
      </c>
      <c r="AY84" s="29"/>
      <c r="AZ84" s="29">
        <v>0</v>
      </c>
      <c r="BA84" s="9">
        <f t="shared" si="6"/>
        <v>35000000</v>
      </c>
      <c r="BB84" s="29">
        <f t="shared" si="7"/>
        <v>35000000</v>
      </c>
      <c r="BC84" s="29">
        <f t="shared" si="8"/>
        <v>0</v>
      </c>
    </row>
    <row r="85" spans="1:55" x14ac:dyDescent="0.25">
      <c r="A85" s="4">
        <f t="shared" si="9"/>
        <v>80</v>
      </c>
      <c r="B85" s="38" t="s">
        <v>87</v>
      </c>
      <c r="C85" s="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>
        <f t="shared" si="10"/>
        <v>0</v>
      </c>
      <c r="AC85" s="6"/>
      <c r="AD85" s="5"/>
      <c r="AE85" s="6"/>
      <c r="AF85" s="5"/>
      <c r="AG85" s="6"/>
      <c r="AH85" s="5">
        <v>0</v>
      </c>
      <c r="AI85" s="6"/>
      <c r="AJ85" s="5"/>
      <c r="AK85" s="6"/>
      <c r="AL85" s="6">
        <v>0</v>
      </c>
      <c r="AM85" s="6"/>
      <c r="AN85" s="6"/>
      <c r="AO85" s="9"/>
      <c r="AP85" s="8"/>
      <c r="AQ85" s="9"/>
      <c r="AR85" s="8"/>
      <c r="AS85" s="9"/>
      <c r="AT85" s="8"/>
      <c r="AU85" s="9"/>
      <c r="AV85" s="8"/>
      <c r="AW85" s="9"/>
      <c r="AX85" s="8"/>
      <c r="AY85" s="9"/>
      <c r="AZ85" s="8"/>
      <c r="BA85" s="9">
        <f t="shared" si="6"/>
        <v>0</v>
      </c>
      <c r="BB85" s="9">
        <f t="shared" si="7"/>
        <v>0</v>
      </c>
      <c r="BC85" s="7">
        <f t="shared" si="8"/>
        <v>0</v>
      </c>
    </row>
    <row r="86" spans="1:55" x14ac:dyDescent="0.25">
      <c r="A86" s="4">
        <f t="shared" si="9"/>
        <v>81</v>
      </c>
      <c r="B86" s="38" t="s">
        <v>88</v>
      </c>
      <c r="C86" s="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>
        <f t="shared" si="10"/>
        <v>0</v>
      </c>
      <c r="AC86" s="6"/>
      <c r="AD86" s="5"/>
      <c r="AE86" s="6"/>
      <c r="AF86" s="5"/>
      <c r="AG86" s="6"/>
      <c r="AH86" s="5">
        <v>0</v>
      </c>
      <c r="AI86" s="6"/>
      <c r="AJ86" s="5"/>
      <c r="AK86" s="6"/>
      <c r="AL86" s="6">
        <v>0</v>
      </c>
      <c r="AM86" s="6"/>
      <c r="AN86" s="6"/>
      <c r="AO86" s="9"/>
      <c r="AP86" s="8"/>
      <c r="AQ86" s="9"/>
      <c r="AR86" s="8"/>
      <c r="AS86" s="9"/>
      <c r="AT86" s="8"/>
      <c r="AU86" s="9"/>
      <c r="AV86" s="8"/>
      <c r="AW86" s="9"/>
      <c r="AX86" s="8"/>
      <c r="AY86" s="9"/>
      <c r="AZ86" s="8"/>
      <c r="BA86" s="9">
        <f t="shared" si="6"/>
        <v>0</v>
      </c>
      <c r="BB86" s="9">
        <f t="shared" si="7"/>
        <v>0</v>
      </c>
      <c r="BC86" s="7">
        <f t="shared" si="8"/>
        <v>0</v>
      </c>
    </row>
    <row r="87" spans="1:55" s="35" customFormat="1" x14ac:dyDescent="0.25">
      <c r="A87" s="34">
        <f t="shared" si="9"/>
        <v>82</v>
      </c>
      <c r="B87" s="28" t="s">
        <v>179</v>
      </c>
      <c r="C87" s="13">
        <v>6650000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>
        <v>25000000</v>
      </c>
      <c r="O87" s="13">
        <v>-2500000</v>
      </c>
      <c r="P87" s="29"/>
      <c r="Q87" s="13">
        <v>-2500000</v>
      </c>
      <c r="R87" s="29"/>
      <c r="S87" s="13">
        <v>-2500000</v>
      </c>
      <c r="T87" s="29"/>
      <c r="U87" s="13">
        <v>-2500000</v>
      </c>
      <c r="V87" s="29"/>
      <c r="W87" s="13">
        <v>-2500000</v>
      </c>
      <c r="X87" s="29"/>
      <c r="Y87" s="13">
        <v>-2500000</v>
      </c>
      <c r="Z87" s="29"/>
      <c r="AA87" s="13">
        <v>-2500000</v>
      </c>
      <c r="AB87" s="29">
        <f t="shared" si="10"/>
        <v>14150000</v>
      </c>
      <c r="AC87" s="13"/>
      <c r="AD87" s="13">
        <v>2500000</v>
      </c>
      <c r="AE87" s="13"/>
      <c r="AF87" s="13">
        <v>2500000</v>
      </c>
      <c r="AG87" s="13"/>
      <c r="AH87" s="13">
        <v>0</v>
      </c>
      <c r="AI87" s="13"/>
      <c r="AJ87" s="13">
        <v>2500000</v>
      </c>
      <c r="AK87" s="13">
        <v>2500000</v>
      </c>
      <c r="AL87" s="13">
        <v>2500000</v>
      </c>
      <c r="AM87" s="13"/>
      <c r="AN87" s="13">
        <v>0</v>
      </c>
      <c r="AO87" s="29"/>
      <c r="AP87" s="29">
        <v>0</v>
      </c>
      <c r="AQ87" s="29"/>
      <c r="AR87" s="29">
        <v>0</v>
      </c>
      <c r="AS87" s="29"/>
      <c r="AT87" s="29">
        <v>0</v>
      </c>
      <c r="AU87" s="29"/>
      <c r="AV87" s="29">
        <v>0</v>
      </c>
      <c r="AW87" s="29"/>
      <c r="AX87" s="29">
        <v>0</v>
      </c>
      <c r="AY87" s="29"/>
      <c r="AZ87" s="29">
        <v>2500000</v>
      </c>
      <c r="BA87" s="9">
        <f t="shared" si="6"/>
        <v>16650000</v>
      </c>
      <c r="BB87" s="29">
        <f t="shared" si="7"/>
        <v>12500000</v>
      </c>
      <c r="BC87" s="29">
        <f t="shared" si="8"/>
        <v>4150000</v>
      </c>
    </row>
    <row r="88" spans="1:55" x14ac:dyDescent="0.25">
      <c r="A88" s="4">
        <f t="shared" si="9"/>
        <v>83</v>
      </c>
      <c r="B88" s="38" t="s">
        <v>89</v>
      </c>
      <c r="C88" s="6">
        <v>20000000</v>
      </c>
      <c r="D88" s="6"/>
      <c r="E88" s="6">
        <v>-2500000</v>
      </c>
      <c r="F88" s="6"/>
      <c r="G88" s="6">
        <v>-2500000</v>
      </c>
      <c r="H88" s="6"/>
      <c r="I88" s="6">
        <v>-2500000</v>
      </c>
      <c r="J88" s="6"/>
      <c r="K88" s="6"/>
      <c r="L88" s="6"/>
      <c r="M88" s="6">
        <v>-2500000</v>
      </c>
      <c r="N88" s="6"/>
      <c r="O88" s="6">
        <v>-2500000</v>
      </c>
      <c r="P88" s="9"/>
      <c r="Q88" s="6">
        <v>-2500000</v>
      </c>
      <c r="R88" s="9">
        <v>25000000</v>
      </c>
      <c r="S88" s="6">
        <f>(-2500000)+(-2500000)</f>
        <v>-5000000</v>
      </c>
      <c r="T88" s="9"/>
      <c r="U88" s="9">
        <v>-2500000</v>
      </c>
      <c r="V88" s="9"/>
      <c r="W88" s="9">
        <v>-2500000</v>
      </c>
      <c r="X88" s="9"/>
      <c r="Y88" s="9">
        <v>-2500000</v>
      </c>
      <c r="Z88" s="9"/>
      <c r="AA88" s="9">
        <v>-2500000</v>
      </c>
      <c r="AB88" s="9">
        <f t="shared" si="10"/>
        <v>15000000</v>
      </c>
      <c r="AC88" s="6"/>
      <c r="AD88" s="5">
        <v>2500000</v>
      </c>
      <c r="AE88" s="6"/>
      <c r="AF88" s="5">
        <v>2500000</v>
      </c>
      <c r="AG88" s="6"/>
      <c r="AH88" s="5">
        <v>0</v>
      </c>
      <c r="AI88" s="6"/>
      <c r="AJ88" s="5">
        <v>2500000</v>
      </c>
      <c r="AK88" s="6"/>
      <c r="AL88" s="6">
        <v>2500000</v>
      </c>
      <c r="AM88" s="6"/>
      <c r="AN88" s="6">
        <v>2500000</v>
      </c>
      <c r="AO88" s="9"/>
      <c r="AP88" s="5">
        <v>2500000</v>
      </c>
      <c r="AQ88" s="9">
        <v>25000000</v>
      </c>
      <c r="AR88" s="5"/>
      <c r="AS88" s="9"/>
      <c r="AT88" s="8">
        <v>2500000</v>
      </c>
      <c r="AU88" s="9"/>
      <c r="AV88" s="8">
        <v>2500000</v>
      </c>
      <c r="AW88" s="9"/>
      <c r="AX88" s="8">
        <v>2500000</v>
      </c>
      <c r="AY88" s="9"/>
      <c r="AZ88" s="8">
        <v>2500000</v>
      </c>
      <c r="BA88" s="9">
        <f t="shared" si="6"/>
        <v>40000000</v>
      </c>
      <c r="BB88" s="9">
        <f t="shared" si="7"/>
        <v>25000000</v>
      </c>
      <c r="BC88" s="7">
        <f t="shared" si="8"/>
        <v>15000000</v>
      </c>
    </row>
    <row r="89" spans="1:55" x14ac:dyDescent="0.25">
      <c r="A89" s="4">
        <f t="shared" si="9"/>
        <v>84</v>
      </c>
      <c r="B89" s="38" t="s">
        <v>90</v>
      </c>
      <c r="C89" s="6">
        <v>7000000</v>
      </c>
      <c r="D89" s="6"/>
      <c r="E89" s="6">
        <v>-1000000</v>
      </c>
      <c r="F89" s="6"/>
      <c r="G89" s="6">
        <v>-1000000</v>
      </c>
      <c r="H89" s="6"/>
      <c r="I89" s="6">
        <v>-1000000</v>
      </c>
      <c r="J89" s="6"/>
      <c r="K89" s="6"/>
      <c r="L89" s="6"/>
      <c r="M89" s="6">
        <v>-1000000</v>
      </c>
      <c r="N89" s="6"/>
      <c r="O89" s="6">
        <v>-1000000</v>
      </c>
      <c r="P89" s="9"/>
      <c r="Q89" s="6">
        <v>-1000000</v>
      </c>
      <c r="R89" s="9"/>
      <c r="S89" s="6">
        <v>-1000000</v>
      </c>
      <c r="T89" s="9"/>
      <c r="U89" s="9"/>
      <c r="V89" s="9"/>
      <c r="W89" s="9"/>
      <c r="X89" s="9"/>
      <c r="Y89" s="9"/>
      <c r="Z89" s="9"/>
      <c r="AA89" s="9"/>
      <c r="AB89" s="9">
        <f t="shared" si="10"/>
        <v>0</v>
      </c>
      <c r="AC89" s="6"/>
      <c r="AD89" s="5"/>
      <c r="AE89" s="6"/>
      <c r="AF89" s="5"/>
      <c r="AG89" s="6"/>
      <c r="AH89" s="5">
        <v>0</v>
      </c>
      <c r="AI89" s="6"/>
      <c r="AJ89" s="5"/>
      <c r="AK89" s="6"/>
      <c r="AL89" s="6">
        <v>0</v>
      </c>
      <c r="AM89" s="6"/>
      <c r="AN89" s="6"/>
      <c r="AO89" s="9"/>
      <c r="AP89" s="5"/>
      <c r="AQ89" s="9"/>
      <c r="AR89" s="5"/>
      <c r="AS89" s="9"/>
      <c r="AT89" s="8"/>
      <c r="AU89" s="9"/>
      <c r="AV89" s="8"/>
      <c r="AW89" s="9"/>
      <c r="AX89" s="8"/>
      <c r="AY89" s="9"/>
      <c r="AZ89" s="8"/>
      <c r="BA89" s="9">
        <f t="shared" si="6"/>
        <v>0</v>
      </c>
      <c r="BB89" s="9">
        <f t="shared" si="7"/>
        <v>0</v>
      </c>
      <c r="BC89" s="7">
        <f t="shared" si="8"/>
        <v>0</v>
      </c>
    </row>
    <row r="90" spans="1:55" x14ac:dyDescent="0.25">
      <c r="A90" s="4">
        <f t="shared" si="9"/>
        <v>85</v>
      </c>
      <c r="B90" s="38" t="s">
        <v>91</v>
      </c>
      <c r="C90" s="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9"/>
      <c r="Q90" s="9"/>
      <c r="R90" s="9">
        <v>25000000</v>
      </c>
      <c r="S90" s="9">
        <v>-2500000</v>
      </c>
      <c r="T90" s="9"/>
      <c r="U90" s="9">
        <v>-2500000</v>
      </c>
      <c r="V90" s="9"/>
      <c r="W90" s="9">
        <v>-2500000</v>
      </c>
      <c r="X90" s="9"/>
      <c r="Y90" s="9">
        <v>-2500000</v>
      </c>
      <c r="Z90" s="9"/>
      <c r="AA90" s="9">
        <v>-2500000</v>
      </c>
      <c r="AB90" s="9">
        <f t="shared" si="10"/>
        <v>12500000</v>
      </c>
      <c r="AC90" s="6"/>
      <c r="AD90" s="5">
        <v>2500000</v>
      </c>
      <c r="AE90" s="6"/>
      <c r="AF90" s="5">
        <v>2500000</v>
      </c>
      <c r="AG90" s="6"/>
      <c r="AH90" s="5">
        <v>0</v>
      </c>
      <c r="AI90" s="6"/>
      <c r="AJ90" s="5">
        <v>2500000</v>
      </c>
      <c r="AK90" s="6"/>
      <c r="AL90" s="6">
        <v>2500000</v>
      </c>
      <c r="AM90" s="6"/>
      <c r="AN90" s="6">
        <v>2500000</v>
      </c>
      <c r="AO90" s="9"/>
      <c r="AP90" s="8"/>
      <c r="AQ90" s="9">
        <v>25000000</v>
      </c>
      <c r="AR90" s="8"/>
      <c r="AS90" s="9"/>
      <c r="AT90" s="8">
        <v>2500000</v>
      </c>
      <c r="AU90" s="9"/>
      <c r="AV90" s="8">
        <v>2500000</v>
      </c>
      <c r="AW90" s="9"/>
      <c r="AX90" s="8">
        <v>2500000</v>
      </c>
      <c r="AY90" s="9"/>
      <c r="AZ90" s="8">
        <v>2500000</v>
      </c>
      <c r="BA90" s="9">
        <f t="shared" si="6"/>
        <v>37500000</v>
      </c>
      <c r="BB90" s="9">
        <f t="shared" si="7"/>
        <v>22500000</v>
      </c>
      <c r="BC90" s="7">
        <f t="shared" si="8"/>
        <v>15000000</v>
      </c>
    </row>
    <row r="91" spans="1:55" x14ac:dyDescent="0.25">
      <c r="A91" s="4">
        <f t="shared" si="9"/>
        <v>86</v>
      </c>
      <c r="B91" s="38" t="s">
        <v>92</v>
      </c>
      <c r="C91" s="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>
        <f t="shared" si="10"/>
        <v>0</v>
      </c>
      <c r="AC91" s="6"/>
      <c r="AD91" s="5"/>
      <c r="AE91" s="6"/>
      <c r="AF91" s="5"/>
      <c r="AG91" s="6"/>
      <c r="AH91" s="5">
        <v>0</v>
      </c>
      <c r="AI91" s="6"/>
      <c r="AJ91" s="5"/>
      <c r="AK91" s="6"/>
      <c r="AL91" s="6">
        <v>0</v>
      </c>
      <c r="AM91" s="6"/>
      <c r="AN91" s="6"/>
      <c r="AO91" s="9"/>
      <c r="AP91" s="8"/>
      <c r="AQ91" s="9"/>
      <c r="AR91" s="8"/>
      <c r="AS91" s="9"/>
      <c r="AT91" s="8"/>
      <c r="AU91" s="9"/>
      <c r="AV91" s="8"/>
      <c r="AW91" s="9"/>
      <c r="AX91" s="8"/>
      <c r="AY91" s="9"/>
      <c r="AZ91" s="8"/>
      <c r="BA91" s="9">
        <f t="shared" si="6"/>
        <v>0</v>
      </c>
      <c r="BB91" s="9">
        <f t="shared" si="7"/>
        <v>0</v>
      </c>
      <c r="BC91" s="7">
        <f t="shared" si="8"/>
        <v>0</v>
      </c>
    </row>
    <row r="92" spans="1:55" x14ac:dyDescent="0.25">
      <c r="A92" s="4">
        <f t="shared" si="9"/>
        <v>87</v>
      </c>
      <c r="B92" s="38" t="s">
        <v>93</v>
      </c>
      <c r="C92" s="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>
        <f t="shared" si="10"/>
        <v>0</v>
      </c>
      <c r="AC92" s="6"/>
      <c r="AD92" s="5"/>
      <c r="AE92" s="6"/>
      <c r="AF92" s="5"/>
      <c r="AG92" s="6"/>
      <c r="AH92" s="5">
        <v>0</v>
      </c>
      <c r="AI92" s="6"/>
      <c r="AJ92" s="5"/>
      <c r="AK92" s="6"/>
      <c r="AL92" s="6">
        <v>0</v>
      </c>
      <c r="AM92" s="6"/>
      <c r="AN92" s="6"/>
      <c r="AO92" s="9"/>
      <c r="AP92" s="8"/>
      <c r="AQ92" s="9"/>
      <c r="AR92" s="8"/>
      <c r="AS92" s="9"/>
      <c r="AT92" s="8"/>
      <c r="AU92" s="9"/>
      <c r="AV92" s="8"/>
      <c r="AW92" s="9"/>
      <c r="AX92" s="8"/>
      <c r="AY92" s="9"/>
      <c r="AZ92" s="8"/>
      <c r="BA92" s="9">
        <f t="shared" si="6"/>
        <v>0</v>
      </c>
      <c r="BB92" s="9">
        <f t="shared" si="7"/>
        <v>0</v>
      </c>
      <c r="BC92" s="7">
        <f t="shared" si="8"/>
        <v>0</v>
      </c>
    </row>
    <row r="93" spans="1:55" x14ac:dyDescent="0.25">
      <c r="A93" s="4">
        <f t="shared" si="9"/>
        <v>88</v>
      </c>
      <c r="B93" s="38" t="s">
        <v>94</v>
      </c>
      <c r="C93" s="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>
        <f t="shared" si="10"/>
        <v>0</v>
      </c>
      <c r="AC93" s="6"/>
      <c r="AD93" s="5"/>
      <c r="AE93" s="6"/>
      <c r="AF93" s="5"/>
      <c r="AG93" s="6"/>
      <c r="AH93" s="5">
        <v>0</v>
      </c>
      <c r="AI93" s="6"/>
      <c r="AJ93" s="5"/>
      <c r="AK93" s="6"/>
      <c r="AL93" s="6">
        <v>0</v>
      </c>
      <c r="AM93" s="6"/>
      <c r="AN93" s="6"/>
      <c r="AO93" s="9"/>
      <c r="AP93" s="8"/>
      <c r="AQ93" s="9"/>
      <c r="AR93" s="8"/>
      <c r="AS93" s="9"/>
      <c r="AT93" s="8"/>
      <c r="AU93" s="9"/>
      <c r="AV93" s="8"/>
      <c r="AW93" s="9"/>
      <c r="AX93" s="8"/>
      <c r="AY93" s="9"/>
      <c r="AZ93" s="8"/>
      <c r="BA93" s="9">
        <f t="shared" si="6"/>
        <v>0</v>
      </c>
      <c r="BB93" s="9">
        <f t="shared" si="7"/>
        <v>0</v>
      </c>
      <c r="BC93" s="7">
        <f t="shared" si="8"/>
        <v>0</v>
      </c>
    </row>
    <row r="94" spans="1:55" x14ac:dyDescent="0.25">
      <c r="A94" s="4">
        <f t="shared" si="9"/>
        <v>89</v>
      </c>
      <c r="B94" s="38" t="s">
        <v>95</v>
      </c>
      <c r="C94" s="6">
        <v>7500000</v>
      </c>
      <c r="D94" s="6"/>
      <c r="E94" s="6">
        <v>-2500000</v>
      </c>
      <c r="F94" s="6"/>
      <c r="G94" s="6">
        <v>-2500000</v>
      </c>
      <c r="H94" s="6"/>
      <c r="I94" s="6">
        <v>-2500000</v>
      </c>
      <c r="J94" s="6"/>
      <c r="K94" s="6"/>
      <c r="L94" s="6"/>
      <c r="M94" s="6"/>
      <c r="N94" s="6"/>
      <c r="O94" s="6"/>
      <c r="P94" s="9"/>
      <c r="Q94" s="9"/>
      <c r="R94" s="9">
        <v>25000000</v>
      </c>
      <c r="S94" s="9"/>
      <c r="T94" s="9"/>
      <c r="U94" s="9">
        <v>-2500000</v>
      </c>
      <c r="V94" s="9"/>
      <c r="W94" s="9">
        <v>-2500000</v>
      </c>
      <c r="X94" s="9"/>
      <c r="Y94" s="9">
        <v>-5000000</v>
      </c>
      <c r="Z94" s="9"/>
      <c r="AA94" s="9"/>
      <c r="AB94" s="9">
        <f t="shared" si="10"/>
        <v>15000000</v>
      </c>
      <c r="AC94" s="6">
        <v>25000000</v>
      </c>
      <c r="AD94" s="6">
        <v>15000000</v>
      </c>
      <c r="AE94" s="6"/>
      <c r="AF94" s="6">
        <v>2500000</v>
      </c>
      <c r="AG94" s="6"/>
      <c r="AH94" s="6">
        <v>0</v>
      </c>
      <c r="AI94" s="6"/>
      <c r="AJ94" s="6">
        <v>2500000</v>
      </c>
      <c r="AK94" s="6"/>
      <c r="AL94" s="6">
        <v>2500000</v>
      </c>
      <c r="AM94" s="6"/>
      <c r="AN94" s="6"/>
      <c r="AO94" s="9"/>
      <c r="AP94" s="9">
        <v>2500000</v>
      </c>
      <c r="AQ94" s="9"/>
      <c r="AR94" s="9">
        <f>1500000+1000000</f>
        <v>2500000</v>
      </c>
      <c r="AS94" s="9"/>
      <c r="AT94" s="9">
        <v>2500000</v>
      </c>
      <c r="AU94" s="9"/>
      <c r="AV94" s="9">
        <v>2500000</v>
      </c>
      <c r="AW94" s="9"/>
      <c r="AX94" s="9">
        <v>2500000</v>
      </c>
      <c r="AY94" s="9"/>
      <c r="AZ94" s="9">
        <f>2500000+2500000</f>
        <v>5000000</v>
      </c>
      <c r="BA94" s="9">
        <f t="shared" si="6"/>
        <v>40000000</v>
      </c>
      <c r="BB94" s="9">
        <f t="shared" si="7"/>
        <v>40000000</v>
      </c>
      <c r="BC94" s="9">
        <f t="shared" si="8"/>
        <v>0</v>
      </c>
    </row>
    <row r="95" spans="1:55" x14ac:dyDescent="0.25">
      <c r="A95" s="4">
        <f t="shared" si="9"/>
        <v>90</v>
      </c>
      <c r="B95" s="38" t="s">
        <v>96</v>
      </c>
      <c r="C95" s="6">
        <v>24110265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>
        <f t="shared" si="10"/>
        <v>24110265</v>
      </c>
      <c r="AC95" s="6"/>
      <c r="AD95" s="5"/>
      <c r="AE95" s="6"/>
      <c r="AF95" s="5"/>
      <c r="AG95" s="6"/>
      <c r="AH95" s="5">
        <v>0</v>
      </c>
      <c r="AI95" s="6"/>
      <c r="AJ95" s="5"/>
      <c r="AK95" s="6"/>
      <c r="AL95" s="6">
        <v>0</v>
      </c>
      <c r="AM95" s="6"/>
      <c r="AN95" s="6"/>
      <c r="AO95" s="9"/>
      <c r="AP95" s="8"/>
      <c r="AQ95" s="9"/>
      <c r="AR95" s="8"/>
      <c r="AS95" s="9"/>
      <c r="AT95" s="8"/>
      <c r="AU95" s="9"/>
      <c r="AV95" s="8"/>
      <c r="AW95" s="9"/>
      <c r="AX95" s="8"/>
      <c r="AY95" s="9"/>
      <c r="AZ95" s="8"/>
      <c r="BA95" s="9">
        <f t="shared" si="6"/>
        <v>24110265</v>
      </c>
      <c r="BB95" s="9">
        <f>AD95+AF95+AH95+AJ95+AL95+AN95+AP95+AR95+AT95+AV95+AX95+AZ95</f>
        <v>0</v>
      </c>
      <c r="BC95" s="7">
        <f t="shared" si="8"/>
        <v>24110265</v>
      </c>
    </row>
    <row r="96" spans="1:55" x14ac:dyDescent="0.25">
      <c r="A96" s="4">
        <f t="shared" si="9"/>
        <v>91</v>
      </c>
      <c r="B96" s="38" t="s">
        <v>97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9">
        <v>5000000</v>
      </c>
      <c r="Q96" s="9"/>
      <c r="R96" s="9"/>
      <c r="S96" s="9">
        <v>-500000</v>
      </c>
      <c r="T96" s="9"/>
      <c r="U96" s="9">
        <v>-500000</v>
      </c>
      <c r="V96" s="9"/>
      <c r="W96" s="9">
        <v>-500000</v>
      </c>
      <c r="X96" s="9"/>
      <c r="Y96" s="9">
        <v>-500000</v>
      </c>
      <c r="Z96" s="9"/>
      <c r="AA96" s="9">
        <v>-500000</v>
      </c>
      <c r="AB96" s="9">
        <f t="shared" si="10"/>
        <v>2500000</v>
      </c>
      <c r="AC96" s="6"/>
      <c r="AD96" s="5">
        <v>500000</v>
      </c>
      <c r="AE96" s="6"/>
      <c r="AF96" s="5">
        <v>500000</v>
      </c>
      <c r="AG96" s="6"/>
      <c r="AH96" s="5"/>
      <c r="AI96" s="6"/>
      <c r="AJ96" s="5">
        <v>500000</v>
      </c>
      <c r="AK96" s="6"/>
      <c r="AL96" s="6">
        <v>500000</v>
      </c>
      <c r="AM96" s="6"/>
      <c r="AN96" s="6">
        <v>500000</v>
      </c>
      <c r="AO96" s="9"/>
      <c r="AP96" s="8"/>
      <c r="AQ96" s="9"/>
      <c r="AR96" s="8"/>
      <c r="AS96" s="9"/>
      <c r="AT96" s="8"/>
      <c r="AU96" s="9"/>
      <c r="AV96" s="8"/>
      <c r="AW96" s="9"/>
      <c r="AX96" s="8"/>
      <c r="AY96" s="9"/>
      <c r="AZ96" s="8"/>
      <c r="BA96" s="9">
        <f t="shared" si="6"/>
        <v>2500000</v>
      </c>
      <c r="BB96" s="9">
        <f>AD96+AF96+AH96+AJ96+AL96+AN96+AP96+AR96+AT96+AV96+AX96+AZ96</f>
        <v>2500000</v>
      </c>
      <c r="BC96" s="7">
        <f t="shared" si="8"/>
        <v>0</v>
      </c>
    </row>
    <row r="97" spans="1:55" x14ac:dyDescent="0.25">
      <c r="A97" s="4">
        <f t="shared" si="9"/>
        <v>92</v>
      </c>
      <c r="B97" s="38" t="s">
        <v>98</v>
      </c>
      <c r="C97" s="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>
        <f t="shared" si="10"/>
        <v>0</v>
      </c>
      <c r="AC97" s="6"/>
      <c r="AD97" s="5"/>
      <c r="AE97" s="6"/>
      <c r="AF97" s="5"/>
      <c r="AG97" s="6"/>
      <c r="AH97" s="5">
        <v>0</v>
      </c>
      <c r="AI97" s="6"/>
      <c r="AJ97" s="5"/>
      <c r="AK97" s="6">
        <v>10000000</v>
      </c>
      <c r="AL97" s="6">
        <v>0</v>
      </c>
      <c r="AM97" s="6"/>
      <c r="AN97" s="6"/>
      <c r="AO97" s="9"/>
      <c r="AP97" s="8"/>
      <c r="AQ97" s="9"/>
      <c r="AR97" s="8"/>
      <c r="AS97" s="9"/>
      <c r="AT97" s="8"/>
      <c r="AU97" s="9"/>
      <c r="AV97" s="8"/>
      <c r="AW97" s="9"/>
      <c r="AX97" s="8"/>
      <c r="AY97" s="9"/>
      <c r="AZ97" s="8"/>
      <c r="BA97" s="9">
        <f t="shared" si="6"/>
        <v>10000000</v>
      </c>
      <c r="BB97" s="9">
        <f t="shared" si="7"/>
        <v>0</v>
      </c>
      <c r="BC97" s="7">
        <f t="shared" si="8"/>
        <v>10000000</v>
      </c>
    </row>
    <row r="98" spans="1:55" x14ac:dyDescent="0.25">
      <c r="A98" s="4">
        <f t="shared" si="9"/>
        <v>93</v>
      </c>
      <c r="B98" s="38" t="s">
        <v>99</v>
      </c>
      <c r="C98" s="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>
        <f t="shared" si="10"/>
        <v>0</v>
      </c>
      <c r="AC98" s="6"/>
      <c r="AD98" s="5"/>
      <c r="AE98" s="6"/>
      <c r="AF98" s="5"/>
      <c r="AG98" s="6"/>
      <c r="AH98" s="5">
        <v>0</v>
      </c>
      <c r="AI98" s="6"/>
      <c r="AJ98" s="5"/>
      <c r="AK98" s="6"/>
      <c r="AL98" s="6">
        <v>0</v>
      </c>
      <c r="AM98" s="6"/>
      <c r="AN98" s="6"/>
      <c r="AO98" s="9"/>
      <c r="AP98" s="8"/>
      <c r="AQ98" s="9"/>
      <c r="AR98" s="8"/>
      <c r="AS98" s="9"/>
      <c r="AT98" s="8"/>
      <c r="AU98" s="9"/>
      <c r="AV98" s="8"/>
      <c r="AW98" s="9"/>
      <c r="AX98" s="8"/>
      <c r="AY98" s="9"/>
      <c r="AZ98" s="8"/>
      <c r="BA98" s="9">
        <f t="shared" si="6"/>
        <v>0</v>
      </c>
      <c r="BB98" s="9">
        <f t="shared" si="7"/>
        <v>0</v>
      </c>
      <c r="BC98" s="7">
        <f t="shared" si="8"/>
        <v>0</v>
      </c>
    </row>
    <row r="99" spans="1:55" x14ac:dyDescent="0.25">
      <c r="A99" s="4">
        <f t="shared" si="9"/>
        <v>94</v>
      </c>
      <c r="B99" s="38" t="s">
        <v>100</v>
      </c>
      <c r="C99" s="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>
        <f t="shared" si="10"/>
        <v>0</v>
      </c>
      <c r="AC99" s="6"/>
      <c r="AD99" s="5"/>
      <c r="AE99" s="6"/>
      <c r="AF99" s="5"/>
      <c r="AG99" s="6"/>
      <c r="AH99" s="5">
        <v>0</v>
      </c>
      <c r="AI99" s="6"/>
      <c r="AJ99" s="5"/>
      <c r="AK99" s="6"/>
      <c r="AL99" s="6">
        <v>0</v>
      </c>
      <c r="AM99" s="6"/>
      <c r="AN99" s="6"/>
      <c r="AO99" s="9"/>
      <c r="AP99" s="8"/>
      <c r="AQ99" s="9"/>
      <c r="AR99" s="8"/>
      <c r="AS99" s="9"/>
      <c r="AT99" s="8"/>
      <c r="AU99" s="9"/>
      <c r="AV99" s="8"/>
      <c r="AW99" s="9"/>
      <c r="AX99" s="8"/>
      <c r="AY99" s="9"/>
      <c r="AZ99" s="8"/>
      <c r="BA99" s="9">
        <f t="shared" si="6"/>
        <v>0</v>
      </c>
      <c r="BB99" s="9">
        <f t="shared" si="7"/>
        <v>0</v>
      </c>
      <c r="BC99" s="7">
        <f t="shared" si="8"/>
        <v>0</v>
      </c>
    </row>
    <row r="100" spans="1:55" x14ac:dyDescent="0.25">
      <c r="A100" s="4">
        <f t="shared" si="9"/>
        <v>95</v>
      </c>
      <c r="B100" s="38" t="s">
        <v>101</v>
      </c>
      <c r="C100" s="6">
        <v>1200000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>
        <f t="shared" si="10"/>
        <v>1200000</v>
      </c>
      <c r="AC100" s="6"/>
      <c r="AD100" s="5">
        <v>1200000</v>
      </c>
      <c r="AE100" s="6"/>
      <c r="AF100" s="5"/>
      <c r="AG100" s="6"/>
      <c r="AH100" s="5">
        <v>0</v>
      </c>
      <c r="AI100" s="6"/>
      <c r="AJ100" s="5"/>
      <c r="AK100" s="6"/>
      <c r="AL100" s="6">
        <v>0</v>
      </c>
      <c r="AM100" s="6"/>
      <c r="AN100" s="6"/>
      <c r="AO100" s="9"/>
      <c r="AP100" s="8"/>
      <c r="AQ100" s="9"/>
      <c r="AR100" s="8"/>
      <c r="AS100" s="9"/>
      <c r="AT100" s="8"/>
      <c r="AU100" s="9"/>
      <c r="AV100" s="8"/>
      <c r="AW100" s="9"/>
      <c r="AX100" s="8"/>
      <c r="AY100" s="9"/>
      <c r="AZ100" s="8"/>
      <c r="BA100" s="9">
        <f t="shared" si="6"/>
        <v>1200000</v>
      </c>
      <c r="BB100" s="9">
        <f t="shared" si="7"/>
        <v>1200000</v>
      </c>
      <c r="BC100" s="7">
        <f t="shared" si="8"/>
        <v>0</v>
      </c>
    </row>
    <row r="101" spans="1:55" s="35" customFormat="1" x14ac:dyDescent="0.25">
      <c r="A101" s="34">
        <f t="shared" si="9"/>
        <v>96</v>
      </c>
      <c r="B101" s="28" t="s">
        <v>102</v>
      </c>
      <c r="C101" s="13">
        <v>5000000</v>
      </c>
      <c r="D101" s="13"/>
      <c r="E101" s="13">
        <v>-2500000</v>
      </c>
      <c r="F101" s="13"/>
      <c r="G101" s="13">
        <v>-2500000</v>
      </c>
      <c r="H101" s="13"/>
      <c r="I101" s="13"/>
      <c r="J101" s="13"/>
      <c r="K101" s="13"/>
      <c r="L101" s="13"/>
      <c r="M101" s="13"/>
      <c r="N101" s="13"/>
      <c r="O101" s="13"/>
      <c r="P101" s="29"/>
      <c r="Q101" s="29"/>
      <c r="R101" s="29"/>
      <c r="S101" s="29"/>
      <c r="T101" s="29">
        <v>25000000</v>
      </c>
      <c r="U101" s="29"/>
      <c r="V101" s="29"/>
      <c r="W101" s="29">
        <v>-2500000</v>
      </c>
      <c r="X101" s="29"/>
      <c r="Y101" s="29">
        <v>-2500000</v>
      </c>
      <c r="Z101" s="29"/>
      <c r="AA101" s="29">
        <v>-2500000</v>
      </c>
      <c r="AB101" s="29">
        <f t="shared" si="10"/>
        <v>17500000</v>
      </c>
      <c r="AC101" s="13"/>
      <c r="AD101" s="13">
        <v>2500000</v>
      </c>
      <c r="AE101" s="13"/>
      <c r="AF101" s="13">
        <v>2500000</v>
      </c>
      <c r="AG101" s="13"/>
      <c r="AH101" s="13">
        <v>0</v>
      </c>
      <c r="AI101" s="13"/>
      <c r="AJ101" s="13">
        <v>2500000</v>
      </c>
      <c r="AK101" s="13"/>
      <c r="AL101" s="13">
        <v>2500000</v>
      </c>
      <c r="AM101" s="13"/>
      <c r="AN101" s="13">
        <v>2500000</v>
      </c>
      <c r="AO101" s="29"/>
      <c r="AP101" s="29">
        <v>2500000</v>
      </c>
      <c r="AQ101" s="29">
        <v>25000000</v>
      </c>
      <c r="AR101" s="29">
        <v>2500000</v>
      </c>
      <c r="AS101" s="29"/>
      <c r="AT101" s="29">
        <v>2500000</v>
      </c>
      <c r="AU101" s="29"/>
      <c r="AV101" s="29">
        <v>2500000</v>
      </c>
      <c r="AW101" s="29"/>
      <c r="AX101" s="29">
        <v>2500000</v>
      </c>
      <c r="AY101" s="29"/>
      <c r="AZ101" s="29">
        <v>2500000</v>
      </c>
      <c r="BA101" s="9">
        <f t="shared" si="6"/>
        <v>42500000</v>
      </c>
      <c r="BB101" s="29">
        <f t="shared" si="7"/>
        <v>27500000</v>
      </c>
      <c r="BC101" s="29">
        <f t="shared" si="8"/>
        <v>15000000</v>
      </c>
    </row>
    <row r="102" spans="1:55" x14ac:dyDescent="0.25">
      <c r="A102" s="4">
        <f t="shared" si="9"/>
        <v>97</v>
      </c>
      <c r="B102" s="38" t="s">
        <v>103</v>
      </c>
      <c r="C102" s="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>
        <f t="shared" si="10"/>
        <v>0</v>
      </c>
      <c r="AC102" s="6"/>
      <c r="AD102" s="5"/>
      <c r="AE102" s="6"/>
      <c r="AF102" s="5"/>
      <c r="AG102" s="6"/>
      <c r="AH102" s="5">
        <v>0</v>
      </c>
      <c r="AI102" s="6"/>
      <c r="AJ102" s="5"/>
      <c r="AK102" s="6"/>
      <c r="AL102" s="6">
        <v>0</v>
      </c>
      <c r="AM102" s="6"/>
      <c r="AN102" s="6"/>
      <c r="AO102" s="9"/>
      <c r="AP102" s="8"/>
      <c r="AQ102" s="9"/>
      <c r="AR102" s="8"/>
      <c r="AS102" s="9"/>
      <c r="AT102" s="8"/>
      <c r="AU102" s="9"/>
      <c r="AV102" s="8"/>
      <c r="AW102" s="9"/>
      <c r="AX102" s="8"/>
      <c r="AY102" s="9"/>
      <c r="AZ102" s="8"/>
      <c r="BA102" s="9">
        <f t="shared" si="6"/>
        <v>0</v>
      </c>
      <c r="BB102" s="9">
        <f t="shared" si="7"/>
        <v>0</v>
      </c>
      <c r="BC102" s="7">
        <f t="shared" si="8"/>
        <v>0</v>
      </c>
    </row>
    <row r="103" spans="1:55" x14ac:dyDescent="0.25">
      <c r="A103" s="4">
        <f t="shared" si="9"/>
        <v>98</v>
      </c>
      <c r="B103" s="38" t="s">
        <v>104</v>
      </c>
      <c r="C103" s="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>
        <f t="shared" si="10"/>
        <v>0</v>
      </c>
      <c r="AC103" s="6"/>
      <c r="AD103" s="5"/>
      <c r="AE103" s="6"/>
      <c r="AF103" s="5"/>
      <c r="AG103" s="6"/>
      <c r="AH103" s="5">
        <v>0</v>
      </c>
      <c r="AI103" s="6"/>
      <c r="AJ103" s="5"/>
      <c r="AK103" s="6"/>
      <c r="AL103" s="6">
        <v>0</v>
      </c>
      <c r="AM103" s="6"/>
      <c r="AN103" s="6"/>
      <c r="AO103" s="9"/>
      <c r="AP103" s="8"/>
      <c r="AQ103" s="9"/>
      <c r="AR103" s="8"/>
      <c r="AS103" s="9"/>
      <c r="AT103" s="8"/>
      <c r="AU103" s="9"/>
      <c r="AV103" s="8"/>
      <c r="AW103" s="9"/>
      <c r="AX103" s="8"/>
      <c r="AY103" s="9"/>
      <c r="AZ103" s="8"/>
      <c r="BA103" s="9">
        <f t="shared" si="6"/>
        <v>0</v>
      </c>
      <c r="BB103" s="9">
        <f t="shared" si="7"/>
        <v>0</v>
      </c>
      <c r="BC103" s="7">
        <f t="shared" si="8"/>
        <v>0</v>
      </c>
    </row>
    <row r="104" spans="1:55" x14ac:dyDescent="0.25">
      <c r="A104" s="4">
        <f t="shared" si="9"/>
        <v>99</v>
      </c>
      <c r="B104" s="38" t="s">
        <v>105</v>
      </c>
      <c r="C104" s="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>
        <f t="shared" si="10"/>
        <v>0</v>
      </c>
      <c r="AC104" s="6"/>
      <c r="AD104" s="5"/>
      <c r="AE104" s="6"/>
      <c r="AF104" s="5"/>
      <c r="AG104" s="6"/>
      <c r="AH104" s="5">
        <v>0</v>
      </c>
      <c r="AI104" s="6"/>
      <c r="AJ104" s="5"/>
      <c r="AK104" s="6"/>
      <c r="AL104" s="6">
        <v>0</v>
      </c>
      <c r="AM104" s="6"/>
      <c r="AN104" s="6"/>
      <c r="AO104" s="9"/>
      <c r="AP104" s="8"/>
      <c r="AQ104" s="9"/>
      <c r="AR104" s="8"/>
      <c r="AS104" s="9"/>
      <c r="AT104" s="8"/>
      <c r="AU104" s="9"/>
      <c r="AV104" s="8"/>
      <c r="AW104" s="9"/>
      <c r="AX104" s="8"/>
      <c r="AY104" s="9"/>
      <c r="AZ104" s="8"/>
      <c r="BA104" s="9">
        <f t="shared" si="6"/>
        <v>0</v>
      </c>
      <c r="BB104" s="9">
        <f t="shared" si="7"/>
        <v>0</v>
      </c>
      <c r="BC104" s="7">
        <f t="shared" si="8"/>
        <v>0</v>
      </c>
    </row>
    <row r="105" spans="1:55" x14ac:dyDescent="0.25">
      <c r="A105" s="4">
        <f t="shared" si="9"/>
        <v>100</v>
      </c>
      <c r="B105" s="38" t="s">
        <v>106</v>
      </c>
      <c r="C105" s="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>
        <f t="shared" si="10"/>
        <v>0</v>
      </c>
      <c r="AC105" s="6"/>
      <c r="AD105" s="5"/>
      <c r="AE105" s="6"/>
      <c r="AF105" s="5"/>
      <c r="AG105" s="6"/>
      <c r="AH105" s="5">
        <v>0</v>
      </c>
      <c r="AI105" s="6"/>
      <c r="AJ105" s="5"/>
      <c r="AK105" s="6"/>
      <c r="AL105" s="6">
        <v>0</v>
      </c>
      <c r="AM105" s="6"/>
      <c r="AN105" s="6"/>
      <c r="AO105" s="9"/>
      <c r="AP105" s="8"/>
      <c r="AQ105" s="9"/>
      <c r="AR105" s="8"/>
      <c r="AS105" s="9"/>
      <c r="AT105" s="8"/>
      <c r="AU105" s="9"/>
      <c r="AV105" s="8"/>
      <c r="AW105" s="9"/>
      <c r="AX105" s="8"/>
      <c r="AY105" s="9"/>
      <c r="AZ105" s="8"/>
      <c r="BA105" s="9">
        <f t="shared" si="6"/>
        <v>0</v>
      </c>
      <c r="BB105" s="9">
        <f t="shared" si="7"/>
        <v>0</v>
      </c>
      <c r="BC105" s="7">
        <f t="shared" si="8"/>
        <v>0</v>
      </c>
    </row>
    <row r="106" spans="1:55" s="35" customFormat="1" x14ac:dyDescent="0.25">
      <c r="A106" s="34">
        <f t="shared" si="9"/>
        <v>101</v>
      </c>
      <c r="B106" s="28" t="s">
        <v>221</v>
      </c>
      <c r="C106" s="29"/>
      <c r="D106" s="13">
        <v>15000000</v>
      </c>
      <c r="E106" s="13"/>
      <c r="F106" s="13"/>
      <c r="G106" s="13">
        <v>-1500000</v>
      </c>
      <c r="H106" s="13"/>
      <c r="I106" s="13">
        <v>-1500000</v>
      </c>
      <c r="J106" s="13"/>
      <c r="K106" s="13"/>
      <c r="L106" s="13"/>
      <c r="M106" s="13">
        <v>-1500000</v>
      </c>
      <c r="N106" s="13"/>
      <c r="O106" s="13">
        <v>-1500000</v>
      </c>
      <c r="P106" s="29"/>
      <c r="Q106" s="13">
        <v>-1500000</v>
      </c>
      <c r="R106" s="29"/>
      <c r="S106" s="13">
        <v>-1500000</v>
      </c>
      <c r="T106" s="29"/>
      <c r="U106" s="13">
        <v>-1500000</v>
      </c>
      <c r="V106" s="29"/>
      <c r="W106" s="13">
        <v>-1500000</v>
      </c>
      <c r="X106" s="29"/>
      <c r="Y106" s="13">
        <v>-1500000</v>
      </c>
      <c r="Z106" s="29"/>
      <c r="AA106" s="13">
        <v>-1500000</v>
      </c>
      <c r="AB106" s="29">
        <f t="shared" si="10"/>
        <v>0</v>
      </c>
      <c r="AC106" s="13"/>
      <c r="AD106" s="13"/>
      <c r="AE106" s="13"/>
      <c r="AF106" s="13"/>
      <c r="AG106" s="13"/>
      <c r="AH106" s="13">
        <v>0</v>
      </c>
      <c r="AI106" s="13"/>
      <c r="AJ106" s="13"/>
      <c r="AK106" s="13"/>
      <c r="AL106" s="13">
        <v>0</v>
      </c>
      <c r="AM106" s="13"/>
      <c r="AN106" s="13"/>
      <c r="AO106" s="29"/>
      <c r="AP106" s="13"/>
      <c r="AQ106" s="29"/>
      <c r="AR106" s="13"/>
      <c r="AS106" s="29"/>
      <c r="AT106" s="13"/>
      <c r="AU106" s="29">
        <v>15000000</v>
      </c>
      <c r="AV106" s="13"/>
      <c r="AW106" s="29"/>
      <c r="AX106" s="29">
        <v>1500000</v>
      </c>
      <c r="AY106" s="29"/>
      <c r="AZ106" s="29">
        <v>1500000</v>
      </c>
      <c r="BA106" s="9">
        <f t="shared" si="6"/>
        <v>15000000</v>
      </c>
      <c r="BB106" s="29">
        <f t="shared" si="7"/>
        <v>3000000</v>
      </c>
      <c r="BC106" s="29">
        <f t="shared" si="8"/>
        <v>12000000</v>
      </c>
    </row>
    <row r="107" spans="1:55" x14ac:dyDescent="0.25">
      <c r="A107" s="4">
        <f t="shared" si="9"/>
        <v>102</v>
      </c>
      <c r="B107" s="38" t="s">
        <v>107</v>
      </c>
      <c r="C107" s="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>
        <f t="shared" si="10"/>
        <v>0</v>
      </c>
      <c r="AC107" s="6"/>
      <c r="AD107" s="5"/>
      <c r="AE107" s="6"/>
      <c r="AF107" s="5"/>
      <c r="AG107" s="6"/>
      <c r="AH107" s="5">
        <v>0</v>
      </c>
      <c r="AI107" s="6"/>
      <c r="AJ107" s="5"/>
      <c r="AK107" s="6"/>
      <c r="AL107" s="6">
        <v>0</v>
      </c>
      <c r="AM107" s="6"/>
      <c r="AN107" s="6"/>
      <c r="AO107" s="9"/>
      <c r="AP107" s="8"/>
      <c r="AQ107" s="9"/>
      <c r="AR107" s="8"/>
      <c r="AS107" s="9"/>
      <c r="AT107" s="8"/>
      <c r="AU107" s="9"/>
      <c r="AV107" s="8"/>
      <c r="AW107" s="9"/>
      <c r="AX107" s="8"/>
      <c r="AY107" s="9"/>
      <c r="AZ107" s="8"/>
      <c r="BA107" s="9">
        <f t="shared" si="6"/>
        <v>0</v>
      </c>
      <c r="BB107" s="9">
        <f t="shared" si="7"/>
        <v>0</v>
      </c>
      <c r="BC107" s="7">
        <f t="shared" si="8"/>
        <v>0</v>
      </c>
    </row>
    <row r="108" spans="1:55" x14ac:dyDescent="0.25">
      <c r="A108" s="4">
        <f t="shared" si="9"/>
        <v>103</v>
      </c>
      <c r="B108" s="38" t="s">
        <v>108</v>
      </c>
      <c r="C108" s="6">
        <v>350000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>
        <f t="shared" si="10"/>
        <v>350000</v>
      </c>
      <c r="AC108" s="6"/>
      <c r="AD108" s="5"/>
      <c r="AE108" s="6"/>
      <c r="AF108" s="5"/>
      <c r="AG108" s="6"/>
      <c r="AH108" s="5">
        <v>0</v>
      </c>
      <c r="AI108" s="6"/>
      <c r="AJ108" s="5"/>
      <c r="AK108" s="6"/>
      <c r="AL108" s="6">
        <v>0</v>
      </c>
      <c r="AM108" s="6"/>
      <c r="AN108" s="6"/>
      <c r="AO108" s="9"/>
      <c r="AP108" s="8"/>
      <c r="AQ108" s="9"/>
      <c r="AR108" s="8"/>
      <c r="AS108" s="9"/>
      <c r="AT108" s="8"/>
      <c r="AU108" s="9"/>
      <c r="AV108" s="8"/>
      <c r="AW108" s="9">
        <v>3293000</v>
      </c>
      <c r="AX108" s="8">
        <v>3293000</v>
      </c>
      <c r="AY108" s="9"/>
      <c r="AZ108" s="8"/>
      <c r="BA108" s="9">
        <f t="shared" si="6"/>
        <v>3643000</v>
      </c>
      <c r="BB108" s="9">
        <f t="shared" si="7"/>
        <v>3293000</v>
      </c>
      <c r="BC108" s="7">
        <f t="shared" si="8"/>
        <v>350000</v>
      </c>
    </row>
    <row r="109" spans="1:55" x14ac:dyDescent="0.25">
      <c r="A109" s="4">
        <f t="shared" si="9"/>
        <v>104</v>
      </c>
      <c r="B109" s="38" t="s">
        <v>109</v>
      </c>
      <c r="C109" s="6">
        <v>25241362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>
        <f t="shared" si="10"/>
        <v>25241362</v>
      </c>
      <c r="AC109" s="6"/>
      <c r="AD109" s="5"/>
      <c r="AE109" s="6"/>
      <c r="AF109" s="5"/>
      <c r="AG109" s="6"/>
      <c r="AH109" s="5">
        <v>0</v>
      </c>
      <c r="AI109" s="6"/>
      <c r="AJ109" s="5"/>
      <c r="AK109" s="6"/>
      <c r="AL109" s="6">
        <v>0</v>
      </c>
      <c r="AM109" s="6"/>
      <c r="AN109" s="6"/>
      <c r="AO109" s="9"/>
      <c r="AP109" s="8"/>
      <c r="AQ109" s="9"/>
      <c r="AR109" s="8"/>
      <c r="AS109" s="9"/>
      <c r="AT109" s="8"/>
      <c r="AU109" s="9"/>
      <c r="AV109" s="8"/>
      <c r="AW109" s="9"/>
      <c r="AX109" s="8"/>
      <c r="AY109" s="9"/>
      <c r="AZ109" s="8"/>
      <c r="BA109" s="9">
        <f t="shared" si="6"/>
        <v>25241362</v>
      </c>
      <c r="BB109" s="9">
        <f t="shared" si="7"/>
        <v>0</v>
      </c>
      <c r="BC109" s="7">
        <f t="shared" si="8"/>
        <v>25241362</v>
      </c>
    </row>
    <row r="110" spans="1:55" s="35" customFormat="1" x14ac:dyDescent="0.25">
      <c r="A110" s="34">
        <f t="shared" si="9"/>
        <v>105</v>
      </c>
      <c r="B110" s="28" t="s">
        <v>110</v>
      </c>
      <c r="C110" s="13">
        <v>25000000</v>
      </c>
      <c r="D110" s="13"/>
      <c r="E110" s="13">
        <v>-2500000</v>
      </c>
      <c r="F110" s="13"/>
      <c r="G110" s="13">
        <v>-2500000</v>
      </c>
      <c r="H110" s="13"/>
      <c r="I110" s="13">
        <v>-2500000</v>
      </c>
      <c r="J110" s="13"/>
      <c r="K110" s="13"/>
      <c r="L110" s="13"/>
      <c r="M110" s="13">
        <v>-2500000</v>
      </c>
      <c r="N110" s="13"/>
      <c r="O110" s="13">
        <v>-2500000</v>
      </c>
      <c r="P110" s="29"/>
      <c r="Q110" s="13">
        <v>-2500000</v>
      </c>
      <c r="R110" s="29"/>
      <c r="S110" s="13">
        <v>-2500000</v>
      </c>
      <c r="T110" s="29"/>
      <c r="U110" s="13">
        <v>-2500000</v>
      </c>
      <c r="V110" s="29"/>
      <c r="W110" s="13">
        <v>-2500000</v>
      </c>
      <c r="X110" s="29"/>
      <c r="Y110" s="13">
        <v>-2500000</v>
      </c>
      <c r="Z110" s="29"/>
      <c r="AA110" s="13"/>
      <c r="AB110" s="29">
        <f t="shared" si="10"/>
        <v>0</v>
      </c>
      <c r="AC110" s="13">
        <v>25000000</v>
      </c>
      <c r="AD110" s="13">
        <v>2500000</v>
      </c>
      <c r="AE110" s="13"/>
      <c r="AF110" s="13">
        <v>2500000</v>
      </c>
      <c r="AG110" s="13"/>
      <c r="AH110" s="13">
        <v>0</v>
      </c>
      <c r="AI110" s="13"/>
      <c r="AJ110" s="13">
        <v>2650000</v>
      </c>
      <c r="AK110" s="13"/>
      <c r="AL110" s="13">
        <f>15000000+2500000</f>
        <v>17500000</v>
      </c>
      <c r="AM110" s="13"/>
      <c r="AN110" s="13">
        <v>0</v>
      </c>
      <c r="AO110" s="29"/>
      <c r="AP110" s="29">
        <v>0</v>
      </c>
      <c r="AQ110" s="29"/>
      <c r="AR110" s="29">
        <v>0</v>
      </c>
      <c r="AS110" s="29"/>
      <c r="AT110" s="29">
        <v>0</v>
      </c>
      <c r="AU110" s="29"/>
      <c r="AV110" s="29">
        <v>0</v>
      </c>
      <c r="AW110" s="29"/>
      <c r="AX110" s="29">
        <v>0</v>
      </c>
      <c r="AY110" s="29">
        <v>10000000</v>
      </c>
      <c r="AZ110" s="29">
        <v>0</v>
      </c>
      <c r="BA110" s="9">
        <f t="shared" si="6"/>
        <v>35000000</v>
      </c>
      <c r="BB110" s="29">
        <f t="shared" si="7"/>
        <v>25150000</v>
      </c>
      <c r="BC110" s="29">
        <f t="shared" si="8"/>
        <v>9850000</v>
      </c>
    </row>
    <row r="111" spans="1:55" x14ac:dyDescent="0.25">
      <c r="A111" s="4">
        <f t="shared" si="9"/>
        <v>106</v>
      </c>
      <c r="B111" s="38" t="s">
        <v>111</v>
      </c>
      <c r="C111" s="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>
        <f t="shared" si="10"/>
        <v>0</v>
      </c>
      <c r="AC111" s="6"/>
      <c r="AD111" s="5"/>
      <c r="AE111" s="6"/>
      <c r="AF111" s="5"/>
      <c r="AG111" s="6"/>
      <c r="AH111" s="5">
        <v>0</v>
      </c>
      <c r="AI111" s="6"/>
      <c r="AJ111" s="5"/>
      <c r="AK111" s="6"/>
      <c r="AL111" s="6">
        <v>0</v>
      </c>
      <c r="AM111" s="6"/>
      <c r="AN111" s="6"/>
      <c r="AO111" s="9"/>
      <c r="AP111" s="8"/>
      <c r="AQ111" s="9"/>
      <c r="AR111" s="8"/>
      <c r="AS111" s="9"/>
      <c r="AT111" s="8"/>
      <c r="AU111" s="9"/>
      <c r="AV111" s="8"/>
      <c r="AW111" s="9"/>
      <c r="AX111" s="8"/>
      <c r="AY111" s="9"/>
      <c r="AZ111" s="8"/>
      <c r="BA111" s="9">
        <f t="shared" si="6"/>
        <v>0</v>
      </c>
      <c r="BB111" s="9">
        <f t="shared" si="7"/>
        <v>0</v>
      </c>
      <c r="BC111" s="7">
        <f t="shared" si="8"/>
        <v>0</v>
      </c>
    </row>
    <row r="112" spans="1:55" x14ac:dyDescent="0.25">
      <c r="A112" s="4">
        <f t="shared" si="9"/>
        <v>107</v>
      </c>
      <c r="B112" s="38" t="s">
        <v>112</v>
      </c>
      <c r="C112" s="9"/>
      <c r="D112" s="6"/>
      <c r="E112" s="6"/>
      <c r="F112" s="6"/>
      <c r="G112" s="6"/>
      <c r="H112" s="6"/>
      <c r="I112" s="6"/>
      <c r="J112" s="6"/>
      <c r="K112" s="6"/>
      <c r="L112" s="6">
        <v>7255000</v>
      </c>
      <c r="M112" s="6">
        <v>-2441667</v>
      </c>
      <c r="N112" s="6"/>
      <c r="O112" s="6">
        <v>-2441667</v>
      </c>
      <c r="P112" s="9"/>
      <c r="Q112" s="9">
        <v>-2371666</v>
      </c>
      <c r="R112" s="9">
        <v>4000000</v>
      </c>
      <c r="S112" s="9"/>
      <c r="T112" s="9"/>
      <c r="U112" s="9">
        <v>-1000000</v>
      </c>
      <c r="V112" s="9"/>
      <c r="W112" s="9">
        <v>-1000000</v>
      </c>
      <c r="X112" s="9"/>
      <c r="Y112" s="9">
        <v>-1000000</v>
      </c>
      <c r="Z112" s="9"/>
      <c r="AA112" s="9">
        <v>-1000000</v>
      </c>
      <c r="AB112" s="9">
        <f t="shared" si="10"/>
        <v>0</v>
      </c>
      <c r="AC112" s="6"/>
      <c r="AD112" s="5"/>
      <c r="AE112" s="6"/>
      <c r="AF112" s="5"/>
      <c r="AG112" s="6"/>
      <c r="AH112" s="5">
        <v>0</v>
      </c>
      <c r="AI112" s="6"/>
      <c r="AJ112" s="5"/>
      <c r="AK112" s="6"/>
      <c r="AL112" s="6">
        <v>0</v>
      </c>
      <c r="AM112" s="6"/>
      <c r="AN112" s="6"/>
      <c r="AO112" s="9"/>
      <c r="AP112" s="8"/>
      <c r="AQ112" s="9"/>
      <c r="AR112" s="8"/>
      <c r="AS112" s="9"/>
      <c r="AT112" s="8"/>
      <c r="AU112" s="9"/>
      <c r="AV112" s="8"/>
      <c r="AW112" s="9"/>
      <c r="AX112" s="8"/>
      <c r="AY112" s="9"/>
      <c r="AZ112" s="8"/>
      <c r="BA112" s="9">
        <f t="shared" si="6"/>
        <v>0</v>
      </c>
      <c r="BB112" s="9">
        <f t="shared" si="7"/>
        <v>0</v>
      </c>
      <c r="BC112" s="7">
        <f t="shared" si="8"/>
        <v>0</v>
      </c>
    </row>
    <row r="113" spans="1:55" x14ac:dyDescent="0.25">
      <c r="A113" s="4">
        <f t="shared" si="9"/>
        <v>108</v>
      </c>
      <c r="B113" s="38" t="s">
        <v>113</v>
      </c>
      <c r="C113" s="6">
        <v>2000000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>
        <f t="shared" si="10"/>
        <v>2000000</v>
      </c>
      <c r="AC113" s="6"/>
      <c r="AD113" s="5"/>
      <c r="AE113" s="6"/>
      <c r="AF113" s="5"/>
      <c r="AG113" s="6"/>
      <c r="AH113" s="5">
        <v>0</v>
      </c>
      <c r="AI113" s="6"/>
      <c r="AJ113" s="5"/>
      <c r="AK113" s="6"/>
      <c r="AL113" s="6">
        <v>0</v>
      </c>
      <c r="AM113" s="6"/>
      <c r="AN113" s="6"/>
      <c r="AO113" s="9"/>
      <c r="AP113" s="8"/>
      <c r="AQ113" s="9"/>
      <c r="AR113" s="8"/>
      <c r="AS113" s="9"/>
      <c r="AT113" s="8"/>
      <c r="AU113" s="9"/>
      <c r="AV113" s="8"/>
      <c r="AW113" s="9"/>
      <c r="AX113" s="8"/>
      <c r="AY113" s="9"/>
      <c r="AZ113" s="8"/>
      <c r="BA113" s="9">
        <f t="shared" si="6"/>
        <v>2000000</v>
      </c>
      <c r="BB113" s="9">
        <f t="shared" si="7"/>
        <v>0</v>
      </c>
      <c r="BC113" s="7">
        <f t="shared" si="8"/>
        <v>2000000</v>
      </c>
    </row>
    <row r="114" spans="1:55" x14ac:dyDescent="0.25">
      <c r="A114" s="4">
        <f t="shared" si="9"/>
        <v>109</v>
      </c>
      <c r="B114" s="38" t="s">
        <v>114</v>
      </c>
      <c r="C114" s="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>
        <f t="shared" si="10"/>
        <v>0</v>
      </c>
      <c r="AC114" s="6"/>
      <c r="AD114" s="5"/>
      <c r="AE114" s="6"/>
      <c r="AF114" s="5"/>
      <c r="AG114" s="6"/>
      <c r="AH114" s="5">
        <v>0</v>
      </c>
      <c r="AI114" s="6"/>
      <c r="AJ114" s="5"/>
      <c r="AK114" s="6"/>
      <c r="AL114" s="6">
        <v>0</v>
      </c>
      <c r="AM114" s="6"/>
      <c r="AN114" s="6"/>
      <c r="AO114" s="9"/>
      <c r="AP114" s="8"/>
      <c r="AQ114" s="9"/>
      <c r="AR114" s="8"/>
      <c r="AS114" s="9"/>
      <c r="AT114" s="8"/>
      <c r="AU114" s="9"/>
      <c r="AV114" s="8"/>
      <c r="AW114" s="9"/>
      <c r="AX114" s="8"/>
      <c r="AY114" s="9"/>
      <c r="AZ114" s="8"/>
      <c r="BA114" s="9">
        <f t="shared" si="6"/>
        <v>0</v>
      </c>
      <c r="BB114" s="9">
        <f t="shared" si="7"/>
        <v>0</v>
      </c>
      <c r="BC114" s="7">
        <f t="shared" si="8"/>
        <v>0</v>
      </c>
    </row>
    <row r="115" spans="1:55" s="35" customFormat="1" x14ac:dyDescent="0.25">
      <c r="A115" s="34">
        <f t="shared" si="9"/>
        <v>110</v>
      </c>
      <c r="B115" s="28" t="s">
        <v>115</v>
      </c>
      <c r="C115" s="29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29"/>
      <c r="Q115" s="29"/>
      <c r="R115" s="29">
        <v>20000000</v>
      </c>
      <c r="S115" s="29"/>
      <c r="T115" s="29"/>
      <c r="U115" s="29">
        <v>-2000000</v>
      </c>
      <c r="V115" s="29"/>
      <c r="W115" s="29">
        <v>-2000000</v>
      </c>
      <c r="X115" s="29"/>
      <c r="Y115" s="29">
        <v>-2000000</v>
      </c>
      <c r="Z115" s="29"/>
      <c r="AA115" s="29">
        <v>-2000000</v>
      </c>
      <c r="AB115" s="29">
        <f t="shared" si="10"/>
        <v>12000000</v>
      </c>
      <c r="AC115" s="13"/>
      <c r="AD115" s="13">
        <v>2000000</v>
      </c>
      <c r="AE115" s="13"/>
      <c r="AF115" s="13">
        <v>2000000</v>
      </c>
      <c r="AG115" s="13"/>
      <c r="AH115" s="13">
        <v>0</v>
      </c>
      <c r="AI115" s="13"/>
      <c r="AJ115" s="13">
        <v>2000000</v>
      </c>
      <c r="AK115" s="13"/>
      <c r="AL115" s="13">
        <v>2000000</v>
      </c>
      <c r="AM115" s="13"/>
      <c r="AN115" s="13">
        <v>2000000</v>
      </c>
      <c r="AO115" s="29"/>
      <c r="AP115" s="29">
        <v>2000000</v>
      </c>
      <c r="AQ115" s="29"/>
      <c r="AR115" s="29">
        <v>0</v>
      </c>
      <c r="AS115" s="29"/>
      <c r="AT115" s="29">
        <v>0</v>
      </c>
      <c r="AU115" s="29"/>
      <c r="AV115" s="29">
        <v>0</v>
      </c>
      <c r="AW115" s="29"/>
      <c r="AX115" s="29">
        <v>0</v>
      </c>
      <c r="AY115" s="29">
        <v>25000000</v>
      </c>
      <c r="AZ115" s="29">
        <v>0</v>
      </c>
      <c r="BA115" s="9">
        <f t="shared" si="6"/>
        <v>37000000</v>
      </c>
      <c r="BB115" s="29">
        <f t="shared" si="7"/>
        <v>12000000</v>
      </c>
      <c r="BC115" s="29">
        <f t="shared" si="8"/>
        <v>25000000</v>
      </c>
    </row>
    <row r="116" spans="1:55" x14ac:dyDescent="0.25">
      <c r="A116" s="4">
        <f t="shared" si="9"/>
        <v>111</v>
      </c>
      <c r="B116" s="38" t="s">
        <v>116</v>
      </c>
      <c r="C116" s="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>
        <f t="shared" si="10"/>
        <v>0</v>
      </c>
      <c r="AC116" s="6"/>
      <c r="AD116" s="5"/>
      <c r="AE116" s="6"/>
      <c r="AF116" s="5"/>
      <c r="AG116" s="6"/>
      <c r="AH116" s="5">
        <v>0</v>
      </c>
      <c r="AI116" s="6"/>
      <c r="AJ116" s="5"/>
      <c r="AK116" s="6"/>
      <c r="AL116" s="6">
        <v>0</v>
      </c>
      <c r="AM116" s="6"/>
      <c r="AN116" s="6"/>
      <c r="AO116" s="9"/>
      <c r="AP116" s="8"/>
      <c r="AQ116" s="9"/>
      <c r="AR116" s="8"/>
      <c r="AS116" s="9"/>
      <c r="AT116" s="8"/>
      <c r="AU116" s="9"/>
      <c r="AV116" s="8"/>
      <c r="AW116" s="9"/>
      <c r="AX116" s="8"/>
      <c r="AY116" s="9"/>
      <c r="AZ116" s="8"/>
      <c r="BA116" s="9">
        <f t="shared" si="6"/>
        <v>0</v>
      </c>
      <c r="BB116" s="9">
        <f t="shared" si="7"/>
        <v>0</v>
      </c>
      <c r="BC116" s="7">
        <f t="shared" si="8"/>
        <v>0</v>
      </c>
    </row>
    <row r="117" spans="1:55" x14ac:dyDescent="0.25">
      <c r="A117" s="4">
        <f t="shared" si="9"/>
        <v>112</v>
      </c>
      <c r="B117" s="38" t="s">
        <v>117</v>
      </c>
      <c r="C117" s="6">
        <v>20000000</v>
      </c>
      <c r="D117" s="6"/>
      <c r="E117" s="6">
        <v>-2500000</v>
      </c>
      <c r="F117" s="6"/>
      <c r="G117" s="6">
        <v>-2500000</v>
      </c>
      <c r="H117" s="6"/>
      <c r="I117" s="6">
        <v>-2500000</v>
      </c>
      <c r="J117" s="6"/>
      <c r="K117" s="6">
        <v>-2500000</v>
      </c>
      <c r="L117" s="6"/>
      <c r="M117" s="6">
        <v>-2500000</v>
      </c>
      <c r="N117" s="6"/>
      <c r="O117" s="6">
        <v>-2500000</v>
      </c>
      <c r="P117" s="9"/>
      <c r="Q117" s="6">
        <v>-2500000</v>
      </c>
      <c r="R117" s="9"/>
      <c r="S117" s="6">
        <v>-2500000</v>
      </c>
      <c r="T117" s="9"/>
      <c r="U117" s="9"/>
      <c r="V117" s="9"/>
      <c r="W117" s="9"/>
      <c r="X117" s="9"/>
      <c r="Y117" s="9"/>
      <c r="Z117" s="9"/>
      <c r="AA117" s="9"/>
      <c r="AB117" s="9">
        <f t="shared" si="10"/>
        <v>0</v>
      </c>
      <c r="AC117" s="6"/>
      <c r="AD117" s="5"/>
      <c r="AE117" s="6"/>
      <c r="AF117" s="5"/>
      <c r="AG117" s="6"/>
      <c r="AH117" s="5">
        <v>0</v>
      </c>
      <c r="AI117" s="6"/>
      <c r="AJ117" s="5"/>
      <c r="AK117" s="6"/>
      <c r="AL117" s="6">
        <v>0</v>
      </c>
      <c r="AM117" s="6"/>
      <c r="AN117" s="6"/>
      <c r="AO117" s="9"/>
      <c r="AP117" s="5"/>
      <c r="AQ117" s="9"/>
      <c r="AR117" s="5"/>
      <c r="AS117" s="9"/>
      <c r="AT117" s="8"/>
      <c r="AU117" s="9"/>
      <c r="AV117" s="8"/>
      <c r="AW117" s="9"/>
      <c r="AX117" s="8"/>
      <c r="AY117" s="9"/>
      <c r="AZ117" s="8"/>
      <c r="BA117" s="9">
        <f t="shared" si="6"/>
        <v>0</v>
      </c>
      <c r="BB117" s="9">
        <f t="shared" si="7"/>
        <v>0</v>
      </c>
      <c r="BC117" s="7">
        <f t="shared" si="8"/>
        <v>0</v>
      </c>
    </row>
    <row r="118" spans="1:55" s="35" customFormat="1" x14ac:dyDescent="0.25">
      <c r="A118" s="34">
        <f t="shared" si="9"/>
        <v>113</v>
      </c>
      <c r="B118" s="28" t="s">
        <v>176</v>
      </c>
      <c r="C118" s="29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29"/>
      <c r="Q118" s="29"/>
      <c r="R118" s="29"/>
      <c r="S118" s="29"/>
      <c r="T118" s="29"/>
      <c r="U118" s="29"/>
      <c r="V118" s="29">
        <v>15000000</v>
      </c>
      <c r="W118" s="29"/>
      <c r="X118" s="29"/>
      <c r="Y118" s="29">
        <v>-1500000</v>
      </c>
      <c r="Z118" s="29"/>
      <c r="AA118" s="29">
        <v>-1500000</v>
      </c>
      <c r="AB118" s="29">
        <f t="shared" si="10"/>
        <v>12000000</v>
      </c>
      <c r="AC118" s="13"/>
      <c r="AD118" s="13">
        <v>1500000</v>
      </c>
      <c r="AE118" s="13"/>
      <c r="AF118" s="13">
        <v>1500000</v>
      </c>
      <c r="AG118" s="13"/>
      <c r="AH118" s="13">
        <v>0</v>
      </c>
      <c r="AI118" s="13"/>
      <c r="AJ118" s="13">
        <v>1500000</v>
      </c>
      <c r="AK118" s="13"/>
      <c r="AL118" s="13">
        <v>1500000</v>
      </c>
      <c r="AM118" s="13"/>
      <c r="AN118" s="13">
        <v>1500000</v>
      </c>
      <c r="AO118" s="29"/>
      <c r="AP118" s="29">
        <v>1500000</v>
      </c>
      <c r="AQ118" s="29"/>
      <c r="AR118" s="29">
        <v>1500000</v>
      </c>
      <c r="AS118" s="29"/>
      <c r="AT118" s="29">
        <v>1500000</v>
      </c>
      <c r="AU118" s="29"/>
      <c r="AV118" s="29">
        <v>0</v>
      </c>
      <c r="AW118" s="29"/>
      <c r="AX118" s="29">
        <v>0</v>
      </c>
      <c r="AY118" s="29"/>
      <c r="AZ118" s="29">
        <v>0</v>
      </c>
      <c r="BA118" s="9">
        <f t="shared" si="6"/>
        <v>12000000</v>
      </c>
      <c r="BB118" s="29">
        <f t="shared" si="7"/>
        <v>12000000</v>
      </c>
      <c r="BC118" s="29">
        <f t="shared" si="8"/>
        <v>0</v>
      </c>
    </row>
    <row r="119" spans="1:55" x14ac:dyDescent="0.25">
      <c r="A119" s="4">
        <f t="shared" si="9"/>
        <v>114</v>
      </c>
      <c r="B119" s="38" t="s">
        <v>118</v>
      </c>
      <c r="C119" s="6">
        <v>24041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>
        <f t="shared" si="10"/>
        <v>24041</v>
      </c>
      <c r="AC119" s="6"/>
      <c r="AD119" s="5"/>
      <c r="AE119" s="6"/>
      <c r="AF119" s="5"/>
      <c r="AG119" s="6"/>
      <c r="AH119" s="5">
        <v>0</v>
      </c>
      <c r="AI119" s="6"/>
      <c r="AJ119" s="5"/>
      <c r="AK119" s="6"/>
      <c r="AL119" s="6">
        <v>0</v>
      </c>
      <c r="AM119" s="6"/>
      <c r="AN119" s="6"/>
      <c r="AO119" s="9"/>
      <c r="AP119" s="8"/>
      <c r="AQ119" s="9"/>
      <c r="AR119" s="8"/>
      <c r="AS119" s="9"/>
      <c r="AT119" s="8"/>
      <c r="AU119" s="9"/>
      <c r="AV119" s="8"/>
      <c r="AW119" s="9"/>
      <c r="AX119" s="8"/>
      <c r="AY119" s="9"/>
      <c r="AZ119" s="8"/>
      <c r="BA119" s="9">
        <f t="shared" si="6"/>
        <v>24041</v>
      </c>
      <c r="BB119" s="9">
        <f t="shared" si="7"/>
        <v>0</v>
      </c>
      <c r="BC119" s="7">
        <f t="shared" si="8"/>
        <v>24041</v>
      </c>
    </row>
    <row r="120" spans="1:55" x14ac:dyDescent="0.25">
      <c r="A120" s="4">
        <f t="shared" si="9"/>
        <v>115</v>
      </c>
      <c r="B120" s="38" t="s">
        <v>119</v>
      </c>
      <c r="C120" s="6">
        <v>2000000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>
        <f t="shared" si="10"/>
        <v>2000000</v>
      </c>
      <c r="AC120" s="6"/>
      <c r="AD120" s="5"/>
      <c r="AE120" s="6"/>
      <c r="AF120" s="5"/>
      <c r="AG120" s="6"/>
      <c r="AH120" s="5">
        <v>0</v>
      </c>
      <c r="AI120" s="6"/>
      <c r="AJ120" s="5"/>
      <c r="AK120" s="6"/>
      <c r="AL120" s="6">
        <v>0</v>
      </c>
      <c r="AM120" s="6"/>
      <c r="AN120" s="6"/>
      <c r="AO120" s="9"/>
      <c r="AP120" s="8"/>
      <c r="AQ120" s="9"/>
      <c r="AR120" s="8"/>
      <c r="AS120" s="9"/>
      <c r="AT120" s="8"/>
      <c r="AU120" s="9"/>
      <c r="AV120" s="8"/>
      <c r="AW120" s="9"/>
      <c r="AX120" s="8"/>
      <c r="AY120" s="9"/>
      <c r="AZ120" s="8"/>
      <c r="BA120" s="9">
        <f t="shared" si="6"/>
        <v>2000000</v>
      </c>
      <c r="BB120" s="9">
        <f t="shared" si="7"/>
        <v>0</v>
      </c>
      <c r="BC120" s="7">
        <f t="shared" si="8"/>
        <v>2000000</v>
      </c>
    </row>
    <row r="121" spans="1:55" x14ac:dyDescent="0.25">
      <c r="A121" s="4">
        <f t="shared" si="9"/>
        <v>116</v>
      </c>
      <c r="B121" s="38" t="s">
        <v>120</v>
      </c>
      <c r="C121" s="6">
        <v>7500000</v>
      </c>
      <c r="D121" s="6"/>
      <c r="E121" s="6">
        <v>-2500000</v>
      </c>
      <c r="F121" s="6"/>
      <c r="G121" s="6">
        <v>-2500000</v>
      </c>
      <c r="H121" s="6"/>
      <c r="I121" s="6">
        <v>-2500000</v>
      </c>
      <c r="J121" s="6"/>
      <c r="K121" s="6"/>
      <c r="L121" s="6"/>
      <c r="M121" s="6"/>
      <c r="N121" s="6"/>
      <c r="O121" s="6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>
        <f t="shared" si="10"/>
        <v>0</v>
      </c>
      <c r="AC121" s="6"/>
      <c r="AD121" s="5"/>
      <c r="AE121" s="6"/>
      <c r="AF121" s="5"/>
      <c r="AG121" s="6"/>
      <c r="AH121" s="5">
        <v>0</v>
      </c>
      <c r="AI121" s="6"/>
      <c r="AJ121" s="5"/>
      <c r="AK121" s="6"/>
      <c r="AL121" s="6">
        <v>0</v>
      </c>
      <c r="AM121" s="6"/>
      <c r="AN121" s="6"/>
      <c r="AO121" s="9"/>
      <c r="AP121" s="8"/>
      <c r="AQ121" s="9"/>
      <c r="AR121" s="8"/>
      <c r="AS121" s="9"/>
      <c r="AT121" s="8"/>
      <c r="AU121" s="9"/>
      <c r="AV121" s="8"/>
      <c r="AW121" s="9"/>
      <c r="AX121" s="8"/>
      <c r="AY121" s="9"/>
      <c r="AZ121" s="8"/>
      <c r="BA121" s="9">
        <f t="shared" si="6"/>
        <v>0</v>
      </c>
      <c r="BB121" s="9">
        <f t="shared" si="7"/>
        <v>0</v>
      </c>
      <c r="BC121" s="7">
        <f t="shared" si="8"/>
        <v>0</v>
      </c>
    </row>
    <row r="122" spans="1:55" x14ac:dyDescent="0.25">
      <c r="A122" s="4">
        <f t="shared" si="9"/>
        <v>117</v>
      </c>
      <c r="B122" s="38" t="s">
        <v>121</v>
      </c>
      <c r="C122" s="6">
        <v>3000000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>
        <f t="shared" si="10"/>
        <v>3000000</v>
      </c>
      <c r="AC122" s="6"/>
      <c r="AD122" s="5"/>
      <c r="AE122" s="6"/>
      <c r="AF122" s="5"/>
      <c r="AG122" s="6"/>
      <c r="AH122" s="5">
        <v>0</v>
      </c>
      <c r="AI122" s="6"/>
      <c r="AJ122" s="5"/>
      <c r="AK122" s="6"/>
      <c r="AL122" s="6">
        <v>0</v>
      </c>
      <c r="AM122" s="6"/>
      <c r="AN122" s="6"/>
      <c r="AO122" s="9"/>
      <c r="AP122" s="8"/>
      <c r="AQ122" s="9"/>
      <c r="AR122" s="8"/>
      <c r="AS122" s="9"/>
      <c r="AT122" s="8"/>
      <c r="AU122" s="9"/>
      <c r="AV122" s="8"/>
      <c r="AW122" s="9"/>
      <c r="AX122" s="8"/>
      <c r="AY122" s="9"/>
      <c r="AZ122" s="8"/>
      <c r="BA122" s="9">
        <f t="shared" si="6"/>
        <v>3000000</v>
      </c>
      <c r="BB122" s="9">
        <f t="shared" si="7"/>
        <v>0</v>
      </c>
      <c r="BC122" s="7">
        <f t="shared" si="8"/>
        <v>3000000</v>
      </c>
    </row>
    <row r="123" spans="1:55" x14ac:dyDescent="0.25">
      <c r="A123" s="4">
        <f t="shared" si="9"/>
        <v>118</v>
      </c>
      <c r="B123" s="38" t="s">
        <v>122</v>
      </c>
      <c r="C123" s="6">
        <v>3000000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>
        <f t="shared" si="10"/>
        <v>3000000</v>
      </c>
      <c r="AC123" s="6"/>
      <c r="AD123" s="5"/>
      <c r="AE123" s="6"/>
      <c r="AF123" s="5"/>
      <c r="AG123" s="6"/>
      <c r="AH123" s="5">
        <v>0</v>
      </c>
      <c r="AI123" s="6"/>
      <c r="AJ123" s="5"/>
      <c r="AK123" s="6"/>
      <c r="AL123" s="6">
        <v>0</v>
      </c>
      <c r="AM123" s="6"/>
      <c r="AN123" s="6"/>
      <c r="AO123" s="9"/>
      <c r="AP123" s="8"/>
      <c r="AQ123" s="9"/>
      <c r="AR123" s="8"/>
      <c r="AS123" s="9"/>
      <c r="AT123" s="8"/>
      <c r="AU123" s="9"/>
      <c r="AV123" s="8"/>
      <c r="AW123" s="9"/>
      <c r="AX123" s="8"/>
      <c r="AY123" s="9"/>
      <c r="AZ123" s="8"/>
      <c r="BA123" s="9">
        <f t="shared" si="6"/>
        <v>3000000</v>
      </c>
      <c r="BB123" s="9">
        <f t="shared" si="7"/>
        <v>0</v>
      </c>
      <c r="BC123" s="7">
        <f t="shared" si="8"/>
        <v>3000000</v>
      </c>
    </row>
    <row r="124" spans="1:55" s="35" customFormat="1" x14ac:dyDescent="0.25">
      <c r="A124" s="34">
        <f t="shared" si="9"/>
        <v>119</v>
      </c>
      <c r="B124" s="28" t="s">
        <v>123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>
        <v>10000000</v>
      </c>
      <c r="O124" s="13"/>
      <c r="P124" s="29"/>
      <c r="Q124" s="29">
        <v>-1000000</v>
      </c>
      <c r="R124" s="29"/>
      <c r="S124" s="29">
        <v>-1000000</v>
      </c>
      <c r="T124" s="29"/>
      <c r="U124" s="29">
        <v>-1000000</v>
      </c>
      <c r="V124" s="29"/>
      <c r="W124" s="29">
        <v>-1000000</v>
      </c>
      <c r="X124" s="29"/>
      <c r="Y124" s="29">
        <v>-1000000</v>
      </c>
      <c r="Z124" s="29"/>
      <c r="AA124" s="29">
        <v>-1000000</v>
      </c>
      <c r="AB124" s="29">
        <f t="shared" si="10"/>
        <v>4000000</v>
      </c>
      <c r="AC124" s="13"/>
      <c r="AD124" s="13">
        <v>1000000</v>
      </c>
      <c r="AE124" s="13"/>
      <c r="AF124" s="13">
        <v>1000000</v>
      </c>
      <c r="AG124" s="13"/>
      <c r="AH124" s="13">
        <v>0</v>
      </c>
      <c r="AI124" s="13"/>
      <c r="AJ124" s="13">
        <v>1000000</v>
      </c>
      <c r="AK124" s="13"/>
      <c r="AL124" s="13">
        <v>1000000</v>
      </c>
      <c r="AM124" s="13"/>
      <c r="AN124" s="13">
        <v>0</v>
      </c>
      <c r="AO124" s="29"/>
      <c r="AP124" s="29">
        <v>0</v>
      </c>
      <c r="AQ124" s="29">
        <v>10000000</v>
      </c>
      <c r="AR124" s="29">
        <v>0</v>
      </c>
      <c r="AS124" s="29"/>
      <c r="AT124" s="29">
        <v>1000000</v>
      </c>
      <c r="AU124" s="29"/>
      <c r="AV124" s="29">
        <v>1000000</v>
      </c>
      <c r="AW124" s="29"/>
      <c r="AX124" s="29">
        <v>1000000</v>
      </c>
      <c r="AY124" s="29"/>
      <c r="AZ124" s="29">
        <v>1000000</v>
      </c>
      <c r="BA124" s="9">
        <f t="shared" si="6"/>
        <v>14000000</v>
      </c>
      <c r="BB124" s="29">
        <f t="shared" si="7"/>
        <v>8000000</v>
      </c>
      <c r="BC124" s="29">
        <f t="shared" si="8"/>
        <v>6000000</v>
      </c>
    </row>
    <row r="125" spans="1:55" x14ac:dyDescent="0.25">
      <c r="A125" s="4">
        <f t="shared" si="9"/>
        <v>120</v>
      </c>
      <c r="B125" s="38" t="s">
        <v>124</v>
      </c>
      <c r="C125" s="6">
        <v>3000000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>
        <f t="shared" si="10"/>
        <v>3000000</v>
      </c>
      <c r="AC125" s="6"/>
      <c r="AD125" s="5"/>
      <c r="AE125" s="6"/>
      <c r="AF125" s="5"/>
      <c r="AG125" s="6"/>
      <c r="AH125" s="5">
        <v>0</v>
      </c>
      <c r="AI125" s="6"/>
      <c r="AJ125" s="5"/>
      <c r="AK125" s="6"/>
      <c r="AL125" s="6">
        <v>0</v>
      </c>
      <c r="AM125" s="6"/>
      <c r="AN125" s="6"/>
      <c r="AO125" s="9"/>
      <c r="AP125" s="8"/>
      <c r="AQ125" s="9"/>
      <c r="AR125" s="8"/>
      <c r="AS125" s="9"/>
      <c r="AT125" s="8"/>
      <c r="AU125" s="9"/>
      <c r="AV125" s="8"/>
      <c r="AW125" s="9"/>
      <c r="AX125" s="8"/>
      <c r="AY125" s="9"/>
      <c r="AZ125" s="8"/>
      <c r="BA125" s="9">
        <f t="shared" si="6"/>
        <v>3000000</v>
      </c>
      <c r="BB125" s="9">
        <f t="shared" si="7"/>
        <v>0</v>
      </c>
      <c r="BC125" s="7">
        <f t="shared" si="8"/>
        <v>3000000</v>
      </c>
    </row>
    <row r="126" spans="1:55" x14ac:dyDescent="0.25">
      <c r="A126" s="4">
        <f t="shared" si="9"/>
        <v>121</v>
      </c>
      <c r="B126" s="38" t="s">
        <v>125</v>
      </c>
      <c r="C126" s="6">
        <v>7000000</v>
      </c>
      <c r="D126" s="6"/>
      <c r="E126" s="6">
        <v>-1000000</v>
      </c>
      <c r="F126" s="6"/>
      <c r="G126" s="6">
        <v>-1000000</v>
      </c>
      <c r="H126" s="6"/>
      <c r="I126" s="6">
        <v>-1000000</v>
      </c>
      <c r="J126" s="6"/>
      <c r="K126" s="6"/>
      <c r="L126" s="6"/>
      <c r="M126" s="6">
        <v>-1000000</v>
      </c>
      <c r="N126" s="6"/>
      <c r="O126" s="6">
        <v>-1000000</v>
      </c>
      <c r="P126" s="9"/>
      <c r="Q126" s="6">
        <v>-1000000</v>
      </c>
      <c r="R126" s="9"/>
      <c r="S126" s="6">
        <v>-1000000</v>
      </c>
      <c r="T126" s="9"/>
      <c r="U126" s="9"/>
      <c r="V126" s="9"/>
      <c r="W126" s="9"/>
      <c r="X126" s="9"/>
      <c r="Y126" s="9"/>
      <c r="Z126" s="9"/>
      <c r="AA126" s="9"/>
      <c r="AB126" s="9">
        <f t="shared" si="10"/>
        <v>0</v>
      </c>
      <c r="AC126" s="6"/>
      <c r="AD126" s="5"/>
      <c r="AE126" s="6"/>
      <c r="AF126" s="5"/>
      <c r="AG126" s="6"/>
      <c r="AH126" s="5">
        <v>0</v>
      </c>
      <c r="AI126" s="6"/>
      <c r="AJ126" s="5"/>
      <c r="AK126" s="6"/>
      <c r="AL126" s="6">
        <v>0</v>
      </c>
      <c r="AM126" s="6"/>
      <c r="AN126" s="6"/>
      <c r="AO126" s="9"/>
      <c r="AP126" s="5"/>
      <c r="AQ126" s="9"/>
      <c r="AR126" s="5"/>
      <c r="AS126" s="9"/>
      <c r="AT126" s="8"/>
      <c r="AU126" s="9"/>
      <c r="AV126" s="8"/>
      <c r="AW126" s="9"/>
      <c r="AX126" s="8"/>
      <c r="AY126" s="9"/>
      <c r="AZ126" s="8"/>
      <c r="BA126" s="9">
        <f t="shared" si="6"/>
        <v>0</v>
      </c>
      <c r="BB126" s="9">
        <f t="shared" si="7"/>
        <v>0</v>
      </c>
      <c r="BC126" s="7">
        <f t="shared" si="8"/>
        <v>0</v>
      </c>
    </row>
    <row r="127" spans="1:55" x14ac:dyDescent="0.25">
      <c r="A127" s="4">
        <f t="shared" si="9"/>
        <v>122</v>
      </c>
      <c r="B127" s="38" t="s">
        <v>126</v>
      </c>
      <c r="C127" s="6">
        <v>9100000</v>
      </c>
      <c r="D127" s="6"/>
      <c r="E127" s="6">
        <v>-1300000</v>
      </c>
      <c r="F127" s="6"/>
      <c r="G127" s="6">
        <v>-1300000</v>
      </c>
      <c r="H127" s="6"/>
      <c r="I127" s="6">
        <v>-1300000</v>
      </c>
      <c r="J127" s="6"/>
      <c r="K127" s="6"/>
      <c r="L127" s="6"/>
      <c r="M127" s="6">
        <v>-1300000</v>
      </c>
      <c r="N127" s="6"/>
      <c r="O127" s="6">
        <v>-1300000</v>
      </c>
      <c r="P127" s="9"/>
      <c r="Q127" s="6">
        <v>-1300000</v>
      </c>
      <c r="R127" s="9"/>
      <c r="S127" s="6">
        <v>-1300000</v>
      </c>
      <c r="T127" s="9"/>
      <c r="U127" s="9"/>
      <c r="V127" s="9"/>
      <c r="W127" s="9"/>
      <c r="X127" s="9"/>
      <c r="Y127" s="9"/>
      <c r="Z127" s="9"/>
      <c r="AA127" s="9"/>
      <c r="AB127" s="9">
        <f t="shared" si="10"/>
        <v>0</v>
      </c>
      <c r="AC127" s="6"/>
      <c r="AD127" s="5"/>
      <c r="AE127" s="6"/>
      <c r="AF127" s="5"/>
      <c r="AG127" s="6"/>
      <c r="AH127" s="5">
        <v>0</v>
      </c>
      <c r="AI127" s="6"/>
      <c r="AJ127" s="5"/>
      <c r="AK127" s="6"/>
      <c r="AL127" s="6">
        <v>0</v>
      </c>
      <c r="AM127" s="6"/>
      <c r="AN127" s="6"/>
      <c r="AO127" s="9"/>
      <c r="AP127" s="5"/>
      <c r="AQ127" s="9"/>
      <c r="AR127" s="5"/>
      <c r="AS127" s="9"/>
      <c r="AT127" s="8"/>
      <c r="AU127" s="9"/>
      <c r="AV127" s="8"/>
      <c r="AW127" s="9"/>
      <c r="AX127" s="8"/>
      <c r="AY127" s="9"/>
      <c r="AZ127" s="8"/>
      <c r="BA127" s="9">
        <f t="shared" si="6"/>
        <v>0</v>
      </c>
      <c r="BB127" s="9">
        <f t="shared" si="7"/>
        <v>0</v>
      </c>
      <c r="BC127" s="7">
        <f t="shared" si="8"/>
        <v>0</v>
      </c>
    </row>
    <row r="128" spans="1:55" x14ac:dyDescent="0.25">
      <c r="A128" s="4">
        <f t="shared" si="9"/>
        <v>123</v>
      </c>
      <c r="B128" s="38" t="s">
        <v>127</v>
      </c>
      <c r="C128" s="6"/>
      <c r="D128" s="6"/>
      <c r="E128" s="6"/>
      <c r="F128" s="6"/>
      <c r="G128" s="6"/>
      <c r="H128" s="6"/>
      <c r="I128" s="6"/>
      <c r="J128" s="6"/>
      <c r="K128" s="6"/>
      <c r="L128" s="6">
        <v>10000000</v>
      </c>
      <c r="M128" s="6"/>
      <c r="N128" s="6"/>
      <c r="O128" s="6">
        <v>-1000000</v>
      </c>
      <c r="P128" s="9"/>
      <c r="Q128" s="6">
        <v>-1000000</v>
      </c>
      <c r="R128" s="9"/>
      <c r="S128" s="6">
        <v>-8000000</v>
      </c>
      <c r="T128" s="9"/>
      <c r="U128" s="9"/>
      <c r="V128" s="9"/>
      <c r="W128" s="9"/>
      <c r="X128" s="9"/>
      <c r="Y128" s="9"/>
      <c r="Z128" s="9"/>
      <c r="AA128" s="9"/>
      <c r="AB128" s="9">
        <f t="shared" si="10"/>
        <v>0</v>
      </c>
      <c r="AC128" s="6"/>
      <c r="AD128" s="5"/>
      <c r="AE128" s="6"/>
      <c r="AF128" s="5"/>
      <c r="AG128" s="6"/>
      <c r="AH128" s="5">
        <v>0</v>
      </c>
      <c r="AI128" s="6"/>
      <c r="AJ128" s="5"/>
      <c r="AK128" s="6"/>
      <c r="AL128" s="6">
        <v>0</v>
      </c>
      <c r="AM128" s="6"/>
      <c r="AN128" s="6"/>
      <c r="AO128" s="9"/>
      <c r="AP128" s="5"/>
      <c r="AQ128" s="9"/>
      <c r="AR128" s="5"/>
      <c r="AS128" s="9"/>
      <c r="AT128" s="8"/>
      <c r="AU128" s="9"/>
      <c r="AV128" s="8"/>
      <c r="AW128" s="9"/>
      <c r="AX128" s="8"/>
      <c r="AY128" s="9"/>
      <c r="AZ128" s="8"/>
      <c r="BA128" s="9">
        <f t="shared" si="6"/>
        <v>0</v>
      </c>
      <c r="BB128" s="9">
        <f t="shared" si="7"/>
        <v>0</v>
      </c>
      <c r="BC128" s="7">
        <f t="shared" si="8"/>
        <v>0</v>
      </c>
    </row>
    <row r="129" spans="1:55" x14ac:dyDescent="0.25">
      <c r="A129" s="4">
        <f t="shared" si="9"/>
        <v>124</v>
      </c>
      <c r="B129" s="38" t="s">
        <v>128</v>
      </c>
      <c r="C129" s="6">
        <v>54363250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>
        <f t="shared" si="10"/>
        <v>54363250</v>
      </c>
      <c r="AC129" s="6"/>
      <c r="AD129" s="5"/>
      <c r="AE129" s="6"/>
      <c r="AF129" s="5"/>
      <c r="AG129" s="6"/>
      <c r="AH129" s="5">
        <v>0</v>
      </c>
      <c r="AI129" s="6"/>
      <c r="AJ129" s="5"/>
      <c r="AK129" s="6"/>
      <c r="AL129" s="6">
        <v>0</v>
      </c>
      <c r="AM129" s="6"/>
      <c r="AN129" s="6"/>
      <c r="AO129" s="9"/>
      <c r="AP129" s="8"/>
      <c r="AQ129" s="9"/>
      <c r="AR129" s="8"/>
      <c r="AS129" s="9"/>
      <c r="AT129" s="8"/>
      <c r="AU129" s="9"/>
      <c r="AV129" s="8"/>
      <c r="AW129" s="9"/>
      <c r="AX129" s="8"/>
      <c r="AY129" s="9"/>
      <c r="AZ129" s="8"/>
      <c r="BA129" s="9">
        <f t="shared" si="6"/>
        <v>54363250</v>
      </c>
      <c r="BB129" s="9">
        <f t="shared" si="7"/>
        <v>0</v>
      </c>
      <c r="BC129" s="7">
        <f t="shared" si="8"/>
        <v>54363250</v>
      </c>
    </row>
    <row r="130" spans="1:55" s="35" customFormat="1" x14ac:dyDescent="0.25">
      <c r="A130" s="34">
        <f t="shared" si="9"/>
        <v>125</v>
      </c>
      <c r="B130" s="28" t="s">
        <v>171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29">
        <v>6000000</v>
      </c>
      <c r="Q130" s="29"/>
      <c r="R130" s="29"/>
      <c r="S130" s="29">
        <v>-1000000</v>
      </c>
      <c r="T130" s="29"/>
      <c r="U130" s="29">
        <v>-1000000</v>
      </c>
      <c r="V130" s="29"/>
      <c r="W130" s="29">
        <v>-1000000</v>
      </c>
      <c r="X130" s="29"/>
      <c r="Y130" s="29">
        <v>-1000000</v>
      </c>
      <c r="Z130" s="29"/>
      <c r="AA130" s="29">
        <v>-1000000</v>
      </c>
      <c r="AB130" s="29">
        <f t="shared" si="10"/>
        <v>1000000</v>
      </c>
      <c r="AC130" s="13"/>
      <c r="AD130" s="13">
        <v>1000000</v>
      </c>
      <c r="AE130" s="13"/>
      <c r="AF130" s="13">
        <v>0</v>
      </c>
      <c r="AG130" s="13"/>
      <c r="AH130" s="13">
        <v>0</v>
      </c>
      <c r="AI130" s="13"/>
      <c r="AJ130" s="13">
        <v>0</v>
      </c>
      <c r="AK130" s="13"/>
      <c r="AL130" s="13">
        <v>0</v>
      </c>
      <c r="AM130" s="13"/>
      <c r="AN130" s="13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>
        <v>0</v>
      </c>
      <c r="AY130" s="29"/>
      <c r="AZ130" s="29">
        <v>0</v>
      </c>
      <c r="BA130" s="9">
        <f t="shared" si="6"/>
        <v>1000000</v>
      </c>
      <c r="BB130" s="29">
        <f t="shared" si="7"/>
        <v>1000000</v>
      </c>
      <c r="BC130" s="29">
        <f t="shared" si="8"/>
        <v>0</v>
      </c>
    </row>
    <row r="131" spans="1:55" x14ac:dyDescent="0.25">
      <c r="A131" s="4">
        <f t="shared" si="9"/>
        <v>126</v>
      </c>
      <c r="B131" s="38" t="s">
        <v>129</v>
      </c>
      <c r="C131" s="6">
        <v>9900000</v>
      </c>
      <c r="D131" s="6"/>
      <c r="E131" s="6">
        <v>-1650000</v>
      </c>
      <c r="F131" s="6"/>
      <c r="G131" s="6">
        <v>-1650000</v>
      </c>
      <c r="H131" s="6"/>
      <c r="I131" s="6">
        <v>-1650000</v>
      </c>
      <c r="J131" s="6"/>
      <c r="K131" s="6">
        <v>-1650000</v>
      </c>
      <c r="L131" s="6"/>
      <c r="M131" s="6">
        <v>-1650000</v>
      </c>
      <c r="N131" s="6"/>
      <c r="O131" s="6">
        <v>-1650000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>
        <f t="shared" si="10"/>
        <v>0</v>
      </c>
      <c r="AC131" s="13"/>
      <c r="AD131" s="13">
        <v>0</v>
      </c>
      <c r="AE131" s="13"/>
      <c r="AF131" s="13">
        <v>0</v>
      </c>
      <c r="AG131" s="13"/>
      <c r="AH131" s="13">
        <v>0</v>
      </c>
      <c r="AI131" s="13">
        <v>15000000</v>
      </c>
      <c r="AJ131" s="5"/>
      <c r="AK131" s="6"/>
      <c r="AL131" s="6">
        <v>0</v>
      </c>
      <c r="AM131" s="6"/>
      <c r="AN131" s="6"/>
      <c r="AO131" s="9"/>
      <c r="AP131" s="8"/>
      <c r="AQ131" s="9"/>
      <c r="AR131" s="8"/>
      <c r="AS131" s="9"/>
      <c r="AT131" s="8"/>
      <c r="AU131" s="9"/>
      <c r="AV131" s="8"/>
      <c r="AW131" s="9"/>
      <c r="AX131" s="8"/>
      <c r="AY131" s="9"/>
      <c r="AZ131" s="8"/>
      <c r="BA131" s="9">
        <f t="shared" si="6"/>
        <v>15000000</v>
      </c>
      <c r="BB131" s="9">
        <f t="shared" si="7"/>
        <v>0</v>
      </c>
      <c r="BC131" s="7">
        <f t="shared" si="8"/>
        <v>15000000</v>
      </c>
    </row>
    <row r="132" spans="1:55" s="35" customFormat="1" x14ac:dyDescent="0.25">
      <c r="A132" s="34">
        <f t="shared" si="9"/>
        <v>127</v>
      </c>
      <c r="B132" s="28" t="s">
        <v>175</v>
      </c>
      <c r="C132" s="13">
        <v>5000000</v>
      </c>
      <c r="D132" s="13"/>
      <c r="E132" s="13">
        <v>-2500000</v>
      </c>
      <c r="F132" s="13">
        <v>25000000</v>
      </c>
      <c r="G132" s="13">
        <v>-2500000</v>
      </c>
      <c r="H132" s="49"/>
      <c r="I132" s="13">
        <v>-2500000</v>
      </c>
      <c r="J132" s="13"/>
      <c r="K132" s="13"/>
      <c r="L132" s="13"/>
      <c r="M132" s="13">
        <v>-2500000</v>
      </c>
      <c r="N132" s="13"/>
      <c r="O132" s="13">
        <v>-2500000</v>
      </c>
      <c r="P132" s="29"/>
      <c r="Q132" s="13">
        <v>-2500000</v>
      </c>
      <c r="R132" s="29"/>
      <c r="S132" s="13">
        <v>-2500000</v>
      </c>
      <c r="T132" s="29"/>
      <c r="U132" s="13">
        <v>-2500000</v>
      </c>
      <c r="V132" s="29"/>
      <c r="W132" s="13">
        <v>-2500000</v>
      </c>
      <c r="X132" s="29"/>
      <c r="Y132" s="13">
        <v>-2500000</v>
      </c>
      <c r="Z132" s="29"/>
      <c r="AA132" s="13">
        <v>-2500000</v>
      </c>
      <c r="AB132" s="29">
        <f t="shared" si="10"/>
        <v>2500000</v>
      </c>
      <c r="AC132" s="13"/>
      <c r="AD132" s="13">
        <v>2500000</v>
      </c>
      <c r="AE132" s="13">
        <v>2500000</v>
      </c>
      <c r="AF132" s="13">
        <v>2500000</v>
      </c>
      <c r="AG132" s="49"/>
      <c r="AH132" s="13">
        <v>0</v>
      </c>
      <c r="AI132" s="13"/>
      <c r="AJ132" s="13">
        <v>0</v>
      </c>
      <c r="AK132" s="13"/>
      <c r="AL132" s="13">
        <v>0</v>
      </c>
      <c r="AM132" s="13"/>
      <c r="AN132" s="13"/>
      <c r="AO132" s="29"/>
      <c r="AP132" s="13"/>
      <c r="AQ132" s="29"/>
      <c r="AR132" s="13"/>
      <c r="AS132" s="29"/>
      <c r="AT132" s="13"/>
      <c r="AU132" s="29"/>
      <c r="AV132" s="13"/>
      <c r="AW132" s="29"/>
      <c r="AX132" s="29">
        <v>0</v>
      </c>
      <c r="AY132" s="29"/>
      <c r="AZ132" s="29">
        <v>0</v>
      </c>
      <c r="BA132" s="9">
        <f t="shared" si="6"/>
        <v>5000000</v>
      </c>
      <c r="BB132" s="29">
        <f t="shared" si="7"/>
        <v>5000000</v>
      </c>
      <c r="BC132" s="29">
        <f t="shared" si="8"/>
        <v>0</v>
      </c>
    </row>
    <row r="133" spans="1:55" x14ac:dyDescent="0.25">
      <c r="A133" s="4">
        <f t="shared" si="9"/>
        <v>128</v>
      </c>
      <c r="B133" s="38" t="s">
        <v>130</v>
      </c>
      <c r="C133" s="6">
        <v>500000</v>
      </c>
      <c r="D133" s="6"/>
      <c r="E133" s="6">
        <v>-500000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>
        <f t="shared" si="10"/>
        <v>0</v>
      </c>
      <c r="AC133" s="6"/>
      <c r="AD133" s="5"/>
      <c r="AE133" s="6"/>
      <c r="AF133" s="5"/>
      <c r="AG133" s="6"/>
      <c r="AH133" s="5">
        <v>0</v>
      </c>
      <c r="AI133" s="6"/>
      <c r="AJ133" s="5"/>
      <c r="AK133" s="6"/>
      <c r="AL133" s="6">
        <v>0</v>
      </c>
      <c r="AM133" s="6"/>
      <c r="AN133" s="6"/>
      <c r="AO133" s="9"/>
      <c r="AP133" s="8"/>
      <c r="AQ133" s="9"/>
      <c r="AR133" s="8"/>
      <c r="AS133" s="9"/>
      <c r="AT133" s="8"/>
      <c r="AU133" s="9"/>
      <c r="AV133" s="8"/>
      <c r="AW133" s="9"/>
      <c r="AX133" s="8"/>
      <c r="AY133" s="9"/>
      <c r="AZ133" s="8"/>
      <c r="BA133" s="9">
        <f t="shared" si="6"/>
        <v>0</v>
      </c>
      <c r="BB133" s="9">
        <f t="shared" si="7"/>
        <v>0</v>
      </c>
      <c r="BC133" s="7">
        <f t="shared" si="8"/>
        <v>0</v>
      </c>
    </row>
    <row r="134" spans="1:55" s="35" customFormat="1" x14ac:dyDescent="0.25">
      <c r="A134" s="34">
        <f t="shared" si="9"/>
        <v>129</v>
      </c>
      <c r="B134" s="28" t="s">
        <v>196</v>
      </c>
      <c r="C134" s="13">
        <v>10000000</v>
      </c>
      <c r="D134" s="13"/>
      <c r="E134" s="13">
        <v>-1000000</v>
      </c>
      <c r="F134" s="13"/>
      <c r="G134" s="13">
        <v>-1000000</v>
      </c>
      <c r="H134" s="13"/>
      <c r="I134" s="13">
        <v>-1000000</v>
      </c>
      <c r="J134" s="13"/>
      <c r="K134" s="13">
        <v>-1000000</v>
      </c>
      <c r="L134" s="13"/>
      <c r="M134" s="13">
        <v>-1000000</v>
      </c>
      <c r="N134" s="13"/>
      <c r="O134" s="13">
        <v>-1000000</v>
      </c>
      <c r="P134" s="29"/>
      <c r="Q134" s="13">
        <v>-1000000</v>
      </c>
      <c r="R134" s="29"/>
      <c r="S134" s="13">
        <v>-1000000</v>
      </c>
      <c r="T134" s="29"/>
      <c r="U134" s="13">
        <v>-1000000</v>
      </c>
      <c r="V134" s="29"/>
      <c r="W134" s="13">
        <v>-1000000</v>
      </c>
      <c r="X134" s="29"/>
      <c r="Y134" s="13">
        <v>-1000000</v>
      </c>
      <c r="Z134" s="29"/>
      <c r="AA134" s="13">
        <v>-1000000</v>
      </c>
      <c r="AB134" s="29">
        <f t="shared" si="10"/>
        <v>-2000000</v>
      </c>
      <c r="AC134" s="13"/>
      <c r="AD134" s="13">
        <v>0</v>
      </c>
      <c r="AE134" s="13"/>
      <c r="AF134" s="13">
        <v>0</v>
      </c>
      <c r="AG134" s="13"/>
      <c r="AH134" s="13">
        <v>0</v>
      </c>
      <c r="AI134" s="13"/>
      <c r="AJ134" s="13">
        <v>0</v>
      </c>
      <c r="AK134" s="13"/>
      <c r="AL134" s="13">
        <v>0</v>
      </c>
      <c r="AM134" s="13"/>
      <c r="AN134" s="13"/>
      <c r="AO134" s="29"/>
      <c r="AP134" s="13"/>
      <c r="AQ134" s="29">
        <v>20000000</v>
      </c>
      <c r="AR134" s="13"/>
      <c r="AS134" s="29"/>
      <c r="AT134" s="13">
        <v>2000000</v>
      </c>
      <c r="AU134" s="29"/>
      <c r="AV134" s="29">
        <v>2000000</v>
      </c>
      <c r="AW134" s="29"/>
      <c r="AX134" s="29">
        <v>2000000</v>
      </c>
      <c r="AY134" s="29"/>
      <c r="AZ134" s="29">
        <v>0</v>
      </c>
      <c r="BA134" s="9">
        <f t="shared" ref="BA134:BA194" si="11">AB134+AC134+AE134+AG134+AI134+AK134+AM134+AO134+AQ134+AS134+AU134+AW134+AY134</f>
        <v>18000000</v>
      </c>
      <c r="BB134" s="29">
        <f t="shared" si="7"/>
        <v>6000000</v>
      </c>
      <c r="BC134" s="29">
        <f t="shared" si="8"/>
        <v>12000000</v>
      </c>
    </row>
    <row r="135" spans="1:55" s="35" customFormat="1" x14ac:dyDescent="0.25">
      <c r="A135" s="34">
        <f t="shared" si="9"/>
        <v>130</v>
      </c>
      <c r="B135" s="28" t="s">
        <v>131</v>
      </c>
      <c r="C135" s="13">
        <v>20000000</v>
      </c>
      <c r="D135" s="13"/>
      <c r="E135" s="13">
        <v>-2500000</v>
      </c>
      <c r="F135" s="13"/>
      <c r="G135" s="13">
        <v>-2500000</v>
      </c>
      <c r="H135" s="13"/>
      <c r="I135" s="13">
        <v>-2500000</v>
      </c>
      <c r="J135" s="13"/>
      <c r="K135" s="13"/>
      <c r="L135" s="13"/>
      <c r="M135" s="13">
        <v>-2500000</v>
      </c>
      <c r="N135" s="13"/>
      <c r="O135" s="13">
        <v>-2500000</v>
      </c>
      <c r="P135" s="29"/>
      <c r="Q135" s="13">
        <v>-2500000</v>
      </c>
      <c r="R135" s="29"/>
      <c r="S135" s="13">
        <v>-2500000</v>
      </c>
      <c r="T135" s="29"/>
      <c r="U135" s="13">
        <v>-2500000</v>
      </c>
      <c r="V135" s="29">
        <v>25000000</v>
      </c>
      <c r="W135" s="13"/>
      <c r="X135" s="29"/>
      <c r="Y135" s="29">
        <v>-2500000</v>
      </c>
      <c r="Z135" s="29"/>
      <c r="AA135" s="29">
        <v>-2500000</v>
      </c>
      <c r="AB135" s="29">
        <f t="shared" si="10"/>
        <v>20000000</v>
      </c>
      <c r="AC135" s="13"/>
      <c r="AD135" s="13">
        <v>2500000</v>
      </c>
      <c r="AE135" s="13"/>
      <c r="AF135" s="13">
        <v>2500000</v>
      </c>
      <c r="AG135" s="13"/>
      <c r="AH135" s="13">
        <v>0</v>
      </c>
      <c r="AI135" s="13"/>
      <c r="AJ135" s="13">
        <v>2500000</v>
      </c>
      <c r="AK135" s="13"/>
      <c r="AL135" s="13">
        <v>2500000</v>
      </c>
      <c r="AM135" s="13"/>
      <c r="AN135" s="13">
        <v>2500000</v>
      </c>
      <c r="AO135" s="29"/>
      <c r="AP135" s="29">
        <v>2500000</v>
      </c>
      <c r="AQ135" s="29"/>
      <c r="AR135" s="29">
        <v>2500000</v>
      </c>
      <c r="AS135" s="29"/>
      <c r="AT135" s="29">
        <v>2500000</v>
      </c>
      <c r="AU135" s="29">
        <v>25000000</v>
      </c>
      <c r="AV135" s="29">
        <v>2500000</v>
      </c>
      <c r="AW135" s="29"/>
      <c r="AX135" s="29">
        <v>2500000</v>
      </c>
      <c r="AY135" s="29"/>
      <c r="AZ135" s="29">
        <v>2500000</v>
      </c>
      <c r="BA135" s="9">
        <f t="shared" si="11"/>
        <v>45000000</v>
      </c>
      <c r="BB135" s="29">
        <f t="shared" ref="BB135:BB181" si="12">AD135+AF135+AH135+AJ135+AL135+AN135+AP135+AR135+AT135+AV135+AX135+AZ135</f>
        <v>27500000</v>
      </c>
      <c r="BC135" s="29">
        <f t="shared" ref="BC135:BC188" si="13">BA135-BB135</f>
        <v>17500000</v>
      </c>
    </row>
    <row r="136" spans="1:55" x14ac:dyDescent="0.25">
      <c r="A136" s="4">
        <f t="shared" ref="A136:A180" si="14">A135+1</f>
        <v>131</v>
      </c>
      <c r="B136" s="38" t="s">
        <v>132</v>
      </c>
      <c r="C136" s="6">
        <v>12500000</v>
      </c>
      <c r="D136" s="6"/>
      <c r="E136" s="6">
        <v>-2500000</v>
      </c>
      <c r="F136" s="6"/>
      <c r="G136" s="6">
        <v>-2500000</v>
      </c>
      <c r="H136" s="6"/>
      <c r="I136" s="6">
        <v>-2500000</v>
      </c>
      <c r="J136" s="6"/>
      <c r="K136" s="6"/>
      <c r="L136" s="6"/>
      <c r="M136" s="6">
        <v>-2500000</v>
      </c>
      <c r="N136" s="6"/>
      <c r="O136" s="6">
        <v>-2500000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>
        <f t="shared" si="10"/>
        <v>0</v>
      </c>
      <c r="AC136" s="6"/>
      <c r="AD136" s="5"/>
      <c r="AE136" s="6"/>
      <c r="AF136" s="5"/>
      <c r="AG136" s="6"/>
      <c r="AH136" s="5">
        <v>0</v>
      </c>
      <c r="AI136" s="6"/>
      <c r="AJ136" s="5"/>
      <c r="AK136" s="6"/>
      <c r="AL136" s="6">
        <v>0</v>
      </c>
      <c r="AM136" s="6"/>
      <c r="AN136" s="6"/>
      <c r="AO136" s="9"/>
      <c r="AP136" s="8"/>
      <c r="AQ136" s="9">
        <v>25000000</v>
      </c>
      <c r="AR136" s="8"/>
      <c r="AS136" s="9"/>
      <c r="AT136" s="8">
        <v>2500000</v>
      </c>
      <c r="AU136" s="9"/>
      <c r="AV136" s="8">
        <v>2500000</v>
      </c>
      <c r="AW136" s="9"/>
      <c r="AX136" s="8">
        <v>2500000</v>
      </c>
      <c r="AY136" s="9"/>
      <c r="AZ136" s="8">
        <v>2500000</v>
      </c>
      <c r="BA136" s="9">
        <f t="shared" si="11"/>
        <v>25000000</v>
      </c>
      <c r="BB136" s="9">
        <f t="shared" si="12"/>
        <v>10000000</v>
      </c>
      <c r="BC136" s="7">
        <f t="shared" si="13"/>
        <v>15000000</v>
      </c>
    </row>
    <row r="137" spans="1:55" s="35" customFormat="1" x14ac:dyDescent="0.25">
      <c r="A137" s="34">
        <f t="shared" si="14"/>
        <v>132</v>
      </c>
      <c r="B137" s="28" t="s">
        <v>174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>
        <v>5000000</v>
      </c>
      <c r="M137" s="13"/>
      <c r="N137" s="13"/>
      <c r="O137" s="13">
        <v>-500000</v>
      </c>
      <c r="P137" s="29"/>
      <c r="Q137" s="13">
        <v>-4500000</v>
      </c>
      <c r="R137" s="29"/>
      <c r="S137" s="29"/>
      <c r="T137" s="29"/>
      <c r="U137" s="29"/>
      <c r="V137" s="29"/>
      <c r="W137" s="29"/>
      <c r="X137" s="29"/>
      <c r="Y137" s="29"/>
      <c r="Z137" s="29">
        <v>15000000</v>
      </c>
      <c r="AA137" s="29"/>
      <c r="AB137" s="29">
        <f t="shared" si="10"/>
        <v>15000000</v>
      </c>
      <c r="AC137" s="13"/>
      <c r="AD137" s="13">
        <v>1500000</v>
      </c>
      <c r="AE137" s="13"/>
      <c r="AF137" s="13">
        <v>1500000</v>
      </c>
      <c r="AG137" s="13"/>
      <c r="AH137" s="13">
        <v>12000000</v>
      </c>
      <c r="AI137" s="13"/>
      <c r="AJ137" s="13"/>
      <c r="AK137" s="13"/>
      <c r="AL137" s="13">
        <v>0</v>
      </c>
      <c r="AM137" s="13"/>
      <c r="AN137" s="13"/>
      <c r="AO137" s="29"/>
      <c r="AP137" s="13"/>
      <c r="AQ137" s="29"/>
      <c r="AR137" s="29"/>
      <c r="AS137" s="29"/>
      <c r="AT137" s="29"/>
      <c r="AU137" s="29"/>
      <c r="AV137" s="29"/>
      <c r="AW137" s="29"/>
      <c r="AX137" s="29">
        <v>0</v>
      </c>
      <c r="AY137" s="29"/>
      <c r="AZ137" s="29">
        <v>0</v>
      </c>
      <c r="BA137" s="9">
        <f t="shared" si="11"/>
        <v>15000000</v>
      </c>
      <c r="BB137" s="29">
        <f t="shared" si="12"/>
        <v>15000000</v>
      </c>
      <c r="BC137" s="29">
        <f t="shared" si="13"/>
        <v>0</v>
      </c>
    </row>
    <row r="138" spans="1:55" x14ac:dyDescent="0.25">
      <c r="A138" s="4">
        <f t="shared" si="14"/>
        <v>133</v>
      </c>
      <c r="B138" s="38" t="s">
        <v>133</v>
      </c>
      <c r="C138" s="6">
        <v>1045517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>
        <f t="shared" si="10"/>
        <v>1045517</v>
      </c>
      <c r="AC138" s="6"/>
      <c r="AD138" s="5"/>
      <c r="AE138" s="6"/>
      <c r="AF138" s="5"/>
      <c r="AG138" s="6"/>
      <c r="AH138" s="5">
        <v>0</v>
      </c>
      <c r="AI138" s="6"/>
      <c r="AJ138" s="5"/>
      <c r="AK138" s="6"/>
      <c r="AL138" s="6">
        <v>0</v>
      </c>
      <c r="AM138" s="6"/>
      <c r="AN138" s="6"/>
      <c r="AO138" s="9"/>
      <c r="AP138" s="8"/>
      <c r="AQ138" s="9"/>
      <c r="AR138" s="8"/>
      <c r="AS138" s="9"/>
      <c r="AT138" s="8"/>
      <c r="AU138" s="9"/>
      <c r="AV138" s="8"/>
      <c r="AW138" s="9"/>
      <c r="AX138" s="8"/>
      <c r="AY138" s="9"/>
      <c r="AZ138" s="8"/>
      <c r="BA138" s="9">
        <f t="shared" si="11"/>
        <v>1045517</v>
      </c>
      <c r="BB138" s="9">
        <f t="shared" si="12"/>
        <v>0</v>
      </c>
      <c r="BC138" s="7">
        <f t="shared" si="13"/>
        <v>1045517</v>
      </c>
    </row>
    <row r="139" spans="1:55" x14ac:dyDescent="0.25">
      <c r="A139" s="4">
        <f t="shared" si="14"/>
        <v>134</v>
      </c>
      <c r="B139" s="38" t="s">
        <v>134</v>
      </c>
      <c r="C139" s="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>
        <f t="shared" si="10"/>
        <v>0</v>
      </c>
      <c r="AC139" s="6"/>
      <c r="AD139" s="5"/>
      <c r="AE139" s="6"/>
      <c r="AF139" s="5"/>
      <c r="AG139" s="6"/>
      <c r="AH139" s="5">
        <v>0</v>
      </c>
      <c r="AI139" s="6"/>
      <c r="AJ139" s="5"/>
      <c r="AK139" s="6"/>
      <c r="AL139" s="6">
        <v>0</v>
      </c>
      <c r="AM139" s="6"/>
      <c r="AN139" s="6"/>
      <c r="AO139" s="9"/>
      <c r="AP139" s="8"/>
      <c r="AQ139" s="9"/>
      <c r="AR139" s="8"/>
      <c r="AS139" s="9"/>
      <c r="AT139" s="8"/>
      <c r="AU139" s="9"/>
      <c r="AV139" s="8"/>
      <c r="AW139" s="9"/>
      <c r="AX139" s="8"/>
      <c r="AY139" s="9"/>
      <c r="AZ139" s="8"/>
      <c r="BA139" s="9">
        <f t="shared" si="11"/>
        <v>0</v>
      </c>
      <c r="BB139" s="9">
        <f t="shared" si="12"/>
        <v>0</v>
      </c>
      <c r="BC139" s="7">
        <f t="shared" si="13"/>
        <v>0</v>
      </c>
    </row>
    <row r="140" spans="1:55" x14ac:dyDescent="0.25">
      <c r="A140" s="4">
        <f t="shared" si="14"/>
        <v>135</v>
      </c>
      <c r="B140" s="38" t="s">
        <v>135</v>
      </c>
      <c r="C140" s="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>
        <f t="shared" si="10"/>
        <v>0</v>
      </c>
      <c r="AC140" s="6"/>
      <c r="AD140" s="5"/>
      <c r="AE140" s="6"/>
      <c r="AF140" s="5"/>
      <c r="AG140" s="6">
        <v>25000000</v>
      </c>
      <c r="AH140" s="5"/>
      <c r="AI140" s="6"/>
      <c r="AJ140" s="5">
        <v>2500000</v>
      </c>
      <c r="AK140" s="6"/>
      <c r="AL140" s="6">
        <v>2500000</v>
      </c>
      <c r="AM140" s="6"/>
      <c r="AN140" s="6">
        <v>2500000</v>
      </c>
      <c r="AO140" s="9"/>
      <c r="AP140" s="8">
        <v>2500000</v>
      </c>
      <c r="AQ140" s="9"/>
      <c r="AR140" s="8">
        <v>2500000</v>
      </c>
      <c r="AS140" s="9"/>
      <c r="AT140" s="8">
        <v>2500000</v>
      </c>
      <c r="AU140" s="9"/>
      <c r="AV140" s="8">
        <v>2500000</v>
      </c>
      <c r="AW140" s="9"/>
      <c r="AX140" s="8">
        <v>2500000</v>
      </c>
      <c r="AY140" s="9"/>
      <c r="AZ140" s="8">
        <v>100000</v>
      </c>
      <c r="BA140" s="9">
        <f t="shared" si="11"/>
        <v>25000000</v>
      </c>
      <c r="BB140" s="9">
        <f t="shared" si="12"/>
        <v>20100000</v>
      </c>
      <c r="BC140" s="7">
        <f t="shared" si="13"/>
        <v>4900000</v>
      </c>
    </row>
    <row r="141" spans="1:55" x14ac:dyDescent="0.25">
      <c r="A141" s="4">
        <f t="shared" si="14"/>
        <v>136</v>
      </c>
      <c r="B141" s="38" t="s">
        <v>136</v>
      </c>
      <c r="C141" s="6">
        <v>6250000</v>
      </c>
      <c r="D141" s="6"/>
      <c r="E141" s="6">
        <v>-1250000</v>
      </c>
      <c r="F141" s="6"/>
      <c r="G141" s="6">
        <v>-1250000</v>
      </c>
      <c r="H141" s="6"/>
      <c r="I141" s="6">
        <v>-1250000</v>
      </c>
      <c r="J141" s="6"/>
      <c r="K141" s="6"/>
      <c r="L141" s="6"/>
      <c r="M141" s="6">
        <v>-1250000</v>
      </c>
      <c r="N141" s="6">
        <v>20000000</v>
      </c>
      <c r="O141" s="6">
        <v>-1250000</v>
      </c>
      <c r="P141" s="9"/>
      <c r="Q141" s="9">
        <v>-2000000</v>
      </c>
      <c r="R141" s="9"/>
      <c r="S141" s="9">
        <v>-2000000</v>
      </c>
      <c r="T141" s="9"/>
      <c r="U141" s="9">
        <v>-2000000</v>
      </c>
      <c r="V141" s="9"/>
      <c r="W141" s="9">
        <v>-2000000</v>
      </c>
      <c r="X141" s="9"/>
      <c r="Y141" s="9">
        <v>-2000000</v>
      </c>
      <c r="Z141" s="9"/>
      <c r="AA141" s="9">
        <v>-2000000</v>
      </c>
      <c r="AB141" s="9">
        <f t="shared" si="10"/>
        <v>8000000</v>
      </c>
      <c r="AC141" s="6">
        <v>18000000</v>
      </c>
      <c r="AD141" s="5">
        <f>2000000+6000000</f>
        <v>8000000</v>
      </c>
      <c r="AE141" s="6"/>
      <c r="AF141" s="5">
        <v>1800000</v>
      </c>
      <c r="AG141" s="6"/>
      <c r="AH141" s="5">
        <v>0</v>
      </c>
      <c r="AI141" s="6"/>
      <c r="AJ141" s="5">
        <v>1800000</v>
      </c>
      <c r="AK141" s="6"/>
      <c r="AL141" s="6">
        <v>1800000</v>
      </c>
      <c r="AM141" s="6"/>
      <c r="AN141" s="6">
        <v>1800000</v>
      </c>
      <c r="AO141" s="9"/>
      <c r="AP141" s="8">
        <v>1800000</v>
      </c>
      <c r="AQ141" s="9"/>
      <c r="AR141" s="8">
        <v>1800000</v>
      </c>
      <c r="AS141" s="9"/>
      <c r="AT141" s="8">
        <v>1800000</v>
      </c>
      <c r="AU141" s="9"/>
      <c r="AV141" s="8">
        <v>1800000</v>
      </c>
      <c r="AW141" s="9"/>
      <c r="AX141" s="8">
        <v>1800000</v>
      </c>
      <c r="AY141" s="9"/>
      <c r="AZ141" s="8">
        <v>100000</v>
      </c>
      <c r="BA141" s="9">
        <f t="shared" si="11"/>
        <v>26000000</v>
      </c>
      <c r="BB141" s="9">
        <f t="shared" si="12"/>
        <v>24300000</v>
      </c>
      <c r="BC141" s="7">
        <f t="shared" si="13"/>
        <v>1700000</v>
      </c>
    </row>
    <row r="142" spans="1:55" x14ac:dyDescent="0.25">
      <c r="A142" s="4">
        <f t="shared" si="14"/>
        <v>137</v>
      </c>
      <c r="B142" s="38" t="s">
        <v>137</v>
      </c>
      <c r="C142" s="6">
        <v>3000000</v>
      </c>
      <c r="D142" s="6"/>
      <c r="E142" s="6">
        <v>-1500000</v>
      </c>
      <c r="F142" s="6"/>
      <c r="G142" s="6">
        <v>-1500000</v>
      </c>
      <c r="H142" s="6"/>
      <c r="I142" s="6"/>
      <c r="J142" s="6"/>
      <c r="K142" s="6"/>
      <c r="L142" s="6"/>
      <c r="M142" s="6"/>
      <c r="N142" s="6"/>
      <c r="O142" s="6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>
        <f t="shared" si="10"/>
        <v>0</v>
      </c>
      <c r="AC142" s="6"/>
      <c r="AD142" s="5"/>
      <c r="AE142" s="6"/>
      <c r="AF142" s="5"/>
      <c r="AG142" s="6"/>
      <c r="AH142" s="5">
        <v>0</v>
      </c>
      <c r="AI142" s="6"/>
      <c r="AJ142" s="5"/>
      <c r="AK142" s="6"/>
      <c r="AL142" s="6">
        <v>0</v>
      </c>
      <c r="AM142" s="6"/>
      <c r="AN142" s="6"/>
      <c r="AO142" s="9"/>
      <c r="AP142" s="8"/>
      <c r="AQ142" s="9"/>
      <c r="AR142" s="8"/>
      <c r="AS142" s="9"/>
      <c r="AT142" s="8"/>
      <c r="AU142" s="9"/>
      <c r="AV142" s="8"/>
      <c r="AW142" s="9"/>
      <c r="AX142" s="8"/>
      <c r="AY142" s="9"/>
      <c r="AZ142" s="8"/>
      <c r="BA142" s="9">
        <f t="shared" si="11"/>
        <v>0</v>
      </c>
      <c r="BB142" s="9">
        <f t="shared" si="12"/>
        <v>0</v>
      </c>
      <c r="BC142" s="7">
        <f t="shared" si="13"/>
        <v>0</v>
      </c>
    </row>
    <row r="143" spans="1:55" x14ac:dyDescent="0.25">
      <c r="A143" s="4">
        <f t="shared" si="14"/>
        <v>138</v>
      </c>
      <c r="B143" s="38" t="s">
        <v>138</v>
      </c>
      <c r="C143" s="6">
        <v>20000000</v>
      </c>
      <c r="D143" s="6"/>
      <c r="E143" s="6">
        <v>-2500000</v>
      </c>
      <c r="F143" s="6"/>
      <c r="G143" s="6">
        <v>-2500000</v>
      </c>
      <c r="H143" s="6"/>
      <c r="I143" s="6">
        <v>-2500000</v>
      </c>
      <c r="J143" s="6"/>
      <c r="K143" s="6"/>
      <c r="L143" s="6"/>
      <c r="M143" s="6">
        <v>-2500000</v>
      </c>
      <c r="N143" s="6"/>
      <c r="O143" s="6">
        <v>-2500000</v>
      </c>
      <c r="P143" s="9"/>
      <c r="Q143" s="6">
        <v>-2500000</v>
      </c>
      <c r="R143" s="9"/>
      <c r="S143" s="6">
        <v>-2500000</v>
      </c>
      <c r="T143" s="9"/>
      <c r="U143" s="6">
        <v>-2500000</v>
      </c>
      <c r="V143" s="9"/>
      <c r="W143" s="6"/>
      <c r="X143" s="9"/>
      <c r="Y143" s="9"/>
      <c r="Z143" s="9">
        <v>25000000</v>
      </c>
      <c r="AA143" s="9"/>
      <c r="AB143" s="9">
        <f t="shared" si="10"/>
        <v>25000000</v>
      </c>
      <c r="AC143" s="6"/>
      <c r="AD143" s="5">
        <v>2500000</v>
      </c>
      <c r="AE143" s="6"/>
      <c r="AF143" s="5">
        <v>2500000</v>
      </c>
      <c r="AG143" s="6"/>
      <c r="AH143" s="5">
        <v>0</v>
      </c>
      <c r="AI143" s="6"/>
      <c r="AJ143" s="5">
        <v>2500000</v>
      </c>
      <c r="AK143" s="6"/>
      <c r="AL143" s="6">
        <v>2500000</v>
      </c>
      <c r="AM143" s="6"/>
      <c r="AN143" s="6">
        <v>2500000</v>
      </c>
      <c r="AO143" s="9"/>
      <c r="AP143" s="5">
        <v>2500000</v>
      </c>
      <c r="AQ143" s="9">
        <v>3300000</v>
      </c>
      <c r="AR143" s="5">
        <f>3300000+2500000</f>
        <v>5800000</v>
      </c>
      <c r="AS143" s="9"/>
      <c r="AT143" s="5">
        <v>2500000</v>
      </c>
      <c r="AU143" s="9"/>
      <c r="AV143" s="5">
        <v>2500000</v>
      </c>
      <c r="AW143" s="9"/>
      <c r="AX143" s="8">
        <v>2500000</v>
      </c>
      <c r="AY143" s="9"/>
      <c r="AZ143" s="8"/>
      <c r="BA143" s="9">
        <f t="shared" si="11"/>
        <v>28300000</v>
      </c>
      <c r="BB143" s="9">
        <f t="shared" si="12"/>
        <v>28300000</v>
      </c>
      <c r="BC143" s="7">
        <f t="shared" si="13"/>
        <v>0</v>
      </c>
    </row>
    <row r="144" spans="1:55" x14ac:dyDescent="0.25">
      <c r="A144" s="4">
        <f t="shared" si="14"/>
        <v>139</v>
      </c>
      <c r="B144" s="38" t="s">
        <v>139</v>
      </c>
      <c r="C144" s="6">
        <v>14000000</v>
      </c>
      <c r="D144" s="6"/>
      <c r="E144" s="6">
        <v>-2000000</v>
      </c>
      <c r="F144" s="6"/>
      <c r="G144" s="6">
        <v>-2000000</v>
      </c>
      <c r="H144" s="6"/>
      <c r="I144" s="6">
        <v>-2000000</v>
      </c>
      <c r="J144" s="6"/>
      <c r="K144" s="6"/>
      <c r="L144" s="6"/>
      <c r="M144" s="6">
        <v>-2000000</v>
      </c>
      <c r="N144" s="6"/>
      <c r="O144" s="6">
        <v>-2000000</v>
      </c>
      <c r="P144" s="9"/>
      <c r="Q144" s="6">
        <v>-2000000</v>
      </c>
      <c r="R144" s="9"/>
      <c r="S144" s="6">
        <v>-2000000</v>
      </c>
      <c r="T144" s="9"/>
      <c r="U144" s="9"/>
      <c r="V144" s="9"/>
      <c r="W144" s="9"/>
      <c r="X144" s="9"/>
      <c r="Y144" s="9"/>
      <c r="Z144" s="9"/>
      <c r="AA144" s="9"/>
      <c r="AB144" s="9">
        <f t="shared" si="10"/>
        <v>0</v>
      </c>
      <c r="AC144" s="6"/>
      <c r="AD144" s="5"/>
      <c r="AE144" s="6"/>
      <c r="AF144" s="5"/>
      <c r="AG144" s="6"/>
      <c r="AH144" s="5">
        <v>0</v>
      </c>
      <c r="AI144" s="6"/>
      <c r="AJ144" s="5"/>
      <c r="AK144" s="6"/>
      <c r="AL144" s="6">
        <v>0</v>
      </c>
      <c r="AM144" s="6"/>
      <c r="AN144" s="6"/>
      <c r="AO144" s="9"/>
      <c r="AP144" s="5"/>
      <c r="AQ144" s="9"/>
      <c r="AR144" s="5"/>
      <c r="AS144" s="9"/>
      <c r="AT144" s="8"/>
      <c r="AU144" s="9"/>
      <c r="AV144" s="8"/>
      <c r="AW144" s="9"/>
      <c r="AX144" s="8"/>
      <c r="AY144" s="9"/>
      <c r="AZ144" s="8"/>
      <c r="BA144" s="9">
        <f t="shared" si="11"/>
        <v>0</v>
      </c>
      <c r="BB144" s="9">
        <f t="shared" si="12"/>
        <v>0</v>
      </c>
      <c r="BC144" s="7">
        <f t="shared" si="13"/>
        <v>0</v>
      </c>
    </row>
    <row r="145" spans="1:55" x14ac:dyDescent="0.25">
      <c r="A145" s="4">
        <f t="shared" si="14"/>
        <v>140</v>
      </c>
      <c r="B145" s="38" t="s">
        <v>140</v>
      </c>
      <c r="C145" s="6">
        <v>600000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>
        <f t="shared" si="10"/>
        <v>600000</v>
      </c>
      <c r="AC145" s="6"/>
      <c r="AD145" s="5"/>
      <c r="AE145" s="6"/>
      <c r="AF145" s="5"/>
      <c r="AG145" s="6"/>
      <c r="AH145" s="5">
        <v>0</v>
      </c>
      <c r="AI145" s="6"/>
      <c r="AJ145" s="5"/>
      <c r="AK145" s="6"/>
      <c r="AL145" s="6">
        <v>0</v>
      </c>
      <c r="AM145" s="6"/>
      <c r="AN145" s="6"/>
      <c r="AO145" s="9"/>
      <c r="AP145" s="8"/>
      <c r="AQ145" s="9"/>
      <c r="AR145" s="8"/>
      <c r="AS145" s="9"/>
      <c r="AT145" s="8"/>
      <c r="AU145" s="9"/>
      <c r="AV145" s="8"/>
      <c r="AW145" s="9"/>
      <c r="AX145" s="8"/>
      <c r="AY145" s="9"/>
      <c r="AZ145" s="8"/>
      <c r="BA145" s="9">
        <f t="shared" si="11"/>
        <v>600000</v>
      </c>
      <c r="BB145" s="9">
        <f t="shared" si="12"/>
        <v>0</v>
      </c>
      <c r="BC145" s="7">
        <f t="shared" si="13"/>
        <v>600000</v>
      </c>
    </row>
    <row r="146" spans="1:55" x14ac:dyDescent="0.25">
      <c r="A146" s="4">
        <f t="shared" si="14"/>
        <v>141</v>
      </c>
      <c r="B146" s="38" t="s">
        <v>141</v>
      </c>
      <c r="C146" s="6"/>
      <c r="D146" s="6"/>
      <c r="E146" s="6"/>
      <c r="F146" s="6">
        <v>25000000</v>
      </c>
      <c r="G146" s="6">
        <v>-2500000</v>
      </c>
      <c r="H146" s="6"/>
      <c r="I146" s="6"/>
      <c r="J146" s="6"/>
      <c r="K146" s="6">
        <v>-2500000</v>
      </c>
      <c r="L146" s="6"/>
      <c r="M146" s="6">
        <v>-2500000</v>
      </c>
      <c r="N146" s="6"/>
      <c r="O146" s="6">
        <v>-2500000</v>
      </c>
      <c r="P146" s="9"/>
      <c r="Q146" s="9"/>
      <c r="R146" s="9"/>
      <c r="S146" s="6">
        <v>-2500000</v>
      </c>
      <c r="T146" s="9"/>
      <c r="U146" s="6">
        <v>-2500000</v>
      </c>
      <c r="V146" s="9"/>
      <c r="W146" s="6">
        <v>-5000000</v>
      </c>
      <c r="X146" s="9"/>
      <c r="Y146" s="9"/>
      <c r="Z146" s="9"/>
      <c r="AA146" s="9">
        <v>-2500000</v>
      </c>
      <c r="AB146" s="9">
        <f t="shared" si="10"/>
        <v>2500000</v>
      </c>
      <c r="AC146" s="6"/>
      <c r="AD146" s="5"/>
      <c r="AE146" s="6">
        <v>5000000</v>
      </c>
      <c r="AF146" s="5">
        <v>2500000</v>
      </c>
      <c r="AG146" s="6"/>
      <c r="AH146" s="5">
        <v>500000</v>
      </c>
      <c r="AI146" s="6"/>
      <c r="AJ146" s="5"/>
      <c r="AK146" s="6"/>
      <c r="AL146" s="6">
        <v>1000000</v>
      </c>
      <c r="AM146" s="6"/>
      <c r="AN146" s="6"/>
      <c r="AO146" s="9"/>
      <c r="AP146" s="8"/>
      <c r="AQ146" s="9"/>
      <c r="AR146" s="5"/>
      <c r="AS146" s="9"/>
      <c r="AT146" s="5"/>
      <c r="AU146" s="9"/>
      <c r="AV146" s="5"/>
      <c r="AW146" s="9"/>
      <c r="AX146" s="8"/>
      <c r="AY146" s="9"/>
      <c r="AZ146" s="8"/>
      <c r="BA146" s="9">
        <f t="shared" si="11"/>
        <v>7500000</v>
      </c>
      <c r="BB146" s="9">
        <f t="shared" si="12"/>
        <v>4000000</v>
      </c>
      <c r="BC146" s="7">
        <f t="shared" si="13"/>
        <v>3500000</v>
      </c>
    </row>
    <row r="147" spans="1:55" x14ac:dyDescent="0.25">
      <c r="A147" s="4">
        <f t="shared" si="14"/>
        <v>142</v>
      </c>
      <c r="B147" s="38" t="s">
        <v>209</v>
      </c>
      <c r="C147" s="6">
        <v>7500000</v>
      </c>
      <c r="D147" s="6"/>
      <c r="E147" s="6">
        <v>-1500000</v>
      </c>
      <c r="F147" s="6"/>
      <c r="G147" s="6">
        <v>-1500000</v>
      </c>
      <c r="H147" s="6"/>
      <c r="I147" s="6">
        <v>-1500000</v>
      </c>
      <c r="J147" s="6"/>
      <c r="K147" s="6">
        <v>-1500000</v>
      </c>
      <c r="L147" s="6"/>
      <c r="M147" s="6">
        <v>-1500000</v>
      </c>
      <c r="N147" s="6">
        <v>20000000</v>
      </c>
      <c r="O147" s="6"/>
      <c r="P147" s="9"/>
      <c r="Q147" s="6">
        <v>-2000000</v>
      </c>
      <c r="R147" s="9"/>
      <c r="S147" s="6">
        <v>-2000000</v>
      </c>
      <c r="T147" s="9"/>
      <c r="U147" s="6">
        <v>-2000000</v>
      </c>
      <c r="V147" s="9"/>
      <c r="W147" s="9">
        <v>-2000000</v>
      </c>
      <c r="X147" s="9"/>
      <c r="Y147" s="9">
        <v>-2000000</v>
      </c>
      <c r="Z147" s="9"/>
      <c r="AA147" s="9"/>
      <c r="AB147" s="9">
        <f t="shared" ref="AB147:AB180" si="15">C147+D147+E147+F147+G147+H147+I147+J147+K147+L147+M147+N147+O147+P147+Q147+R147+S147+T147+U147+V147+W147+X147+Y147+Z147+AA147</f>
        <v>10000000</v>
      </c>
      <c r="AC147" s="6"/>
      <c r="AD147" s="5">
        <v>2000000</v>
      </c>
      <c r="AE147" s="6"/>
      <c r="AF147" s="5">
        <v>2000000</v>
      </c>
      <c r="AG147" s="6"/>
      <c r="AH147" s="5">
        <v>2000000</v>
      </c>
      <c r="AI147" s="6"/>
      <c r="AJ147" s="5">
        <v>2000000</v>
      </c>
      <c r="AK147" s="6"/>
      <c r="AL147" s="6">
        <v>2000000</v>
      </c>
      <c r="AM147" s="6"/>
      <c r="AN147" s="6"/>
      <c r="AO147" s="9"/>
      <c r="AP147" s="5"/>
      <c r="AQ147" s="9"/>
      <c r="AR147" s="5"/>
      <c r="AS147" s="9"/>
      <c r="AT147" s="5"/>
      <c r="AU147" s="9"/>
      <c r="AV147" s="8"/>
      <c r="AW147" s="9"/>
      <c r="AX147" s="8"/>
      <c r="AY147" s="9"/>
      <c r="AZ147" s="8"/>
      <c r="BA147" s="9">
        <f t="shared" si="11"/>
        <v>10000000</v>
      </c>
      <c r="BB147" s="9">
        <f t="shared" si="12"/>
        <v>10000000</v>
      </c>
      <c r="BC147" s="7">
        <f t="shared" si="13"/>
        <v>0</v>
      </c>
    </row>
    <row r="148" spans="1:55" x14ac:dyDescent="0.25">
      <c r="A148" s="4">
        <f t="shared" si="14"/>
        <v>143</v>
      </c>
      <c r="B148" s="38" t="s">
        <v>142</v>
      </c>
      <c r="C148" s="6">
        <v>7500000</v>
      </c>
      <c r="D148" s="6"/>
      <c r="E148" s="6">
        <v>-2500000</v>
      </c>
      <c r="F148" s="6"/>
      <c r="G148" s="6">
        <v>-2500000</v>
      </c>
      <c r="H148" s="6"/>
      <c r="I148" s="6">
        <v>-2500000</v>
      </c>
      <c r="J148" s="6"/>
      <c r="K148" s="6"/>
      <c r="L148" s="6">
        <v>25000000</v>
      </c>
      <c r="M148" s="6"/>
      <c r="N148" s="6"/>
      <c r="O148" s="6">
        <v>-2500000</v>
      </c>
      <c r="P148" s="9"/>
      <c r="Q148" s="6">
        <v>-2500000</v>
      </c>
      <c r="R148" s="9"/>
      <c r="S148" s="6">
        <v>-2500000</v>
      </c>
      <c r="T148" s="9"/>
      <c r="U148" s="6">
        <v>-2500000</v>
      </c>
      <c r="V148" s="9"/>
      <c r="W148" s="6">
        <v>-2500000</v>
      </c>
      <c r="X148" s="9"/>
      <c r="Y148" s="6">
        <v>-2500000</v>
      </c>
      <c r="Z148" s="9"/>
      <c r="AA148" s="6">
        <v>-2500000</v>
      </c>
      <c r="AB148" s="9">
        <f t="shared" si="15"/>
        <v>7500000</v>
      </c>
      <c r="AC148" s="6"/>
      <c r="AD148" s="5"/>
      <c r="AE148" s="6"/>
      <c r="AF148" s="5"/>
      <c r="AG148" s="6"/>
      <c r="AH148" s="5">
        <v>0</v>
      </c>
      <c r="AI148" s="6"/>
      <c r="AJ148" s="5"/>
      <c r="AK148" s="6"/>
      <c r="AL148" s="6">
        <v>0</v>
      </c>
      <c r="AM148" s="6"/>
      <c r="AN148" s="6"/>
      <c r="AO148" s="9"/>
      <c r="AP148" s="5"/>
      <c r="AQ148" s="9"/>
      <c r="AR148" s="5"/>
      <c r="AS148" s="9"/>
      <c r="AT148" s="5"/>
      <c r="AU148" s="9"/>
      <c r="AV148" s="5"/>
      <c r="AW148" s="9"/>
      <c r="AX148" s="5"/>
      <c r="AY148" s="9"/>
      <c r="AZ148" s="5"/>
      <c r="BA148" s="9">
        <f t="shared" si="11"/>
        <v>7500000</v>
      </c>
      <c r="BB148" s="9">
        <f t="shared" si="12"/>
        <v>0</v>
      </c>
      <c r="BC148" s="7">
        <f t="shared" si="13"/>
        <v>7500000</v>
      </c>
    </row>
    <row r="149" spans="1:55" x14ac:dyDescent="0.25">
      <c r="A149" s="4">
        <f t="shared" si="14"/>
        <v>144</v>
      </c>
      <c r="B149" s="38" t="s">
        <v>143</v>
      </c>
      <c r="C149" s="6">
        <v>12000000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>
        <f t="shared" si="15"/>
        <v>12000000</v>
      </c>
      <c r="AC149" s="6"/>
      <c r="AD149" s="5"/>
      <c r="AE149" s="6"/>
      <c r="AF149" s="5"/>
      <c r="AG149" s="6"/>
      <c r="AH149" s="5">
        <v>0</v>
      </c>
      <c r="AI149" s="6"/>
      <c r="AJ149" s="5"/>
      <c r="AK149" s="6"/>
      <c r="AL149" s="6">
        <v>0</v>
      </c>
      <c r="AM149" s="6"/>
      <c r="AN149" s="6"/>
      <c r="AO149" s="9"/>
      <c r="AP149" s="8"/>
      <c r="AQ149" s="9"/>
      <c r="AR149" s="8"/>
      <c r="AS149" s="9"/>
      <c r="AT149" s="8"/>
      <c r="AU149" s="9"/>
      <c r="AV149" s="8"/>
      <c r="AW149" s="9"/>
      <c r="AX149" s="8"/>
      <c r="AY149" s="9"/>
      <c r="AZ149" s="8"/>
      <c r="BA149" s="9">
        <f t="shared" si="11"/>
        <v>12000000</v>
      </c>
      <c r="BB149" s="9">
        <f t="shared" si="12"/>
        <v>0</v>
      </c>
      <c r="BC149" s="7">
        <f t="shared" si="13"/>
        <v>12000000</v>
      </c>
    </row>
    <row r="150" spans="1:55" x14ac:dyDescent="0.25">
      <c r="A150" s="4">
        <f t="shared" si="14"/>
        <v>145</v>
      </c>
      <c r="B150" s="38" t="s">
        <v>144</v>
      </c>
      <c r="C150" s="6">
        <v>8000000</v>
      </c>
      <c r="D150" s="6"/>
      <c r="E150" s="6">
        <v>-1000000</v>
      </c>
      <c r="F150" s="6"/>
      <c r="G150" s="6">
        <v>-1000000</v>
      </c>
      <c r="H150" s="6"/>
      <c r="I150" s="6">
        <v>-1000000</v>
      </c>
      <c r="J150" s="6"/>
      <c r="K150" s="6"/>
      <c r="L150" s="6"/>
      <c r="M150" s="6">
        <v>-1000000</v>
      </c>
      <c r="N150" s="6"/>
      <c r="O150" s="6">
        <v>-1000000</v>
      </c>
      <c r="P150" s="9"/>
      <c r="Q150" s="6">
        <v>-1000000</v>
      </c>
      <c r="R150" s="9"/>
      <c r="S150" s="6">
        <v>-1000000</v>
      </c>
      <c r="T150" s="9"/>
      <c r="U150" s="6">
        <v>-1000000</v>
      </c>
      <c r="V150" s="9"/>
      <c r="W150" s="9"/>
      <c r="X150" s="9">
        <v>10000000</v>
      </c>
      <c r="Y150" s="9"/>
      <c r="Z150" s="9"/>
      <c r="AA150" s="9">
        <v>-1000000</v>
      </c>
      <c r="AB150" s="9">
        <f t="shared" si="15"/>
        <v>9000000</v>
      </c>
      <c r="AC150" s="6"/>
      <c r="AD150" s="5">
        <v>1000000</v>
      </c>
      <c r="AE150" s="6"/>
      <c r="AF150" s="5">
        <v>1000000</v>
      </c>
      <c r="AG150" s="6"/>
      <c r="AH150" s="5">
        <v>0</v>
      </c>
      <c r="AI150" s="6"/>
      <c r="AJ150" s="5">
        <v>1000000</v>
      </c>
      <c r="AK150" s="6"/>
      <c r="AL150" s="6">
        <v>1000000</v>
      </c>
      <c r="AM150" s="6"/>
      <c r="AN150" s="6">
        <v>1000000</v>
      </c>
      <c r="AO150" s="9"/>
      <c r="AP150" s="5">
        <v>1000000</v>
      </c>
      <c r="AQ150" s="9"/>
      <c r="AR150" s="5">
        <v>1000000</v>
      </c>
      <c r="AS150" s="9"/>
      <c r="AT150" s="5">
        <v>1000000</v>
      </c>
      <c r="AU150" s="9">
        <v>10000000</v>
      </c>
      <c r="AV150" s="8">
        <f>1000000+1000000</f>
        <v>2000000</v>
      </c>
      <c r="AW150" s="9"/>
      <c r="AX150" s="8">
        <v>1000000</v>
      </c>
      <c r="AY150" s="9"/>
      <c r="AZ150" s="8">
        <v>1000000</v>
      </c>
      <c r="BA150" s="9">
        <f t="shared" si="11"/>
        <v>19000000</v>
      </c>
      <c r="BB150" s="9">
        <f t="shared" si="12"/>
        <v>12000000</v>
      </c>
      <c r="BC150" s="7">
        <f t="shared" si="13"/>
        <v>7000000</v>
      </c>
    </row>
    <row r="151" spans="1:55" x14ac:dyDescent="0.25">
      <c r="A151" s="4">
        <f t="shared" si="14"/>
        <v>146</v>
      </c>
      <c r="B151" s="38" t="s">
        <v>145</v>
      </c>
      <c r="C151" s="6"/>
      <c r="D151" s="6"/>
      <c r="E151" s="6"/>
      <c r="F151" s="6"/>
      <c r="G151" s="6"/>
      <c r="H151" s="6">
        <v>25000000</v>
      </c>
      <c r="I151" s="6"/>
      <c r="J151" s="6"/>
      <c r="K151" s="6"/>
      <c r="L151" s="6"/>
      <c r="M151" s="6">
        <v>-2500000</v>
      </c>
      <c r="N151" s="6"/>
      <c r="O151" s="6">
        <v>-2500000</v>
      </c>
      <c r="P151" s="9"/>
      <c r="Q151" s="6">
        <v>-2500000</v>
      </c>
      <c r="R151" s="9"/>
      <c r="S151" s="6">
        <v>-2500000</v>
      </c>
      <c r="T151" s="9"/>
      <c r="U151" s="6">
        <v>-2500000</v>
      </c>
      <c r="V151" s="9"/>
      <c r="W151" s="6">
        <v>-2500000</v>
      </c>
      <c r="X151" s="9"/>
      <c r="Y151" s="6">
        <v>-2500000</v>
      </c>
      <c r="Z151" s="9"/>
      <c r="AA151" s="6">
        <v>-2500000</v>
      </c>
      <c r="AB151" s="9">
        <f t="shared" si="15"/>
        <v>5000000</v>
      </c>
      <c r="AC151" s="6"/>
      <c r="AD151" s="5">
        <v>2500000</v>
      </c>
      <c r="AE151" s="6"/>
      <c r="AF151" s="5">
        <v>2500000</v>
      </c>
      <c r="AG151" s="6"/>
      <c r="AH151" s="5">
        <v>0</v>
      </c>
      <c r="AI151" s="6"/>
      <c r="AJ151" s="5"/>
      <c r="AK151" s="6"/>
      <c r="AL151" s="6">
        <v>0</v>
      </c>
      <c r="AM151" s="6"/>
      <c r="AN151" s="6"/>
      <c r="AO151" s="9"/>
      <c r="AP151" s="5"/>
      <c r="AQ151" s="9"/>
      <c r="AR151" s="5"/>
      <c r="AS151" s="9"/>
      <c r="AT151" s="5"/>
      <c r="AU151" s="9">
        <v>25000000</v>
      </c>
      <c r="AV151" s="5">
        <v>2500000</v>
      </c>
      <c r="AW151" s="9"/>
      <c r="AX151" s="5">
        <v>2500000</v>
      </c>
      <c r="AY151" s="9"/>
      <c r="AZ151" s="5">
        <v>2500000</v>
      </c>
      <c r="BA151" s="9">
        <f t="shared" si="11"/>
        <v>30000000</v>
      </c>
      <c r="BB151" s="9">
        <f t="shared" si="12"/>
        <v>12500000</v>
      </c>
      <c r="BC151" s="7">
        <f t="shared" si="13"/>
        <v>17500000</v>
      </c>
    </row>
    <row r="152" spans="1:55" x14ac:dyDescent="0.25">
      <c r="A152" s="4">
        <f t="shared" si="14"/>
        <v>147</v>
      </c>
      <c r="B152" s="38" t="s">
        <v>146</v>
      </c>
      <c r="C152" s="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>
        <f t="shared" si="15"/>
        <v>0</v>
      </c>
      <c r="AC152" s="6"/>
      <c r="AD152" s="5"/>
      <c r="AE152" s="6"/>
      <c r="AF152" s="5"/>
      <c r="AG152" s="6"/>
      <c r="AH152" s="5">
        <v>0</v>
      </c>
      <c r="AI152" s="6"/>
      <c r="AJ152" s="5"/>
      <c r="AK152" s="6"/>
      <c r="AL152" s="6">
        <v>0</v>
      </c>
      <c r="AM152" s="6"/>
      <c r="AN152" s="6"/>
      <c r="AO152" s="9"/>
      <c r="AP152" s="8"/>
      <c r="AQ152" s="9"/>
      <c r="AR152" s="8"/>
      <c r="AS152" s="9"/>
      <c r="AT152" s="8"/>
      <c r="AU152" s="9"/>
      <c r="AV152" s="8"/>
      <c r="AW152" s="9"/>
      <c r="AX152" s="8"/>
      <c r="AY152" s="9"/>
      <c r="AZ152" s="8"/>
      <c r="BA152" s="9">
        <f t="shared" si="11"/>
        <v>0</v>
      </c>
      <c r="BB152" s="9">
        <f t="shared" si="12"/>
        <v>0</v>
      </c>
      <c r="BC152" s="7">
        <f t="shared" si="13"/>
        <v>0</v>
      </c>
    </row>
    <row r="153" spans="1:55" x14ac:dyDescent="0.25">
      <c r="A153" s="4">
        <f t="shared" si="14"/>
        <v>148</v>
      </c>
      <c r="B153" s="38" t="s">
        <v>147</v>
      </c>
      <c r="C153" s="6">
        <v>1972853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>
        <f t="shared" si="15"/>
        <v>1972853</v>
      </c>
      <c r="AC153" s="6"/>
      <c r="AD153" s="5"/>
      <c r="AE153" s="6"/>
      <c r="AF153" s="5"/>
      <c r="AG153" s="6"/>
      <c r="AH153" s="5">
        <v>0</v>
      </c>
      <c r="AI153" s="6"/>
      <c r="AJ153" s="5"/>
      <c r="AK153" s="6"/>
      <c r="AL153" s="6">
        <v>0</v>
      </c>
      <c r="AM153" s="6"/>
      <c r="AN153" s="6"/>
      <c r="AO153" s="9"/>
      <c r="AP153" s="8"/>
      <c r="AQ153" s="9"/>
      <c r="AR153" s="8"/>
      <c r="AS153" s="9"/>
      <c r="AT153" s="8"/>
      <c r="AU153" s="9"/>
      <c r="AV153" s="8"/>
      <c r="AW153" s="9"/>
      <c r="AX153" s="8"/>
      <c r="AY153" s="9"/>
      <c r="AZ153" s="8"/>
      <c r="BA153" s="9">
        <f t="shared" si="11"/>
        <v>1972853</v>
      </c>
      <c r="BB153" s="9">
        <f t="shared" si="12"/>
        <v>0</v>
      </c>
      <c r="BC153" s="7">
        <f t="shared" si="13"/>
        <v>1972853</v>
      </c>
    </row>
    <row r="154" spans="1:55" x14ac:dyDescent="0.25">
      <c r="A154" s="65">
        <f t="shared" si="14"/>
        <v>149</v>
      </c>
      <c r="B154" s="66" t="s">
        <v>148</v>
      </c>
      <c r="C154" s="67">
        <v>12000000</v>
      </c>
      <c r="D154" s="67"/>
      <c r="E154" s="67">
        <v>-1500000</v>
      </c>
      <c r="F154" s="67"/>
      <c r="G154" s="67"/>
      <c r="H154" s="67"/>
      <c r="I154" s="67">
        <v>-3000000</v>
      </c>
      <c r="J154" s="67"/>
      <c r="K154" s="67"/>
      <c r="L154" s="67"/>
      <c r="M154" s="67"/>
      <c r="N154" s="67"/>
      <c r="O154" s="67">
        <v>-3000000</v>
      </c>
      <c r="P154" s="68"/>
      <c r="Q154" s="68">
        <v>-3000000</v>
      </c>
      <c r="R154" s="68"/>
      <c r="S154" s="68"/>
      <c r="T154" s="68"/>
      <c r="U154" s="68">
        <v>-1500000</v>
      </c>
      <c r="V154" s="68">
        <v>20000000</v>
      </c>
      <c r="W154" s="68"/>
      <c r="X154" s="68"/>
      <c r="Y154" s="68">
        <v>-2000000</v>
      </c>
      <c r="Z154" s="68"/>
      <c r="AA154" s="68">
        <v>-2000000</v>
      </c>
      <c r="AB154" s="68">
        <f t="shared" si="15"/>
        <v>16000000</v>
      </c>
      <c r="AC154" s="67"/>
      <c r="AD154" s="67">
        <v>2000000</v>
      </c>
      <c r="AE154" s="67"/>
      <c r="AF154" s="67"/>
      <c r="AG154" s="67"/>
      <c r="AH154" s="67">
        <v>2000000</v>
      </c>
      <c r="AI154" s="67"/>
      <c r="AJ154" s="67">
        <v>2000000</v>
      </c>
      <c r="AK154" s="67"/>
      <c r="AL154" s="67">
        <v>0</v>
      </c>
      <c r="AM154" s="67"/>
      <c r="AN154" s="67"/>
      <c r="AO154" s="68"/>
      <c r="AP154" s="68">
        <f>2000000+2000000</f>
        <v>4000000</v>
      </c>
      <c r="AQ154" s="68"/>
      <c r="AR154" s="68">
        <f>2000000+2000000</f>
        <v>4000000</v>
      </c>
      <c r="AS154" s="68"/>
      <c r="AT154" s="68"/>
      <c r="AU154" s="68"/>
      <c r="AV154" s="68"/>
      <c r="AW154" s="68"/>
      <c r="AX154" s="68">
        <v>4000000</v>
      </c>
      <c r="AY154" s="68"/>
      <c r="AZ154" s="68"/>
      <c r="BA154" s="9">
        <f t="shared" si="11"/>
        <v>16000000</v>
      </c>
      <c r="BB154" s="9">
        <f t="shared" si="12"/>
        <v>18000000</v>
      </c>
      <c r="BC154" s="9">
        <f t="shared" si="13"/>
        <v>-2000000</v>
      </c>
    </row>
    <row r="155" spans="1:55" x14ac:dyDescent="0.25">
      <c r="A155" s="65">
        <f t="shared" si="14"/>
        <v>150</v>
      </c>
      <c r="B155" s="66" t="s">
        <v>149</v>
      </c>
      <c r="C155" s="67">
        <v>10000000</v>
      </c>
      <c r="D155" s="67"/>
      <c r="E155" s="67"/>
      <c r="F155" s="67"/>
      <c r="G155" s="67"/>
      <c r="H155" s="67"/>
      <c r="I155" s="67">
        <v>-2000000</v>
      </c>
      <c r="J155" s="67"/>
      <c r="K155" s="67"/>
      <c r="L155" s="67"/>
      <c r="M155" s="67"/>
      <c r="N155" s="67"/>
      <c r="O155" s="67">
        <v>-2000000</v>
      </c>
      <c r="P155" s="68"/>
      <c r="Q155" s="68">
        <v>-2000000</v>
      </c>
      <c r="R155" s="68">
        <v>15000000</v>
      </c>
      <c r="S155" s="68">
        <v>-4000000</v>
      </c>
      <c r="T155" s="68"/>
      <c r="U155" s="68">
        <v>-1500000</v>
      </c>
      <c r="V155" s="68"/>
      <c r="W155" s="68">
        <v>-1500000</v>
      </c>
      <c r="X155" s="68"/>
      <c r="Y155" s="68">
        <v>-1500000</v>
      </c>
      <c r="Z155" s="68"/>
      <c r="AA155" s="68">
        <v>-1500000</v>
      </c>
      <c r="AB155" s="68">
        <f t="shared" si="15"/>
        <v>9000000</v>
      </c>
      <c r="AC155" s="67"/>
      <c r="AD155" s="67">
        <v>1500000</v>
      </c>
      <c r="AE155" s="67"/>
      <c r="AF155" s="67"/>
      <c r="AG155" s="67"/>
      <c r="AH155" s="67">
        <v>1500000</v>
      </c>
      <c r="AI155" s="67"/>
      <c r="AJ155" s="67">
        <v>1500000</v>
      </c>
      <c r="AK155" s="67"/>
      <c r="AL155" s="67">
        <v>0</v>
      </c>
      <c r="AM155" s="67"/>
      <c r="AN155" s="67"/>
      <c r="AO155" s="68"/>
      <c r="AP155" s="68">
        <f>1500000+1500000</f>
        <v>3000000</v>
      </c>
      <c r="AQ155" s="68"/>
      <c r="AR155" s="68">
        <v>1500000</v>
      </c>
      <c r="AS155" s="68">
        <v>15000000</v>
      </c>
      <c r="AT155" s="68"/>
      <c r="AU155" s="68"/>
      <c r="AV155" s="68"/>
      <c r="AW155" s="68"/>
      <c r="AX155" s="68"/>
      <c r="AY155" s="68"/>
      <c r="AZ155" s="68">
        <f>1500000+1500000+1500000</f>
        <v>4500000</v>
      </c>
      <c r="BA155" s="9">
        <f t="shared" si="11"/>
        <v>24000000</v>
      </c>
      <c r="BB155" s="9">
        <f t="shared" si="12"/>
        <v>13500000</v>
      </c>
      <c r="BC155" s="7">
        <f t="shared" si="13"/>
        <v>10500000</v>
      </c>
    </row>
    <row r="156" spans="1:55" x14ac:dyDescent="0.25">
      <c r="A156" s="4">
        <f t="shared" si="14"/>
        <v>151</v>
      </c>
      <c r="B156" s="38" t="s">
        <v>150</v>
      </c>
      <c r="C156" s="6">
        <v>3700000</v>
      </c>
      <c r="D156" s="6"/>
      <c r="E156" s="6">
        <v>-1850000</v>
      </c>
      <c r="F156" s="6"/>
      <c r="G156" s="6">
        <v>-1850000</v>
      </c>
      <c r="H156" s="6"/>
      <c r="I156" s="6"/>
      <c r="J156" s="6"/>
      <c r="K156" s="6"/>
      <c r="L156" s="6"/>
      <c r="M156" s="6"/>
      <c r="N156" s="6"/>
      <c r="O156" s="6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>
        <f t="shared" si="15"/>
        <v>0</v>
      </c>
      <c r="AC156" s="6"/>
      <c r="AD156" s="5"/>
      <c r="AE156" s="6"/>
      <c r="AF156" s="5"/>
      <c r="AG156" s="6"/>
      <c r="AH156" s="5">
        <v>0</v>
      </c>
      <c r="AI156" s="6"/>
      <c r="AJ156" s="5"/>
      <c r="AK156" s="6"/>
      <c r="AL156" s="6">
        <v>0</v>
      </c>
      <c r="AM156" s="6"/>
      <c r="AN156" s="6"/>
      <c r="AO156" s="9"/>
      <c r="AP156" s="8"/>
      <c r="AQ156" s="9"/>
      <c r="AR156" s="8"/>
      <c r="AS156" s="9"/>
      <c r="AT156" s="8"/>
      <c r="AU156" s="9"/>
      <c r="AV156" s="8"/>
      <c r="AW156" s="9"/>
      <c r="AX156" s="8"/>
      <c r="AY156" s="9"/>
      <c r="AZ156" s="8"/>
      <c r="BA156" s="9">
        <f t="shared" si="11"/>
        <v>0</v>
      </c>
      <c r="BB156" s="9">
        <f t="shared" si="12"/>
        <v>0</v>
      </c>
      <c r="BC156" s="7">
        <f t="shared" si="13"/>
        <v>0</v>
      </c>
    </row>
    <row r="157" spans="1:55" x14ac:dyDescent="0.25">
      <c r="A157" s="65">
        <f t="shared" si="14"/>
        <v>152</v>
      </c>
      <c r="B157" s="66" t="s">
        <v>151</v>
      </c>
      <c r="C157" s="67">
        <v>3000000</v>
      </c>
      <c r="D157" s="67">
        <v>10000000</v>
      </c>
      <c r="E157" s="67">
        <v>-1500000</v>
      </c>
      <c r="F157" s="67"/>
      <c r="G157" s="67"/>
      <c r="H157" s="67"/>
      <c r="I157" s="67">
        <v>-2500000</v>
      </c>
      <c r="J157" s="67"/>
      <c r="K157" s="67"/>
      <c r="L157" s="67"/>
      <c r="M157" s="67"/>
      <c r="N157" s="67"/>
      <c r="O157" s="67">
        <v>-2000000</v>
      </c>
      <c r="P157" s="68">
        <v>10000000</v>
      </c>
      <c r="Q157" s="68">
        <v>-7000000</v>
      </c>
      <c r="R157" s="68"/>
      <c r="S157" s="68"/>
      <c r="T157" s="68"/>
      <c r="U157" s="68">
        <v>-1000000</v>
      </c>
      <c r="V157" s="68"/>
      <c r="W157" s="68">
        <v>-1000000</v>
      </c>
      <c r="X157" s="68"/>
      <c r="Y157" s="68">
        <v>-1000000</v>
      </c>
      <c r="Z157" s="68"/>
      <c r="AA157" s="68">
        <v>-1000000</v>
      </c>
      <c r="AB157" s="68">
        <f t="shared" si="15"/>
        <v>6000000</v>
      </c>
      <c r="AC157" s="67"/>
      <c r="AD157" s="67">
        <v>1000000</v>
      </c>
      <c r="AE157" s="67"/>
      <c r="AF157" s="67"/>
      <c r="AG157" s="67">
        <v>13000000</v>
      </c>
      <c r="AH157" s="67">
        <f>3000000+1000000</f>
        <v>4000000</v>
      </c>
      <c r="AI157" s="67"/>
      <c r="AJ157" s="67">
        <v>1000000</v>
      </c>
      <c r="AK157" s="67"/>
      <c r="AL157" s="67">
        <v>0</v>
      </c>
      <c r="AM157" s="67"/>
      <c r="AN157" s="67"/>
      <c r="AO157" s="68"/>
      <c r="AP157" s="68">
        <f>1300000+1300000</f>
        <v>2600000</v>
      </c>
      <c r="AQ157" s="68"/>
      <c r="AR157" s="68">
        <f>1300000+1300000</f>
        <v>2600000</v>
      </c>
      <c r="AS157" s="68"/>
      <c r="AT157" s="68"/>
      <c r="AU157" s="68"/>
      <c r="AV157" s="68"/>
      <c r="AW157" s="68"/>
      <c r="AX157" s="68">
        <v>2600000</v>
      </c>
      <c r="AY157" s="68"/>
      <c r="AZ157" s="68">
        <f>1300000+1300000+1300000</f>
        <v>3900000</v>
      </c>
      <c r="BA157" s="9">
        <f t="shared" si="11"/>
        <v>19000000</v>
      </c>
      <c r="BB157" s="9">
        <f t="shared" si="12"/>
        <v>17700000</v>
      </c>
      <c r="BC157" s="7">
        <f t="shared" si="13"/>
        <v>1300000</v>
      </c>
    </row>
    <row r="158" spans="1:55" x14ac:dyDescent="0.25">
      <c r="A158" s="4">
        <f t="shared" si="14"/>
        <v>153</v>
      </c>
      <c r="B158" s="38" t="s">
        <v>152</v>
      </c>
      <c r="C158" s="6"/>
      <c r="D158" s="6"/>
      <c r="E158" s="6"/>
      <c r="F158" s="6">
        <v>8000000</v>
      </c>
      <c r="G158" s="6"/>
      <c r="H158" s="6"/>
      <c r="I158" s="6">
        <v>-800000</v>
      </c>
      <c r="J158" s="6"/>
      <c r="K158" s="6">
        <v>-7200000</v>
      </c>
      <c r="L158" s="6"/>
      <c r="M158" s="6"/>
      <c r="N158" s="6"/>
      <c r="O158" s="6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>
        <f t="shared" si="15"/>
        <v>0</v>
      </c>
      <c r="AC158" s="6"/>
      <c r="AD158" s="5"/>
      <c r="AE158" s="6"/>
      <c r="AF158" s="5"/>
      <c r="AG158" s="6"/>
      <c r="AH158" s="5">
        <v>0</v>
      </c>
      <c r="AI158" s="6"/>
      <c r="AJ158" s="5"/>
      <c r="AK158" s="6"/>
      <c r="AL158" s="6">
        <v>0</v>
      </c>
      <c r="AM158" s="6"/>
      <c r="AN158" s="6"/>
      <c r="AO158" s="9"/>
      <c r="AP158" s="8"/>
      <c r="AQ158" s="9"/>
      <c r="AR158" s="8"/>
      <c r="AS158" s="9"/>
      <c r="AT158" s="8"/>
      <c r="AU158" s="9"/>
      <c r="AV158" s="8"/>
      <c r="AW158" s="9"/>
      <c r="AX158" s="8"/>
      <c r="AY158" s="9">
        <v>10000000</v>
      </c>
      <c r="AZ158" s="8"/>
      <c r="BA158" s="9">
        <f t="shared" si="11"/>
        <v>10000000</v>
      </c>
      <c r="BB158" s="9">
        <f t="shared" si="12"/>
        <v>0</v>
      </c>
      <c r="BC158" s="7">
        <f t="shared" si="13"/>
        <v>10000000</v>
      </c>
    </row>
    <row r="159" spans="1:55" x14ac:dyDescent="0.25">
      <c r="A159" s="4">
        <f t="shared" si="14"/>
        <v>154</v>
      </c>
      <c r="B159" s="38" t="s">
        <v>153</v>
      </c>
      <c r="C159" s="6">
        <v>2000000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>
        <f t="shared" si="15"/>
        <v>2000000</v>
      </c>
      <c r="AC159" s="6"/>
      <c r="AD159" s="5"/>
      <c r="AE159" s="6"/>
      <c r="AF159" s="5"/>
      <c r="AG159" s="6"/>
      <c r="AH159" s="5">
        <v>0</v>
      </c>
      <c r="AI159" s="6"/>
      <c r="AJ159" s="5"/>
      <c r="AK159" s="6"/>
      <c r="AL159" s="6">
        <v>0</v>
      </c>
      <c r="AM159" s="6"/>
      <c r="AN159" s="6"/>
      <c r="AO159" s="9"/>
      <c r="AP159" s="8"/>
      <c r="AQ159" s="9"/>
      <c r="AR159" s="8"/>
      <c r="AS159" s="9"/>
      <c r="AT159" s="8"/>
      <c r="AU159" s="9"/>
      <c r="AV159" s="8"/>
      <c r="AW159" s="9"/>
      <c r="AX159" s="8"/>
      <c r="AY159" s="9"/>
      <c r="AZ159" s="8"/>
      <c r="BA159" s="9">
        <f t="shared" si="11"/>
        <v>2000000</v>
      </c>
      <c r="BB159" s="9">
        <f t="shared" si="12"/>
        <v>0</v>
      </c>
      <c r="BC159" s="7">
        <f t="shared" si="13"/>
        <v>2000000</v>
      </c>
    </row>
    <row r="160" spans="1:55" x14ac:dyDescent="0.25">
      <c r="A160" s="4">
        <f t="shared" si="14"/>
        <v>155</v>
      </c>
      <c r="B160" s="38" t="s">
        <v>154</v>
      </c>
      <c r="C160" s="6">
        <v>2500000</v>
      </c>
      <c r="D160" s="6">
        <v>25000000</v>
      </c>
      <c r="E160" s="6">
        <v>-2500000</v>
      </c>
      <c r="F160" s="6"/>
      <c r="G160" s="6">
        <v>-2500000</v>
      </c>
      <c r="H160" s="6"/>
      <c r="I160" s="6">
        <v>-2500000</v>
      </c>
      <c r="J160" s="6"/>
      <c r="K160" s="6"/>
      <c r="L160" s="6"/>
      <c r="M160" s="6"/>
      <c r="N160" s="6"/>
      <c r="O160" s="6">
        <v>-2500000</v>
      </c>
      <c r="P160" s="9"/>
      <c r="Q160" s="6">
        <v>-2500000</v>
      </c>
      <c r="R160" s="9"/>
      <c r="S160" s="6">
        <v>-2500000</v>
      </c>
      <c r="T160" s="9"/>
      <c r="U160" s="6">
        <v>-2500000</v>
      </c>
      <c r="V160" s="9"/>
      <c r="W160" s="6">
        <v>-2500000</v>
      </c>
      <c r="X160" s="9"/>
      <c r="Y160" s="6">
        <v>-2500000</v>
      </c>
      <c r="Z160" s="9"/>
      <c r="AA160" s="6">
        <v>-2500000</v>
      </c>
      <c r="AB160" s="9">
        <f t="shared" si="15"/>
        <v>2500000</v>
      </c>
      <c r="AC160" s="6"/>
      <c r="AD160" s="5">
        <v>2500000</v>
      </c>
      <c r="AE160" s="6">
        <v>25000000</v>
      </c>
      <c r="AF160" s="5"/>
      <c r="AG160" s="6"/>
      <c r="AH160" s="5">
        <v>0</v>
      </c>
      <c r="AI160" s="6"/>
      <c r="AJ160" s="5">
        <v>2500000</v>
      </c>
      <c r="AK160" s="6"/>
      <c r="AL160" s="6">
        <v>2500000</v>
      </c>
      <c r="AM160" s="6"/>
      <c r="AN160" s="6">
        <v>2500000</v>
      </c>
      <c r="AO160" s="9"/>
      <c r="AP160" s="5">
        <v>2500000</v>
      </c>
      <c r="AQ160" s="9"/>
      <c r="AR160" s="5">
        <v>2500000</v>
      </c>
      <c r="AS160" s="9"/>
      <c r="AT160" s="5">
        <v>2500000</v>
      </c>
      <c r="AU160" s="9"/>
      <c r="AV160" s="5">
        <v>2500000</v>
      </c>
      <c r="AW160" s="9"/>
      <c r="AX160" s="5">
        <v>2500000</v>
      </c>
      <c r="AY160" s="9"/>
      <c r="AZ160" s="5">
        <v>2500000</v>
      </c>
      <c r="BA160" s="9">
        <f t="shared" si="11"/>
        <v>27500000</v>
      </c>
      <c r="BB160" s="9">
        <f t="shared" si="12"/>
        <v>25000000</v>
      </c>
      <c r="BC160" s="7">
        <f t="shared" si="13"/>
        <v>2500000</v>
      </c>
    </row>
    <row r="161" spans="1:55" x14ac:dyDescent="0.25">
      <c r="A161" s="4">
        <f t="shared" si="14"/>
        <v>156</v>
      </c>
      <c r="B161" s="38" t="s">
        <v>155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>
        <v>25000000</v>
      </c>
      <c r="O161" s="6"/>
      <c r="P161" s="9"/>
      <c r="Q161" s="6">
        <v>-2500000</v>
      </c>
      <c r="R161" s="9"/>
      <c r="S161" s="6">
        <v>-2500000</v>
      </c>
      <c r="T161" s="9"/>
      <c r="U161" s="6">
        <v>-2500000</v>
      </c>
      <c r="V161" s="9"/>
      <c r="W161" s="6">
        <v>-2500000</v>
      </c>
      <c r="X161" s="9"/>
      <c r="Y161" s="6">
        <v>-2500000</v>
      </c>
      <c r="Z161" s="9"/>
      <c r="AA161" s="6">
        <v>-2500000</v>
      </c>
      <c r="AB161" s="9">
        <f t="shared" si="15"/>
        <v>10000000</v>
      </c>
      <c r="AC161" s="6"/>
      <c r="AD161" s="5">
        <v>2500000</v>
      </c>
      <c r="AE161" s="6"/>
      <c r="AF161" s="5">
        <v>2500000</v>
      </c>
      <c r="AG161" s="6"/>
      <c r="AH161" s="5">
        <v>0</v>
      </c>
      <c r="AI161" s="6"/>
      <c r="AJ161" s="5">
        <v>2500000</v>
      </c>
      <c r="AK161" s="6"/>
      <c r="AL161" s="6">
        <v>2500000</v>
      </c>
      <c r="AM161" s="6"/>
      <c r="AN161" s="6"/>
      <c r="AO161" s="9"/>
      <c r="AP161" s="5"/>
      <c r="AQ161" s="9"/>
      <c r="AR161" s="5"/>
      <c r="AS161" s="9"/>
      <c r="AT161" s="5"/>
      <c r="AU161" s="9"/>
      <c r="AV161" s="5"/>
      <c r="AW161" s="9"/>
      <c r="AX161" s="5"/>
      <c r="AY161" s="9"/>
      <c r="AZ161" s="5"/>
      <c r="BA161" s="9">
        <f t="shared" si="11"/>
        <v>10000000</v>
      </c>
      <c r="BB161" s="9">
        <f t="shared" si="12"/>
        <v>10000000</v>
      </c>
      <c r="BC161" s="7">
        <f t="shared" si="13"/>
        <v>0</v>
      </c>
    </row>
    <row r="162" spans="1:55" x14ac:dyDescent="0.25">
      <c r="A162" s="4">
        <f t="shared" si="14"/>
        <v>157</v>
      </c>
      <c r="B162" s="38" t="s">
        <v>156</v>
      </c>
      <c r="C162" s="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>
        <f t="shared" si="15"/>
        <v>0</v>
      </c>
      <c r="AC162" s="6"/>
      <c r="AD162" s="5"/>
      <c r="AE162" s="6"/>
      <c r="AF162" s="5"/>
      <c r="AG162" s="6"/>
      <c r="AH162" s="5">
        <v>0</v>
      </c>
      <c r="AI162" s="6"/>
      <c r="AJ162" s="5"/>
      <c r="AK162" s="6"/>
      <c r="AL162" s="6">
        <v>0</v>
      </c>
      <c r="AM162" s="6"/>
      <c r="AN162" s="6"/>
      <c r="AO162" s="9"/>
      <c r="AP162" s="8"/>
      <c r="AQ162" s="9"/>
      <c r="AR162" s="8"/>
      <c r="AS162" s="9"/>
      <c r="AT162" s="8"/>
      <c r="AU162" s="9"/>
      <c r="AV162" s="8"/>
      <c r="AW162" s="9"/>
      <c r="AX162" s="8"/>
      <c r="AY162" s="9"/>
      <c r="AZ162" s="8"/>
      <c r="BA162" s="9">
        <f t="shared" si="11"/>
        <v>0</v>
      </c>
      <c r="BB162" s="9">
        <f t="shared" si="12"/>
        <v>0</v>
      </c>
      <c r="BC162" s="7">
        <f t="shared" si="13"/>
        <v>0</v>
      </c>
    </row>
    <row r="163" spans="1:55" x14ac:dyDescent="0.25">
      <c r="A163" s="4">
        <f t="shared" si="14"/>
        <v>158</v>
      </c>
      <c r="B163" s="38" t="s">
        <v>157</v>
      </c>
      <c r="C163" s="6">
        <v>2500000</v>
      </c>
      <c r="D163" s="6"/>
      <c r="E163" s="6">
        <v>-2500000</v>
      </c>
      <c r="F163" s="6">
        <v>25000000</v>
      </c>
      <c r="G163" s="6"/>
      <c r="H163" s="6"/>
      <c r="I163" s="6"/>
      <c r="J163" s="6"/>
      <c r="K163" s="6"/>
      <c r="L163" s="6"/>
      <c r="M163" s="6"/>
      <c r="N163" s="6"/>
      <c r="O163" s="6">
        <v>-5000000</v>
      </c>
      <c r="P163" s="9"/>
      <c r="Q163" s="9">
        <v>-5000000</v>
      </c>
      <c r="R163" s="9"/>
      <c r="S163" s="9"/>
      <c r="T163" s="9"/>
      <c r="U163" s="9">
        <v>-2500000</v>
      </c>
      <c r="V163" s="9"/>
      <c r="W163" s="9">
        <v>-2500000</v>
      </c>
      <c r="X163" s="9"/>
      <c r="Y163" s="9">
        <v>-2500000</v>
      </c>
      <c r="Z163" s="9"/>
      <c r="AA163" s="9">
        <v>-2500000</v>
      </c>
      <c r="AB163" s="9">
        <f t="shared" si="15"/>
        <v>5000000</v>
      </c>
      <c r="AC163" s="6"/>
      <c r="AD163" s="5">
        <v>2500000</v>
      </c>
      <c r="AE163" s="6"/>
      <c r="AF163" s="5"/>
      <c r="AG163" s="6">
        <v>25000000</v>
      </c>
      <c r="AH163" s="5">
        <v>2500000</v>
      </c>
      <c r="AI163" s="6"/>
      <c r="AJ163" s="5">
        <v>2500000</v>
      </c>
      <c r="AK163" s="6"/>
      <c r="AL163" s="6">
        <v>2500000</v>
      </c>
      <c r="AM163" s="6"/>
      <c r="AN163" s="6">
        <f>2500000+2500000</f>
        <v>5000000</v>
      </c>
      <c r="AO163" s="9"/>
      <c r="AP163" s="8">
        <v>2500000</v>
      </c>
      <c r="AQ163" s="9"/>
      <c r="AR163" s="8">
        <v>2500000</v>
      </c>
      <c r="AS163" s="9"/>
      <c r="AT163" s="8">
        <v>2500000</v>
      </c>
      <c r="AU163" s="9"/>
      <c r="AV163" s="8">
        <v>2500000</v>
      </c>
      <c r="AW163" s="9"/>
      <c r="AX163" s="8">
        <v>2500000</v>
      </c>
      <c r="AY163" s="9"/>
      <c r="AZ163" s="8">
        <v>2500000</v>
      </c>
      <c r="BA163" s="9">
        <f t="shared" si="11"/>
        <v>30000000</v>
      </c>
      <c r="BB163" s="9">
        <f t="shared" si="12"/>
        <v>30000000</v>
      </c>
      <c r="BC163" s="7">
        <f t="shared" si="13"/>
        <v>0</v>
      </c>
    </row>
    <row r="164" spans="1:55" x14ac:dyDescent="0.25">
      <c r="A164" s="4">
        <f t="shared" si="14"/>
        <v>159</v>
      </c>
      <c r="B164" s="38" t="s">
        <v>158</v>
      </c>
      <c r="C164" s="6">
        <v>5000000</v>
      </c>
      <c r="D164" s="6">
        <v>10000000</v>
      </c>
      <c r="E164" s="6">
        <v>-5000000</v>
      </c>
      <c r="F164" s="6"/>
      <c r="G164" s="6">
        <v>-1000000</v>
      </c>
      <c r="H164" s="6"/>
      <c r="I164" s="6">
        <v>-1000000</v>
      </c>
      <c r="J164" s="6"/>
      <c r="K164" s="6"/>
      <c r="L164" s="6"/>
      <c r="M164" s="6">
        <v>-1000000</v>
      </c>
      <c r="N164" s="6"/>
      <c r="O164" s="6">
        <v>-1000000</v>
      </c>
      <c r="P164" s="9"/>
      <c r="Q164" s="6">
        <v>-1000000</v>
      </c>
      <c r="R164" s="9"/>
      <c r="S164" s="6">
        <v>-1000000</v>
      </c>
      <c r="T164" s="9"/>
      <c r="U164" s="6">
        <v>-1000000</v>
      </c>
      <c r="V164" s="9"/>
      <c r="W164" s="6">
        <v>-1000000</v>
      </c>
      <c r="X164" s="9"/>
      <c r="Y164" s="6">
        <v>-1000000</v>
      </c>
      <c r="Z164" s="9"/>
      <c r="AA164" s="6">
        <v>-1000000</v>
      </c>
      <c r="AB164" s="9">
        <f t="shared" si="15"/>
        <v>0</v>
      </c>
      <c r="AC164" s="6"/>
      <c r="AD164" s="5"/>
      <c r="AE164" s="6"/>
      <c r="AF164" s="5"/>
      <c r="AG164" s="6"/>
      <c r="AH164" s="5">
        <v>0</v>
      </c>
      <c r="AI164" s="6"/>
      <c r="AJ164" s="5"/>
      <c r="AK164" s="6"/>
      <c r="AL164" s="6">
        <v>0</v>
      </c>
      <c r="AM164" s="6"/>
      <c r="AN164" s="6"/>
      <c r="AO164" s="9"/>
      <c r="AP164" s="5"/>
      <c r="AQ164" s="9"/>
      <c r="AR164" s="5"/>
      <c r="AS164" s="9"/>
      <c r="AT164" s="5"/>
      <c r="AU164" s="9"/>
      <c r="AV164" s="5"/>
      <c r="AW164" s="9"/>
      <c r="AX164" s="5"/>
      <c r="AY164" s="9"/>
      <c r="AZ164" s="5"/>
      <c r="BA164" s="9">
        <f t="shared" si="11"/>
        <v>0</v>
      </c>
      <c r="BB164" s="9">
        <f t="shared" si="12"/>
        <v>0</v>
      </c>
      <c r="BC164" s="7">
        <f t="shared" si="13"/>
        <v>0</v>
      </c>
    </row>
    <row r="165" spans="1:55" x14ac:dyDescent="0.25">
      <c r="A165" s="4">
        <f t="shared" si="14"/>
        <v>160</v>
      </c>
      <c r="B165" s="38" t="s">
        <v>159</v>
      </c>
      <c r="C165" s="6">
        <v>2500000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>
        <f t="shared" si="15"/>
        <v>2500000</v>
      </c>
      <c r="AC165" s="6"/>
      <c r="AD165" s="5"/>
      <c r="AE165" s="6"/>
      <c r="AF165" s="5"/>
      <c r="AG165" s="6"/>
      <c r="AH165" s="5">
        <v>0</v>
      </c>
      <c r="AI165" s="6"/>
      <c r="AJ165" s="5"/>
      <c r="AK165" s="6"/>
      <c r="AL165" s="6">
        <v>0</v>
      </c>
      <c r="AM165" s="6"/>
      <c r="AN165" s="6"/>
      <c r="AO165" s="9"/>
      <c r="AP165" s="8"/>
      <c r="AQ165" s="9"/>
      <c r="AR165" s="8"/>
      <c r="AS165" s="9"/>
      <c r="AT165" s="8"/>
      <c r="AU165" s="9"/>
      <c r="AV165" s="8"/>
      <c r="AW165" s="9"/>
      <c r="AX165" s="8"/>
      <c r="AY165" s="9"/>
      <c r="AZ165" s="8"/>
      <c r="BA165" s="9">
        <f t="shared" si="11"/>
        <v>2500000</v>
      </c>
      <c r="BB165" s="9">
        <f t="shared" si="12"/>
        <v>0</v>
      </c>
      <c r="BC165" s="7">
        <f t="shared" si="13"/>
        <v>2500000</v>
      </c>
    </row>
    <row r="166" spans="1:55" s="35" customFormat="1" x14ac:dyDescent="0.25">
      <c r="A166" s="34">
        <f t="shared" si="14"/>
        <v>161</v>
      </c>
      <c r="B166" s="28" t="s">
        <v>160</v>
      </c>
      <c r="C166" s="13">
        <v>17500000</v>
      </c>
      <c r="D166" s="13"/>
      <c r="E166" s="13">
        <v>-2500000</v>
      </c>
      <c r="F166" s="13"/>
      <c r="G166" s="13">
        <v>-2500000</v>
      </c>
      <c r="H166" s="13"/>
      <c r="I166" s="13">
        <v>-2500000</v>
      </c>
      <c r="J166" s="13"/>
      <c r="K166" s="13">
        <v>-2500000</v>
      </c>
      <c r="L166" s="13"/>
      <c r="M166" s="13">
        <v>-2500000</v>
      </c>
      <c r="N166" s="13"/>
      <c r="O166" s="13">
        <v>-2500000</v>
      </c>
      <c r="P166" s="29"/>
      <c r="Q166" s="13">
        <v>-2500000</v>
      </c>
      <c r="R166" s="29"/>
      <c r="S166" s="29"/>
      <c r="T166" s="29"/>
      <c r="U166" s="29"/>
      <c r="V166" s="29">
        <v>25000000</v>
      </c>
      <c r="W166" s="29"/>
      <c r="X166" s="29"/>
      <c r="Y166" s="29">
        <v>-2500000</v>
      </c>
      <c r="Z166" s="29"/>
      <c r="AA166" s="29">
        <v>-2500000</v>
      </c>
      <c r="AB166" s="29">
        <f t="shared" si="15"/>
        <v>20000000</v>
      </c>
      <c r="AC166" s="13"/>
      <c r="AD166" s="13">
        <v>2500000</v>
      </c>
      <c r="AE166" s="13"/>
      <c r="AF166" s="13">
        <v>2500000</v>
      </c>
      <c r="AG166" s="13"/>
      <c r="AH166" s="13">
        <v>2500000</v>
      </c>
      <c r="AI166" s="13"/>
      <c r="AJ166" s="13">
        <v>2500000</v>
      </c>
      <c r="AK166" s="13"/>
      <c r="AL166" s="13">
        <v>2500000</v>
      </c>
      <c r="AM166" s="13"/>
      <c r="AN166" s="13">
        <v>2500000</v>
      </c>
      <c r="AO166" s="29"/>
      <c r="AP166" s="29">
        <v>2500000</v>
      </c>
      <c r="AQ166" s="29"/>
      <c r="AR166" s="29">
        <v>2500000</v>
      </c>
      <c r="AS166" s="29"/>
      <c r="AT166" s="29">
        <v>2500000</v>
      </c>
      <c r="AU166" s="29"/>
      <c r="AV166" s="29">
        <v>0</v>
      </c>
      <c r="AW166" s="29"/>
      <c r="AX166" s="29">
        <v>0</v>
      </c>
      <c r="AY166" s="29"/>
      <c r="AZ166" s="29">
        <v>0</v>
      </c>
      <c r="BA166" s="9">
        <f t="shared" si="11"/>
        <v>20000000</v>
      </c>
      <c r="BB166" s="29">
        <f>AD166+AF166+AH166+AJ166+AL166+AN166+AP166+AR166+AT166+AV166+AX166+AZ166</f>
        <v>22500000</v>
      </c>
      <c r="BC166" s="29">
        <f t="shared" si="13"/>
        <v>-2500000</v>
      </c>
    </row>
    <row r="167" spans="1:55" s="35" customFormat="1" x14ac:dyDescent="0.25">
      <c r="A167" s="34">
        <f t="shared" si="14"/>
        <v>162</v>
      </c>
      <c r="B167" s="28" t="s">
        <v>216</v>
      </c>
      <c r="C167" s="13">
        <v>7500000</v>
      </c>
      <c r="D167" s="13"/>
      <c r="E167" s="13">
        <v>-2500000</v>
      </c>
      <c r="F167" s="13">
        <v>25000000</v>
      </c>
      <c r="G167" s="13">
        <v>-5000000</v>
      </c>
      <c r="H167" s="13"/>
      <c r="I167" s="13">
        <v>-2500000</v>
      </c>
      <c r="J167" s="13"/>
      <c r="K167" s="13"/>
      <c r="L167" s="13"/>
      <c r="M167" s="13">
        <v>-2500000</v>
      </c>
      <c r="N167" s="13"/>
      <c r="O167" s="13">
        <v>-2500000</v>
      </c>
      <c r="P167" s="29"/>
      <c r="Q167" s="13">
        <v>-2500000</v>
      </c>
      <c r="R167" s="29"/>
      <c r="S167" s="13">
        <v>-2500000</v>
      </c>
      <c r="T167" s="29"/>
      <c r="U167" s="13">
        <v>-2500000</v>
      </c>
      <c r="V167" s="29"/>
      <c r="W167" s="13">
        <v>-2500000</v>
      </c>
      <c r="X167" s="29"/>
      <c r="Y167" s="13">
        <v>-2500000</v>
      </c>
      <c r="Z167" s="29"/>
      <c r="AA167" s="13">
        <v>-2500000</v>
      </c>
      <c r="AB167" s="29">
        <f t="shared" si="15"/>
        <v>2500000</v>
      </c>
      <c r="AC167" s="13"/>
      <c r="AD167" s="13">
        <v>2500000</v>
      </c>
      <c r="AE167" s="13"/>
      <c r="AF167" s="13">
        <v>0</v>
      </c>
      <c r="AG167" s="13">
        <v>25000000</v>
      </c>
      <c r="AH167" s="13">
        <v>0</v>
      </c>
      <c r="AI167" s="13"/>
      <c r="AJ167" s="13">
        <v>2500000</v>
      </c>
      <c r="AK167" s="13"/>
      <c r="AL167" s="13">
        <v>2500000</v>
      </c>
      <c r="AM167" s="13"/>
      <c r="AN167" s="13">
        <v>2500000</v>
      </c>
      <c r="AO167" s="29"/>
      <c r="AP167" s="29">
        <v>2500000</v>
      </c>
      <c r="AQ167" s="29"/>
      <c r="AR167" s="29">
        <v>2500000</v>
      </c>
      <c r="AS167" s="29"/>
      <c r="AT167" s="29">
        <v>2500000</v>
      </c>
      <c r="AU167" s="29"/>
      <c r="AV167" s="29">
        <v>2500000</v>
      </c>
      <c r="AW167" s="29"/>
      <c r="AX167" s="29">
        <v>2500000</v>
      </c>
      <c r="AY167" s="29"/>
      <c r="AZ167" s="29">
        <v>2500000</v>
      </c>
      <c r="BA167" s="9">
        <f t="shared" si="11"/>
        <v>27500000</v>
      </c>
      <c r="BB167" s="29">
        <f t="shared" si="12"/>
        <v>25000000</v>
      </c>
      <c r="BC167" s="29">
        <f t="shared" si="13"/>
        <v>2500000</v>
      </c>
    </row>
    <row r="168" spans="1:55" x14ac:dyDescent="0.25">
      <c r="A168" s="61">
        <f t="shared" si="14"/>
        <v>163</v>
      </c>
      <c r="B168" s="62" t="s">
        <v>161</v>
      </c>
      <c r="C168" s="63">
        <v>4000000</v>
      </c>
      <c r="D168" s="63"/>
      <c r="E168" s="63">
        <v>-1000000</v>
      </c>
      <c r="F168" s="63"/>
      <c r="G168" s="63"/>
      <c r="H168" s="63">
        <v>10000000</v>
      </c>
      <c r="I168" s="63">
        <v>-2000000</v>
      </c>
      <c r="J168" s="63"/>
      <c r="K168" s="63"/>
      <c r="L168" s="63"/>
      <c r="M168" s="63"/>
      <c r="N168" s="63"/>
      <c r="O168" s="63">
        <v>-2000000</v>
      </c>
      <c r="P168" s="64"/>
      <c r="Q168" s="64">
        <v>-2000000</v>
      </c>
      <c r="R168" s="64"/>
      <c r="S168" s="64"/>
      <c r="T168" s="64"/>
      <c r="U168" s="64">
        <v>-1000000</v>
      </c>
      <c r="V168" s="64"/>
      <c r="W168" s="64">
        <v>-1000000</v>
      </c>
      <c r="X168" s="64"/>
      <c r="Y168" s="64">
        <v>-1000000</v>
      </c>
      <c r="Z168" s="64"/>
      <c r="AA168" s="64">
        <v>-1000000</v>
      </c>
      <c r="AB168" s="64">
        <f t="shared" si="15"/>
        <v>3000000</v>
      </c>
      <c r="AC168" s="63"/>
      <c r="AD168" s="63">
        <v>1000000</v>
      </c>
      <c r="AE168" s="63"/>
      <c r="AF168" s="63"/>
      <c r="AG168" s="63">
        <v>10000000</v>
      </c>
      <c r="AH168" s="63">
        <v>1000000</v>
      </c>
      <c r="AI168" s="63"/>
      <c r="AJ168" s="63">
        <v>1000000</v>
      </c>
      <c r="AK168" s="63"/>
      <c r="AL168" s="63">
        <v>0</v>
      </c>
      <c r="AM168" s="63"/>
      <c r="AN168" s="63"/>
      <c r="AO168" s="64"/>
      <c r="AP168" s="64">
        <f>1000000+1000000</f>
        <v>2000000</v>
      </c>
      <c r="AQ168" s="64"/>
      <c r="AR168" s="64">
        <f>1000000+1000000</f>
        <v>2000000</v>
      </c>
      <c r="AS168" s="64"/>
      <c r="AT168" s="64"/>
      <c r="AU168" s="64"/>
      <c r="AV168" s="64"/>
      <c r="AW168" s="64"/>
      <c r="AX168" s="64">
        <v>2000000</v>
      </c>
      <c r="AY168" s="64"/>
      <c r="AZ168" s="64">
        <f>1000000+1000000+1000000</f>
        <v>3000000</v>
      </c>
      <c r="BA168" s="9">
        <f t="shared" si="11"/>
        <v>13000000</v>
      </c>
      <c r="BB168" s="9">
        <f t="shared" si="12"/>
        <v>12000000</v>
      </c>
      <c r="BC168" s="7">
        <f t="shared" si="13"/>
        <v>1000000</v>
      </c>
    </row>
    <row r="169" spans="1:55" x14ac:dyDescent="0.25">
      <c r="A169" s="4">
        <f t="shared" si="14"/>
        <v>164</v>
      </c>
      <c r="B169" s="38" t="s">
        <v>162</v>
      </c>
      <c r="C169" s="6">
        <v>4950000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>
        <f t="shared" si="15"/>
        <v>4950000</v>
      </c>
      <c r="AC169" s="6"/>
      <c r="AD169" s="5"/>
      <c r="AE169" s="6"/>
      <c r="AF169" s="5"/>
      <c r="AG169" s="6"/>
      <c r="AH169" s="5">
        <v>0</v>
      </c>
      <c r="AI169" s="6"/>
      <c r="AJ169" s="5"/>
      <c r="AK169" s="6"/>
      <c r="AL169" s="6">
        <v>0</v>
      </c>
      <c r="AM169" s="6"/>
      <c r="AN169" s="6"/>
      <c r="AO169" s="9"/>
      <c r="AP169" s="8"/>
      <c r="AQ169" s="9"/>
      <c r="AR169" s="8"/>
      <c r="AS169" s="9"/>
      <c r="AT169" s="8"/>
      <c r="AU169" s="9"/>
      <c r="AV169" s="8"/>
      <c r="AW169" s="9"/>
      <c r="AX169" s="8"/>
      <c r="AY169" s="9"/>
      <c r="AZ169" s="8"/>
      <c r="BA169" s="9">
        <f t="shared" si="11"/>
        <v>4950000</v>
      </c>
      <c r="BB169" s="9">
        <f t="shared" si="12"/>
        <v>0</v>
      </c>
      <c r="BC169" s="7">
        <f t="shared" si="13"/>
        <v>4950000</v>
      </c>
    </row>
    <row r="170" spans="1:55" x14ac:dyDescent="0.25">
      <c r="A170" s="61">
        <f t="shared" si="14"/>
        <v>165</v>
      </c>
      <c r="B170" s="62" t="s">
        <v>163</v>
      </c>
      <c r="C170" s="63">
        <v>1000000</v>
      </c>
      <c r="D170" s="63"/>
      <c r="E170" s="63">
        <v>-1000000</v>
      </c>
      <c r="F170" s="63"/>
      <c r="G170" s="63"/>
      <c r="H170" s="63"/>
      <c r="I170" s="63"/>
      <c r="J170" s="63">
        <v>12000000</v>
      </c>
      <c r="K170" s="63"/>
      <c r="L170" s="63"/>
      <c r="M170" s="63"/>
      <c r="N170" s="63"/>
      <c r="O170" s="63">
        <v>-1200000</v>
      </c>
      <c r="P170" s="64"/>
      <c r="Q170" s="63">
        <v>-2400000</v>
      </c>
      <c r="R170" s="64"/>
      <c r="S170" s="64"/>
      <c r="T170" s="64"/>
      <c r="U170" s="64">
        <v>-1200000</v>
      </c>
      <c r="V170" s="64"/>
      <c r="W170" s="64">
        <v>-1200000</v>
      </c>
      <c r="X170" s="64"/>
      <c r="Y170" s="64">
        <v>-1200000</v>
      </c>
      <c r="Z170" s="64"/>
      <c r="AA170" s="64">
        <v>-1200000</v>
      </c>
      <c r="AB170" s="64">
        <f t="shared" si="15"/>
        <v>3600000</v>
      </c>
      <c r="AC170" s="63"/>
      <c r="AD170" s="63">
        <v>1200000</v>
      </c>
      <c r="AE170" s="63"/>
      <c r="AF170" s="63"/>
      <c r="AG170" s="63">
        <v>7500000</v>
      </c>
      <c r="AH170" s="63">
        <v>1200000</v>
      </c>
      <c r="AI170" s="63"/>
      <c r="AJ170" s="63">
        <v>1200000</v>
      </c>
      <c r="AK170" s="63"/>
      <c r="AL170" s="63">
        <v>0</v>
      </c>
      <c r="AM170" s="63"/>
      <c r="AN170" s="63"/>
      <c r="AO170" s="64"/>
      <c r="AP170" s="63">
        <f>750000+750000</f>
        <v>1500000</v>
      </c>
      <c r="AQ170" s="64"/>
      <c r="AR170" s="64">
        <f>750000+750000</f>
        <v>1500000</v>
      </c>
      <c r="AS170" s="64"/>
      <c r="AT170" s="64"/>
      <c r="AU170" s="64"/>
      <c r="AV170" s="64"/>
      <c r="AW170" s="64">
        <v>8500000</v>
      </c>
      <c r="AX170" s="64">
        <f>2250000+1500000</f>
        <v>3750000</v>
      </c>
      <c r="AY170" s="64"/>
      <c r="AZ170" s="64">
        <f>750000+850000+850000</f>
        <v>2450000</v>
      </c>
      <c r="BA170" s="9">
        <f t="shared" si="11"/>
        <v>19600000</v>
      </c>
      <c r="BB170" s="9">
        <f t="shared" si="12"/>
        <v>12800000</v>
      </c>
      <c r="BC170" s="7">
        <f t="shared" si="13"/>
        <v>6800000</v>
      </c>
    </row>
    <row r="171" spans="1:55" x14ac:dyDescent="0.25">
      <c r="A171" s="61">
        <f t="shared" si="14"/>
        <v>166</v>
      </c>
      <c r="B171" s="62" t="s">
        <v>164</v>
      </c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>
        <v>10000000</v>
      </c>
      <c r="O171" s="63"/>
      <c r="P171" s="64"/>
      <c r="Q171" s="63">
        <v>-1000000</v>
      </c>
      <c r="R171" s="64"/>
      <c r="S171" s="64"/>
      <c r="T171" s="64"/>
      <c r="U171" s="64">
        <v>-1000000</v>
      </c>
      <c r="V171" s="64"/>
      <c r="W171" s="64">
        <v>-1000000</v>
      </c>
      <c r="X171" s="64"/>
      <c r="Y171" s="64">
        <v>-1000000</v>
      </c>
      <c r="Z171" s="64"/>
      <c r="AA171" s="64">
        <v>-1000000</v>
      </c>
      <c r="AB171" s="64">
        <f t="shared" si="15"/>
        <v>5000000</v>
      </c>
      <c r="AC171" s="63"/>
      <c r="AD171" s="63">
        <v>1000000</v>
      </c>
      <c r="AE171" s="63"/>
      <c r="AF171" s="63"/>
      <c r="AG171" s="63">
        <v>10000000</v>
      </c>
      <c r="AH171" s="63">
        <f>2000000+1000000</f>
        <v>3000000</v>
      </c>
      <c r="AI171" s="63"/>
      <c r="AJ171" s="63">
        <v>1000000</v>
      </c>
      <c r="AK171" s="63"/>
      <c r="AL171" s="63">
        <v>0</v>
      </c>
      <c r="AM171" s="63"/>
      <c r="AN171" s="63"/>
      <c r="AO171" s="64"/>
      <c r="AP171" s="63">
        <f>1000000+1000000</f>
        <v>2000000</v>
      </c>
      <c r="AQ171" s="64"/>
      <c r="AR171" s="64">
        <f>1000000+1000000</f>
        <v>2000000</v>
      </c>
      <c r="AS171" s="64"/>
      <c r="AT171" s="64"/>
      <c r="AU171" s="64"/>
      <c r="AV171" s="64"/>
      <c r="AW171" s="64"/>
      <c r="AX171" s="64">
        <v>2000000</v>
      </c>
      <c r="AY171" s="64"/>
      <c r="AZ171" s="64">
        <f>1000000+1000000+1000000</f>
        <v>3000000</v>
      </c>
      <c r="BA171" s="9">
        <f t="shared" si="11"/>
        <v>15000000</v>
      </c>
      <c r="BB171" s="9">
        <f t="shared" si="12"/>
        <v>14000000</v>
      </c>
      <c r="BC171" s="7">
        <f t="shared" si="13"/>
        <v>1000000</v>
      </c>
    </row>
    <row r="172" spans="1:55" x14ac:dyDescent="0.25">
      <c r="A172" s="61">
        <f t="shared" si="14"/>
        <v>167</v>
      </c>
      <c r="B172" s="62" t="s">
        <v>165</v>
      </c>
      <c r="C172" s="63">
        <v>7000000</v>
      </c>
      <c r="D172" s="63"/>
      <c r="E172" s="63">
        <v>-1000000</v>
      </c>
      <c r="F172" s="63"/>
      <c r="G172" s="63"/>
      <c r="H172" s="63"/>
      <c r="I172" s="63">
        <v>-2000000</v>
      </c>
      <c r="J172" s="63"/>
      <c r="K172" s="63"/>
      <c r="L172" s="63"/>
      <c r="M172" s="63"/>
      <c r="N172" s="63">
        <v>11000000</v>
      </c>
      <c r="O172" s="63">
        <v>-4000000</v>
      </c>
      <c r="P172" s="64"/>
      <c r="Q172" s="64">
        <v>-2000000</v>
      </c>
      <c r="R172" s="64"/>
      <c r="S172" s="64"/>
      <c r="T172" s="64"/>
      <c r="U172" s="64">
        <v>-1000000</v>
      </c>
      <c r="V172" s="64"/>
      <c r="W172" s="64">
        <v>-1000000</v>
      </c>
      <c r="X172" s="64"/>
      <c r="Y172" s="64">
        <v>-1000000</v>
      </c>
      <c r="Z172" s="64"/>
      <c r="AA172" s="64">
        <v>-1000000</v>
      </c>
      <c r="AB172" s="64">
        <f t="shared" si="15"/>
        <v>5000000</v>
      </c>
      <c r="AC172" s="63"/>
      <c r="AD172" s="63">
        <v>1000000</v>
      </c>
      <c r="AE172" s="63"/>
      <c r="AF172" s="63"/>
      <c r="AG172" s="63">
        <v>10000000</v>
      </c>
      <c r="AH172" s="63">
        <f>2000000+1000000</f>
        <v>3000000</v>
      </c>
      <c r="AI172" s="63"/>
      <c r="AJ172" s="63">
        <v>1000000</v>
      </c>
      <c r="AK172" s="63"/>
      <c r="AL172" s="63">
        <v>0</v>
      </c>
      <c r="AM172" s="63"/>
      <c r="AN172" s="63"/>
      <c r="AO172" s="64"/>
      <c r="AP172" s="64">
        <f>1000000+1000000</f>
        <v>2000000</v>
      </c>
      <c r="AQ172" s="64"/>
      <c r="AR172" s="64">
        <f>1000000+1000000</f>
        <v>2000000</v>
      </c>
      <c r="AS172" s="64"/>
      <c r="AT172" s="64"/>
      <c r="AU172" s="64"/>
      <c r="AV172" s="64"/>
      <c r="AW172" s="64"/>
      <c r="AX172" s="64">
        <v>2000000</v>
      </c>
      <c r="AY172" s="64"/>
      <c r="AZ172" s="64">
        <v>3000000</v>
      </c>
      <c r="BA172" s="9">
        <f t="shared" si="11"/>
        <v>15000000</v>
      </c>
      <c r="BB172" s="9">
        <f t="shared" si="12"/>
        <v>14000000</v>
      </c>
      <c r="BC172" s="7">
        <f t="shared" si="13"/>
        <v>1000000</v>
      </c>
    </row>
    <row r="173" spans="1:55" x14ac:dyDescent="0.25">
      <c r="A173" s="4">
        <f t="shared" si="14"/>
        <v>168</v>
      </c>
      <c r="B173" s="38" t="s">
        <v>166</v>
      </c>
      <c r="C173" s="6">
        <v>12500000</v>
      </c>
      <c r="D173" s="6"/>
      <c r="E173" s="6">
        <v>-2500000</v>
      </c>
      <c r="F173" s="6"/>
      <c r="G173" s="6">
        <v>-2500000</v>
      </c>
      <c r="H173" s="6"/>
      <c r="I173" s="6">
        <v>-2500000</v>
      </c>
      <c r="J173" s="6"/>
      <c r="K173" s="6"/>
      <c r="L173" s="6"/>
      <c r="M173" s="6"/>
      <c r="N173" s="6"/>
      <c r="O173" s="6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>
        <f t="shared" si="15"/>
        <v>5000000</v>
      </c>
      <c r="AC173" s="6"/>
      <c r="AD173" s="5"/>
      <c r="AE173" s="6"/>
      <c r="AF173" s="5"/>
      <c r="AG173" s="6"/>
      <c r="AH173" s="5">
        <v>0</v>
      </c>
      <c r="AI173" s="6"/>
      <c r="AJ173" s="5"/>
      <c r="AK173" s="6"/>
      <c r="AL173" s="6">
        <v>0</v>
      </c>
      <c r="AM173" s="6"/>
      <c r="AN173" s="6"/>
      <c r="AO173" s="9"/>
      <c r="AP173" s="8"/>
      <c r="AQ173" s="9"/>
      <c r="AR173" s="8"/>
      <c r="AS173" s="9"/>
      <c r="AT173" s="8"/>
      <c r="AU173" s="9"/>
      <c r="AV173" s="8"/>
      <c r="AW173" s="9"/>
      <c r="AX173" s="8"/>
      <c r="AY173" s="9"/>
      <c r="AZ173" s="8"/>
      <c r="BA173" s="9">
        <f t="shared" si="11"/>
        <v>5000000</v>
      </c>
      <c r="BB173" s="9">
        <f>AD173+AF173+AH173+AJ173+AL173+AN173+AP173+AR173+AT173+AV173+AX173+AZ173</f>
        <v>0</v>
      </c>
      <c r="BC173" s="7">
        <f t="shared" si="13"/>
        <v>5000000</v>
      </c>
    </row>
    <row r="174" spans="1:55" x14ac:dyDescent="0.25">
      <c r="A174" s="4">
        <f t="shared" si="14"/>
        <v>169</v>
      </c>
      <c r="B174" s="38" t="s">
        <v>214</v>
      </c>
      <c r="C174" s="6">
        <v>16000000</v>
      </c>
      <c r="D174" s="6"/>
      <c r="E174" s="6">
        <v>-2000000</v>
      </c>
      <c r="F174" s="6"/>
      <c r="G174" s="6">
        <v>-2000000</v>
      </c>
      <c r="H174" s="6"/>
      <c r="I174" s="6">
        <v>-2000000</v>
      </c>
      <c r="J174" s="6"/>
      <c r="K174" s="6"/>
      <c r="L174" s="6"/>
      <c r="M174" s="6">
        <v>-2000000</v>
      </c>
      <c r="N174" s="6"/>
      <c r="O174" s="6">
        <v>-2000000</v>
      </c>
      <c r="P174" s="9"/>
      <c r="Q174" s="6">
        <v>-2000000</v>
      </c>
      <c r="R174" s="9"/>
      <c r="S174" s="6">
        <v>-2000000</v>
      </c>
      <c r="T174" s="9"/>
      <c r="U174" s="6">
        <v>-2000000</v>
      </c>
      <c r="V174" s="9">
        <v>25000000</v>
      </c>
      <c r="W174" s="9"/>
      <c r="X174" s="9"/>
      <c r="Y174" s="9">
        <v>-2500000</v>
      </c>
      <c r="Z174" s="9"/>
      <c r="AA174" s="9">
        <v>-2500000</v>
      </c>
      <c r="AB174" s="9">
        <f t="shared" si="15"/>
        <v>20000000</v>
      </c>
      <c r="AC174" s="6"/>
      <c r="AD174" s="5">
        <v>2500000</v>
      </c>
      <c r="AE174" s="6"/>
      <c r="AF174" s="5">
        <v>2500000</v>
      </c>
      <c r="AG174" s="6"/>
      <c r="AH174" s="5">
        <v>0</v>
      </c>
      <c r="AI174" s="6"/>
      <c r="AJ174" s="5">
        <v>2500000</v>
      </c>
      <c r="AK174" s="6"/>
      <c r="AL174" s="6">
        <v>2500000</v>
      </c>
      <c r="AM174" s="6"/>
      <c r="AN174" s="6">
        <v>2500000</v>
      </c>
      <c r="AO174" s="9"/>
      <c r="AP174" s="5">
        <v>2500000</v>
      </c>
      <c r="AQ174" s="9"/>
      <c r="AR174" s="5">
        <v>2500000</v>
      </c>
      <c r="AS174" s="9"/>
      <c r="AT174" s="5">
        <v>2500000</v>
      </c>
      <c r="AU174" s="9"/>
      <c r="AV174" s="8"/>
      <c r="AW174" s="9"/>
      <c r="AX174" s="8"/>
      <c r="AY174" s="9"/>
      <c r="AZ174" s="8"/>
      <c r="BA174" s="9">
        <f t="shared" si="11"/>
        <v>20000000</v>
      </c>
      <c r="BB174" s="9">
        <f t="shared" si="12"/>
        <v>20000000</v>
      </c>
      <c r="BC174" s="7" t="s">
        <v>195</v>
      </c>
    </row>
    <row r="175" spans="1:55" x14ac:dyDescent="0.25">
      <c r="A175" s="4">
        <f t="shared" si="14"/>
        <v>170</v>
      </c>
      <c r="B175" s="38" t="s">
        <v>167</v>
      </c>
      <c r="C175" s="6"/>
      <c r="D175" s="6"/>
      <c r="E175" s="6"/>
      <c r="F175" s="6"/>
      <c r="G175" s="6"/>
      <c r="H175" s="6">
        <v>10000000</v>
      </c>
      <c r="I175" s="6"/>
      <c r="J175" s="6"/>
      <c r="K175" s="6"/>
      <c r="L175" s="6"/>
      <c r="M175" s="6">
        <v>-1000000</v>
      </c>
      <c r="N175" s="6"/>
      <c r="O175" s="6">
        <v>-1000000</v>
      </c>
      <c r="P175" s="9"/>
      <c r="Q175" s="6">
        <v>-1000000</v>
      </c>
      <c r="R175" s="9"/>
      <c r="S175" s="6">
        <v>-1000000</v>
      </c>
      <c r="T175" s="9"/>
      <c r="U175" s="6">
        <v>-1000000</v>
      </c>
      <c r="V175" s="9"/>
      <c r="W175" s="6">
        <v>-1000000</v>
      </c>
      <c r="X175" s="9"/>
      <c r="Y175" s="6">
        <v>-1000000</v>
      </c>
      <c r="Z175" s="9"/>
      <c r="AA175" s="6">
        <v>-1000000</v>
      </c>
      <c r="AB175" s="9">
        <f t="shared" si="15"/>
        <v>2000000</v>
      </c>
      <c r="AC175" s="6"/>
      <c r="AD175" s="5"/>
      <c r="AE175" s="6"/>
      <c r="AF175" s="5"/>
      <c r="AG175" s="6"/>
      <c r="AH175" s="5">
        <v>0</v>
      </c>
      <c r="AI175" s="6"/>
      <c r="AJ175" s="5"/>
      <c r="AK175" s="6"/>
      <c r="AL175" s="6">
        <v>0</v>
      </c>
      <c r="AM175" s="6"/>
      <c r="AN175" s="6"/>
      <c r="AO175" s="9"/>
      <c r="AP175" s="5"/>
      <c r="AQ175" s="9"/>
      <c r="AR175" s="5"/>
      <c r="AS175" s="9"/>
      <c r="AT175" s="5"/>
      <c r="AU175" s="9"/>
      <c r="AV175" s="5"/>
      <c r="AW175" s="9"/>
      <c r="AX175" s="5"/>
      <c r="AY175" s="9"/>
      <c r="AZ175" s="5"/>
      <c r="BA175" s="9">
        <f t="shared" si="11"/>
        <v>2000000</v>
      </c>
      <c r="BB175" s="9">
        <f t="shared" si="12"/>
        <v>0</v>
      </c>
      <c r="BC175" s="7">
        <f t="shared" si="13"/>
        <v>2000000</v>
      </c>
    </row>
    <row r="176" spans="1:55" x14ac:dyDescent="0.25">
      <c r="A176" s="4">
        <f t="shared" si="14"/>
        <v>171</v>
      </c>
      <c r="B176" s="38" t="s">
        <v>168</v>
      </c>
      <c r="C176" s="6">
        <v>25000000</v>
      </c>
      <c r="D176" s="9"/>
      <c r="E176" s="9">
        <v>-2500000</v>
      </c>
      <c r="F176" s="9"/>
      <c r="G176" s="9">
        <v>-2500000</v>
      </c>
      <c r="H176" s="9"/>
      <c r="I176" s="9">
        <v>-2500000</v>
      </c>
      <c r="J176" s="9"/>
      <c r="K176" s="9"/>
      <c r="L176" s="9"/>
      <c r="M176" s="9">
        <v>-2500000</v>
      </c>
      <c r="N176" s="9"/>
      <c r="O176" s="9">
        <v>-2500000</v>
      </c>
      <c r="P176" s="9"/>
      <c r="Q176" s="9">
        <v>-2500000</v>
      </c>
      <c r="R176" s="9"/>
      <c r="S176" s="9">
        <v>-2500000</v>
      </c>
      <c r="T176" s="9"/>
      <c r="U176" s="9">
        <v>-2500000</v>
      </c>
      <c r="V176" s="9"/>
      <c r="W176" s="9">
        <v>-2500000</v>
      </c>
      <c r="X176" s="9"/>
      <c r="Y176" s="9">
        <v>-2500000</v>
      </c>
      <c r="Z176" s="9"/>
      <c r="AA176" s="9"/>
      <c r="AB176" s="9">
        <f t="shared" si="15"/>
        <v>0</v>
      </c>
      <c r="AC176" s="9"/>
      <c r="AD176" s="5"/>
      <c r="AE176" s="9"/>
      <c r="AF176" s="5"/>
      <c r="AG176" s="9"/>
      <c r="AH176" s="5">
        <v>0</v>
      </c>
      <c r="AI176" s="9"/>
      <c r="AJ176" s="5"/>
      <c r="AK176" s="9"/>
      <c r="AL176" s="6">
        <v>0</v>
      </c>
      <c r="AM176" s="9"/>
      <c r="AN176" s="9"/>
      <c r="AO176" s="9"/>
      <c r="AP176" s="8"/>
      <c r="AQ176" s="52"/>
      <c r="AR176" s="8"/>
      <c r="AS176" s="53"/>
      <c r="AT176" s="8"/>
      <c r="AU176" s="9"/>
      <c r="AV176" s="8"/>
      <c r="AW176" s="9"/>
      <c r="AX176" s="8"/>
      <c r="AY176" s="9"/>
      <c r="AZ176" s="8"/>
      <c r="BA176" s="9">
        <f t="shared" si="11"/>
        <v>0</v>
      </c>
      <c r="BB176" s="9">
        <f t="shared" si="12"/>
        <v>0</v>
      </c>
      <c r="BC176" s="7">
        <f t="shared" si="13"/>
        <v>0</v>
      </c>
    </row>
    <row r="177" spans="1:55" x14ac:dyDescent="0.25">
      <c r="A177" s="4">
        <f t="shared" si="14"/>
        <v>172</v>
      </c>
      <c r="B177" s="38" t="s">
        <v>169</v>
      </c>
      <c r="C177" s="6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>
        <v>20000000</v>
      </c>
      <c r="S177" s="9"/>
      <c r="T177" s="9"/>
      <c r="U177" s="9">
        <v>-2000000</v>
      </c>
      <c r="V177" s="9"/>
      <c r="W177" s="9">
        <v>-2000000</v>
      </c>
      <c r="X177" s="9"/>
      <c r="Y177" s="9">
        <v>-2000000</v>
      </c>
      <c r="Z177" s="9"/>
      <c r="AA177" s="9"/>
      <c r="AB177" s="9">
        <f t="shared" si="15"/>
        <v>14000000</v>
      </c>
      <c r="AC177" s="29"/>
      <c r="AD177" s="13">
        <v>2000000</v>
      </c>
      <c r="AE177" s="29"/>
      <c r="AF177" s="13">
        <v>2000000</v>
      </c>
      <c r="AG177" s="29"/>
      <c r="AH177" s="13">
        <v>2000000</v>
      </c>
      <c r="AI177" s="29">
        <v>25000000</v>
      </c>
      <c r="AJ177" s="5">
        <f>2000000+6000000</f>
        <v>8000000</v>
      </c>
      <c r="AK177" s="9"/>
      <c r="AL177" s="6">
        <v>2500000</v>
      </c>
      <c r="AM177" s="9"/>
      <c r="AN177" s="9">
        <v>2500000</v>
      </c>
      <c r="AO177" s="9"/>
      <c r="AP177" s="8">
        <v>2500000</v>
      </c>
      <c r="AQ177" s="52"/>
      <c r="AR177" s="8">
        <v>2500000</v>
      </c>
      <c r="AS177" s="53"/>
      <c r="AT177" s="8">
        <v>2500000</v>
      </c>
      <c r="AU177" s="9"/>
      <c r="AV177" s="8">
        <v>2500000</v>
      </c>
      <c r="AW177" s="9"/>
      <c r="AX177" s="8">
        <v>2500000</v>
      </c>
      <c r="AY177" s="9"/>
      <c r="AZ177" s="8">
        <v>7500000</v>
      </c>
      <c r="BA177" s="9">
        <f t="shared" si="11"/>
        <v>39000000</v>
      </c>
      <c r="BB177" s="9">
        <f t="shared" si="12"/>
        <v>39000000</v>
      </c>
      <c r="BC177" s="7">
        <f t="shared" si="13"/>
        <v>0</v>
      </c>
    </row>
    <row r="178" spans="1:55" s="35" customFormat="1" x14ac:dyDescent="0.25">
      <c r="A178" s="34">
        <f t="shared" si="14"/>
        <v>173</v>
      </c>
      <c r="B178" s="28" t="s">
        <v>170</v>
      </c>
      <c r="C178" s="13"/>
      <c r="D178" s="29"/>
      <c r="E178" s="29"/>
      <c r="F178" s="29"/>
      <c r="G178" s="29"/>
      <c r="H178" s="29"/>
      <c r="I178" s="29"/>
      <c r="J178" s="29"/>
      <c r="K178" s="29"/>
      <c r="L178" s="29">
        <v>25000000</v>
      </c>
      <c r="M178" s="29"/>
      <c r="N178" s="29"/>
      <c r="O178" s="29">
        <v>-2500000</v>
      </c>
      <c r="P178" s="29"/>
      <c r="Q178" s="29">
        <v>-2500000</v>
      </c>
      <c r="R178" s="29"/>
      <c r="S178" s="29">
        <v>-2500000</v>
      </c>
      <c r="T178" s="29"/>
      <c r="U178" s="29">
        <v>-2500000</v>
      </c>
      <c r="V178" s="29"/>
      <c r="W178" s="29">
        <v>-2500000</v>
      </c>
      <c r="X178" s="29"/>
      <c r="Y178" s="29">
        <v>-2500000</v>
      </c>
      <c r="Z178" s="29"/>
      <c r="AA178" s="29">
        <v>-2500000</v>
      </c>
      <c r="AB178" s="29">
        <f t="shared" si="15"/>
        <v>7500000</v>
      </c>
      <c r="AC178" s="29"/>
      <c r="AD178" s="13">
        <v>2500000</v>
      </c>
      <c r="AE178" s="29"/>
      <c r="AF178" s="13">
        <v>2500000</v>
      </c>
      <c r="AG178" s="29"/>
      <c r="AH178" s="13">
        <v>0</v>
      </c>
      <c r="AI178" s="29"/>
      <c r="AJ178" s="13">
        <v>2500000</v>
      </c>
      <c r="AK178" s="29">
        <v>2500000</v>
      </c>
      <c r="AL178" s="13">
        <v>2500000</v>
      </c>
      <c r="AM178" s="29"/>
      <c r="AN178" s="13">
        <v>0</v>
      </c>
      <c r="AO178" s="29"/>
      <c r="AP178" s="29">
        <v>0</v>
      </c>
      <c r="AQ178" s="50"/>
      <c r="AR178" s="29">
        <v>0</v>
      </c>
      <c r="AS178" s="51"/>
      <c r="AT178" s="29">
        <v>0</v>
      </c>
      <c r="AU178" s="29"/>
      <c r="AV178" s="29">
        <v>0</v>
      </c>
      <c r="AW178" s="29"/>
      <c r="AX178" s="29">
        <v>0</v>
      </c>
      <c r="AY178" s="29"/>
      <c r="AZ178" s="29">
        <v>0</v>
      </c>
      <c r="BA178" s="9">
        <f t="shared" si="11"/>
        <v>10000000</v>
      </c>
      <c r="BB178" s="29">
        <f t="shared" si="12"/>
        <v>10000000</v>
      </c>
      <c r="BC178" s="29">
        <f t="shared" si="13"/>
        <v>0</v>
      </c>
    </row>
    <row r="179" spans="1:55" s="35" customFormat="1" x14ac:dyDescent="0.25">
      <c r="A179" s="34">
        <f t="shared" si="14"/>
        <v>174</v>
      </c>
      <c r="B179" s="28" t="s">
        <v>181</v>
      </c>
      <c r="C179" s="13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>
        <v>10000000</v>
      </c>
      <c r="Y179" s="29"/>
      <c r="Z179" s="29"/>
      <c r="AA179" s="29">
        <v>-1000000</v>
      </c>
      <c r="AB179" s="29">
        <f t="shared" si="15"/>
        <v>9000000</v>
      </c>
      <c r="AC179" s="29">
        <v>0</v>
      </c>
      <c r="AD179" s="13">
        <v>1000000</v>
      </c>
      <c r="AE179" s="29">
        <v>0</v>
      </c>
      <c r="AF179" s="13">
        <v>1000000</v>
      </c>
      <c r="AG179" s="29">
        <v>0</v>
      </c>
      <c r="AH179" s="13">
        <v>0</v>
      </c>
      <c r="AI179" s="29">
        <v>0</v>
      </c>
      <c r="AJ179" s="13">
        <v>1000000</v>
      </c>
      <c r="AK179" s="29">
        <v>0</v>
      </c>
      <c r="AL179" s="13">
        <v>1000000</v>
      </c>
      <c r="AM179" s="50">
        <v>0</v>
      </c>
      <c r="AN179" s="13">
        <v>1000000</v>
      </c>
      <c r="AO179" s="47">
        <v>0</v>
      </c>
      <c r="AP179" s="29">
        <v>4000000</v>
      </c>
      <c r="AQ179" s="47">
        <v>0</v>
      </c>
      <c r="AR179" s="29">
        <v>0</v>
      </c>
      <c r="AS179" s="51">
        <v>0</v>
      </c>
      <c r="AT179" s="29">
        <v>0</v>
      </c>
      <c r="AU179" s="29">
        <v>0</v>
      </c>
      <c r="AV179" s="29">
        <v>0</v>
      </c>
      <c r="AW179" s="29">
        <v>0</v>
      </c>
      <c r="AX179" s="29">
        <v>0</v>
      </c>
      <c r="AY179" s="29">
        <v>0</v>
      </c>
      <c r="AZ179" s="29">
        <v>0</v>
      </c>
      <c r="BA179" s="9">
        <f t="shared" si="11"/>
        <v>9000000</v>
      </c>
      <c r="BB179" s="29">
        <f>AD179+AF179+AH179+AJ179+AL179+AN179+AP179+AR179+AT179+AV179+AX179+AZ179</f>
        <v>9000000</v>
      </c>
      <c r="BC179" s="29">
        <f>BA179-BB179</f>
        <v>0</v>
      </c>
    </row>
    <row r="180" spans="1:55" s="35" customFormat="1" x14ac:dyDescent="0.25">
      <c r="A180" s="34">
        <f t="shared" si="14"/>
        <v>175</v>
      </c>
      <c r="B180" s="28" t="s">
        <v>180</v>
      </c>
      <c r="C180" s="13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>
        <v>7000000</v>
      </c>
      <c r="Y180" s="29"/>
      <c r="Z180" s="29"/>
      <c r="AA180" s="29">
        <v>-700000</v>
      </c>
      <c r="AB180" s="29">
        <f t="shared" si="15"/>
        <v>6300000</v>
      </c>
      <c r="AC180" s="29"/>
      <c r="AD180" s="13">
        <v>700000</v>
      </c>
      <c r="AE180" s="29"/>
      <c r="AF180" s="13">
        <v>700000</v>
      </c>
      <c r="AG180" s="29"/>
      <c r="AH180" s="13">
        <v>0</v>
      </c>
      <c r="AI180" s="29"/>
      <c r="AJ180" s="13">
        <v>700000</v>
      </c>
      <c r="AK180" s="29"/>
      <c r="AL180" s="13">
        <v>700000</v>
      </c>
      <c r="AM180" s="50"/>
      <c r="AN180" s="13">
        <v>700000</v>
      </c>
      <c r="AO180" s="47"/>
      <c r="AP180" s="29">
        <v>700000</v>
      </c>
      <c r="AQ180" s="47"/>
      <c r="AR180" s="29">
        <v>700000</v>
      </c>
      <c r="AS180" s="51"/>
      <c r="AT180" s="29">
        <v>700000</v>
      </c>
      <c r="AU180" s="29"/>
      <c r="AV180" s="29">
        <v>700000</v>
      </c>
      <c r="AW180" s="29"/>
      <c r="AX180" s="29">
        <v>0</v>
      </c>
      <c r="AY180" s="29">
        <v>10000000</v>
      </c>
      <c r="AZ180" s="29">
        <v>0</v>
      </c>
      <c r="BA180" s="9">
        <f t="shared" si="11"/>
        <v>16300000</v>
      </c>
      <c r="BB180" s="29">
        <f t="shared" si="12"/>
        <v>6300000</v>
      </c>
      <c r="BC180" s="29">
        <f t="shared" si="13"/>
        <v>10000000</v>
      </c>
    </row>
    <row r="181" spans="1:55" s="35" customFormat="1" x14ac:dyDescent="0.25">
      <c r="A181" s="46">
        <v>176</v>
      </c>
      <c r="B181" s="30" t="s">
        <v>183</v>
      </c>
      <c r="C181" s="31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>
        <v>15000000</v>
      </c>
      <c r="AD181" s="13">
        <v>0</v>
      </c>
      <c r="AE181" s="32"/>
      <c r="AF181" s="13">
        <v>1500000</v>
      </c>
      <c r="AG181" s="47"/>
      <c r="AH181" s="13">
        <v>0</v>
      </c>
      <c r="AI181" s="47"/>
      <c r="AJ181" s="13">
        <v>1500000</v>
      </c>
      <c r="AK181" s="47"/>
      <c r="AL181" s="13">
        <v>1500000</v>
      </c>
      <c r="AM181" s="47"/>
      <c r="AN181" s="13">
        <v>1500000</v>
      </c>
      <c r="AO181" s="47"/>
      <c r="AP181" s="29">
        <v>1500000</v>
      </c>
      <c r="AQ181" s="47"/>
      <c r="AR181" s="29">
        <v>1500000</v>
      </c>
      <c r="AS181" s="47"/>
      <c r="AT181" s="29">
        <v>1500000</v>
      </c>
      <c r="AU181" s="29"/>
      <c r="AV181" s="29">
        <v>1500000</v>
      </c>
      <c r="AW181" s="29"/>
      <c r="AX181" s="29">
        <v>1500000</v>
      </c>
      <c r="AY181" s="29"/>
      <c r="AZ181" s="29">
        <v>1500000</v>
      </c>
      <c r="BA181" s="9">
        <f t="shared" si="11"/>
        <v>15000000</v>
      </c>
      <c r="BB181" s="29">
        <f t="shared" si="12"/>
        <v>15000000</v>
      </c>
      <c r="BC181" s="29">
        <f t="shared" si="13"/>
        <v>0</v>
      </c>
    </row>
    <row r="182" spans="1:55" x14ac:dyDescent="0.25">
      <c r="A182" s="3">
        <v>177</v>
      </c>
      <c r="B182" s="42" t="s">
        <v>184</v>
      </c>
      <c r="C182" s="43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5"/>
      <c r="AE182" s="16"/>
      <c r="AF182" s="5"/>
      <c r="AG182" s="19"/>
      <c r="AH182" s="5">
        <v>0</v>
      </c>
      <c r="AI182" s="19"/>
      <c r="AJ182" s="5"/>
      <c r="AK182" s="18"/>
      <c r="AL182" s="6">
        <v>0</v>
      </c>
      <c r="AM182" s="18"/>
      <c r="AN182" s="9"/>
      <c r="AO182" s="18"/>
      <c r="AP182" s="8"/>
      <c r="AQ182" s="18"/>
      <c r="AR182" s="8"/>
      <c r="AS182" s="18"/>
      <c r="AT182" s="8"/>
      <c r="AU182" s="9"/>
      <c r="AV182" s="8"/>
      <c r="AW182" s="9"/>
      <c r="AX182" s="8"/>
      <c r="AY182" s="9"/>
      <c r="AZ182" s="8"/>
      <c r="BA182" s="9">
        <f t="shared" si="11"/>
        <v>0</v>
      </c>
      <c r="BB182" s="9">
        <f>AD182+AF182+AH182+AJ182+AL182+AN182+AP182+AR182+AT182+AV182+AX182+AZ182</f>
        <v>0</v>
      </c>
      <c r="BC182" s="7">
        <f t="shared" si="13"/>
        <v>0</v>
      </c>
    </row>
    <row r="183" spans="1:55" x14ac:dyDescent="0.25">
      <c r="A183" s="3">
        <v>178</v>
      </c>
      <c r="B183" s="42" t="s">
        <v>206</v>
      </c>
      <c r="C183" s="43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>
        <v>25000000</v>
      </c>
      <c r="AD183" s="17">
        <v>2500000</v>
      </c>
      <c r="AE183" s="16"/>
      <c r="AF183" s="17">
        <v>2500000</v>
      </c>
      <c r="AG183" s="19"/>
      <c r="AH183" s="5">
        <v>0</v>
      </c>
      <c r="AI183" s="19"/>
      <c r="AJ183" s="5">
        <v>2500000</v>
      </c>
      <c r="AK183" s="18"/>
      <c r="AL183" s="6">
        <v>2500000</v>
      </c>
      <c r="AM183" s="18"/>
      <c r="AN183" s="9">
        <v>2500000</v>
      </c>
      <c r="AO183" s="18"/>
      <c r="AP183" s="8">
        <v>2500000</v>
      </c>
      <c r="AQ183" s="18"/>
      <c r="AR183" s="8">
        <v>2500000</v>
      </c>
      <c r="AS183" s="18"/>
      <c r="AT183" s="8">
        <v>2500000</v>
      </c>
      <c r="AU183" s="9"/>
      <c r="AV183" s="8">
        <v>2500000</v>
      </c>
      <c r="AW183" s="9"/>
      <c r="AX183" s="8">
        <v>2500000</v>
      </c>
      <c r="AY183" s="9"/>
      <c r="AZ183" s="8"/>
      <c r="BA183" s="9">
        <f t="shared" si="11"/>
        <v>25000000</v>
      </c>
      <c r="BB183" s="9">
        <f t="shared" ref="BB183:BB188" si="16">AD183+AF183+AH183+AJ183+AL183+AN183+AP183+AR183+AT183+AV183+AX183+AZ183</f>
        <v>25000000</v>
      </c>
      <c r="BC183" s="7">
        <f t="shared" si="13"/>
        <v>0</v>
      </c>
    </row>
    <row r="184" spans="1:55" x14ac:dyDescent="0.25">
      <c r="A184" s="3">
        <v>179</v>
      </c>
      <c r="B184" s="42" t="s">
        <v>207</v>
      </c>
      <c r="C184" s="43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>
        <v>25000000</v>
      </c>
      <c r="AD184" s="17"/>
      <c r="AE184" s="16"/>
      <c r="AF184" s="17">
        <v>2500000</v>
      </c>
      <c r="AG184" s="19"/>
      <c r="AH184" s="5">
        <v>0</v>
      </c>
      <c r="AI184" s="19"/>
      <c r="AJ184" s="5">
        <v>2500000</v>
      </c>
      <c r="AK184" s="18"/>
      <c r="AL184" s="6">
        <v>2500000</v>
      </c>
      <c r="AM184" s="18"/>
      <c r="AN184" s="9">
        <v>2500000</v>
      </c>
      <c r="AO184" s="18"/>
      <c r="AP184" s="8">
        <v>2500000</v>
      </c>
      <c r="AQ184" s="18"/>
      <c r="AR184" s="8">
        <v>2500000</v>
      </c>
      <c r="AS184" s="18"/>
      <c r="AT184" s="8">
        <v>2500000</v>
      </c>
      <c r="AU184" s="9"/>
      <c r="AV184" s="8">
        <v>2500000</v>
      </c>
      <c r="AW184" s="9"/>
      <c r="AX184" s="8">
        <v>2500000</v>
      </c>
      <c r="AY184" s="9"/>
      <c r="AZ184" s="8">
        <v>2500000</v>
      </c>
      <c r="BA184" s="9">
        <f t="shared" si="11"/>
        <v>25000000</v>
      </c>
      <c r="BB184" s="9">
        <f t="shared" si="16"/>
        <v>25000000</v>
      </c>
      <c r="BC184" s="7">
        <f t="shared" si="13"/>
        <v>0</v>
      </c>
    </row>
    <row r="185" spans="1:55" x14ac:dyDescent="0.25">
      <c r="A185" s="3">
        <v>180</v>
      </c>
      <c r="B185" s="42" t="s">
        <v>208</v>
      </c>
      <c r="C185" s="43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7"/>
      <c r="AE185" s="16"/>
      <c r="AF185" s="17"/>
      <c r="AG185" s="19">
        <v>25000000</v>
      </c>
      <c r="AH185" s="5">
        <v>15000000</v>
      </c>
      <c r="AI185" s="19"/>
      <c r="AJ185" s="5">
        <v>1000000</v>
      </c>
      <c r="AK185" s="18"/>
      <c r="AL185" s="6">
        <v>1000000</v>
      </c>
      <c r="AM185" s="18"/>
      <c r="AN185" s="9">
        <v>1000000</v>
      </c>
      <c r="AO185" s="18"/>
      <c r="AP185" s="8">
        <v>1000000</v>
      </c>
      <c r="AQ185" s="18"/>
      <c r="AR185" s="8">
        <v>1000000</v>
      </c>
      <c r="AS185" s="18"/>
      <c r="AT185" s="8">
        <v>1000000</v>
      </c>
      <c r="AU185" s="9">
        <v>22000000</v>
      </c>
      <c r="AV185" s="8">
        <f>1000000+3000000</f>
        <v>4000000</v>
      </c>
      <c r="AW185" s="9"/>
      <c r="AX185" s="8">
        <v>2200000</v>
      </c>
      <c r="AY185" s="9"/>
      <c r="AZ185" s="8">
        <v>2500000</v>
      </c>
      <c r="BA185" s="9">
        <f t="shared" si="11"/>
        <v>47000000</v>
      </c>
      <c r="BB185" s="9">
        <f t="shared" si="16"/>
        <v>29700000</v>
      </c>
      <c r="BC185" s="7">
        <f t="shared" si="13"/>
        <v>17300000</v>
      </c>
    </row>
    <row r="186" spans="1:55" x14ac:dyDescent="0.25">
      <c r="A186" s="69">
        <v>181</v>
      </c>
      <c r="B186" s="70" t="s">
        <v>210</v>
      </c>
      <c r="C186" s="71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1"/>
      <c r="AE186" s="72"/>
      <c r="AF186" s="71"/>
      <c r="AG186" s="73">
        <v>25000000</v>
      </c>
      <c r="AH186" s="71"/>
      <c r="AI186" s="73"/>
      <c r="AJ186" s="71"/>
      <c r="AK186" s="73"/>
      <c r="AL186" s="67">
        <v>0</v>
      </c>
      <c r="AM186" s="73"/>
      <c r="AN186" s="68">
        <v>2500000</v>
      </c>
      <c r="AO186" s="73"/>
      <c r="AP186" s="68">
        <v>2500000</v>
      </c>
      <c r="AQ186" s="73"/>
      <c r="AR186" s="68">
        <f>2500000+2500000</f>
        <v>5000000</v>
      </c>
      <c r="AS186" s="73"/>
      <c r="AT186" s="68"/>
      <c r="AU186" s="68">
        <v>25000000</v>
      </c>
      <c r="AV186" s="68">
        <v>7500000</v>
      </c>
      <c r="AW186" s="68"/>
      <c r="AX186" s="68">
        <v>5000000</v>
      </c>
      <c r="AY186" s="68"/>
      <c r="AZ186" s="68">
        <f>2500000+2500000</f>
        <v>5000000</v>
      </c>
      <c r="BA186" s="9">
        <f t="shared" si="11"/>
        <v>50000000</v>
      </c>
      <c r="BB186" s="9">
        <f t="shared" si="16"/>
        <v>27500000</v>
      </c>
      <c r="BC186" s="7">
        <f t="shared" si="13"/>
        <v>22500000</v>
      </c>
    </row>
    <row r="187" spans="1:55" x14ac:dyDescent="0.25">
      <c r="A187" s="3">
        <v>182</v>
      </c>
      <c r="B187" s="42" t="s">
        <v>211</v>
      </c>
      <c r="C187" s="43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32"/>
      <c r="AD187" s="13">
        <v>0</v>
      </c>
      <c r="AE187" s="32"/>
      <c r="AF187" s="13">
        <v>0</v>
      </c>
      <c r="AG187" s="33"/>
      <c r="AH187" s="31"/>
      <c r="AI187" s="33">
        <v>25000000</v>
      </c>
      <c r="AJ187" s="17"/>
      <c r="AK187" s="19"/>
      <c r="AL187" s="6">
        <v>2500000</v>
      </c>
      <c r="AM187" s="19"/>
      <c r="AN187" s="9">
        <v>2500000</v>
      </c>
      <c r="AO187" s="19"/>
      <c r="AP187" s="8">
        <v>2500000</v>
      </c>
      <c r="AQ187" s="19"/>
      <c r="AR187" s="8">
        <v>2500000</v>
      </c>
      <c r="AS187" s="19"/>
      <c r="AT187" s="8">
        <v>500000</v>
      </c>
      <c r="AU187" s="9"/>
      <c r="AV187" s="8">
        <v>500000</v>
      </c>
      <c r="AW187" s="9"/>
      <c r="AX187" s="8">
        <v>500000</v>
      </c>
      <c r="AY187" s="9"/>
      <c r="AZ187" s="8">
        <v>500000</v>
      </c>
      <c r="BA187" s="9">
        <f t="shared" si="11"/>
        <v>25000000</v>
      </c>
      <c r="BB187" s="9">
        <f t="shared" si="16"/>
        <v>12000000</v>
      </c>
      <c r="BC187" s="7">
        <f t="shared" si="13"/>
        <v>13000000</v>
      </c>
    </row>
    <row r="188" spans="1:55" x14ac:dyDescent="0.25">
      <c r="A188" s="3">
        <v>183</v>
      </c>
      <c r="B188" s="42" t="s">
        <v>212</v>
      </c>
      <c r="C188" s="43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>
        <v>9260000</v>
      </c>
      <c r="AD188" s="17">
        <v>9260000</v>
      </c>
      <c r="AE188" s="16"/>
      <c r="AF188" s="17"/>
      <c r="AG188" s="19"/>
      <c r="AH188" s="17"/>
      <c r="AI188" s="19"/>
      <c r="AJ188" s="17"/>
      <c r="AK188" s="19"/>
      <c r="AL188" s="6">
        <v>0</v>
      </c>
      <c r="AM188" s="19"/>
      <c r="AN188" s="9"/>
      <c r="AO188" s="19"/>
      <c r="AP188" s="8"/>
      <c r="AQ188" s="19"/>
      <c r="AR188" s="8"/>
      <c r="AS188" s="19"/>
      <c r="AT188" s="8"/>
      <c r="AU188" s="9"/>
      <c r="AV188" s="8"/>
      <c r="AW188" s="9"/>
      <c r="AX188" s="8"/>
      <c r="AY188" s="9"/>
      <c r="AZ188" s="8"/>
      <c r="BA188" s="9">
        <f t="shared" si="11"/>
        <v>9260000</v>
      </c>
      <c r="BB188" s="9">
        <f t="shared" si="16"/>
        <v>9260000</v>
      </c>
      <c r="BC188" s="7">
        <f t="shared" si="13"/>
        <v>0</v>
      </c>
    </row>
    <row r="189" spans="1:55" x14ac:dyDescent="0.25">
      <c r="A189" s="3">
        <v>184</v>
      </c>
      <c r="B189" s="42" t="s">
        <v>213</v>
      </c>
      <c r="C189" s="43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7"/>
      <c r="AE189" s="16"/>
      <c r="AF189" s="17"/>
      <c r="AG189" s="19"/>
      <c r="AH189" s="17"/>
      <c r="AI189" s="19"/>
      <c r="AJ189" s="17"/>
      <c r="AK189" s="19"/>
      <c r="AL189" s="6">
        <v>0</v>
      </c>
      <c r="AM189" s="19"/>
      <c r="AN189" s="9"/>
      <c r="AO189" s="19"/>
      <c r="AP189" s="8"/>
      <c r="AQ189" s="19"/>
      <c r="AR189" s="8"/>
      <c r="AS189" s="19"/>
      <c r="AT189" s="8"/>
      <c r="AU189" s="9">
        <v>25000000</v>
      </c>
      <c r="AV189" s="8">
        <v>2500000</v>
      </c>
      <c r="AW189" s="9"/>
      <c r="AX189" s="8">
        <v>2500000</v>
      </c>
      <c r="AY189" s="9"/>
      <c r="AZ189" s="8"/>
      <c r="BA189" s="9">
        <f t="shared" si="11"/>
        <v>25000000</v>
      </c>
      <c r="BB189" s="9">
        <f>AD189+AF189+AH189+AJ189+AL189+AN189+AP189+AR189+AT189+AV189+AX189+AZ189</f>
        <v>5000000</v>
      </c>
      <c r="BC189" s="7">
        <f t="shared" ref="BC189:BC193" si="17">BA189-BB189</f>
        <v>20000000</v>
      </c>
    </row>
    <row r="190" spans="1:55" s="35" customFormat="1" x14ac:dyDescent="0.25">
      <c r="A190" s="46">
        <v>185</v>
      </c>
      <c r="B190" s="30" t="s">
        <v>215</v>
      </c>
      <c r="C190" s="31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13">
        <v>0</v>
      </c>
      <c r="AE190" s="32"/>
      <c r="AF190" s="13">
        <v>0</v>
      </c>
      <c r="AG190" s="33"/>
      <c r="AH190" s="31"/>
      <c r="AI190" s="33">
        <v>15000000</v>
      </c>
      <c r="AJ190" s="13"/>
      <c r="AK190" s="33"/>
      <c r="AL190" s="13">
        <v>1500000</v>
      </c>
      <c r="AM190" s="33"/>
      <c r="AN190" s="13">
        <v>1500000</v>
      </c>
      <c r="AO190" s="33"/>
      <c r="AP190" s="29">
        <v>1500000</v>
      </c>
      <c r="AQ190" s="33"/>
      <c r="AR190" s="29">
        <v>1500000</v>
      </c>
      <c r="AS190" s="33"/>
      <c r="AT190" s="29">
        <v>1500000</v>
      </c>
      <c r="AU190" s="29"/>
      <c r="AV190" s="29">
        <v>1500000</v>
      </c>
      <c r="AW190" s="29"/>
      <c r="AX190" s="29">
        <v>1500000</v>
      </c>
      <c r="AY190" s="29"/>
      <c r="AZ190" s="29">
        <v>1500000</v>
      </c>
      <c r="BA190" s="9">
        <f t="shared" si="11"/>
        <v>15000000</v>
      </c>
      <c r="BB190" s="29">
        <f t="shared" ref="BB190" si="18">AD190+AF190+AH190+AJ190+AL190+AN190+AP190+AR190+AT190+AV190+AX190+AZ190</f>
        <v>12000000</v>
      </c>
      <c r="BC190" s="29">
        <f t="shared" si="17"/>
        <v>3000000</v>
      </c>
    </row>
    <row r="191" spans="1:55" s="35" customFormat="1" x14ac:dyDescent="0.25">
      <c r="A191" s="46">
        <v>186</v>
      </c>
      <c r="B191" s="30" t="s">
        <v>217</v>
      </c>
      <c r="C191" s="31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13">
        <v>0</v>
      </c>
      <c r="AE191" s="32"/>
      <c r="AF191" s="13">
        <v>0</v>
      </c>
      <c r="AG191" s="33"/>
      <c r="AH191" s="31"/>
      <c r="AI191" s="33"/>
      <c r="AJ191" s="13">
        <v>0</v>
      </c>
      <c r="AK191" s="33"/>
      <c r="AL191" s="31"/>
      <c r="AM191" s="33">
        <v>10000000</v>
      </c>
      <c r="AN191" s="13">
        <v>0</v>
      </c>
      <c r="AO191" s="33"/>
      <c r="AP191" s="29">
        <v>1000000</v>
      </c>
      <c r="AQ191" s="33"/>
      <c r="AR191" s="29">
        <v>1000000</v>
      </c>
      <c r="AS191" s="33"/>
      <c r="AT191" s="29">
        <v>1000000</v>
      </c>
      <c r="AU191" s="33"/>
      <c r="AV191" s="29">
        <v>1000000</v>
      </c>
      <c r="AW191" s="33"/>
      <c r="AX191" s="29">
        <v>1000000</v>
      </c>
      <c r="AY191" s="33"/>
      <c r="AZ191" s="29">
        <v>1000000</v>
      </c>
      <c r="BA191" s="9">
        <f t="shared" si="11"/>
        <v>10000000</v>
      </c>
      <c r="BB191" s="29">
        <f t="shared" ref="BB191" si="19">AD191+AF191+AH191+AJ191+AL191+AN191+AP191+AR191+AT191+AV191+AX191+AZ191</f>
        <v>6000000</v>
      </c>
      <c r="BC191" s="29">
        <f t="shared" si="17"/>
        <v>4000000</v>
      </c>
    </row>
    <row r="192" spans="1:55" x14ac:dyDescent="0.25">
      <c r="A192" s="3">
        <v>187</v>
      </c>
      <c r="B192" s="42" t="s">
        <v>218</v>
      </c>
      <c r="C192" s="43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43"/>
      <c r="AE192" s="16"/>
      <c r="AF192" s="43"/>
      <c r="AG192" s="19"/>
      <c r="AH192" s="43"/>
      <c r="AI192" s="19"/>
      <c r="AJ192" s="43"/>
      <c r="AK192" s="19"/>
      <c r="AL192" s="43"/>
      <c r="AM192" s="19"/>
      <c r="AN192" s="43"/>
      <c r="AO192" s="19"/>
      <c r="AP192" s="16"/>
      <c r="AQ192" s="19"/>
      <c r="AR192" s="16"/>
      <c r="AS192" s="19"/>
      <c r="AT192" s="16"/>
      <c r="AU192" s="19">
        <v>10000000</v>
      </c>
      <c r="AV192" s="16">
        <v>1000000</v>
      </c>
      <c r="AW192" s="19"/>
      <c r="AX192" s="19">
        <v>1000000</v>
      </c>
      <c r="AY192" s="19"/>
      <c r="AZ192" s="19">
        <v>1000000</v>
      </c>
      <c r="BA192" s="9">
        <f t="shared" si="11"/>
        <v>10000000</v>
      </c>
      <c r="BB192" s="29">
        <f t="shared" ref="BB192:BB193" si="20">AD192+AF192+AH192+AJ192+AL192+AN192+AP192+AR192+AT192+AV192+AX192+AZ192</f>
        <v>3000000</v>
      </c>
      <c r="BC192" s="29">
        <f t="shared" si="17"/>
        <v>7000000</v>
      </c>
    </row>
    <row r="193" spans="1:55" x14ac:dyDescent="0.25">
      <c r="A193" s="3">
        <v>188</v>
      </c>
      <c r="B193" s="42" t="s">
        <v>219</v>
      </c>
      <c r="C193" s="43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6">
        <v>0</v>
      </c>
      <c r="AE193" s="16"/>
      <c r="AF193" s="6">
        <v>0</v>
      </c>
      <c r="AG193" s="19"/>
      <c r="AH193" s="43"/>
      <c r="AI193" s="19"/>
      <c r="AJ193" s="6"/>
      <c r="AK193" s="19"/>
      <c r="AL193" s="43"/>
      <c r="AM193" s="19"/>
      <c r="AN193" s="43"/>
      <c r="AO193" s="19"/>
      <c r="AP193" s="16"/>
      <c r="AQ193" s="19"/>
      <c r="AR193" s="16"/>
      <c r="AS193" s="19"/>
      <c r="AT193" s="16"/>
      <c r="AU193" s="19">
        <v>15000000</v>
      </c>
      <c r="AV193" s="16"/>
      <c r="AW193" s="19"/>
      <c r="AX193" s="9">
        <v>1500000</v>
      </c>
      <c r="AY193" s="19"/>
      <c r="AZ193" s="9">
        <v>1500000</v>
      </c>
      <c r="BA193" s="9">
        <f t="shared" si="11"/>
        <v>15000000</v>
      </c>
      <c r="BB193" s="9">
        <f t="shared" si="20"/>
        <v>3000000</v>
      </c>
      <c r="BC193" s="9">
        <f t="shared" si="17"/>
        <v>12000000</v>
      </c>
    </row>
    <row r="194" spans="1:55" s="35" customFormat="1" x14ac:dyDescent="0.25">
      <c r="A194" s="46">
        <v>189</v>
      </c>
      <c r="B194" s="30" t="s">
        <v>220</v>
      </c>
      <c r="C194" s="31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1"/>
      <c r="AE194" s="32"/>
      <c r="AF194" s="31"/>
      <c r="AG194" s="33"/>
      <c r="AH194" s="31"/>
      <c r="AI194" s="33"/>
      <c r="AJ194" s="31"/>
      <c r="AK194" s="33"/>
      <c r="AL194" s="31"/>
      <c r="AM194" s="33"/>
      <c r="AN194" s="31"/>
      <c r="AO194" s="33"/>
      <c r="AP194" s="32"/>
      <c r="AQ194" s="33"/>
      <c r="AR194" s="32"/>
      <c r="AS194" s="33"/>
      <c r="AT194" s="32"/>
      <c r="AU194" s="33"/>
      <c r="AV194" s="32"/>
      <c r="AW194" s="33">
        <v>4616000</v>
      </c>
      <c r="AX194" s="29">
        <v>4616000</v>
      </c>
      <c r="AY194" s="33"/>
      <c r="AZ194" s="29">
        <v>0</v>
      </c>
      <c r="BA194" s="9">
        <f t="shared" si="11"/>
        <v>4616000</v>
      </c>
      <c r="BB194" s="9">
        <f t="shared" ref="BB194:BB195" si="21">AD194+AF194+AH194+AJ194+AL194+AN194+AP194+AR194+AT194+AV194+AX194+AZ194</f>
        <v>4616000</v>
      </c>
      <c r="BC194" s="9">
        <f t="shared" ref="BC194:BC195" si="22">BA194-BB194</f>
        <v>0</v>
      </c>
    </row>
    <row r="195" spans="1:55" x14ac:dyDescent="0.25">
      <c r="A195" s="3">
        <v>190</v>
      </c>
      <c r="B195" s="42" t="s">
        <v>223</v>
      </c>
      <c r="C195" s="43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43"/>
      <c r="AE195" s="16"/>
      <c r="AF195" s="43"/>
      <c r="AG195" s="19"/>
      <c r="AH195" s="43"/>
      <c r="AI195" s="19"/>
      <c r="AJ195" s="43"/>
      <c r="AK195" s="19"/>
      <c r="AL195" s="43"/>
      <c r="AM195" s="19"/>
      <c r="AN195" s="43"/>
      <c r="AO195" s="19"/>
      <c r="AP195" s="16"/>
      <c r="AQ195" s="19"/>
      <c r="AR195" s="16"/>
      <c r="AS195" s="19"/>
      <c r="AT195" s="16"/>
      <c r="AU195" s="19"/>
      <c r="AV195" s="16"/>
      <c r="AW195" s="19"/>
      <c r="AX195" s="16"/>
      <c r="AY195" s="19">
        <v>5000000</v>
      </c>
      <c r="AZ195" s="9">
        <v>500000</v>
      </c>
      <c r="BA195" s="9">
        <f t="shared" ref="BA195" si="23">AB195+AC195+AE195+AG195+AI195+AK195+AM195+AO195+AQ195+AS195+AU195+AW195+AY195</f>
        <v>5000000</v>
      </c>
      <c r="BB195" s="9">
        <f t="shared" si="21"/>
        <v>500000</v>
      </c>
      <c r="BC195" s="9">
        <f t="shared" si="22"/>
        <v>4500000</v>
      </c>
    </row>
    <row r="196" spans="1:55" x14ac:dyDescent="0.25">
      <c r="A196" s="14"/>
      <c r="B196" s="42"/>
      <c r="C196" s="15">
        <f t="shared" ref="C196:AN196" si="24">SUM(C6:C190)</f>
        <v>888907160</v>
      </c>
      <c r="D196" s="15">
        <f t="shared" si="24"/>
        <v>103000000</v>
      </c>
      <c r="E196" s="15">
        <f t="shared" si="24"/>
        <v>-123628571</v>
      </c>
      <c r="F196" s="15">
        <f t="shared" si="24"/>
        <v>108000000</v>
      </c>
      <c r="G196" s="15">
        <f t="shared" si="24"/>
        <v>-105728571</v>
      </c>
      <c r="H196" s="15">
        <f t="shared" si="24"/>
        <v>65000000</v>
      </c>
      <c r="I196" s="15">
        <f t="shared" si="24"/>
        <v>-113178571</v>
      </c>
      <c r="J196" s="15">
        <f t="shared" si="24"/>
        <v>117000000</v>
      </c>
      <c r="K196" s="15">
        <f t="shared" si="24"/>
        <v>-33528571</v>
      </c>
      <c r="L196" s="15">
        <f t="shared" si="24"/>
        <v>72255000</v>
      </c>
      <c r="M196" s="15">
        <f t="shared" si="24"/>
        <v>-115320238</v>
      </c>
      <c r="N196" s="15">
        <f t="shared" si="24"/>
        <v>156000000</v>
      </c>
      <c r="O196" s="15">
        <f t="shared" si="24"/>
        <v>-121159167</v>
      </c>
      <c r="P196" s="15">
        <f t="shared" si="24"/>
        <v>38000000</v>
      </c>
      <c r="Q196" s="15">
        <f t="shared" si="24"/>
        <v>-133889166</v>
      </c>
      <c r="R196" s="15">
        <f t="shared" si="24"/>
        <v>310000000</v>
      </c>
      <c r="S196" s="15">
        <f t="shared" si="24"/>
        <v>-145517500</v>
      </c>
      <c r="T196" s="15">
        <f t="shared" si="24"/>
        <v>67000000</v>
      </c>
      <c r="U196" s="15">
        <f t="shared" si="24"/>
        <v>-121817500</v>
      </c>
      <c r="V196" s="15">
        <f t="shared" si="24"/>
        <v>180000000</v>
      </c>
      <c r="W196" s="15">
        <f t="shared" si="24"/>
        <v>-123767500</v>
      </c>
      <c r="X196" s="15">
        <f t="shared" si="24"/>
        <v>27000000</v>
      </c>
      <c r="Y196" s="15">
        <f t="shared" si="24"/>
        <v>-121767500</v>
      </c>
      <c r="Z196" s="15">
        <f t="shared" si="24"/>
        <v>125000000</v>
      </c>
      <c r="AA196" s="15">
        <f t="shared" si="24"/>
        <v>-122967500</v>
      </c>
      <c r="AB196" s="15">
        <f>SUM(AB6:AB193)</f>
        <v>876459302</v>
      </c>
      <c r="AC196" s="15">
        <f>SUM(AC6:AC193)</f>
        <v>197260000</v>
      </c>
      <c r="AD196" s="15">
        <f>SUM(AD6:AD193)</f>
        <v>159860000</v>
      </c>
      <c r="AE196" s="15">
        <f t="shared" si="24"/>
        <v>32500000</v>
      </c>
      <c r="AF196" s="15">
        <f t="shared" si="24"/>
        <v>113152000</v>
      </c>
      <c r="AG196" s="15">
        <f t="shared" si="24"/>
        <v>250500000</v>
      </c>
      <c r="AH196" s="15">
        <f>SUM(AH6:AH193)</f>
        <v>71200000</v>
      </c>
      <c r="AI196" s="15">
        <f>SUM(AI6:AI193)</f>
        <v>135000000</v>
      </c>
      <c r="AJ196" s="15">
        <f t="shared" si="24"/>
        <v>145750000</v>
      </c>
      <c r="AK196" s="15">
        <f t="shared" si="24"/>
        <v>40000000</v>
      </c>
      <c r="AL196" s="15">
        <f t="shared" si="24"/>
        <v>143000000</v>
      </c>
      <c r="AM196" s="15">
        <f>SUM(AM6:AM191)</f>
        <v>10000000</v>
      </c>
      <c r="AN196" s="15">
        <f t="shared" si="24"/>
        <v>100506250</v>
      </c>
      <c r="AO196" s="15">
        <f>SUM(AO6:AO191)</f>
        <v>0</v>
      </c>
      <c r="AP196" s="15">
        <f>SUM(AP6:AP191)</f>
        <v>112400000</v>
      </c>
      <c r="AQ196" s="15">
        <f t="shared" ref="AQ196" si="25">SUM(AQ6:AQ190)</f>
        <v>183300000</v>
      </c>
      <c r="AR196" s="15">
        <f>SUM(AR6:AR191)</f>
        <v>130600000</v>
      </c>
      <c r="AS196" s="15">
        <f>SUM(AS6:AS191)</f>
        <v>49366000</v>
      </c>
      <c r="AT196" s="15">
        <f>SUM(AT6:AT191)</f>
        <v>91866000</v>
      </c>
      <c r="AU196" s="15">
        <f>SUM(AU6:AU193)</f>
        <v>267306122</v>
      </c>
      <c r="AV196" s="15">
        <f>SUM(AV6:AV193)</f>
        <v>103780612</v>
      </c>
      <c r="AW196" s="15">
        <f>SUM(AW6:AW194)</f>
        <v>41409000</v>
      </c>
      <c r="AX196" s="15">
        <f>SUM(AX6:AX194)</f>
        <v>126539612</v>
      </c>
      <c r="AY196" s="15">
        <f>SUM(AY6:AY195)</f>
        <v>80000000</v>
      </c>
      <c r="AZ196" s="15">
        <f>SUM(AZ6:AZ195)</f>
        <v>106130612</v>
      </c>
      <c r="BA196" s="15">
        <f>SUM(BA6:BA195)</f>
        <v>2163100424</v>
      </c>
      <c r="BB196" s="15">
        <f>SUM(BB6:BB195)</f>
        <v>1404785086</v>
      </c>
      <c r="BC196" s="15">
        <f t="shared" ref="BC196" si="26">SUM(BC6:BC195)</f>
        <v>758315338</v>
      </c>
    </row>
    <row r="197" spans="1:55" x14ac:dyDescent="0.25">
      <c r="C197" s="11">
        <v>888907160</v>
      </c>
      <c r="D197" s="11">
        <v>103000000</v>
      </c>
      <c r="E197" s="11">
        <v>126028571</v>
      </c>
      <c r="F197" s="11">
        <v>108000000</v>
      </c>
      <c r="G197" s="11">
        <v>105728571</v>
      </c>
      <c r="H197" s="11">
        <v>65000000</v>
      </c>
      <c r="I197" s="11">
        <v>113178571</v>
      </c>
      <c r="J197" s="11">
        <v>117000000</v>
      </c>
      <c r="K197" s="11">
        <v>35528571</v>
      </c>
      <c r="L197" s="11">
        <v>72255000</v>
      </c>
      <c r="M197" s="11">
        <v>115320238</v>
      </c>
      <c r="N197" s="11">
        <v>156000000</v>
      </c>
      <c r="O197" s="11">
        <v>121159167</v>
      </c>
      <c r="P197" s="11">
        <v>38000000</v>
      </c>
      <c r="Q197" s="11">
        <v>133889166</v>
      </c>
      <c r="R197" s="11">
        <v>310000000</v>
      </c>
      <c r="S197" s="11">
        <v>145517500</v>
      </c>
      <c r="T197" s="11">
        <v>67000000</v>
      </c>
      <c r="U197" s="11">
        <v>121817500</v>
      </c>
      <c r="V197" s="11">
        <v>180000000</v>
      </c>
      <c r="W197" s="11">
        <v>116005017</v>
      </c>
      <c r="X197" s="11">
        <v>27000000</v>
      </c>
      <c r="Y197" s="11">
        <v>130767500</v>
      </c>
      <c r="Z197" s="11">
        <v>125000000</v>
      </c>
      <c r="AA197" s="11">
        <v>116900000</v>
      </c>
      <c r="AB197" s="56">
        <v>877321788</v>
      </c>
      <c r="AC197" s="2">
        <v>197260000</v>
      </c>
      <c r="AD197" s="2">
        <v>159860000</v>
      </c>
      <c r="AE197" s="2">
        <v>32500000</v>
      </c>
      <c r="AF197" s="2">
        <v>113152000</v>
      </c>
      <c r="AG197" s="2">
        <v>250500000</v>
      </c>
      <c r="AH197" s="2">
        <v>71200000</v>
      </c>
      <c r="AI197" s="2">
        <v>135000000</v>
      </c>
      <c r="AJ197" s="2">
        <v>145750000</v>
      </c>
      <c r="AK197" s="2">
        <v>40000000</v>
      </c>
      <c r="AL197" s="2">
        <v>143000000</v>
      </c>
      <c r="AM197" s="2">
        <v>10000000</v>
      </c>
      <c r="AN197" s="2">
        <v>100506250</v>
      </c>
      <c r="AO197" s="2">
        <v>0</v>
      </c>
      <c r="AP197" s="2">
        <v>112400000</v>
      </c>
      <c r="AQ197" s="2">
        <v>183300000</v>
      </c>
      <c r="AR197" s="2">
        <v>130600000</v>
      </c>
      <c r="AS197" s="2">
        <v>49366000</v>
      </c>
      <c r="AT197" s="2">
        <v>91866000</v>
      </c>
      <c r="AU197" s="2">
        <v>267306122</v>
      </c>
      <c r="AV197" s="2">
        <v>103780612</v>
      </c>
      <c r="AW197" s="2">
        <v>41409000</v>
      </c>
      <c r="AX197" s="2">
        <v>126539612</v>
      </c>
      <c r="AY197" s="2">
        <v>80000000</v>
      </c>
      <c r="AZ197" s="2">
        <v>98630612</v>
      </c>
      <c r="BA197" s="25">
        <v>1286641122</v>
      </c>
      <c r="BB197" s="23">
        <v>1397285086</v>
      </c>
      <c r="BC197" s="23">
        <v>766677824</v>
      </c>
    </row>
    <row r="198" spans="1:55" x14ac:dyDescent="0.25">
      <c r="C198" s="11">
        <f>C196-C197</f>
        <v>0</v>
      </c>
      <c r="D198" s="11">
        <f>D196-D197</f>
        <v>0</v>
      </c>
      <c r="E198" s="11">
        <f>E196+E197</f>
        <v>2400000</v>
      </c>
      <c r="F198" s="11">
        <f>F196-F197</f>
        <v>0</v>
      </c>
      <c r="G198" s="11">
        <f>G196+G197</f>
        <v>0</v>
      </c>
      <c r="H198" s="11">
        <f>H196-H197</f>
        <v>0</v>
      </c>
      <c r="I198" s="11">
        <f>I196+I197</f>
        <v>0</v>
      </c>
      <c r="J198" s="11">
        <f>J196-J197</f>
        <v>0</v>
      </c>
      <c r="K198" s="11">
        <f>K196+K197</f>
        <v>2000000</v>
      </c>
      <c r="L198" s="11">
        <f>L196-L197</f>
        <v>0</v>
      </c>
      <c r="M198" s="11">
        <f>M196+M197</f>
        <v>0</v>
      </c>
      <c r="N198" s="11">
        <f>N196-N197</f>
        <v>0</v>
      </c>
      <c r="O198" s="11">
        <f>O196+O197</f>
        <v>0</v>
      </c>
      <c r="P198" s="11">
        <f>P196-P197</f>
        <v>0</v>
      </c>
      <c r="Q198" s="11">
        <f>Q196+Q197</f>
        <v>0</v>
      </c>
      <c r="R198" s="11">
        <f>R196-R197</f>
        <v>0</v>
      </c>
      <c r="S198" s="11">
        <f>S196+S197</f>
        <v>0</v>
      </c>
      <c r="T198" s="11">
        <f>T196-T197</f>
        <v>0</v>
      </c>
      <c r="U198" s="11">
        <f>U196+U197</f>
        <v>0</v>
      </c>
      <c r="V198" s="11">
        <f>V196-V197</f>
        <v>0</v>
      </c>
      <c r="W198" s="11">
        <f>W196+W197</f>
        <v>-7762483</v>
      </c>
      <c r="X198" s="11">
        <f>X196-X197</f>
        <v>0</v>
      </c>
      <c r="Y198" s="11">
        <f>Y196+Y197</f>
        <v>9000000</v>
      </c>
      <c r="Z198" s="11">
        <f>Z196-Z197</f>
        <v>0</v>
      </c>
      <c r="AA198" s="11">
        <f>AA196+AA197</f>
        <v>-6067500</v>
      </c>
      <c r="AB198" s="11">
        <f>AB196-AB197</f>
        <v>-862486</v>
      </c>
      <c r="AC198" s="11">
        <f>AC196-AC197</f>
        <v>0</v>
      </c>
      <c r="AD198" s="11">
        <f>AD196-AD197</f>
        <v>0</v>
      </c>
      <c r="AE198" s="11">
        <f t="shared" ref="AE198:AY198" si="27">AE196-AE197</f>
        <v>0</v>
      </c>
      <c r="AF198" s="11">
        <f t="shared" si="27"/>
        <v>0</v>
      </c>
      <c r="AG198" s="11">
        <f t="shared" si="27"/>
        <v>0</v>
      </c>
      <c r="AH198" s="11">
        <f t="shared" si="27"/>
        <v>0</v>
      </c>
      <c r="AI198" s="11">
        <f t="shared" si="27"/>
        <v>0</v>
      </c>
      <c r="AJ198" s="11">
        <f t="shared" si="27"/>
        <v>0</v>
      </c>
      <c r="AK198" s="11">
        <f t="shared" si="27"/>
        <v>0</v>
      </c>
      <c r="AL198" s="11">
        <f t="shared" si="27"/>
        <v>0</v>
      </c>
      <c r="AM198" s="11">
        <f t="shared" si="27"/>
        <v>0</v>
      </c>
      <c r="AN198" s="11">
        <f t="shared" si="27"/>
        <v>0</v>
      </c>
      <c r="AO198" s="11">
        <f t="shared" si="27"/>
        <v>0</v>
      </c>
      <c r="AP198" s="11">
        <f t="shared" si="27"/>
        <v>0</v>
      </c>
      <c r="AQ198" s="11">
        <f t="shared" si="27"/>
        <v>0</v>
      </c>
      <c r="AR198" s="11">
        <f t="shared" si="27"/>
        <v>0</v>
      </c>
      <c r="AS198" s="11">
        <f t="shared" si="27"/>
        <v>0</v>
      </c>
      <c r="AT198" s="11">
        <f t="shared" si="27"/>
        <v>0</v>
      </c>
      <c r="AU198" s="11">
        <f t="shared" si="27"/>
        <v>0</v>
      </c>
      <c r="AV198" s="11">
        <f t="shared" si="27"/>
        <v>0</v>
      </c>
      <c r="AW198" s="11">
        <f t="shared" si="27"/>
        <v>0</v>
      </c>
      <c r="AX198" s="11">
        <f>AX196-AX197</f>
        <v>0</v>
      </c>
      <c r="AY198" s="11">
        <f t="shared" si="27"/>
        <v>0</v>
      </c>
      <c r="AZ198" s="11">
        <f>AZ196-AZ197</f>
        <v>7500000</v>
      </c>
      <c r="BA198" s="2">
        <f>BA196-BA197</f>
        <v>876459302</v>
      </c>
      <c r="BB198" s="2">
        <f>BB196-BB197</f>
        <v>7500000</v>
      </c>
      <c r="BC198" s="2">
        <f>BC196-BC197</f>
        <v>-8362486</v>
      </c>
    </row>
    <row r="199" spans="1:55" x14ac:dyDescent="0.25"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BA199" s="2">
        <f>BA198-AB197</f>
        <v>-862486</v>
      </c>
    </row>
    <row r="200" spans="1:55" x14ac:dyDescent="0.25">
      <c r="AB200" s="11">
        <f>AB196-AB197</f>
        <v>-862486</v>
      </c>
      <c r="BA200" s="24"/>
    </row>
    <row r="201" spans="1:55" x14ac:dyDescent="0.25">
      <c r="BA201" s="2">
        <f>BA198-BA200</f>
        <v>876459302</v>
      </c>
    </row>
  </sheetData>
  <autoFilter ref="AY5:AZ201" xr:uid="{C25DE024-F1A2-422C-994E-DFF8979AFCE6}"/>
  <mergeCells count="33">
    <mergeCell ref="J4:K4"/>
    <mergeCell ref="A3:A4"/>
    <mergeCell ref="B3:B4"/>
    <mergeCell ref="C3:C4"/>
    <mergeCell ref="D3:AA3"/>
    <mergeCell ref="AB3:AB4"/>
    <mergeCell ref="V4:W4"/>
    <mergeCell ref="X4:Y4"/>
    <mergeCell ref="Z4:AA4"/>
    <mergeCell ref="N4:O4"/>
    <mergeCell ref="P4:Q4"/>
    <mergeCell ref="R4:S4"/>
    <mergeCell ref="T4:U4"/>
    <mergeCell ref="D4:E4"/>
    <mergeCell ref="H4:I4"/>
    <mergeCell ref="L4:M4"/>
    <mergeCell ref="F4:G4"/>
    <mergeCell ref="BC3:BC5"/>
    <mergeCell ref="BB3:BB5"/>
    <mergeCell ref="BA3:BA5"/>
    <mergeCell ref="AQ4:AR4"/>
    <mergeCell ref="AS4:AT4"/>
    <mergeCell ref="AU4:AV4"/>
    <mergeCell ref="AW4:AX4"/>
    <mergeCell ref="AY4:AZ4"/>
    <mergeCell ref="AC3:AZ3"/>
    <mergeCell ref="AO4:AP4"/>
    <mergeCell ref="AE4:AF4"/>
    <mergeCell ref="AG4:AH4"/>
    <mergeCell ref="AM4:AN4"/>
    <mergeCell ref="AK4:AL4"/>
    <mergeCell ref="AC4:AD4"/>
    <mergeCell ref="AI4:AJ4"/>
  </mergeCells>
  <pageMargins left="0.7" right="0.7" top="0.75" bottom="0.75" header="0.3" footer="0.3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DBFA-99B2-4AFD-B2C2-0F78AAA61C04}">
  <dimension ref="A3:G20"/>
  <sheetViews>
    <sheetView topLeftCell="A10" workbookViewId="0">
      <selection activeCell="D19" sqref="D19"/>
    </sheetView>
  </sheetViews>
  <sheetFormatPr defaultRowHeight="12.5" x14ac:dyDescent="0.25"/>
  <cols>
    <col min="1" max="1" width="17.453125" customWidth="1"/>
    <col min="2" max="2" width="9.36328125" customWidth="1"/>
    <col min="3" max="3" width="4.453125" customWidth="1"/>
    <col min="4" max="4" width="17.81640625" customWidth="1"/>
    <col min="5" max="5" width="9.7265625" customWidth="1"/>
    <col min="6" max="6" width="5.08984375" customWidth="1"/>
  </cols>
  <sheetData>
    <row r="3" spans="1:7" ht="13" x14ac:dyDescent="0.3">
      <c r="A3" s="58" t="s">
        <v>193</v>
      </c>
      <c r="B3" s="44">
        <v>1500000</v>
      </c>
      <c r="D3" s="28" t="s">
        <v>193</v>
      </c>
      <c r="E3" s="29">
        <v>1500000</v>
      </c>
      <c r="G3" s="45">
        <f>B3-E3</f>
        <v>0</v>
      </c>
    </row>
    <row r="4" spans="1:7" ht="13" x14ac:dyDescent="0.3">
      <c r="A4" s="58" t="s">
        <v>222</v>
      </c>
      <c r="B4" s="44">
        <v>2500000</v>
      </c>
      <c r="D4" s="28" t="s">
        <v>30</v>
      </c>
      <c r="E4" s="29">
        <v>2500000</v>
      </c>
      <c r="G4" s="45">
        <f t="shared" ref="G4:G20" si="0">B4-E4</f>
        <v>0</v>
      </c>
    </row>
    <row r="5" spans="1:7" ht="13" x14ac:dyDescent="0.3">
      <c r="A5" s="58" t="s">
        <v>194</v>
      </c>
      <c r="B5" s="20">
        <v>1000000</v>
      </c>
      <c r="D5" s="28" t="s">
        <v>123</v>
      </c>
      <c r="E5" s="29">
        <v>1000000</v>
      </c>
      <c r="G5" s="45">
        <f t="shared" si="0"/>
        <v>0</v>
      </c>
    </row>
    <row r="6" spans="1:7" ht="13" x14ac:dyDescent="0.3">
      <c r="A6" s="58" t="s">
        <v>205</v>
      </c>
      <c r="B6" s="55">
        <v>2500000</v>
      </c>
      <c r="D6" s="48" t="s">
        <v>205</v>
      </c>
      <c r="E6" s="29">
        <v>2500000</v>
      </c>
      <c r="G6" s="45">
        <f t="shared" si="0"/>
        <v>0</v>
      </c>
    </row>
    <row r="7" spans="1:7" ht="13" x14ac:dyDescent="0.3">
      <c r="A7" s="58" t="s">
        <v>215</v>
      </c>
      <c r="B7" s="20">
        <v>1500000</v>
      </c>
      <c r="D7" s="28" t="s">
        <v>215</v>
      </c>
      <c r="E7" s="29">
        <v>1500000</v>
      </c>
      <c r="G7" s="45">
        <f t="shared" si="0"/>
        <v>0</v>
      </c>
    </row>
    <row r="8" spans="1:7" ht="13" x14ac:dyDescent="0.3">
      <c r="A8" s="58" t="s">
        <v>183</v>
      </c>
      <c r="B8" s="44">
        <v>1500000</v>
      </c>
      <c r="D8" s="28" t="s">
        <v>183</v>
      </c>
      <c r="E8" s="29">
        <v>1500000</v>
      </c>
      <c r="G8" s="45">
        <f t="shared" si="0"/>
        <v>0</v>
      </c>
    </row>
    <row r="9" spans="1:7" ht="13" x14ac:dyDescent="0.3">
      <c r="A9" s="58" t="s">
        <v>187</v>
      </c>
      <c r="B9" s="20">
        <v>2500000</v>
      </c>
      <c r="D9" s="48" t="s">
        <v>48</v>
      </c>
      <c r="E9" s="29">
        <v>2500000</v>
      </c>
      <c r="G9" s="45">
        <f t="shared" si="0"/>
        <v>0</v>
      </c>
    </row>
    <row r="10" spans="1:7" ht="13" x14ac:dyDescent="0.3">
      <c r="A10" s="58" t="s">
        <v>197</v>
      </c>
      <c r="B10" s="20">
        <v>2000000</v>
      </c>
      <c r="D10" s="28" t="s">
        <v>197</v>
      </c>
      <c r="E10" s="29">
        <v>2000000</v>
      </c>
      <c r="G10" s="45">
        <f t="shared" si="0"/>
        <v>0</v>
      </c>
    </row>
    <row r="11" spans="1:7" ht="13" x14ac:dyDescent="0.3">
      <c r="A11" s="59" t="s">
        <v>188</v>
      </c>
      <c r="B11" s="44">
        <v>2500000</v>
      </c>
      <c r="D11" s="28" t="s">
        <v>131</v>
      </c>
      <c r="E11" s="29">
        <v>2500000</v>
      </c>
      <c r="G11" s="45">
        <f t="shared" si="0"/>
        <v>0</v>
      </c>
    </row>
    <row r="12" spans="1:7" ht="13" x14ac:dyDescent="0.3">
      <c r="A12" s="58" t="s">
        <v>198</v>
      </c>
      <c r="B12" s="55">
        <v>1000000</v>
      </c>
      <c r="D12" s="28" t="s">
        <v>198</v>
      </c>
      <c r="E12" s="29">
        <v>1000000</v>
      </c>
      <c r="G12" s="45">
        <f t="shared" si="0"/>
        <v>0</v>
      </c>
    </row>
    <row r="13" spans="1:7" ht="13" x14ac:dyDescent="0.3">
      <c r="A13" s="58" t="s">
        <v>203</v>
      </c>
      <c r="B13" s="20">
        <v>1500000</v>
      </c>
      <c r="D13" s="28" t="s">
        <v>203</v>
      </c>
      <c r="E13" s="29">
        <v>1500000</v>
      </c>
      <c r="G13" s="45">
        <f t="shared" si="0"/>
        <v>0</v>
      </c>
    </row>
    <row r="14" spans="1:7" ht="13" x14ac:dyDescent="0.3">
      <c r="A14" s="58" t="s">
        <v>216</v>
      </c>
      <c r="B14" s="20">
        <v>2500000</v>
      </c>
      <c r="D14" s="28" t="s">
        <v>216</v>
      </c>
      <c r="E14" s="29">
        <v>2500000</v>
      </c>
      <c r="G14" s="45">
        <f t="shared" si="0"/>
        <v>0</v>
      </c>
    </row>
    <row r="15" spans="1:7" ht="13" x14ac:dyDescent="0.3">
      <c r="A15" s="59" t="s">
        <v>189</v>
      </c>
      <c r="B15" s="21">
        <v>2500000</v>
      </c>
      <c r="D15" s="28" t="s">
        <v>77</v>
      </c>
      <c r="E15" s="29">
        <v>2500000</v>
      </c>
      <c r="G15" s="45">
        <f t="shared" si="0"/>
        <v>0</v>
      </c>
    </row>
    <row r="16" spans="1:7" ht="13" x14ac:dyDescent="0.3">
      <c r="A16" s="58" t="s">
        <v>202</v>
      </c>
      <c r="B16" s="21">
        <v>2500000</v>
      </c>
      <c r="D16" s="28" t="s">
        <v>202</v>
      </c>
      <c r="E16" s="29">
        <v>2500000</v>
      </c>
      <c r="G16" s="45">
        <f t="shared" si="0"/>
        <v>0</v>
      </c>
    </row>
    <row r="17" spans="1:7" ht="13" x14ac:dyDescent="0.3">
      <c r="A17" s="58" t="s">
        <v>201</v>
      </c>
      <c r="B17" s="21">
        <v>550000</v>
      </c>
      <c r="D17" s="48" t="s">
        <v>201</v>
      </c>
      <c r="E17" s="29">
        <v>550000</v>
      </c>
      <c r="G17" s="45">
        <f t="shared" si="0"/>
        <v>0</v>
      </c>
    </row>
    <row r="18" spans="1:7" ht="13" x14ac:dyDescent="0.3">
      <c r="A18" s="60" t="s">
        <v>191</v>
      </c>
      <c r="B18" s="21">
        <v>2500000</v>
      </c>
      <c r="D18" s="30" t="s">
        <v>102</v>
      </c>
      <c r="E18" s="29">
        <v>2500000</v>
      </c>
      <c r="G18" s="45">
        <f t="shared" si="0"/>
        <v>0</v>
      </c>
    </row>
    <row r="19" spans="1:7" ht="13" x14ac:dyDescent="0.3">
      <c r="A19" s="58" t="s">
        <v>221</v>
      </c>
      <c r="B19" s="57">
        <v>1500000</v>
      </c>
      <c r="D19" s="30" t="s">
        <v>221</v>
      </c>
      <c r="E19" s="29">
        <v>1500000</v>
      </c>
      <c r="G19" s="45">
        <f t="shared" si="0"/>
        <v>0</v>
      </c>
    </row>
    <row r="20" spans="1:7" ht="13" x14ac:dyDescent="0.3">
      <c r="A20" s="58" t="s">
        <v>192</v>
      </c>
      <c r="B20" s="54">
        <v>1000000</v>
      </c>
      <c r="D20" s="30" t="s">
        <v>217</v>
      </c>
      <c r="E20" s="29">
        <v>1000000</v>
      </c>
      <c r="G20" s="45">
        <f t="shared" si="0"/>
        <v>0</v>
      </c>
    </row>
  </sheetData>
  <sortState xmlns:xlrd2="http://schemas.microsoft.com/office/spreadsheetml/2017/richdata2" ref="D3:E24">
    <sortCondition ref="D1:D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REKAP PIUTANG REGULER</vt:lpstr>
      <vt:lpstr>Sheet2</vt:lpstr>
      <vt:lpstr>'REKAP PIUTANG REGULER'!Print_Area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shaida.tun@outlook.com</dc:creator>
  <cp:lastModifiedBy>Shaida tun</cp:lastModifiedBy>
  <dcterms:created xsi:type="dcterms:W3CDTF">2025-05-19T07:46:14Z</dcterms:created>
  <dcterms:modified xsi:type="dcterms:W3CDTF">2026-01-26T08:25:21Z</dcterms:modified>
</cp:coreProperties>
</file>