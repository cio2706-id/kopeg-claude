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KOPERASI BKI TAHUN 2026/REKAPAN POTONGAN/"/>
    </mc:Choice>
  </mc:AlternateContent>
  <xr:revisionPtr revIDLastSave="1" documentId="13_ncr:1_{955946A1-2F1C-482E-88CA-2D1E5422ABB2}" xr6:coauthVersionLast="47" xr6:coauthVersionMax="47" xr10:uidLastSave="{3D3F6A87-6418-48A7-811A-111AE34A2CA0}"/>
  <bookViews>
    <workbookView xWindow="-110" yWindow="-110" windowWidth="19420" windowHeight="10300" firstSheet="2" activeTab="4" xr2:uid="{00000000-000D-0000-FFFF-FFFF00000000}"/>
  </bookViews>
  <sheets>
    <sheet name="TANDA TERIMA" sheetId="17" state="hidden" r:id="rId1"/>
    <sheet name="DAFTAR " sheetId="23" state="hidden" r:id="rId2"/>
    <sheet name="REKAP" sheetId="15" r:id="rId3"/>
    <sheet name="BANK MANDIRI" sheetId="30" state="hidden" r:id="rId4"/>
    <sheet name="DAFTAR KONTRAK KERJA" sheetId="26" r:id="rId5"/>
    <sheet name="DKI 1&amp; 2 (LUNAS)" sheetId="10" state="hidden" r:id="rId6"/>
  </sheets>
  <definedNames>
    <definedName name="_xlnm.Print_Area" localSheetId="3">'BANK MANDIRI'!$A$1:$F$17</definedName>
    <definedName name="_xlnm.Print_Area" localSheetId="1">'DAFTAR '!$A$1:$I$22</definedName>
    <definedName name="_xlnm.Print_Area" localSheetId="4">'DAFTAR KONTRAK KERJA'!$A$1:$F$23</definedName>
    <definedName name="_xlnm.Print_Area" localSheetId="2">REKAP!$A$1:$E$23</definedName>
    <definedName name="_xlnm.Print_Area" localSheetId="0">'TANDA TERIMA'!$A$1:$E$32</definedName>
    <definedName name="_xlnm.Print_Titles" localSheetId="1">'DAFTAR '!$1:$7</definedName>
    <definedName name="_xlnm.Print_Titles" localSheetId="4">'DAFTAR KONTRAK KERJA'!$1:$7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6" l="1"/>
  <c r="F11" i="26"/>
  <c r="E12" i="26" l="1"/>
  <c r="D12" i="26"/>
  <c r="C12" i="26"/>
  <c r="F9" i="26" l="1"/>
  <c r="D10" i="23" l="1"/>
  <c r="E10" i="23"/>
  <c r="F10" i="23"/>
  <c r="G10" i="23"/>
  <c r="H10" i="23"/>
  <c r="C10" i="23"/>
  <c r="F8" i="26" l="1"/>
  <c r="F12" i="26" s="1"/>
  <c r="I9" i="23" l="1"/>
  <c r="I8" i="23"/>
  <c r="D7" i="30"/>
  <c r="C7" i="30"/>
  <c r="E6" i="30"/>
  <c r="E7" i="30" s="1"/>
  <c r="E11" i="15" s="1"/>
  <c r="I10" i="23" l="1"/>
  <c r="E13" i="15"/>
  <c r="E14" i="15" l="1"/>
  <c r="E12" i="15" l="1"/>
  <c r="E15" i="15" l="1"/>
  <c r="E12" i="17" l="1"/>
  <c r="E9" i="17" l="1"/>
  <c r="E6" i="10" l="1"/>
  <c r="E6" i="17" l="1"/>
  <c r="E11" i="17" s="1"/>
  <c r="E14" i="17" s="1"/>
  <c r="E7" i="10"/>
  <c r="D7" i="10" l="1"/>
  <c r="C7" i="10"/>
</calcChain>
</file>

<file path=xl/sharedStrings.xml><?xml version="1.0" encoding="utf-8"?>
<sst xmlns="http://schemas.openxmlformats.org/spreadsheetml/2006/main" count="114" uniqueCount="76">
  <si>
    <t>PT. (PERSERO) BIRO KLASIFIKASI INDONESIA</t>
  </si>
  <si>
    <t>NO.</t>
  </si>
  <si>
    <t>N A M A</t>
  </si>
  <si>
    <t>SIMPANAN WAJIB</t>
  </si>
  <si>
    <t>JUMLAH</t>
  </si>
  <si>
    <t>DAFTAR    : PEMOTONGAN PINJAMAN + JASA DARI GAJI</t>
  </si>
  <si>
    <t xml:space="preserve">                J U M L A H</t>
  </si>
  <si>
    <t>POKOK</t>
  </si>
  <si>
    <t>JASA</t>
  </si>
  <si>
    <t>NAMA</t>
  </si>
  <si>
    <t>Mengetahui,</t>
  </si>
  <si>
    <t>TOTAL</t>
  </si>
  <si>
    <t>KET</t>
  </si>
  <si>
    <t>Pembuat Daftar,</t>
  </si>
  <si>
    <t>ELSA DEWI TRI</t>
  </si>
  <si>
    <t>PINJAMAN</t>
  </si>
  <si>
    <t>( 3+4 )</t>
  </si>
  <si>
    <t xml:space="preserve">REKAPITULASI POTONGAN </t>
  </si>
  <si>
    <t>Pinjaman Reguler &amp; Khusus</t>
  </si>
  <si>
    <t>Hutang Chaneling :</t>
  </si>
  <si>
    <t>T O T A L</t>
  </si>
  <si>
    <t>Simpanan Wajib</t>
  </si>
  <si>
    <t>J U M L A H</t>
  </si>
  <si>
    <t>DAFTAR PEMOTONGAN HUTANG CHANELING BANK DKI</t>
  </si>
  <si>
    <t>SULAEMAN</t>
  </si>
  <si>
    <t>PT.(PERSERO) BIRO KLASIFIKASI INDONESIA</t>
  </si>
  <si>
    <t>SBU MARINE</t>
  </si>
  <si>
    <t>UNIT KERJA SBU MARINE</t>
  </si>
  <si>
    <t xml:space="preserve">Terbilang : </t>
  </si>
  <si>
    <t xml:space="preserve">TERBILANG : </t>
  </si>
  <si>
    <t>Pembuat daftar,</t>
  </si>
  <si>
    <t>BRI SYARIAH</t>
  </si>
  <si>
    <t>BANK DKI</t>
  </si>
  <si>
    <t>KHUSUS</t>
  </si>
  <si>
    <t>REGULER</t>
  </si>
  <si>
    <t xml:space="preserve"> </t>
  </si>
  <si>
    <t>1) Bank BRI SYARIAH</t>
  </si>
  <si>
    <t>MEGA HADIYANTI</t>
  </si>
  <si>
    <t>TANDA TERIMA</t>
  </si>
  <si>
    <t>Jakarta, November 2015</t>
  </si>
  <si>
    <t>BULAN : NOVEMBER 2015</t>
  </si>
  <si>
    <t>MEGA HADIYANTI,S.E.</t>
  </si>
  <si>
    <t>SAEPUL</t>
  </si>
  <si>
    <t>GAJI BULAN JUNI 2016</t>
  </si>
  <si>
    <t>Jakarta, 15 Juni 2015</t>
  </si>
  <si>
    <t>M.RADIANSYAH</t>
  </si>
  <si>
    <t>AGUS SETYOWINARNO</t>
  </si>
  <si>
    <t>Simpanan Pokok</t>
  </si>
  <si>
    <t>2) Bank BJB</t>
  </si>
  <si>
    <t>BANK BJB</t>
  </si>
  <si>
    <t>PT.BIRO KLASIFIKASI INDONESIA (PERSERO)</t>
  </si>
  <si>
    <t>6=3+4+5</t>
  </si>
  <si>
    <t>MEGA HADIYANTI, S.E.</t>
  </si>
  <si>
    <t xml:space="preserve">Hutang Bank </t>
  </si>
  <si>
    <t>BANK MANDIRI</t>
  </si>
  <si>
    <t>3) Bank MANDIRI</t>
  </si>
  <si>
    <t>SBU MARINE &amp; OFFSHORE</t>
  </si>
  <si>
    <t>UNIT KERJA SBU MARINE &amp; OFFSHORE (ORGANIK)</t>
  </si>
  <si>
    <t>ARIF BIJAKSANA S N</t>
  </si>
  <si>
    <t>DAFTAR ANGSURAN ANGGOTA BANK MANDIRI</t>
  </si>
  <si>
    <t>TAHAP 8/ 2018</t>
  </si>
  <si>
    <t>Jakarta, 21 Oktober 2018</t>
  </si>
  <si>
    <t>BULAN :  OKTOBER 2018</t>
  </si>
  <si>
    <t>AHMAD GUFRAN M</t>
  </si>
  <si>
    <t>PEGAWAI :  SBU MARINE BULAN DESEMBER 2022</t>
  </si>
  <si>
    <t>Jakarta, 13 Desember 2022</t>
  </si>
  <si>
    <t>ZEID RISALDY</t>
  </si>
  <si>
    <t>VIVI HAZLINDA</t>
  </si>
  <si>
    <t>DEA ADAWIYAH</t>
  </si>
  <si>
    <t>JEFRY KURNIAWAN</t>
  </si>
  <si>
    <t>ADE AYU GANISHA</t>
  </si>
  <si>
    <t>SIMPANAN POKOK</t>
  </si>
  <si>
    <t>Empat Ratus Ribu Rupiah</t>
  </si>
  <si>
    <t>PEGAWAI :  KONTRAK PROYEK SBU MARINE &amp; OFFSHORE BULAN JANUARI 2026</t>
  </si>
  <si>
    <t>Jakarta, 07 Januari 2026</t>
  </si>
  <si>
    <t>GAJI BULAN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</si>
</sst>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3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6"/>
      <color theme="1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sz val="13"/>
      <color rgb="FF00B0F0"/>
      <name val="Cambria"/>
      <family val="1"/>
      <scheme val="major"/>
    </font>
    <font>
      <sz val="12"/>
      <name val="Cambria"/>
      <family val="1"/>
      <scheme val="major"/>
    </font>
    <font>
      <b/>
      <i/>
      <sz val="13"/>
      <color theme="1"/>
      <name val="Cambria"/>
      <family val="1"/>
      <scheme val="major"/>
    </font>
    <font>
      <i/>
      <sz val="13"/>
      <color theme="1"/>
      <name val="Cambria"/>
      <family val="1"/>
      <scheme val="major"/>
    </font>
    <font>
      <i/>
      <sz val="13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3"/>
      <name val="Cambria"/>
      <family val="1"/>
      <scheme val="major"/>
    </font>
    <font>
      <b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sz val="12"/>
      <name val="Calibri"/>
      <family val="2"/>
      <charset val="1"/>
      <scheme val="min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sz val="11"/>
      <color rgb="FF00B0F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0" xfId="0" applyFont="1" applyAlignment="1">
      <alignment horizontal="left"/>
    </xf>
    <xf numFmtId="164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164" fontId="5" fillId="0" borderId="8" xfId="1" applyFont="1" applyBorder="1"/>
    <xf numFmtId="0" fontId="5" fillId="0" borderId="2" xfId="0" applyFont="1" applyBorder="1" applyAlignment="1">
      <alignment horizontal="center"/>
    </xf>
    <xf numFmtId="164" fontId="5" fillId="0" borderId="2" xfId="1" applyFont="1" applyBorder="1"/>
    <xf numFmtId="0" fontId="2" fillId="0" borderId="0" xfId="0" applyFont="1"/>
    <xf numFmtId="164" fontId="0" fillId="0" borderId="0" xfId="1" applyFont="1" applyAlignment="1"/>
    <xf numFmtId="41" fontId="2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5" fillId="0" borderId="5" xfId="1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64" fontId="3" fillId="0" borderId="7" xfId="1" applyFont="1" applyBorder="1" applyAlignment="1">
      <alignment horizontal="center"/>
    </xf>
    <xf numFmtId="0" fontId="0" fillId="0" borderId="27" xfId="0" applyBorder="1" applyAlignment="1">
      <alignment horizontal="center"/>
    </xf>
    <xf numFmtId="164" fontId="3" fillId="0" borderId="28" xfId="1" applyFont="1" applyBorder="1"/>
    <xf numFmtId="0" fontId="7" fillId="0" borderId="25" xfId="0" applyFont="1" applyBorder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/>
    <xf numFmtId="164" fontId="3" fillId="3" borderId="23" xfId="0" applyNumberFormat="1" applyFont="1" applyFill="1" applyBorder="1"/>
    <xf numFmtId="164" fontId="3" fillId="3" borderId="24" xfId="1" applyFont="1" applyFill="1" applyBorder="1"/>
    <xf numFmtId="0" fontId="2" fillId="0" borderId="0" xfId="0" applyFont="1" applyAlignment="1">
      <alignment horizontal="center"/>
    </xf>
    <xf numFmtId="164" fontId="6" fillId="3" borderId="1" xfId="0" applyNumberFormat="1" applyFont="1" applyFill="1" applyBorder="1"/>
    <xf numFmtId="164" fontId="6" fillId="3" borderId="1" xfId="1" applyFont="1" applyFill="1" applyBorder="1"/>
    <xf numFmtId="164" fontId="7" fillId="0" borderId="25" xfId="1" applyFont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3" xfId="0" applyFont="1" applyBorder="1"/>
    <xf numFmtId="0" fontId="15" fillId="0" borderId="34" xfId="0" applyFont="1" applyBorder="1"/>
    <xf numFmtId="0" fontId="15" fillId="0" borderId="35" xfId="0" applyFont="1" applyBorder="1"/>
    <xf numFmtId="164" fontId="15" fillId="0" borderId="38" xfId="1" applyFont="1" applyBorder="1"/>
    <xf numFmtId="0" fontId="15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36" xfId="0" applyFont="1" applyBorder="1"/>
    <xf numFmtId="0" fontId="15" fillId="0" borderId="8" xfId="0" applyFont="1" applyBorder="1"/>
    <xf numFmtId="0" fontId="15" fillId="0" borderId="37" xfId="0" applyFont="1" applyBorder="1"/>
    <xf numFmtId="164" fontId="15" fillId="0" borderId="39" xfId="1" applyFont="1" applyBorder="1"/>
    <xf numFmtId="0" fontId="15" fillId="0" borderId="48" xfId="0" applyFont="1" applyBorder="1" applyAlignment="1">
      <alignment horizontal="center"/>
    </xf>
    <xf numFmtId="164" fontId="15" fillId="0" borderId="40" xfId="1" applyFont="1" applyBorder="1"/>
    <xf numFmtId="164" fontId="16" fillId="3" borderId="1" xfId="0" applyNumberFormat="1" applyFont="1" applyFill="1" applyBorder="1"/>
    <xf numFmtId="164" fontId="15" fillId="0" borderId="41" xfId="1" applyFont="1" applyBorder="1"/>
    <xf numFmtId="164" fontId="16" fillId="3" borderId="1" xfId="1" applyFont="1" applyFill="1" applyBorder="1"/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1" applyFont="1"/>
    <xf numFmtId="0" fontId="10" fillId="0" borderId="0" xfId="0" applyFont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4" fontId="28" fillId="0" borderId="0" xfId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2" borderId="39" xfId="0" applyFont="1" applyFill="1" applyBorder="1" applyAlignment="1">
      <alignment horizontal="left" vertical="center"/>
    </xf>
    <xf numFmtId="164" fontId="21" fillId="0" borderId="39" xfId="1" applyFont="1" applyBorder="1" applyAlignment="1">
      <alignment horizontal="center" vertical="center"/>
    </xf>
    <xf numFmtId="164" fontId="19" fillId="3" borderId="1" xfId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164" fontId="17" fillId="0" borderId="0" xfId="1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164" fontId="30" fillId="0" borderId="1" xfId="1" applyFont="1" applyBorder="1" applyAlignment="1">
      <alignment horizontal="center" vertical="center"/>
    </xf>
    <xf numFmtId="164" fontId="29" fillId="0" borderId="1" xfId="1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64" fontId="36" fillId="0" borderId="0" xfId="1" applyFont="1" applyAlignment="1">
      <alignment vertical="center"/>
    </xf>
    <xf numFmtId="164" fontId="35" fillId="0" borderId="0" xfId="1" applyFont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30" fillId="3" borderId="1" xfId="1" applyFont="1" applyFill="1" applyBorder="1" applyAlignment="1">
      <alignment vertical="center"/>
    </xf>
    <xf numFmtId="164" fontId="23" fillId="0" borderId="0" xfId="1" applyFont="1" applyAlignment="1">
      <alignment vertical="center"/>
    </xf>
    <xf numFmtId="164" fontId="29" fillId="0" borderId="39" xfId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21" fillId="0" borderId="39" xfId="0" quotePrefix="1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21" fillId="0" borderId="3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9" fillId="2" borderId="41" xfId="1" applyFont="1" applyFill="1" applyBorder="1" applyAlignment="1">
      <alignment horizontal="center" vertical="center"/>
    </xf>
    <xf numFmtId="164" fontId="21" fillId="2" borderId="39" xfId="1" applyFont="1" applyFill="1" applyBorder="1" applyAlignment="1">
      <alignment horizontal="center" vertical="center"/>
    </xf>
    <xf numFmtId="164" fontId="21" fillId="2" borderId="39" xfId="0" quotePrefix="1" applyNumberFormat="1" applyFont="1" applyFill="1" applyBorder="1" applyAlignment="1">
      <alignment vertical="center"/>
    </xf>
    <xf numFmtId="164" fontId="22" fillId="2" borderId="39" xfId="0" quotePrefix="1" applyNumberFormat="1" applyFont="1" applyFill="1" applyBorder="1" applyAlignment="1">
      <alignment vertical="center"/>
    </xf>
    <xf numFmtId="0" fontId="29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1" fillId="2" borderId="39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1" fontId="34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164" fontId="37" fillId="0" borderId="39" xfId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41" fontId="13" fillId="0" borderId="0" xfId="0" applyNumberFormat="1" applyFont="1" applyAlignment="1">
      <alignment horizontal="center" vertical="center"/>
    </xf>
    <xf numFmtId="0" fontId="21" fillId="2" borderId="50" xfId="0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left" vertical="center"/>
    </xf>
    <xf numFmtId="165" fontId="21" fillId="2" borderId="40" xfId="2" applyNumberFormat="1" applyFont="1" applyFill="1" applyBorder="1" applyAlignment="1">
      <alignment horizontal="left" vertical="center"/>
    </xf>
    <xf numFmtId="165" fontId="21" fillId="2" borderId="40" xfId="2" applyNumberFormat="1" applyFont="1" applyFill="1" applyBorder="1" applyAlignment="1">
      <alignment horizontal="right" vertical="center"/>
    </xf>
    <xf numFmtId="164" fontId="21" fillId="2" borderId="40" xfId="1" applyFont="1" applyFill="1" applyBorder="1" applyAlignment="1">
      <alignment horizontal="center" vertical="center"/>
    </xf>
    <xf numFmtId="164" fontId="22" fillId="2" borderId="40" xfId="0" quotePrefix="1" applyNumberFormat="1" applyFont="1" applyFill="1" applyBorder="1" applyAlignment="1">
      <alignment vertical="center"/>
    </xf>
    <xf numFmtId="164" fontId="22" fillId="2" borderId="40" xfId="1" applyFont="1" applyFill="1" applyBorder="1" applyAlignment="1">
      <alignment horizontal="center" vertical="center"/>
    </xf>
    <xf numFmtId="164" fontId="19" fillId="2" borderId="50" xfId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165" fontId="18" fillId="3" borderId="1" xfId="2" applyNumberFormat="1" applyFont="1" applyFill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64" fontId="19" fillId="3" borderId="4" xfId="1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48" xfId="0" applyFont="1" applyFill="1" applyBorder="1" applyAlignment="1">
      <alignment horizontal="left" vertical="center"/>
    </xf>
    <xf numFmtId="164" fontId="21" fillId="0" borderId="43" xfId="1" applyFont="1" applyBorder="1" applyAlignment="1">
      <alignment horizontal="center" vertical="center"/>
    </xf>
    <xf numFmtId="164" fontId="21" fillId="0" borderId="15" xfId="1" applyFont="1" applyBorder="1" applyAlignment="1">
      <alignment horizontal="center" vertical="center"/>
    </xf>
    <xf numFmtId="164" fontId="21" fillId="0" borderId="48" xfId="1" applyFont="1" applyBorder="1" applyAlignment="1">
      <alignment horizontal="center" vertical="center"/>
    </xf>
    <xf numFmtId="164" fontId="21" fillId="0" borderId="51" xfId="1" applyFont="1" applyBorder="1" applyAlignment="1">
      <alignment horizontal="center" vertical="center"/>
    </xf>
    <xf numFmtId="164" fontId="21" fillId="0" borderId="48" xfId="0" quotePrefix="1" applyNumberFormat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9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30" fillId="0" borderId="0" xfId="1" applyFont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64" fontId="28" fillId="0" borderId="0" xfId="1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/>
    </xf>
    <xf numFmtId="0" fontId="16" fillId="3" borderId="19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3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44" xfId="0" applyFont="1" applyBorder="1" applyAlignment="1">
      <alignment horizontal="left"/>
    </xf>
    <xf numFmtId="0" fontId="15" fillId="0" borderId="45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15" fillId="0" borderId="46" xfId="0" applyFont="1" applyBorder="1" applyAlignment="1">
      <alignment horizontal="left"/>
    </xf>
    <xf numFmtId="0" fontId="16" fillId="3" borderId="6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5" fillId="0" borderId="42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5" fillId="0" borderId="47" xfId="0" applyFont="1" applyBorder="1" applyAlignment="1">
      <alignment horizontal="left"/>
    </xf>
    <xf numFmtId="0" fontId="15" fillId="0" borderId="4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29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7" fillId="0" borderId="0" xfId="1" applyFont="1" applyAlignment="1">
      <alignment horizontal="center" vertical="center"/>
    </xf>
    <xf numFmtId="164" fontId="29" fillId="0" borderId="0" xfId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64" fontId="23" fillId="0" borderId="0" xfId="1" applyFont="1" applyAlignment="1">
      <alignment horizontal="center" vertical="center"/>
    </xf>
    <xf numFmtId="164" fontId="32" fillId="0" borderId="0" xfId="1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/>
    </xf>
    <xf numFmtId="0" fontId="0" fillId="3" borderId="17" xfId="0" applyFill="1" applyBorder="1"/>
    <xf numFmtId="164" fontId="0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view="pageBreakPreview" zoomScaleSheetLayoutView="100" workbookViewId="0">
      <selection activeCell="E18" sqref="E18"/>
    </sheetView>
  </sheetViews>
  <sheetFormatPr defaultRowHeight="14.5" x14ac:dyDescent="0.35"/>
  <cols>
    <col min="1" max="1" width="7.453125" customWidth="1"/>
    <col min="4" max="4" width="16" customWidth="1"/>
    <col min="5" max="5" width="24.1796875" customWidth="1"/>
  </cols>
  <sheetData>
    <row r="1" spans="1:5" ht="20" x14ac:dyDescent="0.4">
      <c r="A1" s="169" t="s">
        <v>17</v>
      </c>
      <c r="B1" s="169"/>
      <c r="C1" s="169"/>
      <c r="D1" s="169"/>
      <c r="E1" s="169"/>
    </row>
    <row r="2" spans="1:5" ht="20" x14ac:dyDescent="0.4">
      <c r="A2" s="169" t="s">
        <v>43</v>
      </c>
      <c r="B2" s="169"/>
      <c r="C2" s="169"/>
      <c r="D2" s="169"/>
      <c r="E2" s="169"/>
    </row>
    <row r="3" spans="1:5" ht="20" x14ac:dyDescent="0.4">
      <c r="A3" s="169" t="s">
        <v>25</v>
      </c>
      <c r="B3" s="169"/>
      <c r="C3" s="169"/>
      <c r="D3" s="169"/>
      <c r="E3" s="169"/>
    </row>
    <row r="4" spans="1:5" ht="20" x14ac:dyDescent="0.4">
      <c r="A4" s="170" t="s">
        <v>26</v>
      </c>
      <c r="B4" s="170"/>
      <c r="C4" s="170"/>
      <c r="D4" s="170"/>
      <c r="E4" s="170"/>
    </row>
    <row r="5" spans="1:5" x14ac:dyDescent="0.35">
      <c r="A5" s="8"/>
      <c r="B5" s="8"/>
      <c r="C5" s="8"/>
      <c r="D5" s="8"/>
      <c r="E5" s="8"/>
    </row>
    <row r="6" spans="1:5" ht="18.5" x14ac:dyDescent="0.45">
      <c r="A6" s="9">
        <v>1</v>
      </c>
      <c r="B6" s="10" t="s">
        <v>18</v>
      </c>
      <c r="C6" s="10"/>
      <c r="D6" s="10"/>
      <c r="E6" s="11" t="e">
        <f>#REF!</f>
        <v>#REF!</v>
      </c>
    </row>
    <row r="7" spans="1:5" ht="18.5" x14ac:dyDescent="0.45">
      <c r="A7" s="10"/>
      <c r="B7" s="171"/>
      <c r="C7" s="172"/>
      <c r="D7" s="173"/>
      <c r="E7" s="10"/>
    </row>
    <row r="8" spans="1:5" ht="18.5" x14ac:dyDescent="0.45">
      <c r="A8" s="9">
        <v>2</v>
      </c>
      <c r="B8" s="10" t="s">
        <v>19</v>
      </c>
      <c r="C8" s="10"/>
      <c r="D8" s="10"/>
      <c r="E8" s="11"/>
    </row>
    <row r="9" spans="1:5" ht="18.5" x14ac:dyDescent="0.45">
      <c r="A9" s="9"/>
      <c r="B9" s="10" t="s">
        <v>36</v>
      </c>
      <c r="C9" s="10"/>
      <c r="D9" s="10"/>
      <c r="E9" s="11" t="e">
        <f>#REF!</f>
        <v>#REF!</v>
      </c>
    </row>
    <row r="10" spans="1:5" ht="19" thickBot="1" x14ac:dyDescent="0.5">
      <c r="A10" s="17"/>
      <c r="B10" s="161"/>
      <c r="C10" s="162"/>
      <c r="D10" s="163"/>
      <c r="E10" s="18"/>
    </row>
    <row r="11" spans="1:5" ht="19" thickBot="1" x14ac:dyDescent="0.5">
      <c r="A11" s="156" t="s">
        <v>20</v>
      </c>
      <c r="B11" s="157"/>
      <c r="C11" s="157"/>
      <c r="D11" s="157"/>
      <c r="E11" s="33" t="e">
        <f>SUM(E6:E9)</f>
        <v>#REF!</v>
      </c>
    </row>
    <row r="12" spans="1:5" ht="18.5" x14ac:dyDescent="0.45">
      <c r="A12" s="12">
        <v>3</v>
      </c>
      <c r="B12" s="158" t="s">
        <v>21</v>
      </c>
      <c r="C12" s="159"/>
      <c r="D12" s="160"/>
      <c r="E12" s="13" t="e">
        <f>#REF!</f>
        <v>#REF!</v>
      </c>
    </row>
    <row r="13" spans="1:5" ht="19" thickBot="1" x14ac:dyDescent="0.5">
      <c r="A13" s="17"/>
      <c r="B13" s="161"/>
      <c r="C13" s="162"/>
      <c r="D13" s="163"/>
      <c r="E13" s="18"/>
    </row>
    <row r="14" spans="1:5" ht="19" thickBot="1" x14ac:dyDescent="0.5">
      <c r="A14" s="164" t="s">
        <v>22</v>
      </c>
      <c r="B14" s="165"/>
      <c r="C14" s="165"/>
      <c r="D14" s="166"/>
      <c r="E14" s="34" t="e">
        <f>E11+E12</f>
        <v>#REF!</v>
      </c>
    </row>
    <row r="15" spans="1:5" x14ac:dyDescent="0.35">
      <c r="A15" s="3"/>
      <c r="E15" s="2"/>
    </row>
    <row r="16" spans="1:5" ht="15.5" x14ac:dyDescent="0.35">
      <c r="A16" s="32"/>
      <c r="B16" s="14"/>
      <c r="C16" s="14"/>
      <c r="D16" s="14"/>
      <c r="E16" s="14"/>
    </row>
    <row r="17" spans="1:5" x14ac:dyDescent="0.35">
      <c r="E17" s="3" t="s">
        <v>44</v>
      </c>
    </row>
    <row r="18" spans="1:5" ht="15.5" x14ac:dyDescent="0.35">
      <c r="A18" s="167" t="s">
        <v>10</v>
      </c>
      <c r="B18" s="167"/>
      <c r="C18" s="167"/>
      <c r="D18" s="37"/>
      <c r="E18" s="37" t="s">
        <v>13</v>
      </c>
    </row>
    <row r="19" spans="1:5" ht="15.5" x14ac:dyDescent="0.35">
      <c r="A19" s="37"/>
      <c r="B19" s="37"/>
      <c r="C19" s="37"/>
      <c r="D19" s="37"/>
      <c r="E19" s="37"/>
    </row>
    <row r="20" spans="1:5" ht="15.5" x14ac:dyDescent="0.35">
      <c r="A20" s="37"/>
      <c r="B20" s="37"/>
      <c r="C20" s="37"/>
      <c r="D20" s="37"/>
      <c r="E20" s="37"/>
    </row>
    <row r="21" spans="1:5" ht="15.5" x14ac:dyDescent="0.35">
      <c r="A21" s="37"/>
      <c r="B21" s="37"/>
      <c r="C21" s="37"/>
      <c r="D21" s="37"/>
      <c r="E21" s="37"/>
    </row>
    <row r="22" spans="1:5" ht="15.5" x14ac:dyDescent="0.35">
      <c r="A22" s="168" t="s">
        <v>37</v>
      </c>
      <c r="B22" s="168"/>
      <c r="C22" s="168"/>
      <c r="D22" s="36"/>
      <c r="E22" s="36" t="s">
        <v>42</v>
      </c>
    </row>
    <row r="24" spans="1:5" x14ac:dyDescent="0.35">
      <c r="D24" s="38" t="s">
        <v>38</v>
      </c>
    </row>
    <row r="25" spans="1:5" x14ac:dyDescent="0.35">
      <c r="D25" s="153"/>
    </row>
    <row r="26" spans="1:5" x14ac:dyDescent="0.35">
      <c r="D26" s="154"/>
    </row>
    <row r="27" spans="1:5" x14ac:dyDescent="0.35">
      <c r="D27" s="154"/>
    </row>
    <row r="28" spans="1:5" x14ac:dyDescent="0.35">
      <c r="D28" s="154"/>
    </row>
    <row r="29" spans="1:5" x14ac:dyDescent="0.35">
      <c r="D29" s="155"/>
    </row>
  </sheetData>
  <mergeCells count="13">
    <mergeCell ref="B10:D10"/>
    <mergeCell ref="A1:E1"/>
    <mergeCell ref="A2:E2"/>
    <mergeCell ref="A3:E3"/>
    <mergeCell ref="A4:E4"/>
    <mergeCell ref="B7:D7"/>
    <mergeCell ref="D25:D29"/>
    <mergeCell ref="A11:D11"/>
    <mergeCell ref="B12:D12"/>
    <mergeCell ref="B13:D13"/>
    <mergeCell ref="A14:D14"/>
    <mergeCell ref="A18:C18"/>
    <mergeCell ref="A22:C2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view="pageBreakPreview" zoomScale="85" zoomScaleSheetLayoutView="85" workbookViewId="0">
      <selection activeCell="H10" sqref="H10"/>
    </sheetView>
  </sheetViews>
  <sheetFormatPr defaultColWidth="9.1796875" defaultRowHeight="15.5" x14ac:dyDescent="0.35"/>
  <cols>
    <col min="1" max="1" width="7.453125" style="40" customWidth="1"/>
    <col min="2" max="2" width="47.81640625" style="26" customWidth="1"/>
    <col min="3" max="3" width="19.81640625" style="26" customWidth="1"/>
    <col min="4" max="4" width="19.81640625" style="92" customWidth="1"/>
    <col min="5" max="5" width="18.1796875" style="39" customWidth="1"/>
    <col min="6" max="8" width="20" style="39" customWidth="1"/>
    <col min="9" max="9" width="19" style="113" customWidth="1"/>
    <col min="10" max="10" width="9.1796875" style="40"/>
    <col min="11" max="11" width="17.1796875" style="40" bestFit="1" customWidth="1"/>
    <col min="12" max="16384" width="9.1796875" style="40"/>
  </cols>
  <sheetData>
    <row r="1" spans="1:11" ht="20.149999999999999" customHeight="1" x14ac:dyDescent="0.35">
      <c r="A1" s="63" t="s">
        <v>0</v>
      </c>
      <c r="B1" s="63"/>
      <c r="C1" s="63"/>
      <c r="D1" s="76"/>
      <c r="E1" s="64"/>
      <c r="F1" s="64"/>
      <c r="G1" s="64"/>
      <c r="H1" s="64"/>
      <c r="I1" s="64"/>
    </row>
    <row r="2" spans="1:11" ht="20.149999999999999" customHeight="1" x14ac:dyDescent="0.35">
      <c r="A2" s="63" t="s">
        <v>5</v>
      </c>
      <c r="B2" s="63"/>
      <c r="C2" s="63"/>
      <c r="D2" s="76"/>
      <c r="E2" s="64"/>
      <c r="F2" s="64"/>
      <c r="G2" s="64"/>
      <c r="H2" s="64"/>
      <c r="I2" s="64"/>
    </row>
    <row r="3" spans="1:11" ht="20.149999999999999" customHeight="1" x14ac:dyDescent="0.35">
      <c r="A3" s="63" t="s">
        <v>64</v>
      </c>
      <c r="B3" s="63"/>
      <c r="C3" s="63"/>
      <c r="D3" s="76"/>
      <c r="E3" s="64"/>
      <c r="F3" s="64"/>
      <c r="G3" s="64"/>
      <c r="H3" s="64"/>
      <c r="I3" s="64"/>
    </row>
    <row r="4" spans="1:11" ht="20.149999999999999" customHeight="1" thickBot="1" x14ac:dyDescent="0.4">
      <c r="A4" s="65"/>
      <c r="B4" s="66"/>
      <c r="C4" s="66"/>
      <c r="D4" s="77"/>
      <c r="E4" s="67"/>
      <c r="F4" s="67"/>
      <c r="G4" s="67"/>
      <c r="H4" s="67"/>
      <c r="I4" s="67"/>
    </row>
    <row r="5" spans="1:11" ht="20.149999999999999" customHeight="1" thickBot="1" x14ac:dyDescent="0.4">
      <c r="A5" s="179" t="s">
        <v>1</v>
      </c>
      <c r="B5" s="179" t="s">
        <v>2</v>
      </c>
      <c r="C5" s="179" t="s">
        <v>54</v>
      </c>
      <c r="D5" s="181" t="s">
        <v>49</v>
      </c>
      <c r="E5" s="183" t="s">
        <v>31</v>
      </c>
      <c r="F5" s="175" t="s">
        <v>32</v>
      </c>
      <c r="G5" s="175" t="s">
        <v>33</v>
      </c>
      <c r="H5" s="175" t="s">
        <v>34</v>
      </c>
      <c r="I5" s="175" t="s">
        <v>4</v>
      </c>
    </row>
    <row r="6" spans="1:11" ht="20.149999999999999" customHeight="1" thickBot="1" x14ac:dyDescent="0.4">
      <c r="A6" s="180"/>
      <c r="B6" s="180"/>
      <c r="C6" s="180"/>
      <c r="D6" s="182"/>
      <c r="E6" s="183"/>
      <c r="F6" s="176"/>
      <c r="G6" s="176"/>
      <c r="H6" s="176"/>
      <c r="I6" s="176"/>
    </row>
    <row r="7" spans="1:11" ht="20.149999999999999" customHeight="1" thickBot="1" x14ac:dyDescent="0.4">
      <c r="A7" s="80">
        <v>1</v>
      </c>
      <c r="B7" s="80">
        <v>2</v>
      </c>
      <c r="C7" s="80"/>
      <c r="D7" s="78"/>
      <c r="E7" s="78">
        <v>3</v>
      </c>
      <c r="F7" s="78">
        <v>4</v>
      </c>
      <c r="G7" s="78"/>
      <c r="H7" s="78"/>
      <c r="I7" s="78" t="s">
        <v>16</v>
      </c>
      <c r="K7" s="16"/>
    </row>
    <row r="8" spans="1:11" s="127" customFormat="1" ht="20.149999999999999" customHeight="1" x14ac:dyDescent="0.35">
      <c r="A8" s="124">
        <v>1</v>
      </c>
      <c r="B8" s="81" t="s">
        <v>46</v>
      </c>
      <c r="C8" s="81"/>
      <c r="D8" s="81"/>
      <c r="E8" s="119"/>
      <c r="F8" s="120"/>
      <c r="G8" s="121"/>
      <c r="H8" s="120"/>
      <c r="I8" s="118">
        <f t="shared" ref="I8:I9" si="0">SUM(C8:H8)</f>
        <v>0</v>
      </c>
      <c r="J8" s="125"/>
      <c r="K8" s="126"/>
    </row>
    <row r="9" spans="1:11" s="127" customFormat="1" ht="20.149999999999999" customHeight="1" thickBot="1" x14ac:dyDescent="0.4">
      <c r="A9" s="132">
        <v>2</v>
      </c>
      <c r="B9" s="133" t="s">
        <v>63</v>
      </c>
      <c r="C9" s="134"/>
      <c r="D9" s="135"/>
      <c r="E9" s="136"/>
      <c r="F9" s="136"/>
      <c r="G9" s="137"/>
      <c r="H9" s="138">
        <v>0</v>
      </c>
      <c r="I9" s="139">
        <f t="shared" si="0"/>
        <v>0</v>
      </c>
      <c r="J9" s="125"/>
      <c r="K9" s="126"/>
    </row>
    <row r="10" spans="1:11" ht="20.149999999999999" customHeight="1" thickBot="1" x14ac:dyDescent="0.4">
      <c r="A10" s="140" t="s">
        <v>6</v>
      </c>
      <c r="B10" s="141"/>
      <c r="C10" s="142">
        <f t="shared" ref="C10:I10" si="1">SUM(C8:C9)</f>
        <v>0</v>
      </c>
      <c r="D10" s="142">
        <f t="shared" si="1"/>
        <v>0</v>
      </c>
      <c r="E10" s="142">
        <f t="shared" si="1"/>
        <v>0</v>
      </c>
      <c r="F10" s="142">
        <f t="shared" si="1"/>
        <v>0</v>
      </c>
      <c r="G10" s="142">
        <f t="shared" si="1"/>
        <v>0</v>
      </c>
      <c r="H10" s="142">
        <f t="shared" si="1"/>
        <v>0</v>
      </c>
      <c r="I10" s="142">
        <f t="shared" si="1"/>
        <v>0</v>
      </c>
      <c r="K10" s="16"/>
    </row>
    <row r="11" spans="1:11" ht="20.149999999999999" customHeight="1" x14ac:dyDescent="0.35">
      <c r="A11" s="68" t="s">
        <v>28</v>
      </c>
      <c r="B11" s="69"/>
      <c r="C11" s="69"/>
      <c r="D11" s="91"/>
      <c r="E11" s="70"/>
      <c r="F11" s="70"/>
      <c r="G11" s="70"/>
      <c r="H11" s="70"/>
      <c r="I11" s="70"/>
    </row>
    <row r="12" spans="1:11" x14ac:dyDescent="0.35">
      <c r="A12" s="177" t="e">
        <v>#NAME?</v>
      </c>
      <c r="B12" s="177"/>
      <c r="C12" s="177"/>
      <c r="D12" s="177"/>
      <c r="E12" s="177"/>
      <c r="F12" s="177"/>
      <c r="G12" s="177"/>
      <c r="H12" s="177"/>
      <c r="I12" s="177"/>
    </row>
    <row r="13" spans="1:11" x14ac:dyDescent="0.35">
      <c r="A13" s="71"/>
      <c r="B13" s="72"/>
      <c r="C13" s="72"/>
      <c r="D13" s="86"/>
      <c r="E13" s="73"/>
      <c r="F13" s="73"/>
      <c r="G13" s="73"/>
      <c r="H13" s="73"/>
      <c r="I13" s="73"/>
    </row>
    <row r="14" spans="1:11" x14ac:dyDescent="0.35">
      <c r="A14" s="71"/>
      <c r="B14" s="96"/>
      <c r="C14" s="96"/>
      <c r="D14" s="115"/>
      <c r="E14" s="115"/>
      <c r="F14" s="178" t="s">
        <v>65</v>
      </c>
      <c r="G14" s="178"/>
      <c r="H14" s="178"/>
      <c r="I14" s="178"/>
    </row>
    <row r="15" spans="1:11" x14ac:dyDescent="0.35">
      <c r="A15" s="71"/>
      <c r="B15" s="75" t="s">
        <v>10</v>
      </c>
      <c r="C15" s="75"/>
      <c r="D15" s="115"/>
      <c r="E15" s="115"/>
      <c r="F15" s="178" t="s">
        <v>13</v>
      </c>
      <c r="G15" s="178"/>
      <c r="H15" s="178"/>
      <c r="I15" s="178"/>
    </row>
    <row r="16" spans="1:11" x14ac:dyDescent="0.35">
      <c r="A16" s="71"/>
      <c r="B16" s="96"/>
      <c r="C16" s="96"/>
      <c r="D16" s="115"/>
      <c r="E16" s="115"/>
      <c r="F16" s="74"/>
      <c r="G16" s="74"/>
      <c r="H16" s="74"/>
      <c r="I16" s="112"/>
    </row>
    <row r="17" spans="1:9" x14ac:dyDescent="0.35">
      <c r="A17" s="71"/>
      <c r="B17" s="96"/>
      <c r="C17" s="96"/>
      <c r="D17" s="115"/>
      <c r="E17" s="115"/>
      <c r="F17" s="74"/>
      <c r="G17" s="74"/>
      <c r="H17" s="74"/>
      <c r="I17" s="112"/>
    </row>
    <row r="18" spans="1:9" x14ac:dyDescent="0.35">
      <c r="A18" s="71"/>
      <c r="B18" s="96"/>
      <c r="C18" s="96"/>
      <c r="D18" s="115"/>
      <c r="E18" s="115"/>
      <c r="F18" s="74"/>
      <c r="G18" s="74"/>
      <c r="H18" s="74"/>
      <c r="I18" s="112"/>
    </row>
    <row r="19" spans="1:9" x14ac:dyDescent="0.35">
      <c r="A19" s="71"/>
      <c r="B19" s="93" t="s">
        <v>52</v>
      </c>
      <c r="C19" s="93"/>
      <c r="D19" s="94"/>
      <c r="E19" s="94"/>
      <c r="F19" s="174" t="s">
        <v>45</v>
      </c>
      <c r="G19" s="174"/>
      <c r="H19" s="174"/>
      <c r="I19" s="174"/>
    </row>
  </sheetData>
  <sortState xmlns:xlrd2="http://schemas.microsoft.com/office/spreadsheetml/2017/richdata2" ref="B8:I16">
    <sortCondition ref="B8"/>
  </sortState>
  <mergeCells count="13">
    <mergeCell ref="F19:I19"/>
    <mergeCell ref="G5:G6"/>
    <mergeCell ref="H5:H6"/>
    <mergeCell ref="I5:I6"/>
    <mergeCell ref="A12:I12"/>
    <mergeCell ref="F14:I14"/>
    <mergeCell ref="F15:I15"/>
    <mergeCell ref="A5:A6"/>
    <mergeCell ref="B5:B6"/>
    <mergeCell ref="C5:C6"/>
    <mergeCell ref="D5:D6"/>
    <mergeCell ref="E5:E6"/>
    <mergeCell ref="F5:F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4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view="pageBreakPreview" zoomScale="80" zoomScaleSheetLayoutView="80" workbookViewId="0">
      <selection activeCell="E18" sqref="E18"/>
    </sheetView>
  </sheetViews>
  <sheetFormatPr defaultRowHeight="14.5" x14ac:dyDescent="0.35"/>
  <cols>
    <col min="1" max="1" width="7.453125" customWidth="1"/>
    <col min="4" max="4" width="16" customWidth="1"/>
    <col min="5" max="5" width="26.26953125" customWidth="1"/>
  </cols>
  <sheetData>
    <row r="1" spans="1:5" ht="20" x14ac:dyDescent="0.4">
      <c r="A1" s="169" t="s">
        <v>17</v>
      </c>
      <c r="B1" s="169"/>
      <c r="C1" s="169"/>
      <c r="D1" s="169"/>
      <c r="E1" s="169"/>
    </row>
    <row r="2" spans="1:5" ht="20" x14ac:dyDescent="0.4">
      <c r="A2" s="169" t="s">
        <v>75</v>
      </c>
      <c r="B2" s="169"/>
      <c r="C2" s="169"/>
      <c r="D2" s="169"/>
      <c r="E2" s="169"/>
    </row>
    <row r="3" spans="1:5" ht="20" x14ac:dyDescent="0.4">
      <c r="A3" s="169" t="s">
        <v>50</v>
      </c>
      <c r="B3" s="169"/>
      <c r="C3" s="169"/>
      <c r="D3" s="169"/>
      <c r="E3" s="169"/>
    </row>
    <row r="4" spans="1:5" ht="20" x14ac:dyDescent="0.4">
      <c r="A4" s="170" t="s">
        <v>56</v>
      </c>
      <c r="B4" s="170"/>
      <c r="C4" s="170"/>
      <c r="D4" s="170"/>
      <c r="E4" s="170"/>
    </row>
    <row r="5" spans="1:5" ht="15" thickBot="1" x14ac:dyDescent="0.4">
      <c r="A5" s="42"/>
      <c r="B5" s="42"/>
      <c r="C5" s="42"/>
      <c r="D5" s="42"/>
      <c r="E5" s="42"/>
    </row>
    <row r="6" spans="1:5" ht="17.5" x14ac:dyDescent="0.35">
      <c r="A6" s="43">
        <v>1</v>
      </c>
      <c r="B6" s="44" t="s">
        <v>18</v>
      </c>
      <c r="C6" s="45"/>
      <c r="D6" s="46"/>
      <c r="E6" s="47">
        <v>0</v>
      </c>
    </row>
    <row r="7" spans="1:5" ht="17.5" x14ac:dyDescent="0.35">
      <c r="A7" s="48"/>
      <c r="B7" s="187"/>
      <c r="C7" s="188"/>
      <c r="D7" s="189"/>
      <c r="E7" s="48"/>
    </row>
    <row r="8" spans="1:5" ht="17.5" x14ac:dyDescent="0.35">
      <c r="A8" s="49">
        <v>2</v>
      </c>
      <c r="B8" s="201" t="s">
        <v>53</v>
      </c>
      <c r="C8" s="202"/>
      <c r="D8" s="203"/>
      <c r="E8" s="53"/>
    </row>
    <row r="9" spans="1:5" ht="17.5" x14ac:dyDescent="0.35">
      <c r="A9" s="49"/>
      <c r="B9" s="50" t="s">
        <v>36</v>
      </c>
      <c r="C9" s="51"/>
      <c r="D9" s="52"/>
      <c r="E9" s="53">
        <v>0</v>
      </c>
    </row>
    <row r="10" spans="1:5" ht="17.5" x14ac:dyDescent="0.35">
      <c r="A10" s="49"/>
      <c r="B10" s="190" t="s">
        <v>48</v>
      </c>
      <c r="C10" s="191"/>
      <c r="D10" s="192"/>
      <c r="E10" s="53">
        <v>0</v>
      </c>
    </row>
    <row r="11" spans="1:5" ht="18" thickBot="1" x14ac:dyDescent="0.4">
      <c r="A11" s="49"/>
      <c r="B11" s="190" t="s">
        <v>55</v>
      </c>
      <c r="C11" s="191"/>
      <c r="D11" s="192"/>
      <c r="E11" s="53">
        <f>'BANK MANDIRI'!E7</f>
        <v>0</v>
      </c>
    </row>
    <row r="12" spans="1:5" ht="18" thickBot="1" x14ac:dyDescent="0.4">
      <c r="A12" s="196" t="s">
        <v>20</v>
      </c>
      <c r="B12" s="197"/>
      <c r="C12" s="197"/>
      <c r="D12" s="197"/>
      <c r="E12" s="56">
        <f>SUM(E6:E11)</f>
        <v>0</v>
      </c>
    </row>
    <row r="13" spans="1:5" ht="17.5" x14ac:dyDescent="0.35">
      <c r="A13" s="43">
        <v>3</v>
      </c>
      <c r="B13" s="198" t="s">
        <v>21</v>
      </c>
      <c r="C13" s="199"/>
      <c r="D13" s="200"/>
      <c r="E13" s="57">
        <f>'DAFTAR KONTRAK KERJA'!C12</f>
        <v>400000</v>
      </c>
    </row>
    <row r="14" spans="1:5" ht="18" thickBot="1" x14ac:dyDescent="0.4">
      <c r="A14" s="54">
        <v>4</v>
      </c>
      <c r="B14" s="193" t="s">
        <v>47</v>
      </c>
      <c r="C14" s="194"/>
      <c r="D14" s="195"/>
      <c r="E14" s="55">
        <f>'DAFTAR KONTRAK KERJA'!D12</f>
        <v>0</v>
      </c>
    </row>
    <row r="15" spans="1:5" ht="18" thickBot="1" x14ac:dyDescent="0.4">
      <c r="A15" s="184" t="s">
        <v>22</v>
      </c>
      <c r="B15" s="185"/>
      <c r="C15" s="185"/>
      <c r="D15" s="186"/>
      <c r="E15" s="58">
        <f>E12+E13+E14</f>
        <v>400000</v>
      </c>
    </row>
    <row r="16" spans="1:5" x14ac:dyDescent="0.35">
      <c r="A16" s="59"/>
      <c r="B16" s="60"/>
      <c r="C16" s="60"/>
      <c r="D16" s="60"/>
      <c r="E16" s="61"/>
    </row>
    <row r="17" spans="1:5" ht="15.5" x14ac:dyDescent="0.35">
      <c r="A17" s="37"/>
      <c r="B17" s="62"/>
      <c r="C17" s="62"/>
      <c r="D17" s="62"/>
      <c r="E17" s="62"/>
    </row>
    <row r="18" spans="1:5" x14ac:dyDescent="0.35">
      <c r="A18" s="60"/>
      <c r="B18" s="60"/>
      <c r="C18" s="60"/>
      <c r="D18" s="60"/>
      <c r="E18" s="59" t="s">
        <v>74</v>
      </c>
    </row>
    <row r="19" spans="1:5" ht="15.5" x14ac:dyDescent="0.35">
      <c r="A19" s="167" t="s">
        <v>10</v>
      </c>
      <c r="B19" s="167"/>
      <c r="C19" s="167"/>
      <c r="D19" s="37"/>
      <c r="E19" s="37" t="s">
        <v>13</v>
      </c>
    </row>
    <row r="20" spans="1:5" ht="15.5" x14ac:dyDescent="0.35">
      <c r="A20" s="37"/>
      <c r="B20" s="37"/>
      <c r="C20" s="37"/>
      <c r="D20" s="37"/>
      <c r="E20" s="37"/>
    </row>
    <row r="21" spans="1:5" ht="15.5" x14ac:dyDescent="0.35">
      <c r="A21" s="37"/>
      <c r="B21" s="37"/>
      <c r="C21" s="37"/>
      <c r="D21" s="37"/>
      <c r="E21" s="37"/>
    </row>
    <row r="22" spans="1:5" ht="15.5" x14ac:dyDescent="0.35">
      <c r="A22" s="37"/>
      <c r="B22" s="37"/>
      <c r="C22" s="37"/>
      <c r="D22" s="37"/>
      <c r="E22" s="37"/>
    </row>
    <row r="23" spans="1:5" ht="15.5" x14ac:dyDescent="0.35">
      <c r="A23" s="168" t="s">
        <v>68</v>
      </c>
      <c r="B23" s="168"/>
      <c r="C23" s="168"/>
      <c r="D23" s="36"/>
      <c r="E23" s="36" t="s">
        <v>67</v>
      </c>
    </row>
  </sheetData>
  <mergeCells count="14">
    <mergeCell ref="A23:C23"/>
    <mergeCell ref="A19:C19"/>
    <mergeCell ref="A1:E1"/>
    <mergeCell ref="A2:E2"/>
    <mergeCell ref="A4:E4"/>
    <mergeCell ref="A15:D15"/>
    <mergeCell ref="A3:E3"/>
    <mergeCell ref="B7:D7"/>
    <mergeCell ref="B10:D10"/>
    <mergeCell ref="B14:D14"/>
    <mergeCell ref="A12:D12"/>
    <mergeCell ref="B13:D13"/>
    <mergeCell ref="B8:D8"/>
    <mergeCell ref="B11:D11"/>
  </mergeCells>
  <printOptions horizontalCentered="1"/>
  <pageMargins left="0.70866141732283505" right="0.70866141732283505" top="0.74803149606299202" bottom="0.74803149606299202" header="0.31496062992126" footer="0.31496062992126"/>
  <pageSetup scale="1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9"/>
  <sheetViews>
    <sheetView view="pageBreakPreview" zoomScaleSheetLayoutView="100" workbookViewId="0">
      <selection activeCell="E6" sqref="E6"/>
    </sheetView>
  </sheetViews>
  <sheetFormatPr defaultColWidth="9.1796875" defaultRowHeight="14" x14ac:dyDescent="0.35"/>
  <cols>
    <col min="1" max="1" width="5.1796875" style="75" customWidth="1"/>
    <col min="2" max="2" width="27.26953125" style="96" customWidth="1"/>
    <col min="3" max="3" width="15.26953125" style="74" customWidth="1"/>
    <col min="4" max="4" width="15" style="74" customWidth="1"/>
    <col min="5" max="5" width="15" style="97" customWidth="1"/>
    <col min="6" max="6" width="15.81640625" style="75" customWidth="1"/>
    <col min="7" max="7" width="1.7265625" style="96" customWidth="1"/>
    <col min="8" max="16384" width="9.1796875" style="96"/>
  </cols>
  <sheetData>
    <row r="1" spans="1:6" x14ac:dyDescent="0.35">
      <c r="A1" s="95" t="s">
        <v>59</v>
      </c>
    </row>
    <row r="2" spans="1:6" x14ac:dyDescent="0.35">
      <c r="A2" s="95" t="s">
        <v>57</v>
      </c>
    </row>
    <row r="3" spans="1:6" x14ac:dyDescent="0.35">
      <c r="A3" s="95" t="s">
        <v>62</v>
      </c>
    </row>
    <row r="4" spans="1:6" ht="14.5" thickBot="1" x14ac:dyDescent="0.4"/>
    <row r="5" spans="1:6" s="93" customFormat="1" ht="14.5" thickBot="1" x14ac:dyDescent="0.4">
      <c r="A5" s="98" t="s">
        <v>1</v>
      </c>
      <c r="B5" s="98" t="s">
        <v>9</v>
      </c>
      <c r="C5" s="99" t="s">
        <v>7</v>
      </c>
      <c r="D5" s="99" t="s">
        <v>8</v>
      </c>
      <c r="E5" s="100" t="s">
        <v>11</v>
      </c>
      <c r="F5" s="98" t="s">
        <v>12</v>
      </c>
    </row>
    <row r="6" spans="1:6" ht="14.5" thickBot="1" x14ac:dyDescent="0.4">
      <c r="A6" s="101">
        <v>1</v>
      </c>
      <c r="B6" s="102" t="s">
        <v>58</v>
      </c>
      <c r="C6" s="128">
        <v>0</v>
      </c>
      <c r="D6" s="128">
        <v>0</v>
      </c>
      <c r="E6" s="111">
        <f>C6+D6</f>
        <v>0</v>
      </c>
      <c r="F6" s="101" t="s">
        <v>60</v>
      </c>
    </row>
    <row r="7" spans="1:6" s="103" customFormat="1" ht="14.5" thickBot="1" x14ac:dyDescent="0.4">
      <c r="A7" s="204" t="s">
        <v>4</v>
      </c>
      <c r="B7" s="204"/>
      <c r="C7" s="109">
        <f>SUM(C6:C6)</f>
        <v>0</v>
      </c>
      <c r="D7" s="109">
        <f>SUM(D6:D6)</f>
        <v>0</v>
      </c>
      <c r="E7" s="109">
        <f>SUM(E6:E6)</f>
        <v>0</v>
      </c>
      <c r="F7" s="122"/>
    </row>
    <row r="9" spans="1:6" x14ac:dyDescent="0.35">
      <c r="A9" s="123" t="s">
        <v>29</v>
      </c>
      <c r="B9" s="104"/>
      <c r="C9" s="105"/>
      <c r="D9" s="105"/>
      <c r="E9" s="106"/>
      <c r="F9" s="107"/>
    </row>
    <row r="10" spans="1:6" x14ac:dyDescent="0.35">
      <c r="A10" s="205" t="e">
        <v>#NAME?</v>
      </c>
      <c r="B10" s="205"/>
      <c r="C10" s="205"/>
      <c r="D10" s="205"/>
      <c r="E10" s="205"/>
      <c r="F10" s="205"/>
    </row>
    <row r="11" spans="1:6" x14ac:dyDescent="0.35">
      <c r="A11" s="108"/>
      <c r="B11" s="104"/>
    </row>
    <row r="12" spans="1:6" x14ac:dyDescent="0.35">
      <c r="E12" s="206" t="s">
        <v>61</v>
      </c>
      <c r="F12" s="206"/>
    </row>
    <row r="13" spans="1:6" x14ac:dyDescent="0.35">
      <c r="B13" s="75" t="s">
        <v>10</v>
      </c>
      <c r="E13" s="206" t="s">
        <v>30</v>
      </c>
      <c r="F13" s="206"/>
    </row>
    <row r="14" spans="1:6" x14ac:dyDescent="0.35">
      <c r="B14" s="75"/>
    </row>
    <row r="15" spans="1:6" x14ac:dyDescent="0.35">
      <c r="B15" s="75"/>
    </row>
    <row r="16" spans="1:6" x14ac:dyDescent="0.35">
      <c r="B16" s="75"/>
    </row>
    <row r="17" spans="2:7" x14ac:dyDescent="0.35">
      <c r="B17" s="93" t="s">
        <v>41</v>
      </c>
      <c r="E17" s="207" t="s">
        <v>45</v>
      </c>
      <c r="F17" s="207"/>
      <c r="G17" s="96" t="s">
        <v>35</v>
      </c>
    </row>
    <row r="27" spans="2:7" x14ac:dyDescent="0.35">
      <c r="B27" s="97"/>
    </row>
    <row r="28" spans="2:7" x14ac:dyDescent="0.35">
      <c r="B28" s="97"/>
    </row>
    <row r="29" spans="2:7" x14ac:dyDescent="0.35">
      <c r="B29" s="97"/>
    </row>
  </sheetData>
  <mergeCells count="5">
    <mergeCell ref="A7:B7"/>
    <mergeCell ref="A10:F10"/>
    <mergeCell ref="E12:F12"/>
    <mergeCell ref="E13:F13"/>
    <mergeCell ref="E17:F17"/>
  </mergeCells>
  <printOptions horizontalCentered="1"/>
  <pageMargins left="0.8037007874015748" right="0.39370078740157483" top="0.74803149606299213" bottom="0.74803149606299213" header="0.31496062992125984" footer="0.31496062992125984"/>
  <pageSetup scale="8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25"/>
  <sheetViews>
    <sheetView tabSelected="1" view="pageBreakPreview" topLeftCell="A7" zoomScaleSheetLayoutView="100" workbookViewId="0">
      <selection activeCell="H8" sqref="H8"/>
    </sheetView>
  </sheetViews>
  <sheetFormatPr defaultColWidth="9.1796875" defaultRowHeight="15.5" x14ac:dyDescent="0.35"/>
  <cols>
    <col min="1" max="1" width="7.453125" style="113" customWidth="1"/>
    <col min="2" max="2" width="46.7265625" style="41" customWidth="1"/>
    <col min="3" max="4" width="22.81640625" style="39" customWidth="1"/>
    <col min="5" max="5" width="22.1796875" style="39" customWidth="1"/>
    <col min="6" max="6" width="21.54296875" style="113" customWidth="1"/>
    <col min="7" max="7" width="9.1796875" style="113"/>
    <col min="8" max="8" width="17.1796875" style="113" bestFit="1" customWidth="1"/>
    <col min="9" max="16384" width="9.1796875" style="113"/>
  </cols>
  <sheetData>
    <row r="1" spans="1:8" ht="20.149999999999999" customHeight="1" x14ac:dyDescent="0.35">
      <c r="A1" s="76" t="s">
        <v>0</v>
      </c>
      <c r="B1" s="76"/>
      <c r="C1" s="64"/>
      <c r="D1" s="64"/>
      <c r="E1" s="64"/>
      <c r="F1" s="64"/>
    </row>
    <row r="2" spans="1:8" ht="20.149999999999999" customHeight="1" x14ac:dyDescent="0.35">
      <c r="A2" s="76" t="s">
        <v>5</v>
      </c>
      <c r="B2" s="76"/>
      <c r="C2" s="64"/>
      <c r="D2" s="64"/>
      <c r="E2" s="64"/>
      <c r="F2" s="64"/>
    </row>
    <row r="3" spans="1:8" ht="20.149999999999999" customHeight="1" x14ac:dyDescent="0.35">
      <c r="A3" s="76" t="s">
        <v>73</v>
      </c>
      <c r="B3" s="76"/>
      <c r="C3" s="64"/>
      <c r="D3" s="64"/>
      <c r="E3" s="64"/>
      <c r="F3" s="64"/>
    </row>
    <row r="4" spans="1:8" ht="20.149999999999999" customHeight="1" thickBot="1" x14ac:dyDescent="0.4">
      <c r="A4" s="67"/>
      <c r="B4" s="77"/>
      <c r="C4" s="67"/>
      <c r="D4" s="67"/>
      <c r="E4" s="67"/>
      <c r="F4" s="67"/>
    </row>
    <row r="5" spans="1:8" ht="20.149999999999999" customHeight="1" thickBot="1" x14ac:dyDescent="0.4">
      <c r="A5" s="211" t="s">
        <v>1</v>
      </c>
      <c r="B5" s="181" t="s">
        <v>2</v>
      </c>
      <c r="C5" s="213" t="s">
        <v>3</v>
      </c>
      <c r="D5" s="175" t="s">
        <v>71</v>
      </c>
      <c r="E5" s="214" t="s">
        <v>15</v>
      </c>
      <c r="F5" s="175" t="s">
        <v>4</v>
      </c>
    </row>
    <row r="6" spans="1:8" ht="20.149999999999999" customHeight="1" thickBot="1" x14ac:dyDescent="0.4">
      <c r="A6" s="212"/>
      <c r="B6" s="182"/>
      <c r="C6" s="213"/>
      <c r="D6" s="176"/>
      <c r="E6" s="215"/>
      <c r="F6" s="176"/>
    </row>
    <row r="7" spans="1:8" ht="14.25" customHeight="1" thickBot="1" x14ac:dyDescent="0.4">
      <c r="A7" s="129">
        <v>1</v>
      </c>
      <c r="B7" s="78">
        <v>2</v>
      </c>
      <c r="C7" s="79">
        <v>3</v>
      </c>
      <c r="D7" s="78">
        <v>4</v>
      </c>
      <c r="E7" s="79">
        <v>5</v>
      </c>
      <c r="F7" s="78" t="s">
        <v>51</v>
      </c>
    </row>
    <row r="8" spans="1:8" ht="20.149999999999999" customHeight="1" x14ac:dyDescent="0.35">
      <c r="A8" s="116">
        <v>1</v>
      </c>
      <c r="B8" s="81" t="s">
        <v>63</v>
      </c>
      <c r="C8" s="82">
        <v>100000</v>
      </c>
      <c r="D8" s="82">
        <v>0</v>
      </c>
      <c r="E8" s="114">
        <v>0</v>
      </c>
      <c r="F8" s="82">
        <f>C8+D8+E8</f>
        <v>100000</v>
      </c>
      <c r="G8" s="92"/>
      <c r="H8" s="117"/>
    </row>
    <row r="9" spans="1:8" ht="20.149999999999999" customHeight="1" x14ac:dyDescent="0.35">
      <c r="A9" s="116">
        <v>2</v>
      </c>
      <c r="B9" s="146" t="s">
        <v>66</v>
      </c>
      <c r="C9" s="148">
        <v>100000</v>
      </c>
      <c r="D9" s="82"/>
      <c r="E9" s="114"/>
      <c r="F9" s="149">
        <f>C9+D9+E9</f>
        <v>100000</v>
      </c>
      <c r="G9" s="92"/>
      <c r="H9" s="117"/>
    </row>
    <row r="10" spans="1:8" ht="20.149999999999999" customHeight="1" x14ac:dyDescent="0.35">
      <c r="A10" s="143">
        <v>3</v>
      </c>
      <c r="B10" s="81" t="s">
        <v>69</v>
      </c>
      <c r="C10" s="148">
        <v>100000</v>
      </c>
      <c r="D10" s="148"/>
      <c r="E10" s="114"/>
      <c r="F10" s="149">
        <f t="shared" ref="F10:F11" si="0">C10+D10+E10</f>
        <v>100000</v>
      </c>
      <c r="G10" s="92"/>
      <c r="H10" s="117"/>
    </row>
    <row r="11" spans="1:8" ht="20.149999999999999" customHeight="1" thickBot="1" x14ac:dyDescent="0.4">
      <c r="A11" s="143">
        <v>4</v>
      </c>
      <c r="B11" s="147" t="s">
        <v>70</v>
      </c>
      <c r="C11" s="150">
        <v>100000</v>
      </c>
      <c r="D11" s="151"/>
      <c r="E11" s="152"/>
      <c r="F11" s="149">
        <f t="shared" si="0"/>
        <v>100000</v>
      </c>
      <c r="G11" s="92"/>
      <c r="H11" s="117"/>
    </row>
    <row r="12" spans="1:8" ht="20.149999999999999" customHeight="1" thickBot="1" x14ac:dyDescent="0.4">
      <c r="A12" s="130"/>
      <c r="B12" s="144" t="s">
        <v>22</v>
      </c>
      <c r="C12" s="145">
        <f>SUM(C8:C11)</f>
        <v>400000</v>
      </c>
      <c r="D12" s="83">
        <f>SUM(D8:D11)</f>
        <v>0</v>
      </c>
      <c r="E12" s="145">
        <f>SUM(E8:E11)</f>
        <v>0</v>
      </c>
      <c r="F12" s="145">
        <f>SUM(F8:F11)</f>
        <v>400000</v>
      </c>
      <c r="G12" s="131"/>
    </row>
    <row r="13" spans="1:8" ht="20.149999999999999" customHeight="1" x14ac:dyDescent="0.35">
      <c r="A13" s="84" t="s">
        <v>28</v>
      </c>
      <c r="B13" s="84"/>
      <c r="C13" s="85"/>
      <c r="D13" s="85"/>
      <c r="E13" s="85" t="s">
        <v>35</v>
      </c>
      <c r="F13" s="85"/>
    </row>
    <row r="14" spans="1:8" x14ac:dyDescent="0.35">
      <c r="A14" s="208" t="s">
        <v>72</v>
      </c>
      <c r="B14" s="208"/>
      <c r="C14" s="208"/>
      <c r="D14" s="208"/>
      <c r="E14" s="208"/>
      <c r="F14" s="208"/>
    </row>
    <row r="15" spans="1:8" x14ac:dyDescent="0.35">
      <c r="A15" s="73"/>
      <c r="B15" s="86"/>
      <c r="C15" s="73"/>
      <c r="D15" s="73"/>
      <c r="E15" s="73"/>
      <c r="F15" s="73"/>
    </row>
    <row r="16" spans="1:8" x14ac:dyDescent="0.3">
      <c r="A16" s="73"/>
      <c r="B16" s="87"/>
      <c r="C16" s="87"/>
      <c r="D16" s="87"/>
      <c r="E16" s="209" t="s">
        <v>74</v>
      </c>
      <c r="F16" s="209"/>
    </row>
    <row r="17" spans="1:6" x14ac:dyDescent="0.3">
      <c r="A17" s="73"/>
      <c r="B17" s="88" t="s">
        <v>10</v>
      </c>
      <c r="C17" s="87"/>
      <c r="D17" s="87"/>
      <c r="E17" s="209" t="s">
        <v>13</v>
      </c>
      <c r="F17" s="209"/>
    </row>
    <row r="18" spans="1:6" x14ac:dyDescent="0.3">
      <c r="A18" s="73"/>
      <c r="B18" s="87"/>
      <c r="C18" s="87"/>
      <c r="D18" s="87"/>
      <c r="E18" s="110"/>
      <c r="F18" s="73"/>
    </row>
    <row r="19" spans="1:6" x14ac:dyDescent="0.3">
      <c r="A19" s="73"/>
      <c r="B19" s="87"/>
      <c r="C19" s="87"/>
      <c r="D19" s="87"/>
      <c r="E19" s="110"/>
      <c r="F19" s="73"/>
    </row>
    <row r="20" spans="1:6" x14ac:dyDescent="0.3">
      <c r="A20" s="73"/>
      <c r="B20" s="87"/>
      <c r="C20" s="87"/>
      <c r="D20" s="87"/>
      <c r="E20" s="110"/>
      <c r="F20" s="73"/>
    </row>
    <row r="21" spans="1:6" x14ac:dyDescent="0.3">
      <c r="A21" s="73"/>
      <c r="B21" s="73"/>
      <c r="C21" s="89"/>
      <c r="D21" s="89"/>
      <c r="E21" s="73"/>
      <c r="F21" s="73"/>
    </row>
    <row r="22" spans="1:6" x14ac:dyDescent="0.3">
      <c r="A22" s="73"/>
      <c r="B22" s="73"/>
      <c r="C22" s="89"/>
      <c r="D22" s="89"/>
      <c r="E22" s="73"/>
      <c r="F22" s="73"/>
    </row>
    <row r="23" spans="1:6" x14ac:dyDescent="0.3">
      <c r="A23" s="73"/>
      <c r="B23" s="90" t="s">
        <v>68</v>
      </c>
      <c r="C23" s="73"/>
      <c r="D23" s="73"/>
      <c r="E23" s="210" t="s">
        <v>67</v>
      </c>
      <c r="F23" s="210"/>
    </row>
    <row r="25" spans="1:6" x14ac:dyDescent="0.35">
      <c r="A25" s="92"/>
    </row>
  </sheetData>
  <sortState xmlns:xlrd2="http://schemas.microsoft.com/office/spreadsheetml/2017/richdata2" ref="B8:F11">
    <sortCondition ref="B8"/>
  </sortState>
  <mergeCells count="10">
    <mergeCell ref="A14:F14"/>
    <mergeCell ref="E16:F16"/>
    <mergeCell ref="E17:F17"/>
    <mergeCell ref="E23:F23"/>
    <mergeCell ref="A5:A6"/>
    <mergeCell ref="B5:B6"/>
    <mergeCell ref="C5:C6"/>
    <mergeCell ref="D5:D6"/>
    <mergeCell ref="E5:E6"/>
    <mergeCell ref="F5:F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58" orientation="portrait" verticalDpi="300" r:id="rId1"/>
  <colBreaks count="1" manualBreakCount="1">
    <brk id="6" max="4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view="pageBreakPreview" zoomScaleSheetLayoutView="100" workbookViewId="0">
      <selection activeCell="D18" sqref="D18"/>
    </sheetView>
  </sheetViews>
  <sheetFormatPr defaultRowHeight="14.5" x14ac:dyDescent="0.35"/>
  <cols>
    <col min="1" max="1" width="5.81640625" style="3" customWidth="1"/>
    <col min="2" max="2" width="29.453125" customWidth="1"/>
    <col min="3" max="3" width="20.7265625" customWidth="1"/>
    <col min="4" max="4" width="20.54296875" customWidth="1"/>
    <col min="5" max="5" width="19.7265625" style="2" customWidth="1"/>
    <col min="6" max="6" width="19.1796875" customWidth="1"/>
    <col min="7" max="7" width="9.1796875" customWidth="1"/>
  </cols>
  <sheetData>
    <row r="1" spans="1:6" x14ac:dyDescent="0.35">
      <c r="A1" s="1" t="s">
        <v>23</v>
      </c>
    </row>
    <row r="2" spans="1:6" x14ac:dyDescent="0.35">
      <c r="A2" s="1" t="s">
        <v>27</v>
      </c>
    </row>
    <row r="3" spans="1:6" x14ac:dyDescent="0.35">
      <c r="A3" s="1" t="s">
        <v>40</v>
      </c>
    </row>
    <row r="4" spans="1:6" ht="15" thickBot="1" x14ac:dyDescent="0.4"/>
    <row r="5" spans="1:6" s="4" customFormat="1" ht="15" thickBot="1" x14ac:dyDescent="0.4">
      <c r="A5" s="19" t="s">
        <v>1</v>
      </c>
      <c r="B5" s="20" t="s">
        <v>9</v>
      </c>
      <c r="C5" s="21" t="s">
        <v>7</v>
      </c>
      <c r="D5" s="21" t="s">
        <v>8</v>
      </c>
      <c r="E5" s="22" t="s">
        <v>4</v>
      </c>
    </row>
    <row r="6" spans="1:6" ht="15" thickBot="1" x14ac:dyDescent="0.4">
      <c r="A6" s="23">
        <v>1</v>
      </c>
      <c r="B6" s="25" t="s">
        <v>14</v>
      </c>
      <c r="C6" s="35">
        <v>0</v>
      </c>
      <c r="D6" s="35">
        <v>0</v>
      </c>
      <c r="E6" s="24">
        <f>C6+D6</f>
        <v>0</v>
      </c>
    </row>
    <row r="7" spans="1:6" s="5" customFormat="1" ht="15.5" thickTop="1" thickBot="1" x14ac:dyDescent="0.4">
      <c r="A7" s="216" t="s">
        <v>4</v>
      </c>
      <c r="B7" s="217"/>
      <c r="C7" s="30">
        <f>SUM(C6:C6)</f>
        <v>0</v>
      </c>
      <c r="D7" s="30">
        <f>SUM(D6:D6)</f>
        <v>0</v>
      </c>
      <c r="E7" s="31">
        <f>SUM(E6:E6)</f>
        <v>0</v>
      </c>
    </row>
    <row r="9" spans="1:6" x14ac:dyDescent="0.35">
      <c r="A9" s="27" t="s">
        <v>28</v>
      </c>
      <c r="B9" s="28"/>
      <c r="C9" s="28"/>
      <c r="D9" s="28"/>
      <c r="E9" s="29"/>
    </row>
    <row r="10" spans="1:6" x14ac:dyDescent="0.35">
      <c r="A10" s="220" t="e">
        <v>#NAME?</v>
      </c>
      <c r="B10" s="220"/>
      <c r="C10" s="220"/>
      <c r="D10" s="220"/>
      <c r="E10" s="220"/>
    </row>
    <row r="12" spans="1:6" x14ac:dyDescent="0.35">
      <c r="D12" s="218" t="s">
        <v>39</v>
      </c>
      <c r="E12" s="218"/>
      <c r="F12" s="15"/>
    </row>
    <row r="13" spans="1:6" x14ac:dyDescent="0.35">
      <c r="B13" t="s">
        <v>10</v>
      </c>
      <c r="D13" s="218" t="s">
        <v>30</v>
      </c>
      <c r="E13" s="218"/>
    </row>
    <row r="14" spans="1:6" x14ac:dyDescent="0.35">
      <c r="D14" s="6"/>
      <c r="E14" s="7"/>
    </row>
    <row r="15" spans="1:6" x14ac:dyDescent="0.35">
      <c r="D15" s="6"/>
      <c r="E15" s="7"/>
    </row>
    <row r="16" spans="1:6" x14ac:dyDescent="0.35">
      <c r="D16" s="6"/>
      <c r="E16" s="7"/>
    </row>
    <row r="17" spans="2:5" x14ac:dyDescent="0.35">
      <c r="B17" s="5" t="s">
        <v>24</v>
      </c>
      <c r="C17" s="5"/>
      <c r="D17" s="219" t="s">
        <v>45</v>
      </c>
      <c r="E17" s="219"/>
    </row>
  </sheetData>
  <mergeCells count="5">
    <mergeCell ref="A7:B7"/>
    <mergeCell ref="D12:E12"/>
    <mergeCell ref="D13:E13"/>
    <mergeCell ref="D17:E17"/>
    <mergeCell ref="A10:E10"/>
  </mergeCells>
  <printOptions horizontalCentered="1"/>
  <pageMargins left="0.39370078740157483" right="0.39370078740157483" top="0.74803149606299213" bottom="0.74803149606299213" header="0.31496062992125984" footer="0.31496062992125984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TANDA TERIMA</vt:lpstr>
      <vt:lpstr>DAFTAR </vt:lpstr>
      <vt:lpstr>REKAP</vt:lpstr>
      <vt:lpstr>BANK MANDIRI</vt:lpstr>
      <vt:lpstr>DAFTAR KONTRAK KERJA</vt:lpstr>
      <vt:lpstr>DKI 1&amp; 2 (LUNAS)</vt:lpstr>
      <vt:lpstr>'BANK MANDIRI'!Print_Area</vt:lpstr>
      <vt:lpstr>'DAFTAR '!Print_Area</vt:lpstr>
      <vt:lpstr>'DAFTAR KONTRAK KERJA'!Print_Area</vt:lpstr>
      <vt:lpstr>REKAP!Print_Area</vt:lpstr>
      <vt:lpstr>'TANDA TERIMA'!Print_Area</vt:lpstr>
      <vt:lpstr>'DAFTAR '!Print_Titles</vt:lpstr>
      <vt:lpstr>'DAFTAR KONTRAK KERJA'!Print_Titles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Koperasi BKI</dc:creator>
  <cp:lastModifiedBy>Vivi Hazlinda</cp:lastModifiedBy>
  <cp:lastPrinted>2024-02-05T02:19:37Z</cp:lastPrinted>
  <dcterms:created xsi:type="dcterms:W3CDTF">2010-04-21T00:57:03Z</dcterms:created>
  <dcterms:modified xsi:type="dcterms:W3CDTF">2026-01-12T04:31:34Z</dcterms:modified>
</cp:coreProperties>
</file>