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9b474228dc75fd/Documents/KOPERASI BKI TAHUN 2026/REKAPAN POTONGAN/"/>
    </mc:Choice>
  </mc:AlternateContent>
  <xr:revisionPtr revIDLastSave="29" documentId="8_{88F6B377-B567-46B8-A0B5-3B6D615DCA59}" xr6:coauthVersionLast="47" xr6:coauthVersionMax="47" xr10:uidLastSave="{92E90B02-F110-4742-87FD-907BFF1C4CAF}"/>
  <bookViews>
    <workbookView xWindow="-110" yWindow="-110" windowWidth="19420" windowHeight="10300" xr2:uid="{024DC354-89E5-4341-A0CB-8CEC0514B6DC}"/>
  </bookViews>
  <sheets>
    <sheet name="IDS - Januari" sheetId="1" r:id="rId1"/>
  </sheets>
  <externalReferences>
    <externalReference r:id="rId2"/>
  </externalReferences>
  <definedNames>
    <definedName name="__DAT2">#REF!</definedName>
    <definedName name="__IntlFixup" hidden="1">TRUE</definedName>
    <definedName name="_DAT2">#REF!</definedName>
    <definedName name="_Fill" hidden="1">#REF!</definedName>
    <definedName name="_xlnm._FilterDatabase" localSheetId="0" hidden="1">'IDS - Januari'!$A$6:$H$64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BANG">#REF!</definedName>
    <definedName name="ada">#REF!</definedName>
    <definedName name="AllCheck">#REF!</definedName>
    <definedName name="ANGKA1">#REF!</definedName>
    <definedName name="anscount" hidden="1">1</definedName>
    <definedName name="apa">#REF!</definedName>
    <definedName name="besi">#REF!</definedName>
    <definedName name="d">#REF!</definedName>
    <definedName name="da">#REF!</definedName>
    <definedName name="DAT">#REF!</definedName>
    <definedName name="data1">#REF!</definedName>
    <definedName name="database1">#REF!</definedName>
    <definedName name="DATANAS">#REF!</definedName>
    <definedName name="DD">#REF!</definedName>
    <definedName name="del">#REF!</definedName>
    <definedName name="f">#REF!</definedName>
    <definedName name="ik">#REF!</definedName>
    <definedName name="iku">#REF!</definedName>
    <definedName name="JUAL">#REF!</definedName>
    <definedName name="jual1012">#REF!</definedName>
    <definedName name="kdthp">#REF!</definedName>
    <definedName name="kdtot">#REF!</definedName>
    <definedName name="Keb_SDM">#REF!</definedName>
    <definedName name="KELPEG">#REF!</definedName>
    <definedName name="kode">#REF!</definedName>
    <definedName name="kurs">#REF!</definedName>
    <definedName name="limcount" hidden="1">1</definedName>
    <definedName name="NASNAS">#REF!</definedName>
    <definedName name="ok" hidden="1">#REF!</definedName>
    <definedName name="PArea">#REF!</definedName>
    <definedName name="POTONGAN">#REF!</definedName>
    <definedName name="Potongan1">#REF!</definedName>
    <definedName name="POTREV">#REF!</definedName>
    <definedName name="PP_PT">#REF!</definedName>
    <definedName name="_xlnm.Print_Area">#REF!</definedName>
    <definedName name="Print_Area1">#REF!</definedName>
    <definedName name="ptkp">#REF!</definedName>
    <definedName name="ptkp1">#REF!</definedName>
    <definedName name="S">#REF!</definedName>
    <definedName name="SAPI">#REF!</definedName>
    <definedName name="SB">#REF!</definedName>
    <definedName name="sencount" hidden="1">1</definedName>
    <definedName name="SS">#REF!</definedName>
    <definedName name="TABEL1">#REF!</definedName>
    <definedName name="tahap">#REF!</definedName>
    <definedName name="thp">#REF!</definedName>
    <definedName name="UMUM">#REF!</definedName>
    <definedName name="UUU" hidden="1">#REF!</definedName>
    <definedName name="XX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" l="1"/>
  <c r="A46" i="1"/>
  <c r="G48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7" i="1"/>
  <c r="H48" i="1" l="1"/>
  <c r="H49" i="1" l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Vivi Hazlinda</author>
  </authors>
  <commentList>
    <comment ref="G44" authorId="0" shapeId="0" xr:uid="{FF490D81-C5B7-4B4E-BBDD-AD0FC3872E61}">
      <text>
        <r>
          <rPr>
            <b/>
            <sz val="9"/>
            <color indexed="81"/>
            <rFont val="Tahoma"/>
            <family val="2"/>
          </rPr>
          <t>Vivi Hazlinda:</t>
        </r>
        <r>
          <rPr>
            <sz val="9"/>
            <color indexed="81"/>
            <rFont val="Tahoma"/>
            <family val="2"/>
          </rPr>
          <t xml:space="preserve">
Simpanan Pokok: 200.000
Simpanan Wajib: 350.000</t>
        </r>
      </text>
    </comment>
    <comment ref="G45" authorId="0" shapeId="0" xr:uid="{54E4EFE5-149B-4F4D-A398-51FA54F4BA36}">
      <text>
        <r>
          <rPr>
            <b/>
            <sz val="9"/>
            <color indexed="81"/>
            <rFont val="Tahoma"/>
            <family val="2"/>
          </rPr>
          <t>Vivi Hazlinda:</t>
        </r>
        <r>
          <rPr>
            <sz val="9"/>
            <color indexed="81"/>
            <rFont val="Tahoma"/>
            <family val="2"/>
          </rPr>
          <t xml:space="preserve">
Simpanan Pokok: 200.000
Simpanan Wajib: 250.000</t>
        </r>
      </text>
    </comment>
    <comment ref="G46" authorId="0" shapeId="0" xr:uid="{E1C90FF6-EF04-4498-8C1C-2C20952D0859}">
      <text>
        <r>
          <rPr>
            <b/>
            <sz val="9"/>
            <color indexed="81"/>
            <rFont val="Tahoma"/>
            <family val="2"/>
          </rPr>
          <t>Vivi Hazlinda:</t>
        </r>
        <r>
          <rPr>
            <sz val="9"/>
            <color indexed="81"/>
            <rFont val="Tahoma"/>
            <family val="2"/>
          </rPr>
          <t xml:space="preserve">
Simpanan Pokok: 200.000
Simpanan Wajib: 250.000</t>
        </r>
      </text>
    </comment>
  </commentList>
</comments>
</file>

<file path=xl/sharedStrings.xml><?xml version="1.0" encoding="utf-8"?>
<sst xmlns="http://schemas.openxmlformats.org/spreadsheetml/2006/main" count="207" uniqueCount="144">
  <si>
    <t>Daftar Potongan Simpanan dan Pinjaman Koperasi</t>
  </si>
  <si>
    <t>ID Survey (ISSI)</t>
  </si>
  <si>
    <t>No.</t>
  </si>
  <si>
    <t>NUP</t>
  </si>
  <si>
    <t>Nama Pegawai</t>
  </si>
  <si>
    <t>Unit Penempatan</t>
  </si>
  <si>
    <t>Jabatan</t>
  </si>
  <si>
    <t>SIKOP</t>
  </si>
  <si>
    <t>PINJAMAN</t>
  </si>
  <si>
    <t>113419</t>
  </si>
  <si>
    <t>ALDICIO WILLIAM SCHUURMAN</t>
  </si>
  <si>
    <t>IDS</t>
  </si>
  <si>
    <t>DEPARTEMEN MANAJEMEN PORTOFOLIO</t>
  </si>
  <si>
    <t>SPESIALIS MANAJEMEN PORTOFOLIO</t>
  </si>
  <si>
    <t>117423</t>
  </si>
  <si>
    <t>ABDUL RIFANI PRAJA NURRAHMAN</t>
  </si>
  <si>
    <t>DIVISI AKUNTANSI KEUANGAN DAN PAJAK</t>
  </si>
  <si>
    <t>VP AKUNTANSI KEUANGAN DAN PAJAK</t>
  </si>
  <si>
    <t>113619</t>
  </si>
  <si>
    <t>ADESTA MUNAS LATIEF</t>
  </si>
  <si>
    <t>SENIOR MANAGER BISNIS DAN SISTEM KEUANGAN</t>
  </si>
  <si>
    <t>113819</t>
  </si>
  <si>
    <t>ANNISYAH FAZRIN</t>
  </si>
  <si>
    <t>ANALIS QA &amp; KEBIJAKAN AKUNTANSI KEUANGAN &amp; PAJAK</t>
  </si>
  <si>
    <t>113319</t>
  </si>
  <si>
    <t>MOHAMMAD RIZKI SATRIO</t>
  </si>
  <si>
    <t>DIVISI HUMAN CAPITAL</t>
  </si>
  <si>
    <t>PJ. ANALIS PENGEMBANGAN BUDAYA</t>
  </si>
  <si>
    <t>99315</t>
  </si>
  <si>
    <t>FIKRAH WATHANI</t>
  </si>
  <si>
    <t>PJ. ANALIS PENGEMBANGAN TALENTA</t>
  </si>
  <si>
    <t>115823</t>
  </si>
  <si>
    <t>AGUS SYARIF MAOLANA</t>
  </si>
  <si>
    <t>DIVISI INTEGRASI SISTEM DAN PROSES BISNIS</t>
  </si>
  <si>
    <t>SENIOR MANAGER PROSES BISNIS DAN MANAJEMEN SISTEM TERINTEGRASI</t>
  </si>
  <si>
    <t>49600</t>
  </si>
  <si>
    <t>FAJAR NUGRAHA</t>
  </si>
  <si>
    <t>VP INTEGRASI SISTEM DAN PROSES BISNIS</t>
  </si>
  <si>
    <t>114519</t>
  </si>
  <si>
    <t>KEVIN IQBAL RIZALDI</t>
  </si>
  <si>
    <t>DIVISI LEGAL COUNSEL</t>
  </si>
  <si>
    <t>PJ. SENIOR SPESIALIS LEGAL COUNSEL</t>
  </si>
  <si>
    <t>114019</t>
  </si>
  <si>
    <t>CHRISANTYA DIAN EKA WIHARTI</t>
  </si>
  <si>
    <t>DIVISI MANAJEMEN RISIKO DAN KEBERLANJUTAN</t>
  </si>
  <si>
    <t>SPESIALIS MANAJEMEN RISIKO</t>
  </si>
  <si>
    <t>71308</t>
  </si>
  <si>
    <t>SURIATY PARAMINTA PUTRI</t>
  </si>
  <si>
    <t>SENIOR MANAGER MANAJEMEN RISIKO</t>
  </si>
  <si>
    <t>113519</t>
  </si>
  <si>
    <t>ABDIL HAFIIZH ZHAFRAN</t>
  </si>
  <si>
    <t>DIVISI PEMASARAN KORPORAT</t>
  </si>
  <si>
    <t>SPESIALIS RISET DAN STRATEGI PASAR</t>
  </si>
  <si>
    <t>61906</t>
  </si>
  <si>
    <t>TEGUH ANDANI</t>
  </si>
  <si>
    <t>DIVISI PENGADAAN, UMUM DAN MANAJEMEN ASET IDS</t>
  </si>
  <si>
    <t>ANALIS MANAJEMEN VENDOR</t>
  </si>
  <si>
    <t>44897</t>
  </si>
  <si>
    <t>MOHAMMAD HASAN</t>
  </si>
  <si>
    <t>SENIOR MANAGER PENGADAAN</t>
  </si>
  <si>
    <t>113719</t>
  </si>
  <si>
    <t>ADITYA PUTRI ANGGRAINI</t>
  </si>
  <si>
    <t>SENIOR MANAGER MANAJEMEN ASET</t>
  </si>
  <si>
    <t>60805</t>
  </si>
  <si>
    <t>ANDRI SURYAWAN</t>
  </si>
  <si>
    <t>VP PENGADAAN UMUM DAN MANAJEMEN ASET</t>
  </si>
  <si>
    <t>115422</t>
  </si>
  <si>
    <t>NADIA LISTIYANI</t>
  </si>
  <si>
    <t>DIVISI PENGEMBANGAN KORPORAT</t>
  </si>
  <si>
    <t>VP PENGEMBANGAN KORPORAT</t>
  </si>
  <si>
    <t>115319</t>
  </si>
  <si>
    <t>SALMA FADHILAH WIDITYANI</t>
  </si>
  <si>
    <t>SPESIALIS PENGEMBANGAN KORPORAT</t>
  </si>
  <si>
    <t>121525</t>
  </si>
  <si>
    <t>THOMAS MAHENDRA</t>
  </si>
  <si>
    <t>DIVISI PERENCANAAN DAN KEUANGAN KORPORAT</t>
  </si>
  <si>
    <t>OFFICER MANAJEMEN PROGRAM DAN KINERJA KORPORAT</t>
  </si>
  <si>
    <t>89512</t>
  </si>
  <si>
    <t>BUDI FITRIAWAN</t>
  </si>
  <si>
    <t>SENIOR MANAGER PERENCANAAN KORPORAT</t>
  </si>
  <si>
    <t>58804</t>
  </si>
  <si>
    <t>SYAHLIR</t>
  </si>
  <si>
    <t>ANALIS KENDALI KEUANGAN</t>
  </si>
  <si>
    <t>116923</t>
  </si>
  <si>
    <t>AGUNG PRASETYO</t>
  </si>
  <si>
    <t>OFFICER PERENCANAAN KORPORAT DAN KEUANGAN</t>
  </si>
  <si>
    <t>114119</t>
  </si>
  <si>
    <t>DENY HARDIANSYAH</t>
  </si>
  <si>
    <t>SPESIALIS PERENCANAAN DAN KEUANGAN KORPORAT</t>
  </si>
  <si>
    <t>78610</t>
  </si>
  <si>
    <t>FARRAH MUTIA NURFADILAH</t>
  </si>
  <si>
    <t>DIVISI RISET DAN PENGEMBANGAN PRODUK</t>
  </si>
  <si>
    <t>ADMINISTRATOR SENIOR</t>
  </si>
  <si>
    <t>113919</t>
  </si>
  <si>
    <t>BONOR SAMUEL CHARLES</t>
  </si>
  <si>
    <t>DIVISI SEKRETARIS PERUSAHAAN IDS</t>
  </si>
  <si>
    <t>SENIOR MANAGER KOMUNIKASI KORPORAT</t>
  </si>
  <si>
    <t>90914</t>
  </si>
  <si>
    <t>GDE SANDHYANA PRADHITA</t>
  </si>
  <si>
    <t>PROTOKOLER</t>
  </si>
  <si>
    <t>57103</t>
  </si>
  <si>
    <t>PRASETYO</t>
  </si>
  <si>
    <t>DIVISI TEKNOLOGI INFORMASI</t>
  </si>
  <si>
    <t>SENIOR MANAGER PENGEMBANGAN DAN OPERASI TI</t>
  </si>
  <si>
    <t>114219</t>
  </si>
  <si>
    <t>DICKY ALDOKO</t>
  </si>
  <si>
    <t>ANALIS MANAJEMEN PROYEK TEKNOLOGI INFORMASI</t>
  </si>
  <si>
    <t>109818</t>
  </si>
  <si>
    <t>M RAHMAT AKBAR RAMADHAN</t>
  </si>
  <si>
    <t>ANALIS PENGEMBANGAN DAN OPERASI TEKNOLOGI INFORMASI</t>
  </si>
  <si>
    <t>94814</t>
  </si>
  <si>
    <t>HARDIAN</t>
  </si>
  <si>
    <t>SPESIALIS MANAJEMEN PROYEK TEKNOLOGI INFORMASI</t>
  </si>
  <si>
    <t>114719</t>
  </si>
  <si>
    <t>MEGAWATI ROSALIO PUTRI</t>
  </si>
  <si>
    <t>GROUP STRATEGI DAN TRANSFORMASI KORPORAT</t>
  </si>
  <si>
    <t>SPESIALIS TRANSFORMATION OFFICE CHAMPION</t>
  </si>
  <si>
    <t>115219</t>
  </si>
  <si>
    <t>RIANA PATRICIA</t>
  </si>
  <si>
    <t>91314</t>
  </si>
  <si>
    <t>IRAWATI</t>
  </si>
  <si>
    <t>114819</t>
  </si>
  <si>
    <t>MUHAMMAD IRVAN WIDYA</t>
  </si>
  <si>
    <t>SATUAN PENGAWASAN INTERN IDS</t>
  </si>
  <si>
    <t>SENIOR AUDITOR SEGMEN KOMERSIAL</t>
  </si>
  <si>
    <t>114619</t>
  </si>
  <si>
    <t>LUTHFI SETIA MARDANI</t>
  </si>
  <si>
    <t>ANALIS PERENCANAAN &amp; AUDIT SEGMEN KLASIFIKASI</t>
  </si>
  <si>
    <t>50801</t>
  </si>
  <si>
    <t>DHITYA PUTRA RAMADHAN</t>
  </si>
  <si>
    <t>UNIT PEMASARAN DAN LAYANAN PELANGGAN NUSANTARA</t>
  </si>
  <si>
    <t>STAF DUKUNGAN BISNIS</t>
  </si>
  <si>
    <t>119725</t>
  </si>
  <si>
    <t>IRMA YUNIATI</t>
  </si>
  <si>
    <t>SBU ENERGI DAN INDUSTRI</t>
  </si>
  <si>
    <t>ASISTEN INSPEKTUR I OPERASI ENERGI</t>
  </si>
  <si>
    <t xml:space="preserve">Total </t>
  </si>
  <si>
    <t>Grand Total</t>
  </si>
  <si>
    <t>AKHMAD ZULFIKRI</t>
  </si>
  <si>
    <t>YUNI</t>
  </si>
  <si>
    <t>I MADE ANDHIKA DARMA PERKASA</t>
  </si>
  <si>
    <t>117523</t>
  </si>
  <si>
    <t>Anggota Baru Per Desember</t>
  </si>
  <si>
    <t>bulan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</si>
</sst>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1" fillId="0" borderId="0" xfId="2"/>
    <xf numFmtId="164" fontId="1" fillId="0" borderId="0" xfId="1" applyNumberFormat="1"/>
    <xf numFmtId="0" fontId="1" fillId="0" borderId="0" xfId="2" applyAlignment="1">
      <alignment horizontal="center"/>
    </xf>
    <xf numFmtId="49" fontId="1" fillId="0" borderId="0" xfId="2" applyNumberFormat="1" applyAlignment="1">
      <alignment horizontal="left"/>
    </xf>
    <xf numFmtId="0" fontId="2" fillId="0" borderId="1" xfId="2" applyFont="1" applyBorder="1" applyAlignment="1">
      <alignment horizontal="center" vertical="center" wrapText="1"/>
    </xf>
    <xf numFmtId="49" fontId="2" fillId="0" borderId="2" xfId="2" applyNumberFormat="1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2" xfId="2" applyFont="1" applyBorder="1"/>
    <xf numFmtId="164" fontId="2" fillId="0" borderId="2" xfId="1" applyNumberFormat="1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1" applyNumberFormat="1" applyFont="1" applyFill="1"/>
    <xf numFmtId="0" fontId="1" fillId="0" borderId="3" xfId="2" applyBorder="1" applyAlignment="1">
      <alignment horizontal="center"/>
    </xf>
    <xf numFmtId="49" fontId="1" fillId="0" borderId="3" xfId="2" applyNumberFormat="1" applyBorder="1" applyAlignment="1">
      <alignment horizontal="left"/>
    </xf>
    <xf numFmtId="0" fontId="1" fillId="0" borderId="3" xfId="2" applyBorder="1"/>
    <xf numFmtId="164" fontId="1" fillId="0" borderId="3" xfId="1" applyNumberFormat="1" applyFill="1" applyBorder="1"/>
    <xf numFmtId="164" fontId="1" fillId="0" borderId="0" xfId="2" applyNumberFormat="1"/>
    <xf numFmtId="164" fontId="2" fillId="0" borderId="0" xfId="1" applyNumberFormat="1" applyFont="1" applyBorder="1"/>
    <xf numFmtId="164" fontId="1" fillId="0" borderId="0" xfId="1" applyNumberFormat="1" applyBorder="1"/>
    <xf numFmtId="164" fontId="1" fillId="0" borderId="3" xfId="1" applyNumberFormat="1" applyBorder="1"/>
    <xf numFmtId="164" fontId="1" fillId="0" borderId="0" xfId="1" applyNumberFormat="1" applyFill="1" applyBorder="1"/>
    <xf numFmtId="0" fontId="1" fillId="2" borderId="3" xfId="2" applyFill="1" applyBorder="1" applyAlignment="1">
      <alignment horizontal="center"/>
    </xf>
    <xf numFmtId="49" fontId="1" fillId="2" borderId="3" xfId="2" applyNumberFormat="1" applyFill="1" applyBorder="1" applyAlignment="1">
      <alignment horizontal="left"/>
    </xf>
    <xf numFmtId="0" fontId="1" fillId="2" borderId="3" xfId="2" applyFill="1" applyBorder="1"/>
    <xf numFmtId="164" fontId="1" fillId="2" borderId="3" xfId="1" applyNumberFormat="1" applyFill="1" applyBorder="1"/>
    <xf numFmtId="0" fontId="1" fillId="0" borderId="0" xfId="2" applyAlignment="1">
      <alignment horizontal="left"/>
    </xf>
    <xf numFmtId="0" fontId="1" fillId="0" borderId="0" xfId="2" applyAlignment="1">
      <alignment wrapText="1"/>
    </xf>
    <xf numFmtId="0" fontId="1" fillId="0" borderId="0" xfId="2" applyAlignment="1">
      <alignment horizontal="center"/>
    </xf>
    <xf numFmtId="0" fontId="3" fillId="0" borderId="0" xfId="2" applyFont="1" applyAlignment="1">
      <alignment horizontal="left"/>
    </xf>
    <xf numFmtId="49" fontId="1" fillId="0" borderId="3" xfId="2" applyNumberFormat="1" applyFill="1" applyBorder="1" applyAlignment="1">
      <alignment horizontal="left"/>
    </xf>
    <xf numFmtId="0" fontId="1" fillId="0" borderId="3" xfId="2" applyFill="1" applyBorder="1"/>
    <xf numFmtId="0" fontId="1" fillId="0" borderId="3" xfId="2" applyFill="1" applyBorder="1" applyAlignment="1">
      <alignment horizontal="center"/>
    </xf>
  </cellXfs>
  <cellStyles count="3">
    <cellStyle name="Comma" xfId="1" builtinId="3"/>
    <cellStyle name="Normal" xfId="0" builtinId="0"/>
    <cellStyle name="Normal 4" xfId="2" xr:uid="{436F8B0C-B7EB-4875-9FDB-F526258A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b9b474228dc75fd/Documents/KOPERASI%20BKI%20TAHUN%202026/REKAPAN%20POTONGAN/01.%20POTONGAN%20KOPERASI%20BULAN%20JANUARI%202026.xlsx" TargetMode="External"/><Relationship Id="rId1" Type="http://schemas.openxmlformats.org/officeDocument/2006/relationships/externalLinkPath" Target="01.%20POTONGAN%20KOPERASI%20BULAN%20JANUAR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ARIEF SULISTIYONO</v>
          </cell>
          <cell r="C2" t="str">
            <v>CABANG MADYA KLAS BANJARMASIN</v>
          </cell>
          <cell r="D2" t="str">
            <v>CABANG MADYA KLAS BANJARMASIN</v>
          </cell>
          <cell r="E2" t="str">
            <v>KEPALA CABANG MADYA KLAS BANJARMASIN</v>
          </cell>
          <cell r="F2" t="str">
            <v>arief.sulistiyono@bki.co.id</v>
          </cell>
          <cell r="G2" t="str">
            <v>081316006659</v>
          </cell>
          <cell r="H2" t="str">
            <v>7C</v>
          </cell>
          <cell r="I2">
            <v>350000</v>
          </cell>
          <cell r="J2">
            <v>0</v>
          </cell>
        </row>
        <row r="3">
          <cell r="B3" t="str">
            <v>BAMBANG WARDOJO</v>
          </cell>
          <cell r="C3" t="str">
            <v>CABANG MADYA KLAS BANJARMASIN</v>
          </cell>
          <cell r="D3" t="str">
            <v>CABANG MADYA KLAS BANJARMASIN</v>
          </cell>
          <cell r="E3" t="str">
            <v>ADMINISTRATOR SENIOR</v>
          </cell>
          <cell r="F3" t="str">
            <v>bambang.wardojo@bki.co.id</v>
          </cell>
          <cell r="G3" t="str">
            <v>081348058835</v>
          </cell>
          <cell r="H3" t="str">
            <v>3B</v>
          </cell>
          <cell r="I3">
            <v>150000</v>
          </cell>
          <cell r="J3">
            <v>0</v>
          </cell>
        </row>
        <row r="4">
          <cell r="B4" t="str">
            <v>EKA NANDA PRATAMA SUNARJO</v>
          </cell>
          <cell r="C4" t="str">
            <v>CABANG MADYA KLAS BANJARMASIN</v>
          </cell>
          <cell r="D4" t="str">
            <v>CABANG MADYA KLAS BANJARMASIN</v>
          </cell>
          <cell r="E4" t="str">
            <v>SURVEYOR SENIOR I</v>
          </cell>
          <cell r="F4" t="str">
            <v>eka.pratama@bki.co.id</v>
          </cell>
          <cell r="G4" t="str">
            <v>082280008286</v>
          </cell>
          <cell r="H4" t="str">
            <v>6A</v>
          </cell>
          <cell r="I4">
            <v>250000</v>
          </cell>
          <cell r="J4">
            <v>6272588</v>
          </cell>
        </row>
        <row r="5">
          <cell r="B5" t="str">
            <v>KOKO HARIANTO</v>
          </cell>
          <cell r="C5" t="str">
            <v>DIVISI OPERASI BISNIS KLASIFIKASI</v>
          </cell>
          <cell r="D5" t="str">
            <v>CABANG MADYA KLAS BANJARMASIN</v>
          </cell>
          <cell r="E5" t="str">
            <v>SURVEYOR SENIOR II A KENDALI OPERASI YANG DITEMPATKAN DI CABANG MADYA KLAS BANJARMASIN</v>
          </cell>
          <cell r="F5" t="str">
            <v>kokoharianto@bki.co.id</v>
          </cell>
          <cell r="G5" t="str">
            <v>081654909745</v>
          </cell>
          <cell r="H5" t="str">
            <v>7A</v>
          </cell>
          <cell r="I5">
            <v>0</v>
          </cell>
          <cell r="J5">
            <v>0</v>
          </cell>
        </row>
        <row r="6">
          <cell r="B6" t="str">
            <v>MOH. HERBRAM ARYA PRANATA</v>
          </cell>
          <cell r="C6" t="str">
            <v>CABANG MADYA KLAS BANJARMASIN</v>
          </cell>
          <cell r="D6" t="str">
            <v>CABANG MADYA KLAS BANJARMASIN</v>
          </cell>
          <cell r="E6" t="str">
            <v>SURVEYOR</v>
          </cell>
          <cell r="F6" t="str">
            <v>moh.herbram@bki.co.id</v>
          </cell>
          <cell r="G6" t="str">
            <v>085695105135</v>
          </cell>
          <cell r="H6" t="str">
            <v>5C</v>
          </cell>
          <cell r="I6">
            <v>0</v>
          </cell>
          <cell r="J6">
            <v>0</v>
          </cell>
        </row>
        <row r="7">
          <cell r="B7" t="str">
            <v>AMIR HAMZAH</v>
          </cell>
          <cell r="C7" t="str">
            <v>CABANG MADYA KLAS BANJARMASIN</v>
          </cell>
          <cell r="D7" t="str">
            <v>CABANG MADYA KLAS BANJARMASIN</v>
          </cell>
          <cell r="E7" t="str">
            <v>SURVEYOR SENIOR I A</v>
          </cell>
          <cell r="F7" t="str">
            <v>amir.hamzah@bki.co.id</v>
          </cell>
          <cell r="G7" t="str">
            <v>081318880301</v>
          </cell>
          <cell r="H7" t="str">
            <v>6A</v>
          </cell>
          <cell r="I7">
            <v>0</v>
          </cell>
          <cell r="J7">
            <v>0</v>
          </cell>
        </row>
        <row r="8">
          <cell r="B8" t="str">
            <v>NINA SRI INDAH YANI</v>
          </cell>
          <cell r="C8" t="str">
            <v>CABANG MADYA KLAS BANJARMASIN</v>
          </cell>
          <cell r="D8" t="str">
            <v>CABANG MADYA KLAS BANJARMASIN</v>
          </cell>
          <cell r="E8" t="str">
            <v>ADMINISTRATOR SENIOR</v>
          </cell>
          <cell r="F8" t="str">
            <v>nina@bki.co.id</v>
          </cell>
          <cell r="G8" t="str">
            <v>08164564700</v>
          </cell>
          <cell r="H8" t="str">
            <v>3B</v>
          </cell>
          <cell r="I8">
            <v>150000</v>
          </cell>
          <cell r="J8">
            <v>0</v>
          </cell>
        </row>
        <row r="9">
          <cell r="B9" t="str">
            <v>MUH. NURFADHIL M.</v>
          </cell>
          <cell r="C9" t="str">
            <v>CABANG MADYA KLAS BANJARMASIN</v>
          </cell>
          <cell r="D9" t="str">
            <v>CABANG MADYA KLAS BANJARMASIN</v>
          </cell>
          <cell r="E9" t="str">
            <v xml:space="preserve">SURVEYOR JUNIOR </v>
          </cell>
          <cell r="F9" t="str">
            <v>m.nurfadil@bki.co.id</v>
          </cell>
          <cell r="G9" t="str">
            <v>082196488084</v>
          </cell>
          <cell r="H9" t="str">
            <v>4C</v>
          </cell>
          <cell r="I9">
            <v>0</v>
          </cell>
          <cell r="J9">
            <v>0</v>
          </cell>
        </row>
        <row r="10">
          <cell r="B10" t="str">
            <v>YOHANES ARDIANTO NUGROHO</v>
          </cell>
          <cell r="C10" t="str">
            <v>CABANG MADYA KLAS BANJARMASIN</v>
          </cell>
          <cell r="D10" t="str">
            <v>CABANG MADYA KLAS BANJARMASIN</v>
          </cell>
          <cell r="E10" t="str">
            <v>SURVEYOR</v>
          </cell>
          <cell r="F10" t="str">
            <v>yohanes.an@bki.co.id</v>
          </cell>
          <cell r="G10" t="str">
            <v>081280214649</v>
          </cell>
          <cell r="H10" t="str">
            <v>5C</v>
          </cell>
          <cell r="I10">
            <v>250000</v>
          </cell>
          <cell r="J10">
            <v>0</v>
          </cell>
        </row>
        <row r="11">
          <cell r="B11" t="str">
            <v>ABU YAZID</v>
          </cell>
          <cell r="C11" t="str">
            <v>CABANG MADYA KLAS BANJARMASIN</v>
          </cell>
          <cell r="D11" t="str">
            <v>CABANG MADYA KLAS BANJARMASIN</v>
          </cell>
          <cell r="E11" t="str">
            <v>STAF OPERASIONAL</v>
          </cell>
          <cell r="F11" t="str">
            <v>abu.yazid@bki.co.id</v>
          </cell>
          <cell r="G11" t="str">
            <v>085248943990</v>
          </cell>
          <cell r="H11" t="str">
            <v>-</v>
          </cell>
          <cell r="I11">
            <v>0</v>
          </cell>
          <cell r="J11">
            <v>0</v>
          </cell>
        </row>
        <row r="12">
          <cell r="B12" t="str">
            <v>CHELTIS CHARLES KEHEK</v>
          </cell>
          <cell r="C12" t="str">
            <v>CABANG MADYA KLAS BANJARMASIN</v>
          </cell>
          <cell r="D12" t="str">
            <v>CABANG MADYA KLAS BANJARMASIN</v>
          </cell>
          <cell r="E12" t="str">
            <v>STAF DUKUNGAN BISNIS</v>
          </cell>
          <cell r="F12" t="str">
            <v>cheltis.c@bki.co.id</v>
          </cell>
          <cell r="G12">
            <v>0</v>
          </cell>
          <cell r="H12" t="str">
            <v>-</v>
          </cell>
          <cell r="I12">
            <v>0</v>
          </cell>
          <cell r="J12">
            <v>0</v>
          </cell>
        </row>
        <row r="13">
          <cell r="B13" t="str">
            <v>AZHAR</v>
          </cell>
          <cell r="C13" t="str">
            <v>CABANG MADYA KLAS PALEMBANG</v>
          </cell>
          <cell r="D13" t="str">
            <v>CABANG MADYA KLAS PALEMBANG</v>
          </cell>
          <cell r="E13" t="str">
            <v>KEPALA CABANG MADYA KLAS PALEMBANG</v>
          </cell>
          <cell r="F13" t="str">
            <v>azhar@bki.co.id</v>
          </cell>
          <cell r="G13" t="str">
            <v>081364424241</v>
          </cell>
          <cell r="H13" t="str">
            <v>7C</v>
          </cell>
          <cell r="I13">
            <v>0</v>
          </cell>
          <cell r="J13">
            <v>0</v>
          </cell>
        </row>
        <row r="14">
          <cell r="B14" t="str">
            <v>DIAN ENDANG WAHYUNI</v>
          </cell>
          <cell r="C14" t="str">
            <v>CABANG MADYA KLAS PALEMBANG</v>
          </cell>
          <cell r="D14" t="str">
            <v>CABANG MADYA KLAS PALEMBANG</v>
          </cell>
          <cell r="E14" t="str">
            <v>ADMINISTRATOR SENIOR</v>
          </cell>
          <cell r="F14" t="str">
            <v>dian.endang@bki.co.id</v>
          </cell>
          <cell r="G14" t="str">
            <v>085267276520</v>
          </cell>
          <cell r="H14" t="str">
            <v>3B</v>
          </cell>
          <cell r="I14">
            <v>0</v>
          </cell>
          <cell r="J14">
            <v>0</v>
          </cell>
        </row>
        <row r="15">
          <cell r="B15" t="str">
            <v>MOH. FURQON</v>
          </cell>
          <cell r="C15" t="str">
            <v>CABANG MADYA KLAS PALEMBANG</v>
          </cell>
          <cell r="D15" t="str">
            <v>CABANG MADYA KLAS PALEMBANG</v>
          </cell>
          <cell r="E15" t="str">
            <v>SURVEYOR SENIOR I</v>
          </cell>
          <cell r="F15" t="str">
            <v>furqon@bki.co.id</v>
          </cell>
          <cell r="G15" t="str">
            <v>082234777883</v>
          </cell>
          <cell r="H15" t="str">
            <v>6C</v>
          </cell>
          <cell r="I15">
            <v>0</v>
          </cell>
          <cell r="J15">
            <v>0</v>
          </cell>
        </row>
        <row r="16">
          <cell r="B16" t="str">
            <v>FUAD UMAR PAISAL</v>
          </cell>
          <cell r="C16" t="str">
            <v>CABANG MADYA KLAS PALEMBANG</v>
          </cell>
          <cell r="D16" t="str">
            <v>CABANG MADYA KLAS PALEMBANG</v>
          </cell>
          <cell r="E16" t="str">
            <v>SURVEYOR SENIOR I A</v>
          </cell>
          <cell r="F16" t="str">
            <v>fuad.up@bki.co.id</v>
          </cell>
          <cell r="G16" t="str">
            <v>087888767059</v>
          </cell>
          <cell r="H16" t="str">
            <v>6A</v>
          </cell>
          <cell r="I16">
            <v>0</v>
          </cell>
          <cell r="J16">
            <v>0</v>
          </cell>
        </row>
        <row r="17">
          <cell r="B17" t="str">
            <v>BAYU RISTA</v>
          </cell>
          <cell r="C17" t="str">
            <v>CABANG MADYA KLAS PALEMBANG</v>
          </cell>
          <cell r="D17" t="str">
            <v>CABANG MADYA KLAS PALEMBANG</v>
          </cell>
          <cell r="E17" t="str">
            <v>SURVEYOR</v>
          </cell>
          <cell r="F17" t="str">
            <v>bayu.rista@bki.co.id</v>
          </cell>
          <cell r="G17" t="str">
            <v>0852 4150 1242</v>
          </cell>
          <cell r="H17" t="str">
            <v>5C</v>
          </cell>
          <cell r="I17">
            <v>150000</v>
          </cell>
          <cell r="J17">
            <v>0</v>
          </cell>
        </row>
        <row r="18">
          <cell r="B18" t="str">
            <v>FERLIANSYAH</v>
          </cell>
          <cell r="C18" t="str">
            <v>CABANG MADYA KLAS PALEMBANG</v>
          </cell>
          <cell r="D18" t="str">
            <v>CABANG MADYA KLAS PALEMBANG</v>
          </cell>
          <cell r="E18" t="str">
            <v>STAF KEUANGAN</v>
          </cell>
          <cell r="F18" t="str">
            <v>ferliansyah@bki.co.id</v>
          </cell>
          <cell r="G18" t="str">
            <v>08972734080</v>
          </cell>
          <cell r="H18" t="str">
            <v>-</v>
          </cell>
          <cell r="I18">
            <v>0</v>
          </cell>
          <cell r="J18">
            <v>0</v>
          </cell>
        </row>
        <row r="19">
          <cell r="B19" t="str">
            <v>FERIZA YUSFI</v>
          </cell>
          <cell r="C19" t="str">
            <v>CABANG MADYA KLAS PEKANBARU</v>
          </cell>
          <cell r="D19" t="str">
            <v>CABANG MADYA KLAS PEKANBARU</v>
          </cell>
          <cell r="E19" t="str">
            <v>ADMINISTRATOR</v>
          </cell>
          <cell r="F19" t="str">
            <v>feriza.yusfi@bki.co.id</v>
          </cell>
          <cell r="G19" t="str">
            <v>081378006343</v>
          </cell>
          <cell r="H19" t="str">
            <v>2A</v>
          </cell>
          <cell r="I19">
            <v>150000</v>
          </cell>
          <cell r="J19">
            <v>0</v>
          </cell>
        </row>
        <row r="20">
          <cell r="B20" t="str">
            <v>LISA</v>
          </cell>
          <cell r="C20" t="str">
            <v>CABANG MADYA KLAS PEKANBARU</v>
          </cell>
          <cell r="D20" t="str">
            <v>CABANG MADYA KLAS PEKANBARU</v>
          </cell>
          <cell r="E20" t="str">
            <v>ADMINISTRATOR SENIOR</v>
          </cell>
          <cell r="F20" t="str">
            <v>lisa@bki.co.id</v>
          </cell>
          <cell r="G20" t="str">
            <v>081363348720</v>
          </cell>
          <cell r="H20" t="str">
            <v>3B</v>
          </cell>
          <cell r="I20">
            <v>150000</v>
          </cell>
          <cell r="J20">
            <v>0</v>
          </cell>
        </row>
        <row r="21">
          <cell r="B21" t="str">
            <v>DONY TRI SUSILO</v>
          </cell>
          <cell r="C21" t="str">
            <v>CABANG MADYA KLAS PEKANBARU</v>
          </cell>
          <cell r="D21" t="str">
            <v>CABANG MADYA KLAS PEKANBARU</v>
          </cell>
          <cell r="E21" t="str">
            <v>KEPALA CABANG MADYA KLAS PEKANBARU</v>
          </cell>
          <cell r="F21" t="str">
            <v>dony@bki.co.id</v>
          </cell>
          <cell r="G21" t="str">
            <v>085269006911</v>
          </cell>
          <cell r="H21" t="str">
            <v>7C</v>
          </cell>
          <cell r="I21">
            <v>350000</v>
          </cell>
          <cell r="J21">
            <v>0</v>
          </cell>
        </row>
        <row r="22">
          <cell r="B22" t="str">
            <v>ANDI ARMAN</v>
          </cell>
          <cell r="C22" t="str">
            <v>CABANG MADYA KLAS PEKANBARU</v>
          </cell>
          <cell r="D22" t="str">
            <v>CABANG MADYA KLAS PEKANBARU</v>
          </cell>
          <cell r="E22" t="str">
            <v>SURVEYOR SENIOR I</v>
          </cell>
          <cell r="F22" t="str">
            <v>arman@bki.co.id</v>
          </cell>
          <cell r="G22" t="str">
            <v>0811 539 449</v>
          </cell>
          <cell r="H22" t="str">
            <v>6C</v>
          </cell>
          <cell r="I22">
            <v>0</v>
          </cell>
          <cell r="J22">
            <v>0</v>
          </cell>
        </row>
        <row r="23">
          <cell r="B23" t="str">
            <v>MUHAMMAD ASRUL LA SARIPI</v>
          </cell>
          <cell r="C23" t="str">
            <v>CABANG MADYA KLAS PEKANBARU</v>
          </cell>
          <cell r="D23" t="str">
            <v>CABANG MADYA KLAS PEKANBARU</v>
          </cell>
          <cell r="E23" t="str">
            <v>SURVEYOR</v>
          </cell>
          <cell r="F23" t="str">
            <v>m.asrul@bki.co.id</v>
          </cell>
          <cell r="G23" t="str">
            <v>0823 9531 0817</v>
          </cell>
          <cell r="H23" t="str">
            <v>5C</v>
          </cell>
          <cell r="I23">
            <v>150000</v>
          </cell>
          <cell r="J23">
            <v>0</v>
          </cell>
        </row>
        <row r="24">
          <cell r="B24" t="str">
            <v>ANDY WIBOWO</v>
          </cell>
          <cell r="C24" t="str">
            <v>CABANG MADYA KLAS PEKANBARU</v>
          </cell>
          <cell r="D24" t="str">
            <v>CABANG MADYA KLAS PEKANBARU</v>
          </cell>
          <cell r="E24" t="str">
            <v>SURVEYOR</v>
          </cell>
          <cell r="F24" t="str">
            <v>andy.wibowo@bki.co.id</v>
          </cell>
          <cell r="G24" t="str">
            <v>081261362463</v>
          </cell>
          <cell r="H24" t="str">
            <v>5C</v>
          </cell>
          <cell r="I24">
            <v>0</v>
          </cell>
          <cell r="J24">
            <v>0</v>
          </cell>
        </row>
        <row r="25">
          <cell r="B25" t="str">
            <v>FITRIANI</v>
          </cell>
          <cell r="C25" t="str">
            <v>CABANG MADYA KLAS PONTIANAK</v>
          </cell>
          <cell r="D25" t="str">
            <v>CABANG MADYA KLAS PONTIANAK</v>
          </cell>
          <cell r="E25" t="str">
            <v>ADMINISTRATOR SENIOR</v>
          </cell>
          <cell r="F25" t="str">
            <v>fitriani@bki.co.id</v>
          </cell>
          <cell r="G25" t="str">
            <v>085248411888</v>
          </cell>
          <cell r="H25" t="str">
            <v>3B</v>
          </cell>
          <cell r="I25">
            <v>150000</v>
          </cell>
          <cell r="J25">
            <v>0</v>
          </cell>
        </row>
        <row r="26">
          <cell r="B26" t="str">
            <v>MUHSON NURROCHMAT SLAMET</v>
          </cell>
          <cell r="C26" t="str">
            <v>CABANG MADYA KLAS PONTIANAK</v>
          </cell>
          <cell r="D26" t="str">
            <v>CABANG MADYA KLAS PONTIANAK</v>
          </cell>
          <cell r="E26" t="str">
            <v>KEPALA CABANG MADYA KLAS PONTIANAK</v>
          </cell>
          <cell r="F26" t="str">
            <v>muhson@bki.co.id</v>
          </cell>
          <cell r="G26" t="str">
            <v>081347196255</v>
          </cell>
          <cell r="H26" t="str">
            <v>7C</v>
          </cell>
          <cell r="I26">
            <v>0</v>
          </cell>
          <cell r="J26">
            <v>0</v>
          </cell>
        </row>
        <row r="27">
          <cell r="B27" t="str">
            <v>SEPTIAN AJI DEWANGKARA</v>
          </cell>
          <cell r="C27" t="str">
            <v>CABANG MADYA KLAS PONTIANAK</v>
          </cell>
          <cell r="D27" t="str">
            <v>CABANG MADYA KLAS PONTIANAK</v>
          </cell>
          <cell r="E27" t="str">
            <v>SURVEYOR</v>
          </cell>
          <cell r="F27" t="str">
            <v>septian.dewangkara@bki.co.id</v>
          </cell>
          <cell r="G27" t="str">
            <v>087808266652</v>
          </cell>
          <cell r="H27" t="str">
            <v>5C</v>
          </cell>
          <cell r="I27">
            <v>250000</v>
          </cell>
          <cell r="J27">
            <v>0</v>
          </cell>
        </row>
        <row r="28">
          <cell r="B28" t="str">
            <v>ALFIAN BONE PUTRA</v>
          </cell>
          <cell r="C28" t="str">
            <v>CABANG MADYA KLAS PONTIANAK</v>
          </cell>
          <cell r="D28" t="str">
            <v>CABANG MADYA KLAS PONTIANAK</v>
          </cell>
          <cell r="E28" t="str">
            <v>SURVEYOR SENIOR I A</v>
          </cell>
          <cell r="F28" t="str">
            <v>alfianbone.putra@bki.co.id</v>
          </cell>
          <cell r="G28" t="str">
            <v>081298427212</v>
          </cell>
          <cell r="H28" t="str">
            <v>6A</v>
          </cell>
          <cell r="I28">
            <v>0</v>
          </cell>
          <cell r="J28">
            <v>0</v>
          </cell>
        </row>
        <row r="29">
          <cell r="B29" t="str">
            <v>ANDRE GUNTUR TEGUH WIJAKSANA SILAEN</v>
          </cell>
          <cell r="C29" t="str">
            <v>CABANG MADYA KLAS PONTIANAK</v>
          </cell>
          <cell r="D29" t="str">
            <v>CABANG MADYA KLAS PONTIANAK</v>
          </cell>
          <cell r="E29" t="str">
            <v>SURVEYOR SENIOR I A</v>
          </cell>
          <cell r="F29" t="str">
            <v>andre.gtws@bki.co.id</v>
          </cell>
          <cell r="G29" t="str">
            <v>081388418473</v>
          </cell>
          <cell r="H29" t="str">
            <v>6A</v>
          </cell>
          <cell r="I29">
            <v>0</v>
          </cell>
          <cell r="J29">
            <v>0</v>
          </cell>
        </row>
        <row r="30">
          <cell r="B30" t="str">
            <v>DEDY HERYADI</v>
          </cell>
          <cell r="C30" t="str">
            <v>CABANG MADYA KLAS PONTIANAK</v>
          </cell>
          <cell r="D30" t="str">
            <v>CABANG MADYA KLAS PONTIANAK</v>
          </cell>
          <cell r="E30" t="str">
            <v>SUPIR</v>
          </cell>
          <cell r="F30" t="str">
            <v>dedi.heryadi@bki.co.id</v>
          </cell>
          <cell r="G30" t="str">
            <v/>
          </cell>
          <cell r="H30" t="str">
            <v>1A</v>
          </cell>
          <cell r="I30">
            <v>0</v>
          </cell>
          <cell r="J30">
            <v>0</v>
          </cell>
        </row>
        <row r="31">
          <cell r="B31" t="str">
            <v>SANDI NANDARIANTO</v>
          </cell>
          <cell r="C31" t="str">
            <v>CABANG MADYA KLAS PONTIANAK</v>
          </cell>
          <cell r="D31" t="str">
            <v>CABANG MADYA KLAS PONTIANAK</v>
          </cell>
          <cell r="E31" t="str">
            <v>SURVEYOR</v>
          </cell>
          <cell r="F31" t="str">
            <v>sandi.nandarianto@bki.co.id</v>
          </cell>
          <cell r="G31" t="str">
            <v>081281901110</v>
          </cell>
          <cell r="H31" t="str">
            <v>5C</v>
          </cell>
          <cell r="I31">
            <v>0</v>
          </cell>
          <cell r="J31">
            <v>0</v>
          </cell>
        </row>
        <row r="32">
          <cell r="B32" t="str">
            <v>RENZA MUHARAM</v>
          </cell>
          <cell r="C32" t="str">
            <v>CABANG MADYA KLAS PONTIANAK</v>
          </cell>
          <cell r="D32" t="str">
            <v>CABANG MADYA KLAS PONTIANAK</v>
          </cell>
          <cell r="E32" t="str">
            <v>STAF DUKUNGAN BISNIS</v>
          </cell>
          <cell r="F32" t="str">
            <v>renza@bki.co.id</v>
          </cell>
          <cell r="G32" t="str">
            <v>081298213003</v>
          </cell>
          <cell r="H32" t="str">
            <v>-</v>
          </cell>
          <cell r="I32">
            <v>0</v>
          </cell>
          <cell r="J32">
            <v>0</v>
          </cell>
        </row>
        <row r="33">
          <cell r="B33" t="str">
            <v>ARIFIN NUR</v>
          </cell>
          <cell r="C33" t="str">
            <v>CABANG MADYA KLAS PONTIANAK</v>
          </cell>
          <cell r="D33" t="str">
            <v>CABANG MADYA KLAS PONTIANAK</v>
          </cell>
          <cell r="E33" t="str">
            <v>STAF DUKUNGAN BISNIS</v>
          </cell>
          <cell r="F33" t="str">
            <v>arifin.nur@bki.co.id</v>
          </cell>
          <cell r="G33" t="str">
            <v>081351509496</v>
          </cell>
          <cell r="H33" t="str">
            <v>-</v>
          </cell>
          <cell r="I33">
            <v>0</v>
          </cell>
          <cell r="J33">
            <v>0</v>
          </cell>
        </row>
        <row r="34">
          <cell r="B34" t="str">
            <v>SUDIRMAN</v>
          </cell>
          <cell r="C34" t="str">
            <v>CABANG MADYA KOMERSIL BATAM</v>
          </cell>
          <cell r="D34" t="str">
            <v>CABANG MADYA KOMERSIL BATAM</v>
          </cell>
          <cell r="E34" t="str">
            <v xml:space="preserve">INSPEKTUR JUNIOR II </v>
          </cell>
          <cell r="F34" t="str">
            <v>sudirman.amir@bki.co.id</v>
          </cell>
          <cell r="G34" t="str">
            <v>0852 4209 9836</v>
          </cell>
          <cell r="H34" t="str">
            <v>4C</v>
          </cell>
          <cell r="I34">
            <v>0</v>
          </cell>
          <cell r="J34">
            <v>0</v>
          </cell>
        </row>
        <row r="35">
          <cell r="B35" t="str">
            <v>MUKHAMAD ZUL ASIP</v>
          </cell>
          <cell r="C35" t="str">
            <v>CABANG MADYA KOMERSIL BATAM</v>
          </cell>
          <cell r="D35" t="str">
            <v>CABANG MADYA KOMERSIL BATAM</v>
          </cell>
          <cell r="E35" t="str">
            <v>ADMINISTRATOR</v>
          </cell>
          <cell r="F35" t="str">
            <v>zul.asip@bki.co.id</v>
          </cell>
          <cell r="G35" t="str">
            <v>0812 1556 6990</v>
          </cell>
          <cell r="H35" t="str">
            <v>2A</v>
          </cell>
          <cell r="I35">
            <v>0</v>
          </cell>
          <cell r="J35">
            <v>0</v>
          </cell>
        </row>
        <row r="36">
          <cell r="B36" t="str">
            <v>PAJARUDDIN</v>
          </cell>
          <cell r="C36" t="str">
            <v>CABANG MADYA KOMERSIL BATAM</v>
          </cell>
          <cell r="D36" t="str">
            <v>CABANG MADYA KOMERSIL BATAM</v>
          </cell>
          <cell r="E36" t="str">
            <v>OPERATOR PENGUJIAN</v>
          </cell>
          <cell r="F36" t="str">
            <v>pajaruddin@bki.co.id</v>
          </cell>
          <cell r="G36" t="str">
            <v/>
          </cell>
          <cell r="H36" t="str">
            <v>3A</v>
          </cell>
          <cell r="I36">
            <v>0</v>
          </cell>
          <cell r="J36">
            <v>0</v>
          </cell>
        </row>
        <row r="37">
          <cell r="B37" t="str">
            <v>ZULFADLI</v>
          </cell>
          <cell r="C37" t="str">
            <v>CABANG MADYA KOMERSIL BATAM</v>
          </cell>
          <cell r="D37" t="str">
            <v>CABANG MADYA KOMERSIL BATAM</v>
          </cell>
          <cell r="E37" t="str">
            <v>INSPEKTUR</v>
          </cell>
          <cell r="F37" t="str">
            <v>fadli@bki.co.id</v>
          </cell>
          <cell r="G37" t="str">
            <v>08137275550</v>
          </cell>
          <cell r="H37" t="str">
            <v>5C</v>
          </cell>
          <cell r="I37">
            <v>0</v>
          </cell>
          <cell r="J37">
            <v>0</v>
          </cell>
        </row>
        <row r="38">
          <cell r="B38" t="str">
            <v>HELPI TORONG</v>
          </cell>
          <cell r="C38" t="str">
            <v>CABANG MADYA KOMERSIL BATAM</v>
          </cell>
          <cell r="D38" t="str">
            <v>CABANG MADYA KOMERSIL BATAM</v>
          </cell>
          <cell r="E38" t="str">
            <v xml:space="preserve">INSPEKTUR JUNIOR I  </v>
          </cell>
          <cell r="F38" t="str">
            <v>helpi@bki.co.id</v>
          </cell>
          <cell r="G38" t="str">
            <v>081536706628</v>
          </cell>
          <cell r="H38" t="str">
            <v>3C</v>
          </cell>
          <cell r="I38">
            <v>0</v>
          </cell>
          <cell r="J38">
            <v>0</v>
          </cell>
        </row>
        <row r="39">
          <cell r="B39" t="str">
            <v>BERMAN SARAGIH</v>
          </cell>
          <cell r="C39" t="str">
            <v>CABANG MADYA KOMERSIL BATAM</v>
          </cell>
          <cell r="D39" t="str">
            <v>CABANG MADYA KOMERSIL BATAM</v>
          </cell>
          <cell r="E39" t="str">
            <v xml:space="preserve">INSPEKTUR JUNIOR I  </v>
          </cell>
          <cell r="F39" t="str">
            <v>berman.saragih@bki.co.id</v>
          </cell>
          <cell r="G39" t="str">
            <v>081372101812</v>
          </cell>
          <cell r="H39" t="str">
            <v>3C</v>
          </cell>
          <cell r="I39">
            <v>150000</v>
          </cell>
          <cell r="J39">
            <v>0</v>
          </cell>
        </row>
        <row r="40">
          <cell r="B40" t="str">
            <v>RUSDY WANGSA</v>
          </cell>
          <cell r="C40" t="str">
            <v>CABANG MADYA KOMERSIL BATAM</v>
          </cell>
          <cell r="D40" t="str">
            <v>CABANG MADYA KOMERSIL BATAM</v>
          </cell>
          <cell r="E40" t="str">
            <v>ADMINISTRATOR</v>
          </cell>
          <cell r="F40" t="str">
            <v>rusdy.wangsa@bki.co.id</v>
          </cell>
          <cell r="G40" t="str">
            <v>085668759302</v>
          </cell>
          <cell r="H40" t="str">
            <v>2A</v>
          </cell>
          <cell r="I40">
            <v>150000</v>
          </cell>
          <cell r="J40">
            <v>2500000</v>
          </cell>
        </row>
        <row r="41">
          <cell r="B41" t="str">
            <v>AHDIYAR</v>
          </cell>
          <cell r="C41" t="str">
            <v>CABANG MADYA KOMERSIL BATAM</v>
          </cell>
          <cell r="D41" t="str">
            <v>CABANG MADYA KOMERSIL BATAM</v>
          </cell>
          <cell r="E41" t="str">
            <v xml:space="preserve">INSPEKTUR JUNIOR II </v>
          </cell>
          <cell r="F41" t="str">
            <v>ahdiyar@bki.co.id</v>
          </cell>
          <cell r="G41" t="str">
            <v>08117011082</v>
          </cell>
          <cell r="H41" t="str">
            <v>4C</v>
          </cell>
          <cell r="I41">
            <v>0</v>
          </cell>
          <cell r="J41">
            <v>0</v>
          </cell>
        </row>
        <row r="42">
          <cell r="B42" t="str">
            <v>IRVAN DESIADININGRAT ISKANDAR</v>
          </cell>
          <cell r="C42" t="str">
            <v>CABANG MADYA KOMERSIL BATAM</v>
          </cell>
          <cell r="D42" t="str">
            <v>CABANG MADYA KOMERSIL BATAM</v>
          </cell>
          <cell r="E42" t="str">
            <v>INSPEKTUR</v>
          </cell>
          <cell r="F42" t="str">
            <v>irvan@bki.co.id</v>
          </cell>
          <cell r="G42" t="str">
            <v>082173200097</v>
          </cell>
          <cell r="H42" t="str">
            <v>5C</v>
          </cell>
          <cell r="I42">
            <v>0</v>
          </cell>
          <cell r="J42">
            <v>0</v>
          </cell>
        </row>
        <row r="43">
          <cell r="B43" t="str">
            <v>MUHAMMAD RYAN ANDHIKA</v>
          </cell>
          <cell r="C43" t="str">
            <v>CABANG MADYA KOMERSIL BATAM</v>
          </cell>
          <cell r="D43" t="str">
            <v>CABANG MADYA KOMERSIL BATAM</v>
          </cell>
          <cell r="E43" t="str">
            <v xml:space="preserve">INSPEKTUR JUNIOR II </v>
          </cell>
          <cell r="F43" t="str">
            <v>ryan@bki.co.id</v>
          </cell>
          <cell r="G43" t="str">
            <v>081364503377</v>
          </cell>
          <cell r="H43" t="str">
            <v>4C</v>
          </cell>
          <cell r="I43">
            <v>0</v>
          </cell>
          <cell r="J43">
            <v>0</v>
          </cell>
        </row>
        <row r="44">
          <cell r="B44" t="str">
            <v>HENDRA ADY SAPUTRA M</v>
          </cell>
          <cell r="C44" t="str">
            <v>CABANG MADYA KOMERSIL BATAM</v>
          </cell>
          <cell r="D44" t="str">
            <v>CABANG MADYA KOMERSIL BATAM</v>
          </cell>
          <cell r="E44" t="str">
            <v xml:space="preserve">INSPEKTUR JUNIOR I  </v>
          </cell>
          <cell r="F44" t="str">
            <v>Hendra.as@bki.co.id</v>
          </cell>
          <cell r="G44" t="str">
            <v>0852 5522 2678</v>
          </cell>
          <cell r="H44" t="str">
            <v>3C</v>
          </cell>
          <cell r="I44">
            <v>0</v>
          </cell>
          <cell r="J44">
            <v>0</v>
          </cell>
        </row>
        <row r="45">
          <cell r="B45" t="str">
            <v>ANDI MULIADI</v>
          </cell>
          <cell r="C45" t="str">
            <v>CABANG MADYA KOMERSIL BATAM</v>
          </cell>
          <cell r="D45" t="str">
            <v>CABANG MADYA KOMERSIL BATAM</v>
          </cell>
          <cell r="E45" t="str">
            <v xml:space="preserve">INSPEKTUR JUNIOR I  </v>
          </cell>
          <cell r="F45" t="str">
            <v>muliadi@bki.co.id</v>
          </cell>
          <cell r="G45" t="str">
            <v/>
          </cell>
          <cell r="H45" t="str">
            <v>3C</v>
          </cell>
          <cell r="I45">
            <v>0</v>
          </cell>
          <cell r="J45">
            <v>0</v>
          </cell>
        </row>
        <row r="46">
          <cell r="B46" t="str">
            <v>MARISANDI</v>
          </cell>
          <cell r="C46" t="str">
            <v>CABANG MADYA KOMERSIL BATAM</v>
          </cell>
          <cell r="D46" t="str">
            <v>CABANG MADYA KOMERSIL BATAM</v>
          </cell>
          <cell r="E46" t="str">
            <v>OPERATOR PENGUJIAN</v>
          </cell>
          <cell r="F46" t="str">
            <v>marisandi@bki.co.id</v>
          </cell>
          <cell r="G46" t="str">
            <v>0813 7274 0152</v>
          </cell>
          <cell r="H46" t="str">
            <v>3A</v>
          </cell>
          <cell r="I46">
            <v>0</v>
          </cell>
          <cell r="J46">
            <v>0</v>
          </cell>
        </row>
        <row r="47">
          <cell r="B47" t="str">
            <v>ANDI IKBAR</v>
          </cell>
          <cell r="C47" t="str">
            <v>CABANG MADYA KOMERSIL BATAM</v>
          </cell>
          <cell r="D47" t="str">
            <v>CABANG MADYA KOMERSIL BATAM</v>
          </cell>
          <cell r="E47" t="str">
            <v xml:space="preserve">INSPEKTUR JUNIOR II  </v>
          </cell>
          <cell r="F47" t="str">
            <v>andi.ikbar@bki.co.id</v>
          </cell>
          <cell r="G47" t="str">
            <v>0813 5510 7801</v>
          </cell>
          <cell r="H47" t="str">
            <v>4C</v>
          </cell>
          <cell r="I47">
            <v>0</v>
          </cell>
          <cell r="J47">
            <v>0</v>
          </cell>
        </row>
        <row r="48">
          <cell r="B48" t="str">
            <v>KADAR PATTONRA</v>
          </cell>
          <cell r="C48" t="str">
            <v>CABANG MADYA KOMERSIL BATAM</v>
          </cell>
          <cell r="D48" t="str">
            <v>CABANG MADYA KOMERSIL BATAM</v>
          </cell>
          <cell r="E48" t="str">
            <v>INSPEKTUR</v>
          </cell>
          <cell r="F48" t="str">
            <v>kadar@bki.co.id</v>
          </cell>
          <cell r="G48" t="str">
            <v>0852 7437 5777</v>
          </cell>
          <cell r="H48" t="str">
            <v>5C</v>
          </cell>
          <cell r="I48">
            <v>0</v>
          </cell>
          <cell r="J48">
            <v>0</v>
          </cell>
        </row>
        <row r="49">
          <cell r="B49" t="str">
            <v>ARIF BIJAKSANA SATRIA NEGARA</v>
          </cell>
          <cell r="C49" t="str">
            <v>CABANG MADYA KOMERSIL BATAM</v>
          </cell>
          <cell r="D49" t="str">
            <v>CABANG MADYA KOMERSIL BATAM</v>
          </cell>
          <cell r="E49" t="str">
            <v>KEPALA CABANG MADYA KOMERSIL BATAM</v>
          </cell>
          <cell r="F49" t="str">
            <v>satria@bki.co.id</v>
          </cell>
          <cell r="G49" t="str">
            <v>08117000292</v>
          </cell>
          <cell r="H49" t="str">
            <v>7C</v>
          </cell>
          <cell r="I49">
            <v>250000</v>
          </cell>
          <cell r="J49">
            <v>0</v>
          </cell>
        </row>
        <row r="50">
          <cell r="B50" t="str">
            <v>AHMAD YUSRAN</v>
          </cell>
          <cell r="C50" t="str">
            <v>CABANG MADYA KOMERSIL MAKASSAR</v>
          </cell>
          <cell r="D50" t="str">
            <v>CABANG MADYA KOMERSIL MAKASSAR</v>
          </cell>
          <cell r="E50" t="str">
            <v>INSPEKTUR</v>
          </cell>
          <cell r="F50" t="str">
            <v>ahmad.yusran@bki.co.id</v>
          </cell>
          <cell r="G50" t="str">
            <v>081342208879</v>
          </cell>
          <cell r="H50" t="str">
            <v>5C</v>
          </cell>
          <cell r="I50">
            <v>0</v>
          </cell>
          <cell r="J50">
            <v>0</v>
          </cell>
        </row>
        <row r="51">
          <cell r="B51" t="str">
            <v>ACHSAN</v>
          </cell>
          <cell r="C51" t="str">
            <v>CABANG MADYA KOMERSIL MAKASSAR</v>
          </cell>
          <cell r="D51" t="str">
            <v>CABANG MADYA KOMERSIL MAKASSAR</v>
          </cell>
          <cell r="E51" t="str">
            <v>OPERATOR PENGUJIAN</v>
          </cell>
          <cell r="F51" t="str">
            <v>achsan@bki.co.id</v>
          </cell>
          <cell r="G51" t="str">
            <v>082288303315</v>
          </cell>
          <cell r="H51" t="str">
            <v>3A</v>
          </cell>
          <cell r="I51">
            <v>0</v>
          </cell>
          <cell r="J51">
            <v>0</v>
          </cell>
        </row>
        <row r="52">
          <cell r="B52" t="str">
            <v>AWALUDDIN</v>
          </cell>
          <cell r="C52" t="str">
            <v>CABANG MADYA KOMERSIL MAKASSAR</v>
          </cell>
          <cell r="D52" t="str">
            <v>CABANG MADYA KOMERSIL MAKASSAR</v>
          </cell>
          <cell r="E52" t="str">
            <v xml:space="preserve">INSPEKTUR JUNIOR II </v>
          </cell>
          <cell r="F52" t="str">
            <v>awaluddin.msc@bki.co.id</v>
          </cell>
          <cell r="G52" t="str">
            <v>085255086542</v>
          </cell>
          <cell r="H52" t="str">
            <v>4C</v>
          </cell>
          <cell r="I52">
            <v>0</v>
          </cell>
          <cell r="J52">
            <v>0</v>
          </cell>
        </row>
        <row r="53">
          <cell r="B53" t="str">
            <v>M. IRFAN</v>
          </cell>
          <cell r="C53" t="str">
            <v>CABANG MADYA KOMERSIL MAKASSAR</v>
          </cell>
          <cell r="D53" t="str">
            <v>CABANG MADYA KOMERSIL MAKASSAR</v>
          </cell>
          <cell r="E53" t="str">
            <v xml:space="preserve">INSPEKTUR JUNIOR II </v>
          </cell>
          <cell r="F53" t="str">
            <v>irfan@bki.co.id</v>
          </cell>
          <cell r="G53" t="str">
            <v>085242112823</v>
          </cell>
          <cell r="H53" t="str">
            <v>4C</v>
          </cell>
          <cell r="I53">
            <v>0</v>
          </cell>
          <cell r="J53">
            <v>0</v>
          </cell>
        </row>
        <row r="54">
          <cell r="B54" t="str">
            <v>GUNAWAN SUNRE</v>
          </cell>
          <cell r="C54" t="str">
            <v>CABANG MADYA KOMERSIL MAKASSAR</v>
          </cell>
          <cell r="D54" t="str">
            <v>CABANG MADYA KOMERSIL MAKASSAR</v>
          </cell>
          <cell r="E54" t="str">
            <v>ADMINISTRATOR SENIOR</v>
          </cell>
          <cell r="F54" t="str">
            <v>gunawan.sunre@bki.co.id</v>
          </cell>
          <cell r="G54" t="str">
            <v>081245807039</v>
          </cell>
          <cell r="H54" t="str">
            <v>3B</v>
          </cell>
          <cell r="I54">
            <v>0</v>
          </cell>
          <cell r="J54">
            <v>0</v>
          </cell>
        </row>
        <row r="55">
          <cell r="B55" t="str">
            <v>IRWAN</v>
          </cell>
          <cell r="C55" t="str">
            <v>CABANG MADYA KOMERSIL MAKASSAR</v>
          </cell>
          <cell r="D55" t="str">
            <v>CABANG MADYA KOMERSIL MAKASSAR</v>
          </cell>
          <cell r="E55" t="str">
            <v>KEPALA CABANG MADYA KOMERSIL MAKASSAR</v>
          </cell>
          <cell r="F55" t="str">
            <v>irwan@bki.co.id</v>
          </cell>
          <cell r="G55" t="str">
            <v>08125887407</v>
          </cell>
          <cell r="H55" t="str">
            <v>7C</v>
          </cell>
          <cell r="I55">
            <v>0</v>
          </cell>
          <cell r="J55">
            <v>0</v>
          </cell>
        </row>
        <row r="56">
          <cell r="B56" t="str">
            <v>ANDI ARDI ABDULLAH</v>
          </cell>
          <cell r="C56" t="str">
            <v>CABANG MADYA KOMERSIL MAKASSAR</v>
          </cell>
          <cell r="D56" t="str">
            <v>CABANG MADYA KOMERSIL MAKASSAR</v>
          </cell>
          <cell r="E56" t="str">
            <v>INSPEKTUR</v>
          </cell>
          <cell r="F56" t="str">
            <v>a.ardi@bki.co.id</v>
          </cell>
          <cell r="G56" t="str">
            <v>0813 5551 3555</v>
          </cell>
          <cell r="H56" t="str">
            <v>5C</v>
          </cell>
          <cell r="I56">
            <v>150000</v>
          </cell>
          <cell r="J56">
            <v>0</v>
          </cell>
        </row>
        <row r="57">
          <cell r="B57" t="str">
            <v>HAZAIRIN</v>
          </cell>
          <cell r="C57" t="str">
            <v>CABANG MADYA KOMERSIL MAKASSAR</v>
          </cell>
          <cell r="D57" t="str">
            <v>CABANG MADYA KOMERSIL MAKASSAR</v>
          </cell>
          <cell r="E57" t="str">
            <v xml:space="preserve">INSPEKTUR JUNIOR I  </v>
          </cell>
          <cell r="F57" t="str">
            <v>hazairin@bki.co.id</v>
          </cell>
          <cell r="G57" t="str">
            <v>085398570100</v>
          </cell>
          <cell r="H57" t="str">
            <v>3C</v>
          </cell>
          <cell r="I57">
            <v>0</v>
          </cell>
          <cell r="J57">
            <v>0</v>
          </cell>
        </row>
        <row r="58">
          <cell r="B58" t="str">
            <v>FERI ANTONI</v>
          </cell>
          <cell r="C58" t="str">
            <v>CABANG MADYA KOMERSIL MAKASSAR</v>
          </cell>
          <cell r="D58" t="str">
            <v>CABANG MADYA KOMERSIL MAKASSAR</v>
          </cell>
          <cell r="E58" t="str">
            <v xml:space="preserve">INSPEKTUR JUNIOR II </v>
          </cell>
          <cell r="F58" t="str">
            <v>feri.antoni@bki.co.id</v>
          </cell>
          <cell r="G58" t="str">
            <v/>
          </cell>
          <cell r="H58" t="str">
            <v>4C</v>
          </cell>
          <cell r="I58">
            <v>0</v>
          </cell>
          <cell r="J58">
            <v>0</v>
          </cell>
        </row>
        <row r="59">
          <cell r="B59" t="str">
            <v>RAFIUDDIN HAFID</v>
          </cell>
          <cell r="C59" t="str">
            <v>CABANG MADYA KOMERSIL MAKASSAR</v>
          </cell>
          <cell r="D59" t="str">
            <v>CABANG MADYA KOMERSIL MAKASSAR</v>
          </cell>
          <cell r="E59" t="str">
            <v xml:space="preserve">INSPEKTUR JUNIOR I  </v>
          </cell>
          <cell r="F59" t="str">
            <v>rafiuddin.hafid@bki.co.id</v>
          </cell>
          <cell r="G59" t="str">
            <v/>
          </cell>
          <cell r="H59" t="str">
            <v>3C</v>
          </cell>
          <cell r="I59">
            <v>0</v>
          </cell>
          <cell r="J59">
            <v>0</v>
          </cell>
        </row>
        <row r="60">
          <cell r="B60" t="str">
            <v>ARDIYAN EKA SAPUTRA</v>
          </cell>
          <cell r="C60" t="str">
            <v>CABANG MADYA KOMERSIL MAKASSAR</v>
          </cell>
          <cell r="D60" t="str">
            <v>CABANG MADYA KOMERSIL MAKASSAR</v>
          </cell>
          <cell r="E60" t="str">
            <v xml:space="preserve">INSPEKTUR JUNIOR I  </v>
          </cell>
          <cell r="F60" t="str">
            <v>ardiyan.es@bki.co.id</v>
          </cell>
          <cell r="G60" t="str">
            <v>085255516615</v>
          </cell>
          <cell r="H60" t="str">
            <v>3C</v>
          </cell>
          <cell r="I60">
            <v>0</v>
          </cell>
          <cell r="J60">
            <v>0</v>
          </cell>
        </row>
        <row r="61">
          <cell r="B61" t="str">
            <v>MUTTAQIN</v>
          </cell>
          <cell r="C61" t="str">
            <v>CABANG MADYA KOMERSIL PEKANBARU</v>
          </cell>
          <cell r="D61" t="str">
            <v>CABANG MADYA KOMERSIL PEKANBARU</v>
          </cell>
          <cell r="E61" t="str">
            <v>KEPALA CABANG MADYA KOMERSIL PEKANBARU</v>
          </cell>
          <cell r="F61" t="str">
            <v>muttaqin@bki.co.id</v>
          </cell>
          <cell r="G61" t="str">
            <v>081319754614</v>
          </cell>
          <cell r="H61" t="str">
            <v>7C</v>
          </cell>
          <cell r="I61">
            <v>0</v>
          </cell>
          <cell r="J61">
            <v>0</v>
          </cell>
        </row>
        <row r="62">
          <cell r="B62" t="str">
            <v>M. HATTA BACO B</v>
          </cell>
          <cell r="C62" t="str">
            <v>CABANG MADYA KOMERSIL PEKANBARU</v>
          </cell>
          <cell r="D62" t="str">
            <v>CABANG MADYA KOMERSIL PEKANBARU</v>
          </cell>
          <cell r="E62" t="str">
            <v xml:space="preserve">INSPEKTUR JUNIOR II </v>
          </cell>
          <cell r="F62" t="str">
            <v>m.hatta@bki.co.id</v>
          </cell>
          <cell r="G62" t="str">
            <v/>
          </cell>
          <cell r="H62" t="str">
            <v>4C</v>
          </cell>
          <cell r="I62">
            <v>150000</v>
          </cell>
          <cell r="J62">
            <v>0</v>
          </cell>
        </row>
        <row r="63">
          <cell r="B63" t="str">
            <v>RAHMAT S</v>
          </cell>
          <cell r="C63" t="str">
            <v>CABANG MADYA KOMERSIL PEKANBARU</v>
          </cell>
          <cell r="D63" t="str">
            <v>CABANG MADYA KOMERSIL PEKANBARU</v>
          </cell>
          <cell r="E63" t="str">
            <v xml:space="preserve">INSPEKTUR JUNIOR II </v>
          </cell>
          <cell r="F63" t="str">
            <v>rahmat.s@bki.co.id</v>
          </cell>
          <cell r="G63" t="str">
            <v>085364610661</v>
          </cell>
          <cell r="H63" t="str">
            <v>4C</v>
          </cell>
          <cell r="I63">
            <v>150000</v>
          </cell>
          <cell r="J63">
            <v>0</v>
          </cell>
        </row>
        <row r="64">
          <cell r="B64" t="str">
            <v>EKONDRO</v>
          </cell>
          <cell r="C64" t="str">
            <v>CABANG MADYA KOMERSIL PEKANBARU</v>
          </cell>
          <cell r="D64" t="str">
            <v>CABANG MADYA KOMERSIL PEKANBARU</v>
          </cell>
          <cell r="E64" t="str">
            <v>OPERATOR PENGUJIAN</v>
          </cell>
          <cell r="F64" t="str">
            <v>ekondro@bki.co.id</v>
          </cell>
          <cell r="G64" t="str">
            <v>081270226202</v>
          </cell>
          <cell r="H64" t="str">
            <v>3A</v>
          </cell>
          <cell r="I64">
            <v>150000</v>
          </cell>
          <cell r="J64">
            <v>0</v>
          </cell>
        </row>
        <row r="65">
          <cell r="B65" t="str">
            <v>INDAH PETRICIA SARI</v>
          </cell>
          <cell r="C65" t="str">
            <v>CABANG MADYA KOMERSIL PEKANBARU</v>
          </cell>
          <cell r="D65" t="str">
            <v>CABANG MADYA KOMERSIL PEKANBARU</v>
          </cell>
          <cell r="E65" t="str">
            <v>ADMINISTRATOR SENIOR</v>
          </cell>
          <cell r="F65" t="str">
            <v>indah.ps@bki.co.id</v>
          </cell>
          <cell r="G65" t="str">
            <v>081275591801</v>
          </cell>
          <cell r="H65" t="str">
            <v>3B</v>
          </cell>
          <cell r="I65">
            <v>150000</v>
          </cell>
          <cell r="J65">
            <v>0</v>
          </cell>
        </row>
        <row r="66">
          <cell r="B66" t="str">
            <v>ROZI DELFEMI IRAWATI</v>
          </cell>
          <cell r="C66" t="str">
            <v>CABANG MADYA KOMERSIL PEKANBARU</v>
          </cell>
          <cell r="D66" t="str">
            <v>CABANG MADYA KOMERSIL PEKANBARU</v>
          </cell>
          <cell r="E66" t="str">
            <v>ADMINISTRATOR SENIOR</v>
          </cell>
          <cell r="F66" t="str">
            <v>rozi.di@bki.co.id</v>
          </cell>
          <cell r="G66" t="str">
            <v>08126725126</v>
          </cell>
          <cell r="H66" t="str">
            <v>3B</v>
          </cell>
          <cell r="I66">
            <v>150000</v>
          </cell>
          <cell r="J66">
            <v>0</v>
          </cell>
        </row>
        <row r="67">
          <cell r="B67" t="str">
            <v>ZULFAENI</v>
          </cell>
          <cell r="C67" t="str">
            <v>CABANG MADYA KOMERSIL PEKANBARU</v>
          </cell>
          <cell r="D67" t="str">
            <v>CABANG MADYA KOMERSIL PEKANBARU</v>
          </cell>
          <cell r="E67" t="str">
            <v>ADMINISTRATOR</v>
          </cell>
          <cell r="F67" t="str">
            <v>zulfaeni@bki.co.id</v>
          </cell>
          <cell r="G67" t="str">
            <v>08127625796</v>
          </cell>
          <cell r="H67" t="str">
            <v>2A</v>
          </cell>
          <cell r="I67">
            <v>150000</v>
          </cell>
          <cell r="J67">
            <v>0</v>
          </cell>
        </row>
        <row r="68">
          <cell r="B68" t="str">
            <v>ABDILAH</v>
          </cell>
          <cell r="C68" t="str">
            <v>CABANG MADYA KOMERSIL PEKANBARU</v>
          </cell>
          <cell r="D68" t="str">
            <v>CABANG MADYA KOMERSIL PEKANBARU</v>
          </cell>
          <cell r="E68" t="str">
            <v xml:space="preserve">INSPEKTUR JUNIOR I  </v>
          </cell>
          <cell r="F68" t="str">
            <v>abdilah@bki.co.id</v>
          </cell>
          <cell r="G68" t="str">
            <v>081268365964</v>
          </cell>
          <cell r="H68" t="str">
            <v>3C</v>
          </cell>
          <cell r="I68">
            <v>150000</v>
          </cell>
          <cell r="J68">
            <v>0</v>
          </cell>
        </row>
        <row r="69">
          <cell r="B69" t="str">
            <v>ADI ISMANTO</v>
          </cell>
          <cell r="C69" t="str">
            <v>CABANG MADYA KOMERSIL PEKANBARU</v>
          </cell>
          <cell r="D69" t="str">
            <v>CABANG MADYA KOMERSIL PEKANBARU</v>
          </cell>
          <cell r="E69" t="str">
            <v xml:space="preserve">INSPEKTUR JUNIOR I  </v>
          </cell>
          <cell r="F69" t="str">
            <v>adi.ismanto@bki.co.id</v>
          </cell>
          <cell r="G69" t="str">
            <v>081371475688</v>
          </cell>
          <cell r="H69" t="str">
            <v>3C</v>
          </cell>
          <cell r="I69">
            <v>150000</v>
          </cell>
          <cell r="J69">
            <v>0</v>
          </cell>
        </row>
        <row r="70">
          <cell r="B70" t="str">
            <v>BARI</v>
          </cell>
          <cell r="C70" t="str">
            <v>CABANG MADYA KOMERSIL PEKANBARU</v>
          </cell>
          <cell r="D70" t="str">
            <v>CABANG MADYA KOMERSIL PEKANBARU</v>
          </cell>
          <cell r="E70" t="str">
            <v xml:space="preserve">INSPEKTUR JUNIOR I  </v>
          </cell>
          <cell r="F70" t="str">
            <v>bari@bki.co.id</v>
          </cell>
          <cell r="G70" t="str">
            <v>08127621059</v>
          </cell>
          <cell r="H70" t="str">
            <v>3C</v>
          </cell>
          <cell r="I70">
            <v>150000</v>
          </cell>
          <cell r="J70">
            <v>0</v>
          </cell>
        </row>
        <row r="71">
          <cell r="B71" t="str">
            <v>KAMARUDDIN</v>
          </cell>
          <cell r="C71" t="str">
            <v>CABANG MADYA KOMERSIL PEKANBARU</v>
          </cell>
          <cell r="D71" t="str">
            <v>CABANG MADYA KOMERSIL PEKANBARU</v>
          </cell>
          <cell r="E71" t="str">
            <v xml:space="preserve">INSPEKTUR JUNIOR I  </v>
          </cell>
          <cell r="F71" t="str">
            <v>kamaruddin@bki.co.id</v>
          </cell>
          <cell r="G71" t="str">
            <v>08127675474</v>
          </cell>
          <cell r="H71" t="str">
            <v>3C</v>
          </cell>
          <cell r="I71">
            <v>150000</v>
          </cell>
          <cell r="J71">
            <v>0</v>
          </cell>
        </row>
        <row r="72">
          <cell r="B72" t="str">
            <v>SAID TAUFIQ</v>
          </cell>
          <cell r="C72" t="str">
            <v>CABANG MADYA KOMERSIL PEKANBARU</v>
          </cell>
          <cell r="D72" t="str">
            <v>CABANG MADYA KOMERSIL PEKANBARU</v>
          </cell>
          <cell r="E72" t="str">
            <v>INSPEKTUR</v>
          </cell>
          <cell r="F72" t="str">
            <v>said.taufik@bki.co.id</v>
          </cell>
          <cell r="G72" t="str">
            <v>081378425868</v>
          </cell>
          <cell r="H72" t="str">
            <v>5C</v>
          </cell>
          <cell r="I72">
            <v>250000</v>
          </cell>
          <cell r="J72">
            <v>0</v>
          </cell>
        </row>
        <row r="73">
          <cell r="B73" t="str">
            <v>MUH ALI HASAN</v>
          </cell>
          <cell r="C73" t="str">
            <v>CABANG MADYA KOMERSIL PEKANBARU</v>
          </cell>
          <cell r="D73" t="str">
            <v>CABANG MADYA KOMERSIL PEKANBARU</v>
          </cell>
          <cell r="E73" t="str">
            <v xml:space="preserve">INSPEKTUR JUNIOR I  </v>
          </cell>
          <cell r="F73" t="str">
            <v>ali.hasan@bki.co.id</v>
          </cell>
          <cell r="G73" t="str">
            <v>081275657517</v>
          </cell>
          <cell r="H73" t="str">
            <v>3C</v>
          </cell>
          <cell r="I73">
            <v>150000</v>
          </cell>
          <cell r="J73">
            <v>0</v>
          </cell>
        </row>
        <row r="74">
          <cell r="B74" t="str">
            <v>IRMA ESMERALDA</v>
          </cell>
          <cell r="C74" t="str">
            <v>CABANG MADYA KOMERSIL PEKANBARU</v>
          </cell>
          <cell r="D74" t="str">
            <v>CABANG MADYA KOMERSIL PEKANBARU</v>
          </cell>
          <cell r="E74" t="str">
            <v xml:space="preserve">INSPEKTUR JUNIOR I  </v>
          </cell>
          <cell r="F74" t="str">
            <v>irma.esmeralda@bki.co.id</v>
          </cell>
          <cell r="G74" t="str">
            <v>085272291221</v>
          </cell>
          <cell r="H74" t="str">
            <v>3C</v>
          </cell>
          <cell r="I74">
            <v>0</v>
          </cell>
          <cell r="J74">
            <v>0</v>
          </cell>
        </row>
        <row r="75">
          <cell r="B75" t="str">
            <v>RAHMADANI</v>
          </cell>
          <cell r="C75" t="str">
            <v>DIVISI KEUANGAN DAN AKUNTANSI</v>
          </cell>
          <cell r="D75" t="str">
            <v>CABANG MADYA KOMERSIL PEKANBARU</v>
          </cell>
          <cell r="E75" t="str">
            <v>ANALIS KEUANGAN YANG DITEMPATKAN DI CAB. MADYA KOMERSIL PEKAN BARU</v>
          </cell>
          <cell r="F75" t="str">
            <v>rahmadani@bki.co.id</v>
          </cell>
          <cell r="G75" t="str">
            <v>08114197474</v>
          </cell>
          <cell r="H75" t="str">
            <v>5A</v>
          </cell>
          <cell r="I75">
            <v>0</v>
          </cell>
          <cell r="J75">
            <v>0</v>
          </cell>
        </row>
        <row r="76">
          <cell r="B76" t="str">
            <v>GUNTUR CAHYO NUGROHO</v>
          </cell>
          <cell r="C76" t="str">
            <v>CABANG MADYA KOMERSIL SURABAYA</v>
          </cell>
          <cell r="D76" t="str">
            <v>CABANG MADYA KOMERSIL SURABAYA</v>
          </cell>
          <cell r="E76" t="str">
            <v xml:space="preserve">INSPEKTUR JUNIOR II </v>
          </cell>
          <cell r="F76" t="str">
            <v>guntur.cahyo@bki.co.id</v>
          </cell>
          <cell r="G76" t="str">
            <v>0852 3024 1208</v>
          </cell>
          <cell r="H76" t="str">
            <v>4C</v>
          </cell>
          <cell r="I76">
            <v>0</v>
          </cell>
          <cell r="J76">
            <v>0</v>
          </cell>
        </row>
        <row r="77">
          <cell r="B77" t="str">
            <v>KHOIRUL ASNAWI</v>
          </cell>
          <cell r="C77" t="str">
            <v>CABANG MADYA KOMERSIL SURABAYA</v>
          </cell>
          <cell r="D77" t="str">
            <v>CABANG MADYA KOMERSIL SURABAYA</v>
          </cell>
          <cell r="E77" t="str">
            <v xml:space="preserve">INSPEKTUR JUNIOR I  </v>
          </cell>
          <cell r="F77" t="str">
            <v>khoirul.asnawi@bki.co.id</v>
          </cell>
          <cell r="G77" t="str">
            <v>0813 5834 0669</v>
          </cell>
          <cell r="H77" t="str">
            <v>3C</v>
          </cell>
          <cell r="I77">
            <v>0</v>
          </cell>
          <cell r="J77">
            <v>0</v>
          </cell>
        </row>
        <row r="78">
          <cell r="B78" t="str">
            <v>RISKITA NOVITA SARI</v>
          </cell>
          <cell r="C78" t="str">
            <v>CABANG MADYA KOMERSIL SURABAYA</v>
          </cell>
          <cell r="D78" t="str">
            <v>CABANG MADYA KOMERSIL SURABAYA</v>
          </cell>
          <cell r="E78" t="str">
            <v>ADMINISTRATOR SENIOR</v>
          </cell>
          <cell r="F78" t="str">
            <v>riskita.sari@bki.co.id</v>
          </cell>
          <cell r="G78" t="str">
            <v>0812 5956 8424</v>
          </cell>
          <cell r="H78" t="str">
            <v>3B</v>
          </cell>
          <cell r="I78">
            <v>0</v>
          </cell>
          <cell r="J78">
            <v>0</v>
          </cell>
        </row>
        <row r="79">
          <cell r="B79" t="str">
            <v>NOVAN ARDYANSYAH</v>
          </cell>
          <cell r="C79" t="str">
            <v>CABANG MADYA KOMERSIL SURABAYA</v>
          </cell>
          <cell r="D79" t="str">
            <v>CABANG MADYA KOMERSIL SURABAYA</v>
          </cell>
          <cell r="E79" t="str">
            <v xml:space="preserve">INSPEKTUR JUNIOR II </v>
          </cell>
          <cell r="F79" t="str">
            <v>novan@bki.co.id</v>
          </cell>
          <cell r="G79" t="str">
            <v>085257964021</v>
          </cell>
          <cell r="H79" t="str">
            <v>4C</v>
          </cell>
          <cell r="I79">
            <v>0</v>
          </cell>
          <cell r="J79">
            <v>0</v>
          </cell>
        </row>
        <row r="80">
          <cell r="B80" t="str">
            <v>A'AN AGUS FIRMANSYAH</v>
          </cell>
          <cell r="C80" t="str">
            <v>CABANG MADYA KOMERSIL SURABAYA</v>
          </cell>
          <cell r="D80" t="str">
            <v>CABANG MADYA KOMERSIL SURABAYA</v>
          </cell>
          <cell r="E80" t="str">
            <v>INSPEKTUR</v>
          </cell>
          <cell r="F80" t="str">
            <v>aan@bki.co.id</v>
          </cell>
          <cell r="G80" t="str">
            <v>08123081472</v>
          </cell>
          <cell r="H80" t="str">
            <v>5C</v>
          </cell>
          <cell r="I80">
            <v>150000</v>
          </cell>
          <cell r="J80">
            <v>0</v>
          </cell>
        </row>
        <row r="81">
          <cell r="B81" t="str">
            <v>MUH. NASIR</v>
          </cell>
          <cell r="C81" t="str">
            <v>CABANG MADYA KOMERSIL SURABAYA</v>
          </cell>
          <cell r="D81" t="str">
            <v>CABANG MADYA KOMERSIL SURABAYA</v>
          </cell>
          <cell r="E81" t="str">
            <v>INSPEKTUR</v>
          </cell>
          <cell r="F81" t="str">
            <v>nasir@bki.co.id</v>
          </cell>
          <cell r="G81" t="str">
            <v>081357114475</v>
          </cell>
          <cell r="H81" t="str">
            <v>5C</v>
          </cell>
          <cell r="I81">
            <v>150000</v>
          </cell>
          <cell r="J81">
            <v>0</v>
          </cell>
        </row>
        <row r="82">
          <cell r="B82" t="str">
            <v>RUDOLF EDWARD DUPUY</v>
          </cell>
          <cell r="C82" t="str">
            <v>CABANG MADYA KOMERSIL SURABAYA</v>
          </cell>
          <cell r="D82" t="str">
            <v>CABANG MADYA KOMERSIL SURABAYA</v>
          </cell>
          <cell r="E82" t="str">
            <v>ADMINISTRATOR</v>
          </cell>
          <cell r="F82" t="str">
            <v>rudolf.ed@bki.co.id</v>
          </cell>
          <cell r="G82" t="str">
            <v>0812 7764 0741</v>
          </cell>
          <cell r="H82" t="str">
            <v>2A</v>
          </cell>
          <cell r="I82">
            <v>0</v>
          </cell>
          <cell r="J82">
            <v>0</v>
          </cell>
        </row>
        <row r="83">
          <cell r="B83" t="str">
            <v>SUDIBYO</v>
          </cell>
          <cell r="C83" t="str">
            <v>CABANG MADYA KOMERSIL SURABAYA</v>
          </cell>
          <cell r="D83" t="str">
            <v>CABANG MADYA KOMERSIL SURABAYA</v>
          </cell>
          <cell r="E83" t="str">
            <v>KEPALA CABANG MADYA KOMERSIL SURABAYA</v>
          </cell>
          <cell r="F83" t="str">
            <v>sudibyo@bki.co.id</v>
          </cell>
          <cell r="G83" t="str">
            <v>082138271431</v>
          </cell>
          <cell r="H83" t="str">
            <v>7C</v>
          </cell>
          <cell r="I83">
            <v>0</v>
          </cell>
          <cell r="J83">
            <v>0</v>
          </cell>
        </row>
        <row r="84">
          <cell r="B84" t="str">
            <v>BOBBY RAMADHAN</v>
          </cell>
          <cell r="C84" t="str">
            <v>CABANG MADYA KOMERSIL SURABAYA</v>
          </cell>
          <cell r="D84" t="str">
            <v>CABANG MADYA KOMERSIL SURABAYA</v>
          </cell>
          <cell r="E84" t="str">
            <v xml:space="preserve">INSPEKTUR JUNIOR I  </v>
          </cell>
          <cell r="F84" t="str">
            <v>bobby.ramadhan@bki.co.id</v>
          </cell>
          <cell r="G84" t="str">
            <v>081234608932</v>
          </cell>
          <cell r="H84" t="str">
            <v>3C</v>
          </cell>
          <cell r="I84">
            <v>0</v>
          </cell>
          <cell r="J84">
            <v>0</v>
          </cell>
        </row>
        <row r="85">
          <cell r="B85" t="str">
            <v>ADIL ASMARA YUDHA</v>
          </cell>
          <cell r="C85" t="str">
            <v>CABANG MADYA KOMERSIL SURABAYA</v>
          </cell>
          <cell r="D85" t="str">
            <v>CABANG MADYA KOMERSIL SURABAYA</v>
          </cell>
          <cell r="E85" t="str">
            <v xml:space="preserve">INSPEKTUR JUNIOR I  </v>
          </cell>
          <cell r="F85" t="str">
            <v>adil.asmara@bki.co.id</v>
          </cell>
          <cell r="G85" t="str">
            <v>082234078634</v>
          </cell>
          <cell r="H85" t="str">
            <v>3C</v>
          </cell>
          <cell r="I85">
            <v>0</v>
          </cell>
          <cell r="J85">
            <v>0</v>
          </cell>
        </row>
        <row r="86">
          <cell r="B86" t="str">
            <v>MUSTAKIM</v>
          </cell>
          <cell r="C86" t="str">
            <v>CABANG PRATAMA KLAS AMBON</v>
          </cell>
          <cell r="D86" t="str">
            <v>CABANG PRATAMA KLAS AMBON</v>
          </cell>
          <cell r="E86" t="str">
            <v>SURVEYOR SENIOR I A</v>
          </cell>
          <cell r="F86" t="str">
            <v>mustakim@bki.co.id</v>
          </cell>
          <cell r="G86" t="str">
            <v>082187324634</v>
          </cell>
          <cell r="H86" t="str">
            <v>6A</v>
          </cell>
          <cell r="I86">
            <v>250000</v>
          </cell>
          <cell r="J86">
            <v>0</v>
          </cell>
        </row>
        <row r="87">
          <cell r="B87" t="str">
            <v>PETRUS TIPAWAEL</v>
          </cell>
          <cell r="C87" t="str">
            <v>CABANG PRATAMA KLAS AMBON</v>
          </cell>
          <cell r="D87" t="str">
            <v>CABANG PRATAMA KLAS AMBON</v>
          </cell>
          <cell r="E87" t="str">
            <v>ADMINISTRATOR SENIOR</v>
          </cell>
          <cell r="F87" t="str">
            <v>petrus.tipawel@bki.co.id</v>
          </cell>
          <cell r="G87" t="str">
            <v>081247608681</v>
          </cell>
          <cell r="H87" t="str">
            <v>3B</v>
          </cell>
          <cell r="I87">
            <v>0</v>
          </cell>
          <cell r="J87">
            <v>0</v>
          </cell>
        </row>
        <row r="88">
          <cell r="B88" t="str">
            <v>MUHAMMAD FAJRIN M. SAID</v>
          </cell>
          <cell r="C88" t="str">
            <v>CABANG PRATAMA KLAS AMBON</v>
          </cell>
          <cell r="D88" t="str">
            <v>CABANG PRATAMA KLAS AMBON</v>
          </cell>
          <cell r="E88" t="str">
            <v>KEPALA CABANG PRATAMA KLAS AMBON</v>
          </cell>
          <cell r="F88" t="str">
            <v>fajrinsaid@bki.co.id</v>
          </cell>
          <cell r="G88" t="str">
            <v>0812241000074</v>
          </cell>
          <cell r="H88" t="str">
            <v>6C</v>
          </cell>
          <cell r="I88">
            <v>250000</v>
          </cell>
          <cell r="J88">
            <v>0</v>
          </cell>
        </row>
        <row r="89">
          <cell r="B89" t="str">
            <v>YEHESKIEL HUBERT PARLUHUTAN</v>
          </cell>
          <cell r="C89" t="str">
            <v>CABANG PRATAMA KLAS AMBON</v>
          </cell>
          <cell r="D89" t="str">
            <v>CABANG PRATAMA KLAS AMBON</v>
          </cell>
          <cell r="E89" t="str">
            <v>SURVEYOR JUNIOR</v>
          </cell>
          <cell r="F89" t="str">
            <v>yeheskiel.hp@bki.co.id</v>
          </cell>
          <cell r="H89" t="str">
            <v>4C</v>
          </cell>
          <cell r="I89">
            <v>0</v>
          </cell>
          <cell r="J89">
            <v>0</v>
          </cell>
        </row>
        <row r="90">
          <cell r="B90" t="str">
            <v>HARIS HENDRATMOKO</v>
          </cell>
          <cell r="C90" t="str">
            <v>CABANG PRATAMA KLAS BELAWAN</v>
          </cell>
          <cell r="D90" t="str">
            <v>CABANG PRATAMA KLAS BELAWAN</v>
          </cell>
          <cell r="E90" t="str">
            <v>SURVEYOR</v>
          </cell>
          <cell r="F90" t="str">
            <v>haris.hendratmoko@bki.co.id</v>
          </cell>
          <cell r="G90" t="str">
            <v>082166200750</v>
          </cell>
          <cell r="H90" t="str">
            <v>5C</v>
          </cell>
          <cell r="I90">
            <v>0</v>
          </cell>
          <cell r="J90">
            <v>0</v>
          </cell>
        </row>
        <row r="91">
          <cell r="B91" t="str">
            <v>ADI KURNIAWAN</v>
          </cell>
          <cell r="C91" t="str">
            <v>CABANG PRATAMA KLAS BELAWAN</v>
          </cell>
          <cell r="D91" t="str">
            <v>CABANG PRATAMA KLAS BELAWAN</v>
          </cell>
          <cell r="E91" t="str">
            <v>KEPALA CABANG PRATAMA KLAS BELAWAN</v>
          </cell>
          <cell r="F91" t="str">
            <v>adi.kurniawan@bki.co.id</v>
          </cell>
          <cell r="G91" t="str">
            <v>0811 7104 046</v>
          </cell>
          <cell r="H91" t="str">
            <v>6C</v>
          </cell>
          <cell r="I91">
            <v>0</v>
          </cell>
          <cell r="J91">
            <v>0</v>
          </cell>
        </row>
        <row r="92">
          <cell r="B92" t="str">
            <v>ANDI P. SIAGIAN</v>
          </cell>
          <cell r="C92" t="str">
            <v>DIVISI OPERASI BISNIS KLASIFIKASI</v>
          </cell>
          <cell r="D92" t="str">
            <v>CABANG PRATAMA KLAS BELAWAN</v>
          </cell>
          <cell r="E92" t="str">
            <v>SURVEYOR SENIOR II A KENDALI OPERASI YANG DITEMPATKAN DI CABANG PRATAMA KLAS BELAWAN</v>
          </cell>
          <cell r="F92" t="str">
            <v>andi@bki.co.id</v>
          </cell>
          <cell r="G92" t="str">
            <v>08114707890</v>
          </cell>
          <cell r="H92" t="str">
            <v>7A</v>
          </cell>
          <cell r="I92">
            <v>250000</v>
          </cell>
          <cell r="J92">
            <v>0</v>
          </cell>
        </row>
        <row r="93">
          <cell r="B93" t="str">
            <v>FAUZI AKBAR NASUTION</v>
          </cell>
          <cell r="C93" t="str">
            <v>CABANG PRATAMA KLAS BELAWAN</v>
          </cell>
          <cell r="D93" t="str">
            <v>CABANG PRATAMA KLAS BELAWAN</v>
          </cell>
          <cell r="E93" t="str">
            <v>SURVEYOR SENIOR I A</v>
          </cell>
          <cell r="F93" t="str">
            <v>fauzi.an@bki.co.id</v>
          </cell>
          <cell r="G93" t="str">
            <v>081330225570</v>
          </cell>
          <cell r="H93" t="str">
            <v>6A</v>
          </cell>
          <cell r="I93">
            <v>0</v>
          </cell>
          <cell r="J93">
            <v>0</v>
          </cell>
        </row>
        <row r="94">
          <cell r="B94" t="str">
            <v>RURI APRIDAH</v>
          </cell>
          <cell r="C94" t="str">
            <v>CABANG PRATAMA KLAS BELAWAN</v>
          </cell>
          <cell r="D94" t="str">
            <v>CABANG PRATAMA KLAS BELAWAN</v>
          </cell>
          <cell r="E94" t="str">
            <v>ADMINISTRATOR SENIOR</v>
          </cell>
          <cell r="F94" t="str">
            <v>ruri.apridah@bki.co.id</v>
          </cell>
          <cell r="G94" t="str">
            <v>0811603284</v>
          </cell>
          <cell r="H94" t="str">
            <v>3B</v>
          </cell>
          <cell r="I94">
            <v>0</v>
          </cell>
          <cell r="J94">
            <v>0</v>
          </cell>
        </row>
        <row r="95">
          <cell r="B95" t="str">
            <v>YOSEP PUTERA MARULAM</v>
          </cell>
          <cell r="C95" t="str">
            <v>CABANG PRATAMA KLAS BELAWAN</v>
          </cell>
          <cell r="D95" t="str">
            <v>CABANG PRATAMA KLAS BELAWAN</v>
          </cell>
          <cell r="E95" t="str">
            <v xml:space="preserve">SURVEYOR JUNIOR </v>
          </cell>
          <cell r="F95" t="str">
            <v>yosep.putera@bki.co.id</v>
          </cell>
          <cell r="G95" t="str">
            <v>081262536592</v>
          </cell>
          <cell r="H95" t="str">
            <v>4C</v>
          </cell>
          <cell r="I95">
            <v>0</v>
          </cell>
          <cell r="J95">
            <v>0</v>
          </cell>
        </row>
        <row r="96">
          <cell r="B96" t="str">
            <v>RUDI ARFIANSYAH</v>
          </cell>
          <cell r="C96" t="str">
            <v>CABANG PRATAMA KLAS BELAWAN</v>
          </cell>
          <cell r="D96" t="str">
            <v>CABANG PRATAMA KLAS BELAWAN</v>
          </cell>
          <cell r="E96" t="str">
            <v>STAF DUKUNGAN BISNIS</v>
          </cell>
          <cell r="F96" t="str">
            <v>rudi.arfiansyah@bki.co.id</v>
          </cell>
          <cell r="G96" t="str">
            <v>0811 6641 641</v>
          </cell>
          <cell r="H96" t="str">
            <v>-</v>
          </cell>
          <cell r="I96">
            <v>0</v>
          </cell>
          <cell r="J96">
            <v>0</v>
          </cell>
        </row>
        <row r="97">
          <cell r="B97" t="str">
            <v>MARIHAT RIDHO SINAGA</v>
          </cell>
          <cell r="C97" t="str">
            <v>CABANG PRATAMA KLAS BELAWAN</v>
          </cell>
          <cell r="D97" t="str">
            <v>CABANG PRATAMA KLAS BELAWAN</v>
          </cell>
          <cell r="E97" t="str">
            <v>STAF DUKUNGAN BISNIS</v>
          </cell>
          <cell r="F97" t="str">
            <v>marihat.rs@bki.co.id</v>
          </cell>
          <cell r="G97" t="str">
            <v>082253379820</v>
          </cell>
          <cell r="H97" t="str">
            <v>-</v>
          </cell>
          <cell r="I97">
            <v>0</v>
          </cell>
          <cell r="J97">
            <v>0</v>
          </cell>
        </row>
        <row r="98">
          <cell r="B98" t="str">
            <v>SITI IQLIMA</v>
          </cell>
          <cell r="C98" t="str">
            <v>CABANG PRATAMA KLAS BELAWAN</v>
          </cell>
          <cell r="D98" t="str">
            <v>CABANG PRATAMA KLAS BELAWAN</v>
          </cell>
          <cell r="E98" t="str">
            <v>STAF DUKUNGAN BISNIS</v>
          </cell>
          <cell r="F98" t="str">
            <v>siti.iqlima@bki.co.id</v>
          </cell>
          <cell r="G98" t="str">
            <v>082261271714</v>
          </cell>
          <cell r="H98" t="str">
            <v>-</v>
          </cell>
          <cell r="I98">
            <v>0</v>
          </cell>
          <cell r="J98">
            <v>0</v>
          </cell>
        </row>
        <row r="99">
          <cell r="B99" t="str">
            <v>HASIDHIAN PRAYUDHI</v>
          </cell>
          <cell r="C99" t="str">
            <v>CABANG PRATAMA KLAS BITUNG</v>
          </cell>
          <cell r="D99" t="str">
            <v>CABANG PRATAMA KLAS BITUNG</v>
          </cell>
          <cell r="E99" t="str">
            <v>KEPALA CABANG PRATAMA KLAS BITUNG</v>
          </cell>
          <cell r="F99" t="str">
            <v>hprayudhi@bki.co.id</v>
          </cell>
          <cell r="G99" t="str">
            <v>085246377799</v>
          </cell>
          <cell r="H99" t="str">
            <v>6C</v>
          </cell>
          <cell r="I99">
            <v>0</v>
          </cell>
          <cell r="J99">
            <v>0</v>
          </cell>
        </row>
        <row r="100">
          <cell r="B100" t="str">
            <v>AGRIS SETYAWAN</v>
          </cell>
          <cell r="C100" t="str">
            <v>CABANG PRATAMA KLAS BITUNG</v>
          </cell>
          <cell r="D100" t="str">
            <v>CABANG PRATAMA KLAS BITUNG</v>
          </cell>
          <cell r="E100" t="str">
            <v>SURVEYOR SENIOR I A</v>
          </cell>
          <cell r="F100" t="str">
            <v>agris@bki.co.id</v>
          </cell>
          <cell r="G100" t="str">
            <v>081380964649</v>
          </cell>
          <cell r="H100" t="str">
            <v>6A</v>
          </cell>
          <cell r="I100">
            <v>250000</v>
          </cell>
          <cell r="J100">
            <v>1699127</v>
          </cell>
        </row>
        <row r="101">
          <cell r="B101" t="str">
            <v>ZUL FAJRIN AZDIN</v>
          </cell>
          <cell r="C101" t="str">
            <v>CABANG PRATAMA KLAS BITUNG</v>
          </cell>
          <cell r="D101" t="str">
            <v>CABANG PRATAMA KLAS BITUNG</v>
          </cell>
          <cell r="E101" t="str">
            <v>ADMINISTRATOR</v>
          </cell>
          <cell r="F101" t="str">
            <v>zul@bki.co.id</v>
          </cell>
          <cell r="G101" t="str">
            <v>085256283519</v>
          </cell>
          <cell r="H101" t="str">
            <v>2A</v>
          </cell>
          <cell r="I101">
            <v>150000</v>
          </cell>
          <cell r="J101">
            <v>2310813</v>
          </cell>
        </row>
        <row r="102">
          <cell r="B102" t="str">
            <v>ARYO SINGGIH</v>
          </cell>
          <cell r="C102" t="str">
            <v>CABANG PRATAMA KLAS BITUNG</v>
          </cell>
          <cell r="D102" t="str">
            <v>CABANG PRATAMA KLAS BITUNG</v>
          </cell>
          <cell r="E102" t="str">
            <v>SURVEYOR SENIOR I</v>
          </cell>
          <cell r="F102" t="str">
            <v>aryo@bki.co.id</v>
          </cell>
          <cell r="G102" t="str">
            <v>08122990883</v>
          </cell>
          <cell r="H102" t="str">
            <v>6C</v>
          </cell>
          <cell r="I102">
            <v>250000</v>
          </cell>
          <cell r="J102">
            <v>0</v>
          </cell>
        </row>
        <row r="103">
          <cell r="B103" t="str">
            <v>DARMA TODING</v>
          </cell>
          <cell r="C103" t="str">
            <v>CABANG PRATAMA KLAS BITUNG</v>
          </cell>
          <cell r="D103" t="str">
            <v>CABANG PRATAMA KLAS BITUNG</v>
          </cell>
          <cell r="E103" t="str">
            <v>INSPEKTUR</v>
          </cell>
          <cell r="F103" t="str">
            <v>darma.toding@bki.co.id</v>
          </cell>
          <cell r="G103" t="str">
            <v>08124303195</v>
          </cell>
          <cell r="H103" t="str">
            <v>5C</v>
          </cell>
          <cell r="I103">
            <v>0</v>
          </cell>
          <cell r="J103">
            <v>0</v>
          </cell>
        </row>
        <row r="104">
          <cell r="B104" t="str">
            <v>EDY SANTOSO SARIALLO M</v>
          </cell>
          <cell r="C104" t="str">
            <v>CABANG PRATAMA KLAS BITUNG</v>
          </cell>
          <cell r="D104" t="str">
            <v>CABANG PRATAMA KLAS BITUNG</v>
          </cell>
          <cell r="E104" t="str">
            <v xml:space="preserve">INSPEKTUR JUNIOR II </v>
          </cell>
          <cell r="F104" t="str">
            <v>edy.sariallo@bki.co.id</v>
          </cell>
          <cell r="G104">
            <v>0</v>
          </cell>
          <cell r="H104" t="str">
            <v>4C</v>
          </cell>
          <cell r="I104">
            <v>0</v>
          </cell>
          <cell r="J104">
            <v>0</v>
          </cell>
        </row>
        <row r="105">
          <cell r="B105" t="str">
            <v>AKHMAD WAHYUDI</v>
          </cell>
          <cell r="C105" t="str">
            <v>CABANG PRATAMA KLAS CIREBON</v>
          </cell>
          <cell r="D105" t="str">
            <v>CABANG PRATAMA KLAS CIREBON</v>
          </cell>
          <cell r="E105" t="str">
            <v>KEPALA CABANG PRATAMA KLAS CIREBON</v>
          </cell>
          <cell r="F105" t="str">
            <v>wahyudi@bki.co.id</v>
          </cell>
          <cell r="G105" t="str">
            <v>08121008904</v>
          </cell>
          <cell r="H105" t="str">
            <v>6C</v>
          </cell>
          <cell r="I105">
            <v>0</v>
          </cell>
          <cell r="J105">
            <v>0</v>
          </cell>
        </row>
        <row r="106">
          <cell r="B106" t="str">
            <v>DWI ARYANTO</v>
          </cell>
          <cell r="C106" t="str">
            <v>CABANG PRATAMA KLAS CIREBON</v>
          </cell>
          <cell r="D106" t="str">
            <v>CABANG PRATAMA KLAS CIREBON</v>
          </cell>
          <cell r="E106" t="str">
            <v>SURVEYOR</v>
          </cell>
          <cell r="F106" t="str">
            <v>dwi.aryanto@bki.co.id</v>
          </cell>
          <cell r="G106" t="str">
            <v>0857 0768 9695</v>
          </cell>
          <cell r="H106" t="str">
            <v>5C</v>
          </cell>
          <cell r="I106">
            <v>0</v>
          </cell>
          <cell r="J106">
            <v>0</v>
          </cell>
        </row>
        <row r="107">
          <cell r="B107" t="str">
            <v>RICKY YULIANTO</v>
          </cell>
          <cell r="C107" t="str">
            <v>CABANG PRATAMA KLAS CIREBON</v>
          </cell>
          <cell r="D107" t="str">
            <v>CABANG PRATAMA KLAS CIREBON</v>
          </cell>
          <cell r="E107" t="str">
            <v>ADMINISTRATOR SENIOR</v>
          </cell>
          <cell r="F107" t="str">
            <v>ricky@bki.co.id</v>
          </cell>
          <cell r="G107" t="str">
            <v>0812 3167 291</v>
          </cell>
          <cell r="H107" t="str">
            <v>3B</v>
          </cell>
          <cell r="I107">
            <v>0</v>
          </cell>
          <cell r="J107">
            <v>0</v>
          </cell>
        </row>
        <row r="108">
          <cell r="B108" t="str">
            <v>CHOIRUN CAHYOABDI</v>
          </cell>
          <cell r="C108" t="str">
            <v>CABANG PRATAMA KLAS CIREBON</v>
          </cell>
          <cell r="D108" t="str">
            <v>CABANG PRATAMA KLAS CIREBON</v>
          </cell>
          <cell r="E108" t="str">
            <v>SURVEYOR</v>
          </cell>
          <cell r="F108" t="str">
            <v>choironcahyo@bki.co.id</v>
          </cell>
          <cell r="G108" t="str">
            <v>0857 1171 1841</v>
          </cell>
          <cell r="H108" t="str">
            <v>5C</v>
          </cell>
          <cell r="I108">
            <v>150000</v>
          </cell>
          <cell r="J108">
            <v>0</v>
          </cell>
        </row>
        <row r="109">
          <cell r="B109" t="str">
            <v>ANDI FIRMANSYAH</v>
          </cell>
          <cell r="C109" t="str">
            <v>CABANG PRATAMA KLAS CIREBON</v>
          </cell>
          <cell r="D109" t="str">
            <v>CABANG PRATAMA KLAS CIREBON</v>
          </cell>
          <cell r="E109" t="str">
            <v xml:space="preserve">INSPEKTUR JUNIOR I  </v>
          </cell>
          <cell r="F109" t="str">
            <v>andi.firmansyah@bki.co.id</v>
          </cell>
          <cell r="G109" t="str">
            <v>081242899222</v>
          </cell>
          <cell r="H109" t="str">
            <v>3C</v>
          </cell>
          <cell r="I109">
            <v>0</v>
          </cell>
          <cell r="J109">
            <v>0</v>
          </cell>
        </row>
        <row r="110">
          <cell r="B110" t="str">
            <v>IKHSAN ISMAIL</v>
          </cell>
          <cell r="C110" t="str">
            <v>CABANG PRATAMA KLAS CIREBON</v>
          </cell>
          <cell r="D110" t="str">
            <v>CABANG PRATAMA KLAS CIREBON</v>
          </cell>
          <cell r="E110" t="str">
            <v xml:space="preserve">INSPEKTUR JUNIOR II </v>
          </cell>
          <cell r="F110" t="str">
            <v>ikhsan@bki.co.id</v>
          </cell>
          <cell r="G110" t="str">
            <v>0812 2167 6711</v>
          </cell>
          <cell r="H110" t="str">
            <v>4C</v>
          </cell>
          <cell r="I110">
            <v>0</v>
          </cell>
          <cell r="J110">
            <v>0</v>
          </cell>
        </row>
        <row r="111">
          <cell r="B111" t="str">
            <v>BERNADUS BAYUAJI WIRABUANA</v>
          </cell>
          <cell r="C111" t="str">
            <v>CABANG PRATAMA KLAS CIREBON</v>
          </cell>
          <cell r="D111" t="str">
            <v>CABANG PRATAMA KLAS CIREBON</v>
          </cell>
          <cell r="E111" t="str">
            <v xml:space="preserve">INSPEKTUR JUNIOR I  </v>
          </cell>
          <cell r="F111" t="str">
            <v>bayu.aw@bki.co.id</v>
          </cell>
          <cell r="G111" t="str">
            <v/>
          </cell>
          <cell r="H111" t="str">
            <v>3C</v>
          </cell>
          <cell r="I111">
            <v>0</v>
          </cell>
          <cell r="J111">
            <v>0</v>
          </cell>
        </row>
        <row r="112">
          <cell r="B112" t="str">
            <v>LADY AGUSTINE AMALIYA</v>
          </cell>
          <cell r="C112" t="str">
            <v>CABANG PRATAMA KLAS CIREBON</v>
          </cell>
          <cell r="D112" t="str">
            <v>CABANG PRATAMA KLAS CIREBON</v>
          </cell>
          <cell r="E112" t="str">
            <v>STAF DUKUNGAN BISNIS</v>
          </cell>
          <cell r="F112" t="str">
            <v>lady.agustine@bki.co.id</v>
          </cell>
          <cell r="G112" t="str">
            <v>08128392434</v>
          </cell>
          <cell r="H112" t="str">
            <v>-</v>
          </cell>
          <cell r="I112">
            <v>0</v>
          </cell>
          <cell r="J112">
            <v>0</v>
          </cell>
        </row>
        <row r="113">
          <cell r="B113" t="str">
            <v>IZZUDIN AKBAR AL FARABI</v>
          </cell>
          <cell r="C113" t="str">
            <v>CABANG PRATAMA KLAS CIREBON</v>
          </cell>
          <cell r="D113" t="str">
            <v>CABANG PRATAMA KLAS CIREBON</v>
          </cell>
          <cell r="E113" t="str">
            <v xml:space="preserve">Staf Administrasi Operasional </v>
          </cell>
          <cell r="F113" t="str">
            <v>izzuddin.akbar@bki.co.id</v>
          </cell>
          <cell r="G113" t="str">
            <v>085156015638</v>
          </cell>
          <cell r="H113" t="str">
            <v>-</v>
          </cell>
          <cell r="I113">
            <v>0</v>
          </cell>
          <cell r="J113">
            <v>0</v>
          </cell>
        </row>
        <row r="114">
          <cell r="B114" t="str">
            <v>RISKY HARI PRASETYO</v>
          </cell>
          <cell r="C114" t="str">
            <v>CABANG PRATAMA KLAS JAMBI</v>
          </cell>
          <cell r="D114" t="str">
            <v>CABANG PRATAMA KLAS JAMBI</v>
          </cell>
          <cell r="E114" t="str">
            <v>SURVEYOR</v>
          </cell>
          <cell r="F114" t="str">
            <v>risky.hp@bki.co.id</v>
          </cell>
          <cell r="G114" t="str">
            <v>0821 1133 3366</v>
          </cell>
          <cell r="H114" t="str">
            <v>5C</v>
          </cell>
          <cell r="I114">
            <v>0</v>
          </cell>
          <cell r="J114">
            <v>0</v>
          </cell>
        </row>
        <row r="115">
          <cell r="B115" t="str">
            <v>YULIAN ARPIANTO</v>
          </cell>
          <cell r="C115" t="str">
            <v>CABANG PRATAMA KLAS JAMBI</v>
          </cell>
          <cell r="D115" t="str">
            <v>CABANG PRATAMA KLAS JAMBI</v>
          </cell>
          <cell r="E115" t="str">
            <v>KEPALA CABANG PRATAMA KLAS JAMBI</v>
          </cell>
          <cell r="F115" t="str">
            <v>yulian@bki.co.id</v>
          </cell>
          <cell r="G115" t="str">
            <v>085217089917</v>
          </cell>
          <cell r="H115" t="str">
            <v>6C</v>
          </cell>
          <cell r="I115">
            <v>350000</v>
          </cell>
          <cell r="J115">
            <v>0</v>
          </cell>
        </row>
        <row r="116">
          <cell r="B116" t="str">
            <v>SULTAN ABBAS DANGKENG</v>
          </cell>
          <cell r="C116" t="str">
            <v>CABANG PRATAMA KLAS JAMBI</v>
          </cell>
          <cell r="D116" t="str">
            <v>CABANG PRATAMA KLAS JAMBI</v>
          </cell>
          <cell r="E116" t="str">
            <v xml:space="preserve">INSPEKTUR JUNIOR II </v>
          </cell>
          <cell r="F116" t="str">
            <v>sultan@bki.co.id</v>
          </cell>
          <cell r="G116" t="str">
            <v>082392184081</v>
          </cell>
          <cell r="H116" t="str">
            <v>4C</v>
          </cell>
          <cell r="I116">
            <v>0</v>
          </cell>
          <cell r="J116">
            <v>0</v>
          </cell>
        </row>
        <row r="117">
          <cell r="B117" t="str">
            <v>EDI ZULKARNAIN</v>
          </cell>
          <cell r="C117" t="str">
            <v>CABANG PRATAMA KLAS JAMBI</v>
          </cell>
          <cell r="D117" t="str">
            <v>CABANG PRATAMA KLAS JAMBI</v>
          </cell>
          <cell r="E117" t="str">
            <v xml:space="preserve">INSPEKTUR JUNIOR II </v>
          </cell>
          <cell r="F117" t="str">
            <v>edi.zulkarnain@bki.co.id</v>
          </cell>
          <cell r="G117" t="str">
            <v>081277778775</v>
          </cell>
          <cell r="H117" t="str">
            <v>4C</v>
          </cell>
          <cell r="I117">
            <v>0</v>
          </cell>
          <cell r="J117">
            <v>0</v>
          </cell>
        </row>
        <row r="118">
          <cell r="B118" t="str">
            <v>M IBNU ROHIM</v>
          </cell>
          <cell r="C118" t="str">
            <v>CABANG PRATAMA KLAS JAMBI</v>
          </cell>
          <cell r="D118" t="str">
            <v>CABANG PRATAMA KLAS JAMBI</v>
          </cell>
          <cell r="E118" t="str">
            <v>STAF OPERASIONAL &amp; UMUM</v>
          </cell>
          <cell r="F118" t="str">
            <v>Ibnu.Rohim@bki.co.id</v>
          </cell>
          <cell r="G118">
            <v>0</v>
          </cell>
          <cell r="H118" t="str">
            <v>-</v>
          </cell>
          <cell r="I118">
            <v>0</v>
          </cell>
          <cell r="J118">
            <v>0</v>
          </cell>
        </row>
        <row r="119">
          <cell r="B119" t="str">
            <v>NORA OKTAVIA</v>
          </cell>
          <cell r="C119" t="str">
            <v>CABANG PRATAMA KLAS JAMBI</v>
          </cell>
          <cell r="D119" t="str">
            <v>CABANG PRATAMA KLAS JAMBI</v>
          </cell>
          <cell r="E119" t="str">
            <v>STAF DUKUNGAN BISNIS</v>
          </cell>
          <cell r="F119" t="str">
            <v>nora.oktavia@bki.co.id</v>
          </cell>
          <cell r="G119" t="str">
            <v>082280641426</v>
          </cell>
          <cell r="H119" t="str">
            <v>-</v>
          </cell>
          <cell r="I119">
            <v>0</v>
          </cell>
          <cell r="J119">
            <v>0</v>
          </cell>
        </row>
        <row r="120">
          <cell r="B120" t="str">
            <v>SULASMAN</v>
          </cell>
          <cell r="C120" t="str">
            <v>CABANG PRATAMA KLAS MAKASSAR</v>
          </cell>
          <cell r="D120" t="str">
            <v>CABANG PRATAMA KLAS MAKASSAR</v>
          </cell>
          <cell r="E120" t="str">
            <v>KEPALA CABANG PRATAMA KLAS MAKASSAR</v>
          </cell>
          <cell r="F120" t="str">
            <v>sulasman@bki.co.id</v>
          </cell>
          <cell r="G120" t="str">
            <v>081231800046</v>
          </cell>
          <cell r="H120" t="str">
            <v>6C</v>
          </cell>
          <cell r="I120">
            <v>250000</v>
          </cell>
          <cell r="J120">
            <v>0</v>
          </cell>
        </row>
        <row r="121">
          <cell r="B121" t="str">
            <v>MUH. ASQAR</v>
          </cell>
          <cell r="C121" t="str">
            <v>CABANG PRATAMA KLAS MAKASSAR</v>
          </cell>
          <cell r="D121" t="str">
            <v>CABANG PRATAMA KLAS MAKASSAR</v>
          </cell>
          <cell r="E121" t="str">
            <v>SURVEYOR SENIOR I A</v>
          </cell>
          <cell r="F121" t="str">
            <v>asqar@bki.co.id</v>
          </cell>
          <cell r="G121" t="str">
            <v>085255663280</v>
          </cell>
          <cell r="H121" t="str">
            <v>6A</v>
          </cell>
          <cell r="I121">
            <v>150000</v>
          </cell>
          <cell r="J121">
            <v>0</v>
          </cell>
        </row>
        <row r="122">
          <cell r="B122" t="str">
            <v>ARDIANSYAH DAHLAN</v>
          </cell>
          <cell r="C122" t="str">
            <v>CABANG PRATAMA KLAS MAKASSAR</v>
          </cell>
          <cell r="D122" t="str">
            <v>CABANG PRATAMA KLAS MAKASSAR</v>
          </cell>
          <cell r="E122" t="str">
            <v>SURVEYOR CABANG PRATAMA KLAS MAKASSAR YANG DITEMPATKAN DI KENDARI</v>
          </cell>
          <cell r="F122" t="str">
            <v>ardiansyah.dahlan@bki.co.id</v>
          </cell>
          <cell r="G122" t="str">
            <v>0812 8546 8390</v>
          </cell>
          <cell r="H122" t="str">
            <v>5C</v>
          </cell>
          <cell r="I122">
            <v>0</v>
          </cell>
          <cell r="J122">
            <v>0</v>
          </cell>
        </row>
        <row r="123">
          <cell r="B123" t="str">
            <v>HAMSAH</v>
          </cell>
          <cell r="C123" t="str">
            <v>CABANG PRATAMA KLAS MAKASSAR</v>
          </cell>
          <cell r="D123" t="str">
            <v>CABANG PRATAMA KLAS MAKASSAR</v>
          </cell>
          <cell r="E123" t="str">
            <v>ADMINISTRATOR</v>
          </cell>
          <cell r="F123" t="str">
            <v>hamsah@bki.co.id</v>
          </cell>
          <cell r="G123" t="str">
            <v>081342735471</v>
          </cell>
          <cell r="H123" t="str">
            <v>2A</v>
          </cell>
          <cell r="I123">
            <v>0</v>
          </cell>
          <cell r="J123">
            <v>0</v>
          </cell>
        </row>
        <row r="124">
          <cell r="B124" t="str">
            <v>ILHAM SYAHRIR</v>
          </cell>
          <cell r="C124" t="str">
            <v>CABANG PRATAMA KLAS MAKASSAR</v>
          </cell>
          <cell r="D124" t="str">
            <v>CABANG PRATAMA KLAS MAKASSAR</v>
          </cell>
          <cell r="E124" t="str">
            <v>SURVEYOR SENIOR I A CABANG PRATAMA KLAS MAKASSAR YANG DITEMPATKAN DI KENDARI</v>
          </cell>
          <cell r="F124" t="str">
            <v>ilham@bki.co.id</v>
          </cell>
          <cell r="G124" t="str">
            <v>081316678567</v>
          </cell>
          <cell r="H124" t="str">
            <v>6A</v>
          </cell>
          <cell r="I124">
            <v>250000</v>
          </cell>
          <cell r="J124">
            <v>0</v>
          </cell>
        </row>
        <row r="125">
          <cell r="B125" t="str">
            <v>MUHIBBUDDIN</v>
          </cell>
          <cell r="C125" t="str">
            <v>CABANG PRATAMA KLAS MAKASSAR</v>
          </cell>
          <cell r="D125" t="str">
            <v>CABANG PRATAMA KLAS MAKASSAR</v>
          </cell>
          <cell r="E125" t="str">
            <v>SURVEYOR SENIOR I A</v>
          </cell>
          <cell r="F125" t="str">
            <v>muhibuddin@bki.co.id</v>
          </cell>
          <cell r="G125" t="str">
            <v>081364908269</v>
          </cell>
          <cell r="H125" t="str">
            <v>6A</v>
          </cell>
          <cell r="I125">
            <v>0</v>
          </cell>
          <cell r="J125">
            <v>0</v>
          </cell>
        </row>
        <row r="126">
          <cell r="B126" t="str">
            <v>MIFTAH FARIDY</v>
          </cell>
          <cell r="C126" t="str">
            <v>CABANG PRATAMA KLAS MAKASSAR</v>
          </cell>
          <cell r="D126" t="str">
            <v>CABANG PRATAMA KLAS MAKASSAR</v>
          </cell>
          <cell r="E126" t="str">
            <v>SURVEYOR SENIOR I B</v>
          </cell>
          <cell r="F126" t="str">
            <v>miftah.faridy@bki.co.id</v>
          </cell>
          <cell r="G126" t="str">
            <v>081268191001</v>
          </cell>
          <cell r="H126" t="str">
            <v>6B</v>
          </cell>
          <cell r="I126">
            <v>250000</v>
          </cell>
          <cell r="J126">
            <v>0</v>
          </cell>
        </row>
        <row r="127">
          <cell r="B127" t="str">
            <v>ANGGRAENI DWI RIYANTI</v>
          </cell>
          <cell r="C127" t="str">
            <v>CABANG PRATAMA KLAS MAKASSAR</v>
          </cell>
          <cell r="D127" t="str">
            <v>CABANG PRATAMA KLAS MAKASSAR</v>
          </cell>
          <cell r="E127" t="str">
            <v>STAF DUKUNGAN BISNIS</v>
          </cell>
          <cell r="F127" t="str">
            <v>anggraeni.dr@bki.co.id</v>
          </cell>
          <cell r="G127">
            <v>0</v>
          </cell>
          <cell r="H127" t="str">
            <v>-</v>
          </cell>
          <cell r="I127">
            <v>0</v>
          </cell>
          <cell r="J127">
            <v>0</v>
          </cell>
        </row>
        <row r="128">
          <cell r="B128" t="str">
            <v>FAJAR NUGRAHA</v>
          </cell>
          <cell r="C128" t="str">
            <v>CABANG PRATAMA KLAS SEMARANG</v>
          </cell>
          <cell r="D128" t="str">
            <v>CABANG PRATAMA KLAS SEMARANG</v>
          </cell>
          <cell r="E128" t="str">
            <v>SURVEYOR</v>
          </cell>
          <cell r="F128" t="str">
            <v>fajar.np@bki.co.id</v>
          </cell>
          <cell r="G128" t="str">
            <v>0812 8849 8757</v>
          </cell>
          <cell r="H128" t="str">
            <v>5C</v>
          </cell>
          <cell r="I128">
            <v>250000</v>
          </cell>
          <cell r="J128">
            <v>0</v>
          </cell>
        </row>
        <row r="129">
          <cell r="B129" t="str">
            <v>ANDREW CRISTIANT PRAMUSINTA</v>
          </cell>
          <cell r="C129" t="str">
            <v>CABANG PRATAMA KLAS SEMARANG</v>
          </cell>
          <cell r="D129" t="str">
            <v>CABANG PRATAMA KLAS SEMARANG</v>
          </cell>
          <cell r="E129" t="str">
            <v>SURVEYOR</v>
          </cell>
          <cell r="F129" t="str">
            <v>andrew.cp@bki.co.id</v>
          </cell>
          <cell r="G129" t="str">
            <v>0812 3057 6267</v>
          </cell>
          <cell r="H129" t="str">
            <v>5C</v>
          </cell>
          <cell r="I129">
            <v>0</v>
          </cell>
          <cell r="J129">
            <v>0</v>
          </cell>
        </row>
        <row r="130">
          <cell r="B130" t="str">
            <v>RINTO YANUAR WIJANARKO</v>
          </cell>
          <cell r="C130" t="str">
            <v>CABANG PRATAMA KLAS SEMARANG</v>
          </cell>
          <cell r="D130" t="str">
            <v>CABANG PRATAMA KLAS SEMARANG</v>
          </cell>
          <cell r="E130" t="str">
            <v>ADMINISTRATOR</v>
          </cell>
          <cell r="F130" t="str">
            <v>rinto@bki.co.id</v>
          </cell>
          <cell r="G130" t="str">
            <v>081225382328</v>
          </cell>
          <cell r="H130" t="str">
            <v>2A</v>
          </cell>
          <cell r="I130">
            <v>0</v>
          </cell>
          <cell r="J130">
            <v>0</v>
          </cell>
        </row>
        <row r="131">
          <cell r="B131" t="str">
            <v>SUPRIYANTO</v>
          </cell>
          <cell r="C131" t="str">
            <v>CABANG PRATAMA KLAS SEMARANG</v>
          </cell>
          <cell r="D131" t="str">
            <v>CABANG PRATAMA KLAS SEMARANG</v>
          </cell>
          <cell r="E131" t="str">
            <v>SUPIR</v>
          </cell>
          <cell r="F131" t="str">
            <v>supriyanto@bki.co.id</v>
          </cell>
          <cell r="G131" t="str">
            <v>081326147808</v>
          </cell>
          <cell r="H131" t="str">
            <v>1A</v>
          </cell>
          <cell r="I131">
            <v>0</v>
          </cell>
          <cell r="J131">
            <v>0</v>
          </cell>
        </row>
        <row r="132">
          <cell r="B132" t="str">
            <v>REVIOLITA</v>
          </cell>
          <cell r="C132" t="str">
            <v>CABANG PRATAMA KLAS SEMARANG</v>
          </cell>
          <cell r="D132" t="str">
            <v>CABANG PRATAMA KLAS SEMARANG</v>
          </cell>
          <cell r="E132" t="str">
            <v>ADMINISTRATOR SENIOR</v>
          </cell>
          <cell r="F132" t="str">
            <v>reviolita@bki.co.id</v>
          </cell>
          <cell r="G132" t="str">
            <v>081225279466</v>
          </cell>
          <cell r="H132" t="str">
            <v>3B</v>
          </cell>
          <cell r="I132">
            <v>0</v>
          </cell>
          <cell r="J132">
            <v>0</v>
          </cell>
        </row>
        <row r="133">
          <cell r="B133" t="str">
            <v>HANIEF RIDHWAN ALMASSAWA</v>
          </cell>
          <cell r="C133" t="str">
            <v>CABANG PRATAMA KLAS SEMARANG</v>
          </cell>
          <cell r="D133" t="str">
            <v>CABANG PRATAMA KLAS SEMARANG</v>
          </cell>
          <cell r="E133" t="str">
            <v>KEPALA CABANG PRATAMA KLAS SEMARANG</v>
          </cell>
          <cell r="F133" t="str">
            <v>hanief@bki.co.id</v>
          </cell>
          <cell r="G133" t="str">
            <v>0811 1776 525</v>
          </cell>
          <cell r="H133" t="str">
            <v>6C</v>
          </cell>
          <cell r="I133">
            <v>0</v>
          </cell>
          <cell r="J133">
            <v>0</v>
          </cell>
        </row>
        <row r="134">
          <cell r="B134" t="str">
            <v>BAMBANG SAPRIANTO</v>
          </cell>
          <cell r="C134" t="str">
            <v>CABANG PRATAMA KLAS SORONG</v>
          </cell>
          <cell r="D134" t="str">
            <v>CABANG PRATAMA KLAS SORONG</v>
          </cell>
          <cell r="E134" t="str">
            <v>OPERATOR PENGUJIAN</v>
          </cell>
          <cell r="F134" t="str">
            <v>bambang.saprianto@bki.co.id</v>
          </cell>
          <cell r="G134" t="str">
            <v>081347704414</v>
          </cell>
          <cell r="H134" t="str">
            <v>3A</v>
          </cell>
          <cell r="I134">
            <v>0</v>
          </cell>
          <cell r="J134">
            <v>0</v>
          </cell>
        </row>
        <row r="135">
          <cell r="B135" t="str">
            <v>MUHAMMAD YUSUF</v>
          </cell>
          <cell r="C135" t="str">
            <v>CABANG PRATAMA KLAS SORONG</v>
          </cell>
          <cell r="D135" t="str">
            <v>CABANG PRATAMA KLAS SORONG</v>
          </cell>
          <cell r="E135" t="str">
            <v>ADMINISTRATOR SENIOR</v>
          </cell>
          <cell r="F135" t="str">
            <v>muhammad.yusuf@bki.co.id</v>
          </cell>
          <cell r="G135" t="str">
            <v>0811483454</v>
          </cell>
          <cell r="H135" t="str">
            <v>3B</v>
          </cell>
          <cell r="I135">
            <v>0</v>
          </cell>
          <cell r="J135">
            <v>0</v>
          </cell>
        </row>
        <row r="136">
          <cell r="B136" t="str">
            <v>MUHAMMAD HATTA</v>
          </cell>
          <cell r="C136" t="str">
            <v>CABANG PRATAMA KLAS SORONG</v>
          </cell>
          <cell r="D136" t="str">
            <v>CABANG PRATAMA KLAS SORONG</v>
          </cell>
          <cell r="E136" t="str">
            <v>SUPIR</v>
          </cell>
          <cell r="F136" t="str">
            <v>hatta@bki.co.id</v>
          </cell>
          <cell r="G136">
            <v>0</v>
          </cell>
          <cell r="H136" t="str">
            <v>1A</v>
          </cell>
          <cell r="I136">
            <v>0</v>
          </cell>
          <cell r="J136">
            <v>0</v>
          </cell>
        </row>
        <row r="137">
          <cell r="B137" t="str">
            <v>MUHAMMAD ICHSAN</v>
          </cell>
          <cell r="C137" t="str">
            <v>CABANG PRATAMA KLAS SORONG</v>
          </cell>
          <cell r="D137" t="str">
            <v>CABANG PRATAMA KLAS SORONG</v>
          </cell>
          <cell r="E137" t="str">
            <v>KEPALA CABANG PRATAMA KLAS SORONG</v>
          </cell>
          <cell r="F137" t="str">
            <v>ichsan@bki.co.id</v>
          </cell>
          <cell r="G137" t="str">
            <v>0813 5530 3501</v>
          </cell>
          <cell r="H137" t="str">
            <v>6C</v>
          </cell>
          <cell r="I137">
            <v>0</v>
          </cell>
          <cell r="J137">
            <v>0</v>
          </cell>
        </row>
        <row r="138">
          <cell r="B138" t="str">
            <v>IWAN KARUNIA SIRINGORINGO</v>
          </cell>
          <cell r="C138" t="str">
            <v>CABANG PRATAMA KLAS SORONG</v>
          </cell>
          <cell r="D138" t="str">
            <v>CABANG PRATAMA KLAS SORONG</v>
          </cell>
          <cell r="E138" t="str">
            <v>SURVEYOR SENIOR I A</v>
          </cell>
          <cell r="F138" t="str">
            <v>ringgo@bki.co.id</v>
          </cell>
          <cell r="G138" t="str">
            <v>081332301979</v>
          </cell>
          <cell r="H138" t="str">
            <v>6A</v>
          </cell>
          <cell r="I138">
            <v>0</v>
          </cell>
          <cell r="J138">
            <v>0</v>
          </cell>
        </row>
        <row r="139">
          <cell r="B139" t="str">
            <v>MUH. MUSYFINUL AKRAAM</v>
          </cell>
          <cell r="C139" t="str">
            <v>CABANG PRATAMA KLAS SORONG</v>
          </cell>
          <cell r="D139" t="str">
            <v>CABANG PRATAMA KLAS SORONG</v>
          </cell>
          <cell r="E139" t="str">
            <v xml:space="preserve">INSPEKTUR JUNIOR I  </v>
          </cell>
          <cell r="F139" t="str">
            <v>musyfinul.akraam@bki.co.id</v>
          </cell>
          <cell r="G139" t="str">
            <v/>
          </cell>
          <cell r="H139" t="str">
            <v>3C</v>
          </cell>
          <cell r="I139">
            <v>0</v>
          </cell>
          <cell r="J139">
            <v>0</v>
          </cell>
        </row>
        <row r="140">
          <cell r="B140" t="str">
            <v>PAOJI PATRIA</v>
          </cell>
          <cell r="C140" t="str">
            <v>CABANG PRATAMA KLAS SORONG</v>
          </cell>
          <cell r="D140" t="str">
            <v>CABANG PRATAMA KLAS SORONG</v>
          </cell>
          <cell r="E140" t="str">
            <v>SURVEYOR JUNIOR</v>
          </cell>
          <cell r="F140" t="str">
            <v>paoji.pa@bki.co.id</v>
          </cell>
          <cell r="H140" t="str">
            <v>4C</v>
          </cell>
          <cell r="I140">
            <v>0</v>
          </cell>
          <cell r="J140">
            <v>0</v>
          </cell>
        </row>
        <row r="141">
          <cell r="B141" t="str">
            <v>ARINDA DWI KUSUMASTUTI</v>
          </cell>
          <cell r="C141" t="str">
            <v>CABANG PRATAMA KLAS SORONG</v>
          </cell>
          <cell r="D141" t="str">
            <v>CABANG PRATAMA KLAS SORONG</v>
          </cell>
          <cell r="E141" t="str">
            <v>STAF ADMINISTRASI</v>
          </cell>
          <cell r="F141" t="str">
            <v>arinda.dk@bki.co.id</v>
          </cell>
          <cell r="G141" t="str">
            <v>085743659984</v>
          </cell>
          <cell r="H141" t="str">
            <v>-</v>
          </cell>
          <cell r="I141">
            <v>0</v>
          </cell>
          <cell r="J141">
            <v>0</v>
          </cell>
        </row>
        <row r="142">
          <cell r="B142" t="str">
            <v>ANANDA NURAFIFAH ANGRAENI</v>
          </cell>
          <cell r="C142" t="str">
            <v>CABANG PRATAMA KLAS SORONG</v>
          </cell>
          <cell r="D142" t="str">
            <v>CABANG PRATAMA KLAS SORONG</v>
          </cell>
          <cell r="E142" t="str">
            <v>STAF OPERASIONAL</v>
          </cell>
          <cell r="F142" t="str">
            <v>anandanurafifah@bki.co.id</v>
          </cell>
          <cell r="H142" t="str">
            <v>-</v>
          </cell>
          <cell r="I142">
            <v>0</v>
          </cell>
          <cell r="J142">
            <v>0</v>
          </cell>
        </row>
        <row r="143">
          <cell r="B143" t="str">
            <v>RYAN HANGGA SRI WIJIHARTO</v>
          </cell>
          <cell r="C143" t="str">
            <v>CABANG PRATAMA KOMERSIL BANJARMASIN</v>
          </cell>
          <cell r="D143" t="str">
            <v>CABANG PRATAMA KOMERSIL BANJARMASIN</v>
          </cell>
          <cell r="E143" t="str">
            <v>KEPALA CABANG PRATAMA KOMERSIL BANJARMASIN</v>
          </cell>
          <cell r="F143" t="str">
            <v>ryan.hangga@bki.co.id</v>
          </cell>
          <cell r="G143" t="str">
            <v>082111044424</v>
          </cell>
          <cell r="H143" t="str">
            <v>6C</v>
          </cell>
          <cell r="I143">
            <v>100000</v>
          </cell>
          <cell r="J143">
            <v>0</v>
          </cell>
        </row>
        <row r="144">
          <cell r="B144" t="str">
            <v>MUHAMMAD ADAM FUDHOLI</v>
          </cell>
          <cell r="C144" t="str">
            <v>CABANG PRATAMA KOMERSIL BANJARMASIN</v>
          </cell>
          <cell r="D144" t="str">
            <v>CABANG PRATAMA KOMERSIL BANJARMASIN</v>
          </cell>
          <cell r="E144" t="str">
            <v xml:space="preserve">INSPEKTUR JUNIOR I  </v>
          </cell>
          <cell r="F144" t="str">
            <v>muhammad.fudholi@bki.co.id</v>
          </cell>
          <cell r="G144" t="str">
            <v>0821 5771 9970</v>
          </cell>
          <cell r="H144" t="str">
            <v>3C</v>
          </cell>
          <cell r="I144">
            <v>0</v>
          </cell>
          <cell r="J144">
            <v>0</v>
          </cell>
        </row>
        <row r="145">
          <cell r="B145" t="str">
            <v>MOH. QOMARUZ ZAMAN</v>
          </cell>
          <cell r="C145" t="str">
            <v>CABANG PRATAMA KOMERSIL BANJARMASIN</v>
          </cell>
          <cell r="D145" t="str">
            <v>CABANG PRATAMA KOMERSIL BANJARMASIN</v>
          </cell>
          <cell r="E145" t="str">
            <v>INSPEKTUR</v>
          </cell>
          <cell r="F145" t="str">
            <v>qomaruz@bki.co.id</v>
          </cell>
          <cell r="G145">
            <v>0</v>
          </cell>
          <cell r="H145" t="str">
            <v>5C</v>
          </cell>
          <cell r="I145">
            <v>0</v>
          </cell>
          <cell r="J145">
            <v>0</v>
          </cell>
        </row>
        <row r="146">
          <cell r="B146" t="str">
            <v>BAMBANG TRI NUGROHO</v>
          </cell>
          <cell r="C146" t="str">
            <v>CABANG PRATAMA KOMERSIL BANJARMASIN</v>
          </cell>
          <cell r="D146" t="str">
            <v>CABANG PRATAMA KOMERSIL BANJARMASIN</v>
          </cell>
          <cell r="E146" t="str">
            <v xml:space="preserve">INSPEKTUR JUNIOR I  </v>
          </cell>
          <cell r="F146" t="str">
            <v>bambang.tn@bki.co.id</v>
          </cell>
          <cell r="G146" t="str">
            <v>082311541504</v>
          </cell>
          <cell r="H146" t="str">
            <v>3C</v>
          </cell>
          <cell r="I146">
            <v>150000</v>
          </cell>
          <cell r="J146">
            <v>0</v>
          </cell>
        </row>
        <row r="147">
          <cell r="B147" t="str">
            <v>NANCY OCTAVIA L. TORUAN</v>
          </cell>
          <cell r="C147" t="str">
            <v>CABANG PRATAMA KOMERSIL BANJARMASIN</v>
          </cell>
          <cell r="D147" t="str">
            <v>CABANG PRATAMA KOMERSIL BANJARMASIN</v>
          </cell>
          <cell r="E147" t="str">
            <v>ADMINISTRATOR</v>
          </cell>
          <cell r="F147" t="str">
            <v>nancy.toruan@bki.co.id</v>
          </cell>
          <cell r="G147" t="str">
            <v>081256860088</v>
          </cell>
          <cell r="H147" t="str">
            <v>2A</v>
          </cell>
          <cell r="I147">
            <v>0</v>
          </cell>
          <cell r="J147">
            <v>0</v>
          </cell>
        </row>
        <row r="148">
          <cell r="B148" t="str">
            <v>BOYNI FITHALOKA</v>
          </cell>
          <cell r="C148" t="str">
            <v>CABANG PRATAMA KOMERSIL BANTEN</v>
          </cell>
          <cell r="D148" t="str">
            <v>CABANG PRATAMA KOMERSIL BANTEN</v>
          </cell>
          <cell r="E148" t="str">
            <v xml:space="preserve">INSPEKTUR JUNIOR I  </v>
          </cell>
          <cell r="F148" t="str">
            <v>Boyni.Fithaloka@bki.co.id</v>
          </cell>
          <cell r="G148" t="str">
            <v>081360088007</v>
          </cell>
          <cell r="H148" t="str">
            <v>3C</v>
          </cell>
          <cell r="I148">
            <v>0</v>
          </cell>
          <cell r="J148">
            <v>0</v>
          </cell>
        </row>
        <row r="149">
          <cell r="B149" t="str">
            <v>MOH. NOOR KHOLIS</v>
          </cell>
          <cell r="C149" t="str">
            <v>CABANG PRATAMA KOMERSIL BANTEN</v>
          </cell>
          <cell r="D149" t="str">
            <v>CABANG PRATAMA KOMERSIL BANTEN</v>
          </cell>
          <cell r="E149" t="str">
            <v xml:space="preserve">INSPEKTUR JUNIOR II </v>
          </cell>
          <cell r="F149" t="str">
            <v>noor.kholis@bki.co.id</v>
          </cell>
          <cell r="G149" t="str">
            <v>085212431477</v>
          </cell>
          <cell r="H149" t="str">
            <v>4C</v>
          </cell>
          <cell r="I149">
            <v>150000</v>
          </cell>
          <cell r="J149">
            <v>0</v>
          </cell>
        </row>
        <row r="150">
          <cell r="B150" t="str">
            <v>MUHAMMAD ARAFAH</v>
          </cell>
          <cell r="C150" t="str">
            <v>CABANG PRATAMA KOMERSIL BANTEN</v>
          </cell>
          <cell r="D150" t="str">
            <v>CABANG PRATAMA KOMERSIL BANTEN</v>
          </cell>
          <cell r="E150" t="str">
            <v>KEPALA CABANG PRATAMA KOMERSIL BANTEN</v>
          </cell>
          <cell r="F150" t="str">
            <v>arafah@bki.co.id</v>
          </cell>
          <cell r="G150" t="str">
            <v>08125434385</v>
          </cell>
          <cell r="H150" t="str">
            <v>6C</v>
          </cell>
          <cell r="I150">
            <v>450000</v>
          </cell>
          <cell r="J150">
            <v>0</v>
          </cell>
        </row>
        <row r="151">
          <cell r="B151" t="str">
            <v>OKI DWI ANGGORO</v>
          </cell>
          <cell r="C151" t="str">
            <v>CABANG PRATAMA KOMERSIL BELAWAN</v>
          </cell>
          <cell r="D151" t="str">
            <v>CABANG PRATAMA KOMERSIL BELAWAN</v>
          </cell>
          <cell r="E151" t="str">
            <v xml:space="preserve">INSPEKTUR JUNIOR I  </v>
          </cell>
          <cell r="F151" t="str">
            <v>oki@bki.co.id</v>
          </cell>
          <cell r="G151" t="str">
            <v>0813 7442 6809</v>
          </cell>
          <cell r="H151" t="str">
            <v>3C</v>
          </cell>
          <cell r="I151">
            <v>150000</v>
          </cell>
          <cell r="J151">
            <v>0</v>
          </cell>
        </row>
        <row r="152">
          <cell r="B152" t="str">
            <v>YUSRI TOMBANG</v>
          </cell>
          <cell r="C152" t="str">
            <v>CABANG PRATAMA KOMERSIL BELAWAN</v>
          </cell>
          <cell r="D152" t="str">
            <v>CABANG PRATAMA KOMERSIL BELAWAN</v>
          </cell>
          <cell r="E152" t="str">
            <v>KEPALA CABANG PRATAMA KOMERSIL BELAWAN</v>
          </cell>
          <cell r="F152" t="str">
            <v>yusri@bki.co.id</v>
          </cell>
          <cell r="G152" t="str">
            <v>081222953456</v>
          </cell>
          <cell r="H152" t="str">
            <v>6C</v>
          </cell>
          <cell r="I152">
            <v>0</v>
          </cell>
          <cell r="J152">
            <v>0</v>
          </cell>
        </row>
        <row r="153">
          <cell r="B153" t="str">
            <v>HERI WIRAWAN</v>
          </cell>
          <cell r="C153" t="str">
            <v>CABANG PRATAMA KOMERSIL BELAWAN</v>
          </cell>
          <cell r="D153" t="str">
            <v>CABANG PRATAMA KOMERSIL BELAWAN</v>
          </cell>
          <cell r="E153" t="str">
            <v>INSPEKTUR</v>
          </cell>
          <cell r="F153" t="str">
            <v>heri.wirawan@bki.co.id</v>
          </cell>
          <cell r="G153" t="str">
            <v>081396563563</v>
          </cell>
          <cell r="H153" t="str">
            <v>5C</v>
          </cell>
          <cell r="I153">
            <v>150000</v>
          </cell>
          <cell r="J153">
            <v>1701389</v>
          </cell>
        </row>
        <row r="154">
          <cell r="B154" t="str">
            <v>SYARI DODI AHMAD YANI</v>
          </cell>
          <cell r="C154" t="str">
            <v>CABANG PRATAMA KOMERSIL BELAWAN</v>
          </cell>
          <cell r="D154" t="str">
            <v>CABANG PRATAMA KOMERSIL BELAWAN</v>
          </cell>
          <cell r="E154" t="str">
            <v xml:space="preserve">INSPEKTUR JUNIOR I  </v>
          </cell>
          <cell r="F154" t="str">
            <v>syari@bki.co.id</v>
          </cell>
          <cell r="G154" t="str">
            <v>081263026504</v>
          </cell>
          <cell r="H154" t="str">
            <v>3C</v>
          </cell>
          <cell r="I154">
            <v>0</v>
          </cell>
          <cell r="J154">
            <v>0</v>
          </cell>
        </row>
        <row r="155">
          <cell r="B155" t="str">
            <v>SUDARMA EDY SARAGIH JAWAK</v>
          </cell>
          <cell r="C155" t="str">
            <v>CABANG PRATAMA KOMERSIL BELAWAN</v>
          </cell>
          <cell r="D155" t="str">
            <v>CABANG PRATAMA KOMERSIL BELAWAN</v>
          </cell>
          <cell r="E155" t="str">
            <v>ADMINISTRATOR</v>
          </cell>
          <cell r="F155" t="str">
            <v>sudarma@bki.co.id</v>
          </cell>
          <cell r="G155" t="str">
            <v>081375959669</v>
          </cell>
          <cell r="H155" t="str">
            <v>2A</v>
          </cell>
          <cell r="I155">
            <v>150000</v>
          </cell>
          <cell r="J155">
            <v>0</v>
          </cell>
        </row>
        <row r="156">
          <cell r="B156" t="str">
            <v>GANDA TUA LEONARDUS LUMBAN GAOL</v>
          </cell>
          <cell r="C156" t="str">
            <v>CABANG PRATAMA KOMERSIL BELAWAN</v>
          </cell>
          <cell r="D156" t="str">
            <v>CABANG PRATAMA KOMERSIL BELAWAN</v>
          </cell>
          <cell r="E156" t="str">
            <v xml:space="preserve">INSPEKTUR JUNIOR I  </v>
          </cell>
          <cell r="F156" t="str">
            <v>ganda.tua@bki.co.id</v>
          </cell>
          <cell r="G156">
            <v>0</v>
          </cell>
          <cell r="H156" t="str">
            <v>3C</v>
          </cell>
          <cell r="I156">
            <v>0</v>
          </cell>
          <cell r="J156">
            <v>0</v>
          </cell>
        </row>
        <row r="157">
          <cell r="B157" t="str">
            <v>MUHAMMAD RIZKI</v>
          </cell>
          <cell r="C157" t="str">
            <v>CABANG PRATAMA KOMERSIL BELAWAN</v>
          </cell>
          <cell r="D157" t="str">
            <v>CABANG PRATAMA KOMERSIL BELAWAN</v>
          </cell>
          <cell r="E157" t="str">
            <v xml:space="preserve">INSPEKTUR JUNIOR I  </v>
          </cell>
          <cell r="F157" t="str">
            <v>muhrizky@bki.co.id</v>
          </cell>
          <cell r="G157" t="str">
            <v>081269080656</v>
          </cell>
          <cell r="H157" t="str">
            <v>3C</v>
          </cell>
          <cell r="I157">
            <v>0</v>
          </cell>
          <cell r="J157">
            <v>0</v>
          </cell>
        </row>
        <row r="158">
          <cell r="B158" t="str">
            <v>MARZUKI DG LALLO</v>
          </cell>
          <cell r="C158" t="str">
            <v>CABANG PRATAMA KOMERSIL PALEMBANG</v>
          </cell>
          <cell r="D158" t="str">
            <v>CABANG PRATAMA KOMERSIL PALEMBANG</v>
          </cell>
          <cell r="E158" t="str">
            <v>KEPALA CABANG PRATAMA KOMERSIL PALEMBANG</v>
          </cell>
          <cell r="F158" t="str">
            <v>marzuki@bki.co.id</v>
          </cell>
          <cell r="G158" t="str">
            <v/>
          </cell>
          <cell r="H158" t="str">
            <v>6C</v>
          </cell>
          <cell r="I158">
            <v>0</v>
          </cell>
          <cell r="J158">
            <v>0</v>
          </cell>
        </row>
        <row r="159">
          <cell r="B159" t="str">
            <v>WIDODO</v>
          </cell>
          <cell r="C159" t="str">
            <v>CABANG PRATAMA KOMERSIL PALEMBANG</v>
          </cell>
          <cell r="D159" t="str">
            <v>CABANG PRATAMA KOMERSIL PALEMBANG</v>
          </cell>
          <cell r="E159" t="str">
            <v>ADMINISTRATOR SENIOR</v>
          </cell>
          <cell r="F159" t="str">
            <v>widodo@bki.co.id</v>
          </cell>
          <cell r="G159" t="str">
            <v>085273767744</v>
          </cell>
          <cell r="H159" t="str">
            <v>3B</v>
          </cell>
          <cell r="I159">
            <v>150000</v>
          </cell>
          <cell r="J159">
            <v>0</v>
          </cell>
        </row>
        <row r="160">
          <cell r="B160" t="str">
            <v>AKHMAD MULIADDIN</v>
          </cell>
          <cell r="C160" t="str">
            <v>CABANG PRATAMA KOMERSIL PALEMBANG</v>
          </cell>
          <cell r="D160" t="str">
            <v>CABANG PRATAMA KOMERSIL PALEMBANG</v>
          </cell>
          <cell r="E160" t="str">
            <v xml:space="preserve">INSPEKTUR JUNIOR II </v>
          </cell>
          <cell r="F160" t="str">
            <v>muliaddin@bki.co.id</v>
          </cell>
          <cell r="G160" t="str">
            <v>0852 5565 0080</v>
          </cell>
          <cell r="H160" t="str">
            <v>4C</v>
          </cell>
          <cell r="I160">
            <v>150000</v>
          </cell>
          <cell r="J160">
            <v>0</v>
          </cell>
        </row>
        <row r="161">
          <cell r="B161" t="str">
            <v>ZAINAL</v>
          </cell>
          <cell r="C161" t="str">
            <v>CABANG PRATAMA KOMERSIL PALEMBANG</v>
          </cell>
          <cell r="D161" t="str">
            <v>CABANG PRATAMA KOMERSIL PALEMBANG</v>
          </cell>
          <cell r="E161" t="str">
            <v xml:space="preserve">INSPEKTUR JUNIOR II </v>
          </cell>
          <cell r="F161" t="str">
            <v>zainalstnaval@bki.co.id</v>
          </cell>
          <cell r="G161" t="str">
            <v>085267790318</v>
          </cell>
          <cell r="H161" t="str">
            <v>4C</v>
          </cell>
          <cell r="I161">
            <v>150000</v>
          </cell>
          <cell r="J161">
            <v>0</v>
          </cell>
        </row>
        <row r="162">
          <cell r="B162" t="str">
            <v>KHAERUL AKBAR</v>
          </cell>
          <cell r="C162" t="str">
            <v>CABANG PRATAMA KOMERSIL PALEMBANG</v>
          </cell>
          <cell r="D162" t="str">
            <v>CABANG PRATAMA KOMERSIL PALEMBANG</v>
          </cell>
          <cell r="E162" t="str">
            <v xml:space="preserve">INSPEKTUR JUNIOR II </v>
          </cell>
          <cell r="F162" t="str">
            <v>khaerul.akbar@bki.co.id</v>
          </cell>
          <cell r="G162" t="str">
            <v>082377773303</v>
          </cell>
          <cell r="H162" t="str">
            <v>4C</v>
          </cell>
          <cell r="I162">
            <v>150000</v>
          </cell>
          <cell r="J162">
            <v>0</v>
          </cell>
        </row>
        <row r="163">
          <cell r="B163" t="str">
            <v>MOKHAMMAD YUFIAN RIDHANANDA</v>
          </cell>
          <cell r="C163" t="str">
            <v>CABANG PRATAMA KOMERSIL PONTIANAK</v>
          </cell>
          <cell r="D163" t="str">
            <v>CABANG PRATAMA KOMERSIL PONTIANAK</v>
          </cell>
          <cell r="E163" t="str">
            <v>KEPALA CABANG PRATAMA KOMERSIL PONTIANAK</v>
          </cell>
          <cell r="F163" t="str">
            <v>yufian.ridhananda@bki.co.id</v>
          </cell>
          <cell r="G163" t="str">
            <v>082213816511</v>
          </cell>
          <cell r="H163" t="str">
            <v>6C</v>
          </cell>
          <cell r="I163">
            <v>100000</v>
          </cell>
          <cell r="J163">
            <v>0</v>
          </cell>
        </row>
        <row r="164">
          <cell r="B164" t="str">
            <v>M. AZWAR</v>
          </cell>
          <cell r="C164" t="str">
            <v>CABANG PRATAMA KOMERSIL PONTIANAK</v>
          </cell>
          <cell r="D164" t="str">
            <v>CABANG PRATAMA KOMERSIL PONTIANAK</v>
          </cell>
          <cell r="E164" t="str">
            <v xml:space="preserve">INSPEKTUR JUNIOR I  </v>
          </cell>
          <cell r="F164" t="str">
            <v>m.azwar@bki.co.id</v>
          </cell>
          <cell r="G164" t="str">
            <v>082187076261</v>
          </cell>
          <cell r="H164" t="str">
            <v>3C</v>
          </cell>
          <cell r="I164">
            <v>0</v>
          </cell>
          <cell r="J164">
            <v>0</v>
          </cell>
        </row>
        <row r="165">
          <cell r="B165" t="str">
            <v>AZIB MUZANI</v>
          </cell>
          <cell r="C165" t="str">
            <v>CABANG PRATAMA KOMERSIL PONTIANAK</v>
          </cell>
          <cell r="D165" t="str">
            <v>CABANG PRATAMA KOMERSIL PONTIANAK</v>
          </cell>
          <cell r="E165" t="str">
            <v xml:space="preserve">INSPEKTUR JUNIOR I  </v>
          </cell>
          <cell r="F165" t="str">
            <v>azib.muzani@bki.co.id</v>
          </cell>
          <cell r="G165" t="str">
            <v/>
          </cell>
          <cell r="H165" t="str">
            <v>3C</v>
          </cell>
          <cell r="I165">
            <v>0</v>
          </cell>
          <cell r="J165">
            <v>0</v>
          </cell>
        </row>
        <row r="166">
          <cell r="B166" t="str">
            <v>RIAN ARISTIANTO</v>
          </cell>
          <cell r="C166" t="str">
            <v>CABANG PRATAMA KOMERSIL PONTIANAK</v>
          </cell>
          <cell r="D166" t="str">
            <v>CABANG PRATAMA KOMERSIL PONTIANAK</v>
          </cell>
          <cell r="E166" t="str">
            <v xml:space="preserve">INSPEKTUR JUNIOR I  </v>
          </cell>
          <cell r="F166" t="str">
            <v>rian.aristianto@bki.co.id</v>
          </cell>
          <cell r="G166" t="str">
            <v/>
          </cell>
          <cell r="H166" t="str">
            <v>3C</v>
          </cell>
          <cell r="I166">
            <v>0</v>
          </cell>
          <cell r="J166">
            <v>0</v>
          </cell>
        </row>
        <row r="167">
          <cell r="B167" t="str">
            <v>MUHAMMAD RIZKY PURNAMA</v>
          </cell>
          <cell r="C167" t="str">
            <v>CABANG PRATAMA KOMERSIL SEMARANG</v>
          </cell>
          <cell r="D167" t="str">
            <v>CABANG PRATAMA KOMERSIL SEMARANG</v>
          </cell>
          <cell r="E167" t="str">
            <v>KEPALA CABANG PRATAMA KOMERSIL SEMARANG</v>
          </cell>
          <cell r="F167" t="str">
            <v>rizky@bki.co.id</v>
          </cell>
          <cell r="G167" t="str">
            <v>081257919990</v>
          </cell>
          <cell r="H167" t="str">
            <v>6C</v>
          </cell>
          <cell r="I167">
            <v>350000</v>
          </cell>
          <cell r="J167">
            <v>0</v>
          </cell>
        </row>
        <row r="168">
          <cell r="B168" t="str">
            <v>MIFTAKHUL QOMAR</v>
          </cell>
          <cell r="C168" t="str">
            <v>CABANG PRATAMA KOMERSIL SEMARANG</v>
          </cell>
          <cell r="D168" t="str">
            <v>CABANG PRATAMA KOMERSIL SEMARANG</v>
          </cell>
          <cell r="E168" t="str">
            <v xml:space="preserve">INSPEKTUR JUNIOR II </v>
          </cell>
          <cell r="F168" t="str">
            <v>miftakhul.qomar@bki.co.id</v>
          </cell>
          <cell r="G168" t="str">
            <v>0812 2719 1292</v>
          </cell>
          <cell r="H168" t="str">
            <v>4C</v>
          </cell>
          <cell r="I168">
            <v>0</v>
          </cell>
          <cell r="J168">
            <v>0</v>
          </cell>
        </row>
        <row r="169">
          <cell r="B169" t="str">
            <v>ISKANDAR PURNOMO SIDI</v>
          </cell>
          <cell r="C169" t="str">
            <v>CABANG PRATAMA KOMERSIL SEMARANG</v>
          </cell>
          <cell r="D169" t="str">
            <v>CABANG PRATAMA KOMERSIL SEMARANG</v>
          </cell>
          <cell r="E169" t="str">
            <v xml:space="preserve">INSPEKTUR JUNIOR II </v>
          </cell>
          <cell r="F169" t="str">
            <v>iskandar.ps@bki.co.id</v>
          </cell>
          <cell r="G169" t="str">
            <v>08122530598</v>
          </cell>
          <cell r="H169" t="str">
            <v>4C</v>
          </cell>
          <cell r="I169">
            <v>0</v>
          </cell>
          <cell r="J169">
            <v>0</v>
          </cell>
        </row>
        <row r="170">
          <cell r="B170" t="str">
            <v>TEGUH TRIWIYADI</v>
          </cell>
          <cell r="C170" t="str">
            <v>CABANG PRATAMA KOMERSIL SEMARANG</v>
          </cell>
          <cell r="D170" t="str">
            <v>CABANG PRATAMA KOMERSIL SEMARANG</v>
          </cell>
          <cell r="E170" t="str">
            <v xml:space="preserve">INSPEKTUR JUNIOR II </v>
          </cell>
          <cell r="F170" t="str">
            <v>teguh.triwiyadi@bki.co.id</v>
          </cell>
          <cell r="G170" t="str">
            <v>0813 3031 4354</v>
          </cell>
          <cell r="H170" t="str">
            <v>4C</v>
          </cell>
          <cell r="I170">
            <v>0</v>
          </cell>
          <cell r="J170">
            <v>0</v>
          </cell>
        </row>
        <row r="171">
          <cell r="B171" t="str">
            <v>SUCIBTA JABELSIR P</v>
          </cell>
          <cell r="C171" t="str">
            <v>CABANG PRATAMA KOMERSIL SEMARANG</v>
          </cell>
          <cell r="D171" t="str">
            <v>CABANG PRATAMA KOMERSIL SEMARANG</v>
          </cell>
          <cell r="E171" t="str">
            <v>ADMINISTRATOR SENIOR</v>
          </cell>
          <cell r="F171" t="str">
            <v>sucibta@bki.co.id</v>
          </cell>
          <cell r="G171" t="str">
            <v>081215555258</v>
          </cell>
          <cell r="H171" t="str">
            <v>3B</v>
          </cell>
          <cell r="I171">
            <v>0</v>
          </cell>
          <cell r="J171">
            <v>0</v>
          </cell>
        </row>
        <row r="172">
          <cell r="B172" t="str">
            <v>TRI KUNCORO RIYADI</v>
          </cell>
          <cell r="C172" t="str">
            <v>CABANG PRATAMA KOMERSIL SEMARANG</v>
          </cell>
          <cell r="D172" t="str">
            <v>CABANG PRATAMA KOMERSIL SEMARANG</v>
          </cell>
          <cell r="E172" t="str">
            <v xml:space="preserve">INSPEKTUR JUNIOR I  </v>
          </cell>
          <cell r="F172" t="str">
            <v>tri.kr@bki.co.id</v>
          </cell>
          <cell r="G172" t="str">
            <v>085225472975</v>
          </cell>
          <cell r="H172" t="str">
            <v>3C</v>
          </cell>
          <cell r="I172">
            <v>0</v>
          </cell>
          <cell r="J172">
            <v>0</v>
          </cell>
        </row>
        <row r="173">
          <cell r="B173" t="str">
            <v>YOHANIS</v>
          </cell>
          <cell r="C173" t="str">
            <v>CABANG PRATAMA KOMERSIL SEMARANG</v>
          </cell>
          <cell r="D173" t="str">
            <v>CABANG PRATAMA KOMERSIL SEMARANG</v>
          </cell>
          <cell r="E173" t="str">
            <v>ADMINISTRATOR</v>
          </cell>
          <cell r="F173" t="str">
            <v>yohanis@bki.co.id</v>
          </cell>
          <cell r="G173" t="str">
            <v>0812 2546 1127</v>
          </cell>
          <cell r="H173" t="str">
            <v>2A</v>
          </cell>
          <cell r="I173">
            <v>0</v>
          </cell>
          <cell r="J173">
            <v>0</v>
          </cell>
        </row>
        <row r="174">
          <cell r="B174" t="str">
            <v>MISBAHUDIN AIDY</v>
          </cell>
          <cell r="C174" t="str">
            <v>CABANG SINGAPURA</v>
          </cell>
          <cell r="D174" t="str">
            <v>CABANG SINGAPURA</v>
          </cell>
          <cell r="E174" t="str">
            <v>KEPALA CABANG UTAMA KLAS SINGAPORE</v>
          </cell>
          <cell r="F174" t="str">
            <v>aidy@bki.co.id</v>
          </cell>
          <cell r="G174" t="str">
            <v>081234111079</v>
          </cell>
          <cell r="H174" t="str">
            <v>8A</v>
          </cell>
        </row>
        <row r="175">
          <cell r="B175" t="str">
            <v>SUWANDY</v>
          </cell>
          <cell r="C175" t="str">
            <v>CABANG SINGAPURA</v>
          </cell>
          <cell r="D175" t="str">
            <v>CABANG SINGAPURA</v>
          </cell>
          <cell r="E175" t="str">
            <v>SURVEYOR SENIOR I B</v>
          </cell>
          <cell r="F175" t="str">
            <v>suwandy@bki.co.id</v>
          </cell>
          <cell r="G175" t="str">
            <v>085299969336</v>
          </cell>
          <cell r="H175" t="str">
            <v>6B</v>
          </cell>
        </row>
        <row r="176">
          <cell r="B176" t="str">
            <v>MOHAMED FAZLI BIN MAHABUT</v>
          </cell>
          <cell r="C176" t="str">
            <v>CABANG SINGAPURA</v>
          </cell>
          <cell r="D176" t="str">
            <v>CABANG SINGAPURA</v>
          </cell>
          <cell r="E176" t="str">
            <v>STAF DUKUNGAN BISNIS</v>
          </cell>
          <cell r="F176" t="str">
            <v>fazli@bki.co.id</v>
          </cell>
          <cell r="G176" t="str">
            <v/>
          </cell>
          <cell r="H176" t="str">
            <v>-</v>
          </cell>
        </row>
        <row r="177">
          <cell r="B177" t="str">
            <v>RITA TIO</v>
          </cell>
          <cell r="C177" t="str">
            <v>CABANG SINGAPURA</v>
          </cell>
          <cell r="D177" t="str">
            <v>CABANG SINGAPURA</v>
          </cell>
          <cell r="E177" t="str">
            <v>STAF DUKUNGAN BISNIS</v>
          </cell>
          <cell r="F177" t="str">
            <v>rita.tio@bki.co.id</v>
          </cell>
          <cell r="G177" t="str">
            <v/>
          </cell>
          <cell r="H177" t="str">
            <v>-</v>
          </cell>
        </row>
        <row r="178">
          <cell r="B178" t="str">
            <v>SUWATI BUN</v>
          </cell>
          <cell r="C178" t="str">
            <v>CABANG SINGAPURA</v>
          </cell>
          <cell r="D178" t="str">
            <v>CABANG SINGAPURA</v>
          </cell>
          <cell r="E178" t="str">
            <v>STAF DUKUNGAN BISNIS</v>
          </cell>
          <cell r="F178" t="str">
            <v>suwati.bun@bki.co.id</v>
          </cell>
          <cell r="G178" t="str">
            <v/>
          </cell>
          <cell r="H178" t="str">
            <v>-</v>
          </cell>
        </row>
        <row r="179">
          <cell r="B179" t="str">
            <v>SYED MOHAMED ISMAIL</v>
          </cell>
          <cell r="C179" t="str">
            <v>CABANG SINGAPURA</v>
          </cell>
          <cell r="D179" t="str">
            <v>CABANG SINGAPURA</v>
          </cell>
          <cell r="E179" t="str">
            <v>STAF DUKUNGAN BISNIS</v>
          </cell>
          <cell r="F179" t="str">
            <v>ismail.alattas@bki.co.id</v>
          </cell>
          <cell r="G179" t="str">
            <v/>
          </cell>
          <cell r="H179" t="str">
            <v>-</v>
          </cell>
        </row>
        <row r="180">
          <cell r="B180" t="str">
            <v>PURWOKO WIDHYANTO WIRAWAN</v>
          </cell>
          <cell r="C180" t="str">
            <v>CABANG UTAMA KLAS BANTEN</v>
          </cell>
          <cell r="D180" t="str">
            <v>CABANG UTAMA KLAS BANTEN</v>
          </cell>
          <cell r="E180" t="str">
            <v>SURVEYOR</v>
          </cell>
          <cell r="F180" t="str">
            <v>purwoko.ww@bki.co.id</v>
          </cell>
          <cell r="G180" t="str">
            <v>0822 4477 3545</v>
          </cell>
          <cell r="H180" t="str">
            <v>5C</v>
          </cell>
          <cell r="I180">
            <v>250000</v>
          </cell>
          <cell r="J180">
            <v>0</v>
          </cell>
        </row>
        <row r="181">
          <cell r="B181" t="str">
            <v>DJOKO WAHYUDI</v>
          </cell>
          <cell r="C181" t="str">
            <v>CABANG UTAMA KLAS BANTEN</v>
          </cell>
          <cell r="D181" t="str">
            <v>CABANG UTAMA KLAS BANTEN</v>
          </cell>
          <cell r="E181" t="str">
            <v>SENIOR MANAGER OPERASI KLAS BANTEN</v>
          </cell>
          <cell r="F181" t="str">
            <v>djoko@bki.co.id</v>
          </cell>
          <cell r="G181" t="str">
            <v>081210124499</v>
          </cell>
          <cell r="H181" t="str">
            <v>7B</v>
          </cell>
          <cell r="I181">
            <v>0</v>
          </cell>
          <cell r="J181">
            <v>0</v>
          </cell>
        </row>
        <row r="182">
          <cell r="B182" t="str">
            <v>WISNU WAHYU WARDHINI</v>
          </cell>
          <cell r="C182" t="str">
            <v>CABANG UTAMA KLAS BANTEN</v>
          </cell>
          <cell r="D182" t="str">
            <v>CABANG UTAMA KLAS BANTEN</v>
          </cell>
          <cell r="E182" t="str">
            <v>ADMINISTRATOR SENIOR</v>
          </cell>
          <cell r="F182" t="str">
            <v>wisnu.wahyu@bki.co.id</v>
          </cell>
          <cell r="G182" t="str">
            <v>0857 1050 8878</v>
          </cell>
          <cell r="H182" t="str">
            <v>3B</v>
          </cell>
          <cell r="I182">
            <v>0</v>
          </cell>
          <cell r="J182">
            <v>0</v>
          </cell>
        </row>
        <row r="183">
          <cell r="B183" t="str">
            <v>SUWANDI</v>
          </cell>
          <cell r="C183" t="str">
            <v>CABANG UTAMA KLAS BANTEN</v>
          </cell>
          <cell r="D183" t="str">
            <v>CABANG UTAMA KLAS BANTEN</v>
          </cell>
          <cell r="E183" t="str">
            <v>KEPALA CABANG UTAMA KLAS BANTEN</v>
          </cell>
          <cell r="F183" t="str">
            <v>suwandi@bki.co.id</v>
          </cell>
          <cell r="G183" t="str">
            <v>085265782998</v>
          </cell>
          <cell r="H183" t="str">
            <v>8A</v>
          </cell>
          <cell r="I183">
            <v>0</v>
          </cell>
          <cell r="J183">
            <v>0</v>
          </cell>
        </row>
        <row r="184">
          <cell r="B184" t="str">
            <v>INDRA KUSUMA MUHAMMAD</v>
          </cell>
          <cell r="C184" t="str">
            <v>CABANG UTAMA KLAS BANTEN</v>
          </cell>
          <cell r="D184" t="str">
            <v>CABANG UTAMA KLAS BANTEN</v>
          </cell>
          <cell r="E184" t="str">
            <v>ADMINISTRATOR SENIOR</v>
          </cell>
          <cell r="F184" t="str">
            <v>indra.km@bki.co.id</v>
          </cell>
          <cell r="G184">
            <v>0</v>
          </cell>
          <cell r="H184" t="str">
            <v>3B</v>
          </cell>
          <cell r="I184">
            <v>150000</v>
          </cell>
          <cell r="J184">
            <v>2876137</v>
          </cell>
        </row>
        <row r="185">
          <cell r="B185" t="str">
            <v>BAWA PRASETYO</v>
          </cell>
          <cell r="C185" t="str">
            <v>CABANG UTAMA KLAS BANTEN</v>
          </cell>
          <cell r="D185" t="str">
            <v>CABANG UTAMA KLAS BANTEN</v>
          </cell>
          <cell r="E185" t="str">
            <v>SURVEYOR SENIOR I A</v>
          </cell>
          <cell r="F185" t="str">
            <v>bawa@bki.co.id</v>
          </cell>
          <cell r="G185" t="str">
            <v>08565260600</v>
          </cell>
          <cell r="H185" t="str">
            <v>6A</v>
          </cell>
          <cell r="I185">
            <v>0</v>
          </cell>
          <cell r="J185">
            <v>0</v>
          </cell>
        </row>
        <row r="186">
          <cell r="B186" t="str">
            <v>FERRY FADLI</v>
          </cell>
          <cell r="C186" t="str">
            <v>CABANG UTAMA KLAS BANTEN</v>
          </cell>
          <cell r="D186" t="str">
            <v>CABANG UTAMA KLAS BANTEN</v>
          </cell>
          <cell r="E186" t="str">
            <v>SURVEYOR SENIOR I A</v>
          </cell>
          <cell r="F186" t="str">
            <v>ferry.fadli@bki.co.id</v>
          </cell>
          <cell r="G186" t="str">
            <v>081230565676</v>
          </cell>
          <cell r="H186" t="str">
            <v>6A</v>
          </cell>
          <cell r="I186">
            <v>0</v>
          </cell>
          <cell r="J186">
            <v>0</v>
          </cell>
        </row>
        <row r="187">
          <cell r="B187" t="str">
            <v>EDWIN OLAF JULIAN DAMANIK</v>
          </cell>
          <cell r="C187" t="str">
            <v>CABANG UTAMA KLAS BANTEN</v>
          </cell>
          <cell r="D187" t="str">
            <v>CABANG UTAMA KLAS BANTEN</v>
          </cell>
          <cell r="E187" t="str">
            <v>SURVEYOR SENIOR I A</v>
          </cell>
          <cell r="F187" t="str">
            <v>edwin@bki.co.id</v>
          </cell>
          <cell r="G187" t="str">
            <v>081297241192</v>
          </cell>
          <cell r="H187" t="str">
            <v>6A</v>
          </cell>
          <cell r="I187">
            <v>250000</v>
          </cell>
          <cell r="J187">
            <v>0</v>
          </cell>
        </row>
        <row r="188">
          <cell r="B188" t="str">
            <v>EKO HARYANTO</v>
          </cell>
          <cell r="C188" t="str">
            <v>CABANG UTAMA KLAS BANTEN</v>
          </cell>
          <cell r="D188" t="str">
            <v>CABANG UTAMA KLAS BANTEN</v>
          </cell>
          <cell r="E188" t="str">
            <v>SURVEYOR</v>
          </cell>
          <cell r="F188" t="str">
            <v>eko.haryanto@bki.co.id</v>
          </cell>
          <cell r="G188" t="str">
            <v>081294773100</v>
          </cell>
          <cell r="H188" t="str">
            <v>5C</v>
          </cell>
          <cell r="I188">
            <v>0</v>
          </cell>
          <cell r="J188">
            <v>0</v>
          </cell>
        </row>
        <row r="189">
          <cell r="B189" t="str">
            <v>IBNUL QAYYIM</v>
          </cell>
          <cell r="C189" t="str">
            <v>CABANG UTAMA KLAS BANTEN</v>
          </cell>
          <cell r="D189" t="str">
            <v>CABANG UTAMA KLAS BANTEN</v>
          </cell>
          <cell r="E189" t="str">
            <v xml:space="preserve">SURVEYOR JUNIOR </v>
          </cell>
          <cell r="F189" t="str">
            <v>ibnul.qayyim@bki.co.id</v>
          </cell>
          <cell r="G189" t="str">
            <v>081284684713</v>
          </cell>
          <cell r="H189" t="str">
            <v>4C</v>
          </cell>
          <cell r="I189">
            <v>100000</v>
          </cell>
          <cell r="J189">
            <v>0</v>
          </cell>
        </row>
        <row r="190">
          <cell r="B190" t="str">
            <v>FIRMANSYAH PUTRA AGUNG MA'ARIF</v>
          </cell>
          <cell r="C190" t="str">
            <v>DIVISI SURVEY</v>
          </cell>
          <cell r="D190" t="str">
            <v>CABANG UTAMA KLAS BANTEN</v>
          </cell>
          <cell r="E190" t="str">
            <v>SURVEYOR SENIOR I A MEMPERTAHANKAN KLAS DIVISI SURVEY YANG DITEMPATKAN DI CABANG UTAMA KLAS BANTEN</v>
          </cell>
          <cell r="F190" t="str">
            <v>firmansyah.pam@bki.co.id</v>
          </cell>
          <cell r="G190" t="str">
            <v>081333255500</v>
          </cell>
          <cell r="H190" t="str">
            <v>6A</v>
          </cell>
          <cell r="I190">
            <v>0</v>
          </cell>
          <cell r="J190">
            <v>0</v>
          </cell>
        </row>
        <row r="191">
          <cell r="B191" t="str">
            <v>ARIFUDDIN</v>
          </cell>
          <cell r="C191" t="str">
            <v>DIVISI SURVEY</v>
          </cell>
          <cell r="D191" t="str">
            <v>CABANG UTAMA KLAS BANTEN</v>
          </cell>
          <cell r="E191" t="str">
            <v>SURVEYOR SENIOR I A MEMPERTAHANKAN KLAS DIVISI SURVEY YANG DITEMPATKAN DI CABANG UTAMA KLAS BANTEN</v>
          </cell>
          <cell r="F191" t="str">
            <v>arifuddin@bki.co.id</v>
          </cell>
          <cell r="G191" t="str">
            <v>081387200046</v>
          </cell>
          <cell r="H191" t="str">
            <v>6A</v>
          </cell>
          <cell r="I191">
            <v>150000</v>
          </cell>
          <cell r="J191">
            <v>0</v>
          </cell>
        </row>
        <row r="192">
          <cell r="B192" t="str">
            <v>CATUR ACHIRYANTO ANWARUDIN</v>
          </cell>
          <cell r="C192" t="str">
            <v>DIVISI OPERASI BISNIS KLASIFIKASI</v>
          </cell>
          <cell r="D192" t="str">
            <v>CABANG UTAMA KLAS BANTEN</v>
          </cell>
          <cell r="E192" t="str">
            <v>SURVEYOR SENIOR II B KENDALI OPERASI YANG DITEMPATKAN DI CABANG UTAMA KLAS BANTEN</v>
          </cell>
          <cell r="F192" t="str">
            <v>catur@bki.co.id</v>
          </cell>
          <cell r="G192" t="str">
            <v>081213119685</v>
          </cell>
          <cell r="H192" t="str">
            <v>7B</v>
          </cell>
          <cell r="I192">
            <v>0</v>
          </cell>
          <cell r="J192">
            <v>0</v>
          </cell>
        </row>
        <row r="193">
          <cell r="B193" t="str">
            <v>SUHAR CHANDRA KURNIAWAN</v>
          </cell>
          <cell r="C193" t="str">
            <v>DIVISI OPERASI BISNIS KLASIFIKASI</v>
          </cell>
          <cell r="D193" t="str">
            <v>CABANG UTAMA KLAS BANTEN</v>
          </cell>
          <cell r="E193" t="str">
            <v>SURVEYOR SENIOR I A KENDALI OPERASI YANG DITEMPATKAN DI CABANG UTAMA KLAS BANTEN</v>
          </cell>
          <cell r="F193" t="str">
            <v>suhar@bki.co.id</v>
          </cell>
          <cell r="G193" t="str">
            <v>0852 4703 8553</v>
          </cell>
          <cell r="H193" t="str">
            <v>6A</v>
          </cell>
          <cell r="I193">
            <v>0</v>
          </cell>
          <cell r="J193">
            <v>0</v>
          </cell>
        </row>
        <row r="194">
          <cell r="B194" t="str">
            <v>IBNU NAFIS</v>
          </cell>
          <cell r="C194" t="str">
            <v>CABANG UTAMA KLAS BATAM</v>
          </cell>
          <cell r="D194" t="str">
            <v>CABANG UTAMA KLAS BATAM</v>
          </cell>
          <cell r="E194" t="str">
            <v>SURVEYOR</v>
          </cell>
          <cell r="F194" t="str">
            <v>ibnu.nafis@bki.co.id</v>
          </cell>
          <cell r="G194" t="str">
            <v>081234710117</v>
          </cell>
          <cell r="H194" t="str">
            <v>5C</v>
          </cell>
          <cell r="I194">
            <v>0</v>
          </cell>
          <cell r="J194">
            <v>0</v>
          </cell>
        </row>
        <row r="195">
          <cell r="B195" t="str">
            <v>MUHAMMAD IDAM YON ARIF</v>
          </cell>
          <cell r="C195" t="str">
            <v>CABANG UTAMA KLAS BATAM</v>
          </cell>
          <cell r="D195" t="str">
            <v>CABANG UTAMA KLAS BATAM</v>
          </cell>
          <cell r="E195" t="str">
            <v>SURVEYOR</v>
          </cell>
          <cell r="F195" t="str">
            <v>idam@bki.co.id</v>
          </cell>
          <cell r="G195" t="str">
            <v>081218537861</v>
          </cell>
          <cell r="H195" t="str">
            <v>5C</v>
          </cell>
          <cell r="I195">
            <v>0</v>
          </cell>
          <cell r="J195">
            <v>0</v>
          </cell>
        </row>
        <row r="196">
          <cell r="B196" t="str">
            <v>MOH. BASARUDIN ASFAHANI</v>
          </cell>
          <cell r="C196" t="str">
            <v>CABANG UTAMA KLAS BATAM</v>
          </cell>
          <cell r="D196" t="str">
            <v>CABANG UTAMA KLAS BATAM</v>
          </cell>
          <cell r="E196" t="str">
            <v>SENIOR MANAGER PEMASARAN DAN DUKUNGAN BISNIS KLAS BATAM</v>
          </cell>
          <cell r="F196" t="str">
            <v>basarudin@bki.co.id</v>
          </cell>
          <cell r="G196" t="str">
            <v>081335588269</v>
          </cell>
          <cell r="H196" t="str">
            <v>7A</v>
          </cell>
          <cell r="I196">
            <v>0</v>
          </cell>
          <cell r="J196">
            <v>0</v>
          </cell>
        </row>
        <row r="197">
          <cell r="B197" t="str">
            <v>ANTONG GOLI</v>
          </cell>
          <cell r="C197" t="str">
            <v>DIVISI OPERASI BISNIS KLASIFIKASI</v>
          </cell>
          <cell r="D197" t="str">
            <v>CABANG UTAMA KLAS BATAM</v>
          </cell>
          <cell r="E197" t="str">
            <v>SURVEYOR SENIOR I A KENDALI OPERASI YANG DITEMPATKAN DI CABANG UTAMA KLAS BATAM</v>
          </cell>
          <cell r="F197" t="str">
            <v>goli@bki.co.id</v>
          </cell>
          <cell r="G197" t="str">
            <v>081347758402</v>
          </cell>
          <cell r="H197" t="str">
            <v>6A</v>
          </cell>
          <cell r="I197">
            <v>0</v>
          </cell>
          <cell r="J197">
            <v>0</v>
          </cell>
        </row>
        <row r="198">
          <cell r="B198" t="str">
            <v>YHOGA SUSILA WARDANU</v>
          </cell>
          <cell r="C198" t="str">
            <v>DIVISI SURVEY</v>
          </cell>
          <cell r="D198" t="str">
            <v>CABANG UTAMA KLAS BATAM</v>
          </cell>
          <cell r="E198" t="str">
            <v>SURVEYOR MEMPERTAHANKAN KLAS DIVISI SURVEY YANG DITEMPATKAN DI CABANG UTAMA KLAS BATAM</v>
          </cell>
          <cell r="F198" t="str">
            <v>yswardanu@bki.co.id</v>
          </cell>
          <cell r="G198" t="str">
            <v>0812 3567 8613</v>
          </cell>
          <cell r="H198" t="str">
            <v>5C</v>
          </cell>
          <cell r="I198">
            <v>0</v>
          </cell>
          <cell r="J198">
            <v>0</v>
          </cell>
        </row>
        <row r="199">
          <cell r="B199" t="str">
            <v>LINDA MURNI</v>
          </cell>
          <cell r="C199" t="str">
            <v>CABANG UTAMA KLAS BATAM</v>
          </cell>
          <cell r="D199" t="str">
            <v>CABANG UTAMA KLAS BATAM</v>
          </cell>
          <cell r="E199" t="str">
            <v>OFFICER ADMINISTRASI UMUM</v>
          </cell>
          <cell r="F199" t="str">
            <v>linda.murni@bki.co.id</v>
          </cell>
          <cell r="G199" t="str">
            <v>0812 7773 858</v>
          </cell>
          <cell r="H199" t="str">
            <v>4A</v>
          </cell>
          <cell r="I199">
            <v>0</v>
          </cell>
          <cell r="J199">
            <v>0</v>
          </cell>
        </row>
        <row r="200">
          <cell r="B200" t="str">
            <v>BOGI AKHMAD SUENDAR</v>
          </cell>
          <cell r="C200" t="str">
            <v>DIVISI OPERASI BISNIS KLASIFIKASI</v>
          </cell>
          <cell r="D200" t="str">
            <v>CABANG UTAMA KLAS BATAM</v>
          </cell>
          <cell r="E200" t="str">
            <v>SURVEYOR SENIOR II B OPERASI KLASIFIKASI YANG DITEMPATKAN DI CABANG UTAMA KLAS BATAM</v>
          </cell>
          <cell r="F200" t="str">
            <v>bogi@bki.co.id</v>
          </cell>
          <cell r="G200" t="str">
            <v>081359333739</v>
          </cell>
          <cell r="H200" t="str">
            <v>7B</v>
          </cell>
          <cell r="I200">
            <v>0</v>
          </cell>
          <cell r="J200">
            <v>0</v>
          </cell>
        </row>
        <row r="201">
          <cell r="B201" t="str">
            <v>LUKMAN HAKIM</v>
          </cell>
          <cell r="C201" t="str">
            <v>CABANG UTAMA KLAS BATAM</v>
          </cell>
          <cell r="D201" t="str">
            <v>CABANG UTAMA KLAS BATAM</v>
          </cell>
          <cell r="E201" t="str">
            <v>SENIOR MANAGER OPERASI KLAS BATAM</v>
          </cell>
          <cell r="F201" t="str">
            <v>lukman@bki.co.id</v>
          </cell>
          <cell r="G201" t="str">
            <v>081361008817</v>
          </cell>
          <cell r="H201" t="str">
            <v>7B</v>
          </cell>
          <cell r="I201">
            <v>0</v>
          </cell>
          <cell r="J201">
            <v>0</v>
          </cell>
        </row>
        <row r="202">
          <cell r="B202" t="str">
            <v>I GUSTI NGURAH WIRA PRATAMA</v>
          </cell>
          <cell r="C202" t="str">
            <v>CABANG UTAMA KLAS BATAM</v>
          </cell>
          <cell r="D202" t="str">
            <v>CABANG UTAMA KLAS BATAM</v>
          </cell>
          <cell r="E202" t="str">
            <v>SURVEYOR SENIOR I A</v>
          </cell>
          <cell r="F202" t="str">
            <v>wirapratama@bki.co.id</v>
          </cell>
          <cell r="G202" t="str">
            <v>081553800220</v>
          </cell>
          <cell r="H202" t="str">
            <v>6A</v>
          </cell>
          <cell r="I202">
            <v>0</v>
          </cell>
          <cell r="J202">
            <v>0</v>
          </cell>
        </row>
        <row r="203">
          <cell r="B203" t="str">
            <v>WULANDARI</v>
          </cell>
          <cell r="C203" t="str">
            <v>CABANG UTAMA KLAS BATAM</v>
          </cell>
          <cell r="D203" t="str">
            <v>CABANG UTAMA KLAS BATAM</v>
          </cell>
          <cell r="E203" t="str">
            <v>ADMINISTRATOR SENIOR</v>
          </cell>
          <cell r="F203" t="str">
            <v>wulandari@bki.co.id</v>
          </cell>
          <cell r="G203" t="str">
            <v>0811 696 769</v>
          </cell>
          <cell r="H203" t="str">
            <v>3B</v>
          </cell>
          <cell r="I203">
            <v>0</v>
          </cell>
          <cell r="J203">
            <v>0</v>
          </cell>
        </row>
        <row r="204">
          <cell r="B204" t="str">
            <v>MONAF MASSE</v>
          </cell>
          <cell r="C204" t="str">
            <v>CABANG UTAMA KLAS BATAM</v>
          </cell>
          <cell r="D204" t="str">
            <v>CABANG UTAMA KLAS BATAM</v>
          </cell>
          <cell r="E204" t="str">
            <v>MANAGER ADMINISTRASI UMUM &amp; KEUANGAN KLAS BATAM</v>
          </cell>
          <cell r="F204" t="str">
            <v>monaf@bki.co.id</v>
          </cell>
          <cell r="G204" t="str">
            <v>081342624321</v>
          </cell>
          <cell r="H204" t="str">
            <v>5C</v>
          </cell>
          <cell r="I204">
            <v>0</v>
          </cell>
          <cell r="J204">
            <v>0</v>
          </cell>
        </row>
        <row r="205">
          <cell r="B205" t="str">
            <v>ARDIANSYAH</v>
          </cell>
          <cell r="C205" t="str">
            <v>CABANG UTAMA KLAS BATAM</v>
          </cell>
          <cell r="D205" t="str">
            <v>CABANG UTAMA KLAS BATAM</v>
          </cell>
          <cell r="E205" t="str">
            <v>ADMINISTRATOR</v>
          </cell>
          <cell r="F205" t="str">
            <v>ardi.ardiansyah@bki.co.id</v>
          </cell>
          <cell r="G205" t="str">
            <v>08117787774</v>
          </cell>
          <cell r="H205" t="str">
            <v>2A</v>
          </cell>
          <cell r="I205">
            <v>0</v>
          </cell>
          <cell r="J205">
            <v>0</v>
          </cell>
        </row>
        <row r="206">
          <cell r="B206" t="str">
            <v>ISHAK NOERPARA</v>
          </cell>
          <cell r="C206" t="str">
            <v>CABANG UTAMA KLAS BATAM</v>
          </cell>
          <cell r="D206" t="str">
            <v>CABANG UTAMA KLAS BATAM</v>
          </cell>
          <cell r="E206" t="str">
            <v>ADMINISTRATOR SENIOR</v>
          </cell>
          <cell r="F206" t="str">
            <v>ishak.noerpara@bki.co.id</v>
          </cell>
          <cell r="G206" t="str">
            <v>0812 1999 2727</v>
          </cell>
          <cell r="H206" t="str">
            <v>3B</v>
          </cell>
          <cell r="I206">
            <v>0</v>
          </cell>
          <cell r="J206">
            <v>0</v>
          </cell>
        </row>
        <row r="207">
          <cell r="B207" t="str">
            <v>HENI LESTARI</v>
          </cell>
          <cell r="C207" t="str">
            <v>CABANG UTAMA KLAS BATAM</v>
          </cell>
          <cell r="D207" t="str">
            <v>CABANG UTAMA KLAS BATAM</v>
          </cell>
          <cell r="E207" t="str">
            <v>OFFICER ADMINISTRASI KEUANGAN</v>
          </cell>
          <cell r="F207" t="str">
            <v>heni.lestari@bki.co.id</v>
          </cell>
          <cell r="G207" t="str">
            <v>083191299089</v>
          </cell>
          <cell r="H207" t="str">
            <v>4B</v>
          </cell>
          <cell r="I207">
            <v>0</v>
          </cell>
          <cell r="J207">
            <v>0</v>
          </cell>
        </row>
        <row r="208">
          <cell r="B208" t="str">
            <v>DWI MARYANTI PITER PATALO</v>
          </cell>
          <cell r="C208" t="str">
            <v>CABANG UTAMA KLAS BATAM</v>
          </cell>
          <cell r="D208" t="str">
            <v>CABANG UTAMA KLAS BATAM</v>
          </cell>
          <cell r="E208" t="str">
            <v>ADMINISTRATOR</v>
          </cell>
          <cell r="F208" t="str">
            <v>dwi.maryanti@bki.co.id</v>
          </cell>
          <cell r="G208" t="str">
            <v>08117775995</v>
          </cell>
          <cell r="H208" t="str">
            <v>2A</v>
          </cell>
          <cell r="I208">
            <v>0</v>
          </cell>
          <cell r="J208">
            <v>0</v>
          </cell>
        </row>
        <row r="209">
          <cell r="B209" t="str">
            <v>MUSTAQIM</v>
          </cell>
          <cell r="C209" t="str">
            <v>CABANG UTAMA KLAS BATAM</v>
          </cell>
          <cell r="D209" t="str">
            <v>CABANG UTAMA KLAS BATAM</v>
          </cell>
          <cell r="E209" t="str">
            <v>ADMINISTRATOR</v>
          </cell>
          <cell r="F209" t="str">
            <v>mustaqim@bki.co.id</v>
          </cell>
          <cell r="G209" t="str">
            <v/>
          </cell>
          <cell r="H209" t="str">
            <v>2A</v>
          </cell>
          <cell r="I209">
            <v>0</v>
          </cell>
          <cell r="J209">
            <v>0</v>
          </cell>
        </row>
        <row r="210">
          <cell r="B210" t="str">
            <v>BUDI ISROFI</v>
          </cell>
          <cell r="C210" t="str">
            <v>CABANG UTAMA KLAS BATAM</v>
          </cell>
          <cell r="D210" t="str">
            <v>CABANG UTAMA KLAS BATAM</v>
          </cell>
          <cell r="E210" t="str">
            <v>KEPALA CABANG UTAMA KLAS BATAM</v>
          </cell>
          <cell r="F210" t="str">
            <v>bisrofi@bki.co.id</v>
          </cell>
          <cell r="G210" t="str">
            <v>08127030110</v>
          </cell>
          <cell r="H210" t="str">
            <v>8A</v>
          </cell>
          <cell r="I210">
            <v>350000</v>
          </cell>
          <cell r="J210">
            <v>0</v>
          </cell>
        </row>
        <row r="211">
          <cell r="B211" t="str">
            <v>M. BAGUS PRIMA SETIAWAN</v>
          </cell>
          <cell r="C211" t="str">
            <v>CABANG UTAMA KLAS BATAM</v>
          </cell>
          <cell r="D211" t="str">
            <v>CABANG UTAMA KLAS BATAM</v>
          </cell>
          <cell r="E211" t="str">
            <v>SURVEYOR</v>
          </cell>
          <cell r="F211" t="str">
            <v>bagus.setiawan@bki.co.id</v>
          </cell>
          <cell r="G211" t="str">
            <v>085731460824</v>
          </cell>
          <cell r="H211" t="str">
            <v>5C</v>
          </cell>
          <cell r="I211">
            <v>0</v>
          </cell>
          <cell r="J211">
            <v>0</v>
          </cell>
        </row>
        <row r="212">
          <cell r="B212" t="str">
            <v>JIADAN</v>
          </cell>
          <cell r="C212" t="str">
            <v>CABANG UTAMA KLAS BATAM</v>
          </cell>
          <cell r="D212" t="str">
            <v>CABANG UTAMA KLAS BATAM</v>
          </cell>
          <cell r="E212" t="str">
            <v>SURVEYOR</v>
          </cell>
          <cell r="F212" t="str">
            <v>jiadan@bki.co.id</v>
          </cell>
          <cell r="G212" t="str">
            <v>085211555909</v>
          </cell>
          <cell r="H212" t="str">
            <v>5C</v>
          </cell>
          <cell r="I212">
            <v>250000</v>
          </cell>
          <cell r="J212">
            <v>0</v>
          </cell>
        </row>
        <row r="213">
          <cell r="B213" t="str">
            <v>YULID ANJI FIRMANSYAH</v>
          </cell>
          <cell r="C213" t="str">
            <v>CABANG UTAMA KLAS BATAM</v>
          </cell>
          <cell r="D213" t="str">
            <v>CABANG UTAMA KLAS BATAM</v>
          </cell>
          <cell r="E213" t="str">
            <v>SURVEYOR</v>
          </cell>
          <cell r="F213" t="str">
            <v>yulid@bki.co.id</v>
          </cell>
          <cell r="G213" t="str">
            <v>0898 2404 883</v>
          </cell>
          <cell r="H213" t="str">
            <v>5C</v>
          </cell>
          <cell r="I213">
            <v>250000</v>
          </cell>
          <cell r="J213">
            <v>0</v>
          </cell>
        </row>
        <row r="214">
          <cell r="B214" t="str">
            <v>TRIYONO SEMUEL</v>
          </cell>
          <cell r="C214" t="str">
            <v>DIVISI OPERASI BISNIS KLASIFIKASI</v>
          </cell>
          <cell r="D214" t="str">
            <v>CABANG UTAMA KLAS BATAM</v>
          </cell>
          <cell r="E214" t="str">
            <v>SURVEYOR SENIOR II B KENDALI OPERASI YANG DITEMPATKAN DI CABANG UTAMA KLAS BATAM</v>
          </cell>
          <cell r="F214" t="str">
            <v>triyono@bki.co.id</v>
          </cell>
          <cell r="G214" t="str">
            <v>085374286118</v>
          </cell>
          <cell r="H214" t="str">
            <v>7B</v>
          </cell>
          <cell r="I214">
            <v>0</v>
          </cell>
          <cell r="J214">
            <v>0</v>
          </cell>
        </row>
        <row r="215">
          <cell r="B215" t="str">
            <v>MUHAMMAD RIZQI ADITYA VEVA</v>
          </cell>
          <cell r="C215" t="str">
            <v>CABANG UTAMA KLAS BATAM</v>
          </cell>
          <cell r="D215" t="str">
            <v>CABANG UTAMA KLAS BATAM</v>
          </cell>
          <cell r="E215" t="str">
            <v xml:space="preserve">SURVEYOR JUNIOR </v>
          </cell>
          <cell r="F215" t="str">
            <v>muhammad.rizqi@bki.co.id</v>
          </cell>
          <cell r="G215" t="str">
            <v>081217430221</v>
          </cell>
          <cell r="H215" t="str">
            <v>4C</v>
          </cell>
          <cell r="I215">
            <v>0</v>
          </cell>
          <cell r="J215">
            <v>0</v>
          </cell>
        </row>
        <row r="216">
          <cell r="B216" t="str">
            <v>HARAL LINTANG MEDIKA</v>
          </cell>
          <cell r="C216" t="str">
            <v>CABANG UTAMA KLAS BATAM</v>
          </cell>
          <cell r="D216" t="str">
            <v>CABANG UTAMA KLAS BATAM</v>
          </cell>
          <cell r="E216" t="str">
            <v xml:space="preserve">SURVEYOR JUNIOR  </v>
          </cell>
          <cell r="F216" t="str">
            <v>haral.lintang@bki.co.id</v>
          </cell>
          <cell r="G216" t="str">
            <v>082132153960</v>
          </cell>
          <cell r="H216" t="str">
            <v>4C</v>
          </cell>
          <cell r="I216">
            <v>0</v>
          </cell>
          <cell r="J216">
            <v>0</v>
          </cell>
        </row>
        <row r="217">
          <cell r="B217" t="str">
            <v>FARIZ RACHMAN DANIYAL</v>
          </cell>
          <cell r="C217" t="str">
            <v>CABANG UTAMA KLAS BATAM</v>
          </cell>
          <cell r="D217" t="str">
            <v>CABANG UTAMA KLAS BATAM</v>
          </cell>
          <cell r="E217" t="str">
            <v xml:space="preserve">SURVEYOR JUNIOR </v>
          </cell>
          <cell r="F217" t="str">
            <v>fariz.rahman@bki.co.id</v>
          </cell>
          <cell r="G217" t="str">
            <v>089517013988</v>
          </cell>
          <cell r="H217" t="str">
            <v>4C</v>
          </cell>
          <cell r="I217">
            <v>0</v>
          </cell>
          <cell r="J217">
            <v>0</v>
          </cell>
        </row>
        <row r="218">
          <cell r="B218" t="str">
            <v>ADE KHANTARI</v>
          </cell>
          <cell r="C218" t="str">
            <v>CABANG UTAMA KLAS BATAM</v>
          </cell>
          <cell r="D218" t="str">
            <v>CABANG UTAMA KLAS BATAM</v>
          </cell>
          <cell r="E218" t="str">
            <v xml:space="preserve">SURVEYOR JUNIOR  </v>
          </cell>
          <cell r="F218" t="str">
            <v>ade.khantari@bki.co.id</v>
          </cell>
          <cell r="G218" t="str">
            <v>082341391174</v>
          </cell>
          <cell r="H218" t="str">
            <v>4C</v>
          </cell>
          <cell r="I218">
            <v>0</v>
          </cell>
          <cell r="J218">
            <v>0</v>
          </cell>
        </row>
        <row r="219">
          <cell r="B219" t="str">
            <v>MUHAMMAD SADDAM HUSSEIN</v>
          </cell>
          <cell r="C219" t="str">
            <v>CABANG UTAMA KLAS BATAM</v>
          </cell>
          <cell r="D219" t="str">
            <v>CABANG UTAMA KLAS BATAM</v>
          </cell>
          <cell r="E219" t="str">
            <v xml:space="preserve">SURVEYOR JUNIOR  </v>
          </cell>
          <cell r="F219" t="str">
            <v>muhammad.saddam@bki.co.id</v>
          </cell>
          <cell r="G219" t="str">
            <v>081292123252</v>
          </cell>
          <cell r="H219" t="str">
            <v>4C</v>
          </cell>
          <cell r="I219">
            <v>0</v>
          </cell>
          <cell r="J219">
            <v>0</v>
          </cell>
        </row>
        <row r="220">
          <cell r="B220" t="str">
            <v>FAUZI</v>
          </cell>
          <cell r="C220" t="str">
            <v>CABANG UTAMA KLAS BATAM</v>
          </cell>
          <cell r="D220" t="str">
            <v>CABANG UTAMA KLAS BATAM</v>
          </cell>
          <cell r="E220" t="str">
            <v>SURVEYOR</v>
          </cell>
          <cell r="F220" t="str">
            <v>fauzi@bki.co.id</v>
          </cell>
          <cell r="G220" t="str">
            <v>0813 4700 5260</v>
          </cell>
          <cell r="H220" t="str">
            <v>5C</v>
          </cell>
          <cell r="I220">
            <v>250000</v>
          </cell>
          <cell r="J220">
            <v>5373476</v>
          </cell>
        </row>
        <row r="221">
          <cell r="B221" t="str">
            <v>FATHONI KUSUMAHADI</v>
          </cell>
          <cell r="C221" t="str">
            <v>DIVISI PERSETUJUAN RANCANG BANGUN NUSANTARA</v>
          </cell>
          <cell r="D221" t="str">
            <v>CABANG UTAMA KLAS BATAM</v>
          </cell>
          <cell r="E221" t="str">
            <v>SENIOR MANAGER PRB BATAM</v>
          </cell>
          <cell r="F221" t="str">
            <v>fathoni@bki.co.id</v>
          </cell>
          <cell r="G221" t="str">
            <v>0813 3224 4632</v>
          </cell>
          <cell r="H221" t="str">
            <v>7A</v>
          </cell>
          <cell r="I221">
            <v>0</v>
          </cell>
          <cell r="J221">
            <v>0</v>
          </cell>
        </row>
        <row r="222">
          <cell r="B222" t="str">
            <v>ANGGA YUSTIAWAN</v>
          </cell>
          <cell r="C222" t="str">
            <v>DIVISI PERSETUJUAN RANCANG BANGUN NUSANTARA</v>
          </cell>
          <cell r="D222" t="str">
            <v>CABANG UTAMA KLAS BATAM</v>
          </cell>
          <cell r="E222" t="str">
            <v>ENGINEER STRUKTUR BAG. PRB BATAM</v>
          </cell>
          <cell r="F222" t="str">
            <v>angga.yustiawan@bki.co.id</v>
          </cell>
          <cell r="G222" t="str">
            <v>0856 312 1208</v>
          </cell>
          <cell r="H222" t="str">
            <v>5C</v>
          </cell>
          <cell r="I222">
            <v>0</v>
          </cell>
          <cell r="J222">
            <v>0</v>
          </cell>
        </row>
        <row r="223">
          <cell r="B223" t="str">
            <v>I GUSTI PUTU SUANTARA</v>
          </cell>
          <cell r="C223" t="str">
            <v>DIVISI PERSETUJUAN RANCANG BANGUN NUSANTARA</v>
          </cell>
          <cell r="D223" t="str">
            <v>CABANG UTAMA KLAS BATAM</v>
          </cell>
          <cell r="E223" t="str">
            <v>ENGINEER STRUKTUR BAG. PRB BATAM</v>
          </cell>
          <cell r="F223" t="str">
            <v>putu.suantara@bki.co.id</v>
          </cell>
          <cell r="G223" t="str">
            <v>081353828080</v>
          </cell>
          <cell r="H223" t="str">
            <v>5C</v>
          </cell>
          <cell r="I223">
            <v>0</v>
          </cell>
          <cell r="J223">
            <v>0</v>
          </cell>
        </row>
        <row r="224">
          <cell r="B224" t="str">
            <v>BUDI SANTOSO</v>
          </cell>
          <cell r="C224" t="str">
            <v>DIVISI PERSETUJUAN RANCANG BANGUN NUSANTARA</v>
          </cell>
          <cell r="D224" t="str">
            <v>CABANG UTAMA KLAS BATAM</v>
          </cell>
          <cell r="E224" t="str">
            <v>ADMINISTRATOR MADYA BAG. PRB BATAM</v>
          </cell>
          <cell r="F224" t="str">
            <v>santoso.budi@bki.co.id</v>
          </cell>
          <cell r="G224" t="str">
            <v>0813 6454 4336</v>
          </cell>
          <cell r="H224" t="str">
            <v>3A</v>
          </cell>
          <cell r="I224">
            <v>0</v>
          </cell>
          <cell r="J224">
            <v>0</v>
          </cell>
        </row>
        <row r="225">
          <cell r="B225" t="str">
            <v>KOKO ANDY SAPUTRO</v>
          </cell>
          <cell r="C225" t="str">
            <v>DIVISI SURVEY</v>
          </cell>
          <cell r="D225" t="str">
            <v>CABANG UTAMA KLAS BATAM</v>
          </cell>
          <cell r="E225" t="str">
            <v>SURVEYOR SENIOR I A MEMPERTAHANKAN KLAS DIVISI SURVEY YANG DITEMPATKAN DI CABANG UTAMA KLAS BATAM</v>
          </cell>
          <cell r="F225" t="str">
            <v>koko.as@bki.co.id</v>
          </cell>
          <cell r="G225">
            <v>0</v>
          </cell>
          <cell r="H225" t="str">
            <v>6A</v>
          </cell>
          <cell r="I225">
            <v>0</v>
          </cell>
          <cell r="J225">
            <v>0</v>
          </cell>
        </row>
        <row r="226">
          <cell r="B226" t="str">
            <v>ARIFIN GUSTIAN PRAMOKO</v>
          </cell>
          <cell r="C226" t="str">
            <v>DIVISI SURVEY</v>
          </cell>
          <cell r="D226" t="str">
            <v>CABANG UTAMA KLAS BATAM</v>
          </cell>
          <cell r="E226" t="str">
            <v>SURVEYOR SENIOR I B MEMPERTAHANKAN KLAS DIVISI SURVEY YANG DITEMPATKAN DI CABANG UTAMA KLAS BATAM</v>
          </cell>
          <cell r="F226" t="str">
            <v>arifin.gustian@bki.co.id</v>
          </cell>
          <cell r="G226" t="str">
            <v>081232243708</v>
          </cell>
          <cell r="H226" t="str">
            <v>6A</v>
          </cell>
          <cell r="I226">
            <v>250000</v>
          </cell>
          <cell r="J226">
            <v>0</v>
          </cell>
        </row>
        <row r="227">
          <cell r="B227" t="str">
            <v>SYARIFUDDIN YAMIN</v>
          </cell>
          <cell r="C227" t="str">
            <v>CABANG UTAMA KLAS BATAM</v>
          </cell>
          <cell r="D227" t="str">
            <v>CABANG UTAMA KLAS BATAM</v>
          </cell>
          <cell r="E227" t="str">
            <v xml:space="preserve">SURVEYOR </v>
          </cell>
          <cell r="F227" t="str">
            <v>syarifuddin.yamin@bki.co.id</v>
          </cell>
          <cell r="G227" t="str">
            <v>08114499912</v>
          </cell>
          <cell r="H227" t="str">
            <v>5C</v>
          </cell>
          <cell r="I227">
            <v>250000</v>
          </cell>
          <cell r="J227">
            <v>0</v>
          </cell>
        </row>
        <row r="228">
          <cell r="B228" t="str">
            <v xml:space="preserve">EDITYA ANGGAWIJAYA </v>
          </cell>
          <cell r="C228" t="str">
            <v>DIVISI SURVEY</v>
          </cell>
          <cell r="D228" t="str">
            <v>CABANG UTAMA KLAS BATAM</v>
          </cell>
          <cell r="E228" t="str">
            <v xml:space="preserve">SURVEYOR JUNIOR DIVISI SURVEY YANG DITEMPATKAN DI CABANG UTAMA KLAS BATAM </v>
          </cell>
          <cell r="F228" t="str">
            <v>editya.an@bki.co.id</v>
          </cell>
          <cell r="H228" t="str">
            <v>4C</v>
          </cell>
          <cell r="I228">
            <v>0</v>
          </cell>
          <cell r="J228">
            <v>0</v>
          </cell>
        </row>
        <row r="229">
          <cell r="B229" t="str">
            <v>JERI AGERISTA SEMBIRING</v>
          </cell>
          <cell r="C229" t="str">
            <v>DIVISI SURVEY</v>
          </cell>
          <cell r="D229" t="str">
            <v>CABANG UTAMA KLAS BATAM</v>
          </cell>
          <cell r="E229" t="str">
            <v>SURVEYOR JUNIOR DIVISI SURVEY YANG DITEMPATKAN DI CABANG UTAMA KLAS BATAM</v>
          </cell>
          <cell r="F229" t="str">
            <v>jeri.as@bki.co.id</v>
          </cell>
          <cell r="H229" t="str">
            <v>4C</v>
          </cell>
          <cell r="I229">
            <v>0</v>
          </cell>
          <cell r="J229">
            <v>0</v>
          </cell>
        </row>
        <row r="230">
          <cell r="B230" t="str">
            <v>AJI PRABOWO</v>
          </cell>
          <cell r="C230" t="str">
            <v>DIVISI OPERASI BISNIS KLASIFIKASI</v>
          </cell>
          <cell r="D230" t="str">
            <v>CABANG UTAMA KLAS BATAM</v>
          </cell>
          <cell r="E230" t="str">
            <v>SURVEYOR SENIOR II C KENDALI OPERASI YANG DITEMPATKAN DI CABANG UTAMA KLAS BATAM</v>
          </cell>
          <cell r="F230" t="str">
            <v>aji.prabowo@bki.co.id</v>
          </cell>
          <cell r="G230" t="str">
            <v>081703290234</v>
          </cell>
          <cell r="H230" t="str">
            <v>7C</v>
          </cell>
          <cell r="I230">
            <v>0</v>
          </cell>
          <cell r="J230">
            <v>0</v>
          </cell>
        </row>
        <row r="231">
          <cell r="B231" t="str">
            <v>DANI MAULANA</v>
          </cell>
          <cell r="C231" t="str">
            <v>DIVISI OPERASI BISNIS KLASIFIKASI</v>
          </cell>
          <cell r="D231" t="str">
            <v>CABANG UTAMA KLAS BATAM</v>
          </cell>
          <cell r="E231" t="str">
            <v>SURVEYOR SENIOR II A KENDALI OPERASI YANG DITEMPATKAN DI CABANG UTAMA KLAS BATAM</v>
          </cell>
          <cell r="F231" t="str">
            <v>dani@bki.co.id</v>
          </cell>
          <cell r="G231" t="str">
            <v>081266000243</v>
          </cell>
          <cell r="H231" t="str">
            <v>7A</v>
          </cell>
          <cell r="I231">
            <v>0</v>
          </cell>
          <cell r="J231">
            <v>0</v>
          </cell>
        </row>
        <row r="232">
          <cell r="B232" t="str">
            <v>AGUS SALIM</v>
          </cell>
          <cell r="C232" t="str">
            <v>CABANG UTAMA KLAS BATAM</v>
          </cell>
          <cell r="D232" t="str">
            <v>CABANG UTAMA KLAS BATAM</v>
          </cell>
          <cell r="E232" t="str">
            <v>STAF DUKUNGAN BISNIS</v>
          </cell>
          <cell r="F232" t="str">
            <v>agusalim@bki.co.id</v>
          </cell>
          <cell r="G232">
            <v>0</v>
          </cell>
          <cell r="H232" t="str">
            <v>-</v>
          </cell>
          <cell r="I232">
            <v>0</v>
          </cell>
          <cell r="J232">
            <v>0</v>
          </cell>
        </row>
        <row r="233">
          <cell r="B233" t="str">
            <v>MUHAMAD RAMA ALFANDI</v>
          </cell>
          <cell r="C233" t="str">
            <v>DIVISI PERSETUJUAN RANCANG BANGUN</v>
          </cell>
          <cell r="D233" t="str">
            <v>CABANG UTAMA KLAS BATAM</v>
          </cell>
          <cell r="E233" t="str">
            <v>STAF ADMINISTRASI PEMINDAH GAMBAR</v>
          </cell>
          <cell r="F233" t="str">
            <v>muhamad.alfandi@bki.co.id</v>
          </cell>
          <cell r="G233" t="str">
            <v>081334592305</v>
          </cell>
          <cell r="H233" t="str">
            <v>-</v>
          </cell>
          <cell r="I233">
            <v>0</v>
          </cell>
          <cell r="J233">
            <v>0</v>
          </cell>
        </row>
        <row r="234">
          <cell r="B234" t="str">
            <v>BENNI HERMAWAN</v>
          </cell>
          <cell r="C234" t="str">
            <v>CABANG UTAMA KLAS SAMARINDA</v>
          </cell>
          <cell r="D234" t="str">
            <v>CABANG UTAMA KLAS SAMARINDA</v>
          </cell>
          <cell r="E234" t="str">
            <v>KEPALA CABANG UTAMA KLAS SAMARINDA</v>
          </cell>
          <cell r="F234" t="str">
            <v>benni.hermawan@bki.co.id</v>
          </cell>
          <cell r="G234" t="str">
            <v>082245118789</v>
          </cell>
          <cell r="H234" t="str">
            <v>8A</v>
          </cell>
          <cell r="I234">
            <v>500000</v>
          </cell>
          <cell r="J234">
            <v>0</v>
          </cell>
        </row>
        <row r="235">
          <cell r="B235" t="str">
            <v>DAVID NOER SYUHADA</v>
          </cell>
          <cell r="C235" t="str">
            <v>CABANG UTAMA KLAS SAMARINDA</v>
          </cell>
          <cell r="D235" t="str">
            <v>CABANG UTAMA KLAS SAMARINDA</v>
          </cell>
          <cell r="E235" t="str">
            <v>SENIOR MANAGER OPERASI KLAS SAMARINDA</v>
          </cell>
          <cell r="F235" t="str">
            <v>davidnoers@bki.co.id</v>
          </cell>
          <cell r="G235" t="str">
            <v>081258724374</v>
          </cell>
          <cell r="H235" t="str">
            <v>7B</v>
          </cell>
          <cell r="I235">
            <v>350000</v>
          </cell>
          <cell r="J235">
            <v>0</v>
          </cell>
        </row>
        <row r="236">
          <cell r="B236" t="str">
            <v>STEFFY HERMAN</v>
          </cell>
          <cell r="C236" t="str">
            <v>CABANG UTAMA KLAS SAMARINDA</v>
          </cell>
          <cell r="D236" t="str">
            <v>CABANG UTAMA KLAS SAMARINDA</v>
          </cell>
          <cell r="E236" t="str">
            <v>SURVEYOR</v>
          </cell>
          <cell r="F236" t="str">
            <v>steffy.herman@bki.co.id</v>
          </cell>
          <cell r="G236" t="str">
            <v>0812 4130 6058</v>
          </cell>
          <cell r="H236" t="str">
            <v>5C</v>
          </cell>
          <cell r="I236">
            <v>0</v>
          </cell>
          <cell r="J236">
            <v>0</v>
          </cell>
        </row>
        <row r="237">
          <cell r="B237" t="str">
            <v>RIZKA PRASETYA</v>
          </cell>
          <cell r="C237" t="str">
            <v>CABANG UTAMA KLAS SAMARINDA</v>
          </cell>
          <cell r="D237" t="str">
            <v>CABANG UTAMA KLAS SAMARINDA</v>
          </cell>
          <cell r="E237" t="str">
            <v>ADMINISTRATOR SENIOR</v>
          </cell>
          <cell r="F237" t="str">
            <v>rizka.prasetya@bki.co.id</v>
          </cell>
          <cell r="G237" t="str">
            <v>0821 5956 0024</v>
          </cell>
          <cell r="H237" t="str">
            <v>3B</v>
          </cell>
          <cell r="I237">
            <v>0</v>
          </cell>
          <cell r="J237">
            <v>0</v>
          </cell>
        </row>
        <row r="238">
          <cell r="B238" t="str">
            <v>SYARIF NUHUNG</v>
          </cell>
          <cell r="C238" t="str">
            <v>CABANG UTAMA KLAS SAMARINDA</v>
          </cell>
          <cell r="D238" t="str">
            <v>CABANG UTAMA KLAS SAMARINDA</v>
          </cell>
          <cell r="E238" t="str">
            <v>SENIOR MANAGER PEMASARAN DAN DUKUNGAN BISNIS KLAS SAMARINDA</v>
          </cell>
          <cell r="F238" t="str">
            <v>syarif@bki.co.id</v>
          </cell>
          <cell r="G238" t="str">
            <v>081330351887</v>
          </cell>
          <cell r="H238" t="str">
            <v>7A</v>
          </cell>
          <cell r="I238">
            <v>0</v>
          </cell>
          <cell r="J238">
            <v>0</v>
          </cell>
        </row>
        <row r="239">
          <cell r="B239" t="str">
            <v>AGUSTINI</v>
          </cell>
          <cell r="C239" t="str">
            <v>CABANG UTAMA KLAS SAMARINDA</v>
          </cell>
          <cell r="D239" t="str">
            <v>CABANG UTAMA KLAS SAMARINDA</v>
          </cell>
          <cell r="E239" t="str">
            <v>ADMINISTRATOR SENIOR</v>
          </cell>
          <cell r="F239" t="str">
            <v>agustini@bki.co.id</v>
          </cell>
          <cell r="G239" t="str">
            <v>082242222260</v>
          </cell>
          <cell r="H239" t="str">
            <v>3B</v>
          </cell>
          <cell r="I239">
            <v>0</v>
          </cell>
          <cell r="J239">
            <v>0</v>
          </cell>
        </row>
        <row r="240">
          <cell r="B240" t="str">
            <v>DANI ISKANDAR</v>
          </cell>
          <cell r="C240" t="str">
            <v>CABANG UTAMA KLAS SAMARINDA</v>
          </cell>
          <cell r="D240" t="str">
            <v>CABANG UTAMA KLAS SAMARINDA</v>
          </cell>
          <cell r="E240" t="str">
            <v>OFFICER ADMINISTRASI UMUM</v>
          </cell>
          <cell r="F240" t="str">
            <v>dani.iskandar@bki.co.id</v>
          </cell>
          <cell r="G240" t="str">
            <v>0811543375</v>
          </cell>
          <cell r="H240" t="str">
            <v>4A</v>
          </cell>
          <cell r="I240">
            <v>0</v>
          </cell>
          <cell r="J240">
            <v>0</v>
          </cell>
        </row>
        <row r="241">
          <cell r="B241" t="str">
            <v>RANGSANG KUSUMADILAGA</v>
          </cell>
          <cell r="C241" t="str">
            <v>CABANG UTAMA KLAS SAMARINDA</v>
          </cell>
          <cell r="D241" t="str">
            <v>CABANG UTAMA KLAS SAMARINDA</v>
          </cell>
          <cell r="E241" t="str">
            <v>SURVEYOR</v>
          </cell>
          <cell r="F241" t="str">
            <v>rangsang.kusumadilaga@bki.co.id</v>
          </cell>
          <cell r="G241" t="str">
            <v>085877954649</v>
          </cell>
          <cell r="H241" t="str">
            <v>5C</v>
          </cell>
          <cell r="I241">
            <v>250000</v>
          </cell>
          <cell r="J241">
            <v>0</v>
          </cell>
        </row>
        <row r="242">
          <cell r="B242" t="str">
            <v>LA ODE ABDUL RAHMAN FIRU</v>
          </cell>
          <cell r="C242" t="str">
            <v>CABANG UTAMA KLAS SAMARINDA</v>
          </cell>
          <cell r="D242" t="str">
            <v>CABANG UTAMA KLAS SAMARINDA</v>
          </cell>
          <cell r="E242" t="str">
            <v>SURVEYOR SENIOR I A</v>
          </cell>
          <cell r="F242" t="str">
            <v>laode.arf@bki.co.id</v>
          </cell>
          <cell r="G242" t="str">
            <v>085255987950</v>
          </cell>
          <cell r="H242" t="str">
            <v>6A</v>
          </cell>
          <cell r="I242">
            <v>250000</v>
          </cell>
          <cell r="J242">
            <v>0</v>
          </cell>
        </row>
        <row r="243">
          <cell r="B243" t="str">
            <v>ABDUL KHOLICK</v>
          </cell>
          <cell r="C243" t="str">
            <v>CABANG UTAMA KLAS SAMARINDA</v>
          </cell>
          <cell r="D243" t="str">
            <v>CABANG UTAMA KLAS SAMARINDA</v>
          </cell>
          <cell r="E243" t="str">
            <v>SURVEYOR SENIOR I A</v>
          </cell>
          <cell r="F243" t="str">
            <v>abdul.kholick@bki.co.id</v>
          </cell>
          <cell r="G243" t="str">
            <v>0856 4808 6841</v>
          </cell>
          <cell r="H243" t="str">
            <v>6A</v>
          </cell>
          <cell r="I243">
            <v>250000</v>
          </cell>
          <cell r="J243">
            <v>0</v>
          </cell>
        </row>
        <row r="244">
          <cell r="B244" t="str">
            <v>AGUS ERICSON SIANIPAR</v>
          </cell>
          <cell r="C244" t="str">
            <v>CABANG UTAMA KLAS SAMARINDA</v>
          </cell>
          <cell r="D244" t="str">
            <v>CABANG UTAMA KLAS SAMARINDA</v>
          </cell>
          <cell r="E244" t="str">
            <v>SURVEYOR SENIOR I A</v>
          </cell>
          <cell r="F244" t="str">
            <v>agus.sianipar@bki.co.id</v>
          </cell>
          <cell r="G244" t="str">
            <v>0852 3005 1463</v>
          </cell>
          <cell r="H244" t="str">
            <v>6A</v>
          </cell>
          <cell r="I244">
            <v>250000</v>
          </cell>
          <cell r="J244">
            <v>0</v>
          </cell>
        </row>
        <row r="245">
          <cell r="B245" t="str">
            <v>RIDWAN</v>
          </cell>
          <cell r="C245" t="str">
            <v>CABANG UTAMA KLAS SAMARINDA</v>
          </cell>
          <cell r="D245" t="str">
            <v>CABANG UTAMA KLAS SAMARINDA</v>
          </cell>
          <cell r="E245" t="str">
            <v>ANALIS ADMINISTRASI UMUM &amp; KEUANGAN</v>
          </cell>
          <cell r="F245" t="str">
            <v>ridwan@bki.co.id</v>
          </cell>
          <cell r="G245" t="str">
            <v>081346234886</v>
          </cell>
          <cell r="H245" t="str">
            <v>5A</v>
          </cell>
          <cell r="I245">
            <v>0</v>
          </cell>
          <cell r="J245">
            <v>0</v>
          </cell>
        </row>
        <row r="246">
          <cell r="B246" t="str">
            <v>ANA RAHMAWATI</v>
          </cell>
          <cell r="C246" t="str">
            <v>CABANG UTAMA KLAS SAMARINDA</v>
          </cell>
          <cell r="D246" t="str">
            <v>CABANG UTAMA KLAS SAMARINDA</v>
          </cell>
          <cell r="E246" t="str">
            <v>MANAGER ADMINISTRASI UMUM &amp; KEUANGAN KLAS SAMARINDA</v>
          </cell>
          <cell r="F246" t="str">
            <v>ana@bki.co.id</v>
          </cell>
          <cell r="G246" t="str">
            <v>085247446300</v>
          </cell>
          <cell r="H246" t="str">
            <v>5C</v>
          </cell>
          <cell r="I246">
            <v>0</v>
          </cell>
          <cell r="J246">
            <v>0</v>
          </cell>
        </row>
        <row r="247">
          <cell r="B247" t="str">
            <v>DARMAWAN</v>
          </cell>
          <cell r="C247" t="str">
            <v>CABANG UTAMA KLAS SAMARINDA</v>
          </cell>
          <cell r="D247" t="str">
            <v>CABANG UTAMA KLAS SAMARINDA</v>
          </cell>
          <cell r="E247" t="str">
            <v>ADMINISTRATOR</v>
          </cell>
          <cell r="F247" t="str">
            <v>darmawan@bki.co.id</v>
          </cell>
          <cell r="G247" t="str">
            <v>081314193562</v>
          </cell>
          <cell r="H247" t="str">
            <v>2A</v>
          </cell>
          <cell r="I247">
            <v>0</v>
          </cell>
          <cell r="J247">
            <v>0</v>
          </cell>
        </row>
        <row r="248">
          <cell r="B248" t="str">
            <v>HANIF KURNIAWAN</v>
          </cell>
          <cell r="C248" t="str">
            <v>CABANG UTAMA KLAS SAMARINDA</v>
          </cell>
          <cell r="D248" t="str">
            <v>CABANG UTAMA KLAS SAMARINDA</v>
          </cell>
          <cell r="E248" t="str">
            <v xml:space="preserve">SURVEYOR JUNIOR </v>
          </cell>
          <cell r="F248" t="str">
            <v>hanif.kurniawan@bki.co.id</v>
          </cell>
          <cell r="G248" t="str">
            <v>085336351858</v>
          </cell>
          <cell r="H248" t="str">
            <v>4C</v>
          </cell>
          <cell r="I248">
            <v>0</v>
          </cell>
          <cell r="J248">
            <v>0</v>
          </cell>
        </row>
        <row r="249">
          <cell r="B249" t="str">
            <v>TIO ANTONI</v>
          </cell>
          <cell r="C249" t="str">
            <v>DIVISI SURVEY</v>
          </cell>
          <cell r="D249" t="str">
            <v>CABANG UTAMA KLAS SAMARINDA</v>
          </cell>
          <cell r="E249" t="str">
            <v>SURVEYOR PENERIMAAN KLAS DIVISI SURVEY YANG DITEMPATKAN DI CABANG UTAMA KLAS SAMARINDA</v>
          </cell>
          <cell r="F249" t="str">
            <v>tio.antoni@bki.co.id</v>
          </cell>
          <cell r="G249" t="str">
            <v>085278708477</v>
          </cell>
          <cell r="H249" t="str">
            <v>5C</v>
          </cell>
          <cell r="I249">
            <v>0</v>
          </cell>
          <cell r="J249">
            <v>0</v>
          </cell>
        </row>
        <row r="250">
          <cell r="B250" t="str">
            <v>BACHTIAR YUSUF HABIBI</v>
          </cell>
          <cell r="C250" t="str">
            <v>DIVISI SURVEY</v>
          </cell>
          <cell r="D250" t="str">
            <v>CABANG UTAMA KLAS SAMARINDA</v>
          </cell>
          <cell r="E250" t="str">
            <v>SURVEYOR MEMPERTAHANKAN KLAS DIVISI SURVEY YANG DITEMPATKAN DI CABANG UTAMA KLAS SAMARINDA</v>
          </cell>
          <cell r="F250" t="str">
            <v>by.habibi@bki.co.id</v>
          </cell>
          <cell r="G250" t="str">
            <v>085735074466</v>
          </cell>
          <cell r="H250" t="str">
            <v>5C</v>
          </cell>
          <cell r="I250">
            <v>0</v>
          </cell>
          <cell r="J250">
            <v>0</v>
          </cell>
        </row>
        <row r="251">
          <cell r="B251" t="str">
            <v>JOUSTRA BILLY</v>
          </cell>
          <cell r="C251" t="str">
            <v>DIVISI OPERASI BISNIS KLASIFIKASI</v>
          </cell>
          <cell r="D251" t="str">
            <v>CABANG UTAMA KLAS SAMARINDA</v>
          </cell>
          <cell r="E251" t="str">
            <v>SURVEYOR SENIOR I C KENDALI OPERASI YANG DITEMPATKAN DI CABANG UTAMA KLAS SAMARINDA</v>
          </cell>
          <cell r="F251" t="str">
            <v>joustra@bki.co.id</v>
          </cell>
          <cell r="G251" t="str">
            <v>081241404696</v>
          </cell>
          <cell r="H251" t="str">
            <v>6C</v>
          </cell>
          <cell r="I251">
            <v>0</v>
          </cell>
          <cell r="J251">
            <v>0</v>
          </cell>
        </row>
        <row r="252">
          <cell r="B252" t="str">
            <v>AWALUDDIN PAINGNGI</v>
          </cell>
          <cell r="C252" t="str">
            <v>DIVISI OPERASI BISNIS KLASIFIKASI</v>
          </cell>
          <cell r="D252" t="str">
            <v>CABANG UTAMA KLAS SAMARINDA</v>
          </cell>
          <cell r="E252" t="str">
            <v>SURVEYOR SENIOR I B KENDALI OPERASI YANG DITEMPATKAN DI CABANG UTAMA KLAS SAMARINDA</v>
          </cell>
          <cell r="F252" t="str">
            <v>awaluddin@bki.co.id</v>
          </cell>
          <cell r="G252" t="str">
            <v>0818805342</v>
          </cell>
          <cell r="H252" t="str">
            <v>6B</v>
          </cell>
          <cell r="I252">
            <v>250000</v>
          </cell>
          <cell r="J252">
            <v>3402778</v>
          </cell>
        </row>
        <row r="253">
          <cell r="B253" t="str">
            <v>MUSHAWWIR RAZAK</v>
          </cell>
          <cell r="C253" t="str">
            <v>DIVISI OPERASI BISNIS KLASIFIKASI</v>
          </cell>
          <cell r="D253" t="str">
            <v>CABANG UTAMA KLAS SAMARINDA</v>
          </cell>
          <cell r="E253" t="str">
            <v>SURVEYOR SENIOR I C KENDALI OPERASI YANG DITEMPATKAN DI CABANG UTAMA KLAS SAMARINDA</v>
          </cell>
          <cell r="F253" t="str">
            <v>mushawwir@bki.co.id</v>
          </cell>
          <cell r="G253" t="str">
            <v>0811915320</v>
          </cell>
          <cell r="H253" t="str">
            <v>6C</v>
          </cell>
          <cell r="I253">
            <v>250000</v>
          </cell>
          <cell r="J253">
            <v>0</v>
          </cell>
        </row>
        <row r="254">
          <cell r="B254" t="str">
            <v>TINA AKSARANI</v>
          </cell>
          <cell r="C254" t="str">
            <v>CABANG UTAMA KLAS SAMARINDA</v>
          </cell>
          <cell r="D254" t="str">
            <v>CABANG UTAMA KLAS SAMARINDA</v>
          </cell>
          <cell r="E254" t="str">
            <v>STAF DUKUNGAN BISNIS</v>
          </cell>
          <cell r="F254" t="str">
            <v>tina.aksarani@bki.co.id</v>
          </cell>
          <cell r="G254">
            <v>0</v>
          </cell>
          <cell r="H254" t="str">
            <v>-</v>
          </cell>
          <cell r="I254">
            <v>0</v>
          </cell>
          <cell r="J254">
            <v>0</v>
          </cell>
        </row>
        <row r="255">
          <cell r="B255" t="str">
            <v>AJENG KURNIA IMANSARI</v>
          </cell>
          <cell r="C255" t="str">
            <v>CABANG UTAMA KLAS SAMARINDA</v>
          </cell>
          <cell r="D255" t="str">
            <v>CABANG UTAMA KLAS SAMARINDA</v>
          </cell>
          <cell r="E255" t="str">
            <v>STAF DUKUNGAN BISNIS</v>
          </cell>
          <cell r="F255" t="str">
            <v>ajeng.kurnia@bki.co.id</v>
          </cell>
          <cell r="G255">
            <v>0</v>
          </cell>
          <cell r="H255" t="str">
            <v>-</v>
          </cell>
          <cell r="I255">
            <v>0</v>
          </cell>
          <cell r="J255">
            <v>0</v>
          </cell>
        </row>
        <row r="256">
          <cell r="B256" t="str">
            <v>MUHAMMAD FADLI AMIR</v>
          </cell>
          <cell r="C256" t="str">
            <v>CABANG UTAMA KLAS SAMARINDA</v>
          </cell>
          <cell r="D256" t="str">
            <v>CABANG UTAMA KLAS SAMARINDA</v>
          </cell>
          <cell r="E256" t="str">
            <v>STAF DUKUNGAN BISNIS</v>
          </cell>
          <cell r="F256" t="str">
            <v>muhammad.fadli@bki.co.id</v>
          </cell>
          <cell r="G256" t="str">
            <v>0813 5076 7776</v>
          </cell>
          <cell r="H256" t="str">
            <v>-</v>
          </cell>
          <cell r="I256">
            <v>0</v>
          </cell>
          <cell r="J256">
            <v>0</v>
          </cell>
        </row>
        <row r="257">
          <cell r="B257" t="str">
            <v>TOMMY NUR ADITYA</v>
          </cell>
          <cell r="C257" t="str">
            <v>CABANG UTAMA KLAS SAMARINDA</v>
          </cell>
          <cell r="D257" t="str">
            <v>CABANG UTAMA KLAS SAMARINDA</v>
          </cell>
          <cell r="E257" t="str">
            <v>STAF DUKUNGAN BISNIS</v>
          </cell>
          <cell r="F257" t="str">
            <v>tommy.nur@bki.co.id</v>
          </cell>
          <cell r="G257" t="str">
            <v>0852 5030 3099</v>
          </cell>
          <cell r="H257" t="str">
            <v>-</v>
          </cell>
          <cell r="I257">
            <v>0</v>
          </cell>
          <cell r="J257">
            <v>0</v>
          </cell>
        </row>
        <row r="258">
          <cell r="B258" t="str">
            <v>TAMZIL FADILLAH HARDONO</v>
          </cell>
          <cell r="C258" t="str">
            <v>CABANG UTAMA KLAS SAMARINDA</v>
          </cell>
          <cell r="D258" t="str">
            <v>CABANG UTAMA KLAS SAMARINDA</v>
          </cell>
          <cell r="E258" t="str">
            <v>STAF DUKUNGAN BISNIS</v>
          </cell>
          <cell r="F258" t="str">
            <v>tamzil.fadillah@bki.co.id</v>
          </cell>
          <cell r="G258" t="str">
            <v>0812 1721 0250</v>
          </cell>
          <cell r="H258" t="str">
            <v>-</v>
          </cell>
          <cell r="I258">
            <v>0</v>
          </cell>
          <cell r="J258">
            <v>0</v>
          </cell>
        </row>
        <row r="259">
          <cell r="B259" t="str">
            <v>IRZAN AZIS</v>
          </cell>
          <cell r="C259" t="str">
            <v>CABANG UTAMA KLAS SURABAYA</v>
          </cell>
          <cell r="D259" t="str">
            <v>CABANG UTAMA KLAS SURABAYA</v>
          </cell>
          <cell r="E259" t="str">
            <v>SURVEYOR SENIOR I A</v>
          </cell>
          <cell r="F259" t="str">
            <v>irzan.azis@bki.co.id</v>
          </cell>
          <cell r="G259" t="str">
            <v>082220431983</v>
          </cell>
          <cell r="H259" t="str">
            <v>6A</v>
          </cell>
          <cell r="I259">
            <v>0</v>
          </cell>
          <cell r="J259">
            <v>0</v>
          </cell>
        </row>
        <row r="260">
          <cell r="B260" t="str">
            <v>ALFAN FADHLI</v>
          </cell>
          <cell r="C260" t="str">
            <v>CABANG UTAMA KLAS SURABAYA</v>
          </cell>
          <cell r="D260" t="str">
            <v>CABANG UTAMA KLAS SURABAYA</v>
          </cell>
          <cell r="E260" t="str">
            <v>SURVEYOR SENIOR I A</v>
          </cell>
          <cell r="F260" t="str">
            <v>alfan.fadhli@bki.co.id</v>
          </cell>
          <cell r="G260" t="str">
            <v>085735630613</v>
          </cell>
          <cell r="H260" t="str">
            <v>6A</v>
          </cell>
          <cell r="I260">
            <v>0</v>
          </cell>
          <cell r="J260">
            <v>0</v>
          </cell>
        </row>
        <row r="261">
          <cell r="B261" t="str">
            <v>ANUGRAH EKO BUDI SUSANTO</v>
          </cell>
          <cell r="C261" t="str">
            <v>CABANG UTAMA KLAS SURABAYA</v>
          </cell>
          <cell r="D261" t="str">
            <v>CABANG UTAMA KLAS SURABAYA</v>
          </cell>
          <cell r="E261" t="str">
            <v>SURVEYOR SENIOR I A</v>
          </cell>
          <cell r="F261" t="str">
            <v>anugrah.eko@bki.co.id</v>
          </cell>
          <cell r="G261" t="str">
            <v>085645192207</v>
          </cell>
          <cell r="H261" t="str">
            <v>6A</v>
          </cell>
          <cell r="I261">
            <v>0</v>
          </cell>
          <cell r="J261">
            <v>0</v>
          </cell>
        </row>
        <row r="262">
          <cell r="B262" t="str">
            <v>BAMBANG RIYANTO</v>
          </cell>
          <cell r="C262" t="str">
            <v>CABANG UTAMA KLAS SURABAYA</v>
          </cell>
          <cell r="D262" t="str">
            <v>CABANG UTAMA KLAS SURABAYA</v>
          </cell>
          <cell r="E262" t="str">
            <v>KEPALA CABANG UTAMA KLAS SURABAYA</v>
          </cell>
          <cell r="F262" t="str">
            <v>bambang.riyanto@bki.co.id</v>
          </cell>
          <cell r="G262" t="str">
            <v>08123562306</v>
          </cell>
          <cell r="H262" t="str">
            <v>8A</v>
          </cell>
          <cell r="I262">
            <v>350000</v>
          </cell>
          <cell r="J262">
            <v>0</v>
          </cell>
        </row>
        <row r="263">
          <cell r="B263" t="str">
            <v>BAKTI NUGROHO DWI KUSHADIANTO</v>
          </cell>
          <cell r="C263" t="str">
            <v>CABANG UTAMA KLAS SURABAYA</v>
          </cell>
          <cell r="D263" t="str">
            <v>CABANG UTAMA KLAS SURABAYA</v>
          </cell>
          <cell r="E263" t="str">
            <v>SENIOR MANAGER PEMASARAN &amp; DUKUNGAN BISNIS KLAS SURABAYA</v>
          </cell>
          <cell r="F263" t="str">
            <v>bakti.nugroho@bki.co.id</v>
          </cell>
          <cell r="G263" t="str">
            <v>081219555444</v>
          </cell>
          <cell r="H263" t="str">
            <v>7A</v>
          </cell>
          <cell r="I263">
            <v>250000</v>
          </cell>
          <cell r="J263">
            <v>0</v>
          </cell>
        </row>
        <row r="264">
          <cell r="B264" t="str">
            <v>AGUNG WICAKSONO</v>
          </cell>
          <cell r="C264" t="str">
            <v>CABANG UTAMA KLAS SURABAYA</v>
          </cell>
          <cell r="D264" t="str">
            <v>CABANG UTAMA KLAS SURABAYA</v>
          </cell>
          <cell r="E264" t="str">
            <v>SENIOR MANAGER OPERASI KLAS SURABAYA</v>
          </cell>
          <cell r="F264" t="str">
            <v>agung.wicaksono@bki.co.id</v>
          </cell>
          <cell r="G264" t="str">
            <v>0811971970</v>
          </cell>
          <cell r="H264" t="str">
            <v>7B</v>
          </cell>
          <cell r="I264">
            <v>0</v>
          </cell>
          <cell r="J264">
            <v>0</v>
          </cell>
        </row>
        <row r="265">
          <cell r="B265" t="str">
            <v>TAMUJI HARI WARTONO</v>
          </cell>
          <cell r="C265" t="str">
            <v>CABANG UTAMA KLAS SURABAYA</v>
          </cell>
          <cell r="D265" t="str">
            <v>CABANG UTAMA KLAS SURABAYA</v>
          </cell>
          <cell r="E265" t="str">
            <v>MANAGER ADMINISTRASI UMUM &amp; KEUANGAN KLAS SURABAYA</v>
          </cell>
          <cell r="F265" t="str">
            <v>tamuji@bki.co.id</v>
          </cell>
          <cell r="G265" t="str">
            <v>081346591400</v>
          </cell>
          <cell r="H265" t="str">
            <v>5C</v>
          </cell>
          <cell r="I265">
            <v>0</v>
          </cell>
          <cell r="J265">
            <v>0</v>
          </cell>
        </row>
        <row r="266">
          <cell r="B266" t="str">
            <v>IKA DIAN ARIANY</v>
          </cell>
          <cell r="C266" t="str">
            <v>CABANG UTAMA KLAS SURABAYA</v>
          </cell>
          <cell r="D266" t="str">
            <v>CABANG UTAMA KLAS SURABAYA</v>
          </cell>
          <cell r="E266" t="str">
            <v>ADMINISTRATOR SENIOR</v>
          </cell>
          <cell r="F266" t="str">
            <v>ika.da@bki.co.id</v>
          </cell>
          <cell r="G266" t="str">
            <v>081331278631</v>
          </cell>
          <cell r="H266" t="str">
            <v>3B</v>
          </cell>
          <cell r="I266">
            <v>0</v>
          </cell>
          <cell r="J266">
            <v>0</v>
          </cell>
        </row>
        <row r="267">
          <cell r="B267" t="str">
            <v>FITRIA</v>
          </cell>
          <cell r="C267" t="str">
            <v>CABANG UTAMA KLAS SURABAYA</v>
          </cell>
          <cell r="D267" t="str">
            <v>CABANG UTAMA KLAS SURABAYA</v>
          </cell>
          <cell r="E267" t="str">
            <v>OFFICER ADMINISTRASI UMUM</v>
          </cell>
          <cell r="F267" t="str">
            <v>fitria@bki.co.id</v>
          </cell>
          <cell r="G267" t="str">
            <v>085748339599</v>
          </cell>
          <cell r="H267" t="str">
            <v>4A</v>
          </cell>
          <cell r="I267">
            <v>0</v>
          </cell>
          <cell r="J267">
            <v>0</v>
          </cell>
        </row>
        <row r="268">
          <cell r="B268" t="str">
            <v>ABUKASIM USMAN</v>
          </cell>
          <cell r="C268" t="str">
            <v>CABANG UTAMA KLAS SURABAYA</v>
          </cell>
          <cell r="D268" t="str">
            <v>CABANG UTAMA KLAS SURABAYA</v>
          </cell>
          <cell r="E268" t="str">
            <v>SUPIR</v>
          </cell>
          <cell r="F268" t="str">
            <v>abukasim@bki.co.id</v>
          </cell>
          <cell r="G268" t="str">
            <v>081357235990</v>
          </cell>
          <cell r="H268" t="str">
            <v>1A</v>
          </cell>
          <cell r="I268">
            <v>150000</v>
          </cell>
          <cell r="J268">
            <v>0</v>
          </cell>
        </row>
        <row r="269">
          <cell r="B269" t="str">
            <v>SILVIA KARULITA</v>
          </cell>
          <cell r="C269" t="str">
            <v>CABANG UTAMA KLAS SURABAYA</v>
          </cell>
          <cell r="D269" t="str">
            <v>CABANG UTAMA KLAS SURABAYA</v>
          </cell>
          <cell r="E269" t="str">
            <v>ADMINISTRATOR</v>
          </cell>
          <cell r="F269" t="str">
            <v>silvia@bki.co.id</v>
          </cell>
          <cell r="G269" t="str">
            <v>089682785449</v>
          </cell>
          <cell r="H269" t="str">
            <v>2A</v>
          </cell>
          <cell r="I269">
            <v>0</v>
          </cell>
          <cell r="J269">
            <v>0</v>
          </cell>
        </row>
        <row r="270">
          <cell r="B270" t="str">
            <v>NURUL HUDA</v>
          </cell>
          <cell r="C270" t="str">
            <v>CABANG UTAMA KLAS SURABAYA</v>
          </cell>
          <cell r="D270" t="str">
            <v>CABANG UTAMA KLAS SURABAYA</v>
          </cell>
          <cell r="E270" t="str">
            <v>ADMINISTRATOR</v>
          </cell>
          <cell r="F270" t="str">
            <v>nurul.huda@bki.co.id</v>
          </cell>
          <cell r="G270" t="str">
            <v>081357054921</v>
          </cell>
          <cell r="H270" t="str">
            <v>2A</v>
          </cell>
          <cell r="I270">
            <v>150000</v>
          </cell>
          <cell r="J270">
            <v>0</v>
          </cell>
        </row>
        <row r="271">
          <cell r="B271" t="str">
            <v>TEGUH BUDI SANTOSO</v>
          </cell>
          <cell r="C271" t="str">
            <v>DIVISI OPERASI BISNIS KLASIFIKASI</v>
          </cell>
          <cell r="D271" t="str">
            <v>CABANG UTAMA KLAS SURABAYA</v>
          </cell>
          <cell r="E271" t="str">
            <v>SURVEYOR SENIOR II B KENDALI OPERASI YANG DITEMPATKAN DI CABANG UTAMA KLAS SURABAYA</v>
          </cell>
          <cell r="F271" t="str">
            <v>teguh@bki.co.id</v>
          </cell>
          <cell r="G271" t="str">
            <v>081332223764</v>
          </cell>
          <cell r="H271" t="str">
            <v>7B</v>
          </cell>
          <cell r="I271">
            <v>250000</v>
          </cell>
          <cell r="J271">
            <v>0</v>
          </cell>
        </row>
        <row r="272">
          <cell r="B272" t="str">
            <v>RIDWAN AHMAD FAUZI</v>
          </cell>
          <cell r="C272" t="str">
            <v>CABANG UTAMA KLAS SURABAYA</v>
          </cell>
          <cell r="D272" t="str">
            <v>CABANG UTAMA KLAS SURABAYA</v>
          </cell>
          <cell r="E272" t="str">
            <v>SURVEYOR SENIOR I A</v>
          </cell>
          <cell r="F272" t="str">
            <v>ridwan.af@bki.co.id</v>
          </cell>
          <cell r="G272" t="str">
            <v>081283576001</v>
          </cell>
          <cell r="H272" t="str">
            <v>6A</v>
          </cell>
          <cell r="I272">
            <v>150000</v>
          </cell>
          <cell r="J272">
            <v>0</v>
          </cell>
        </row>
        <row r="273">
          <cell r="B273" t="str">
            <v>YOGIA RIVALDHI</v>
          </cell>
          <cell r="C273" t="str">
            <v>CABANG UTAMA KLAS SURABAYA</v>
          </cell>
          <cell r="D273" t="str">
            <v>CABANG UTAMA KLAS SURABAYA</v>
          </cell>
          <cell r="E273" t="str">
            <v>SURVEYOR SENIOR I A CABANG UTAMA KLAS SURABAYA YANG DITEMPATKAN DI LEMBAR</v>
          </cell>
          <cell r="F273" t="str">
            <v>yogia.rivaldhi@bki.co.id</v>
          </cell>
          <cell r="G273" t="str">
            <v>081284546066</v>
          </cell>
          <cell r="H273" t="str">
            <v>6A</v>
          </cell>
          <cell r="I273">
            <v>0</v>
          </cell>
          <cell r="J273">
            <v>0</v>
          </cell>
        </row>
        <row r="274">
          <cell r="B274" t="str">
            <v>AHMAD SAIFULLOH</v>
          </cell>
          <cell r="C274" t="str">
            <v>CABANG UTAMA KLAS SURABAYA</v>
          </cell>
          <cell r="D274" t="str">
            <v>CABANG UTAMA KLAS SURABAYA</v>
          </cell>
          <cell r="E274" t="str">
            <v>ANALIS ADMINISTRASI UMUM &amp; KEUANGAN</v>
          </cell>
          <cell r="F274" t="str">
            <v>ahmad.saifulloh@bki.co.id</v>
          </cell>
          <cell r="G274" t="str">
            <v>082139958425</v>
          </cell>
          <cell r="H274" t="str">
            <v>5A</v>
          </cell>
          <cell r="I274">
            <v>0</v>
          </cell>
          <cell r="J274">
            <v>0</v>
          </cell>
        </row>
        <row r="275">
          <cell r="B275" t="str">
            <v>SAMSUL ARIF</v>
          </cell>
          <cell r="C275" t="str">
            <v>CABANG UTAMA KLAS SURABAYA</v>
          </cell>
          <cell r="D275" t="str">
            <v>CABANG UTAMA KLAS SURABAYA</v>
          </cell>
          <cell r="E275" t="str">
            <v>SURVEYOR SENIOR I A CABANG UTAMA KLAS SURABAYA YANG DITEMPATKAN DI LEMBAR</v>
          </cell>
          <cell r="F275" t="str">
            <v>samsul.arif@bki.co.id</v>
          </cell>
          <cell r="G275" t="str">
            <v>081284357777</v>
          </cell>
          <cell r="H275" t="str">
            <v>6A</v>
          </cell>
          <cell r="I275">
            <v>0</v>
          </cell>
          <cell r="J275">
            <v>0</v>
          </cell>
        </row>
        <row r="276">
          <cell r="B276" t="str">
            <v>ABDUL HAKIM LILLAH</v>
          </cell>
          <cell r="C276" t="str">
            <v>CABANG UTAMA KLAS SURABAYA</v>
          </cell>
          <cell r="D276" t="str">
            <v>CABANG UTAMA KLAS SURABAYA</v>
          </cell>
          <cell r="E276" t="str">
            <v xml:space="preserve">SURVEYOR JUNIOR </v>
          </cell>
          <cell r="F276" t="str">
            <v>abdul.hakim@bki.co.id</v>
          </cell>
          <cell r="G276" t="str">
            <v>081215077665</v>
          </cell>
          <cell r="H276" t="str">
            <v>4C</v>
          </cell>
          <cell r="I276">
            <v>0</v>
          </cell>
          <cell r="J276">
            <v>0</v>
          </cell>
        </row>
        <row r="277">
          <cell r="B277" t="str">
            <v>ADITYA ARIAWAN</v>
          </cell>
          <cell r="C277" t="str">
            <v>CABANG UTAMA KLAS SURABAYA</v>
          </cell>
          <cell r="D277" t="str">
            <v>CABANG UTAMA KLAS SURABAYA</v>
          </cell>
          <cell r="E277" t="str">
            <v xml:space="preserve">SURVEYOR JUNIOR  </v>
          </cell>
          <cell r="F277" t="str">
            <v>aditya.ariawan@bki.co.id</v>
          </cell>
          <cell r="G277" t="str">
            <v>085156882906</v>
          </cell>
          <cell r="H277" t="str">
            <v>4C</v>
          </cell>
          <cell r="I277">
            <v>0</v>
          </cell>
          <cell r="J277">
            <v>0</v>
          </cell>
        </row>
        <row r="278">
          <cell r="B278" t="str">
            <v>ALIF YUDHA ASHARI</v>
          </cell>
          <cell r="C278" t="str">
            <v>CABANG UTAMA KLAS SURABAYA</v>
          </cell>
          <cell r="D278" t="str">
            <v>CABANG UTAMA KLAS SURABAYA</v>
          </cell>
          <cell r="E278" t="str">
            <v xml:space="preserve">SURVEYOR JUNIOR  </v>
          </cell>
          <cell r="F278" t="str">
            <v>alif.yudha@bki.co.id</v>
          </cell>
          <cell r="G278" t="str">
            <v>083831110483</v>
          </cell>
          <cell r="H278" t="str">
            <v>4C</v>
          </cell>
          <cell r="I278">
            <v>0</v>
          </cell>
          <cell r="J278">
            <v>0</v>
          </cell>
        </row>
        <row r="279">
          <cell r="B279" t="str">
            <v>LINTANG BODRORINI KUSUMANINGRUM</v>
          </cell>
          <cell r="C279" t="str">
            <v>CABANG UTAMA KLAS SURABAYA</v>
          </cell>
          <cell r="D279" t="str">
            <v>CABANG UTAMA KLAS SURABAYA</v>
          </cell>
          <cell r="E279" t="str">
            <v>ADMINISTRATOR SENIOR</v>
          </cell>
          <cell r="F279" t="str">
            <v>lintang.kusuma@bki.co.id</v>
          </cell>
          <cell r="G279" t="str">
            <v>085648362006</v>
          </cell>
          <cell r="H279" t="str">
            <v>3B</v>
          </cell>
          <cell r="I279">
            <v>0</v>
          </cell>
          <cell r="J279">
            <v>0</v>
          </cell>
        </row>
        <row r="280">
          <cell r="B280" t="str">
            <v>MAHESA SAGA</v>
          </cell>
          <cell r="C280" t="str">
            <v>DIVISI SURVEY</v>
          </cell>
          <cell r="D280" t="str">
            <v>CABANG UTAMA KLAS SURABAYA</v>
          </cell>
          <cell r="E280" t="str">
            <v>SURVEYOR PENERIMAAN KLAS YANG DITEMPATKAN DI CABANG UTAMA KLAS SURABAYA</v>
          </cell>
          <cell r="F280" t="str">
            <v>mahesa@bki.co.id</v>
          </cell>
          <cell r="G280" t="str">
            <v>081335849930</v>
          </cell>
          <cell r="H280" t="str">
            <v>5C</v>
          </cell>
          <cell r="I280">
            <v>250000</v>
          </cell>
          <cell r="J280">
            <v>0</v>
          </cell>
        </row>
        <row r="281">
          <cell r="B281" t="str">
            <v>HAFIDS DICKY KHARISMA</v>
          </cell>
          <cell r="C281" t="str">
            <v>DIVISI SURVEY</v>
          </cell>
          <cell r="D281" t="str">
            <v>CABANG UTAMA KLAS SURABAYA</v>
          </cell>
          <cell r="E281" t="str">
            <v>SURVEYOR PENERIMAAN KLAS DIVISI SURVEY YANG DITEMPATKAN DI CABANG UTAMA KLAS SURABAYA</v>
          </cell>
          <cell r="F281" t="str">
            <v>hafids.kharisma@bki.co.id</v>
          </cell>
          <cell r="G281" t="str">
            <v>085730384844</v>
          </cell>
          <cell r="H281" t="str">
            <v>5C</v>
          </cell>
          <cell r="I281">
            <v>0</v>
          </cell>
          <cell r="J281">
            <v>0</v>
          </cell>
        </row>
        <row r="282">
          <cell r="B282" t="str">
            <v>MUHAMMAD AZMI NAUFAL MUNIF</v>
          </cell>
          <cell r="C282" t="str">
            <v>DIVISI SURVEY</v>
          </cell>
          <cell r="D282" t="str">
            <v>CABANG UTAMA KLAS SURABAYA</v>
          </cell>
          <cell r="E282" t="str">
            <v xml:space="preserve">SURVEYOR JUNIOR DIVISI SURVEY YANG DITEMPATKAN DI CABANG UTAMA KLAS SURABAYA </v>
          </cell>
          <cell r="F282" t="str">
            <v>m.azmi@bki.co.id</v>
          </cell>
          <cell r="H282" t="str">
            <v>4C</v>
          </cell>
          <cell r="I282">
            <v>0</v>
          </cell>
          <cell r="J282">
            <v>0</v>
          </cell>
        </row>
        <row r="283">
          <cell r="B283" t="str">
            <v>MUHAMMAD FADHILAL MURSYID</v>
          </cell>
          <cell r="C283" t="str">
            <v>DIVISI SURVEY</v>
          </cell>
          <cell r="D283" t="str">
            <v>CABANG UTAMA KLAS SURABAYA</v>
          </cell>
          <cell r="E283" t="str">
            <v xml:space="preserve">SURVEYOR JUNIOR DIVISI SURVEY YANG DITEMPATKAN DI CABANG UTAMA KLAS SURABAYA </v>
          </cell>
          <cell r="F283" t="str">
            <v>m.fadhilal@bki.co.id</v>
          </cell>
          <cell r="H283" t="str">
            <v>4C</v>
          </cell>
          <cell r="I283">
            <v>0</v>
          </cell>
          <cell r="J283">
            <v>0</v>
          </cell>
        </row>
        <row r="284">
          <cell r="B284" t="str">
            <v>AGUSTANG</v>
          </cell>
          <cell r="C284" t="str">
            <v>CABANG UTAMA KLAS TG.PRIOK</v>
          </cell>
          <cell r="D284" t="str">
            <v>CABANG UTAMA KLAS TG.PRIOK</v>
          </cell>
          <cell r="E284" t="str">
            <v>SURVEYOR SENIOR I A</v>
          </cell>
          <cell r="F284" t="str">
            <v>agustang@bki.co.id</v>
          </cell>
          <cell r="G284" t="str">
            <v/>
          </cell>
          <cell r="H284" t="str">
            <v>6A</v>
          </cell>
          <cell r="I284">
            <v>0</v>
          </cell>
          <cell r="J284">
            <v>0</v>
          </cell>
        </row>
        <row r="285">
          <cell r="B285" t="str">
            <v>ARIF KURNIAWAN</v>
          </cell>
          <cell r="C285" t="str">
            <v>DIVISI OPERASI BISNIS KLASIFIKASI</v>
          </cell>
          <cell r="D285" t="str">
            <v>CABANG UTAMA KLAS TG.PRIOK</v>
          </cell>
          <cell r="E285" t="str">
            <v>SURVEYOR SENIOR I C KENDALI OPERASI YANG DITEMPATKAN DI CABANG UTAMA KLAS TG. PRIOK</v>
          </cell>
          <cell r="F285" t="str">
            <v>ariefkurniawan@bki.co.id</v>
          </cell>
          <cell r="G285" t="str">
            <v>081222225772</v>
          </cell>
          <cell r="H285" t="str">
            <v>6C</v>
          </cell>
          <cell r="I285">
            <v>0</v>
          </cell>
          <cell r="J285">
            <v>0</v>
          </cell>
        </row>
        <row r="286">
          <cell r="B286" t="str">
            <v>JANU HARI MURTITAKA</v>
          </cell>
          <cell r="C286" t="str">
            <v>CABANG UTAMA KLAS TG.PRIOK</v>
          </cell>
          <cell r="D286" t="str">
            <v>CABANG UTAMA KLAS TG.PRIOK</v>
          </cell>
          <cell r="E286" t="str">
            <v>SURVEYOR</v>
          </cell>
          <cell r="F286" t="str">
            <v>janutaka@bki.co.id</v>
          </cell>
          <cell r="G286" t="str">
            <v>0856 5566 0574</v>
          </cell>
          <cell r="H286" t="str">
            <v>5C</v>
          </cell>
          <cell r="I286">
            <v>0</v>
          </cell>
          <cell r="J286">
            <v>0</v>
          </cell>
        </row>
        <row r="287">
          <cell r="B287" t="str">
            <v>MUHAMAD BAQI</v>
          </cell>
          <cell r="C287" t="str">
            <v>CABANG UTAMA KLAS TG.PRIOK</v>
          </cell>
          <cell r="D287" t="str">
            <v>CABANG UTAMA KLAS TG.PRIOK</v>
          </cell>
          <cell r="E287" t="str">
            <v>SURVEYOR</v>
          </cell>
          <cell r="F287" t="str">
            <v>muhamad.baqi@bki.co.id</v>
          </cell>
          <cell r="G287" t="str">
            <v>081285824343</v>
          </cell>
          <cell r="H287" t="str">
            <v>5C</v>
          </cell>
          <cell r="I287">
            <v>250000</v>
          </cell>
          <cell r="J287">
            <v>0</v>
          </cell>
        </row>
        <row r="288">
          <cell r="B288" t="str">
            <v>AKBAR RAKANDA PRAKASA</v>
          </cell>
          <cell r="C288" t="str">
            <v>CABANG UTAMA KLAS TG.PRIOK</v>
          </cell>
          <cell r="D288" t="str">
            <v>CABANG UTAMA KLAS TG.PRIOK</v>
          </cell>
          <cell r="E288" t="str">
            <v>ANALIS TEKNIK</v>
          </cell>
          <cell r="F288" t="str">
            <v>akbar.rp@bki.co.id</v>
          </cell>
          <cell r="G288" t="str">
            <v>0856 768 0798</v>
          </cell>
          <cell r="H288" t="str">
            <v>5C</v>
          </cell>
          <cell r="I288">
            <v>0</v>
          </cell>
          <cell r="J288">
            <v>0</v>
          </cell>
        </row>
        <row r="289">
          <cell r="B289" t="str">
            <v>SOLEH ABIDIN</v>
          </cell>
          <cell r="C289" t="str">
            <v>CABANG UTAMA KLAS TG.PRIOK</v>
          </cell>
          <cell r="D289" t="str">
            <v>CABANG UTAMA KLAS TG.PRIOK</v>
          </cell>
          <cell r="E289" t="str">
            <v>ADMINISTRATOR SENIOR</v>
          </cell>
          <cell r="F289" t="str">
            <v>soleh.abidin@bki.co.id</v>
          </cell>
          <cell r="G289" t="str">
            <v>081218022729</v>
          </cell>
          <cell r="H289" t="str">
            <v>3B</v>
          </cell>
          <cell r="I289">
            <v>150000</v>
          </cell>
          <cell r="J289">
            <v>7597381</v>
          </cell>
        </row>
        <row r="290">
          <cell r="B290" t="str">
            <v>KARMILA</v>
          </cell>
          <cell r="C290" t="str">
            <v>CABANG UTAMA KLAS TG.PRIOK</v>
          </cell>
          <cell r="D290" t="str">
            <v>CABANG UTAMA KLAS TG.PRIOK</v>
          </cell>
          <cell r="E290" t="str">
            <v>ANALIS ADMINISTRASI UMUM &amp; KEUANGAN</v>
          </cell>
          <cell r="F290" t="str">
            <v>karmila@bki.co.id</v>
          </cell>
          <cell r="G290" t="str">
            <v>08129601868</v>
          </cell>
          <cell r="H290" t="str">
            <v>5A</v>
          </cell>
          <cell r="I290">
            <v>0</v>
          </cell>
          <cell r="J290">
            <v>0</v>
          </cell>
        </row>
        <row r="291">
          <cell r="B291" t="str">
            <v>RM KURNAEFI</v>
          </cell>
          <cell r="C291" t="str">
            <v>CABANG UTAMA KLAS TG.PRIOK</v>
          </cell>
          <cell r="D291" t="str">
            <v>CABANG UTAMA KLAS TG.PRIOK</v>
          </cell>
          <cell r="E291" t="str">
            <v>ADMINISTRATOR SENIOR</v>
          </cell>
          <cell r="F291" t="str">
            <v>kurnaefi@bki.co.id</v>
          </cell>
          <cell r="G291">
            <v>0</v>
          </cell>
          <cell r="H291" t="str">
            <v>3B</v>
          </cell>
          <cell r="I291">
            <v>150000</v>
          </cell>
          <cell r="J291">
            <v>0</v>
          </cell>
        </row>
        <row r="292">
          <cell r="B292" t="str">
            <v>TONI SYARIF HIDAYAH</v>
          </cell>
          <cell r="C292" t="str">
            <v>CABANG UTAMA KLAS TG.PRIOK</v>
          </cell>
          <cell r="D292" t="str">
            <v>CABANG UTAMA KLAS TG.PRIOK</v>
          </cell>
          <cell r="E292" t="str">
            <v>OFFICER ADMINISTRASI UMUM</v>
          </cell>
          <cell r="F292" t="str">
            <v>toni@bki.co.id</v>
          </cell>
          <cell r="G292" t="str">
            <v>081233028870</v>
          </cell>
          <cell r="H292" t="str">
            <v>4A</v>
          </cell>
          <cell r="I292">
            <v>150000</v>
          </cell>
          <cell r="J292">
            <v>0</v>
          </cell>
        </row>
        <row r="293">
          <cell r="B293" t="str">
            <v>HARDI E. P. SIAGIAN</v>
          </cell>
          <cell r="C293" t="str">
            <v>CABANG UTAMA KLAS TG.PRIOK</v>
          </cell>
          <cell r="D293" t="str">
            <v>CABANG UTAMA KLAS TG.PRIOK</v>
          </cell>
          <cell r="E293" t="str">
            <v>SURVEYOR SENIOR I A</v>
          </cell>
          <cell r="F293" t="str">
            <v>hardi@bki.co.id</v>
          </cell>
          <cell r="G293" t="str">
            <v>081330340003</v>
          </cell>
          <cell r="H293" t="str">
            <v>6A</v>
          </cell>
          <cell r="I293">
            <v>150000</v>
          </cell>
          <cell r="J293">
            <v>0</v>
          </cell>
        </row>
        <row r="294">
          <cell r="B294" t="str">
            <v>TAUFIK ARIE WIJAYA</v>
          </cell>
          <cell r="C294" t="str">
            <v>CABANG UTAMA KLAS TG.PRIOK</v>
          </cell>
          <cell r="D294" t="str">
            <v>CABANG UTAMA KLAS TG.PRIOK</v>
          </cell>
          <cell r="E294" t="str">
            <v>STAF UTAMA I</v>
          </cell>
          <cell r="F294" t="str">
            <v>taufikaw@bki.co.id</v>
          </cell>
          <cell r="G294" t="str">
            <v>08128221910</v>
          </cell>
          <cell r="H294" t="str">
            <v>7A</v>
          </cell>
          <cell r="I294">
            <v>0</v>
          </cell>
          <cell r="J294">
            <v>0</v>
          </cell>
        </row>
        <row r="295">
          <cell r="B295" t="str">
            <v>INDRA PERMANA</v>
          </cell>
          <cell r="C295" t="str">
            <v>CABANG UTAMA KLAS TG.PRIOK</v>
          </cell>
          <cell r="D295" t="str">
            <v>CABANG UTAMA KLAS TG.PRIOK</v>
          </cell>
          <cell r="E295" t="str">
            <v>ADMINISTRATOR SENIOR</v>
          </cell>
          <cell r="F295" t="str">
            <v>indra.permana@bki.co.id</v>
          </cell>
          <cell r="G295" t="str">
            <v>087871762211</v>
          </cell>
          <cell r="H295" t="str">
            <v>3B</v>
          </cell>
          <cell r="I295">
            <v>150000</v>
          </cell>
          <cell r="J295">
            <v>8671513</v>
          </cell>
        </row>
        <row r="296">
          <cell r="B296" t="str">
            <v>RONY WIRANTO SETIAWAN</v>
          </cell>
          <cell r="C296" t="str">
            <v>CABANG UTAMA KLAS TG.PRIOK</v>
          </cell>
          <cell r="D296" t="str">
            <v>CABANG UTAMA KLAS TG.PRIOK</v>
          </cell>
          <cell r="E296" t="str">
            <v>MANAGER ADMINISTRASI UMUM &amp; KEUANGAN KLAS TG. PRIOK</v>
          </cell>
          <cell r="F296" t="str">
            <v>roni.ws@bki.co.id</v>
          </cell>
          <cell r="G296" t="str">
            <v>081231170988</v>
          </cell>
          <cell r="H296" t="str">
            <v>5C</v>
          </cell>
          <cell r="I296">
            <v>150000</v>
          </cell>
          <cell r="J296">
            <v>0</v>
          </cell>
        </row>
        <row r="297">
          <cell r="B297" t="str">
            <v>MUHAMMAD IDI</v>
          </cell>
          <cell r="C297" t="str">
            <v>CABANG UTAMA KLAS TG.PRIOK</v>
          </cell>
          <cell r="D297" t="str">
            <v>CABANG UTAMA KLAS TG.PRIOK</v>
          </cell>
          <cell r="E297" t="str">
            <v>KEPALA CABANG UTAMA KLAS TG. PRIOK</v>
          </cell>
          <cell r="F297" t="str">
            <v>idi@bki.co.id</v>
          </cell>
          <cell r="G297" t="str">
            <v>081346603330</v>
          </cell>
          <cell r="H297" t="str">
            <v>8A</v>
          </cell>
          <cell r="I297">
            <v>500000</v>
          </cell>
          <cell r="J297">
            <v>0</v>
          </cell>
        </row>
        <row r="298">
          <cell r="B298" t="str">
            <v>DIDI KURNIADI</v>
          </cell>
          <cell r="C298" t="str">
            <v>CABANG UTAMA KLAS TG.PRIOK</v>
          </cell>
          <cell r="D298" t="str">
            <v>CABANG UTAMA KLAS TG.PRIOK</v>
          </cell>
          <cell r="E298" t="str">
            <v>SENIOR MANAGER OPERASI KLAS TG.PRIOK</v>
          </cell>
          <cell r="F298" t="str">
            <v>didi@bki.co.id</v>
          </cell>
          <cell r="G298" t="str">
            <v>0813 3006 7317</v>
          </cell>
          <cell r="H298" t="str">
            <v>7B</v>
          </cell>
          <cell r="I298">
            <v>0</v>
          </cell>
          <cell r="J298">
            <v>0</v>
          </cell>
        </row>
        <row r="299">
          <cell r="B299" t="str">
            <v>EKO MAJA PRIYANTO</v>
          </cell>
          <cell r="C299" t="str">
            <v>CABANG UTAMA KLAS TG.PRIOK</v>
          </cell>
          <cell r="D299" t="str">
            <v>CABANG UTAMA KLAS TG.PRIOK</v>
          </cell>
          <cell r="E299" t="str">
            <v>SENIOR MANAGER PEMASARAN OFFSHORE KLAS</v>
          </cell>
          <cell r="F299" t="str">
            <v>eko.maja@bki.co.id</v>
          </cell>
          <cell r="G299" t="str">
            <v>081256599533</v>
          </cell>
          <cell r="H299" t="str">
            <v>7C</v>
          </cell>
          <cell r="I299">
            <v>0</v>
          </cell>
          <cell r="J299">
            <v>0</v>
          </cell>
        </row>
        <row r="300">
          <cell r="B300" t="str">
            <v>SHINDU PURWANTO</v>
          </cell>
          <cell r="C300" t="str">
            <v>CABANG UTAMA KLAS TG.PRIOK</v>
          </cell>
          <cell r="D300" t="str">
            <v>CABANG UTAMA KLAS TG.PRIOK</v>
          </cell>
          <cell r="E300" t="str">
            <v>SURVEYOR SENIOR II B</v>
          </cell>
          <cell r="F300" t="str">
            <v>shindu@bki.co.id</v>
          </cell>
          <cell r="G300" t="str">
            <v>081280269612</v>
          </cell>
          <cell r="H300" t="str">
            <v>7B</v>
          </cell>
          <cell r="I300">
            <v>0</v>
          </cell>
          <cell r="J300">
            <v>0</v>
          </cell>
        </row>
        <row r="301">
          <cell r="B301" t="str">
            <v>NARSO</v>
          </cell>
          <cell r="C301" t="str">
            <v>CABANG UTAMA KLAS TG.PRIOK</v>
          </cell>
          <cell r="D301" t="str">
            <v>CABANG UTAMA KLAS TG.PRIOK</v>
          </cell>
          <cell r="E301" t="str">
            <v>SURVEYOR SENIOR I A</v>
          </cell>
          <cell r="F301" t="str">
            <v>narso@bki.co.id</v>
          </cell>
          <cell r="G301" t="str">
            <v>081350014469</v>
          </cell>
          <cell r="H301" t="str">
            <v>6A</v>
          </cell>
          <cell r="I301">
            <v>250000</v>
          </cell>
          <cell r="J301">
            <v>0</v>
          </cell>
        </row>
        <row r="302">
          <cell r="B302" t="str">
            <v>WILDANIS MIFTAHUL ABROR</v>
          </cell>
          <cell r="C302" t="str">
            <v>CABANG UTAMA KLAS TG.PRIOK</v>
          </cell>
          <cell r="D302" t="str">
            <v>CABANG UTAMA KLAS TG.PRIOK</v>
          </cell>
          <cell r="E302" t="str">
            <v xml:space="preserve">SURVEYOR JUNIOR </v>
          </cell>
          <cell r="F302" t="str">
            <v>wildanis.abror@bki.co.id</v>
          </cell>
          <cell r="G302" t="str">
            <v>081211709932</v>
          </cell>
          <cell r="H302" t="str">
            <v>4C</v>
          </cell>
          <cell r="I302">
            <v>150000</v>
          </cell>
          <cell r="J302">
            <v>0</v>
          </cell>
        </row>
        <row r="303">
          <cell r="B303" t="str">
            <v>ADI YUDHO WIJAYANTO</v>
          </cell>
          <cell r="C303" t="str">
            <v>DIVISI OPERASI BISNIS KLASIFIKASI</v>
          </cell>
          <cell r="D303" t="str">
            <v>CABANG UTAMA KLAS TG.PRIOK</v>
          </cell>
          <cell r="E303" t="str">
            <v>SURVEYOR SENIOR I B KENDALI OPERASI YANG DITEMPATKAN DI CABANG UTAMA KLAS TG. PRIOK (OFFSHORE)</v>
          </cell>
          <cell r="F303" t="str">
            <v>adi.yw@bki.co.id</v>
          </cell>
          <cell r="G303" t="str">
            <v>081230754445</v>
          </cell>
          <cell r="H303" t="str">
            <v>6B</v>
          </cell>
          <cell r="I303">
            <v>0</v>
          </cell>
          <cell r="J303">
            <v>0</v>
          </cell>
        </row>
        <row r="304">
          <cell r="B304" t="str">
            <v>DEDE NANDA SETYADIN</v>
          </cell>
          <cell r="C304" t="str">
            <v>DIVISI OPERASI BISNIS KLASIFIKASI</v>
          </cell>
          <cell r="D304" t="str">
            <v>CABANG UTAMA KLAS TG.PRIOK</v>
          </cell>
          <cell r="E304" t="str">
            <v>SURVEYOR SENIOR I B KENDALI OPERASI YANG DITEMPATKAN DI CABANG UTAMA KLAS TG. PRIOK</v>
          </cell>
          <cell r="F304" t="str">
            <v>dede.ns@bki.co.id</v>
          </cell>
          <cell r="G304" t="str">
            <v>081230811740</v>
          </cell>
          <cell r="H304" t="str">
            <v>6B</v>
          </cell>
          <cell r="I304">
            <v>0</v>
          </cell>
          <cell r="J304">
            <v>0</v>
          </cell>
        </row>
        <row r="305">
          <cell r="B305" t="str">
            <v>YASIN BESARI MUSTOFA</v>
          </cell>
          <cell r="C305" t="str">
            <v>CABANG UTAMA KLAS TG.PRIOK</v>
          </cell>
          <cell r="D305" t="str">
            <v>CABANG UTAMA KLAS TG.PRIOK</v>
          </cell>
          <cell r="E305" t="str">
            <v>SURVEYOR</v>
          </cell>
          <cell r="F305" t="str">
            <v>besari@bki.co.id</v>
          </cell>
          <cell r="G305" t="str">
            <v/>
          </cell>
          <cell r="H305" t="str">
            <v>5C</v>
          </cell>
          <cell r="I305">
            <v>0</v>
          </cell>
          <cell r="J305">
            <v>0</v>
          </cell>
        </row>
        <row r="306">
          <cell r="B306" t="str">
            <v>IRWAN EKO SANTOSO</v>
          </cell>
          <cell r="C306" t="str">
            <v>CABANG UTAMA KLAS TG.PRIOK</v>
          </cell>
          <cell r="D306" t="str">
            <v>CABANG UTAMA KLAS TG.PRIOK</v>
          </cell>
          <cell r="E306" t="str">
            <v>SURVEYOR SENIOR I A</v>
          </cell>
          <cell r="F306" t="str">
            <v>irwan.es@bki.co.id</v>
          </cell>
          <cell r="G306" t="str">
            <v>081331036880</v>
          </cell>
          <cell r="H306" t="str">
            <v>6A</v>
          </cell>
          <cell r="I306">
            <v>250000</v>
          </cell>
          <cell r="J306">
            <v>0</v>
          </cell>
        </row>
        <row r="307">
          <cell r="B307" t="str">
            <v>EFI LISTIA YUNI</v>
          </cell>
          <cell r="C307" t="str">
            <v>CABANG UTAMA KLAS TG.PRIOK</v>
          </cell>
          <cell r="D307" t="str">
            <v>CABANG UTAMA KLAS TG.PRIOK</v>
          </cell>
          <cell r="E307" t="str">
            <v>STAF DUKUNGAN BISNIS</v>
          </cell>
          <cell r="F307" t="str">
            <v>efi.yuni@bki.co.id</v>
          </cell>
          <cell r="G307" t="str">
            <v>085777484817</v>
          </cell>
          <cell r="H307" t="str">
            <v>-</v>
          </cell>
          <cell r="I307">
            <v>0</v>
          </cell>
          <cell r="J307">
            <v>0</v>
          </cell>
        </row>
        <row r="308">
          <cell r="B308" t="str">
            <v>HAFIZH MUHAMMAD NAUFAL SHIDQI</v>
          </cell>
          <cell r="C308" t="str">
            <v>CABANG UTAMA KLAS TG.PRIOK</v>
          </cell>
          <cell r="D308" t="str">
            <v>CABANG UTAMA KLAS TG.PRIOK</v>
          </cell>
          <cell r="E308" t="str">
            <v>STAF DUKUNGAN BISNIS</v>
          </cell>
          <cell r="F308" t="str">
            <v>hafizh.muhammad@bki.co.id</v>
          </cell>
          <cell r="G308" t="str">
            <v>082140788482</v>
          </cell>
          <cell r="H308" t="str">
            <v>-</v>
          </cell>
          <cell r="I308">
            <v>0</v>
          </cell>
          <cell r="J308">
            <v>0</v>
          </cell>
        </row>
        <row r="309">
          <cell r="B309" t="str">
            <v>MIRZA OTTOSENNA SYAILENDRA</v>
          </cell>
          <cell r="C309" t="str">
            <v>CABANG UTAMA KLAS TG.PRIOK</v>
          </cell>
          <cell r="D309" t="str">
            <v>CABANG UTAMA KLAS TG.PRIOK</v>
          </cell>
          <cell r="E309" t="str">
            <v>STAF DUKUNGAN BISNIS</v>
          </cell>
          <cell r="F309" t="str">
            <v>mirza.otto@bki.co.id</v>
          </cell>
          <cell r="G309">
            <v>0</v>
          </cell>
          <cell r="H309" t="str">
            <v>-</v>
          </cell>
          <cell r="I309">
            <v>0</v>
          </cell>
          <cell r="J309">
            <v>0</v>
          </cell>
        </row>
        <row r="310">
          <cell r="B310" t="str">
            <v>AYU PADMASANTI</v>
          </cell>
          <cell r="C310" t="str">
            <v>CABANG UTAMA KLAS TG.PRIOK</v>
          </cell>
          <cell r="D310" t="str">
            <v>CABANG UTAMA KLAS TG.PRIOK</v>
          </cell>
          <cell r="E310" t="str">
            <v>STAF DUKUNGAN BISNIS</v>
          </cell>
          <cell r="F310" t="str">
            <v>ayu.Padmasanti@bki.co.id</v>
          </cell>
          <cell r="G310" t="str">
            <v>082296753006</v>
          </cell>
          <cell r="H310" t="str">
            <v>-</v>
          </cell>
          <cell r="I310">
            <v>0</v>
          </cell>
          <cell r="J310">
            <v>0</v>
          </cell>
        </row>
        <row r="311">
          <cell r="B311" t="str">
            <v>DHIA ADLINA FAJARIN GHAISANI</v>
          </cell>
          <cell r="C311" t="str">
            <v>CABANG UTAMA KLAS TG.PRIOK</v>
          </cell>
          <cell r="D311" t="str">
            <v>CABANG UTAMA KLAS TG.PRIOK</v>
          </cell>
          <cell r="E311" t="str">
            <v>STAF DUKUNGAN BISNIS</v>
          </cell>
          <cell r="F311" t="str">
            <v>dhia.adlina@bki.co.id</v>
          </cell>
          <cell r="G311" t="str">
            <v>081336711670</v>
          </cell>
          <cell r="H311" t="str">
            <v>-</v>
          </cell>
          <cell r="I311">
            <v>0</v>
          </cell>
          <cell r="J311">
            <v>0</v>
          </cell>
        </row>
        <row r="312">
          <cell r="B312" t="str">
            <v>FAHMI ALDY</v>
          </cell>
          <cell r="C312" t="str">
            <v>CABANG UTAMA KLAS TG.PRIOK</v>
          </cell>
          <cell r="D312" t="str">
            <v>CABANG UTAMA KLAS TG.PRIOK</v>
          </cell>
          <cell r="E312" t="str">
            <v>STAF DUKUNGAN BISNIS</v>
          </cell>
          <cell r="F312" t="str">
            <v>fahmi.aldy@bki.co.id</v>
          </cell>
          <cell r="G312" t="str">
            <v>081289220828</v>
          </cell>
          <cell r="H312" t="str">
            <v>-</v>
          </cell>
          <cell r="I312">
            <v>0</v>
          </cell>
          <cell r="J312">
            <v>0</v>
          </cell>
        </row>
        <row r="313">
          <cell r="B313" t="str">
            <v>NADA NISRINA MARAHAINI</v>
          </cell>
          <cell r="C313" t="str">
            <v>CABANG UTAMA KLAS TG.PRIOK</v>
          </cell>
          <cell r="D313" t="str">
            <v>CABANG UTAMA KLAS TG.PRIOK</v>
          </cell>
          <cell r="E313" t="str">
            <v>STAF DUKUNGAN BISNIS</v>
          </cell>
          <cell r="F313" t="str">
            <v>nada.nisrina@bki.co.id</v>
          </cell>
          <cell r="G313" t="str">
            <v>081296402266</v>
          </cell>
          <cell r="H313" t="str">
            <v>-</v>
          </cell>
          <cell r="I313">
            <v>0</v>
          </cell>
          <cell r="J313">
            <v>0</v>
          </cell>
        </row>
        <row r="314">
          <cell r="B314" t="str">
            <v>HANDARBENI DWI PRASETYO</v>
          </cell>
          <cell r="C314" t="str">
            <v>CABANG UTAMA KLAS TG.PRIOK</v>
          </cell>
          <cell r="D314" t="str">
            <v>CABANG UTAMA KLAS TG.PRIOK</v>
          </cell>
          <cell r="E314" t="str">
            <v>STAF OPERASIONAL</v>
          </cell>
          <cell r="F314" t="str">
            <v>handarbeni.dp@bki.co.id</v>
          </cell>
          <cell r="H314" t="str">
            <v>-</v>
          </cell>
          <cell r="I314">
            <v>0</v>
          </cell>
          <cell r="J314">
            <v>0</v>
          </cell>
        </row>
        <row r="315">
          <cell r="B315" t="str">
            <v>WAWAN PRIYA WIDYANTA</v>
          </cell>
          <cell r="C315" t="str">
            <v>CABANG UTAMA KOMERSIAL JAKARTA</v>
          </cell>
          <cell r="D315" t="str">
            <v>CABANG UTAMA KOMERSIAL JAKARTA</v>
          </cell>
          <cell r="E315" t="str">
            <v>SPESIALIS VERIFIKASI &amp; VALIDASI</v>
          </cell>
          <cell r="F315" t="str">
            <v>wawan@bki.co.id</v>
          </cell>
          <cell r="G315" t="str">
            <v>082113037170</v>
          </cell>
          <cell r="H315" t="str">
            <v>6A</v>
          </cell>
          <cell r="I315">
            <v>250000</v>
          </cell>
          <cell r="J315">
            <v>9373356</v>
          </cell>
        </row>
        <row r="316">
          <cell r="B316" t="str">
            <v>BUDIMAN JOHANSYAH</v>
          </cell>
          <cell r="C316" t="str">
            <v>CABANG UTAMA KOMERSIAL JAKARTA</v>
          </cell>
          <cell r="D316" t="str">
            <v>CABANG UTAMA KOMERSIAL JAKARTA</v>
          </cell>
          <cell r="E316" t="str">
            <v>KEPALA CABANG UTAMA KOMERSIAL JAKARTA</v>
          </cell>
          <cell r="F316" t="str">
            <v>budiman@bki.co.id</v>
          </cell>
          <cell r="G316" t="str">
            <v>08117713450</v>
          </cell>
          <cell r="H316" t="str">
            <v>8B</v>
          </cell>
          <cell r="I316">
            <v>350000</v>
          </cell>
          <cell r="J316">
            <v>0</v>
          </cell>
        </row>
        <row r="317">
          <cell r="B317" t="str">
            <v>HARRYS PAHALA MANALU</v>
          </cell>
          <cell r="C317" t="str">
            <v>CABANG UTAMA KOMERSIAL JAKARTA</v>
          </cell>
          <cell r="D317" t="str">
            <v>CABANG UTAMA KOMERSIAL JAKARTA</v>
          </cell>
          <cell r="E317" t="str">
            <v>PJ. SENIOR MANAGER OPERASI TRANSPORT &amp; LOGISTIC</v>
          </cell>
          <cell r="F317" t="str">
            <v>harrys.pm@bki.co.id</v>
          </cell>
          <cell r="G317" t="str">
            <v>082117700986</v>
          </cell>
          <cell r="H317" t="str">
            <v>5C</v>
          </cell>
          <cell r="I317">
            <v>150000</v>
          </cell>
          <cell r="J317">
            <v>1890628</v>
          </cell>
        </row>
        <row r="318">
          <cell r="B318" t="str">
            <v>ELVA MOCHAMAD RAMDHANI</v>
          </cell>
          <cell r="C318" t="str">
            <v>CABANG UTAMA KOMERSIAL JAKARTA</v>
          </cell>
          <cell r="D318" t="str">
            <v>CABANG UTAMA KOMERSIAL JAKARTA</v>
          </cell>
          <cell r="E318" t="str">
            <v>SENIOR MANAGER TKDN &amp; PEMERINTAHAN</v>
          </cell>
          <cell r="F318" t="str">
            <v>elva@bki.co.id</v>
          </cell>
          <cell r="G318" t="str">
            <v>082123452060</v>
          </cell>
          <cell r="H318" t="str">
            <v>7B</v>
          </cell>
          <cell r="I318">
            <v>350000</v>
          </cell>
          <cell r="J318">
            <v>0</v>
          </cell>
        </row>
        <row r="319">
          <cell r="B319" t="str">
            <v>MUH. ASPAR</v>
          </cell>
          <cell r="C319" t="str">
            <v>CABANG UTAMA KOMERSIAL JAKARTA</v>
          </cell>
          <cell r="D319" t="str">
            <v>CABANG UTAMA KOMERSIAL JAKARTA</v>
          </cell>
          <cell r="E319" t="str">
            <v>SENIOR MANAGER PENJUALAN DAN DUKUNGAN BISNIS KOMERSIAL JAKARTA</v>
          </cell>
          <cell r="F319" t="str">
            <v>aspar@bki.co.id</v>
          </cell>
          <cell r="G319" t="str">
            <v>0811772877</v>
          </cell>
          <cell r="H319" t="str">
            <v>7A</v>
          </cell>
          <cell r="I319">
            <v>250000</v>
          </cell>
          <cell r="J319">
            <v>3075835</v>
          </cell>
        </row>
        <row r="320">
          <cell r="B320" t="str">
            <v>DANIEL MAHARDHIKA</v>
          </cell>
          <cell r="C320" t="str">
            <v>CABANG UTAMA KOMERSIAL JAKARTA</v>
          </cell>
          <cell r="D320" t="str">
            <v>CABANG UTAMA KOMERSIAL JAKARTA</v>
          </cell>
          <cell r="E320" t="str">
            <v>MANAGER BISNIS HIJAU</v>
          </cell>
          <cell r="F320" t="str">
            <v>daniel.mahardhika@bki.co.id</v>
          </cell>
          <cell r="G320" t="str">
            <v>085746095515</v>
          </cell>
          <cell r="H320" t="str">
            <v>5C</v>
          </cell>
          <cell r="I320">
            <v>250000</v>
          </cell>
          <cell r="J320">
            <v>0</v>
          </cell>
        </row>
        <row r="321">
          <cell r="B321" t="str">
            <v>BAMBANG WIJANARKO</v>
          </cell>
          <cell r="C321" t="str">
            <v>CABANG UTAMA KOMERSIAL JAKARTA</v>
          </cell>
          <cell r="D321" t="str">
            <v>CABANG UTAMA KOMERSIAL JAKARTA</v>
          </cell>
          <cell r="E321" t="str">
            <v>MANAGER LABORATORIUM</v>
          </cell>
          <cell r="F321" t="str">
            <v>wijanarko@bki.co.id</v>
          </cell>
          <cell r="G321" t="str">
            <v>081385270105</v>
          </cell>
          <cell r="H321" t="str">
            <v>5C</v>
          </cell>
          <cell r="I321">
            <v>150000</v>
          </cell>
          <cell r="J321">
            <v>2500000</v>
          </cell>
        </row>
        <row r="322">
          <cell r="B322" t="str">
            <v>FERNANDO S</v>
          </cell>
          <cell r="C322" t="str">
            <v>CABANG UTAMA KOMERSIAL JAKARTA</v>
          </cell>
          <cell r="D322" t="str">
            <v>CABANG UTAMA KOMERSIAL JAKARTA</v>
          </cell>
          <cell r="E322" t="str">
            <v>MANAGER PENJUALAN KOMERSIAL JAKARTA</v>
          </cell>
          <cell r="F322" t="str">
            <v>fernando@bki.co.id</v>
          </cell>
          <cell r="G322">
            <v>0</v>
          </cell>
          <cell r="H322" t="str">
            <v>5B</v>
          </cell>
          <cell r="I322">
            <v>150000</v>
          </cell>
          <cell r="J322">
            <v>0</v>
          </cell>
        </row>
        <row r="323">
          <cell r="B323" t="str">
            <v>MERDIANSAH</v>
          </cell>
          <cell r="C323" t="str">
            <v>CABANG UTAMA KOMERSIAL JAKARTA</v>
          </cell>
          <cell r="D323" t="str">
            <v>CABANG UTAMA KOMERSIAL JAKARTA</v>
          </cell>
          <cell r="E323" t="str">
            <v>MANAGER ADMINISTRASI UMUM DAN KEUANGAN</v>
          </cell>
          <cell r="F323" t="str">
            <v>merdiansah@bki.co.id</v>
          </cell>
          <cell r="G323" t="str">
            <v>0822 3352 1552</v>
          </cell>
          <cell r="H323" t="str">
            <v>5C</v>
          </cell>
          <cell r="I323">
            <v>250000</v>
          </cell>
          <cell r="J323">
            <v>0</v>
          </cell>
        </row>
        <row r="324">
          <cell r="B324" t="str">
            <v>SUSETYO WIJANARKO BUDIARDHI</v>
          </cell>
          <cell r="C324" t="str">
            <v>CABANG UTAMA KOMERSIAL JAKARTA</v>
          </cell>
          <cell r="D324" t="str">
            <v>CABANG UTAMA KOMERSIAL JAKARTA</v>
          </cell>
          <cell r="E324" t="str">
            <v>INSPEKTUR OPERASI ENERGI</v>
          </cell>
          <cell r="F324" t="str">
            <v>sesetyo@bki.co.id</v>
          </cell>
          <cell r="G324" t="str">
            <v>081384331111</v>
          </cell>
          <cell r="H324" t="str">
            <v>5C</v>
          </cell>
          <cell r="I324">
            <v>150000</v>
          </cell>
          <cell r="J324">
            <v>958333</v>
          </cell>
        </row>
        <row r="325">
          <cell r="B325" t="str">
            <v>AZHAR GHIPARI</v>
          </cell>
          <cell r="C325" t="str">
            <v>CABANG UTAMA KOMERSIAL JAKARTA</v>
          </cell>
          <cell r="D325" t="str">
            <v>CABANG UTAMA KOMERSIAL JAKARTA</v>
          </cell>
          <cell r="E325" t="str">
            <v>INSPEKTUR OPERASI ENERGI</v>
          </cell>
          <cell r="F325" t="str">
            <v>azhar.ghipari@bki.co.id</v>
          </cell>
          <cell r="G325" t="str">
            <v>081295224728</v>
          </cell>
          <cell r="H325" t="str">
            <v>5C</v>
          </cell>
          <cell r="I325">
            <v>100000</v>
          </cell>
          <cell r="J325">
            <v>1700000</v>
          </cell>
        </row>
        <row r="326">
          <cell r="B326" t="str">
            <v>CATUR WIBOWO</v>
          </cell>
          <cell r="C326" t="str">
            <v>CABANG UTAMA KOMERSIAL JAKARTA</v>
          </cell>
          <cell r="D326" t="str">
            <v>CABANG UTAMA KOMERSIAL JAKARTA</v>
          </cell>
          <cell r="E326" t="str">
            <v>INSPEKTUR OPERASI ENERGI</v>
          </cell>
          <cell r="F326" t="str">
            <v>catur.wibowo@bki.co.id</v>
          </cell>
          <cell r="G326" t="str">
            <v>081212048118</v>
          </cell>
          <cell r="H326" t="str">
            <v>5C</v>
          </cell>
          <cell r="I326">
            <v>0</v>
          </cell>
          <cell r="J326">
            <v>0</v>
          </cell>
        </row>
        <row r="327">
          <cell r="B327" t="str">
            <v>EDIT HASTA PRIHANTIKA</v>
          </cell>
          <cell r="C327" t="str">
            <v>CABANG UTAMA KOMERSIAL JAKARTA</v>
          </cell>
          <cell r="D327" t="str">
            <v>CABANG UTAMA KOMERSIAL JAKARTA</v>
          </cell>
          <cell r="E327" t="str">
            <v>INSPEKTUR OPERASI ENERGI</v>
          </cell>
          <cell r="F327" t="str">
            <v>hasta@bki.co.id</v>
          </cell>
          <cell r="G327" t="str">
            <v>082244272242</v>
          </cell>
          <cell r="H327" t="str">
            <v>5C</v>
          </cell>
          <cell r="I327">
            <v>100000</v>
          </cell>
          <cell r="J327">
            <v>2400000</v>
          </cell>
        </row>
        <row r="328">
          <cell r="B328" t="str">
            <v>SUDIRO</v>
          </cell>
          <cell r="C328" t="str">
            <v>CABANG UTAMA KOMERSIAL JAKARTA</v>
          </cell>
          <cell r="D328" t="str">
            <v>CABANG UTAMA KOMERSIAL JAKARTA</v>
          </cell>
          <cell r="E328" t="str">
            <v>ANALIS TEKNIK VERIFIKASI &amp; VALIDASI</v>
          </cell>
          <cell r="F328" t="str">
            <v>sudiro@bki.co.id</v>
          </cell>
          <cell r="G328" t="str">
            <v>085640056444</v>
          </cell>
          <cell r="H328" t="str">
            <v>5A</v>
          </cell>
          <cell r="I328">
            <v>250000</v>
          </cell>
          <cell r="J328">
            <v>0</v>
          </cell>
        </row>
        <row r="329">
          <cell r="B329" t="str">
            <v>ARIF RAHMAN HAKIM</v>
          </cell>
          <cell r="C329" t="str">
            <v>CABANG UTAMA KOMERSIAL JAKARTA</v>
          </cell>
          <cell r="D329" t="str">
            <v>CABANG UTAMA KOMERSIAL JAKARTA</v>
          </cell>
          <cell r="E329" t="str">
            <v>INSPEKTUR JUNIOR II OPERASI ENERGI</v>
          </cell>
          <cell r="F329" t="str">
            <v>arif.hakim@bki.co.id</v>
          </cell>
          <cell r="G329" t="str">
            <v/>
          </cell>
          <cell r="H329" t="str">
            <v>4C</v>
          </cell>
          <cell r="I329">
            <v>0</v>
          </cell>
          <cell r="J329">
            <v>0</v>
          </cell>
        </row>
        <row r="330">
          <cell r="B330" t="str">
            <v>DIMAS PUTRA PRASETYO</v>
          </cell>
          <cell r="C330" t="str">
            <v>CABANG UTAMA KOMERSIAL JAKARTA</v>
          </cell>
          <cell r="D330" t="str">
            <v>CABANG UTAMA KOMERSIAL JAKARTA</v>
          </cell>
          <cell r="E330" t="str">
            <v>INSPEKTUR JUNIOR II OPERASI ENERGI</v>
          </cell>
          <cell r="F330" t="str">
            <v>dimas.pp@bki.co.id</v>
          </cell>
          <cell r="G330">
            <v>0</v>
          </cell>
          <cell r="H330" t="str">
            <v>4C</v>
          </cell>
          <cell r="I330">
            <v>100000</v>
          </cell>
          <cell r="J330">
            <v>2500000</v>
          </cell>
        </row>
        <row r="331">
          <cell r="B331" t="str">
            <v>FATKHURROHMAN</v>
          </cell>
          <cell r="C331" t="str">
            <v>CABANG UTAMA KOMERSIAL JAKARTA</v>
          </cell>
          <cell r="D331" t="str">
            <v>CABANG UTAMA KOMERSIAL JAKARTA</v>
          </cell>
          <cell r="E331" t="str">
            <v>INSPEKTUR JUNIOR II OPERASI ENERGI</v>
          </cell>
          <cell r="F331" t="str">
            <v>fatkhurrohman@bki.co.id</v>
          </cell>
          <cell r="G331" t="str">
            <v>081212036175</v>
          </cell>
          <cell r="H331" t="str">
            <v>4C</v>
          </cell>
          <cell r="I331">
            <v>100000</v>
          </cell>
          <cell r="J331">
            <v>0</v>
          </cell>
        </row>
        <row r="332">
          <cell r="B332" t="str">
            <v>KENNEDI PANGARIBUAN</v>
          </cell>
          <cell r="C332" t="str">
            <v>CABANG UTAMA KOMERSIAL JAKARTA</v>
          </cell>
          <cell r="D332" t="str">
            <v>CABANG UTAMA KOMERSIAL JAKARTA</v>
          </cell>
          <cell r="E332" t="str">
            <v>INSPEKTUR JUNIOR  II OPERASI ENERGI</v>
          </cell>
          <cell r="F332" t="str">
            <v>kenedi.pangaribuan@bki.co.id</v>
          </cell>
          <cell r="G332">
            <v>0</v>
          </cell>
          <cell r="H332" t="str">
            <v>4C</v>
          </cell>
          <cell r="I332">
            <v>150000</v>
          </cell>
          <cell r="J332">
            <v>0</v>
          </cell>
        </row>
        <row r="333">
          <cell r="B333" t="str">
            <v>NOVELLA MUSYA</v>
          </cell>
          <cell r="C333" t="str">
            <v>CABANG UTAMA KOMERSIAL JAKARTA</v>
          </cell>
          <cell r="D333" t="str">
            <v>CABANG UTAMA KOMERSIAL JAKARTA</v>
          </cell>
          <cell r="E333" t="str">
            <v>INSPEKTUR JUNIOR II OPERASI ENERGI</v>
          </cell>
          <cell r="F333" t="str">
            <v>novella.musya@bki.co.id</v>
          </cell>
          <cell r="G333" t="str">
            <v>081212789977</v>
          </cell>
          <cell r="H333" t="str">
            <v>4C</v>
          </cell>
          <cell r="I333">
            <v>150000</v>
          </cell>
          <cell r="J333">
            <v>0</v>
          </cell>
        </row>
        <row r="334">
          <cell r="B334" t="str">
            <v>RAHADI SIGIT WICAKSONO</v>
          </cell>
          <cell r="C334" t="str">
            <v>CABANG UTAMA KOMERSIAL JAKARTA</v>
          </cell>
          <cell r="D334" t="str">
            <v>CABANG UTAMA KOMERSIAL JAKARTA</v>
          </cell>
          <cell r="E334" t="str">
            <v>INSPEKTUR JUNIOR II OPERASI ENERGI</v>
          </cell>
          <cell r="F334" t="str">
            <v>rahadi@bki.co.id</v>
          </cell>
          <cell r="G334" t="str">
            <v>081288275856</v>
          </cell>
          <cell r="H334" t="str">
            <v>4C</v>
          </cell>
          <cell r="I334">
            <v>150000</v>
          </cell>
          <cell r="J334">
            <v>0</v>
          </cell>
        </row>
        <row r="335">
          <cell r="B335" t="str">
            <v>RIZKI ALDILLA TAMTURA</v>
          </cell>
          <cell r="C335" t="str">
            <v>CABANG UTAMA KOMERSIAL JAKARTA</v>
          </cell>
          <cell r="D335" t="str">
            <v>CABANG UTAMA KOMERSIAL JAKARTA</v>
          </cell>
          <cell r="E335" t="str">
            <v>INSPEKTUR JUNIOR II OPERASI ENERGI</v>
          </cell>
          <cell r="F335" t="str">
            <v>rizki.tamtura@bki.co.id</v>
          </cell>
          <cell r="G335" t="str">
            <v>0812 8679 0804</v>
          </cell>
          <cell r="H335" t="str">
            <v>4C</v>
          </cell>
          <cell r="I335">
            <v>150000</v>
          </cell>
          <cell r="J335">
            <v>985417</v>
          </cell>
        </row>
        <row r="336">
          <cell r="B336" t="str">
            <v>SATRIA ADI SUKMA NEGARA</v>
          </cell>
          <cell r="C336" t="str">
            <v>CABANG UTAMA KOMERSIAL JAKARTA</v>
          </cell>
          <cell r="D336" t="str">
            <v>CABANG UTAMA KOMERSIAL JAKARTA</v>
          </cell>
          <cell r="E336" t="str">
            <v>INSPEKTUR JUNIOR II OPERASI ENERGI</v>
          </cell>
          <cell r="F336" t="str">
            <v>satria.adi@bki.co.id</v>
          </cell>
          <cell r="G336" t="str">
            <v>085205608937</v>
          </cell>
          <cell r="H336" t="str">
            <v>4C</v>
          </cell>
          <cell r="I336">
            <v>100000</v>
          </cell>
          <cell r="J336">
            <v>2500000</v>
          </cell>
        </row>
        <row r="337">
          <cell r="B337" t="str">
            <v>DIMAS ALIF YUNAS</v>
          </cell>
          <cell r="C337" t="str">
            <v>CABANG UTAMA KOMERSIAL JAKARTA</v>
          </cell>
          <cell r="D337" t="str">
            <v>CABANG UTAMA KOMERSIAL JAKARTA</v>
          </cell>
          <cell r="E337" t="str">
            <v>INSPEKTUR JUNIOR I OPERASI ENERGI</v>
          </cell>
          <cell r="F337" t="str">
            <v>dimas.ay@bki.co.id</v>
          </cell>
          <cell r="G337" t="str">
            <v>081249990656</v>
          </cell>
          <cell r="H337" t="str">
            <v>3C</v>
          </cell>
          <cell r="I337">
            <v>0</v>
          </cell>
          <cell r="J337">
            <v>0</v>
          </cell>
        </row>
        <row r="338">
          <cell r="B338" t="str">
            <v>DINO VITA LARASANTO</v>
          </cell>
          <cell r="C338" t="str">
            <v>CABANG UTAMA KOMERSIAL JAKARTA</v>
          </cell>
          <cell r="D338" t="str">
            <v>CABANG UTAMA KOMERSIAL JAKARTA</v>
          </cell>
          <cell r="E338" t="str">
            <v>INSPEKTUR JUNIOR I OPERASI ENERGI</v>
          </cell>
          <cell r="F338" t="str">
            <v>dino.vl@bki.co.id</v>
          </cell>
          <cell r="G338" t="str">
            <v>081380487787</v>
          </cell>
          <cell r="H338" t="str">
            <v>3C</v>
          </cell>
          <cell r="I338">
            <v>150000</v>
          </cell>
          <cell r="J338">
            <v>2041667</v>
          </cell>
        </row>
        <row r="339">
          <cell r="B339" t="str">
            <v>MUGHNI COKROBASWORO</v>
          </cell>
          <cell r="C339" t="str">
            <v>CABANG UTAMA KOMERSIAL JAKARTA</v>
          </cell>
          <cell r="D339" t="str">
            <v>CABANG UTAMA KOMERSIAL JAKARTA</v>
          </cell>
          <cell r="E339" t="str">
            <v>INSPEKTUR JUNIOR I OPERASI ENERGI</v>
          </cell>
          <cell r="F339" t="str">
            <v>mughni@bki.co.id</v>
          </cell>
          <cell r="G339">
            <v>0</v>
          </cell>
          <cell r="H339" t="str">
            <v>3C</v>
          </cell>
          <cell r="I339">
            <v>0</v>
          </cell>
          <cell r="J339">
            <v>0</v>
          </cell>
        </row>
        <row r="340">
          <cell r="B340" t="str">
            <v>SIGIT SUHAKSO</v>
          </cell>
          <cell r="C340" t="str">
            <v>CABANG UTAMA KOMERSIAL JAKARTA</v>
          </cell>
          <cell r="D340" t="str">
            <v>CABANG UTAMA KOMERSIAL JAKARTA</v>
          </cell>
          <cell r="E340" t="str">
            <v>INSPEKTUR JUNIOR I OPERASI ENERGI</v>
          </cell>
          <cell r="F340" t="str">
            <v>sigit.suhakso@bki.co.id</v>
          </cell>
          <cell r="G340" t="str">
            <v>081283700066</v>
          </cell>
          <cell r="H340" t="str">
            <v>3C</v>
          </cell>
          <cell r="I340">
            <v>0</v>
          </cell>
          <cell r="J340">
            <v>0</v>
          </cell>
        </row>
        <row r="341">
          <cell r="B341" t="str">
            <v>SYAFRIL</v>
          </cell>
          <cell r="C341" t="str">
            <v>CABANG UTAMA KOMERSIAL JAKARTA</v>
          </cell>
          <cell r="D341" t="str">
            <v>CABANG UTAMA KOMERSIAL JAKARTA</v>
          </cell>
          <cell r="E341" t="str">
            <v>INSPEKTUR JUNIOR I OPERASI ENERGI</v>
          </cell>
          <cell r="F341" t="str">
            <v>syafril@bki.co.id</v>
          </cell>
          <cell r="G341" t="str">
            <v>08780022888</v>
          </cell>
          <cell r="H341" t="str">
            <v>3C</v>
          </cell>
          <cell r="I341">
            <v>150000</v>
          </cell>
          <cell r="J341">
            <v>2500000</v>
          </cell>
        </row>
        <row r="342">
          <cell r="B342" t="str">
            <v>HENDI ZULFAN</v>
          </cell>
          <cell r="C342" t="str">
            <v>CABANG UTAMA KOMERSIAL JAKARTA</v>
          </cell>
          <cell r="D342" t="str">
            <v>CABANG UTAMA KOMERSIAL JAKARTA</v>
          </cell>
          <cell r="E342" t="str">
            <v>OPERATOR PENGUJIAN</v>
          </cell>
          <cell r="F342" t="str">
            <v>hendy.zulfan@bki.co.id</v>
          </cell>
          <cell r="G342" t="str">
            <v>082284892744</v>
          </cell>
          <cell r="H342" t="str">
            <v>3C</v>
          </cell>
          <cell r="I342">
            <v>150000</v>
          </cell>
          <cell r="J342">
            <v>0</v>
          </cell>
        </row>
        <row r="343">
          <cell r="B343" t="str">
            <v>MUHAMMAD SOFIAN</v>
          </cell>
          <cell r="C343" t="str">
            <v>CABANG UTAMA KOMERSIAL JAKARTA</v>
          </cell>
          <cell r="D343" t="str">
            <v>CABANG UTAMA KOMERSIAL JAKARTA</v>
          </cell>
          <cell r="E343" t="str">
            <v>ADMINISTRATOR KEUANGAN</v>
          </cell>
          <cell r="F343" t="str">
            <v>sofian@bki.co.id</v>
          </cell>
          <cell r="G343">
            <v>0</v>
          </cell>
          <cell r="H343" t="str">
            <v>2A</v>
          </cell>
          <cell r="I343">
            <v>100000</v>
          </cell>
          <cell r="J343">
            <v>5075758</v>
          </cell>
        </row>
        <row r="344">
          <cell r="B344" t="str">
            <v>FEBRIANSYAH</v>
          </cell>
          <cell r="C344" t="str">
            <v>CABANG UTAMA KOMERSIAL JAKARTA</v>
          </cell>
          <cell r="D344" t="str">
            <v>CABANG UTAMA KOMERSIAL JAKARTA</v>
          </cell>
          <cell r="E344" t="str">
            <v>PJ. SENIOR MANAGER ENERGY</v>
          </cell>
          <cell r="F344" t="str">
            <v>febriansyah@bki.co.id</v>
          </cell>
          <cell r="G344" t="str">
            <v>081220157726</v>
          </cell>
          <cell r="H344" t="str">
            <v>5C</v>
          </cell>
          <cell r="I344">
            <v>0</v>
          </cell>
          <cell r="J344">
            <v>0</v>
          </cell>
        </row>
        <row r="345">
          <cell r="B345" t="str">
            <v>ABD. RAHMAN</v>
          </cell>
          <cell r="C345" t="str">
            <v>CABANG UTAMA KOMERSIAL JAKARTA</v>
          </cell>
          <cell r="D345" t="str">
            <v>CABANG UTAMA KOMERSIAL JAKARTA</v>
          </cell>
          <cell r="E345" t="str">
            <v>INSPEKTUR SENIOR I OPERASI TRANSPORT &amp; LOGISTIC</v>
          </cell>
          <cell r="F345" t="str">
            <v>abd.rahman@bki.co.id</v>
          </cell>
          <cell r="G345" t="str">
            <v>0811 429 250</v>
          </cell>
          <cell r="H345" t="str">
            <v>6C</v>
          </cell>
          <cell r="I345">
            <v>150000</v>
          </cell>
          <cell r="J345">
            <v>3408467</v>
          </cell>
        </row>
        <row r="346">
          <cell r="B346" t="str">
            <v>ISMAIL</v>
          </cell>
          <cell r="C346" t="str">
            <v>CABANG UTAMA KOMERSIAL JAKARTA</v>
          </cell>
          <cell r="D346" t="str">
            <v>CABANG UTAMA KOMERSIAL JAKARTA</v>
          </cell>
          <cell r="E346" t="str">
            <v>INSPEKTUR SENIOR I OPERASI TRANSPORT &amp; LOGISTIC</v>
          </cell>
          <cell r="F346" t="str">
            <v>ismail@bki.co.id</v>
          </cell>
          <cell r="G346" t="str">
            <v>087818253766</v>
          </cell>
          <cell r="H346" t="str">
            <v>6C</v>
          </cell>
          <cell r="I346">
            <v>350000</v>
          </cell>
          <cell r="J346">
            <v>0</v>
          </cell>
        </row>
        <row r="347">
          <cell r="B347" t="str">
            <v>NERLAN PASARIBU</v>
          </cell>
          <cell r="C347" t="str">
            <v>CABANG UTAMA KOMERSIAL JAKARTA</v>
          </cell>
          <cell r="D347" t="str">
            <v>CABANG UTAMA KOMERSIAL JAKARTA</v>
          </cell>
          <cell r="E347" t="str">
            <v>INSPEKTUR OPERASI TRANSPORT &amp; LOGISTIC</v>
          </cell>
          <cell r="F347" t="str">
            <v>nerlan@bki.co.id</v>
          </cell>
          <cell r="G347" t="str">
            <v>081384234865</v>
          </cell>
          <cell r="H347" t="str">
            <v>5C</v>
          </cell>
          <cell r="I347">
            <v>250000</v>
          </cell>
          <cell r="J347">
            <v>0</v>
          </cell>
        </row>
        <row r="348">
          <cell r="B348" t="str">
            <v>R. ADE WARDOYO WINOTO PUTRO</v>
          </cell>
          <cell r="C348" t="str">
            <v>CABANG UTAMA KOMERSIAL JAKARTA</v>
          </cell>
          <cell r="D348" t="str">
            <v>CABANG UTAMA KOMERSIAL JAKARTA</v>
          </cell>
          <cell r="E348" t="str">
            <v>INSPEKTUR JUNIOR II OPERASI TRANSPORT &amp; LOGISTIC</v>
          </cell>
          <cell r="F348" t="str">
            <v>ade.wardoyo@bki.co.id</v>
          </cell>
          <cell r="G348" t="str">
            <v>081311046490</v>
          </cell>
          <cell r="H348" t="str">
            <v>4C</v>
          </cell>
          <cell r="I348">
            <v>150000</v>
          </cell>
          <cell r="J348">
            <v>4863285</v>
          </cell>
        </row>
        <row r="349">
          <cell r="B349" t="str">
            <v>ARY FIRMANSYAH FIRLI</v>
          </cell>
          <cell r="C349" t="str">
            <v>CABANG UTAMA KOMERSIAL JAKARTA</v>
          </cell>
          <cell r="D349" t="str">
            <v>CABANG UTAMA KOMERSIAL JAKARTA</v>
          </cell>
          <cell r="E349" t="str">
            <v>INSPEKTUR JUNIOR II OPERASI TRANSPORT &amp; LOGISTIC</v>
          </cell>
          <cell r="F349" t="str">
            <v>ary.firmansyah@bki.co.id</v>
          </cell>
          <cell r="G349" t="str">
            <v>0813 5520 0590</v>
          </cell>
          <cell r="H349" t="str">
            <v>4C</v>
          </cell>
          <cell r="I349">
            <v>150000</v>
          </cell>
          <cell r="J349">
            <v>2500000</v>
          </cell>
        </row>
        <row r="350">
          <cell r="B350" t="str">
            <v>HEDIAR HAPRI BANGABUA</v>
          </cell>
          <cell r="C350" t="str">
            <v>CABANG UTAMA KOMERSIAL JAKARTA</v>
          </cell>
          <cell r="D350" t="str">
            <v>CABANG UTAMA KOMERSIAL JAKARTA</v>
          </cell>
          <cell r="E350" t="str">
            <v>INSPEKTUR JUNIOR  II OPERASI TRANSPORT &amp; LOGISTIC</v>
          </cell>
          <cell r="F350" t="str">
            <v>hediar.hb@bki.co.id</v>
          </cell>
          <cell r="G350" t="str">
            <v/>
          </cell>
          <cell r="H350" t="str">
            <v>4C</v>
          </cell>
          <cell r="I350">
            <v>150000</v>
          </cell>
          <cell r="J350">
            <v>1625122</v>
          </cell>
        </row>
        <row r="351">
          <cell r="B351" t="str">
            <v>FERRY HARFIANTO EFFENDY</v>
          </cell>
          <cell r="C351" t="str">
            <v>CABANG UTAMA KOMERSIAL JAKARTA</v>
          </cell>
          <cell r="D351" t="str">
            <v>CABANG UTAMA KOMERSIAL JAKARTA</v>
          </cell>
          <cell r="E351" t="str">
            <v>SPESIALIS TEKNIK TKDN &amp; PEMERINTAH</v>
          </cell>
          <cell r="F351" t="str">
            <v>ferry.harfianto@bki.co.id</v>
          </cell>
          <cell r="G351" t="str">
            <v>081293536185</v>
          </cell>
          <cell r="H351" t="str">
            <v>6C</v>
          </cell>
          <cell r="I351">
            <v>350000</v>
          </cell>
          <cell r="J351">
            <v>2500000</v>
          </cell>
        </row>
        <row r="352">
          <cell r="B352" t="str">
            <v>MUHDAR</v>
          </cell>
          <cell r="C352" t="str">
            <v>CABANG UTAMA KOMERSIAL JAKARTA</v>
          </cell>
          <cell r="D352" t="str">
            <v>CABANG UTAMA KOMERSIAL JAKARTA</v>
          </cell>
          <cell r="E352" t="str">
            <v>SENIOR MANAGER BKI ACADEMY</v>
          </cell>
          <cell r="F352" t="str">
            <v>muhdar@bki.co.id</v>
          </cell>
          <cell r="G352" t="str">
            <v>08124201277</v>
          </cell>
          <cell r="H352" t="str">
            <v>7B</v>
          </cell>
          <cell r="I352">
            <v>0</v>
          </cell>
          <cell r="J352">
            <v>0</v>
          </cell>
        </row>
        <row r="353">
          <cell r="B353" t="str">
            <v>BOBBY ADI NOVPRIANTO</v>
          </cell>
          <cell r="C353" t="str">
            <v>CABANG UTAMA KOMERSIAL JAKARTA</v>
          </cell>
          <cell r="D353" t="str">
            <v>CABANG UTAMA KOMERSIAL JAKARTA</v>
          </cell>
          <cell r="E353" t="str">
            <v>ANALIS TEKNIK BKI ACADEMY</v>
          </cell>
          <cell r="F353" t="str">
            <v>bobby.an@bki.co.id</v>
          </cell>
          <cell r="G353" t="str">
            <v>081390083891</v>
          </cell>
          <cell r="H353" t="str">
            <v>5C</v>
          </cell>
          <cell r="I353">
            <v>0</v>
          </cell>
          <cell r="J353">
            <v>0</v>
          </cell>
        </row>
        <row r="354">
          <cell r="B354" t="str">
            <v>DANDY RUKMANA</v>
          </cell>
          <cell r="C354" t="str">
            <v>CABANG UTAMA KOMERSIAL JAKARTA</v>
          </cell>
          <cell r="D354" t="str">
            <v>CABANG UTAMA KOMERSIAL JAKARTA</v>
          </cell>
          <cell r="E354" t="str">
            <v>OFFICER PENJUALAN</v>
          </cell>
          <cell r="F354" t="str">
            <v>dandy@bki.co.id</v>
          </cell>
          <cell r="G354" t="str">
            <v>0811159599</v>
          </cell>
          <cell r="H354" t="str">
            <v>4B</v>
          </cell>
          <cell r="I354">
            <v>150000</v>
          </cell>
          <cell r="J354">
            <v>2125000</v>
          </cell>
        </row>
        <row r="355">
          <cell r="B355" t="str">
            <v>MUHAMAD YUSRAN ALOAHIIT</v>
          </cell>
          <cell r="C355" t="str">
            <v>CABANG UTAMA KOMERSIAL JAKARTA</v>
          </cell>
          <cell r="D355" t="str">
            <v>CABANG UTAMA KOMERSIAL JAKARTA</v>
          </cell>
          <cell r="E355" t="str">
            <v>INSPEKTUR SENIOR II OPERASI ENERGI</v>
          </cell>
          <cell r="F355" t="str">
            <v>m.yusran@bki.co.id</v>
          </cell>
          <cell r="G355" t="str">
            <v>0812 9884 1976</v>
          </cell>
          <cell r="H355" t="str">
            <v>7B</v>
          </cell>
          <cell r="I355">
            <v>0</v>
          </cell>
          <cell r="J355">
            <v>0</v>
          </cell>
        </row>
        <row r="356">
          <cell r="B356" t="str">
            <v>EFRY TALLAMMA</v>
          </cell>
          <cell r="C356" t="str">
            <v>CABANG UTAMA KOMERSIAL JAKARTA</v>
          </cell>
          <cell r="D356" t="str">
            <v>CABANG UTAMA KOMERSIAL JAKARTA</v>
          </cell>
          <cell r="E356" t="str">
            <v xml:space="preserve">ADMINISTRATOR SENIOR </v>
          </cell>
          <cell r="F356" t="str">
            <v>efry.t@bki.co.id</v>
          </cell>
          <cell r="G356" t="str">
            <v/>
          </cell>
          <cell r="H356" t="str">
            <v>3B</v>
          </cell>
          <cell r="I356">
            <v>150000</v>
          </cell>
          <cell r="J356">
            <v>0</v>
          </cell>
        </row>
        <row r="357">
          <cell r="B357" t="str">
            <v>WAHJOE ARIO TEDJO</v>
          </cell>
          <cell r="C357" t="str">
            <v>CABANG UTAMA KOMERSIAL JAKARTA</v>
          </cell>
          <cell r="D357" t="str">
            <v>CABANG UTAMA KOMERSIAL JAKARTA</v>
          </cell>
          <cell r="E357" t="str">
            <v>SPESIALIS SENIOR VERIFIKASI &amp; VALIDASI</v>
          </cell>
          <cell r="F357" t="str">
            <v>tedjo@bki.co.id</v>
          </cell>
          <cell r="G357" t="str">
            <v>0811136934</v>
          </cell>
          <cell r="H357" t="str">
            <v>7A</v>
          </cell>
          <cell r="I357">
            <v>350000</v>
          </cell>
          <cell r="J357">
            <v>11907733</v>
          </cell>
        </row>
        <row r="358">
          <cell r="B358" t="str">
            <v>ARIF RACHMAN</v>
          </cell>
          <cell r="C358" t="str">
            <v>CABANG UTAMA KOMERSIAL JAKARTA</v>
          </cell>
          <cell r="D358" t="str">
            <v>CABANG UTAMA KOMERSIAL JAKARTA</v>
          </cell>
          <cell r="E358" t="str">
            <v>INSPEKTUR OPERASI ENERGI</v>
          </cell>
          <cell r="F358" t="str">
            <v>arachman@bki.co.id</v>
          </cell>
          <cell r="G358" t="str">
            <v>081311263223</v>
          </cell>
          <cell r="H358" t="str">
            <v>5C</v>
          </cell>
          <cell r="I358">
            <v>150000</v>
          </cell>
          <cell r="J358">
            <v>1000000</v>
          </cell>
        </row>
        <row r="359">
          <cell r="B359" t="str">
            <v>A. RASYID ALIMUDDIN</v>
          </cell>
          <cell r="C359" t="str">
            <v>CABANG UTAMA KOMERSIL BALIKPAPAN</v>
          </cell>
          <cell r="D359" t="str">
            <v>CABANG UTAMA KOMERSIL BALIKPAPAN</v>
          </cell>
          <cell r="E359" t="str">
            <v>PJ. KEPALA CABANG UTAMA KOMERSIL BALIKPAPAN</v>
          </cell>
          <cell r="F359" t="str">
            <v>rasyid.alimuddin@bki.co.id</v>
          </cell>
          <cell r="G359" t="str">
            <v>08125434369</v>
          </cell>
          <cell r="H359" t="str">
            <v>7A</v>
          </cell>
          <cell r="I359">
            <v>250000</v>
          </cell>
          <cell r="J359">
            <v>0</v>
          </cell>
        </row>
        <row r="360">
          <cell r="B360" t="str">
            <v>JOKO UTOMO</v>
          </cell>
          <cell r="C360" t="str">
            <v>CABANG UTAMA KOMERSIL BALIKPAPAN</v>
          </cell>
          <cell r="D360" t="str">
            <v>CABANG UTAMA KOMERSIL BALIKPAPAN</v>
          </cell>
          <cell r="E360" t="str">
            <v>MANAGER PENJUALAN KOMERSIAL JAKARTA</v>
          </cell>
          <cell r="F360" t="str">
            <v>joko.utomo@bki.co.id</v>
          </cell>
          <cell r="G360" t="str">
            <v>081316932891</v>
          </cell>
          <cell r="H360" t="str">
            <v>5B</v>
          </cell>
          <cell r="I360">
            <v>250000</v>
          </cell>
          <cell r="J360">
            <v>4895833</v>
          </cell>
        </row>
        <row r="361">
          <cell r="B361" t="str">
            <v>SULIADI ARI</v>
          </cell>
          <cell r="C361" t="str">
            <v>CABANG UTAMA KOMERSIL BALIKPAPAN</v>
          </cell>
          <cell r="D361" t="str">
            <v>CABANG UTAMA KOMERSIL BALIKPAPAN</v>
          </cell>
          <cell r="E361" t="str">
            <v xml:space="preserve">INSPEKTUR JUNIOR I  </v>
          </cell>
          <cell r="F361" t="str">
            <v>suliadi@bki.co.id</v>
          </cell>
          <cell r="G361" t="str">
            <v>082352131991</v>
          </cell>
          <cell r="H361" t="str">
            <v>3C</v>
          </cell>
          <cell r="I361">
            <v>0</v>
          </cell>
          <cell r="J361">
            <v>0</v>
          </cell>
        </row>
        <row r="362">
          <cell r="B362" t="str">
            <v>LOESTHPEDI PARORRONGAN</v>
          </cell>
          <cell r="C362" t="str">
            <v>CABANG UTAMA KOMERSIL BALIKPAPAN</v>
          </cell>
          <cell r="D362" t="str">
            <v>CABANG UTAMA KOMERSIL BALIKPAPAN</v>
          </cell>
          <cell r="E362" t="str">
            <v xml:space="preserve">INSPEKTUR JUNIOR II  </v>
          </cell>
          <cell r="F362" t="str">
            <v>loesthpedi@bki.co.id</v>
          </cell>
          <cell r="G362" t="str">
            <v>0813 2585 3333</v>
          </cell>
          <cell r="H362" t="str">
            <v>4C</v>
          </cell>
          <cell r="I362">
            <v>0</v>
          </cell>
          <cell r="J362">
            <v>0</v>
          </cell>
        </row>
        <row r="363">
          <cell r="B363" t="str">
            <v>MUHAMMAD ALIYAS</v>
          </cell>
          <cell r="C363" t="str">
            <v>CABANG UTAMA KOMERSIL BALIKPAPAN</v>
          </cell>
          <cell r="D363" t="str">
            <v>CABANG UTAMA KOMERSIL BALIKPAPAN</v>
          </cell>
          <cell r="E363" t="str">
            <v xml:space="preserve">INSPEKTUR JUNIOR II   </v>
          </cell>
          <cell r="F363" t="str">
            <v>aliyas@bki.co.id</v>
          </cell>
          <cell r="G363" t="str">
            <v/>
          </cell>
          <cell r="H363" t="str">
            <v>4C</v>
          </cell>
          <cell r="I363">
            <v>0</v>
          </cell>
          <cell r="J363">
            <v>0</v>
          </cell>
        </row>
        <row r="364">
          <cell r="B364" t="str">
            <v>FANDI AKBAR</v>
          </cell>
          <cell r="C364" t="str">
            <v>CABANG UTAMA KOMERSIL BALIKPAPAN</v>
          </cell>
          <cell r="D364" t="str">
            <v>CABANG UTAMA KOMERSIL BALIKPAPAN</v>
          </cell>
          <cell r="E364" t="str">
            <v>ADMINISTRATOR</v>
          </cell>
          <cell r="F364" t="str">
            <v>fandi.akbar@bki.co.id</v>
          </cell>
          <cell r="G364" t="str">
            <v>08115999617</v>
          </cell>
          <cell r="H364" t="str">
            <v>2A</v>
          </cell>
          <cell r="I364">
            <v>0</v>
          </cell>
          <cell r="J364">
            <v>0</v>
          </cell>
        </row>
        <row r="365">
          <cell r="B365" t="str">
            <v>ZAINAL ABIDIN</v>
          </cell>
          <cell r="C365" t="str">
            <v>CABANG UTAMA KOMERSIL BALIKPAPAN</v>
          </cell>
          <cell r="D365" t="str">
            <v>CABANG UTAMA KOMERSIL BALIKPAPAN</v>
          </cell>
          <cell r="E365" t="str">
            <v xml:space="preserve">INSPEKTUR JUNIOR II </v>
          </cell>
          <cell r="F365" t="str">
            <v>zainal.abidin@bki.co.id</v>
          </cell>
          <cell r="G365" t="str">
            <v>0852 4280 4446</v>
          </cell>
          <cell r="H365" t="str">
            <v>4C</v>
          </cell>
          <cell r="I365">
            <v>0</v>
          </cell>
          <cell r="J365">
            <v>0</v>
          </cell>
        </row>
        <row r="366">
          <cell r="B366" t="str">
            <v>HARIMULYO</v>
          </cell>
          <cell r="C366" t="str">
            <v>CABANG UTAMA KOMERSIL BALIKPAPAN</v>
          </cell>
          <cell r="D366" t="str">
            <v>CABANG UTAMA KOMERSIL BALIKPAPAN</v>
          </cell>
          <cell r="E366" t="str">
            <v xml:space="preserve">INSPEKTUR JUNIOR II  </v>
          </cell>
          <cell r="F366" t="str">
            <v>hari.mulyo@bki.co.id</v>
          </cell>
          <cell r="G366" t="str">
            <v>081355100342</v>
          </cell>
          <cell r="H366" t="str">
            <v>4C</v>
          </cell>
          <cell r="I366">
            <v>0</v>
          </cell>
          <cell r="J366">
            <v>0</v>
          </cell>
        </row>
        <row r="367">
          <cell r="B367" t="str">
            <v>SAMUEL JOHAN SOSELISA</v>
          </cell>
          <cell r="C367" t="str">
            <v>CABANG UTAMA KOMERSIL BALIKPAPAN</v>
          </cell>
          <cell r="D367" t="str">
            <v>CABANG UTAMA KOMERSIL BALIKPAPAN</v>
          </cell>
          <cell r="E367" t="str">
            <v>OPERATOR PENGUJIAN</v>
          </cell>
          <cell r="F367" t="str">
            <v>samuel@bki.co.id</v>
          </cell>
          <cell r="G367" t="str">
            <v>085226883380</v>
          </cell>
          <cell r="H367" t="str">
            <v>3A</v>
          </cell>
          <cell r="I367">
            <v>0</v>
          </cell>
          <cell r="J367">
            <v>0</v>
          </cell>
        </row>
        <row r="368">
          <cell r="B368" t="str">
            <v>SAUR ELI TUA SIRAIT</v>
          </cell>
          <cell r="C368" t="str">
            <v>CABANG UTAMA KOMERSIL BALIKPAPAN</v>
          </cell>
          <cell r="D368" t="str">
            <v>CABANG UTAMA KOMERSIL BALIKPAPAN</v>
          </cell>
          <cell r="E368" t="str">
            <v>OPERATOR PENGUJIAN</v>
          </cell>
          <cell r="F368" t="str">
            <v>saur@bki.co.id</v>
          </cell>
          <cell r="G368">
            <v>0</v>
          </cell>
          <cell r="H368" t="str">
            <v>3A</v>
          </cell>
          <cell r="I368">
            <v>0</v>
          </cell>
          <cell r="J368">
            <v>0</v>
          </cell>
        </row>
        <row r="369">
          <cell r="B369" t="str">
            <v>ABDUL SARPAN</v>
          </cell>
          <cell r="C369" t="str">
            <v>CABANG UTAMA KOMERSIL BALIKPAPAN</v>
          </cell>
          <cell r="D369" t="str">
            <v>CABANG UTAMA KOMERSIL BALIKPAPAN</v>
          </cell>
          <cell r="E369" t="str">
            <v>OPERATOR PENGUJIAN</v>
          </cell>
          <cell r="F369" t="str">
            <v>sarpan@bki.co.id</v>
          </cell>
          <cell r="G369" t="str">
            <v>081346557873</v>
          </cell>
          <cell r="H369" t="str">
            <v>3A</v>
          </cell>
          <cell r="I369">
            <v>0</v>
          </cell>
          <cell r="J369">
            <v>0</v>
          </cell>
        </row>
        <row r="370">
          <cell r="B370" t="str">
            <v>YAURI LINGKAR PARAENG</v>
          </cell>
          <cell r="C370" t="str">
            <v>CABANG UTAMA KOMERSIL BALIKPAPAN</v>
          </cell>
          <cell r="D370" t="str">
            <v>CABANG UTAMA KOMERSIL BALIKPAPAN</v>
          </cell>
          <cell r="E370" t="str">
            <v xml:space="preserve">INSPEKTUR JUNIOR II  </v>
          </cell>
          <cell r="F370" t="str">
            <v>yauri@bki.co.id</v>
          </cell>
          <cell r="G370" t="str">
            <v>081355386000</v>
          </cell>
          <cell r="H370" t="str">
            <v>4C</v>
          </cell>
          <cell r="I370">
            <v>0</v>
          </cell>
          <cell r="J370">
            <v>0</v>
          </cell>
        </row>
        <row r="371">
          <cell r="B371" t="str">
            <v>SUBARI</v>
          </cell>
          <cell r="C371" t="str">
            <v>CABANG UTAMA KOMERSIL BALIKPAPAN</v>
          </cell>
          <cell r="D371" t="str">
            <v>CABANG UTAMA KOMERSIL BALIKPAPAN</v>
          </cell>
          <cell r="E371" t="str">
            <v xml:space="preserve">INSPEKTUR JUNIOR II </v>
          </cell>
          <cell r="F371" t="str">
            <v>subari@bki.co.id</v>
          </cell>
          <cell r="G371" t="str">
            <v/>
          </cell>
          <cell r="H371" t="str">
            <v>4C</v>
          </cell>
          <cell r="I371">
            <v>0</v>
          </cell>
          <cell r="J371">
            <v>0</v>
          </cell>
        </row>
        <row r="372">
          <cell r="B372" t="str">
            <v>MUHAMMAD ALI MURTADHO</v>
          </cell>
          <cell r="C372" t="str">
            <v>CABANG UTAMA KOMERSIL BALIKPAPAN</v>
          </cell>
          <cell r="D372" t="str">
            <v>CABANG UTAMA KOMERSIL BALIKPAPAN</v>
          </cell>
          <cell r="E372" t="str">
            <v xml:space="preserve">INSPEKTUR JUNIOR II   </v>
          </cell>
          <cell r="F372" t="str">
            <v>ali.murtadho@bki.co.id</v>
          </cell>
          <cell r="G372" t="str">
            <v>081254268886</v>
          </cell>
          <cell r="H372" t="str">
            <v>4C</v>
          </cell>
          <cell r="I372">
            <v>0</v>
          </cell>
          <cell r="J372">
            <v>0</v>
          </cell>
        </row>
        <row r="373">
          <cell r="B373" t="str">
            <v>YOPPY SURYANTO</v>
          </cell>
          <cell r="C373" t="str">
            <v>CABANG UTAMA KOMERSIL BALIKPAPAN</v>
          </cell>
          <cell r="D373" t="str">
            <v>CABANG UTAMA KOMERSIL BALIKPAPAN</v>
          </cell>
          <cell r="E373" t="str">
            <v xml:space="preserve">INSPEKTUR JUNIOR I </v>
          </cell>
          <cell r="F373" t="str">
            <v>yoppy@bki.co.id</v>
          </cell>
          <cell r="G373" t="str">
            <v>081350250880</v>
          </cell>
          <cell r="H373" t="str">
            <v>3C</v>
          </cell>
          <cell r="I373">
            <v>0</v>
          </cell>
          <cell r="J373">
            <v>0</v>
          </cell>
        </row>
        <row r="374">
          <cell r="B374" t="str">
            <v>RATNA DAMAYANTI</v>
          </cell>
          <cell r="C374" t="str">
            <v>CABANG UTAMA KOMERSIL BALIKPAPAN</v>
          </cell>
          <cell r="D374" t="str">
            <v>CABANG UTAMA KOMERSIL BALIKPAPAN</v>
          </cell>
          <cell r="E374" t="str">
            <v>ANALIS ADMINISTRASI UMUM &amp; KEUANGAN</v>
          </cell>
          <cell r="F374" t="str">
            <v>ratna.damayanti@bki.co.id</v>
          </cell>
          <cell r="G374" t="str">
            <v>085389302699</v>
          </cell>
          <cell r="H374" t="str">
            <v>5B</v>
          </cell>
          <cell r="I374">
            <v>250000</v>
          </cell>
          <cell r="J374">
            <v>0</v>
          </cell>
        </row>
        <row r="375">
          <cell r="B375" t="str">
            <v>TRI WAHYUNI</v>
          </cell>
          <cell r="C375" t="str">
            <v>CABANG UTAMA KOMERSIL BALIKPAPAN</v>
          </cell>
          <cell r="D375" t="str">
            <v>CABANG UTAMA KOMERSIL BALIKPAPAN</v>
          </cell>
          <cell r="E375" t="str">
            <v>OFFICER ADMINISTRASI UMUM</v>
          </cell>
          <cell r="F375" t="str">
            <v>wahyuni@bki.co.id</v>
          </cell>
          <cell r="G375" t="str">
            <v>0812 5170 0408</v>
          </cell>
          <cell r="H375" t="str">
            <v>4A</v>
          </cell>
          <cell r="I375">
            <v>0</v>
          </cell>
          <cell r="J375">
            <v>0</v>
          </cell>
        </row>
        <row r="376">
          <cell r="B376" t="str">
            <v>SUDARYONO</v>
          </cell>
          <cell r="C376" t="str">
            <v>CABANG UTAMA KOMERSIL BALIKPAPAN</v>
          </cell>
          <cell r="D376" t="str">
            <v>CABANG UTAMA KOMERSIL BALIKPAPAN</v>
          </cell>
          <cell r="E376" t="str">
            <v>INSPEKTUR</v>
          </cell>
          <cell r="F376" t="str">
            <v>sudaryono@bki.co.id</v>
          </cell>
          <cell r="G376" t="str">
            <v>085246007793</v>
          </cell>
          <cell r="H376" t="str">
            <v>5C</v>
          </cell>
          <cell r="I376">
            <v>150000</v>
          </cell>
          <cell r="J376">
            <v>0</v>
          </cell>
        </row>
        <row r="377">
          <cell r="B377" t="str">
            <v>ADNAN</v>
          </cell>
          <cell r="C377" t="str">
            <v>CABANG UTAMA KOMERSIL BALIKPAPAN</v>
          </cell>
          <cell r="D377" t="str">
            <v>CABANG UTAMA KOMERSIL BALIKPAPAN</v>
          </cell>
          <cell r="E377" t="str">
            <v>PJ. SENIOR MANAGER PENJUALAN DAN DUKUNGAN BISNIS KOMERSIAL BALIKPAPAN</v>
          </cell>
          <cell r="F377" t="str">
            <v>adnan@bki.co.id</v>
          </cell>
          <cell r="G377" t="str">
            <v>081347777003</v>
          </cell>
          <cell r="H377" t="str">
            <v>5B</v>
          </cell>
          <cell r="I377">
            <v>150000</v>
          </cell>
          <cell r="J377">
            <v>0</v>
          </cell>
        </row>
        <row r="378">
          <cell r="B378" t="str">
            <v>IKBAL KADIR</v>
          </cell>
          <cell r="C378" t="str">
            <v>CABANG UTAMA KOMERSIL BALIKPAPAN</v>
          </cell>
          <cell r="D378" t="str">
            <v>CABANG UTAMA KOMERSIL BALIKPAPAN</v>
          </cell>
          <cell r="E378" t="str">
            <v>PJ. MANAGER ADMINISTRASI UMUM DAN KEUANGAN KOMERSIAL BALIKPAPAN</v>
          </cell>
          <cell r="F378" t="str">
            <v>ikbal.kadir@bki.co.id</v>
          </cell>
          <cell r="G378" t="str">
            <v>081211221245</v>
          </cell>
          <cell r="H378" t="str">
            <v>3B</v>
          </cell>
          <cell r="I378">
            <v>0</v>
          </cell>
          <cell r="J378">
            <v>0</v>
          </cell>
        </row>
        <row r="379">
          <cell r="B379" t="str">
            <v>ANDI AGUNG MAPPANGILE</v>
          </cell>
          <cell r="C379" t="str">
            <v>CABANG UTAMA KOMERSIL BALIKPAPAN</v>
          </cell>
          <cell r="D379" t="str">
            <v>CABANG UTAMA KOMERSIL BALIKPAPAN</v>
          </cell>
          <cell r="E379" t="str">
            <v xml:space="preserve">INSPEKTUR JUNIOR II  </v>
          </cell>
          <cell r="F379" t="str">
            <v>mappangile@bki.co.id</v>
          </cell>
          <cell r="G379" t="str">
            <v>0813 4243 5758</v>
          </cell>
          <cell r="H379" t="str">
            <v>4C</v>
          </cell>
          <cell r="I379">
            <v>0</v>
          </cell>
          <cell r="J379">
            <v>0</v>
          </cell>
        </row>
        <row r="380">
          <cell r="B380" t="str">
            <v>SYAHRANI SUMAILA</v>
          </cell>
          <cell r="C380" t="str">
            <v>CABANG UTAMA KOMERSIL BALIKPAPAN</v>
          </cell>
          <cell r="D380" t="str">
            <v>CABANG UTAMA KOMERSIL BALIKPAPAN</v>
          </cell>
          <cell r="E380" t="str">
            <v>INSPEKTUR</v>
          </cell>
          <cell r="F380" t="str">
            <v>syahrani@bki.co.id</v>
          </cell>
          <cell r="G380" t="str">
            <v>0852 4326 6209</v>
          </cell>
          <cell r="H380" t="str">
            <v>5C</v>
          </cell>
          <cell r="I380">
            <v>0</v>
          </cell>
          <cell r="J380">
            <v>0</v>
          </cell>
        </row>
        <row r="381">
          <cell r="B381" t="str">
            <v>BASORI</v>
          </cell>
          <cell r="C381" t="str">
            <v>CABANG UTAMA KOMERSIL BALIKPAPAN</v>
          </cell>
          <cell r="D381" t="str">
            <v>CABANG UTAMA KOMERSIL BALIKPAPAN</v>
          </cell>
          <cell r="E381" t="str">
            <v>OPERATOR PENGUJIAN</v>
          </cell>
          <cell r="F381" t="str">
            <v>basori@bki.co.id</v>
          </cell>
          <cell r="G381" t="str">
            <v>0813 5051 0072</v>
          </cell>
          <cell r="H381" t="str">
            <v>3A</v>
          </cell>
          <cell r="I381">
            <v>0</v>
          </cell>
          <cell r="J381">
            <v>0</v>
          </cell>
        </row>
        <row r="382">
          <cell r="B382" t="str">
            <v>AKBAR EDY</v>
          </cell>
          <cell r="C382" t="str">
            <v>CABANG UTAMA KOMERSIL BALIKPAPAN</v>
          </cell>
          <cell r="D382" t="str">
            <v>CABANG UTAMA KOMERSIL BALIKPAPAN</v>
          </cell>
          <cell r="E382" t="str">
            <v>INSPEKTUR</v>
          </cell>
          <cell r="F382" t="str">
            <v>akbar.edy@bki.co.id</v>
          </cell>
          <cell r="G382" t="str">
            <v>085242152339</v>
          </cell>
          <cell r="H382" t="str">
            <v>5C</v>
          </cell>
          <cell r="I382">
            <v>0</v>
          </cell>
          <cell r="J382">
            <v>0</v>
          </cell>
        </row>
        <row r="383">
          <cell r="B383" t="str">
            <v>ROHMAN NAHDIANTO</v>
          </cell>
          <cell r="C383" t="str">
            <v>CABANG UTAMA KOMERSIL BALIKPAPAN</v>
          </cell>
          <cell r="D383" t="str">
            <v>CABANG UTAMA KOMERSIL BALIKPAPAN</v>
          </cell>
          <cell r="E383" t="str">
            <v xml:space="preserve">INSPEKTUR JUNIOR I </v>
          </cell>
          <cell r="F383" t="str">
            <v>nahdianto@bki.co.id</v>
          </cell>
          <cell r="G383" t="str">
            <v>082157105535</v>
          </cell>
          <cell r="H383" t="str">
            <v>3C</v>
          </cell>
          <cell r="I383">
            <v>0</v>
          </cell>
          <cell r="J383">
            <v>0</v>
          </cell>
        </row>
        <row r="384">
          <cell r="B384" t="str">
            <v>UMI MAISYAROH</v>
          </cell>
          <cell r="C384" t="str">
            <v>CABANG UTAMA KOMERSIL BALIKPAPAN</v>
          </cell>
          <cell r="D384" t="str">
            <v>CABANG UTAMA KOMERSIL BALIKPAPAN</v>
          </cell>
          <cell r="E384" t="str">
            <v>ADMINISTRATOR SENIOR</v>
          </cell>
          <cell r="F384" t="str">
            <v>umi@bki.co.id</v>
          </cell>
          <cell r="G384" t="str">
            <v>085252004673</v>
          </cell>
          <cell r="H384" t="str">
            <v>3B</v>
          </cell>
          <cell r="I384">
            <v>0</v>
          </cell>
          <cell r="J384">
            <v>0</v>
          </cell>
        </row>
        <row r="385">
          <cell r="B385" t="str">
            <v>BRAMANTI PRAMAWEDHA SATRIANTO PUTRA</v>
          </cell>
          <cell r="C385" t="str">
            <v>CABANG UTAMA KOMERSIL BALIKPAPAN</v>
          </cell>
          <cell r="D385" t="str">
            <v>CABANG UTAMA KOMERSIL BALIKPAPAN</v>
          </cell>
          <cell r="E385" t="str">
            <v>PJ. SENIOR MANAGER OPERASI KOMERSIL BALIKPAPAN</v>
          </cell>
          <cell r="F385" t="str">
            <v>bramanti.psp@bki.co.id</v>
          </cell>
          <cell r="G385" t="str">
            <v>081321226869</v>
          </cell>
          <cell r="H385" t="str">
            <v>6B</v>
          </cell>
          <cell r="I385">
            <v>100000</v>
          </cell>
          <cell r="J385">
            <v>0</v>
          </cell>
        </row>
        <row r="386">
          <cell r="B386" t="str">
            <v>NUR FAUZAN AZIM</v>
          </cell>
          <cell r="C386" t="str">
            <v>CABANG UTAMA KOMERSIL BALIKPAPAN</v>
          </cell>
          <cell r="D386" t="str">
            <v>CABANG UTAMA KOMERSIL BALIKPAPAN</v>
          </cell>
          <cell r="E386" t="str">
            <v xml:space="preserve">INSPEKTUR JUNIOR I  </v>
          </cell>
          <cell r="F386" t="str">
            <v>fauzan.azim@bki.co.id</v>
          </cell>
          <cell r="G386" t="str">
            <v>082250094467</v>
          </cell>
          <cell r="H386" t="str">
            <v>3C</v>
          </cell>
          <cell r="I386">
            <v>0</v>
          </cell>
          <cell r="J386">
            <v>0</v>
          </cell>
        </row>
        <row r="387">
          <cell r="B387" t="str">
            <v>LA ODE ABDUL SAHID MUNIFA</v>
          </cell>
          <cell r="C387" t="str">
            <v>CABANG UTAMA KOMERSIL BALIKPAPAN</v>
          </cell>
          <cell r="D387" t="str">
            <v>CABANG UTAMA KOMERSIL BALIKPAPAN</v>
          </cell>
          <cell r="E387" t="str">
            <v xml:space="preserve">INSPEKTUR JUNIOR I  </v>
          </cell>
          <cell r="F387" t="str">
            <v>laode.sahid@bki.co.id</v>
          </cell>
          <cell r="G387" t="str">
            <v>082131844418</v>
          </cell>
          <cell r="H387" t="str">
            <v>3C</v>
          </cell>
          <cell r="I387">
            <v>0</v>
          </cell>
          <cell r="J387">
            <v>0</v>
          </cell>
        </row>
        <row r="388">
          <cell r="B388" t="str">
            <v>YUSRIADY BOROALLO RUGA</v>
          </cell>
          <cell r="C388" t="str">
            <v>CoE ENERGY</v>
          </cell>
          <cell r="D388" t="str">
            <v>CoE ENERGY</v>
          </cell>
          <cell r="E388" t="str">
            <v>ANALIS TEKNIK</v>
          </cell>
          <cell r="F388" t="str">
            <v>yusriadi.br@bki.co.id</v>
          </cell>
          <cell r="G388" t="str">
            <v>081318481114</v>
          </cell>
          <cell r="H388" t="str">
            <v>5C</v>
          </cell>
          <cell r="I388">
            <v>150000</v>
          </cell>
          <cell r="J388">
            <v>0</v>
          </cell>
        </row>
        <row r="389">
          <cell r="B389" t="str">
            <v>EVAN EGA RIZKIARSA</v>
          </cell>
          <cell r="C389" t="str">
            <v>CoE ENERGY</v>
          </cell>
          <cell r="D389" t="str">
            <v>CoE ENERGY</v>
          </cell>
          <cell r="E389" t="str">
            <v>OFFICER JUNIOR TEKNIK</v>
          </cell>
          <cell r="F389" t="str">
            <v>evan.ega@bki.co.id</v>
          </cell>
          <cell r="G389" t="str">
            <v/>
          </cell>
          <cell r="H389" t="str">
            <v>3C</v>
          </cell>
          <cell r="I389">
            <v>0</v>
          </cell>
          <cell r="J389">
            <v>0</v>
          </cell>
        </row>
        <row r="390">
          <cell r="B390" t="str">
            <v>R. SAPTO AGUNG PRAMUSINTO</v>
          </cell>
          <cell r="C390" t="str">
            <v>CoE ENERGY</v>
          </cell>
          <cell r="D390" t="str">
            <v>CoE ENERGY</v>
          </cell>
          <cell r="E390" t="str">
            <v>VP CoE ENERGY</v>
          </cell>
          <cell r="F390" t="str">
            <v>sapto.ap@bki.co.id</v>
          </cell>
          <cell r="G390" t="str">
            <v/>
          </cell>
          <cell r="H390" t="str">
            <v>8B</v>
          </cell>
          <cell r="I390">
            <v>350000</v>
          </cell>
          <cell r="J390">
            <v>0</v>
          </cell>
        </row>
        <row r="391">
          <cell r="B391" t="str">
            <v>AGAH DIRGAPATRIA DJAJASUDARMA</v>
          </cell>
          <cell r="C391" t="str">
            <v>CoE ENERGY</v>
          </cell>
          <cell r="D391" t="str">
            <v>CoE ENERGY</v>
          </cell>
          <cell r="E391" t="str">
            <v>SENIOR MANAGER RISET, PENGEMBANGAN BISNIS DAN PEMASARAN ENERGI</v>
          </cell>
          <cell r="F391" t="str">
            <v>agah.dd@bki.co.id</v>
          </cell>
          <cell r="G391" t="str">
            <v>0811548005</v>
          </cell>
          <cell r="H391" t="str">
            <v>7B</v>
          </cell>
          <cell r="I391">
            <v>0</v>
          </cell>
          <cell r="J391">
            <v>0</v>
          </cell>
        </row>
        <row r="392">
          <cell r="B392" t="str">
            <v>YUDI PRAWOTO</v>
          </cell>
          <cell r="C392" t="str">
            <v>CoE ENERGY</v>
          </cell>
          <cell r="D392" t="str">
            <v>CoE ENERGY</v>
          </cell>
          <cell r="E392" t="str">
            <v>SENIOR MANAGER  DUKUNGAN TEKNIS DAN SUMBER DAYA ENERGI</v>
          </cell>
          <cell r="F392" t="str">
            <v>yudi.prawoto@bki.co.id</v>
          </cell>
          <cell r="G392" t="str">
            <v>082135940794</v>
          </cell>
          <cell r="H392" t="str">
            <v>7A</v>
          </cell>
          <cell r="I392">
            <v>350000</v>
          </cell>
          <cell r="J392">
            <v>0</v>
          </cell>
        </row>
        <row r="393">
          <cell r="B393" t="str">
            <v>AGUS SUNARTO</v>
          </cell>
          <cell r="C393" t="str">
            <v>CoE ENERGY</v>
          </cell>
          <cell r="D393" t="str">
            <v>CoE ENERGY</v>
          </cell>
          <cell r="E393" t="str">
            <v xml:space="preserve">SPESIALIS SENIOR TEKNIK </v>
          </cell>
          <cell r="F393" t="str">
            <v>agus.sunarto@bki.co.id</v>
          </cell>
          <cell r="G393" t="str">
            <v>08125433771</v>
          </cell>
          <cell r="H393" t="str">
            <v>7B</v>
          </cell>
          <cell r="I393">
            <v>150000</v>
          </cell>
          <cell r="J393">
            <v>0</v>
          </cell>
        </row>
        <row r="394">
          <cell r="B394" t="str">
            <v>RUDY SUNARYADI</v>
          </cell>
          <cell r="C394" t="str">
            <v>CoE ENERGY</v>
          </cell>
          <cell r="D394" t="str">
            <v>CoE ENERGY</v>
          </cell>
          <cell r="E394" t="str">
            <v xml:space="preserve">SPESIALIS SENIOR TEKNIK </v>
          </cell>
          <cell r="F394" t="str">
            <v>rudy.sunaryadi@bki.co.id</v>
          </cell>
          <cell r="G394" t="str">
            <v>081350931703</v>
          </cell>
          <cell r="H394" t="str">
            <v>7B</v>
          </cell>
          <cell r="I394">
            <v>0</v>
          </cell>
          <cell r="J394">
            <v>0</v>
          </cell>
        </row>
        <row r="395">
          <cell r="B395" t="str">
            <v>AFANI ROMA ARISA</v>
          </cell>
          <cell r="C395" t="str">
            <v>CoE ENERGY</v>
          </cell>
          <cell r="D395" t="str">
            <v>CoE ENERGY</v>
          </cell>
          <cell r="E395" t="str">
            <v>OFFICER JUNIOR TEKNIK</v>
          </cell>
          <cell r="F395" t="str">
            <v>afani.ra@bki.co.id</v>
          </cell>
          <cell r="G395" t="str">
            <v/>
          </cell>
          <cell r="H395" t="str">
            <v>3C</v>
          </cell>
          <cell r="I395">
            <v>0</v>
          </cell>
          <cell r="J395">
            <v>0</v>
          </cell>
        </row>
        <row r="396">
          <cell r="B396" t="str">
            <v>BURHANUDDIN</v>
          </cell>
          <cell r="C396" t="str">
            <v>CoE ENERGY</v>
          </cell>
          <cell r="D396" t="str">
            <v>CoE ENERGY</v>
          </cell>
          <cell r="E396" t="str">
            <v xml:space="preserve">ADMINISTRATOR SENIOR </v>
          </cell>
          <cell r="F396" t="str">
            <v>burhanuddin@bki.co.id</v>
          </cell>
          <cell r="G396" t="str">
            <v/>
          </cell>
          <cell r="H396" t="str">
            <v>3B</v>
          </cell>
          <cell r="I396">
            <v>100000</v>
          </cell>
          <cell r="J396">
            <v>1000000</v>
          </cell>
        </row>
        <row r="397">
          <cell r="B397" t="str">
            <v>ELVINO YUSKA PUTRA</v>
          </cell>
          <cell r="C397" t="str">
            <v>CoE ENERGY</v>
          </cell>
          <cell r="D397" t="str">
            <v>CoE ENERGY</v>
          </cell>
          <cell r="E397" t="str">
            <v xml:space="preserve">ADMINISTRATOR SENIOR </v>
          </cell>
          <cell r="F397" t="str">
            <v>elvino.yusca@bki.co.id</v>
          </cell>
          <cell r="G397" t="str">
            <v>082112763607</v>
          </cell>
          <cell r="H397" t="str">
            <v>3B</v>
          </cell>
          <cell r="I397">
            <v>100000</v>
          </cell>
          <cell r="J397">
            <v>1000000</v>
          </cell>
        </row>
        <row r="398">
          <cell r="B398" t="str">
            <v>HELDA YULISTIANI</v>
          </cell>
          <cell r="C398" t="str">
            <v>CoE ENERGY</v>
          </cell>
          <cell r="D398" t="str">
            <v>CoE ENERGY</v>
          </cell>
          <cell r="E398" t="str">
            <v xml:space="preserve">ADMINISTRATOR SENIOR </v>
          </cell>
          <cell r="F398" t="str">
            <v>helda.yulistiani@bki.co.id</v>
          </cell>
          <cell r="G398">
            <v>0</v>
          </cell>
          <cell r="H398" t="str">
            <v>3B</v>
          </cell>
          <cell r="I398">
            <v>100000</v>
          </cell>
          <cell r="J398">
            <v>0</v>
          </cell>
        </row>
        <row r="399">
          <cell r="B399" t="str">
            <v>WINARTO</v>
          </cell>
          <cell r="C399" t="str">
            <v>CoE ENERGY</v>
          </cell>
          <cell r="D399" t="str">
            <v>CoE ENERGY</v>
          </cell>
          <cell r="E399" t="str">
            <v xml:space="preserve">SPESIALIS SENIOR TEKNIK </v>
          </cell>
          <cell r="F399" t="str">
            <v>winarto@bki.co.id</v>
          </cell>
          <cell r="G399" t="str">
            <v>081282280509</v>
          </cell>
          <cell r="H399" t="str">
            <v>7A</v>
          </cell>
          <cell r="I399">
            <v>350000</v>
          </cell>
          <cell r="J399" t="str">
            <v>-</v>
          </cell>
        </row>
        <row r="400">
          <cell r="B400" t="str">
            <v>JOKO SUSILO</v>
          </cell>
          <cell r="C400" t="str">
            <v>CoE ENERGY</v>
          </cell>
          <cell r="D400" t="str">
            <v>CoE ENERGY</v>
          </cell>
          <cell r="E400" t="str">
            <v xml:space="preserve">ANALIS TEKNIK </v>
          </cell>
          <cell r="F400" t="str">
            <v>joko.susilo@bki.co.id</v>
          </cell>
          <cell r="G400" t="str">
            <v>081215171599</v>
          </cell>
          <cell r="H400" t="str">
            <v>5C</v>
          </cell>
          <cell r="I400">
            <v>100000</v>
          </cell>
          <cell r="J400">
            <v>0</v>
          </cell>
        </row>
        <row r="401">
          <cell r="B401" t="str">
            <v>WAHYU PRIAMBODO</v>
          </cell>
          <cell r="C401" t="str">
            <v>CoE ENERGY</v>
          </cell>
          <cell r="D401" t="str">
            <v>CoE ENERGY</v>
          </cell>
          <cell r="E401" t="str">
            <v xml:space="preserve">SPESIALIS TEKNIK  </v>
          </cell>
          <cell r="F401" t="str">
            <v>wahyu.priambodo@bki.co.id</v>
          </cell>
          <cell r="G401" t="str">
            <v>08155034245</v>
          </cell>
          <cell r="H401" t="str">
            <v>6C</v>
          </cell>
          <cell r="I401">
            <v>350000</v>
          </cell>
          <cell r="J401">
            <v>0</v>
          </cell>
        </row>
        <row r="402">
          <cell r="B402" t="str">
            <v>WAHYU RAHMA PUTRI</v>
          </cell>
          <cell r="C402" t="str">
            <v>CoE ENERGY</v>
          </cell>
          <cell r="D402" t="str">
            <v>CoE ENERGY</v>
          </cell>
          <cell r="E402" t="str">
            <v xml:space="preserve">OFFICER JUNIOR TEKNIK </v>
          </cell>
          <cell r="F402" t="str">
            <v>wahyu.rp@bki.co.id</v>
          </cell>
          <cell r="G402" t="str">
            <v>089690617077</v>
          </cell>
          <cell r="H402" t="str">
            <v>3C</v>
          </cell>
          <cell r="I402">
            <v>0</v>
          </cell>
          <cell r="J402">
            <v>0</v>
          </cell>
        </row>
        <row r="403">
          <cell r="B403" t="str">
            <v>TANTRY OCTAVIANI</v>
          </cell>
          <cell r="C403" t="str">
            <v>CoE ENERGY</v>
          </cell>
          <cell r="D403" t="str">
            <v>CoE ENERGY</v>
          </cell>
          <cell r="E403" t="str">
            <v xml:space="preserve">ADMINISTRATOR SENIOR </v>
          </cell>
          <cell r="F403" t="str">
            <v>tantry.octa@bki.co.id</v>
          </cell>
          <cell r="G403" t="str">
            <v>087809705285</v>
          </cell>
          <cell r="H403" t="str">
            <v>3B</v>
          </cell>
          <cell r="I403">
            <v>100000</v>
          </cell>
          <cell r="J403">
            <v>0</v>
          </cell>
        </row>
        <row r="404">
          <cell r="B404" t="str">
            <v>DR  KARTIKA KUS HENDRATNA</v>
          </cell>
          <cell r="C404" t="str">
            <v>CoE TRANSPORT &amp; LOGISTIC</v>
          </cell>
          <cell r="D404" t="str">
            <v>CoE TRANSPORT &amp; LOGISTIC</v>
          </cell>
          <cell r="E404" t="str">
            <v>VP CoE TRANSPORT &amp; LOGISTIC</v>
          </cell>
          <cell r="F404" t="str">
            <v>kartika.khendratna@bki.co.id</v>
          </cell>
          <cell r="G404">
            <v>0</v>
          </cell>
          <cell r="H404" t="str">
            <v>8B</v>
          </cell>
          <cell r="I404">
            <v>500000</v>
          </cell>
          <cell r="J404">
            <v>0</v>
          </cell>
        </row>
        <row r="405">
          <cell r="B405" t="str">
            <v>ARDHIAN BUDI SULISTIYO</v>
          </cell>
          <cell r="C405" t="str">
            <v>CoE TRANSPORT &amp; LOGISTIC</v>
          </cell>
          <cell r="D405" t="str">
            <v>CoE TRANSPORT &amp; LOGISTIC</v>
          </cell>
          <cell r="E405" t="str">
            <v>SENIOR MANAGER DUKUNGAN TEKNIS DAN SUMBER DAYA TRANSPORT &amp; LOGISTIC</v>
          </cell>
          <cell r="F405" t="str">
            <v>ardhian.bs@bki.co.id</v>
          </cell>
          <cell r="G405" t="str">
            <v>0812 543 4378</v>
          </cell>
          <cell r="H405" t="str">
            <v>7A</v>
          </cell>
          <cell r="I405">
            <v>350000</v>
          </cell>
          <cell r="J405">
            <v>0</v>
          </cell>
        </row>
        <row r="406">
          <cell r="B406" t="str">
            <v>ARIF PURWONO</v>
          </cell>
          <cell r="C406" t="str">
            <v>CoE TRANSPORT &amp; LOGISTIC</v>
          </cell>
          <cell r="D406" t="str">
            <v>CoE TRANSPORT &amp; LOGISTIC</v>
          </cell>
          <cell r="E406" t="str">
            <v xml:space="preserve">SPESIALIS SENIOR TEKNIK </v>
          </cell>
          <cell r="F406" t="str">
            <v>arifpurwono@bki.co.id</v>
          </cell>
          <cell r="G406" t="str">
            <v>085645028208</v>
          </cell>
          <cell r="H406" t="str">
            <v>7B</v>
          </cell>
          <cell r="I406">
            <v>350000</v>
          </cell>
          <cell r="J406">
            <v>0</v>
          </cell>
        </row>
        <row r="407">
          <cell r="B407" t="str">
            <v>MUHAMMAD TEGUH WIDODO</v>
          </cell>
          <cell r="C407" t="str">
            <v>CoE TRANSPORT &amp; LOGISTIC</v>
          </cell>
          <cell r="D407" t="str">
            <v>CoE TRANSPORT &amp; LOGISTIC</v>
          </cell>
          <cell r="E407" t="str">
            <v xml:space="preserve">ANALIS TEKNIK </v>
          </cell>
          <cell r="F407" t="str">
            <v>teguh.widodo@bki.co.id</v>
          </cell>
          <cell r="G407" t="str">
            <v>081338125071</v>
          </cell>
          <cell r="H407" t="str">
            <v>5C</v>
          </cell>
          <cell r="I407">
            <v>100000</v>
          </cell>
          <cell r="J407">
            <v>0</v>
          </cell>
        </row>
        <row r="408">
          <cell r="B408" t="str">
            <v>NEVI EKO YULIANANTO</v>
          </cell>
          <cell r="C408" t="str">
            <v>CoE TRANSPORT &amp; LOGISTIC</v>
          </cell>
          <cell r="D408" t="str">
            <v>CoE TRANSPORT &amp; LOGISTIC</v>
          </cell>
          <cell r="E408" t="str">
            <v xml:space="preserve">ANALIS TEKNIK </v>
          </cell>
          <cell r="F408" t="str">
            <v>nevi@bki.co.id</v>
          </cell>
          <cell r="G408" t="str">
            <v>0856 4860 5511</v>
          </cell>
          <cell r="H408" t="str">
            <v>5C</v>
          </cell>
          <cell r="I408">
            <v>250000</v>
          </cell>
          <cell r="J408">
            <v>0</v>
          </cell>
        </row>
        <row r="409">
          <cell r="B409" t="str">
            <v>FARIED</v>
          </cell>
          <cell r="C409" t="str">
            <v>CoE TRANSPORT &amp; LOGISTIC</v>
          </cell>
          <cell r="D409" t="str">
            <v>CoE TRANSPORT &amp; LOGISTIC</v>
          </cell>
          <cell r="E409" t="str">
            <v xml:space="preserve">ANALIS TEKNIK </v>
          </cell>
          <cell r="F409" t="str">
            <v>faried@bki.co.id</v>
          </cell>
          <cell r="G409" t="str">
            <v>082139926702</v>
          </cell>
          <cell r="H409" t="str">
            <v>5C</v>
          </cell>
          <cell r="I409">
            <v>350000</v>
          </cell>
          <cell r="J409">
            <v>4722725</v>
          </cell>
        </row>
        <row r="410">
          <cell r="B410" t="str">
            <v>HERY ALWIS</v>
          </cell>
          <cell r="C410" t="str">
            <v>CoE TRANSPORT &amp; LOGISTIC</v>
          </cell>
          <cell r="D410" t="str">
            <v>CoE TRANSPORT &amp; LOGISTIC</v>
          </cell>
          <cell r="E410" t="str">
            <v xml:space="preserve">ANALIS TEKNIK </v>
          </cell>
          <cell r="F410" t="str">
            <v>hery.alwis@bki.co.id</v>
          </cell>
          <cell r="G410" t="str">
            <v>08118668760</v>
          </cell>
          <cell r="H410" t="str">
            <v>5C</v>
          </cell>
          <cell r="I410">
            <v>100000</v>
          </cell>
          <cell r="J410">
            <v>0</v>
          </cell>
        </row>
        <row r="411">
          <cell r="B411" t="str">
            <v>SATRIA ALDI PERMANA</v>
          </cell>
          <cell r="C411" t="str">
            <v>CoE TRANSPORT &amp; LOGISTIC</v>
          </cell>
          <cell r="D411" t="str">
            <v>CoE TRANSPORT &amp; LOGISTIC</v>
          </cell>
          <cell r="E411" t="str">
            <v xml:space="preserve">ANALIS TEKNIK </v>
          </cell>
          <cell r="F411" t="str">
            <v>satria.permana@bki.co.id</v>
          </cell>
          <cell r="G411" t="str">
            <v>081212116830</v>
          </cell>
          <cell r="H411" t="str">
            <v>5C</v>
          </cell>
          <cell r="I411">
            <v>100000</v>
          </cell>
          <cell r="J411">
            <v>0</v>
          </cell>
        </row>
        <row r="412">
          <cell r="B412" t="str">
            <v>M. ARDWIANSYAH</v>
          </cell>
          <cell r="C412" t="str">
            <v>CoE TRANSPORT &amp; LOGISTIC</v>
          </cell>
          <cell r="D412" t="str">
            <v>CoE TRANSPORT &amp; LOGISTIC</v>
          </cell>
          <cell r="E412" t="str">
            <v xml:space="preserve">OFFICER JUNIOR TEKNIK </v>
          </cell>
          <cell r="F412" t="str">
            <v>ardwiansyah@bki.co.id</v>
          </cell>
          <cell r="G412" t="str">
            <v/>
          </cell>
          <cell r="H412" t="str">
            <v>3C</v>
          </cell>
          <cell r="I412">
            <v>0</v>
          </cell>
          <cell r="J412">
            <v>0</v>
          </cell>
        </row>
        <row r="413">
          <cell r="B413" t="str">
            <v>RANDY YOLANDA ANNOFCI PRATAMA</v>
          </cell>
          <cell r="C413" t="str">
            <v>CoE TRANSPORT &amp; LOGISTIC</v>
          </cell>
          <cell r="D413" t="str">
            <v>CoE TRANSPORT &amp; LOGISTIC</v>
          </cell>
          <cell r="E413" t="str">
            <v xml:space="preserve">ADMINISTRATOR SENIOR </v>
          </cell>
          <cell r="F413" t="str">
            <v>randy.yap@bki.co.id</v>
          </cell>
          <cell r="G413" t="str">
            <v>081291094104</v>
          </cell>
          <cell r="H413" t="str">
            <v>3B</v>
          </cell>
          <cell r="I413">
            <v>150000</v>
          </cell>
          <cell r="J413">
            <v>0</v>
          </cell>
        </row>
        <row r="414">
          <cell r="B414" t="str">
            <v>DAVID HARYANTO</v>
          </cell>
          <cell r="C414" t="str">
            <v>DEPARTEMEN MANAJEMEN PORTOFOLIO</v>
          </cell>
          <cell r="D414" t="str">
            <v>DEPARTEMEN MANAJEMEN PORTOFOLIO</v>
          </cell>
          <cell r="E414" t="str">
            <v>SVP MANAJEMEN PORTOFOLIO</v>
          </cell>
          <cell r="F414" t="str">
            <v>david.haryanto@bki.co.id</v>
          </cell>
          <cell r="G414" t="str">
            <v>08121091390</v>
          </cell>
          <cell r="H414" t="str">
            <v>8C</v>
          </cell>
          <cell r="I414">
            <v>0</v>
          </cell>
          <cell r="J414">
            <v>0</v>
          </cell>
        </row>
        <row r="415">
          <cell r="B415" t="str">
            <v>ALDICIO WILLIAM SCHUURMAN</v>
          </cell>
          <cell r="C415" t="str">
            <v>DEPARTEMEN MANAJEMEN PORTOFOLIO</v>
          </cell>
          <cell r="D415" t="str">
            <v>DEPARTEMEN MANAJEMEN PORTOFOLIO</v>
          </cell>
          <cell r="E415" t="str">
            <v>SPESIALIS MANAJEMEN PORTOFOLIO</v>
          </cell>
          <cell r="F415" t="str">
            <v>aldicio.ws@bki.co.id</v>
          </cell>
          <cell r="G415" t="str">
            <v>085710573352</v>
          </cell>
          <cell r="H415" t="str">
            <v>6A</v>
          </cell>
          <cell r="I415">
            <v>150000</v>
          </cell>
          <cell r="J415">
            <v>1531250</v>
          </cell>
        </row>
        <row r="416">
          <cell r="B416" t="str">
            <v>MUHAMMAD RIZKY FAUZY FERNANDA</v>
          </cell>
          <cell r="C416" t="str">
            <v>DEPARTEMEN MANAJEMEN PORTOFOLIO</v>
          </cell>
          <cell r="D416" t="str">
            <v>DEPARTEMEN MANAJEMEN PORTOFOLIO</v>
          </cell>
          <cell r="E416" t="str">
            <v>STAF MANAJEMEN KEWILAYAHAN</v>
          </cell>
          <cell r="F416" t="str">
            <v>fauzy.fernanda@bki.co.id</v>
          </cell>
          <cell r="G416" t="str">
            <v/>
          </cell>
          <cell r="H416">
            <v>0</v>
          </cell>
          <cell r="I416">
            <v>0</v>
          </cell>
          <cell r="J416">
            <v>0</v>
          </cell>
        </row>
        <row r="417">
          <cell r="B417" t="str">
            <v>ABDUL RIFANI PRAJA NURRAHMAN</v>
          </cell>
          <cell r="C417" t="str">
            <v>DIVISI AKUNTANSI KEUANGAN DAN PAJAK</v>
          </cell>
          <cell r="D417" t="str">
            <v>DIVISI AKUNTANSI KEUANGAN DAN PAJAK</v>
          </cell>
          <cell r="E417" t="str">
            <v>VP AKUNTANSI KEUANGAN DAN PAJAK</v>
          </cell>
          <cell r="F417" t="str">
            <v>arifani@bki.co.id</v>
          </cell>
          <cell r="G417" t="str">
            <v>085692444223</v>
          </cell>
          <cell r="H417" t="str">
            <v>8A</v>
          </cell>
          <cell r="I417">
            <v>500000</v>
          </cell>
          <cell r="J417">
            <v>0</v>
          </cell>
        </row>
        <row r="418">
          <cell r="B418" t="str">
            <v>ADESTA MUNAS LATIEF</v>
          </cell>
          <cell r="C418" t="str">
            <v>DIVISI AKUNTANSI KEUANGAN DAN PAJAK</v>
          </cell>
          <cell r="D418" t="str">
            <v>DIVISI AKUNTANSI KEUANGAN DAN PAJAK</v>
          </cell>
          <cell r="E418" t="str">
            <v>SENIOR MANAGER BISNIS DAN SISTEM KEUANGAN</v>
          </cell>
          <cell r="F418" t="str">
            <v>adesta.latief@bki.co.id</v>
          </cell>
          <cell r="G418" t="str">
            <v>087885669200</v>
          </cell>
          <cell r="H418" t="str">
            <v>7A</v>
          </cell>
          <cell r="I418">
            <v>150000</v>
          </cell>
          <cell r="J418">
            <v>7522865</v>
          </cell>
        </row>
        <row r="419">
          <cell r="B419" t="str">
            <v>RATIH TRI HARTANTI</v>
          </cell>
          <cell r="C419" t="str">
            <v>DIVISI AKUNTANSI KEUANGAN DAN PAJAK</v>
          </cell>
          <cell r="D419" t="str">
            <v>DIVISI AKUNTANSI KEUANGAN DAN PAJAK</v>
          </cell>
          <cell r="E419" t="str">
            <v>PJ. SENIOR MANAGER AKUNTANSI</v>
          </cell>
          <cell r="F419" t="str">
            <v>ratih.th@bki.co.id</v>
          </cell>
          <cell r="G419" t="str">
            <v>082119574024</v>
          </cell>
          <cell r="H419" t="str">
            <v>5B</v>
          </cell>
          <cell r="I419">
            <v>0</v>
          </cell>
          <cell r="J419">
            <v>0</v>
          </cell>
        </row>
        <row r="420">
          <cell r="B420" t="str">
            <v>ANNISYAH FAZRIN</v>
          </cell>
          <cell r="C420" t="str">
            <v>DIVISI AKUNTANSI KEUANGAN DAN PAJAK</v>
          </cell>
          <cell r="D420" t="str">
            <v>DIVISI AKUNTANSI KEUANGAN DAN PAJAK</v>
          </cell>
          <cell r="E420" t="str">
            <v>ANALIS QA &amp; KEBIJAKAN AKUNTANSI KEUANGAN &amp; PAJAK</v>
          </cell>
          <cell r="F420" t="str">
            <v>annisyah.fazrin@bki.co.id</v>
          </cell>
          <cell r="G420" t="str">
            <v>082232009945</v>
          </cell>
          <cell r="H420" t="str">
            <v>5A</v>
          </cell>
          <cell r="I420">
            <v>150000</v>
          </cell>
          <cell r="J420">
            <v>0</v>
          </cell>
        </row>
        <row r="421">
          <cell r="B421" t="str">
            <v>AGIYANI PERMANA PUTRA</v>
          </cell>
          <cell r="C421" t="str">
            <v>DIVISI AKUNTANSI KEUANGAN DAN PAJAK</v>
          </cell>
          <cell r="D421" t="str">
            <v>DIVISI AKUNTANSI KEUANGAN DAN PAJAK</v>
          </cell>
          <cell r="E421" t="str">
            <v>ANALIS PAJAK</v>
          </cell>
          <cell r="F421" t="str">
            <v>agi@bki.co.id</v>
          </cell>
          <cell r="G421" t="str">
            <v>087881752499</v>
          </cell>
          <cell r="H421" t="str">
            <v>5A</v>
          </cell>
          <cell r="I421">
            <v>0</v>
          </cell>
          <cell r="J421">
            <v>0</v>
          </cell>
        </row>
        <row r="422">
          <cell r="B422" t="str">
            <v>MOHAMMAD RIZKI SATRIO</v>
          </cell>
          <cell r="C422" t="str">
            <v>DIVISI HUMAN CAPITAL</v>
          </cell>
          <cell r="D422" t="str">
            <v>DIVISI HUMAN CAPITAL</v>
          </cell>
          <cell r="E422" t="str">
            <v>PJ. ANALIS PENGEMBANGAN BUDAYA</v>
          </cell>
          <cell r="F422" t="str">
            <v>rizki.satrio@bki.co.id</v>
          </cell>
          <cell r="G422" t="str">
            <v>081280309635</v>
          </cell>
          <cell r="H422" t="str">
            <v>4A</v>
          </cell>
          <cell r="I422">
            <v>150000</v>
          </cell>
          <cell r="J422">
            <v>0</v>
          </cell>
        </row>
        <row r="423">
          <cell r="B423" t="str">
            <v>FIKRAH WATHANI</v>
          </cell>
          <cell r="C423" t="str">
            <v>DIVISI HUMAN CAPITAL</v>
          </cell>
          <cell r="D423" t="str">
            <v>DIVISI HUMAN CAPITAL</v>
          </cell>
          <cell r="E423" t="str">
            <v>PJ. ANALIS PENGEMBANGAN TALENTA</v>
          </cell>
          <cell r="F423" t="str">
            <v>fikrah.wathani@bki.co.id</v>
          </cell>
          <cell r="G423" t="str">
            <v>08119848444</v>
          </cell>
          <cell r="H423" t="str">
            <v>4B</v>
          </cell>
          <cell r="I423">
            <v>150000</v>
          </cell>
          <cell r="J423">
            <v>0</v>
          </cell>
        </row>
        <row r="424">
          <cell r="B424" t="str">
            <v>IRMARINDA SHEYNA CHANDRASAFIRA</v>
          </cell>
          <cell r="C424" t="str">
            <v>DIVISI HUMAN CAPITAL</v>
          </cell>
          <cell r="D424" t="str">
            <v>DIVISI HUMAN CAPITAL</v>
          </cell>
          <cell r="E424" t="str">
            <v>ANALIS MANAJEMEN PEMBELAJARAN DAN PELATIHAN</v>
          </cell>
          <cell r="F424" t="str">
            <v>irmarinda.sheyna@bki.co.id</v>
          </cell>
          <cell r="G424" t="str">
            <v>083867027135</v>
          </cell>
          <cell r="H424" t="str">
            <v>5B</v>
          </cell>
          <cell r="I424">
            <v>0</v>
          </cell>
          <cell r="J424">
            <v>0</v>
          </cell>
        </row>
        <row r="425">
          <cell r="B425" t="str">
            <v>DIANA PINASTHIKA</v>
          </cell>
          <cell r="C425" t="str">
            <v>DIVISI HUMAN CAPITAL</v>
          </cell>
          <cell r="D425" t="str">
            <v>DIVISI HUMAN CAPITAL</v>
          </cell>
          <cell r="E425" t="str">
            <v>OFFICER MANAJEMEN REWARD DAN REMUNERASI</v>
          </cell>
          <cell r="F425" t="str">
            <v>diana.p@bki.co.id</v>
          </cell>
          <cell r="G425" t="str">
            <v>08567031085</v>
          </cell>
          <cell r="H425" t="str">
            <v>4B</v>
          </cell>
          <cell r="I425">
            <v>0</v>
          </cell>
          <cell r="J425">
            <v>0</v>
          </cell>
        </row>
        <row r="426">
          <cell r="B426" t="str">
            <v>AJI ABDUL AZIZ</v>
          </cell>
          <cell r="C426" t="str">
            <v>DIVISI HUMAN CAPITAL DAN TEKNOLOGI INFORMASI</v>
          </cell>
          <cell r="D426" t="str">
            <v>DIVISI HUMAN CAPITAL DAN TEKNOLOGI INFORMASI</v>
          </cell>
          <cell r="E426" t="str">
            <v>ADMINISTRATOR SENIOR</v>
          </cell>
          <cell r="F426" t="str">
            <v>aji.abdulaziz@bki.co.id</v>
          </cell>
          <cell r="G426" t="str">
            <v>081916071982</v>
          </cell>
          <cell r="H426" t="str">
            <v>3B</v>
          </cell>
          <cell r="I426">
            <v>0</v>
          </cell>
          <cell r="J426">
            <v>0</v>
          </cell>
        </row>
        <row r="427">
          <cell r="B427" t="str">
            <v>PANDU WIJANARKO</v>
          </cell>
          <cell r="C427" t="str">
            <v>DIVISI HUMAN CAPITAL DAN TEKNOLOGI INFORMASI</v>
          </cell>
          <cell r="D427" t="str">
            <v>DIVISI HUMAN CAPITAL DAN TEKNOLOGI INFORMASI</v>
          </cell>
          <cell r="E427" t="str">
            <v>ADMINISTRATOR SENIOR</v>
          </cell>
          <cell r="F427" t="str">
            <v>pandu@bki.co.id</v>
          </cell>
          <cell r="G427" t="str">
            <v>08122801412</v>
          </cell>
          <cell r="H427" t="str">
            <v>3B</v>
          </cell>
          <cell r="I427">
            <v>0</v>
          </cell>
          <cell r="J427">
            <v>0</v>
          </cell>
        </row>
        <row r="428">
          <cell r="B428" t="str">
            <v>SAMSUL MUSLIM</v>
          </cell>
          <cell r="C428" t="str">
            <v>DIVISI HUMAN CAPITAL DAN TEKNOLOGI INFORMASI</v>
          </cell>
          <cell r="D428" t="str">
            <v>DIVISI HUMAN CAPITAL DAN TEKNOLOGI INFORMASI</v>
          </cell>
          <cell r="E428" t="str">
            <v>ANALIS INFRASTRUKTUR TI</v>
          </cell>
          <cell r="F428" t="str">
            <v>samsul.muslim@bki.co.id</v>
          </cell>
          <cell r="G428" t="str">
            <v>08561806366</v>
          </cell>
          <cell r="H428" t="str">
            <v>5B</v>
          </cell>
          <cell r="I428">
            <v>150000</v>
          </cell>
          <cell r="J428">
            <v>2395833</v>
          </cell>
        </row>
        <row r="429">
          <cell r="B429" t="str">
            <v>ROMILLO LIBRA SETIADI</v>
          </cell>
          <cell r="C429" t="str">
            <v>DIVISI HUMAN CAPITAL DAN TEKNOLOGI INFORMASI</v>
          </cell>
          <cell r="D429" t="str">
            <v>DIVISI HUMAN CAPITAL DAN TEKNOLOGI INFORMASI</v>
          </cell>
          <cell r="E429" t="str">
            <v>MANAGER INFRASTRUKTUR TI</v>
          </cell>
          <cell r="F429" t="str">
            <v>romillo@bki.co.id</v>
          </cell>
          <cell r="G429" t="str">
            <v>081310991059</v>
          </cell>
          <cell r="H429" t="str">
            <v>5B</v>
          </cell>
          <cell r="I429">
            <v>250000</v>
          </cell>
          <cell r="J429">
            <v>0</v>
          </cell>
        </row>
        <row r="430">
          <cell r="B430" t="str">
            <v>BAYU MAHARDIKA WICAKSONO</v>
          </cell>
          <cell r="C430" t="str">
            <v>DIVISI HUMAN CAPITAL DAN TEKNOLOGI INFORMASI</v>
          </cell>
          <cell r="D430" t="str">
            <v>DIVISI HUMAN CAPITAL DAN TEKNOLOGI INFORMASI</v>
          </cell>
          <cell r="E430" t="str">
            <v>PJ. SENIOR MANAGER TEKNOLOGI INFORMASI</v>
          </cell>
          <cell r="F430" t="str">
            <v>bayu.mahardika@bki.co.id</v>
          </cell>
          <cell r="G430" t="str">
            <v>0812 8988 8084</v>
          </cell>
          <cell r="H430" t="str">
            <v>6A</v>
          </cell>
          <cell r="I430">
            <v>250000</v>
          </cell>
          <cell r="J430">
            <v>7801667</v>
          </cell>
        </row>
        <row r="431">
          <cell r="B431" t="str">
            <v>MUCHLIS RACHMAN</v>
          </cell>
          <cell r="C431" t="str">
            <v>DIVISI HUMAN CAPITAL DAN TEKNOLOGI INFORMASI</v>
          </cell>
          <cell r="D431" t="str">
            <v>DIVISI HUMAN CAPITAL DAN TEKNOLOGI INFORMASI</v>
          </cell>
          <cell r="E431" t="str">
            <v>ANALIS INFRASTRUKTUR TI</v>
          </cell>
          <cell r="F431" t="str">
            <v>muchlis.rachman@bki.co.id</v>
          </cell>
          <cell r="G431" t="str">
            <v>081288304345</v>
          </cell>
          <cell r="H431" t="str">
            <v>5B</v>
          </cell>
          <cell r="I431">
            <v>150000</v>
          </cell>
          <cell r="J431">
            <v>0</v>
          </cell>
        </row>
        <row r="432">
          <cell r="B432" t="str">
            <v>DIDING SUWANDI</v>
          </cell>
          <cell r="C432" t="str">
            <v>DIVISI HUMAN CAPITAL DAN TEKNOLOGI INFORMASI</v>
          </cell>
          <cell r="D432" t="str">
            <v>DIVISI HUMAN CAPITAL DAN TEKNOLOGI INFORMASI</v>
          </cell>
          <cell r="E432" t="str">
            <v>SPESIALIS SENIOR TEKNOLOGI INFORMASI</v>
          </cell>
          <cell r="F432" t="str">
            <v>diding@bki.co.id</v>
          </cell>
          <cell r="G432" t="str">
            <v>08129127646</v>
          </cell>
          <cell r="H432" t="str">
            <v>7B</v>
          </cell>
          <cell r="I432">
            <v>0</v>
          </cell>
          <cell r="J432">
            <v>0</v>
          </cell>
        </row>
        <row r="433">
          <cell r="B433" t="str">
            <v>MARINA ARIFIANTI</v>
          </cell>
          <cell r="C433" t="str">
            <v>DIVISI HUMAN CAPITAL DAN TEKNOLOGI INFORMASI</v>
          </cell>
          <cell r="D433" t="str">
            <v>DIVISI HUMAN CAPITAL DAN TEKNOLOGI INFORMASI</v>
          </cell>
          <cell r="E433" t="str">
            <v>ANALIS REKRUTMEN &amp; HUBUNGAN INDUSTRIAL</v>
          </cell>
          <cell r="F433" t="str">
            <v>marina@bki.co.id</v>
          </cell>
          <cell r="G433" t="str">
            <v>08129976023</v>
          </cell>
          <cell r="H433" t="str">
            <v>5B</v>
          </cell>
          <cell r="I433">
            <v>250000</v>
          </cell>
          <cell r="J433">
            <v>3562500</v>
          </cell>
        </row>
        <row r="434">
          <cell r="B434" t="str">
            <v>NURKUMALA SAKTI</v>
          </cell>
          <cell r="C434" t="str">
            <v>DIVISI HUMAN CAPITAL DAN TEKNOLOGI INFORMASI</v>
          </cell>
          <cell r="D434" t="str">
            <v>DIVISI HUMAN CAPITAL DAN TEKNOLOGI INFORMASI</v>
          </cell>
          <cell r="E434" t="str">
            <v>MANAGER PENGEMBANGAN SDM</v>
          </cell>
          <cell r="F434" t="str">
            <v>nurkumala.sakti@bki.co.id</v>
          </cell>
          <cell r="G434" t="str">
            <v>085640040762</v>
          </cell>
          <cell r="H434" t="str">
            <v>5C</v>
          </cell>
          <cell r="I434">
            <v>100000</v>
          </cell>
          <cell r="J434">
            <v>0</v>
          </cell>
        </row>
        <row r="435">
          <cell r="B435" t="str">
            <v>KOMARIAH</v>
          </cell>
          <cell r="C435" t="str">
            <v>DIVISI HUMAN CAPITAL DAN TEKNOLOGI INFORMASI</v>
          </cell>
          <cell r="D435" t="str">
            <v>DIVISI HUMAN CAPITAL DAN TEKNOLOGI INFORMASI</v>
          </cell>
          <cell r="E435" t="str">
            <v>ANALIS PENGEMBANGAN ORGANISASI</v>
          </cell>
          <cell r="F435" t="str">
            <v>komariah@bki.co.id</v>
          </cell>
          <cell r="G435" t="str">
            <v>0811814859</v>
          </cell>
          <cell r="H435" t="str">
            <v>5B</v>
          </cell>
          <cell r="I435">
            <v>0</v>
          </cell>
          <cell r="J435">
            <v>0</v>
          </cell>
        </row>
        <row r="436">
          <cell r="B436" t="str">
            <v>YULIA DIAN ANGGRAINI</v>
          </cell>
          <cell r="C436" t="str">
            <v>DIVISI HUMAN CAPITAL DAN TEKNOLOGI INFORMASI</v>
          </cell>
          <cell r="D436" t="str">
            <v>DIVISI HUMAN CAPITAL DAN TEKNOLOGI INFORMASI</v>
          </cell>
          <cell r="E436" t="str">
            <v>PJ. SENIOR MANAGER LAYANAN HC &amp; HUBUNGAN INDUSTRIAL</v>
          </cell>
          <cell r="F436" t="str">
            <v>yulia.da@bki.co.id</v>
          </cell>
          <cell r="G436" t="str">
            <v>087873064016</v>
          </cell>
          <cell r="H436" t="str">
            <v>5C</v>
          </cell>
          <cell r="I436">
            <v>250000</v>
          </cell>
          <cell r="J436">
            <v>0</v>
          </cell>
        </row>
        <row r="437">
          <cell r="B437" t="str">
            <v>MIA MARTINA INDAH</v>
          </cell>
          <cell r="C437" t="str">
            <v>DIVISI HUMAN CAPITAL DAN TEKNOLOGI INFORMASI</v>
          </cell>
          <cell r="D437" t="str">
            <v>DIVISI HUMAN CAPITAL DAN TEKNOLOGI INFORMASI</v>
          </cell>
          <cell r="E437" t="str">
            <v>OFFICER REMUNERASI &amp; HCIS</v>
          </cell>
          <cell r="F437" t="str">
            <v>mia.mi@bki.co.id</v>
          </cell>
          <cell r="G437" t="str">
            <v>087781550626</v>
          </cell>
          <cell r="H437" t="str">
            <v>4B</v>
          </cell>
          <cell r="I437">
            <v>150000</v>
          </cell>
          <cell r="J437">
            <v>1500000</v>
          </cell>
        </row>
        <row r="438">
          <cell r="B438" t="str">
            <v>SALVINUS PATANGKE</v>
          </cell>
          <cell r="C438" t="str">
            <v>DIVISI HUMAN CAPITAL DAN TEKNOLOGI INFORMASI</v>
          </cell>
          <cell r="D438" t="str">
            <v>DIVISI HUMAN CAPITAL DAN TEKNOLOGI INFORMASI</v>
          </cell>
          <cell r="E438" t="str">
            <v>STAF UTAMA II</v>
          </cell>
          <cell r="F438" t="str">
            <v>salvinus@bki.co.id</v>
          </cell>
          <cell r="G438" t="str">
            <v>081232588321</v>
          </cell>
          <cell r="H438" t="str">
            <v>8A</v>
          </cell>
          <cell r="I438">
            <v>0</v>
          </cell>
          <cell r="J438">
            <v>0</v>
          </cell>
        </row>
        <row r="439">
          <cell r="B439" t="str">
            <v>MARDINI EMBUN SARI</v>
          </cell>
          <cell r="C439" t="str">
            <v>DIVISI HUMAN CAPITAL DAN TEKNOLOGI INFORMASI</v>
          </cell>
          <cell r="D439" t="str">
            <v>DIVISI HUMAN CAPITAL DAN TEKNOLOGI INFORMASI</v>
          </cell>
          <cell r="E439" t="str">
            <v>MANAGER REKRUTMEN DAN HUBUNGAN INDUSTRIAL</v>
          </cell>
          <cell r="F439" t="str">
            <v>sari@bki.co.id</v>
          </cell>
          <cell r="G439" t="str">
            <v>081286281505</v>
          </cell>
          <cell r="H439" t="str">
            <v>5C</v>
          </cell>
          <cell r="I439">
            <v>250000</v>
          </cell>
          <cell r="J439">
            <v>0</v>
          </cell>
        </row>
        <row r="440">
          <cell r="B440" t="str">
            <v>DESI HARDIANAWATI</v>
          </cell>
          <cell r="C440" t="str">
            <v>DIVISI HUMAN CAPITAL DAN TEKNOLOGI INFORMASI</v>
          </cell>
          <cell r="D440" t="str">
            <v>DIVISI HUMAN CAPITAL DAN TEKNOLOGI INFORMASI</v>
          </cell>
          <cell r="E440" t="str">
            <v>OFFICER PENGEMBANGAN ORGANISASI</v>
          </cell>
          <cell r="F440" t="str">
            <v>desi.hardianawati@bki.co.id</v>
          </cell>
          <cell r="G440" t="str">
            <v>081398851781</v>
          </cell>
          <cell r="H440" t="str">
            <v>4B</v>
          </cell>
          <cell r="I440">
            <v>150000</v>
          </cell>
          <cell r="J440">
            <v>0</v>
          </cell>
        </row>
        <row r="441">
          <cell r="B441" t="str">
            <v>RIDWAN ARIFIN</v>
          </cell>
          <cell r="C441" t="str">
            <v>DIVISI HUMAN CAPITAL DAN TEKNOLOGI INFORMASI</v>
          </cell>
          <cell r="D441" t="str">
            <v>DIVISI HUMAN CAPITAL DAN TEKNOLOGI INFORMASI</v>
          </cell>
          <cell r="E441" t="str">
            <v>SENIOR MANAGER PERENCANAAN DAN PENGEMBANGAN SDM</v>
          </cell>
          <cell r="F441" t="str">
            <v>ridwan.arifin@bki.co.id</v>
          </cell>
          <cell r="G441" t="str">
            <v>081332430406</v>
          </cell>
          <cell r="H441" t="str">
            <v>7B</v>
          </cell>
          <cell r="I441">
            <v>350000</v>
          </cell>
          <cell r="J441">
            <v>0</v>
          </cell>
        </row>
        <row r="442">
          <cell r="B442" t="str">
            <v>EVA SINTAULI SARAGIH</v>
          </cell>
          <cell r="C442" t="str">
            <v>DIVISI HUMAN CAPITAL DAN TEKNOLOGI INFORMASI</v>
          </cell>
          <cell r="D442" t="str">
            <v>DIVISI HUMAN CAPITAL DAN TEKNOLOGI INFORMASI</v>
          </cell>
          <cell r="E442" t="str">
            <v>STAF UTAMA I</v>
          </cell>
          <cell r="F442" t="str">
            <v>eva.ss@bki.co.id</v>
          </cell>
          <cell r="G442" t="str">
            <v>081312315861</v>
          </cell>
          <cell r="H442" t="str">
            <v>7A</v>
          </cell>
          <cell r="I442">
            <v>350000</v>
          </cell>
          <cell r="J442">
            <v>17623786</v>
          </cell>
        </row>
        <row r="443">
          <cell r="B443" t="str">
            <v>APRIANSYAH</v>
          </cell>
          <cell r="C443" t="str">
            <v>DIVISI HUMAN CAPITAL DAN TEKNOLOGI INFORMASI</v>
          </cell>
          <cell r="D443" t="str">
            <v>DIVISI HUMAN CAPITAL DAN TEKNOLOGI INFORMASI</v>
          </cell>
          <cell r="E443" t="str">
            <v>MANAGER REMUNERASI DAN HCIS</v>
          </cell>
          <cell r="F443" t="str">
            <v>apriansyah@bki.co.id</v>
          </cell>
          <cell r="G443" t="str">
            <v>085880894843</v>
          </cell>
          <cell r="H443" t="str">
            <v>5C</v>
          </cell>
          <cell r="I443">
            <v>100000</v>
          </cell>
          <cell r="J443">
            <v>0</v>
          </cell>
        </row>
        <row r="444">
          <cell r="B444" t="str">
            <v>RATIH PUTRI ARIFIANTI</v>
          </cell>
          <cell r="C444" t="str">
            <v>DIVISI HUMAN CAPITAL DAN TEKNOLOGI INFORMASI</v>
          </cell>
          <cell r="D444" t="str">
            <v>DIVISI HUMAN CAPITAL DAN TEKNOLOGI INFORMASI</v>
          </cell>
          <cell r="E444" t="str">
            <v>ANALIS PENGEMBANGAN SDM</v>
          </cell>
          <cell r="F444" t="str">
            <v>ratih.pa@bki.co.id</v>
          </cell>
          <cell r="G444" t="str">
            <v>081297814276</v>
          </cell>
          <cell r="H444" t="str">
            <v>5A</v>
          </cell>
          <cell r="I444">
            <v>0</v>
          </cell>
          <cell r="J444">
            <v>0</v>
          </cell>
        </row>
        <row r="445">
          <cell r="B445" t="str">
            <v>RACHMAD KURNIAWAN</v>
          </cell>
          <cell r="C445" t="str">
            <v>DIVISI HUMAN CAPITAL DAN TEKNOLOGI INFORMASI</v>
          </cell>
          <cell r="D445" t="str">
            <v>DIVISI HUMAN CAPITAL DAN TEKNOLOGI INFORMASI</v>
          </cell>
          <cell r="E445" t="str">
            <v>ADMINISTRATOR SENIOR</v>
          </cell>
          <cell r="F445" t="str">
            <v>rachmad.kurniawan@bki.co.id</v>
          </cell>
          <cell r="G445" t="str">
            <v>08119880074</v>
          </cell>
          <cell r="H445" t="str">
            <v>3B</v>
          </cell>
          <cell r="I445">
            <v>150000</v>
          </cell>
          <cell r="J445">
            <v>6629441</v>
          </cell>
        </row>
        <row r="446">
          <cell r="B446" t="str">
            <v>MANIAH</v>
          </cell>
          <cell r="C446" t="str">
            <v>DIVISI HUMAN CAPITAL DAN TEKNOLOGI INFORMASI</v>
          </cell>
          <cell r="D446" t="str">
            <v>DIVISI HUMAN CAPITAL DAN TEKNOLOGI INFORMASI</v>
          </cell>
          <cell r="E446" t="str">
            <v>ANALIS REKRUTMEN &amp; HUBUNGAN INDUSTRIAL</v>
          </cell>
          <cell r="F446" t="str">
            <v>maniah@bki.co.id</v>
          </cell>
          <cell r="G446" t="str">
            <v>0811778004</v>
          </cell>
          <cell r="H446" t="str">
            <v>5A</v>
          </cell>
          <cell r="I446">
            <v>0</v>
          </cell>
          <cell r="J446">
            <v>0</v>
          </cell>
        </row>
        <row r="447">
          <cell r="B447" t="str">
            <v>ROSALINA AMRAN</v>
          </cell>
          <cell r="C447" t="str">
            <v>DIVISI HUMAN CAPITAL DAN TEKNOLOGI INFORMASI</v>
          </cell>
          <cell r="D447" t="str">
            <v>DIVISI HUMAN CAPITAL DAN TEKNOLOGI INFORMASI</v>
          </cell>
          <cell r="E447" t="str">
            <v>STAF UTAMA I</v>
          </cell>
          <cell r="F447" t="str">
            <v>rosalina@bki.co.id</v>
          </cell>
          <cell r="G447" t="str">
            <v>081314950095</v>
          </cell>
          <cell r="H447" t="str">
            <v>7A</v>
          </cell>
          <cell r="I447">
            <v>350000</v>
          </cell>
          <cell r="J447">
            <v>0</v>
          </cell>
        </row>
        <row r="448">
          <cell r="B448" t="str">
            <v>MUHAMAD SODIK</v>
          </cell>
          <cell r="C448" t="str">
            <v>DIVISI HUMAN CAPITAL DAN TEKNOLOGI INFORMASI</v>
          </cell>
          <cell r="D448" t="str">
            <v>DIVISI HUMAN CAPITAL DAN TEKNOLOGI INFORMASI</v>
          </cell>
          <cell r="E448" t="str">
            <v xml:space="preserve">VP HUMAN CAPITAL DAN TEKNOLOGI INFORMASI </v>
          </cell>
          <cell r="F448" t="str">
            <v>sodik@bki.co.id</v>
          </cell>
          <cell r="G448" t="str">
            <v>081380001771</v>
          </cell>
          <cell r="H448" t="str">
            <v>8A</v>
          </cell>
          <cell r="I448">
            <v>500000</v>
          </cell>
          <cell r="J448">
            <v>0</v>
          </cell>
        </row>
        <row r="449">
          <cell r="B449" t="str">
            <v>YUSFI NOER ARYANI</v>
          </cell>
          <cell r="C449" t="str">
            <v>DIVISI HUMAN CAPITAL DAN TEKNOLOGI INFORMASI</v>
          </cell>
          <cell r="D449" t="str">
            <v>DIVISI HUMAN CAPITAL DAN TEKNOLOGI INFORMASI</v>
          </cell>
          <cell r="E449" t="str">
            <v>SPESIALIS REMUNERASI &amp; HCIS</v>
          </cell>
          <cell r="F449" t="str">
            <v>yusfi@bki.co.id</v>
          </cell>
          <cell r="G449" t="str">
            <v>081319773241</v>
          </cell>
          <cell r="H449" t="str">
            <v>6C</v>
          </cell>
          <cell r="I449">
            <v>250000</v>
          </cell>
          <cell r="J449">
            <v>0</v>
          </cell>
        </row>
        <row r="450">
          <cell r="B450" t="str">
            <v>SAHDAT FAMA RIDHO</v>
          </cell>
          <cell r="C450" t="str">
            <v>DIVISI HUMAN CAPITAL DAN TEKNOLOGI INFORMASI</v>
          </cell>
          <cell r="D450" t="str">
            <v>DIVISI HUMAN CAPITAL DAN TEKNOLOGI INFORMASI</v>
          </cell>
          <cell r="E450" t="str">
            <v>ANALIS REMUNERASI &amp; HCIS</v>
          </cell>
          <cell r="F450" t="str">
            <v>sahdat@bki.co.id</v>
          </cell>
          <cell r="G450" t="str">
            <v>081915030396</v>
          </cell>
          <cell r="H450" t="str">
            <v>5B</v>
          </cell>
          <cell r="I450">
            <v>100000</v>
          </cell>
          <cell r="J450">
            <v>0</v>
          </cell>
        </row>
        <row r="451">
          <cell r="B451" t="str">
            <v>FREDY NURMAN SALEH</v>
          </cell>
          <cell r="C451" t="str">
            <v>DIVISI HUMAN CAPITAL DAN TEKNOLOGI INFORMASI</v>
          </cell>
          <cell r="D451" t="str">
            <v>DIVISI HUMAN CAPITAL DAN TEKNOLOGI INFORMASI</v>
          </cell>
          <cell r="E451" t="str">
            <v>OFFICER PENGEMBANGAN PIRANTI LUNAK</v>
          </cell>
          <cell r="F451" t="str">
            <v>fredy.ns@bki.co.id</v>
          </cell>
          <cell r="G451" t="str">
            <v>08112644120</v>
          </cell>
          <cell r="H451" t="str">
            <v>4B</v>
          </cell>
          <cell r="I451">
            <v>0</v>
          </cell>
          <cell r="J451">
            <v>0</v>
          </cell>
        </row>
        <row r="452">
          <cell r="B452" t="str">
            <v>ELMY MUFIDAH</v>
          </cell>
          <cell r="C452" t="str">
            <v>DIVISI HUMAN CAPITAL DAN TEKNOLOGI INFORMASI</v>
          </cell>
          <cell r="D452" t="str">
            <v>DIVISI HUMAN CAPITAL DAN TEKNOLOGI INFORMASI</v>
          </cell>
          <cell r="E452" t="str">
            <v>OFFICER PENGEMBANGAN SDM</v>
          </cell>
          <cell r="F452" t="str">
            <v>elmy.m@bki.co.id</v>
          </cell>
          <cell r="H452" t="str">
            <v>4B</v>
          </cell>
          <cell r="I452">
            <v>100000</v>
          </cell>
          <cell r="J452">
            <v>0</v>
          </cell>
        </row>
        <row r="453">
          <cell r="B453" t="str">
            <v>RATNA TRI HARDINI</v>
          </cell>
          <cell r="C453" t="str">
            <v>DIVISI HUMAN CAPITAL DAN TEKNOLOGI INFORMASI</v>
          </cell>
          <cell r="D453" t="str">
            <v>DIVISI HUMAN CAPITAL DAN TEKNOLOGI INFORMASI</v>
          </cell>
          <cell r="E453" t="str">
            <v>STAF DUKUNGAN BISNIS</v>
          </cell>
          <cell r="F453" t="str">
            <v>ratna.th@bki.co.id</v>
          </cell>
          <cell r="G453" t="str">
            <v>087784047756</v>
          </cell>
          <cell r="H453" t="str">
            <v>-</v>
          </cell>
          <cell r="I453">
            <v>0</v>
          </cell>
          <cell r="J453">
            <v>0</v>
          </cell>
        </row>
        <row r="454">
          <cell r="B454" t="str">
            <v>PERY RINANDAR</v>
          </cell>
          <cell r="C454" t="str">
            <v>DIVISI HUMAN CAPITAL DAN TEKNOLOGI INFORMASI</v>
          </cell>
          <cell r="D454" t="str">
            <v>DIVISI HUMAN CAPITAL DAN TEKNOLOGI INFORMASI</v>
          </cell>
          <cell r="E454" t="str">
            <v>STAF PMO PIUTANG KP</v>
          </cell>
          <cell r="F454" t="str">
            <v>pery.rinandar@bki.co.id</v>
          </cell>
          <cell r="G454" t="str">
            <v>08119933343</v>
          </cell>
          <cell r="H454" t="str">
            <v>-</v>
          </cell>
          <cell r="I454">
            <v>0</v>
          </cell>
          <cell r="J454">
            <v>0</v>
          </cell>
        </row>
        <row r="455">
          <cell r="B455" t="str">
            <v>RIZKI DAMAR SATRIA</v>
          </cell>
          <cell r="C455" t="str">
            <v>DIVISI HUMAN CAPITAL DAN TEKNOLOGI INFORMASI</v>
          </cell>
          <cell r="D455" t="str">
            <v>DIVISI HUMAN CAPITAL DAN TEKNOLOGI INFORMASI</v>
          </cell>
          <cell r="E455" t="str">
            <v>STAF PMO PIUTANG KP</v>
          </cell>
          <cell r="F455" t="str">
            <v>rizki.damar@bki.co.id</v>
          </cell>
          <cell r="G455" t="str">
            <v>081314675825</v>
          </cell>
          <cell r="H455" t="str">
            <v>-</v>
          </cell>
          <cell r="I455">
            <v>0</v>
          </cell>
          <cell r="J455">
            <v>0</v>
          </cell>
        </row>
        <row r="456">
          <cell r="B456" t="str">
            <v>MUHTAR</v>
          </cell>
          <cell r="C456" t="str">
            <v>DIVISI HUMAN CAPITAL DAN TEKNOLOGI INFORMASI</v>
          </cell>
          <cell r="D456" t="str">
            <v>DIVISI HUMAN CAPITAL DAN TEKNOLOGI INFORMASI</v>
          </cell>
          <cell r="E456" t="str">
            <v>STAF DUKUNGAN BISNIS</v>
          </cell>
          <cell r="F456" t="str">
            <v>muhtar@bki.co.id</v>
          </cell>
          <cell r="G456" t="str">
            <v>087723751723</v>
          </cell>
          <cell r="H456" t="str">
            <v>-</v>
          </cell>
          <cell r="I456">
            <v>100000</v>
          </cell>
          <cell r="J456">
            <v>0</v>
          </cell>
        </row>
        <row r="457">
          <cell r="B457" t="str">
            <v>ELVINO ADI PUTRA</v>
          </cell>
          <cell r="C457" t="str">
            <v>DIVISI HUMAN CAPITAL DAN TEKNOLOGI INFORMASI</v>
          </cell>
          <cell r="D457" t="str">
            <v>DIVISI HUMAN CAPITAL DAN TEKNOLOGI INFORMASI</v>
          </cell>
          <cell r="E457" t="str">
            <v>PROJECT MANAGER PMO ERP</v>
          </cell>
          <cell r="F457" t="str">
            <v>elvino.putra@bki.co.id</v>
          </cell>
          <cell r="G457" t="str">
            <v>087780852555</v>
          </cell>
          <cell r="H457">
            <v>3</v>
          </cell>
          <cell r="I457">
            <v>0</v>
          </cell>
          <cell r="J457">
            <v>0</v>
          </cell>
        </row>
        <row r="458">
          <cell r="B458" t="str">
            <v>ARIEF SYAFTRIAN</v>
          </cell>
          <cell r="C458" t="str">
            <v>DIVISI HUMAN CAPITAL DAN TEKNOLOGI INFORMASI</v>
          </cell>
          <cell r="D458" t="str">
            <v>DIVISI HUMAN CAPITAL DAN TEKNOLOGI INFORMASI</v>
          </cell>
          <cell r="E458" t="str">
            <v>STAF ABAP</v>
          </cell>
          <cell r="F458" t="str">
            <v>arief.syaftrian@bki.co.id</v>
          </cell>
          <cell r="G458" t="str">
            <v>085692360956</v>
          </cell>
          <cell r="H458" t="str">
            <v>-</v>
          </cell>
          <cell r="I458">
            <v>0</v>
          </cell>
          <cell r="J458">
            <v>0</v>
          </cell>
        </row>
        <row r="459">
          <cell r="B459" t="str">
            <v>KHOLID ANAS AMRULLOH</v>
          </cell>
          <cell r="C459" t="str">
            <v>DIVISI HUMAN CAPITAL DAN TEKNOLOGI INFORMASI</v>
          </cell>
          <cell r="D459" t="str">
            <v>DIVISI HUMAN CAPITAL DAN TEKNOLOGI INFORMASI</v>
          </cell>
          <cell r="E459" t="str">
            <v>STAF DUKUNGAN BISNIS</v>
          </cell>
          <cell r="F459" t="str">
            <v>kholidanas@bki.co.id</v>
          </cell>
          <cell r="G459" t="str">
            <v>0895801003657</v>
          </cell>
          <cell r="H459" t="str">
            <v>-</v>
          </cell>
          <cell r="I459">
            <v>0</v>
          </cell>
          <cell r="J459">
            <v>0</v>
          </cell>
        </row>
        <row r="460">
          <cell r="B460" t="str">
            <v>MUHAMMAD FACHRI RAMADHAN</v>
          </cell>
          <cell r="C460" t="str">
            <v>DIVISI HUMAN CAPITAL DAN TEKNOLOGI INFORMASI</v>
          </cell>
          <cell r="D460" t="str">
            <v>DIVISI HUMAN CAPITAL DAN TEKNOLOGI INFORMASI</v>
          </cell>
          <cell r="E460" t="str">
            <v xml:space="preserve">STAF PROGRAMMER IT </v>
          </cell>
          <cell r="F460" t="str">
            <v>mfachri.ramadhan@bki.co.id</v>
          </cell>
          <cell r="G460" t="str">
            <v>089629674351</v>
          </cell>
          <cell r="H460" t="str">
            <v>-</v>
          </cell>
          <cell r="I460">
            <v>0</v>
          </cell>
          <cell r="J460">
            <v>0</v>
          </cell>
        </row>
        <row r="461">
          <cell r="B461" t="str">
            <v>ARIEF ADHITYA PERDANA</v>
          </cell>
          <cell r="C461" t="str">
            <v>DIVISI HUMAN CAPITAL DAN TEKNOLOGI INFORMASI</v>
          </cell>
          <cell r="D461" t="str">
            <v>DIVISI HUMAN CAPITAL DAN TEKNOLOGI INFORMASI</v>
          </cell>
          <cell r="E461" t="str">
            <v>STAF PERENCANAAN DAN PENGEMBANGAN SUMBER DAYA MANUSIA</v>
          </cell>
          <cell r="F461" t="str">
            <v>arief.adhitya@bki.co.id</v>
          </cell>
          <cell r="G461" t="str">
            <v>085892222273</v>
          </cell>
          <cell r="H461" t="str">
            <v>-</v>
          </cell>
          <cell r="I461">
            <v>0</v>
          </cell>
          <cell r="J461">
            <v>0</v>
          </cell>
        </row>
        <row r="462">
          <cell r="B462" t="str">
            <v>KHANSA DAFFA ZUL HAZMI</v>
          </cell>
          <cell r="C462" t="str">
            <v>DIVISI HUMAN CAPITAL DAN TEKNOLOGI INFORMASI</v>
          </cell>
          <cell r="D462" t="str">
            <v>DIVISI HUMAN CAPITAL DAN TEKNOLOGI INFORMASI</v>
          </cell>
          <cell r="E462" t="str">
            <v xml:space="preserve">Staf Infrastruktur Teknologi Informasi </v>
          </cell>
          <cell r="F462" t="str">
            <v>daffa.zulhazmi@bki.co.id</v>
          </cell>
          <cell r="H462" t="str">
            <v>-</v>
          </cell>
          <cell r="I462">
            <v>0</v>
          </cell>
          <cell r="J462">
            <v>0</v>
          </cell>
        </row>
        <row r="463">
          <cell r="B463" t="str">
            <v>CHELSYA MANIK</v>
          </cell>
          <cell r="C463" t="str">
            <v>DIVISI HUMAN CAPITAL DAN TEKNOLOGI INFORMASI</v>
          </cell>
          <cell r="D463" t="str">
            <v>DIVISI HUMAN CAPITAL DAN TEKNOLOGI INFORMASI</v>
          </cell>
          <cell r="E463" t="str">
            <v>STAF HUBUNGAN INDUSTRIAL</v>
          </cell>
          <cell r="F463" t="str">
            <v>chelsya.m@bki.co.id</v>
          </cell>
          <cell r="H463" t="str">
            <v>-</v>
          </cell>
          <cell r="I463">
            <v>0</v>
          </cell>
          <cell r="J463">
            <v>0</v>
          </cell>
        </row>
        <row r="464">
          <cell r="B464" t="str">
            <v>IFAN SYAHPUTRA</v>
          </cell>
          <cell r="C464" t="str">
            <v>DIVISI HUMAN CAPITAL DAN TEKNOLOGI INFORMASI</v>
          </cell>
          <cell r="D464" t="str">
            <v>DIVISI HUMAN CAPITAL DAN TEKNOLOGI INFORMASI</v>
          </cell>
          <cell r="E464" t="str">
            <v>STAF ANALIS MANAJEMEN &amp; TATA KELOLA TI</v>
          </cell>
          <cell r="F464" t="str">
            <v>Ifan.syahputra@bki.co.id</v>
          </cell>
          <cell r="G464" t="str">
            <v>085691596627</v>
          </cell>
          <cell r="H464">
            <v>4</v>
          </cell>
          <cell r="I464">
            <v>0</v>
          </cell>
          <cell r="J464">
            <v>0</v>
          </cell>
        </row>
        <row r="465">
          <cell r="B465" t="str">
            <v>AWANG SYUKRIANSAH DIRGANTORO</v>
          </cell>
          <cell r="C465" t="str">
            <v>DIVISI HUMAN CAPITAL DAN TEKNOLOGI INFORMASI</v>
          </cell>
          <cell r="D465" t="str">
            <v>DIVISI HUMAN CAPITAL DAN TEKNOLOGI INFORMASI</v>
          </cell>
          <cell r="E465" t="str">
            <v xml:space="preserve">STAF PROGRAMMER IT </v>
          </cell>
          <cell r="F465" t="str">
            <v>awang.sd@bki.co.id</v>
          </cell>
          <cell r="H465">
            <v>0</v>
          </cell>
          <cell r="I465">
            <v>0</v>
          </cell>
          <cell r="J465">
            <v>0</v>
          </cell>
        </row>
        <row r="466">
          <cell r="B466" t="str">
            <v>FAJAR NUGRAHA</v>
          </cell>
          <cell r="C466" t="str">
            <v>DIVISI INTEGRASI SISTEM DAN PROSES BISNIS</v>
          </cell>
          <cell r="D466" t="str">
            <v>DIVISI INTEGRASI SISTEM DAN PROSES BISNIS</v>
          </cell>
          <cell r="E466" t="str">
            <v>VP INTEGRASI SISTEM DAN PROSES BISNIS</v>
          </cell>
          <cell r="F466" t="str">
            <v>fnugraha@bki.co.id</v>
          </cell>
          <cell r="G466" t="str">
            <v>0812 8849 8757</v>
          </cell>
          <cell r="H466" t="str">
            <v>8A</v>
          </cell>
          <cell r="I466">
            <v>500000</v>
          </cell>
          <cell r="J466">
            <v>0</v>
          </cell>
        </row>
        <row r="467">
          <cell r="B467" t="str">
            <v>AGUS SYARIF MAOLANA</v>
          </cell>
          <cell r="C467" t="str">
            <v>DIVISI INTEGRASI SISTEM DAN PROSES BISNIS</v>
          </cell>
          <cell r="D467" t="str">
            <v>DIVISI INTEGRASI SISTEM DAN PROSES BISNIS</v>
          </cell>
          <cell r="E467" t="str">
            <v>SENIOR MANAGER PROSES BISNIS DAN MANAJEMEN SISTEM TERINTEGRASI</v>
          </cell>
          <cell r="F467" t="str">
            <v>agus.syarif@bki.co.id</v>
          </cell>
          <cell r="G467" t="str">
            <v>087874534352</v>
          </cell>
          <cell r="H467" t="str">
            <v>7B</v>
          </cell>
          <cell r="I467">
            <v>350000</v>
          </cell>
          <cell r="J467">
            <v>0</v>
          </cell>
        </row>
        <row r="468">
          <cell r="B468" t="str">
            <v>IRMA YUNIATI</v>
          </cell>
          <cell r="C468" t="str">
            <v>DIVISI INTEGRASI SISTEM DAN PROSES BISNIS</v>
          </cell>
          <cell r="D468" t="str">
            <v>DIVISI INTEGRASI SISTEM DAN PROSES BISNIS</v>
          </cell>
          <cell r="E468" t="str">
            <v>JUNIOR OFFICER PENUGASKARYAAN</v>
          </cell>
          <cell r="F468" t="str">
            <v>irma.yuniati@bki.co.id</v>
          </cell>
          <cell r="G468" t="str">
            <v/>
          </cell>
          <cell r="H468" t="str">
            <v>3C</v>
          </cell>
          <cell r="I468">
            <v>100000</v>
          </cell>
          <cell r="J468">
            <v>0</v>
          </cell>
        </row>
        <row r="469">
          <cell r="B469" t="str">
            <v>ICHSAN AHRIL AUZAN</v>
          </cell>
          <cell r="C469" t="str">
            <v>DIVISI INTEGRASI SISTEM DAN PROSES BISNIS</v>
          </cell>
          <cell r="D469" t="str">
            <v>DIVISI INTEGRASI SISTEM DAN PROSES BISNIS</v>
          </cell>
          <cell r="E469" t="str">
            <v>STAF DUKUNGAN BISNIS</v>
          </cell>
          <cell r="F469" t="str">
            <v>ichsan.ahril@bki.co.id</v>
          </cell>
          <cell r="G469" t="str">
            <v>081511388854</v>
          </cell>
          <cell r="H469" t="str">
            <v>-</v>
          </cell>
          <cell r="I469">
            <v>0</v>
          </cell>
          <cell r="J469">
            <v>0</v>
          </cell>
        </row>
        <row r="470">
          <cell r="B470" t="str">
            <v>RIZKY GUSTI ANDIKA</v>
          </cell>
          <cell r="C470" t="str">
            <v>DIVISI INTEGRASI SISTEM DAN PROSES BISNIS</v>
          </cell>
          <cell r="D470" t="str">
            <v>DIVISI INTEGRASI SISTEM DAN PROSES BISNIS</v>
          </cell>
          <cell r="E470" t="str">
            <v>STAF DUKUNGAN BISNIS</v>
          </cell>
          <cell r="F470" t="str">
            <v>rizky.andika@bki.co.id</v>
          </cell>
          <cell r="G470" t="str">
            <v>082335567954</v>
          </cell>
          <cell r="H470" t="str">
            <v>-</v>
          </cell>
          <cell r="I470">
            <v>0</v>
          </cell>
          <cell r="J470">
            <v>0</v>
          </cell>
        </row>
        <row r="471">
          <cell r="B471" t="str">
            <v>RIZA ZAKARIA HELMI</v>
          </cell>
          <cell r="C471" t="str">
            <v>DIVISI INTEGRASI SISTEM DAN PROSES BISNIS</v>
          </cell>
          <cell r="D471" t="str">
            <v>DIVISI INTEGRASI SISTEM DAN PROSES BISNIS</v>
          </cell>
          <cell r="E471" t="str">
            <v>ANALISA PROSES BISNIS TERINTEGRASI</v>
          </cell>
          <cell r="F471" t="str">
            <v>riza.zakaria@bki.co.id</v>
          </cell>
          <cell r="G471" t="str">
            <v>081804960551</v>
          </cell>
          <cell r="H471" t="str">
            <v>-</v>
          </cell>
          <cell r="I471">
            <v>0</v>
          </cell>
          <cell r="J471">
            <v>0</v>
          </cell>
        </row>
        <row r="472">
          <cell r="B472" t="str">
            <v>RINO YAN CAHYONO</v>
          </cell>
          <cell r="C472" t="str">
            <v>DIVISI KEUANGAN DAN AKUNTANSI</v>
          </cell>
          <cell r="D472" t="str">
            <v>DIVISI KEUANGAN DAN AKUNTANSI</v>
          </cell>
          <cell r="E472" t="str">
            <v>VP KEUANGAN DAN AKUNTANSI</v>
          </cell>
          <cell r="F472" t="str">
            <v>rino@bki.co.id</v>
          </cell>
          <cell r="G472" t="str">
            <v>081286889062</v>
          </cell>
          <cell r="H472" t="str">
            <v>8A</v>
          </cell>
          <cell r="I472">
            <v>0</v>
          </cell>
          <cell r="J472">
            <v>0</v>
          </cell>
        </row>
        <row r="473">
          <cell r="B473" t="str">
            <v>SUMARTINI</v>
          </cell>
          <cell r="C473" t="str">
            <v>DIVISI KEUANGAN DAN AKUNTANSI</v>
          </cell>
          <cell r="D473" t="str">
            <v>DIVISI KEUANGAN DAN AKUNTANSI</v>
          </cell>
          <cell r="E473" t="str">
            <v>ANALIS AKUNTANSI</v>
          </cell>
          <cell r="F473" t="str">
            <v>sumartini@bki.co.id</v>
          </cell>
          <cell r="G473" t="str">
            <v>08121002622</v>
          </cell>
          <cell r="H473" t="str">
            <v>5B</v>
          </cell>
          <cell r="I473">
            <v>250000</v>
          </cell>
          <cell r="J473">
            <v>17584050</v>
          </cell>
        </row>
        <row r="474">
          <cell r="B474" t="str">
            <v>LILY PANDANSARI</v>
          </cell>
          <cell r="C474" t="str">
            <v>DIVISI KEUANGAN DAN AKUNTANSI</v>
          </cell>
          <cell r="D474" t="str">
            <v>DIVISI KEUANGAN DAN AKUNTANSI</v>
          </cell>
          <cell r="E474" t="str">
            <v>ANALIS VERIFIKASI KEUANGAN</v>
          </cell>
          <cell r="F474" t="str">
            <v>lily.pandansari@bki.co.id</v>
          </cell>
          <cell r="G474" t="str">
            <v>082310166000</v>
          </cell>
          <cell r="H474" t="str">
            <v>5B</v>
          </cell>
          <cell r="I474">
            <v>250000</v>
          </cell>
          <cell r="J474">
            <v>0</v>
          </cell>
        </row>
        <row r="475">
          <cell r="B475" t="str">
            <v>RISKA TRI HANDINI</v>
          </cell>
          <cell r="C475" t="str">
            <v>DIVISI KEUANGAN DAN AKUNTANSI</v>
          </cell>
          <cell r="D475" t="str">
            <v>DIVISI KEUANGAN DAN AKUNTANSI</v>
          </cell>
          <cell r="E475" t="str">
            <v>OFFICER VERIFIKASI KEUANGAN</v>
          </cell>
          <cell r="F475" t="str">
            <v>riska.th@bki.co.id</v>
          </cell>
          <cell r="G475" t="str">
            <v>081310438068</v>
          </cell>
          <cell r="H475" t="str">
            <v>4A</v>
          </cell>
          <cell r="I475">
            <v>100000</v>
          </cell>
          <cell r="J475">
            <v>1665000</v>
          </cell>
        </row>
        <row r="476">
          <cell r="B476" t="str">
            <v>RATNA DEWI</v>
          </cell>
          <cell r="C476" t="str">
            <v>DIVISI KEUANGAN DAN AKUNTANSI</v>
          </cell>
          <cell r="D476" t="str">
            <v>DIVISI KEUANGAN DAN AKUNTANSI</v>
          </cell>
          <cell r="E476" t="str">
            <v>OFFICER VERIFIKASI KEUANGAN</v>
          </cell>
          <cell r="F476" t="str">
            <v>ratna.dewi@bki.co.id</v>
          </cell>
          <cell r="G476" t="str">
            <v>081289286158</v>
          </cell>
          <cell r="H476" t="str">
            <v>4A</v>
          </cell>
          <cell r="I476">
            <v>150000</v>
          </cell>
          <cell r="J476">
            <v>1200000</v>
          </cell>
        </row>
        <row r="477">
          <cell r="B477" t="str">
            <v>PUTRI NUR LAKSMI</v>
          </cell>
          <cell r="C477" t="str">
            <v>DIVISI KEUANGAN DAN AKUNTANSI</v>
          </cell>
          <cell r="D477" t="str">
            <v>DIVISI KEUANGAN DAN AKUNTANSI</v>
          </cell>
          <cell r="E477" t="str">
            <v>OFFICER VERIFIKASI KEUANGAN</v>
          </cell>
          <cell r="F477" t="str">
            <v>putri.nl@bki.co.id</v>
          </cell>
          <cell r="G477" t="str">
            <v>087782073747</v>
          </cell>
          <cell r="H477" t="str">
            <v>4A</v>
          </cell>
          <cell r="I477">
            <v>150000</v>
          </cell>
          <cell r="J477">
            <v>2500000</v>
          </cell>
        </row>
        <row r="478">
          <cell r="B478" t="str">
            <v>NENNY YUNIARTI</v>
          </cell>
          <cell r="C478" t="str">
            <v>DIVISI KEUANGAN DAN AKUNTANSI</v>
          </cell>
          <cell r="D478" t="str">
            <v>DIVISI KEUANGAN DAN AKUNTANSI</v>
          </cell>
          <cell r="E478" t="str">
            <v>OFFICER VERIFIKASI KEUANGAN</v>
          </cell>
          <cell r="F478" t="str">
            <v>nenny@bki.co.id</v>
          </cell>
          <cell r="G478" t="str">
            <v>087888812809</v>
          </cell>
          <cell r="H478" t="str">
            <v>4A</v>
          </cell>
          <cell r="I478">
            <v>150000</v>
          </cell>
          <cell r="J478">
            <v>5638526</v>
          </cell>
        </row>
        <row r="479">
          <cell r="B479" t="str">
            <v>TRI JANUAR PRATAMA</v>
          </cell>
          <cell r="C479" t="str">
            <v>DIVISI KEUANGAN DAN AKUNTANSI</v>
          </cell>
          <cell r="D479" t="str">
            <v>DIVISI KEUANGAN DAN AKUNTANSI</v>
          </cell>
          <cell r="E479" t="str">
            <v>OFFICER VERIFIKASI KEUANGAN</v>
          </cell>
          <cell r="F479" t="str">
            <v>januar@bki.co.id</v>
          </cell>
          <cell r="G479" t="str">
            <v>085810026013</v>
          </cell>
          <cell r="H479" t="str">
            <v>4A</v>
          </cell>
          <cell r="I479">
            <v>150000</v>
          </cell>
          <cell r="J479">
            <v>0</v>
          </cell>
        </row>
        <row r="480">
          <cell r="B480" t="str">
            <v>AZIZA</v>
          </cell>
          <cell r="C480" t="str">
            <v>DIVISI KEUANGAN DAN AKUNTANSI</v>
          </cell>
          <cell r="D480" t="str">
            <v>DIVISI KEUANGAN DAN AKUNTANSI</v>
          </cell>
          <cell r="E480" t="str">
            <v>ANALIS VERIFIKASI KEUANGAN</v>
          </cell>
          <cell r="F480" t="str">
            <v>aziza@bki.co.id</v>
          </cell>
          <cell r="G480" t="str">
            <v>081318014533</v>
          </cell>
          <cell r="H480" t="str">
            <v>5B</v>
          </cell>
          <cell r="I480">
            <v>250000</v>
          </cell>
          <cell r="J480">
            <v>0</v>
          </cell>
        </row>
        <row r="481">
          <cell r="B481" t="str">
            <v>ELISHA MUTHIA</v>
          </cell>
          <cell r="C481" t="str">
            <v>DIVISI KEUANGAN DAN AKUNTANSI</v>
          </cell>
          <cell r="D481" t="str">
            <v>DIVISI KEUANGAN DAN AKUNTANSI</v>
          </cell>
          <cell r="E481" t="str">
            <v>PJ. SENIOR MANAGER AKUNTANSI DAN SISTEM KEUANGAN</v>
          </cell>
          <cell r="F481" t="str">
            <v>Elisha.Muthia@bki.co.id</v>
          </cell>
          <cell r="G481" t="str">
            <v>085363271815</v>
          </cell>
          <cell r="H481" t="str">
            <v>5B</v>
          </cell>
          <cell r="I481">
            <v>0</v>
          </cell>
          <cell r="J481">
            <v>0</v>
          </cell>
        </row>
        <row r="482">
          <cell r="B482" t="str">
            <v>KURNIA FIRMANSYAH</v>
          </cell>
          <cell r="C482" t="str">
            <v>DIVISI KEUANGAN DAN AKUNTANSI</v>
          </cell>
          <cell r="D482" t="str">
            <v>DIVISI KEUANGAN DAN AKUNTANSI</v>
          </cell>
          <cell r="E482" t="str">
            <v>SENIOR MANAGER TREASURY</v>
          </cell>
          <cell r="F482" t="str">
            <v>kurnia.firmansyah@bki.co.id</v>
          </cell>
          <cell r="G482" t="str">
            <v>0813 1109 9952</v>
          </cell>
          <cell r="H482" t="str">
            <v>7A</v>
          </cell>
          <cell r="I482">
            <v>350000</v>
          </cell>
          <cell r="J482">
            <v>500000</v>
          </cell>
        </row>
        <row r="483">
          <cell r="B483" t="str">
            <v>YULIA FAJRI KINANTI</v>
          </cell>
          <cell r="C483" t="str">
            <v>DIVISI KEUANGAN DAN AKUNTANSI</v>
          </cell>
          <cell r="D483" t="str">
            <v>DIVISI KEUANGAN DAN AKUNTANSI</v>
          </cell>
          <cell r="E483" t="str">
            <v>OFFICER PEMBAYARAN</v>
          </cell>
          <cell r="F483" t="str">
            <v>yulia.fk@bki.co.id</v>
          </cell>
          <cell r="G483" t="str">
            <v>0896 5913 6249</v>
          </cell>
          <cell r="H483" t="str">
            <v>4A</v>
          </cell>
          <cell r="I483">
            <v>100000</v>
          </cell>
          <cell r="J483">
            <v>1000000</v>
          </cell>
        </row>
        <row r="484">
          <cell r="B484" t="str">
            <v>MUHAMMAD ABDURRAHMAN ALI</v>
          </cell>
          <cell r="C484" t="str">
            <v>DIVISI KEUANGAN DAN AKUNTANSI</v>
          </cell>
          <cell r="D484" t="str">
            <v>DIVISI KEUANGAN DAN AKUNTANSI</v>
          </cell>
          <cell r="E484" t="str">
            <v>OFFICER AKUNTANSI</v>
          </cell>
          <cell r="F484" t="str">
            <v>m.ali@bki.co.id</v>
          </cell>
          <cell r="G484" t="str">
            <v>083892505039</v>
          </cell>
          <cell r="H484" t="str">
            <v>4B</v>
          </cell>
          <cell r="I484">
            <v>0</v>
          </cell>
          <cell r="J484">
            <v>0</v>
          </cell>
        </row>
        <row r="485">
          <cell r="B485" t="str">
            <v>MARITSA HADANA</v>
          </cell>
          <cell r="C485" t="str">
            <v>DIVISI KEUANGAN DAN AKUNTANSI</v>
          </cell>
          <cell r="D485" t="str">
            <v>DIVISI KEUANGAN DAN AKUNTANSI</v>
          </cell>
          <cell r="E485" t="str">
            <v>OFFICER AKUNTANSI</v>
          </cell>
          <cell r="F485" t="str">
            <v>maritsa.ha@bki.co.id</v>
          </cell>
          <cell r="H485" t="str">
            <v>4B</v>
          </cell>
          <cell r="I485">
            <v>0</v>
          </cell>
          <cell r="J485">
            <v>0</v>
          </cell>
        </row>
        <row r="486">
          <cell r="B486" t="str">
            <v xml:space="preserve">ANNISA FITRI AMALIA </v>
          </cell>
          <cell r="C486" t="str">
            <v>DIVISI KEUANGAN DAN AKUNTANSI</v>
          </cell>
          <cell r="D486" t="str">
            <v>DIVISI KEUANGAN DAN AKUNTANSI</v>
          </cell>
          <cell r="E486" t="str">
            <v>OFFICER PEMBAYARAN</v>
          </cell>
          <cell r="F486" t="str">
            <v>annisa.fa@bki.co.id</v>
          </cell>
          <cell r="H486" t="str">
            <v>4A</v>
          </cell>
          <cell r="I486">
            <v>0</v>
          </cell>
          <cell r="J486">
            <v>0</v>
          </cell>
        </row>
        <row r="487">
          <cell r="B487" t="str">
            <v>IRWANTO</v>
          </cell>
          <cell r="C487" t="str">
            <v>DIVISI KEUANGAN DAN AKUNTANSI</v>
          </cell>
          <cell r="D487" t="str">
            <v>DIVISI KEUANGAN DAN AKUNTANSI</v>
          </cell>
          <cell r="E487" t="str">
            <v>SENIOR MANAGER PIUTANG</v>
          </cell>
          <cell r="F487" t="str">
            <v>irwanto@bki.co.id</v>
          </cell>
          <cell r="G487" t="str">
            <v>081388026275</v>
          </cell>
          <cell r="H487" t="str">
            <v>7A</v>
          </cell>
          <cell r="I487">
            <v>350000</v>
          </cell>
          <cell r="J487">
            <v>5832511</v>
          </cell>
        </row>
        <row r="488">
          <cell r="B488" t="str">
            <v>IBRAHIM AD'HA</v>
          </cell>
          <cell r="C488" t="str">
            <v>DIVISI KEUANGAN DAN AKUNTANSI</v>
          </cell>
          <cell r="D488" t="str">
            <v>DIVISI KEUANGAN DAN AKUNTANSI</v>
          </cell>
          <cell r="E488" t="str">
            <v>TENAGA AHLI</v>
          </cell>
          <cell r="F488" t="str">
            <v>ibrahim.ad@bki.co.id</v>
          </cell>
          <cell r="G488" t="str">
            <v>081296690410</v>
          </cell>
          <cell r="H488" t="str">
            <v>-</v>
          </cell>
          <cell r="I488">
            <v>0</v>
          </cell>
          <cell r="J488">
            <v>0</v>
          </cell>
        </row>
        <row r="489">
          <cell r="B489" t="str">
            <v>RAHMAT SIREGAR</v>
          </cell>
          <cell r="C489" t="str">
            <v>DIVISI KEUANGAN DAN AKUNTANSI</v>
          </cell>
          <cell r="D489" t="str">
            <v>DIVISI KEUANGAN DAN AKUNTANSI</v>
          </cell>
          <cell r="E489" t="str">
            <v>STAF DUKUNGAN BISNIS</v>
          </cell>
          <cell r="F489" t="str">
            <v>rahmat.sr@bki.co.id</v>
          </cell>
          <cell r="G489" t="str">
            <v>082275316919</v>
          </cell>
          <cell r="H489" t="str">
            <v>-</v>
          </cell>
          <cell r="I489">
            <v>0</v>
          </cell>
          <cell r="J489">
            <v>0</v>
          </cell>
        </row>
        <row r="490">
          <cell r="B490" t="str">
            <v>RAMADHINA DEA ANANDA</v>
          </cell>
          <cell r="C490" t="str">
            <v>DIVISI KEUANGAN DAN AKUNTANSI</v>
          </cell>
          <cell r="D490" t="str">
            <v>DIVISI KEUANGAN DAN AKUNTANSI</v>
          </cell>
          <cell r="E490" t="str">
            <v>STAF SENTRALISASI KEUANGAN</v>
          </cell>
          <cell r="F490" t="str">
            <v>ramadhina.dea@bki.co.id</v>
          </cell>
          <cell r="G490" t="str">
            <v>081229386891</v>
          </cell>
          <cell r="H490" t="str">
            <v>-</v>
          </cell>
          <cell r="I490">
            <v>0</v>
          </cell>
          <cell r="J490">
            <v>0</v>
          </cell>
        </row>
        <row r="491">
          <cell r="B491" t="str">
            <v>CHAIRANI MAULINA UTAMI</v>
          </cell>
          <cell r="C491" t="str">
            <v>DIVISI KEUANGAN DAN AKUNTANSI</v>
          </cell>
          <cell r="D491" t="str">
            <v>DIVISI KEUANGAN DAN AKUNTANSI</v>
          </cell>
          <cell r="E491" t="str">
            <v>STAF SENTRALISASI KEUANGAN</v>
          </cell>
          <cell r="F491" t="str">
            <v>chairani.maulina@bki.co.id</v>
          </cell>
          <cell r="G491" t="str">
            <v>081211156279</v>
          </cell>
          <cell r="H491" t="str">
            <v>-</v>
          </cell>
          <cell r="I491">
            <v>0</v>
          </cell>
          <cell r="J491">
            <v>0</v>
          </cell>
        </row>
        <row r="492">
          <cell r="B492" t="str">
            <v>ARUM CAHAYA SARI</v>
          </cell>
          <cell r="C492" t="str">
            <v>DIVISI KEUANGAN DAN AKUNTANSI</v>
          </cell>
          <cell r="D492" t="str">
            <v>DIVISI KEUANGAN DAN AKUNTANSI</v>
          </cell>
          <cell r="E492" t="str">
            <v>STAF SENTRALISASI KEUANGAN</v>
          </cell>
          <cell r="F492" t="str">
            <v>arum.cs@bki.co.id</v>
          </cell>
          <cell r="G492" t="str">
            <v>087857100760</v>
          </cell>
          <cell r="H492" t="str">
            <v>-</v>
          </cell>
          <cell r="I492">
            <v>0</v>
          </cell>
          <cell r="J492">
            <v>0</v>
          </cell>
        </row>
        <row r="493">
          <cell r="B493" t="str">
            <v>DINA NUR AULIANA</v>
          </cell>
          <cell r="C493" t="str">
            <v>DIVISI KEUANGAN DAN AKUNTANSI</v>
          </cell>
          <cell r="D493" t="str">
            <v>DIVISI KEUANGAN DAN AKUNTANSI</v>
          </cell>
          <cell r="E493" t="str">
            <v>STAF SISTEM SENTRALISASI KEUANGAN</v>
          </cell>
          <cell r="F493" t="str">
            <v>dina.na@bki.co.id</v>
          </cell>
          <cell r="H493" t="str">
            <v>-</v>
          </cell>
          <cell r="I493">
            <v>0</v>
          </cell>
          <cell r="J493">
            <v>0</v>
          </cell>
        </row>
        <row r="494">
          <cell r="B494" t="str">
            <v>RUTH ALFONSINA WORABAY</v>
          </cell>
          <cell r="C494" t="str">
            <v>DIVISI KEUANGAN DAN AKUNTANSI</v>
          </cell>
          <cell r="D494" t="str">
            <v>DIVISI KEUANGAN DAN AKUNTANSI</v>
          </cell>
          <cell r="E494" t="str">
            <v>STAF TREASURY</v>
          </cell>
          <cell r="F494" t="str">
            <v>ruth.aw@bki.co.id</v>
          </cell>
          <cell r="H494" t="str">
            <v>-</v>
          </cell>
          <cell r="I494">
            <v>0</v>
          </cell>
          <cell r="J494">
            <v>0</v>
          </cell>
        </row>
        <row r="495">
          <cell r="B495" t="str">
            <v>BRIAN FIRMANSYAH PUTRA SULMI</v>
          </cell>
          <cell r="C495" t="str">
            <v>DIVISI KEUANGAN DAN AKUNTANSI</v>
          </cell>
          <cell r="D495" t="str">
            <v>DIVISI KEUANGAN DAN AKUNTANSI</v>
          </cell>
          <cell r="E495" t="str">
            <v>STAF ADMINISTRASI KEUANGAN</v>
          </cell>
          <cell r="F495" t="str">
            <v>brian.firmansyah@bki.co.id</v>
          </cell>
          <cell r="G495" t="str">
            <v>082233306392</v>
          </cell>
          <cell r="H495" t="str">
            <v>-</v>
          </cell>
          <cell r="I495">
            <v>0</v>
          </cell>
          <cell r="J495">
            <v>0</v>
          </cell>
        </row>
        <row r="496">
          <cell r="B496" t="str">
            <v>I MADE ANDHIKA DARMA PERKASA</v>
          </cell>
          <cell r="C496" t="str">
            <v>DIVISI LEGAL COUNSEL</v>
          </cell>
          <cell r="D496" t="str">
            <v>DIVISI LEGAL COUNSEL</v>
          </cell>
          <cell r="E496" t="str">
            <v>VP LEGAL COUNSEL</v>
          </cell>
          <cell r="F496" t="str">
            <v>made.andhika@bki.co.id</v>
          </cell>
          <cell r="G496" t="str">
            <v>085929991946</v>
          </cell>
          <cell r="H496" t="str">
            <v>8B</v>
          </cell>
          <cell r="I496">
            <v>0</v>
          </cell>
          <cell r="J496">
            <v>0</v>
          </cell>
        </row>
        <row r="497">
          <cell r="B497" t="str">
            <v>RICARDO SANTOS</v>
          </cell>
          <cell r="C497" t="str">
            <v>DIVISI LEGAL COUNSEL</v>
          </cell>
          <cell r="D497" t="str">
            <v>DIVISI LEGAL COUNSEL</v>
          </cell>
          <cell r="E497" t="str">
            <v>STAF ANALISA KEPATUHAN ATAU LICENSE TO OPERATE</v>
          </cell>
          <cell r="F497" t="str">
            <v>ricardo.santos@bki.co.id</v>
          </cell>
          <cell r="G497" t="str">
            <v>08997514686</v>
          </cell>
          <cell r="H497" t="str">
            <v>-</v>
          </cell>
          <cell r="I497">
            <v>0</v>
          </cell>
          <cell r="J497">
            <v>0</v>
          </cell>
        </row>
        <row r="498">
          <cell r="B498" t="str">
            <v>NURSYIFA RAMADHANI</v>
          </cell>
          <cell r="C498" t="str">
            <v>DIVISI LEGAL COUNSEL</v>
          </cell>
          <cell r="D498" t="str">
            <v>DIVISI LEGAL COUNSEL</v>
          </cell>
          <cell r="E498" t="str">
            <v>STAF LEGAL</v>
          </cell>
          <cell r="F498" t="str">
            <v>nursyifa@idsurvey.co.id</v>
          </cell>
          <cell r="G498" t="str">
            <v>085820072906</v>
          </cell>
          <cell r="H498" t="str">
            <v>-</v>
          </cell>
          <cell r="I498">
            <v>0</v>
          </cell>
          <cell r="J498">
            <v>0</v>
          </cell>
        </row>
        <row r="499">
          <cell r="B499" t="str">
            <v>ROYNALD MATAHELUMUAL</v>
          </cell>
          <cell r="C499" t="str">
            <v>DIVISI MANAJEMEN CABANG KOMERSIAL</v>
          </cell>
          <cell r="D499" t="str">
            <v>DIVISI MANAJEMEN CABANG KOMERSIAL</v>
          </cell>
          <cell r="E499" t="str">
            <v>SENIOR MANAGER DUKUNGAN BISNIS KOMERSIL</v>
          </cell>
          <cell r="F499" t="str">
            <v>roynald@bki.co.id</v>
          </cell>
          <cell r="G499" t="str">
            <v>081314930100</v>
          </cell>
          <cell r="H499" t="str">
            <v>7B</v>
          </cell>
          <cell r="I499">
            <v>0</v>
          </cell>
          <cell r="J499">
            <v>0</v>
          </cell>
        </row>
        <row r="500">
          <cell r="B500" t="str">
            <v>TOGAP HIDAYAT SIAGIAN</v>
          </cell>
          <cell r="C500" t="str">
            <v>DIVISI MANAJEMEN CABANG KOMERSIAL</v>
          </cell>
          <cell r="D500" t="str">
            <v>DIVISI MANAJEMEN CABANG KOMERSIAL</v>
          </cell>
          <cell r="E500" t="str">
            <v>ANALIS DUKUNGAN BISNIS</v>
          </cell>
          <cell r="F500" t="str">
            <v>togap@bki.co.id</v>
          </cell>
          <cell r="G500" t="str">
            <v>081296022052</v>
          </cell>
          <cell r="H500" t="str">
            <v>5A</v>
          </cell>
          <cell r="I500">
            <v>250000</v>
          </cell>
          <cell r="J500">
            <v>6154617</v>
          </cell>
        </row>
        <row r="501">
          <cell r="B501" t="str">
            <v>ROCHMANSYAH</v>
          </cell>
          <cell r="C501" t="str">
            <v>DIVISI MANAJEMEN CABANG KOMERSIAL</v>
          </cell>
          <cell r="D501" t="str">
            <v>DIVISI MANAJEMEN CABANG KOMERSIAL</v>
          </cell>
          <cell r="E501" t="str">
            <v>ANALIS DUKUNGAN BISNIS</v>
          </cell>
          <cell r="F501" t="str">
            <v>rochmansyah@bki.co.id</v>
          </cell>
          <cell r="G501" t="str">
            <v>087888385192</v>
          </cell>
          <cell r="H501" t="str">
            <v>5A</v>
          </cell>
          <cell r="I501">
            <v>0</v>
          </cell>
          <cell r="J501">
            <v>0</v>
          </cell>
        </row>
        <row r="502">
          <cell r="B502" t="str">
            <v>N. HERAWATI MELDA S</v>
          </cell>
          <cell r="C502" t="str">
            <v>DIVISI MANAJEMEN CABANG KOMERSIAL</v>
          </cell>
          <cell r="D502" t="str">
            <v>DIVISI MANAJEMEN CABANG KOMERSIAL</v>
          </cell>
          <cell r="E502" t="str">
            <v>ANALIS DUKUNGAN BISNIS</v>
          </cell>
          <cell r="F502" t="str">
            <v>verra@bki.co.id</v>
          </cell>
          <cell r="G502" t="str">
            <v>087878782105</v>
          </cell>
          <cell r="H502" t="str">
            <v>5A</v>
          </cell>
          <cell r="I502">
            <v>0</v>
          </cell>
          <cell r="J502">
            <v>0</v>
          </cell>
        </row>
        <row r="503">
          <cell r="B503" t="str">
            <v>MAMIN RIFFIA KUSNANDAR</v>
          </cell>
          <cell r="C503" t="str">
            <v>DIVISI MANAJEMEN CABANG KOMERSIAL</v>
          </cell>
          <cell r="D503" t="str">
            <v>DIVISI MANAJEMEN CABANG KOMERSIAL</v>
          </cell>
          <cell r="E503" t="str">
            <v>SENIOR MANAGER DUKUNGAN OPERASI KOMERSIAL</v>
          </cell>
          <cell r="F503" t="str">
            <v>mamin@bki.co.id</v>
          </cell>
          <cell r="G503" t="str">
            <v>081326202624</v>
          </cell>
          <cell r="H503" t="str">
            <v>7B</v>
          </cell>
          <cell r="I503">
            <v>250000</v>
          </cell>
          <cell r="J503">
            <v>0</v>
          </cell>
        </row>
        <row r="504">
          <cell r="B504" t="str">
            <v>ACHMAD TAWAKKAL RAMPA</v>
          </cell>
          <cell r="C504" t="str">
            <v>DIVISI MANAJEMEN CABANG KOMERSIAL</v>
          </cell>
          <cell r="D504" t="str">
            <v>DIVISI MANAJEMEN CABANG KOMERSIAL</v>
          </cell>
          <cell r="E504" t="str">
            <v>SPESIALIS SENIOR DUKUNGAN OPERASI</v>
          </cell>
          <cell r="F504" t="str">
            <v>tawakkal@bki.co.id</v>
          </cell>
          <cell r="G504" t="str">
            <v>081275385085</v>
          </cell>
          <cell r="H504" t="str">
            <v>7C</v>
          </cell>
          <cell r="I504">
            <v>250000</v>
          </cell>
          <cell r="J504">
            <v>6887500</v>
          </cell>
        </row>
        <row r="505">
          <cell r="B505" t="str">
            <v>LILAH KURNIA SARI</v>
          </cell>
          <cell r="C505" t="str">
            <v>DIVISI MANAJEMEN CABANG KOMERSIAL</v>
          </cell>
          <cell r="D505" t="str">
            <v>DIVISI MANAJEMEN CABANG KOMERSIAL</v>
          </cell>
          <cell r="E505" t="str">
            <v>SPESIALIS DUKUNGAN OPERASI</v>
          </cell>
          <cell r="F505" t="str">
            <v>lilah@bki.co.id</v>
          </cell>
          <cell r="G505" t="str">
            <v>082112789403</v>
          </cell>
          <cell r="H505" t="str">
            <v>6C</v>
          </cell>
          <cell r="I505">
            <v>0</v>
          </cell>
          <cell r="J505">
            <v>0</v>
          </cell>
        </row>
        <row r="506">
          <cell r="B506" t="str">
            <v>MUHAMMAD DAFA'ANH MURYA TSANI</v>
          </cell>
          <cell r="C506" t="str">
            <v>DIVISI MANAJEMEN CABANG KOMERSIAL</v>
          </cell>
          <cell r="D506" t="str">
            <v>DIVISI MANAJEMEN CABANG KOMERSIAL</v>
          </cell>
          <cell r="E506" t="str">
            <v>OFFICER KENDALI OPERASI</v>
          </cell>
          <cell r="F506" t="str">
            <v>m.dafa@bki.co.id</v>
          </cell>
          <cell r="H506" t="str">
            <v>4B</v>
          </cell>
          <cell r="I506">
            <v>100000</v>
          </cell>
          <cell r="J506">
            <v>0</v>
          </cell>
        </row>
        <row r="507">
          <cell r="B507" t="str">
            <v>CHRISANTYA DIAN EKA WIHARTI</v>
          </cell>
          <cell r="C507" t="str">
            <v>DIVISI MANAJEMEN RISIKO DAN KEBERLANJUTAN</v>
          </cell>
          <cell r="D507" t="str">
            <v>DIVISI MANAJEMEN RISIKO DAN KEBERLANJUTAN</v>
          </cell>
          <cell r="E507" t="str">
            <v>SPESIALIS MANAJEMEN RISIKO</v>
          </cell>
          <cell r="F507" t="str">
            <v>chrisantya.wiharti@bki.co.id</v>
          </cell>
          <cell r="G507" t="str">
            <v>08119844032</v>
          </cell>
          <cell r="H507" t="str">
            <v>6A</v>
          </cell>
          <cell r="I507">
            <v>150000</v>
          </cell>
          <cell r="J507">
            <v>0</v>
          </cell>
        </row>
        <row r="508">
          <cell r="B508" t="str">
            <v>SURIATY PARAMINTA PUTRI</v>
          </cell>
          <cell r="C508" t="str">
            <v>DIVISI MANAJEMEN RISIKO DAN KEBERLANJUTAN</v>
          </cell>
          <cell r="D508" t="str">
            <v>DIVISI MANAJEMEN RISIKO DAN KEBERLANJUTAN</v>
          </cell>
          <cell r="E508" t="str">
            <v>SENIOR MANAGER MANAJEMEN RISIKO</v>
          </cell>
          <cell r="F508" t="str">
            <v>putri@bki.co.id</v>
          </cell>
          <cell r="G508" t="str">
            <v>081296098766</v>
          </cell>
          <cell r="H508" t="str">
            <v>7B</v>
          </cell>
          <cell r="I508">
            <v>350000</v>
          </cell>
          <cell r="J508">
            <v>0</v>
          </cell>
        </row>
        <row r="509">
          <cell r="B509" t="str">
            <v>WAWAN WIDIATMOKO</v>
          </cell>
          <cell r="C509" t="str">
            <v>DIVISI MANAJEMEN RISIKO DAN KEBERLANJUTAN</v>
          </cell>
          <cell r="D509" t="str">
            <v>DIVISI MANAJEMEN RISIKO DAN KEBERLANJUTAN</v>
          </cell>
          <cell r="E509" t="str">
            <v>PJ. SENIOR MANAGER BERKELANJUTAN</v>
          </cell>
          <cell r="F509" t="str">
            <v>wawan.widiatmoko@bki.co.id</v>
          </cell>
          <cell r="G509" t="str">
            <v>081380532060</v>
          </cell>
          <cell r="H509" t="str">
            <v>5C</v>
          </cell>
          <cell r="I509">
            <v>0</v>
          </cell>
          <cell r="J509">
            <v>0</v>
          </cell>
        </row>
        <row r="510">
          <cell r="B510" t="str">
            <v>ALWI</v>
          </cell>
          <cell r="C510" t="str">
            <v>DIVISI OPERASI BISNIS KLASIFIKASI</v>
          </cell>
          <cell r="D510" t="str">
            <v>DIVISI OPERASI BISNIS KLASIFIKASI</v>
          </cell>
          <cell r="E510" t="str">
            <v>MANAGER MONITORING KAPAL</v>
          </cell>
          <cell r="F510" t="str">
            <v>alwi@bki.co.id</v>
          </cell>
          <cell r="G510" t="str">
            <v>081297484019</v>
          </cell>
          <cell r="H510" t="str">
            <v>5C</v>
          </cell>
          <cell r="I510">
            <v>0</v>
          </cell>
          <cell r="J510">
            <v>0</v>
          </cell>
        </row>
        <row r="511">
          <cell r="B511" t="str">
            <v>FAISHAL ABDURRAHMAN LABIB</v>
          </cell>
          <cell r="C511" t="str">
            <v>DIVISI OPERASI BISNIS KLASIFIKASI</v>
          </cell>
          <cell r="D511" t="str">
            <v>DIVISI OPERASI BISNIS KLASIFIKASI</v>
          </cell>
          <cell r="E511" t="str">
            <v>MANAGER DATA KLASIFIKASI</v>
          </cell>
          <cell r="F511" t="str">
            <v>faishal.labib@bki.co.id</v>
          </cell>
          <cell r="G511" t="str">
            <v>081283446262</v>
          </cell>
          <cell r="H511" t="str">
            <v>5B</v>
          </cell>
          <cell r="I511">
            <v>150000</v>
          </cell>
          <cell r="J511">
            <v>0</v>
          </cell>
        </row>
        <row r="512">
          <cell r="B512" t="str">
            <v>HENRY KURNIAWAN</v>
          </cell>
          <cell r="C512" t="str">
            <v>DIVISI OPERASI BISNIS KLASIFIKASI</v>
          </cell>
          <cell r="D512" t="str">
            <v>DIVISI OPERASI BISNIS KLASIFIKASI</v>
          </cell>
          <cell r="E512" t="str">
            <v>SENIOR MANAGER PEMASARAN DAN PUSAT LAYANAN PELANGGAN</v>
          </cell>
          <cell r="F512" t="str">
            <v>henry.kurniawan@bki.co.id</v>
          </cell>
          <cell r="G512" t="str">
            <v>081358400126</v>
          </cell>
          <cell r="H512" t="str">
            <v>7B</v>
          </cell>
          <cell r="I512">
            <v>0</v>
          </cell>
          <cell r="J512">
            <v>0</v>
          </cell>
        </row>
        <row r="513">
          <cell r="B513" t="str">
            <v>HARDIKA RATDITYA ARDYANTO</v>
          </cell>
          <cell r="C513" t="str">
            <v>DIVISI OPERASI BISNIS KLASIFIKASI</v>
          </cell>
          <cell r="D513" t="str">
            <v>DIVISI OPERASI BISNIS KLASIFIKASI</v>
          </cell>
          <cell r="E513" t="str">
            <v>SENIOR MANAGER MANAJEMEN PUSAT KENDALI OPERASI</v>
          </cell>
          <cell r="F513" t="str">
            <v>hardika.ra@bki.co.id</v>
          </cell>
          <cell r="G513" t="str">
            <v>081319869847</v>
          </cell>
          <cell r="H513" t="str">
            <v>7B</v>
          </cell>
          <cell r="I513">
            <v>450000</v>
          </cell>
          <cell r="J513">
            <v>1889063</v>
          </cell>
        </row>
        <row r="514">
          <cell r="B514" t="str">
            <v>PUJATMANTO BASTRIADI</v>
          </cell>
          <cell r="C514" t="str">
            <v>DIVISI OPERASI BISNIS KLASIFIKASI</v>
          </cell>
          <cell r="D514" t="str">
            <v>DIVISI OPERASI BISNIS KLASIFIKASI</v>
          </cell>
          <cell r="E514" t="str">
            <v>ANALIS ADMINISTRASI UMUM &amp; KEUANGAN</v>
          </cell>
          <cell r="F514" t="str">
            <v>pujatmanto@bki.co.id</v>
          </cell>
          <cell r="G514" t="str">
            <v>08124126565</v>
          </cell>
          <cell r="H514" t="str">
            <v>5A</v>
          </cell>
          <cell r="I514">
            <v>250000</v>
          </cell>
          <cell r="J514">
            <v>2500000</v>
          </cell>
        </row>
        <row r="515">
          <cell r="B515" t="str">
            <v>BAMBANG SUTOMO</v>
          </cell>
          <cell r="C515" t="str">
            <v>DIVISI OPERASI BISNIS KLASIFIKASI</v>
          </cell>
          <cell r="D515" t="str">
            <v>DIVISI OPERASI BISNIS KLASIFIKASI</v>
          </cell>
          <cell r="E515" t="str">
            <v>SPESIALIS SENIOR MANAJEMEN PUSAT KENDALI OPERASI</v>
          </cell>
          <cell r="F515" t="str">
            <v>bambangs@bki.co.id</v>
          </cell>
          <cell r="G515" t="str">
            <v>0811326740</v>
          </cell>
          <cell r="H515" t="str">
            <v>7B</v>
          </cell>
          <cell r="I515">
            <v>350000</v>
          </cell>
          <cell r="J515">
            <v>0</v>
          </cell>
        </row>
        <row r="516">
          <cell r="B516" t="str">
            <v>HERDIMAN MUSTARI</v>
          </cell>
          <cell r="C516" t="str">
            <v>DIVISI OPERASI BISNIS KLASIFIKASI</v>
          </cell>
          <cell r="D516" t="str">
            <v>DIVISI OPERASI BISNIS KLASIFIKASI</v>
          </cell>
          <cell r="E516" t="str">
            <v>SPESIALIS MANAJEMEN PUSAT KENDALI OPERASI</v>
          </cell>
          <cell r="F516" t="str">
            <v>herdiman@bki.co.id</v>
          </cell>
          <cell r="G516" t="str">
            <v>085242192447</v>
          </cell>
          <cell r="H516" t="str">
            <v>6A</v>
          </cell>
          <cell r="I516">
            <v>0</v>
          </cell>
          <cell r="J516">
            <v>0</v>
          </cell>
        </row>
        <row r="517">
          <cell r="B517" t="str">
            <v>FAJAR LUTFIALAYUBI</v>
          </cell>
          <cell r="C517" t="str">
            <v>DIVISI OPERASI BISNIS KLASIFIKASI</v>
          </cell>
          <cell r="D517" t="str">
            <v>DIVISI OPERASI BISNIS KLASIFIKASI</v>
          </cell>
          <cell r="E517" t="str">
            <v>ENGINEER OPERASI MATERIAL &amp; KOMPONEN</v>
          </cell>
          <cell r="F517" t="str">
            <v>fajarluth@bki.co.id</v>
          </cell>
          <cell r="G517" t="str">
            <v>081290830052</v>
          </cell>
          <cell r="H517" t="str">
            <v>5C</v>
          </cell>
          <cell r="I517">
            <v>0</v>
          </cell>
          <cell r="J517">
            <v>0</v>
          </cell>
        </row>
        <row r="518">
          <cell r="B518" t="str">
            <v>HERBERT SIMON HUTAJULU</v>
          </cell>
          <cell r="C518" t="str">
            <v>DIVISI OPERASI BISNIS KLASIFIKASI</v>
          </cell>
          <cell r="D518" t="str">
            <v>DIVISI OPERASI BISNIS KLASIFIKASI</v>
          </cell>
          <cell r="E518" t="str">
            <v>SENIOR MANAGER OPERASI MATERIAL DAN KOMPONEN</v>
          </cell>
          <cell r="F518" t="str">
            <v>herbert@bki.co.id</v>
          </cell>
          <cell r="G518">
            <v>0</v>
          </cell>
          <cell r="H518" t="str">
            <v>7B</v>
          </cell>
          <cell r="I518">
            <v>350000</v>
          </cell>
          <cell r="J518">
            <v>0</v>
          </cell>
        </row>
        <row r="519">
          <cell r="B519" t="str">
            <v>HIMAWAN</v>
          </cell>
          <cell r="C519" t="str">
            <v>DIVISI OPERASI BISNIS KLASIFIKASI</v>
          </cell>
          <cell r="D519" t="str">
            <v>DIVISI OPERASI BISNIS KLASIFIKASI</v>
          </cell>
          <cell r="E519" t="str">
            <v>ADMINISTRATOR SENIOR</v>
          </cell>
          <cell r="F519" t="str">
            <v>himawan@bki.co.id</v>
          </cell>
          <cell r="G519" t="str">
            <v>0853 131 7079</v>
          </cell>
          <cell r="H519" t="str">
            <v>3B</v>
          </cell>
          <cell r="I519">
            <v>150000</v>
          </cell>
          <cell r="J519">
            <v>850694</v>
          </cell>
        </row>
        <row r="520">
          <cell r="B520" t="str">
            <v>MUNIR MURADI</v>
          </cell>
          <cell r="C520" t="str">
            <v>DIVISI OPERASI BISNIS KLASIFIKASI</v>
          </cell>
          <cell r="D520" t="str">
            <v>DIVISI OPERASI BISNIS KLASIFIKASI</v>
          </cell>
          <cell r="E520" t="str">
            <v>VP OPERASI BISNIS KLASIFIKASI</v>
          </cell>
          <cell r="F520" t="str">
            <v>munir.m@bki.co.id</v>
          </cell>
          <cell r="G520" t="str">
            <v>081319055319</v>
          </cell>
          <cell r="H520" t="str">
            <v>8B</v>
          </cell>
          <cell r="I520">
            <v>350000</v>
          </cell>
          <cell r="J520">
            <v>0</v>
          </cell>
        </row>
        <row r="521">
          <cell r="B521" t="str">
            <v>EDO DODY HANDRADI</v>
          </cell>
          <cell r="C521" t="str">
            <v>DIVISI OPERASI BISNIS KLASIFIKASI</v>
          </cell>
          <cell r="D521" t="str">
            <v>DIVISI OPERASI BISNIS KLASIFIKASI</v>
          </cell>
          <cell r="E521" t="str">
            <v>ENGINEER OPERASI MATERIAL &amp; KOMPONEN</v>
          </cell>
          <cell r="F521" t="str">
            <v>edo.dh@bki.co.id</v>
          </cell>
          <cell r="G521" t="str">
            <v>082170433635</v>
          </cell>
          <cell r="H521" t="str">
            <v>5C</v>
          </cell>
          <cell r="I521">
            <v>0</v>
          </cell>
          <cell r="J521">
            <v>0</v>
          </cell>
        </row>
        <row r="522">
          <cell r="B522" t="str">
            <v>NUR RAHMAD HIDAYAT</v>
          </cell>
          <cell r="C522" t="str">
            <v>DIVISI OPERASI BISNIS KLASIFIKASI</v>
          </cell>
          <cell r="D522" t="str">
            <v>DIVISI OPERASI BISNIS KLASIFIKASI</v>
          </cell>
          <cell r="E522" t="str">
            <v>SURVEYOR SENIOR I B OPERASI KLASIFIKASI</v>
          </cell>
          <cell r="F522" t="str">
            <v>nur.ra@bki.co.id</v>
          </cell>
          <cell r="G522" t="str">
            <v>085645364297</v>
          </cell>
          <cell r="H522" t="str">
            <v>6B</v>
          </cell>
          <cell r="I522">
            <v>250000</v>
          </cell>
          <cell r="J522">
            <v>2702244</v>
          </cell>
        </row>
        <row r="523">
          <cell r="B523" t="str">
            <v>TANTYO PRAJOGO</v>
          </cell>
          <cell r="C523" t="str">
            <v>DIVISI OPERASI BISNIS KLASIFIKASI</v>
          </cell>
          <cell r="D523" t="str">
            <v>DIVISI OPERASI BISNIS KLASIFIKASI</v>
          </cell>
          <cell r="E523" t="str">
            <v>SURVEYOR UTAMA</v>
          </cell>
          <cell r="F523" t="str">
            <v>tantyo.prajogo@bki.co.id</v>
          </cell>
          <cell r="G523" t="str">
            <v>08111004390</v>
          </cell>
          <cell r="H523" t="str">
            <v>8A</v>
          </cell>
          <cell r="I523">
            <v>350000</v>
          </cell>
          <cell r="J523">
            <v>0</v>
          </cell>
        </row>
        <row r="524">
          <cell r="B524" t="str">
            <v>APRIANTO HANI WIBOWO</v>
          </cell>
          <cell r="C524" t="str">
            <v>DIVISI OPERASI BISNIS KLASIFIKASI</v>
          </cell>
          <cell r="D524" t="str">
            <v>DIVISI OPERASI BISNIS KLASIFIKASI</v>
          </cell>
          <cell r="E524" t="str">
            <v>SENIOR MANAGER OPERASI KLASIFIKASI</v>
          </cell>
          <cell r="F524" t="str">
            <v>aprianto@bki.co.id</v>
          </cell>
          <cell r="G524" t="str">
            <v>08562657988</v>
          </cell>
          <cell r="H524" t="str">
            <v>7C</v>
          </cell>
          <cell r="I524">
            <v>0</v>
          </cell>
          <cell r="J524">
            <v>0</v>
          </cell>
        </row>
        <row r="525">
          <cell r="B525" t="str">
            <v>SANG LANANG SADDAMULLAH</v>
          </cell>
          <cell r="C525" t="str">
            <v>DIVISI OPERASI BISNIS KLASIFIKASI</v>
          </cell>
          <cell r="D525" t="str">
            <v>DIVISI OPERASI BISNIS KLASIFIKASI</v>
          </cell>
          <cell r="E525" t="str">
            <v>SENIOR MANAGER MANAJEMEN KLASIFIKASI</v>
          </cell>
          <cell r="F525" t="str">
            <v>sang.saddam@bki.co.id</v>
          </cell>
          <cell r="G525" t="str">
            <v>085335095817</v>
          </cell>
          <cell r="H525" t="str">
            <v>7B</v>
          </cell>
          <cell r="I525">
            <v>250000</v>
          </cell>
          <cell r="J525">
            <v>0</v>
          </cell>
        </row>
        <row r="526">
          <cell r="B526" t="str">
            <v>MUHAMMAD AULIA</v>
          </cell>
          <cell r="C526" t="str">
            <v>DIVISI OPERASI BISNIS KLASIFIKASI</v>
          </cell>
          <cell r="D526" t="str">
            <v>DIVISI OPERASI BISNIS KLASIFIKASI</v>
          </cell>
          <cell r="E526" t="str">
            <v>ENGINEER MANAJEMEN KLASIFIKASI</v>
          </cell>
          <cell r="F526" t="str">
            <v>m.aulia@bki.co.id</v>
          </cell>
          <cell r="G526" t="str">
            <v>0812 9874 4402</v>
          </cell>
          <cell r="H526" t="str">
            <v>5C</v>
          </cell>
          <cell r="I526">
            <v>0</v>
          </cell>
          <cell r="J526">
            <v>0</v>
          </cell>
        </row>
        <row r="527">
          <cell r="B527" t="str">
            <v>MUHAMMAD ARIS SULTAN</v>
          </cell>
          <cell r="C527" t="str">
            <v>DIVISI OPERASI BISNIS KLASIFIKASI</v>
          </cell>
          <cell r="D527" t="str">
            <v>DIVISI OPERASI BISNIS KLASIFIKASI</v>
          </cell>
          <cell r="E527" t="str">
            <v>ENGINEER OPERASI MATERIAL &amp; KOMPONEN</v>
          </cell>
          <cell r="F527" t="str">
            <v>aris.sultan@bki.co.id</v>
          </cell>
          <cell r="G527" t="str">
            <v>085396012000</v>
          </cell>
          <cell r="H527" t="str">
            <v>5C</v>
          </cell>
          <cell r="I527">
            <v>0</v>
          </cell>
          <cell r="J527">
            <v>0</v>
          </cell>
        </row>
        <row r="528">
          <cell r="B528" t="str">
            <v>RAKADITYA PANDU WASKITO</v>
          </cell>
          <cell r="C528" t="str">
            <v>DIVISI OPERASI BISNIS KLASIFIKASI</v>
          </cell>
          <cell r="D528" t="str">
            <v>DIVISI OPERASI BISNIS KLASIFIKASI</v>
          </cell>
          <cell r="E528" t="str">
            <v>OFFICER HUBUNGAN PELANGGAN</v>
          </cell>
          <cell r="F528" t="str">
            <v>rakaditya.pw@bki.co.id</v>
          </cell>
          <cell r="H528" t="str">
            <v>4A</v>
          </cell>
          <cell r="I528">
            <v>0</v>
          </cell>
          <cell r="J528">
            <v>0</v>
          </cell>
        </row>
        <row r="529">
          <cell r="B529" t="str">
            <v>JASMINE PRATIWI</v>
          </cell>
          <cell r="C529" t="str">
            <v>DIVISI OPERASI BISNIS KLASIFIKASI</v>
          </cell>
          <cell r="D529" t="str">
            <v>DIVISI OPERASI BISNIS KLASIFIKASI</v>
          </cell>
          <cell r="E529" t="str">
            <v>OFFICER PEMASARAN DAN PENJUALAN</v>
          </cell>
          <cell r="F529" t="str">
            <v>jasmine.pr@bki.co.id</v>
          </cell>
          <cell r="H529" t="str">
            <v>4B</v>
          </cell>
          <cell r="I529">
            <v>100000</v>
          </cell>
          <cell r="J529">
            <v>0</v>
          </cell>
        </row>
        <row r="530">
          <cell r="B530" t="str">
            <v>SEPTIANTI LAILI SOFIANA</v>
          </cell>
          <cell r="C530" t="str">
            <v>DIVISI OPERASI BISNIS KLASIFIKASI</v>
          </cell>
          <cell r="D530" t="str">
            <v>DIVISI OPERASI BISNIS KLASIFIKASI</v>
          </cell>
          <cell r="E530" t="str">
            <v>STAF DUKUNGAN BISNIS</v>
          </cell>
          <cell r="F530" t="str">
            <v>septianti.laili@bki.co.id</v>
          </cell>
          <cell r="G530" t="str">
            <v>085859550624</v>
          </cell>
          <cell r="H530" t="str">
            <v>-</v>
          </cell>
          <cell r="I530">
            <v>0</v>
          </cell>
          <cell r="J530">
            <v>0</v>
          </cell>
        </row>
        <row r="531">
          <cell r="B531" t="str">
            <v>ILHAM HANAMI</v>
          </cell>
          <cell r="C531" t="str">
            <v>DIVISI OPERASI BISNIS KLASIFIKASI</v>
          </cell>
          <cell r="D531" t="str">
            <v>DIVISI OPERASI BISNIS KLASIFIKASI</v>
          </cell>
          <cell r="E531" t="str">
            <v>STAF DUKUNGAN BISNIS</v>
          </cell>
          <cell r="F531" t="str">
            <v>ilham.hanami@bki.co.id</v>
          </cell>
          <cell r="H531" t="str">
            <v>-</v>
          </cell>
          <cell r="I531">
            <v>0</v>
          </cell>
          <cell r="J531">
            <v>0</v>
          </cell>
        </row>
        <row r="532">
          <cell r="B532" t="str">
            <v>VINCENTIUS ARDEN AVIANDA PRADITA</v>
          </cell>
          <cell r="C532" t="str">
            <v>DIVISI OPERASI BISNIS KLASIFIKASI</v>
          </cell>
          <cell r="D532" t="str">
            <v>DIVISI OPERASI BISNIS KLASIFIKASI</v>
          </cell>
          <cell r="E532" t="str">
            <v>STAF EXTERNAL RELATION</v>
          </cell>
          <cell r="F532" t="str">
            <v>vicentius.aap@idsurvey.co.id</v>
          </cell>
          <cell r="G532" t="str">
            <v>081297320366</v>
          </cell>
          <cell r="H532" t="str">
            <v>-</v>
          </cell>
          <cell r="I532">
            <v>0</v>
          </cell>
          <cell r="J532">
            <v>0</v>
          </cell>
        </row>
        <row r="533">
          <cell r="B533" t="str">
            <v>BUDI PRAKOSO</v>
          </cell>
          <cell r="C533" t="str">
            <v>DIVISI OPERASI DIGITAL TIC</v>
          </cell>
          <cell r="D533" t="str">
            <v>DIVISI OPERASI DIGITAL TIC</v>
          </cell>
          <cell r="E533" t="str">
            <v>VP OPERASI DIGITAL TIC</v>
          </cell>
          <cell r="F533" t="str">
            <v>budi.prakoso@bki.co.id</v>
          </cell>
          <cell r="G533" t="str">
            <v>08127390156</v>
          </cell>
          <cell r="H533" t="str">
            <v>8B</v>
          </cell>
          <cell r="I533">
            <v>500000</v>
          </cell>
          <cell r="J533">
            <v>0</v>
          </cell>
        </row>
        <row r="534">
          <cell r="B534" t="str">
            <v>TRIYAN INDRAWAN</v>
          </cell>
          <cell r="C534" t="str">
            <v>DIVISI OPERASI DIGITAL TIC</v>
          </cell>
          <cell r="D534" t="str">
            <v>DIVISI OPERASI DIGITAL TIC</v>
          </cell>
          <cell r="E534" t="str">
            <v>SENIOR MANAGER RISET DAN PENGEMBANGAN BISNIS</v>
          </cell>
          <cell r="F534" t="str">
            <v>triyan@bki.co.id</v>
          </cell>
          <cell r="G534" t="str">
            <v>081703520278</v>
          </cell>
          <cell r="H534" t="str">
            <v>7B</v>
          </cell>
          <cell r="I534">
            <v>0</v>
          </cell>
          <cell r="J534">
            <v>0</v>
          </cell>
        </row>
        <row r="535">
          <cell r="B535" t="str">
            <v>MAT HASAN</v>
          </cell>
          <cell r="C535" t="str">
            <v>DIVISI OPERASI DIGITAL TIC</v>
          </cell>
          <cell r="D535" t="str">
            <v>DIVISI OPERASI DIGITAL TIC</v>
          </cell>
          <cell r="E535" t="str">
            <v>SPESIALIS PEMASARAN &amp; PENJUALAN</v>
          </cell>
          <cell r="F535" t="str">
            <v>mat.hasan@bki.co.id</v>
          </cell>
          <cell r="G535" t="str">
            <v>081294181127</v>
          </cell>
          <cell r="H535" t="str">
            <v>6A</v>
          </cell>
          <cell r="I535">
            <v>350000</v>
          </cell>
          <cell r="J535">
            <v>10608334</v>
          </cell>
        </row>
        <row r="536">
          <cell r="B536" t="str">
            <v>M. FAUZAN FIKRI</v>
          </cell>
          <cell r="C536" t="str">
            <v>DIVISI OPERASI DIGITAL TIC</v>
          </cell>
          <cell r="D536" t="str">
            <v>DIVISI OPERASI DIGITAL TIC</v>
          </cell>
          <cell r="E536" t="str">
            <v>STAF OPERASI DIGITAL MARITIM</v>
          </cell>
          <cell r="F536" t="str">
            <v>m.fauzan@bki.co.id</v>
          </cell>
          <cell r="G536" t="str">
            <v/>
          </cell>
          <cell r="H536" t="str">
            <v>-</v>
          </cell>
          <cell r="I536">
            <v>0</v>
          </cell>
          <cell r="J536">
            <v>0</v>
          </cell>
        </row>
        <row r="537">
          <cell r="B537" t="str">
            <v>RAGIL WICAKSONO PUTRA PAMUNGKAS</v>
          </cell>
          <cell r="C537" t="str">
            <v>DIVISI OPERASI DIGITAL TIC</v>
          </cell>
          <cell r="D537" t="str">
            <v>DIVISI OPERASI DIGITAL TIC</v>
          </cell>
          <cell r="E537" t="str">
            <v>STAF ADMINISTRASI</v>
          </cell>
          <cell r="F537" t="str">
            <v>ragil.pp@bki.co.id</v>
          </cell>
          <cell r="G537" t="str">
            <v>085859500048</v>
          </cell>
          <cell r="H537" t="str">
            <v>-</v>
          </cell>
          <cell r="I537">
            <v>0</v>
          </cell>
          <cell r="J537">
            <v>0</v>
          </cell>
        </row>
        <row r="538">
          <cell r="B538" t="str">
            <v>NAZWA AHSYANI FAATIHA</v>
          </cell>
          <cell r="C538" t="str">
            <v>DIVISI OPERASI DIGITAL TIC</v>
          </cell>
          <cell r="D538" t="str">
            <v>DIVISI OPERASI DIGITAL TIC</v>
          </cell>
          <cell r="E538" t="str">
            <v>STAF PEMASARAN</v>
          </cell>
          <cell r="F538" t="str">
            <v>nazwa.af@bki.co.id</v>
          </cell>
          <cell r="H538" t="str">
            <v>-</v>
          </cell>
          <cell r="I538">
            <v>0</v>
          </cell>
          <cell r="J538">
            <v>0</v>
          </cell>
        </row>
        <row r="539">
          <cell r="B539" t="str">
            <v>ABDIL HAFIIZH ZHAFRAN</v>
          </cell>
          <cell r="C539" t="str">
            <v>DIVISI PEMASARAN KORPORAT</v>
          </cell>
          <cell r="D539" t="str">
            <v>DIVISI PEMASARAN KORPORAT</v>
          </cell>
          <cell r="E539" t="str">
            <v>PJ. SENIOR MANAGER RISET DAN STRATEGI PASAR KORPORAT</v>
          </cell>
          <cell r="F539" t="str">
            <v>abdil.hz@bki.co.id</v>
          </cell>
          <cell r="G539" t="str">
            <v>081230239947</v>
          </cell>
          <cell r="H539" t="str">
            <v>6A</v>
          </cell>
          <cell r="I539">
            <v>150000</v>
          </cell>
          <cell r="J539">
            <v>0</v>
          </cell>
        </row>
        <row r="540">
          <cell r="B540" t="str">
            <v>BUSROL KARIM</v>
          </cell>
          <cell r="C540" t="str">
            <v>DIVISI PENGADAAN, UMUM DAN MANAJEMEN ASET</v>
          </cell>
          <cell r="D540" t="str">
            <v>DIVISI PENGADAAN, UMUM DAN MANAJEMEN ASET</v>
          </cell>
          <cell r="E540" t="str">
            <v>SENIOR MANAGER PENGADAAN</v>
          </cell>
          <cell r="F540" t="str">
            <v>busrol.karim@bki.co.id</v>
          </cell>
          <cell r="G540" t="str">
            <v>085640139847</v>
          </cell>
          <cell r="H540" t="str">
            <v>7A</v>
          </cell>
          <cell r="I540">
            <v>250000</v>
          </cell>
          <cell r="J540">
            <v>1000000</v>
          </cell>
        </row>
        <row r="541">
          <cell r="B541" t="str">
            <v>MARISA THERESIA SIHOMBING</v>
          </cell>
          <cell r="C541" t="str">
            <v>DIVISI PENGADAAN, UMUM DAN MANAJEMEN ASET</v>
          </cell>
          <cell r="D541" t="str">
            <v>DIVISI PENGADAAN, UMUM DAN MANAJEMEN ASET</v>
          </cell>
          <cell r="E541" t="str">
            <v>ANALIS MANAJEMEN ASET NON PROPERTI</v>
          </cell>
          <cell r="F541" t="str">
            <v>marisa.ts@bki.co.id</v>
          </cell>
          <cell r="G541" t="str">
            <v>0813 8849 7910</v>
          </cell>
          <cell r="H541" t="str">
            <v>5B</v>
          </cell>
          <cell r="I541">
            <v>250000</v>
          </cell>
          <cell r="J541">
            <v>2291667</v>
          </cell>
        </row>
        <row r="542">
          <cell r="B542" t="str">
            <v>RATNA NURCAHYA</v>
          </cell>
          <cell r="C542" t="str">
            <v>DIVISI PENGADAAN, UMUM DAN MANAJEMEN ASET</v>
          </cell>
          <cell r="D542" t="str">
            <v>DIVISI PENGADAAN, UMUM DAN MANAJEMEN ASET</v>
          </cell>
          <cell r="E542" t="str">
            <v>ANALIS MANAJEMEN ASET PROPERTI DAN KOMERSIALISASI</v>
          </cell>
          <cell r="F542" t="str">
            <v>ratna.nurcahya@bki.co.id</v>
          </cell>
          <cell r="G542" t="str">
            <v>081513299259</v>
          </cell>
          <cell r="H542" t="str">
            <v>5B</v>
          </cell>
          <cell r="I542">
            <v>0</v>
          </cell>
          <cell r="J542">
            <v>0</v>
          </cell>
        </row>
        <row r="543">
          <cell r="B543" t="str">
            <v>ILYAS</v>
          </cell>
          <cell r="C543" t="str">
            <v>DIVISI PENGADAAN, UMUM DAN MANAJEMEN ASET</v>
          </cell>
          <cell r="D543" t="str">
            <v>DIVISI PENGADAAN, UMUM DAN MANAJEMEN ASET</v>
          </cell>
          <cell r="E543" t="str">
            <v>SUPIR</v>
          </cell>
          <cell r="F543" t="str">
            <v>ilyas@bki.co.id</v>
          </cell>
          <cell r="G543" t="str">
            <v>0812 9828 839</v>
          </cell>
          <cell r="H543" t="str">
            <v>1A</v>
          </cell>
          <cell r="I543">
            <v>150000</v>
          </cell>
          <cell r="J543">
            <v>500000</v>
          </cell>
        </row>
        <row r="544">
          <cell r="B544" t="str">
            <v>BAMBANG IRWAN</v>
          </cell>
          <cell r="C544" t="str">
            <v>DIVISI PENGADAAN, UMUM DAN MANAJEMEN ASET</v>
          </cell>
          <cell r="D544" t="str">
            <v>DIVISI PENGADAAN, UMUM DAN MANAJEMEN ASET</v>
          </cell>
          <cell r="E544" t="str">
            <v>PJ. SENIOR MANAGER LAYANAN UMUM DAN MANAJEMEN ASET</v>
          </cell>
          <cell r="F544" t="str">
            <v>bambang.irwan@bki.co.id</v>
          </cell>
          <cell r="G544" t="str">
            <v>08118198123</v>
          </cell>
          <cell r="H544" t="str">
            <v>5C</v>
          </cell>
          <cell r="I544">
            <v>250000</v>
          </cell>
          <cell r="J544">
            <v>0</v>
          </cell>
        </row>
        <row r="545">
          <cell r="B545" t="str">
            <v>SRI MULYANTI</v>
          </cell>
          <cell r="C545" t="str">
            <v>DIVISI PENGADAAN, UMUM DAN MANAJEMEN ASET</v>
          </cell>
          <cell r="D545" t="str">
            <v>DIVISI PENGADAAN, UMUM DAN MANAJEMEN ASET</v>
          </cell>
          <cell r="E545" t="str">
            <v>OFFICER LAYANAN UMUM</v>
          </cell>
          <cell r="F545" t="str">
            <v>sri.mulyanti@bki.co.id</v>
          </cell>
          <cell r="G545" t="str">
            <v>08129885312</v>
          </cell>
          <cell r="H545" t="str">
            <v>4A</v>
          </cell>
          <cell r="I545">
            <v>150000</v>
          </cell>
          <cell r="J545">
            <v>0</v>
          </cell>
        </row>
        <row r="546">
          <cell r="B546" t="str">
            <v>KOSIM BIN MARI</v>
          </cell>
          <cell r="C546" t="str">
            <v>DIVISI PENGADAAN, UMUM DAN MANAJEMEN ASET</v>
          </cell>
          <cell r="D546" t="str">
            <v>DIVISI PENGADAAN, UMUM DAN MANAJEMEN ASET</v>
          </cell>
          <cell r="E546" t="str">
            <v>SUPIR</v>
          </cell>
          <cell r="F546" t="str">
            <v>Kosim.BinMari@bki.co.id</v>
          </cell>
          <cell r="G546" t="str">
            <v>0812 9920 7020</v>
          </cell>
          <cell r="H546" t="str">
            <v>1A</v>
          </cell>
          <cell r="I546">
            <v>150000</v>
          </cell>
          <cell r="J546">
            <v>3450042</v>
          </cell>
        </row>
        <row r="547">
          <cell r="B547" t="str">
            <v>SARIDI</v>
          </cell>
          <cell r="C547" t="str">
            <v>DIVISI PENGADAAN, UMUM DAN MANAJEMEN ASET</v>
          </cell>
          <cell r="D547" t="str">
            <v>DIVISI PENGADAAN, UMUM DAN MANAJEMEN ASET</v>
          </cell>
          <cell r="E547" t="str">
            <v>SUPIR</v>
          </cell>
          <cell r="F547" t="str">
            <v>Saridi@bki.co.id</v>
          </cell>
          <cell r="G547" t="str">
            <v>081218782002</v>
          </cell>
          <cell r="H547" t="str">
            <v>1A</v>
          </cell>
          <cell r="I547">
            <v>150000</v>
          </cell>
          <cell r="J547">
            <v>4697816</v>
          </cell>
        </row>
        <row r="548">
          <cell r="B548" t="str">
            <v>UNTUNG PRASETYO</v>
          </cell>
          <cell r="C548" t="str">
            <v>DIVISI PENGADAAN, UMUM DAN MANAJEMEN ASET</v>
          </cell>
          <cell r="D548" t="str">
            <v>DIVISI PENGADAAN, UMUM DAN MANAJEMEN ASET</v>
          </cell>
          <cell r="E548" t="str">
            <v>PJ. SENIOR SPESIALIS PERENCANAAN STRATEGI PENGADAAN &amp; PENGENDALIAN</v>
          </cell>
          <cell r="F548" t="str">
            <v>untung@bki.co.id</v>
          </cell>
          <cell r="G548" t="str">
            <v>085220016300</v>
          </cell>
          <cell r="H548" t="str">
            <v>6A</v>
          </cell>
          <cell r="I548">
            <v>250000</v>
          </cell>
          <cell r="J548">
            <v>1590972</v>
          </cell>
        </row>
        <row r="549">
          <cell r="B549" t="str">
            <v>NASARUDDIN</v>
          </cell>
          <cell r="C549" t="str">
            <v>DIVISI PENGADAAN, UMUM DAN MANAJEMEN ASET</v>
          </cell>
          <cell r="D549" t="str">
            <v>DIVISI PENGADAAN, UMUM DAN MANAJEMEN ASET</v>
          </cell>
          <cell r="E549" t="str">
            <v>VP PENGADAAN UMUM DAN MANAJEMEN ASET</v>
          </cell>
          <cell r="F549" t="str">
            <v>nasaruddin@bki.co.id</v>
          </cell>
          <cell r="G549" t="str">
            <v>081317760669</v>
          </cell>
          <cell r="H549" t="str">
            <v>8A</v>
          </cell>
          <cell r="I549">
            <v>500000</v>
          </cell>
          <cell r="J549">
            <v>3402778</v>
          </cell>
        </row>
        <row r="550">
          <cell r="B550" t="str">
            <v>MUSLIM DERMAWAN BARUS</v>
          </cell>
          <cell r="C550" t="str">
            <v>DIVISI PENGADAAN, UMUM DAN MANAJEMEN ASET</v>
          </cell>
          <cell r="D550" t="str">
            <v>DIVISI PENGADAAN, UMUM DAN MANAJEMEN ASET</v>
          </cell>
          <cell r="E550" t="str">
            <v>ADMINISTRATOR SENIOR</v>
          </cell>
          <cell r="F550" t="str">
            <v>muslim.dermawan@bki.co.id</v>
          </cell>
          <cell r="G550" t="str">
            <v>081289558316</v>
          </cell>
          <cell r="H550" t="str">
            <v>3B</v>
          </cell>
          <cell r="I550">
            <v>100000</v>
          </cell>
          <cell r="J550">
            <v>0</v>
          </cell>
        </row>
        <row r="551">
          <cell r="B551" t="str">
            <v>RIAN EKA SAPUTRA</v>
          </cell>
          <cell r="C551" t="str">
            <v>DIVISI PENGADAAN, UMUM DAN MANAJEMEN ASET</v>
          </cell>
          <cell r="D551" t="str">
            <v>DIVISI PENGADAAN, UMUM DAN MANAJEMEN ASET</v>
          </cell>
          <cell r="E551" t="str">
            <v>OFFICER MANAJEMEN ASET PROPERTI DAN KOMERSIALISASI</v>
          </cell>
          <cell r="F551" t="str">
            <v>rian.es@bki.co.id</v>
          </cell>
          <cell r="G551" t="str">
            <v>085772551946</v>
          </cell>
          <cell r="H551" t="str">
            <v>4A</v>
          </cell>
          <cell r="I551">
            <v>100000</v>
          </cell>
          <cell r="J551">
            <v>0</v>
          </cell>
        </row>
        <row r="552">
          <cell r="B552" t="str">
            <v>RAFIF BINTANG RAMADHAN</v>
          </cell>
          <cell r="C552" t="str">
            <v>DIVISI PENGADAAN, UMUM DAN MANAJEMEN ASET</v>
          </cell>
          <cell r="D552" t="str">
            <v>DIVISI PENGADAAN, UMUM DAN MANAJEMEN ASET</v>
          </cell>
          <cell r="E552" t="str">
            <v>OFFICER MANAJEMEN ASET PROPERTI DAN KOMERSIALISASI</v>
          </cell>
          <cell r="F552" t="str">
            <v>rafif.br@bki.co.id</v>
          </cell>
          <cell r="H552" t="str">
            <v>4A</v>
          </cell>
          <cell r="I552">
            <v>0</v>
          </cell>
          <cell r="J552">
            <v>0</v>
          </cell>
        </row>
        <row r="553">
          <cell r="B553" t="str">
            <v>SUKADI REDJI</v>
          </cell>
          <cell r="C553" t="str">
            <v>DIVISI PENGADAAN, UMUM DAN MANAJEMEN ASET</v>
          </cell>
          <cell r="D553" t="str">
            <v>DIVISI PENGADAAN, UMUM DAN MANAJEMEN ASET</v>
          </cell>
          <cell r="E553" t="str">
            <v xml:space="preserve">ADMINISTRASI SENIOR </v>
          </cell>
          <cell r="F553" t="str">
            <v>sukadi.redji@bki.co.id</v>
          </cell>
          <cell r="G553" t="str">
            <v>0818701760</v>
          </cell>
          <cell r="H553" t="str">
            <v>3B</v>
          </cell>
          <cell r="I553">
            <v>150000</v>
          </cell>
          <cell r="J553">
            <v>12486708</v>
          </cell>
        </row>
        <row r="554">
          <cell r="B554" t="str">
            <v>AHMAD YUNUS</v>
          </cell>
          <cell r="C554" t="str">
            <v>DIVISI PENGADAAN, UMUM DAN MANAJEMEN ASET</v>
          </cell>
          <cell r="D554" t="str">
            <v>DIVISI PENGADAAN, UMUM DAN MANAJEMEN ASET</v>
          </cell>
          <cell r="E554" t="str">
            <v>STAF DUKUNGAN BISNIS</v>
          </cell>
          <cell r="F554" t="str">
            <v>ahmad.yunus@bki.co.id</v>
          </cell>
          <cell r="G554" t="str">
            <v>081546035147</v>
          </cell>
          <cell r="H554" t="str">
            <v>-</v>
          </cell>
          <cell r="I554">
            <v>100000</v>
          </cell>
          <cell r="J554">
            <v>1020833</v>
          </cell>
        </row>
        <row r="555">
          <cell r="B555" t="str">
            <v>NAILA IZNA DZAKIA</v>
          </cell>
          <cell r="C555" t="str">
            <v>DIVISI PENGADAAN, UMUM DAN MANAJEMEN ASET</v>
          </cell>
          <cell r="D555" t="str">
            <v>DIVISI PENGADAAN, UMUM DAN MANAJEMEN ASET</v>
          </cell>
          <cell r="E555" t="str">
            <v>STAF DUKUNGAN BISNIS</v>
          </cell>
          <cell r="F555" t="str">
            <v>naila.izna@bki.co.id</v>
          </cell>
          <cell r="G555" t="str">
            <v>081294482759</v>
          </cell>
          <cell r="H555" t="str">
            <v>-</v>
          </cell>
          <cell r="I555">
            <v>0</v>
          </cell>
          <cell r="J555">
            <v>0</v>
          </cell>
        </row>
        <row r="556">
          <cell r="B556" t="str">
            <v>PUTRI KANA TAQIYYA</v>
          </cell>
          <cell r="C556" t="str">
            <v>DIVISI PENGADAAN, UMUM DAN MANAJEMEN ASET</v>
          </cell>
          <cell r="D556" t="str">
            <v>DIVISI PENGADAAN, UMUM DAN MANAJEMEN ASET</v>
          </cell>
          <cell r="E556" t="str">
            <v>STAF DUKUNGAN BISNIS</v>
          </cell>
          <cell r="F556" t="str">
            <v>putri.kana@bki.co.id</v>
          </cell>
          <cell r="G556" t="str">
            <v>087782205957</v>
          </cell>
          <cell r="H556" t="str">
            <v>-</v>
          </cell>
          <cell r="I556">
            <v>0</v>
          </cell>
          <cell r="J556">
            <v>0</v>
          </cell>
        </row>
        <row r="557">
          <cell r="B557" t="str">
            <v>THAZA FEBRIANTI</v>
          </cell>
          <cell r="C557" t="str">
            <v>DIVISI PENGADAAN, UMUM DAN MANAJEMEN ASET</v>
          </cell>
          <cell r="D557" t="str">
            <v>DIVISI PENGADAAN, UMUM DAN MANAJEMEN ASET</v>
          </cell>
          <cell r="E557" t="str">
            <v>STAF K3L</v>
          </cell>
          <cell r="F557" t="str">
            <v>thaza.febrianti@bki.co.id</v>
          </cell>
          <cell r="G557" t="str">
            <v>085770180233</v>
          </cell>
          <cell r="H557" t="str">
            <v>-</v>
          </cell>
          <cell r="I557">
            <v>0</v>
          </cell>
          <cell r="J557">
            <v>0</v>
          </cell>
        </row>
        <row r="558">
          <cell r="B558" t="str">
            <v>ZULFIKAR MA'RIFATULLAH</v>
          </cell>
          <cell r="C558" t="str">
            <v>DIVISI PENGADAAN, UMUM DAN MANAJEMEN ASET</v>
          </cell>
          <cell r="D558" t="str">
            <v>DIVISI PENGADAAN, UMUM DAN MANAJEMEN ASET IDS</v>
          </cell>
          <cell r="E558" t="str">
            <v>ANALIS MANAJEMEN ASET</v>
          </cell>
          <cell r="F558" t="str">
            <v>zulfikar@bki.co.id</v>
          </cell>
          <cell r="G558" t="str">
            <v>085780368471</v>
          </cell>
          <cell r="H558" t="str">
            <v>5A</v>
          </cell>
          <cell r="I558">
            <v>0</v>
          </cell>
          <cell r="J558">
            <v>0</v>
          </cell>
        </row>
        <row r="559">
          <cell r="B559" t="str">
            <v>TEGUH ANDANI</v>
          </cell>
          <cell r="C559" t="str">
            <v>DIVISI PENGADAAN, UMUM DAN MANAJEMEN ASET</v>
          </cell>
          <cell r="D559" t="str">
            <v>DIVISI PENGADAAN, UMUM DAN MANAJEMEN ASET IDS</v>
          </cell>
          <cell r="E559" t="str">
            <v>ANALIS MANAJEMEN VENDOR</v>
          </cell>
          <cell r="F559" t="str">
            <v>teguh.andani@bki.co.id</v>
          </cell>
          <cell r="G559" t="str">
            <v>0899 9717 333</v>
          </cell>
          <cell r="H559" t="str">
            <v>5A</v>
          </cell>
          <cell r="I559">
            <v>250000</v>
          </cell>
          <cell r="J559">
            <v>9019189</v>
          </cell>
        </row>
        <row r="560">
          <cell r="B560" t="str">
            <v>MOHAMMAD HASAN</v>
          </cell>
          <cell r="C560" t="str">
            <v>DIVISI PENGADAAN, UMUM DAN MANAJEMEN ASET</v>
          </cell>
          <cell r="D560" t="str">
            <v>DIVISI PENGADAAN, UMUM DAN MANAJEMEN ASET IDS</v>
          </cell>
          <cell r="E560" t="str">
            <v>SENIOR MANAGER PENGADAAN</v>
          </cell>
          <cell r="F560" t="str">
            <v>mohammad.hasan@bki.co.id</v>
          </cell>
          <cell r="G560" t="str">
            <v>081318923011</v>
          </cell>
          <cell r="H560" t="str">
            <v>7A</v>
          </cell>
          <cell r="I560">
            <v>150000</v>
          </cell>
          <cell r="J560">
            <v>13910000</v>
          </cell>
        </row>
        <row r="561">
          <cell r="B561" t="str">
            <v>ADITYA PUTRI ANGGRAINI</v>
          </cell>
          <cell r="C561" t="str">
            <v>DIVISI PENGADAAN, UMUM DAN MANAJEMEN ASET</v>
          </cell>
          <cell r="D561" t="str">
            <v>DIVISI PENGADAAN, UMUM DAN MANAJEMEN ASET IDS</v>
          </cell>
          <cell r="E561" t="str">
            <v>SENIOR MANAGER MANAJEMEN ASET</v>
          </cell>
          <cell r="F561" t="str">
            <v>aditya.putri@bki.co.id</v>
          </cell>
          <cell r="G561" t="str">
            <v>085956733395</v>
          </cell>
          <cell r="H561" t="str">
            <v>7A</v>
          </cell>
          <cell r="I561">
            <v>150000</v>
          </cell>
          <cell r="J561">
            <v>0</v>
          </cell>
        </row>
        <row r="562">
          <cell r="B562" t="str">
            <v>ANDRI SURYAWAN</v>
          </cell>
          <cell r="C562" t="str">
            <v>DIVISI PENGADAAN, UMUM DAN MANAJEMEN ASET</v>
          </cell>
          <cell r="D562" t="str">
            <v>DIVISI PENGADAAN, UMUM DAN MANAJEMEN ASET IDS</v>
          </cell>
          <cell r="E562" t="str">
            <v>VP PENGADAAN UMUM DAN MANAJEMEN ASET</v>
          </cell>
          <cell r="F562" t="str">
            <v>andri.suryawan@bki.co.id</v>
          </cell>
          <cell r="G562" t="str">
            <v>081230471475</v>
          </cell>
          <cell r="H562" t="str">
            <v>8A</v>
          </cell>
          <cell r="I562">
            <v>350000</v>
          </cell>
          <cell r="J562">
            <v>4708150</v>
          </cell>
        </row>
        <row r="563">
          <cell r="B563" t="str">
            <v>NADIA LISTIYANI</v>
          </cell>
          <cell r="C563" t="str">
            <v>DIVISI PENGEMBANGAN KORPORAT</v>
          </cell>
          <cell r="D563" t="str">
            <v>DIVISI PENGEMBANGAN KORPORAT</v>
          </cell>
          <cell r="E563" t="str">
            <v>VP PENGEMBANGAN KORPORAT</v>
          </cell>
          <cell r="F563" t="str">
            <v>nadia.listiyani@bki.co.id</v>
          </cell>
          <cell r="G563" t="str">
            <v>083804387774</v>
          </cell>
          <cell r="H563" t="str">
            <v>8A</v>
          </cell>
          <cell r="I563">
            <v>350000</v>
          </cell>
          <cell r="J563">
            <v>0</v>
          </cell>
        </row>
        <row r="564">
          <cell r="B564" t="str">
            <v>SALMA FADHILAH WIDITYANI</v>
          </cell>
          <cell r="C564" t="str">
            <v>DIVISI PENGEMBANGAN KORPORAT</v>
          </cell>
          <cell r="D564" t="str">
            <v>DIVISI PENGEMBANGAN KORPORAT</v>
          </cell>
          <cell r="E564" t="str">
            <v>SPESIALIS PENGEMBANGAN KORPORAT</v>
          </cell>
          <cell r="F564" t="str">
            <v>salma.widityani@bki.co.id</v>
          </cell>
          <cell r="G564" t="str">
            <v>082219424908</v>
          </cell>
          <cell r="H564" t="str">
            <v>6A</v>
          </cell>
          <cell r="I564">
            <v>150000</v>
          </cell>
          <cell r="J564">
            <v>0</v>
          </cell>
        </row>
        <row r="565">
          <cell r="B565" t="str">
            <v>BUDI FITRIAWAN</v>
          </cell>
          <cell r="C565" t="str">
            <v>DIVISI PERENCANAAN DAN KEUANGAN KORPORAT</v>
          </cell>
          <cell r="D565" t="str">
            <v>DIVISI PERENCANAAN DAN KEUANGAN KORPORAT</v>
          </cell>
          <cell r="E565" t="str">
            <v>SENIOR MANAGER PERENCANAAN KORPORAT</v>
          </cell>
          <cell r="F565" t="str">
            <v>budi.fitriawan@bki.co.id</v>
          </cell>
          <cell r="G565" t="str">
            <v>081330119611</v>
          </cell>
          <cell r="H565" t="str">
            <v>7A</v>
          </cell>
          <cell r="I565">
            <v>250000</v>
          </cell>
          <cell r="J565">
            <v>0</v>
          </cell>
        </row>
        <row r="566">
          <cell r="B566" t="str">
            <v>SYAHLIR</v>
          </cell>
          <cell r="C566" t="str">
            <v>DIVISI PERENCANAAN DAN KEUANGAN KORPORAT</v>
          </cell>
          <cell r="D566" t="str">
            <v>DIVISI PERENCANAAN DAN KEUANGAN KORPORAT</v>
          </cell>
          <cell r="E566" t="str">
            <v>ANALIS KENDALI KEUANGAN</v>
          </cell>
          <cell r="F566" t="str">
            <v>syahril@bki.co.id</v>
          </cell>
          <cell r="G566" t="str">
            <v>0813 1142 0213</v>
          </cell>
          <cell r="H566" t="str">
            <v>5B</v>
          </cell>
          <cell r="I566">
            <v>250000</v>
          </cell>
          <cell r="J566">
            <v>2822700</v>
          </cell>
        </row>
        <row r="567">
          <cell r="B567" t="str">
            <v>THOMAS MAHENDRA</v>
          </cell>
          <cell r="C567" t="str">
            <v>DIVISI PERENCANAAN DAN KEUANGAN KORPORAT</v>
          </cell>
          <cell r="D567" t="str">
            <v>DIVISI PERENCANAAN DAN KEUANGAN KORPORAT</v>
          </cell>
          <cell r="E567" t="str">
            <v>OFFICER MANAJEMEN PROGRAM DAN KINERJA KORPORAT</v>
          </cell>
          <cell r="F567" t="str">
            <v>thomas.m@bki.co.id</v>
          </cell>
          <cell r="G567" t="str">
            <v>081288938107</v>
          </cell>
          <cell r="H567" t="str">
            <v>4B</v>
          </cell>
          <cell r="I567">
            <v>100000</v>
          </cell>
          <cell r="J567">
            <v>0</v>
          </cell>
        </row>
        <row r="568">
          <cell r="B568" t="str">
            <v>AGUNG PRASETYO</v>
          </cell>
          <cell r="C568" t="str">
            <v>DIVISI PERENCANAAN DAN KEUANGAN KORPORAT</v>
          </cell>
          <cell r="D568" t="str">
            <v>DIVISI PERENCANAAN DAN KEUANGAN KORPORAT</v>
          </cell>
          <cell r="E568" t="str">
            <v>OFFICER PERENCANAAN KORPORAT DAN KEUANGAN</v>
          </cell>
          <cell r="F568" t="str">
            <v>agung.prasetyo@bki.co.id</v>
          </cell>
          <cell r="G568" t="str">
            <v>081513393644</v>
          </cell>
          <cell r="H568" t="str">
            <v>4B</v>
          </cell>
          <cell r="I568">
            <v>100000</v>
          </cell>
          <cell r="J568">
            <v>0</v>
          </cell>
        </row>
        <row r="569">
          <cell r="B569" t="str">
            <v>DENY HARDIANSYAH</v>
          </cell>
          <cell r="C569" t="str">
            <v>DIVISI PERENCANAAN DAN KEUANGAN KORPORAT</v>
          </cell>
          <cell r="D569" t="str">
            <v>DIVISI PERENCANAAN DAN KEUANGAN KORPORAT</v>
          </cell>
          <cell r="E569" t="str">
            <v>SPESIALIS PERENCANAAN DAN KEUANGAN KORPORAT</v>
          </cell>
          <cell r="F569" t="str">
            <v>deny.hardiansyah@bki.co.id</v>
          </cell>
          <cell r="G569" t="str">
            <v>08563003646</v>
          </cell>
          <cell r="H569" t="str">
            <v>6A</v>
          </cell>
          <cell r="I569">
            <v>150000</v>
          </cell>
          <cell r="J569">
            <v>0</v>
          </cell>
        </row>
        <row r="570">
          <cell r="B570" t="str">
            <v>RIMA NOVEDIA BANGUN</v>
          </cell>
          <cell r="C570" t="str">
            <v>DIVISI PERENCANAAN KORPORAT DAN MANAJEMEN RISIKO</v>
          </cell>
          <cell r="D570" t="str">
            <v>DIVISI PERENCANAAN KORPORAT DAN MANAJEMEN RISIKO</v>
          </cell>
          <cell r="E570" t="str">
            <v>VP PERENCANAAN KORPORAT DAN MANAJEMEN RISIKO</v>
          </cell>
          <cell r="F570" t="str">
            <v>rima@bki.co.id</v>
          </cell>
          <cell r="G570">
            <v>0</v>
          </cell>
          <cell r="H570" t="str">
            <v>8A</v>
          </cell>
          <cell r="I570">
            <v>500000</v>
          </cell>
          <cell r="J570">
            <v>0</v>
          </cell>
        </row>
        <row r="571">
          <cell r="B571" t="str">
            <v>WARINI</v>
          </cell>
          <cell r="C571" t="str">
            <v>DIVISI PERENCANAAN KORPORAT DAN MANAJEMEN RISIKO</v>
          </cell>
          <cell r="D571" t="str">
            <v>DIVISI PERENCANAAN KORPORAT DAN MANAJEMEN RISIKO</v>
          </cell>
          <cell r="E571" t="str">
            <v>ANALIS MANAJEMEN RISIKO</v>
          </cell>
          <cell r="F571" t="str">
            <v>warini@bki.co.id</v>
          </cell>
          <cell r="G571" t="str">
            <v>081286000896</v>
          </cell>
          <cell r="H571" t="str">
            <v>5B</v>
          </cell>
          <cell r="I571">
            <v>150000</v>
          </cell>
          <cell r="J571">
            <v>0</v>
          </cell>
        </row>
        <row r="572">
          <cell r="B572" t="str">
            <v>ANOGI AKBAR ALI</v>
          </cell>
          <cell r="C572" t="str">
            <v>DIVISI PERENCANAAN KORPORAT DAN MANAJEMEN RISIKO</v>
          </cell>
          <cell r="D572" t="str">
            <v>DIVISI PERENCANAAN KORPORAT DAN MANAJEMEN RISIKO</v>
          </cell>
          <cell r="E572" t="str">
            <v>SPESIALIS SENIOR PERENCANAAN</v>
          </cell>
          <cell r="F572" t="str">
            <v>anogi@bki.co.id</v>
          </cell>
          <cell r="G572" t="str">
            <v>08881955514</v>
          </cell>
          <cell r="H572" t="str">
            <v>7B</v>
          </cell>
          <cell r="I572">
            <v>350000</v>
          </cell>
          <cell r="J572">
            <v>0</v>
          </cell>
        </row>
        <row r="573">
          <cell r="B573" t="str">
            <v>MOKHAMMAD FAKHRUR RIZAL</v>
          </cell>
          <cell r="C573" t="str">
            <v>DIVISI PERENCANAAN KORPORAT DAN MANAJEMEN RISIKO</v>
          </cell>
          <cell r="D573" t="str">
            <v>DIVISI PERENCANAAN KORPORAT DAN MANAJEMEN RISIKO</v>
          </cell>
          <cell r="E573" t="str">
            <v>SENIOR MANAGER PERENCANAAN KORPORAT</v>
          </cell>
          <cell r="F573" t="str">
            <v>m.fakhrur@bki.co.id</v>
          </cell>
          <cell r="G573" t="str">
            <v>0812 7889 0138</v>
          </cell>
          <cell r="H573" t="str">
            <v>7B</v>
          </cell>
          <cell r="I573">
            <v>0</v>
          </cell>
          <cell r="J573">
            <v>0</v>
          </cell>
        </row>
        <row r="574">
          <cell r="B574" t="str">
            <v>MUHAMMAD ADITYO NUGROHO</v>
          </cell>
          <cell r="C574" t="str">
            <v>DIVISI PERENCANAAN KORPORAT DAN MANAJEMEN RISIKO</v>
          </cell>
          <cell r="D574" t="str">
            <v>DIVISI PERENCANAAN KORPORAT DAN MANAJEMEN RISIKO</v>
          </cell>
          <cell r="E574" t="str">
            <v>SENIOR MANAGER MANAJEMEN RISIKO DAN KEBERLANJUTAN</v>
          </cell>
          <cell r="F574" t="str">
            <v>m.adityo@bki.co.id</v>
          </cell>
          <cell r="G574" t="str">
            <v>081257363863</v>
          </cell>
          <cell r="H574" t="str">
            <v>7A</v>
          </cell>
          <cell r="I574">
            <v>150000</v>
          </cell>
          <cell r="J574">
            <v>0</v>
          </cell>
        </row>
        <row r="575">
          <cell r="B575" t="str">
            <v>DWI CAHYA KURNIAWANI</v>
          </cell>
          <cell r="C575" t="str">
            <v>DIVISI PERENCANAAN KORPORAT DAN MANAJEMEN RISIKO</v>
          </cell>
          <cell r="D575" t="str">
            <v>DIVISI PERENCANAAN KORPORAT DAN MANAJEMEN RISIKO</v>
          </cell>
          <cell r="E575" t="str">
            <v>SPESIALIS MANAJEMEN RISIKO</v>
          </cell>
          <cell r="F575" t="str">
            <v>dwi.ck@bki.co.id</v>
          </cell>
          <cell r="G575" t="str">
            <v>08561866589</v>
          </cell>
          <cell r="H575" t="str">
            <v>6A</v>
          </cell>
          <cell r="I575">
            <v>150000</v>
          </cell>
          <cell r="J575">
            <v>3510416</v>
          </cell>
        </row>
        <row r="576">
          <cell r="B576" t="str">
            <v>DEDE MA'MUN SUMANTRI</v>
          </cell>
          <cell r="C576" t="str">
            <v>DIVISI PERENCANAAN KORPORAT DAN MANAJEMEN RISIKO</v>
          </cell>
          <cell r="D576" t="str">
            <v>DIVISI PERENCANAAN KORPORAT DAN MANAJEMEN RISIKO</v>
          </cell>
          <cell r="E576" t="str">
            <v>ANALIS PERENCANAAN</v>
          </cell>
          <cell r="F576" t="str">
            <v>dede@bki.co.id</v>
          </cell>
          <cell r="G576" t="str">
            <v>081285857958</v>
          </cell>
          <cell r="H576" t="str">
            <v>5C</v>
          </cell>
          <cell r="I576">
            <v>250000</v>
          </cell>
          <cell r="J576">
            <v>18366992</v>
          </cell>
        </row>
        <row r="577">
          <cell r="B577" t="str">
            <v>REGIYAN DRININ KAWASUGI</v>
          </cell>
          <cell r="C577" t="str">
            <v>DIVISI PERENCANAAN KORPORAT DAN MANAJEMEN RISIKO</v>
          </cell>
          <cell r="D577" t="str">
            <v>DIVISI PERENCANAAN KORPORAT DAN MANAJEMEN RISIKO</v>
          </cell>
          <cell r="E577" t="str">
            <v>OFFICER PERENCANAAN</v>
          </cell>
          <cell r="F577" t="str">
            <v>regiyan.dk@bki.co.id</v>
          </cell>
          <cell r="G577" t="str">
            <v>082231155448</v>
          </cell>
          <cell r="H577" t="str">
            <v>4B</v>
          </cell>
          <cell r="I577">
            <v>100000</v>
          </cell>
          <cell r="J577">
            <v>0</v>
          </cell>
        </row>
        <row r="578">
          <cell r="B578" t="str">
            <v>MUHAMMAD RAFI AMRULLAH</v>
          </cell>
          <cell r="C578" t="str">
            <v>DIVISI PERENCANAAN KORPORAT DAN MANAJEMEN RISIKO</v>
          </cell>
          <cell r="D578" t="str">
            <v>DIVISI PERENCANAAN KORPORAT DAN MANAJEMEN RISIKO</v>
          </cell>
          <cell r="E578" t="str">
            <v>OFFICER PERENCANAAN</v>
          </cell>
          <cell r="F578" t="str">
            <v>m.rafi@bki.co.id</v>
          </cell>
          <cell r="H578" t="str">
            <v>4B</v>
          </cell>
          <cell r="I578">
            <v>100000</v>
          </cell>
          <cell r="J578">
            <v>0</v>
          </cell>
        </row>
        <row r="579">
          <cell r="B579" t="str">
            <v>ELVIRA ANGGRAINI KUSUMAPUTRI</v>
          </cell>
          <cell r="C579" t="str">
            <v>DIVISI PERENCANAAN KORPORAT DAN MANAJEMEN RISIKO</v>
          </cell>
          <cell r="D579" t="str">
            <v>DIVISI PERENCANAAN KORPORAT DAN MANAJEMEN RISIKO</v>
          </cell>
          <cell r="E579" t="str">
            <v>OFFICER MANAJEMEN RISIKO</v>
          </cell>
          <cell r="F579" t="str">
            <v>elvira.ak@bki.co.id</v>
          </cell>
          <cell r="H579" t="str">
            <v>4A</v>
          </cell>
          <cell r="I579">
            <v>100000</v>
          </cell>
          <cell r="J579">
            <v>0</v>
          </cell>
        </row>
        <row r="580">
          <cell r="B580" t="str">
            <v>MARIYANA ASTRI FANDANI</v>
          </cell>
          <cell r="C580" t="str">
            <v>DIVISI PERENCANAAN KORPORAT DAN MANAJEMEN RISIKO</v>
          </cell>
          <cell r="D580" t="str">
            <v>DIVISI PERENCANAAN KORPORAT DAN MANAJEMEN RISIKO</v>
          </cell>
          <cell r="E580" t="str">
            <v>STAF DUKUNGAN BISNIS</v>
          </cell>
          <cell r="F580" t="str">
            <v>mariyana.af@bki.co.id</v>
          </cell>
          <cell r="G580" t="str">
            <v>083849522432</v>
          </cell>
          <cell r="H580" t="str">
            <v>-</v>
          </cell>
          <cell r="I580">
            <v>100000</v>
          </cell>
          <cell r="J580">
            <v>0</v>
          </cell>
        </row>
        <row r="581">
          <cell r="B581" t="str">
            <v>ARDHIANTI NOVIANDITA</v>
          </cell>
          <cell r="C581" t="str">
            <v>DIVISI PERENCANAAN KORPORAT DAN MANAJEMEN RISIKO</v>
          </cell>
          <cell r="D581" t="str">
            <v>DIVISI PERENCANAAN KORPORAT DAN MANAJEMEN RISIKO</v>
          </cell>
          <cell r="E581" t="str">
            <v>STAF DUKUNGAN BISNIS</v>
          </cell>
          <cell r="F581" t="str">
            <v>ardhianti.n@bki.co.id</v>
          </cell>
          <cell r="G581" t="str">
            <v>087727138487</v>
          </cell>
          <cell r="H581" t="str">
            <v>-</v>
          </cell>
          <cell r="I581">
            <v>100000</v>
          </cell>
          <cell r="J581">
            <v>0</v>
          </cell>
        </row>
        <row r="582">
          <cell r="B582" t="str">
            <v>GOFUR SIDDIQ RINO HADI</v>
          </cell>
          <cell r="C582" t="str">
            <v>DIVISI PERENCANAAN KORPORAT DAN MANAJEMEN RISIKO</v>
          </cell>
          <cell r="D582" t="str">
            <v>DIVISI PERENCANAAN KORPORAT DAN MANAJEMEN RISIKO</v>
          </cell>
          <cell r="E582" t="str">
            <v>STAF DUKUNGAN BISNIS</v>
          </cell>
          <cell r="F582" t="str">
            <v>gofur.siddiq@bki.co.id</v>
          </cell>
          <cell r="G582" t="str">
            <v>085774259663</v>
          </cell>
          <cell r="H582" t="str">
            <v>-</v>
          </cell>
          <cell r="I582">
            <v>0</v>
          </cell>
          <cell r="J582">
            <v>0</v>
          </cell>
        </row>
        <row r="583">
          <cell r="B583" t="str">
            <v>MOCHAMMAD ZAKY</v>
          </cell>
          <cell r="C583" t="str">
            <v>DIVISI PERSETUJUAN RANCANG BANGUN</v>
          </cell>
          <cell r="D583" t="str">
            <v>DIVISI PERSETUJUAN RANCANG BANGUN</v>
          </cell>
          <cell r="E583" t="str">
            <v>SENIOR MANAGER STATUTORIA</v>
          </cell>
          <cell r="F583" t="str">
            <v>zaky@bki.co.id</v>
          </cell>
          <cell r="G583" t="str">
            <v>082147338829</v>
          </cell>
          <cell r="H583" t="str">
            <v>7B</v>
          </cell>
          <cell r="I583">
            <v>350000</v>
          </cell>
          <cell r="J583">
            <v>5510000</v>
          </cell>
        </row>
        <row r="584">
          <cell r="B584" t="str">
            <v>RIZAL FEBRIANTO</v>
          </cell>
          <cell r="C584" t="str">
            <v>DIVISI PERSETUJUAN RANCANG BANGUN</v>
          </cell>
          <cell r="D584" t="str">
            <v>DIVISI PERSETUJUAN RANCANG BANGUN</v>
          </cell>
          <cell r="E584" t="str">
            <v>ADMINISTRATOR</v>
          </cell>
          <cell r="F584" t="str">
            <v>rizal.febrianto@bki.co.id</v>
          </cell>
          <cell r="G584" t="str">
            <v>0812 1803 1501</v>
          </cell>
          <cell r="H584" t="str">
            <v>2A</v>
          </cell>
          <cell r="I584">
            <v>0</v>
          </cell>
          <cell r="J584">
            <v>0</v>
          </cell>
        </row>
        <row r="585">
          <cell r="B585" t="str">
            <v>FIVID RIVANTORO</v>
          </cell>
          <cell r="C585" t="str">
            <v>DIVISI PERSETUJUAN RANCANG BANGUN</v>
          </cell>
          <cell r="D585" t="str">
            <v>DIVISI PERSETUJUAN RANCANG BANGUN</v>
          </cell>
          <cell r="E585" t="str">
            <v>ENGINEER PERMESINAN</v>
          </cell>
          <cell r="F585" t="str">
            <v>fivid.rivantoro@bki.co.id</v>
          </cell>
          <cell r="G585" t="str">
            <v>0857 3611 1447</v>
          </cell>
          <cell r="H585" t="str">
            <v>5C</v>
          </cell>
          <cell r="I585">
            <v>0</v>
          </cell>
          <cell r="J585">
            <v>0</v>
          </cell>
        </row>
        <row r="586">
          <cell r="B586" t="str">
            <v>ADAM PERDANA PUTERA</v>
          </cell>
          <cell r="C586" t="str">
            <v>DIVISI PERSETUJUAN RANCANG BANGUN</v>
          </cell>
          <cell r="D586" t="str">
            <v>DIVISI PERSETUJUAN RANCANG BANGUN</v>
          </cell>
          <cell r="E586" t="str">
            <v>ENGINEER STATUTORIA</v>
          </cell>
          <cell r="F586" t="str">
            <v>adam@bki.co.id</v>
          </cell>
          <cell r="G586" t="str">
            <v>0856 4851 9575</v>
          </cell>
          <cell r="H586" t="str">
            <v>5C</v>
          </cell>
          <cell r="I586">
            <v>0</v>
          </cell>
          <cell r="J586">
            <v>0</v>
          </cell>
        </row>
        <row r="587">
          <cell r="B587" t="str">
            <v>BAMBANG FIRDIANSYAH HADI KUSUMA</v>
          </cell>
          <cell r="C587" t="str">
            <v>DIVISI PERSETUJUAN RANCANG BANGUN</v>
          </cell>
          <cell r="D587" t="str">
            <v>DIVISI PERSETUJUAN RANCANG BANGUN</v>
          </cell>
          <cell r="E587" t="str">
            <v>ENGINEER STRUKTUR</v>
          </cell>
          <cell r="F587" t="str">
            <v>bambangfhk@bki.co.id</v>
          </cell>
          <cell r="G587" t="str">
            <v>082298394795</v>
          </cell>
          <cell r="H587" t="str">
            <v>5C</v>
          </cell>
          <cell r="I587">
            <v>0</v>
          </cell>
          <cell r="J587">
            <v>0</v>
          </cell>
        </row>
        <row r="588">
          <cell r="B588" t="str">
            <v>KRISHNA WIJAYADI</v>
          </cell>
          <cell r="C588" t="str">
            <v>DIVISI PERSETUJUAN RANCANG BANGUN</v>
          </cell>
          <cell r="D588" t="str">
            <v>DIVISI PERSETUJUAN RANCANG BANGUN</v>
          </cell>
          <cell r="E588" t="str">
            <v>ENGINEER SENIOR II B KELISTRIKAN</v>
          </cell>
          <cell r="F588" t="str">
            <v>krishna@bki.co.id</v>
          </cell>
          <cell r="G588" t="str">
            <v>0811903524</v>
          </cell>
          <cell r="H588" t="str">
            <v>7B</v>
          </cell>
          <cell r="I588">
            <v>250000</v>
          </cell>
          <cell r="J588">
            <v>0</v>
          </cell>
        </row>
        <row r="589">
          <cell r="B589" t="str">
            <v>HIJRAWATI MUHTAR</v>
          </cell>
          <cell r="C589" t="str">
            <v>DIVISI PERSETUJUAN RANCANG BANGUN</v>
          </cell>
          <cell r="D589" t="str">
            <v>DIVISI PERSETUJUAN RANCANG BANGUN</v>
          </cell>
          <cell r="E589" t="str">
            <v>ENGINEER SENIOR I B PERMESINAN</v>
          </cell>
          <cell r="F589" t="str">
            <v>hijrawati@bki.co.id</v>
          </cell>
          <cell r="G589" t="str">
            <v>081213142925</v>
          </cell>
          <cell r="H589" t="str">
            <v>6B</v>
          </cell>
          <cell r="I589">
            <v>250000</v>
          </cell>
          <cell r="J589">
            <v>0</v>
          </cell>
        </row>
        <row r="590">
          <cell r="B590" t="str">
            <v>DWIANA GALUH LISTIYARINI</v>
          </cell>
          <cell r="C590" t="str">
            <v>DIVISI PERSETUJUAN RANCANG BANGUN</v>
          </cell>
          <cell r="D590" t="str">
            <v>DIVISI PERSETUJUAN RANCANG BANGUN</v>
          </cell>
          <cell r="E590" t="str">
            <v>ENGINEER SENIOR I C STRUKTUR</v>
          </cell>
          <cell r="F590" t="str">
            <v>dwiana@bki.co.id</v>
          </cell>
          <cell r="G590" t="str">
            <v>085645468365</v>
          </cell>
          <cell r="H590" t="str">
            <v>6C</v>
          </cell>
          <cell r="I590">
            <v>250000</v>
          </cell>
          <cell r="J590">
            <v>0</v>
          </cell>
        </row>
        <row r="591">
          <cell r="B591" t="str">
            <v>LIDYA SALIM</v>
          </cell>
          <cell r="C591" t="str">
            <v>DIVISI PERSETUJUAN RANCANG BANGUN</v>
          </cell>
          <cell r="D591" t="str">
            <v>DIVISI PERSETUJUAN RANCANG BANGUN</v>
          </cell>
          <cell r="E591" t="str">
            <v>ENGINEER SENIOR I B STATUTORIA</v>
          </cell>
          <cell r="F591" t="str">
            <v>lidsalim@bki.co.id</v>
          </cell>
          <cell r="G591" t="str">
            <v>081911002040</v>
          </cell>
          <cell r="H591" t="str">
            <v>6B</v>
          </cell>
          <cell r="I591">
            <v>0</v>
          </cell>
          <cell r="J591">
            <v>0</v>
          </cell>
        </row>
        <row r="592">
          <cell r="B592" t="str">
            <v>AKHMAD SYARIFUL ANWAR</v>
          </cell>
          <cell r="C592" t="str">
            <v>DIVISI PERSETUJUAN RANCANG BANGUN</v>
          </cell>
          <cell r="D592" t="str">
            <v>DIVISI PERSETUJUAN RANCANG BANGUN</v>
          </cell>
          <cell r="E592" t="str">
            <v>ENGINEER SENIOR I B STATUTORIA</v>
          </cell>
          <cell r="F592" t="str">
            <v>akhmad@bki.co.id</v>
          </cell>
          <cell r="G592" t="str">
            <v>081212429955</v>
          </cell>
          <cell r="H592" t="str">
            <v>6B</v>
          </cell>
          <cell r="I592">
            <v>0</v>
          </cell>
          <cell r="J592">
            <v>0</v>
          </cell>
        </row>
        <row r="593">
          <cell r="B593" t="str">
            <v>FAULINCIA</v>
          </cell>
          <cell r="C593" t="str">
            <v>DIVISI PERSETUJUAN RANCANG BANGUN</v>
          </cell>
          <cell r="D593" t="str">
            <v>DIVISI PERSETUJUAN RANCANG BANGUN</v>
          </cell>
          <cell r="E593" t="str">
            <v>ENGINEER KELISTRIKAN</v>
          </cell>
          <cell r="F593" t="str">
            <v>faulincia@bki.co.id</v>
          </cell>
          <cell r="G593" t="str">
            <v>082215497510</v>
          </cell>
          <cell r="H593" t="str">
            <v>5C</v>
          </cell>
          <cell r="I593">
            <v>250000</v>
          </cell>
          <cell r="J593">
            <v>0</v>
          </cell>
        </row>
        <row r="594">
          <cell r="B594" t="str">
            <v>DIAN FEBRIAN</v>
          </cell>
          <cell r="C594" t="str">
            <v>DIVISI PERSETUJUAN RANCANG BANGUN</v>
          </cell>
          <cell r="D594" t="str">
            <v>DIVISI PERSETUJUAN RANCANG BANGUN</v>
          </cell>
          <cell r="E594" t="str">
            <v>ENGINEER STATUTORIA</v>
          </cell>
          <cell r="F594" t="str">
            <v>dian.febrian@bki.co.id</v>
          </cell>
          <cell r="G594" t="str">
            <v>085236584487</v>
          </cell>
          <cell r="H594" t="str">
            <v>5C</v>
          </cell>
          <cell r="I594">
            <v>250000</v>
          </cell>
          <cell r="J594">
            <v>0</v>
          </cell>
        </row>
        <row r="595">
          <cell r="B595" t="str">
            <v>BAMBANG SUGIONO</v>
          </cell>
          <cell r="C595" t="str">
            <v>DIVISI PERSETUJUAN RANCANG BANGUN</v>
          </cell>
          <cell r="D595" t="str">
            <v>DIVISI PERSETUJUAN RANCANG BANGUN</v>
          </cell>
          <cell r="E595" t="str">
            <v>SENIOR MANAGER LAMBUNG DAN MATERIAL</v>
          </cell>
          <cell r="F595" t="str">
            <v>b.sugiono@bki.co.id</v>
          </cell>
          <cell r="G595" t="str">
            <v>08129485285</v>
          </cell>
          <cell r="H595" t="str">
            <v>7C</v>
          </cell>
          <cell r="I595">
            <v>0</v>
          </cell>
          <cell r="J595">
            <v>0</v>
          </cell>
        </row>
        <row r="596">
          <cell r="B596" t="str">
            <v>ANDI NURALIM KAMAL</v>
          </cell>
          <cell r="C596" t="str">
            <v>DIVISI PERSETUJUAN RANCANG BANGUN</v>
          </cell>
          <cell r="D596" t="str">
            <v>DIVISI PERSETUJUAN RANCANG BANGUN</v>
          </cell>
          <cell r="E596" t="str">
            <v>VP PERSETUJUAN RANCANG BANGUN</v>
          </cell>
          <cell r="F596" t="str">
            <v>andi.nuralim@bki.co.id</v>
          </cell>
          <cell r="G596" t="str">
            <v>0813 4264 7979</v>
          </cell>
          <cell r="H596" t="str">
            <v>8B</v>
          </cell>
          <cell r="I596">
            <v>350000</v>
          </cell>
          <cell r="J596">
            <v>0</v>
          </cell>
        </row>
        <row r="597">
          <cell r="B597" t="str">
            <v>HERI SISWANTO</v>
          </cell>
          <cell r="C597" t="str">
            <v>DIVISI PERSETUJUAN RANCANG BANGUN</v>
          </cell>
          <cell r="D597" t="str">
            <v>DIVISI PERSETUJUAN RANCANG BANGUN</v>
          </cell>
          <cell r="E597" t="str">
            <v>ENGINEER SENIOR I STRUKTUR</v>
          </cell>
          <cell r="F597" t="str">
            <v>heri.siswanto@bki.co.id</v>
          </cell>
          <cell r="G597" t="str">
            <v>082126022448</v>
          </cell>
          <cell r="H597" t="str">
            <v>6C</v>
          </cell>
          <cell r="I597">
            <v>0</v>
          </cell>
          <cell r="J597">
            <v>0</v>
          </cell>
        </row>
        <row r="598">
          <cell r="B598" t="str">
            <v>FAHMI</v>
          </cell>
          <cell r="C598" t="str">
            <v>DIVISI PERSETUJUAN RANCANG BANGUN</v>
          </cell>
          <cell r="D598" t="str">
            <v>DIVISI PERSETUJUAN RANCANG BANGUN</v>
          </cell>
          <cell r="E598" t="str">
            <v>ENGINEER SENIOR II B STATUTORIA</v>
          </cell>
          <cell r="F598" t="str">
            <v>fahmi@bki.co.id</v>
          </cell>
          <cell r="G598" t="str">
            <v>081341111966</v>
          </cell>
          <cell r="H598" t="str">
            <v>7B</v>
          </cell>
          <cell r="I598">
            <v>250000</v>
          </cell>
          <cell r="J598">
            <v>0</v>
          </cell>
        </row>
        <row r="599">
          <cell r="B599" t="str">
            <v>SONY ANGGARA</v>
          </cell>
          <cell r="C599" t="str">
            <v>DIVISI PERSETUJUAN RANCANG BANGUN</v>
          </cell>
          <cell r="D599" t="str">
            <v>DIVISI PERSETUJUAN RANCANG BANGUN</v>
          </cell>
          <cell r="E599" t="str">
            <v>ENGINEER STATUTORIA</v>
          </cell>
          <cell r="F599" t="str">
            <v>sony.anggara@bki.co.id</v>
          </cell>
          <cell r="G599" t="str">
            <v>083831283260</v>
          </cell>
          <cell r="H599" t="str">
            <v>5C</v>
          </cell>
          <cell r="I599">
            <v>0</v>
          </cell>
          <cell r="J599">
            <v>0</v>
          </cell>
        </row>
        <row r="600">
          <cell r="B600" t="str">
            <v>WAHIDIN</v>
          </cell>
          <cell r="C600" t="str">
            <v>DIVISI PERSETUJUAN RANCANG BANGUN</v>
          </cell>
          <cell r="D600" t="str">
            <v>DIVISI PERSETUJUAN RANCANG BANGUN</v>
          </cell>
          <cell r="E600" t="str">
            <v>ADMINISTRATOR SENIOR</v>
          </cell>
          <cell r="F600" t="str">
            <v>wahidin@bki.co.id</v>
          </cell>
          <cell r="G600" t="str">
            <v>081381145600</v>
          </cell>
          <cell r="H600" t="str">
            <v>3B</v>
          </cell>
          <cell r="I600">
            <v>150000</v>
          </cell>
          <cell r="J600">
            <v>6939841</v>
          </cell>
        </row>
        <row r="601">
          <cell r="B601" t="str">
            <v>TAUFIK AKBAR</v>
          </cell>
          <cell r="C601" t="str">
            <v>DIVISI PERSETUJUAN RANCANG BANGUN</v>
          </cell>
          <cell r="D601" t="str">
            <v>DIVISI PERSETUJUAN RANCANG BANGUN</v>
          </cell>
          <cell r="E601" t="str">
            <v>SENIOR MANAGER MESIN, LISTRIK, KOMPONEN DAN PENYEDIA JASA</v>
          </cell>
          <cell r="F601" t="str">
            <v>taufik.akbar@bki.co.id</v>
          </cell>
          <cell r="G601" t="str">
            <v>083857304689</v>
          </cell>
          <cell r="H601" t="str">
            <v>7B</v>
          </cell>
          <cell r="I601">
            <v>250000</v>
          </cell>
          <cell r="J601">
            <v>0</v>
          </cell>
        </row>
        <row r="602">
          <cell r="B602" t="str">
            <v>ADE NURSAL</v>
          </cell>
          <cell r="C602" t="str">
            <v>DIVISI PERSETUJUAN RANCANG BANGUN</v>
          </cell>
          <cell r="D602" t="str">
            <v>DIVISI PERSETUJUAN RANCANG BANGUN</v>
          </cell>
          <cell r="E602" t="str">
            <v>ENGINEER MATERIAL</v>
          </cell>
          <cell r="F602" t="str">
            <v>ade.nursal@bki.co.id</v>
          </cell>
          <cell r="G602" t="str">
            <v>0812 9133 0022</v>
          </cell>
          <cell r="H602" t="str">
            <v>5C</v>
          </cell>
          <cell r="I602">
            <v>0</v>
          </cell>
          <cell r="J602">
            <v>0</v>
          </cell>
        </row>
        <row r="603">
          <cell r="B603" t="str">
            <v>TULUS SETIYAWAN WASI KUNTORO</v>
          </cell>
          <cell r="C603" t="str">
            <v>DIVISI PERSETUJUAN RANCANG BANGUN</v>
          </cell>
          <cell r="D603" t="str">
            <v>DIVISI PERSETUJUAN RANCANG BANGUN</v>
          </cell>
          <cell r="E603" t="str">
            <v>ENGINEER STATUTORIA</v>
          </cell>
          <cell r="F603" t="str">
            <v>tulus.setia@bki.co.id</v>
          </cell>
          <cell r="G603">
            <v>0</v>
          </cell>
          <cell r="H603" t="str">
            <v>5C</v>
          </cell>
          <cell r="I603">
            <v>0</v>
          </cell>
          <cell r="J603">
            <v>0</v>
          </cell>
        </row>
        <row r="604">
          <cell r="B604" t="str">
            <v>NOMO PRIHASTA</v>
          </cell>
          <cell r="C604" t="str">
            <v>DIVISI PERSETUJUAN RANCANG BANGUN</v>
          </cell>
          <cell r="D604" t="str">
            <v>DIVISI PERSETUJUAN RANCANG BANGUN</v>
          </cell>
          <cell r="E604" t="str">
            <v>ENGINEER STATUTORIA</v>
          </cell>
          <cell r="F604" t="str">
            <v>nomo.prihasta@bki.co.id</v>
          </cell>
          <cell r="G604" t="str">
            <v>0857 3280 0744</v>
          </cell>
          <cell r="H604" t="str">
            <v>5C</v>
          </cell>
          <cell r="I604">
            <v>250000</v>
          </cell>
          <cell r="J604">
            <v>0</v>
          </cell>
        </row>
        <row r="605">
          <cell r="B605" t="str">
            <v>MUHAMMAD RIKY ADHITAMA NUGRAHA</v>
          </cell>
          <cell r="C605" t="str">
            <v>DIVISI PERSETUJUAN RANCANG BANGUN</v>
          </cell>
          <cell r="D605" t="str">
            <v>DIVISI PERSETUJUAN RANCANG BANGUN</v>
          </cell>
          <cell r="E605" t="str">
            <v xml:space="preserve">ENGINEER JUNIOR STATUTORIA </v>
          </cell>
          <cell r="F605" t="str">
            <v>m.riky@bki.co.id</v>
          </cell>
          <cell r="H605" t="str">
            <v>4C</v>
          </cell>
          <cell r="I605">
            <v>0</v>
          </cell>
          <cell r="J605">
            <v>0</v>
          </cell>
        </row>
        <row r="606">
          <cell r="B606" t="str">
            <v>AFDHAL ALFENDRY</v>
          </cell>
          <cell r="C606" t="str">
            <v>DIVISI PERSETUJUAN RANCANG BANGUN</v>
          </cell>
          <cell r="D606" t="str">
            <v>DIVISI PERSETUJUAN RANCANG BANGUN</v>
          </cell>
          <cell r="E606" t="str">
            <v xml:space="preserve">ENGINEER JUNIOR STATUTORIA </v>
          </cell>
          <cell r="F606" t="str">
            <v>afdhal.al@bki.co.id</v>
          </cell>
          <cell r="H606" t="str">
            <v>4C</v>
          </cell>
          <cell r="I606">
            <v>0</v>
          </cell>
          <cell r="J606">
            <v>0</v>
          </cell>
        </row>
        <row r="607">
          <cell r="B607" t="str">
            <v>FARHAND ALLY FAHMI</v>
          </cell>
          <cell r="C607" t="str">
            <v>DIVISI PERSETUJUAN RANCANG BANGUN</v>
          </cell>
          <cell r="D607" t="str">
            <v>DIVISI PERSETUJUAN RANCANG BANGUN</v>
          </cell>
          <cell r="E607" t="str">
            <v xml:space="preserve">STAF ENGINEER </v>
          </cell>
          <cell r="F607" t="str">
            <v>farhand.af@bki.co.id</v>
          </cell>
          <cell r="G607" t="str">
            <v>088227005964</v>
          </cell>
          <cell r="H607" t="str">
            <v>-</v>
          </cell>
          <cell r="I607">
            <v>0</v>
          </cell>
          <cell r="J607">
            <v>0</v>
          </cell>
        </row>
        <row r="608">
          <cell r="B608" t="str">
            <v>DINAR RASTA FARA</v>
          </cell>
          <cell r="C608" t="str">
            <v>DIVISI PERSETUJUAN RANCANG BANGUN</v>
          </cell>
          <cell r="D608" t="str">
            <v>DIVISI PERSETUJUAN RANCANG BANGUN</v>
          </cell>
          <cell r="E608" t="str">
            <v>STAF PEMERIKSA PERSETUJUAN DOKUMEN LAMBUNG</v>
          </cell>
          <cell r="F608" t="str">
            <v>dinar.rf@bki.co.id</v>
          </cell>
          <cell r="H608" t="str">
            <v>-</v>
          </cell>
          <cell r="I608">
            <v>0</v>
          </cell>
          <cell r="J608">
            <v>0</v>
          </cell>
        </row>
        <row r="609">
          <cell r="B609" t="str">
            <v>DYAH ANGGRAENI AYUNINGTYAS</v>
          </cell>
          <cell r="C609" t="str">
            <v>DIVISI PERSETUJUAN RANCANG BANGUN</v>
          </cell>
          <cell r="D609" t="str">
            <v>DIVISI PERSETUJUAN RANCANG BANGUN</v>
          </cell>
          <cell r="E609" t="str">
            <v>STAF DUKUNGAN BISNIS</v>
          </cell>
          <cell r="F609" t="str">
            <v>dyah.anggraeni@bki.co.id</v>
          </cell>
          <cell r="G609" t="str">
            <v>082170111999</v>
          </cell>
          <cell r="H609" t="str">
            <v>-</v>
          </cell>
          <cell r="I609">
            <v>0</v>
          </cell>
          <cell r="J609">
            <v>0</v>
          </cell>
        </row>
        <row r="610">
          <cell r="B610" t="str">
            <v>SYAHRUL IRMANSYAH</v>
          </cell>
          <cell r="C610" t="str">
            <v>DIVISI PERSETUJUAN RANCANG BANGUN</v>
          </cell>
          <cell r="D610" t="str">
            <v>DIVISI PERSETUJUAN RANCANG BANGUN</v>
          </cell>
          <cell r="E610" t="str">
            <v>STAF PEMERIKSA PERSETUJUAN DOKUMEN LAMBUNG</v>
          </cell>
          <cell r="F610" t="str">
            <v>syahrul.irmansyah@bki.co.id</v>
          </cell>
          <cell r="H610" t="str">
            <v>-</v>
          </cell>
          <cell r="I610">
            <v>0</v>
          </cell>
          <cell r="J610">
            <v>0</v>
          </cell>
        </row>
        <row r="611">
          <cell r="B611" t="str">
            <v>LUTHFI AFRIZAL</v>
          </cell>
          <cell r="C611" t="str">
            <v>DIVISI PERSETUJUAN RANCANG BANGUN</v>
          </cell>
          <cell r="D611" t="str">
            <v>DIVISI PERSETUJUAN RANCANG BANGUN</v>
          </cell>
          <cell r="E611" t="str">
            <v>STAF ADMIN GAMBAR</v>
          </cell>
          <cell r="F611" t="str">
            <v>luthfi.afrizal@bki.co.id</v>
          </cell>
          <cell r="G611" t="str">
            <v>081215996378</v>
          </cell>
          <cell r="H611" t="str">
            <v>-</v>
          </cell>
          <cell r="I611">
            <v>0</v>
          </cell>
          <cell r="J611">
            <v>0</v>
          </cell>
        </row>
        <row r="612">
          <cell r="B612" t="str">
            <v>JUSAK SONANG FERRARI SIAHAAN</v>
          </cell>
          <cell r="C612" t="str">
            <v>DIVISI PERSETUJUAN RANCANG BANGUN</v>
          </cell>
          <cell r="D612" t="str">
            <v>DIVISI PERSETUJUAN RANCANG BANGUN</v>
          </cell>
          <cell r="E612" t="str">
            <v xml:space="preserve">STAF PEMERIKSA PERSETUJUAN DOKUMEN PERMESINAN </v>
          </cell>
          <cell r="F612" t="str">
            <v>jusak.sfs@bki.co.id</v>
          </cell>
          <cell r="H612">
            <v>0</v>
          </cell>
          <cell r="I612">
            <v>0</v>
          </cell>
          <cell r="J612">
            <v>0</v>
          </cell>
        </row>
        <row r="613">
          <cell r="B613" t="str">
            <v>PENNI DIAN</v>
          </cell>
          <cell r="C613" t="str">
            <v>DIVISI PERSETUJUAN RANCANG BANGUN</v>
          </cell>
          <cell r="D613" t="str">
            <v>DIVISI PERSETUJUAN RANCANG BANGUN</v>
          </cell>
          <cell r="E613" t="str">
            <v>STAF PEMERIKSA PERSETUJUAN DOKUMEN LAMBUNG TIMBUL &amp; STABILITAS</v>
          </cell>
          <cell r="F613" t="str">
            <v>Penni.Dian@bki.co.id</v>
          </cell>
          <cell r="H613">
            <v>0</v>
          </cell>
          <cell r="I613">
            <v>0</v>
          </cell>
          <cell r="J613">
            <v>0</v>
          </cell>
        </row>
        <row r="614">
          <cell r="B614" t="str">
            <v>RAMRAY ANANDA AMIR</v>
          </cell>
          <cell r="C614" t="str">
            <v>DIVISI PERSETUJUAN RANCANG BANGUN</v>
          </cell>
          <cell r="D614" t="str">
            <v>DIVISI PERSETUJUAN RANCANG BANGUN</v>
          </cell>
          <cell r="E614" t="str">
            <v>STAF PEMERIKSA PERSETUJUAN DOKUMEN LOAD LINE &amp; STABILITAS</v>
          </cell>
          <cell r="F614" t="str">
            <v>Ramray.aa@bki.co.id</v>
          </cell>
          <cell r="H614">
            <v>0</v>
          </cell>
          <cell r="I614">
            <v>0</v>
          </cell>
          <cell r="J614">
            <v>0</v>
          </cell>
        </row>
        <row r="615">
          <cell r="B615" t="str">
            <v>YOGA ARY LEKSONO</v>
          </cell>
          <cell r="C615" t="str">
            <v>DIVISI PERSETUJUAN RANCANG BANGUN</v>
          </cell>
          <cell r="D615" t="str">
            <v>DIVISI PERSETUJUAN RANCANG BANGUN</v>
          </cell>
          <cell r="E615" t="str">
            <v>Staf Pemeriksa Persetujuan Dokumen Mesin</v>
          </cell>
          <cell r="F615" t="str">
            <v>yoga.ary@bki.co.id</v>
          </cell>
          <cell r="H615" t="str">
            <v>-</v>
          </cell>
          <cell r="I615">
            <v>0</v>
          </cell>
          <cell r="J615">
            <v>0</v>
          </cell>
        </row>
        <row r="616">
          <cell r="B616" t="str">
            <v>AHMAD ZAKKY</v>
          </cell>
          <cell r="C616" t="str">
            <v>DIVISI PERSETUJUAN RANCANG BANGUN NUSANTARA</v>
          </cell>
          <cell r="D616" t="str">
            <v>DIVISI PERSETUJUAN RANCANG BANGUN NUSANTARA</v>
          </cell>
          <cell r="E616" t="str">
            <v>ENGINEER SENIOR I C STRUKTUR</v>
          </cell>
          <cell r="F616" t="str">
            <v>ahmad.zakky@bki.co.id</v>
          </cell>
          <cell r="G616" t="str">
            <v>085230183554</v>
          </cell>
          <cell r="H616" t="str">
            <v>6B</v>
          </cell>
          <cell r="I616">
            <v>0</v>
          </cell>
          <cell r="J616">
            <v>0</v>
          </cell>
        </row>
        <row r="617">
          <cell r="B617" t="str">
            <v>DENY CAHYO NUGROHO</v>
          </cell>
          <cell r="C617" t="str">
            <v>DIVISI PERSETUJUAN RANCANG BANGUN NUSANTARA</v>
          </cell>
          <cell r="D617" t="str">
            <v>DIVISI PERSETUJUAN RANCANG BANGUN NUSANTARA</v>
          </cell>
          <cell r="E617" t="str">
            <v>ENGINEER KELISTRIKAN</v>
          </cell>
          <cell r="F617" t="str">
            <v>deny.cn@bki.co.id</v>
          </cell>
          <cell r="G617" t="str">
            <v>0857 3000 0425</v>
          </cell>
          <cell r="H617" t="str">
            <v>5C</v>
          </cell>
          <cell r="I617">
            <v>250000</v>
          </cell>
          <cell r="J617">
            <v>0</v>
          </cell>
        </row>
        <row r="618">
          <cell r="B618" t="str">
            <v>FAHRUL NUR HIDAYAT</v>
          </cell>
          <cell r="C618" t="str">
            <v>DIVISI PERSETUJUAN RANCANG BANGUN NUSANTARA</v>
          </cell>
          <cell r="D618" t="str">
            <v>DIVISI PERSETUJUAN RANCANG BANGUN NUSANTARA</v>
          </cell>
          <cell r="E618" t="str">
            <v>ENGINEER PERMESINAN</v>
          </cell>
          <cell r="F618" t="str">
            <v>fahrulnurhidayat@bki.co.id</v>
          </cell>
          <cell r="G618" t="str">
            <v/>
          </cell>
          <cell r="H618" t="str">
            <v>5C</v>
          </cell>
          <cell r="I618">
            <v>250000</v>
          </cell>
          <cell r="J618">
            <v>0</v>
          </cell>
        </row>
        <row r="619">
          <cell r="B619" t="str">
            <v>NUR HASAN SIDIQ</v>
          </cell>
          <cell r="C619" t="str">
            <v>DIVISI PERSETUJUAN RANCANG BANGUN NUSANTARA</v>
          </cell>
          <cell r="D619" t="str">
            <v>DIVISI PERSETUJUAN RANCANG BANGUN NUSANTARA</v>
          </cell>
          <cell r="E619" t="str">
            <v>ENGINEER STRUKTUR</v>
          </cell>
          <cell r="F619" t="str">
            <v>nur.hs@bki.co.id</v>
          </cell>
          <cell r="G619" t="str">
            <v>081350843985</v>
          </cell>
          <cell r="H619" t="str">
            <v>5C</v>
          </cell>
          <cell r="I619">
            <v>0</v>
          </cell>
          <cell r="J619">
            <v>0</v>
          </cell>
        </row>
        <row r="620">
          <cell r="B620" t="str">
            <v>HATRI NINRA DAUD</v>
          </cell>
          <cell r="C620" t="str">
            <v>DIVISI PERSETUJUAN RANCANG BANGUN NUSANTARA</v>
          </cell>
          <cell r="D620" t="str">
            <v>DIVISI PERSETUJUAN RANCANG BANGUN NUSANTARA</v>
          </cell>
          <cell r="E620" t="str">
            <v>ENGINEER PERMESINAN</v>
          </cell>
          <cell r="F620" t="str">
            <v>hatri.nd@bki.co.id</v>
          </cell>
          <cell r="G620" t="str">
            <v>082154508033</v>
          </cell>
          <cell r="H620" t="str">
            <v>5C</v>
          </cell>
          <cell r="I620">
            <v>0</v>
          </cell>
          <cell r="J620">
            <v>0</v>
          </cell>
        </row>
        <row r="621">
          <cell r="B621" t="str">
            <v>HERU SUSILO BUDIMAN</v>
          </cell>
          <cell r="C621" t="str">
            <v>DIVISI PERSETUJUAN RANCANG BANGUN NUSANTARA</v>
          </cell>
          <cell r="D621" t="str">
            <v>DIVISI PERSETUJUAN RANCANG BANGUN NUSANTARA</v>
          </cell>
          <cell r="E621" t="str">
            <v>SENIOR MANAGER MESIN DAN LISTRIK NUSANTARA</v>
          </cell>
          <cell r="F621" t="str">
            <v>heru.sb@bki.co.id</v>
          </cell>
          <cell r="G621" t="str">
            <v>081282420046</v>
          </cell>
          <cell r="H621" t="str">
            <v>7B</v>
          </cell>
          <cell r="I621">
            <v>350000</v>
          </cell>
          <cell r="J621">
            <v>0</v>
          </cell>
        </row>
        <row r="622">
          <cell r="B622" t="str">
            <v>SEFIA HELMINA</v>
          </cell>
          <cell r="C622" t="str">
            <v>DIVISI PERSETUJUAN RANCANG BANGUN NUSANTARA</v>
          </cell>
          <cell r="D622" t="str">
            <v>DIVISI PERSETUJUAN RANCANG BANGUN NUSANTARA</v>
          </cell>
          <cell r="E622" t="str">
            <v>ENGINEER STRUKTUR</v>
          </cell>
          <cell r="F622" t="str">
            <v>sefia@bki.co.id</v>
          </cell>
          <cell r="G622" t="str">
            <v>082114021642</v>
          </cell>
          <cell r="H622" t="str">
            <v>5C</v>
          </cell>
          <cell r="I622">
            <v>250000</v>
          </cell>
          <cell r="J622">
            <v>0</v>
          </cell>
        </row>
        <row r="623">
          <cell r="B623" t="str">
            <v>RIYANTO</v>
          </cell>
          <cell r="C623" t="str">
            <v>DIVISI PERSETUJUAN RANCANG BANGUN NUSANTARA</v>
          </cell>
          <cell r="D623" t="str">
            <v>DIVISI PERSETUJUAN RANCANG BANGUN NUSANTARA</v>
          </cell>
          <cell r="E623" t="str">
            <v>ADMINISTRATOR SENIOR</v>
          </cell>
          <cell r="F623" t="str">
            <v>riyanto@bki.co.id</v>
          </cell>
          <cell r="G623" t="str">
            <v>081996311855</v>
          </cell>
          <cell r="H623" t="str">
            <v>3B</v>
          </cell>
          <cell r="I623">
            <v>150000</v>
          </cell>
          <cell r="J623">
            <v>0</v>
          </cell>
        </row>
        <row r="624">
          <cell r="B624" t="str">
            <v>ARMINDARY ARIEF</v>
          </cell>
          <cell r="C624" t="str">
            <v>DIVISI PERSETUJUAN RANCANG BANGUN NUSANTARA</v>
          </cell>
          <cell r="D624" t="str">
            <v>DIVISI PERSETUJUAN RANCANG BANGUN NUSANTARA</v>
          </cell>
          <cell r="E624" t="str">
            <v>ENGINEER STRUKTUR</v>
          </cell>
          <cell r="F624" t="str">
            <v>armindary@bki.co.id</v>
          </cell>
          <cell r="G624" t="str">
            <v>08124155205</v>
          </cell>
          <cell r="H624" t="str">
            <v>5C</v>
          </cell>
          <cell r="I624">
            <v>250000</v>
          </cell>
          <cell r="J624">
            <v>0</v>
          </cell>
        </row>
        <row r="625">
          <cell r="B625" t="str">
            <v>FACHRUDDIN</v>
          </cell>
          <cell r="C625" t="str">
            <v>DIVISI PERSETUJUAN RANCANG BANGUN NUSANTARA</v>
          </cell>
          <cell r="D625" t="str">
            <v>DIVISI PERSETUJUAN RANCANG BANGUN NUSANTARA</v>
          </cell>
          <cell r="E625" t="str">
            <v>ENGINEER STRUKTUR</v>
          </cell>
          <cell r="F625" t="str">
            <v>fachruddin@bki.co.id</v>
          </cell>
          <cell r="G625" t="str">
            <v>081342990998</v>
          </cell>
          <cell r="H625" t="str">
            <v>5C</v>
          </cell>
          <cell r="I625">
            <v>250000</v>
          </cell>
          <cell r="J625">
            <v>0</v>
          </cell>
        </row>
        <row r="626">
          <cell r="B626" t="str">
            <v>SISWANTO</v>
          </cell>
          <cell r="C626" t="str">
            <v>DIVISI PERSETUJUAN RANCANG BANGUN NUSANTARA</v>
          </cell>
          <cell r="D626" t="str">
            <v>DIVISI PERSETUJUAN RANCANG BANGUN NUSANTARA</v>
          </cell>
          <cell r="E626" t="str">
            <v>SENIOR MANAGER LAMBUNG NUSANTARA</v>
          </cell>
          <cell r="F626" t="str">
            <v>siswanto@bki.co.id</v>
          </cell>
          <cell r="G626" t="str">
            <v>081261449951</v>
          </cell>
          <cell r="H626" t="str">
            <v>7B</v>
          </cell>
          <cell r="I626">
            <v>0</v>
          </cell>
          <cell r="J626">
            <v>0</v>
          </cell>
        </row>
        <row r="627">
          <cell r="B627" t="str">
            <v>WASITO ABDUL MUKIT</v>
          </cell>
          <cell r="C627" t="str">
            <v>DIVISI PERSETUJUAN RANCANG BANGUN NUSANTARA</v>
          </cell>
          <cell r="D627" t="str">
            <v>DIVISI PERSETUJUAN RANCANG BANGUN NUSANTARA</v>
          </cell>
          <cell r="E627" t="str">
            <v>VP PERSETUJUAN RANCANG BANGUN NUSANTARA</v>
          </cell>
          <cell r="F627" t="str">
            <v>wasito@bki.co.id</v>
          </cell>
          <cell r="G627" t="str">
            <v>08129004021</v>
          </cell>
          <cell r="H627" t="str">
            <v>8B</v>
          </cell>
          <cell r="I627">
            <v>350000</v>
          </cell>
          <cell r="J627">
            <v>0</v>
          </cell>
        </row>
        <row r="628">
          <cell r="B628" t="str">
            <v>ARIF SYARIFUDIN</v>
          </cell>
          <cell r="C628" t="str">
            <v>DIVISI PERSETUJUAN RANCANG BANGUN NUSANTARA</v>
          </cell>
          <cell r="D628" t="str">
            <v>DIVISI PERSETUJUAN RANCANG BANGUN NUSANTARA</v>
          </cell>
          <cell r="E628" t="str">
            <v xml:space="preserve">ADMINISTRATOR SENIOR </v>
          </cell>
          <cell r="F628" t="str">
            <v>arif.syarifudin@bki.co.id</v>
          </cell>
          <cell r="G628" t="str">
            <v>085710061963</v>
          </cell>
          <cell r="H628" t="str">
            <v>3B</v>
          </cell>
          <cell r="I628">
            <v>0</v>
          </cell>
          <cell r="J628">
            <v>0</v>
          </cell>
        </row>
        <row r="629">
          <cell r="B629" t="str">
            <v>ZULFIKAR BISMA WICAKSANA</v>
          </cell>
          <cell r="C629" t="str">
            <v>DIVISI PERSETUJUAN RANCANG BANGUN NUSANTARA</v>
          </cell>
          <cell r="D629" t="str">
            <v>DIVISI PERSETUJUAN RANCANG BANGUN NUSANTARA</v>
          </cell>
          <cell r="E629" t="str">
            <v>ENGINEER JUNIOR STRUKTUR</v>
          </cell>
          <cell r="F629" t="str">
            <v>zulfikar.bw@bki.co.id</v>
          </cell>
          <cell r="H629" t="str">
            <v>4C</v>
          </cell>
          <cell r="I629">
            <v>0</v>
          </cell>
          <cell r="J629">
            <v>0</v>
          </cell>
        </row>
        <row r="630">
          <cell r="B630" t="str">
            <v>M FAHMI AULIARAHMAN</v>
          </cell>
          <cell r="C630" t="str">
            <v>DIVISI PERSETUJUAN RANCANG BANGUN NUSANTARA</v>
          </cell>
          <cell r="D630" t="str">
            <v>DIVISI PERSETUJUAN RANCANG BANGUN NUSANTARA</v>
          </cell>
          <cell r="E630" t="str">
            <v xml:space="preserve">ENGINEER JUNIOR PERMESINAN </v>
          </cell>
          <cell r="F630" t="str">
            <v>m.fahmi@bki.co.id</v>
          </cell>
          <cell r="H630" t="str">
            <v>4C</v>
          </cell>
          <cell r="I630">
            <v>0</v>
          </cell>
          <cell r="J630">
            <v>0</v>
          </cell>
        </row>
        <row r="631">
          <cell r="B631" t="str">
            <v>MUHAMMAD IQRA RAMADHAN</v>
          </cell>
          <cell r="C631" t="str">
            <v>DIVISI PERSETUJUAN RANCANG BANGUN NUSANTARA</v>
          </cell>
          <cell r="D631" t="str">
            <v>DIVISI PERSETUJUAN RANCANG BANGUN NUSANTARA</v>
          </cell>
          <cell r="E631" t="str">
            <v>ENGINEER JUNIOR STRUKTUR</v>
          </cell>
          <cell r="F631" t="str">
            <v>m.iqra@bki.co.id</v>
          </cell>
          <cell r="H631" t="str">
            <v>4C</v>
          </cell>
          <cell r="I631">
            <v>0</v>
          </cell>
          <cell r="J631">
            <v>0</v>
          </cell>
        </row>
        <row r="632">
          <cell r="B632" t="str">
            <v>TOPAN FIRMANDHA</v>
          </cell>
          <cell r="C632" t="str">
            <v>DIVISI RISET DAN PENGEMBANGAN BISNIS KLASIFIKASI &amp; STATUTORIA</v>
          </cell>
          <cell r="D632" t="str">
            <v>DIVISI RISET DAN PENGEMBANGAN BISNIS KLASIFIKASI &amp; STATUTORIA</v>
          </cell>
          <cell r="E632" t="str">
            <v>PENGKAJI SENIOR II A MATERIAL &amp; STRUKTUR (PERATURAN  INTERNASIONAL)</v>
          </cell>
          <cell r="F632" t="str">
            <v>topan@bki.co.id</v>
          </cell>
          <cell r="G632" t="str">
            <v>081553005751</v>
          </cell>
          <cell r="H632" t="str">
            <v>7A</v>
          </cell>
          <cell r="I632">
            <v>0</v>
          </cell>
          <cell r="J632">
            <v>0</v>
          </cell>
        </row>
        <row r="633">
          <cell r="B633" t="str">
            <v>FREDHI AGUNG PRASETYO</v>
          </cell>
          <cell r="C633" t="str">
            <v>DIVISI RISET DAN PENGEMBANGAN BISNIS KLASIFIKASI &amp; STATUTORIA</v>
          </cell>
          <cell r="D633" t="str">
            <v>DIVISI RISET DAN PENGEMBANGAN BISNIS KLASIFIKASI &amp; STATUTORIA</v>
          </cell>
          <cell r="E633" t="str">
            <v>VP RISET DAN PENGEMBANGAN BISNIS KLAS &amp; STATUTORIA</v>
          </cell>
          <cell r="F633" t="str">
            <v>fredhiagung@bki.co.id</v>
          </cell>
          <cell r="G633" t="str">
            <v>0812 848 6530</v>
          </cell>
          <cell r="H633" t="str">
            <v>8B</v>
          </cell>
          <cell r="I633">
            <v>0</v>
          </cell>
          <cell r="J633">
            <v>0</v>
          </cell>
        </row>
        <row r="634">
          <cell r="B634" t="str">
            <v>MOHAMMAD ARIF KURNIAWAN</v>
          </cell>
          <cell r="C634" t="str">
            <v>DIVISI RISET DAN PENGEMBANGAN BISNIS KLASIFIKASI &amp; STATUTORIA</v>
          </cell>
          <cell r="D634" t="str">
            <v>DIVISI RISET DAN PENGEMBANGAN BISNIS KLASIFIKASI &amp; STATUTORIA</v>
          </cell>
          <cell r="E634" t="str">
            <v>SENIOR MANAGER RISET DAN PENGEMBANGAN BISNIS</v>
          </cell>
          <cell r="F634" t="str">
            <v>arif.kurniawan@bki.co.id</v>
          </cell>
          <cell r="G634" t="str">
            <v>082113538332</v>
          </cell>
          <cell r="H634" t="str">
            <v>7C</v>
          </cell>
          <cell r="I634">
            <v>0</v>
          </cell>
          <cell r="J634">
            <v>0</v>
          </cell>
        </row>
        <row r="635">
          <cell r="B635" t="str">
            <v>DEFI RIZKI MAULIANI</v>
          </cell>
          <cell r="C635" t="str">
            <v>DIVISI RISET DAN PENGEMBANGAN BISNIS KLASIFIKASI &amp; STATUTORIA</v>
          </cell>
          <cell r="D635" t="str">
            <v>DIVISI RISET DAN PENGEMBANGAN BISNIS KLASIFIKASI &amp; STATUTORIA</v>
          </cell>
          <cell r="E635" t="str">
            <v>PENELITI BISNIS</v>
          </cell>
          <cell r="F635" t="str">
            <v>defi.rm@bki.co.id</v>
          </cell>
          <cell r="G635" t="str">
            <v>0856 5539 2988</v>
          </cell>
          <cell r="H635" t="str">
            <v>5C</v>
          </cell>
          <cell r="I635">
            <v>0</v>
          </cell>
          <cell r="J635">
            <v>0</v>
          </cell>
        </row>
        <row r="636">
          <cell r="B636" t="str">
            <v>SITI KOMARIYAH</v>
          </cell>
          <cell r="C636" t="str">
            <v>DIVISI RISET DAN PENGEMBANGAN BISNIS KLASIFIKASI &amp; STATUTORIA</v>
          </cell>
          <cell r="D636" t="str">
            <v>DIVISI RISET DAN PENGEMBANGAN BISNIS KLASIFIKASI &amp; STATUTORIA</v>
          </cell>
          <cell r="E636" t="str">
            <v>SENIOR MANAGER PENGEMBANGAN PERATURAN INTERNASIONAL &amp; APLIKASI</v>
          </cell>
          <cell r="F636" t="str">
            <v>siti.komariyah@bki.co.id</v>
          </cell>
          <cell r="G636" t="str">
            <v>087877840964</v>
          </cell>
          <cell r="H636" t="str">
            <v>7B</v>
          </cell>
          <cell r="I636">
            <v>0</v>
          </cell>
          <cell r="J636">
            <v>0</v>
          </cell>
        </row>
        <row r="637">
          <cell r="B637" t="str">
            <v>SUKRON MAKMUN</v>
          </cell>
          <cell r="C637" t="str">
            <v>DIVISI RISET DAN PENGEMBANGAN BISNIS KLASIFIKASI &amp; STATUTORIA</v>
          </cell>
          <cell r="D637" t="str">
            <v>DIVISI RISET DAN PENGEMBANGAN BISNIS KLASIFIKASI &amp; STATUTORIA</v>
          </cell>
          <cell r="E637" t="str">
            <v>SENIOR MANAGER PENGEMBANGAN PERATURAN NASIONAL DAN APLIKASI</v>
          </cell>
          <cell r="F637" t="str">
            <v>sukron@bki.co.id</v>
          </cell>
          <cell r="G637" t="str">
            <v>081330928598</v>
          </cell>
          <cell r="H637" t="str">
            <v>7B</v>
          </cell>
          <cell r="I637">
            <v>0</v>
          </cell>
          <cell r="J637">
            <v>0</v>
          </cell>
        </row>
        <row r="638">
          <cell r="B638" t="str">
            <v>MOHAMMAD ABDUL MALIK</v>
          </cell>
          <cell r="C638" t="str">
            <v>DIVISI RISET DAN PENGEMBANGAN BISNIS KLASIFIKASI &amp; STATUTORIA</v>
          </cell>
          <cell r="D638" t="str">
            <v>DIVISI RISET DAN PENGEMBANGAN BISNIS KLASIFIKASI &amp; STATUTORIA</v>
          </cell>
          <cell r="E638" t="str">
            <v>PENGKAJI SENIOR I B STATUTORIA  (PERATURAN  NASIONAL)</v>
          </cell>
          <cell r="F638" t="str">
            <v>abdulmalik@bki.co.id</v>
          </cell>
          <cell r="G638" t="str">
            <v>085 6489 85075</v>
          </cell>
          <cell r="H638" t="str">
            <v>6B</v>
          </cell>
          <cell r="I638">
            <v>250000</v>
          </cell>
          <cell r="J638">
            <v>0</v>
          </cell>
        </row>
        <row r="639">
          <cell r="B639" t="str">
            <v>ANGJUANG ADI PANJI PRATAMA</v>
          </cell>
          <cell r="C639" t="str">
            <v>DIVISI RISET DAN PENGEMBANGAN BISNIS KLASIFIKASI &amp; STATUTORIA</v>
          </cell>
          <cell r="D639" t="str">
            <v>DIVISI RISET DAN PENGEMBANGAN BISNIS KLASIFIKASI &amp; STATUTORIA</v>
          </cell>
          <cell r="E639" t="str">
            <v>PENGKAJI SENIOR I B KELISTRIKAN (PERATURAN INTERNASIONAL)</v>
          </cell>
          <cell r="F639" t="str">
            <v>angjuang@bki.co.id</v>
          </cell>
          <cell r="G639" t="str">
            <v>081219289349</v>
          </cell>
          <cell r="H639" t="str">
            <v>6B</v>
          </cell>
          <cell r="I639">
            <v>0</v>
          </cell>
          <cell r="J639">
            <v>0</v>
          </cell>
        </row>
        <row r="640">
          <cell r="B640" t="str">
            <v>WANGININGASTUTI MUTMAINNAH</v>
          </cell>
          <cell r="C640" t="str">
            <v>DIVISI RISET DAN PENGEMBANGAN BISNIS KLASIFIKASI &amp; STATUTORIA</v>
          </cell>
          <cell r="D640" t="str">
            <v>DIVISI RISET DAN PENGEMBANGAN BISNIS KLASIFIKASI &amp; STATUTORIA</v>
          </cell>
          <cell r="E640" t="str">
            <v>PENELITI MATERIAL &amp; STRUKTUR</v>
          </cell>
          <cell r="F640" t="str">
            <v>wanginingastuti@bki.co.id</v>
          </cell>
          <cell r="G640" t="str">
            <v>087786372558</v>
          </cell>
          <cell r="H640" t="str">
            <v>5C</v>
          </cell>
          <cell r="I640">
            <v>0</v>
          </cell>
          <cell r="J640">
            <v>0</v>
          </cell>
        </row>
        <row r="641">
          <cell r="B641" t="str">
            <v>RISKA DERIANI MASKAR</v>
          </cell>
          <cell r="C641" t="str">
            <v>DIVISI RISET DAN PENGEMBANGAN BISNIS KLASIFIKASI &amp; STATUTORIA</v>
          </cell>
          <cell r="D641" t="str">
            <v>DIVISI RISET DAN PENGEMBANGAN BISNIS KLASIFIKASI &amp; STATUTORIA</v>
          </cell>
          <cell r="E641" t="str">
            <v>PENGKAJI STATUTORIA (PERATURAN  NASIONAL)</v>
          </cell>
          <cell r="F641" t="str">
            <v>riska@bki.co.id</v>
          </cell>
          <cell r="G641" t="str">
            <v>085240409393</v>
          </cell>
          <cell r="H641" t="str">
            <v>5C</v>
          </cell>
          <cell r="I641">
            <v>250000</v>
          </cell>
          <cell r="J641">
            <v>0</v>
          </cell>
        </row>
        <row r="642">
          <cell r="B642" t="str">
            <v>MUHAMAD RIZQI FITRA HARIADI</v>
          </cell>
          <cell r="C642" t="str">
            <v>DIVISI RISET DAN PENGEMBANGAN BISNIS KLASIFIKASI &amp; STATUTORIA</v>
          </cell>
          <cell r="D642" t="str">
            <v>DIVISI RISET DAN PENGEMBANGAN BISNIS KLASIFIKASI &amp; STATUTORIA</v>
          </cell>
          <cell r="E642" t="str">
            <v>PENELITI PERMESINAN</v>
          </cell>
          <cell r="F642" t="str">
            <v>m.rizqi@bki.co.id</v>
          </cell>
          <cell r="G642" t="str">
            <v>081292824339</v>
          </cell>
          <cell r="H642" t="str">
            <v>5C</v>
          </cell>
          <cell r="I642">
            <v>0</v>
          </cell>
          <cell r="J642">
            <v>0</v>
          </cell>
        </row>
        <row r="643">
          <cell r="B643" t="str">
            <v>MUHAMMAD IRFAN</v>
          </cell>
          <cell r="C643" t="str">
            <v>DIVISI RISET DAN PENGEMBANGAN BISNIS KLASIFIKASI &amp; STATUTORIA</v>
          </cell>
          <cell r="D643" t="str">
            <v>DIVISI RISET DAN PENGEMBANGAN BISNIS KLASIFIKASI &amp; STATUTORIA</v>
          </cell>
          <cell r="E643" t="str">
            <v>PENGKAJI SENIOR I B MATERIAL &amp; STRUKTUR (PERATURAN  INTERNASIONAL)</v>
          </cell>
          <cell r="F643" t="str">
            <v>muhammad.irfan@bki.co.id</v>
          </cell>
          <cell r="G643" t="str">
            <v>087751671225</v>
          </cell>
          <cell r="H643" t="str">
            <v>6B</v>
          </cell>
          <cell r="I643">
            <v>0</v>
          </cell>
          <cell r="J643">
            <v>0</v>
          </cell>
        </row>
        <row r="644">
          <cell r="B644" t="str">
            <v>DEFRI SUMARWAN</v>
          </cell>
          <cell r="C644" t="str">
            <v>DIVISI RISET DAN PENGEMBANGAN BISNIS KLASIFIKASI &amp; STATUTORIA</v>
          </cell>
          <cell r="D644" t="str">
            <v>DIVISI RISET DAN PENGEMBANGAN BISNIS KLASIFIKASI &amp; STATUTORIA</v>
          </cell>
          <cell r="E644" t="str">
            <v>PENGKAJI SENIOR I B MATERIAL &amp; STRUKTUR (PERATURAN  NASIONAL)</v>
          </cell>
          <cell r="F644" t="str">
            <v>defri@bki.co.id</v>
          </cell>
          <cell r="G644" t="str">
            <v>085891029080</v>
          </cell>
          <cell r="H644" t="str">
            <v>6B</v>
          </cell>
          <cell r="I644">
            <v>0</v>
          </cell>
          <cell r="J644">
            <v>0</v>
          </cell>
        </row>
        <row r="645">
          <cell r="B645" t="str">
            <v>MUHAMMAD YUDI OKTOVIANTO</v>
          </cell>
          <cell r="C645" t="str">
            <v>DIVISI RISET DAN PENGEMBANGAN BISNIS KLASIFIKASI &amp; STATUTORIA</v>
          </cell>
          <cell r="D645" t="str">
            <v>DIVISI RISET DAN PENGEMBANGAN BISNIS KLASIFIKASI &amp; STATUTORIA</v>
          </cell>
          <cell r="E645" t="str">
            <v>PENGKAJI SENIOR I B MATERIAL &amp; STRUKTUR (PERATURAN  NASIONAL)</v>
          </cell>
          <cell r="F645" t="str">
            <v>yudi.oktovianto@bki.co.id</v>
          </cell>
          <cell r="G645" t="str">
            <v>085648222771</v>
          </cell>
          <cell r="H645" t="str">
            <v>6B</v>
          </cell>
          <cell r="I645">
            <v>250000</v>
          </cell>
          <cell r="J645">
            <v>0</v>
          </cell>
        </row>
        <row r="646">
          <cell r="B646" t="str">
            <v>ROLAS YOGA MANIK</v>
          </cell>
          <cell r="C646" t="str">
            <v>DIVISI RISET DAN PENGEMBANGAN BISNIS KLASIFIKASI &amp; STATUTORIA</v>
          </cell>
          <cell r="D646" t="str">
            <v>DIVISI RISET DAN PENGEMBANGAN BISNIS KLASIFIKASI &amp; STATUTORIA</v>
          </cell>
          <cell r="E646" t="str">
            <v>PENGKAJI JUNIOR SURVEY NASIONAL</v>
          </cell>
          <cell r="F646" t="str">
            <v>rolas.ym@bki.co.id</v>
          </cell>
          <cell r="H646" t="str">
            <v>4C</v>
          </cell>
          <cell r="I646">
            <v>0</v>
          </cell>
          <cell r="J646">
            <v>0</v>
          </cell>
        </row>
        <row r="647">
          <cell r="B647" t="str">
            <v>MUHAMMAD FUAD RASYAD</v>
          </cell>
          <cell r="C647" t="str">
            <v>DIVISI RISET DAN PENGEMBANGAN BISNIS KLASIFIKASI &amp; STATUTORIA</v>
          </cell>
          <cell r="D647" t="str">
            <v>DIVISI RISET DAN PENGEMBANGAN BISNIS KLASIFIKASI &amp; STATUTORIA</v>
          </cell>
          <cell r="E647" t="str">
            <v xml:space="preserve">PENGKAJI JUNIOR SURVEY INTERNASIONAL </v>
          </cell>
          <cell r="F647" t="str">
            <v>m.fuad@bki.co.id</v>
          </cell>
          <cell r="H647" t="str">
            <v>4C</v>
          </cell>
          <cell r="I647">
            <v>0</v>
          </cell>
          <cell r="J647">
            <v>0</v>
          </cell>
        </row>
        <row r="648">
          <cell r="B648" t="str">
            <v>AYUMI PUTRI VARADITA</v>
          </cell>
          <cell r="C648" t="str">
            <v>DIVISI RISET DAN PENGEMBANGAN BISNIS KLASIFIKASI &amp; STATUTORIA</v>
          </cell>
          <cell r="D648" t="str">
            <v>DIVISI RISET DAN PENGEMBANGAN BISNIS KLASIFIKASI &amp; STATUTORIA</v>
          </cell>
          <cell r="E648" t="str">
            <v>STAF TEKNIK</v>
          </cell>
          <cell r="F648" t="str">
            <v>ayumi.putri@bki.co.id</v>
          </cell>
          <cell r="G648" t="str">
            <v>081315760098</v>
          </cell>
          <cell r="H648" t="str">
            <v>-</v>
          </cell>
          <cell r="I648">
            <v>0</v>
          </cell>
          <cell r="J648">
            <v>0</v>
          </cell>
        </row>
        <row r="649">
          <cell r="B649" t="str">
            <v>VICKY JULIAN PRAYOGA</v>
          </cell>
          <cell r="C649" t="str">
            <v>DIVISI RISET DAN PENGEMBANGAN BISNIS KLASIFIKASI &amp; STATUTORIA</v>
          </cell>
          <cell r="D649" t="str">
            <v>DIVISI RISET DAN PENGEMBANGAN BISNIS KLASIFIKASI &amp; STATUTORIA</v>
          </cell>
          <cell r="E649" t="str">
            <v>STAF DUKUNGAN BISNIS</v>
          </cell>
          <cell r="F649" t="str">
            <v>vicky.julian@bki.co.id</v>
          </cell>
          <cell r="G649" t="str">
            <v>083806412285</v>
          </cell>
          <cell r="H649" t="str">
            <v>-</v>
          </cell>
          <cell r="I649">
            <v>0</v>
          </cell>
          <cell r="J649">
            <v>0</v>
          </cell>
        </row>
        <row r="650">
          <cell r="B650" t="str">
            <v>ENDAH NOVITA</v>
          </cell>
          <cell r="C650" t="str">
            <v>DIVISI RISET DAN PENGEMBANGAN BISNIS KLASIFIKASI &amp; STATUTORIA</v>
          </cell>
          <cell r="D650" t="str">
            <v>DIVISI RISET DAN PENGEMBANGAN BISNIS KLASIFIKASI &amp; STATUTORIA</v>
          </cell>
          <cell r="E650" t="str">
            <v>STAF RISET</v>
          </cell>
          <cell r="F650" t="str">
            <v>endah.novita@bki.co.id</v>
          </cell>
          <cell r="G650" t="str">
            <v>082219728690</v>
          </cell>
          <cell r="H650" t="str">
            <v>-</v>
          </cell>
          <cell r="I650">
            <v>0</v>
          </cell>
          <cell r="J650">
            <v>0</v>
          </cell>
        </row>
        <row r="651">
          <cell r="B651" t="str">
            <v>ANGGA RAMADHANI SAPUTRA</v>
          </cell>
          <cell r="C651" t="str">
            <v>DIVISI RISET DAN PENGEMBANGAN BISNIS KLASIFIKASI &amp; STATUTORIA</v>
          </cell>
          <cell r="D651" t="str">
            <v>DIVISI RISET DAN PENGEMBANGAN BISNIS KLASIFIKASI &amp; STATUTORIA</v>
          </cell>
          <cell r="E651" t="str">
            <v>STAF RISET BISNIS</v>
          </cell>
          <cell r="F651" t="str">
            <v>angga.rs@bki.co.id</v>
          </cell>
          <cell r="H651" t="str">
            <v>-</v>
          </cell>
          <cell r="I651">
            <v>0</v>
          </cell>
          <cell r="J651">
            <v>0</v>
          </cell>
        </row>
        <row r="652">
          <cell r="B652" t="str">
            <v>FARRAH MUTIA NURFADILAH</v>
          </cell>
          <cell r="C652" t="str">
            <v>DIVISI RISET DAN PENGEMBANGAN PRODUK</v>
          </cell>
          <cell r="D652" t="str">
            <v>DIVISI RISET DAN PENGEMBANGAN PRODUK</v>
          </cell>
          <cell r="E652" t="str">
            <v>ADMINISTRATOR SENIOR</v>
          </cell>
          <cell r="F652" t="str">
            <v>farrah.mn@bki.co.id</v>
          </cell>
          <cell r="G652" t="str">
            <v>08128946370</v>
          </cell>
          <cell r="H652" t="str">
            <v>3B</v>
          </cell>
          <cell r="I652">
            <v>150000</v>
          </cell>
          <cell r="J652">
            <v>0</v>
          </cell>
        </row>
        <row r="653">
          <cell r="B653" t="str">
            <v>NOVIANSYAH PAMUNGKAS</v>
          </cell>
          <cell r="C653" t="str">
            <v>DIVISI SEKRETARIS PERUSAHAAN</v>
          </cell>
          <cell r="D653" t="str">
            <v>DIVISI SEKRETARIS PERUSAHAAN</v>
          </cell>
          <cell r="E653" t="str">
            <v>ANALIS EXECUTIVE SUPPORT</v>
          </cell>
          <cell r="F653" t="str">
            <v>noviansyah@bki.co.id</v>
          </cell>
          <cell r="G653" t="str">
            <v>085715145677</v>
          </cell>
          <cell r="H653" t="str">
            <v>5B</v>
          </cell>
          <cell r="I653">
            <v>150000</v>
          </cell>
          <cell r="J653">
            <v>0</v>
          </cell>
        </row>
        <row r="654">
          <cell r="B654" t="str">
            <v>WILLEM GERRIT PIETER REHATTA</v>
          </cell>
          <cell r="C654" t="str">
            <v>DIVISI SEKRETARIS PERUSAHAAN</v>
          </cell>
          <cell r="D654" t="str">
            <v>DIVISI SEKRETARIS PERUSAHAAN</v>
          </cell>
          <cell r="E654" t="str">
            <v>JUNIOR PROTOKOLER</v>
          </cell>
          <cell r="F654" t="str">
            <v>gerrit.rehatta@bki.co.id</v>
          </cell>
          <cell r="G654">
            <v>0</v>
          </cell>
          <cell r="H654" t="str">
            <v>3B</v>
          </cell>
          <cell r="I654">
            <v>150000</v>
          </cell>
          <cell r="J654">
            <v>0</v>
          </cell>
        </row>
        <row r="655">
          <cell r="B655" t="str">
            <v>MICHELLE CHANTAL MUSTAMU</v>
          </cell>
          <cell r="C655" t="str">
            <v>DIVISI SEKRETARIS PERUSAHAAN</v>
          </cell>
          <cell r="D655" t="str">
            <v>DIVISI SEKRETARIS PERUSAHAAN</v>
          </cell>
          <cell r="E655" t="str">
            <v>ADMINISTRATOR</v>
          </cell>
          <cell r="F655" t="str">
            <v>michelle.mustamu@bki.co.id</v>
          </cell>
          <cell r="G655" t="str">
            <v>082110212169</v>
          </cell>
          <cell r="H655" t="str">
            <v>2A</v>
          </cell>
          <cell r="I655">
            <v>150000</v>
          </cell>
          <cell r="J655">
            <v>0</v>
          </cell>
        </row>
        <row r="656">
          <cell r="B656" t="str">
            <v>LINDA KURNIATY</v>
          </cell>
          <cell r="C656" t="str">
            <v>DIVISI SEKRETARIS PERUSAHAAN</v>
          </cell>
          <cell r="D656" t="str">
            <v>DIVISI SEKRETARIS PERUSAHAAN</v>
          </cell>
          <cell r="E656" t="str">
            <v>ANALIS ADMISNISTRASI KORPORASI</v>
          </cell>
          <cell r="F656" t="str">
            <v>linda.kurniaty@bki.co.id</v>
          </cell>
          <cell r="G656" t="str">
            <v>081286100266</v>
          </cell>
          <cell r="H656" t="str">
            <v>5A</v>
          </cell>
          <cell r="I656">
            <v>250000</v>
          </cell>
          <cell r="J656">
            <v>2895833</v>
          </cell>
        </row>
        <row r="657">
          <cell r="B657" t="str">
            <v>HAERUDIN</v>
          </cell>
          <cell r="C657" t="str">
            <v>DIVISI SEKRETARIS PERUSAHAAN</v>
          </cell>
          <cell r="D657" t="str">
            <v>DIVISI SEKRETARIS PERUSAHAAN</v>
          </cell>
          <cell r="E657" t="str">
            <v>ADMINISTRATOR</v>
          </cell>
          <cell r="F657" t="str">
            <v>haerudin@bki.co.id</v>
          </cell>
          <cell r="G657" t="str">
            <v>085781100705</v>
          </cell>
          <cell r="H657" t="str">
            <v>2A</v>
          </cell>
          <cell r="I657">
            <v>150000</v>
          </cell>
          <cell r="J657">
            <v>5767335</v>
          </cell>
        </row>
        <row r="658">
          <cell r="B658" t="str">
            <v>DEBORAH NINDYA PAWESTRI</v>
          </cell>
          <cell r="C658" t="str">
            <v>DIVISI SEKRETARIS PERUSAHAAN</v>
          </cell>
          <cell r="D658" t="str">
            <v>DIVISI SEKRETARIS PERUSAHAAN</v>
          </cell>
          <cell r="E658" t="str">
            <v>OFFICER LEGAL DAN KEPATUHAN</v>
          </cell>
          <cell r="F658" t="str">
            <v>deborah.np@bki.co.id</v>
          </cell>
          <cell r="G658" t="str">
            <v>081218903584</v>
          </cell>
          <cell r="H658" t="str">
            <v>4B</v>
          </cell>
          <cell r="I658">
            <v>150000</v>
          </cell>
          <cell r="J658">
            <v>0</v>
          </cell>
        </row>
        <row r="659">
          <cell r="B659" t="str">
            <v>ERRY SANJAYA DJAYUS</v>
          </cell>
          <cell r="C659" t="str">
            <v>DIVISI SEKRETARIS PERUSAHAAN</v>
          </cell>
          <cell r="D659" t="str">
            <v>DIVISI SEKRETARIS PERUSAHAAN</v>
          </cell>
          <cell r="E659" t="str">
            <v>STAF UTAMA I A</v>
          </cell>
          <cell r="F659" t="str">
            <v>erry@bki.co.id</v>
          </cell>
          <cell r="G659" t="str">
            <v>081332555251</v>
          </cell>
          <cell r="H659" t="str">
            <v>7A</v>
          </cell>
          <cell r="I659">
            <v>350000</v>
          </cell>
          <cell r="J659">
            <v>11006944</v>
          </cell>
        </row>
        <row r="660">
          <cell r="B660" t="str">
            <v>WILLY ADI NUGROHO</v>
          </cell>
          <cell r="C660" t="str">
            <v>DIVISI SEKRETARIS PERUSAHAAN</v>
          </cell>
          <cell r="D660" t="str">
            <v>DIVISI SEKRETARIS PERUSAHAAN</v>
          </cell>
          <cell r="E660" t="str">
            <v>SENIOR MANAGER KOMUNIKASI KORPORAT DAN TATA KELOLA</v>
          </cell>
          <cell r="F660" t="str">
            <v>willy.an@bki.co.id</v>
          </cell>
          <cell r="G660" t="str">
            <v>081284973144</v>
          </cell>
          <cell r="H660" t="str">
            <v>7A</v>
          </cell>
          <cell r="I660">
            <v>250000</v>
          </cell>
          <cell r="J660">
            <v>4125351</v>
          </cell>
        </row>
        <row r="661">
          <cell r="B661" t="str">
            <v>KEVIN IQBAL RIZALDI</v>
          </cell>
          <cell r="C661" t="str">
            <v>DIVISI SEKRETARIS PERUSAHAAN</v>
          </cell>
          <cell r="D661" t="str">
            <v>DIVISI SEKRETARIS PERUSAHAAN</v>
          </cell>
          <cell r="E661" t="str">
            <v>PJ. SENIOR MANAGER LEGAL DAN KEPATUHAN</v>
          </cell>
          <cell r="F661" t="str">
            <v>kevin.ir@bki.co.id</v>
          </cell>
          <cell r="G661" t="str">
            <v>081334261386</v>
          </cell>
          <cell r="H661" t="str">
            <v>6A</v>
          </cell>
          <cell r="I661">
            <v>150000</v>
          </cell>
          <cell r="J661">
            <v>0</v>
          </cell>
        </row>
        <row r="662">
          <cell r="B662" t="str">
            <v>IBNU AL MUAFI</v>
          </cell>
          <cell r="C662" t="str">
            <v>DIVISI SEKRETARIS PERUSAHAAN</v>
          </cell>
          <cell r="D662" t="str">
            <v>DIVISI SEKRETARIS PERUSAHAAN</v>
          </cell>
          <cell r="E662" t="str">
            <v>OFFICER DESIGN KOMUNIKASI</v>
          </cell>
          <cell r="F662" t="str">
            <v>ibnu.am@bki.co.id</v>
          </cell>
          <cell r="H662" t="str">
            <v>4B</v>
          </cell>
          <cell r="I662">
            <v>0</v>
          </cell>
          <cell r="J662">
            <v>0</v>
          </cell>
        </row>
        <row r="663">
          <cell r="B663" t="str">
            <v>FEIRUZ RACHMITA ALAMSYAH</v>
          </cell>
          <cell r="C663" t="str">
            <v>DIVISI SEKRETARIS PERUSAHAAN</v>
          </cell>
          <cell r="D663" t="str">
            <v>DIVISI SEKRETARIS PERUSAHAAN</v>
          </cell>
          <cell r="E663" t="str">
            <v>STAF ADMINISTRASI LEGAL</v>
          </cell>
          <cell r="F663" t="str">
            <v>feiruz.rachmita@bki.co.id</v>
          </cell>
          <cell r="G663" t="str">
            <v>087825126719</v>
          </cell>
          <cell r="H663" t="str">
            <v>-</v>
          </cell>
          <cell r="I663">
            <v>0</v>
          </cell>
          <cell r="J663">
            <v>0</v>
          </cell>
        </row>
        <row r="664">
          <cell r="B664" t="str">
            <v>ADE SINTYA KUSUMAWARDANI</v>
          </cell>
          <cell r="C664" t="str">
            <v>DIVISI SEKRETARIS PERUSAHAAN</v>
          </cell>
          <cell r="D664" t="str">
            <v>DIVISI SEKRETARIS PERUSAHAAN</v>
          </cell>
          <cell r="E664" t="str">
            <v>STAF DUKUNGAN BISNIS</v>
          </cell>
          <cell r="F664" t="str">
            <v>ade.sintya@bki.co.id</v>
          </cell>
          <cell r="G664" t="str">
            <v>085717557109</v>
          </cell>
          <cell r="H664" t="str">
            <v>-</v>
          </cell>
          <cell r="I664">
            <v>100000</v>
          </cell>
          <cell r="J664">
            <v>0</v>
          </cell>
        </row>
        <row r="665">
          <cell r="B665" t="str">
            <v>NAUFAL FARRAS BASUKI</v>
          </cell>
          <cell r="C665" t="str">
            <v>DIVISI SEKRETARIS PERUSAHAAN</v>
          </cell>
          <cell r="D665" t="str">
            <v>DIVISI SEKRETARIS PERUSAHAAN</v>
          </cell>
          <cell r="E665" t="str">
            <v>STAF DUKUNGAN BISNIS</v>
          </cell>
          <cell r="F665" t="str">
            <v>naufal.farras@bki.co.id</v>
          </cell>
          <cell r="G665" t="str">
            <v>087804131975</v>
          </cell>
          <cell r="H665" t="str">
            <v>-</v>
          </cell>
          <cell r="I665">
            <v>0</v>
          </cell>
          <cell r="J665">
            <v>0</v>
          </cell>
        </row>
        <row r="666">
          <cell r="B666" t="str">
            <v>NIRMALA LUTHFIYA ATYANTA</v>
          </cell>
          <cell r="C666" t="str">
            <v>DIVISI SEKRETARIS PERUSAHAAN</v>
          </cell>
          <cell r="D666" t="str">
            <v>DIVISI SEKRETARIS PERUSAHAAN</v>
          </cell>
          <cell r="E666" t="str">
            <v>STAF DUKUNGAN BISNIS</v>
          </cell>
          <cell r="F666" t="str">
            <v>nirmala.la@bki.co.id</v>
          </cell>
          <cell r="G666" t="str">
            <v>085876683530</v>
          </cell>
          <cell r="H666" t="str">
            <v>-</v>
          </cell>
          <cell r="I666">
            <v>100000</v>
          </cell>
          <cell r="J666">
            <v>0</v>
          </cell>
        </row>
        <row r="667">
          <cell r="B667" t="str">
            <v>AURA AZZAHRA</v>
          </cell>
          <cell r="C667" t="str">
            <v>DIVISI SEKRETARIS PERUSAHAAN</v>
          </cell>
          <cell r="D667" t="str">
            <v>DIVISI SEKRETARIS PERUSAHAAN</v>
          </cell>
          <cell r="E667" t="str">
            <v>STAF DUKUNGAN BISNIS</v>
          </cell>
          <cell r="F667" t="str">
            <v>aura.azzahra@bki.co.id</v>
          </cell>
          <cell r="G667" t="str">
            <v>088233183044</v>
          </cell>
          <cell r="H667" t="str">
            <v>-</v>
          </cell>
          <cell r="I667">
            <v>0</v>
          </cell>
          <cell r="J667">
            <v>0</v>
          </cell>
        </row>
        <row r="668">
          <cell r="B668" t="str">
            <v>MUHAMMAD RAHUL</v>
          </cell>
          <cell r="C668" t="str">
            <v>DIVISI SEKRETARIS PERUSAHAAN</v>
          </cell>
          <cell r="D668" t="str">
            <v>DIVISI SEKRETARIS PERUSAHAAN</v>
          </cell>
          <cell r="E668" t="str">
            <v>STAF DUKUNGAN BISNIS</v>
          </cell>
          <cell r="F668" t="str">
            <v>m.rahul@bki.co.id</v>
          </cell>
          <cell r="G668" t="str">
            <v>085778171388</v>
          </cell>
          <cell r="H668" t="str">
            <v>-</v>
          </cell>
          <cell r="I668">
            <v>100000</v>
          </cell>
          <cell r="J668">
            <v>0</v>
          </cell>
        </row>
        <row r="669">
          <cell r="B669" t="str">
            <v>JEIHAN FAJAR KUSAENI</v>
          </cell>
          <cell r="C669" t="str">
            <v>DIVISI SEKRETARIS PERUSAHAAN</v>
          </cell>
          <cell r="D669" t="str">
            <v>DIVISI SEKRETARIS PERUSAHAAN</v>
          </cell>
          <cell r="E669" t="str">
            <v>STAF DUKUNGAN BISNIS</v>
          </cell>
          <cell r="F669" t="str">
            <v>jeihan.fajar@bki.co.id</v>
          </cell>
          <cell r="G669" t="str">
            <v>089518789698</v>
          </cell>
          <cell r="H669" t="str">
            <v>-</v>
          </cell>
          <cell r="I669">
            <v>0</v>
          </cell>
          <cell r="J669">
            <v>0</v>
          </cell>
        </row>
        <row r="670">
          <cell r="B670" t="str">
            <v>ELLIZARTAMA TAUFIK HADIMULYO</v>
          </cell>
          <cell r="C670" t="str">
            <v>DIVISI SEKRETARIS PERUSAHAAN</v>
          </cell>
          <cell r="D670" t="str">
            <v>DIVISI SEKRETARIS PERUSAHAAN</v>
          </cell>
          <cell r="E670" t="str">
            <v>STAF KOMUNIKASI KORPORAT</v>
          </cell>
          <cell r="F670" t="str">
            <v>Ellizartama.th@bki.co.id</v>
          </cell>
          <cell r="G670" t="str">
            <v>081282553700</v>
          </cell>
          <cell r="H670" t="str">
            <v>-</v>
          </cell>
          <cell r="I670">
            <v>0</v>
          </cell>
          <cell r="J670">
            <v>0</v>
          </cell>
        </row>
        <row r="671">
          <cell r="B671" t="str">
            <v>MUHAMMAD HANIF IRSYAD</v>
          </cell>
          <cell r="C671" t="str">
            <v>DIVISI SEKRETARIS PERUSAHAAN</v>
          </cell>
          <cell r="D671" t="str">
            <v>DIVISI SEKRETARIS PERUSAHAAN</v>
          </cell>
          <cell r="E671" t="str">
            <v>STAF KOMUNIKASI KORPORAT</v>
          </cell>
          <cell r="F671" t="str">
            <v>hanif.irsyad@bki.co.id</v>
          </cell>
          <cell r="H671" t="str">
            <v>-</v>
          </cell>
          <cell r="I671">
            <v>0</v>
          </cell>
          <cell r="J671">
            <v>0</v>
          </cell>
        </row>
        <row r="672">
          <cell r="B672" t="str">
            <v>KUSUMA WARDANA BAGUS DWI KUNCORO</v>
          </cell>
          <cell r="C672" t="str">
            <v>DIVISI SEKRETARIS PERUSAHAAN</v>
          </cell>
          <cell r="D672" t="str">
            <v>DIVISI SEKRETARIS PERUSAHAAN</v>
          </cell>
          <cell r="E672" t="str">
            <v>STAF OOTB DIREKTUR OPERASI BISNIS KLASIFIKASI</v>
          </cell>
          <cell r="F672" t="str">
            <v>bagus.kuncoro@bki.co.id</v>
          </cell>
          <cell r="H672" t="str">
            <v>-</v>
          </cell>
          <cell r="I672">
            <v>0</v>
          </cell>
          <cell r="J672">
            <v>0</v>
          </cell>
        </row>
        <row r="673">
          <cell r="B673" t="str">
            <v>I MADE VIDYA PRAWIRA SATRIO</v>
          </cell>
          <cell r="C673" t="str">
            <v>DIVISI SEKRETARIS PERUSAHAAN</v>
          </cell>
          <cell r="D673" t="str">
            <v>DIVISI SEKRETARIS PERUSAHAAN</v>
          </cell>
          <cell r="E673" t="str">
            <v>STAF OFFICE OF THE BOARD</v>
          </cell>
          <cell r="F673" t="str">
            <v>made.vidya@bki.co.id</v>
          </cell>
          <cell r="G673" t="str">
            <v>082126401744</v>
          </cell>
          <cell r="H673" t="str">
            <v>-</v>
          </cell>
          <cell r="I673">
            <v>0</v>
          </cell>
          <cell r="J673">
            <v>0</v>
          </cell>
        </row>
        <row r="674">
          <cell r="B674" t="str">
            <v>TANRI SYAHREZA DIARSA</v>
          </cell>
          <cell r="C674" t="str">
            <v>DIVISI SEKRETARIS PERUSAHAAN</v>
          </cell>
          <cell r="D674" t="str">
            <v>DIVISI SEKRETARIS PERUSAHAAN</v>
          </cell>
          <cell r="E674" t="str">
            <v>STAF LEGAL DAN KEPATUHAN</v>
          </cell>
          <cell r="F674" t="e">
            <v>#N/A</v>
          </cell>
          <cell r="H674" t="str">
            <v>-</v>
          </cell>
          <cell r="I674">
            <v>0</v>
          </cell>
          <cell r="J674">
            <v>0</v>
          </cell>
        </row>
        <row r="675">
          <cell r="B675" t="str">
            <v>N. KARINDITA EKIBDWI PUTRI</v>
          </cell>
          <cell r="C675" t="str">
            <v>DIVISI SEKRETARIS PERUSAHAAN</v>
          </cell>
          <cell r="D675" t="str">
            <v>DIVISI SEKRETARIS PERUSAHAAN IDS</v>
          </cell>
          <cell r="E675" t="str">
            <v>SPESIALIS EXECUTIVE SUPPORT</v>
          </cell>
          <cell r="F675" t="str">
            <v>karindita.ep@bki.co.id</v>
          </cell>
          <cell r="G675" t="str">
            <v>081295481237</v>
          </cell>
          <cell r="H675" t="str">
            <v>6A</v>
          </cell>
          <cell r="I675">
            <v>0</v>
          </cell>
          <cell r="J675">
            <v>0</v>
          </cell>
        </row>
        <row r="676">
          <cell r="B676" t="str">
            <v>BONOR SAMUEL CHARLES</v>
          </cell>
          <cell r="C676" t="str">
            <v>DIVISI SEKRETARIS PERUSAHAAN</v>
          </cell>
          <cell r="D676" t="str">
            <v>DIVISI SEKRETARIS PERUSAHAAN IDS</v>
          </cell>
          <cell r="E676" t="str">
            <v>SENIOR MANAGER KOMUNIKASI KORPORAT</v>
          </cell>
          <cell r="F676" t="str">
            <v>bonor.sc@bki.co.id</v>
          </cell>
          <cell r="G676" t="str">
            <v>081383788508</v>
          </cell>
          <cell r="H676" t="str">
            <v>7A</v>
          </cell>
          <cell r="I676">
            <v>250000</v>
          </cell>
          <cell r="J676">
            <v>0</v>
          </cell>
        </row>
        <row r="677">
          <cell r="B677" t="str">
            <v>RAGA DICKLIES PURWANTO</v>
          </cell>
          <cell r="C677" t="str">
            <v>DIVISI SEKRETARIS PERUSAHAAN</v>
          </cell>
          <cell r="D677" t="str">
            <v>DIVISI SEKRETARIS PERUSAHAAN IDS</v>
          </cell>
          <cell r="E677" t="str">
            <v>SENIOR MANAGER CHIEF OF STAFF</v>
          </cell>
          <cell r="F677" t="str">
            <v>raga@bki.co.id</v>
          </cell>
          <cell r="G677" t="str">
            <v>0856 5516 8253</v>
          </cell>
          <cell r="H677" t="str">
            <v>7A</v>
          </cell>
          <cell r="I677">
            <v>0</v>
          </cell>
          <cell r="J677">
            <v>0</v>
          </cell>
        </row>
        <row r="678">
          <cell r="B678" t="str">
            <v>GDE SANDHYANA PRADHITA</v>
          </cell>
          <cell r="C678" t="str">
            <v>DIVISI SEKRETARIS PERUSAHAAN</v>
          </cell>
          <cell r="D678" t="str">
            <v>DIVISI SEKRETARIS PERUSAHAAN IDS</v>
          </cell>
          <cell r="E678" t="str">
            <v>PROTOKOLER</v>
          </cell>
          <cell r="F678" t="str">
            <v>gde.sandhyana@bki.co.id</v>
          </cell>
          <cell r="G678" t="str">
            <v>081388481914</v>
          </cell>
          <cell r="H678" t="str">
            <v>4B</v>
          </cell>
          <cell r="I678">
            <v>150000</v>
          </cell>
          <cell r="J678">
            <v>3650000</v>
          </cell>
        </row>
        <row r="679">
          <cell r="B679" t="str">
            <v>FARIZ ABDILLAH</v>
          </cell>
          <cell r="C679" t="str">
            <v>DIVISI SEKRETARIS PERUSAHAAN</v>
          </cell>
          <cell r="D679" t="str">
            <v>DIVISI SEKRETARIS PERUSAHAAN IDS</v>
          </cell>
          <cell r="E679" t="str">
            <v>JUNIOR EXECUTIVE SUPPORT</v>
          </cell>
          <cell r="F679" t="str">
            <v>fariz.abdillah@bki.co.id</v>
          </cell>
          <cell r="G679" t="str">
            <v>081210339436</v>
          </cell>
          <cell r="H679" t="str">
            <v>3A</v>
          </cell>
          <cell r="I679">
            <v>0</v>
          </cell>
          <cell r="J679">
            <v>0</v>
          </cell>
        </row>
        <row r="680">
          <cell r="B680" t="str">
            <v>ARY DEWANTO</v>
          </cell>
          <cell r="C680" t="str">
            <v>DIVISI SEKRETARIS PERUSAHAAN</v>
          </cell>
          <cell r="D680" t="str">
            <v>DIVISI SEKRETARIS PERUSAHAAN IDS</v>
          </cell>
          <cell r="E680" t="str">
            <v>STAF DUKUNGAN BISNIS</v>
          </cell>
          <cell r="F680" t="str">
            <v>ary.dewanto@bki.co.id</v>
          </cell>
          <cell r="G680" t="str">
            <v>089658963554</v>
          </cell>
          <cell r="H680" t="str">
            <v>-</v>
          </cell>
          <cell r="I680">
            <v>0</v>
          </cell>
          <cell r="J680">
            <v>0</v>
          </cell>
        </row>
        <row r="681">
          <cell r="B681" t="str">
            <v>DHITYA PUTRA RAMADHAN</v>
          </cell>
          <cell r="C681" t="str">
            <v>DIVISI SEKRETARIS PERUSAHAAN</v>
          </cell>
          <cell r="D681" t="str">
            <v>DIVISI SEKRETARIS PERUSAHAAN IDS</v>
          </cell>
          <cell r="E681" t="str">
            <v>STAF DUKUNGAN BISNIS</v>
          </cell>
          <cell r="F681" t="str">
            <v>dhitya.putra@bki.co.id</v>
          </cell>
          <cell r="G681" t="str">
            <v>085156460512</v>
          </cell>
          <cell r="H681" t="str">
            <v>-</v>
          </cell>
          <cell r="I681">
            <v>100000</v>
          </cell>
          <cell r="J681">
            <v>1500000</v>
          </cell>
        </row>
        <row r="682">
          <cell r="B682" t="str">
            <v>VERONICA TJINTHIA</v>
          </cell>
          <cell r="C682" t="str">
            <v>DIVISI SEKRETARIS PERUSAHAAN</v>
          </cell>
          <cell r="D682" t="str">
            <v>DIVISI SEKRETARIS PERUSAHAAN IDS</v>
          </cell>
          <cell r="E682" t="str">
            <v>STAF DUKUNGAN BISNIS</v>
          </cell>
          <cell r="F682" t="str">
            <v>veronica.t@bki.co.id</v>
          </cell>
          <cell r="G682">
            <v>0</v>
          </cell>
          <cell r="H682" t="str">
            <v>-</v>
          </cell>
          <cell r="I682">
            <v>0</v>
          </cell>
          <cell r="J682">
            <v>0</v>
          </cell>
        </row>
        <row r="683">
          <cell r="B683" t="str">
            <v>ALLARIC AVICENNA RENANDA</v>
          </cell>
          <cell r="C683" t="str">
            <v>DIVISI SEKRETARIS PERUSAHAAN</v>
          </cell>
          <cell r="D683" t="str">
            <v>DIVISI SEKRETARIS PERUSAHAAN IDS</v>
          </cell>
          <cell r="E683" t="str">
            <v>STAF DUKUNGAN BISNIS</v>
          </cell>
          <cell r="F683" t="str">
            <v>allaric@bki.co.id</v>
          </cell>
          <cell r="G683" t="str">
            <v>081381375736</v>
          </cell>
          <cell r="H683" t="str">
            <v>-</v>
          </cell>
          <cell r="I683">
            <v>0</v>
          </cell>
          <cell r="J683">
            <v>0</v>
          </cell>
        </row>
        <row r="684">
          <cell r="B684" t="str">
            <v>ADHI KHOLIDDIN</v>
          </cell>
          <cell r="C684" t="str">
            <v>DIVISI SISTEM MANAJEMEN DAN AUDIT</v>
          </cell>
          <cell r="D684" t="str">
            <v>DIVISI SISTEM MANAJEMEN DAN AUDIT</v>
          </cell>
          <cell r="E684" t="str">
            <v>VP MANAJEMEN SISTEM DAN MUTU</v>
          </cell>
          <cell r="F684" t="str">
            <v>adhi@bki.co.id</v>
          </cell>
          <cell r="G684" t="str">
            <v>085769969929</v>
          </cell>
          <cell r="H684" t="str">
            <v>8A</v>
          </cell>
          <cell r="I684">
            <v>0</v>
          </cell>
          <cell r="J684">
            <v>0</v>
          </cell>
        </row>
        <row r="685">
          <cell r="B685" t="str">
            <v>LYZA YUNI SETIAWATI</v>
          </cell>
          <cell r="C685" t="str">
            <v>DIVISI SISTEM MANAJEMEN DAN AUDIT</v>
          </cell>
          <cell r="D685" t="str">
            <v>DIVISI SISTEM MANAJEMEN DAN AUDIT</v>
          </cell>
          <cell r="E685" t="str">
            <v>SENIOR MANAGER SISTEM AUDIT DAN MANAJEMEN MUTU KOMERSIL</v>
          </cell>
          <cell r="F685" t="str">
            <v>lyzays@bki.co.id</v>
          </cell>
          <cell r="G685" t="str">
            <v>081213342474</v>
          </cell>
          <cell r="H685" t="str">
            <v>7B</v>
          </cell>
          <cell r="I685">
            <v>250000</v>
          </cell>
          <cell r="J685">
            <v>0</v>
          </cell>
        </row>
        <row r="686">
          <cell r="B686" t="str">
            <v>SYAFIUDDIN</v>
          </cell>
          <cell r="C686" t="str">
            <v>DIVISI SISTEM MANAJEMEN DAN AUDIT</v>
          </cell>
          <cell r="D686" t="str">
            <v>DIVISI SISTEM MANAJEMEN DAN AUDIT</v>
          </cell>
          <cell r="E686" t="str">
            <v>SENIOR MANAGER SISTEM AUDIT DAN MANAJEMEN MUTU KLASIFIKASI</v>
          </cell>
          <cell r="F686" t="str">
            <v>syafiuddin@bki.co.id</v>
          </cell>
          <cell r="G686" t="str">
            <v>081586626621</v>
          </cell>
          <cell r="H686" t="str">
            <v>7B</v>
          </cell>
          <cell r="I686">
            <v>0</v>
          </cell>
          <cell r="J686">
            <v>0</v>
          </cell>
        </row>
        <row r="687">
          <cell r="B687" t="str">
            <v>SIGIT PAMUNGKAS</v>
          </cell>
          <cell r="C687" t="str">
            <v>DIVISI SISTEM MANAJEMEN DAN AUDIT</v>
          </cell>
          <cell r="D687" t="str">
            <v>DIVISI SISTEM MANAJEMEN DAN AUDIT</v>
          </cell>
          <cell r="E687" t="str">
            <v>AUDITOR SENIOR I A MANAJEMEN MUTU KLASIFIKASI</v>
          </cell>
          <cell r="F687" t="str">
            <v>sigit.pamungkas@bki.co.id</v>
          </cell>
          <cell r="G687" t="str">
            <v>081283286269</v>
          </cell>
          <cell r="H687" t="str">
            <v>6A</v>
          </cell>
          <cell r="I687">
            <v>0</v>
          </cell>
          <cell r="J687">
            <v>0</v>
          </cell>
        </row>
        <row r="688">
          <cell r="B688" t="str">
            <v>KARTIKA WIJAYANTI KUSUMAWARDHANI</v>
          </cell>
          <cell r="C688" t="str">
            <v>DIVISI SISTEM MANAJEMEN DAN AUDIT</v>
          </cell>
          <cell r="D688" t="str">
            <v>DIVISI SISTEM MANAJEMEN DAN AUDIT</v>
          </cell>
          <cell r="E688" t="str">
            <v>ADMINISTRATOR SENIOR</v>
          </cell>
          <cell r="F688" t="str">
            <v>kartika.wijayanti@bki.co.id</v>
          </cell>
          <cell r="G688" t="str">
            <v>08161430684</v>
          </cell>
          <cell r="H688" t="str">
            <v>3B</v>
          </cell>
          <cell r="I688">
            <v>150000</v>
          </cell>
          <cell r="J688">
            <v>1000000</v>
          </cell>
        </row>
        <row r="689">
          <cell r="B689" t="str">
            <v>MUKTI BRAVITA</v>
          </cell>
          <cell r="C689" t="str">
            <v>DIVISI SISTEM MANAJEMEN DAN AUDIT</v>
          </cell>
          <cell r="D689" t="str">
            <v>DIVISI SISTEM MANAJEMEN DAN AUDIT</v>
          </cell>
          <cell r="E689" t="str">
            <v>AUDITOR MANAJEMEN MUTU KOMERSIAL</v>
          </cell>
          <cell r="F689" t="str">
            <v>mukti@bki.co.id</v>
          </cell>
          <cell r="G689" t="str">
            <v>081318115181</v>
          </cell>
          <cell r="H689" t="str">
            <v>5C</v>
          </cell>
          <cell r="I689">
            <v>0</v>
          </cell>
          <cell r="J689">
            <v>0</v>
          </cell>
        </row>
        <row r="690">
          <cell r="B690" t="str">
            <v>ANDI LAMAPPASESSU</v>
          </cell>
          <cell r="C690" t="str">
            <v>DIVISI SISTEM MANAJEMEN DAN AUDIT</v>
          </cell>
          <cell r="D690" t="str">
            <v>DIVISI SISTEM MANAJEMEN DAN AUDIT</v>
          </cell>
          <cell r="E690" t="str">
            <v>AUDITOR SENIOR I MANAJEMEN MUTU KOMERSIAL</v>
          </cell>
          <cell r="F690" t="str">
            <v>mappasessu@bki.co.id</v>
          </cell>
          <cell r="G690" t="str">
            <v>02186886455</v>
          </cell>
          <cell r="H690" t="str">
            <v>6B</v>
          </cell>
          <cell r="I690">
            <v>350000</v>
          </cell>
          <cell r="J690">
            <v>7609848</v>
          </cell>
        </row>
        <row r="691">
          <cell r="B691" t="str">
            <v>TUNJUNG WIDYATMO HANDOYO</v>
          </cell>
          <cell r="C691" t="str">
            <v>DIVISI SISTEM MANAJEMEN DAN AUDIT</v>
          </cell>
          <cell r="D691" t="str">
            <v>DIVISI SISTEM MANAJEMEN DAN AUDIT</v>
          </cell>
          <cell r="E691" t="str">
            <v>AUDITOR MANAJEMEN MUTU KOMERSIAL</v>
          </cell>
          <cell r="F691" t="str">
            <v>tunjung.wh@bki.co.id</v>
          </cell>
          <cell r="G691" t="str">
            <v>085229530830</v>
          </cell>
          <cell r="H691" t="str">
            <v>5C</v>
          </cell>
          <cell r="I691">
            <v>100000</v>
          </cell>
          <cell r="J691">
            <v>1000000</v>
          </cell>
        </row>
        <row r="692">
          <cell r="B692" t="str">
            <v>ANGGA SANTOSO</v>
          </cell>
          <cell r="C692" t="str">
            <v>DIVISI SISTEM MANAJEMEN DAN AUDIT</v>
          </cell>
          <cell r="D692" t="str">
            <v>DIVISI SISTEM MANAJEMEN DAN AUDIT</v>
          </cell>
          <cell r="E692" t="str">
            <v>AUDITOR SENIOR 1A MANAJEMEN MUTU KOMERSIL</v>
          </cell>
          <cell r="F692" t="str">
            <v>angga.santoso@bki.co.id</v>
          </cell>
          <cell r="G692" t="str">
            <v>082151629265</v>
          </cell>
          <cell r="H692" t="str">
            <v>6A</v>
          </cell>
          <cell r="I692">
            <v>0</v>
          </cell>
          <cell r="J692">
            <v>0</v>
          </cell>
        </row>
        <row r="693">
          <cell r="B693" t="str">
            <v>AHMAD RIADUS SHOLIHIN</v>
          </cell>
          <cell r="C693" t="str">
            <v>DIVISI SISTEM MANAJEMEN DAN AUDIT</v>
          </cell>
          <cell r="D693" t="str">
            <v>DIVISI SISTEM MANAJEMEN DAN AUDIT</v>
          </cell>
          <cell r="E693" t="str">
            <v>AUDITOR MANAJEMEN MUTU KLASIFIKASI</v>
          </cell>
          <cell r="F693" t="str">
            <v>ahmadriadus@bki.co.id</v>
          </cell>
          <cell r="G693" t="str">
            <v>0817 5721 964</v>
          </cell>
          <cell r="H693" t="str">
            <v>5C</v>
          </cell>
          <cell r="I693">
            <v>0</v>
          </cell>
          <cell r="J693">
            <v>0</v>
          </cell>
        </row>
        <row r="694">
          <cell r="B694" t="str">
            <v>ROMY LESMANA</v>
          </cell>
          <cell r="C694" t="str">
            <v>DIVISI SISTEM MANAJEMEN DAN AUDIT</v>
          </cell>
          <cell r="D694" t="str">
            <v>DIVISI SISTEM MANAJEMEN DAN AUDIT</v>
          </cell>
          <cell r="E694" t="str">
            <v>AUDITOR SENIOR II MANAJEMEN MUTU KLASIFIKASI</v>
          </cell>
          <cell r="F694" t="str">
            <v>romy@bki.co.id</v>
          </cell>
          <cell r="G694" t="str">
            <v>08129937685</v>
          </cell>
          <cell r="H694" t="str">
            <v>7B</v>
          </cell>
          <cell r="I694">
            <v>0</v>
          </cell>
          <cell r="J694">
            <v>0</v>
          </cell>
        </row>
        <row r="695">
          <cell r="B695" t="str">
            <v>SITI UKHFIYA</v>
          </cell>
          <cell r="C695" t="str">
            <v>DIVISI SISTEM MANAJEMEN DAN AUDIT</v>
          </cell>
          <cell r="D695" t="str">
            <v>DIVISI SISTEM MANAJEMEN DAN AUDIT</v>
          </cell>
          <cell r="E695" t="str">
            <v>STAF ADMINISTRASI</v>
          </cell>
          <cell r="F695" t="str">
            <v>Siti.Ukhfiya@bki.co.id</v>
          </cell>
          <cell r="H695">
            <v>0</v>
          </cell>
          <cell r="I695">
            <v>0</v>
          </cell>
          <cell r="J695">
            <v>0</v>
          </cell>
        </row>
        <row r="696">
          <cell r="B696" t="str">
            <v>TRI LAKSONO JOENIAWAN</v>
          </cell>
          <cell r="C696" t="str">
            <v>DIVISI STATUTORIA</v>
          </cell>
          <cell r="D696" t="str">
            <v>DIVISI STATUTORIA</v>
          </cell>
          <cell r="E696" t="str">
            <v>SURVEYOR SENIOR II B OPERASI STATUTORIA KONVENSI</v>
          </cell>
          <cell r="F696" t="str">
            <v>tri@bki.co.id</v>
          </cell>
          <cell r="G696" t="str">
            <v>08111886369</v>
          </cell>
          <cell r="H696" t="str">
            <v>7B</v>
          </cell>
          <cell r="I696">
            <v>350000</v>
          </cell>
          <cell r="J696">
            <v>7560692</v>
          </cell>
        </row>
        <row r="697">
          <cell r="B697" t="str">
            <v>EFA ROSIDA DWI ADITIRTA</v>
          </cell>
          <cell r="C697" t="str">
            <v>DIVISI STATUTORIA</v>
          </cell>
          <cell r="D697" t="str">
            <v>DIVISI STATUTORIA</v>
          </cell>
          <cell r="E697" t="str">
            <v>SPESIALIS RELASI EKSTERNAL STATUTORIA</v>
          </cell>
          <cell r="F697" t="str">
            <v>efa.rosida@bki.co.id</v>
          </cell>
          <cell r="G697" t="str">
            <v/>
          </cell>
          <cell r="H697" t="str">
            <v>6B</v>
          </cell>
          <cell r="I697">
            <v>0</v>
          </cell>
          <cell r="J697">
            <v>0</v>
          </cell>
        </row>
        <row r="698">
          <cell r="B698" t="str">
            <v>DOAN OSCAR DEWANDARU</v>
          </cell>
          <cell r="C698" t="str">
            <v>DIVISI STATUTORIA</v>
          </cell>
          <cell r="D698" t="str">
            <v>DIVISI STATUTORIA</v>
          </cell>
          <cell r="E698" t="str">
            <v>SURVEYOR SENIOR II B OPERASI STATUTORIA KONVENSI</v>
          </cell>
          <cell r="F698" t="str">
            <v>doan.oscar@bki.co.id</v>
          </cell>
          <cell r="G698" t="str">
            <v>08568030060</v>
          </cell>
          <cell r="H698" t="str">
            <v>7B</v>
          </cell>
          <cell r="I698">
            <v>250000</v>
          </cell>
          <cell r="J698">
            <v>0</v>
          </cell>
        </row>
        <row r="699">
          <cell r="B699" t="str">
            <v>TRI BUANA GALAXY</v>
          </cell>
          <cell r="C699" t="str">
            <v>DIVISI STATUTORIA</v>
          </cell>
          <cell r="D699" t="str">
            <v>DIVISI STATUTORIA</v>
          </cell>
          <cell r="E699" t="str">
            <v>SENIOR MANAGER RELASI EKSTERNAL STATUTORIA</v>
          </cell>
          <cell r="F699" t="str">
            <v>galaxy@bki.co.id</v>
          </cell>
          <cell r="G699" t="str">
            <v>087865000090</v>
          </cell>
          <cell r="H699" t="str">
            <v>7B</v>
          </cell>
          <cell r="I699">
            <v>350000</v>
          </cell>
          <cell r="J699">
            <v>0</v>
          </cell>
        </row>
        <row r="700">
          <cell r="B700" t="str">
            <v>BRAMS FIRNANDES</v>
          </cell>
          <cell r="C700" t="str">
            <v>DIVISI STATUTORIA</v>
          </cell>
          <cell r="D700" t="str">
            <v>DIVISI STATUTORIA</v>
          </cell>
          <cell r="E700" t="str">
            <v>ANALIS RELASI EKSTERNAL STATUTORIA</v>
          </cell>
          <cell r="F700" t="str">
            <v>brams.gultom@bki.co.id</v>
          </cell>
          <cell r="G700" t="str">
            <v>081290761209</v>
          </cell>
          <cell r="H700" t="str">
            <v>5B</v>
          </cell>
          <cell r="I700">
            <v>0</v>
          </cell>
          <cell r="J700">
            <v>0</v>
          </cell>
        </row>
        <row r="701">
          <cell r="B701" t="str">
            <v>LA ODE MUHAMMAD ICHSAN</v>
          </cell>
          <cell r="C701" t="str">
            <v>DIVISI STATUTORIA</v>
          </cell>
          <cell r="D701" t="str">
            <v>DIVISI STATUTORIA</v>
          </cell>
          <cell r="E701" t="str">
            <v>SURVEYOR OPERASI STATUTORIA NON KONVENSI</v>
          </cell>
          <cell r="F701" t="str">
            <v>laode.ichsan@bki.co.id</v>
          </cell>
          <cell r="G701" t="str">
            <v>085241678197</v>
          </cell>
          <cell r="H701" t="str">
            <v>5C</v>
          </cell>
          <cell r="I701">
            <v>0</v>
          </cell>
          <cell r="J701">
            <v>0</v>
          </cell>
        </row>
        <row r="702">
          <cell r="B702" t="str">
            <v>JAKARIA</v>
          </cell>
          <cell r="C702" t="str">
            <v>DIVISI STATUTORIA</v>
          </cell>
          <cell r="D702" t="str">
            <v>DIVISI STATUTORIA</v>
          </cell>
          <cell r="E702" t="str">
            <v>ADMINISTRATOR</v>
          </cell>
          <cell r="F702" t="str">
            <v>jakaria@bki.co.id</v>
          </cell>
          <cell r="G702" t="str">
            <v>081910779144</v>
          </cell>
          <cell r="H702" t="str">
            <v>2A</v>
          </cell>
          <cell r="I702">
            <v>0</v>
          </cell>
          <cell r="J702">
            <v>0</v>
          </cell>
        </row>
        <row r="703">
          <cell r="B703" t="str">
            <v>ASEP SUPRIATNA</v>
          </cell>
          <cell r="C703" t="str">
            <v>DIVISI STATUTORIA</v>
          </cell>
          <cell r="D703" t="str">
            <v>DIVISI STATUTORIA</v>
          </cell>
          <cell r="E703" t="str">
            <v>ADMINISTRATOR SENIOR</v>
          </cell>
          <cell r="F703" t="str">
            <v>asep.supriatna@bki.co.id</v>
          </cell>
          <cell r="G703" t="str">
            <v>085810217933</v>
          </cell>
          <cell r="H703" t="str">
            <v>3B</v>
          </cell>
          <cell r="I703">
            <v>0</v>
          </cell>
          <cell r="J703">
            <v>0</v>
          </cell>
        </row>
        <row r="704">
          <cell r="B704" t="str">
            <v>SOFYAN HADI</v>
          </cell>
          <cell r="C704" t="str">
            <v>DIVISI STATUTORIA</v>
          </cell>
          <cell r="D704" t="str">
            <v>DIVISI STATUTORIA</v>
          </cell>
          <cell r="E704" t="str">
            <v>SENIOR MANAGER OPERASI STATUTORIA KONVENSI</v>
          </cell>
          <cell r="F704" t="str">
            <v>sofyan.hadi@bki.co.id</v>
          </cell>
          <cell r="G704" t="str">
            <v>081293594946</v>
          </cell>
          <cell r="H704" t="str">
            <v>7C</v>
          </cell>
          <cell r="I704">
            <v>0</v>
          </cell>
          <cell r="J704">
            <v>0</v>
          </cell>
        </row>
        <row r="705">
          <cell r="B705" t="str">
            <v>ADITYA TRISANDHYA PRAMANA</v>
          </cell>
          <cell r="C705" t="str">
            <v>DIVISI STATUTORIA</v>
          </cell>
          <cell r="D705" t="str">
            <v>DIVISI STATUTORIA</v>
          </cell>
          <cell r="E705" t="str">
            <v>VP STATUTORIA</v>
          </cell>
          <cell r="F705" t="str">
            <v>aditya@bki.co.id</v>
          </cell>
          <cell r="G705" t="str">
            <v>087888644345</v>
          </cell>
          <cell r="H705" t="str">
            <v>8B</v>
          </cell>
          <cell r="I705">
            <v>350000</v>
          </cell>
          <cell r="J705">
            <v>0</v>
          </cell>
        </row>
        <row r="706">
          <cell r="B706" t="str">
            <v>PURWANTYA</v>
          </cell>
          <cell r="C706" t="str">
            <v>DIVISI STATUTORIA</v>
          </cell>
          <cell r="D706" t="str">
            <v>DIVISI STATUTORIA</v>
          </cell>
          <cell r="E706" t="str">
            <v>ADMINISTRATOR SENIOR</v>
          </cell>
          <cell r="F706" t="str">
            <v>purwantya@bki.co.id</v>
          </cell>
          <cell r="G706" t="str">
            <v>081291960123</v>
          </cell>
          <cell r="H706" t="str">
            <v>3B</v>
          </cell>
          <cell r="I706">
            <v>0</v>
          </cell>
          <cell r="J706">
            <v>0</v>
          </cell>
        </row>
        <row r="707">
          <cell r="B707" t="str">
            <v>ANDIK EKO SAPUTRO</v>
          </cell>
          <cell r="C707" t="str">
            <v>DIVISI STATUTORIA</v>
          </cell>
          <cell r="D707" t="str">
            <v>DIVISI STATUTORIA</v>
          </cell>
          <cell r="E707" t="str">
            <v>ENGINEER RELASI EKSTERNAL STATUTORIA</v>
          </cell>
          <cell r="F707" t="str">
            <v>andik.saputro@bki.co.id</v>
          </cell>
          <cell r="G707" t="str">
            <v>085735163732</v>
          </cell>
          <cell r="H707" t="str">
            <v>5B</v>
          </cell>
          <cell r="I707">
            <v>0</v>
          </cell>
          <cell r="J707">
            <v>0</v>
          </cell>
        </row>
        <row r="708">
          <cell r="B708" t="str">
            <v>RAHMAT KURNIAWAN</v>
          </cell>
          <cell r="C708" t="str">
            <v>DIVISI STATUTORIA</v>
          </cell>
          <cell r="D708" t="str">
            <v>DIVISI STATUTORIA</v>
          </cell>
          <cell r="E708" t="str">
            <v>SURVEYOR SENIOR II C OPERASI STATUTORIA NON KONVENSI</v>
          </cell>
          <cell r="F708" t="str">
            <v>rahmat.kurniawan@bki.co.id</v>
          </cell>
          <cell r="G708" t="str">
            <v>0818416175</v>
          </cell>
          <cell r="H708" t="str">
            <v>7C</v>
          </cell>
          <cell r="I708">
            <v>0</v>
          </cell>
          <cell r="J708">
            <v>0</v>
          </cell>
        </row>
        <row r="709">
          <cell r="B709" t="str">
            <v>FIRMANSYAH</v>
          </cell>
          <cell r="C709" t="str">
            <v>DIVISI STATUTORIA</v>
          </cell>
          <cell r="D709" t="str">
            <v>DIVISI STATUTORIA</v>
          </cell>
          <cell r="E709" t="str">
            <v>ADMINISTRATOR SENIOR</v>
          </cell>
          <cell r="F709" t="str">
            <v>firmansyah@bki.co.id</v>
          </cell>
          <cell r="G709" t="str">
            <v>081315912242</v>
          </cell>
          <cell r="H709" t="str">
            <v>3B</v>
          </cell>
          <cell r="I709">
            <v>150000</v>
          </cell>
          <cell r="J709">
            <v>0</v>
          </cell>
        </row>
        <row r="710">
          <cell r="B710" t="str">
            <v>AFIF AMRULLAH</v>
          </cell>
          <cell r="C710" t="str">
            <v>DIVISI STATUTORIA</v>
          </cell>
          <cell r="D710" t="str">
            <v>DIVISI STATUTORIA</v>
          </cell>
          <cell r="E710" t="str">
            <v>SURVEYOR SENIOR I C OPERASI STATUTORIA KONVENSI</v>
          </cell>
          <cell r="F710" t="str">
            <v>afif.amrullah@bki.co.id</v>
          </cell>
          <cell r="G710" t="str">
            <v>085731122280</v>
          </cell>
          <cell r="H710" t="str">
            <v>6C</v>
          </cell>
          <cell r="I710">
            <v>0</v>
          </cell>
          <cell r="J710">
            <v>0</v>
          </cell>
        </row>
        <row r="711">
          <cell r="B711" t="str">
            <v>BAYU WINDA ANANTAKA</v>
          </cell>
          <cell r="C711" t="str">
            <v>DIVISI STATUTORIA</v>
          </cell>
          <cell r="D711" t="str">
            <v>DIVISI STATUTORIA</v>
          </cell>
          <cell r="E711" t="str">
            <v>SURVEYOR SENIOR I A OPERASI STATUTORIA NON KONVENSI</v>
          </cell>
          <cell r="F711" t="str">
            <v>bayuwindaa@bki.co.id</v>
          </cell>
          <cell r="G711" t="str">
            <v>0812 8816 2018</v>
          </cell>
          <cell r="H711" t="str">
            <v>6A</v>
          </cell>
          <cell r="I711">
            <v>0</v>
          </cell>
          <cell r="J711">
            <v>0</v>
          </cell>
        </row>
        <row r="712">
          <cell r="B712" t="str">
            <v>SALSABILLA AULIA FITRI</v>
          </cell>
          <cell r="C712" t="str">
            <v>DIVISI STATUTORIA</v>
          </cell>
          <cell r="D712" t="str">
            <v>DIVISI STATUTORIA</v>
          </cell>
          <cell r="E712" t="str">
            <v>OFFICER RELASI EKSTERNAL</v>
          </cell>
          <cell r="F712" t="str">
            <v>salsabilla.af@bki.co.id</v>
          </cell>
          <cell r="H712" t="str">
            <v>4C</v>
          </cell>
          <cell r="I712">
            <v>0</v>
          </cell>
          <cell r="J712">
            <v>0</v>
          </cell>
        </row>
        <row r="713">
          <cell r="B713" t="str">
            <v>HAFEZ AHMAD TAURY</v>
          </cell>
          <cell r="C713" t="str">
            <v>DIVISI STATUTORIA</v>
          </cell>
          <cell r="D713" t="str">
            <v>DIVISI STATUTORIA</v>
          </cell>
          <cell r="E713" t="str">
            <v xml:space="preserve">STAF ENGINEER </v>
          </cell>
          <cell r="F713" t="str">
            <v>hafez.ah@bki.co.id</v>
          </cell>
          <cell r="G713" t="str">
            <v>081381186619</v>
          </cell>
          <cell r="H713" t="str">
            <v>-</v>
          </cell>
          <cell r="I713">
            <v>0</v>
          </cell>
          <cell r="J713">
            <v>0</v>
          </cell>
        </row>
        <row r="714">
          <cell r="B714" t="str">
            <v>NOAH CAHYASASMITA</v>
          </cell>
          <cell r="C714" t="str">
            <v>DIVISI SURVEY</v>
          </cell>
          <cell r="D714" t="str">
            <v>DIVISI SURVEY</v>
          </cell>
          <cell r="E714" t="str">
            <v xml:space="preserve">SURVEYOR SENIOR I A MEMPERTAHANKAN KLAS </v>
          </cell>
          <cell r="F714" t="str">
            <v>noah@bki.co.id</v>
          </cell>
          <cell r="G714" t="str">
            <v>081332556622</v>
          </cell>
          <cell r="H714" t="str">
            <v>6A</v>
          </cell>
          <cell r="I714">
            <v>250000</v>
          </cell>
          <cell r="J714">
            <v>5510001</v>
          </cell>
        </row>
        <row r="715">
          <cell r="B715" t="str">
            <v>FARHAN ABDUL KARIM</v>
          </cell>
          <cell r="C715" t="str">
            <v>DIVISI SURVEY</v>
          </cell>
          <cell r="D715" t="str">
            <v>DIVISI SURVEY</v>
          </cell>
          <cell r="E715" t="str">
            <v>SURVEYOR JUNIOR MEMPERTAHANKAN KLAS</v>
          </cell>
          <cell r="F715" t="str">
            <v>farhan.abdul@bki.co.id</v>
          </cell>
          <cell r="G715" t="str">
            <v>082127057631</v>
          </cell>
          <cell r="H715" t="str">
            <v>4C</v>
          </cell>
          <cell r="I715">
            <v>100000</v>
          </cell>
          <cell r="J715">
            <v>0</v>
          </cell>
        </row>
        <row r="716">
          <cell r="B716" t="str">
            <v>SUTRISNO</v>
          </cell>
          <cell r="C716" t="str">
            <v>DIVISI SURVEY</v>
          </cell>
          <cell r="D716" t="str">
            <v>DIVISI SURVEY</v>
          </cell>
          <cell r="E716" t="str">
            <v>SURVEYOR MEMPERTAHANKAN KLAS</v>
          </cell>
          <cell r="F716" t="str">
            <v>sutrisno@bki.co.id</v>
          </cell>
          <cell r="G716" t="str">
            <v>0852 7833 9237</v>
          </cell>
          <cell r="H716" t="str">
            <v>5C</v>
          </cell>
          <cell r="I716">
            <v>150000</v>
          </cell>
          <cell r="J716">
            <v>0</v>
          </cell>
        </row>
        <row r="717">
          <cell r="B717" t="str">
            <v>DIDIK PURWOSUSILO</v>
          </cell>
          <cell r="C717" t="str">
            <v>DIVISI SURVEY</v>
          </cell>
          <cell r="D717" t="str">
            <v>DIVISI SURVEY</v>
          </cell>
          <cell r="E717" t="str">
            <v>SENIOR MANAGER MEMPERTAHANKAN KLAS NUSANTARA</v>
          </cell>
          <cell r="F717" t="str">
            <v>didik@bki.co.id</v>
          </cell>
          <cell r="G717" t="str">
            <v>081251299440</v>
          </cell>
          <cell r="H717" t="str">
            <v>7A</v>
          </cell>
          <cell r="I717">
            <v>0</v>
          </cell>
          <cell r="J717">
            <v>0</v>
          </cell>
        </row>
        <row r="718">
          <cell r="B718" t="str">
            <v>ARIF YUNAEDI</v>
          </cell>
          <cell r="C718" t="str">
            <v>DIVISI SURVEY</v>
          </cell>
          <cell r="D718" t="str">
            <v>DIVISI SURVEY</v>
          </cell>
          <cell r="E718" t="str">
            <v>SENIOR MANAGER MANAJEMEN KLASIFIKASI NUSANTARA</v>
          </cell>
          <cell r="F718" t="str">
            <v>arif.yunaedi@bki.co.id</v>
          </cell>
          <cell r="G718" t="str">
            <v>081234072072</v>
          </cell>
          <cell r="H718" t="str">
            <v>7B</v>
          </cell>
          <cell r="I718">
            <v>350000</v>
          </cell>
          <cell r="J718">
            <v>0</v>
          </cell>
        </row>
        <row r="719">
          <cell r="B719" t="str">
            <v>SIGIT PRASTOWO</v>
          </cell>
          <cell r="C719" t="str">
            <v>DIVISI SURVEY</v>
          </cell>
          <cell r="D719" t="str">
            <v>DIVISI SURVEY</v>
          </cell>
          <cell r="E719" t="str">
            <v>SURVEYOR SENIOR I C MEMPERTAHANKAN KLAS NUSANTARA</v>
          </cell>
          <cell r="F719" t="str">
            <v>sigit.prastowo@bki.co.id</v>
          </cell>
          <cell r="G719" t="str">
            <v>08111917870</v>
          </cell>
          <cell r="H719" t="str">
            <v>6C</v>
          </cell>
          <cell r="I719">
            <v>350000</v>
          </cell>
          <cell r="J719">
            <v>0</v>
          </cell>
        </row>
        <row r="720">
          <cell r="B720" t="str">
            <v>SYARIFUL MAHSYAR</v>
          </cell>
          <cell r="C720" t="str">
            <v>DIVISI SURVEY</v>
          </cell>
          <cell r="D720" t="str">
            <v>DIVISI SURVEY</v>
          </cell>
          <cell r="E720" t="str">
            <v>ENGINEER SENIOR I A MANAJEMEN KLASIFIKASI</v>
          </cell>
          <cell r="F720" t="str">
            <v>syariful.mahsyar@bki.co.id</v>
          </cell>
          <cell r="G720" t="str">
            <v>081314135158</v>
          </cell>
          <cell r="H720" t="str">
            <v>6A</v>
          </cell>
          <cell r="I720">
            <v>150000</v>
          </cell>
          <cell r="J720">
            <v>0</v>
          </cell>
        </row>
        <row r="721">
          <cell r="B721" t="str">
            <v>ALI AKBAR BASO</v>
          </cell>
          <cell r="C721" t="str">
            <v>DIVISI SURVEY</v>
          </cell>
          <cell r="D721" t="str">
            <v>DIVISI SURVEY</v>
          </cell>
          <cell r="E721" t="str">
            <v>SENIOR MANAGER PENERIMAAN KLAS NUSANTARA</v>
          </cell>
          <cell r="F721" t="str">
            <v>ali.akbarbaso@bki.co.id</v>
          </cell>
          <cell r="G721" t="str">
            <v>081261459165</v>
          </cell>
          <cell r="H721" t="str">
            <v>7C</v>
          </cell>
          <cell r="I721">
            <v>350000</v>
          </cell>
          <cell r="J721">
            <v>0</v>
          </cell>
        </row>
        <row r="722">
          <cell r="B722" t="str">
            <v>LUTFI PALIAM PARAYA</v>
          </cell>
          <cell r="C722" t="str">
            <v>DIVISI SURVEY</v>
          </cell>
          <cell r="D722" t="str">
            <v>DIVISI SURVEY</v>
          </cell>
          <cell r="E722" t="str">
            <v>SURVEYOR MEMPERTAHANKAN KLAS NUSANTARA</v>
          </cell>
          <cell r="F722" t="str">
            <v>lutfi.paraya@bki.co.id</v>
          </cell>
          <cell r="G722" t="str">
            <v>081235128004</v>
          </cell>
          <cell r="H722" t="str">
            <v>5C</v>
          </cell>
          <cell r="I722">
            <v>250000</v>
          </cell>
          <cell r="J722">
            <v>0</v>
          </cell>
        </row>
        <row r="723">
          <cell r="B723" t="str">
            <v>SETIONO PRABOWO</v>
          </cell>
          <cell r="C723" t="str">
            <v>DIVISI SURVEY</v>
          </cell>
          <cell r="D723" t="str">
            <v>DIVISI SURVEY</v>
          </cell>
          <cell r="E723" t="str">
            <v>SURVEYOR MEMPERTAHANKAN KLAS NUSANTARA</v>
          </cell>
          <cell r="F723" t="str">
            <v>setiono.prabowo@bki.co.id</v>
          </cell>
          <cell r="G723" t="str">
            <v>081288123586</v>
          </cell>
          <cell r="H723" t="str">
            <v>5C</v>
          </cell>
          <cell r="I723">
            <v>250000</v>
          </cell>
          <cell r="J723">
            <v>0</v>
          </cell>
        </row>
        <row r="724">
          <cell r="B724" t="str">
            <v>KOKOK YUDHA CAHYONO</v>
          </cell>
          <cell r="C724" t="str">
            <v>DIVISI SURVEY</v>
          </cell>
          <cell r="D724" t="str">
            <v>DIVISI SURVEY</v>
          </cell>
          <cell r="E724" t="str">
            <v>SURVEYOR SENIOR I A PENERIMAAN KLAS NUSANTARA</v>
          </cell>
          <cell r="F724" t="str">
            <v>kokok.yc@bki.co.id</v>
          </cell>
          <cell r="G724" t="str">
            <v>081357910921</v>
          </cell>
          <cell r="H724" t="str">
            <v>6A</v>
          </cell>
          <cell r="I724">
            <v>0</v>
          </cell>
          <cell r="J724">
            <v>0</v>
          </cell>
        </row>
        <row r="725">
          <cell r="B725" t="str">
            <v>M. ARIEF MAULANA WIRANEGARA</v>
          </cell>
          <cell r="C725" t="str">
            <v>DIVISI SURVEY</v>
          </cell>
          <cell r="D725" t="str">
            <v>DIVISI SURVEY</v>
          </cell>
          <cell r="E725" t="str">
            <v>SURVEYOR SENIOR I A MEMPERTAHANKAN KLAS NUSANTARA</v>
          </cell>
          <cell r="F725" t="str">
            <v>arief.mw@bki.co.id</v>
          </cell>
          <cell r="G725" t="str">
            <v>082233009911</v>
          </cell>
          <cell r="H725" t="str">
            <v>6A</v>
          </cell>
          <cell r="I725">
            <v>0</v>
          </cell>
          <cell r="J725">
            <v>0</v>
          </cell>
        </row>
        <row r="726">
          <cell r="B726" t="str">
            <v>WIYONO</v>
          </cell>
          <cell r="C726" t="str">
            <v>DIVISI SURVEY</v>
          </cell>
          <cell r="D726" t="str">
            <v>DIVISI SURVEY</v>
          </cell>
          <cell r="E726" t="str">
            <v>VP SURVEY</v>
          </cell>
          <cell r="F726" t="str">
            <v>wiyono@bki.co.id</v>
          </cell>
          <cell r="G726" t="str">
            <v>0811805026</v>
          </cell>
          <cell r="H726" t="str">
            <v>8B</v>
          </cell>
          <cell r="I726">
            <v>0</v>
          </cell>
          <cell r="J726">
            <v>0</v>
          </cell>
        </row>
        <row r="727">
          <cell r="B727" t="str">
            <v>HAMBALI WAHID</v>
          </cell>
          <cell r="C727" t="str">
            <v>DIVISI SURVEY</v>
          </cell>
          <cell r="D727" t="str">
            <v>DIVISI SURVEY</v>
          </cell>
          <cell r="E727" t="str">
            <v>ADMINISTRATOR SENIOR</v>
          </cell>
          <cell r="F727" t="str">
            <v>hambali.wahid@bki.co.id</v>
          </cell>
          <cell r="G727" t="str">
            <v>085110381105</v>
          </cell>
          <cell r="H727" t="str">
            <v>3B</v>
          </cell>
          <cell r="I727">
            <v>150000</v>
          </cell>
          <cell r="J727">
            <v>0</v>
          </cell>
        </row>
        <row r="728">
          <cell r="B728" t="str">
            <v>YUSUF</v>
          </cell>
          <cell r="C728" t="str">
            <v>DIVISI SURVEY</v>
          </cell>
          <cell r="D728" t="str">
            <v>DIVISI SURVEY</v>
          </cell>
          <cell r="E728" t="str">
            <v>ADMINISTRATOR SENIOR</v>
          </cell>
          <cell r="F728" t="str">
            <v>yusuf@bki.co.id</v>
          </cell>
          <cell r="G728" t="str">
            <v>0813 1414 6008</v>
          </cell>
          <cell r="H728" t="str">
            <v>3B</v>
          </cell>
          <cell r="I728">
            <v>0</v>
          </cell>
          <cell r="J728">
            <v>0</v>
          </cell>
        </row>
        <row r="729">
          <cell r="B729" t="str">
            <v>ADHITAMA RAMA M</v>
          </cell>
          <cell r="C729" t="str">
            <v>DIVISI SURVEY</v>
          </cell>
          <cell r="D729" t="str">
            <v>DIVISI SURVEY</v>
          </cell>
          <cell r="E729" t="str">
            <v>SURVEYOR MEMPERTAHANKAN KLAS NUSANTARA</v>
          </cell>
          <cell r="F729" t="str">
            <v>adhitama.rama@bki.co.id</v>
          </cell>
          <cell r="G729" t="str">
            <v>081290298732</v>
          </cell>
          <cell r="H729" t="str">
            <v>5C</v>
          </cell>
          <cell r="I729">
            <v>0</v>
          </cell>
          <cell r="J729">
            <v>0</v>
          </cell>
        </row>
        <row r="730">
          <cell r="B730" t="str">
            <v>MUHAMMAD ARFAH</v>
          </cell>
          <cell r="C730" t="str">
            <v>DIVISI SURVEY</v>
          </cell>
          <cell r="D730" t="str">
            <v>DIVISI SURVEY</v>
          </cell>
          <cell r="E730" t="str">
            <v>SURVEYOR SENIOR II C MEMPERTAHANKAN KLAS NUSANTARA</v>
          </cell>
          <cell r="F730" t="str">
            <v>arfah@bki.co.id</v>
          </cell>
          <cell r="G730" t="str">
            <v>081288844625</v>
          </cell>
          <cell r="H730" t="str">
            <v>7C</v>
          </cell>
          <cell r="I730">
            <v>350000</v>
          </cell>
          <cell r="J730">
            <v>0</v>
          </cell>
        </row>
        <row r="731">
          <cell r="B731" t="str">
            <v>YUDI WASIANTO</v>
          </cell>
          <cell r="C731" t="str">
            <v>DIVISI SURVEY</v>
          </cell>
          <cell r="D731" t="str">
            <v>DIVISI SURVEY</v>
          </cell>
          <cell r="E731" t="str">
            <v>SURVEYOR SENIOR I C MEMPERTAHANKAN KLAS NUSANTARA</v>
          </cell>
          <cell r="F731" t="str">
            <v>yudi.wasianto@bki.co.id</v>
          </cell>
          <cell r="G731" t="str">
            <v>0811 270 2942</v>
          </cell>
          <cell r="H731" t="str">
            <v>6C</v>
          </cell>
          <cell r="I731">
            <v>0</v>
          </cell>
          <cell r="J731">
            <v>0</v>
          </cell>
        </row>
        <row r="732">
          <cell r="B732" t="str">
            <v>GARY SIMON</v>
          </cell>
          <cell r="C732" t="str">
            <v>DIVISI SURVEY</v>
          </cell>
          <cell r="D732" t="str">
            <v>DIVISI SURVEY</v>
          </cell>
          <cell r="E732" t="str">
            <v>SURVEYOR SENIOR I B PENERIMAAN KLAS NUSANTARA</v>
          </cell>
          <cell r="F732" t="str">
            <v>gary.simon@bki.co.id</v>
          </cell>
          <cell r="G732" t="str">
            <v>082169967749</v>
          </cell>
          <cell r="H732" t="str">
            <v>6B</v>
          </cell>
          <cell r="I732">
            <v>250000</v>
          </cell>
          <cell r="J732">
            <v>0</v>
          </cell>
        </row>
        <row r="733">
          <cell r="B733" t="str">
            <v xml:space="preserve">TRI ASTUTI SUDARMINTO </v>
          </cell>
          <cell r="C733" t="str">
            <v>DIVISI SURVEY</v>
          </cell>
          <cell r="D733" t="str">
            <v>DIVISI SURVEY</v>
          </cell>
          <cell r="E733" t="str">
            <v>SURVEYOR JUNIOR MENAJEMEN KLAS</v>
          </cell>
          <cell r="F733" t="str">
            <v>tri.as@bki.co.id</v>
          </cell>
          <cell r="H733" t="str">
            <v>4C</v>
          </cell>
          <cell r="I733">
            <v>0</v>
          </cell>
          <cell r="J733">
            <v>0</v>
          </cell>
        </row>
        <row r="734">
          <cell r="B734" t="str">
            <v>PRASETYO</v>
          </cell>
          <cell r="C734" t="str">
            <v>DIVISI TEKNOLOGI INFORMASI</v>
          </cell>
          <cell r="D734" t="str">
            <v>DIVISI TEKNOLOGI INFORMASI</v>
          </cell>
          <cell r="E734" t="str">
            <v>SENIOR MANAGER PENGEMBANGAN DAN OPERASI TI</v>
          </cell>
          <cell r="F734" t="str">
            <v>prasetyo@bki.co.id</v>
          </cell>
          <cell r="G734" t="str">
            <v>082192733363</v>
          </cell>
          <cell r="H734" t="str">
            <v>7B</v>
          </cell>
          <cell r="I734">
            <v>350000</v>
          </cell>
          <cell r="J734">
            <v>1733796</v>
          </cell>
        </row>
        <row r="735">
          <cell r="B735" t="str">
            <v>DICKY ALDOKO</v>
          </cell>
          <cell r="C735" t="str">
            <v>DIVISI TEKNOLOGI INFORMASI</v>
          </cell>
          <cell r="D735" t="str">
            <v>DIVISI TEKNOLOGI INFORMASI</v>
          </cell>
          <cell r="E735" t="str">
            <v>ANALIS MANAJEMEN PROYEK TEKNOLOGI INFORMASI</v>
          </cell>
          <cell r="F735" t="str">
            <v>dicky.aldoko@bki.co.id</v>
          </cell>
          <cell r="G735" t="str">
            <v>087859294665</v>
          </cell>
          <cell r="H735" t="str">
            <v>5C</v>
          </cell>
          <cell r="I735">
            <v>150000</v>
          </cell>
          <cell r="J735">
            <v>0</v>
          </cell>
        </row>
        <row r="736">
          <cell r="B736" t="str">
            <v>RIZKY PRASETYA ADE N</v>
          </cell>
          <cell r="C736" t="str">
            <v>DIVISI TEKNOLOGI INFORMASI</v>
          </cell>
          <cell r="D736" t="str">
            <v>DIVISI TEKNOLOGI INFORMASI</v>
          </cell>
          <cell r="E736" t="str">
            <v>SPESIALIS PENGAMANAN TEKNOLOGI INFORMASI</v>
          </cell>
          <cell r="F736" t="str">
            <v>rizky.pan@bki.co.id</v>
          </cell>
          <cell r="G736">
            <v>0</v>
          </cell>
          <cell r="H736" t="str">
            <v>6A</v>
          </cell>
          <cell r="I736">
            <v>0</v>
          </cell>
          <cell r="J736">
            <v>0</v>
          </cell>
        </row>
        <row r="737">
          <cell r="B737" t="str">
            <v>M RAHMAT AKBAR RAMADHAN</v>
          </cell>
          <cell r="C737" t="str">
            <v>DIVISI TEKNOLOGI INFORMASI</v>
          </cell>
          <cell r="D737" t="str">
            <v>DIVISI TEKNOLOGI INFORMASI</v>
          </cell>
          <cell r="E737" t="str">
            <v>ANALIS PENGEMBANGAN DAN OPERASI TEKNOLOGI INFORMASI</v>
          </cell>
          <cell r="F737" t="str">
            <v>rahmat.akbar@bki.co.id</v>
          </cell>
          <cell r="G737">
            <v>0</v>
          </cell>
          <cell r="H737" t="str">
            <v>5C</v>
          </cell>
          <cell r="I737">
            <v>250000</v>
          </cell>
          <cell r="J737">
            <v>0</v>
          </cell>
        </row>
        <row r="738">
          <cell r="B738" t="str">
            <v>FACHRUDIN NUR</v>
          </cell>
          <cell r="C738" t="str">
            <v>DIVISI TEKNOLOGI INFORMASI</v>
          </cell>
          <cell r="D738" t="str">
            <v>DIVISI TEKNOLOGI INFORMASI</v>
          </cell>
          <cell r="E738" t="str">
            <v>PJ. SENIOR MANAGER PERENCANAAN STRATEGIS DAN TATA KELOLA IT</v>
          </cell>
          <cell r="F738" t="str">
            <v>f.nur@bki.co.id</v>
          </cell>
          <cell r="G738" t="str">
            <v>082125774400</v>
          </cell>
          <cell r="H738" t="str">
            <v>6A</v>
          </cell>
          <cell r="I738">
            <v>0</v>
          </cell>
          <cell r="J738">
            <v>0</v>
          </cell>
        </row>
        <row r="739">
          <cell r="B739" t="str">
            <v>HARDIAN</v>
          </cell>
          <cell r="C739" t="str">
            <v>DIVISI TEKNOLOGI INFORMASI</v>
          </cell>
          <cell r="D739" t="str">
            <v>DIVISI TEKNOLOGI INFORMASI</v>
          </cell>
          <cell r="E739" t="str">
            <v>SPESIALIS MANAJEMEN PROYEK TEKNOLOGI INFORMASI</v>
          </cell>
          <cell r="F739" t="str">
            <v>hardian@bki.co.id</v>
          </cell>
          <cell r="G739" t="str">
            <v>08881111010</v>
          </cell>
          <cell r="H739" t="str">
            <v>6A</v>
          </cell>
          <cell r="I739">
            <v>250000</v>
          </cell>
          <cell r="J739">
            <v>3563351</v>
          </cell>
        </row>
        <row r="740">
          <cell r="B740" t="str">
            <v>MUHAMAD HASYIM RASIDI</v>
          </cell>
          <cell r="C740" t="str">
            <v>DIVISI TEKNOLOGI INFORMASI</v>
          </cell>
          <cell r="D740" t="str">
            <v>DIVISI TEKNOLOGI INFORMASI</v>
          </cell>
          <cell r="E740" t="str">
            <v>STAF FUNCTION</v>
          </cell>
          <cell r="F740" t="str">
            <v>hasyim.rashidi@bki.co.id</v>
          </cell>
          <cell r="G740">
            <v>0</v>
          </cell>
          <cell r="H740">
            <v>4</v>
          </cell>
          <cell r="I740">
            <v>0</v>
          </cell>
          <cell r="J740">
            <v>0</v>
          </cell>
        </row>
        <row r="741">
          <cell r="B741" t="str">
            <v>ARIEF NURTJAHJO</v>
          </cell>
          <cell r="C741" t="str">
            <v>GROUP BISNIS KLASIFIKASI NUSANTARA</v>
          </cell>
          <cell r="D741" t="str">
            <v>GROUP BISNIS KLASIFIKASI NUSANTARA</v>
          </cell>
          <cell r="E741" t="str">
            <v>DEPUTI DIREKTUR BISNIS KLASIFIKASI NUSANTARA</v>
          </cell>
          <cell r="F741" t="str">
            <v>ariefn@bki.co.id</v>
          </cell>
          <cell r="G741" t="str">
            <v>0818905340</v>
          </cell>
          <cell r="H741">
            <v>9</v>
          </cell>
          <cell r="I741">
            <v>0</v>
          </cell>
          <cell r="J741">
            <v>0</v>
          </cell>
        </row>
        <row r="742">
          <cell r="B742" t="str">
            <v>RIANA PATRICIA</v>
          </cell>
          <cell r="C742" t="str">
            <v>GROUP STRATEGI DAN TRANSFORMASI KORPORAT</v>
          </cell>
          <cell r="D742" t="str">
            <v>GROUP STRATEGI DAN TRANSFORMASI KORPORAT</v>
          </cell>
          <cell r="E742" t="str">
            <v>SPESIALIS TRANSFORMATION OFFICE CHAMPION</v>
          </cell>
          <cell r="F742" t="str">
            <v>riana.patricia@bki.co.id</v>
          </cell>
          <cell r="G742" t="str">
            <v>087722192699</v>
          </cell>
          <cell r="H742" t="str">
            <v>6A</v>
          </cell>
          <cell r="I742">
            <v>150000</v>
          </cell>
          <cell r="J742">
            <v>0</v>
          </cell>
        </row>
        <row r="743">
          <cell r="B743" t="str">
            <v>MEGAWATI ROSALIO PUTRI</v>
          </cell>
          <cell r="C743" t="str">
            <v>GROUP STRATEGI DAN TRANSFORMASI KORPORAT</v>
          </cell>
          <cell r="D743" t="str">
            <v>GROUP STRATEGI DAN TRANSFORMASI KORPORAT</v>
          </cell>
          <cell r="E743" t="str">
            <v>SPESIALIS TRANSFORMATION OFFICE CHAMPION</v>
          </cell>
          <cell r="F743" t="str">
            <v>megawati.rp@bki.co.id</v>
          </cell>
          <cell r="G743" t="str">
            <v>081373364078</v>
          </cell>
          <cell r="H743" t="str">
            <v>6A</v>
          </cell>
          <cell r="I743">
            <v>150000</v>
          </cell>
          <cell r="J743">
            <v>1354167</v>
          </cell>
        </row>
        <row r="744">
          <cell r="B744" t="str">
            <v>IRAWATI</v>
          </cell>
          <cell r="C744" t="str">
            <v>GROUP STRATEGI DAN TRANSFORMASI KORPORAT</v>
          </cell>
          <cell r="D744" t="str">
            <v>GROUP STRATEGI DAN TRANSFORMASI KORPORAT</v>
          </cell>
          <cell r="E744" t="str">
            <v>SPESIALIS TRANSFORMATION OFFICE CHAMPION</v>
          </cell>
          <cell r="F744" t="str">
            <v>irawati@bki.co.id</v>
          </cell>
          <cell r="G744" t="str">
            <v>085649714979</v>
          </cell>
          <cell r="H744" t="str">
            <v>6A</v>
          </cell>
          <cell r="I744">
            <v>250000</v>
          </cell>
          <cell r="J744">
            <v>9525267</v>
          </cell>
        </row>
        <row r="745">
          <cell r="B745" t="str">
            <v>RAHMAN SUSILO</v>
          </cell>
          <cell r="C745" t="str">
            <v>SATUAN PENGAWASAN INTERN</v>
          </cell>
          <cell r="D745" t="str">
            <v>SATUAN PENGAWASAN INTERN</v>
          </cell>
          <cell r="E745" t="str">
            <v>SENIOR MANAGER AUDIT SEGMEN KOMERSIAL</v>
          </cell>
          <cell r="F745" t="str">
            <v>susilo@bki.co.id</v>
          </cell>
          <cell r="G745" t="str">
            <v>08129495233</v>
          </cell>
          <cell r="H745" t="str">
            <v>7C</v>
          </cell>
          <cell r="I745">
            <v>250000</v>
          </cell>
          <cell r="J745">
            <v>0</v>
          </cell>
        </row>
        <row r="746">
          <cell r="B746" t="str">
            <v>ABDUR RAHMAN</v>
          </cell>
          <cell r="C746" t="str">
            <v>SATUAN PENGAWASAN INTERN</v>
          </cell>
          <cell r="D746" t="str">
            <v>SATUAN PENGAWASAN INTERN</v>
          </cell>
          <cell r="E746" t="str">
            <v>VP PENGAWASAN INTERN</v>
          </cell>
          <cell r="F746" t="str">
            <v>rahman@bki.co.id</v>
          </cell>
          <cell r="G746" t="str">
            <v>085811583555</v>
          </cell>
          <cell r="H746" t="str">
            <v>8B</v>
          </cell>
          <cell r="I746">
            <v>350000</v>
          </cell>
          <cell r="J746">
            <v>1500000</v>
          </cell>
        </row>
        <row r="747">
          <cell r="B747" t="str">
            <v>SARI GITA TANTINIS</v>
          </cell>
          <cell r="C747" t="str">
            <v>SATUAN PENGAWASAN INTERN</v>
          </cell>
          <cell r="D747" t="str">
            <v>SATUAN PENGAWASAN INTERN</v>
          </cell>
          <cell r="E747" t="str">
            <v>AUDITOR SENIOR</v>
          </cell>
          <cell r="F747" t="str">
            <v>gita@bki.co.id</v>
          </cell>
          <cell r="G747" t="str">
            <v>087880847033</v>
          </cell>
          <cell r="H747" t="str">
            <v>5C</v>
          </cell>
          <cell r="I747">
            <v>150000</v>
          </cell>
          <cell r="J747">
            <v>2395833</v>
          </cell>
        </row>
        <row r="748">
          <cell r="B748" t="str">
            <v>ARIEF HENDRO RUKMINTO</v>
          </cell>
          <cell r="C748" t="str">
            <v>SATUAN PENGAWASAN INTERN</v>
          </cell>
          <cell r="D748" t="str">
            <v>SATUAN PENGAWASAN INTERN</v>
          </cell>
          <cell r="E748" t="str">
            <v>SENIOR LEAD AUDITOR</v>
          </cell>
          <cell r="F748" t="str">
            <v>rukminto@bki.co.id</v>
          </cell>
          <cell r="G748" t="str">
            <v>08128299471</v>
          </cell>
          <cell r="H748" t="str">
            <v>7C</v>
          </cell>
          <cell r="I748">
            <v>0</v>
          </cell>
          <cell r="J748">
            <v>0</v>
          </cell>
        </row>
        <row r="749">
          <cell r="B749" t="str">
            <v>IZZAFAJRI SYAFIRA</v>
          </cell>
          <cell r="C749" t="str">
            <v>SATUAN PENGAWASAN INTERN</v>
          </cell>
          <cell r="D749" t="str">
            <v>SATUAN PENGAWASAN INTERN</v>
          </cell>
          <cell r="E749" t="str">
            <v>STAF ANALIS</v>
          </cell>
          <cell r="F749" t="str">
            <v>izzafajri.sy@bki.co.id</v>
          </cell>
          <cell r="G749" t="str">
            <v>082114091022</v>
          </cell>
          <cell r="H749" t="str">
            <v>-</v>
          </cell>
          <cell r="I749">
            <v>100000</v>
          </cell>
          <cell r="J749">
            <v>0</v>
          </cell>
        </row>
        <row r="750">
          <cell r="B750" t="str">
            <v>MUTIARA PUTRI AMELIA</v>
          </cell>
          <cell r="C750" t="str">
            <v>SATUAN PENGAWASAN INTERN</v>
          </cell>
          <cell r="D750" t="str">
            <v>SATUAN PENGAWASAN INTERN</v>
          </cell>
          <cell r="E750" t="str">
            <v>STAF DUKUNGAN BISNIS</v>
          </cell>
          <cell r="F750" t="str">
            <v>mutiara.putri@bki.co.id</v>
          </cell>
          <cell r="G750" t="str">
            <v>085894042758</v>
          </cell>
          <cell r="H750" t="str">
            <v>-</v>
          </cell>
          <cell r="I750">
            <v>0</v>
          </cell>
          <cell r="J750">
            <v>0</v>
          </cell>
        </row>
        <row r="751">
          <cell r="B751" t="str">
            <v>MUHAMMAD IRVAN WIDYA</v>
          </cell>
          <cell r="C751" t="str">
            <v>SATUAN PENGAWASAN INTERN</v>
          </cell>
          <cell r="D751" t="str">
            <v>SATUAN PENGAWASAN INTERN IDS</v>
          </cell>
          <cell r="E751" t="str">
            <v>SENIOR AUDITOR SEGMEN KOMERSIAL</v>
          </cell>
          <cell r="F751" t="str">
            <v>muhammad.iw@bki.co.id</v>
          </cell>
          <cell r="G751" t="str">
            <v>082194720847</v>
          </cell>
          <cell r="H751" t="str">
            <v>5C</v>
          </cell>
          <cell r="I751">
            <v>150000</v>
          </cell>
          <cell r="J751">
            <v>2500000</v>
          </cell>
        </row>
        <row r="752">
          <cell r="B752" t="str">
            <v>ANITA MAGDALENA</v>
          </cell>
          <cell r="C752" t="str">
            <v>SATUAN PENGAWASAN INTERN</v>
          </cell>
          <cell r="D752" t="str">
            <v>SATUAN PENGAWASAN INTERN IDS</v>
          </cell>
          <cell r="E752" t="str">
            <v>SENIOR MANAGER AUDIT SEGMEN KLASIFIKASI</v>
          </cell>
          <cell r="F752" t="str">
            <v>anitamp@bki.co.id</v>
          </cell>
          <cell r="G752" t="str">
            <v>08128185481</v>
          </cell>
          <cell r="H752" t="str">
            <v>7C</v>
          </cell>
          <cell r="J752">
            <v>0</v>
          </cell>
        </row>
        <row r="753">
          <cell r="B753" t="str">
            <v>LUTHFI SETIA MARDANI</v>
          </cell>
          <cell r="C753" t="str">
            <v>SATUAN PENGAWASAN INTERN</v>
          </cell>
          <cell r="D753" t="str">
            <v>SATUAN PENGAWASAN INTERN IDS</v>
          </cell>
          <cell r="E753" t="str">
            <v>ANALIS PERENCANAAN &amp; AUDIT SEGMEN KLASIFIKASI</v>
          </cell>
          <cell r="F753" t="str">
            <v>luthfi.mardani@bki.co.id</v>
          </cell>
          <cell r="G753" t="str">
            <v>089520418838</v>
          </cell>
          <cell r="H753" t="str">
            <v>5C</v>
          </cell>
          <cell r="I753">
            <v>150000</v>
          </cell>
          <cell r="J753">
            <v>0</v>
          </cell>
        </row>
        <row r="754">
          <cell r="B754" t="str">
            <v>DIDIET EDITHIA FIRMAN</v>
          </cell>
          <cell r="C754" t="str">
            <v>UNIT HSE</v>
          </cell>
          <cell r="D754" t="str">
            <v>UNIT HSE</v>
          </cell>
          <cell r="E754" t="str">
            <v>ANALIS OPERASI HSE</v>
          </cell>
          <cell r="F754" t="str">
            <v>didiet.ef@bki.co.id</v>
          </cell>
          <cell r="G754" t="str">
            <v>08129371120</v>
          </cell>
          <cell r="H754" t="str">
            <v>5B</v>
          </cell>
          <cell r="I754">
            <v>250000</v>
          </cell>
          <cell r="J754">
            <v>2871528</v>
          </cell>
        </row>
        <row r="755">
          <cell r="B755" t="str">
            <v>AGUNG BUDI ARNANTO</v>
          </cell>
          <cell r="C755" t="str">
            <v>UNIT HSE</v>
          </cell>
          <cell r="D755" t="str">
            <v>UNIT HSE</v>
          </cell>
          <cell r="E755" t="str">
            <v>SPESIALIS SENIOR HSE</v>
          </cell>
          <cell r="F755" t="str">
            <v>agungba@bki.co.id</v>
          </cell>
          <cell r="G755" t="str">
            <v>08111140999</v>
          </cell>
          <cell r="H755" t="str">
            <v>7A</v>
          </cell>
          <cell r="I755">
            <v>0</v>
          </cell>
          <cell r="J755">
            <v>0</v>
          </cell>
        </row>
        <row r="756">
          <cell r="B756" t="str">
            <v>TARIZA BRILIANTI</v>
          </cell>
          <cell r="C756" t="str">
            <v>UNIT HSE</v>
          </cell>
          <cell r="D756" t="str">
            <v>UNIT HSE</v>
          </cell>
          <cell r="E756" t="str">
            <v>STAF DUKUNGAN BISNIS</v>
          </cell>
          <cell r="F756" t="str">
            <v>tariza.b@bki.co.id</v>
          </cell>
          <cell r="G756" t="str">
            <v>085334939230</v>
          </cell>
          <cell r="H756" t="str">
            <v>-</v>
          </cell>
          <cell r="I756">
            <v>0</v>
          </cell>
          <cell r="J756">
            <v>0</v>
          </cell>
        </row>
        <row r="757">
          <cell r="B757" t="str">
            <v>SUKMA MAHARANI</v>
          </cell>
          <cell r="C757" t="str">
            <v>UNIT PEMASARAN DAN LAYANAN PELANGGAN NUSANTARA</v>
          </cell>
          <cell r="D757" t="str">
            <v>UNIT PEMASARAN DAN LAYANAN PELANGGAN NUSANTARA</v>
          </cell>
          <cell r="E757" t="str">
            <v>SENIOR MANAGER PEMASARAN DAN LAYANAN PELANGGAN NUSANTARA</v>
          </cell>
          <cell r="F757" t="str">
            <v>rani@bki.co.id</v>
          </cell>
          <cell r="G757" t="str">
            <v>085732555187</v>
          </cell>
          <cell r="H757" t="str">
            <v>7B</v>
          </cell>
          <cell r="I757">
            <v>350000</v>
          </cell>
          <cell r="J757">
            <v>0</v>
          </cell>
        </row>
        <row r="758">
          <cell r="B758" t="str">
            <v>DWIYANA</v>
          </cell>
          <cell r="C758" t="str">
            <v>UNIT PEMASARAN DAN LAYANAN PELANGGAN NUSANTARA</v>
          </cell>
          <cell r="D758" t="str">
            <v>UNIT PEMASARAN DAN LAYANAN PELANGGAN NUSANTARA</v>
          </cell>
          <cell r="E758" t="str">
            <v>ANALIS PEMASARAN DAN PENJUALAN</v>
          </cell>
          <cell r="F758" t="str">
            <v>dwiyana@bki.co.id</v>
          </cell>
          <cell r="G758" t="str">
            <v>0811912463</v>
          </cell>
          <cell r="H758" t="str">
            <v>5A</v>
          </cell>
          <cell r="I758">
            <v>0</v>
          </cell>
          <cell r="J758">
            <v>0</v>
          </cell>
        </row>
        <row r="759">
          <cell r="B759" t="str">
            <v>RAKA DWITA SETYANEGARA</v>
          </cell>
          <cell r="C759" t="str">
            <v>UNIT PEMASARAN DAN LAYANAN PELANGGAN NUSANTARA</v>
          </cell>
          <cell r="D759" t="str">
            <v>UNIT PEMASARAN DAN LAYANAN PELANGGAN NUSANTARA</v>
          </cell>
          <cell r="E759" t="str">
            <v>OFFICER PEMASARAN DAN PENJUALAN</v>
          </cell>
          <cell r="F759" t="str">
            <v>raka.dwita@bki.co.id</v>
          </cell>
          <cell r="G759" t="str">
            <v>085233076997</v>
          </cell>
          <cell r="H759" t="str">
            <v>4A</v>
          </cell>
          <cell r="I759">
            <v>100000</v>
          </cell>
          <cell r="J759">
            <v>0</v>
          </cell>
        </row>
        <row r="760">
          <cell r="B760" t="str">
            <v>ADITYA ILHAM SAPTIAWAN</v>
          </cell>
          <cell r="C760" t="str">
            <v>UNIT PEMASARAN DAN LAYANAN PELANGGAN NUSANTARA</v>
          </cell>
          <cell r="D760" t="str">
            <v>UNIT PEMASARAN DAN LAYANAN PELANGGAN NUSANTARA</v>
          </cell>
          <cell r="E760" t="str">
            <v xml:space="preserve">STAF ADMINISTRASI </v>
          </cell>
          <cell r="F760" t="str">
            <v>aditya.is@bki.co.id</v>
          </cell>
          <cell r="G760" t="str">
            <v>082132153960</v>
          </cell>
          <cell r="H760" t="str">
            <v>-</v>
          </cell>
          <cell r="I760">
            <v>100000</v>
          </cell>
          <cell r="J760">
            <v>0</v>
          </cell>
        </row>
        <row r="761">
          <cell r="B761" t="str">
            <v>AGNES RENITA OKTAVIANI</v>
          </cell>
          <cell r="C761" t="str">
            <v>UNIT PEMASARAN DAN LAYANAN PELANGGAN NUSANTARA</v>
          </cell>
          <cell r="D761" t="str">
            <v>UNIT PEMASARAN DAN LAYANAN PELANGGAN NUSANTARA</v>
          </cell>
          <cell r="E761" t="str">
            <v>CUSTOMER SERVICES</v>
          </cell>
          <cell r="F761" t="str">
            <v>agnes.renita@bki.co.id</v>
          </cell>
          <cell r="G761" t="str">
            <v>081906671482</v>
          </cell>
          <cell r="H761" t="str">
            <v>-</v>
          </cell>
          <cell r="I761">
            <v>0</v>
          </cell>
          <cell r="J761">
            <v>0</v>
          </cell>
        </row>
        <row r="762">
          <cell r="B762" t="str">
            <v>MOCHAMAD FAUZY</v>
          </cell>
          <cell r="C762" t="str">
            <v>UNIT PEMASARAN DAN LAYANAN PELANGGAN NUSANTARA</v>
          </cell>
          <cell r="D762" t="str">
            <v>UNIT PEMASARAN DAN LAYANAN PELANGGAN NUSANTARA</v>
          </cell>
          <cell r="E762" t="str">
            <v>STAF DUKUNGAN BISNIS</v>
          </cell>
          <cell r="F762" t="str">
            <v>mochamad.fauzy@bki.co.id</v>
          </cell>
          <cell r="G762" t="str">
            <v>081219274319</v>
          </cell>
          <cell r="H762" t="str">
            <v>-</v>
          </cell>
          <cell r="I762">
            <v>0</v>
          </cell>
          <cell r="J762">
            <v>0</v>
          </cell>
        </row>
        <row r="763">
          <cell r="B763" t="str">
            <v>WITA KUSUMA WARDANI</v>
          </cell>
          <cell r="C763" t="str">
            <v>UNIT PEMASARAN DAN LAYANAN PELANGGAN NUSANTARA</v>
          </cell>
          <cell r="D763" t="str">
            <v>UNIT PEMASARAN DAN LAYANAN PELANGGAN NUSANTARA</v>
          </cell>
          <cell r="E763" t="str">
            <v>STAF DUKUNGAN BISNIS</v>
          </cell>
          <cell r="F763" t="str">
            <v>wita.kusuma@bki.co.id</v>
          </cell>
          <cell r="G763" t="str">
            <v>082229197520</v>
          </cell>
          <cell r="H763" t="str">
            <v>-</v>
          </cell>
          <cell r="I763">
            <v>0</v>
          </cell>
          <cell r="J763">
            <v>0</v>
          </cell>
        </row>
        <row r="764">
          <cell r="B764" t="str">
            <v>SYAHRIZAL NUR ARFANI</v>
          </cell>
          <cell r="C764" t="str">
            <v>UNIT PEMASARAN DAN LAYANAN PELANGGAN NUSANTARA</v>
          </cell>
          <cell r="D764" t="str">
            <v>UNIT PEMASARAN DAN LAYANAN PELANGGAN NUSANTARA</v>
          </cell>
          <cell r="E764" t="str">
            <v>STAF CUSTOMER ADVISORY</v>
          </cell>
          <cell r="F764" t="str">
            <v>syahrizalnur@bki.co.id</v>
          </cell>
          <cell r="H764" t="str">
            <v>-</v>
          </cell>
          <cell r="I764">
            <v>0</v>
          </cell>
          <cell r="J764">
            <v>0</v>
          </cell>
        </row>
        <row r="765">
          <cell r="B765" t="str">
            <v>DEVI RAHMA FAUZIA</v>
          </cell>
          <cell r="C765" t="str">
            <v>UNIT PEMASARAN DAN LAYANAN PELANGGAN NUSANTARA</v>
          </cell>
          <cell r="D765" t="str">
            <v>UNIT PEMASARAN DAN LAYANAN PELANGGAN NUSANTARA</v>
          </cell>
          <cell r="E765" t="str">
            <v>STAF CUSTOMER ADVISORY</v>
          </cell>
          <cell r="F765" t="str">
            <v>devirahma@bki.co.id</v>
          </cell>
          <cell r="H765" t="str">
            <v>-</v>
          </cell>
          <cell r="I765">
            <v>0</v>
          </cell>
          <cell r="J765">
            <v>0</v>
          </cell>
        </row>
        <row r="766">
          <cell r="B766" t="str">
            <v>ENDAH MUSTIKA NINGTIAS</v>
          </cell>
          <cell r="C766" t="str">
            <v>UNIT TANGGUNG JAWAB SOSIAL DAN LINGKUNGAN</v>
          </cell>
          <cell r="D766" t="str">
            <v>UNIT TANGGUNG JAWAB SOSIAL DAN LINGKUNGAN</v>
          </cell>
          <cell r="E766" t="str">
            <v>ANALIS TANGGUNG JAWAB SOSIAL DAN LINGKUNGAN</v>
          </cell>
          <cell r="F766" t="str">
            <v>endah.mn@bki.co.id</v>
          </cell>
          <cell r="G766" t="str">
            <v>0812 8329 9946</v>
          </cell>
          <cell r="H766" t="str">
            <v>5C</v>
          </cell>
          <cell r="I766">
            <v>250000</v>
          </cell>
          <cell r="J766">
            <v>6053100</v>
          </cell>
        </row>
        <row r="767">
          <cell r="B767" t="str">
            <v>ALWIN RIDWAN</v>
          </cell>
          <cell r="C767" t="str">
            <v>UNIT TANGGUNG JAWAB SOSIAL DAN LINGKUNGAN</v>
          </cell>
          <cell r="D767" t="str">
            <v>UNIT TANGGUNG JAWAB SOSIAL DAN LINGKUNGAN</v>
          </cell>
          <cell r="E767" t="str">
            <v>ADMINISTRATOR SENIOR</v>
          </cell>
          <cell r="F767" t="str">
            <v>alwin.ridwan@bki.co.id</v>
          </cell>
          <cell r="G767" t="str">
            <v>081387812624</v>
          </cell>
          <cell r="H767" t="str">
            <v>3B</v>
          </cell>
          <cell r="I767">
            <v>150000</v>
          </cell>
          <cell r="J767">
            <v>0</v>
          </cell>
        </row>
        <row r="768">
          <cell r="B768" t="str">
            <v>ARIF BIJAKSANA PRAWIRA NEGARA</v>
          </cell>
          <cell r="C768" t="str">
            <v>UNIT TANGGUNG JAWAB SOSIAL DAN LINGKUNGAN</v>
          </cell>
          <cell r="D768" t="str">
            <v>UNIT TANGGUNG JAWAB SOSIAL DAN LINGKUNGAN</v>
          </cell>
          <cell r="E768" t="str">
            <v>KEPALA UNIT TANGGUNG JAWAB SOSIAL LINGKUNGAN</v>
          </cell>
          <cell r="F768" t="str">
            <v>arif@bki.co.id</v>
          </cell>
          <cell r="G768" t="str">
            <v>08127032211</v>
          </cell>
          <cell r="H768" t="str">
            <v>7C</v>
          </cell>
          <cell r="I768">
            <v>0</v>
          </cell>
          <cell r="J768">
            <v>0</v>
          </cell>
        </row>
        <row r="769">
          <cell r="B769" t="str">
            <v>DINDA PRATIWI</v>
          </cell>
          <cell r="C769" t="str">
            <v>UNIT TANGGUNG JAWAB SOSIAL DAN LINGKUNGAN</v>
          </cell>
          <cell r="D769" t="str">
            <v>UNIT TANGGUNG JAWAB SOSIAL DAN LINGKUNGAN</v>
          </cell>
          <cell r="E769" t="str">
            <v>STAF DUKUNGAN BISNIS</v>
          </cell>
          <cell r="F769" t="str">
            <v>dinda.p@bki.co.id</v>
          </cell>
          <cell r="G769" t="str">
            <v>08567448009</v>
          </cell>
          <cell r="H769" t="str">
            <v>-</v>
          </cell>
          <cell r="I769">
            <v>0</v>
          </cell>
          <cell r="J769">
            <v>0</v>
          </cell>
        </row>
        <row r="770">
          <cell r="B770" t="str">
            <v>MOCHAMAD FASHA FIRDAUS</v>
          </cell>
          <cell r="C770" t="str">
            <v>UNIT TANGGUNG JAWAB SOSIAL DAN LINGKUNGAN</v>
          </cell>
          <cell r="D770" t="str">
            <v>UNIT TANGGUNG JAWAB SOSIAL DAN LINGKUNGAN IDS</v>
          </cell>
          <cell r="E770" t="str">
            <v>STAF DUKUNGAN BISNIS</v>
          </cell>
          <cell r="F770" t="str">
            <v>mochamad.fasha@bki.co.id</v>
          </cell>
          <cell r="G770" t="str">
            <v>089647726467</v>
          </cell>
          <cell r="H770" t="str">
            <v>-</v>
          </cell>
          <cell r="I770">
            <v>0</v>
          </cell>
          <cell r="J770">
            <v>0</v>
          </cell>
        </row>
        <row r="771">
          <cell r="B771" t="str">
            <v>ARIEF BUDI PERMANA</v>
          </cell>
          <cell r="D771" t="str">
            <v>DIREKSI</v>
          </cell>
          <cell r="I771">
            <v>500000</v>
          </cell>
          <cell r="J771">
            <v>0</v>
          </cell>
        </row>
        <row r="772">
          <cell r="B772" t="str">
            <v>R. AGUS DODDY DWISAGITA</v>
          </cell>
          <cell r="D772" t="str">
            <v>DIREKSI</v>
          </cell>
          <cell r="I772">
            <v>500000</v>
          </cell>
          <cell r="J772">
            <v>6746750</v>
          </cell>
        </row>
        <row r="773">
          <cell r="B773" t="str">
            <v>BENNY SUSANTO</v>
          </cell>
          <cell r="D773" t="str">
            <v>DIREKSI</v>
          </cell>
          <cell r="G773" t="str">
            <v>x</v>
          </cell>
          <cell r="H773" t="str">
            <v>x</v>
          </cell>
          <cell r="I773">
            <v>500000</v>
          </cell>
          <cell r="J773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DE75-5EB6-4245-B0CB-B9CC7F802784}">
  <dimension ref="A1:N65"/>
  <sheetViews>
    <sheetView tabSelected="1" zoomScale="85" zoomScaleNormal="85" workbookViewId="0">
      <pane xSplit="3" ySplit="6" topLeftCell="D37" activePane="bottomRight" state="frozen"/>
      <selection pane="topRight" activeCell="D1" sqref="D1"/>
      <selection pane="bottomLeft" activeCell="A2" sqref="A2"/>
      <selection pane="bottomRight" activeCell="L42" sqref="L42"/>
    </sheetView>
  </sheetViews>
  <sheetFormatPr defaultColWidth="8.90625" defaultRowHeight="14.5" x14ac:dyDescent="0.35"/>
  <cols>
    <col min="1" max="1" width="10" style="3" bestFit="1" customWidth="1"/>
    <col min="2" max="2" width="7" style="4" bestFit="1" customWidth="1"/>
    <col min="3" max="3" width="30.54296875" style="1" bestFit="1" customWidth="1"/>
    <col min="4" max="4" width="14.08984375" style="3" customWidth="1"/>
    <col min="5" max="5" width="46.26953125" style="1" hidden="1" customWidth="1"/>
    <col min="6" max="6" width="47.7265625" style="1" hidden="1" customWidth="1"/>
    <col min="7" max="7" width="13.26953125" style="2" customWidth="1"/>
    <col min="8" max="8" width="17.6328125" style="2" customWidth="1"/>
    <col min="9" max="9" width="8.90625" style="1"/>
    <col min="10" max="14" width="18.26953125" style="1" customWidth="1"/>
    <col min="15" max="16384" width="8.90625" style="1"/>
  </cols>
  <sheetData>
    <row r="1" spans="1:14" ht="17" x14ac:dyDescent="0.4">
      <c r="A1" s="29" t="s">
        <v>0</v>
      </c>
      <c r="B1" s="29"/>
      <c r="C1" s="29"/>
      <c r="D1" s="29"/>
    </row>
    <row r="2" spans="1:14" ht="17" x14ac:dyDescent="0.4">
      <c r="A2" s="29" t="s">
        <v>1</v>
      </c>
      <c r="B2" s="29"/>
      <c r="C2" s="29"/>
      <c r="D2" s="29"/>
    </row>
    <row r="3" spans="1:14" ht="17" x14ac:dyDescent="0.4">
      <c r="A3" s="29" t="s">
        <v>143</v>
      </c>
      <c r="B3" s="29"/>
      <c r="C3" s="29"/>
      <c r="D3" s="29"/>
    </row>
    <row r="5" spans="1:14" ht="15" thickBot="1" x14ac:dyDescent="0.4"/>
    <row r="6" spans="1:14" x14ac:dyDescent="0.35">
      <c r="A6" s="5" t="s">
        <v>2</v>
      </c>
      <c r="B6" s="6" t="s">
        <v>3</v>
      </c>
      <c r="C6" s="7" t="s">
        <v>4</v>
      </c>
      <c r="D6" s="8"/>
      <c r="E6" s="7" t="s">
        <v>5</v>
      </c>
      <c r="F6" s="9" t="s">
        <v>6</v>
      </c>
      <c r="G6" s="10" t="s">
        <v>7</v>
      </c>
      <c r="H6" s="10" t="s">
        <v>8</v>
      </c>
      <c r="J6" s="11"/>
      <c r="K6" s="12"/>
      <c r="L6" s="12"/>
      <c r="M6" s="12"/>
      <c r="N6" s="12"/>
    </row>
    <row r="7" spans="1:14" x14ac:dyDescent="0.35">
      <c r="A7" s="13">
        <v>1</v>
      </c>
      <c r="B7" s="14" t="s">
        <v>9</v>
      </c>
      <c r="C7" s="15" t="s">
        <v>10</v>
      </c>
      <c r="D7" s="13" t="s">
        <v>11</v>
      </c>
      <c r="E7" s="15" t="s">
        <v>12</v>
      </c>
      <c r="F7" s="15" t="s">
        <v>13</v>
      </c>
      <c r="G7" s="16">
        <v>150000</v>
      </c>
      <c r="H7" s="16">
        <f>VLOOKUP(C7,[1]Sheet1!B$2:J$773,9,FALSE)</f>
        <v>1531250</v>
      </c>
    </row>
    <row r="8" spans="1:14" x14ac:dyDescent="0.35">
      <c r="A8" s="13">
        <f>A7+1</f>
        <v>2</v>
      </c>
      <c r="B8" s="14" t="s">
        <v>14</v>
      </c>
      <c r="C8" s="15" t="s">
        <v>15</v>
      </c>
      <c r="D8" s="13" t="s">
        <v>11</v>
      </c>
      <c r="E8" s="15" t="s">
        <v>16</v>
      </c>
      <c r="F8" s="15" t="s">
        <v>17</v>
      </c>
      <c r="G8" s="16">
        <v>500000</v>
      </c>
      <c r="H8" s="16">
        <f>VLOOKUP(C8,[1]Sheet1!B$2:J$773,9,FALSE)</f>
        <v>0</v>
      </c>
    </row>
    <row r="9" spans="1:14" x14ac:dyDescent="0.35">
      <c r="A9" s="13">
        <f t="shared" ref="A9:A46" si="0">A8+1</f>
        <v>3</v>
      </c>
      <c r="B9" s="14" t="s">
        <v>18</v>
      </c>
      <c r="C9" s="15" t="s">
        <v>19</v>
      </c>
      <c r="D9" s="13" t="s">
        <v>11</v>
      </c>
      <c r="E9" s="15" t="s">
        <v>16</v>
      </c>
      <c r="F9" s="15" t="s">
        <v>20</v>
      </c>
      <c r="G9" s="16">
        <v>150000</v>
      </c>
      <c r="H9" s="16">
        <f>VLOOKUP(C9,[1]Sheet1!B$2:J$773,9,FALSE)</f>
        <v>7522865</v>
      </c>
    </row>
    <row r="10" spans="1:14" x14ac:dyDescent="0.35">
      <c r="A10" s="13">
        <f t="shared" si="0"/>
        <v>4</v>
      </c>
      <c r="B10" s="14" t="s">
        <v>21</v>
      </c>
      <c r="C10" s="15" t="s">
        <v>22</v>
      </c>
      <c r="D10" s="13" t="s">
        <v>11</v>
      </c>
      <c r="E10" s="15" t="s">
        <v>16</v>
      </c>
      <c r="F10" s="15" t="s">
        <v>23</v>
      </c>
      <c r="G10" s="16">
        <v>150000</v>
      </c>
      <c r="H10" s="16">
        <f>VLOOKUP(C10,[1]Sheet1!B$2:J$773,9,FALSE)</f>
        <v>0</v>
      </c>
    </row>
    <row r="11" spans="1:14" x14ac:dyDescent="0.35">
      <c r="A11" s="13">
        <f t="shared" si="0"/>
        <v>5</v>
      </c>
      <c r="B11" s="14" t="s">
        <v>24</v>
      </c>
      <c r="C11" s="15" t="s">
        <v>25</v>
      </c>
      <c r="D11" s="13" t="s">
        <v>11</v>
      </c>
      <c r="E11" s="15" t="s">
        <v>26</v>
      </c>
      <c r="F11" s="15" t="s">
        <v>27</v>
      </c>
      <c r="G11" s="16">
        <v>150000</v>
      </c>
      <c r="H11" s="16">
        <f>VLOOKUP(C11,[1]Sheet1!B$2:J$773,9,FALSE)</f>
        <v>0</v>
      </c>
    </row>
    <row r="12" spans="1:14" x14ac:dyDescent="0.35">
      <c r="A12" s="13">
        <f t="shared" si="0"/>
        <v>6</v>
      </c>
      <c r="B12" s="14" t="s">
        <v>28</v>
      </c>
      <c r="C12" s="15" t="s">
        <v>29</v>
      </c>
      <c r="D12" s="13" t="s">
        <v>11</v>
      </c>
      <c r="E12" s="15" t="s">
        <v>26</v>
      </c>
      <c r="F12" s="15" t="s">
        <v>30</v>
      </c>
      <c r="G12" s="16">
        <v>150000</v>
      </c>
      <c r="H12" s="16">
        <f>VLOOKUP(C12,[1]Sheet1!B$2:J$773,9,FALSE)</f>
        <v>0</v>
      </c>
    </row>
    <row r="13" spans="1:14" x14ac:dyDescent="0.35">
      <c r="A13" s="13">
        <f t="shared" si="0"/>
        <v>7</v>
      </c>
      <c r="B13" s="14" t="s">
        <v>31</v>
      </c>
      <c r="C13" s="15" t="s">
        <v>32</v>
      </c>
      <c r="D13" s="13" t="s">
        <v>11</v>
      </c>
      <c r="E13" s="15" t="s">
        <v>33</v>
      </c>
      <c r="F13" s="15" t="s">
        <v>34</v>
      </c>
      <c r="G13" s="16">
        <v>350000</v>
      </c>
      <c r="H13" s="16">
        <f>VLOOKUP(C13,[1]Sheet1!B$2:J$773,9,FALSE)</f>
        <v>0</v>
      </c>
    </row>
    <row r="14" spans="1:14" x14ac:dyDescent="0.35">
      <c r="A14" s="13">
        <f t="shared" si="0"/>
        <v>8</v>
      </c>
      <c r="B14" s="14" t="s">
        <v>35</v>
      </c>
      <c r="C14" s="15" t="s">
        <v>36</v>
      </c>
      <c r="D14" s="13" t="s">
        <v>11</v>
      </c>
      <c r="E14" s="15" t="s">
        <v>33</v>
      </c>
      <c r="F14" s="15" t="s">
        <v>37</v>
      </c>
      <c r="G14" s="16">
        <v>500000</v>
      </c>
      <c r="H14" s="16">
        <f>VLOOKUP(C14,[1]Sheet1!B$2:J$773,9,FALSE)</f>
        <v>0</v>
      </c>
    </row>
    <row r="15" spans="1:14" x14ac:dyDescent="0.35">
      <c r="A15" s="13">
        <f t="shared" si="0"/>
        <v>9</v>
      </c>
      <c r="B15" s="14" t="s">
        <v>38</v>
      </c>
      <c r="C15" s="15" t="s">
        <v>39</v>
      </c>
      <c r="D15" s="13" t="s">
        <v>11</v>
      </c>
      <c r="E15" s="15" t="s">
        <v>40</v>
      </c>
      <c r="F15" s="15" t="s">
        <v>41</v>
      </c>
      <c r="G15" s="16">
        <v>150000</v>
      </c>
      <c r="H15" s="16">
        <f>VLOOKUP(C15,[1]Sheet1!B$2:J$773,9,FALSE)</f>
        <v>0</v>
      </c>
    </row>
    <row r="16" spans="1:14" x14ac:dyDescent="0.35">
      <c r="A16" s="13">
        <f t="shared" si="0"/>
        <v>10</v>
      </c>
      <c r="B16" s="14" t="s">
        <v>42</v>
      </c>
      <c r="C16" s="15" t="s">
        <v>43</v>
      </c>
      <c r="D16" s="13" t="s">
        <v>11</v>
      </c>
      <c r="E16" s="15" t="s">
        <v>44</v>
      </c>
      <c r="F16" s="15" t="s">
        <v>45</v>
      </c>
      <c r="G16" s="16">
        <v>150000</v>
      </c>
      <c r="H16" s="16">
        <f>VLOOKUP(C16,[1]Sheet1!B$2:J$773,9,FALSE)</f>
        <v>0</v>
      </c>
    </row>
    <row r="17" spans="1:14" x14ac:dyDescent="0.35">
      <c r="A17" s="13">
        <f t="shared" si="0"/>
        <v>11</v>
      </c>
      <c r="B17" s="14" t="s">
        <v>46</v>
      </c>
      <c r="C17" s="15" t="s">
        <v>47</v>
      </c>
      <c r="D17" s="13" t="s">
        <v>11</v>
      </c>
      <c r="E17" s="15" t="s">
        <v>44</v>
      </c>
      <c r="F17" s="15" t="s">
        <v>48</v>
      </c>
      <c r="G17" s="16">
        <v>350000</v>
      </c>
      <c r="H17" s="16">
        <f>VLOOKUP(C17,[1]Sheet1!B$2:J$773,9,FALSE)</f>
        <v>0</v>
      </c>
      <c r="N17" s="17"/>
    </row>
    <row r="18" spans="1:14" x14ac:dyDescent="0.35">
      <c r="A18" s="13">
        <f t="shared" si="0"/>
        <v>12</v>
      </c>
      <c r="B18" s="14" t="s">
        <v>49</v>
      </c>
      <c r="C18" s="15" t="s">
        <v>50</v>
      </c>
      <c r="D18" s="13" t="s">
        <v>11</v>
      </c>
      <c r="E18" s="15" t="s">
        <v>51</v>
      </c>
      <c r="F18" s="15" t="s">
        <v>52</v>
      </c>
      <c r="G18" s="16">
        <v>150000</v>
      </c>
      <c r="H18" s="16">
        <f>VLOOKUP(C18,[1]Sheet1!B$2:J$773,9,FALSE)</f>
        <v>0</v>
      </c>
    </row>
    <row r="19" spans="1:14" x14ac:dyDescent="0.35">
      <c r="A19" s="13">
        <f t="shared" si="0"/>
        <v>13</v>
      </c>
      <c r="B19" s="14" t="s">
        <v>53</v>
      </c>
      <c r="C19" s="15" t="s">
        <v>54</v>
      </c>
      <c r="D19" s="13" t="s">
        <v>11</v>
      </c>
      <c r="E19" s="15" t="s">
        <v>55</v>
      </c>
      <c r="F19" s="15" t="s">
        <v>56</v>
      </c>
      <c r="G19" s="16">
        <v>250000</v>
      </c>
      <c r="H19" s="16">
        <f>VLOOKUP(C19,[1]Sheet1!B$2:J$773,9,FALSE)</f>
        <v>9019189</v>
      </c>
    </row>
    <row r="20" spans="1:14" x14ac:dyDescent="0.35">
      <c r="A20" s="13">
        <f t="shared" si="0"/>
        <v>14</v>
      </c>
      <c r="B20" s="14" t="s">
        <v>57</v>
      </c>
      <c r="C20" s="15" t="s">
        <v>58</v>
      </c>
      <c r="D20" s="13" t="s">
        <v>11</v>
      </c>
      <c r="E20" s="15" t="s">
        <v>55</v>
      </c>
      <c r="F20" s="15" t="s">
        <v>59</v>
      </c>
      <c r="G20" s="16">
        <v>150000</v>
      </c>
      <c r="H20" s="16">
        <f>VLOOKUP(C20,[1]Sheet1!B$2:J$773,9,FALSE)</f>
        <v>13910000</v>
      </c>
    </row>
    <row r="21" spans="1:14" x14ac:dyDescent="0.35">
      <c r="A21" s="13">
        <f t="shared" si="0"/>
        <v>15</v>
      </c>
      <c r="B21" s="14" t="s">
        <v>60</v>
      </c>
      <c r="C21" s="15" t="s">
        <v>61</v>
      </c>
      <c r="D21" s="13" t="s">
        <v>11</v>
      </c>
      <c r="E21" s="15" t="s">
        <v>55</v>
      </c>
      <c r="F21" s="15" t="s">
        <v>62</v>
      </c>
      <c r="G21" s="16">
        <v>150000</v>
      </c>
      <c r="H21" s="16">
        <f>VLOOKUP(C21,[1]Sheet1!B$2:J$773,9,FALSE)</f>
        <v>0</v>
      </c>
    </row>
    <row r="22" spans="1:14" x14ac:dyDescent="0.35">
      <c r="A22" s="13">
        <f t="shared" si="0"/>
        <v>16</v>
      </c>
      <c r="B22" s="14" t="s">
        <v>63</v>
      </c>
      <c r="C22" s="15" t="s">
        <v>64</v>
      </c>
      <c r="D22" s="13" t="s">
        <v>11</v>
      </c>
      <c r="E22" s="15" t="s">
        <v>55</v>
      </c>
      <c r="F22" s="15" t="s">
        <v>65</v>
      </c>
      <c r="G22" s="16">
        <v>350000</v>
      </c>
      <c r="H22" s="16">
        <f>VLOOKUP(C22,[1]Sheet1!B$2:J$773,9,FALSE)</f>
        <v>4708150</v>
      </c>
    </row>
    <row r="23" spans="1:14" x14ac:dyDescent="0.35">
      <c r="A23" s="13">
        <f t="shared" si="0"/>
        <v>17</v>
      </c>
      <c r="B23" s="14" t="s">
        <v>66</v>
      </c>
      <c r="C23" s="15" t="s">
        <v>67</v>
      </c>
      <c r="D23" s="13" t="s">
        <v>11</v>
      </c>
      <c r="E23" s="15" t="s">
        <v>68</v>
      </c>
      <c r="F23" s="15" t="s">
        <v>69</v>
      </c>
      <c r="G23" s="16">
        <v>350000</v>
      </c>
      <c r="H23" s="16">
        <f>VLOOKUP(C23,[1]Sheet1!B$2:J$773,9,FALSE)</f>
        <v>0</v>
      </c>
    </row>
    <row r="24" spans="1:14" x14ac:dyDescent="0.35">
      <c r="A24" s="13">
        <f t="shared" si="0"/>
        <v>18</v>
      </c>
      <c r="B24" s="14" t="s">
        <v>70</v>
      </c>
      <c r="C24" s="15" t="s">
        <v>71</v>
      </c>
      <c r="D24" s="13" t="s">
        <v>11</v>
      </c>
      <c r="E24" s="15" t="s">
        <v>68</v>
      </c>
      <c r="F24" s="15" t="s">
        <v>72</v>
      </c>
      <c r="G24" s="16">
        <v>150000</v>
      </c>
      <c r="H24" s="16">
        <f>VLOOKUP(C24,[1]Sheet1!B$2:J$773,9,FALSE)</f>
        <v>0</v>
      </c>
    </row>
    <row r="25" spans="1:14" x14ac:dyDescent="0.35">
      <c r="A25" s="13">
        <f t="shared" si="0"/>
        <v>19</v>
      </c>
      <c r="B25" s="14" t="s">
        <v>73</v>
      </c>
      <c r="C25" s="15" t="s">
        <v>74</v>
      </c>
      <c r="D25" s="13" t="s">
        <v>11</v>
      </c>
      <c r="E25" s="15" t="s">
        <v>75</v>
      </c>
      <c r="F25" s="15" t="s">
        <v>76</v>
      </c>
      <c r="G25" s="16">
        <v>100000</v>
      </c>
      <c r="H25" s="16">
        <f>VLOOKUP(C25,[1]Sheet1!B$2:J$773,9,FALSE)</f>
        <v>0</v>
      </c>
    </row>
    <row r="26" spans="1:14" x14ac:dyDescent="0.35">
      <c r="A26" s="13">
        <f t="shared" si="0"/>
        <v>20</v>
      </c>
      <c r="B26" s="14" t="s">
        <v>77</v>
      </c>
      <c r="C26" s="15" t="s">
        <v>78</v>
      </c>
      <c r="D26" s="13" t="s">
        <v>11</v>
      </c>
      <c r="E26" s="15" t="s">
        <v>75</v>
      </c>
      <c r="F26" s="15" t="s">
        <v>79</v>
      </c>
      <c r="G26" s="16">
        <v>250000</v>
      </c>
      <c r="H26" s="16">
        <f>VLOOKUP(C26,[1]Sheet1!B$2:J$773,9,FALSE)</f>
        <v>0</v>
      </c>
    </row>
    <row r="27" spans="1:14" x14ac:dyDescent="0.35">
      <c r="A27" s="13">
        <f t="shared" si="0"/>
        <v>21</v>
      </c>
      <c r="B27" s="14" t="s">
        <v>80</v>
      </c>
      <c r="C27" s="15" t="s">
        <v>81</v>
      </c>
      <c r="D27" s="13" t="s">
        <v>11</v>
      </c>
      <c r="E27" s="15" t="s">
        <v>75</v>
      </c>
      <c r="F27" s="15" t="s">
        <v>82</v>
      </c>
      <c r="G27" s="16">
        <v>250000</v>
      </c>
      <c r="H27" s="16">
        <f>VLOOKUP(C27,[1]Sheet1!B$2:J$773,9,FALSE)</f>
        <v>2822700</v>
      </c>
    </row>
    <row r="28" spans="1:14" x14ac:dyDescent="0.35">
      <c r="A28" s="13">
        <f t="shared" si="0"/>
        <v>22</v>
      </c>
      <c r="B28" s="14" t="s">
        <v>83</v>
      </c>
      <c r="C28" s="15" t="s">
        <v>84</v>
      </c>
      <c r="D28" s="13" t="s">
        <v>11</v>
      </c>
      <c r="E28" s="15" t="s">
        <v>75</v>
      </c>
      <c r="F28" s="15" t="s">
        <v>85</v>
      </c>
      <c r="G28" s="16">
        <v>100000</v>
      </c>
      <c r="H28" s="16">
        <f>VLOOKUP(C28,[1]Sheet1!B$2:J$773,9,FALSE)</f>
        <v>0</v>
      </c>
    </row>
    <row r="29" spans="1:14" x14ac:dyDescent="0.35">
      <c r="A29" s="13">
        <f t="shared" si="0"/>
        <v>23</v>
      </c>
      <c r="B29" s="14" t="s">
        <v>86</v>
      </c>
      <c r="C29" s="15" t="s">
        <v>87</v>
      </c>
      <c r="D29" s="13" t="s">
        <v>11</v>
      </c>
      <c r="E29" s="15" t="s">
        <v>75</v>
      </c>
      <c r="F29" s="15" t="s">
        <v>88</v>
      </c>
      <c r="G29" s="16">
        <v>150000</v>
      </c>
      <c r="H29" s="16">
        <f>VLOOKUP(C29,[1]Sheet1!B$2:J$773,9,FALSE)</f>
        <v>0</v>
      </c>
    </row>
    <row r="30" spans="1:14" x14ac:dyDescent="0.35">
      <c r="A30" s="13">
        <f t="shared" si="0"/>
        <v>24</v>
      </c>
      <c r="B30" s="14" t="s">
        <v>89</v>
      </c>
      <c r="C30" s="15" t="s">
        <v>90</v>
      </c>
      <c r="D30" s="13" t="s">
        <v>11</v>
      </c>
      <c r="E30" s="15" t="s">
        <v>91</v>
      </c>
      <c r="F30" s="15" t="s">
        <v>92</v>
      </c>
      <c r="G30" s="16">
        <v>150000</v>
      </c>
      <c r="H30" s="16">
        <f>VLOOKUP(C30,[1]Sheet1!B$2:J$773,9,FALSE)</f>
        <v>0</v>
      </c>
    </row>
    <row r="31" spans="1:14" x14ac:dyDescent="0.35">
      <c r="A31" s="13">
        <f t="shared" si="0"/>
        <v>25</v>
      </c>
      <c r="B31" s="14" t="s">
        <v>93</v>
      </c>
      <c r="C31" s="15" t="s">
        <v>94</v>
      </c>
      <c r="D31" s="13" t="s">
        <v>11</v>
      </c>
      <c r="E31" s="15" t="s">
        <v>95</v>
      </c>
      <c r="F31" s="15" t="s">
        <v>96</v>
      </c>
      <c r="G31" s="16">
        <v>250000</v>
      </c>
      <c r="H31" s="16">
        <f>VLOOKUP(C31,[1]Sheet1!B$2:J$773,9,FALSE)</f>
        <v>0</v>
      </c>
    </row>
    <row r="32" spans="1:14" x14ac:dyDescent="0.35">
      <c r="A32" s="13">
        <f t="shared" si="0"/>
        <v>26</v>
      </c>
      <c r="B32" s="14" t="s">
        <v>97</v>
      </c>
      <c r="C32" s="15" t="s">
        <v>98</v>
      </c>
      <c r="D32" s="13" t="s">
        <v>11</v>
      </c>
      <c r="E32" s="15" t="s">
        <v>95</v>
      </c>
      <c r="F32" s="15" t="s">
        <v>99</v>
      </c>
      <c r="G32" s="16">
        <v>150000</v>
      </c>
      <c r="H32" s="16">
        <f>VLOOKUP(C32,[1]Sheet1!B$2:J$773,9,FALSE)</f>
        <v>3650000</v>
      </c>
    </row>
    <row r="33" spans="1:9" x14ac:dyDescent="0.35">
      <c r="A33" s="13">
        <f t="shared" si="0"/>
        <v>27</v>
      </c>
      <c r="B33" s="14" t="s">
        <v>100</v>
      </c>
      <c r="C33" s="15" t="s">
        <v>101</v>
      </c>
      <c r="D33" s="13" t="s">
        <v>11</v>
      </c>
      <c r="E33" s="15" t="s">
        <v>102</v>
      </c>
      <c r="F33" s="15" t="s">
        <v>103</v>
      </c>
      <c r="G33" s="16">
        <v>350000</v>
      </c>
      <c r="H33" s="16">
        <f>VLOOKUP(C33,[1]Sheet1!B$2:J$773,9,FALSE)</f>
        <v>1733796</v>
      </c>
    </row>
    <row r="34" spans="1:9" x14ac:dyDescent="0.35">
      <c r="A34" s="13">
        <f t="shared" si="0"/>
        <v>28</v>
      </c>
      <c r="B34" s="14" t="s">
        <v>104</v>
      </c>
      <c r="C34" s="15" t="s">
        <v>105</v>
      </c>
      <c r="D34" s="13" t="s">
        <v>11</v>
      </c>
      <c r="E34" s="15" t="s">
        <v>102</v>
      </c>
      <c r="F34" s="15" t="s">
        <v>106</v>
      </c>
      <c r="G34" s="16">
        <v>150000</v>
      </c>
      <c r="H34" s="16">
        <f>VLOOKUP(C34,[1]Sheet1!B$2:J$773,9,FALSE)</f>
        <v>0</v>
      </c>
    </row>
    <row r="35" spans="1:9" x14ac:dyDescent="0.35">
      <c r="A35" s="13">
        <f t="shared" si="0"/>
        <v>29</v>
      </c>
      <c r="B35" s="14" t="s">
        <v>107</v>
      </c>
      <c r="C35" s="15" t="s">
        <v>108</v>
      </c>
      <c r="D35" s="13" t="s">
        <v>11</v>
      </c>
      <c r="E35" s="15" t="s">
        <v>102</v>
      </c>
      <c r="F35" s="15" t="s">
        <v>109</v>
      </c>
      <c r="G35" s="16">
        <v>250000</v>
      </c>
      <c r="H35" s="16">
        <f>VLOOKUP(C35,[1]Sheet1!B$2:J$773,9,FALSE)</f>
        <v>0</v>
      </c>
    </row>
    <row r="36" spans="1:9" x14ac:dyDescent="0.35">
      <c r="A36" s="13">
        <f t="shared" si="0"/>
        <v>30</v>
      </c>
      <c r="B36" s="14" t="s">
        <v>110</v>
      </c>
      <c r="C36" s="15" t="s">
        <v>111</v>
      </c>
      <c r="D36" s="13" t="s">
        <v>11</v>
      </c>
      <c r="E36" s="15" t="s">
        <v>102</v>
      </c>
      <c r="F36" s="15" t="s">
        <v>112</v>
      </c>
      <c r="G36" s="16">
        <v>250000</v>
      </c>
      <c r="H36" s="16">
        <f>VLOOKUP(C36,[1]Sheet1!B$2:J$773,9,FALSE)</f>
        <v>3563351</v>
      </c>
    </row>
    <row r="37" spans="1:9" x14ac:dyDescent="0.35">
      <c r="A37" s="13">
        <f t="shared" si="0"/>
        <v>31</v>
      </c>
      <c r="B37" s="14" t="s">
        <v>113</v>
      </c>
      <c r="C37" s="15" t="s">
        <v>114</v>
      </c>
      <c r="D37" s="13" t="s">
        <v>11</v>
      </c>
      <c r="E37" s="15" t="s">
        <v>115</v>
      </c>
      <c r="F37" s="15" t="s">
        <v>116</v>
      </c>
      <c r="G37" s="16">
        <v>150000</v>
      </c>
      <c r="H37" s="16">
        <f>VLOOKUP(C37,[1]Sheet1!B$2:J$773,9,FALSE)</f>
        <v>1354167</v>
      </c>
    </row>
    <row r="38" spans="1:9" x14ac:dyDescent="0.35">
      <c r="A38" s="13">
        <f t="shared" si="0"/>
        <v>32</v>
      </c>
      <c r="B38" s="14" t="s">
        <v>117</v>
      </c>
      <c r="C38" s="15" t="s">
        <v>118</v>
      </c>
      <c r="D38" s="13" t="s">
        <v>11</v>
      </c>
      <c r="E38" s="15" t="s">
        <v>115</v>
      </c>
      <c r="F38" s="15" t="s">
        <v>116</v>
      </c>
      <c r="G38" s="16">
        <v>150000</v>
      </c>
      <c r="H38" s="16">
        <f>VLOOKUP(C38,[1]Sheet1!B$2:J$773,9,FALSE)</f>
        <v>0</v>
      </c>
    </row>
    <row r="39" spans="1:9" x14ac:dyDescent="0.35">
      <c r="A39" s="13">
        <f t="shared" si="0"/>
        <v>33</v>
      </c>
      <c r="B39" s="14" t="s">
        <v>119</v>
      </c>
      <c r="C39" s="15" t="s">
        <v>120</v>
      </c>
      <c r="D39" s="13" t="s">
        <v>11</v>
      </c>
      <c r="E39" s="15" t="s">
        <v>115</v>
      </c>
      <c r="F39" s="15" t="s">
        <v>116</v>
      </c>
      <c r="G39" s="16">
        <v>250000</v>
      </c>
      <c r="H39" s="16">
        <f>VLOOKUP(C39,[1]Sheet1!B$2:J$773,9,FALSE)</f>
        <v>9525267</v>
      </c>
    </row>
    <row r="40" spans="1:9" x14ac:dyDescent="0.35">
      <c r="A40" s="13">
        <f t="shared" si="0"/>
        <v>34</v>
      </c>
      <c r="B40" s="14" t="s">
        <v>121</v>
      </c>
      <c r="C40" s="15" t="s">
        <v>122</v>
      </c>
      <c r="D40" s="13" t="s">
        <v>11</v>
      </c>
      <c r="E40" s="15" t="s">
        <v>123</v>
      </c>
      <c r="F40" s="15" t="s">
        <v>124</v>
      </c>
      <c r="G40" s="16">
        <v>150000</v>
      </c>
      <c r="H40" s="16">
        <f>VLOOKUP(C40,[1]Sheet1!B$2:J$773,9,FALSE)</f>
        <v>2500000</v>
      </c>
    </row>
    <row r="41" spans="1:9" x14ac:dyDescent="0.35">
      <c r="A41" s="13">
        <f t="shared" si="0"/>
        <v>35</v>
      </c>
      <c r="B41" s="14" t="s">
        <v>125</v>
      </c>
      <c r="C41" s="15" t="s">
        <v>126</v>
      </c>
      <c r="D41" s="13" t="s">
        <v>11</v>
      </c>
      <c r="E41" s="15" t="s">
        <v>123</v>
      </c>
      <c r="F41" s="15" t="s">
        <v>127</v>
      </c>
      <c r="G41" s="16">
        <v>150000</v>
      </c>
      <c r="H41" s="16">
        <f>VLOOKUP(C41,[1]Sheet1!B$2:J$773,9,FALSE)</f>
        <v>0</v>
      </c>
    </row>
    <row r="42" spans="1:9" x14ac:dyDescent="0.35">
      <c r="A42" s="13">
        <f t="shared" si="0"/>
        <v>36</v>
      </c>
      <c r="B42" s="14" t="s">
        <v>128</v>
      </c>
      <c r="C42" s="15" t="s">
        <v>129</v>
      </c>
      <c r="D42" s="13" t="s">
        <v>11</v>
      </c>
      <c r="E42" s="15" t="s">
        <v>130</v>
      </c>
      <c r="F42" s="15" t="s">
        <v>131</v>
      </c>
      <c r="G42" s="16">
        <v>100000</v>
      </c>
      <c r="H42" s="16">
        <f>VLOOKUP(C42,[1]Sheet1!B$2:J$773,9,FALSE)</f>
        <v>1500000</v>
      </c>
    </row>
    <row r="43" spans="1:9" x14ac:dyDescent="0.35">
      <c r="A43" s="13">
        <f t="shared" si="0"/>
        <v>37</v>
      </c>
      <c r="B43" s="14" t="s">
        <v>132</v>
      </c>
      <c r="C43" s="15" t="s">
        <v>133</v>
      </c>
      <c r="D43" s="13" t="s">
        <v>11</v>
      </c>
      <c r="E43" s="15" t="s">
        <v>134</v>
      </c>
      <c r="F43" s="15" t="s">
        <v>135</v>
      </c>
      <c r="G43" s="16">
        <v>100000</v>
      </c>
      <c r="H43" s="16">
        <f>VLOOKUP(C43,[1]Sheet1!B$2:J$773,9,FALSE)</f>
        <v>0</v>
      </c>
    </row>
    <row r="44" spans="1:9" x14ac:dyDescent="0.35">
      <c r="A44" s="13">
        <f t="shared" si="0"/>
        <v>38</v>
      </c>
      <c r="B44" s="30" t="s">
        <v>141</v>
      </c>
      <c r="C44" s="31" t="s">
        <v>140</v>
      </c>
      <c r="D44" s="32" t="s">
        <v>11</v>
      </c>
      <c r="E44" s="31"/>
      <c r="F44" s="31"/>
      <c r="G44" s="16">
        <v>350000</v>
      </c>
      <c r="H44" s="16">
        <f>VLOOKUP(C44,[1]Sheet1!B$2:J$773,9,FALSE)</f>
        <v>0</v>
      </c>
      <c r="I44" s="1" t="s">
        <v>142</v>
      </c>
    </row>
    <row r="45" spans="1:9" x14ac:dyDescent="0.35">
      <c r="A45" s="13">
        <f t="shared" si="0"/>
        <v>39</v>
      </c>
      <c r="B45" s="23"/>
      <c r="C45" s="24" t="s">
        <v>139</v>
      </c>
      <c r="D45" s="22" t="s">
        <v>11</v>
      </c>
      <c r="E45" s="24"/>
      <c r="F45" s="24"/>
      <c r="G45" s="25">
        <v>250000</v>
      </c>
      <c r="H45" s="16">
        <v>0</v>
      </c>
      <c r="I45" s="1" t="s">
        <v>142</v>
      </c>
    </row>
    <row r="46" spans="1:9" x14ac:dyDescent="0.35">
      <c r="A46" s="13">
        <f t="shared" si="0"/>
        <v>40</v>
      </c>
      <c r="B46" s="23"/>
      <c r="C46" s="24" t="s">
        <v>138</v>
      </c>
      <c r="D46" s="22" t="s">
        <v>11</v>
      </c>
      <c r="E46" s="24"/>
      <c r="F46" s="24"/>
      <c r="G46" s="25">
        <v>250000</v>
      </c>
      <c r="H46" s="16">
        <v>2816372</v>
      </c>
      <c r="I46" s="1" t="s">
        <v>142</v>
      </c>
    </row>
    <row r="47" spans="1:9" x14ac:dyDescent="0.35">
      <c r="G47" s="21"/>
      <c r="H47" s="21"/>
    </row>
    <row r="48" spans="1:9" x14ac:dyDescent="0.35">
      <c r="D48" s="3" t="s">
        <v>136</v>
      </c>
      <c r="E48"/>
      <c r="F48"/>
      <c r="G48" s="18">
        <f>SUM(G7:G46)</f>
        <v>8600000</v>
      </c>
      <c r="H48" s="18">
        <f>SUM(H7:H46)</f>
        <v>66157107</v>
      </c>
    </row>
    <row r="49" spans="4:10" x14ac:dyDescent="0.35">
      <c r="D49" s="3" t="s">
        <v>137</v>
      </c>
      <c r="E49"/>
      <c r="F49"/>
      <c r="G49" s="19"/>
      <c r="H49" s="18">
        <f>G48+H48</f>
        <v>74757107</v>
      </c>
    </row>
    <row r="50" spans="4:10" x14ac:dyDescent="0.35">
      <c r="E50"/>
      <c r="F50"/>
      <c r="G50" s="19"/>
      <c r="H50" s="19"/>
    </row>
    <row r="51" spans="4:10" x14ac:dyDescent="0.35">
      <c r="E51"/>
      <c r="F51"/>
      <c r="G51" s="19"/>
      <c r="H51" s="19"/>
    </row>
    <row r="52" spans="4:10" x14ac:dyDescent="0.35">
      <c r="D52" s="26"/>
      <c r="E52"/>
      <c r="F52"/>
      <c r="G52" s="19"/>
      <c r="H52" s="19"/>
      <c r="J52" s="27"/>
    </row>
    <row r="53" spans="4:10" x14ac:dyDescent="0.35">
      <c r="E53"/>
      <c r="F53"/>
    </row>
    <row r="54" spans="4:10" x14ac:dyDescent="0.35">
      <c r="D54" s="28"/>
      <c r="E54" s="28"/>
      <c r="F54" s="28"/>
      <c r="G54" s="28"/>
      <c r="H54" s="28"/>
    </row>
    <row r="55" spans="4:10" x14ac:dyDescent="0.35">
      <c r="D55" s="28"/>
      <c r="E55" s="28"/>
      <c r="F55" s="28"/>
      <c r="G55" s="28"/>
      <c r="H55" s="28"/>
    </row>
    <row r="56" spans="4:10" x14ac:dyDescent="0.35">
      <c r="E56"/>
      <c r="F56"/>
    </row>
    <row r="57" spans="4:10" x14ac:dyDescent="0.35">
      <c r="E57"/>
      <c r="F57"/>
    </row>
    <row r="58" spans="4:10" x14ac:dyDescent="0.35">
      <c r="E58"/>
      <c r="F58"/>
    </row>
    <row r="59" spans="4:10" x14ac:dyDescent="0.35">
      <c r="D59" s="28"/>
      <c r="E59" s="28"/>
      <c r="F59" s="28"/>
      <c r="G59" s="28"/>
      <c r="H59" s="28"/>
    </row>
    <row r="60" spans="4:10" x14ac:dyDescent="0.35">
      <c r="E60"/>
      <c r="F60"/>
    </row>
    <row r="61" spans="4:10" x14ac:dyDescent="0.35">
      <c r="E61"/>
      <c r="F61"/>
    </row>
    <row r="62" spans="4:10" x14ac:dyDescent="0.35">
      <c r="E62"/>
      <c r="F62"/>
    </row>
    <row r="63" spans="4:10" x14ac:dyDescent="0.35">
      <c r="E63"/>
      <c r="F63"/>
    </row>
    <row r="64" spans="4:10" x14ac:dyDescent="0.35">
      <c r="E64"/>
      <c r="F64"/>
    </row>
    <row r="65" spans="8:8" x14ac:dyDescent="0.35">
      <c r="H65" s="20">
        <v>0</v>
      </c>
    </row>
  </sheetData>
  <autoFilter ref="A6:H64" xr:uid="{C10BE0AB-A26B-4F18-94EE-2141073D01AA}"/>
  <mergeCells count="6">
    <mergeCell ref="D59:H59"/>
    <mergeCell ref="A1:D1"/>
    <mergeCell ref="A2:D2"/>
    <mergeCell ref="A3:D3"/>
    <mergeCell ref="D54:H54"/>
    <mergeCell ref="D55:H55"/>
  </mergeCells>
  <pageMargins left="0.70866141732283472" right="0.70866141732283472" top="0.74803149606299213" bottom="0.74803149606299213" header="0.31496062992125984" footer="0.31496062992125984"/>
  <pageSetup paperSize="9" scale="85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IDS - Januari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Hazlinda</dc:creator>
  <cp:lastModifiedBy>Vivi Hazlinda</cp:lastModifiedBy>
  <dcterms:created xsi:type="dcterms:W3CDTF">2025-11-24T03:35:46Z</dcterms:created>
  <dcterms:modified xsi:type="dcterms:W3CDTF">2026-01-22T08:19:16Z</dcterms:modified>
</cp:coreProperties>
</file>