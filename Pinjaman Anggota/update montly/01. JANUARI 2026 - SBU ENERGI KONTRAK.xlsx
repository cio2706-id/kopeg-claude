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9b474228dc75fd/Documents/KOPERASI BKI TAHUN 2026/REKAPAN POTONGAN/"/>
    </mc:Choice>
  </mc:AlternateContent>
  <xr:revisionPtr revIDLastSave="1" documentId="13_ncr:1_{1DEE3EF5-796D-437C-B197-AA3B4D4E3233}" xr6:coauthVersionLast="47" xr6:coauthVersionMax="47" xr10:uidLastSave="{49A7B925-949B-4B52-87A8-B00B61359054}"/>
  <bookViews>
    <workbookView xWindow="-110" yWindow="-110" windowWidth="19420" windowHeight="10300" firstSheet="2" activeTab="3" xr2:uid="{00000000-000D-0000-FFFF-FFFF00000000}"/>
  </bookViews>
  <sheets>
    <sheet name="TANDA TERIMA" sheetId="1" state="hidden" r:id="rId1"/>
    <sheet name="DAFTAR (2)" sheetId="2" state="hidden" r:id="rId2"/>
    <sheet name="REKAP" sheetId="3" r:id="rId3"/>
    <sheet name="DAFTAR" sheetId="4" r:id="rId4"/>
    <sheet name="Khusus &amp; reguler" sheetId="5" r:id="rId5"/>
    <sheet name="DKI (2)" sheetId="6" state="hidden" r:id="rId6"/>
    <sheet name="BRIS" sheetId="7" state="hidden" r:id="rId7"/>
    <sheet name="BRIS (2)" sheetId="8" state="hidden" r:id="rId8"/>
  </sheets>
  <definedNames>
    <definedName name="_xlnm._FilterDatabase" localSheetId="3" hidden="1">DAFTAR!$G$1:$G$29</definedName>
    <definedName name="_xlnm.Print_Area" localSheetId="6">BRIS!$A$1:$F$17</definedName>
    <definedName name="_xlnm.Print_Area" localSheetId="7">'BRIS (2)'!$A$1:$F$19</definedName>
    <definedName name="_xlnm.Print_Area" localSheetId="3">DAFTAR!$A$1:$F$26</definedName>
    <definedName name="_xlnm.Print_Area" localSheetId="1">'DAFTAR (2)'!$A$1:$I$32</definedName>
    <definedName name="_xlnm.Print_Area" localSheetId="5">'DKI (2)'!$A$1:$F$19</definedName>
    <definedName name="_xlnm.Print_Area" localSheetId="4">'Khusus &amp; reguler'!$A$1:$I$28</definedName>
    <definedName name="_xlnm.Print_Area" localSheetId="2">REKAP!$A$1:$E$25</definedName>
    <definedName name="_xlnm.Print_Area" localSheetId="0">'TANDA TERIMA'!$A$1:$E$33</definedName>
    <definedName name="_xlnm.Print_Titles" localSheetId="3">DAFTAR!$1:$7</definedName>
    <definedName name="_xlnm.Print_Titles" localSheetId="1">'DAFTAR (2)'!$1:$6</definedName>
    <definedName name="_xlnm.Print_Titles" localSheetId="4">'Khusus &amp; reguler'!$1:$7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5" l="1"/>
  <c r="F17" i="4"/>
  <c r="C17" i="4"/>
  <c r="F13" i="4"/>
  <c r="F14" i="4"/>
  <c r="F15" i="4"/>
  <c r="F16" i="4"/>
  <c r="E13" i="4"/>
  <c r="F15" i="5"/>
  <c r="H14" i="5"/>
  <c r="E14" i="5"/>
  <c r="E13" i="5"/>
  <c r="G15" i="5"/>
  <c r="E15" i="5"/>
  <c r="D15" i="5"/>
  <c r="C15" i="5"/>
  <c r="I14" i="5" l="1"/>
  <c r="D17" i="4"/>
  <c r="H13" i="5" l="1"/>
  <c r="I13" i="5" l="1"/>
  <c r="E8" i="4"/>
  <c r="D20" i="2"/>
  <c r="E20" i="2"/>
  <c r="F20" i="2"/>
  <c r="G20" i="2"/>
  <c r="H20" i="2"/>
  <c r="C20" i="2"/>
  <c r="I17" i="2"/>
  <c r="E12" i="5" l="1"/>
  <c r="H12" i="5"/>
  <c r="E9" i="4" s="1"/>
  <c r="I8" i="2"/>
  <c r="I12" i="5" l="1"/>
  <c r="E11" i="5"/>
  <c r="H11" i="5"/>
  <c r="H15" i="5" s="1"/>
  <c r="I9" i="2"/>
  <c r="I10" i="2"/>
  <c r="I11" i="2"/>
  <c r="I12" i="2"/>
  <c r="I13" i="2"/>
  <c r="I14" i="2"/>
  <c r="I15" i="2"/>
  <c r="I16" i="2"/>
  <c r="I18" i="2"/>
  <c r="I19" i="2"/>
  <c r="I11" i="5" l="1"/>
  <c r="E10" i="4" l="1"/>
  <c r="F10" i="4"/>
  <c r="F9" i="4"/>
  <c r="F8" i="4"/>
  <c r="E9" i="5" l="1"/>
  <c r="H9" i="5"/>
  <c r="I9" i="5" l="1"/>
  <c r="E12" i="4" s="1"/>
  <c r="F12" i="4" s="1"/>
  <c r="D9" i="8" l="1"/>
  <c r="C9" i="8"/>
  <c r="C7" i="7" l="1"/>
  <c r="E10" i="5" l="1"/>
  <c r="H10" i="5"/>
  <c r="I10" i="5" l="1"/>
  <c r="E14" i="4" s="1"/>
  <c r="D7" i="7" l="1"/>
  <c r="F7" i="7"/>
  <c r="I7" i="2" l="1"/>
  <c r="I20" i="2" s="1"/>
  <c r="E8" i="5" l="1"/>
  <c r="I8" i="5" l="1"/>
  <c r="E6" i="3" l="1"/>
  <c r="E11" i="4"/>
  <c r="E17" i="4" s="1"/>
  <c r="F11" i="4" l="1"/>
  <c r="D9" i="6"/>
  <c r="C9" i="6"/>
  <c r="E16" i="3"/>
  <c r="E6" i="7" l="1"/>
  <c r="E7" i="7" l="1"/>
  <c r="E8" i="8"/>
  <c r="E7" i="8"/>
  <c r="E6" i="6"/>
  <c r="E7" i="6"/>
  <c r="E8" i="6"/>
  <c r="E15" i="3"/>
  <c r="E13" i="1"/>
  <c r="E9" i="8" l="1"/>
  <c r="E9" i="6"/>
  <c r="E9" i="3" l="1"/>
  <c r="E9" i="1"/>
  <c r="E11" i="3"/>
  <c r="E10" i="1"/>
  <c r="E10" i="3"/>
  <c r="E14" i="3" l="1"/>
  <c r="E17" i="3" s="1"/>
  <c r="E11" i="1"/>
  <c r="E6" i="1"/>
  <c r="E12" i="1" l="1"/>
  <c r="E15" i="1" s="1"/>
</calcChain>
</file>

<file path=xl/sharedStrings.xml><?xml version="1.0" encoding="utf-8"?>
<sst xmlns="http://schemas.openxmlformats.org/spreadsheetml/2006/main" count="202" uniqueCount="112">
  <si>
    <t xml:space="preserve">REKAPITULASI POTONGAN </t>
  </si>
  <si>
    <t>GAJI BULAN MEI 2016</t>
  </si>
  <si>
    <t>PT.(PERSERO) BIRO KLASIFIKASI INDONESIA</t>
  </si>
  <si>
    <t>SBU INFRASTRUKTUR &amp; JASA UMUM</t>
  </si>
  <si>
    <t>Pinjaman Reguler &amp; Khusus</t>
  </si>
  <si>
    <t>Hutang Chaneling :</t>
  </si>
  <si>
    <t>1) Bank DKI</t>
  </si>
  <si>
    <t>2) Bank BRI SYARIAH</t>
  </si>
  <si>
    <t>T O T A L</t>
  </si>
  <si>
    <t>Simpanan Wajib</t>
  </si>
  <si>
    <t>J U M L A H</t>
  </si>
  <si>
    <t>Mengetahui,</t>
  </si>
  <si>
    <t>Pembuat Daftar,</t>
  </si>
  <si>
    <t>MEGA HADIYANTI</t>
  </si>
  <si>
    <t>SAEPUL</t>
  </si>
  <si>
    <t>TANDA TERIMA</t>
  </si>
  <si>
    <t>PT. (PERSERO) BIRO KLASIFIKASI INDONESIA</t>
  </si>
  <si>
    <t>DAFTAR    : PEMOTONGAN PINJAMAN + JASA DARI GAJI</t>
  </si>
  <si>
    <t>NO.</t>
  </si>
  <si>
    <t>N A M A</t>
  </si>
  <si>
    <t>BRI SYARI'AH</t>
  </si>
  <si>
    <t>BANK DKI</t>
  </si>
  <si>
    <t>KHUSUS</t>
  </si>
  <si>
    <t>REGULER</t>
  </si>
  <si>
    <t>JUMLAH</t>
  </si>
  <si>
    <t>ROCHMANSYAH</t>
  </si>
  <si>
    <t>SUSETYO WIJANARKO</t>
  </si>
  <si>
    <t>YUDAS PASOMBA</t>
  </si>
  <si>
    <t xml:space="preserve">                J U M L A H</t>
  </si>
  <si>
    <t xml:space="preserve">Terbilang : </t>
  </si>
  <si>
    <t>MEGA HADIYANTI,S.E.</t>
  </si>
  <si>
    <t>2) Bank BRI SYARIAH Tahap 1 /2016</t>
  </si>
  <si>
    <t>SIMPANAN WAJIB</t>
  </si>
  <si>
    <t>PINJAMAN</t>
  </si>
  <si>
    <t>TOGAP HIDAYAT</t>
  </si>
  <si>
    <t>PINJAMAN REGULER</t>
  </si>
  <si>
    <t>POKOK</t>
  </si>
  <si>
    <t>JASA</t>
  </si>
  <si>
    <t>SYAFRIL</t>
  </si>
  <si>
    <t>Pembuat daftar,</t>
  </si>
  <si>
    <t>DAFTAR ANGSURAN ANGGOTA KE BANK DKI</t>
  </si>
  <si>
    <t>CABANG BINTARO BKI - SBU ENERGI</t>
  </si>
  <si>
    <t>NAMA</t>
  </si>
  <si>
    <t>ANGSURAN</t>
  </si>
  <si>
    <t>BUNGA</t>
  </si>
  <si>
    <t>TOTAL</t>
  </si>
  <si>
    <t>KET</t>
  </si>
  <si>
    <t>Tahun 2012</t>
  </si>
  <si>
    <t>Tahap 1/2011</t>
  </si>
  <si>
    <t>Tahap 3 / 2012</t>
  </si>
  <si>
    <t>Terakhir dipotong bulan APRIL</t>
  </si>
  <si>
    <t>TERBILANG :</t>
  </si>
  <si>
    <t>DAFTAR ANGSURAN ANGGOTA BRI SYARIAH</t>
  </si>
  <si>
    <t>UNIT KERJA BKI - SBU ENERGI</t>
  </si>
  <si>
    <t>FERRY HARFIANTO EFFENDY</t>
  </si>
  <si>
    <t>Tahap 6/2015</t>
  </si>
  <si>
    <t>Tahap 1/2016</t>
  </si>
  <si>
    <t>Jakarta, 15 Juni 2016</t>
  </si>
  <si>
    <t>M.RADIANSYAH</t>
  </si>
  <si>
    <t>SIMPANAN POKOK</t>
  </si>
  <si>
    <t>Simpanan Pokok</t>
  </si>
  <si>
    <t>BULAN OKTOBER 2016</t>
  </si>
  <si>
    <t>MURDIYANTA</t>
  </si>
  <si>
    <t>BANK BJB</t>
  </si>
  <si>
    <t>3) Bank BRI SYARIAH Tahap 1 /2016</t>
  </si>
  <si>
    <t>4) BANK BJB Fasilitas II</t>
  </si>
  <si>
    <t>Jakarta,18 Oktober 2016</t>
  </si>
  <si>
    <t>PT.BIRO KLASIFIKASI INDONESIA (PERSERO)</t>
  </si>
  <si>
    <t>6=3+4+5</t>
  </si>
  <si>
    <t>5=3+4</t>
  </si>
  <si>
    <t xml:space="preserve"> 8=(3+4+5+6+7)</t>
  </si>
  <si>
    <t xml:space="preserve"> 9 =(5+8)</t>
  </si>
  <si>
    <t>AFNITA CITRA UTAMA</t>
  </si>
  <si>
    <t>NUR CAHYO FEBRIANTO PUTRO</t>
  </si>
  <si>
    <t>MUHAMMAD ARDIANSYAH</t>
  </si>
  <si>
    <t>MANDIRI</t>
  </si>
  <si>
    <t>4) BANK Mandiri</t>
  </si>
  <si>
    <t>NUR CAHYO FEBRIANTO</t>
  </si>
  <si>
    <t>TANTRY OCTAVIANI</t>
  </si>
  <si>
    <t xml:space="preserve">PINJAMAN KHUSUS </t>
  </si>
  <si>
    <t>NOVALDER SARTAPAYU</t>
  </si>
  <si>
    <t>NOTE :</t>
  </si>
  <si>
    <t>REGULER TIDAK DIPOTONG</t>
  </si>
  <si>
    <t>SULAEMAN</t>
  </si>
  <si>
    <t>HENKY VIEDIAN SANTOSO</t>
  </si>
  <si>
    <t>MUHAMMAD RIO</t>
  </si>
  <si>
    <t>Jakarta, 18 November 2020</t>
  </si>
  <si>
    <t>BULAN : NOVEMBER 2020</t>
  </si>
  <si>
    <t>ALDI WAHYU PRASETYO</t>
  </si>
  <si>
    <t>ALDI MUHAMMAD RIANTO</t>
  </si>
  <si>
    <t>IQBAL REZKY</t>
  </si>
  <si>
    <t xml:space="preserve"> </t>
  </si>
  <si>
    <t>HENGKY PRABOWO</t>
  </si>
  <si>
    <t>SBU ENERGI KONTRAK</t>
  </si>
  <si>
    <t>BERMASALAH</t>
  </si>
  <si>
    <t>HENGKI PRABOWO</t>
  </si>
  <si>
    <t>PEGAWAI :  SBU ENERGI KONTRAK PERIODE BULAN DESEMBER 2022</t>
  </si>
  <si>
    <t>Jakarta, 13 Desember 2022</t>
  </si>
  <si>
    <t>VIVI HAZLINDA</t>
  </si>
  <si>
    <t>DEA ADAWIYAH</t>
  </si>
  <si>
    <t>Lunas Per Januari 2026</t>
  </si>
  <si>
    <t>UCOK NELWAN</t>
  </si>
  <si>
    <t>Anggota baru per September 2025</t>
  </si>
  <si>
    <t>-</t>
  </si>
  <si>
    <t>Lunas Pinj Khusus Februari 2028 &amp; Hardcopy Pinj Reg Lunas Per September 2025</t>
  </si>
  <si>
    <t>Baru cair September Akhir, Lunas Juli 2026</t>
  </si>
  <si>
    <t>Terbilang : Sembilan Juta Tiga Ratus Tujuh Puluh Dua Ribu Dua Ratus Dua Puluh Dua Rupiah</t>
  </si>
  <si>
    <t>Terbilang : Sepuluh Juta Dua Ratus Tujuh Puluh Dua Ribu Dua Ratus Dua Puluh Dua Rupiah</t>
  </si>
  <si>
    <t>Lunas Agustus 2026 (Jika Lebaran tidak dipotong), Pinjaman Baru cair di November 2025</t>
  </si>
  <si>
    <t>GAJI BULAN JANUARI 2026</t>
  </si>
  <si>
    <t>Jakarta, 07 Januari 2026</t>
  </si>
  <si>
    <t>PEGAWAI :  SBU ENERGI KONTRAK PERIODE BULAN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</si>
</sst>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</numFmts>
  <fonts count="41" x14ac:knownFonts="1"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sz val="12"/>
      <color indexed="8"/>
      <name val="Calibri"/>
      <family val="2"/>
      <charset val="1"/>
    </font>
    <font>
      <b/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  <charset val="1"/>
    </font>
    <font>
      <b/>
      <sz val="14"/>
      <color indexed="8"/>
      <name val="Calibri"/>
      <family val="2"/>
      <charset val="1"/>
    </font>
    <font>
      <sz val="11"/>
      <name val="Calibri"/>
      <family val="2"/>
      <charset val="1"/>
    </font>
    <font>
      <b/>
      <sz val="16"/>
      <color indexed="8"/>
      <name val="Cambria"/>
      <family val="1"/>
    </font>
    <font>
      <b/>
      <i/>
      <sz val="16"/>
      <color indexed="8"/>
      <name val="Cambria"/>
      <family val="1"/>
    </font>
    <font>
      <sz val="12"/>
      <color indexed="8"/>
      <name val="Cambria"/>
      <family val="1"/>
    </font>
    <font>
      <b/>
      <sz val="12"/>
      <color indexed="8"/>
      <name val="Cambria"/>
      <family val="1"/>
    </font>
    <font>
      <sz val="12"/>
      <name val="Calibri"/>
      <family val="2"/>
    </font>
    <font>
      <b/>
      <sz val="11"/>
      <name val="Calibri"/>
      <family val="2"/>
      <charset val="1"/>
    </font>
    <font>
      <b/>
      <i/>
      <sz val="11"/>
      <name val="Calibri"/>
      <family val="2"/>
      <charset val="1"/>
    </font>
    <font>
      <sz val="11"/>
      <name val="Calibri"/>
      <family val="2"/>
      <scheme val="minor"/>
    </font>
    <font>
      <b/>
      <sz val="11"/>
      <color indexed="8"/>
      <name val="Cambria"/>
      <family val="1"/>
      <scheme val="major"/>
    </font>
    <font>
      <b/>
      <sz val="12"/>
      <color indexed="8"/>
      <name val="Cambria"/>
      <family val="1"/>
      <scheme val="major"/>
    </font>
    <font>
      <b/>
      <sz val="12"/>
      <name val="Cambria"/>
      <family val="1"/>
      <scheme val="major"/>
    </font>
    <font>
      <sz val="12"/>
      <color indexed="8"/>
      <name val="Cambria"/>
      <family val="1"/>
      <scheme val="major"/>
    </font>
    <font>
      <sz val="12"/>
      <name val="Cambria"/>
      <family val="1"/>
      <scheme val="major"/>
    </font>
    <font>
      <sz val="10"/>
      <name val="Cambria"/>
      <family val="1"/>
      <scheme val="major"/>
    </font>
    <font>
      <b/>
      <i/>
      <sz val="12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16"/>
      <color indexed="8"/>
      <name val="Cambria"/>
      <family val="1"/>
      <scheme val="major"/>
    </font>
    <font>
      <b/>
      <i/>
      <sz val="16"/>
      <color indexed="8"/>
      <name val="Cambria"/>
      <family val="1"/>
      <scheme val="major"/>
    </font>
    <font>
      <b/>
      <i/>
      <sz val="11"/>
      <color indexed="8"/>
      <name val="Cambria"/>
      <family val="1"/>
      <scheme val="major"/>
    </font>
    <font>
      <sz val="14"/>
      <color indexed="8"/>
      <name val="Cambria"/>
      <family val="1"/>
      <scheme val="major"/>
    </font>
    <font>
      <b/>
      <sz val="14"/>
      <color indexed="8"/>
      <name val="Cambria"/>
      <family val="1"/>
      <scheme val="major"/>
    </font>
    <font>
      <b/>
      <i/>
      <sz val="11"/>
      <name val="Cambria"/>
      <family val="1"/>
      <scheme val="major"/>
    </font>
    <font>
      <i/>
      <sz val="11"/>
      <name val="Cambria"/>
      <family val="1"/>
      <scheme val="major"/>
    </font>
    <font>
      <i/>
      <sz val="12"/>
      <name val="Cambria"/>
      <family val="1"/>
      <scheme val="major"/>
    </font>
    <font>
      <sz val="11"/>
      <name val="Calibri"/>
      <family val="2"/>
    </font>
    <font>
      <sz val="12"/>
      <name val="Calibri"/>
      <family val="2"/>
      <charset val="1"/>
    </font>
    <font>
      <sz val="11"/>
      <name val="Calibri"/>
      <family val="2"/>
      <charset val="1"/>
      <scheme val="minor"/>
    </font>
    <font>
      <b/>
      <sz val="11"/>
      <name val="Calibri"/>
      <family val="2"/>
    </font>
    <font>
      <b/>
      <u/>
      <sz val="12"/>
      <name val="Cambria"/>
      <family val="1"/>
      <scheme val="major"/>
    </font>
    <font>
      <b/>
      <sz val="12"/>
      <name val="Calibri"/>
      <family val="2"/>
    </font>
    <font>
      <sz val="12"/>
      <color rgb="FF00B0F0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31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64" fontId="0" fillId="0" borderId="0" xfId="2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5" fillId="0" borderId="9" xfId="0" applyFont="1" applyBorder="1"/>
    <xf numFmtId="0" fontId="5" fillId="0" borderId="3" xfId="0" applyFont="1" applyBorder="1"/>
    <xf numFmtId="0" fontId="5" fillId="0" borderId="10" xfId="0" applyFont="1" applyBorder="1"/>
    <xf numFmtId="0" fontId="5" fillId="0" borderId="8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164" fontId="3" fillId="0" borderId="11" xfId="2" applyFont="1" applyBorder="1"/>
    <xf numFmtId="164" fontId="0" fillId="0" borderId="0" xfId="0" applyNumberFormat="1"/>
    <xf numFmtId="41" fontId="0" fillId="0" borderId="0" xfId="0" applyNumberFormat="1"/>
    <xf numFmtId="0" fontId="7" fillId="0" borderId="11" xfId="0" applyFont="1" applyBorder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4" fillId="0" borderId="0" xfId="2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3" xfId="0" applyFont="1" applyBorder="1"/>
    <xf numFmtId="0" fontId="3" fillId="3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5" xfId="0" applyFont="1" applyBorder="1"/>
    <xf numFmtId="164" fontId="3" fillId="0" borderId="1" xfId="2" applyFont="1" applyBorder="1"/>
    <xf numFmtId="0" fontId="0" fillId="0" borderId="4" xfId="0" applyBorder="1" applyAlignment="1">
      <alignment horizontal="center"/>
    </xf>
    <xf numFmtId="164" fontId="7" fillId="0" borderId="0" xfId="2" applyFont="1" applyAlignment="1">
      <alignment vertical="center"/>
    </xf>
    <xf numFmtId="164" fontId="13" fillId="0" borderId="2" xfId="2" applyFont="1" applyBorder="1" applyAlignment="1">
      <alignment horizontal="center" vertical="center"/>
    </xf>
    <xf numFmtId="164" fontId="13" fillId="3" borderId="8" xfId="2" applyFont="1" applyFill="1" applyBorder="1" applyAlignment="1">
      <alignment vertical="center"/>
    </xf>
    <xf numFmtId="164" fontId="14" fillId="0" borderId="0" xfId="2" applyFont="1" applyAlignment="1">
      <alignment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5" xfId="0" applyBorder="1" applyAlignment="1">
      <alignment horizontal="center"/>
    </xf>
    <xf numFmtId="0" fontId="7" fillId="0" borderId="1" xfId="0" applyFont="1" applyBorder="1"/>
    <xf numFmtId="164" fontId="3" fillId="0" borderId="15" xfId="2" applyFont="1" applyBorder="1"/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8" xfId="0" applyBorder="1" applyAlignment="1">
      <alignment horizontal="centerContinuous"/>
    </xf>
    <xf numFmtId="0" fontId="9" fillId="0" borderId="17" xfId="0" applyFont="1" applyBorder="1" applyAlignment="1">
      <alignment horizontal="centerContinuous"/>
    </xf>
    <xf numFmtId="0" fontId="6" fillId="3" borderId="19" xfId="0" applyFont="1" applyFill="1" applyBorder="1" applyAlignment="1">
      <alignment horizontal="centerContinuous"/>
    </xf>
    <xf numFmtId="0" fontId="6" fillId="3" borderId="20" xfId="0" applyFont="1" applyFill="1" applyBorder="1" applyAlignment="1">
      <alignment horizontal="centerContinuous"/>
    </xf>
    <xf numFmtId="0" fontId="6" fillId="3" borderId="21" xfId="0" applyFont="1" applyFill="1" applyBorder="1" applyAlignment="1">
      <alignment horizontal="centerContinuous"/>
    </xf>
    <xf numFmtId="0" fontId="0" fillId="3" borderId="19" xfId="0" applyFill="1" applyBorder="1" applyAlignment="1">
      <alignment horizontal="centerContinuous"/>
    </xf>
    <xf numFmtId="0" fontId="0" fillId="3" borderId="20" xfId="0" applyFill="1" applyBorder="1" applyAlignment="1">
      <alignment horizontal="centerContinuous"/>
    </xf>
    <xf numFmtId="164" fontId="0" fillId="0" borderId="0" xfId="2" applyFont="1" applyAlignment="1">
      <alignment horizontal="centerContinuous" vertical="center"/>
    </xf>
    <xf numFmtId="164" fontId="3" fillId="0" borderId="0" xfId="2" applyFont="1" applyAlignment="1">
      <alignment horizontal="centerContinuous" vertical="center"/>
    </xf>
    <xf numFmtId="0" fontId="3" fillId="3" borderId="8" xfId="0" applyFont="1" applyFill="1" applyBorder="1" applyAlignment="1">
      <alignment horizontal="centerContinuous" vertical="center"/>
    </xf>
    <xf numFmtId="0" fontId="8" fillId="0" borderId="24" xfId="0" applyFont="1" applyBorder="1" applyAlignment="1">
      <alignment horizontal="centerContinuous"/>
    </xf>
    <xf numFmtId="0" fontId="8" fillId="0" borderId="25" xfId="0" applyFont="1" applyBorder="1" applyAlignment="1">
      <alignment horizontal="centerContinuous"/>
    </xf>
    <xf numFmtId="0" fontId="8" fillId="0" borderId="26" xfId="0" applyFont="1" applyBorder="1" applyAlignment="1">
      <alignment horizontal="centerContinuous"/>
    </xf>
    <xf numFmtId="0" fontId="8" fillId="0" borderId="27" xfId="0" applyFont="1" applyBorder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28" xfId="0" applyFont="1" applyBorder="1" applyAlignment="1">
      <alignment horizontal="centerContinuous"/>
    </xf>
    <xf numFmtId="0" fontId="9" fillId="0" borderId="29" xfId="0" applyFont="1" applyBorder="1" applyAlignment="1">
      <alignment horizontal="centerContinuous"/>
    </xf>
    <xf numFmtId="0" fontId="9" fillId="0" borderId="30" xfId="0" applyFont="1" applyBorder="1" applyAlignment="1">
      <alignment horizontal="centerContinuous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164" fontId="5" fillId="0" borderId="34" xfId="2" applyFont="1" applyBorder="1"/>
    <xf numFmtId="0" fontId="5" fillId="0" borderId="33" xfId="0" applyFont="1" applyBorder="1"/>
    <xf numFmtId="0" fontId="5" fillId="0" borderId="34" xfId="0" applyFont="1" applyBorder="1"/>
    <xf numFmtId="0" fontId="5" fillId="0" borderId="35" xfId="0" applyFont="1" applyBorder="1" applyAlignment="1">
      <alignment horizontal="center"/>
    </xf>
    <xf numFmtId="164" fontId="5" fillId="0" borderId="28" xfId="2" applyFont="1" applyBorder="1"/>
    <xf numFmtId="164" fontId="6" fillId="3" borderId="23" xfId="0" applyNumberFormat="1" applyFont="1" applyFill="1" applyBorder="1"/>
    <xf numFmtId="0" fontId="5" fillId="0" borderId="36" xfId="0" applyFont="1" applyBorder="1" applyAlignment="1">
      <alignment horizontal="center"/>
    </xf>
    <xf numFmtId="164" fontId="5" fillId="0" borderId="32" xfId="2" applyFont="1" applyBorder="1"/>
    <xf numFmtId="0" fontId="5" fillId="0" borderId="37" xfId="0" applyFont="1" applyBorder="1" applyAlignment="1">
      <alignment horizontal="center"/>
    </xf>
    <xf numFmtId="164" fontId="6" fillId="3" borderId="23" xfId="2" applyFont="1" applyFill="1" applyBorder="1"/>
    <xf numFmtId="0" fontId="0" fillId="0" borderId="27" xfId="0" applyBorder="1" applyAlignment="1">
      <alignment horizontal="center"/>
    </xf>
    <xf numFmtId="164" fontId="0" fillId="0" borderId="28" xfId="2" applyFont="1" applyBorder="1"/>
    <xf numFmtId="0" fontId="2" fillId="0" borderId="27" xfId="0" applyFont="1" applyBorder="1" applyAlignment="1">
      <alignment horizontal="center"/>
    </xf>
    <xf numFmtId="0" fontId="2" fillId="0" borderId="0" xfId="0" applyFont="1"/>
    <xf numFmtId="0" fontId="2" fillId="0" borderId="28" xfId="0" applyFont="1" applyBorder="1"/>
    <xf numFmtId="0" fontId="0" fillId="0" borderId="27" xfId="0" applyBorder="1"/>
    <xf numFmtId="0" fontId="0" fillId="0" borderId="28" xfId="0" applyBorder="1" applyAlignment="1">
      <alignment horizontal="center"/>
    </xf>
    <xf numFmtId="0" fontId="10" fillId="0" borderId="27" xfId="0" applyFont="1" applyBorder="1" applyAlignment="1">
      <alignment horizontal="centerContinuous"/>
    </xf>
    <xf numFmtId="0" fontId="10" fillId="0" borderId="0" xfId="0" applyFont="1" applyAlignment="1">
      <alignment horizontal="centerContinuous"/>
    </xf>
    <xf numFmtId="0" fontId="10" fillId="0" borderId="0" xfId="0" applyFont="1"/>
    <xf numFmtId="0" fontId="10" fillId="0" borderId="28" xfId="0" applyFont="1" applyBorder="1" applyAlignment="1">
      <alignment horizontal="center"/>
    </xf>
    <xf numFmtId="0" fontId="10" fillId="0" borderId="27" xfId="0" applyFont="1" applyBorder="1"/>
    <xf numFmtId="164" fontId="11" fillId="0" borderId="28" xfId="2" applyFont="1" applyBorder="1" applyAlignment="1">
      <alignment horizontal="center"/>
    </xf>
    <xf numFmtId="164" fontId="10" fillId="0" borderId="28" xfId="0" applyNumberFormat="1" applyFont="1" applyBorder="1" applyAlignment="1">
      <alignment horizontal="center"/>
    </xf>
    <xf numFmtId="0" fontId="11" fillId="0" borderId="27" xfId="0" applyFont="1" applyBorder="1" applyAlignment="1">
      <alignment horizontal="centerContinuous"/>
    </xf>
    <xf numFmtId="0" fontId="11" fillId="0" borderId="0" xfId="0" applyFont="1" applyAlignment="1">
      <alignment horizontal="centerContinuous"/>
    </xf>
    <xf numFmtId="164" fontId="11" fillId="0" borderId="28" xfId="0" applyNumberFormat="1" applyFont="1" applyBorder="1" applyAlignment="1">
      <alignment horizontal="center"/>
    </xf>
    <xf numFmtId="41" fontId="0" fillId="0" borderId="28" xfId="0" applyNumberFormat="1" applyBorder="1"/>
    <xf numFmtId="164" fontId="0" fillId="0" borderId="28" xfId="0" applyNumberFormat="1" applyBorder="1"/>
    <xf numFmtId="0" fontId="0" fillId="0" borderId="28" xfId="0" applyBorder="1"/>
    <xf numFmtId="0" fontId="0" fillId="0" borderId="29" xfId="0" applyBorder="1"/>
    <xf numFmtId="0" fontId="0" fillId="0" borderId="17" xfId="0" applyBorder="1"/>
    <xf numFmtId="0" fontId="0" fillId="0" borderId="30" xfId="0" applyBorder="1"/>
    <xf numFmtId="164" fontId="7" fillId="0" borderId="15" xfId="2" applyFont="1" applyBorder="1"/>
    <xf numFmtId="0" fontId="14" fillId="0" borderId="0" xfId="0" applyFont="1" applyAlignment="1">
      <alignment horizontal="left" vertical="center"/>
    </xf>
    <xf numFmtId="164" fontId="7" fillId="0" borderId="1" xfId="2" applyFont="1" applyBorder="1"/>
    <xf numFmtId="164" fontId="7" fillId="0" borderId="11" xfId="2" applyFont="1" applyBorder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0" borderId="0" xfId="2" applyFont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8" fillId="0" borderId="23" xfId="0" applyFont="1" applyBorder="1" applyAlignment="1">
      <alignment horizontal="centerContinuous" vertical="center"/>
    </xf>
    <xf numFmtId="0" fontId="18" fillId="0" borderId="23" xfId="0" applyFont="1" applyBorder="1" applyAlignment="1">
      <alignment horizontal="centerContinuous" vertical="center" wrapText="1"/>
    </xf>
    <xf numFmtId="0" fontId="21" fillId="0" borderId="23" xfId="0" applyFont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164" fontId="18" fillId="0" borderId="43" xfId="2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164" fontId="23" fillId="0" borderId="0" xfId="2" applyFont="1" applyAlignment="1">
      <alignment horizontal="centerContinuous" vertical="center"/>
    </xf>
    <xf numFmtId="0" fontId="23" fillId="0" borderId="0" xfId="0" applyFont="1" applyAlignment="1">
      <alignment horizontal="center" vertical="center"/>
    </xf>
    <xf numFmtId="164" fontId="23" fillId="0" borderId="0" xfId="2" applyFont="1" applyAlignment="1">
      <alignment vertical="center"/>
    </xf>
    <xf numFmtId="0" fontId="25" fillId="0" borderId="0" xfId="0" applyFont="1" applyAlignment="1">
      <alignment horizontal="center" vertical="center"/>
    </xf>
    <xf numFmtId="164" fontId="25" fillId="0" borderId="0" xfId="2" applyFont="1" applyAlignment="1">
      <alignment horizontal="centerContinuous" vertical="center"/>
    </xf>
    <xf numFmtId="0" fontId="27" fillId="0" borderId="0" xfId="0" applyFont="1" applyAlignment="1">
      <alignment horizontal="centerContinuous"/>
    </xf>
    <xf numFmtId="0" fontId="28" fillId="0" borderId="0" xfId="0" applyFont="1" applyAlignment="1">
      <alignment horizontal="center"/>
    </xf>
    <xf numFmtId="0" fontId="29" fillId="0" borderId="42" xfId="0" applyFont="1" applyBorder="1" applyAlignment="1">
      <alignment horizontal="center"/>
    </xf>
    <xf numFmtId="0" fontId="29" fillId="0" borderId="41" xfId="0" applyFont="1" applyBorder="1"/>
    <xf numFmtId="0" fontId="29" fillId="0" borderId="39" xfId="0" applyFont="1" applyBorder="1"/>
    <xf numFmtId="0" fontId="29" fillId="0" borderId="40" xfId="0" applyFont="1" applyBorder="1"/>
    <xf numFmtId="164" fontId="29" fillId="0" borderId="42" xfId="2" applyFont="1" applyBorder="1"/>
    <xf numFmtId="0" fontId="29" fillId="0" borderId="43" xfId="0" applyFont="1" applyBorder="1"/>
    <xf numFmtId="0" fontId="29" fillId="0" borderId="5" xfId="0" applyFont="1" applyBorder="1"/>
    <xf numFmtId="0" fontId="29" fillId="0" borderId="43" xfId="0" applyFont="1" applyBorder="1" applyAlignment="1">
      <alignment horizontal="center"/>
    </xf>
    <xf numFmtId="0" fontId="29" fillId="0" borderId="6" xfId="0" applyFont="1" applyBorder="1"/>
    <xf numFmtId="0" fontId="29" fillId="0" borderId="7" xfId="0" applyFont="1" applyBorder="1"/>
    <xf numFmtId="164" fontId="29" fillId="0" borderId="43" xfId="2" applyFont="1" applyBorder="1"/>
    <xf numFmtId="0" fontId="29" fillId="0" borderId="10" xfId="0" applyFont="1" applyBorder="1"/>
    <xf numFmtId="0" fontId="29" fillId="0" borderId="44" xfId="0" applyFont="1" applyBorder="1" applyAlignment="1">
      <alignment horizontal="center"/>
    </xf>
    <xf numFmtId="0" fontId="29" fillId="0" borderId="0" xfId="0" applyFont="1"/>
    <xf numFmtId="0" fontId="30" fillId="3" borderId="21" xfId="0" applyFont="1" applyFill="1" applyBorder="1" applyAlignment="1">
      <alignment horizontal="centerContinuous"/>
    </xf>
    <xf numFmtId="0" fontId="30" fillId="3" borderId="19" xfId="0" applyFont="1" applyFill="1" applyBorder="1" applyAlignment="1">
      <alignment horizontal="centerContinuous"/>
    </xf>
    <xf numFmtId="0" fontId="30" fillId="3" borderId="20" xfId="0" applyFont="1" applyFill="1" applyBorder="1" applyAlignment="1">
      <alignment horizontal="centerContinuous"/>
    </xf>
    <xf numFmtId="164" fontId="30" fillId="3" borderId="23" xfId="0" applyNumberFormat="1" applyFont="1" applyFill="1" applyBorder="1"/>
    <xf numFmtId="0" fontId="29" fillId="0" borderId="3" xfId="0" applyFont="1" applyBorder="1"/>
    <xf numFmtId="0" fontId="29" fillId="0" borderId="17" xfId="0" applyFont="1" applyBorder="1"/>
    <xf numFmtId="164" fontId="29" fillId="0" borderId="14" xfId="2" applyFont="1" applyBorder="1"/>
    <xf numFmtId="0" fontId="24" fillId="3" borderId="19" xfId="0" applyFont="1" applyFill="1" applyBorder="1" applyAlignment="1">
      <alignment horizontal="centerContinuous"/>
    </xf>
    <xf numFmtId="0" fontId="24" fillId="3" borderId="20" xfId="0" applyFont="1" applyFill="1" applyBorder="1" applyAlignment="1">
      <alignment horizontal="centerContinuous"/>
    </xf>
    <xf numFmtId="164" fontId="30" fillId="3" borderId="23" xfId="2" applyFont="1" applyFill="1" applyBorder="1"/>
    <xf numFmtId="0" fontId="24" fillId="0" borderId="0" xfId="0" applyFont="1" applyAlignment="1">
      <alignment horizontal="center"/>
    </xf>
    <xf numFmtId="0" fontId="24" fillId="0" borderId="0" xfId="0" applyFont="1"/>
    <xf numFmtId="164" fontId="24" fillId="0" borderId="0" xfId="2" applyFont="1"/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Continuous"/>
    </xf>
    <xf numFmtId="164" fontId="17" fillId="0" borderId="0" xfId="2" applyFont="1" applyBorder="1" applyAlignment="1">
      <alignment horizontal="center"/>
    </xf>
    <xf numFmtId="164" fontId="19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26" fillId="0" borderId="0" xfId="0" applyFont="1" applyAlignment="1">
      <alignment horizontal="centerContinuous"/>
    </xf>
    <xf numFmtId="0" fontId="18" fillId="3" borderId="23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5" fillId="0" borderId="23" xfId="0" applyFont="1" applyBorder="1" applyAlignment="1">
      <alignment horizontal="center" vertical="center"/>
    </xf>
    <xf numFmtId="164" fontId="25" fillId="0" borderId="23" xfId="2" applyFont="1" applyBorder="1" applyAlignment="1">
      <alignment horizontal="center" vertical="center"/>
    </xf>
    <xf numFmtId="164" fontId="25" fillId="0" borderId="19" xfId="2" applyFont="1" applyBorder="1" applyAlignment="1">
      <alignment horizontal="center" vertical="center"/>
    </xf>
    <xf numFmtId="0" fontId="25" fillId="3" borderId="50" xfId="0" applyFont="1" applyFill="1" applyBorder="1" applyAlignment="1">
      <alignment horizontal="centerContinuous" vertical="center"/>
    </xf>
    <xf numFmtId="0" fontId="25" fillId="3" borderId="46" xfId="0" applyFont="1" applyFill="1" applyBorder="1" applyAlignment="1">
      <alignment horizontal="centerContinuous" vertical="center"/>
    </xf>
    <xf numFmtId="0" fontId="25" fillId="3" borderId="5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4" fontId="31" fillId="0" borderId="0" xfId="2" applyFont="1" applyAlignment="1">
      <alignment vertical="center"/>
    </xf>
    <xf numFmtId="0" fontId="31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25" fillId="0" borderId="21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64" fontId="25" fillId="0" borderId="25" xfId="2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164" fontId="25" fillId="0" borderId="42" xfId="2" applyFont="1" applyBorder="1" applyAlignment="1">
      <alignment vertical="center"/>
    </xf>
    <xf numFmtId="0" fontId="23" fillId="0" borderId="42" xfId="2" applyNumberFormat="1" applyFont="1" applyBorder="1" applyAlignment="1">
      <alignment horizontal="center" vertical="center"/>
    </xf>
    <xf numFmtId="0" fontId="25" fillId="3" borderId="38" xfId="0" applyFont="1" applyFill="1" applyBorder="1" applyAlignment="1">
      <alignment horizontal="centerContinuous" vertical="center"/>
    </xf>
    <xf numFmtId="0" fontId="25" fillId="3" borderId="45" xfId="0" applyFont="1" applyFill="1" applyBorder="1" applyAlignment="1">
      <alignment horizontal="centerContinuous" vertical="center"/>
    </xf>
    <xf numFmtId="164" fontId="25" fillId="3" borderId="45" xfId="2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64" fontId="34" fillId="0" borderId="0" xfId="2" applyFont="1" applyAlignment="1">
      <alignment vertical="center"/>
    </xf>
    <xf numFmtId="164" fontId="25" fillId="3" borderId="46" xfId="2" applyFont="1" applyFill="1" applyBorder="1" applyAlignment="1">
      <alignment vertical="center"/>
    </xf>
    <xf numFmtId="0" fontId="29" fillId="0" borderId="14" xfId="0" applyFont="1" applyBorder="1" applyAlignment="1">
      <alignment horizont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165" fontId="18" fillId="0" borderId="0" xfId="1" applyNumberFormat="1" applyFont="1" applyAlignment="1">
      <alignment horizontal="left" vertical="center"/>
    </xf>
    <xf numFmtId="165" fontId="20" fillId="0" borderId="0" xfId="1" applyNumberFormat="1" applyFont="1" applyAlignment="1">
      <alignment horizontal="left" vertical="center"/>
    </xf>
    <xf numFmtId="165" fontId="18" fillId="0" borderId="23" xfId="1" applyNumberFormat="1" applyFont="1" applyBorder="1" applyAlignment="1">
      <alignment horizontal="centerContinuous" vertical="center"/>
    </xf>
    <xf numFmtId="0" fontId="21" fillId="0" borderId="23" xfId="1" applyNumberFormat="1" applyFont="1" applyBorder="1" applyAlignment="1">
      <alignment horizontal="center" vertical="center"/>
    </xf>
    <xf numFmtId="165" fontId="18" fillId="3" borderId="23" xfId="1" applyNumberFormat="1" applyFont="1" applyFill="1" applyBorder="1" applyAlignment="1">
      <alignment horizontal="left" vertical="center"/>
    </xf>
    <xf numFmtId="165" fontId="22" fillId="0" borderId="0" xfId="1" applyNumberFormat="1" applyFont="1" applyAlignment="1">
      <alignment horizontal="left" vertical="center"/>
    </xf>
    <xf numFmtId="165" fontId="23" fillId="0" borderId="0" xfId="1" applyNumberFormat="1" applyFont="1" applyAlignment="1">
      <alignment horizontal="center" vertical="center"/>
    </xf>
    <xf numFmtId="165" fontId="25" fillId="0" borderId="0" xfId="1" applyNumberFormat="1" applyFont="1" applyAlignment="1">
      <alignment horizontal="center" vertical="center"/>
    </xf>
    <xf numFmtId="165" fontId="35" fillId="0" borderId="0" xfId="1" applyNumberFormat="1" applyFont="1" applyAlignment="1">
      <alignment horizontal="left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vertical="center"/>
    </xf>
    <xf numFmtId="164" fontId="25" fillId="0" borderId="14" xfId="2" applyFont="1" applyBorder="1" applyAlignment="1">
      <alignment vertical="center"/>
    </xf>
    <xf numFmtId="0" fontId="23" fillId="0" borderId="14" xfId="2" applyNumberFormat="1" applyFont="1" applyBorder="1" applyAlignment="1">
      <alignment horizontal="center" vertical="center"/>
    </xf>
    <xf numFmtId="165" fontId="18" fillId="0" borderId="0" xfId="1" applyNumberFormat="1" applyFont="1" applyAlignment="1">
      <alignment horizontal="center" vertical="center"/>
    </xf>
    <xf numFmtId="165" fontId="20" fillId="0" borderId="0" xfId="1" applyNumberFormat="1" applyFont="1" applyAlignment="1">
      <alignment horizontal="center" vertical="center"/>
    </xf>
    <xf numFmtId="165" fontId="18" fillId="0" borderId="23" xfId="1" applyNumberFormat="1" applyFont="1" applyBorder="1" applyAlignment="1">
      <alignment horizontal="centerContinuous" vertical="center" wrapText="1"/>
    </xf>
    <xf numFmtId="165" fontId="22" fillId="0" borderId="0" xfId="1" applyNumberFormat="1" applyFont="1" applyAlignment="1">
      <alignment horizontal="center" vertical="center"/>
    </xf>
    <xf numFmtId="165" fontId="12" fillId="0" borderId="0" xfId="1" applyNumberFormat="1" applyFont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23" fillId="0" borderId="49" xfId="0" applyFont="1" applyBorder="1" applyAlignment="1">
      <alignment vertical="center"/>
    </xf>
    <xf numFmtId="164" fontId="25" fillId="0" borderId="49" xfId="2" applyFont="1" applyBorder="1" applyAlignment="1">
      <alignment vertical="center"/>
    </xf>
    <xf numFmtId="0" fontId="23" fillId="0" borderId="49" xfId="2" applyNumberFormat="1" applyFont="1" applyBorder="1" applyAlignment="1">
      <alignment horizontal="center" vertical="center"/>
    </xf>
    <xf numFmtId="1" fontId="25" fillId="0" borderId="25" xfId="2" applyNumberFormat="1" applyFont="1" applyBorder="1" applyAlignment="1">
      <alignment horizontal="center" vertical="center"/>
    </xf>
    <xf numFmtId="1" fontId="25" fillId="0" borderId="22" xfId="2" applyNumberFormat="1" applyFont="1" applyBorder="1" applyAlignment="1">
      <alignment horizontal="center" vertical="center"/>
    </xf>
    <xf numFmtId="164" fontId="23" fillId="0" borderId="42" xfId="2" applyFont="1" applyBorder="1" applyAlignment="1">
      <alignment vertical="center"/>
    </xf>
    <xf numFmtId="165" fontId="20" fillId="2" borderId="43" xfId="1" applyNumberFormat="1" applyFont="1" applyFill="1" applyBorder="1" applyAlignment="1">
      <alignment horizontal="left" vertical="center"/>
    </xf>
    <xf numFmtId="165" fontId="20" fillId="2" borderId="43" xfId="1" applyNumberFormat="1" applyFont="1" applyFill="1" applyBorder="1" applyAlignment="1">
      <alignment horizontal="center" vertical="center"/>
    </xf>
    <xf numFmtId="165" fontId="20" fillId="0" borderId="43" xfId="1" applyNumberFormat="1" applyFont="1" applyBorder="1" applyAlignment="1">
      <alignment horizontal="center" vertical="center"/>
    </xf>
    <xf numFmtId="43" fontId="20" fillId="0" borderId="43" xfId="1" applyFont="1" applyBorder="1"/>
    <xf numFmtId="165" fontId="20" fillId="0" borderId="43" xfId="1" applyNumberFormat="1" applyFont="1" applyBorder="1"/>
    <xf numFmtId="165" fontId="20" fillId="4" borderId="43" xfId="1" applyNumberFormat="1" applyFont="1" applyFill="1" applyBorder="1" applyAlignment="1">
      <alignment horizontal="center" vertical="center"/>
    </xf>
    <xf numFmtId="165" fontId="20" fillId="4" borderId="49" xfId="1" applyNumberFormat="1" applyFont="1" applyFill="1" applyBorder="1" applyAlignment="1">
      <alignment horizontal="center" vertical="center"/>
    </xf>
    <xf numFmtId="165" fontId="20" fillId="2" borderId="49" xfId="1" applyNumberFormat="1" applyFont="1" applyFill="1" applyBorder="1" applyAlignment="1">
      <alignment horizontal="left" vertical="center"/>
    </xf>
    <xf numFmtId="43" fontId="20" fillId="0" borderId="49" xfId="1" applyFont="1" applyBorder="1"/>
    <xf numFmtId="0" fontId="31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164" fontId="23" fillId="0" borderId="14" xfId="2" applyFont="1" applyBorder="1" applyAlignment="1">
      <alignment vertical="center"/>
    </xf>
    <xf numFmtId="164" fontId="23" fillId="0" borderId="49" xfId="2" applyFont="1" applyBorder="1" applyAlignment="1">
      <alignment vertical="center"/>
    </xf>
    <xf numFmtId="0" fontId="18" fillId="0" borderId="23" xfId="0" applyFont="1" applyBorder="1" applyAlignment="1">
      <alignment horizontal="center" vertical="center"/>
    </xf>
    <xf numFmtId="0" fontId="20" fillId="4" borderId="43" xfId="0" applyFont="1" applyFill="1" applyBorder="1" applyAlignment="1">
      <alignment horizontal="center" vertical="center"/>
    </xf>
    <xf numFmtId="0" fontId="20" fillId="2" borderId="49" xfId="0" applyFont="1" applyFill="1" applyBorder="1" applyAlignment="1">
      <alignment horizontal="left" vertical="center"/>
    </xf>
    <xf numFmtId="0" fontId="18" fillId="3" borderId="23" xfId="0" applyFont="1" applyFill="1" applyBorder="1" applyAlignment="1">
      <alignment horizontal="left" vertical="center"/>
    </xf>
    <xf numFmtId="165" fontId="40" fillId="0" borderId="49" xfId="1" applyNumberFormat="1" applyFont="1" applyBorder="1"/>
    <xf numFmtId="165" fontId="40" fillId="0" borderId="43" xfId="1" applyNumberFormat="1" applyFont="1" applyFill="1" applyBorder="1"/>
    <xf numFmtId="164" fontId="40" fillId="0" borderId="43" xfId="0" applyNumberFormat="1" applyFont="1" applyBorder="1"/>
    <xf numFmtId="165" fontId="40" fillId="0" borderId="43" xfId="1" applyNumberFormat="1" applyFont="1" applyBorder="1"/>
    <xf numFmtId="0" fontId="20" fillId="5" borderId="43" xfId="0" applyFont="1" applyFill="1" applyBorder="1" applyAlignment="1">
      <alignment horizontal="left" vertical="center"/>
    </xf>
    <xf numFmtId="165" fontId="20" fillId="5" borderId="43" xfId="1" applyNumberFormat="1" applyFont="1" applyFill="1" applyBorder="1" applyAlignment="1">
      <alignment horizontal="left" vertical="center"/>
    </xf>
    <xf numFmtId="165" fontId="20" fillId="5" borderId="43" xfId="1" applyNumberFormat="1" applyFont="1" applyFill="1" applyBorder="1" applyAlignment="1">
      <alignment horizontal="center" vertical="center"/>
    </xf>
    <xf numFmtId="43" fontId="20" fillId="5" borderId="43" xfId="1" applyFont="1" applyFill="1" applyBorder="1"/>
    <xf numFmtId="165" fontId="20" fillId="5" borderId="43" xfId="1" applyNumberFormat="1" applyFont="1" applyFill="1" applyBorder="1"/>
    <xf numFmtId="164" fontId="18" fillId="5" borderId="43" xfId="2" applyFont="1" applyFill="1" applyBorder="1" applyAlignment="1">
      <alignment horizontal="center" vertical="center"/>
    </xf>
    <xf numFmtId="0" fontId="35" fillId="5" borderId="0" xfId="0" applyFont="1" applyFill="1" applyAlignment="1">
      <alignment horizontal="left" vertical="center"/>
    </xf>
    <xf numFmtId="0" fontId="35" fillId="5" borderId="0" xfId="0" applyFont="1" applyFill="1" applyAlignment="1">
      <alignment horizontal="center" vertical="center"/>
    </xf>
    <xf numFmtId="164" fontId="23" fillId="0" borderId="0" xfId="2" applyFont="1" applyAlignment="1">
      <alignment horizontal="center" vertical="center"/>
    </xf>
    <xf numFmtId="165" fontId="20" fillId="0" borderId="49" xfId="1" applyNumberFormat="1" applyFont="1" applyFill="1" applyBorder="1"/>
    <xf numFmtId="164" fontId="20" fillId="4" borderId="34" xfId="0" applyNumberFormat="1" applyFont="1" applyFill="1" applyBorder="1"/>
    <xf numFmtId="164" fontId="20" fillId="4" borderId="43" xfId="0" applyNumberFormat="1" applyFont="1" applyFill="1" applyBorder="1"/>
    <xf numFmtId="164" fontId="18" fillId="4" borderId="43" xfId="2" applyFont="1" applyFill="1" applyBorder="1" applyAlignment="1">
      <alignment horizontal="center" vertical="center"/>
    </xf>
    <xf numFmtId="164" fontId="20" fillId="4" borderId="43" xfId="2" applyFont="1" applyFill="1" applyBorder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left" vertical="center"/>
    </xf>
    <xf numFmtId="0" fontId="18" fillId="4" borderId="47" xfId="0" applyFont="1" applyFill="1" applyBorder="1" applyAlignment="1">
      <alignment horizontal="centerContinuous" vertical="center" wrapText="1"/>
    </xf>
    <xf numFmtId="0" fontId="18" fillId="4" borderId="46" xfId="0" applyFont="1" applyFill="1" applyBorder="1" applyAlignment="1">
      <alignment horizontal="centerContinuous" vertical="center" wrapText="1"/>
    </xf>
    <xf numFmtId="0" fontId="18" fillId="4" borderId="18" xfId="0" applyFont="1" applyFill="1" applyBorder="1" applyAlignment="1">
      <alignment horizontal="centerContinuous" vertical="center" wrapText="1"/>
    </xf>
    <xf numFmtId="0" fontId="18" fillId="4" borderId="23" xfId="0" applyFont="1" applyFill="1" applyBorder="1" applyAlignment="1">
      <alignment horizontal="centerContinuous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vertical="center"/>
    </xf>
    <xf numFmtId="0" fontId="22" fillId="4" borderId="0" xfId="0" applyFont="1" applyFill="1" applyAlignment="1">
      <alignment horizontal="centerContinuous" vertical="center"/>
    </xf>
    <xf numFmtId="0" fontId="20" fillId="4" borderId="0" xfId="0" applyFont="1" applyFill="1" applyAlignment="1">
      <alignment horizontal="centerContinuous" vertical="center"/>
    </xf>
    <xf numFmtId="0" fontId="23" fillId="4" borderId="0" xfId="0" applyFont="1" applyFill="1" applyAlignment="1">
      <alignment horizontal="center" vertical="center"/>
    </xf>
    <xf numFmtId="164" fontId="23" fillId="4" borderId="0" xfId="2" applyFont="1" applyFill="1" applyAlignment="1">
      <alignment horizontal="centerContinuous" vertical="center"/>
    </xf>
    <xf numFmtId="0" fontId="38" fillId="4" borderId="0" xfId="0" applyFont="1" applyFill="1" applyAlignment="1">
      <alignment horizontal="centerContinuous" vertical="center"/>
    </xf>
    <xf numFmtId="164" fontId="23" fillId="4" borderId="0" xfId="2" applyFont="1" applyFill="1" applyAlignment="1">
      <alignment vertical="center"/>
    </xf>
    <xf numFmtId="0" fontId="25" fillId="4" borderId="0" xfId="0" applyFont="1" applyFill="1" applyAlignment="1">
      <alignment horizontal="center" vertical="center"/>
    </xf>
    <xf numFmtId="164" fontId="25" fillId="4" borderId="0" xfId="2" applyFont="1" applyFill="1" applyAlignment="1">
      <alignment horizontal="centerContinuous" vertical="center"/>
    </xf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21" fillId="0" borderId="21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3" xfId="0" applyFont="1" applyBorder="1" applyAlignment="1">
      <alignment horizontal="left" vertical="center"/>
    </xf>
    <xf numFmtId="164" fontId="20" fillId="0" borderId="5" xfId="2" applyFont="1" applyFill="1" applyBorder="1" applyAlignment="1">
      <alignment horizontal="center" vertical="center"/>
    </xf>
    <xf numFmtId="164" fontId="20" fillId="0" borderId="43" xfId="2" applyFont="1" applyFill="1" applyBorder="1" applyAlignment="1">
      <alignment horizontal="center" vertical="center"/>
    </xf>
    <xf numFmtId="164" fontId="20" fillId="0" borderId="5" xfId="0" applyNumberFormat="1" applyFont="1" applyBorder="1"/>
    <xf numFmtId="164" fontId="20" fillId="0" borderId="5" xfId="0" applyNumberFormat="1" applyFont="1" applyBorder="1" applyAlignment="1">
      <alignment horizontal="center"/>
    </xf>
    <xf numFmtId="164" fontId="18" fillId="0" borderId="23" xfId="2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164" fontId="18" fillId="4" borderId="14" xfId="2" applyFont="1" applyFill="1" applyBorder="1" applyAlignment="1">
      <alignment horizontal="center" vertical="center"/>
    </xf>
    <xf numFmtId="164" fontId="20" fillId="4" borderId="44" xfId="2" applyFont="1" applyFill="1" applyBorder="1" applyAlignment="1">
      <alignment horizontal="center" vertical="center"/>
    </xf>
    <xf numFmtId="164" fontId="18" fillId="4" borderId="44" xfId="2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 wrapText="1"/>
    </xf>
    <xf numFmtId="164" fontId="18" fillId="6" borderId="43" xfId="2" applyFont="1" applyFill="1" applyBorder="1" applyAlignment="1">
      <alignment horizontal="center" vertical="center"/>
    </xf>
    <xf numFmtId="0" fontId="20" fillId="7" borderId="48" xfId="0" applyFont="1" applyFill="1" applyBorder="1" applyAlignment="1">
      <alignment horizontal="center" vertical="center"/>
    </xf>
    <xf numFmtId="0" fontId="35" fillId="4" borderId="0" xfId="0" applyFont="1" applyFill="1" applyAlignment="1">
      <alignment horizontal="left" vertical="center"/>
    </xf>
    <xf numFmtId="164" fontId="20" fillId="0" borderId="5" xfId="0" applyNumberFormat="1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52" xfId="0" applyFont="1" applyBorder="1" applyAlignment="1">
      <alignment horizontal="left" vertical="center"/>
    </xf>
    <xf numFmtId="164" fontId="20" fillId="0" borderId="0" xfId="2" applyFont="1" applyFill="1" applyBorder="1" applyAlignment="1">
      <alignment horizontal="center" vertical="center"/>
    </xf>
    <xf numFmtId="164" fontId="20" fillId="0" borderId="52" xfId="2" applyFont="1" applyFill="1" applyBorder="1" applyAlignment="1">
      <alignment horizontal="center" vertical="center"/>
    </xf>
    <xf numFmtId="164" fontId="20" fillId="0" borderId="0" xfId="0" applyNumberFormat="1" applyFont="1" applyAlignment="1">
      <alignment horizontal="center"/>
    </xf>
    <xf numFmtId="0" fontId="20" fillId="7" borderId="27" xfId="0" applyFont="1" applyFill="1" applyBorder="1" applyAlignment="1">
      <alignment horizontal="center" vertical="center"/>
    </xf>
    <xf numFmtId="164" fontId="20" fillId="4" borderId="14" xfId="2" applyFont="1" applyFill="1" applyBorder="1" applyAlignment="1">
      <alignment horizontal="center" vertical="center"/>
    </xf>
    <xf numFmtId="164" fontId="20" fillId="0" borderId="14" xfId="2" applyFont="1" applyFill="1" applyBorder="1" applyAlignment="1">
      <alignment horizontal="center" vertical="center"/>
    </xf>
    <xf numFmtId="164" fontId="18" fillId="6" borderId="17" xfId="2" applyFont="1" applyFill="1" applyBorder="1" applyAlignment="1">
      <alignment horizontal="center" vertical="center"/>
    </xf>
    <xf numFmtId="164" fontId="20" fillId="4" borderId="49" xfId="2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/>
    </xf>
    <xf numFmtId="164" fontId="18" fillId="4" borderId="23" xfId="2" applyFont="1" applyFill="1" applyBorder="1" applyAlignment="1">
      <alignment horizontal="center" vertical="center"/>
    </xf>
    <xf numFmtId="164" fontId="18" fillId="6" borderId="48" xfId="2" applyFont="1" applyFill="1" applyBorder="1" applyAlignment="1">
      <alignment horizontal="center" vertical="center"/>
    </xf>
    <xf numFmtId="0" fontId="20" fillId="0" borderId="14" xfId="0" applyFont="1" applyBorder="1" applyAlignment="1">
      <alignment horizontal="left" vertical="center"/>
    </xf>
    <xf numFmtId="164" fontId="23" fillId="0" borderId="0" xfId="2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/>
    </xf>
    <xf numFmtId="0" fontId="18" fillId="4" borderId="29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164" fontId="23" fillId="4" borderId="0" xfId="2" applyFont="1" applyFill="1" applyAlignment="1">
      <alignment horizontal="center" vertical="center"/>
    </xf>
    <xf numFmtId="0" fontId="31" fillId="0" borderId="0" xfId="0" applyFont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3"/>
  <sheetViews>
    <sheetView workbookViewId="0">
      <selection activeCell="E19" sqref="E19"/>
    </sheetView>
  </sheetViews>
  <sheetFormatPr defaultRowHeight="14.5" x14ac:dyDescent="0.35"/>
  <cols>
    <col min="1" max="1" width="5" customWidth="1"/>
    <col min="4" max="4" width="21.81640625" customWidth="1"/>
    <col min="5" max="5" width="26.81640625" customWidth="1"/>
  </cols>
  <sheetData>
    <row r="1" spans="1:5" ht="20" x14ac:dyDescent="0.4">
      <c r="A1" s="59" t="s">
        <v>0</v>
      </c>
      <c r="B1" s="60"/>
      <c r="C1" s="60"/>
      <c r="D1" s="60"/>
      <c r="E1" s="61"/>
    </row>
    <row r="2" spans="1:5" ht="20" x14ac:dyDescent="0.4">
      <c r="A2" s="62" t="s">
        <v>1</v>
      </c>
      <c r="B2" s="63"/>
      <c r="C2" s="63"/>
      <c r="D2" s="63"/>
      <c r="E2" s="64"/>
    </row>
    <row r="3" spans="1:5" ht="20" x14ac:dyDescent="0.4">
      <c r="A3" s="62" t="s">
        <v>2</v>
      </c>
      <c r="B3" s="63"/>
      <c r="C3" s="63"/>
      <c r="D3" s="63"/>
      <c r="E3" s="64"/>
    </row>
    <row r="4" spans="1:5" ht="20.5" thickBot="1" x14ac:dyDescent="0.45">
      <c r="A4" s="65" t="s">
        <v>3</v>
      </c>
      <c r="B4" s="50"/>
      <c r="C4" s="50"/>
      <c r="D4" s="50"/>
      <c r="E4" s="66"/>
    </row>
    <row r="5" spans="1:5" x14ac:dyDescent="0.35">
      <c r="A5" s="67"/>
      <c r="B5" s="10"/>
      <c r="C5" s="10"/>
      <c r="D5" s="10"/>
      <c r="E5" s="68"/>
    </row>
    <row r="6" spans="1:5" ht="18.5" x14ac:dyDescent="0.45">
      <c r="A6" s="69">
        <v>1</v>
      </c>
      <c r="B6" s="11" t="s">
        <v>4</v>
      </c>
      <c r="C6" s="11"/>
      <c r="D6" s="11"/>
      <c r="E6" s="70">
        <f>'Khusus &amp; reguler'!I15</f>
        <v>9372222</v>
      </c>
    </row>
    <row r="7" spans="1:5" ht="18.5" x14ac:dyDescent="0.45">
      <c r="A7" s="71"/>
      <c r="B7" s="12"/>
      <c r="C7" s="12"/>
      <c r="D7" s="13"/>
      <c r="E7" s="72"/>
    </row>
    <row r="8" spans="1:5" ht="18.5" x14ac:dyDescent="0.45">
      <c r="A8" s="69">
        <v>2</v>
      </c>
      <c r="B8" s="11" t="s">
        <v>5</v>
      </c>
      <c r="C8" s="14"/>
      <c r="D8" s="13"/>
      <c r="E8" s="70"/>
    </row>
    <row r="9" spans="1:5" ht="18.5" x14ac:dyDescent="0.45">
      <c r="A9" s="69"/>
      <c r="B9" s="11" t="s">
        <v>6</v>
      </c>
      <c r="C9" s="14"/>
      <c r="D9" s="13"/>
      <c r="E9" s="70">
        <f>'DKI (2)'!E9</f>
        <v>0</v>
      </c>
    </row>
    <row r="10" spans="1:5" ht="18.5" x14ac:dyDescent="0.45">
      <c r="A10" s="69"/>
      <c r="B10" s="19" t="s">
        <v>7</v>
      </c>
      <c r="C10" s="14"/>
      <c r="D10" s="13"/>
      <c r="E10" s="70">
        <f>BRIS!E7</f>
        <v>0</v>
      </c>
    </row>
    <row r="11" spans="1:5" ht="19" thickBot="1" x14ac:dyDescent="0.5">
      <c r="A11" s="73"/>
      <c r="B11" s="19" t="s">
        <v>31</v>
      </c>
      <c r="C11" s="15"/>
      <c r="D11" s="30"/>
      <c r="E11" s="74">
        <f>REKAP!E11</f>
        <v>0</v>
      </c>
    </row>
    <row r="12" spans="1:5" ht="19" thickBot="1" x14ac:dyDescent="0.5">
      <c r="A12" s="53" t="s">
        <v>8</v>
      </c>
      <c r="B12" s="51"/>
      <c r="C12" s="51"/>
      <c r="D12" s="52"/>
      <c r="E12" s="75">
        <f>SUM(E6:E11)</f>
        <v>9372222</v>
      </c>
    </row>
    <row r="13" spans="1:5" ht="18.5" x14ac:dyDescent="0.45">
      <c r="A13" s="76">
        <v>3</v>
      </c>
      <c r="B13" s="16" t="s">
        <v>9</v>
      </c>
      <c r="C13" s="17"/>
      <c r="D13" s="18"/>
      <c r="E13" s="77">
        <f>DAFTAR!C17</f>
        <v>900000</v>
      </c>
    </row>
    <row r="14" spans="1:5" ht="19" thickBot="1" x14ac:dyDescent="0.5">
      <c r="A14" s="78"/>
      <c r="B14" s="15"/>
      <c r="C14" s="15"/>
      <c r="D14" s="30"/>
      <c r="E14" s="74"/>
    </row>
    <row r="15" spans="1:5" ht="19" thickBot="1" x14ac:dyDescent="0.5">
      <c r="A15" s="53" t="s">
        <v>10</v>
      </c>
      <c r="B15" s="54"/>
      <c r="C15" s="54"/>
      <c r="D15" s="55"/>
      <c r="E15" s="79">
        <f>E12+E13</f>
        <v>10272222</v>
      </c>
    </row>
    <row r="16" spans="1:5" x14ac:dyDescent="0.35">
      <c r="A16" s="80"/>
      <c r="E16" s="81"/>
    </row>
    <row r="17" spans="1:5" ht="15.5" x14ac:dyDescent="0.35">
      <c r="A17" s="82"/>
      <c r="B17" s="83"/>
      <c r="C17" s="83"/>
      <c r="D17" s="83"/>
      <c r="E17" s="84"/>
    </row>
    <row r="18" spans="1:5" x14ac:dyDescent="0.35">
      <c r="A18" s="85"/>
      <c r="E18" s="86" t="s">
        <v>57</v>
      </c>
    </row>
    <row r="19" spans="1:5" ht="15.5" x14ac:dyDescent="0.35">
      <c r="A19" s="87" t="s">
        <v>11</v>
      </c>
      <c r="B19" s="88"/>
      <c r="C19" s="88"/>
      <c r="D19" s="89"/>
      <c r="E19" s="90" t="s">
        <v>12</v>
      </c>
    </row>
    <row r="20" spans="1:5" ht="15.5" x14ac:dyDescent="0.35">
      <c r="A20" s="91"/>
      <c r="B20" s="89"/>
      <c r="C20" s="89"/>
      <c r="D20" s="89"/>
      <c r="E20" s="92"/>
    </row>
    <row r="21" spans="1:5" ht="15.5" x14ac:dyDescent="0.35">
      <c r="A21" s="91"/>
      <c r="B21" s="89"/>
      <c r="C21" s="89"/>
      <c r="D21" s="89"/>
      <c r="E21" s="90"/>
    </row>
    <row r="22" spans="1:5" ht="15.5" x14ac:dyDescent="0.35">
      <c r="A22" s="91"/>
      <c r="B22" s="89"/>
      <c r="C22" s="89"/>
      <c r="D22" s="89"/>
      <c r="E22" s="93"/>
    </row>
    <row r="23" spans="1:5" ht="15.5" x14ac:dyDescent="0.35">
      <c r="A23" s="94" t="s">
        <v>13</v>
      </c>
      <c r="B23" s="95"/>
      <c r="C23" s="95"/>
      <c r="E23" s="96" t="s">
        <v>14</v>
      </c>
    </row>
    <row r="24" spans="1:5" x14ac:dyDescent="0.35">
      <c r="A24" s="85"/>
      <c r="E24" s="97"/>
    </row>
    <row r="25" spans="1:5" x14ac:dyDescent="0.35">
      <c r="A25" s="85"/>
      <c r="D25" s="35" t="s">
        <v>15</v>
      </c>
      <c r="E25" s="97"/>
    </row>
    <row r="26" spans="1:5" x14ac:dyDescent="0.35">
      <c r="A26" s="85"/>
      <c r="D26" s="47"/>
      <c r="E26" s="98"/>
    </row>
    <row r="27" spans="1:5" x14ac:dyDescent="0.35">
      <c r="A27" s="85"/>
      <c r="D27" s="48"/>
      <c r="E27" s="99"/>
    </row>
    <row r="28" spans="1:5" x14ac:dyDescent="0.35">
      <c r="A28" s="85"/>
      <c r="D28" s="48"/>
      <c r="E28" s="99"/>
    </row>
    <row r="29" spans="1:5" x14ac:dyDescent="0.35">
      <c r="A29" s="85"/>
      <c r="D29" s="48"/>
      <c r="E29" s="99"/>
    </row>
    <row r="30" spans="1:5" x14ac:dyDescent="0.35">
      <c r="A30" s="85"/>
      <c r="D30" s="49"/>
      <c r="E30" s="99"/>
    </row>
    <row r="31" spans="1:5" x14ac:dyDescent="0.35">
      <c r="A31" s="85"/>
      <c r="E31" s="99"/>
    </row>
    <row r="32" spans="1:5" x14ac:dyDescent="0.35">
      <c r="A32" s="85"/>
      <c r="E32" s="99"/>
    </row>
    <row r="33" spans="1:5" ht="15" thickBot="1" x14ac:dyDescent="0.4">
      <c r="A33" s="100"/>
      <c r="B33" s="101"/>
      <c r="C33" s="101"/>
      <c r="D33" s="101"/>
      <c r="E33" s="102"/>
    </row>
  </sheetData>
  <printOptions horizontalCentered="1"/>
  <pageMargins left="0.70866141732283472" right="0.70866141732283472" top="0.74803149606299213" bottom="0.74803149606299213" header="0.31496062992125984" footer="0.31496062992125984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3"/>
  <sheetViews>
    <sheetView view="pageBreakPreview" zoomScaleNormal="100" zoomScaleSheetLayoutView="100" workbookViewId="0">
      <selection activeCell="H19" sqref="H19"/>
    </sheetView>
  </sheetViews>
  <sheetFormatPr defaultColWidth="9.1796875" defaultRowHeight="15.5" x14ac:dyDescent="0.35"/>
  <cols>
    <col min="1" max="1" width="7.453125" style="191" customWidth="1"/>
    <col min="2" max="2" width="28.26953125" style="230" customWidth="1"/>
    <col min="3" max="3" width="15.453125" style="203" customWidth="1"/>
    <col min="4" max="4" width="15.1796875" style="42" customWidth="1"/>
    <col min="5" max="5" width="16" style="212" customWidth="1"/>
    <col min="6" max="6" width="14.7265625" style="41" customWidth="1"/>
    <col min="7" max="7" width="15.54296875" style="41" customWidth="1"/>
    <col min="8" max="8" width="17.453125" style="41" customWidth="1"/>
    <col min="9" max="9" width="19" style="191" customWidth="1"/>
    <col min="10" max="10" width="9.1796875" style="191"/>
    <col min="11" max="11" width="11.54296875" style="191" customWidth="1"/>
    <col min="12" max="16384" width="9.1796875" style="191"/>
  </cols>
  <sheetData>
    <row r="1" spans="1:10" x14ac:dyDescent="0.35">
      <c r="A1" s="110" t="s">
        <v>16</v>
      </c>
      <c r="B1" s="110"/>
      <c r="C1" s="195"/>
      <c r="D1" s="110"/>
      <c r="E1" s="208"/>
      <c r="F1" s="111"/>
      <c r="G1" s="111"/>
      <c r="H1" s="111"/>
      <c r="I1" s="111"/>
    </row>
    <row r="2" spans="1:10" x14ac:dyDescent="0.35">
      <c r="A2" s="110" t="s">
        <v>17</v>
      </c>
      <c r="B2" s="110"/>
      <c r="C2" s="195"/>
      <c r="D2" s="110"/>
      <c r="E2" s="208"/>
      <c r="F2" s="111"/>
      <c r="G2" s="111"/>
      <c r="H2" s="111"/>
      <c r="I2" s="111"/>
    </row>
    <row r="3" spans="1:10" x14ac:dyDescent="0.35">
      <c r="A3" s="110" t="s">
        <v>96</v>
      </c>
      <c r="B3" s="110"/>
      <c r="C3" s="195"/>
      <c r="D3" s="110"/>
      <c r="E3" s="208"/>
      <c r="F3" s="111"/>
      <c r="G3" s="111"/>
      <c r="H3" s="111"/>
      <c r="I3" s="111"/>
    </row>
    <row r="4" spans="1:10" ht="16" thickBot="1" x14ac:dyDescent="0.4">
      <c r="A4" s="113"/>
      <c r="B4" s="112"/>
      <c r="C4" s="196"/>
      <c r="D4" s="112"/>
      <c r="E4" s="209"/>
      <c r="F4" s="113"/>
      <c r="G4" s="113"/>
      <c r="H4" s="113"/>
      <c r="I4" s="113"/>
    </row>
    <row r="5" spans="1:10" ht="33" customHeight="1" thickBot="1" x14ac:dyDescent="0.4">
      <c r="A5" s="114" t="s">
        <v>18</v>
      </c>
      <c r="B5" s="234" t="s">
        <v>19</v>
      </c>
      <c r="C5" s="197" t="s">
        <v>75</v>
      </c>
      <c r="D5" s="114" t="s">
        <v>63</v>
      </c>
      <c r="E5" s="210" t="s">
        <v>20</v>
      </c>
      <c r="F5" s="115" t="s">
        <v>21</v>
      </c>
      <c r="G5" s="115" t="s">
        <v>22</v>
      </c>
      <c r="H5" s="115" t="s">
        <v>23</v>
      </c>
      <c r="I5" s="115" t="s">
        <v>24</v>
      </c>
    </row>
    <row r="6" spans="1:10" ht="13.5" customHeight="1" thickBot="1" x14ac:dyDescent="0.4">
      <c r="A6" s="116">
        <v>1</v>
      </c>
      <c r="B6" s="116">
        <v>2</v>
      </c>
      <c r="C6" s="198">
        <v>3</v>
      </c>
      <c r="D6" s="116">
        <v>4</v>
      </c>
      <c r="E6" s="116">
        <v>5</v>
      </c>
      <c r="F6" s="116">
        <v>6</v>
      </c>
      <c r="G6" s="116">
        <v>7</v>
      </c>
      <c r="H6" s="116">
        <v>8</v>
      </c>
      <c r="I6" s="116" t="s">
        <v>70</v>
      </c>
    </row>
    <row r="7" spans="1:10" x14ac:dyDescent="0.3">
      <c r="A7" s="235">
        <v>1</v>
      </c>
      <c r="B7" s="117" t="s">
        <v>72</v>
      </c>
      <c r="C7" s="220">
        <v>0</v>
      </c>
      <c r="D7" s="221">
        <v>0</v>
      </c>
      <c r="E7" s="222">
        <v>0</v>
      </c>
      <c r="F7" s="223">
        <v>0</v>
      </c>
      <c r="G7" s="224">
        <v>0</v>
      </c>
      <c r="H7" s="224">
        <v>0</v>
      </c>
      <c r="I7" s="118">
        <f>SUM(C7:H7)</f>
        <v>0</v>
      </c>
      <c r="J7" s="230"/>
    </row>
    <row r="8" spans="1:10" x14ac:dyDescent="0.3">
      <c r="A8" s="235">
        <v>2</v>
      </c>
      <c r="B8" s="236" t="s">
        <v>88</v>
      </c>
      <c r="C8" s="227">
        <v>0</v>
      </c>
      <c r="D8" s="227">
        <v>0</v>
      </c>
      <c r="E8" s="226">
        <v>0</v>
      </c>
      <c r="F8" s="228">
        <v>0</v>
      </c>
      <c r="G8" s="224">
        <v>0</v>
      </c>
      <c r="H8" s="238">
        <v>5000000</v>
      </c>
      <c r="I8" s="118">
        <f t="shared" ref="I8:I19" si="0">SUM(C8:H8)</f>
        <v>5000000</v>
      </c>
      <c r="J8" s="230"/>
    </row>
    <row r="9" spans="1:10" x14ac:dyDescent="0.3">
      <c r="A9" s="187">
        <v>3</v>
      </c>
      <c r="B9" s="236" t="s">
        <v>92</v>
      </c>
      <c r="C9" s="227">
        <v>0</v>
      </c>
      <c r="D9" s="227">
        <v>0</v>
      </c>
      <c r="E9" s="226">
        <v>0</v>
      </c>
      <c r="F9" s="228">
        <v>0</v>
      </c>
      <c r="G9" s="224">
        <v>0</v>
      </c>
      <c r="H9" s="238">
        <v>2000000</v>
      </c>
      <c r="I9" s="118">
        <f t="shared" si="0"/>
        <v>2000000</v>
      </c>
      <c r="J9" s="230"/>
    </row>
    <row r="10" spans="1:10" x14ac:dyDescent="0.3">
      <c r="A10" s="235">
        <v>4</v>
      </c>
      <c r="B10" s="236" t="s">
        <v>84</v>
      </c>
      <c r="C10" s="227">
        <v>0</v>
      </c>
      <c r="D10" s="227">
        <v>0</v>
      </c>
      <c r="E10" s="226">
        <v>0</v>
      </c>
      <c r="F10" s="228">
        <v>0</v>
      </c>
      <c r="G10" s="224">
        <v>0</v>
      </c>
      <c r="H10" s="251">
        <v>0</v>
      </c>
      <c r="I10" s="118">
        <f t="shared" si="0"/>
        <v>0</v>
      </c>
      <c r="J10" s="230"/>
    </row>
    <row r="11" spans="1:10" x14ac:dyDescent="0.3">
      <c r="A11" s="187">
        <v>5</v>
      </c>
      <c r="B11" s="117" t="s">
        <v>90</v>
      </c>
      <c r="C11" s="220">
        <v>0</v>
      </c>
      <c r="D11" s="220">
        <v>0</v>
      </c>
      <c r="E11" s="225">
        <v>0</v>
      </c>
      <c r="F11" s="223">
        <v>0</v>
      </c>
      <c r="G11" s="224">
        <v>0</v>
      </c>
      <c r="H11" s="241">
        <v>5000000</v>
      </c>
      <c r="I11" s="118">
        <f t="shared" si="0"/>
        <v>5000000</v>
      </c>
      <c r="J11" s="230"/>
    </row>
    <row r="12" spans="1:10" x14ac:dyDescent="0.3">
      <c r="A12" s="235">
        <v>6</v>
      </c>
      <c r="B12" s="117" t="s">
        <v>74</v>
      </c>
      <c r="C12" s="220">
        <v>0</v>
      </c>
      <c r="D12" s="220">
        <v>0</v>
      </c>
      <c r="E12" s="222">
        <v>0</v>
      </c>
      <c r="F12" s="223">
        <v>0</v>
      </c>
      <c r="G12" s="239">
        <v>36666667</v>
      </c>
      <c r="H12" s="240">
        <v>13500000</v>
      </c>
      <c r="I12" s="118">
        <f t="shared" si="0"/>
        <v>50166667</v>
      </c>
      <c r="J12" s="230"/>
    </row>
    <row r="13" spans="1:10" x14ac:dyDescent="0.3">
      <c r="A13" s="187">
        <v>7</v>
      </c>
      <c r="B13" s="117" t="s">
        <v>85</v>
      </c>
      <c r="C13" s="220">
        <v>0</v>
      </c>
      <c r="D13" s="220">
        <v>0</v>
      </c>
      <c r="E13" s="225">
        <v>0</v>
      </c>
      <c r="F13" s="223">
        <v>0</v>
      </c>
      <c r="G13" s="224">
        <v>0</v>
      </c>
      <c r="H13" s="239">
        <v>4000000</v>
      </c>
      <c r="I13" s="118">
        <f t="shared" si="0"/>
        <v>4000000</v>
      </c>
      <c r="J13" s="230"/>
    </row>
    <row r="14" spans="1:10" s="249" customFormat="1" x14ac:dyDescent="0.3">
      <c r="A14" s="235">
        <v>8</v>
      </c>
      <c r="B14" s="117" t="s">
        <v>62</v>
      </c>
      <c r="C14" s="220">
        <v>0</v>
      </c>
      <c r="D14" s="220">
        <v>0</v>
      </c>
      <c r="E14" s="225">
        <v>0</v>
      </c>
      <c r="F14" s="223">
        <v>0</v>
      </c>
      <c r="G14" s="224">
        <v>0</v>
      </c>
      <c r="H14" s="241">
        <v>13500000</v>
      </c>
      <c r="I14" s="118">
        <f t="shared" si="0"/>
        <v>13500000</v>
      </c>
    </row>
    <row r="15" spans="1:10" x14ac:dyDescent="0.3">
      <c r="A15" s="187">
        <v>9</v>
      </c>
      <c r="B15" s="242" t="s">
        <v>80</v>
      </c>
      <c r="C15" s="243">
        <v>0</v>
      </c>
      <c r="D15" s="243">
        <v>0</v>
      </c>
      <c r="E15" s="244">
        <v>0</v>
      </c>
      <c r="F15" s="245">
        <v>0</v>
      </c>
      <c r="G15" s="246">
        <v>0</v>
      </c>
      <c r="H15" s="246">
        <v>12000000</v>
      </c>
      <c r="I15" s="247">
        <f t="shared" si="0"/>
        <v>12000000</v>
      </c>
      <c r="J15" s="248" t="s">
        <v>94</v>
      </c>
    </row>
    <row r="16" spans="1:10" x14ac:dyDescent="0.3">
      <c r="A16" s="235">
        <v>10</v>
      </c>
      <c r="B16" s="117" t="s">
        <v>77</v>
      </c>
      <c r="C16" s="220">
        <v>0</v>
      </c>
      <c r="D16" s="220">
        <v>0</v>
      </c>
      <c r="E16" s="222">
        <v>0</v>
      </c>
      <c r="F16" s="223">
        <v>0</v>
      </c>
      <c r="G16" s="224">
        <v>0</v>
      </c>
      <c r="H16" s="240">
        <v>5000000</v>
      </c>
      <c r="I16" s="118">
        <f t="shared" si="0"/>
        <v>5000000</v>
      </c>
      <c r="J16" s="230"/>
    </row>
    <row r="17" spans="1:10" x14ac:dyDescent="0.3">
      <c r="A17" s="187">
        <v>11</v>
      </c>
      <c r="B17" s="117" t="s">
        <v>14</v>
      </c>
      <c r="C17" s="220">
        <v>0</v>
      </c>
      <c r="D17" s="220">
        <v>0</v>
      </c>
      <c r="E17" s="225">
        <v>0</v>
      </c>
      <c r="F17" s="223">
        <v>0</v>
      </c>
      <c r="G17" s="241">
        <v>55250000</v>
      </c>
      <c r="H17" s="224">
        <v>0</v>
      </c>
      <c r="I17" s="118">
        <f t="shared" si="0"/>
        <v>55250000</v>
      </c>
      <c r="J17" s="230"/>
    </row>
    <row r="18" spans="1:10" x14ac:dyDescent="0.3">
      <c r="A18" s="187">
        <v>12</v>
      </c>
      <c r="B18" s="117" t="s">
        <v>26</v>
      </c>
      <c r="C18" s="220">
        <v>0</v>
      </c>
      <c r="D18" s="220">
        <v>0</v>
      </c>
      <c r="E18" s="225">
        <v>0</v>
      </c>
      <c r="F18" s="223">
        <v>0</v>
      </c>
      <c r="G18" s="224">
        <v>0</v>
      </c>
      <c r="H18" s="224">
        <v>0</v>
      </c>
      <c r="I18" s="118">
        <f t="shared" si="0"/>
        <v>0</v>
      </c>
      <c r="J18" s="230"/>
    </row>
    <row r="19" spans="1:10" ht="16" thickBot="1" x14ac:dyDescent="0.35">
      <c r="A19" s="187">
        <v>13</v>
      </c>
      <c r="B19" s="117" t="s">
        <v>78</v>
      </c>
      <c r="C19" s="220">
        <v>0</v>
      </c>
      <c r="D19" s="220">
        <v>0</v>
      </c>
      <c r="E19" s="225">
        <v>0</v>
      </c>
      <c r="F19" s="223">
        <v>0</v>
      </c>
      <c r="G19" s="224">
        <v>0</v>
      </c>
      <c r="H19" s="241">
        <v>8000000</v>
      </c>
      <c r="I19" s="118">
        <f t="shared" si="0"/>
        <v>8000000</v>
      </c>
      <c r="J19" s="230"/>
    </row>
    <row r="20" spans="1:10" ht="16" thickBot="1" x14ac:dyDescent="0.4">
      <c r="A20" s="162" t="s">
        <v>28</v>
      </c>
      <c r="B20" s="237"/>
      <c r="C20" s="199">
        <f>SUM(C7:C19)</f>
        <v>0</v>
      </c>
      <c r="D20" s="199">
        <f t="shared" ref="D20:I20" si="1">SUM(D7:D19)</f>
        <v>0</v>
      </c>
      <c r="E20" s="199">
        <f t="shared" si="1"/>
        <v>0</v>
      </c>
      <c r="F20" s="199">
        <f t="shared" si="1"/>
        <v>0</v>
      </c>
      <c r="G20" s="199">
        <f t="shared" si="1"/>
        <v>91916667</v>
      </c>
      <c r="H20" s="199">
        <f t="shared" si="1"/>
        <v>68000000</v>
      </c>
      <c r="I20" s="199">
        <f t="shared" si="1"/>
        <v>159916667</v>
      </c>
    </row>
    <row r="21" spans="1:10" x14ac:dyDescent="0.35">
      <c r="A21" s="119" t="s">
        <v>29</v>
      </c>
      <c r="B21" s="119"/>
      <c r="C21" s="200"/>
      <c r="D21" s="119"/>
      <c r="E21" s="211"/>
      <c r="F21" s="120"/>
      <c r="G21" s="120"/>
      <c r="H21" s="120"/>
      <c r="I21" s="120"/>
    </row>
    <row r="22" spans="1:10" x14ac:dyDescent="0.35">
      <c r="A22" s="119" t="e">
        <v>#NAME?</v>
      </c>
      <c r="B22" s="119"/>
      <c r="C22" s="200"/>
      <c r="D22" s="119"/>
      <c r="E22" s="200"/>
      <c r="F22" s="119"/>
      <c r="G22" s="119"/>
      <c r="H22" s="119"/>
      <c r="I22" s="119"/>
    </row>
    <row r="23" spans="1:10" x14ac:dyDescent="0.35">
      <c r="A23" s="113"/>
      <c r="B23" s="112"/>
      <c r="C23" s="196"/>
      <c r="D23" s="112"/>
      <c r="E23" s="209"/>
      <c r="F23" s="113"/>
      <c r="G23" s="113"/>
      <c r="H23" s="113"/>
      <c r="I23" s="113"/>
    </row>
    <row r="24" spans="1:10" x14ac:dyDescent="0.35">
      <c r="A24" s="113"/>
      <c r="B24" s="112"/>
      <c r="C24" s="196"/>
      <c r="D24" s="112"/>
      <c r="E24" s="209"/>
      <c r="F24" s="121"/>
      <c r="G24" s="316" t="s">
        <v>97</v>
      </c>
      <c r="H24" s="316"/>
      <c r="I24" s="316"/>
    </row>
    <row r="25" spans="1:10" x14ac:dyDescent="0.35">
      <c r="A25" s="113"/>
      <c r="B25" s="122" t="s">
        <v>11</v>
      </c>
      <c r="C25" s="201"/>
      <c r="D25" s="122"/>
      <c r="E25" s="209"/>
      <c r="F25" s="121"/>
      <c r="G25" s="316" t="s">
        <v>12</v>
      </c>
      <c r="H25" s="316"/>
      <c r="I25" s="316"/>
    </row>
    <row r="26" spans="1:10" x14ac:dyDescent="0.35">
      <c r="A26" s="113"/>
      <c r="B26" s="122"/>
      <c r="C26" s="201"/>
      <c r="D26" s="122" t="s">
        <v>91</v>
      </c>
      <c r="E26" s="209"/>
      <c r="F26" s="123"/>
      <c r="G26" s="123"/>
      <c r="H26" s="123"/>
      <c r="I26" s="122"/>
    </row>
    <row r="27" spans="1:10" x14ac:dyDescent="0.35">
      <c r="A27" s="113"/>
      <c r="B27" s="122"/>
      <c r="C27" s="201"/>
      <c r="D27" s="122"/>
      <c r="E27" s="209"/>
      <c r="F27" s="123"/>
      <c r="G27" s="123"/>
      <c r="H27" s="123"/>
      <c r="I27" s="122"/>
    </row>
    <row r="28" spans="1:10" x14ac:dyDescent="0.35">
      <c r="A28" s="113"/>
      <c r="B28" s="122"/>
      <c r="C28" s="201"/>
      <c r="D28" s="122"/>
      <c r="E28" s="209"/>
      <c r="F28" s="123"/>
      <c r="G28" s="123"/>
      <c r="H28" s="123"/>
      <c r="I28" s="122"/>
    </row>
    <row r="29" spans="1:10" x14ac:dyDescent="0.35">
      <c r="A29" s="113"/>
      <c r="B29" s="124" t="s">
        <v>83</v>
      </c>
      <c r="C29" s="202"/>
      <c r="D29" s="124"/>
      <c r="E29" s="209"/>
      <c r="F29" s="125"/>
      <c r="G29" s="125" t="s">
        <v>58</v>
      </c>
      <c r="H29" s="125"/>
      <c r="I29" s="125"/>
    </row>
    <row r="33" spans="1:2" x14ac:dyDescent="0.35">
      <c r="A33" s="191" t="s">
        <v>81</v>
      </c>
      <c r="B33" s="230" t="s">
        <v>82</v>
      </c>
    </row>
  </sheetData>
  <sortState xmlns:xlrd2="http://schemas.microsoft.com/office/spreadsheetml/2017/richdata2" ref="B8:J19">
    <sortCondition ref="B7"/>
  </sortState>
  <mergeCells count="2">
    <mergeCell ref="G24:I24"/>
    <mergeCell ref="G25:I2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63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8"/>
  <sheetViews>
    <sheetView view="pageBreakPreview" zoomScale="90" zoomScaleNormal="100" zoomScaleSheetLayoutView="90" workbookViewId="0">
      <selection activeCell="E21" sqref="E21"/>
    </sheetView>
  </sheetViews>
  <sheetFormatPr defaultRowHeight="14.5" x14ac:dyDescent="0.35"/>
  <cols>
    <col min="1" max="1" width="7.453125" customWidth="1"/>
    <col min="4" max="4" width="26.1796875" customWidth="1"/>
    <col min="5" max="5" width="26.81640625" customWidth="1"/>
  </cols>
  <sheetData>
    <row r="1" spans="1:5" ht="20" x14ac:dyDescent="0.4">
      <c r="A1" s="317" t="s">
        <v>0</v>
      </c>
      <c r="B1" s="317"/>
      <c r="C1" s="317"/>
      <c r="D1" s="317"/>
      <c r="E1" s="317"/>
    </row>
    <row r="2" spans="1:5" ht="20" x14ac:dyDescent="0.4">
      <c r="A2" s="317" t="s">
        <v>109</v>
      </c>
      <c r="B2" s="317"/>
      <c r="C2" s="317"/>
      <c r="D2" s="317"/>
      <c r="E2" s="317"/>
    </row>
    <row r="3" spans="1:5" ht="20" x14ac:dyDescent="0.4">
      <c r="A3" s="317" t="s">
        <v>67</v>
      </c>
      <c r="B3" s="317"/>
      <c r="C3" s="317"/>
      <c r="D3" s="317"/>
      <c r="E3" s="317"/>
    </row>
    <row r="4" spans="1:5" ht="20" x14ac:dyDescent="0.4">
      <c r="A4" s="126" t="s">
        <v>93</v>
      </c>
      <c r="B4" s="126"/>
      <c r="C4" s="126"/>
      <c r="D4" s="161"/>
      <c r="E4" s="126"/>
    </row>
    <row r="5" spans="1:5" ht="15" thickBot="1" x14ac:dyDescent="0.4">
      <c r="A5" s="127"/>
      <c r="B5" s="127"/>
      <c r="C5" s="127"/>
      <c r="D5" s="127"/>
      <c r="E5" s="127"/>
    </row>
    <row r="6" spans="1:5" ht="17.5" x14ac:dyDescent="0.35">
      <c r="A6" s="128">
        <v>1</v>
      </c>
      <c r="B6" s="129" t="s">
        <v>4</v>
      </c>
      <c r="C6" s="130"/>
      <c r="D6" s="131"/>
      <c r="E6" s="132">
        <f>'Khusus &amp; reguler'!I15</f>
        <v>9372222</v>
      </c>
    </row>
    <row r="7" spans="1:5" ht="17.5" x14ac:dyDescent="0.35">
      <c r="A7" s="133"/>
      <c r="B7" s="134"/>
      <c r="C7" s="134"/>
      <c r="D7" s="134"/>
      <c r="E7" s="133"/>
    </row>
    <row r="8" spans="1:5" ht="17.5" x14ac:dyDescent="0.35">
      <c r="A8" s="135">
        <v>2</v>
      </c>
      <c r="B8" s="136" t="s">
        <v>5</v>
      </c>
      <c r="C8" s="137"/>
      <c r="D8" s="134"/>
      <c r="E8" s="138"/>
    </row>
    <row r="9" spans="1:5" ht="17.5" x14ac:dyDescent="0.35">
      <c r="A9" s="135"/>
      <c r="B9" s="136" t="s">
        <v>6</v>
      </c>
      <c r="C9" s="137"/>
      <c r="D9" s="134"/>
      <c r="E9" s="138">
        <f>'DKI (2)'!E9</f>
        <v>0</v>
      </c>
    </row>
    <row r="10" spans="1:5" ht="17.5" x14ac:dyDescent="0.35">
      <c r="A10" s="135"/>
      <c r="B10" s="139" t="s">
        <v>7</v>
      </c>
      <c r="C10" s="137"/>
      <c r="D10" s="134"/>
      <c r="E10" s="138">
        <f>BRIS!E7</f>
        <v>0</v>
      </c>
    </row>
    <row r="11" spans="1:5" ht="17.5" x14ac:dyDescent="0.35">
      <c r="A11" s="135"/>
      <c r="B11" s="136" t="s">
        <v>64</v>
      </c>
      <c r="C11" s="137"/>
      <c r="D11" s="134"/>
      <c r="E11" s="138">
        <f>'BRIS (2)'!E9</f>
        <v>0</v>
      </c>
    </row>
    <row r="12" spans="1:5" ht="17.5" x14ac:dyDescent="0.35">
      <c r="A12" s="135"/>
      <c r="B12" s="134" t="s">
        <v>65</v>
      </c>
      <c r="C12" s="134"/>
      <c r="D12" s="134"/>
      <c r="E12" s="138">
        <v>0</v>
      </c>
    </row>
    <row r="13" spans="1:5" ht="18" thickBot="1" x14ac:dyDescent="0.4">
      <c r="A13" s="190"/>
      <c r="B13" s="141" t="s">
        <v>76</v>
      </c>
      <c r="C13" s="141"/>
      <c r="D13" s="146"/>
      <c r="E13" s="148">
        <v>0</v>
      </c>
    </row>
    <row r="14" spans="1:5" ht="18" thickBot="1" x14ac:dyDescent="0.4">
      <c r="A14" s="142" t="s">
        <v>8</v>
      </c>
      <c r="B14" s="143"/>
      <c r="C14" s="143"/>
      <c r="D14" s="144"/>
      <c r="E14" s="145">
        <f>SUM(E6:E13)</f>
        <v>9372222</v>
      </c>
    </row>
    <row r="15" spans="1:5" ht="17.5" x14ac:dyDescent="0.35">
      <c r="A15" s="128">
        <v>3</v>
      </c>
      <c r="B15" s="146" t="s">
        <v>9</v>
      </c>
      <c r="C15" s="146"/>
      <c r="D15" s="146"/>
      <c r="E15" s="132">
        <f>DAFTAR!C17</f>
        <v>900000</v>
      </c>
    </row>
    <row r="16" spans="1:5" ht="18" thickBot="1" x14ac:dyDescent="0.4">
      <c r="A16" s="140">
        <v>4</v>
      </c>
      <c r="B16" s="141" t="s">
        <v>60</v>
      </c>
      <c r="C16" s="141"/>
      <c r="D16" s="147"/>
      <c r="E16" s="148">
        <f>DAFTAR!D17</f>
        <v>0</v>
      </c>
    </row>
    <row r="17" spans="1:5" ht="18" thickBot="1" x14ac:dyDescent="0.4">
      <c r="A17" s="142" t="s">
        <v>10</v>
      </c>
      <c r="B17" s="149"/>
      <c r="C17" s="149"/>
      <c r="D17" s="150"/>
      <c r="E17" s="151">
        <f>E14+E15+E16</f>
        <v>10272222</v>
      </c>
    </row>
    <row r="18" spans="1:5" x14ac:dyDescent="0.35">
      <c r="A18" s="152"/>
      <c r="B18" s="153"/>
      <c r="C18" s="153"/>
      <c r="D18" s="153"/>
      <c r="E18" s="154"/>
    </row>
    <row r="19" spans="1:5" ht="15.5" x14ac:dyDescent="0.35">
      <c r="A19" s="155"/>
      <c r="B19" s="156"/>
      <c r="C19" s="156"/>
      <c r="D19" s="156"/>
      <c r="E19" s="156"/>
    </row>
    <row r="20" spans="1:5" x14ac:dyDescent="0.35">
      <c r="A20" s="153"/>
      <c r="B20" s="153"/>
      <c r="C20" s="153"/>
      <c r="D20" s="153"/>
      <c r="E20" s="250" t="s">
        <v>110</v>
      </c>
    </row>
    <row r="21" spans="1:5" ht="15.5" x14ac:dyDescent="0.35">
      <c r="A21" s="157" t="s">
        <v>11</v>
      </c>
      <c r="B21" s="157"/>
      <c r="C21" s="157"/>
      <c r="D21" s="156"/>
      <c r="E21" s="155" t="s">
        <v>12</v>
      </c>
    </row>
    <row r="22" spans="1:5" ht="15.5" x14ac:dyDescent="0.35">
      <c r="A22" s="156"/>
      <c r="B22" s="156"/>
      <c r="C22" s="156"/>
      <c r="D22" s="156"/>
      <c r="E22" s="158"/>
    </row>
    <row r="23" spans="1:5" ht="15.5" x14ac:dyDescent="0.35">
      <c r="A23" s="156"/>
      <c r="B23" s="156"/>
      <c r="C23" s="156"/>
      <c r="D23" s="156"/>
      <c r="E23" s="155"/>
    </row>
    <row r="24" spans="1:5" ht="15.5" x14ac:dyDescent="0.35">
      <c r="A24" s="156"/>
      <c r="B24" s="156"/>
      <c r="C24" s="156"/>
      <c r="D24" s="156"/>
      <c r="E24" s="159"/>
    </row>
    <row r="25" spans="1:5" ht="15.5" x14ac:dyDescent="0.35">
      <c r="A25" s="318" t="s">
        <v>99</v>
      </c>
      <c r="B25" s="318"/>
      <c r="C25" s="318"/>
      <c r="D25" s="153"/>
      <c r="E25" s="160" t="s">
        <v>98</v>
      </c>
    </row>
    <row r="26" spans="1:5" x14ac:dyDescent="0.35">
      <c r="E26" s="24"/>
    </row>
    <row r="27" spans="1:5" x14ac:dyDescent="0.35">
      <c r="E27" s="24"/>
    </row>
    <row r="28" spans="1:5" x14ac:dyDescent="0.35">
      <c r="E28" s="23"/>
    </row>
  </sheetData>
  <mergeCells count="4">
    <mergeCell ref="A2:E2"/>
    <mergeCell ref="A1:E1"/>
    <mergeCell ref="A3:E3"/>
    <mergeCell ref="A25:C25"/>
  </mergeCells>
  <printOptions horizontalCentered="1"/>
  <pageMargins left="0.70866141732283472" right="0.70866141732283472" top="1.3130314960629921" bottom="0.74803149606299213" header="0.31496062992125984" footer="0.31496062992125984"/>
  <pageSetup paperSize="9" scale="9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29"/>
  <sheetViews>
    <sheetView tabSelected="1" view="pageBreakPreview" zoomScale="90" zoomScaleSheetLayoutView="90" workbookViewId="0">
      <selection activeCell="E22" sqref="E22"/>
    </sheetView>
  </sheetViews>
  <sheetFormatPr defaultColWidth="9.1796875" defaultRowHeight="15.5" x14ac:dyDescent="0.35"/>
  <cols>
    <col min="1" max="1" width="7.453125" style="41" customWidth="1"/>
    <col min="2" max="2" width="38.453125" style="42" customWidth="1"/>
    <col min="3" max="4" width="18.81640625" style="41" customWidth="1"/>
    <col min="5" max="5" width="20" style="41" customWidth="1"/>
    <col min="6" max="6" width="19" style="41" customWidth="1"/>
    <col min="7" max="7" width="9.7265625" style="191" bestFit="1" customWidth="1"/>
    <col min="8" max="8" width="11.54296875" style="191" customWidth="1"/>
    <col min="9" max="16384" width="9.1796875" style="191"/>
  </cols>
  <sheetData>
    <row r="1" spans="1:8" x14ac:dyDescent="0.35">
      <c r="A1" s="110" t="s">
        <v>16</v>
      </c>
      <c r="B1" s="110"/>
      <c r="C1" s="111"/>
      <c r="D1" s="111"/>
      <c r="E1" s="113"/>
      <c r="F1" s="111"/>
    </row>
    <row r="2" spans="1:8" x14ac:dyDescent="0.35">
      <c r="A2" s="110" t="s">
        <v>17</v>
      </c>
      <c r="B2" s="110"/>
      <c r="C2" s="111"/>
      <c r="D2" s="111"/>
      <c r="E2" s="113"/>
      <c r="F2" s="111"/>
    </row>
    <row r="3" spans="1:8" x14ac:dyDescent="0.35">
      <c r="A3" s="110" t="s">
        <v>111</v>
      </c>
      <c r="B3" s="110"/>
      <c r="C3" s="111"/>
      <c r="D3" s="111"/>
      <c r="E3" s="113"/>
      <c r="F3" s="111"/>
    </row>
    <row r="4" spans="1:8" ht="16" thickBot="1" x14ac:dyDescent="0.4">
      <c r="A4" s="113"/>
      <c r="B4" s="112"/>
      <c r="C4" s="113"/>
      <c r="D4" s="113"/>
      <c r="E4" s="113"/>
      <c r="F4" s="113"/>
    </row>
    <row r="5" spans="1:8" ht="16.5" customHeight="1" x14ac:dyDescent="0.35">
      <c r="A5" s="319" t="s">
        <v>18</v>
      </c>
      <c r="B5" s="319" t="s">
        <v>19</v>
      </c>
      <c r="C5" s="321" t="s">
        <v>32</v>
      </c>
      <c r="D5" s="321" t="s">
        <v>59</v>
      </c>
      <c r="E5" s="321" t="s">
        <v>33</v>
      </c>
      <c r="F5" s="321" t="s">
        <v>24</v>
      </c>
    </row>
    <row r="6" spans="1:8" ht="16" thickBot="1" x14ac:dyDescent="0.4">
      <c r="A6" s="320"/>
      <c r="B6" s="320"/>
      <c r="C6" s="322"/>
      <c r="D6" s="322"/>
      <c r="E6" s="322"/>
      <c r="F6" s="322"/>
    </row>
    <row r="7" spans="1:8" ht="12" customHeight="1" thickBot="1" x14ac:dyDescent="0.4">
      <c r="A7" s="282">
        <v>1</v>
      </c>
      <c r="B7" s="116">
        <v>2</v>
      </c>
      <c r="C7" s="283">
        <v>3</v>
      </c>
      <c r="D7" s="116">
        <v>4</v>
      </c>
      <c r="E7" s="283">
        <v>5</v>
      </c>
      <c r="F7" s="116" t="s">
        <v>68</v>
      </c>
    </row>
    <row r="8" spans="1:8" x14ac:dyDescent="0.3">
      <c r="A8" s="284">
        <v>1</v>
      </c>
      <c r="B8" s="285" t="s">
        <v>89</v>
      </c>
      <c r="C8" s="286">
        <v>100000</v>
      </c>
      <c r="D8" s="287">
        <v>0</v>
      </c>
      <c r="E8" s="288">
        <f>'Khusus &amp; reguler'!I13</f>
        <v>1000000</v>
      </c>
      <c r="F8" s="287">
        <f t="shared" ref="F8:F16" si="0">C8+D8+E8</f>
        <v>1100000</v>
      </c>
      <c r="H8" s="231"/>
    </row>
    <row r="9" spans="1:8" x14ac:dyDescent="0.3">
      <c r="A9" s="284">
        <v>2</v>
      </c>
      <c r="B9" s="285" t="s">
        <v>88</v>
      </c>
      <c r="C9" s="286">
        <v>100000</v>
      </c>
      <c r="D9" s="287">
        <v>0</v>
      </c>
      <c r="E9" s="288">
        <f>'Khusus &amp; reguler'!H12</f>
        <v>1000000</v>
      </c>
      <c r="F9" s="287">
        <f t="shared" si="0"/>
        <v>1100000</v>
      </c>
      <c r="H9" s="231"/>
    </row>
    <row r="10" spans="1:8" x14ac:dyDescent="0.3">
      <c r="A10" s="284">
        <v>3</v>
      </c>
      <c r="B10" s="285" t="s">
        <v>92</v>
      </c>
      <c r="C10" s="286">
        <v>100000</v>
      </c>
      <c r="D10" s="287">
        <v>0</v>
      </c>
      <c r="E10" s="288">
        <f>'Khusus &amp; reguler'!I11</f>
        <v>850000</v>
      </c>
      <c r="F10" s="287">
        <f t="shared" si="0"/>
        <v>950000</v>
      </c>
    </row>
    <row r="11" spans="1:8" x14ac:dyDescent="0.3">
      <c r="A11" s="284">
        <v>4</v>
      </c>
      <c r="B11" s="285" t="s">
        <v>74</v>
      </c>
      <c r="C11" s="286">
        <v>100000</v>
      </c>
      <c r="D11" s="287">
        <v>0</v>
      </c>
      <c r="E11" s="288">
        <f>'Khusus &amp; reguler'!I8</f>
        <v>2722222</v>
      </c>
      <c r="F11" s="287">
        <f t="shared" si="0"/>
        <v>2822222</v>
      </c>
    </row>
    <row r="12" spans="1:8" x14ac:dyDescent="0.3">
      <c r="A12" s="284">
        <v>5</v>
      </c>
      <c r="B12" s="285" t="s">
        <v>85</v>
      </c>
      <c r="C12" s="286">
        <v>100000</v>
      </c>
      <c r="D12" s="287">
        <v>0</v>
      </c>
      <c r="E12" s="288">
        <f>'Khusus &amp; reguler'!I9</f>
        <v>1000000</v>
      </c>
      <c r="F12" s="287">
        <f t="shared" si="0"/>
        <v>1100000</v>
      </c>
      <c r="H12" s="231"/>
    </row>
    <row r="13" spans="1:8" x14ac:dyDescent="0.35">
      <c r="A13" s="284">
        <v>6</v>
      </c>
      <c r="B13" s="285" t="s">
        <v>62</v>
      </c>
      <c r="C13" s="286">
        <v>100000</v>
      </c>
      <c r="D13" s="287">
        <v>0</v>
      </c>
      <c r="E13" s="301">
        <f>'Khusus &amp; reguler'!I14</f>
        <v>1500000</v>
      </c>
      <c r="F13" s="287">
        <f t="shared" si="0"/>
        <v>1600000</v>
      </c>
      <c r="H13" s="231"/>
    </row>
    <row r="14" spans="1:8" x14ac:dyDescent="0.3">
      <c r="A14" s="284">
        <v>7</v>
      </c>
      <c r="B14" s="285" t="s">
        <v>73</v>
      </c>
      <c r="C14" s="286">
        <v>100000</v>
      </c>
      <c r="D14" s="287">
        <v>0</v>
      </c>
      <c r="E14" s="288">
        <f>'Khusus &amp; reguler'!I10</f>
        <v>1300000</v>
      </c>
      <c r="F14" s="287">
        <f t="shared" si="0"/>
        <v>1400000</v>
      </c>
      <c r="H14" s="231"/>
    </row>
    <row r="15" spans="1:8" x14ac:dyDescent="0.3">
      <c r="A15" s="284">
        <v>8</v>
      </c>
      <c r="B15" s="285" t="s">
        <v>14</v>
      </c>
      <c r="C15" s="286">
        <v>100000</v>
      </c>
      <c r="D15" s="287">
        <v>0</v>
      </c>
      <c r="E15" s="289">
        <v>0</v>
      </c>
      <c r="F15" s="287">
        <f t="shared" si="0"/>
        <v>100000</v>
      </c>
      <c r="H15" s="231"/>
    </row>
    <row r="16" spans="1:8" ht="16" thickBot="1" x14ac:dyDescent="0.35">
      <c r="A16" s="302">
        <v>9</v>
      </c>
      <c r="B16" s="303" t="s">
        <v>101</v>
      </c>
      <c r="C16" s="304">
        <v>100000</v>
      </c>
      <c r="D16" s="305">
        <v>0</v>
      </c>
      <c r="E16" s="306">
        <v>0</v>
      </c>
      <c r="F16" s="287">
        <f t="shared" si="0"/>
        <v>100000</v>
      </c>
      <c r="G16" s="230" t="s">
        <v>102</v>
      </c>
      <c r="H16" s="231"/>
    </row>
    <row r="17" spans="1:8" ht="16" thickBot="1" x14ac:dyDescent="0.4">
      <c r="A17" s="234"/>
      <c r="B17" s="234" t="s">
        <v>10</v>
      </c>
      <c r="C17" s="290">
        <f>SUM(C8:C16)</f>
        <v>900000</v>
      </c>
      <c r="D17" s="290">
        <f>SUM(D8:D16)</f>
        <v>0</v>
      </c>
      <c r="E17" s="290">
        <f>SUM(E8:E16)</f>
        <v>9372222</v>
      </c>
      <c r="F17" s="290">
        <f>SUM(F8:F16)</f>
        <v>10272222</v>
      </c>
      <c r="H17" s="231"/>
    </row>
    <row r="18" spans="1:8" x14ac:dyDescent="0.35">
      <c r="A18" s="119" t="s">
        <v>107</v>
      </c>
      <c r="B18" s="119"/>
      <c r="C18" s="120"/>
      <c r="D18" s="120"/>
      <c r="E18" s="291"/>
      <c r="F18" s="120"/>
    </row>
    <row r="19" spans="1:8" x14ac:dyDescent="0.35">
      <c r="A19" s="119"/>
      <c r="B19" s="119"/>
      <c r="C19" s="119"/>
      <c r="D19" s="119"/>
      <c r="E19" s="292"/>
      <c r="F19" s="119"/>
    </row>
    <row r="20" spans="1:8" x14ac:dyDescent="0.35">
      <c r="A20" s="113"/>
      <c r="B20" s="112"/>
      <c r="C20" s="113"/>
      <c r="D20" s="113"/>
      <c r="E20" s="113"/>
      <c r="F20" s="113"/>
    </row>
    <row r="21" spans="1:8" x14ac:dyDescent="0.35">
      <c r="A21" s="113"/>
      <c r="B21" s="112"/>
      <c r="C21" s="113"/>
      <c r="D21" s="113"/>
      <c r="E21" s="121" t="s">
        <v>110</v>
      </c>
      <c r="F21" s="121"/>
    </row>
    <row r="22" spans="1:8" x14ac:dyDescent="0.35">
      <c r="A22" s="113"/>
      <c r="B22" s="122" t="s">
        <v>11</v>
      </c>
      <c r="C22" s="113"/>
      <c r="D22" s="113"/>
      <c r="E22" s="121" t="s">
        <v>12</v>
      </c>
      <c r="F22" s="121"/>
    </row>
    <row r="23" spans="1:8" x14ac:dyDescent="0.35">
      <c r="A23" s="113"/>
      <c r="B23" s="122"/>
      <c r="C23" s="113"/>
      <c r="D23" s="113"/>
      <c r="E23" s="123"/>
      <c r="F23" s="122"/>
    </row>
    <row r="24" spans="1:8" x14ac:dyDescent="0.35">
      <c r="A24" s="113"/>
      <c r="B24" s="122"/>
      <c r="C24" s="113"/>
      <c r="D24" s="113"/>
      <c r="E24" s="123"/>
      <c r="F24" s="122"/>
    </row>
    <row r="25" spans="1:8" x14ac:dyDescent="0.35">
      <c r="A25" s="113"/>
      <c r="B25" s="122"/>
      <c r="C25" s="113"/>
      <c r="D25" s="113"/>
      <c r="E25" s="123"/>
      <c r="F25" s="122"/>
    </row>
    <row r="26" spans="1:8" x14ac:dyDescent="0.35">
      <c r="A26" s="113"/>
      <c r="B26" s="124" t="s">
        <v>99</v>
      </c>
      <c r="C26" s="113"/>
      <c r="D26" s="113"/>
      <c r="E26" s="125" t="s">
        <v>98</v>
      </c>
      <c r="F26" s="125"/>
    </row>
    <row r="29" spans="1:8" x14ac:dyDescent="0.35">
      <c r="C29" s="42"/>
    </row>
  </sheetData>
  <autoFilter ref="G1:G29" xr:uid="{00000000-0009-0000-0000-000003000000}"/>
  <sortState xmlns:xlrd2="http://schemas.microsoft.com/office/spreadsheetml/2017/richdata2" ref="B8:F20">
    <sortCondition ref="B8"/>
  </sortState>
  <mergeCells count="6">
    <mergeCell ref="A5:A6"/>
    <mergeCell ref="B5:B6"/>
    <mergeCell ref="C5:C6"/>
    <mergeCell ref="E5:E6"/>
    <mergeCell ref="F5:F6"/>
    <mergeCell ref="D5:D6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7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24"/>
  <sheetViews>
    <sheetView view="pageBreakPreview" topLeftCell="A4" zoomScale="90" zoomScaleNormal="115" zoomScaleSheetLayoutView="90" workbookViewId="0">
      <selection activeCell="B18" sqref="B18"/>
    </sheetView>
  </sheetViews>
  <sheetFormatPr defaultColWidth="9.1796875" defaultRowHeight="15.5" x14ac:dyDescent="0.35"/>
  <cols>
    <col min="1" max="1" width="4.81640625" style="280" customWidth="1"/>
    <col min="2" max="2" width="36.1796875" style="281" customWidth="1"/>
    <col min="3" max="8" width="14.7265625" style="280" customWidth="1"/>
    <col min="9" max="9" width="15.81640625" style="280" customWidth="1"/>
    <col min="10" max="10" width="53.26953125" style="258" bestFit="1" customWidth="1"/>
    <col min="11" max="11" width="11.54296875" style="258" customWidth="1"/>
    <col min="12" max="16384" width="9.1796875" style="258"/>
  </cols>
  <sheetData>
    <row r="1" spans="1:10" x14ac:dyDescent="0.35">
      <c r="A1" s="256" t="s">
        <v>67</v>
      </c>
      <c r="B1" s="256"/>
      <c r="C1" s="257"/>
      <c r="D1" s="257"/>
      <c r="E1" s="257"/>
      <c r="F1" s="257"/>
      <c r="G1" s="257"/>
      <c r="H1" s="257"/>
      <c r="I1" s="257"/>
    </row>
    <row r="2" spans="1:10" x14ac:dyDescent="0.35">
      <c r="A2" s="256" t="s">
        <v>17</v>
      </c>
      <c r="B2" s="256"/>
      <c r="C2" s="257"/>
      <c r="D2" s="257"/>
      <c r="E2" s="257"/>
      <c r="F2" s="257"/>
      <c r="G2" s="257"/>
      <c r="H2" s="257"/>
      <c r="I2" s="257"/>
    </row>
    <row r="3" spans="1:10" x14ac:dyDescent="0.35">
      <c r="A3" s="256" t="s">
        <v>111</v>
      </c>
      <c r="B3" s="256"/>
      <c r="C3" s="257"/>
      <c r="D3" s="257"/>
      <c r="E3" s="257"/>
      <c r="F3" s="257"/>
      <c r="G3" s="257"/>
      <c r="H3" s="257"/>
      <c r="I3" s="257"/>
    </row>
    <row r="4" spans="1:10" ht="16" thickBot="1" x14ac:dyDescent="0.4">
      <c r="A4" s="259"/>
      <c r="B4" s="260"/>
      <c r="C4" s="259"/>
      <c r="D4" s="259"/>
      <c r="E4" s="259"/>
      <c r="F4" s="259"/>
      <c r="G4" s="259"/>
      <c r="H4" s="259"/>
      <c r="I4" s="259"/>
    </row>
    <row r="5" spans="1:10" ht="16.5" customHeight="1" thickBot="1" x14ac:dyDescent="0.4">
      <c r="A5" s="323" t="s">
        <v>18</v>
      </c>
      <c r="B5" s="325" t="s">
        <v>19</v>
      </c>
      <c r="C5" s="261" t="s">
        <v>79</v>
      </c>
      <c r="D5" s="262"/>
      <c r="E5" s="263"/>
      <c r="F5" s="264" t="s">
        <v>35</v>
      </c>
      <c r="G5" s="261"/>
      <c r="H5" s="263"/>
      <c r="I5" s="327" t="s">
        <v>24</v>
      </c>
    </row>
    <row r="6" spans="1:10" ht="16" thickBot="1" x14ac:dyDescent="0.4">
      <c r="A6" s="324"/>
      <c r="B6" s="326"/>
      <c r="C6" s="265" t="s">
        <v>36</v>
      </c>
      <c r="D6" s="266" t="s">
        <v>37</v>
      </c>
      <c r="E6" s="265" t="s">
        <v>24</v>
      </c>
      <c r="F6" s="297" t="s">
        <v>36</v>
      </c>
      <c r="G6" s="265" t="s">
        <v>37</v>
      </c>
      <c r="H6" s="267" t="s">
        <v>24</v>
      </c>
      <c r="I6" s="328"/>
    </row>
    <row r="7" spans="1:10" ht="12" customHeight="1" thickBot="1" x14ac:dyDescent="0.4">
      <c r="A7" s="268">
        <v>1</v>
      </c>
      <c r="B7" s="269">
        <v>2</v>
      </c>
      <c r="C7" s="270">
        <v>3</v>
      </c>
      <c r="D7" s="269">
        <v>4</v>
      </c>
      <c r="E7" s="270">
        <v>5</v>
      </c>
      <c r="F7" s="269">
        <v>6</v>
      </c>
      <c r="G7" s="270">
        <v>7</v>
      </c>
      <c r="H7" s="268">
        <v>8</v>
      </c>
      <c r="I7" s="269" t="s">
        <v>71</v>
      </c>
    </row>
    <row r="8" spans="1:10" x14ac:dyDescent="0.3">
      <c r="A8" s="299">
        <v>1</v>
      </c>
      <c r="B8" s="285" t="s">
        <v>74</v>
      </c>
      <c r="C8" s="252">
        <v>2222222</v>
      </c>
      <c r="D8" s="253">
        <v>500000</v>
      </c>
      <c r="E8" s="298">
        <f t="shared" ref="E8:E14" si="0">C8+D8</f>
        <v>2722222</v>
      </c>
      <c r="F8" s="287" t="s">
        <v>103</v>
      </c>
      <c r="G8" s="255">
        <v>0</v>
      </c>
      <c r="H8" s="254" t="s">
        <v>103</v>
      </c>
      <c r="I8" s="254">
        <f>E8</f>
        <v>2722222</v>
      </c>
      <c r="J8" s="300" t="s">
        <v>104</v>
      </c>
    </row>
    <row r="9" spans="1:10" x14ac:dyDescent="0.3">
      <c r="A9" s="299">
        <v>2</v>
      </c>
      <c r="B9" s="285" t="s">
        <v>85</v>
      </c>
      <c r="C9" s="252">
        <v>0</v>
      </c>
      <c r="D9" s="253">
        <v>0</v>
      </c>
      <c r="E9" s="254">
        <f t="shared" si="0"/>
        <v>0</v>
      </c>
      <c r="F9" s="287">
        <v>1000000</v>
      </c>
      <c r="G9" s="255">
        <v>0</v>
      </c>
      <c r="H9" s="298">
        <f t="shared" ref="H9:H14" si="1">F9+G9</f>
        <v>1000000</v>
      </c>
      <c r="I9" s="254">
        <f t="shared" ref="I9:I14" si="2">E9+H9</f>
        <v>1000000</v>
      </c>
      <c r="J9" s="300" t="s">
        <v>100</v>
      </c>
    </row>
    <row r="10" spans="1:10" x14ac:dyDescent="0.3">
      <c r="A10" s="299">
        <v>3</v>
      </c>
      <c r="B10" s="285" t="s">
        <v>77</v>
      </c>
      <c r="C10" s="252">
        <v>0</v>
      </c>
      <c r="D10" s="253">
        <v>0</v>
      </c>
      <c r="E10" s="254">
        <f t="shared" si="0"/>
        <v>0</v>
      </c>
      <c r="F10" s="287">
        <v>1300000</v>
      </c>
      <c r="G10" s="255">
        <v>0</v>
      </c>
      <c r="H10" s="298">
        <f t="shared" si="1"/>
        <v>1300000</v>
      </c>
      <c r="I10" s="254">
        <f t="shared" si="2"/>
        <v>1300000</v>
      </c>
      <c r="J10" s="300" t="s">
        <v>100</v>
      </c>
    </row>
    <row r="11" spans="1:10" x14ac:dyDescent="0.3">
      <c r="A11" s="299">
        <v>4</v>
      </c>
      <c r="B11" s="285" t="s">
        <v>95</v>
      </c>
      <c r="C11" s="252">
        <v>0</v>
      </c>
      <c r="D11" s="253">
        <v>0</v>
      </c>
      <c r="E11" s="254">
        <f t="shared" si="0"/>
        <v>0</v>
      </c>
      <c r="F11" s="287">
        <v>850000</v>
      </c>
      <c r="G11" s="255">
        <v>0</v>
      </c>
      <c r="H11" s="298">
        <f t="shared" si="1"/>
        <v>850000</v>
      </c>
      <c r="I11" s="254">
        <f t="shared" si="2"/>
        <v>850000</v>
      </c>
      <c r="J11" s="300" t="s">
        <v>108</v>
      </c>
    </row>
    <row r="12" spans="1:10" x14ac:dyDescent="0.3">
      <c r="A12" s="299">
        <v>5</v>
      </c>
      <c r="B12" s="285" t="s">
        <v>88</v>
      </c>
      <c r="C12" s="252">
        <v>0</v>
      </c>
      <c r="D12" s="253">
        <v>0</v>
      </c>
      <c r="E12" s="254">
        <f t="shared" si="0"/>
        <v>0</v>
      </c>
      <c r="F12" s="287">
        <v>1000000</v>
      </c>
      <c r="G12" s="255">
        <v>0</v>
      </c>
      <c r="H12" s="298">
        <f t="shared" si="1"/>
        <v>1000000</v>
      </c>
      <c r="I12" s="254">
        <f t="shared" si="2"/>
        <v>1000000</v>
      </c>
      <c r="J12" s="300" t="s">
        <v>100</v>
      </c>
    </row>
    <row r="13" spans="1:10" x14ac:dyDescent="0.35">
      <c r="A13" s="299">
        <v>6</v>
      </c>
      <c r="B13" s="285" t="s">
        <v>89</v>
      </c>
      <c r="C13" s="311">
        <v>0</v>
      </c>
      <c r="D13" s="311">
        <v>0</v>
      </c>
      <c r="E13" s="254">
        <f t="shared" si="0"/>
        <v>0</v>
      </c>
      <c r="F13" s="287">
        <v>1000000</v>
      </c>
      <c r="G13" s="255">
        <v>0</v>
      </c>
      <c r="H13" s="314">
        <f t="shared" si="1"/>
        <v>1000000</v>
      </c>
      <c r="I13" s="254">
        <f t="shared" si="2"/>
        <v>1000000</v>
      </c>
      <c r="J13" s="300" t="s">
        <v>100</v>
      </c>
    </row>
    <row r="14" spans="1:10" ht="16" thickBot="1" x14ac:dyDescent="0.4">
      <c r="A14" s="307">
        <v>7</v>
      </c>
      <c r="B14" s="315" t="s">
        <v>62</v>
      </c>
      <c r="C14" s="294">
        <v>0</v>
      </c>
      <c r="D14" s="294">
        <v>0</v>
      </c>
      <c r="E14" s="293">
        <f t="shared" si="0"/>
        <v>0</v>
      </c>
      <c r="F14" s="309">
        <v>1500000</v>
      </c>
      <c r="G14" s="308">
        <v>0</v>
      </c>
      <c r="H14" s="310">
        <f t="shared" si="1"/>
        <v>1500000</v>
      </c>
      <c r="I14" s="295">
        <f t="shared" si="2"/>
        <v>1500000</v>
      </c>
      <c r="J14" s="300" t="s">
        <v>105</v>
      </c>
    </row>
    <row r="15" spans="1:10" ht="22.5" customHeight="1" thickBot="1" x14ac:dyDescent="0.4">
      <c r="A15" s="312"/>
      <c r="B15" s="296" t="s">
        <v>10</v>
      </c>
      <c r="C15" s="293">
        <f t="shared" ref="C15:H15" si="3">SUM(C8:C14)</f>
        <v>2222222</v>
      </c>
      <c r="D15" s="293">
        <f t="shared" si="3"/>
        <v>500000</v>
      </c>
      <c r="E15" s="293">
        <f t="shared" si="3"/>
        <v>2722222</v>
      </c>
      <c r="F15" s="293">
        <f t="shared" si="3"/>
        <v>6650000</v>
      </c>
      <c r="G15" s="293">
        <f t="shared" si="3"/>
        <v>0</v>
      </c>
      <c r="H15" s="293">
        <f t="shared" si="3"/>
        <v>6650000</v>
      </c>
      <c r="I15" s="313">
        <f>SUM(I8:I14)</f>
        <v>9372222</v>
      </c>
    </row>
    <row r="16" spans="1:10" x14ac:dyDescent="0.35">
      <c r="A16" s="271" t="s">
        <v>106</v>
      </c>
      <c r="B16" s="271"/>
      <c r="C16" s="272"/>
      <c r="D16" s="272"/>
      <c r="E16" s="272"/>
      <c r="F16" s="272"/>
      <c r="G16" s="272"/>
      <c r="H16" s="272"/>
      <c r="I16" s="272"/>
    </row>
    <row r="17" spans="1:9" x14ac:dyDescent="0.35">
      <c r="A17" s="271"/>
      <c r="B17" s="271"/>
      <c r="C17" s="271"/>
      <c r="D17" s="271"/>
      <c r="E17" s="271"/>
      <c r="F17" s="271"/>
      <c r="G17" s="271"/>
      <c r="H17" s="271"/>
      <c r="I17" s="271"/>
    </row>
    <row r="18" spans="1:9" x14ac:dyDescent="0.35">
      <c r="A18" s="259"/>
      <c r="B18" s="260"/>
      <c r="C18" s="259"/>
      <c r="D18" s="259"/>
      <c r="E18" s="259"/>
      <c r="F18" s="273"/>
      <c r="G18" s="273"/>
      <c r="H18" s="259"/>
      <c r="I18" s="259"/>
    </row>
    <row r="19" spans="1:9" x14ac:dyDescent="0.35">
      <c r="A19" s="259"/>
      <c r="B19" s="260"/>
      <c r="C19" s="259"/>
      <c r="D19" s="259"/>
      <c r="E19" s="259"/>
      <c r="F19" s="259"/>
      <c r="G19" s="259"/>
      <c r="H19" s="329" t="s">
        <v>110</v>
      </c>
      <c r="I19" s="329"/>
    </row>
    <row r="20" spans="1:9" x14ac:dyDescent="0.35">
      <c r="A20" s="259"/>
      <c r="B20" s="274" t="s">
        <v>11</v>
      </c>
      <c r="C20" s="259"/>
      <c r="D20" s="259"/>
      <c r="E20" s="259"/>
      <c r="F20" s="259"/>
      <c r="G20" s="259"/>
      <c r="H20" s="275" t="s">
        <v>39</v>
      </c>
      <c r="I20" s="275"/>
    </row>
    <row r="21" spans="1:9" x14ac:dyDescent="0.35">
      <c r="A21" s="259"/>
      <c r="B21" s="274"/>
      <c r="C21" s="259"/>
      <c r="D21" s="259"/>
      <c r="E21" s="259"/>
      <c r="F21" s="276"/>
      <c r="G21" s="276"/>
      <c r="H21" s="277"/>
      <c r="I21" s="274"/>
    </row>
    <row r="22" spans="1:9" x14ac:dyDescent="0.35">
      <c r="A22" s="259"/>
      <c r="B22" s="274"/>
      <c r="C22" s="259"/>
      <c r="D22" s="259"/>
      <c r="E22" s="259"/>
      <c r="F22" s="273"/>
      <c r="G22" s="273"/>
      <c r="H22" s="259"/>
      <c r="I22" s="259"/>
    </row>
    <row r="23" spans="1:9" x14ac:dyDescent="0.35">
      <c r="A23" s="259"/>
      <c r="B23" s="274"/>
      <c r="C23" s="259"/>
      <c r="D23" s="259"/>
      <c r="E23" s="259"/>
      <c r="F23" s="259"/>
      <c r="G23" s="259"/>
      <c r="H23" s="277"/>
      <c r="I23" s="274"/>
    </row>
    <row r="24" spans="1:9" x14ac:dyDescent="0.35">
      <c r="A24" s="259"/>
      <c r="B24" s="278" t="s">
        <v>99</v>
      </c>
      <c r="C24" s="259"/>
      <c r="D24" s="259"/>
      <c r="E24" s="259"/>
      <c r="F24" s="259"/>
      <c r="G24" s="259"/>
      <c r="H24" s="279" t="s">
        <v>98</v>
      </c>
      <c r="I24" s="279"/>
    </row>
  </sheetData>
  <sortState xmlns:xlrd2="http://schemas.microsoft.com/office/spreadsheetml/2017/richdata2" ref="B8:H25">
    <sortCondition ref="B8"/>
  </sortState>
  <mergeCells count="4">
    <mergeCell ref="A5:A6"/>
    <mergeCell ref="B5:B6"/>
    <mergeCell ref="I5:I6"/>
    <mergeCell ref="H19:I19"/>
  </mergeCells>
  <printOptions horizontalCentered="1"/>
  <pageMargins left="0.39370078740157499" right="0.39370078740157499" top="0.74803149606299202" bottom="0.74803149606299202" header="0.31496062992126" footer="0.31496062992126"/>
  <pageSetup paperSize="9" scale="73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31"/>
  <sheetViews>
    <sheetView view="pageBreakPreview" zoomScaleSheetLayoutView="100" workbookViewId="0">
      <selection activeCell="E15" sqref="E15"/>
    </sheetView>
  </sheetViews>
  <sheetFormatPr defaultColWidth="9.1796875" defaultRowHeight="14.5" x14ac:dyDescent="0.35"/>
  <cols>
    <col min="1" max="1" width="5.1796875" style="4" customWidth="1"/>
    <col min="2" max="2" width="27.81640625" style="2" customWidth="1"/>
    <col min="3" max="3" width="15.26953125" style="36" customWidth="1"/>
    <col min="4" max="4" width="15" style="36" customWidth="1"/>
    <col min="5" max="5" width="15" style="3" customWidth="1"/>
    <col min="6" max="6" width="15.26953125" style="4" customWidth="1"/>
    <col min="7" max="16384" width="9.1796875" style="2"/>
  </cols>
  <sheetData>
    <row r="1" spans="1:8" x14ac:dyDescent="0.35">
      <c r="A1" s="1" t="s">
        <v>40</v>
      </c>
    </row>
    <row r="2" spans="1:8" x14ac:dyDescent="0.35">
      <c r="A2" s="1" t="s">
        <v>41</v>
      </c>
    </row>
    <row r="3" spans="1:8" x14ac:dyDescent="0.35">
      <c r="A3" s="1" t="s">
        <v>61</v>
      </c>
    </row>
    <row r="5" spans="1:8" s="7" customFormat="1" ht="15" thickBot="1" x14ac:dyDescent="0.4">
      <c r="A5" s="5" t="s">
        <v>18</v>
      </c>
      <c r="B5" s="5" t="s">
        <v>42</v>
      </c>
      <c r="C5" s="37" t="s">
        <v>43</v>
      </c>
      <c r="D5" s="37" t="s">
        <v>44</v>
      </c>
      <c r="E5" s="6" t="s">
        <v>45</v>
      </c>
      <c r="F5" s="5" t="s">
        <v>46</v>
      </c>
    </row>
    <row r="6" spans="1:8" ht="15" thickTop="1" x14ac:dyDescent="0.35">
      <c r="A6" s="32">
        <v>1</v>
      </c>
      <c r="B6" s="33" t="s">
        <v>25</v>
      </c>
      <c r="C6" s="103">
        <v>0</v>
      </c>
      <c r="D6" s="103">
        <v>0</v>
      </c>
      <c r="E6" s="34">
        <f>C6+D6</f>
        <v>0</v>
      </c>
      <c r="F6" s="8" t="s">
        <v>47</v>
      </c>
    </row>
    <row r="7" spans="1:8" x14ac:dyDescent="0.35">
      <c r="A7" s="43">
        <v>2</v>
      </c>
      <c r="B7" s="44" t="s">
        <v>34</v>
      </c>
      <c r="C7" s="103">
        <v>0</v>
      </c>
      <c r="D7" s="105">
        <v>0</v>
      </c>
      <c r="E7" s="45">
        <f>C7+D7</f>
        <v>0</v>
      </c>
      <c r="F7" s="46" t="s">
        <v>48</v>
      </c>
    </row>
    <row r="8" spans="1:8" ht="15" thickBot="1" x14ac:dyDescent="0.4">
      <c r="A8" s="21">
        <v>3</v>
      </c>
      <c r="B8" s="25" t="s">
        <v>27</v>
      </c>
      <c r="C8" s="106">
        <v>0</v>
      </c>
      <c r="D8" s="106">
        <v>0</v>
      </c>
      <c r="E8" s="22">
        <f>C8+D8</f>
        <v>0</v>
      </c>
      <c r="F8" s="20" t="s">
        <v>49</v>
      </c>
      <c r="H8" s="2" t="s">
        <v>50</v>
      </c>
    </row>
    <row r="9" spans="1:8" s="9" customFormat="1" ht="15" thickTop="1" x14ac:dyDescent="0.35">
      <c r="A9" s="58" t="s">
        <v>24</v>
      </c>
      <c r="B9" s="58"/>
      <c r="C9" s="38">
        <f>SUM(C6:C8)</f>
        <v>0</v>
      </c>
      <c r="D9" s="38">
        <f>SUM(D6:D8)</f>
        <v>0</v>
      </c>
      <c r="E9" s="38">
        <f>SUM(E6:E8)</f>
        <v>0</v>
      </c>
      <c r="F9" s="31"/>
    </row>
    <row r="11" spans="1:8" x14ac:dyDescent="0.35">
      <c r="A11" s="26" t="s">
        <v>51</v>
      </c>
      <c r="B11" s="27"/>
      <c r="C11" s="39"/>
      <c r="D11" s="39"/>
      <c r="E11" s="28"/>
      <c r="F11" s="29"/>
    </row>
    <row r="12" spans="1:8" x14ac:dyDescent="0.35">
      <c r="A12" s="26" t="e">
        <v>#NAME?</v>
      </c>
      <c r="B12" s="26"/>
      <c r="C12" s="104"/>
      <c r="D12" s="104"/>
      <c r="E12" s="26"/>
      <c r="F12" s="26"/>
    </row>
    <row r="13" spans="1:8" x14ac:dyDescent="0.35">
      <c r="B13" s="4"/>
      <c r="C13" s="40"/>
      <c r="D13" s="40"/>
      <c r="E13" s="4"/>
    </row>
    <row r="14" spans="1:8" x14ac:dyDescent="0.35">
      <c r="E14" s="56" t="s">
        <v>66</v>
      </c>
      <c r="F14" s="56"/>
    </row>
    <row r="15" spans="1:8" x14ac:dyDescent="0.35">
      <c r="B15" s="4" t="s">
        <v>11</v>
      </c>
      <c r="E15" s="56" t="s">
        <v>12</v>
      </c>
      <c r="F15" s="56"/>
    </row>
    <row r="16" spans="1:8" x14ac:dyDescent="0.35">
      <c r="B16" s="4"/>
    </row>
    <row r="17" spans="1:6" x14ac:dyDescent="0.35">
      <c r="B17" s="4"/>
    </row>
    <row r="18" spans="1:6" x14ac:dyDescent="0.35">
      <c r="B18" s="4"/>
    </row>
    <row r="19" spans="1:6" x14ac:dyDescent="0.35">
      <c r="B19" s="7" t="s">
        <v>30</v>
      </c>
      <c r="E19" s="57" t="s">
        <v>58</v>
      </c>
      <c r="F19" s="57"/>
    </row>
    <row r="29" spans="1:6" x14ac:dyDescent="0.35">
      <c r="B29" s="3"/>
    </row>
    <row r="30" spans="1:6" x14ac:dyDescent="0.35">
      <c r="B30" s="3"/>
    </row>
    <row r="31" spans="1:6" s="3" customFormat="1" x14ac:dyDescent="0.35">
      <c r="A31" s="4"/>
      <c r="C31" s="36"/>
      <c r="D31" s="36"/>
      <c r="F31" s="4"/>
    </row>
  </sheetData>
  <printOptions horizontalCentered="1"/>
  <pageMargins left="0.39370078740157483" right="0.39370078740157483" top="0.74803149606299213" bottom="0.74803149606299213" header="0.31496062992125984" footer="0.31496062992125984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29"/>
  <sheetViews>
    <sheetView view="pageBreakPreview" zoomScale="115" zoomScaleNormal="100" zoomScaleSheetLayoutView="115" workbookViewId="0">
      <selection activeCell="C12" sqref="C12"/>
    </sheetView>
  </sheetViews>
  <sheetFormatPr defaultColWidth="9.1796875" defaultRowHeight="14.5" x14ac:dyDescent="0.35"/>
  <cols>
    <col min="1" max="1" width="5.1796875" style="107" customWidth="1"/>
    <col min="2" max="2" width="28.54296875" style="108" customWidth="1"/>
    <col min="3" max="3" width="16.1796875" style="188" customWidth="1"/>
    <col min="4" max="4" width="15" style="188" customWidth="1"/>
    <col min="5" max="5" width="15" style="109" customWidth="1"/>
    <col min="6" max="6" width="14" style="107" customWidth="1"/>
    <col min="7" max="16384" width="9.1796875" style="192"/>
  </cols>
  <sheetData>
    <row r="1" spans="1:6" x14ac:dyDescent="0.35">
      <c r="A1" s="163" t="s">
        <v>52</v>
      </c>
      <c r="B1" s="164"/>
      <c r="C1" s="123"/>
      <c r="D1" s="123"/>
      <c r="E1" s="123"/>
      <c r="F1" s="122"/>
    </row>
    <row r="2" spans="1:6" x14ac:dyDescent="0.35">
      <c r="A2" s="163" t="s">
        <v>53</v>
      </c>
      <c r="B2" s="164"/>
      <c r="C2" s="123"/>
      <c r="D2" s="123"/>
      <c r="E2" s="123"/>
      <c r="F2" s="122"/>
    </row>
    <row r="3" spans="1:6" x14ac:dyDescent="0.35">
      <c r="A3" s="163" t="s">
        <v>87</v>
      </c>
      <c r="B3" s="164"/>
      <c r="C3" s="123"/>
      <c r="D3" s="123"/>
      <c r="E3" s="123"/>
      <c r="F3" s="122"/>
    </row>
    <row r="4" spans="1:6" ht="15" thickBot="1" x14ac:dyDescent="0.4">
      <c r="A4" s="122"/>
      <c r="B4" s="164"/>
      <c r="C4" s="123"/>
      <c r="D4" s="123"/>
      <c r="E4" s="123"/>
      <c r="F4" s="122"/>
    </row>
    <row r="5" spans="1:6" s="193" customFormat="1" ht="15" thickBot="1" x14ac:dyDescent="0.4">
      <c r="A5" s="176" t="s">
        <v>18</v>
      </c>
      <c r="B5" s="165" t="s">
        <v>42</v>
      </c>
      <c r="C5" s="167" t="s">
        <v>43</v>
      </c>
      <c r="D5" s="166" t="s">
        <v>44</v>
      </c>
      <c r="E5" s="167" t="s">
        <v>45</v>
      </c>
      <c r="F5" s="165" t="s">
        <v>46</v>
      </c>
    </row>
    <row r="6" spans="1:6" ht="15" thickBot="1" x14ac:dyDescent="0.4">
      <c r="A6" s="204">
        <v>1</v>
      </c>
      <c r="B6" s="205" t="s">
        <v>54</v>
      </c>
      <c r="C6" s="232">
        <v>0</v>
      </c>
      <c r="D6" s="232">
        <v>0</v>
      </c>
      <c r="E6" s="206">
        <f>C6+D6</f>
        <v>0</v>
      </c>
      <c r="F6" s="207" t="s">
        <v>55</v>
      </c>
    </row>
    <row r="7" spans="1:6" s="194" customFormat="1" ht="15" thickBot="1" x14ac:dyDescent="0.4">
      <c r="A7" s="184" t="s">
        <v>24</v>
      </c>
      <c r="B7" s="185"/>
      <c r="C7" s="186">
        <f>SUM(C6:C6)</f>
        <v>0</v>
      </c>
      <c r="D7" s="186">
        <f>SUM(D6:D6)</f>
        <v>0</v>
      </c>
      <c r="E7" s="186">
        <f>SUM(E6:E6)</f>
        <v>0</v>
      </c>
      <c r="F7" s="186">
        <f>SUM(F6:F6)</f>
        <v>0</v>
      </c>
    </row>
    <row r="8" spans="1:6" x14ac:dyDescent="0.35">
      <c r="A8" s="229" t="s">
        <v>51</v>
      </c>
      <c r="B8" s="171"/>
      <c r="C8" s="172"/>
      <c r="D8" s="172"/>
      <c r="E8" s="172"/>
      <c r="F8" s="173"/>
    </row>
    <row r="9" spans="1:6" x14ac:dyDescent="0.35">
      <c r="A9" s="330" t="e">
        <v>#NAME?</v>
      </c>
      <c r="B9" s="330"/>
      <c r="C9" s="330"/>
      <c r="D9" s="330"/>
      <c r="E9" s="330"/>
      <c r="F9" s="330"/>
    </row>
    <row r="10" spans="1:6" x14ac:dyDescent="0.35">
      <c r="A10" s="174"/>
      <c r="B10" s="164"/>
      <c r="C10" s="123"/>
      <c r="D10" s="123"/>
      <c r="E10" s="123"/>
      <c r="F10" s="122"/>
    </row>
    <row r="11" spans="1:6" x14ac:dyDescent="0.35">
      <c r="A11" s="174"/>
      <c r="B11" s="175"/>
      <c r="C11" s="123"/>
      <c r="D11" s="123"/>
      <c r="E11" s="123"/>
      <c r="F11" s="122"/>
    </row>
    <row r="12" spans="1:6" x14ac:dyDescent="0.35">
      <c r="A12" s="122"/>
      <c r="B12" s="164"/>
      <c r="C12" s="123"/>
      <c r="D12" s="123"/>
      <c r="E12" s="121" t="s">
        <v>86</v>
      </c>
      <c r="F12" s="121"/>
    </row>
    <row r="13" spans="1:6" x14ac:dyDescent="0.35">
      <c r="A13" s="122"/>
      <c r="B13" s="122" t="s">
        <v>11</v>
      </c>
      <c r="C13" s="123"/>
      <c r="D13" s="123"/>
      <c r="E13" s="121" t="s">
        <v>12</v>
      </c>
      <c r="F13" s="121"/>
    </row>
    <row r="14" spans="1:6" x14ac:dyDescent="0.35">
      <c r="A14" s="122"/>
      <c r="B14" s="122"/>
      <c r="C14" s="123"/>
      <c r="D14" s="123"/>
      <c r="E14" s="123"/>
      <c r="F14" s="122"/>
    </row>
    <row r="15" spans="1:6" x14ac:dyDescent="0.35">
      <c r="A15" s="122"/>
      <c r="B15" s="122"/>
      <c r="C15" s="123"/>
      <c r="D15" s="123"/>
      <c r="E15" s="123"/>
      <c r="F15" s="122"/>
    </row>
    <row r="16" spans="1:6" x14ac:dyDescent="0.35">
      <c r="A16" s="122"/>
      <c r="B16" s="122"/>
      <c r="C16" s="123"/>
      <c r="D16" s="123"/>
      <c r="E16" s="123"/>
      <c r="F16" s="122"/>
    </row>
    <row r="17" spans="1:6" x14ac:dyDescent="0.35">
      <c r="A17" s="122"/>
      <c r="B17" s="124" t="s">
        <v>83</v>
      </c>
      <c r="C17" s="123"/>
      <c r="D17" s="123"/>
      <c r="E17" s="125" t="s">
        <v>58</v>
      </c>
      <c r="F17" s="125"/>
    </row>
    <row r="27" spans="1:6" x14ac:dyDescent="0.35">
      <c r="B27" s="109"/>
    </row>
    <row r="28" spans="1:6" x14ac:dyDescent="0.35">
      <c r="B28" s="109"/>
    </row>
    <row r="29" spans="1:6" x14ac:dyDescent="0.35">
      <c r="B29" s="109"/>
    </row>
  </sheetData>
  <mergeCells count="1">
    <mergeCell ref="A9:F9"/>
  </mergeCells>
  <printOptions horizontalCentered="1"/>
  <pageMargins left="0.39370078740157483" right="0.39370078740157483" top="0.74803149606299213" bottom="0.74803149606299213" header="0.31496062992125984" footer="0.31496062992125984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31"/>
  <sheetViews>
    <sheetView view="pageBreakPreview" zoomScaleNormal="100" zoomScaleSheetLayoutView="100" workbookViewId="0">
      <selection activeCell="E8" sqref="E8"/>
    </sheetView>
  </sheetViews>
  <sheetFormatPr defaultColWidth="9.1796875" defaultRowHeight="14.5" x14ac:dyDescent="0.35"/>
  <cols>
    <col min="1" max="1" width="5.1796875" style="107" customWidth="1"/>
    <col min="2" max="2" width="29" style="108" customWidth="1"/>
    <col min="3" max="3" width="15.26953125" style="188" customWidth="1"/>
    <col min="4" max="4" width="15" style="188" customWidth="1"/>
    <col min="5" max="5" width="15" style="109" customWidth="1"/>
    <col min="6" max="6" width="14" style="107" customWidth="1"/>
    <col min="7" max="16384" width="9.1796875" style="192"/>
  </cols>
  <sheetData>
    <row r="1" spans="1:6" x14ac:dyDescent="0.35">
      <c r="A1" s="163" t="s">
        <v>52</v>
      </c>
      <c r="B1" s="164"/>
      <c r="C1" s="123"/>
      <c r="D1" s="123"/>
      <c r="E1" s="123"/>
      <c r="F1" s="122"/>
    </row>
    <row r="2" spans="1:6" x14ac:dyDescent="0.35">
      <c r="A2" s="163" t="s">
        <v>53</v>
      </c>
      <c r="B2" s="164"/>
      <c r="C2" s="123"/>
      <c r="D2" s="123"/>
      <c r="E2" s="123"/>
      <c r="F2" s="122"/>
    </row>
    <row r="3" spans="1:6" x14ac:dyDescent="0.35">
      <c r="A3" s="163" t="s">
        <v>87</v>
      </c>
      <c r="B3" s="164"/>
      <c r="C3" s="123"/>
      <c r="D3" s="123"/>
      <c r="E3" s="123"/>
      <c r="F3" s="122"/>
    </row>
    <row r="4" spans="1:6" ht="15" thickBot="1" x14ac:dyDescent="0.4">
      <c r="A4" s="122"/>
      <c r="B4" s="164"/>
      <c r="C4" s="123"/>
      <c r="D4" s="123"/>
      <c r="E4" s="123"/>
      <c r="F4" s="122"/>
    </row>
    <row r="5" spans="1:6" s="193" customFormat="1" ht="15" thickBot="1" x14ac:dyDescent="0.4">
      <c r="A5" s="176" t="s">
        <v>18</v>
      </c>
      <c r="B5" s="165" t="s">
        <v>42</v>
      </c>
      <c r="C5" s="167" t="s">
        <v>43</v>
      </c>
      <c r="D5" s="166" t="s">
        <v>44</v>
      </c>
      <c r="E5" s="167" t="s">
        <v>45</v>
      </c>
      <c r="F5" s="165" t="s">
        <v>46</v>
      </c>
    </row>
    <row r="6" spans="1:6" s="193" customFormat="1" ht="12" customHeight="1" thickBot="1" x14ac:dyDescent="0.4">
      <c r="A6" s="177">
        <v>1</v>
      </c>
      <c r="B6" s="178">
        <v>2</v>
      </c>
      <c r="C6" s="217">
        <v>3</v>
      </c>
      <c r="D6" s="218">
        <v>4</v>
      </c>
      <c r="E6" s="179" t="s">
        <v>69</v>
      </c>
      <c r="F6" s="178">
        <v>6</v>
      </c>
    </row>
    <row r="7" spans="1:6" x14ac:dyDescent="0.35">
      <c r="A7" s="180">
        <v>1</v>
      </c>
      <c r="B7" s="181" t="s">
        <v>54</v>
      </c>
      <c r="C7" s="219">
        <v>0</v>
      </c>
      <c r="D7" s="219">
        <v>0</v>
      </c>
      <c r="E7" s="182">
        <f>C7+D7</f>
        <v>0</v>
      </c>
      <c r="F7" s="183" t="s">
        <v>56</v>
      </c>
    </row>
    <row r="8" spans="1:6" ht="15" thickBot="1" x14ac:dyDescent="0.4">
      <c r="A8" s="213">
        <v>2</v>
      </c>
      <c r="B8" s="214" t="s">
        <v>38</v>
      </c>
      <c r="C8" s="233">
        <v>0</v>
      </c>
      <c r="D8" s="233">
        <v>0</v>
      </c>
      <c r="E8" s="215">
        <f>C8+D8</f>
        <v>0</v>
      </c>
      <c r="F8" s="216" t="s">
        <v>56</v>
      </c>
    </row>
    <row r="9" spans="1:6" s="194" customFormat="1" ht="15" thickBot="1" x14ac:dyDescent="0.4">
      <c r="A9" s="168" t="s">
        <v>24</v>
      </c>
      <c r="B9" s="169"/>
      <c r="C9" s="189">
        <f>SUM(C7:C8)</f>
        <v>0</v>
      </c>
      <c r="D9" s="189">
        <f>SUM(D7:D8)</f>
        <v>0</v>
      </c>
      <c r="E9" s="189">
        <f>SUM(E7:E8)</f>
        <v>0</v>
      </c>
      <c r="F9" s="170"/>
    </row>
    <row r="10" spans="1:6" x14ac:dyDescent="0.35">
      <c r="A10" s="229" t="s">
        <v>51</v>
      </c>
      <c r="B10" s="171"/>
      <c r="C10" s="172"/>
      <c r="D10" s="172"/>
      <c r="E10" s="172"/>
      <c r="F10" s="173"/>
    </row>
    <row r="11" spans="1:6" x14ac:dyDescent="0.35">
      <c r="A11" s="229" t="e">
        <v>#NAME?</v>
      </c>
      <c r="B11" s="229"/>
      <c r="C11" s="229"/>
      <c r="D11" s="229"/>
      <c r="E11" s="229"/>
      <c r="F11" s="229"/>
    </row>
    <row r="12" spans="1:6" x14ac:dyDescent="0.35">
      <c r="A12" s="174"/>
      <c r="B12" s="164"/>
      <c r="C12" s="123"/>
      <c r="D12" s="123"/>
      <c r="E12" s="123"/>
      <c r="F12" s="122"/>
    </row>
    <row r="13" spans="1:6" x14ac:dyDescent="0.35">
      <c r="A13" s="174"/>
      <c r="B13" s="175"/>
      <c r="C13" s="123"/>
      <c r="D13" s="123"/>
      <c r="E13" s="123"/>
      <c r="F13" s="122"/>
    </row>
    <row r="14" spans="1:6" x14ac:dyDescent="0.35">
      <c r="A14" s="122"/>
      <c r="B14" s="164"/>
      <c r="C14" s="123"/>
      <c r="D14" s="123"/>
      <c r="E14" s="121" t="s">
        <v>86</v>
      </c>
      <c r="F14" s="121"/>
    </row>
    <row r="15" spans="1:6" x14ac:dyDescent="0.35">
      <c r="A15" s="122"/>
      <c r="B15" s="122" t="s">
        <v>11</v>
      </c>
      <c r="C15" s="123"/>
      <c r="D15" s="123"/>
      <c r="E15" s="121" t="s">
        <v>12</v>
      </c>
      <c r="F15" s="121"/>
    </row>
    <row r="16" spans="1:6" x14ac:dyDescent="0.35">
      <c r="A16" s="122"/>
      <c r="B16" s="122"/>
      <c r="C16" s="123"/>
      <c r="D16" s="123"/>
      <c r="E16" s="123"/>
      <c r="F16" s="122"/>
    </row>
    <row r="17" spans="1:6" x14ac:dyDescent="0.35">
      <c r="A17" s="122"/>
      <c r="B17" s="122"/>
      <c r="C17" s="123"/>
      <c r="D17" s="123"/>
      <c r="E17" s="123"/>
      <c r="F17" s="122"/>
    </row>
    <row r="18" spans="1:6" x14ac:dyDescent="0.35">
      <c r="A18" s="122"/>
      <c r="B18" s="122"/>
      <c r="C18" s="123"/>
      <c r="D18" s="123"/>
      <c r="E18" s="123"/>
      <c r="F18" s="122"/>
    </row>
    <row r="19" spans="1:6" x14ac:dyDescent="0.35">
      <c r="A19" s="122"/>
      <c r="B19" s="124" t="s">
        <v>83</v>
      </c>
      <c r="C19" s="123"/>
      <c r="D19" s="123"/>
      <c r="E19" s="125" t="s">
        <v>58</v>
      </c>
      <c r="F19" s="125"/>
    </row>
    <row r="29" spans="1:6" x14ac:dyDescent="0.35">
      <c r="B29" s="109"/>
    </row>
    <row r="30" spans="1:6" x14ac:dyDescent="0.35">
      <c r="B30" s="109"/>
    </row>
    <row r="31" spans="1:6" x14ac:dyDescent="0.35">
      <c r="B31" s="109"/>
    </row>
  </sheetData>
  <sortState xmlns:xlrd2="http://schemas.microsoft.com/office/spreadsheetml/2017/richdata2" ref="B7:F9">
    <sortCondition ref="B7"/>
  </sortState>
  <printOptions horizontalCentered="1"/>
  <pageMargins left="0.39370078740157483" right="0.39370078740157483" top="0.74803149606299213" bottom="0.74803149606299213" header="0.31496062992125984" footer="0.31496062992125984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TANDA TERIMA</vt:lpstr>
      <vt:lpstr>DAFTAR (2)</vt:lpstr>
      <vt:lpstr>REKAP</vt:lpstr>
      <vt:lpstr>DAFTAR</vt:lpstr>
      <vt:lpstr>Khusus &amp; reguler</vt:lpstr>
      <vt:lpstr>DKI (2)</vt:lpstr>
      <vt:lpstr>BRIS</vt:lpstr>
      <vt:lpstr>BRIS (2)</vt:lpstr>
      <vt:lpstr>BRIS!Print_Area</vt:lpstr>
      <vt:lpstr>'BRIS (2)'!Print_Area</vt:lpstr>
      <vt:lpstr>DAFTAR!Print_Area</vt:lpstr>
      <vt:lpstr>'DAFTAR (2)'!Print_Area</vt:lpstr>
      <vt:lpstr>'DKI (2)'!Print_Area</vt:lpstr>
      <vt:lpstr>'Khusus &amp; reguler'!Print_Area</vt:lpstr>
      <vt:lpstr>REKAP!Print_Area</vt:lpstr>
      <vt:lpstr>'TANDA TERIMA'!Print_Area</vt:lpstr>
      <vt:lpstr>DAFTAR!Print_Titles</vt:lpstr>
      <vt:lpstr>'DAFTAR (2)'!Print_Titles</vt:lpstr>
      <vt:lpstr>'Khusus &amp; reguler'!Print_Titles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Koperasi BKI</dc:creator>
  <cp:lastModifiedBy>Vivi Hazlinda</cp:lastModifiedBy>
  <cp:lastPrinted>2025-02-19T04:42:30Z</cp:lastPrinted>
  <dcterms:created xsi:type="dcterms:W3CDTF">2010-04-21T00:57:03Z</dcterms:created>
  <dcterms:modified xsi:type="dcterms:W3CDTF">2026-01-12T04:12:13Z</dcterms:modified>
</cp:coreProperties>
</file>