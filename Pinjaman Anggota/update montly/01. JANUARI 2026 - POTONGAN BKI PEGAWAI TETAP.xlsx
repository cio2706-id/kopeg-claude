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b9b474228dc75fd/Documents/KOPERASI BKI TAHUN 2026/REKAPAN POTONGAN/DATA UNTUK HC/"/>
    </mc:Choice>
  </mc:AlternateContent>
  <xr:revisionPtr revIDLastSave="396" documentId="8_{05FC9180-9279-49A9-94C7-6EE8E9CD480A}" xr6:coauthVersionLast="47" xr6:coauthVersionMax="47" xr10:uidLastSave="{281E3A0C-9230-4115-BEA7-134CF6F14A31}"/>
  <bookViews>
    <workbookView xWindow="-110" yWindow="-110" windowWidth="19420" windowHeight="10300" tabRatio="807" xr2:uid="{A77BF903-03A1-4B6B-B7E4-CDB109524912}"/>
  </bookViews>
  <sheets>
    <sheet name="ALL" sheetId="1" r:id="rId1"/>
    <sheet name="PUSAT" sheetId="15" r:id="rId2"/>
    <sheet name="IDS" sheetId="13" r:id="rId3"/>
    <sheet name="CABANG" sheetId="14" r:id="rId4"/>
    <sheet name="Rekon Cabang 2" sheetId="12" state="hidden" r:id="rId5"/>
    <sheet name="Rek. Cab Selindo" sheetId="8" state="hidden" r:id="rId6"/>
    <sheet name="Rek. Pusat 1" sheetId="10" state="hidden" r:id="rId7"/>
    <sheet name="Rek. Pusat" sheetId="11" state="hidden" r:id="rId8"/>
    <sheet name="Rek. Pusat 3" sheetId="9" state="hidden" r:id="rId9"/>
    <sheet name="Rek. IDS" sheetId="7" state="hidden" r:id="rId10"/>
    <sheet name="RINCIAN" sheetId="2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_DAT2">#REF!</definedName>
    <definedName name="__IntlFixup" hidden="1">TRUE</definedName>
    <definedName name="_DAT2">#REF!</definedName>
    <definedName name="_Fill" hidden="1">#REF!</definedName>
    <definedName name="_xlnm._FilterDatabase" localSheetId="0" hidden="1">ALL!$A$1:$H$774</definedName>
    <definedName name="_xlnm._FilterDatabase" localSheetId="3" hidden="1">CABANG!$A$4:$F$158</definedName>
    <definedName name="_xlnm._FilterDatabase" localSheetId="1" hidden="1">PUSAT!$A$4:$F$144</definedName>
    <definedName name="_xlnm._FilterDatabase" localSheetId="4" hidden="1">'Rekon Cabang 2'!$I$2:$K$155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a">#REF!</definedName>
    <definedName name="aa">#REF!</definedName>
    <definedName name="AAA">#REF!</definedName>
    <definedName name="aaaa">#REF!</definedName>
    <definedName name="ABANG">#REF!</definedName>
    <definedName name="ada">#REF!</definedName>
    <definedName name="AllCheck" localSheetId="10">#REF!</definedName>
    <definedName name="AllCheck">#REF!</definedName>
    <definedName name="ANGKA1">#REF!</definedName>
    <definedName name="anscount" hidden="1">1</definedName>
    <definedName name="apa">#REF!</definedName>
    <definedName name="besi">#REF!</definedName>
    <definedName name="d">#REF!</definedName>
    <definedName name="da">#REF!</definedName>
    <definedName name="DAT">#REF!</definedName>
    <definedName name="data1">#REF!</definedName>
    <definedName name="database1">#REF!</definedName>
    <definedName name="DATANAS">#REF!</definedName>
    <definedName name="DD">#REF!</definedName>
    <definedName name="del">#REF!</definedName>
    <definedName name="f">#REF!</definedName>
    <definedName name="ik">#REF!</definedName>
    <definedName name="iku">#REF!</definedName>
    <definedName name="JUAL">#REF!</definedName>
    <definedName name="jual1012">#REF!</definedName>
    <definedName name="kdthp">#REF!</definedName>
    <definedName name="kdtot">#REF!</definedName>
    <definedName name="Keb_SDM">#REF!</definedName>
    <definedName name="KELPEG" localSheetId="10">#REF!</definedName>
    <definedName name="KELPEG">#REF!</definedName>
    <definedName name="kode">#REF!</definedName>
    <definedName name="kurs">#REF!</definedName>
    <definedName name="limcount" hidden="1">1</definedName>
    <definedName name="NASNAS">#REF!</definedName>
    <definedName name="ok" hidden="1">#REF!</definedName>
    <definedName name="PArea" localSheetId="10">#REF!</definedName>
    <definedName name="PArea">#REF!</definedName>
    <definedName name="POTONGAN">#REF!</definedName>
    <definedName name="Potongan1">#REF!</definedName>
    <definedName name="POTREV" localSheetId="10">#REF!</definedName>
    <definedName name="POTREV">#REF!</definedName>
    <definedName name="PP_PT">#REF!</definedName>
    <definedName name="_xlnm.Print_Area">#REF!</definedName>
    <definedName name="Print_Area1">#REF!</definedName>
    <definedName name="ptkp">#REF!</definedName>
    <definedName name="ptkp1" localSheetId="10">#REF!</definedName>
    <definedName name="ptkp1">#REF!</definedName>
    <definedName name="S">#REF!</definedName>
    <definedName name="SAPI">#REF!</definedName>
    <definedName name="SB">#REF!</definedName>
    <definedName name="sencount" hidden="1">1</definedName>
    <definedName name="SS">#REF!</definedName>
    <definedName name="TABEL1">#REF!</definedName>
    <definedName name="tahap">#REF!</definedName>
    <definedName name="thp">#REF!</definedName>
    <definedName name="UMUM">#REF!</definedName>
    <definedName name="UUU" hidden="1">#REF!</definedName>
    <definedName name="XX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9" i="15" l="1"/>
  <c r="F147" i="15"/>
  <c r="G42" i="13"/>
  <c r="E146" i="15"/>
  <c r="K11" i="14"/>
  <c r="K7" i="14" l="1"/>
  <c r="K8" i="14"/>
  <c r="K9" i="14"/>
  <c r="K10" i="14"/>
  <c r="K6" i="14"/>
  <c r="H43" i="13"/>
  <c r="G45" i="13" s="1"/>
  <c r="H398" i="1"/>
  <c r="H491" i="1"/>
  <c r="K783" i="1"/>
  <c r="L780" i="1"/>
  <c r="G578" i="1"/>
  <c r="G287" i="1"/>
  <c r="H773" i="1"/>
  <c r="H755" i="1"/>
  <c r="H723" i="1"/>
  <c r="H652" i="1"/>
  <c r="H581" i="1"/>
  <c r="H580" i="1"/>
  <c r="H576" i="1"/>
  <c r="H575" i="1"/>
  <c r="H573" i="1"/>
  <c r="H568" i="1"/>
  <c r="H553" i="1"/>
  <c r="H500" i="1"/>
  <c r="H496" i="1"/>
  <c r="H495" i="1"/>
  <c r="H493" i="1"/>
  <c r="H492" i="1"/>
  <c r="H460" i="1"/>
  <c r="H443" i="1"/>
  <c r="H419" i="1"/>
  <c r="H418" i="1"/>
  <c r="H416" i="1"/>
  <c r="H408" i="1"/>
  <c r="H403" i="1"/>
  <c r="H399" i="1"/>
  <c r="H396" i="1"/>
  <c r="H395" i="1"/>
  <c r="H393" i="1"/>
  <c r="H392" i="1"/>
  <c r="H390" i="1"/>
  <c r="H388" i="1"/>
  <c r="H378" i="1"/>
  <c r="H377" i="1"/>
  <c r="H370" i="1"/>
  <c r="H369" i="1"/>
  <c r="H353" i="1"/>
  <c r="H352" i="1"/>
  <c r="H349" i="1"/>
  <c r="H344" i="1"/>
  <c r="H340" i="1"/>
  <c r="H337" i="1"/>
  <c r="H335" i="1"/>
  <c r="H329" i="1"/>
  <c r="H328" i="1"/>
  <c r="H323" i="1"/>
  <c r="H322" i="1"/>
  <c r="H321" i="1"/>
  <c r="H320" i="1"/>
  <c r="H318" i="1"/>
  <c r="H313" i="1"/>
  <c r="H311" i="1"/>
  <c r="H310" i="1"/>
  <c r="H308" i="1"/>
  <c r="H303" i="1"/>
  <c r="H299" i="1"/>
  <c r="H294" i="1"/>
  <c r="H288" i="1"/>
  <c r="H287" i="1"/>
  <c r="H283" i="1"/>
  <c r="H115" i="1"/>
  <c r="H651" i="1" l="1"/>
  <c r="H649" i="1"/>
  <c r="H648" i="1"/>
  <c r="H647" i="1"/>
  <c r="H646" i="1"/>
  <c r="H645" i="1"/>
  <c r="H644" i="1"/>
  <c r="H643" i="1"/>
  <c r="G651" i="1"/>
  <c r="G649" i="1"/>
  <c r="G648" i="1"/>
  <c r="G647" i="1"/>
  <c r="G646" i="1"/>
  <c r="G645" i="1"/>
  <c r="G644" i="1"/>
  <c r="G643" i="1"/>
  <c r="H641" i="1" l="1"/>
  <c r="H638" i="1"/>
  <c r="H637" i="1"/>
  <c r="H634" i="1"/>
  <c r="H633" i="1"/>
  <c r="H631" i="1"/>
  <c r="H628" i="1"/>
  <c r="H626" i="1"/>
  <c r="H624" i="1"/>
  <c r="H595" i="1"/>
  <c r="G641" i="1"/>
  <c r="G638" i="1"/>
  <c r="G637" i="1"/>
  <c r="G636" i="1"/>
  <c r="G634" i="1"/>
  <c r="G633" i="1"/>
  <c r="G631" i="1"/>
  <c r="G628" i="1"/>
  <c r="G626" i="1"/>
  <c r="G624" i="1"/>
  <c r="G595" i="1"/>
  <c r="H636" i="1" l="1"/>
  <c r="H639" i="1" l="1"/>
  <c r="H635" i="1"/>
  <c r="H632" i="1"/>
  <c r="H623" i="1"/>
  <c r="H620" i="1"/>
  <c r="H619" i="1"/>
  <c r="H618" i="1"/>
  <c r="H617" i="1"/>
  <c r="H616" i="1"/>
  <c r="H615" i="1"/>
  <c r="H614" i="1"/>
  <c r="H612" i="1"/>
  <c r="H611" i="1"/>
  <c r="H610" i="1"/>
  <c r="H606" i="1"/>
  <c r="H604" i="1"/>
  <c r="H603" i="1"/>
  <c r="H602" i="1"/>
  <c r="H601" i="1"/>
  <c r="H600" i="1"/>
  <c r="H599" i="1"/>
  <c r="H598" i="1"/>
  <c r="H596" i="1"/>
  <c r="H594" i="1"/>
  <c r="H592" i="1"/>
  <c r="H591" i="1"/>
  <c r="H590" i="1"/>
  <c r="H589" i="1"/>
  <c r="H588" i="1"/>
  <c r="H587" i="1"/>
  <c r="H586" i="1"/>
  <c r="H585" i="1"/>
  <c r="H584" i="1"/>
  <c r="H583" i="1"/>
  <c r="H354" i="1"/>
  <c r="G639" i="1"/>
  <c r="G635" i="1"/>
  <c r="G632" i="1"/>
  <c r="G623" i="1"/>
  <c r="G620" i="1"/>
  <c r="G619" i="1"/>
  <c r="G618" i="1"/>
  <c r="G617" i="1"/>
  <c r="G616" i="1"/>
  <c r="G615" i="1"/>
  <c r="G614" i="1"/>
  <c r="G612" i="1"/>
  <c r="G611" i="1"/>
  <c r="G610" i="1"/>
  <c r="G606" i="1"/>
  <c r="G604" i="1"/>
  <c r="G603" i="1"/>
  <c r="G602" i="1"/>
  <c r="G601" i="1"/>
  <c r="G600" i="1"/>
  <c r="G599" i="1"/>
  <c r="G598" i="1"/>
  <c r="G596" i="1"/>
  <c r="G594" i="1"/>
  <c r="G592" i="1"/>
  <c r="G591" i="1"/>
  <c r="G590" i="1"/>
  <c r="G589" i="1"/>
  <c r="G588" i="1"/>
  <c r="G587" i="1"/>
  <c r="G586" i="1"/>
  <c r="G585" i="1"/>
  <c r="G584" i="1"/>
  <c r="G583" i="1"/>
  <c r="G354" i="1"/>
  <c r="H545" i="1" l="1"/>
  <c r="H248" i="1"/>
  <c r="H247" i="1"/>
  <c r="H243" i="1"/>
  <c r="H242" i="1"/>
  <c r="H241" i="1"/>
  <c r="H239" i="1"/>
  <c r="H238" i="1"/>
  <c r="H237" i="1"/>
  <c r="H235" i="1"/>
  <c r="H232" i="1"/>
  <c r="G545" i="1"/>
  <c r="G248" i="1"/>
  <c r="G247" i="1"/>
  <c r="G243" i="1"/>
  <c r="G242" i="1"/>
  <c r="G241" i="1"/>
  <c r="G239" i="1"/>
  <c r="G238" i="1"/>
  <c r="G237" i="1"/>
  <c r="G235" i="1"/>
  <c r="G232" i="1"/>
  <c r="H562" i="1" l="1"/>
  <c r="H561" i="1"/>
  <c r="H540" i="1"/>
  <c r="H535" i="1"/>
  <c r="H532" i="1"/>
  <c r="H528" i="1"/>
  <c r="H525" i="1"/>
  <c r="H279" i="1"/>
  <c r="H271" i="1"/>
  <c r="H270" i="1"/>
  <c r="H268" i="1"/>
  <c r="H254" i="1"/>
  <c r="H253" i="1"/>
  <c r="H233" i="1"/>
  <c r="H223" i="1"/>
  <c r="H222" i="1"/>
  <c r="H220" i="1"/>
  <c r="H219" i="1"/>
  <c r="H217" i="1"/>
  <c r="H212" i="1"/>
  <c r="H211" i="1"/>
  <c r="H203" i="1"/>
  <c r="H202" i="1"/>
  <c r="H201" i="1"/>
  <c r="H200" i="1"/>
  <c r="H194" i="1"/>
  <c r="H193" i="1"/>
  <c r="H186" i="1"/>
  <c r="H185" i="1"/>
  <c r="H183" i="1"/>
  <c r="H166" i="1"/>
  <c r="H164" i="1"/>
  <c r="H162" i="1"/>
  <c r="H159" i="1"/>
  <c r="H149" i="1"/>
  <c r="H145" i="1"/>
  <c r="H144" i="1"/>
  <c r="H143" i="1"/>
  <c r="H142" i="1"/>
  <c r="H141" i="1"/>
  <c r="H131" i="1"/>
  <c r="H129" i="1"/>
  <c r="H127" i="1"/>
  <c r="H126" i="1"/>
  <c r="H125" i="1"/>
  <c r="H122" i="1"/>
  <c r="H119" i="1"/>
  <c r="H106" i="1"/>
  <c r="H105" i="1"/>
  <c r="H102" i="1"/>
  <c r="H101" i="1"/>
  <c r="H100" i="1"/>
  <c r="H97" i="1"/>
  <c r="H93" i="1"/>
  <c r="H92" i="1"/>
  <c r="H91" i="1"/>
  <c r="H86" i="1"/>
  <c r="H83" i="1"/>
  <c r="H81" i="1"/>
  <c r="H80" i="1"/>
  <c r="H75" i="1"/>
  <c r="H74" i="1"/>
  <c r="H68" i="1"/>
  <c r="H67" i="1"/>
  <c r="H66" i="1"/>
  <c r="H65" i="1"/>
  <c r="H64" i="1"/>
  <c r="H63" i="1"/>
  <c r="H62" i="1"/>
  <c r="H61" i="1"/>
  <c r="H60" i="1"/>
  <c r="H59" i="1"/>
  <c r="H58" i="1"/>
  <c r="H57" i="1"/>
  <c r="H51" i="1"/>
  <c r="H44" i="1"/>
  <c r="H35" i="1"/>
  <c r="H34" i="1"/>
  <c r="H25" i="1"/>
  <c r="H23" i="1"/>
  <c r="H20" i="1"/>
  <c r="H18" i="1"/>
  <c r="H17" i="1"/>
  <c r="H16" i="1"/>
  <c r="H9" i="1"/>
  <c r="H5" i="1"/>
  <c r="H4" i="1"/>
  <c r="H3" i="1"/>
  <c r="G562" i="1"/>
  <c r="G561" i="1"/>
  <c r="G540" i="1"/>
  <c r="G535" i="1"/>
  <c r="G532" i="1"/>
  <c r="G528" i="1"/>
  <c r="G525" i="1"/>
  <c r="G279" i="1"/>
  <c r="G271" i="1"/>
  <c r="G270" i="1"/>
  <c r="G268" i="1"/>
  <c r="G254" i="1"/>
  <c r="G253" i="1"/>
  <c r="G233" i="1"/>
  <c r="G223" i="1"/>
  <c r="G222" i="1"/>
  <c r="G220" i="1"/>
  <c r="G219" i="1"/>
  <c r="G217" i="1"/>
  <c r="G212" i="1"/>
  <c r="G211" i="1"/>
  <c r="G203" i="1"/>
  <c r="G202" i="1"/>
  <c r="G201" i="1"/>
  <c r="G200" i="1"/>
  <c r="G194" i="1"/>
  <c r="G193" i="1"/>
  <c r="G186" i="1"/>
  <c r="G185" i="1"/>
  <c r="G183" i="1"/>
  <c r="G166" i="1"/>
  <c r="G164" i="1"/>
  <c r="G162" i="1"/>
  <c r="G159" i="1"/>
  <c r="G149" i="1"/>
  <c r="G145" i="1"/>
  <c r="G144" i="1"/>
  <c r="G143" i="1"/>
  <c r="G142" i="1"/>
  <c r="G141" i="1"/>
  <c r="G131" i="1"/>
  <c r="G129" i="1"/>
  <c r="G127" i="1"/>
  <c r="G126" i="1"/>
  <c r="G125" i="1"/>
  <c r="G122" i="1"/>
  <c r="G119" i="1"/>
  <c r="G106" i="1"/>
  <c r="G105" i="1"/>
  <c r="G102" i="1"/>
  <c r="G101" i="1"/>
  <c r="G100" i="1"/>
  <c r="G97" i="1"/>
  <c r="G93" i="1"/>
  <c r="G92" i="1"/>
  <c r="G91" i="1"/>
  <c r="G86" i="1"/>
  <c r="G83" i="1"/>
  <c r="G81" i="1"/>
  <c r="G80" i="1"/>
  <c r="G75" i="1"/>
  <c r="G74" i="1"/>
  <c r="G68" i="1"/>
  <c r="G67" i="1"/>
  <c r="G66" i="1"/>
  <c r="G65" i="1"/>
  <c r="G64" i="1"/>
  <c r="G63" i="1"/>
  <c r="G62" i="1"/>
  <c r="G61" i="1"/>
  <c r="G60" i="1"/>
  <c r="G59" i="1"/>
  <c r="G58" i="1"/>
  <c r="G57" i="1"/>
  <c r="G51" i="1"/>
  <c r="G44" i="1"/>
  <c r="G35" i="1"/>
  <c r="G34" i="1"/>
  <c r="G25" i="1"/>
  <c r="G23" i="1"/>
  <c r="G20" i="1"/>
  <c r="G18" i="1"/>
  <c r="G17" i="1"/>
  <c r="G16" i="1"/>
  <c r="G9" i="1"/>
  <c r="G5" i="1"/>
  <c r="G4" i="1"/>
  <c r="G3" i="1"/>
  <c r="S26" i="12" l="1"/>
  <c r="R26" i="12"/>
  <c r="S27" i="12"/>
  <c r="R27" i="12"/>
  <c r="R25" i="12"/>
  <c r="G154" i="12" l="1"/>
  <c r="F154" i="12"/>
  <c r="C154" i="12"/>
  <c r="B154" i="12"/>
  <c r="J4" i="12"/>
  <c r="K4" i="12"/>
  <c r="J5" i="12"/>
  <c r="K5" i="12"/>
  <c r="J6" i="12"/>
  <c r="K6" i="12"/>
  <c r="J7" i="12"/>
  <c r="K7" i="12"/>
  <c r="J8" i="12"/>
  <c r="K8" i="12"/>
  <c r="J9" i="12"/>
  <c r="K9" i="12"/>
  <c r="J10" i="12"/>
  <c r="K10" i="12"/>
  <c r="J11" i="12"/>
  <c r="K11" i="12"/>
  <c r="J12" i="12"/>
  <c r="K12" i="12"/>
  <c r="J13" i="12"/>
  <c r="K13" i="12"/>
  <c r="J14" i="12"/>
  <c r="K14" i="12"/>
  <c r="J15" i="12"/>
  <c r="K15" i="12"/>
  <c r="J16" i="12"/>
  <c r="K16" i="12"/>
  <c r="J17" i="12"/>
  <c r="K17" i="12"/>
  <c r="J18" i="12"/>
  <c r="K18" i="12"/>
  <c r="J19" i="12"/>
  <c r="K19" i="12"/>
  <c r="J20" i="12"/>
  <c r="K20" i="12"/>
  <c r="J21" i="12"/>
  <c r="K21" i="12"/>
  <c r="J22" i="12"/>
  <c r="K22" i="12"/>
  <c r="J23" i="12"/>
  <c r="K23" i="12"/>
  <c r="J24" i="12"/>
  <c r="K24" i="12"/>
  <c r="J25" i="12"/>
  <c r="K25" i="12"/>
  <c r="J26" i="12"/>
  <c r="K26" i="12"/>
  <c r="J27" i="12"/>
  <c r="K27" i="12"/>
  <c r="J28" i="12"/>
  <c r="K28" i="12"/>
  <c r="J29" i="12"/>
  <c r="K29" i="12"/>
  <c r="J30" i="12"/>
  <c r="K30" i="12"/>
  <c r="J31" i="12"/>
  <c r="K31" i="12"/>
  <c r="J32" i="12"/>
  <c r="K32" i="12"/>
  <c r="J33" i="12"/>
  <c r="K33" i="12"/>
  <c r="J34" i="12"/>
  <c r="K34" i="12"/>
  <c r="J35" i="12"/>
  <c r="K35" i="12"/>
  <c r="J36" i="12"/>
  <c r="K36" i="12"/>
  <c r="J37" i="12"/>
  <c r="K37" i="12"/>
  <c r="J38" i="12"/>
  <c r="K38" i="12"/>
  <c r="J39" i="12"/>
  <c r="K39" i="12"/>
  <c r="J40" i="12"/>
  <c r="K40" i="12"/>
  <c r="J41" i="12"/>
  <c r="K41" i="12"/>
  <c r="J42" i="12"/>
  <c r="K42" i="12"/>
  <c r="J43" i="12"/>
  <c r="K43" i="12"/>
  <c r="J44" i="12"/>
  <c r="K44" i="12"/>
  <c r="J45" i="12"/>
  <c r="K45" i="12"/>
  <c r="J46" i="12"/>
  <c r="K46" i="12"/>
  <c r="J47" i="12"/>
  <c r="K47" i="12"/>
  <c r="J48" i="12"/>
  <c r="K48" i="12"/>
  <c r="J49" i="12"/>
  <c r="K49" i="12"/>
  <c r="J50" i="12"/>
  <c r="K50" i="12"/>
  <c r="J51" i="12"/>
  <c r="K51" i="12"/>
  <c r="J52" i="12"/>
  <c r="K52" i="12"/>
  <c r="J53" i="12"/>
  <c r="K53" i="12"/>
  <c r="J54" i="12"/>
  <c r="K54" i="12"/>
  <c r="J55" i="12"/>
  <c r="K55" i="12"/>
  <c r="J56" i="12"/>
  <c r="K56" i="12"/>
  <c r="J57" i="12"/>
  <c r="K57" i="12"/>
  <c r="J58" i="12"/>
  <c r="K58" i="12"/>
  <c r="J59" i="12"/>
  <c r="K59" i="12"/>
  <c r="J60" i="12"/>
  <c r="K60" i="12"/>
  <c r="J61" i="12"/>
  <c r="K61" i="12"/>
  <c r="J62" i="12"/>
  <c r="K62" i="12"/>
  <c r="J63" i="12"/>
  <c r="K63" i="12"/>
  <c r="J64" i="12"/>
  <c r="K64" i="12"/>
  <c r="J65" i="12"/>
  <c r="K65" i="12"/>
  <c r="J66" i="12"/>
  <c r="K66" i="12"/>
  <c r="J67" i="12"/>
  <c r="K67" i="12"/>
  <c r="J68" i="12"/>
  <c r="K68" i="12"/>
  <c r="J69" i="12"/>
  <c r="K69" i="12"/>
  <c r="J70" i="12"/>
  <c r="K70" i="12"/>
  <c r="J71" i="12"/>
  <c r="K71" i="12"/>
  <c r="J72" i="12"/>
  <c r="K72" i="12"/>
  <c r="J73" i="12"/>
  <c r="K73" i="12"/>
  <c r="J74" i="12"/>
  <c r="K74" i="12"/>
  <c r="J75" i="12"/>
  <c r="K75" i="12"/>
  <c r="J76" i="12"/>
  <c r="K76" i="12"/>
  <c r="J77" i="12"/>
  <c r="K77" i="12"/>
  <c r="J78" i="12"/>
  <c r="K78" i="12"/>
  <c r="J79" i="12"/>
  <c r="K79" i="12"/>
  <c r="J80" i="12"/>
  <c r="K80" i="12"/>
  <c r="J81" i="12"/>
  <c r="K81" i="12"/>
  <c r="J82" i="12"/>
  <c r="K82" i="12"/>
  <c r="J83" i="12"/>
  <c r="K83" i="12"/>
  <c r="J84" i="12"/>
  <c r="K84" i="12"/>
  <c r="J85" i="12"/>
  <c r="K85" i="12"/>
  <c r="J86" i="12"/>
  <c r="K86" i="12"/>
  <c r="J87" i="12"/>
  <c r="K87" i="12"/>
  <c r="J88" i="12"/>
  <c r="K88" i="12"/>
  <c r="J89" i="12"/>
  <c r="K89" i="12"/>
  <c r="J90" i="12"/>
  <c r="K90" i="12"/>
  <c r="J91" i="12"/>
  <c r="K91" i="12"/>
  <c r="J92" i="12"/>
  <c r="K92" i="12"/>
  <c r="J93" i="12"/>
  <c r="K93" i="12"/>
  <c r="J94" i="12"/>
  <c r="K94" i="12"/>
  <c r="J95" i="12"/>
  <c r="K95" i="12"/>
  <c r="J96" i="12"/>
  <c r="K96" i="12"/>
  <c r="J97" i="12"/>
  <c r="K97" i="12"/>
  <c r="J98" i="12"/>
  <c r="K98" i="12"/>
  <c r="J99" i="12"/>
  <c r="K99" i="12"/>
  <c r="J100" i="12"/>
  <c r="K100" i="12"/>
  <c r="J101" i="12"/>
  <c r="K101" i="12"/>
  <c r="J102" i="12"/>
  <c r="K102" i="12"/>
  <c r="J103" i="12"/>
  <c r="K103" i="12"/>
  <c r="J104" i="12"/>
  <c r="K104" i="12"/>
  <c r="J105" i="12"/>
  <c r="K105" i="12"/>
  <c r="J106" i="12"/>
  <c r="K106" i="12"/>
  <c r="J107" i="12"/>
  <c r="K107" i="12"/>
  <c r="J108" i="12"/>
  <c r="K108" i="12"/>
  <c r="J109" i="12"/>
  <c r="K109" i="12"/>
  <c r="J110" i="12"/>
  <c r="K110" i="12"/>
  <c r="J111" i="12"/>
  <c r="K111" i="12"/>
  <c r="J112" i="12"/>
  <c r="K112" i="12"/>
  <c r="J113" i="12"/>
  <c r="K113" i="12"/>
  <c r="J114" i="12"/>
  <c r="K114" i="12"/>
  <c r="J115" i="12"/>
  <c r="K115" i="12"/>
  <c r="J116" i="12"/>
  <c r="K116" i="12"/>
  <c r="J117" i="12"/>
  <c r="K117" i="12"/>
  <c r="J118" i="12"/>
  <c r="K118" i="12"/>
  <c r="J119" i="12"/>
  <c r="K119" i="12"/>
  <c r="J120" i="12"/>
  <c r="K120" i="12"/>
  <c r="J121" i="12"/>
  <c r="K121" i="12"/>
  <c r="J122" i="12"/>
  <c r="K122" i="12"/>
  <c r="J123" i="12"/>
  <c r="K123" i="12"/>
  <c r="J124" i="12"/>
  <c r="K124" i="12"/>
  <c r="J125" i="12"/>
  <c r="K125" i="12"/>
  <c r="J126" i="12"/>
  <c r="K126" i="12"/>
  <c r="J127" i="12"/>
  <c r="K127" i="12"/>
  <c r="J128" i="12"/>
  <c r="K128" i="12"/>
  <c r="J129" i="12"/>
  <c r="K129" i="12"/>
  <c r="J130" i="12"/>
  <c r="K130" i="12"/>
  <c r="J131" i="12"/>
  <c r="K131" i="12"/>
  <c r="J132" i="12"/>
  <c r="K132" i="12"/>
  <c r="J133" i="12"/>
  <c r="K133" i="12"/>
  <c r="J134" i="12"/>
  <c r="K134" i="12"/>
  <c r="J135" i="12"/>
  <c r="K135" i="12"/>
  <c r="J136" i="12"/>
  <c r="K136" i="12"/>
  <c r="J137" i="12"/>
  <c r="K137" i="12"/>
  <c r="J138" i="12"/>
  <c r="K138" i="12"/>
  <c r="J139" i="12"/>
  <c r="K139" i="12"/>
  <c r="J140" i="12"/>
  <c r="K140" i="12"/>
  <c r="J141" i="12"/>
  <c r="K141" i="12"/>
  <c r="J142" i="12"/>
  <c r="K142" i="12"/>
  <c r="J143" i="12"/>
  <c r="K143" i="12"/>
  <c r="J144" i="12"/>
  <c r="K144" i="12"/>
  <c r="J145" i="12"/>
  <c r="K145" i="12"/>
  <c r="J146" i="12"/>
  <c r="K146" i="12"/>
  <c r="J147" i="12"/>
  <c r="K147" i="12"/>
  <c r="J148" i="12"/>
  <c r="K148" i="12"/>
  <c r="J149" i="12"/>
  <c r="K149" i="12"/>
  <c r="J150" i="12"/>
  <c r="K150" i="12"/>
  <c r="J151" i="12"/>
  <c r="K151" i="12"/>
  <c r="J152" i="12"/>
  <c r="K152" i="12"/>
  <c r="J153" i="12"/>
  <c r="K153" i="12"/>
  <c r="C155" i="12" l="1"/>
  <c r="G155" i="12"/>
  <c r="G156" i="12"/>
  <c r="K3" i="12"/>
  <c r="K154" i="12" s="1"/>
  <c r="J3" i="12"/>
  <c r="J154" i="12" s="1"/>
  <c r="K155" i="12" l="1"/>
  <c r="C49" i="11" l="1"/>
  <c r="D49" i="11"/>
  <c r="E49" i="11"/>
  <c r="F49" i="11"/>
  <c r="G49" i="11"/>
  <c r="B49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E21" i="11"/>
  <c r="G21" i="11" s="1"/>
  <c r="G9" i="11"/>
  <c r="G10" i="11"/>
  <c r="G11" i="11"/>
  <c r="G12" i="11"/>
  <c r="G13" i="11"/>
  <c r="G14" i="11"/>
  <c r="G15" i="11"/>
  <c r="G16" i="11"/>
  <c r="G17" i="11"/>
  <c r="G18" i="11"/>
  <c r="G19" i="11"/>
  <c r="G20" i="11"/>
  <c r="G22" i="11"/>
  <c r="G23" i="11"/>
  <c r="G24" i="11"/>
  <c r="G25" i="11"/>
  <c r="G26" i="11"/>
  <c r="G27" i="11"/>
  <c r="G28" i="11"/>
  <c r="G29" i="11"/>
  <c r="G30" i="11"/>
  <c r="G6" i="11"/>
  <c r="G7" i="11"/>
  <c r="G8" i="11"/>
  <c r="G4" i="11"/>
  <c r="G5" i="11"/>
  <c r="G3" i="11"/>
  <c r="N11" i="10"/>
  <c r="N19" i="10"/>
  <c r="N30" i="10"/>
  <c r="N8" i="10"/>
  <c r="N28" i="10"/>
  <c r="N26" i="10"/>
  <c r="N5" i="10"/>
  <c r="N10" i="10"/>
  <c r="N6" i="10"/>
  <c r="N21" i="10"/>
  <c r="N27" i="10"/>
  <c r="N13" i="10"/>
  <c r="N35" i="10"/>
  <c r="N7" i="10"/>
  <c r="N9" i="10"/>
  <c r="N12" i="10"/>
  <c r="N14" i="10"/>
  <c r="N15" i="10"/>
  <c r="N16" i="10"/>
  <c r="N17" i="10"/>
  <c r="N18" i="10"/>
  <c r="N20" i="10"/>
  <c r="N22" i="10"/>
  <c r="N23" i="10"/>
  <c r="N24" i="10"/>
  <c r="N25" i="10"/>
  <c r="N29" i="10"/>
  <c r="N31" i="10"/>
  <c r="N32" i="10"/>
  <c r="N33" i="10"/>
  <c r="N34" i="10"/>
  <c r="N36" i="10"/>
  <c r="N37" i="10"/>
  <c r="N38" i="10"/>
  <c r="N39" i="10"/>
  <c r="N40" i="10"/>
  <c r="N4" i="10"/>
  <c r="C156" i="9" l="1"/>
  <c r="D156" i="9"/>
  <c r="E156" i="9"/>
  <c r="F156" i="9"/>
  <c r="G156" i="9"/>
  <c r="H156" i="9"/>
  <c r="I156" i="9"/>
  <c r="J156" i="9"/>
  <c r="B156" i="9"/>
  <c r="I150" i="9"/>
  <c r="J150" i="9"/>
  <c r="I151" i="9"/>
  <c r="J151" i="9"/>
  <c r="I152" i="9"/>
  <c r="J152" i="9"/>
  <c r="I153" i="9"/>
  <c r="J153" i="9"/>
  <c r="I154" i="9"/>
  <c r="J154" i="9"/>
  <c r="I138" i="9"/>
  <c r="J138" i="9"/>
  <c r="I139" i="9"/>
  <c r="J139" i="9"/>
  <c r="I140" i="9"/>
  <c r="J140" i="9"/>
  <c r="I141" i="9"/>
  <c r="J141" i="9"/>
  <c r="I142" i="9"/>
  <c r="J142" i="9"/>
  <c r="I143" i="9"/>
  <c r="J143" i="9"/>
  <c r="I144" i="9"/>
  <c r="J144" i="9"/>
  <c r="I145" i="9"/>
  <c r="J145" i="9"/>
  <c r="I146" i="9"/>
  <c r="J146" i="9"/>
  <c r="I147" i="9"/>
  <c r="J147" i="9"/>
  <c r="I148" i="9"/>
  <c r="J148" i="9"/>
  <c r="I149" i="9"/>
  <c r="J149" i="9"/>
  <c r="I108" i="9"/>
  <c r="J108" i="9"/>
  <c r="I109" i="9"/>
  <c r="J109" i="9"/>
  <c r="I110" i="9"/>
  <c r="J110" i="9"/>
  <c r="I111" i="9"/>
  <c r="J111" i="9"/>
  <c r="I112" i="9"/>
  <c r="J112" i="9"/>
  <c r="I113" i="9"/>
  <c r="J113" i="9"/>
  <c r="I114" i="9"/>
  <c r="J114" i="9"/>
  <c r="I115" i="9"/>
  <c r="J115" i="9"/>
  <c r="I116" i="9"/>
  <c r="J116" i="9"/>
  <c r="I117" i="9"/>
  <c r="J117" i="9"/>
  <c r="I118" i="9"/>
  <c r="J118" i="9"/>
  <c r="I119" i="9"/>
  <c r="J119" i="9"/>
  <c r="I120" i="9"/>
  <c r="J120" i="9"/>
  <c r="I121" i="9"/>
  <c r="J121" i="9"/>
  <c r="I122" i="9"/>
  <c r="J122" i="9"/>
  <c r="I123" i="9"/>
  <c r="J123" i="9"/>
  <c r="I124" i="9"/>
  <c r="J124" i="9"/>
  <c r="I125" i="9"/>
  <c r="J125" i="9"/>
  <c r="I126" i="9"/>
  <c r="J126" i="9"/>
  <c r="I127" i="9"/>
  <c r="J127" i="9"/>
  <c r="I128" i="9"/>
  <c r="J128" i="9"/>
  <c r="I129" i="9"/>
  <c r="J129" i="9"/>
  <c r="I130" i="9"/>
  <c r="J130" i="9"/>
  <c r="I131" i="9"/>
  <c r="J131" i="9"/>
  <c r="I132" i="9"/>
  <c r="J132" i="9"/>
  <c r="I133" i="9"/>
  <c r="J133" i="9"/>
  <c r="I134" i="9"/>
  <c r="J134" i="9"/>
  <c r="I135" i="9"/>
  <c r="J135" i="9"/>
  <c r="I136" i="9"/>
  <c r="J136" i="9"/>
  <c r="I137" i="9"/>
  <c r="J137" i="9"/>
  <c r="I26" i="9"/>
  <c r="J26" i="9"/>
  <c r="I27" i="9"/>
  <c r="J27" i="9"/>
  <c r="I28" i="9"/>
  <c r="J28" i="9"/>
  <c r="I29" i="9"/>
  <c r="J29" i="9"/>
  <c r="I30" i="9"/>
  <c r="J30" i="9"/>
  <c r="I31" i="9"/>
  <c r="J31" i="9"/>
  <c r="I32" i="9"/>
  <c r="J32" i="9"/>
  <c r="I33" i="9"/>
  <c r="J33" i="9"/>
  <c r="I34" i="9"/>
  <c r="J34" i="9"/>
  <c r="I35" i="9"/>
  <c r="J35" i="9"/>
  <c r="I36" i="9"/>
  <c r="J36" i="9"/>
  <c r="I37" i="9"/>
  <c r="J37" i="9"/>
  <c r="I38" i="9"/>
  <c r="J38" i="9"/>
  <c r="I39" i="9"/>
  <c r="J39" i="9"/>
  <c r="I40" i="9"/>
  <c r="J40" i="9"/>
  <c r="I41" i="9"/>
  <c r="J41" i="9"/>
  <c r="I42" i="9"/>
  <c r="J42" i="9"/>
  <c r="I43" i="9"/>
  <c r="J43" i="9"/>
  <c r="I44" i="9"/>
  <c r="J44" i="9"/>
  <c r="I45" i="9"/>
  <c r="J45" i="9"/>
  <c r="I46" i="9"/>
  <c r="J46" i="9"/>
  <c r="I47" i="9"/>
  <c r="J47" i="9"/>
  <c r="I48" i="9"/>
  <c r="J48" i="9"/>
  <c r="I49" i="9"/>
  <c r="J49" i="9"/>
  <c r="I50" i="9"/>
  <c r="J50" i="9"/>
  <c r="I51" i="9"/>
  <c r="J51" i="9"/>
  <c r="I52" i="9"/>
  <c r="J52" i="9"/>
  <c r="I53" i="9"/>
  <c r="J53" i="9"/>
  <c r="I54" i="9"/>
  <c r="J54" i="9"/>
  <c r="I55" i="9"/>
  <c r="J55" i="9"/>
  <c r="I56" i="9"/>
  <c r="J56" i="9"/>
  <c r="I57" i="9"/>
  <c r="J57" i="9"/>
  <c r="I58" i="9"/>
  <c r="J58" i="9"/>
  <c r="I59" i="9"/>
  <c r="J59" i="9"/>
  <c r="I60" i="9"/>
  <c r="J60" i="9"/>
  <c r="I61" i="9"/>
  <c r="J61" i="9"/>
  <c r="I62" i="9"/>
  <c r="J62" i="9"/>
  <c r="I63" i="9"/>
  <c r="J63" i="9"/>
  <c r="I64" i="9"/>
  <c r="J64" i="9"/>
  <c r="I65" i="9"/>
  <c r="J65" i="9"/>
  <c r="I66" i="9"/>
  <c r="J66" i="9"/>
  <c r="I67" i="9"/>
  <c r="J67" i="9"/>
  <c r="I68" i="9"/>
  <c r="J68" i="9"/>
  <c r="I69" i="9"/>
  <c r="J69" i="9"/>
  <c r="I70" i="9"/>
  <c r="J70" i="9"/>
  <c r="I71" i="9"/>
  <c r="J71" i="9"/>
  <c r="I72" i="9"/>
  <c r="J72" i="9"/>
  <c r="I73" i="9"/>
  <c r="J73" i="9"/>
  <c r="I74" i="9"/>
  <c r="J74" i="9"/>
  <c r="I75" i="9"/>
  <c r="J75" i="9"/>
  <c r="I76" i="9"/>
  <c r="J76" i="9"/>
  <c r="I77" i="9"/>
  <c r="J77" i="9"/>
  <c r="I78" i="9"/>
  <c r="J78" i="9"/>
  <c r="I79" i="9"/>
  <c r="J79" i="9"/>
  <c r="I80" i="9"/>
  <c r="J80" i="9"/>
  <c r="I81" i="9"/>
  <c r="J81" i="9"/>
  <c r="I82" i="9"/>
  <c r="J82" i="9"/>
  <c r="I83" i="9"/>
  <c r="J83" i="9"/>
  <c r="I84" i="9"/>
  <c r="J84" i="9"/>
  <c r="I85" i="9"/>
  <c r="J85" i="9"/>
  <c r="I86" i="9"/>
  <c r="J86" i="9"/>
  <c r="I87" i="9"/>
  <c r="J87" i="9"/>
  <c r="I88" i="9"/>
  <c r="J88" i="9"/>
  <c r="I89" i="9"/>
  <c r="J89" i="9"/>
  <c r="I90" i="9"/>
  <c r="J90" i="9"/>
  <c r="I91" i="9"/>
  <c r="J91" i="9"/>
  <c r="I92" i="9"/>
  <c r="J92" i="9"/>
  <c r="I93" i="9"/>
  <c r="J93" i="9"/>
  <c r="I94" i="9"/>
  <c r="J94" i="9"/>
  <c r="I95" i="9"/>
  <c r="J95" i="9"/>
  <c r="I96" i="9"/>
  <c r="J96" i="9"/>
  <c r="I97" i="9"/>
  <c r="J97" i="9"/>
  <c r="I98" i="9"/>
  <c r="J98" i="9"/>
  <c r="I99" i="9"/>
  <c r="J99" i="9"/>
  <c r="I100" i="9"/>
  <c r="J100" i="9"/>
  <c r="I101" i="9"/>
  <c r="J101" i="9"/>
  <c r="I102" i="9"/>
  <c r="J102" i="9"/>
  <c r="I103" i="9"/>
  <c r="J103" i="9"/>
  <c r="I104" i="9"/>
  <c r="J104" i="9"/>
  <c r="I105" i="9"/>
  <c r="J105" i="9"/>
  <c r="I106" i="9"/>
  <c r="J106" i="9"/>
  <c r="I107" i="9"/>
  <c r="J107" i="9"/>
  <c r="I19" i="9"/>
  <c r="J19" i="9"/>
  <c r="I20" i="9"/>
  <c r="J20" i="9"/>
  <c r="I21" i="9"/>
  <c r="J21" i="9"/>
  <c r="I22" i="9"/>
  <c r="J22" i="9"/>
  <c r="I23" i="9"/>
  <c r="J23" i="9"/>
  <c r="I24" i="9"/>
  <c r="J24" i="9"/>
  <c r="I25" i="9"/>
  <c r="J25" i="9"/>
  <c r="I13" i="9"/>
  <c r="J13" i="9"/>
  <c r="I14" i="9"/>
  <c r="J14" i="9"/>
  <c r="I15" i="9"/>
  <c r="J15" i="9"/>
  <c r="I16" i="9"/>
  <c r="J16" i="9"/>
  <c r="I17" i="9"/>
  <c r="J17" i="9"/>
  <c r="I18" i="9"/>
  <c r="J18" i="9"/>
  <c r="I6" i="9"/>
  <c r="J6" i="9"/>
  <c r="I7" i="9"/>
  <c r="J7" i="9"/>
  <c r="I8" i="9"/>
  <c r="J8" i="9"/>
  <c r="I9" i="9"/>
  <c r="J9" i="9"/>
  <c r="I10" i="9"/>
  <c r="J10" i="9"/>
  <c r="I11" i="9"/>
  <c r="J11" i="9"/>
  <c r="I12" i="9"/>
  <c r="J12" i="9"/>
  <c r="J5" i="9"/>
  <c r="J4" i="9"/>
  <c r="I5" i="9"/>
  <c r="I4" i="9"/>
  <c r="C158" i="8" l="1"/>
  <c r="D158" i="8"/>
  <c r="E158" i="8"/>
  <c r="F158" i="8"/>
  <c r="G158" i="8"/>
  <c r="H158" i="8"/>
  <c r="I158" i="8"/>
  <c r="J158" i="8"/>
  <c r="B158" i="8"/>
  <c r="I156" i="8"/>
  <c r="J156" i="8"/>
  <c r="I154" i="8"/>
  <c r="J154" i="8"/>
  <c r="I155" i="8"/>
  <c r="J155" i="8"/>
  <c r="I133" i="8"/>
  <c r="J133" i="8"/>
  <c r="I134" i="8"/>
  <c r="J134" i="8"/>
  <c r="I135" i="8"/>
  <c r="J135" i="8"/>
  <c r="I136" i="8"/>
  <c r="J136" i="8"/>
  <c r="I137" i="8"/>
  <c r="J137" i="8"/>
  <c r="I138" i="8"/>
  <c r="J138" i="8"/>
  <c r="I139" i="8"/>
  <c r="J139" i="8"/>
  <c r="I140" i="8"/>
  <c r="J140" i="8"/>
  <c r="I141" i="8"/>
  <c r="J141" i="8"/>
  <c r="I142" i="8"/>
  <c r="J142" i="8"/>
  <c r="I143" i="8"/>
  <c r="J143" i="8"/>
  <c r="I144" i="8"/>
  <c r="J144" i="8"/>
  <c r="I145" i="8"/>
  <c r="J145" i="8"/>
  <c r="I146" i="8"/>
  <c r="J146" i="8"/>
  <c r="I147" i="8"/>
  <c r="J147" i="8"/>
  <c r="I148" i="8"/>
  <c r="J148" i="8"/>
  <c r="I149" i="8"/>
  <c r="J149" i="8"/>
  <c r="I150" i="8"/>
  <c r="J150" i="8"/>
  <c r="I151" i="8"/>
  <c r="J151" i="8"/>
  <c r="I152" i="8"/>
  <c r="J152" i="8"/>
  <c r="I153" i="8"/>
  <c r="J153" i="8"/>
  <c r="I102" i="8"/>
  <c r="J102" i="8"/>
  <c r="I103" i="8"/>
  <c r="J103" i="8"/>
  <c r="I104" i="8"/>
  <c r="J104" i="8"/>
  <c r="I105" i="8"/>
  <c r="J105" i="8"/>
  <c r="I106" i="8"/>
  <c r="J106" i="8"/>
  <c r="I107" i="8"/>
  <c r="J107" i="8"/>
  <c r="I108" i="8"/>
  <c r="J108" i="8"/>
  <c r="I109" i="8"/>
  <c r="J109" i="8"/>
  <c r="I110" i="8"/>
  <c r="J110" i="8"/>
  <c r="I111" i="8"/>
  <c r="J111" i="8"/>
  <c r="I112" i="8"/>
  <c r="J112" i="8"/>
  <c r="I113" i="8"/>
  <c r="J113" i="8"/>
  <c r="I114" i="8"/>
  <c r="J114" i="8"/>
  <c r="I115" i="8"/>
  <c r="J115" i="8"/>
  <c r="I116" i="8"/>
  <c r="J116" i="8"/>
  <c r="I117" i="8"/>
  <c r="J117" i="8"/>
  <c r="I118" i="8"/>
  <c r="J118" i="8"/>
  <c r="I119" i="8"/>
  <c r="J119" i="8"/>
  <c r="I120" i="8"/>
  <c r="J120" i="8"/>
  <c r="I121" i="8"/>
  <c r="J121" i="8"/>
  <c r="I122" i="8"/>
  <c r="J122" i="8"/>
  <c r="I123" i="8"/>
  <c r="J123" i="8"/>
  <c r="I124" i="8"/>
  <c r="J124" i="8"/>
  <c r="I125" i="8"/>
  <c r="J125" i="8"/>
  <c r="I126" i="8"/>
  <c r="J126" i="8"/>
  <c r="I127" i="8"/>
  <c r="J127" i="8"/>
  <c r="I128" i="8"/>
  <c r="J128" i="8"/>
  <c r="I129" i="8"/>
  <c r="J129" i="8"/>
  <c r="I130" i="8"/>
  <c r="J130" i="8"/>
  <c r="I131" i="8"/>
  <c r="J131" i="8"/>
  <c r="I132" i="8"/>
  <c r="J132" i="8"/>
  <c r="I82" i="8"/>
  <c r="J82" i="8"/>
  <c r="I83" i="8"/>
  <c r="J83" i="8"/>
  <c r="I84" i="8"/>
  <c r="J84" i="8"/>
  <c r="I85" i="8"/>
  <c r="J85" i="8"/>
  <c r="I86" i="8"/>
  <c r="J86" i="8"/>
  <c r="I87" i="8"/>
  <c r="J87" i="8"/>
  <c r="I88" i="8"/>
  <c r="J88" i="8"/>
  <c r="I89" i="8"/>
  <c r="J89" i="8"/>
  <c r="I90" i="8"/>
  <c r="J90" i="8"/>
  <c r="I91" i="8"/>
  <c r="J91" i="8"/>
  <c r="I92" i="8"/>
  <c r="J92" i="8"/>
  <c r="I93" i="8"/>
  <c r="J93" i="8"/>
  <c r="I94" i="8"/>
  <c r="J94" i="8"/>
  <c r="I95" i="8"/>
  <c r="J95" i="8"/>
  <c r="I96" i="8"/>
  <c r="J96" i="8"/>
  <c r="I97" i="8"/>
  <c r="J97" i="8"/>
  <c r="I98" i="8"/>
  <c r="J98" i="8"/>
  <c r="I99" i="8"/>
  <c r="J99" i="8"/>
  <c r="I100" i="8"/>
  <c r="J100" i="8"/>
  <c r="I101" i="8"/>
  <c r="J101" i="8"/>
  <c r="I81" i="8"/>
  <c r="J81" i="8"/>
  <c r="I59" i="8"/>
  <c r="J59" i="8"/>
  <c r="I60" i="8"/>
  <c r="J60" i="8"/>
  <c r="I61" i="8"/>
  <c r="J61" i="8"/>
  <c r="I62" i="8"/>
  <c r="J62" i="8"/>
  <c r="I63" i="8"/>
  <c r="J63" i="8"/>
  <c r="I64" i="8"/>
  <c r="J64" i="8"/>
  <c r="I65" i="8"/>
  <c r="J65" i="8"/>
  <c r="I66" i="8"/>
  <c r="J66" i="8"/>
  <c r="I67" i="8"/>
  <c r="J67" i="8"/>
  <c r="I68" i="8"/>
  <c r="J68" i="8"/>
  <c r="I69" i="8"/>
  <c r="J69" i="8"/>
  <c r="I70" i="8"/>
  <c r="J70" i="8"/>
  <c r="I71" i="8"/>
  <c r="J71" i="8"/>
  <c r="I72" i="8"/>
  <c r="J72" i="8"/>
  <c r="I73" i="8"/>
  <c r="J73" i="8"/>
  <c r="I74" i="8"/>
  <c r="J74" i="8"/>
  <c r="I75" i="8"/>
  <c r="J75" i="8"/>
  <c r="I76" i="8"/>
  <c r="J76" i="8"/>
  <c r="I77" i="8"/>
  <c r="J77" i="8"/>
  <c r="I78" i="8"/>
  <c r="J78" i="8"/>
  <c r="I79" i="8"/>
  <c r="J79" i="8"/>
  <c r="I80" i="8"/>
  <c r="J80" i="8"/>
  <c r="I55" i="8"/>
  <c r="J55" i="8"/>
  <c r="I56" i="8"/>
  <c r="J56" i="8"/>
  <c r="I57" i="8"/>
  <c r="J57" i="8"/>
  <c r="I58" i="8"/>
  <c r="J58" i="8"/>
  <c r="I37" i="8"/>
  <c r="J37" i="8"/>
  <c r="I38" i="8"/>
  <c r="J38" i="8"/>
  <c r="I39" i="8"/>
  <c r="J39" i="8"/>
  <c r="I40" i="8"/>
  <c r="J40" i="8"/>
  <c r="I41" i="8"/>
  <c r="J41" i="8"/>
  <c r="I42" i="8"/>
  <c r="J42" i="8"/>
  <c r="I43" i="8"/>
  <c r="J43" i="8"/>
  <c r="I44" i="8"/>
  <c r="J44" i="8"/>
  <c r="I45" i="8"/>
  <c r="J45" i="8"/>
  <c r="I46" i="8"/>
  <c r="J46" i="8"/>
  <c r="I47" i="8"/>
  <c r="J47" i="8"/>
  <c r="I48" i="8"/>
  <c r="J48" i="8"/>
  <c r="I49" i="8"/>
  <c r="J49" i="8"/>
  <c r="I50" i="8"/>
  <c r="J50" i="8"/>
  <c r="I51" i="8"/>
  <c r="J51" i="8"/>
  <c r="I52" i="8"/>
  <c r="J52" i="8"/>
  <c r="I53" i="8"/>
  <c r="J53" i="8"/>
  <c r="I54" i="8"/>
  <c r="J54" i="8"/>
  <c r="I24" i="8"/>
  <c r="J24" i="8"/>
  <c r="I25" i="8"/>
  <c r="J25" i="8"/>
  <c r="I26" i="8"/>
  <c r="J26" i="8"/>
  <c r="I27" i="8"/>
  <c r="J27" i="8"/>
  <c r="I28" i="8"/>
  <c r="J28" i="8"/>
  <c r="I29" i="8"/>
  <c r="J29" i="8"/>
  <c r="I30" i="8"/>
  <c r="J30" i="8"/>
  <c r="I31" i="8"/>
  <c r="J31" i="8"/>
  <c r="I32" i="8"/>
  <c r="J32" i="8"/>
  <c r="I33" i="8"/>
  <c r="J33" i="8"/>
  <c r="I34" i="8"/>
  <c r="J34" i="8"/>
  <c r="I35" i="8"/>
  <c r="J35" i="8"/>
  <c r="I36" i="8"/>
  <c r="J36" i="8"/>
  <c r="I20" i="8"/>
  <c r="J20" i="8"/>
  <c r="I21" i="8"/>
  <c r="J21" i="8"/>
  <c r="I22" i="8"/>
  <c r="J22" i="8"/>
  <c r="I23" i="8"/>
  <c r="J23" i="8"/>
  <c r="I17" i="8"/>
  <c r="J17" i="8"/>
  <c r="I18" i="8"/>
  <c r="J18" i="8"/>
  <c r="I19" i="8"/>
  <c r="J19" i="8"/>
  <c r="I11" i="8"/>
  <c r="J11" i="8"/>
  <c r="I12" i="8"/>
  <c r="J12" i="8"/>
  <c r="I13" i="8"/>
  <c r="J13" i="8"/>
  <c r="I14" i="8"/>
  <c r="J14" i="8"/>
  <c r="I15" i="8"/>
  <c r="J15" i="8"/>
  <c r="I16" i="8"/>
  <c r="J16" i="8"/>
  <c r="I10" i="8"/>
  <c r="J10" i="8"/>
  <c r="J4" i="8"/>
  <c r="J5" i="8"/>
  <c r="J6" i="8"/>
  <c r="J7" i="8"/>
  <c r="J8" i="8"/>
  <c r="J9" i="8"/>
  <c r="J3" i="8"/>
  <c r="I4" i="8"/>
  <c r="I5" i="8"/>
  <c r="I6" i="8"/>
  <c r="I7" i="8"/>
  <c r="I8" i="8"/>
  <c r="I9" i="8"/>
  <c r="I3" i="8"/>
  <c r="I24" i="7"/>
  <c r="J24" i="7"/>
  <c r="I25" i="7"/>
  <c r="J25" i="7"/>
  <c r="I26" i="7"/>
  <c r="J26" i="7"/>
  <c r="I27" i="7"/>
  <c r="J27" i="7"/>
  <c r="I28" i="7"/>
  <c r="J28" i="7"/>
  <c r="I29" i="7"/>
  <c r="J29" i="7"/>
  <c r="I30" i="7"/>
  <c r="J30" i="7"/>
  <c r="I31" i="7"/>
  <c r="J31" i="7"/>
  <c r="I32" i="7"/>
  <c r="J32" i="7"/>
  <c r="I33" i="7"/>
  <c r="J33" i="7"/>
  <c r="I34" i="7"/>
  <c r="J34" i="7"/>
  <c r="I35" i="7"/>
  <c r="J35" i="7"/>
  <c r="I36" i="7"/>
  <c r="J36" i="7"/>
  <c r="I37" i="7"/>
  <c r="J37" i="7"/>
  <c r="I38" i="7"/>
  <c r="J38" i="7"/>
  <c r="I39" i="7"/>
  <c r="J39" i="7"/>
  <c r="I40" i="7"/>
  <c r="J40" i="7"/>
  <c r="I41" i="7"/>
  <c r="J41" i="7"/>
  <c r="I42" i="7"/>
  <c r="J42" i="7"/>
  <c r="I17" i="7"/>
  <c r="J17" i="7"/>
  <c r="I18" i="7"/>
  <c r="J18" i="7"/>
  <c r="I19" i="7"/>
  <c r="J19" i="7"/>
  <c r="I20" i="7"/>
  <c r="J20" i="7"/>
  <c r="I21" i="7"/>
  <c r="J21" i="7"/>
  <c r="I22" i="7"/>
  <c r="J22" i="7"/>
  <c r="I23" i="7"/>
  <c r="J23" i="7"/>
  <c r="J5" i="7"/>
  <c r="J6" i="7"/>
  <c r="J7" i="7"/>
  <c r="J8" i="7"/>
  <c r="J9" i="7"/>
  <c r="J10" i="7"/>
  <c r="J11" i="7"/>
  <c r="J12" i="7"/>
  <c r="J13" i="7"/>
  <c r="J14" i="7"/>
  <c r="J15" i="7"/>
  <c r="J16" i="7"/>
  <c r="J4" i="7"/>
  <c r="I5" i="7"/>
  <c r="I6" i="7"/>
  <c r="I7" i="7"/>
  <c r="I8" i="7"/>
  <c r="I9" i="7"/>
  <c r="I10" i="7"/>
  <c r="I11" i="7"/>
  <c r="I12" i="7"/>
  <c r="I13" i="7"/>
  <c r="I14" i="7"/>
  <c r="I15" i="7"/>
  <c r="I16" i="7"/>
  <c r="I4" i="7"/>
  <c r="C30" i="2" l="1"/>
  <c r="C29" i="2"/>
  <c r="B5" i="2" l="1"/>
  <c r="B4" i="2"/>
  <c r="C10" i="2"/>
  <c r="L781" i="1"/>
  <c r="K778" i="1"/>
  <c r="B22" i="2" l="1"/>
  <c r="J12" i="2"/>
  <c r="C12" i="2"/>
  <c r="K11" i="2" s="1"/>
  <c r="B8" i="2"/>
  <c r="C13" i="2" l="1"/>
  <c r="I14" i="2" s="1"/>
  <c r="K10" i="2"/>
  <c r="G283" i="1" l="1"/>
  <c r="G690" i="1"/>
  <c r="G312" i="1"/>
  <c r="G313" i="1"/>
  <c r="G314" i="1"/>
  <c r="G315" i="1"/>
  <c r="G316" i="1"/>
  <c r="G362" i="1"/>
  <c r="G363" i="1"/>
  <c r="G364" i="1"/>
  <c r="G365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5" i="1"/>
  <c r="G356" i="1"/>
  <c r="G357" i="1"/>
  <c r="G358" i="1"/>
  <c r="G359" i="1"/>
  <c r="G360" i="1"/>
  <c r="G361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367" i="1"/>
  <c r="G368" i="1"/>
  <c r="G704" i="1"/>
  <c r="G705" i="1"/>
  <c r="G706" i="1"/>
  <c r="G317" i="1"/>
  <c r="G318" i="1"/>
  <c r="G319" i="1"/>
  <c r="G320" i="1"/>
  <c r="G321" i="1"/>
  <c r="G322" i="1"/>
  <c r="G323" i="1"/>
  <c r="G324" i="1"/>
  <c r="G325" i="1"/>
  <c r="G326" i="1"/>
  <c r="G328" i="1"/>
  <c r="G329" i="1"/>
  <c r="G330" i="1"/>
  <c r="G331" i="1"/>
  <c r="G332" i="1"/>
  <c r="G353" i="1"/>
  <c r="G707" i="1"/>
  <c r="G708" i="1"/>
  <c r="G709" i="1"/>
  <c r="G710" i="1"/>
  <c r="G711" i="1"/>
  <c r="G712" i="1"/>
  <c r="G713" i="1"/>
  <c r="G714" i="1"/>
  <c r="G574" i="1"/>
  <c r="G715" i="1"/>
  <c r="G716" i="1"/>
  <c r="G298" i="1"/>
  <c r="G299" i="1"/>
  <c r="G300" i="1"/>
  <c r="G301" i="1"/>
  <c r="G302" i="1"/>
  <c r="G303" i="1"/>
  <c r="G304" i="1"/>
  <c r="G305" i="1"/>
  <c r="G382" i="1"/>
  <c r="G383" i="1"/>
  <c r="G482" i="1"/>
  <c r="G284" i="1"/>
  <c r="G285" i="1"/>
  <c r="G286" i="1"/>
  <c r="G288" i="1"/>
  <c r="G289" i="1"/>
  <c r="G290" i="1"/>
  <c r="G291" i="1"/>
  <c r="G293" i="1"/>
  <c r="G294" i="1"/>
  <c r="G295" i="1"/>
  <c r="G296" i="1"/>
  <c r="G553" i="1"/>
  <c r="G559" i="1"/>
  <c r="G560" i="1"/>
  <c r="G563" i="1"/>
  <c r="G564" i="1"/>
  <c r="G565" i="1"/>
  <c r="G566" i="1"/>
  <c r="G567" i="1"/>
  <c r="G717" i="1"/>
  <c r="G718" i="1"/>
  <c r="G743" i="1"/>
  <c r="G306" i="1"/>
  <c r="G307" i="1"/>
  <c r="G308" i="1"/>
  <c r="G720" i="1"/>
  <c r="G721" i="1"/>
  <c r="G722" i="1"/>
  <c r="G384" i="1"/>
  <c r="G369" i="1"/>
  <c r="G388" i="1"/>
  <c r="G389" i="1"/>
  <c r="G390" i="1"/>
  <c r="G391" i="1"/>
  <c r="G394" i="1"/>
  <c r="G395" i="1"/>
  <c r="G396" i="1"/>
  <c r="G398" i="1"/>
  <c r="G399" i="1"/>
  <c r="G400" i="1"/>
  <c r="G401" i="1"/>
  <c r="G402" i="1"/>
  <c r="G403" i="1"/>
  <c r="G723" i="1"/>
  <c r="G724" i="1"/>
  <c r="G725" i="1"/>
  <c r="G726" i="1"/>
  <c r="G327" i="1"/>
  <c r="G392" i="1"/>
  <c r="G393" i="1"/>
  <c r="G397" i="1"/>
  <c r="G575" i="1"/>
  <c r="G404" i="1"/>
  <c r="G405" i="1"/>
  <c r="G407" i="1"/>
  <c r="G408" i="1"/>
  <c r="G409" i="1"/>
  <c r="G410" i="1"/>
  <c r="G411" i="1"/>
  <c r="G372" i="1"/>
  <c r="G373" i="1"/>
  <c r="G374" i="1"/>
  <c r="G375" i="1"/>
  <c r="G376" i="1"/>
  <c r="G377" i="1"/>
  <c r="G378" i="1"/>
  <c r="G379" i="1"/>
  <c r="G380" i="1"/>
  <c r="G381" i="1"/>
  <c r="G727" i="1"/>
  <c r="G728" i="1"/>
  <c r="G729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730" i="1"/>
  <c r="G731" i="1"/>
  <c r="G732" i="1"/>
  <c r="G733" i="1"/>
  <c r="G734" i="1"/>
  <c r="G735" i="1"/>
  <c r="G736" i="1"/>
  <c r="G737" i="1"/>
  <c r="G738" i="1"/>
  <c r="G423" i="1"/>
  <c r="G427" i="1"/>
  <c r="G428" i="1"/>
  <c r="G429" i="1"/>
  <c r="G430" i="1"/>
  <c r="G431" i="1"/>
  <c r="G432" i="1"/>
  <c r="G433" i="1"/>
  <c r="G434" i="1"/>
  <c r="G435" i="1"/>
  <c r="G437" i="1"/>
  <c r="G438" i="1"/>
  <c r="G439" i="1"/>
  <c r="G440" i="1"/>
  <c r="G441" i="1"/>
  <c r="G442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3" i="1"/>
  <c r="G484" i="1"/>
  <c r="G739" i="1"/>
  <c r="G740" i="1"/>
  <c r="G741" i="1"/>
  <c r="G742" i="1"/>
  <c r="G467" i="1"/>
  <c r="G485" i="1"/>
  <c r="G487" i="1"/>
  <c r="G488" i="1"/>
  <c r="G491" i="1"/>
  <c r="G492" i="1"/>
  <c r="G494" i="1"/>
  <c r="G495" i="1"/>
  <c r="G496" i="1"/>
  <c r="G497" i="1"/>
  <c r="G499" i="1"/>
  <c r="G719" i="1"/>
  <c r="G744" i="1"/>
  <c r="G745" i="1"/>
  <c r="G746" i="1"/>
  <c r="G747" i="1"/>
  <c r="G748" i="1"/>
  <c r="G749" i="1"/>
  <c r="G750" i="1"/>
  <c r="G751" i="1"/>
  <c r="G752" i="1"/>
  <c r="G753" i="1"/>
  <c r="G754" i="1"/>
  <c r="G486" i="1"/>
  <c r="G489" i="1"/>
  <c r="G490" i="1"/>
  <c r="G493" i="1"/>
  <c r="G498" i="1"/>
  <c r="G755" i="1"/>
  <c r="G756" i="1"/>
  <c r="G757" i="1"/>
  <c r="G412" i="1"/>
  <c r="G413" i="1"/>
  <c r="G414" i="1"/>
  <c r="G415" i="1"/>
  <c r="G416" i="1"/>
  <c r="G417" i="1"/>
  <c r="G418" i="1"/>
  <c r="G419" i="1"/>
  <c r="G420" i="1"/>
  <c r="G421" i="1"/>
  <c r="G422" i="1"/>
  <c r="G758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759" i="1"/>
  <c r="G115" i="1"/>
  <c r="G249" i="1"/>
  <c r="G251" i="1"/>
  <c r="G517" i="1"/>
  <c r="G518" i="1"/>
  <c r="G519" i="1"/>
  <c r="G520" i="1"/>
  <c r="G521" i="1"/>
  <c r="G522" i="1"/>
  <c r="G523" i="1"/>
  <c r="G531" i="1"/>
  <c r="G534" i="1"/>
  <c r="G536" i="1"/>
  <c r="G537" i="1"/>
  <c r="G538" i="1"/>
  <c r="G541" i="1"/>
  <c r="G542" i="1"/>
  <c r="G543" i="1"/>
  <c r="G544" i="1"/>
  <c r="G547" i="1"/>
  <c r="G568" i="1"/>
  <c r="G569" i="1"/>
  <c r="G570" i="1"/>
  <c r="G571" i="1"/>
  <c r="G572" i="1"/>
  <c r="G573" i="1"/>
  <c r="G760" i="1"/>
  <c r="G297" i="1"/>
  <c r="G309" i="1"/>
  <c r="G310" i="1"/>
  <c r="G311" i="1"/>
  <c r="G577" i="1"/>
  <c r="G580" i="1"/>
  <c r="G581" i="1"/>
  <c r="G582" i="1"/>
  <c r="G761" i="1"/>
  <c r="G762" i="1"/>
  <c r="G576" i="1"/>
  <c r="G579" i="1"/>
  <c r="G370" i="1"/>
  <c r="G371" i="1"/>
  <c r="G763" i="1"/>
  <c r="G385" i="1"/>
  <c r="G386" i="1"/>
  <c r="G387" i="1"/>
  <c r="G764" i="1"/>
  <c r="G765" i="1"/>
  <c r="G766" i="1"/>
  <c r="G767" i="1"/>
  <c r="G768" i="1"/>
  <c r="G769" i="1"/>
  <c r="G652" i="1"/>
  <c r="G653" i="1"/>
  <c r="G654" i="1"/>
  <c r="G770" i="1"/>
  <c r="G771" i="1"/>
  <c r="G772" i="1"/>
  <c r="G773" i="1"/>
  <c r="G774" i="1"/>
  <c r="G28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Vivi Hazlinda</author>
  </authors>
  <commentList>
    <comment ref="G287" authorId="0" shapeId="0" xr:uid="{8C70BE61-69C8-4AAB-8199-BBB95C980CDF}">
      <text>
        <r>
          <rPr>
            <b/>
            <sz val="9"/>
            <color indexed="81"/>
            <rFont val="Tahoma"/>
            <family val="2"/>
          </rPr>
          <t>Vivi Hazlinda:</t>
        </r>
        <r>
          <rPr>
            <sz val="9"/>
            <color indexed="81"/>
            <rFont val="Tahoma"/>
            <family val="2"/>
          </rPr>
          <t xml:space="preserve">
Simp.Pokok : 200.000
Simp. Wajib : 250.000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Vivi Hazlinda</author>
  </authors>
  <commentList>
    <comment ref="E9" authorId="0" shapeId="0" xr:uid="{8E824AB7-471A-40A4-B97D-165E9F331BAC}">
      <text>
        <r>
          <rPr>
            <b/>
            <sz val="9"/>
            <color indexed="81"/>
            <rFont val="Tahoma"/>
            <family val="2"/>
          </rPr>
          <t>Vivi Hazlinda:</t>
        </r>
        <r>
          <rPr>
            <sz val="9"/>
            <color indexed="81"/>
            <rFont val="Tahoma"/>
            <family val="2"/>
          </rPr>
          <t xml:space="preserve">
Simp.Pokok : 200.000
Simp. Wajib : 250.000</t>
        </r>
      </text>
    </comment>
  </commentList>
</comments>
</file>

<file path=xl/sharedStrings.xml><?xml version="1.0" encoding="utf-8"?>
<sst xmlns="http://schemas.openxmlformats.org/spreadsheetml/2006/main" count="6701" uniqueCount="2286">
  <si>
    <t>NUP</t>
  </si>
  <si>
    <t>Nama Pegawai</t>
  </si>
  <si>
    <t>Departemen</t>
  </si>
  <si>
    <t>Unit Penempatan</t>
  </si>
  <si>
    <t>104116</t>
  </si>
  <si>
    <t>IBNU NAFIS</t>
  </si>
  <si>
    <t>CABANG UTAMA KLAS BATAM</t>
  </si>
  <si>
    <t>49500</t>
  </si>
  <si>
    <t>ARIEF SULISTIYONO</t>
  </si>
  <si>
    <t>CABANG MADYA KLAS BANJARMASIN</t>
  </si>
  <si>
    <t>49199</t>
  </si>
  <si>
    <t>BAMBANG WARDOJO</t>
  </si>
  <si>
    <t>92314</t>
  </si>
  <si>
    <t>EKA NANDA PRATAMA SUNARJO</t>
  </si>
  <si>
    <t>63206</t>
  </si>
  <si>
    <t>KOKO HARIANTO</t>
  </si>
  <si>
    <t>DIVISI OPERASI BISNIS KLASIFIKASI</t>
  </si>
  <si>
    <t>95115</t>
  </si>
  <si>
    <t>MOH. HERBRAM ARYA PRANATA</t>
  </si>
  <si>
    <t>92014</t>
  </si>
  <si>
    <t>AMIR HAMZAH</t>
  </si>
  <si>
    <t>69508</t>
  </si>
  <si>
    <t>NINA SRI INDAH YANI</t>
  </si>
  <si>
    <t>118024</t>
  </si>
  <si>
    <t>MUH. NURFADHIL M.</t>
  </si>
  <si>
    <t>43196</t>
  </si>
  <si>
    <t>AZHAR</t>
  </si>
  <si>
    <t>CABANG MADYA KLAS PALEMBANG</t>
  </si>
  <si>
    <t>58604</t>
  </si>
  <si>
    <t>DIAN ENDANG WAHYUNI</t>
  </si>
  <si>
    <t>80910</t>
  </si>
  <si>
    <t>MOH. FURQON</t>
  </si>
  <si>
    <t>92514</t>
  </si>
  <si>
    <t>FUAD UMAR PAISAL</t>
  </si>
  <si>
    <t>63306</t>
  </si>
  <si>
    <t>IRZAN AZIS</t>
  </si>
  <si>
    <t>CABANG UTAMA KLAS SURABAYA</t>
  </si>
  <si>
    <t>105216</t>
  </si>
  <si>
    <t>PURWOKO WIDHYANTO WIRAWAN</t>
  </si>
  <si>
    <t>CABANG UTAMA KLAS BANTEN</t>
  </si>
  <si>
    <t>78010</t>
  </si>
  <si>
    <t>FERIZA YUSFI</t>
  </si>
  <si>
    <t>CABANG MADYA KLAS PEKANBARU</t>
  </si>
  <si>
    <t>78410</t>
  </si>
  <si>
    <t>LISA</t>
  </si>
  <si>
    <t>91814</t>
  </si>
  <si>
    <t>ALFAN FADHLI</t>
  </si>
  <si>
    <t>45197</t>
  </si>
  <si>
    <t>DONY TRI SUSILO</t>
  </si>
  <si>
    <t>76110</t>
  </si>
  <si>
    <t>ANDI ARMAN</t>
  </si>
  <si>
    <t>105516</t>
  </si>
  <si>
    <t>RISKY HARI PRASETYO</t>
  </si>
  <si>
    <t>CABANG PRATAMA KLAS JAMBI</t>
  </si>
  <si>
    <t>110816</t>
  </si>
  <si>
    <t>FITRIANI</t>
  </si>
  <si>
    <t>CABANG MADYA KLAS PONTIANAK</t>
  </si>
  <si>
    <t>48199</t>
  </si>
  <si>
    <t>MUHSON NURROCHMAT SLAMET</t>
  </si>
  <si>
    <t>95515</t>
  </si>
  <si>
    <t>SEPTIAN AJI DEWANGKARA</t>
  </si>
  <si>
    <t>91914</t>
  </si>
  <si>
    <t>ALFIAN BONE PUTRA</t>
  </si>
  <si>
    <t>88312</t>
  </si>
  <si>
    <t>ANDRE GUNTUR TEGUH WIJAKSANA SILAEN</t>
  </si>
  <si>
    <t>61305</t>
  </si>
  <si>
    <t>DEDY HERYADI</t>
  </si>
  <si>
    <t>107816</t>
  </si>
  <si>
    <t>SUDIRMAN</t>
  </si>
  <si>
    <t>CABANG MADYA KOMERSIAL BATAM</t>
  </si>
  <si>
    <t>110116</t>
  </si>
  <si>
    <t>MUKHAMAD ZUL ASIP</t>
  </si>
  <si>
    <t>112018</t>
  </si>
  <si>
    <t>PAJARUDDIN</t>
  </si>
  <si>
    <t>80010</t>
  </si>
  <si>
    <t>ZULFADLI</t>
  </si>
  <si>
    <t>84312</t>
  </si>
  <si>
    <t>HELPI TORONG</t>
  </si>
  <si>
    <t>86712</t>
  </si>
  <si>
    <t>BERMAN SARAGIH</t>
  </si>
  <si>
    <t>96615</t>
  </si>
  <si>
    <t>RUSDY WANGSA</t>
  </si>
  <si>
    <t>97215</t>
  </si>
  <si>
    <t>AHDIYAR</t>
  </si>
  <si>
    <t>97315</t>
  </si>
  <si>
    <t>IRVAN DESIADININGRAT ISKANDAR</t>
  </si>
  <si>
    <t>97715</t>
  </si>
  <si>
    <t>MUHAMMAD RYAN ANDHIKA</t>
  </si>
  <si>
    <t>98515</t>
  </si>
  <si>
    <t>HENDRA ADY SAPUTRA M</t>
  </si>
  <si>
    <t>108316</t>
  </si>
  <si>
    <t>ANDI MULIADI</t>
  </si>
  <si>
    <t>97615</t>
  </si>
  <si>
    <t>MARISANDI</t>
  </si>
  <si>
    <t>98015</t>
  </si>
  <si>
    <t>ANDI IKBAR</t>
  </si>
  <si>
    <t>98215</t>
  </si>
  <si>
    <t>KADAR PATTONRA</t>
  </si>
  <si>
    <t>76710</t>
  </si>
  <si>
    <t>ARIF BIJAKSANA SATRIA NEGARA</t>
  </si>
  <si>
    <t>102016</t>
  </si>
  <si>
    <t>AHMAD YUSRAN</t>
  </si>
  <si>
    <t>CABANG MADYA KOMERSIAL MAKASSAR</t>
  </si>
  <si>
    <t>109116</t>
  </si>
  <si>
    <t>ACHSAN</t>
  </si>
  <si>
    <t>113219</t>
  </si>
  <si>
    <t>AWALUDDIN</t>
  </si>
  <si>
    <t>100315</t>
  </si>
  <si>
    <t>M. IRFAN</t>
  </si>
  <si>
    <t>69108</t>
  </si>
  <si>
    <t>GUNAWAN SUNRE</t>
  </si>
  <si>
    <t>65908</t>
  </si>
  <si>
    <t>IRWAN</t>
  </si>
  <si>
    <t>76610</t>
  </si>
  <si>
    <t>ANDI ARDI ABDULLAH</t>
  </si>
  <si>
    <t>84112</t>
  </si>
  <si>
    <t>HAZAIRIN</t>
  </si>
  <si>
    <t>112118</t>
  </si>
  <si>
    <t>FERI ANTONI</t>
  </si>
  <si>
    <t>119625</t>
  </si>
  <si>
    <t>RAFIUDDIN HAFID</t>
  </si>
  <si>
    <t>120025</t>
  </si>
  <si>
    <t>ARDIYAN EKA SAPUTRA</t>
  </si>
  <si>
    <t>85312</t>
  </si>
  <si>
    <t>MUTTAQIN</t>
  </si>
  <si>
    <t>CABANG MADYA KOMERSIAL PEKANBARU</t>
  </si>
  <si>
    <t>107716</t>
  </si>
  <si>
    <t>M. HATTA BACO B</t>
  </si>
  <si>
    <t>108116</t>
  </si>
  <si>
    <t>RAHMAT S</t>
  </si>
  <si>
    <t>108416</t>
  </si>
  <si>
    <t>EKONDRO</t>
  </si>
  <si>
    <t>111116</t>
  </si>
  <si>
    <t>INDAH PETRICIA SARI</t>
  </si>
  <si>
    <t>112718</t>
  </si>
  <si>
    <t>ROZI DELFEMI IRAWATI</t>
  </si>
  <si>
    <t>112818</t>
  </si>
  <si>
    <t>ZULFAENI</t>
  </si>
  <si>
    <t>68208</t>
  </si>
  <si>
    <t>ABDILAH</t>
  </si>
  <si>
    <t>77810</t>
  </si>
  <si>
    <t>ADI ISMANTO</t>
  </si>
  <si>
    <t>77910</t>
  </si>
  <si>
    <t>BARI</t>
  </si>
  <si>
    <t>84812</t>
  </si>
  <si>
    <t>KAMARUDDIN</t>
  </si>
  <si>
    <t>84912</t>
  </si>
  <si>
    <t>SAID TAUFIQ</t>
  </si>
  <si>
    <t>96415</t>
  </si>
  <si>
    <t>MUH ALI HASAN</t>
  </si>
  <si>
    <t>120325</t>
  </si>
  <si>
    <t>IRMA ESMERALDA</t>
  </si>
  <si>
    <t>107216</t>
  </si>
  <si>
    <t>GUNTUR CAHYO NUGROHO</t>
  </si>
  <si>
    <t>CABANG MADYA KOMERSIAL SURABAYA</t>
  </si>
  <si>
    <t>108716</t>
  </si>
  <si>
    <t>KHOIRUL ASNAWI</t>
  </si>
  <si>
    <t>111516</t>
  </si>
  <si>
    <t>RISKITA NOVITA SARI</t>
  </si>
  <si>
    <t>111818</t>
  </si>
  <si>
    <t>NOVAN ARDYANSYAH</t>
  </si>
  <si>
    <t>67608</t>
  </si>
  <si>
    <t>A'AN AGUS FIRMANSYAH</t>
  </si>
  <si>
    <t>72308</t>
  </si>
  <si>
    <t>MUH. NASIR</t>
  </si>
  <si>
    <t>97815</t>
  </si>
  <si>
    <t>RUDOLF EDWARD DUPUY</t>
  </si>
  <si>
    <t>77110</t>
  </si>
  <si>
    <t>SUDIBYO</t>
  </si>
  <si>
    <t>116223</t>
  </si>
  <si>
    <t>BOBBY RAMADHAN</t>
  </si>
  <si>
    <t>120925</t>
  </si>
  <si>
    <t>ADIL ASMARA YUDHA</t>
  </si>
  <si>
    <t>106616</t>
  </si>
  <si>
    <t>YOHANES ARDIANTO NUGROHO</t>
  </si>
  <si>
    <t>92914</t>
  </si>
  <si>
    <t>MUSTAKIM</t>
  </si>
  <si>
    <t>CABANG PRATAMA KLAS AMBON</t>
  </si>
  <si>
    <t>69908</t>
  </si>
  <si>
    <t>PETRUS TIPAWAEL</t>
  </si>
  <si>
    <t>71008</t>
  </si>
  <si>
    <t>MUHAMMAD FAJRIN M. SAID</t>
  </si>
  <si>
    <t>104016</t>
  </si>
  <si>
    <t>HARIS HENDRATMOKO</t>
  </si>
  <si>
    <t>CABANG PRATAMA KLAS BELAWAN</t>
  </si>
  <si>
    <t>56503</t>
  </si>
  <si>
    <t>ADI KURNIAWAN</t>
  </si>
  <si>
    <t>73909</t>
  </si>
  <si>
    <t>ANDI P. SIAGIAN</t>
  </si>
  <si>
    <t>82311</t>
  </si>
  <si>
    <t>FAUZI AKBAR NASUTION</t>
  </si>
  <si>
    <t>86012</t>
  </si>
  <si>
    <t>RURI APRIDAH</t>
  </si>
  <si>
    <t>118924</t>
  </si>
  <si>
    <t>YOSEP PUTERA MARULAM</t>
  </si>
  <si>
    <t>57804</t>
  </si>
  <si>
    <t>HASIDHIAN PRAYUDHI</t>
  </si>
  <si>
    <t>CABANG PRATAMA KLAS BITUNG</t>
  </si>
  <si>
    <t>88212</t>
  </si>
  <si>
    <t>AGRIS SETYAWAN</t>
  </si>
  <si>
    <t>110516</t>
  </si>
  <si>
    <t>ZUL FAJRIN AZDIN</t>
  </si>
  <si>
    <t>81911</t>
  </si>
  <si>
    <t>ARYO SINGGIH</t>
  </si>
  <si>
    <t>63006</t>
  </si>
  <si>
    <t>AKHMAD WAHYUDI</t>
  </si>
  <si>
    <t>CABANG PRATAMA KLAS CIREBON</t>
  </si>
  <si>
    <t>103416</t>
  </si>
  <si>
    <t>DWI ARYANTO</t>
  </si>
  <si>
    <t>99115</t>
  </si>
  <si>
    <t>RICKY YULIANTO</t>
  </si>
  <si>
    <t>103016</t>
  </si>
  <si>
    <t>CHOIRUN CAHYOABDI</t>
  </si>
  <si>
    <t>119525</t>
  </si>
  <si>
    <t>ANDI FIRMANSYAH</t>
  </si>
  <si>
    <t>105016</t>
  </si>
  <si>
    <t>MUHAMMAD IDAM YON ARIF</t>
  </si>
  <si>
    <t>56603</t>
  </si>
  <si>
    <t>YULIAN ARPIANTO</t>
  </si>
  <si>
    <t>58404</t>
  </si>
  <si>
    <t>SULASMAN</t>
  </si>
  <si>
    <t>CABANG PRATAMA KLAS MAKASSAR</t>
  </si>
  <si>
    <t>88812</t>
  </si>
  <si>
    <t>MUH. ASQAR</t>
  </si>
  <si>
    <t>102616</t>
  </si>
  <si>
    <t>ARDIANSYAH DAHLAN</t>
  </si>
  <si>
    <t>69008</t>
  </si>
  <si>
    <t>HAMSAH</t>
  </si>
  <si>
    <t>74609</t>
  </si>
  <si>
    <t>ILHAM SYAHRIR</t>
  </si>
  <si>
    <t>103816</t>
  </si>
  <si>
    <t>FAJAR NUGRAHA</t>
  </si>
  <si>
    <t>CABANG PRATAMA KLAS SEMARANG</t>
  </si>
  <si>
    <t>102516</t>
  </si>
  <si>
    <t>ANDREW CRISTIANT PRAMUSINTA</t>
  </si>
  <si>
    <t>110316</t>
  </si>
  <si>
    <t>RINTO YANUAR WIJANARKO</t>
  </si>
  <si>
    <t>69308</t>
  </si>
  <si>
    <t>SUPRIYANTO</t>
  </si>
  <si>
    <t>98715</t>
  </si>
  <si>
    <t>REVIOLITA</t>
  </si>
  <si>
    <t>63706</t>
  </si>
  <si>
    <t>HANIEF RIDHWAN ALMASSAWA</t>
  </si>
  <si>
    <t>109316</t>
  </si>
  <si>
    <t>BAMBANG SAPRIANTO</t>
  </si>
  <si>
    <t>CABANG PRATAMA KLAS SORONG</t>
  </si>
  <si>
    <t>77310</t>
  </si>
  <si>
    <t>MUHAMMAD YUSUF</t>
  </si>
  <si>
    <t>77410</t>
  </si>
  <si>
    <t>MUHAMMAD HATTA</t>
  </si>
  <si>
    <t>88912</t>
  </si>
  <si>
    <t>NOAH CAHYASASMITA</t>
  </si>
  <si>
    <t>DIVISI SURVEY</t>
  </si>
  <si>
    <t>74809</t>
  </si>
  <si>
    <t>MUHAMMAD ICHSAN</t>
  </si>
  <si>
    <t>64006</t>
  </si>
  <si>
    <t>IWAN KARUNIA SIRINGORINGO</t>
  </si>
  <si>
    <t>121225</t>
  </si>
  <si>
    <t>MUH. MUSYFINUL AKRAAM</t>
  </si>
  <si>
    <t>CABANG PRATAMA KOMERSIAL SORONG</t>
  </si>
  <si>
    <t>100015</t>
  </si>
  <si>
    <t>RYAN HANGGA SRI WIJIHARTO</t>
  </si>
  <si>
    <t>CABANG PRATAMA KOMERSIAL BANJARMASIN</t>
  </si>
  <si>
    <t>108816</t>
  </si>
  <si>
    <t>MUHAMMAD ADAM FUDHOLI</t>
  </si>
  <si>
    <t>84612</t>
  </si>
  <si>
    <t>MOH. QOMARUZ ZAMAN</t>
  </si>
  <si>
    <t>85412</t>
  </si>
  <si>
    <t>BAMBANG TRI NUGROHO</t>
  </si>
  <si>
    <t>109718</t>
  </si>
  <si>
    <t>NANCY OCTAVIA L. TORUAN</t>
  </si>
  <si>
    <t>98115</t>
  </si>
  <si>
    <t>BOYNI FITHALOKA</t>
  </si>
  <si>
    <t>CABANG PRATAMA KOMERSIAL BANTEN</t>
  </si>
  <si>
    <t>85212</t>
  </si>
  <si>
    <t>MOH. NOOR KHOLIS</t>
  </si>
  <si>
    <t>86812</t>
  </si>
  <si>
    <t>MUHAMMAD ARAFAH</t>
  </si>
  <si>
    <t>108916</t>
  </si>
  <si>
    <t>OKI DWI ANGGORO</t>
  </si>
  <si>
    <t>CABANG PRATAMA KOMERSIAL BELAWAN</t>
  </si>
  <si>
    <t>94315</t>
  </si>
  <si>
    <t>YUSRI TOMBANG</t>
  </si>
  <si>
    <t>52200</t>
  </si>
  <si>
    <t>HERI WIRAWAN</t>
  </si>
  <si>
    <t>85112</t>
  </si>
  <si>
    <t>SYARI DODI AHMAD YANI</t>
  </si>
  <si>
    <t>96515</t>
  </si>
  <si>
    <t>SUDARMA EDY SARAGIH JAWAK</t>
  </si>
  <si>
    <t>120525</t>
  </si>
  <si>
    <t>GANDA TUA LEONARDUS LUMBAN GAOL</t>
  </si>
  <si>
    <t>121125</t>
  </si>
  <si>
    <t>MUHAMMAD RIZKI</t>
  </si>
  <si>
    <t>51500</t>
  </si>
  <si>
    <t>DARMA TODING</t>
  </si>
  <si>
    <t>CABANG PRATAMA KOMERSIAL BITUNG</t>
  </si>
  <si>
    <t>101515</t>
  </si>
  <si>
    <t>EDY SANTOSO SARIALLO M</t>
  </si>
  <si>
    <t>107516</t>
  </si>
  <si>
    <t>IKHSAN ISMAIL</t>
  </si>
  <si>
    <t>CABANG PRATAMA KOMERSIAL CIREBON</t>
  </si>
  <si>
    <t>79610</t>
  </si>
  <si>
    <t>BERNADUS BAYUAJI WIRABUANA</t>
  </si>
  <si>
    <t>107916</t>
  </si>
  <si>
    <t>SULTAN ABBAS DANGKENG</t>
  </si>
  <si>
    <t>CABANG PRATAMA KOMERSIAL JAMBI</t>
  </si>
  <si>
    <t>96915</t>
  </si>
  <si>
    <t>EDI ZULKARNAIN</t>
  </si>
  <si>
    <t>76510</t>
  </si>
  <si>
    <t>MARZUKI DG LALLO</t>
  </si>
  <si>
    <t>CABANG PRATAMA KOMERSIAL PALEMBANG</t>
  </si>
  <si>
    <t>52700</t>
  </si>
  <si>
    <t>WIDODO</t>
  </si>
  <si>
    <t>96815</t>
  </si>
  <si>
    <t>AKHMAD MULIADDIN</t>
  </si>
  <si>
    <t>108216</t>
  </si>
  <si>
    <t>ZAINAL</t>
  </si>
  <si>
    <t>97015</t>
  </si>
  <si>
    <t>KHAERUL AKBAR</t>
  </si>
  <si>
    <t>99915</t>
  </si>
  <si>
    <t>MOKHAMMAD YUFIAN RIDHANANDA</t>
  </si>
  <si>
    <t>CABANG PRATAMA KOMERSIAL PONTIANAK</t>
  </si>
  <si>
    <t>116123</t>
  </si>
  <si>
    <t>M. AZWAR</t>
  </si>
  <si>
    <t>120725</t>
  </si>
  <si>
    <t>AZIB MUZANI</t>
  </si>
  <si>
    <t>121025</t>
  </si>
  <si>
    <t>RIAN ARISTIANTO</t>
  </si>
  <si>
    <t>94615</t>
  </si>
  <si>
    <t>MUHAMMAD RIZKY PURNAMA</t>
  </si>
  <si>
    <t>CABANG PRATAMA KOMERSIAL SEMARANG</t>
  </si>
  <si>
    <t>98815</t>
  </si>
  <si>
    <t>MIFTAKHUL QOMAR</t>
  </si>
  <si>
    <t>98915</t>
  </si>
  <si>
    <t>ISKANDAR PURNOMO SIDI</t>
  </si>
  <si>
    <t>99015</t>
  </si>
  <si>
    <t>TEGUH TRIWIYADI</t>
  </si>
  <si>
    <t>77210</t>
  </si>
  <si>
    <t>SUCIBTA JABELSIR P</t>
  </si>
  <si>
    <t>120825</t>
  </si>
  <si>
    <t>TRI KUNCORO RIYADI</t>
  </si>
  <si>
    <t>69408</t>
  </si>
  <si>
    <t>YOHANIS</t>
  </si>
  <si>
    <t>58004</t>
  </si>
  <si>
    <t>DJOKO WAHYUDI</t>
  </si>
  <si>
    <t>109216</t>
  </si>
  <si>
    <t>WISNU WAHYU WARDHINI</t>
  </si>
  <si>
    <t>38491</t>
  </si>
  <si>
    <t>SUWANDI</t>
  </si>
  <si>
    <t>98615</t>
  </si>
  <si>
    <t>INDRA KUSUMA MUHAMMAD</t>
  </si>
  <si>
    <t>80510</t>
  </si>
  <si>
    <t>BAWA PRASETYO</t>
  </si>
  <si>
    <t>92414</t>
  </si>
  <si>
    <t>FERRY FADLI</t>
  </si>
  <si>
    <t>74209</t>
  </si>
  <si>
    <t>EDWIN OLAF JULIAN DAMANIK</t>
  </si>
  <si>
    <t>103516</t>
  </si>
  <si>
    <t>EKO HARYANTO</t>
  </si>
  <si>
    <t>118224</t>
  </si>
  <si>
    <t>IBNUL QAYYIM</t>
  </si>
  <si>
    <t>57704</t>
  </si>
  <si>
    <t>MOH. BASARUDIN ASFAHANI</t>
  </si>
  <si>
    <t>104816</t>
  </si>
  <si>
    <t>MUHAMMAD ASRUL LA SARIPI</t>
  </si>
  <si>
    <t>81711</t>
  </si>
  <si>
    <t>ANTONG GOLI</t>
  </si>
  <si>
    <t>106516</t>
  </si>
  <si>
    <t>YHOGA SUSILA WARDANU</t>
  </si>
  <si>
    <t>70008</t>
  </si>
  <si>
    <t>LINDA MURNI</t>
  </si>
  <si>
    <t>74009</t>
  </si>
  <si>
    <t>BOGI AKHMAD SUENDAR</t>
  </si>
  <si>
    <t>81611</t>
  </si>
  <si>
    <t>AGUSTANG</t>
  </si>
  <si>
    <t>CABANG UTAMA KLAS TG. PRIOK</t>
  </si>
  <si>
    <t>82911</t>
  </si>
  <si>
    <t>MUHIBBUDDIN</t>
  </si>
  <si>
    <t>55201</t>
  </si>
  <si>
    <t>LUKMAN HAKIM</t>
  </si>
  <si>
    <t>88512</t>
  </si>
  <si>
    <t>I GUSTI NGURAH WIRA PRATAMA</t>
  </si>
  <si>
    <t>90713</t>
  </si>
  <si>
    <t>WULANDARI</t>
  </si>
  <si>
    <t>96715</t>
  </si>
  <si>
    <t>MONAF MASSE</t>
  </si>
  <si>
    <t>97115</t>
  </si>
  <si>
    <t>ARDIANSYAH</t>
  </si>
  <si>
    <t>97915</t>
  </si>
  <si>
    <t>ISHAK NOERPARA</t>
  </si>
  <si>
    <t>68708</t>
  </si>
  <si>
    <t>HENI LESTARI</t>
  </si>
  <si>
    <t>95915</t>
  </si>
  <si>
    <t>ANDY WIBOWO</t>
  </si>
  <si>
    <t>109816</t>
  </si>
  <si>
    <t>DWI MARYANTI PITER PATALO</t>
  </si>
  <si>
    <t>110216</t>
  </si>
  <si>
    <t>MUSTAQIM</t>
  </si>
  <si>
    <t>45497</t>
  </si>
  <si>
    <t>BUDI ISROFI</t>
  </si>
  <si>
    <t>95015</t>
  </si>
  <si>
    <t>M. BAGUS PRIMA SETIAWAN</t>
  </si>
  <si>
    <t>104316</t>
  </si>
  <si>
    <t>JIADAN</t>
  </si>
  <si>
    <t>71208</t>
  </si>
  <si>
    <t>YULID ANJI FIRMANSYAH</t>
  </si>
  <si>
    <t>81010</t>
  </si>
  <si>
    <t>TRIYONO SEMUEL</t>
  </si>
  <si>
    <t>118424</t>
  </si>
  <si>
    <t>MUHAMMAD RIZQI ADITYA VEVA</t>
  </si>
  <si>
    <t>118824</t>
  </si>
  <si>
    <t>HARAL LINTANG MEDIKA</t>
  </si>
  <si>
    <t>118724</t>
  </si>
  <si>
    <t>FARIZ RACHMAN DANIYAL</t>
  </si>
  <si>
    <t>118624</t>
  </si>
  <si>
    <t>ADE KHANTARI</t>
  </si>
  <si>
    <t>117624</t>
  </si>
  <si>
    <t>MUHAMMAD SADDAM HUSSEIN</t>
  </si>
  <si>
    <t>44997</t>
  </si>
  <si>
    <t>BENNI HERMAWAN</t>
  </si>
  <si>
    <t>CABANG UTAMA KLAS SAMARINDA</t>
  </si>
  <si>
    <t>60405</t>
  </si>
  <si>
    <t>DAVID NOER SYUHADA</t>
  </si>
  <si>
    <t>105816</t>
  </si>
  <si>
    <t>STEFFY HERMAN</t>
  </si>
  <si>
    <t>111316</t>
  </si>
  <si>
    <t>RIZKA PRASETYA</t>
  </si>
  <si>
    <t>45597</t>
  </si>
  <si>
    <t>SYARIF NUHUNG</t>
  </si>
  <si>
    <t>66408</t>
  </si>
  <si>
    <t>AGUSTINI</t>
  </si>
  <si>
    <t>66708</t>
  </si>
  <si>
    <t>DANI ISKANDAR</t>
  </si>
  <si>
    <t>95315</t>
  </si>
  <si>
    <t>RANGSANG KUSUMADILAGA</t>
  </si>
  <si>
    <t>88612</t>
  </si>
  <si>
    <t>LA ODE ABDUL RAHMAN FIRU</t>
  </si>
  <si>
    <t>91614</t>
  </si>
  <si>
    <t>ABDUL KHOLICK</t>
  </si>
  <si>
    <t>91714</t>
  </si>
  <si>
    <t>AGUS ERICSON SIANIPAR</t>
  </si>
  <si>
    <t>62406</t>
  </si>
  <si>
    <t>RIDWAN</t>
  </si>
  <si>
    <t>66808</t>
  </si>
  <si>
    <t>ANA RAHMAWATI</t>
  </si>
  <si>
    <t>112618</t>
  </si>
  <si>
    <t>DARMAWAN</t>
  </si>
  <si>
    <t>118524</t>
  </si>
  <si>
    <t>HANIF KURNIAWAN</t>
  </si>
  <si>
    <t>43496</t>
  </si>
  <si>
    <t>MISBAHUDIN AIDY</t>
  </si>
  <si>
    <t>CABANG UTAMA KLAS SINGAPORE</t>
  </si>
  <si>
    <t>89212</t>
  </si>
  <si>
    <t>SUWANDY</t>
  </si>
  <si>
    <t>92114</t>
  </si>
  <si>
    <t>ANUGRAH EKO BUDI SUSANTO</t>
  </si>
  <si>
    <t>47799</t>
  </si>
  <si>
    <t>BAMBANG RIYANTO</t>
  </si>
  <si>
    <t>71908</t>
  </si>
  <si>
    <t>BAKTI NUGROHO DWI KUSHADIANTO</t>
  </si>
  <si>
    <t>47699</t>
  </si>
  <si>
    <t>AGUNG WICAKSONO</t>
  </si>
  <si>
    <t>66508</t>
  </si>
  <si>
    <t>TAMUJI HARI WARTONO</t>
  </si>
  <si>
    <t>60905</t>
  </si>
  <si>
    <t>IKA DIAN ARIANY</t>
  </si>
  <si>
    <t>109217</t>
  </si>
  <si>
    <t>FITRIA</t>
  </si>
  <si>
    <t>62606</t>
  </si>
  <si>
    <t>ABUKASIM USMAN</t>
  </si>
  <si>
    <t>78210</t>
  </si>
  <si>
    <t>SILVIA KARULITA</t>
  </si>
  <si>
    <t>79510</t>
  </si>
  <si>
    <t>NURUL HUDA</t>
  </si>
  <si>
    <t>57503</t>
  </si>
  <si>
    <t>TEGUH BUDI SANTOSO</t>
  </si>
  <si>
    <t>80410</t>
  </si>
  <si>
    <t>ARIF KURNIAWAN</t>
  </si>
  <si>
    <t>89012</t>
  </si>
  <si>
    <t>RIDWAN AHMAD FAUZI</t>
  </si>
  <si>
    <t>102816</t>
  </si>
  <si>
    <t>BAYU RISTA</t>
  </si>
  <si>
    <t>93714</t>
  </si>
  <si>
    <t>YOGIA RIVALDHI</t>
  </si>
  <si>
    <t>86112</t>
  </si>
  <si>
    <t>AHMAD SAIFULLOH</t>
  </si>
  <si>
    <t>74909</t>
  </si>
  <si>
    <t>SAMSUL ARIF</t>
  </si>
  <si>
    <t>117724</t>
  </si>
  <si>
    <t>ABDUL HAKIM LILLAH</t>
  </si>
  <si>
    <t>117924</t>
  </si>
  <si>
    <t>ADITYA ARIAWAN</t>
  </si>
  <si>
    <t>117824</t>
  </si>
  <si>
    <t>ALIF YUDHA ASHARI</t>
  </si>
  <si>
    <t>122325</t>
  </si>
  <si>
    <t>LINTANG BODRORINI KUSUMANINGRUM</t>
  </si>
  <si>
    <t>104216</t>
  </si>
  <si>
    <t>JANU HARI MURTITAKA</t>
  </si>
  <si>
    <t>95215</t>
  </si>
  <si>
    <t>MUHAMAD BAQI</t>
  </si>
  <si>
    <t>101915</t>
  </si>
  <si>
    <t>FAUZI</t>
  </si>
  <si>
    <t>102316</t>
  </si>
  <si>
    <t>AKBAR RAKANDA PRAKASA</t>
  </si>
  <si>
    <t>51400</t>
  </si>
  <si>
    <t>SOLEH ABIDIN</t>
  </si>
  <si>
    <t>52300</t>
  </si>
  <si>
    <t>KARMILA</t>
  </si>
  <si>
    <t>61706</t>
  </si>
  <si>
    <t>RM KURNAEFI</t>
  </si>
  <si>
    <t>72708</t>
  </si>
  <si>
    <t>TONI SYARIF HIDAYAH</t>
  </si>
  <si>
    <t>74309</t>
  </si>
  <si>
    <t>HARDI E. P. SIAGIAN</t>
  </si>
  <si>
    <t>55301</t>
  </si>
  <si>
    <t>TAUFIK ARIE WIJAYA</t>
  </si>
  <si>
    <t>77510</t>
  </si>
  <si>
    <t>INDRA PERMANA</t>
  </si>
  <si>
    <t>107116</t>
  </si>
  <si>
    <t>RONY WIRANTO SETIAWAN</t>
  </si>
  <si>
    <t>45297</t>
  </si>
  <si>
    <t>MUHAMMAD IDI</t>
  </si>
  <si>
    <t>44797</t>
  </si>
  <si>
    <t>DIDI KURNIADI</t>
  </si>
  <si>
    <t>87712</t>
  </si>
  <si>
    <t>EKO MAJA PRIYANTO</t>
  </si>
  <si>
    <t>48799</t>
  </si>
  <si>
    <t>SHINDU PURWANTO</t>
  </si>
  <si>
    <t>83111</t>
  </si>
  <si>
    <t>NARSO</t>
  </si>
  <si>
    <t>117123</t>
  </si>
  <si>
    <t>WILDANIS MIFTAHUL ABROR</t>
  </si>
  <si>
    <t>118124</t>
  </si>
  <si>
    <t>FARHAN ABDUL KARIM</t>
  </si>
  <si>
    <t>88112</t>
  </si>
  <si>
    <t>ADI YUDHO WIJAYANTO</t>
  </si>
  <si>
    <t>CABANG UTAMA KLAS TG. PRIOK - BAGIAN PEMASARAN OFFSHORE</t>
  </si>
  <si>
    <t>105916</t>
  </si>
  <si>
    <t>SUTRISNO</t>
  </si>
  <si>
    <t>80610</t>
  </si>
  <si>
    <t>DEDE NANDA SETYADIN</t>
  </si>
  <si>
    <t>80210</t>
  </si>
  <si>
    <t>A. RASYID ALIMUDDIN</t>
  </si>
  <si>
    <t>CABANG UTAMA KOMERSIAL BALIKPAPAN</t>
  </si>
  <si>
    <t>85512</t>
  </si>
  <si>
    <t>JOKO UTOMO</t>
  </si>
  <si>
    <t>100515</t>
  </si>
  <si>
    <t>SULIADI ARI</t>
  </si>
  <si>
    <t>100615</t>
  </si>
  <si>
    <t>LOESTHPEDI PARORRONGAN</t>
  </si>
  <si>
    <t>100815</t>
  </si>
  <si>
    <t>MUHAMMAD ALIYAS</t>
  </si>
  <si>
    <t>101115</t>
  </si>
  <si>
    <t>FANDI AKBAR</t>
  </si>
  <si>
    <t>101215</t>
  </si>
  <si>
    <t>ZAINAL ABIDIN</t>
  </si>
  <si>
    <t>107316</t>
  </si>
  <si>
    <t>HARIMULYO</t>
  </si>
  <si>
    <t>109516</t>
  </si>
  <si>
    <t>SAMUEL JOHAN SOSELISA</t>
  </si>
  <si>
    <t>109616</t>
  </si>
  <si>
    <t>SAUR ELI TUA SIRAIT</t>
  </si>
  <si>
    <t>111618</t>
  </si>
  <si>
    <t>ABDUL SARPAN</t>
  </si>
  <si>
    <t>111918</t>
  </si>
  <si>
    <t>YAURI LINGKAR PARAENG</t>
  </si>
  <si>
    <t>112518</t>
  </si>
  <si>
    <t>SUBARI</t>
  </si>
  <si>
    <t>66008</t>
  </si>
  <si>
    <t>MUHAMMAD ALI MURTADHO</t>
  </si>
  <si>
    <t>66208</t>
  </si>
  <si>
    <t>YOPPY SURYANTO</t>
  </si>
  <si>
    <t>66308</t>
  </si>
  <si>
    <t>RATNA DAMAYANTI</t>
  </si>
  <si>
    <t>66608</t>
  </si>
  <si>
    <t>TRI WAHYUNI</t>
  </si>
  <si>
    <t>83411</t>
  </si>
  <si>
    <t>SUDARYONO</t>
  </si>
  <si>
    <t>83511</t>
  </si>
  <si>
    <t>ADNAN</t>
  </si>
  <si>
    <t>90513</t>
  </si>
  <si>
    <t>IKBAL KADIR</t>
  </si>
  <si>
    <t>100715</t>
  </si>
  <si>
    <t>ANDI AGUNG MAPPANGILE</t>
  </si>
  <si>
    <t>100915</t>
  </si>
  <si>
    <t>SYAHRANI SUMAILA</t>
  </si>
  <si>
    <t>101315</t>
  </si>
  <si>
    <t>BASORI</t>
  </si>
  <si>
    <t>84212</t>
  </si>
  <si>
    <t>AKBAR EDY</t>
  </si>
  <si>
    <t>65408</t>
  </si>
  <si>
    <t>ROHMAN NAHDIANTO</t>
  </si>
  <si>
    <t>85712</t>
  </si>
  <si>
    <t>UMI MAISYAROH</t>
  </si>
  <si>
    <t>99715</t>
  </si>
  <si>
    <t>BRAMANTI PRAMAWEDHA SATRIANTO PUTRA</t>
  </si>
  <si>
    <t>119925</t>
  </si>
  <si>
    <t>NUR FAUZAN AZIM</t>
  </si>
  <si>
    <t>120225</t>
  </si>
  <si>
    <t>LA ODE ABDUL SAHID MUNIFA</t>
  </si>
  <si>
    <t>115523</t>
  </si>
  <si>
    <t>DAVID HARYANTO</t>
  </si>
  <si>
    <t>DEPARTEMEN MANAJEMEN PORTOFOLIO</t>
  </si>
  <si>
    <t>113419</t>
  </si>
  <si>
    <t>ALDICIO WILLIAM SCHUURMAN</t>
  </si>
  <si>
    <t>102416</t>
  </si>
  <si>
    <t>ALWI</t>
  </si>
  <si>
    <t>114319</t>
  </si>
  <si>
    <t>FAISHAL ABDURRAHMAN LABIB</t>
  </si>
  <si>
    <t>90112</t>
  </si>
  <si>
    <t>HENRY KURNIAWAN</t>
  </si>
  <si>
    <t>74409</t>
  </si>
  <si>
    <t>HARDIKA RATDITYA ARDYANTO</t>
  </si>
  <si>
    <t>50300</t>
  </si>
  <si>
    <t>PUJATMANTO BASTRIADI</t>
  </si>
  <si>
    <t>48099</t>
  </si>
  <si>
    <t>BAMBANG SUTOMO</t>
  </si>
  <si>
    <t>74509</t>
  </si>
  <si>
    <t>HERDIMAN MUSTARI</t>
  </si>
  <si>
    <t>103716</t>
  </si>
  <si>
    <t>FAJAR LUTFIALAYUBI</t>
  </si>
  <si>
    <t>106416</t>
  </si>
  <si>
    <t>YASIN BESARI MUSTOFA</t>
  </si>
  <si>
    <t>49900</t>
  </si>
  <si>
    <t>HERBERT SIMON HUTAJULU</t>
  </si>
  <si>
    <t>79110</t>
  </si>
  <si>
    <t>HIMAWAN</t>
  </si>
  <si>
    <t>83011</t>
  </si>
  <si>
    <t>MUNIR MURADI</t>
  </si>
  <si>
    <t>87512</t>
  </si>
  <si>
    <t>EDO DODY HANDRADI</t>
  </si>
  <si>
    <t>42996</t>
  </si>
  <si>
    <t>ARIEF NURTJAHJO</t>
  </si>
  <si>
    <t>GROUP BISNIS KLASIFIKASI NUSANTARA</t>
  </si>
  <si>
    <t>60005</t>
  </si>
  <si>
    <t>ROYNALD MATAHELUMUAL</t>
  </si>
  <si>
    <t>DIVISI MANAJEMEN CABANG KOMERSIAL</t>
  </si>
  <si>
    <t>56803</t>
  </si>
  <si>
    <t>TOGAP HIDAYAT SIAGIAN</t>
  </si>
  <si>
    <t>71808</t>
  </si>
  <si>
    <t>ROCHMANSYAH</t>
  </si>
  <si>
    <t>67308</t>
  </si>
  <si>
    <t>N. HERAWATI MELDA S</t>
  </si>
  <si>
    <t>63606</t>
  </si>
  <si>
    <t>MAMIN RIFFIA KUSNANDAR</t>
  </si>
  <si>
    <t>66908</t>
  </si>
  <si>
    <t>ACHMAD TAWAKKAL RAMPA</t>
  </si>
  <si>
    <t>75410</t>
  </si>
  <si>
    <t>LILAH KURNIA SARI</t>
  </si>
  <si>
    <t>124125</t>
  </si>
  <si>
    <t>MUHAMMAD DAFA'ANH MURYA TSANI</t>
  </si>
  <si>
    <t>48399</t>
  </si>
  <si>
    <t>BUDI PRAKOSO</t>
  </si>
  <si>
    <t>DIVISI OPERASI DIGITAL TIC</t>
  </si>
  <si>
    <t>89712</t>
  </si>
  <si>
    <t>TRIYAN INDRAWAN</t>
  </si>
  <si>
    <t>58306</t>
  </si>
  <si>
    <t>MAT HASAN</t>
  </si>
  <si>
    <t>115219</t>
  </si>
  <si>
    <t>RIANA PATRICIA</t>
  </si>
  <si>
    <t>GROUP STRATEGI DAN TRANSFORMASI KORPORAT</t>
  </si>
  <si>
    <t>114719</t>
  </si>
  <si>
    <t>MEGAWATI ROSALIO PUTRI</t>
  </si>
  <si>
    <t>91314</t>
  </si>
  <si>
    <t>IRAWATI</t>
  </si>
  <si>
    <t>117423</t>
  </si>
  <si>
    <t>ABDUL RIFANI PRAJA NURRAHMAN</t>
  </si>
  <si>
    <t>DIVISI AKUNTANSI KEUANGAN DAN PAJAK</t>
  </si>
  <si>
    <t>113619</t>
  </si>
  <si>
    <t>ADESTA MUNAS LATIEF</t>
  </si>
  <si>
    <t>116823</t>
  </si>
  <si>
    <t>RATIH TRI HARTANTI</t>
  </si>
  <si>
    <t>113819</t>
  </si>
  <si>
    <t>ANNISYAH FAZRIN</t>
  </si>
  <si>
    <t>116523</t>
  </si>
  <si>
    <t>AGIYANI PERMANA PUTRA</t>
  </si>
  <si>
    <t>72008</t>
  </si>
  <si>
    <t>RINO YAN CAHYONO</t>
  </si>
  <si>
    <t>DIVISI KEUANGAN DAN AKUNTANSI</t>
  </si>
  <si>
    <t>58504</t>
  </si>
  <si>
    <t>SUMARTINI</t>
  </si>
  <si>
    <t>58704</t>
  </si>
  <si>
    <t>LILY PANDANSARI</t>
  </si>
  <si>
    <t>79210</t>
  </si>
  <si>
    <t>RISKA TRI HANDINI</t>
  </si>
  <si>
    <t>86512</t>
  </si>
  <si>
    <t>RATNA DEWI</t>
  </si>
  <si>
    <t>70408</t>
  </si>
  <si>
    <t>PUTRI NUR LAKSMI</t>
  </si>
  <si>
    <t>111416</t>
  </si>
  <si>
    <t>NENNY YUNIARTI</t>
  </si>
  <si>
    <t>99215</t>
  </si>
  <si>
    <t>TRI JANUAR PRATAMA</t>
  </si>
  <si>
    <t>93814</t>
  </si>
  <si>
    <t>AZIZA</t>
  </si>
  <si>
    <t>116323</t>
  </si>
  <si>
    <t>ELISHA MUTHIA</t>
  </si>
  <si>
    <t>116623</t>
  </si>
  <si>
    <t>ZULFIKAR MA'RIFATULLAH</t>
  </si>
  <si>
    <t>73609</t>
  </si>
  <si>
    <t>KURNIA FIRMANSYAH</t>
  </si>
  <si>
    <t>121625</t>
  </si>
  <si>
    <t>YULIA FAJRI KINANTI</t>
  </si>
  <si>
    <t>121725</t>
  </si>
  <si>
    <t>MUHAMMAD ABDURRAHMAN ALI</t>
  </si>
  <si>
    <t>124325</t>
  </si>
  <si>
    <t>MARITSA HADANA</t>
  </si>
  <si>
    <t>124625</t>
  </si>
  <si>
    <t xml:space="preserve">ANNISA FITRI AMALIA </t>
  </si>
  <si>
    <t>110616</t>
  </si>
  <si>
    <t>AJI ABDUL AZIZ</t>
  </si>
  <si>
    <t>DIVISI HUMAN CAPITAL DAN TEKNOLOGI INFORMASI</t>
  </si>
  <si>
    <t>69208</t>
  </si>
  <si>
    <t>PANDU WIJANARKO</t>
  </si>
  <si>
    <t>109317</t>
  </si>
  <si>
    <t>SAMSUL MUSLIM</t>
  </si>
  <si>
    <t>83711</t>
  </si>
  <si>
    <t>ROMILLO LIBRA SETIADI</t>
  </si>
  <si>
    <t>88012</t>
  </si>
  <si>
    <t>BAYU MAHARDIKA WICAKSONO</t>
  </si>
  <si>
    <t>94914</t>
  </si>
  <si>
    <t>MUCHLIS RACHMAN</t>
  </si>
  <si>
    <t>41594</t>
  </si>
  <si>
    <t>DIDING SUWANDI</t>
  </si>
  <si>
    <t>86412</t>
  </si>
  <si>
    <t>MARINA ARIFIANTI</t>
  </si>
  <si>
    <t>115119</t>
  </si>
  <si>
    <t>NURKUMALA SAKTI</t>
  </si>
  <si>
    <t>55401</t>
  </si>
  <si>
    <t>KOMARIAH</t>
  </si>
  <si>
    <t>70208</t>
  </si>
  <si>
    <t>YULIA DIAN ANGGRAINI</t>
  </si>
  <si>
    <t>70308</t>
  </si>
  <si>
    <t>MIA MARTINA INDAH</t>
  </si>
  <si>
    <t>40393</t>
  </si>
  <si>
    <t>SALVINUS PATANGKE</t>
  </si>
  <si>
    <t>67508</t>
  </si>
  <si>
    <t>MARDINI EMBUN SARI</t>
  </si>
  <si>
    <t>68808</t>
  </si>
  <si>
    <t>DESI HARDIANAWATI</t>
  </si>
  <si>
    <t>79810</t>
  </si>
  <si>
    <t>RIDWAN ARIFIN</t>
  </si>
  <si>
    <t>72208</t>
  </si>
  <si>
    <t>EVA SINTAULI SARAGIH</t>
  </si>
  <si>
    <t>116423</t>
  </si>
  <si>
    <t>APRIANSYAH</t>
  </si>
  <si>
    <t>83812</t>
  </si>
  <si>
    <t>RATIH PUTRI ARIFIANTI</t>
  </si>
  <si>
    <t>62006</t>
  </si>
  <si>
    <t>RACHMAD KURNIAWAN</t>
  </si>
  <si>
    <t>50500</t>
  </si>
  <si>
    <t>IRWANTO</t>
  </si>
  <si>
    <t>52900</t>
  </si>
  <si>
    <t>WAWAN PRIYA WIDYANTA</t>
  </si>
  <si>
    <t>68608</t>
  </si>
  <si>
    <t>MANIAH</t>
  </si>
  <si>
    <t>40793</t>
  </si>
  <si>
    <t>ROSALINA AMRAN</t>
  </si>
  <si>
    <t>70908</t>
  </si>
  <si>
    <t>MUHAMAD SODIK</t>
  </si>
  <si>
    <t>85912</t>
  </si>
  <si>
    <t>YUSFI NOER ARYANI</t>
  </si>
  <si>
    <t>116723</t>
  </si>
  <si>
    <t>SAHDAT FAMA RIDHO</t>
  </si>
  <si>
    <t>121925</t>
  </si>
  <si>
    <t>FREDY NURMAN SALEH</t>
  </si>
  <si>
    <t>124825</t>
  </si>
  <si>
    <t>ELMY MUFIDAH</t>
  </si>
  <si>
    <t>113319</t>
  </si>
  <si>
    <t>MOHAMMAD RIZKI SATRIO</t>
  </si>
  <si>
    <t>DIVISI HUMAN CAPITAL</t>
  </si>
  <si>
    <t>99315</t>
  </si>
  <si>
    <t>FIKRAH WATHANI</t>
  </si>
  <si>
    <t>114419</t>
  </si>
  <si>
    <t>IRMARINDA SHEYNA CHANDRASAFIRA</t>
  </si>
  <si>
    <t>122025</t>
  </si>
  <si>
    <t>DIANA PINASTHIKA</t>
  </si>
  <si>
    <t>49600</t>
  </si>
  <si>
    <t>DIVISI INTEGRASI SISTEM DAN PROSES BISNIS</t>
  </si>
  <si>
    <t>115823</t>
  </si>
  <si>
    <t>AGUS SYARIF MAOLANA</t>
  </si>
  <si>
    <t>119725</t>
  </si>
  <si>
    <t>IRMA YUNIATI</t>
  </si>
  <si>
    <t>85612</t>
  </si>
  <si>
    <t>BUSROL KARIM</t>
  </si>
  <si>
    <t>UNIT HSE</t>
  </si>
  <si>
    <t>65308</t>
  </si>
  <si>
    <t>DIDIET EDITHIA FIRMAN</t>
  </si>
  <si>
    <t>58304</t>
  </si>
  <si>
    <t>AGUNG BUDI ARNANTO</t>
  </si>
  <si>
    <t>53000</t>
  </si>
  <si>
    <t>RIMA NOVEDIA BANGUN</t>
  </si>
  <si>
    <t>DIVISI PERENCANAAN KORPORAT DAN MANAJEMEN RISIKO</t>
  </si>
  <si>
    <t>94715</t>
  </si>
  <si>
    <t>WARINI</t>
  </si>
  <si>
    <t>53300</t>
  </si>
  <si>
    <t>ANOGI AKBAR ALI</t>
  </si>
  <si>
    <t>104616</t>
  </si>
  <si>
    <t>MOKHAMMAD FAKHRUR RIZAL</t>
  </si>
  <si>
    <t>114919</t>
  </si>
  <si>
    <t>MUHAMMAD ADITYO NUGROHO</t>
  </si>
  <si>
    <t>94214</t>
  </si>
  <si>
    <t>DWI CAHYA KURNIAWANI</t>
  </si>
  <si>
    <t>46198</t>
  </si>
  <si>
    <t>DEDE MA'MUN SUMANTRI</t>
  </si>
  <si>
    <t>121825</t>
  </si>
  <si>
    <t>REGIYAN DRININ KAWASUGI</t>
  </si>
  <si>
    <t>124025</t>
  </si>
  <si>
    <t>MUHAMMAD RAFI AMRULLAH</t>
  </si>
  <si>
    <t>124425</t>
  </si>
  <si>
    <t>ELVIRA ANGGRAINI KUSUMAPUTRI</t>
  </si>
  <si>
    <t>114019</t>
  </si>
  <si>
    <t>CHRISANTYA DIAN EKA WIHARTI</t>
  </si>
  <si>
    <t>DIVISI MANAJEMEN RISIKO DAN KEBERLANJUTAN</t>
  </si>
  <si>
    <t>71308</t>
  </si>
  <si>
    <t>SURIATY PARAMINTA PUTRI</t>
  </si>
  <si>
    <t>113519</t>
  </si>
  <si>
    <t>ABDIL HAFIIZH ZHAFRAN</t>
  </si>
  <si>
    <t>DIVISI PEMASARAN KORPORAT</t>
  </si>
  <si>
    <t>81210</t>
  </si>
  <si>
    <t>SUKMA MAHARANI</t>
  </si>
  <si>
    <t>UNIT PEMASARAN DAN LAYANAN PELANGGAN NUSANTARA</t>
  </si>
  <si>
    <t>41093</t>
  </si>
  <si>
    <t>DWIYANA</t>
  </si>
  <si>
    <t>121325</t>
  </si>
  <si>
    <t>RAKA DWITA SETYANEGARA</t>
  </si>
  <si>
    <t>111216</t>
  </si>
  <si>
    <t>MARISA THERESIA SIHOMBING</t>
  </si>
  <si>
    <t>DIVISI PENGADAAN, UMUM DAN MANAJEMEN ASET</t>
  </si>
  <si>
    <t>50700</t>
  </si>
  <si>
    <t>RATNA NURCAHYA</t>
  </si>
  <si>
    <t>56002</t>
  </si>
  <si>
    <t>ILYAS</t>
  </si>
  <si>
    <t>62306</t>
  </si>
  <si>
    <t>BAMBANG IRWAN</t>
  </si>
  <si>
    <t>61906</t>
  </si>
  <si>
    <t>TEGUH ANDANI</t>
  </si>
  <si>
    <t>44897</t>
  </si>
  <si>
    <t>MOHAMMAD HASAN</t>
  </si>
  <si>
    <t>62906</t>
  </si>
  <si>
    <t>SRI MULYANTI</t>
  </si>
  <si>
    <t>99415</t>
  </si>
  <si>
    <t>KOSIM BIN MARI</t>
  </si>
  <si>
    <t>99515</t>
  </si>
  <si>
    <t>SARIDI</t>
  </si>
  <si>
    <t>113719</t>
  </si>
  <si>
    <t>ADITYA PUTRI ANGGRAINI</t>
  </si>
  <si>
    <t>72608</t>
  </si>
  <si>
    <t>UNTUNG PRASETYO</t>
  </si>
  <si>
    <t>39792</t>
  </si>
  <si>
    <t>NASARUDDIN</t>
  </si>
  <si>
    <t>117223</t>
  </si>
  <si>
    <t>MUSLIM DERMAWAN BARUS</t>
  </si>
  <si>
    <t>121425</t>
  </si>
  <si>
    <t>RIAN EKA SAPUTRA</t>
  </si>
  <si>
    <t>124725</t>
  </si>
  <si>
    <t>RAFIF BINTANG RAMADHAN</t>
  </si>
  <si>
    <t>46298</t>
  </si>
  <si>
    <t>SUKADI REDJI</t>
  </si>
  <si>
    <t>115422</t>
  </si>
  <si>
    <t>NADIA LISTIYANI</t>
  </si>
  <si>
    <t>DIVISI PENGEMBANGAN KORPORAT</t>
  </si>
  <si>
    <t>115319</t>
  </si>
  <si>
    <t>SALMA FADHILAH WIDITYANI</t>
  </si>
  <si>
    <t>46398</t>
  </si>
  <si>
    <t>RAHMADANI</t>
  </si>
  <si>
    <t>89512</t>
  </si>
  <si>
    <t>BUDI FITRIAWAN</t>
  </si>
  <si>
    <t>DIVISI PERENCANAAN DAN KEUANGAN KORPORAT</t>
  </si>
  <si>
    <t>58804</t>
  </si>
  <si>
    <t>SYAHLIR</t>
  </si>
  <si>
    <t>121525</t>
  </si>
  <si>
    <t>THOMAS MAHENDRA</t>
  </si>
  <si>
    <t>116923</t>
  </si>
  <si>
    <t>AGUNG PRASETYO</t>
  </si>
  <si>
    <t>114119</t>
  </si>
  <si>
    <t>DENY HARDIANSYAH</t>
  </si>
  <si>
    <t>87212</t>
  </si>
  <si>
    <t>ADHI KHOLIDDIN</t>
  </si>
  <si>
    <t>DIVISI SISTEM MANAJEMEN DAN AUDIT</t>
  </si>
  <si>
    <t>63406</t>
  </si>
  <si>
    <t>LYZA YUNI SETIAWATI</t>
  </si>
  <si>
    <t>60505</t>
  </si>
  <si>
    <t>SYAFIUDDIN</t>
  </si>
  <si>
    <t>93214</t>
  </si>
  <si>
    <t>SIGIT PAMUNGKAS</t>
  </si>
  <si>
    <t>70708</t>
  </si>
  <si>
    <t>KARTIKA WIJAYANTI KUSUMAWARDHANI</t>
  </si>
  <si>
    <t>70508</t>
  </si>
  <si>
    <t>MUKTI BRAVITA</t>
  </si>
  <si>
    <t>62706</t>
  </si>
  <si>
    <t>ANDI LAMAPPASESSU</t>
  </si>
  <si>
    <t>117323</t>
  </si>
  <si>
    <t>TUNJUNG WIDYATMO HANDOYO</t>
  </si>
  <si>
    <t>87012</t>
  </si>
  <si>
    <t>ANGGA SANTOSO</t>
  </si>
  <si>
    <t>102216</t>
  </si>
  <si>
    <t>AHMAD RIADUS SHOLIHIN</t>
  </si>
  <si>
    <t>47899</t>
  </si>
  <si>
    <t>ROMY LESMANA</t>
  </si>
  <si>
    <t>71408</t>
  </si>
  <si>
    <t>AHMAD ZAKKY</t>
  </si>
  <si>
    <t>DIVISI PERSETUJUAN RANCANG BANGUN NUSANTARA</t>
  </si>
  <si>
    <t>64106</t>
  </si>
  <si>
    <t>FATHONI KUSUMAHADI</t>
  </si>
  <si>
    <t>90012</t>
  </si>
  <si>
    <t>ANGGA YUSTIAWAN</t>
  </si>
  <si>
    <t>93314</t>
  </si>
  <si>
    <t>I GUSTI PUTU SUANTARA</t>
  </si>
  <si>
    <t>103316</t>
  </si>
  <si>
    <t>DENY CAHYO NUGROHO</t>
  </si>
  <si>
    <t>103616</t>
  </si>
  <si>
    <t>FAHRUL NUR HIDAYAT</t>
  </si>
  <si>
    <t>73209</t>
  </si>
  <si>
    <t>NUR HASAN SIDIQ</t>
  </si>
  <si>
    <t>91114</t>
  </si>
  <si>
    <t>HATRI NINRA DAUD</t>
  </si>
  <si>
    <t>57904</t>
  </si>
  <si>
    <t>HERU SUSILO BUDIMAN</t>
  </si>
  <si>
    <t>79710</t>
  </si>
  <si>
    <t>SEFIA HELMINA</t>
  </si>
  <si>
    <t>90613</t>
  </si>
  <si>
    <t>RIYANTO</t>
  </si>
  <si>
    <t>63906</t>
  </si>
  <si>
    <t>ARMINDARY ARIEF</t>
  </si>
  <si>
    <t>87312</t>
  </si>
  <si>
    <t>FACHRUDDIN</t>
  </si>
  <si>
    <t>97515</t>
  </si>
  <si>
    <t>BUDI SANTOSO</t>
  </si>
  <si>
    <t>65008</t>
  </si>
  <si>
    <t>SISWANTO</t>
  </si>
  <si>
    <t>49700</t>
  </si>
  <si>
    <t>WASITO ABDUL MUKIT</t>
  </si>
  <si>
    <t>79010</t>
  </si>
  <si>
    <t>ARIF SYARIFUDIN</t>
  </si>
  <si>
    <t>123625</t>
  </si>
  <si>
    <t>ZULFIKAR BISMA WICAKSANA</t>
  </si>
  <si>
    <t>123725</t>
  </si>
  <si>
    <t>M FAHMI AULIARAHMAN</t>
  </si>
  <si>
    <t>123825</t>
  </si>
  <si>
    <t>MUHAMMAD IQRA RAMADHAN</t>
  </si>
  <si>
    <t>64607</t>
  </si>
  <si>
    <t>MOCHAMMAD ZAKY</t>
  </si>
  <si>
    <t>DIVISI PERSETUJUAN RANCANG BANGUN</t>
  </si>
  <si>
    <t>110416</t>
  </si>
  <si>
    <t>RIZAL FEBRIANTO</t>
  </si>
  <si>
    <t>103916</t>
  </si>
  <si>
    <t>FIVID RIVANTORO</t>
  </si>
  <si>
    <t>89812</t>
  </si>
  <si>
    <t>ADAM PERDANA PUTERA</t>
  </si>
  <si>
    <t>93614</t>
  </si>
  <si>
    <t>BAMBANG FIRDIANSYAH HADI KUSUMA</t>
  </si>
  <si>
    <t>56903</t>
  </si>
  <si>
    <t>KRISHNA WIJAYADI</t>
  </si>
  <si>
    <t>71608</t>
  </si>
  <si>
    <t>HIJRAWATI MUHTAR</t>
  </si>
  <si>
    <t>73009</t>
  </si>
  <si>
    <t>DWIANA GALUH LISTIYARINI</t>
  </si>
  <si>
    <t>76810</t>
  </si>
  <si>
    <t>LIDYA SALIM</t>
  </si>
  <si>
    <t>81110</t>
  </si>
  <si>
    <t>AKHMAD SYARIFUL ANWAR</t>
  </si>
  <si>
    <t>95815</t>
  </si>
  <si>
    <t>FAULINCIA</t>
  </si>
  <si>
    <t>96215</t>
  </si>
  <si>
    <t>DIAN FEBRIAN</t>
  </si>
  <si>
    <t>46698</t>
  </si>
  <si>
    <t>BAMBANG SUGIONO</t>
  </si>
  <si>
    <t>73409</t>
  </si>
  <si>
    <t>ANDI NURALIM KAMAL</t>
  </si>
  <si>
    <t>81511</t>
  </si>
  <si>
    <t>HERI SISWANTO</t>
  </si>
  <si>
    <t>64206</t>
  </si>
  <si>
    <t>FAHMI</t>
  </si>
  <si>
    <t>105716</t>
  </si>
  <si>
    <t>SONY ANGGARA</t>
  </si>
  <si>
    <t>61806</t>
  </si>
  <si>
    <t>WAHIDIN</t>
  </si>
  <si>
    <t>91014</t>
  </si>
  <si>
    <t>TAUFIK AKBAR</t>
  </si>
  <si>
    <t>102116</t>
  </si>
  <si>
    <t>ADE NURSAL</t>
  </si>
  <si>
    <t>106216</t>
  </si>
  <si>
    <t>TULUS SETIYAWAN WASI KUNTORO</t>
  </si>
  <si>
    <t>91414</t>
  </si>
  <si>
    <t>NOMO PRIHASTA</t>
  </si>
  <si>
    <t>123325</t>
  </si>
  <si>
    <t>MUHAMMAD RIKY ADHITAMA NUGRAHA</t>
  </si>
  <si>
    <t>123425</t>
  </si>
  <si>
    <t>AFDHAL ALFENDRY</t>
  </si>
  <si>
    <t>78610</t>
  </si>
  <si>
    <t>FARRAH MUTIA NURFADILAH</t>
  </si>
  <si>
    <t>DIVISI RISET DAN PENGEMBANGAN PRODUK</t>
  </si>
  <si>
    <t>73509</t>
  </si>
  <si>
    <t>TOPAN FIRMANDHA</t>
  </si>
  <si>
    <t>DIVISI RISET DAN PENGEMBANGAN BISNIS KLASIFIKASI &amp; STATUTORIA</t>
  </si>
  <si>
    <t>57403</t>
  </si>
  <si>
    <t>FREDHI AGUNG PRASETYO</t>
  </si>
  <si>
    <t>65108</t>
  </si>
  <si>
    <t>MOHAMMAD ARIF KURNIAWAN</t>
  </si>
  <si>
    <t>103216</t>
  </si>
  <si>
    <t>DEFI RIZKI MAULIANI</t>
  </si>
  <si>
    <t>60205</t>
  </si>
  <si>
    <t>SITI KOMARIYAH</t>
  </si>
  <si>
    <t>64907</t>
  </si>
  <si>
    <t>SUKRON MAKMUN</t>
  </si>
  <si>
    <t>79910</t>
  </si>
  <si>
    <t>MOHAMMAD ABDUL MALIK</t>
  </si>
  <si>
    <t>87612</t>
  </si>
  <si>
    <t>ANGJUANG ADI PANJI PRATAMA</t>
  </si>
  <si>
    <t>87912</t>
  </si>
  <si>
    <t>WANGININGASTUTI MUTMAINNAH</t>
  </si>
  <si>
    <t>89912</t>
  </si>
  <si>
    <t>RISKA DERIANI MASKAR</t>
  </si>
  <si>
    <t>105116</t>
  </si>
  <si>
    <t>MUHAMAD RIZQI FITRA HARIADI</t>
  </si>
  <si>
    <t>87812</t>
  </si>
  <si>
    <t>MUHAMMAD IRFAN</t>
  </si>
  <si>
    <t>82211</t>
  </si>
  <si>
    <t>DEFRI SUMARWAN</t>
  </si>
  <si>
    <t>90212</t>
  </si>
  <si>
    <t>MUHAMMAD YUDI OKTOVIANTO</t>
  </si>
  <si>
    <t>91514</t>
  </si>
  <si>
    <t>WAWAN WIDIATMOKO</t>
  </si>
  <si>
    <t>123125</t>
  </si>
  <si>
    <t>ROLAS YOGA MANIK</t>
  </si>
  <si>
    <t>123225</t>
  </si>
  <si>
    <t>MUHAMMAD FUAD RASYAD</t>
  </si>
  <si>
    <t>85812</t>
  </si>
  <si>
    <t>NOVIANSYAH PAMUNGKAS</t>
  </si>
  <si>
    <t>DIVISI SEKRETARIS PERUSAHAAN</t>
  </si>
  <si>
    <t>115019</t>
  </si>
  <si>
    <t>N. KARINDITA EKIBDWI PUTRI</t>
  </si>
  <si>
    <t>101415</t>
  </si>
  <si>
    <t>WILLEM GERRIT PIETER REHATTA</t>
  </si>
  <si>
    <t>110016</t>
  </si>
  <si>
    <t>MICHELLE CHANTAL MUSTAMU</t>
  </si>
  <si>
    <t>113919</t>
  </si>
  <si>
    <t>BONOR SAMUEL CHARLES</t>
  </si>
  <si>
    <t>105316</t>
  </si>
  <si>
    <t>RAGA DICKLIES PURWANTO</t>
  </si>
  <si>
    <t>59504</t>
  </si>
  <si>
    <t>LINDA KURNIATY</t>
  </si>
  <si>
    <t>78710</t>
  </si>
  <si>
    <t>HAERUDIN</t>
  </si>
  <si>
    <t>90914</t>
  </si>
  <si>
    <t>GDE SANDHYANA PRADHITA</t>
  </si>
  <si>
    <t>93914</t>
  </si>
  <si>
    <t>DEBORAH NINDYA PAWESTRI</t>
  </si>
  <si>
    <t>67908</t>
  </si>
  <si>
    <t>ERRY SANJAYA DJAYUS</t>
  </si>
  <si>
    <t>94014</t>
  </si>
  <si>
    <t>WILLY ADI NUGROHO</t>
  </si>
  <si>
    <t>114519</t>
  </si>
  <si>
    <t>KEVIN IQBAL RIZALDI</t>
  </si>
  <si>
    <t>122125</t>
  </si>
  <si>
    <t>FARIZ ABDILLAH</t>
  </si>
  <si>
    <t>124525</t>
  </si>
  <si>
    <t>IBNU AL MUAFI</t>
  </si>
  <si>
    <t>47198</t>
  </si>
  <si>
    <t>TRI LAKSONO JOENIAWAN</t>
  </si>
  <si>
    <t>DIVISI STATUTORIA</t>
  </si>
  <si>
    <t>64807</t>
  </si>
  <si>
    <t>EFA ROSIDA DWI ADITIRTA</t>
  </si>
  <si>
    <t>57203</t>
  </si>
  <si>
    <t>DOAN OSCAR DEWANDARU</t>
  </si>
  <si>
    <t>75009</t>
  </si>
  <si>
    <t>TRI BUANA GALAXY</t>
  </si>
  <si>
    <t>101715</t>
  </si>
  <si>
    <t>BRAMS FIRNANDES</t>
  </si>
  <si>
    <t>104416</t>
  </si>
  <si>
    <t>LA ODE MUHAMMAD ICHSAN</t>
  </si>
  <si>
    <t>109916</t>
  </si>
  <si>
    <t>JAKARIA</t>
  </si>
  <si>
    <t>62206</t>
  </si>
  <si>
    <t>ASEP SUPRIATNA</t>
  </si>
  <si>
    <t>63106</t>
  </si>
  <si>
    <t>SOFYAN HADI</t>
  </si>
  <si>
    <t>71108</t>
  </si>
  <si>
    <t>ADITYA TRISANDHYA PRAMANA</t>
  </si>
  <si>
    <t>86312</t>
  </si>
  <si>
    <t>PURWANTYA</t>
  </si>
  <si>
    <t>93514</t>
  </si>
  <si>
    <t>ANDIK EKO SAPUTRO</t>
  </si>
  <si>
    <t>49800</t>
  </si>
  <si>
    <t>RAHMAT KURNIAWAN</t>
  </si>
  <si>
    <t>78910</t>
  </si>
  <si>
    <t>FIRMANSYAH</t>
  </si>
  <si>
    <t>93414</t>
  </si>
  <si>
    <t>AFIF AMRULLAH</t>
  </si>
  <si>
    <t>89412</t>
  </si>
  <si>
    <t>BAYU WINDA ANANTAKA</t>
  </si>
  <si>
    <t>123525</t>
  </si>
  <si>
    <t>SALSABILLA AULIA FITRI</t>
  </si>
  <si>
    <t>57003</t>
  </si>
  <si>
    <t>DIDIK PURWOSUSILO</t>
  </si>
  <si>
    <t>57604</t>
  </si>
  <si>
    <t>ARIF YUNAEDI</t>
  </si>
  <si>
    <t>43696</t>
  </si>
  <si>
    <t>SIGIT PRASTOWO</t>
  </si>
  <si>
    <t>89312</t>
  </si>
  <si>
    <t>SYARIFUL MAHSYAR</t>
  </si>
  <si>
    <t>81811</t>
  </si>
  <si>
    <t>ALI AKBAR BASO</t>
  </si>
  <si>
    <t>94915</t>
  </si>
  <si>
    <t>LUTFI PALIAM PARAYA</t>
  </si>
  <si>
    <t>95615</t>
  </si>
  <si>
    <t>SETIONO PRABOWO</t>
  </si>
  <si>
    <t>88412</t>
  </si>
  <si>
    <t>FIRMANSYAH PUTRA AGUNG MA'ARIF</t>
  </si>
  <si>
    <t>71508</t>
  </si>
  <si>
    <t>ARIFUDDIN</t>
  </si>
  <si>
    <t>45397</t>
  </si>
  <si>
    <t>ANDI SOLIHIN RIZAL</t>
  </si>
  <si>
    <t>74709</t>
  </si>
  <si>
    <t>KOKO ANDY SAPUTRO</t>
  </si>
  <si>
    <t>92214</t>
  </si>
  <si>
    <t>ARIFIN GUSTIAN PRAMOKO</t>
  </si>
  <si>
    <t>106116</t>
  </si>
  <si>
    <t>TIO ANTONI</t>
  </si>
  <si>
    <t>102716</t>
  </si>
  <si>
    <t>BACHTIAR YUSUF HABIBI</t>
  </si>
  <si>
    <t>82611</t>
  </si>
  <si>
    <t>KOKOK YUDHA CAHYONO</t>
  </si>
  <si>
    <t>88712</t>
  </si>
  <si>
    <t>MAHESA SAGA</t>
  </si>
  <si>
    <t>94815</t>
  </si>
  <si>
    <t>HAFIDS DICKY KHARISMA</t>
  </si>
  <si>
    <t>82711</t>
  </si>
  <si>
    <t>M. ARIEF MAULANA WIRANEGARA</t>
  </si>
  <si>
    <t>106016</t>
  </si>
  <si>
    <t>SYARIFUDDIN YAMIN</t>
  </si>
  <si>
    <t>48299</t>
  </si>
  <si>
    <t>WIYONO</t>
  </si>
  <si>
    <t>110916</t>
  </si>
  <si>
    <t>HAMBALI WAHID</t>
  </si>
  <si>
    <t>90813</t>
  </si>
  <si>
    <t>YUSUF</t>
  </si>
  <si>
    <t>93014</t>
  </si>
  <si>
    <t>SANDI NANDARIANTO</t>
  </si>
  <si>
    <t>MIFTAH FARIDY</t>
  </si>
  <si>
    <t>68908</t>
  </si>
  <si>
    <t>ADHITAMA RAMA M</t>
  </si>
  <si>
    <t>48499</t>
  </si>
  <si>
    <t>MUHAMMAD ARFAH</t>
  </si>
  <si>
    <t>46898</t>
  </si>
  <si>
    <t>YUDI WASIANTO</t>
  </si>
  <si>
    <t>92614</t>
  </si>
  <si>
    <t>GARY SIMON</t>
  </si>
  <si>
    <t>82511</t>
  </si>
  <si>
    <t>IRWAN EKO SANTOSO</t>
  </si>
  <si>
    <t>122425</t>
  </si>
  <si>
    <t>PAOJI PATRIA</t>
  </si>
  <si>
    <t>123025</t>
  </si>
  <si>
    <t xml:space="preserve">TRI ASTUTI SUDARMINTO </t>
  </si>
  <si>
    <t>122625</t>
  </si>
  <si>
    <t xml:space="preserve">EDITYA ANGGAWIJAYA </t>
  </si>
  <si>
    <t>122825</t>
  </si>
  <si>
    <t>MUHAMMAD AZMI NAUFAL MUNIF</t>
  </si>
  <si>
    <t>122925</t>
  </si>
  <si>
    <t>MUHAMMAD FADHILAL MURSYID</t>
  </si>
  <si>
    <t>122725</t>
  </si>
  <si>
    <t>JERI AGERISTA SEMBIRING</t>
  </si>
  <si>
    <t>122525</t>
  </si>
  <si>
    <t>YEHESKIEL HUBERT PARLUHUTAN</t>
  </si>
  <si>
    <t>83211</t>
  </si>
  <si>
    <t>NUR RAHMAD HIDAYAT</t>
  </si>
  <si>
    <t>73709</t>
  </si>
  <si>
    <t>AJI PRABOWO</t>
  </si>
  <si>
    <t>63806</t>
  </si>
  <si>
    <t>CATUR ACHIRYANTO ANWARUDIN</t>
  </si>
  <si>
    <t>83311</t>
  </si>
  <si>
    <t>SUHAR CHANDRA KURNIAWAN</t>
  </si>
  <si>
    <t>74109</t>
  </si>
  <si>
    <t>DANI MAULANA</t>
  </si>
  <si>
    <t>80710</t>
  </si>
  <si>
    <t>JOUSTRA BILLY</t>
  </si>
  <si>
    <t>47598</t>
  </si>
  <si>
    <t>TANTYO PRAJOGO</t>
  </si>
  <si>
    <t>56403</t>
  </si>
  <si>
    <t>APRIANTO HANI WIBOWO</t>
  </si>
  <si>
    <t>82011</t>
  </si>
  <si>
    <t>AWALUDDIN PAINGNGI</t>
  </si>
  <si>
    <t>60605</t>
  </si>
  <si>
    <t>MUSHAWWIR RAZAK</t>
  </si>
  <si>
    <t>93114</t>
  </si>
  <si>
    <t>SANG LANANG SADDAMULLAH</t>
  </si>
  <si>
    <t>104916</t>
  </si>
  <si>
    <t>MUHAMMAD AULIA</t>
  </si>
  <si>
    <t>104716</t>
  </si>
  <si>
    <t>MUHAMMAD ARIS SULTAN</t>
  </si>
  <si>
    <t>123925</t>
  </si>
  <si>
    <t>RAKADITYA PANDU WASKITO</t>
  </si>
  <si>
    <t>124225</t>
  </si>
  <si>
    <t>JASMINE PRATIWI</t>
  </si>
  <si>
    <t>57103</t>
  </si>
  <si>
    <t>PRASETYO</t>
  </si>
  <si>
    <t>DIVISI TEKNOLOGI INFORMASI</t>
  </si>
  <si>
    <t>114219</t>
  </si>
  <si>
    <t>DICKY ALDOKO</t>
  </si>
  <si>
    <t>105616</t>
  </si>
  <si>
    <t>RIZKY PRASETYA ADE N</t>
  </si>
  <si>
    <t>109818</t>
  </si>
  <si>
    <t>M RAHMAT AKBAR RAMADHAN</t>
  </si>
  <si>
    <t>89612</t>
  </si>
  <si>
    <t>FACHRUDIN NUR</t>
  </si>
  <si>
    <t>94814</t>
  </si>
  <si>
    <t>HARDIAN</t>
  </si>
  <si>
    <t>117523</t>
  </si>
  <si>
    <t>I MADE ANDHIKA DARMA PERKASA</t>
  </si>
  <si>
    <t>LEGAL COUNSEL</t>
  </si>
  <si>
    <t>60805</t>
  </si>
  <si>
    <t>ANDRI SURYAWAN</t>
  </si>
  <si>
    <t>114819</t>
  </si>
  <si>
    <t>MUHAMMAD IRVAN WIDYA</t>
  </si>
  <si>
    <t>SATUAN PENGAWASAN INTERN</t>
  </si>
  <si>
    <t>53200</t>
  </si>
  <si>
    <t>RAHMAN SUSILO</t>
  </si>
  <si>
    <t>72408</t>
  </si>
  <si>
    <t>ANITA MAGDALENA</t>
  </si>
  <si>
    <t>114619</t>
  </si>
  <si>
    <t>LUTHFI SETIA MARDANI</t>
  </si>
  <si>
    <t>58204</t>
  </si>
  <si>
    <t>ABDUR RAHMAN</t>
  </si>
  <si>
    <t>94114</t>
  </si>
  <si>
    <t>SARI GITA TANTINIS</t>
  </si>
  <si>
    <t>47999</t>
  </si>
  <si>
    <t>ARIEF HENDRO RUKMINTO</t>
  </si>
  <si>
    <t>59705</t>
  </si>
  <si>
    <t>BUDIMAN JOHANSYAH</t>
  </si>
  <si>
    <t>CABANG UTAMA KOMERSIAL JAKARTA</t>
  </si>
  <si>
    <t>72909</t>
  </si>
  <si>
    <t>HARRYS PAHALA MANALU</t>
  </si>
  <si>
    <t>65208</t>
  </si>
  <si>
    <t>ELVA MOCHAMAD RAMDHANI</t>
  </si>
  <si>
    <t>72108</t>
  </si>
  <si>
    <t>MUH. ASPAR</t>
  </si>
  <si>
    <t>103116</t>
  </si>
  <si>
    <t>DANIEL MAHARDHIKA</t>
  </si>
  <si>
    <t>67108</t>
  </si>
  <si>
    <t>BAMBANG WIJANARKO</t>
  </si>
  <si>
    <t>75210</t>
  </si>
  <si>
    <t>FERNANDO S</t>
  </si>
  <si>
    <t>72508</t>
  </si>
  <si>
    <t>MERDIANSAH</t>
  </si>
  <si>
    <t>70608</t>
  </si>
  <si>
    <t>SUSETYO WIJANARKO BUDIARDHI</t>
  </si>
  <si>
    <t>96115</t>
  </si>
  <si>
    <t>AZHAR GHIPARI</t>
  </si>
  <si>
    <t>84012</t>
  </si>
  <si>
    <t>CATUR WIBOWO</t>
  </si>
  <si>
    <t>96015</t>
  </si>
  <si>
    <t>EDIT HASTA PRIHANTIKA</t>
  </si>
  <si>
    <t>112418</t>
  </si>
  <si>
    <t>YUSRIADY BOROALLO RUGA</t>
  </si>
  <si>
    <t>84712</t>
  </si>
  <si>
    <t>SUDIRO</t>
  </si>
  <si>
    <t>120125</t>
  </si>
  <si>
    <t>ARIF RAHMAN HAKIM</t>
  </si>
  <si>
    <t>119225</t>
  </si>
  <si>
    <t>DIMAS PUTRA PRASETYO</t>
  </si>
  <si>
    <t>108516</t>
  </si>
  <si>
    <t>FATKHURROHMAN</t>
  </si>
  <si>
    <t>115923</t>
  </si>
  <si>
    <t>KENNEDI PANGARIBUAN</t>
  </si>
  <si>
    <t>113019</t>
  </si>
  <si>
    <t>NOVELLA MUSYA</t>
  </si>
  <si>
    <t>75610</t>
  </si>
  <si>
    <t>RAHADI SIGIT WICAKSONO</t>
  </si>
  <si>
    <t>95715</t>
  </si>
  <si>
    <t>RIZKI ALDILLA TAMTURA</t>
  </si>
  <si>
    <t>116023</t>
  </si>
  <si>
    <t>SATRIA ADI SUKMA NEGARA</t>
  </si>
  <si>
    <t>119425</t>
  </si>
  <si>
    <t>DIMAS ALIF YUNAS</t>
  </si>
  <si>
    <t>75810</t>
  </si>
  <si>
    <t>DINO VITA LARASANTO</t>
  </si>
  <si>
    <t>119125</t>
  </si>
  <si>
    <t>EVAN EGA RIZKIARSA</t>
  </si>
  <si>
    <t>120425</t>
  </si>
  <si>
    <t>MUGHNI COKROBASWORO</t>
  </si>
  <si>
    <t>109016</t>
  </si>
  <si>
    <t>SIGIT SUHAKSO</t>
  </si>
  <si>
    <t>75510</t>
  </si>
  <si>
    <t>SYAFRIL</t>
  </si>
  <si>
    <t>98415</t>
  </si>
  <si>
    <t>HENDI ZULFAN</t>
  </si>
  <si>
    <t>100115</t>
  </si>
  <si>
    <t>MUHAMMAD SOFIAN</t>
  </si>
  <si>
    <t>75310</t>
  </si>
  <si>
    <t>FEBRIANSYAH</t>
  </si>
  <si>
    <t>94415</t>
  </si>
  <si>
    <t>ABD. RAHMAN</t>
  </si>
  <si>
    <t>106916</t>
  </si>
  <si>
    <t>ISMAIL</t>
  </si>
  <si>
    <t>60705</t>
  </si>
  <si>
    <t>NERLAN PASARIBU</t>
  </si>
  <si>
    <t>112318</t>
  </si>
  <si>
    <t>R. ADE WARDOYO WINOTO PUTRO</t>
  </si>
  <si>
    <t>98315</t>
  </si>
  <si>
    <t>ARY FIRMANSYAH FIRLI</t>
  </si>
  <si>
    <t>107416</t>
  </si>
  <si>
    <t>HEDIAR HAPRI BANGABUA</t>
  </si>
  <si>
    <t>55501</t>
  </si>
  <si>
    <t>FERRY HARFIANTO EFFENDY</t>
  </si>
  <si>
    <t>64306</t>
  </si>
  <si>
    <t>MUHDAR</t>
  </si>
  <si>
    <t>87112</t>
  </si>
  <si>
    <t>BOBBY ADI NOVPRIANTO</t>
  </si>
  <si>
    <t>79310</t>
  </si>
  <si>
    <t>DANDY RUKMANA</t>
  </si>
  <si>
    <t>59905</t>
  </si>
  <si>
    <t>R. SAPTO AGUNG PRAMUSINTO</t>
  </si>
  <si>
    <t>CoE ENERGY</t>
  </si>
  <si>
    <t>76210</t>
  </si>
  <si>
    <t>AGAH DIRGAPATRIA DJAJASUDARMA</t>
  </si>
  <si>
    <t>77010</t>
  </si>
  <si>
    <t>YUDI PRAWOTO</t>
  </si>
  <si>
    <t>69608</t>
  </si>
  <si>
    <t>MUHAMAD YUSRAN ALOAHIIT</t>
  </si>
  <si>
    <t>CoE ENERGY - BAGIAN RISET, PENGEMBANGAN BISNIS DAN PEMASARAN</t>
  </si>
  <si>
    <t>76310</t>
  </si>
  <si>
    <t>AGUS SUNARTO</t>
  </si>
  <si>
    <t>70108</t>
  </si>
  <si>
    <t>RUDY SUNARYADI</t>
  </si>
  <si>
    <t>119325</t>
  </si>
  <si>
    <t>AFANI ROMA ARISA</t>
  </si>
  <si>
    <t>112918</t>
  </si>
  <si>
    <t>BURHANUDDIN</t>
  </si>
  <si>
    <t>101615</t>
  </si>
  <si>
    <t>EFRY TALLAMMA</t>
  </si>
  <si>
    <t>100215</t>
  </si>
  <si>
    <t>ELVINO YUSKA PUTRA</t>
  </si>
  <si>
    <t>111016</t>
  </si>
  <si>
    <t>HELDA YULISTIANI</t>
  </si>
  <si>
    <t>53400</t>
  </si>
  <si>
    <t>WAHJOE ARIO TEDJO</t>
  </si>
  <si>
    <t>67008</t>
  </si>
  <si>
    <t>WINARTO</t>
  </si>
  <si>
    <t>CoE ENERGY - BAGIAN DUKUNGAN TEKNIS DAN SUMBER DAYA</t>
  </si>
  <si>
    <t>107616</t>
  </si>
  <si>
    <t>JOKO SUSILO</t>
  </si>
  <si>
    <t>78110</t>
  </si>
  <si>
    <t>WAHYU PRIAMBODO</t>
  </si>
  <si>
    <t>75710</t>
  </si>
  <si>
    <t>ARIF RACHMAN</t>
  </si>
  <si>
    <t>120625</t>
  </si>
  <si>
    <t>WAHYU RAHMA PUTRI</t>
  </si>
  <si>
    <t>117023</t>
  </si>
  <si>
    <t>TANTRY OCTAVIANI</t>
  </si>
  <si>
    <t>83611</t>
  </si>
  <si>
    <t>DR  KARTIKA KUS HENDRATNA</t>
  </si>
  <si>
    <t>CoE TRANSPORT &amp; LOGISTIC</t>
  </si>
  <si>
    <t>78510</t>
  </si>
  <si>
    <t>ARDHIAN BUDI SULISTIYO</t>
  </si>
  <si>
    <t>81411</t>
  </si>
  <si>
    <t>ARIF PURWONO</t>
  </si>
  <si>
    <t>99815</t>
  </si>
  <si>
    <t>MUHAMMAD TEGUH WIDODO</t>
  </si>
  <si>
    <t>87412</t>
  </si>
  <si>
    <t>NEVI EKO YULIANANTO</t>
  </si>
  <si>
    <t>113119</t>
  </si>
  <si>
    <t>FARIED</t>
  </si>
  <si>
    <t>CoE TRANSPORT &amp; LOGISTIC - BAGIAN DUKUNGAN TEKNIS DAN SUMBER DAYA</t>
  </si>
  <si>
    <t>112218</t>
  </si>
  <si>
    <t>HERY ALWIS</t>
  </si>
  <si>
    <t>95415</t>
  </si>
  <si>
    <t>SATRIA ALDI PERMANA</t>
  </si>
  <si>
    <t>119825</t>
  </si>
  <si>
    <t>M. ARDWIANSYAH</t>
  </si>
  <si>
    <t>122225</t>
  </si>
  <si>
    <t>RANDY YOLANDA ANNOFCI PRATAMA</t>
  </si>
  <si>
    <t>58904</t>
  </si>
  <si>
    <t>ENDAH MUSTIKA NINGTIAS</t>
  </si>
  <si>
    <t>UNIT TANGGUNG JAWAB SOSIAL DAN LINGKUNGAN</t>
  </si>
  <si>
    <t>110716</t>
  </si>
  <si>
    <t>ALWIN RIDWAN</t>
  </si>
  <si>
    <t>48899</t>
  </si>
  <si>
    <t>ARIF BIJAKSANA PRAWIRA NEGARA</t>
  </si>
  <si>
    <t>SURVEYOR</t>
  </si>
  <si>
    <t>KEPALA CABANG MADYA KLAS BANJARMASIN</t>
  </si>
  <si>
    <t>ADMINISTRATOR SENIOR</t>
  </si>
  <si>
    <t>SURVEYOR SENIOR I</t>
  </si>
  <si>
    <t>SURVEYOR SENIOR II A KENDALI OPERASI YANG DITEMPATKAN DI CABANG MADYA KLAS BANJARMASIN</t>
  </si>
  <si>
    <t>SURVEYOR SENIOR I A</t>
  </si>
  <si>
    <t>SURVEYOR JUNIOR</t>
  </si>
  <si>
    <t>KEPALA CABANG MADYA KLAS PALEMBANG</t>
  </si>
  <si>
    <t>ADMINISTRATOR</t>
  </si>
  <si>
    <t>KEPALA CABANG MADYA KLAS PEKANBARU</t>
  </si>
  <si>
    <t>KEPALA CABANG MADYA KLAS PONTIANAK</t>
  </si>
  <si>
    <t>SUPIR</t>
  </si>
  <si>
    <t>INSPEKTUR JUNIOR II</t>
  </si>
  <si>
    <t>OPERATOR PENGUJIAN</t>
  </si>
  <si>
    <t>INSPEKTUR</t>
  </si>
  <si>
    <t>INSPEKTUR JUNIOR I</t>
  </si>
  <si>
    <t>KEPALA CABANG MADYA KOMERSIAL BATAM</t>
  </si>
  <si>
    <t>KEPALA CABANG MADYA KOMERSIAL MAKASSAR</t>
  </si>
  <si>
    <t>KEPALA CABANG MADYA KOMERSIAL PEKAN BARU</t>
  </si>
  <si>
    <t>KEPALA CABANG MADYA KOMERSIAL SURABAYA</t>
  </si>
  <si>
    <t>KEPALA CABANG PRATAMA KLAS AMBON</t>
  </si>
  <si>
    <t>KEPALA CABANG PRATAMA KLAS BELAWAN</t>
  </si>
  <si>
    <t>SURVEYOR SENIOR II A KENDALI OPERASI YANG DITEMPATKAN DI CABANG PRATAMA KLAS BELAWAN</t>
  </si>
  <si>
    <t>KEPALA CABANG PRATAMA KLAS BITUNG</t>
  </si>
  <si>
    <t>KEPALA CABANG PRATAMA KLAS CIREBON</t>
  </si>
  <si>
    <t>KEPALA CABANG PRATAMA KLAS JAMBI</t>
  </si>
  <si>
    <t>KEPALA CABANG PRATAMA KLAS MAKASSAR</t>
  </si>
  <si>
    <t>SURVEYOR CABANG PRATAMA KLAS MAKASSAR YANG DITEMPATKAN DI KENDARI</t>
  </si>
  <si>
    <t>SURVEYOR SENIOR I A CABANG PRATAMA KLAS MAKASSAR YANG DITEMPATKAN DI KENDARI</t>
  </si>
  <si>
    <t>KEPALA CABANG PRATAMA KLAS SEMARANG</t>
  </si>
  <si>
    <t>SURVEYOR SENIOR I A MEMPERTAHANKAN KLAS</t>
  </si>
  <si>
    <t>KEPALA CABANG PRATAMA KLAS SORONG</t>
  </si>
  <si>
    <t>KEPALA CABANG PRATAMA KOMERSIAL BANJARMASIN</t>
  </si>
  <si>
    <t>KEPALA CABANG PRATAMA KOMERSIAL BANTEN</t>
  </si>
  <si>
    <t>KEPALA CABANG PRATAMA KOMERSIAL BELAWAN</t>
  </si>
  <si>
    <t>KEPALA CABANG PRATAMA KOMERSIAL PALEMBANG</t>
  </si>
  <si>
    <t>KEPALA CABANG PRATAMA KOMERSIAL PONTIANAK</t>
  </si>
  <si>
    <t>KEPALA CABANG PRATAMA KOMERSIAL SEMARANG</t>
  </si>
  <si>
    <t>SENIOR MANAGER OPERASI KLAS BANTEN</t>
  </si>
  <si>
    <t>KEPALA CABANG UTAMA KLAS BANTEN</t>
  </si>
  <si>
    <t>SENIOR MANAGER PEMASARAN DAN DUKUNGAN BISNIS KLAS BATAM</t>
  </si>
  <si>
    <t>SURVEYOR SENIOR I A KENDALI OPERASI YANG DITEMPATKAN DI CABANG UTAMA KLAS BATAM</t>
  </si>
  <si>
    <t>SURVEYOR MEMPERTAHANKAN KLAS DIVISI SURVEY YANG DITEMPATKAN DI CABANG UTAMA KLAS BATAM</t>
  </si>
  <si>
    <t>OFFICER ADMINISTRASI UMUM</t>
  </si>
  <si>
    <t>SURVEYOR SENIOR II B OPERASI KLASIFIKASI YANG DITEMPATKAN DI CABANG UTAMA KLAS BATAM</t>
  </si>
  <si>
    <t>SENIOR MANAGER OPERASI KLAS BATAM</t>
  </si>
  <si>
    <t>MANAGER ADMINISTRASI UMUM &amp; KEUANGAN KLAS BATAM</t>
  </si>
  <si>
    <t>OFFICER ADMINISTRASI KEUANGAN</t>
  </si>
  <si>
    <t>KEPALA CABANG UTAMA KLAS BATAM</t>
  </si>
  <si>
    <t>SURVEYOR SENIOR II B KENDALI OPERASI YANG DITEMPATKAN DI CABANG UTAMA KLAS BATAM</t>
  </si>
  <si>
    <t>KEPALA CABANG UTAMA KLAS SAMARINDA</t>
  </si>
  <si>
    <t>SENIOR MANAGER OPERASI KLAS SAMARINDA</t>
  </si>
  <si>
    <t>SENIOR MANAGER PEMASARAN DAN DUKUNGAN BISNIS KLAS SAMARINDA</t>
  </si>
  <si>
    <t>ANALIS ADMINISTRASI UMUM &amp; KEUANGAN</t>
  </si>
  <si>
    <t>MANAGER ADMINISTRASI UMUM &amp; KEUANGAN KLAS SAMARINDA</t>
  </si>
  <si>
    <t>KEPALA CABANG UTAMA KLAS SINGAPORE</t>
  </si>
  <si>
    <t>SURVEYOR SENIOR I B</t>
  </si>
  <si>
    <t>KEPALA CABANG UTAMA KLAS SURABAYA</t>
  </si>
  <si>
    <t>SENIOR MANAGER PEMASARAN &amp; DUKUNGAN BISNIS KLAS SURABAYA</t>
  </si>
  <si>
    <t>SENIOR MANAGER OPERASI KLAS SURABAYA</t>
  </si>
  <si>
    <t>MANAGER ADMINISTRASI UMUM DAN KEUANGAN KLAS SURABAYA</t>
  </si>
  <si>
    <t>SURVEYOR SENIOR II B KENDALI OPERASI YANG DITEMPATKAN DI CABANG UTAMA KLAS SURABAYA</t>
  </si>
  <si>
    <t>SURVEYOR SENIOR I C KENDALI OPERASI YANG DITEMPATKAN DI CABANG UTAMA KLAS TG. PRIOK</t>
  </si>
  <si>
    <t>SURVEYOR SENIOR I A CABANG UTAMA KLAS SURABAYA YANG DITEMPATKAN DI LEMBAR</t>
  </si>
  <si>
    <t>OFFICER TEKNIK BAGIAN PEMASARAN DAN OFFSHORE</t>
  </si>
  <si>
    <t>STAF UTAMA I</t>
  </si>
  <si>
    <t>MANAGER ADMINISTRASI UMUM &amp; KEUANGAN KLAS TG. PRIOK</t>
  </si>
  <si>
    <t>KEPALA CABANG UTAMA KLAS TG. PRIOK</t>
  </si>
  <si>
    <t>SENIOR MANAGER OPERASI KLAS TG.PRIOK</t>
  </si>
  <si>
    <t>SENIOR MANAGER PEMASARAN OFFSHORE KLAS</t>
  </si>
  <si>
    <t>SURVEYOR SENIOR II B</t>
  </si>
  <si>
    <t>SURVEYOR JUNIOR MEMPERTAHANKAN KLAS</t>
  </si>
  <si>
    <t>SPESIALIS TEKNIK</t>
  </si>
  <si>
    <t>SURVEYOR MEMPERTAHANKAN KLAS</t>
  </si>
  <si>
    <t>SURVEYOR SENIOR I B KENDALI OPERASI YANG DITEMPATKAN DI CABANG UTAMA KLAS TG. PRIOK</t>
  </si>
  <si>
    <t>PJ. KEPALA CABANG UTAMA KOMERSIAL BALIKPAPAN</t>
  </si>
  <si>
    <t>MANAGER ADMINISTRASI UMUM DAN KEUANGAN KOMERSIAL BALIKPAPAN</t>
  </si>
  <si>
    <t>PJ. SENIOR MANAGER PENJUALAN DAN DUKUNGAN BISNIS KOMERSIAL BALIKPAPAN</t>
  </si>
  <si>
    <t>PJ. MANAGER PENJUALAN KOMERSIAL BALIKPAPAN</t>
  </si>
  <si>
    <t>PJ. SENIOR MANAGER OPERASI KOMERSIAL BALIKPAPAN</t>
  </si>
  <si>
    <t>SVP MANAJEMEN PORTOFOLIO</t>
  </si>
  <si>
    <t>SPESIALIS MANAJEMEN PORTOFOLIO</t>
  </si>
  <si>
    <t>MANAGER MONITORING KAPAL</t>
  </si>
  <si>
    <t>MANAGER DATA KLASIFIKASI</t>
  </si>
  <si>
    <t>SENIOR MANAGER PEMASARAN DAN PUSAT LAYANAN PELANGGAN</t>
  </si>
  <si>
    <t>SENIOR MANAGER MANAJEMEN PUSAT KENDALI OPERASI</t>
  </si>
  <si>
    <t>SPESIALIS SENIOR MANAJEMEN PUSAT KENDALI OPERASI</t>
  </si>
  <si>
    <t>SPESIALIS MANAJEMEN PUSAT KENDALI OPERASI</t>
  </si>
  <si>
    <t>ENGINEER OPERASI MATERIAL &amp; KOMPONEN</t>
  </si>
  <si>
    <t>SENIOR MANAGER OPERASI MATERIAL DAN KOMPONEN</t>
  </si>
  <si>
    <t>VP OPERASI BISNIS KLASIFIKASI</t>
  </si>
  <si>
    <t>DEPUTI DIREKTUR BISNIS KLASIFIKASI NUSANTARA</t>
  </si>
  <si>
    <t>SENIOR MANAGER DUKUNGAN BISNIS KOMERSIAL</t>
  </si>
  <si>
    <t>ANALIS DUKUNGAN BISNIS</t>
  </si>
  <si>
    <t>SENIOR MANAGER DUKUNGAN OPERASI KOMERSIAL</t>
  </si>
  <si>
    <t>SPESIALIS SENIOR DUKUNGAN OPERASI</t>
  </si>
  <si>
    <t>SPESIALIS DUKUNGAN OPERASI</t>
  </si>
  <si>
    <t>OFFICER KENDALI OPERASI</t>
  </si>
  <si>
    <t>VP OPERASI DIGITAL TIC</t>
  </si>
  <si>
    <t>SENIOR MANAGER RISET DAN PENGEMBANGAN BISNIS</t>
  </si>
  <si>
    <t>SPESIALIS PEMASARAN &amp; PENJUALAN</t>
  </si>
  <si>
    <t>SPESIALIS TRANSFORMATION OFFICE CHAMPION</t>
  </si>
  <si>
    <t>VP AKUNTANSI KEUANGAN DAN PAJAK</t>
  </si>
  <si>
    <t>SENIOR MANAGER BISNIS DAN SISTEM KEUANGAN</t>
  </si>
  <si>
    <t>ANALIS AKUNTANSI KEUANGAN</t>
  </si>
  <si>
    <t>ANALIS QA &amp; KEBIJAKAN AKUNTANSI KEUANGAN &amp; PAJAK</t>
  </si>
  <si>
    <t>OFFICER PAJAK</t>
  </si>
  <si>
    <t>VP KEUANGAN DAN AKUNTANSI</t>
  </si>
  <si>
    <t>ANALIS AKUNTANSI</t>
  </si>
  <si>
    <t>ANALIS VERIFIKASI KEUANGAN</t>
  </si>
  <si>
    <t>OFFICER VERIFIKASI KEUANGAN</t>
  </si>
  <si>
    <t>OFFICER AKUNTANSI</t>
  </si>
  <si>
    <t>SENIOR MANAGER TREASURY</t>
  </si>
  <si>
    <t>OFFICER PEMBAYARAN</t>
  </si>
  <si>
    <t>ANALIS INFRASTRUKTUR TI</t>
  </si>
  <si>
    <t>MANAGER INFRASTRUKTUR TI</t>
  </si>
  <si>
    <t>PJ. SENIOR MANAGER TEKNOLOGI INFORMASI</t>
  </si>
  <si>
    <t>SPESIALIS SENIOR TEKNOLOGI INFORMASI</t>
  </si>
  <si>
    <t>ANALIS REKRUTMEN &amp; HUBUNGAN INDUSTRIAL</t>
  </si>
  <si>
    <t>MANAGER PENGEMBANGAN SDM</t>
  </si>
  <si>
    <t>ANALIS PENGEMBANGAN ORGANISASI</t>
  </si>
  <si>
    <t>MANAGER PENGEMBANGAN ORGANISASI</t>
  </si>
  <si>
    <t>OFFICER REMUNERASI &amp; HCIS</t>
  </si>
  <si>
    <t>STAF UTAMA II</t>
  </si>
  <si>
    <t>MANAGER REKRUTMEN DAN HUBUNGAN INDUSTRIAL</t>
  </si>
  <si>
    <t>OFFICER PENGEMBANGAN ORGANISASI</t>
  </si>
  <si>
    <t>SENIOR MANAGER PERENCANAAN DAN PENGEMBANGAN SDM</t>
  </si>
  <si>
    <t>MANAGER REMUNERASI DAN HCIS</t>
  </si>
  <si>
    <t>ANALIS PENGEMBANGAN SDM</t>
  </si>
  <si>
    <t xml:space="preserve">VP HUMAN CAPITAL DAN TEKNOLOGI INFORMASI </t>
  </si>
  <si>
    <t>SPESIALIS REMUNERASI &amp; HCIS</t>
  </si>
  <si>
    <t>ANALIS REMUNERASI &amp; HCIS</t>
  </si>
  <si>
    <t>OFFICER PENGEMBANGAN PIRANTI LUNAK</t>
  </si>
  <si>
    <t>OFFICER PENGEMBANGAN SDM</t>
  </si>
  <si>
    <t>PJ. ANALIS PENGEMBANGAN BUDAYA</t>
  </si>
  <si>
    <t>PJ. ANALIS PENGEMBANGAN TALENTA</t>
  </si>
  <si>
    <t>ANALIS MANAJEMEN PEMBELAJARAN DAN PELATIHAN</t>
  </si>
  <si>
    <t>OFFICER MANAJEMEN REWARD DAN REMUNERASI</t>
  </si>
  <si>
    <t>VP INTEGRASI SISTEM DAN PROSES BISNIS</t>
  </si>
  <si>
    <t>SENIOR MANAGER PROSES BISNIS DAN MANAJEMEN SISTEM TERINTEGRASI</t>
  </si>
  <si>
    <t>JUNIOR OFFICER</t>
  </si>
  <si>
    <t>ANALIS OPERASI HSE</t>
  </si>
  <si>
    <t>SPESIALIS SENIOR HSE</t>
  </si>
  <si>
    <t>VP PERENCANAAN KORPORAT DAN MANAJEMEN RISIKO</t>
  </si>
  <si>
    <t>ANALIS MANAJEMEN RISIKO</t>
  </si>
  <si>
    <t>SPESIALIS SENIOR PERENCANAAN</t>
  </si>
  <si>
    <t>SENIOR MANAGER PERENCANAAN KORPORAT</t>
  </si>
  <si>
    <t>SENIOR MANAGER MANAJEMEN RISIKO DAN KEBERLANJUTAN</t>
  </si>
  <si>
    <t>SPESIALIS KEBERLANJUTAN</t>
  </si>
  <si>
    <t>ANALIS PERENCANAAN</t>
  </si>
  <si>
    <t>OFFICER PERENCANAAN</t>
  </si>
  <si>
    <t>OFFICER MANAJEMEN RISIKO</t>
  </si>
  <si>
    <t>SPESIALIS MANAJEMEN RISIKO</t>
  </si>
  <si>
    <t>SENIOR MANAGER MANAJEMEN RISIKO</t>
  </si>
  <si>
    <t>SPESIALIS RISET DAN STRATEGI PASAR</t>
  </si>
  <si>
    <t>SENIOR MANAGER PEMASARAN DAN LAYANAN PELANGGAN NUSANTARA</t>
  </si>
  <si>
    <t>ANALIS PEMASARAN DAN PENJUALAN</t>
  </si>
  <si>
    <t>OFFICER PEMASARAN DAN PENJUALAN</t>
  </si>
  <si>
    <t>ANALIS MANAJEMEN ASET NON PROPERTI</t>
  </si>
  <si>
    <t>ANALIS MANAJEMEN ASET PROPERTI DAN KOMERSIALISASI</t>
  </si>
  <si>
    <t>PJ. SENIOR MANAGER LAYANAN UMUM DAN MANAJEMEN ASET</t>
  </si>
  <si>
    <t>ANALIS MANAJEMEN VENDOR</t>
  </si>
  <si>
    <t>SENIOR MANAGER PENGADAAN</t>
  </si>
  <si>
    <t>OFFICER LAYANAN UMUM</t>
  </si>
  <si>
    <t>SENIOR MANAGER MANAJEMEN ASET</t>
  </si>
  <si>
    <t>PJ. SENIOR SPESIALIS PERENCANAAN STRATEGI PENGADAAN &amp; PENGENDALIAN</t>
  </si>
  <si>
    <t>VP PENGADAAN UMUM DAN MANAJEMEN ASET</t>
  </si>
  <si>
    <t>OFFICER MANAJEMEN ASET PROPERTI DAN KOMERSIALISASI</t>
  </si>
  <si>
    <t>VP PENGEMBANGAN KORPORAT</t>
  </si>
  <si>
    <t>SPESIALIS PENGEMBANGAN KORPORAT</t>
  </si>
  <si>
    <t>ANALIS KEUANGAN YANG DITEMPATKAN DI CAB. MADYA KOMERSIAL PEKAN BARU</t>
  </si>
  <si>
    <t>ANALIS KENDALI KEUANGAN</t>
  </si>
  <si>
    <t>OFFICER MANAJEMEN PROGRAM DAN KINERJA KORPORAT</t>
  </si>
  <si>
    <t>OFFICER PERENCANAAN KORPORAT DAN KEUANGAN</t>
  </si>
  <si>
    <t>SPESIALIS PERENCANAAN DAN KEUANGAN KORPORAT</t>
  </si>
  <si>
    <t>VP MANAJEMEN SISTEM DAN MUTU</t>
  </si>
  <si>
    <t>SENIOR MANAGER SISTEM AUDIT DAN MANAJEMEN MUTU KOMERSIAL</t>
  </si>
  <si>
    <t>SENIOR MANAGER SISTEM AUDIT DAN MANAJEMEN MUTU KLASIFIKASI</t>
  </si>
  <si>
    <t>AUDITOR SENIOR I A MANAJEMEN MUTU KLASIFIKASI</t>
  </si>
  <si>
    <t>AUDITOR MANAJEMEN MUTU KOMERSIAL</t>
  </si>
  <si>
    <t>AUDITOR SENIOR I MANAJEMEN MUTU KOMERSIAL</t>
  </si>
  <si>
    <t>AUDITOR SENIOR I A MANAJEMEN MUTU KOMERSIAL</t>
  </si>
  <si>
    <t>AUDITOR MANAJEMEN MUTU KLASIFIKASI</t>
  </si>
  <si>
    <t>AUDITOR SENIOR II MANAJEMEN MUTU KLASIFIKASI</t>
  </si>
  <si>
    <t>ENGINEER SENIOR I C STRUKTUR</t>
  </si>
  <si>
    <t>SENIOR MANAGER PRB BATAM</t>
  </si>
  <si>
    <t>ENGINEER STRUKTUR BAG. PRB BATAM</t>
  </si>
  <si>
    <t>ENGINEER KELISTRIKAN</t>
  </si>
  <si>
    <t>ENGINEER PERMESINAN</t>
  </si>
  <si>
    <t>ENGINEER STRUKTUR</t>
  </si>
  <si>
    <t>SENIOR MANAGER MESIN DAN LISTRIK NUSANTARA</t>
  </si>
  <si>
    <t>ADMINISTRATOR MADYA BAG. PRB BATAM</t>
  </si>
  <si>
    <t>SENIOR MANAGER LAMBUNG NUSANTARA</t>
  </si>
  <si>
    <t>VP PERSETUJUAN RANCANG BANGUN NUSANTARA</t>
  </si>
  <si>
    <t>ENGINEER JUNIOR STRUKTUR</t>
  </si>
  <si>
    <t>ENGINEER JUNIOR PERMESINAN</t>
  </si>
  <si>
    <t>SENIOR MANAGER STATUTORIA</t>
  </si>
  <si>
    <t>ENGINEER STATUTORIA</t>
  </si>
  <si>
    <t>ENGINEER SENIOR II B KELISTRIKAN</t>
  </si>
  <si>
    <t>ENGINEER SENIOR I B PERMESINAN</t>
  </si>
  <si>
    <t>ENGINEER SENIOR I B STATUTORIA</t>
  </si>
  <si>
    <t>SENIOR MANAGER LAMBUNG DAN MATERIAL</t>
  </si>
  <si>
    <t>VP PERSETUJUAN RANCANG BANGUN</t>
  </si>
  <si>
    <t>ENGINEER SENIOR I STRUKTUR</t>
  </si>
  <si>
    <t>ENGINEER SENIOR II B STATUTORIA</t>
  </si>
  <si>
    <t>SENIOR MANAGER MESIN, LISTRIK, KOMPONEN DAN PENYEDIA JASA</t>
  </si>
  <si>
    <t>ENGINEER MATERIAL</t>
  </si>
  <si>
    <t>ENGINEER JUNIOR STATUTORIA</t>
  </si>
  <si>
    <t>PENGKAJI SENIOR II A MATERIAL &amp; STRUKTUR (PERATURAN  INTERNASIONAL)</t>
  </si>
  <si>
    <t>VP RISET DAN PENGEMBANGAN BISNIS KLAS &amp; STATUTORIA</t>
  </si>
  <si>
    <t>PENELITI BISNIS</t>
  </si>
  <si>
    <t>SENIOR MANAGER PENGEMBANGAN PERATURAN INTERNASIONAL &amp; APLIKASI</t>
  </si>
  <si>
    <t>SENIOR MANAGER PENGEMBANGAN PERATURAN NASIONAL DAN APLIKASI</t>
  </si>
  <si>
    <t>PENGKAJI SENIOR I B STATUTORIA  (PERATURAN  NASIONAL)</t>
  </si>
  <si>
    <t>PENGKAJI SENIOR I B KELISTRIKAN (PERATURAN INTERNASIONAL)</t>
  </si>
  <si>
    <t>PENELITI MATERIAL &amp; STRUKTUR</t>
  </si>
  <si>
    <t>PENGKAJI STATUTORIA (PERATURAN  NASIONAL)</t>
  </si>
  <si>
    <t>PENELITI PERMESINAN</t>
  </si>
  <si>
    <t>PENGKAJI SENIOR I B MATERIAL &amp; STRUKTUR (PERATURAN  INTERNASIONAL)</t>
  </si>
  <si>
    <t>PENGKAJI SENIOR I B MATERIAL &amp; STRUKTUR (PERATURAN  NASIONAL)</t>
  </si>
  <si>
    <t>PENGKAJI STATUTORIA (PERATURAN  INTERNASIONAL)</t>
  </si>
  <si>
    <t xml:space="preserve">PENGKAJI JUNIOR SURVEY NASIONAL </t>
  </si>
  <si>
    <t>PENGKAJI JUNIOR SURVEY INTERNASIONAL</t>
  </si>
  <si>
    <t>ANALIS EXECUTIVE SUPPORT</t>
  </si>
  <si>
    <t>SPESIALIS EXECUTIVE SUPPORT</t>
  </si>
  <si>
    <t>JUNIOR PROTOKOLER</t>
  </si>
  <si>
    <t>SENIOR MANAGER KOMUNIKASI KORPORAT</t>
  </si>
  <si>
    <t>SENIOR MANAGER CHIEF OF STAFF</t>
  </si>
  <si>
    <t>ANALIS ADMINISTRASI KORPORASI</t>
  </si>
  <si>
    <t>PROTOKOLER</t>
  </si>
  <si>
    <t>OFFICER LEGAL DAN KEPATUHAN</t>
  </si>
  <si>
    <t>STAF UTAMA I A</t>
  </si>
  <si>
    <t>PJ. SENIOR MANAGER KOMUNIKASI KORPORAT DAN TATA KELOLA</t>
  </si>
  <si>
    <t>PJ. SENIOR MANAGER LEGAL DAN KEPATUHAN</t>
  </si>
  <si>
    <t>JUNIOR EXECUTIVE SUPPORT</t>
  </si>
  <si>
    <t>OFFICER DESIGN KOMUNIKASI</t>
  </si>
  <si>
    <t>SURVEYOR SENIOR II B OPERASI STATUTORIA KONVENSI</t>
  </si>
  <si>
    <t>SPESIALIS RELASI EKSTERNAL STATUTORIA</t>
  </si>
  <si>
    <t>SENIOR MANAGER RELASI EKSTERNAL STATUTORIA</t>
  </si>
  <si>
    <t>ANALIS RELASI EKSTERNAL STATUTORIA</t>
  </si>
  <si>
    <t>SURVEYOR OPERASI STATUTORIA NON KONVENSI</t>
  </si>
  <si>
    <t>SENIOR MANAGER OPERASI STATUTORIA KONVENSI</t>
  </si>
  <si>
    <t>VP STATUTORIA</t>
  </si>
  <si>
    <t>ENGINEER RELASI EKSTERNAL STATUTORIA</t>
  </si>
  <si>
    <t>SURVEYOR SENIOR II C OPERASI STATUTORIA NON KONVENSI</t>
  </si>
  <si>
    <t>SURVEYOR SENIOR I C OPERASI STATUTORIA KONVENSI</t>
  </si>
  <si>
    <t>SURVEYOR SENIOR I A OPERASI STATUTORIA NON KONVENSI</t>
  </si>
  <si>
    <t xml:space="preserve">OFFICER RELASI EKSTERNAL </t>
  </si>
  <si>
    <t>SENIOR MANAGER MEMPERTAHANKAN KLAS NUSANTARA</t>
  </si>
  <si>
    <t>SENIOR MANAGER MANAJEMEN KLASIFIKASI NUSANTARA</t>
  </si>
  <si>
    <t>SURVEYOR SENIOR I C MEMPERTAHANKAN KLAS NUSANTARA</t>
  </si>
  <si>
    <t>ENGINEER SENIOR I A MANAJEMEN KLASIFIKASI</t>
  </si>
  <si>
    <t>SENIOR MANAGER PENERIMAAN KLAS NUSANTARA</t>
  </si>
  <si>
    <t>SURVEYOR MEMPERTAHANKAN KLAS NUSANTARA</t>
  </si>
  <si>
    <t>SURVEYOR SENIOR I A MEMPERTAHANKAN KLAS DIVISI SURVEY YANG DITEMPATKAN DI CABANG UTAMA KLAS BANTEN</t>
  </si>
  <si>
    <t>ENGINEER SENIOR I DIVISI SURVEY YANG DITEMPATKAN DI CABANG UTAMA KLAS BATAM</t>
  </si>
  <si>
    <t>SURVEYOR SENIOR I A MEMPERTAHANKAN KLAS DIVISI SURVEY YANG DITEMPATKAN DI CABANG UTAMA KLAS BATAM</t>
  </si>
  <si>
    <t>SURVEYOR SENIOR I B MEMPERTAHANKAN KLAS DIVISI SURVEY YANG DITEMPATKAN DI CABANG UTAMA KLAS BATAM</t>
  </si>
  <si>
    <t>SURVEYOR PENERIMAAN KLAS DIVISI SURVEY YANG DITEMPATKAN DI CABANG UTAMA KLAS SAMARINDA</t>
  </si>
  <si>
    <t>SURVEYOR MEMPERTAHANKAN KLAS DIVISI SURVEY YANG DITEMPATKAN DI CABANG UTAMA KLAS SAMARINDA</t>
  </si>
  <si>
    <t>SURVEYOR SENIOR I A PENERIMAAN KLAS NUSANTARA</t>
  </si>
  <si>
    <t>SURVEYOR PENERIMAAN KLAS YANG DITEMPATKAN DI CABANG UTAMA KLAS SURABAYA</t>
  </si>
  <si>
    <t>SURVEYOR PENERIMAAN KLAS DIVISI SURVEY YANG DITEMPATKAN DI CABANG UTAMA KLAS SURABAYA</t>
  </si>
  <si>
    <t>SURVEYOR SENIOR I A MEMPERTAHANKAN KLAS NUSANTARA</t>
  </si>
  <si>
    <t>VP SURVEY</t>
  </si>
  <si>
    <t>SURVEYOR SENIOR II C MEMPERTAHANKAN KLAS NUSANTARA</t>
  </si>
  <si>
    <t>SURVEYOR SENIOR I B PENERIMAAN KLAS NUSANTARA</t>
  </si>
  <si>
    <t>SURVEYOR JUNIOR MANAJEMEN KLAS</t>
  </si>
  <si>
    <t>SURVEYOR SENIOR I B OPERASI KLASIFIKASI</t>
  </si>
  <si>
    <t>SURVEYOR SENIOR II C KENDALI OPERASI YANG DITEMPATKAN DI CABANG UTAMA KLAS BATAM</t>
  </si>
  <si>
    <t>SURVEYOR SENIOR II B KENDALI OPERASI YANG DITEMPATKAN DI CABANG UTAMA KLAS BANTEN</t>
  </si>
  <si>
    <t>SURVEYOR SENIOR I A KENDALI OPERASI YANG DITEMPATKAN DI CABANG UTAMA KLAS BANTEN</t>
  </si>
  <si>
    <t>SURVEYOR SENIOR II A KENDALI OPERASI YANG DITEMPATKAN DI CABANG UTAMA KLAS BATAM</t>
  </si>
  <si>
    <t>SURVEYOR SENIOR I C KENDALI OPERASI YANG DITEMPATKAN DI CABANG UTAMA KLAS SAMARINDA</t>
  </si>
  <si>
    <t>SURVEYOR UTAMA</t>
  </si>
  <si>
    <t>SENIOR MANAGER OPERASI KLASIFIKASI</t>
  </si>
  <si>
    <t>SURVEYOR SENIOR I B KENDALI OPERASI YANG DITEMPATKAN DI CABANG UTAMA KLAS SAMARINDA</t>
  </si>
  <si>
    <t>SENIOR MANAGER MANAJEMEN KLASIFIKASI</t>
  </si>
  <si>
    <t>ENGINEER MANAJEMEN KLASIFIKASI</t>
  </si>
  <si>
    <t>OFFICER HUBUNGAN PELANGGAN</t>
  </si>
  <si>
    <t>SENIOR MANAGER PENGEMBANGAN DAN OPERASI TI</t>
  </si>
  <si>
    <t>ANALIS MANAJEMEN PROYEK TEKNOLOGI INFORMASI</t>
  </si>
  <si>
    <t>SPESIALIS PENGAMANAN TEKNOLOGI INFORMASI</t>
  </si>
  <si>
    <t>ANALIS PENGEMBANGAN DAN OPERASI TEKNOLOGI INFORMASI</t>
  </si>
  <si>
    <t>PJ. SENIOR SPESIALIS PERENCANAAN STRATEGI TI</t>
  </si>
  <si>
    <t>SPESIALIS MANAJEMEN PROYEK TEKNOLOGI INFORMASI</t>
  </si>
  <si>
    <t>VP LEGAL COUNSEL</t>
  </si>
  <si>
    <t>VP PENGADAAN, UMUM DAN MANAJEMEN ASET</t>
  </si>
  <si>
    <t>SENIOR AUDITOR SEGMEN KOMERSIAL</t>
  </si>
  <si>
    <t>SENIOR MANAGER AUDIT SEGMEN KOMERSIAL</t>
  </si>
  <si>
    <t>SENIOR MANAGER AUDIT SEGMEN KLASIFIKASI</t>
  </si>
  <si>
    <t>ANALIS PERENCANAAN &amp; AUDIT SEGMEN KLASIFIKASI</t>
  </si>
  <si>
    <t>VP PENGAWASAN INTERN</t>
  </si>
  <si>
    <t>SENIOR AUDITOR</t>
  </si>
  <si>
    <t>SENIOR LEAD AUDITOR</t>
  </si>
  <si>
    <t>KEPALA CABANG UTAMA KOMERSIAL JAKARTA</t>
  </si>
  <si>
    <t>PJ. SENIOR MANAGER OPERASI TRANSPORT &amp; LOGISTIC</t>
  </si>
  <si>
    <t>SENIOR MANAGER TKDN &amp; PEMERINTAHAN</t>
  </si>
  <si>
    <t>SENIOR MANAGER PENJUALAN DAN DUKUNGAN BISNIS KOMERSIAL JAKARTA</t>
  </si>
  <si>
    <t>MANAGER BISNIS EKONOMI HIJAU</t>
  </si>
  <si>
    <t>MANAGER LABORATORIUM</t>
  </si>
  <si>
    <t>MANAGER PENJUALAN KOMERSIAL JAKARTA</t>
  </si>
  <si>
    <t>MANAGER ADMINISTRASI UMUM DAN KEUANGAN</t>
  </si>
  <si>
    <t>INSPEKTUR OPERASI ENERGI</t>
  </si>
  <si>
    <t>INSPEKTUR JUNIOR II OPERASI ENERGI</t>
  </si>
  <si>
    <t>INSPEKTUR JUNIOR I OPERASI ENERGI</t>
  </si>
  <si>
    <t>ADMINISTRATOR KEUANGAN</t>
  </si>
  <si>
    <t>PJ. SENIOR MANAGER OPERASI ENERGY</t>
  </si>
  <si>
    <t>INSPEKTUR SENIOR I OPERASI TRANSPORT &amp; LOGISTIC</t>
  </si>
  <si>
    <t>INSPEKTUR OPERASI TRANSPORT &amp; LOGISTIC</t>
  </si>
  <si>
    <t>INSPEKTUR JUNIOR II OPERASI TRANSPORT &amp; LOGISTIC</t>
  </si>
  <si>
    <t>SPESIALIS TEKNIK TKDN &amp; PEMERINTAH</t>
  </si>
  <si>
    <t>SENIOR MANAGER BKI ACADEMY</t>
  </si>
  <si>
    <t>ANALIS TEKNIK BKI ACADEMY</t>
  </si>
  <si>
    <t>OFFICER PENJUALAN</t>
  </si>
  <si>
    <t>VP CoE ENERGY</t>
  </si>
  <si>
    <t>SENIOR MANAGER RISET, PENGEMBANGAN BISNIS DAN PEMASARAN ENERGI</t>
  </si>
  <si>
    <t>SENIOR MANAGER DUKUNGAN TEKNIS DAN SUMBER DAYA ENERGI</t>
  </si>
  <si>
    <t>SPESIALIS SENIOR TEKNIK</t>
  </si>
  <si>
    <t>OFFICER JUNIOR TEKNIK</t>
  </si>
  <si>
    <t>ANALIS TEKNIK</t>
  </si>
  <si>
    <t>VP CoE TRANSPORT &amp; LOGISTIC</t>
  </si>
  <si>
    <t>SENIOR MANAGER DUKUNGAN TEKNIS DAN SUMBER DAYA TRANSPORT &amp; LOGISTIC</t>
  </si>
  <si>
    <t>ANALIS TANGGUNG JAWAB SOSIAL DAN LINGKUNGAN</t>
  </si>
  <si>
    <t>KEPALA UNIT TANGGUNG JAWAB SOSIAL LINGKUNGAN</t>
  </si>
  <si>
    <t>Jabatan</t>
  </si>
  <si>
    <t>50793</t>
  </si>
  <si>
    <t>ABU YAZID</t>
  </si>
  <si>
    <t>50806</t>
  </si>
  <si>
    <t>CHELTIS CHARLES KEHEK</t>
  </si>
  <si>
    <t>50792</t>
  </si>
  <si>
    <t>FERLIANSYAH</t>
  </si>
  <si>
    <t>50382</t>
  </si>
  <si>
    <t>RENZA MUHARAM</t>
  </si>
  <si>
    <t>50761</t>
  </si>
  <si>
    <t>ARIFIN NUR</t>
  </si>
  <si>
    <t>50670</t>
  </si>
  <si>
    <t>RUDI ARFIANSYAH</t>
  </si>
  <si>
    <t>50868</t>
  </si>
  <si>
    <t>MARIHAT RIDHO SINAGA</t>
  </si>
  <si>
    <t>50858</t>
  </si>
  <si>
    <t>SITI IQLIMA</t>
  </si>
  <si>
    <t>50698</t>
  </si>
  <si>
    <t>LADY AGUSTINE AMALIYA</t>
  </si>
  <si>
    <t>50977</t>
  </si>
  <si>
    <t>IZZUDIN AKBAR AL FARABI</t>
  </si>
  <si>
    <t>50744</t>
  </si>
  <si>
    <t>M IBNU ROHIM</t>
  </si>
  <si>
    <t>50772</t>
  </si>
  <si>
    <t>NORA OKTAVIA</t>
  </si>
  <si>
    <t>50767</t>
  </si>
  <si>
    <t>ANGGRAENI DWI RIYANTI</t>
  </si>
  <si>
    <t>50989</t>
  </si>
  <si>
    <t>ARINDA DWI KUSUMASTUTI</t>
  </si>
  <si>
    <t>51039</t>
  </si>
  <si>
    <t>ANANDA NURAFIFAH ANGRAENI</t>
  </si>
  <si>
    <t>50388</t>
  </si>
  <si>
    <t>MOHAMED FAZLI BIN MAHABUT</t>
  </si>
  <si>
    <t>50473</t>
  </si>
  <si>
    <t>RITA TIO</t>
  </si>
  <si>
    <t>50417</t>
  </si>
  <si>
    <t>SUWATI BUN</t>
  </si>
  <si>
    <t>50137</t>
  </si>
  <si>
    <t>SYED MOHAMED ISMAIL</t>
  </si>
  <si>
    <t>50686</t>
  </si>
  <si>
    <t>AGUS SALIM</t>
  </si>
  <si>
    <t>51015</t>
  </si>
  <si>
    <t>MUHAMAD RAMA ALFANDI</t>
  </si>
  <si>
    <t>50688</t>
  </si>
  <si>
    <t>TINA AKSARANI</t>
  </si>
  <si>
    <t>50689</t>
  </si>
  <si>
    <t>AJENG KURNIA IMANSARI</t>
  </si>
  <si>
    <t>50690</t>
  </si>
  <si>
    <t>MUHAMMAD FADLI AMIR</t>
  </si>
  <si>
    <t>50691</t>
  </si>
  <si>
    <t>TOMMY NUR ADITYA</t>
  </si>
  <si>
    <t>50692</t>
  </si>
  <si>
    <t>TAMZIL FADILLAH HARDONO</t>
  </si>
  <si>
    <t>50703</t>
  </si>
  <si>
    <t>EFI LISTIA YUNI</t>
  </si>
  <si>
    <t>50865</t>
  </si>
  <si>
    <t>HAFIZH MUHAMMAD NAUFAL SHIDQI</t>
  </si>
  <si>
    <t>50873</t>
  </si>
  <si>
    <t>MIRZA OTTOSENNA SYAILENDRA</t>
  </si>
  <si>
    <t>50831</t>
  </si>
  <si>
    <t>ARY DEWANTO</t>
  </si>
  <si>
    <t>50899</t>
  </si>
  <si>
    <t>AYU PADMASANTI</t>
  </si>
  <si>
    <t>50862</t>
  </si>
  <si>
    <t>DHIA ADLINA FAJARIN GHAISANI</t>
  </si>
  <si>
    <t>50699</t>
  </si>
  <si>
    <t>FAHMI ALDY</t>
  </si>
  <si>
    <t>50932</t>
  </si>
  <si>
    <t>NADA NISRINA MARAHAINI</t>
  </si>
  <si>
    <t>51030</t>
  </si>
  <si>
    <t>HANDARBENI DWI PRASETYO</t>
  </si>
  <si>
    <t>50999</t>
  </si>
  <si>
    <t>MUHAMMAD RIZKY FAUZY FERNANDA</t>
  </si>
  <si>
    <t>50874</t>
  </si>
  <si>
    <t>RATNA TRI HARDINI</t>
  </si>
  <si>
    <t>50835</t>
  </si>
  <si>
    <t>PERY RINANDAR</t>
  </si>
  <si>
    <t>50836</t>
  </si>
  <si>
    <t>RIZKI DAMAR SATRIA</t>
  </si>
  <si>
    <t>50780</t>
  </si>
  <si>
    <t>MUHTAR</t>
  </si>
  <si>
    <t>50837</t>
  </si>
  <si>
    <t>ELVINO ADI PUTRA</t>
  </si>
  <si>
    <t>50825</t>
  </si>
  <si>
    <t>ARIEF SYAFTRIAN</t>
  </si>
  <si>
    <t>50934</t>
  </si>
  <si>
    <t>KHOLID ANAS AMRULLOH</t>
  </si>
  <si>
    <t>50995</t>
  </si>
  <si>
    <t>MUHAMMAD FACHRI RAMADHAN</t>
  </si>
  <si>
    <t>50972</t>
  </si>
  <si>
    <t>ARIEF ADHITYA PERDANA</t>
  </si>
  <si>
    <t>51040</t>
  </si>
  <si>
    <t>KHANSA DAFFA ZUL HAZMI</t>
  </si>
  <si>
    <t>51031</t>
  </si>
  <si>
    <t>CHELSYA MANIK</t>
  </si>
  <si>
    <t>50967</t>
  </si>
  <si>
    <t>IFAN SYAHPUTRA</t>
  </si>
  <si>
    <t>51021</t>
  </si>
  <si>
    <t>AWANG SYUKRIANSAH DIRGANTORO</t>
  </si>
  <si>
    <t>50926</t>
  </si>
  <si>
    <t>ICHSAN AHRIL AUZAN</t>
  </si>
  <si>
    <t>50930</t>
  </si>
  <si>
    <t>RIZKY GUSTI ANDIKA</t>
  </si>
  <si>
    <t>51001</t>
  </si>
  <si>
    <t>RIZA ZAKARIA HELMI</t>
  </si>
  <si>
    <t>50823</t>
  </si>
  <si>
    <t>IBRAHIM AD'HA</t>
  </si>
  <si>
    <t>50966</t>
  </si>
  <si>
    <t>RAHMAT SIREGAR</t>
  </si>
  <si>
    <t>50981</t>
  </si>
  <si>
    <t>RAMADHINA DEA ANANDA</t>
  </si>
  <si>
    <t>50983</t>
  </si>
  <si>
    <t>CHAIRANI MAULINA UTAMI</t>
  </si>
  <si>
    <t>50987</t>
  </si>
  <si>
    <t>ARUM CAHAYA SARI</t>
  </si>
  <si>
    <t>51017</t>
  </si>
  <si>
    <t>DINA NUR AULIANA</t>
  </si>
  <si>
    <t>51032</t>
  </si>
  <si>
    <t>RUTH ALFONSINA WORABAY</t>
  </si>
  <si>
    <t>51014</t>
  </si>
  <si>
    <t>BRIAN FIRMANSYAH PUTRA SULMI</t>
  </si>
  <si>
    <t>50997</t>
  </si>
  <si>
    <t>RICARDO SANTOS</t>
  </si>
  <si>
    <t>51013</t>
  </si>
  <si>
    <t>NURSYIFA RAMADHANI</t>
  </si>
  <si>
    <t>50914</t>
  </si>
  <si>
    <t>SEPTIANTI LAILI SOFIANA</t>
  </si>
  <si>
    <t>51016</t>
  </si>
  <si>
    <t>ILHAM HANAMI</t>
  </si>
  <si>
    <t>51009</t>
  </si>
  <si>
    <t>FEIRUZ RACHMITA ALAMSYAH</t>
  </si>
  <si>
    <t>51008</t>
  </si>
  <si>
    <t>M. FAUZAN FIKRI</t>
  </si>
  <si>
    <t>51012</t>
  </si>
  <si>
    <t>RAGIL WICAKSONO PUTRA PAMUNGKAS</t>
  </si>
  <si>
    <t>51028</t>
  </si>
  <si>
    <t>NAZWA AHSYANI FAATIHA</t>
  </si>
  <si>
    <t>50777</t>
  </si>
  <si>
    <t>AHMAD YUNUS</t>
  </si>
  <si>
    <t>50929</t>
  </si>
  <si>
    <t>NAILA IZNA DZAKIA</t>
  </si>
  <si>
    <t>50948</t>
  </si>
  <si>
    <t>PUTRI KANA TAQIYYA</t>
  </si>
  <si>
    <t>50984</t>
  </si>
  <si>
    <t>THAZA FEBRIANTI</t>
  </si>
  <si>
    <t>50773</t>
  </si>
  <si>
    <t>MARIYANA ASTRI FANDANI</t>
  </si>
  <si>
    <t>50816</t>
  </si>
  <si>
    <t>ARDHIANTI NOVIANDITA</t>
  </si>
  <si>
    <t>50912</t>
  </si>
  <si>
    <t>GOFUR SIDDIQ RINO HADI</t>
  </si>
  <si>
    <t>50959</t>
  </si>
  <si>
    <t>FARHAND ALLY FAHMI</t>
  </si>
  <si>
    <t>51029</t>
  </si>
  <si>
    <t>DINAR RASTA FARA</t>
  </si>
  <si>
    <t>50866</t>
  </si>
  <si>
    <t>DYAH ANGGRAENI AYUNINGTYAS</t>
  </si>
  <si>
    <t>51018</t>
  </si>
  <si>
    <t>SYAHRUL IRMANSYAH</t>
  </si>
  <si>
    <t>50973</t>
  </si>
  <si>
    <t>LUTHFI AFRIZAL</t>
  </si>
  <si>
    <t>51020</t>
  </si>
  <si>
    <t>JUSAK SONANG FERRARI SIAHAAN</t>
  </si>
  <si>
    <t>51023</t>
  </si>
  <si>
    <t>PENNI DIAN</t>
  </si>
  <si>
    <t>51024</t>
  </si>
  <si>
    <t>RAMRAY ANANDA AMIR</t>
  </si>
  <si>
    <t>51041</t>
  </si>
  <si>
    <t>YOGA ARY LEKSONO</t>
  </si>
  <si>
    <t>50845</t>
  </si>
  <si>
    <t>AYUMI PUTRI VARADITA</t>
  </si>
  <si>
    <t>50847</t>
  </si>
  <si>
    <t>VICKY JULIAN PRAYOGA</t>
  </si>
  <si>
    <t>50935</t>
  </si>
  <si>
    <t>ENDAH NOVITA</t>
  </si>
  <si>
    <t>51019</t>
  </si>
  <si>
    <t>ANGGA RAMADHANI SAPUTRA</t>
  </si>
  <si>
    <t>51011</t>
  </si>
  <si>
    <t>VINCENTIUS ARDEN AVIANDA PRADITA</t>
  </si>
  <si>
    <t>50783</t>
  </si>
  <si>
    <t>ADE SINTYA KUSUMAWARDANI</t>
  </si>
  <si>
    <t>50802</t>
  </si>
  <si>
    <t>NAUFAL FARRAS BASUKI</t>
  </si>
  <si>
    <t>50864</t>
  </si>
  <si>
    <t>NIRMALA LUTHFIYA ATYANTA</t>
  </si>
  <si>
    <t>50860</t>
  </si>
  <si>
    <t>AURA AZZAHRA</t>
  </si>
  <si>
    <t>50861</t>
  </si>
  <si>
    <t>MUHAMMAD RAHUL</t>
  </si>
  <si>
    <t>50922</t>
  </si>
  <si>
    <t>JEIHAN FAJAR KUSAENI</t>
  </si>
  <si>
    <t>50974</t>
  </si>
  <si>
    <t>ELLIZARTAMA TAUFIK HADIMULYO</t>
  </si>
  <si>
    <t>51025</t>
  </si>
  <si>
    <t>MUHAMMAD HANIF IRSYAD</t>
  </si>
  <si>
    <t>51033</t>
  </si>
  <si>
    <t>KUSUMA WARDANA BAGUS DWI KUNCORO</t>
  </si>
  <si>
    <t>50936</t>
  </si>
  <si>
    <t>I MADE VIDYA PRAWIRA SATRIO</t>
  </si>
  <si>
    <t>51043</t>
  </si>
  <si>
    <t>TANRI SYAHREZA DIARSA</t>
  </si>
  <si>
    <t>50801</t>
  </si>
  <si>
    <t>DHITYA PUTRA RAMADHAN</t>
  </si>
  <si>
    <t>50827</t>
  </si>
  <si>
    <t>VERONICA TJINTHIA</t>
  </si>
  <si>
    <t>50933</t>
  </si>
  <si>
    <t>ALLARIC AVICENNA RENANDA</t>
  </si>
  <si>
    <t>51022</t>
  </si>
  <si>
    <t>SITI UKHFIYA</t>
  </si>
  <si>
    <t>50949</t>
  </si>
  <si>
    <t>HAFEZ AHMAD TAURY</t>
  </si>
  <si>
    <t>50826</t>
  </si>
  <si>
    <t>MUHAMAD HASYIM RASIDI</t>
  </si>
  <si>
    <t>50941</t>
  </si>
  <si>
    <t>IZZAFAJRI SYAFIRA</t>
  </si>
  <si>
    <t>50931</t>
  </si>
  <si>
    <t>MUTIARA PUTRI AMELIA</t>
  </si>
  <si>
    <t>50830</t>
  </si>
  <si>
    <t>TARIZA BRILIANTI</t>
  </si>
  <si>
    <t>50937</t>
  </si>
  <si>
    <t>ADITYA ILHAM SAPTIAWAN</t>
  </si>
  <si>
    <t>50791</t>
  </si>
  <si>
    <t>AGNES RENITA OKTAVIANI</t>
  </si>
  <si>
    <t>50797</t>
  </si>
  <si>
    <t>MOCHAMAD FAUZY</t>
  </si>
  <si>
    <t>50819</t>
  </si>
  <si>
    <t>WITA KUSUMA WARDANI</t>
  </si>
  <si>
    <t>51026</t>
  </si>
  <si>
    <t>SYAHRIZAL NUR ARFANI</t>
  </si>
  <si>
    <t>51027</t>
  </si>
  <si>
    <t>DEVI RAHMA FAUZIA</t>
  </si>
  <si>
    <t>50811</t>
  </si>
  <si>
    <t>DINDA PRATIWI</t>
  </si>
  <si>
    <t>51007</t>
  </si>
  <si>
    <t>MOCHAMAD FASHA FIRDAUS</t>
  </si>
  <si>
    <t>STAF OPERASIONAL</t>
  </si>
  <si>
    <t>STAF DUKUNGAN BISNIS</t>
  </si>
  <si>
    <t>STAF KEUANGAN</t>
  </si>
  <si>
    <t xml:space="preserve">Staf Administrasi Operasional </t>
  </si>
  <si>
    <t>STAF OPERASIONAL &amp; UMUM</t>
  </si>
  <si>
    <t>STAF ADMINISTRASI</t>
  </si>
  <si>
    <t>CABANG SINGAPURA</t>
  </si>
  <si>
    <t>STAF ADMINISTRASI PEMINDAH GAMBAR</t>
  </si>
  <si>
    <t>CABANG UTAMA KLAS TG.PRIOK</t>
  </si>
  <si>
    <t>STAF MANAJEMEN KEWILAYAHAN</t>
  </si>
  <si>
    <t>STAF PMO PIUTANG KP</t>
  </si>
  <si>
    <t>PROJECT MANAGER PMO ERP</t>
  </si>
  <si>
    <t>STAF ABAP</t>
  </si>
  <si>
    <t xml:space="preserve">STAF PROGRAMMER IT </t>
  </si>
  <si>
    <t>STAF PERENCANAAN DAN PENGEMBANGAN SUMBER DAYA MANUSIA</t>
  </si>
  <si>
    <t xml:space="preserve">Staf Infrastruktur Teknologi Informasi </t>
  </si>
  <si>
    <t>STAF HUBUNGAN INDUSTRIAL</t>
  </si>
  <si>
    <t>STAF ANALIS MANAJEMEN &amp; TATA KELOLA TI</t>
  </si>
  <si>
    <t>ANALISA PROSES BISNIS TERINTEGRASI</t>
  </si>
  <si>
    <t>TENAGA AHLI</t>
  </si>
  <si>
    <t>STAF SENTRALISASI KEUANGAN</t>
  </si>
  <si>
    <t>STAF SISTEM SENTRALISASI KEUANGAN</t>
  </si>
  <si>
    <t>STAF TREASURY</t>
  </si>
  <si>
    <t>STAF ADMINISTRASI KEUANGAN</t>
  </si>
  <si>
    <t>DIVISI LEGAL COUNSEL</t>
  </si>
  <si>
    <t>STAF ANALISA KEPATUHAN ATAU LICENSE TO OPERATE</t>
  </si>
  <si>
    <t>STAF LEGAL</t>
  </si>
  <si>
    <t>STAF ADMINISTRASI LEGAL</t>
  </si>
  <si>
    <t>STAF OPERASI DIGITAL MARITIM</t>
  </si>
  <si>
    <t>STAF PEMASARAN</t>
  </si>
  <si>
    <t>STAF K3L</t>
  </si>
  <si>
    <t xml:space="preserve">STAF ENGINEER </t>
  </si>
  <si>
    <t>STAF PEMERIKSA PERSETUJUAN DOKUMEN LAMBUNG</t>
  </si>
  <si>
    <t>STAF ADMIN GAMBAR</t>
  </si>
  <si>
    <t xml:space="preserve">STAF PEMERIKSA PERSETUJUAN DOKUMEN PERMESINAN </t>
  </si>
  <si>
    <t>STAF PEMERIKSA PERSETUJUAN DOKUMEN LAMBUNG TIMBUL &amp; STABILITAS</t>
  </si>
  <si>
    <t>STAF PEMERIKSA PERSETUJUAN DOKUMEN LOAD LINE &amp; STABILITAS</t>
  </si>
  <si>
    <t>Staf Pemeriksa Persetujuan Dokumen Mesin</t>
  </si>
  <si>
    <t>STAF TEKNIK</t>
  </si>
  <si>
    <t>STAF RISET</t>
  </si>
  <si>
    <t>STAF RISET BISNIS</t>
  </si>
  <si>
    <t>STAF EXTERNAL RELATION</t>
  </si>
  <si>
    <t>STAF KOMUNIKASI KORPORAT</t>
  </si>
  <si>
    <t>STAF OOTB DIREKTUR OPERASI BISNIS KLASIFIKASI</t>
  </si>
  <si>
    <t>STAF OFFICE OF THE BOARD</t>
  </si>
  <si>
    <t>STAF LEGAL DAN KEPATUHAN</t>
  </si>
  <si>
    <t>DIVISI SEKRETARIS PERUSAHAAN IDS</t>
  </si>
  <si>
    <t>STAF FUNCTION</t>
  </si>
  <si>
    <t>STAF ANALIS</t>
  </si>
  <si>
    <t xml:space="preserve">STAF ADMINISTRASI </t>
  </si>
  <si>
    <t>CUSTOMER SERVICES</t>
  </si>
  <si>
    <t>STAF CUSTOMER ADVISORY</t>
  </si>
  <si>
    <t>UNIT TANGGUNG JAWAB SOSIAL DAN LINGKUNGAN IDS</t>
  </si>
  <si>
    <t>Simpanan Kop</t>
  </si>
  <si>
    <t>Pinjaman Kop</t>
  </si>
  <si>
    <t>ARIEF BUDI PERMANA</t>
  </si>
  <si>
    <t>R. AGUS DODDY DWISAGITA</t>
  </si>
  <si>
    <t>BENNY SUSANTO</t>
  </si>
  <si>
    <t>DIREKSI</t>
  </si>
  <si>
    <t>VERSI KOPERASI</t>
  </si>
  <si>
    <t>PUSAT</t>
  </si>
  <si>
    <t>Simpanan Kantor Pusat</t>
  </si>
  <si>
    <t>Simpanan 3 Direksi BENNY SUSANTO, ARIEF BUDI PERMANA &amp; R. AGUS DODDY DWISAGITA</t>
  </si>
  <si>
    <t>TOTAL Simpanan Kantor Pusat</t>
  </si>
  <si>
    <t>Total Simpanan Pusat &amp; Cabang</t>
  </si>
  <si>
    <t>Total Pinjaman Pusat &amp; Cabang</t>
  </si>
  <si>
    <t>TOTAL Pinjaman Kantor Pusat</t>
  </si>
  <si>
    <t>TOTAL POTONGAN (SIMPANAN &amp; PINJAMAN) PUSAT</t>
  </si>
  <si>
    <t>TOTAL POTONGAN CABANG &amp; PUSAT</t>
  </si>
  <si>
    <t>SIMPANAN PRIOK</t>
  </si>
  <si>
    <t>SIMPANAN ALL CABANG SELINDO</t>
  </si>
  <si>
    <t>PINJAMAN PRIOK</t>
  </si>
  <si>
    <t>PINJAMAN ALL CABANG SELINDO</t>
  </si>
  <si>
    <t>TOTAL POTONGAN (SIMPANAN &amp; PINJAMAN) Cabang</t>
  </si>
  <si>
    <t>Pinjaman Kantor Pusat + Dana Simpanan Qurban Desember 2025</t>
  </si>
  <si>
    <t>Pinjaman Kantor Pusat ( Include dana Qurban )</t>
  </si>
  <si>
    <t xml:space="preserve">SIMPANAN CABANG UTAMA KOMERSIAL JAKARTA </t>
  </si>
  <si>
    <t>SIMPANAN CABANG:</t>
  </si>
  <si>
    <t>PINJAMAN CABANG:</t>
  </si>
  <si>
    <t xml:space="preserve">PINJAMAN CABANG UTAMA KOMERSIAL JAKARTA </t>
  </si>
  <si>
    <t>SIMPANAN CoE Energy</t>
  </si>
  <si>
    <t>PINJAMAN CoE Energy</t>
  </si>
  <si>
    <t>Selisih 1.000.000 dengan rekapan aslinya</t>
  </si>
  <si>
    <t>(Pinjaman Reguler Burhanuddin)</t>
  </si>
  <si>
    <t>SIMPANAN CoE Transport &amp; Logistic</t>
  </si>
  <si>
    <t>PINJAMAN CoE Transport &amp; Logistic</t>
  </si>
  <si>
    <t xml:space="preserve">Selisih 1.600.000 dengan rekapan aslinya </t>
  </si>
  <si>
    <t>(Pinjaman Reguler Azhar Giphari dan Edit Hasta)</t>
  </si>
  <si>
    <t>IDS</t>
  </si>
  <si>
    <t>SYAHLIR, A.MD.</t>
  </si>
  <si>
    <t>HARDIAN, S.KOM</t>
  </si>
  <si>
    <t>PRASETYO, S.T., M.M.T.</t>
  </si>
  <si>
    <t>M. RAHMAT AKBAR RAMADHAN</t>
  </si>
  <si>
    <t>FAJAR NUGRAHA, S.T., M.BUS.SYS., M.SC.</t>
  </si>
  <si>
    <t>FIKRAH WATHANI, S.PSI</t>
  </si>
  <si>
    <t>SURIATY PARAMINTA PUTRI, S.T., M.SC.</t>
  </si>
  <si>
    <t>MOHAMMAD HASAN, S.T.</t>
  </si>
  <si>
    <t>ABDIL HAFIIZH ZHAFRAN, S.T.,M.MT</t>
  </si>
  <si>
    <t>ANDRI SURYAWAN, S.H.</t>
  </si>
  <si>
    <t>GDE SANDHYANA PRADHITA, S.KOM.</t>
  </si>
  <si>
    <t>IRAWATI, S.T.</t>
  </si>
  <si>
    <t>MOHAMMAD RIZKI SATRIO, S.IKOM</t>
  </si>
  <si>
    <t>TEGUH ANDANI, S.SOS.</t>
  </si>
  <si>
    <t>ANITA MAGDALENA, S.H.</t>
  </si>
  <si>
    <t>BUDI FITRIAWAN, S.T., M.MT.</t>
  </si>
  <si>
    <t>INDRA KUSUMA MUHAMMAD, S.E.</t>
  </si>
  <si>
    <t>FAJAR NUGRAHA, S.T.</t>
  </si>
  <si>
    <t>PURWOKO WIDHYANTO WIRAWAN, S.T.</t>
  </si>
  <si>
    <t>DONY TRI SUSILO, S.T.</t>
  </si>
  <si>
    <t>FITRIANI, A.MD.</t>
  </si>
  <si>
    <t>MUHAMMAD IDI, S.T.</t>
  </si>
  <si>
    <t>ARY FIRMANSYAH FIRLI, S.T.</t>
  </si>
  <si>
    <t>HENDI ZULFAN, S.T.</t>
  </si>
  <si>
    <t>ANDI ARDI ABDULLAH, S.T.</t>
  </si>
  <si>
    <t>M. HATTA BACO B, S.T.</t>
  </si>
  <si>
    <t>RAHMAT S, S.T.</t>
  </si>
  <si>
    <t>INDAH PETRICIA SARI, S.E.</t>
  </si>
  <si>
    <t>SAID TAUFIQ, S.T.</t>
  </si>
  <si>
    <t>MUH ALI HASAN, A.MD.</t>
  </si>
  <si>
    <t>MUH. NASIR, S.T.</t>
  </si>
  <si>
    <t>YOHANES ARDIANTO NUGROHO, S.T.</t>
  </si>
  <si>
    <t>LA ODE ABDUL RAHMAN FIRU, S.T.</t>
  </si>
  <si>
    <t>ABD. RAHMAN, S.T.</t>
  </si>
  <si>
    <t>ARIEF SULISTIYONO, S.T.</t>
  </si>
  <si>
    <t>EKA NANDA PRATAMA SUNARJO, S.T.</t>
  </si>
  <si>
    <t>MUSTAKIM, S.T.</t>
  </si>
  <si>
    <t>MUSHAWWIR RAZAK, S.T.</t>
  </si>
  <si>
    <t>MUHAMMAD FAJRIN M. SAID, S.T.</t>
  </si>
  <si>
    <t>AGUS ERICSON SIANIPAR, S.T.</t>
  </si>
  <si>
    <t>MOH. NOOR KHOLIS, S.T.</t>
  </si>
  <si>
    <t>BAMBANG TRI NUGROHO, A.MD.</t>
  </si>
  <si>
    <t>OKI DWI ANGGORO, A.MD.</t>
  </si>
  <si>
    <t>HERI WIRAWAN, S.T.</t>
  </si>
  <si>
    <t>AKHMAD MULIADDIN, S.T.</t>
  </si>
  <si>
    <t>ZAINAL, S.T.</t>
  </si>
  <si>
    <t>KHAERUL AKBAR, S.T.</t>
  </si>
  <si>
    <t>A. RASYID ALIMUDDIN, S.T.</t>
  </si>
  <si>
    <t>WAHJOE ARIO TEDJO, S.T.</t>
  </si>
  <si>
    <t>YULIAN ARPIANTO, S.T.</t>
  </si>
  <si>
    <t>ARYO SINGGIH, M.MAR.E.</t>
  </si>
  <si>
    <t>MUHAMMAD ASRUL LA SARIPI, S.T.</t>
  </si>
  <si>
    <t>BUDI ISROFI, S.T.</t>
  </si>
  <si>
    <t>CHOIRUN CAHYOABDI, S.T.</t>
  </si>
  <si>
    <t>SULASMAN, S.T.</t>
  </si>
  <si>
    <t>ARIFUDDIN, S.T.</t>
  </si>
  <si>
    <t>HARDI E. P. SIAGIAN, S.T.</t>
  </si>
  <si>
    <t>IRWAN EKO SANTOSO, S.T.</t>
  </si>
  <si>
    <t>MUH. ASQAR, S.T.</t>
  </si>
  <si>
    <t>RIDWAN AHMAD FAUZI, S.T.</t>
  </si>
  <si>
    <t>TEGUH BUDI SANTOSO, S.T.</t>
  </si>
  <si>
    <t>ABDUL KHOLICK, S.T.</t>
  </si>
  <si>
    <t>ARIFIN GUSTIAN PRAMOKO, S.T.</t>
  </si>
  <si>
    <t>SEPTIAN AJI DEWANGKARA, S.T.</t>
  </si>
  <si>
    <t>BAYU RISTA, S.T.</t>
  </si>
  <si>
    <t>MUHAMAD BAQI, S.T.</t>
  </si>
  <si>
    <t>FAUZI, S.S.T.PEL.</t>
  </si>
  <si>
    <t>SYARIFUDDIN YAMIN, S.T.</t>
  </si>
  <si>
    <t>ANDI P. SIAGIAN, S.T.</t>
  </si>
  <si>
    <t>EDWIN OLAF JULIAN DAMANIK, S.T.</t>
  </si>
  <si>
    <t>ILHAM SYAHRIR, S.T.</t>
  </si>
  <si>
    <t>RANGSANG KUSUMADILAGA, S.T.</t>
  </si>
  <si>
    <t>RONY WIRANTO SETIAWAN, S.E.</t>
  </si>
  <si>
    <t>NARSO, M.MAR.E.</t>
  </si>
  <si>
    <t>BAMBANG RIYANTO, S.T.</t>
  </si>
  <si>
    <t>SUDARYONO, S.T.</t>
  </si>
  <si>
    <t>ADNAN, S.T.</t>
  </si>
  <si>
    <t>MUHAMMAD ARAFAH, S.T.</t>
  </si>
  <si>
    <t>MUHAMMAD RIZKY PURNAMA, S.T.</t>
  </si>
  <si>
    <t>EFRY TALLAMMA, S.N., M.M.</t>
  </si>
  <si>
    <t>DANIEL MAHARDHIKA, S.T.</t>
  </si>
  <si>
    <t>JOKO SUSILO, S.T.</t>
  </si>
  <si>
    <t>FATKHURROHMAN, A.MD.</t>
  </si>
  <si>
    <t>HELDA YULISTIANI, S.H.</t>
  </si>
  <si>
    <t>YUSRIADY BOROALLO RUGA, S.T.</t>
  </si>
  <si>
    <t>FERNANDO S, S.T.</t>
  </si>
  <si>
    <t>ARIF RACHMAN, A.MD.</t>
  </si>
  <si>
    <t>JOKO UTOMO, A.MD.</t>
  </si>
  <si>
    <t>RIZKI ALDILLA TAMTURA, S.T.</t>
  </si>
  <si>
    <t>EDIT HASTA PRIHANTIKA, S.T.</t>
  </si>
  <si>
    <t>AZHAR GHIPARI, S.T.</t>
  </si>
  <si>
    <t>MOKHAMMAD YUFIAN RIDHANANDA, S.T.</t>
  </si>
  <si>
    <t>ELVINO YUSKA PUTRA, S.PSI.</t>
  </si>
  <si>
    <t>BURHANUDDIN, A.MD.</t>
  </si>
  <si>
    <t>R. SAPTO AGUNG PRAMUSINTO, S.T</t>
  </si>
  <si>
    <t>MAMIN RIFFIA KUSNANDAR, S.T., M.T.</t>
  </si>
  <si>
    <t>WINARTO, S.T.</t>
  </si>
  <si>
    <t>YUDI PRAWOTO, S.T.</t>
  </si>
  <si>
    <t>SUDIRO, A.MD.</t>
  </si>
  <si>
    <t>RYAN HANGGA SRI WIJIHARTO, S.T.</t>
  </si>
  <si>
    <t>HEDIAR HAPRI BANGABUA, S.T.</t>
  </si>
  <si>
    <t>HERY ALWIS, S.T.</t>
  </si>
  <si>
    <t>NERLAN PASARIBU, S.T.</t>
  </si>
  <si>
    <t>ELVA MOCHAMAD RAMDHANI, S.T.</t>
  </si>
  <si>
    <t>SATRIA ALDI PERMANA, S.T.</t>
  </si>
  <si>
    <t>MUHAMMAD TEGUH WIDODO, S.T.</t>
  </si>
  <si>
    <t>FARIED, S.T.</t>
  </si>
  <si>
    <t>ARIF BIJAKSANA SATRIA NEGARA, S.T.</t>
  </si>
  <si>
    <t>ARDHIAN BUDI SULISTIYO, A.MD.</t>
  </si>
  <si>
    <t>ISMAIL, S.T.</t>
  </si>
  <si>
    <t>R. ADE WARDOYO WINOTO PUTRO, S.T.</t>
  </si>
  <si>
    <t>MERDIANSAH, S.E.</t>
  </si>
  <si>
    <t>MUH. ASPAR, S.E.</t>
  </si>
  <si>
    <t>WAHYU PRIAMBODO, S .T.</t>
  </si>
  <si>
    <t>MAHESA SAGA, S.T.</t>
  </si>
  <si>
    <t>KENEDI PANGARIBUAN, ST.</t>
  </si>
  <si>
    <t>SATRIA ADI SUKMA N, S.T.</t>
  </si>
  <si>
    <t>BENNI HERMAWAN, S.T.</t>
  </si>
  <si>
    <t>AGRIS SETYAWAN, S.T.</t>
  </si>
  <si>
    <t>YULID ANJI FIRMANSYAH, S.T.</t>
  </si>
  <si>
    <t>JIADAN, S.T.</t>
  </si>
  <si>
    <t>DR. KARTIKA KUS HENDRATNA</t>
  </si>
  <si>
    <t>BAKTI NUGROHO DWI KUSHADIANTO, S.T.</t>
  </si>
  <si>
    <t>ARIF PURWONO, S.T.</t>
  </si>
  <si>
    <t>NEVI EKO YULIANANTO, S.T.</t>
  </si>
  <si>
    <t>AWALUDDIN PAINGNGI, S.T.</t>
  </si>
  <si>
    <t>DAVID NOER SYUHADA, S.T.</t>
  </si>
  <si>
    <t>MIFTAH FARIDY, S.T.</t>
  </si>
  <si>
    <t>PUJATMANTO BASTRIADI, S.SOS.</t>
  </si>
  <si>
    <t>ANOGI AKBAR ALI, S.E.</t>
  </si>
  <si>
    <t>IRWANTO, S.E.</t>
  </si>
  <si>
    <t>MARINA ARIFIANTI, A.MD.</t>
  </si>
  <si>
    <t>SUMARTINI, S.E.</t>
  </si>
  <si>
    <t>AZIZA, S.E.</t>
  </si>
  <si>
    <t>NASARUDDIN, S.E.</t>
  </si>
  <si>
    <t>DEDE MA'MUN SUMANTRI, S.E.</t>
  </si>
  <si>
    <t>BAYU MAHARDIKA WICAKSONO, S.KOM.</t>
  </si>
  <si>
    <t>MUCHLIS RACHMAN, S.KOM</t>
  </si>
  <si>
    <t>ROMILLO  LIBRA SETIADI, S.KOM</t>
  </si>
  <si>
    <t>SAMSUL MUSLIM, S.KOM.</t>
  </si>
  <si>
    <t>MARDINI EMBUN SARI, S.E.</t>
  </si>
  <si>
    <t>MIA MARTINA INDAH, S.SOS</t>
  </si>
  <si>
    <t>MUHAMAD SODIK, S.T.</t>
  </si>
  <si>
    <t>WILLY ADI NUGROHO, S.H.</t>
  </si>
  <si>
    <t>KURNIA FIRMANSYAH, S.E.</t>
  </si>
  <si>
    <t>MUHAMMAD ARFAH, S.T.</t>
  </si>
  <si>
    <t>ABDUR RAHMAN, S.T.</t>
  </si>
  <si>
    <t>NOVIANSYAH PAMUNGKAS, S.KOM., M.MT.</t>
  </si>
  <si>
    <t>ANDI LAMAPPASESSU, S.T.</t>
  </si>
  <si>
    <t>BAMBANG SUTOMO, S.T.</t>
  </si>
  <si>
    <t>KARTIKA WIJAYANTI</t>
  </si>
  <si>
    <t>LYZA YUNI SETIAWATI, S.T.</t>
  </si>
  <si>
    <t>RIDWAN ARIFIN, S.T.</t>
  </si>
  <si>
    <t>TAUFIK AKBAR, S.T.</t>
  </si>
  <si>
    <t>HERBERT S. H, S.T.</t>
  </si>
  <si>
    <t>MUNIR M, S.T., M.T.</t>
  </si>
  <si>
    <t>SUKMA MAHARANI, S.T.</t>
  </si>
  <si>
    <t>KRISHNA WIJAYADI, S.T.</t>
  </si>
  <si>
    <t>ANDI NURALIM KAMAL, S.T.</t>
  </si>
  <si>
    <t>ARMINDARY ARIEF, S.T.</t>
  </si>
  <si>
    <t>DENY CAHYO NUGROHO, S.T.</t>
  </si>
  <si>
    <t>DIAN FEBRIAN, S.T.</t>
  </si>
  <si>
    <t>DWIANA GALUH LISTIYARINI, S.T.</t>
  </si>
  <si>
    <t>FAHMI, S.T.</t>
  </si>
  <si>
    <t>FAHRUL NUR HIDAYAT, S.T.</t>
  </si>
  <si>
    <t>FAULINCIA, S.T.</t>
  </si>
  <si>
    <t>HIJRAWATI, S.T.</t>
  </si>
  <si>
    <t>SEFIA HELMINA, S.T.</t>
  </si>
  <si>
    <t>FACHRUDDIN, S.T.</t>
  </si>
  <si>
    <t>HERU SUSILO BUDIMAN, S.T.</t>
  </si>
  <si>
    <t>MOCHAMMAD ZAKY, S.T., M.T.</t>
  </si>
  <si>
    <t>WAWAN PRIYA WIDYANTA, S.T.</t>
  </si>
  <si>
    <t>MOHAMMAD ABDUL MALIK, S.T.</t>
  </si>
  <si>
    <t>RISKA DERIANI MASKAR, S.T.</t>
  </si>
  <si>
    <t>MUHAMMAD YUDI OKTOVIANTO, S.T., M.MT.</t>
  </si>
  <si>
    <t>ALWIN RIDWAN, S.E.</t>
  </si>
  <si>
    <t>WILLEM GERRIT PIETER, S.E.</t>
  </si>
  <si>
    <t>ERRY SANJAYA DJAYUS, S.E.</t>
  </si>
  <si>
    <t>DEBORAH NINDYA PAWESTRI, S.H.</t>
  </si>
  <si>
    <t>ADITYA TRISANDHYA PRAMANA, S.T., M.SC.</t>
  </si>
  <si>
    <t>ARIF YUNAEDI, S.T., M.SC.</t>
  </si>
  <si>
    <t>WASITO ABDUL MUKIT, S.T.</t>
  </si>
  <si>
    <t>NOMO PRIHASTA, S.T.</t>
  </si>
  <si>
    <t>TRI BUANA GALAXY, S.T. M.SC.</t>
  </si>
  <si>
    <t>GARY SIMON, S.T.</t>
  </si>
  <si>
    <t>SANG LANANG SADDAMULLAH, S.T.</t>
  </si>
  <si>
    <t>HAMBALI WAHID, S.IP.</t>
  </si>
  <si>
    <t>TANTYO PRAJOGO, S.T.</t>
  </si>
  <si>
    <t>UNTUNG PRASETYO, A.MD</t>
  </si>
  <si>
    <t>MARISA THERESIA SIHOMBING, S.H.</t>
  </si>
  <si>
    <t>SARI GITA TANTINIS, S.PD.</t>
  </si>
  <si>
    <t>RAHMAN SUSILO, S.T.</t>
  </si>
  <si>
    <t>RIMA NOVEDIA BANGUN, S.T.</t>
  </si>
  <si>
    <t>DWI CAHYA KURNIAWANI, S.E.</t>
  </si>
  <si>
    <t>WARINI, ST</t>
  </si>
  <si>
    <t>ACHMAD TAWAKKAL RAMPA, S.T.</t>
  </si>
  <si>
    <t>AGUS SUNARTO, S.T.</t>
  </si>
  <si>
    <t>TOGAP HIDAYAT SIAGIAN, S.KOM.</t>
  </si>
  <si>
    <t>TUNJUNG WIDYATMO H, S.T.</t>
  </si>
  <si>
    <t>BUSROL KARIM, S.T.</t>
  </si>
  <si>
    <t>ROSALINA AMRAN, S.E.</t>
  </si>
  <si>
    <t>SIGIT PRASTOWO, S.T.</t>
  </si>
  <si>
    <t>HARRYS PAHALA MANALU, S.T.</t>
  </si>
  <si>
    <t>SETIONO PRABOWO, ST.</t>
  </si>
  <si>
    <t>BUDI PRAKOSO, S.T.</t>
  </si>
  <si>
    <t>RATNA DEWI, A.MD.</t>
  </si>
  <si>
    <t>TRI LAKSONO JOENIAWAN, S.T.</t>
  </si>
  <si>
    <t>ALI AKBAR BASO, S.T.</t>
  </si>
  <si>
    <t>BUDIMAN JOHANSYAH, S.T</t>
  </si>
  <si>
    <t>DOAN OSCAR DEWANDARU, S.T.</t>
  </si>
  <si>
    <t>MAT HASAN, S.T.</t>
  </si>
  <si>
    <t>NOAH CAHYASASMITA, S.T.</t>
  </si>
  <si>
    <t>SUTRISNO, S.T.</t>
  </si>
  <si>
    <t>R. BENY SUSANTO</t>
  </si>
  <si>
    <t>R. AGUS DODDY DWISAGITA, S.T.`</t>
  </si>
  <si>
    <t>ARIEF BUDI PERMANA, IR.</t>
  </si>
  <si>
    <t>Pokok</t>
  </si>
  <si>
    <t>Jasa</t>
  </si>
  <si>
    <t>Simpanan Wajib</t>
  </si>
  <si>
    <t>BSI</t>
  </si>
  <si>
    <t>CABANG SELINDO</t>
  </si>
  <si>
    <t>Buku</t>
  </si>
  <si>
    <t>Sistem</t>
  </si>
  <si>
    <t>CABANG PRIOK</t>
  </si>
  <si>
    <t>CABUT KOM. JAKARTA</t>
  </si>
  <si>
    <t>BUKU</t>
  </si>
  <si>
    <t>SISTEM</t>
  </si>
  <si>
    <t>a</t>
  </si>
  <si>
    <t>b</t>
  </si>
  <si>
    <t>c</t>
  </si>
  <si>
    <t>Khusus</t>
  </si>
  <si>
    <t>Reguler</t>
  </si>
  <si>
    <t>Mandiri</t>
  </si>
  <si>
    <t>KHUSUS</t>
  </si>
  <si>
    <t>REGULER</t>
  </si>
  <si>
    <t>Cabang Selindo</t>
  </si>
  <si>
    <t>BANK MANDIRI</t>
  </si>
  <si>
    <t>SENIOR MANAGER PIUTANG</t>
  </si>
  <si>
    <t>SPESIALIS SENIOR VERIFIKASI &amp; VALIDASI</t>
  </si>
  <si>
    <t>SPESIALIS VERIFIKASI &amp; VALIDASI</t>
  </si>
  <si>
    <t>Keluar dari Koperasi per Januari 2026</t>
  </si>
  <si>
    <t>ANGGOTA BARU PER JANUARI 2026</t>
  </si>
  <si>
    <t>No</t>
  </si>
  <si>
    <t>Total Simpanan Pegawai Penugaskaryaan ke IDS</t>
  </si>
  <si>
    <t>Total Pinjaman Pegawai Penugaskaryaan ke IDS</t>
  </si>
  <si>
    <t>Total Simpanan &amp; Pinjaman Pegawai Penugaskaryaan ke IDS</t>
  </si>
  <si>
    <t>Bulan Januari 2026</t>
  </si>
  <si>
    <t>Rekapan Potongan Simpanan &amp; Pinjaman Pegawai BKI (Penugaskaryaan ke IDS)</t>
  </si>
  <si>
    <t>Rekapan Potongan Simpanan &amp; Pinjaman Pegawai Cabang</t>
  </si>
  <si>
    <t>Total Simp &amp; Pinjaman</t>
  </si>
  <si>
    <t>Simpanan KOP</t>
  </si>
  <si>
    <t>Pinjaman KOP</t>
  </si>
  <si>
    <t>TOTAL SIMP &amp; PINJAMAN CABANG</t>
  </si>
  <si>
    <t>Rekapan Potongan Simpanan &amp; Pinjaman Pegawai BKI Pusat</t>
  </si>
  <si>
    <t>Januari 2026</t>
  </si>
  <si>
    <t>Total Simpanan Pegawai Pusat</t>
  </si>
  <si>
    <t>Total Pinjaman Pegawai Pusat (Include simpanan Qurban 2 Anggota)</t>
  </si>
  <si>
    <t>Total Simpanan &amp; Pinjaman Pegawai BKI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</si>
</sst>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_(* #,##0_);_(* \(#,##0\);_(* &quot;-&quot;_);_(@_)"/>
    <numFmt numFmtId="166" formatCode="_-* #,##0.00_-;\-* #,##0.00_-;_-* &quot;-&quot;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 Light"/>
      <family val="1"/>
      <scheme val="major"/>
    </font>
    <font>
      <sz val="10"/>
      <color theme="1"/>
      <name val="Calibri Light"/>
      <family val="1"/>
      <scheme val="major"/>
    </font>
    <font>
      <sz val="1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1"/>
      <color rgb="FF1F1F1F"/>
      <name val="Calibri Light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15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0" fontId="0" fillId="2" borderId="1" xfId="0" applyFill="1" applyBorder="1"/>
    <xf numFmtId="0" fontId="0" fillId="3" borderId="1" xfId="0" applyFill="1" applyBorder="1"/>
    <xf numFmtId="0" fontId="1" fillId="0" borderId="1" xfId="2" applyBorder="1"/>
    <xf numFmtId="164" fontId="1" fillId="0" borderId="1" xfId="1" applyNumberFormat="1" applyBorder="1"/>
    <xf numFmtId="0" fontId="0" fillId="0" borderId="2" xfId="0" applyBorder="1"/>
    <xf numFmtId="0" fontId="2" fillId="0" borderId="0" xfId="0" applyFont="1"/>
    <xf numFmtId="165" fontId="2" fillId="0" borderId="0" xfId="3" applyFont="1"/>
    <xf numFmtId="165" fontId="0" fillId="0" borderId="0" xfId="3" applyFont="1"/>
    <xf numFmtId="165" fontId="0" fillId="0" borderId="1" xfId="3" applyFont="1" applyFill="1" applyBorder="1"/>
    <xf numFmtId="165" fontId="0" fillId="0" borderId="0" xfId="0" applyNumberFormat="1"/>
    <xf numFmtId="165" fontId="2" fillId="4" borderId="0" xfId="3" applyFont="1" applyFill="1"/>
    <xf numFmtId="0" fontId="2" fillId="5" borderId="0" xfId="0" applyFont="1" applyFill="1"/>
    <xf numFmtId="165" fontId="2" fillId="5" borderId="0" xfId="3" applyFont="1" applyFill="1"/>
    <xf numFmtId="165" fontId="0" fillId="6" borderId="0" xfId="0" applyNumberFormat="1" applyFill="1"/>
    <xf numFmtId="165" fontId="0" fillId="0" borderId="0" xfId="3" applyFont="1" applyFill="1"/>
    <xf numFmtId="0" fontId="0" fillId="7" borderId="1" xfId="0" applyFill="1" applyBorder="1"/>
    <xf numFmtId="164" fontId="0" fillId="0" borderId="0" xfId="1" applyNumberFormat="1" applyFont="1"/>
    <xf numFmtId="0" fontId="2" fillId="7" borderId="1" xfId="0" applyFont="1" applyFill="1" applyBorder="1"/>
    <xf numFmtId="164" fontId="2" fillId="0" borderId="1" xfId="1" applyNumberFormat="1" applyFont="1" applyBorder="1"/>
    <xf numFmtId="0" fontId="0" fillId="4" borderId="1" xfId="0" applyFill="1" applyBorder="1"/>
    <xf numFmtId="164" fontId="0" fillId="4" borderId="1" xfId="1" applyNumberFormat="1" applyFont="1" applyFill="1" applyBorder="1"/>
    <xf numFmtId="0" fontId="2" fillId="4" borderId="1" xfId="0" applyFont="1" applyFill="1" applyBorder="1"/>
    <xf numFmtId="164" fontId="2" fillId="4" borderId="1" xfId="1" applyNumberFormat="1" applyFont="1" applyFill="1" applyBorder="1"/>
    <xf numFmtId="0" fontId="2" fillId="0" borderId="1" xfId="0" applyFont="1" applyBorder="1"/>
    <xf numFmtId="164" fontId="0" fillId="0" borderId="0" xfId="0" applyNumberFormat="1"/>
    <xf numFmtId="0" fontId="3" fillId="0" borderId="3" xfId="0" applyFont="1" applyBorder="1"/>
    <xf numFmtId="166" fontId="4" fillId="0" borderId="0" xfId="4" applyNumberFormat="1" applyFont="1"/>
    <xf numFmtId="0" fontId="3" fillId="0" borderId="0" xfId="0" applyFont="1"/>
    <xf numFmtId="166" fontId="6" fillId="0" borderId="0" xfId="4" applyNumberFormat="1" applyFont="1"/>
    <xf numFmtId="0" fontId="5" fillId="0" borderId="3" xfId="0" applyFont="1" applyBorder="1"/>
    <xf numFmtId="43" fontId="0" fillId="0" borderId="0" xfId="0" applyNumberFormat="1"/>
    <xf numFmtId="0" fontId="3" fillId="0" borderId="1" xfId="0" applyFont="1" applyBorder="1"/>
    <xf numFmtId="0" fontId="5" fillId="0" borderId="1" xfId="0" applyFont="1" applyBorder="1"/>
    <xf numFmtId="166" fontId="0" fillId="0" borderId="0" xfId="0" applyNumberFormat="1"/>
    <xf numFmtId="0" fontId="7" fillId="0" borderId="3" xfId="0" applyFont="1" applyBorder="1"/>
    <xf numFmtId="166" fontId="8" fillId="0" borderId="0" xfId="4" applyNumberFormat="1" applyFont="1"/>
    <xf numFmtId="0" fontId="7" fillId="0" borderId="0" xfId="0" applyFont="1"/>
    <xf numFmtId="0" fontId="9" fillId="0" borderId="0" xfId="0" applyFont="1"/>
    <xf numFmtId="49" fontId="9" fillId="0" borderId="0" xfId="0" applyNumberFormat="1" applyFont="1"/>
    <xf numFmtId="0" fontId="8" fillId="0" borderId="0" xfId="0" applyFont="1"/>
    <xf numFmtId="41" fontId="8" fillId="0" borderId="0" xfId="4" applyFont="1"/>
    <xf numFmtId="0" fontId="9" fillId="0" borderId="3" xfId="0" applyFont="1" applyBorder="1"/>
    <xf numFmtId="49" fontId="9" fillId="0" borderId="3" xfId="0" applyNumberFormat="1" applyFont="1" applyBorder="1"/>
    <xf numFmtId="49" fontId="7" fillId="0" borderId="3" xfId="0" applyNumberFormat="1" applyFont="1" applyBorder="1" applyAlignment="1">
      <alignment horizontal="left" vertical="center" shrinkToFit="1"/>
    </xf>
    <xf numFmtId="0" fontId="7" fillId="0" borderId="6" xfId="0" applyFont="1" applyBorder="1"/>
    <xf numFmtId="49" fontId="7" fillId="0" borderId="3" xfId="0" applyNumberFormat="1" applyFont="1" applyBorder="1" applyAlignment="1">
      <alignment horizontal="left" vertical="center" wrapText="1" shrinkToFit="1"/>
    </xf>
    <xf numFmtId="0" fontId="7" fillId="0" borderId="1" xfId="0" applyFont="1" applyBorder="1"/>
    <xf numFmtId="41" fontId="8" fillId="0" borderId="0" xfId="1" applyNumberFormat="1" applyFont="1" applyFill="1" applyBorder="1" applyAlignment="1" applyProtection="1">
      <alignment horizontal="right" vertical="center" wrapText="1" shrinkToFit="1"/>
      <protection locked="0"/>
    </xf>
    <xf numFmtId="166" fontId="8" fillId="0" borderId="1" xfId="4" applyNumberFormat="1" applyFont="1" applyBorder="1"/>
    <xf numFmtId="0" fontId="8" fillId="0" borderId="0" xfId="0" applyFont="1" applyAlignment="1">
      <alignment vertical="center"/>
    </xf>
    <xf numFmtId="164" fontId="0" fillId="0" borderId="1" xfId="1" applyNumberFormat="1" applyFont="1" applyFill="1" applyBorder="1"/>
    <xf numFmtId="164" fontId="0" fillId="0" borderId="1" xfId="0" applyNumberFormat="1" applyBorder="1"/>
    <xf numFmtId="164" fontId="2" fillId="0" borderId="1" xfId="0" applyNumberFormat="1" applyFont="1" applyBorder="1"/>
    <xf numFmtId="0" fontId="0" fillId="8" borderId="1" xfId="0" applyFill="1" applyBorder="1"/>
    <xf numFmtId="164" fontId="0" fillId="8" borderId="1" xfId="1" applyNumberFormat="1" applyFont="1" applyFill="1" applyBorder="1"/>
    <xf numFmtId="0" fontId="1" fillId="8" borderId="1" xfId="2" applyFill="1" applyBorder="1"/>
    <xf numFmtId="0" fontId="10" fillId="0" borderId="8" xfId="0" quotePrefix="1" applyFont="1" applyBorder="1" applyAlignment="1">
      <alignment horizontal="left"/>
    </xf>
    <xf numFmtId="0" fontId="10" fillId="0" borderId="8" xfId="0" applyFont="1" applyBorder="1"/>
    <xf numFmtId="0" fontId="10" fillId="9" borderId="8" xfId="0" quotePrefix="1" applyFont="1" applyFill="1" applyBorder="1" applyAlignment="1">
      <alignment horizontal="left"/>
    </xf>
    <xf numFmtId="0" fontId="10" fillId="9" borderId="8" xfId="0" applyFont="1" applyFill="1" applyBorder="1"/>
    <xf numFmtId="0" fontId="10" fillId="6" borderId="9" xfId="0" applyFont="1" applyFill="1" applyBorder="1"/>
    <xf numFmtId="0" fontId="10" fillId="0" borderId="10" xfId="0" applyFont="1" applyBorder="1"/>
    <xf numFmtId="41" fontId="11" fillId="0" borderId="7" xfId="5" applyFont="1" applyFill="1" applyBorder="1" applyAlignment="1">
      <alignment horizontal="right"/>
    </xf>
    <xf numFmtId="41" fontId="11" fillId="11" borderId="7" xfId="5" applyFont="1" applyFill="1" applyBorder="1"/>
    <xf numFmtId="41" fontId="11" fillId="11" borderId="7" xfId="5" applyFont="1" applyFill="1" applyBorder="1" applyAlignment="1">
      <alignment horizontal="right"/>
    </xf>
    <xf numFmtId="41" fontId="11" fillId="0" borderId="7" xfId="5" applyFont="1" applyFill="1" applyBorder="1"/>
    <xf numFmtId="41" fontId="11" fillId="0" borderId="8" xfId="5" applyFont="1" applyFill="1" applyBorder="1"/>
    <xf numFmtId="41" fontId="11" fillId="6" borderId="9" xfId="5" applyFont="1" applyFill="1" applyBorder="1"/>
    <xf numFmtId="41" fontId="11" fillId="0" borderId="9" xfId="5" applyFont="1" applyFill="1" applyBorder="1" applyAlignment="1">
      <alignment horizontal="right"/>
    </xf>
    <xf numFmtId="41" fontId="11" fillId="0" borderId="11" xfId="5" applyFont="1" applyFill="1" applyBorder="1"/>
    <xf numFmtId="0" fontId="12" fillId="0" borderId="7" xfId="0" applyFont="1" applyBorder="1" applyAlignment="1">
      <alignment vertical="center"/>
    </xf>
    <xf numFmtId="0" fontId="12" fillId="0" borderId="12" xfId="0" applyFont="1" applyBorder="1" applyAlignment="1">
      <alignment vertical="center"/>
    </xf>
    <xf numFmtId="41" fontId="13" fillId="10" borderId="9" xfId="5" applyFont="1" applyFill="1" applyBorder="1" applyAlignment="1">
      <alignment horizontal="center" vertical="center"/>
    </xf>
    <xf numFmtId="41" fontId="13" fillId="10" borderId="14" xfId="5" applyFont="1" applyFill="1" applyBorder="1" applyAlignment="1">
      <alignment horizontal="center" vertical="center"/>
    </xf>
    <xf numFmtId="0" fontId="12" fillId="0" borderId="15" xfId="0" applyFont="1" applyBorder="1" applyAlignment="1">
      <alignment vertical="center"/>
    </xf>
    <xf numFmtId="41" fontId="13" fillId="10" borderId="8" xfId="5" applyFont="1" applyFill="1" applyBorder="1" applyAlignment="1">
      <alignment horizontal="center" vertical="center"/>
    </xf>
    <xf numFmtId="0" fontId="12" fillId="0" borderId="8" xfId="0" applyFont="1" applyBorder="1" applyAlignment="1">
      <alignment vertical="center"/>
    </xf>
    <xf numFmtId="0" fontId="14" fillId="0" borderId="8" xfId="0" applyFont="1" applyBorder="1"/>
    <xf numFmtId="0" fontId="12" fillId="0" borderId="11" xfId="0" applyFont="1" applyBorder="1"/>
    <xf numFmtId="0" fontId="12" fillId="0" borderId="7" xfId="0" applyFont="1" applyBorder="1"/>
    <xf numFmtId="0" fontId="12" fillId="0" borderId="8" xfId="0" applyFont="1" applyBorder="1"/>
    <xf numFmtId="0" fontId="12" fillId="0" borderId="3" xfId="0" applyFont="1" applyBorder="1"/>
    <xf numFmtId="41" fontId="13" fillId="10" borderId="8" xfId="5" applyFont="1" applyFill="1" applyBorder="1" applyAlignment="1">
      <alignment vertical="center"/>
    </xf>
    <xf numFmtId="41" fontId="13" fillId="10" borderId="12" xfId="5" applyFont="1" applyFill="1" applyBorder="1" applyAlignment="1">
      <alignment vertical="center"/>
    </xf>
    <xf numFmtId="0" fontId="12" fillId="0" borderId="16" xfId="0" applyFont="1" applyBorder="1"/>
    <xf numFmtId="41" fontId="13" fillId="10" borderId="13" xfId="5" applyFont="1" applyFill="1" applyBorder="1" applyAlignment="1">
      <alignment vertical="center"/>
    </xf>
    <xf numFmtId="0" fontId="0" fillId="8" borderId="0" xfId="0" applyFill="1"/>
    <xf numFmtId="164" fontId="0" fillId="8" borderId="0" xfId="1" applyNumberFormat="1" applyFont="1" applyFill="1" applyBorder="1"/>
    <xf numFmtId="41" fontId="0" fillId="0" borderId="0" xfId="0" applyNumberFormat="1"/>
    <xf numFmtId="0" fontId="0" fillId="12" borderId="0" xfId="0" applyFill="1"/>
    <xf numFmtId="165" fontId="0" fillId="12" borderId="0" xfId="0" applyNumberFormat="1" applyFill="1"/>
    <xf numFmtId="49" fontId="0" fillId="12" borderId="0" xfId="0" applyNumberFormat="1" applyFill="1"/>
    <xf numFmtId="164" fontId="0" fillId="12" borderId="0" xfId="0" applyNumberFormat="1" applyFill="1"/>
    <xf numFmtId="0" fontId="0" fillId="6" borderId="1" xfId="0" applyFill="1" applyBorder="1"/>
    <xf numFmtId="164" fontId="0" fillId="3" borderId="1" xfId="1" applyNumberFormat="1" applyFont="1" applyFill="1" applyBorder="1"/>
    <xf numFmtId="164" fontId="2" fillId="0" borderId="0" xfId="0" applyNumberFormat="1" applyFont="1"/>
    <xf numFmtId="0" fontId="2" fillId="0" borderId="17" xfId="0" applyFon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0" borderId="1" xfId="1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6" borderId="1" xfId="0" applyFont="1" applyFill="1" applyBorder="1"/>
    <xf numFmtId="164" fontId="2" fillId="6" borderId="1" xfId="1" applyNumberFormat="1" applyFont="1" applyFill="1" applyBorder="1"/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5" xfId="1" applyNumberFormat="1" applyFont="1" applyFill="1" applyBorder="1" applyAlignment="1">
      <alignment horizontal="center" vertical="center" wrapText="1"/>
    </xf>
    <xf numFmtId="164" fontId="2" fillId="0" borderId="2" xfId="1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4" xfId="0" applyFont="1" applyBorder="1" applyAlignment="1">
      <alignment horizontal="right"/>
    </xf>
  </cellXfs>
  <cellStyles count="6">
    <cellStyle name="Comma" xfId="1" builtinId="3"/>
    <cellStyle name="Comma [0]" xfId="5" builtinId="6"/>
    <cellStyle name="Comma [0] 2" xfId="3" xr:uid="{C5C26FEF-A973-42F9-AEBA-BA68C3372E84}"/>
    <cellStyle name="Comma [0] 5 2 2" xfId="4" xr:uid="{8D1B7100-FD26-4AEB-876E-619B0BF44A41}"/>
    <cellStyle name="Normal" xfId="0" builtinId="0"/>
    <cellStyle name="Normal 4" xfId="2" xr:uid="{EF24023A-C8AB-425F-9340-CEDD19F3AF38}"/>
  </cellStyles>
  <dxfs count="6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22413</xdr:colOff>
      <xdr:row>1</xdr:row>
      <xdr:rowOff>0</xdr:rowOff>
    </xdr:from>
    <xdr:to>
      <xdr:col>33</xdr:col>
      <xdr:colOff>412330</xdr:colOff>
      <xdr:row>21</xdr:row>
      <xdr:rowOff>18080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CBA7D2-2667-9EA8-32D2-629CA8EAF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11942" y="186765"/>
          <a:ext cx="11707859" cy="375337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b9b474228dc75fd/Documents/KOPERASI%20BKI%20TAHUN%202026/REKAPAN%20POTONGAN/01.%20JANUARI%202026%20-%20ALL%20CABANG.xlsx" TargetMode="External"/><Relationship Id="rId1" Type="http://schemas.openxmlformats.org/officeDocument/2006/relationships/externalLinkPath" Target="/db9b474228dc75fd/Documents/KOPERASI%20BKI%20TAHUN%202026/REKAPAN%20POTONGAN/01.%20JANUARI%202026%20-%20ALL%20CABAN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b9b474228dc75fd/Documents/KOPERASI%20BKI%20TAHUN%202026/REKAPAN%20POTONGAN/01.%20POTONGAN%20KOPERASI%20BULAN%20JANUARI%202026.xlsx" TargetMode="External"/><Relationship Id="rId1" Type="http://schemas.openxmlformats.org/officeDocument/2006/relationships/externalLinkPath" Target="/db9b474228dc75fd/Documents/KOPERASI%20BKI%20TAHUN%202026/REKAPAN%20POTONGAN/01.%20POTONGAN%20KOPERASI%20BULAN%20JANUARI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b9b474228dc75fd/Documents/KOPERASI%20BKI%20TAHUN%202026/REKAPAN%20POTONGAN/01.%20JANUARI%202026%20-%20KANTOR%20PUSAT.xlsx" TargetMode="External"/><Relationship Id="rId1" Type="http://schemas.openxmlformats.org/officeDocument/2006/relationships/externalLinkPath" Target="/db9b474228dc75fd/Documents/KOPERASI%20BKI%20TAHUN%202026/REKAPAN%20POTONGAN/01.%20JANUARI%202026%20-%20KANTOR%20PUSA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b9b474228dc75fd/Documents/KOPERASI%20BKI%20TAHUN%202026/REKAPAN%20POTONGAN/01.%20JANUARI%202026%20-%20CABANG%20UTAMA%20KLAS%20TG.PRIOK.xlsx" TargetMode="External"/><Relationship Id="rId1" Type="http://schemas.openxmlformats.org/officeDocument/2006/relationships/externalLinkPath" Target="/db9b474228dc75fd/Documents/KOPERASI%20BKI%20TAHUN%202026/REKAPAN%20POTONGAN/01.%20JANUARI%202026%20-%20CABANG%20UTAMA%20KLAS%20TG.PRIOK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b9b474228dc75fd/Documents/KOPERASI%20BKI%20TAHUN%202026/REKAPAN%20POTONGAN/01.%20JANUARI%202026%20-%20CABANG%20UTAMA%20KOMERSIAL%20JAKARTA.xlsx" TargetMode="External"/><Relationship Id="rId1" Type="http://schemas.openxmlformats.org/officeDocument/2006/relationships/externalLinkPath" Target="/db9b474228dc75fd/Documents/KOPERASI%20BKI%20TAHUN%202026/REKAPAN%20POTONGAN/01.%20JANUARI%202026%20-%20CABANG%20UTAMA%20KOMERSIAL%20JAKARTA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b9b474228dc75fd/Documents/KOPERASI%20BKI%20TAHUN%202026/REKAPAN%20POTONGAN/01.%20JANUARI%202026%20-%20CoE%20ENERGY.xlsx" TargetMode="External"/><Relationship Id="rId1" Type="http://schemas.openxmlformats.org/officeDocument/2006/relationships/externalLinkPath" Target="/db9b474228dc75fd/Documents/KOPERASI%20BKI%20TAHUN%202026/REKAPAN%20POTONGAN/01.%20JANUARI%202026%20-%20CoE%20ENER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b9b474228dc75fd/Documents/KOPERASI%20BKI%20TAHUN%202026/REKAPAN%20POTONGAN/01.%20JANUARI%202026%20-%20CoE%20TRANSPORT%20%5e0%20LOGISTIC.xlsx" TargetMode="External"/><Relationship Id="rId1" Type="http://schemas.openxmlformats.org/officeDocument/2006/relationships/externalLinkPath" Target="/db9b474228dc75fd/Documents/KOPERASI%20BKI%20TAHUN%202026/REKAPAN%20POTONGAN/01.%20JANUARI%202026%20-%20CoE%20TRANSPORT%20%5e0%20LOGIST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INCIAN CABANG"/>
      <sheetName val="REKAP POTONGAN"/>
      <sheetName val="Sheet1"/>
      <sheetName val="REKAP POTONGAN CABANG "/>
    </sheetNames>
    <sheetDataSet>
      <sheetData sheetId="0" refreshError="1"/>
      <sheetData sheetId="1">
        <row r="6">
          <cell r="B6" t="str">
            <v>BAYU RISTA</v>
          </cell>
          <cell r="C6">
            <v>0</v>
          </cell>
          <cell r="D6">
            <v>150000</v>
          </cell>
        </row>
        <row r="7">
          <cell r="B7" t="str">
            <v>ABUKASIM USMAN</v>
          </cell>
          <cell r="C7">
            <v>0</v>
          </cell>
          <cell r="D7">
            <v>150000</v>
          </cell>
        </row>
        <row r="8">
          <cell r="B8" t="str">
            <v>NURUL HUDA</v>
          </cell>
          <cell r="C8">
            <v>0</v>
          </cell>
          <cell r="D8">
            <v>150000</v>
          </cell>
        </row>
        <row r="9">
          <cell r="B9" t="str">
            <v>SEPTIAN AJI DEWANGKARA</v>
          </cell>
          <cell r="C9">
            <v>0</v>
          </cell>
          <cell r="D9">
            <v>250000</v>
          </cell>
        </row>
        <row r="10">
          <cell r="B10" t="str">
            <v>RIDWAN AHMAD FAUZI</v>
          </cell>
          <cell r="C10">
            <v>0</v>
          </cell>
          <cell r="D10">
            <v>150000</v>
          </cell>
        </row>
        <row r="11">
          <cell r="B11" t="str">
            <v>BAMBANG RIYANTO</v>
          </cell>
          <cell r="C11">
            <v>0</v>
          </cell>
          <cell r="D11">
            <v>350000</v>
          </cell>
        </row>
        <row r="12">
          <cell r="B12" t="str">
            <v>BAKTI NUGROHO DWI KUSHADIANTO</v>
          </cell>
          <cell r="C12">
            <v>0</v>
          </cell>
          <cell r="D12">
            <v>250000</v>
          </cell>
        </row>
        <row r="13">
          <cell r="B13" t="str">
            <v>A'AN AGUS FIRMANSYAH</v>
          </cell>
          <cell r="C13">
            <v>0</v>
          </cell>
          <cell r="D13">
            <v>150000</v>
          </cell>
        </row>
        <row r="14">
          <cell r="B14" t="str">
            <v>MUH. NASIR</v>
          </cell>
          <cell r="C14">
            <v>0</v>
          </cell>
          <cell r="D14">
            <v>150000</v>
          </cell>
        </row>
        <row r="15">
          <cell r="B15" t="str">
            <v>ZAINAL</v>
          </cell>
          <cell r="C15">
            <v>0</v>
          </cell>
          <cell r="D15">
            <v>150000</v>
          </cell>
        </row>
        <row r="16">
          <cell r="B16" t="str">
            <v>WIDODO</v>
          </cell>
          <cell r="C16">
            <v>0</v>
          </cell>
          <cell r="D16">
            <v>150000</v>
          </cell>
        </row>
        <row r="17">
          <cell r="B17" t="str">
            <v>AKHMAD MULIADDIN</v>
          </cell>
          <cell r="C17">
            <v>0</v>
          </cell>
          <cell r="D17">
            <v>150000</v>
          </cell>
        </row>
        <row r="18">
          <cell r="B18" t="str">
            <v>KHAERUL AKBAR</v>
          </cell>
          <cell r="C18">
            <v>0</v>
          </cell>
          <cell r="D18">
            <v>150000</v>
          </cell>
        </row>
        <row r="19">
          <cell r="B19" t="str">
            <v>A. RASYID ALIMUDDIN</v>
          </cell>
          <cell r="C19">
            <v>0</v>
          </cell>
          <cell r="D19">
            <v>250000</v>
          </cell>
        </row>
        <row r="20">
          <cell r="B20" t="str">
            <v>BAMBANG WARDOJO</v>
          </cell>
          <cell r="C20">
            <v>0</v>
          </cell>
          <cell r="D20">
            <v>150000</v>
          </cell>
        </row>
        <row r="21">
          <cell r="B21" t="str">
            <v>NINA SRI INDAH YANI</v>
          </cell>
          <cell r="C21">
            <v>0</v>
          </cell>
          <cell r="D21">
            <v>150000</v>
          </cell>
        </row>
        <row r="22">
          <cell r="B22" t="str">
            <v>ARIEF SULISTIYONO</v>
          </cell>
          <cell r="C22">
            <v>0</v>
          </cell>
          <cell r="D22">
            <v>350000</v>
          </cell>
        </row>
        <row r="23">
          <cell r="B23" t="str">
            <v>EKA NANDA PRATAMA SUNARJO</v>
          </cell>
          <cell r="C23">
            <v>6272588</v>
          </cell>
          <cell r="D23">
            <v>250000</v>
          </cell>
        </row>
        <row r="24">
          <cell r="B24" t="str">
            <v>BAMBANG TRI NUGROHO</v>
          </cell>
          <cell r="C24">
            <v>0</v>
          </cell>
          <cell r="D24">
            <v>150000</v>
          </cell>
        </row>
        <row r="25">
          <cell r="B25" t="str">
            <v>FAJAR NUGRAHA</v>
          </cell>
          <cell r="C25">
            <v>0</v>
          </cell>
          <cell r="D25">
            <v>250000</v>
          </cell>
        </row>
        <row r="26">
          <cell r="B26" t="str">
            <v>FERIZA YUSFI</v>
          </cell>
          <cell r="C26">
            <v>0</v>
          </cell>
          <cell r="D26">
            <v>150000</v>
          </cell>
        </row>
        <row r="27">
          <cell r="B27" t="str">
            <v>LISA</v>
          </cell>
          <cell r="C27">
            <v>0</v>
          </cell>
          <cell r="D27">
            <v>150000</v>
          </cell>
        </row>
        <row r="28">
          <cell r="B28" t="str">
            <v>PURWOKO WIDHYANTO WIRAWAN</v>
          </cell>
          <cell r="C28">
            <v>0</v>
          </cell>
          <cell r="D28">
            <v>250000</v>
          </cell>
        </row>
        <row r="29">
          <cell r="B29" t="str">
            <v>DONY TRI SUSILO</v>
          </cell>
          <cell r="C29">
            <v>0</v>
          </cell>
          <cell r="D29">
            <v>350000</v>
          </cell>
        </row>
        <row r="30">
          <cell r="B30" t="str">
            <v>M. HATTA BACO B</v>
          </cell>
          <cell r="C30">
            <v>0</v>
          </cell>
          <cell r="D30">
            <v>150000</v>
          </cell>
        </row>
        <row r="31">
          <cell r="B31" t="str">
            <v>RAHMAT S</v>
          </cell>
          <cell r="C31">
            <v>0</v>
          </cell>
          <cell r="D31">
            <v>150000</v>
          </cell>
        </row>
        <row r="32">
          <cell r="B32" t="str">
            <v>EKONDRO</v>
          </cell>
          <cell r="C32">
            <v>0</v>
          </cell>
          <cell r="D32">
            <v>150000</v>
          </cell>
        </row>
        <row r="33">
          <cell r="B33" t="str">
            <v>ABDILAH</v>
          </cell>
          <cell r="C33">
            <v>0</v>
          </cell>
          <cell r="D33">
            <v>150000</v>
          </cell>
        </row>
        <row r="34">
          <cell r="B34" t="str">
            <v>ADI ISMANTO</v>
          </cell>
          <cell r="C34">
            <v>0</v>
          </cell>
          <cell r="D34">
            <v>150000</v>
          </cell>
        </row>
        <row r="35">
          <cell r="B35" t="str">
            <v>BARI</v>
          </cell>
          <cell r="C35">
            <v>0</v>
          </cell>
          <cell r="D35">
            <v>150000</v>
          </cell>
        </row>
        <row r="36">
          <cell r="B36" t="str">
            <v>KAMARUDDIN</v>
          </cell>
          <cell r="C36">
            <v>0</v>
          </cell>
          <cell r="D36">
            <v>150000</v>
          </cell>
        </row>
        <row r="37">
          <cell r="B37" t="str">
            <v>SAID TAUFIQ</v>
          </cell>
          <cell r="C37">
            <v>0</v>
          </cell>
          <cell r="D37">
            <v>250000</v>
          </cell>
        </row>
        <row r="38">
          <cell r="B38" t="str">
            <v>ZULFAENI</v>
          </cell>
          <cell r="C38">
            <v>0</v>
          </cell>
          <cell r="D38">
            <v>150000</v>
          </cell>
        </row>
        <row r="39">
          <cell r="B39" t="str">
            <v>ROZI DELFEMI IRAWATI</v>
          </cell>
          <cell r="C39">
            <v>0</v>
          </cell>
          <cell r="D39">
            <v>150000</v>
          </cell>
        </row>
        <row r="40">
          <cell r="B40" t="str">
            <v>MUH ALI HASAN</v>
          </cell>
          <cell r="C40">
            <v>0</v>
          </cell>
          <cell r="D40">
            <v>150000</v>
          </cell>
        </row>
        <row r="41">
          <cell r="B41" t="str">
            <v>MUHAMMAD ARAFAH</v>
          </cell>
          <cell r="C41">
            <v>0</v>
          </cell>
          <cell r="D41">
            <v>450000</v>
          </cell>
        </row>
        <row r="42">
          <cell r="B42" t="str">
            <v>MOH. NOOR KHOLIS</v>
          </cell>
          <cell r="C42">
            <v>0</v>
          </cell>
          <cell r="D42">
            <v>150000</v>
          </cell>
        </row>
        <row r="43">
          <cell r="B43" t="str">
            <v>INDRA KUSUMA MUHAMMAD</v>
          </cell>
          <cell r="C43">
            <v>2876137</v>
          </cell>
          <cell r="D43">
            <v>150000</v>
          </cell>
        </row>
        <row r="44">
          <cell r="B44" t="str">
            <v>EDWIN OLAF JULIAN DAMANIK</v>
          </cell>
          <cell r="C44">
            <v>0</v>
          </cell>
          <cell r="D44">
            <v>250000</v>
          </cell>
        </row>
        <row r="45">
          <cell r="B45" t="str">
            <v>IBNUL QAYYIM</v>
          </cell>
          <cell r="C45">
            <v>0</v>
          </cell>
          <cell r="D45">
            <v>100000</v>
          </cell>
        </row>
        <row r="46">
          <cell r="B46" t="str">
            <v>MUHAMMAD ASRUL LA SARIPI</v>
          </cell>
          <cell r="C46">
            <v>0</v>
          </cell>
          <cell r="D46">
            <v>150000</v>
          </cell>
        </row>
        <row r="47">
          <cell r="B47" t="str">
            <v>BUDI ISROFI</v>
          </cell>
          <cell r="C47">
            <v>0</v>
          </cell>
          <cell r="D47">
            <v>350000</v>
          </cell>
        </row>
        <row r="48">
          <cell r="B48" t="str">
            <v>YULID ANJI FIRMANSYAH</v>
          </cell>
          <cell r="C48">
            <v>0</v>
          </cell>
          <cell r="D48">
            <v>250000</v>
          </cell>
        </row>
        <row r="49">
          <cell r="B49" t="str">
            <v>JIADAN</v>
          </cell>
          <cell r="C49">
            <v>0</v>
          </cell>
          <cell r="D49">
            <v>250000</v>
          </cell>
        </row>
        <row r="50">
          <cell r="B50" t="str">
            <v>BERMAN SARAGIH</v>
          </cell>
          <cell r="C50">
            <v>0</v>
          </cell>
          <cell r="D50">
            <v>150000</v>
          </cell>
        </row>
        <row r="51">
          <cell r="B51" t="str">
            <v>ARIF BIJAKSANA SATRIA NEGARA</v>
          </cell>
          <cell r="C51">
            <v>0</v>
          </cell>
          <cell r="D51">
            <v>250000</v>
          </cell>
        </row>
        <row r="52">
          <cell r="B52" t="str">
            <v>RUSDY WANGSA</v>
          </cell>
          <cell r="C52">
            <v>2500000</v>
          </cell>
          <cell r="D52">
            <v>150000</v>
          </cell>
        </row>
        <row r="53">
          <cell r="B53" t="str">
            <v>OKI DWI ANGGORO</v>
          </cell>
          <cell r="C53">
            <v>0</v>
          </cell>
          <cell r="D53">
            <v>150000</v>
          </cell>
        </row>
        <row r="54">
          <cell r="B54" t="str">
            <v>HERI WIRAWAN</v>
          </cell>
          <cell r="C54">
            <v>1701389</v>
          </cell>
          <cell r="D54">
            <v>150000</v>
          </cell>
        </row>
        <row r="55">
          <cell r="B55" t="str">
            <v>SUDARMA EDY SARAGIH JAWAK</v>
          </cell>
          <cell r="C55">
            <v>0</v>
          </cell>
          <cell r="D55">
            <v>150000</v>
          </cell>
        </row>
        <row r="56">
          <cell r="B56" t="str">
            <v>FITRIANI</v>
          </cell>
          <cell r="C56">
            <v>0</v>
          </cell>
          <cell r="D56">
            <v>150000</v>
          </cell>
        </row>
        <row r="57">
          <cell r="B57" t="str">
            <v>CHOIRUN CAHYOABDI</v>
          </cell>
          <cell r="C57">
            <v>0</v>
          </cell>
          <cell r="D57">
            <v>150000</v>
          </cell>
        </row>
        <row r="58">
          <cell r="B58" t="str">
            <v>MUH. ASQAR</v>
          </cell>
          <cell r="C58">
            <v>0</v>
          </cell>
          <cell r="D58">
            <v>150000</v>
          </cell>
        </row>
        <row r="59">
          <cell r="B59" t="str">
            <v>ABDUL KHOLICK</v>
          </cell>
          <cell r="C59">
            <v>0</v>
          </cell>
          <cell r="D59">
            <v>250000</v>
          </cell>
        </row>
        <row r="60">
          <cell r="B60" t="str">
            <v>RANGSANG KUSUMADILAGA</v>
          </cell>
          <cell r="C60">
            <v>0</v>
          </cell>
          <cell r="D60">
            <v>250000</v>
          </cell>
        </row>
        <row r="61">
          <cell r="B61" t="str">
            <v>BENNI HERMAWAN</v>
          </cell>
          <cell r="C61">
            <v>0</v>
          </cell>
          <cell r="D61">
            <v>500000</v>
          </cell>
        </row>
        <row r="62">
          <cell r="B62" t="str">
            <v>SULASMAN</v>
          </cell>
          <cell r="C62">
            <v>0</v>
          </cell>
          <cell r="D62">
            <v>250000</v>
          </cell>
        </row>
        <row r="63">
          <cell r="B63" t="str">
            <v>ILHAM SYAHRIR</v>
          </cell>
          <cell r="C63">
            <v>0</v>
          </cell>
          <cell r="D63">
            <v>250000</v>
          </cell>
        </row>
        <row r="64">
          <cell r="B64" t="str">
            <v>ANDI ARDI ABDULLAH</v>
          </cell>
          <cell r="C64">
            <v>0</v>
          </cell>
          <cell r="D64">
            <v>150000</v>
          </cell>
        </row>
        <row r="65">
          <cell r="B65" t="str">
            <v>ZUL FAJRIN AZDIN</v>
          </cell>
          <cell r="C65">
            <v>2310813</v>
          </cell>
          <cell r="D65">
            <v>150000</v>
          </cell>
        </row>
        <row r="66">
          <cell r="B66" t="str">
            <v>ARYO SINGGIH</v>
          </cell>
          <cell r="C66">
            <v>0</v>
          </cell>
          <cell r="D66">
            <v>250000</v>
          </cell>
        </row>
        <row r="67">
          <cell r="B67" t="str">
            <v>AGRIS SETYAWAN</v>
          </cell>
          <cell r="C67">
            <v>1699127</v>
          </cell>
          <cell r="D67">
            <v>250000</v>
          </cell>
        </row>
        <row r="68">
          <cell r="B68" t="str">
            <v>AGUS ERICSON SIANIPAR</v>
          </cell>
          <cell r="C68">
            <v>0</v>
          </cell>
          <cell r="D68">
            <v>250000</v>
          </cell>
        </row>
        <row r="69">
          <cell r="B69" t="str">
            <v>LA ODE ABDUL RAHMAN FIRU</v>
          </cell>
          <cell r="C69">
            <v>0</v>
          </cell>
          <cell r="D69">
            <v>250000</v>
          </cell>
        </row>
        <row r="70">
          <cell r="B70" t="str">
            <v>YOHANES ARDIANTO NUGROHO</v>
          </cell>
          <cell r="C70">
            <v>0</v>
          </cell>
          <cell r="D70">
            <v>250000</v>
          </cell>
        </row>
        <row r="71">
          <cell r="B71" t="str">
            <v>MUSTAKIM</v>
          </cell>
          <cell r="C71">
            <v>0</v>
          </cell>
          <cell r="D71">
            <v>250000</v>
          </cell>
        </row>
        <row r="72">
          <cell r="B72" t="str">
            <v>MUHAMMAD FAJRIN M. SAID</v>
          </cell>
          <cell r="C72">
            <v>0</v>
          </cell>
          <cell r="D72">
            <v>250000</v>
          </cell>
        </row>
        <row r="73">
          <cell r="B73" t="str">
            <v>ADNAN</v>
          </cell>
          <cell r="C73">
            <v>0</v>
          </cell>
          <cell r="D73">
            <v>150000</v>
          </cell>
        </row>
        <row r="74">
          <cell r="B74" t="str">
            <v>SUDARYONO</v>
          </cell>
          <cell r="C74">
            <v>0</v>
          </cell>
          <cell r="D74">
            <v>150000</v>
          </cell>
        </row>
        <row r="75">
          <cell r="B75" t="str">
            <v>MUHAMMAD RIZKY PURNAMA</v>
          </cell>
          <cell r="C75">
            <v>0</v>
          </cell>
          <cell r="D75">
            <v>350000</v>
          </cell>
        </row>
        <row r="76">
          <cell r="B76" t="str">
            <v>RATNA DAMAYANTI</v>
          </cell>
          <cell r="C76">
            <v>0</v>
          </cell>
          <cell r="D76">
            <v>250000</v>
          </cell>
        </row>
        <row r="77">
          <cell r="B77" t="str">
            <v>MOKHAMMAD YUFIAN RIDHANANDA</v>
          </cell>
          <cell r="C77">
            <v>0</v>
          </cell>
          <cell r="D77">
            <v>100000</v>
          </cell>
        </row>
        <row r="78">
          <cell r="B78" t="str">
            <v>RYAN HANGGA SRI WIJIHARTO</v>
          </cell>
          <cell r="C78">
            <v>0</v>
          </cell>
          <cell r="D78">
            <v>100000</v>
          </cell>
        </row>
        <row r="79">
          <cell r="B79" t="str">
            <v>YULIAN ARPIANTO</v>
          </cell>
          <cell r="C79">
            <v>0</v>
          </cell>
          <cell r="D79">
            <v>350000</v>
          </cell>
        </row>
        <row r="80">
          <cell r="B80" t="str">
            <v>BRAMANTI PRAMAWEDHA SATRIANTO PUTRA</v>
          </cell>
          <cell r="C80">
            <v>0</v>
          </cell>
          <cell r="D80">
            <v>100000</v>
          </cell>
        </row>
        <row r="81">
          <cell r="B81" t="str">
            <v>INDAH PETRICIA SARI</v>
          </cell>
          <cell r="C81">
            <v>0</v>
          </cell>
          <cell r="D81">
            <v>150000</v>
          </cell>
        </row>
        <row r="82">
          <cell r="B82" t="str">
            <v>DAVID NOER SYUHADA</v>
          </cell>
          <cell r="C82">
            <v>0</v>
          </cell>
          <cell r="D82">
            <v>350000</v>
          </cell>
        </row>
        <row r="83">
          <cell r="B83" t="str">
            <v>FAUZI</v>
          </cell>
          <cell r="C83">
            <v>5373476</v>
          </cell>
          <cell r="D83">
            <v>250000</v>
          </cell>
        </row>
        <row r="84">
          <cell r="B84" t="str">
            <v>JOKO UTOMO</v>
          </cell>
          <cell r="C84">
            <v>4895833</v>
          </cell>
          <cell r="D84">
            <v>250000</v>
          </cell>
        </row>
        <row r="85">
          <cell r="B85" t="str">
            <v>SYARIFUDDIN YAMIN</v>
          </cell>
          <cell r="C85">
            <v>0</v>
          </cell>
          <cell r="D85">
            <v>250000</v>
          </cell>
        </row>
        <row r="86">
          <cell r="B86" t="str">
            <v>MIFTAH FARIDY</v>
          </cell>
          <cell r="C86">
            <v>0</v>
          </cell>
          <cell r="D86">
            <v>250000</v>
          </cell>
        </row>
        <row r="87">
          <cell r="B87" t="str">
            <v>ANDI P. SIAGIAN</v>
          </cell>
          <cell r="C87">
            <v>0</v>
          </cell>
          <cell r="D87">
            <v>250000</v>
          </cell>
        </row>
        <row r="88">
          <cell r="B88" t="str">
            <v>TEGUH BUDI SANTOSO</v>
          </cell>
          <cell r="C88">
            <v>0</v>
          </cell>
          <cell r="D88">
            <v>250000</v>
          </cell>
        </row>
        <row r="89">
          <cell r="B89" t="str">
            <v>ARIFUDDIN</v>
          </cell>
          <cell r="C89">
            <v>0</v>
          </cell>
          <cell r="D89">
            <v>150000</v>
          </cell>
        </row>
        <row r="90">
          <cell r="B90" t="str">
            <v>ARIFIN GUSTIAN PRAMOKO</v>
          </cell>
          <cell r="C90">
            <v>0</v>
          </cell>
          <cell r="D90">
            <v>250000</v>
          </cell>
        </row>
        <row r="91">
          <cell r="B91" t="str">
            <v>MAHESA SAGA</v>
          </cell>
          <cell r="C91">
            <v>0</v>
          </cell>
          <cell r="D91">
            <v>250000</v>
          </cell>
        </row>
        <row r="92">
          <cell r="B92" t="str">
            <v>AWALUDDIN PAINGNGI</v>
          </cell>
          <cell r="C92">
            <v>3402778</v>
          </cell>
          <cell r="D92">
            <v>250000</v>
          </cell>
        </row>
        <row r="93">
          <cell r="B93" t="str">
            <v>MUSHAWWIR RAZAK</v>
          </cell>
          <cell r="C93">
            <v>0</v>
          </cell>
          <cell r="D93">
            <v>250000</v>
          </cell>
        </row>
      </sheetData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B2" t="str">
            <v>ARIEF SULISTIYONO</v>
          </cell>
          <cell r="C2" t="str">
            <v>CABANG MADYA KLAS BANJARMASIN</v>
          </cell>
          <cell r="D2" t="str">
            <v>CABANG MADYA KLAS BANJARMASIN</v>
          </cell>
          <cell r="E2" t="str">
            <v>KEPALA CABANG MADYA KLAS BANJARMASIN</v>
          </cell>
          <cell r="F2" t="str">
            <v>arief.sulistiyono@bki.co.id</v>
          </cell>
          <cell r="G2" t="str">
            <v>081316006659</v>
          </cell>
          <cell r="H2" t="str">
            <v>7C</v>
          </cell>
          <cell r="I2">
            <v>350000</v>
          </cell>
        </row>
        <row r="3">
          <cell r="B3" t="str">
            <v>BAMBANG WARDOJO</v>
          </cell>
          <cell r="C3" t="str">
            <v>CABANG MADYA KLAS BANJARMASIN</v>
          </cell>
          <cell r="D3" t="str">
            <v>CABANG MADYA KLAS BANJARMASIN</v>
          </cell>
          <cell r="E3" t="str">
            <v>ADMINISTRATOR SENIOR</v>
          </cell>
          <cell r="F3" t="str">
            <v>bambang.wardojo@bki.co.id</v>
          </cell>
          <cell r="G3" t="str">
            <v>081348058835</v>
          </cell>
          <cell r="H3" t="str">
            <v>3B</v>
          </cell>
          <cell r="I3">
            <v>150000</v>
          </cell>
        </row>
        <row r="4">
          <cell r="B4" t="str">
            <v>EKA NANDA PRATAMA SUNARJO</v>
          </cell>
          <cell r="C4" t="str">
            <v>CABANG MADYA KLAS BANJARMASIN</v>
          </cell>
          <cell r="D4" t="str">
            <v>CABANG MADYA KLAS BANJARMASIN</v>
          </cell>
          <cell r="E4" t="str">
            <v>SURVEYOR SENIOR I</v>
          </cell>
          <cell r="F4" t="str">
            <v>eka.pratama@bki.co.id</v>
          </cell>
          <cell r="G4" t="str">
            <v>082280008286</v>
          </cell>
          <cell r="H4" t="str">
            <v>6A</v>
          </cell>
          <cell r="I4">
            <v>250000</v>
          </cell>
        </row>
        <row r="5">
          <cell r="B5" t="str">
            <v>KOKO HARIANTO</v>
          </cell>
          <cell r="C5" t="str">
            <v>DIVISI OPERASI BISNIS KLASIFIKASI</v>
          </cell>
          <cell r="D5" t="str">
            <v>CABANG MADYA KLAS BANJARMASIN</v>
          </cell>
          <cell r="E5" t="str">
            <v>SURVEYOR SENIOR II A KENDALI OPERASI YANG DITEMPATKAN DI CABANG MADYA KLAS BANJARMASIN</v>
          </cell>
          <cell r="F5" t="str">
            <v>kokoharianto@bki.co.id</v>
          </cell>
          <cell r="G5" t="str">
            <v>081654909745</v>
          </cell>
          <cell r="H5" t="str">
            <v>7A</v>
          </cell>
          <cell r="I5">
            <v>0</v>
          </cell>
        </row>
        <row r="6">
          <cell r="B6" t="str">
            <v>MOH. HERBRAM ARYA PRANATA</v>
          </cell>
          <cell r="C6" t="str">
            <v>CABANG MADYA KLAS BANJARMASIN</v>
          </cell>
          <cell r="D6" t="str">
            <v>CABANG MADYA KLAS BANJARMASIN</v>
          </cell>
          <cell r="E6" t="str">
            <v>SURVEYOR</v>
          </cell>
          <cell r="F6" t="str">
            <v>moh.herbram@bki.co.id</v>
          </cell>
          <cell r="G6" t="str">
            <v>085695105135</v>
          </cell>
          <cell r="H6" t="str">
            <v>5C</v>
          </cell>
          <cell r="I6">
            <v>0</v>
          </cell>
        </row>
        <row r="7">
          <cell r="B7" t="str">
            <v>AMIR HAMZAH</v>
          </cell>
          <cell r="C7" t="str">
            <v>CABANG MADYA KLAS BANJARMASIN</v>
          </cell>
          <cell r="D7" t="str">
            <v>CABANG MADYA KLAS BANJARMASIN</v>
          </cell>
          <cell r="E7" t="str">
            <v>SURVEYOR SENIOR I A</v>
          </cell>
          <cell r="F7" t="str">
            <v>amir.hamzah@bki.co.id</v>
          </cell>
          <cell r="G7" t="str">
            <v>081318880301</v>
          </cell>
          <cell r="H7" t="str">
            <v>6A</v>
          </cell>
          <cell r="I7">
            <v>0</v>
          </cell>
        </row>
        <row r="8">
          <cell r="B8" t="str">
            <v>NINA SRI INDAH YANI</v>
          </cell>
          <cell r="C8" t="str">
            <v>CABANG MADYA KLAS BANJARMASIN</v>
          </cell>
          <cell r="D8" t="str">
            <v>CABANG MADYA KLAS BANJARMASIN</v>
          </cell>
          <cell r="E8" t="str">
            <v>ADMINISTRATOR SENIOR</v>
          </cell>
          <cell r="F8" t="str">
            <v>nina@bki.co.id</v>
          </cell>
          <cell r="G8" t="str">
            <v>08164564700</v>
          </cell>
          <cell r="H8" t="str">
            <v>3B</v>
          </cell>
          <cell r="I8">
            <v>150000</v>
          </cell>
        </row>
        <row r="9">
          <cell r="B9" t="str">
            <v>MUH. NURFADHIL M.</v>
          </cell>
          <cell r="C9" t="str">
            <v>CABANG MADYA KLAS BANJARMASIN</v>
          </cell>
          <cell r="D9" t="str">
            <v>CABANG MADYA KLAS BANJARMASIN</v>
          </cell>
          <cell r="E9" t="str">
            <v xml:space="preserve">SURVEYOR JUNIOR </v>
          </cell>
          <cell r="F9" t="str">
            <v>m.nurfadil@bki.co.id</v>
          </cell>
          <cell r="G9" t="str">
            <v>082196488084</v>
          </cell>
          <cell r="H9" t="str">
            <v>4C</v>
          </cell>
          <cell r="I9">
            <v>0</v>
          </cell>
        </row>
        <row r="10">
          <cell r="B10" t="str">
            <v>YOHANES ARDIANTO NUGROHO</v>
          </cell>
          <cell r="C10" t="str">
            <v>CABANG MADYA KLAS BANJARMASIN</v>
          </cell>
          <cell r="D10" t="str">
            <v>CABANG MADYA KLAS BANJARMASIN</v>
          </cell>
          <cell r="E10" t="str">
            <v>SURVEYOR</v>
          </cell>
          <cell r="F10" t="str">
            <v>yohanes.an@bki.co.id</v>
          </cell>
          <cell r="G10" t="str">
            <v>081280214649</v>
          </cell>
          <cell r="H10" t="str">
            <v>5C</v>
          </cell>
          <cell r="I10">
            <v>250000</v>
          </cell>
        </row>
        <row r="11">
          <cell r="B11" t="str">
            <v>ABU YAZID</v>
          </cell>
          <cell r="C11" t="str">
            <v>CABANG MADYA KLAS BANJARMASIN</v>
          </cell>
          <cell r="D11" t="str">
            <v>CABANG MADYA KLAS BANJARMASIN</v>
          </cell>
          <cell r="E11" t="str">
            <v>STAF OPERASIONAL</v>
          </cell>
          <cell r="F11" t="str">
            <v>abu.yazid@bki.co.id</v>
          </cell>
          <cell r="G11" t="str">
            <v>085248943990</v>
          </cell>
          <cell r="H11" t="str">
            <v>-</v>
          </cell>
          <cell r="I11">
            <v>0</v>
          </cell>
        </row>
        <row r="12">
          <cell r="B12" t="str">
            <v>CHELTIS CHARLES KEHEK</v>
          </cell>
          <cell r="C12" t="str">
            <v>CABANG MADYA KLAS BANJARMASIN</v>
          </cell>
          <cell r="D12" t="str">
            <v>CABANG MADYA KLAS BANJARMASIN</v>
          </cell>
          <cell r="E12" t="str">
            <v>STAF DUKUNGAN BISNIS</v>
          </cell>
          <cell r="F12" t="str">
            <v>cheltis.c@bki.co.id</v>
          </cell>
          <cell r="G12">
            <v>0</v>
          </cell>
          <cell r="H12" t="str">
            <v>-</v>
          </cell>
          <cell r="I12">
            <v>0</v>
          </cell>
        </row>
        <row r="13">
          <cell r="B13" t="str">
            <v>AZHAR</v>
          </cell>
          <cell r="C13" t="str">
            <v>CABANG MADYA KLAS PALEMBANG</v>
          </cell>
          <cell r="D13" t="str">
            <v>CABANG MADYA KLAS PALEMBANG</v>
          </cell>
          <cell r="E13" t="str">
            <v>KEPALA CABANG MADYA KLAS PALEMBANG</v>
          </cell>
          <cell r="F13" t="str">
            <v>azhar@bki.co.id</v>
          </cell>
          <cell r="G13" t="str">
            <v>081364424241</v>
          </cell>
          <cell r="H13" t="str">
            <v>7C</v>
          </cell>
          <cell r="I13">
            <v>0</v>
          </cell>
        </row>
        <row r="14">
          <cell r="B14" t="str">
            <v>DIAN ENDANG WAHYUNI</v>
          </cell>
          <cell r="C14" t="str">
            <v>CABANG MADYA KLAS PALEMBANG</v>
          </cell>
          <cell r="D14" t="str">
            <v>CABANG MADYA KLAS PALEMBANG</v>
          </cell>
          <cell r="E14" t="str">
            <v>ADMINISTRATOR SENIOR</v>
          </cell>
          <cell r="F14" t="str">
            <v>dian.endang@bki.co.id</v>
          </cell>
          <cell r="G14" t="str">
            <v>085267276520</v>
          </cell>
          <cell r="H14" t="str">
            <v>3B</v>
          </cell>
          <cell r="I14">
            <v>0</v>
          </cell>
        </row>
        <row r="15">
          <cell r="B15" t="str">
            <v>MOH. FURQON</v>
          </cell>
          <cell r="C15" t="str">
            <v>CABANG MADYA KLAS PALEMBANG</v>
          </cell>
          <cell r="D15" t="str">
            <v>CABANG MADYA KLAS PALEMBANG</v>
          </cell>
          <cell r="E15" t="str">
            <v>SURVEYOR SENIOR I</v>
          </cell>
          <cell r="F15" t="str">
            <v>furqon@bki.co.id</v>
          </cell>
          <cell r="G15" t="str">
            <v>082234777883</v>
          </cell>
          <cell r="H15" t="str">
            <v>6C</v>
          </cell>
          <cell r="I15">
            <v>0</v>
          </cell>
        </row>
        <row r="16">
          <cell r="B16" t="str">
            <v>FUAD UMAR PAISAL</v>
          </cell>
          <cell r="C16" t="str">
            <v>CABANG MADYA KLAS PALEMBANG</v>
          </cell>
          <cell r="D16" t="str">
            <v>CABANG MADYA KLAS PALEMBANG</v>
          </cell>
          <cell r="E16" t="str">
            <v>SURVEYOR SENIOR I A</v>
          </cell>
          <cell r="F16" t="str">
            <v>fuad.up@bki.co.id</v>
          </cell>
          <cell r="G16" t="str">
            <v>087888767059</v>
          </cell>
          <cell r="H16" t="str">
            <v>6A</v>
          </cell>
          <cell r="I16">
            <v>0</v>
          </cell>
        </row>
        <row r="17">
          <cell r="B17" t="str">
            <v>BAYU RISTA</v>
          </cell>
          <cell r="C17" t="str">
            <v>CABANG MADYA KLAS PALEMBANG</v>
          </cell>
          <cell r="D17" t="str">
            <v>CABANG MADYA KLAS PALEMBANG</v>
          </cell>
          <cell r="E17" t="str">
            <v>SURVEYOR</v>
          </cell>
          <cell r="F17" t="str">
            <v>bayu.rista@bki.co.id</v>
          </cell>
          <cell r="G17" t="str">
            <v>0852 4150 1242</v>
          </cell>
          <cell r="H17" t="str">
            <v>5C</v>
          </cell>
          <cell r="I17">
            <v>150000</v>
          </cell>
        </row>
        <row r="18">
          <cell r="B18" t="str">
            <v>FERLIANSYAH</v>
          </cell>
          <cell r="C18" t="str">
            <v>CABANG MADYA KLAS PALEMBANG</v>
          </cell>
          <cell r="D18" t="str">
            <v>CABANG MADYA KLAS PALEMBANG</v>
          </cell>
          <cell r="E18" t="str">
            <v>STAF KEUANGAN</v>
          </cell>
          <cell r="F18" t="str">
            <v>ferliansyah@bki.co.id</v>
          </cell>
          <cell r="G18" t="str">
            <v>08972734080</v>
          </cell>
          <cell r="H18" t="str">
            <v>-</v>
          </cell>
          <cell r="I18">
            <v>0</v>
          </cell>
        </row>
        <row r="19">
          <cell r="B19" t="str">
            <v>FERIZA YUSFI</v>
          </cell>
          <cell r="C19" t="str">
            <v>CABANG MADYA KLAS PEKANBARU</v>
          </cell>
          <cell r="D19" t="str">
            <v>CABANG MADYA KLAS PEKANBARU</v>
          </cell>
          <cell r="E19" t="str">
            <v>ADMINISTRATOR</v>
          </cell>
          <cell r="F19" t="str">
            <v>feriza.yusfi@bki.co.id</v>
          </cell>
          <cell r="G19" t="str">
            <v>081378006343</v>
          </cell>
          <cell r="H19" t="str">
            <v>2A</v>
          </cell>
          <cell r="I19">
            <v>150000</v>
          </cell>
        </row>
        <row r="20">
          <cell r="B20" t="str">
            <v>LISA</v>
          </cell>
          <cell r="C20" t="str">
            <v>CABANG MADYA KLAS PEKANBARU</v>
          </cell>
          <cell r="D20" t="str">
            <v>CABANG MADYA KLAS PEKANBARU</v>
          </cell>
          <cell r="E20" t="str">
            <v>ADMINISTRATOR SENIOR</v>
          </cell>
          <cell r="F20" t="str">
            <v>lisa@bki.co.id</v>
          </cell>
          <cell r="G20" t="str">
            <v>081363348720</v>
          </cell>
          <cell r="H20" t="str">
            <v>3B</v>
          </cell>
          <cell r="I20">
            <v>150000</v>
          </cell>
        </row>
        <row r="21">
          <cell r="B21" t="str">
            <v>DONY TRI SUSILO</v>
          </cell>
          <cell r="C21" t="str">
            <v>CABANG MADYA KLAS PEKANBARU</v>
          </cell>
          <cell r="D21" t="str">
            <v>CABANG MADYA KLAS PEKANBARU</v>
          </cell>
          <cell r="E21" t="str">
            <v>KEPALA CABANG MADYA KLAS PEKANBARU</v>
          </cell>
          <cell r="F21" t="str">
            <v>dony@bki.co.id</v>
          </cell>
          <cell r="G21" t="str">
            <v>085269006911</v>
          </cell>
          <cell r="H21" t="str">
            <v>7C</v>
          </cell>
          <cell r="I21">
            <v>350000</v>
          </cell>
        </row>
        <row r="22">
          <cell r="B22" t="str">
            <v>ANDI ARMAN</v>
          </cell>
          <cell r="C22" t="str">
            <v>CABANG MADYA KLAS PEKANBARU</v>
          </cell>
          <cell r="D22" t="str">
            <v>CABANG MADYA KLAS PEKANBARU</v>
          </cell>
          <cell r="E22" t="str">
            <v>SURVEYOR SENIOR I</v>
          </cell>
          <cell r="F22" t="str">
            <v>arman@bki.co.id</v>
          </cell>
          <cell r="G22" t="str">
            <v>0811 539 449</v>
          </cell>
          <cell r="H22" t="str">
            <v>6C</v>
          </cell>
          <cell r="I22">
            <v>0</v>
          </cell>
        </row>
        <row r="23">
          <cell r="B23" t="str">
            <v>MUHAMMAD ASRUL LA SARIPI</v>
          </cell>
          <cell r="C23" t="str">
            <v>CABANG MADYA KLAS PEKANBARU</v>
          </cell>
          <cell r="D23" t="str">
            <v>CABANG MADYA KLAS PEKANBARU</v>
          </cell>
          <cell r="E23" t="str">
            <v>SURVEYOR</v>
          </cell>
          <cell r="F23" t="str">
            <v>m.asrul@bki.co.id</v>
          </cell>
          <cell r="G23" t="str">
            <v>0823 9531 0817</v>
          </cell>
          <cell r="H23" t="str">
            <v>5C</v>
          </cell>
          <cell r="I23">
            <v>150000</v>
          </cell>
        </row>
        <row r="24">
          <cell r="B24" t="str">
            <v>ANDY WIBOWO</v>
          </cell>
          <cell r="C24" t="str">
            <v>CABANG MADYA KLAS PEKANBARU</v>
          </cell>
          <cell r="D24" t="str">
            <v>CABANG MADYA KLAS PEKANBARU</v>
          </cell>
          <cell r="E24" t="str">
            <v>SURVEYOR</v>
          </cell>
          <cell r="F24" t="str">
            <v>andy.wibowo@bki.co.id</v>
          </cell>
          <cell r="G24" t="str">
            <v>081261362463</v>
          </cell>
          <cell r="H24" t="str">
            <v>5C</v>
          </cell>
          <cell r="I24">
            <v>0</v>
          </cell>
        </row>
        <row r="25">
          <cell r="B25" t="str">
            <v>FITRIANI</v>
          </cell>
          <cell r="C25" t="str">
            <v>CABANG MADYA KLAS PONTIANAK</v>
          </cell>
          <cell r="D25" t="str">
            <v>CABANG MADYA KLAS PONTIANAK</v>
          </cell>
          <cell r="E25" t="str">
            <v>ADMINISTRATOR SENIOR</v>
          </cell>
          <cell r="F25" t="str">
            <v>fitriani@bki.co.id</v>
          </cell>
          <cell r="G25" t="str">
            <v>085248411888</v>
          </cell>
          <cell r="H25" t="str">
            <v>3B</v>
          </cell>
          <cell r="I25">
            <v>150000</v>
          </cell>
        </row>
        <row r="26">
          <cell r="B26" t="str">
            <v>MUHSON NURROCHMAT SLAMET</v>
          </cell>
          <cell r="C26" t="str">
            <v>CABANG MADYA KLAS PONTIANAK</v>
          </cell>
          <cell r="D26" t="str">
            <v>CABANG MADYA KLAS PONTIANAK</v>
          </cell>
          <cell r="E26" t="str">
            <v>KEPALA CABANG MADYA KLAS PONTIANAK</v>
          </cell>
          <cell r="F26" t="str">
            <v>muhson@bki.co.id</v>
          </cell>
          <cell r="G26" t="str">
            <v>081347196255</v>
          </cell>
          <cell r="H26" t="str">
            <v>7C</v>
          </cell>
          <cell r="I26">
            <v>0</v>
          </cell>
        </row>
        <row r="27">
          <cell r="B27" t="str">
            <v>SEPTIAN AJI DEWANGKARA</v>
          </cell>
          <cell r="C27" t="str">
            <v>CABANG MADYA KLAS PONTIANAK</v>
          </cell>
          <cell r="D27" t="str">
            <v>CABANG MADYA KLAS PONTIANAK</v>
          </cell>
          <cell r="E27" t="str">
            <v>SURVEYOR</v>
          </cell>
          <cell r="F27" t="str">
            <v>septian.dewangkara@bki.co.id</v>
          </cell>
          <cell r="G27" t="str">
            <v>087808266652</v>
          </cell>
          <cell r="H27" t="str">
            <v>5C</v>
          </cell>
          <cell r="I27">
            <v>250000</v>
          </cell>
        </row>
        <row r="28">
          <cell r="B28" t="str">
            <v>ALFIAN BONE PUTRA</v>
          </cell>
          <cell r="C28" t="str">
            <v>CABANG MADYA KLAS PONTIANAK</v>
          </cell>
          <cell r="D28" t="str">
            <v>CABANG MADYA KLAS PONTIANAK</v>
          </cell>
          <cell r="E28" t="str">
            <v>SURVEYOR SENIOR I A</v>
          </cell>
          <cell r="F28" t="str">
            <v>alfianbone.putra@bki.co.id</v>
          </cell>
          <cell r="G28" t="str">
            <v>081298427212</v>
          </cell>
          <cell r="H28" t="str">
            <v>6A</v>
          </cell>
          <cell r="I28">
            <v>0</v>
          </cell>
        </row>
        <row r="29">
          <cell r="B29" t="str">
            <v>ANDRE GUNTUR TEGUH WIJAKSANA SILAEN</v>
          </cell>
          <cell r="C29" t="str">
            <v>CABANG MADYA KLAS PONTIANAK</v>
          </cell>
          <cell r="D29" t="str">
            <v>CABANG MADYA KLAS PONTIANAK</v>
          </cell>
          <cell r="E29" t="str">
            <v>SURVEYOR SENIOR I A</v>
          </cell>
          <cell r="F29" t="str">
            <v>andre.gtws@bki.co.id</v>
          </cell>
          <cell r="G29" t="str">
            <v>081388418473</v>
          </cell>
          <cell r="H29" t="str">
            <v>6A</v>
          </cell>
          <cell r="I29">
            <v>0</v>
          </cell>
        </row>
        <row r="30">
          <cell r="B30" t="str">
            <v>DEDY HERYADI</v>
          </cell>
          <cell r="C30" t="str">
            <v>CABANG MADYA KLAS PONTIANAK</v>
          </cell>
          <cell r="D30" t="str">
            <v>CABANG MADYA KLAS PONTIANAK</v>
          </cell>
          <cell r="E30" t="str">
            <v>SUPIR</v>
          </cell>
          <cell r="F30" t="str">
            <v>dedi.heryadi@bki.co.id</v>
          </cell>
          <cell r="G30" t="str">
            <v/>
          </cell>
          <cell r="H30" t="str">
            <v>1A</v>
          </cell>
          <cell r="I30">
            <v>0</v>
          </cell>
        </row>
        <row r="31">
          <cell r="B31" t="str">
            <v>SANDI NANDARIANTO</v>
          </cell>
          <cell r="C31" t="str">
            <v>CABANG MADYA KLAS PONTIANAK</v>
          </cell>
          <cell r="D31" t="str">
            <v>CABANG MADYA KLAS PONTIANAK</v>
          </cell>
          <cell r="E31" t="str">
            <v>SURVEYOR</v>
          </cell>
          <cell r="F31" t="str">
            <v>sandi.nandarianto@bki.co.id</v>
          </cell>
          <cell r="G31" t="str">
            <v>081281901110</v>
          </cell>
          <cell r="H31" t="str">
            <v>5C</v>
          </cell>
          <cell r="I31">
            <v>0</v>
          </cell>
        </row>
        <row r="32">
          <cell r="B32" t="str">
            <v>RENZA MUHARAM</v>
          </cell>
          <cell r="C32" t="str">
            <v>CABANG MADYA KLAS PONTIANAK</v>
          </cell>
          <cell r="D32" t="str">
            <v>CABANG MADYA KLAS PONTIANAK</v>
          </cell>
          <cell r="E32" t="str">
            <v>STAF DUKUNGAN BISNIS</v>
          </cell>
          <cell r="F32" t="str">
            <v>renza@bki.co.id</v>
          </cell>
          <cell r="G32" t="str">
            <v>081298213003</v>
          </cell>
          <cell r="H32" t="str">
            <v>-</v>
          </cell>
          <cell r="I32">
            <v>0</v>
          </cell>
        </row>
        <row r="33">
          <cell r="B33" t="str">
            <v>ARIFIN NUR</v>
          </cell>
          <cell r="C33" t="str">
            <v>CABANG MADYA KLAS PONTIANAK</v>
          </cell>
          <cell r="D33" t="str">
            <v>CABANG MADYA KLAS PONTIANAK</v>
          </cell>
          <cell r="E33" t="str">
            <v>STAF DUKUNGAN BISNIS</v>
          </cell>
          <cell r="F33" t="str">
            <v>arifin.nur@bki.co.id</v>
          </cell>
          <cell r="G33" t="str">
            <v>081351509496</v>
          </cell>
          <cell r="H33" t="str">
            <v>-</v>
          </cell>
          <cell r="I33">
            <v>0</v>
          </cell>
        </row>
        <row r="34">
          <cell r="B34" t="str">
            <v>SUDIRMAN</v>
          </cell>
          <cell r="C34" t="str">
            <v>CABANG MADYA KOMERSIL BATAM</v>
          </cell>
          <cell r="D34" t="str">
            <v>CABANG MADYA KOMERSIL BATAM</v>
          </cell>
          <cell r="E34" t="str">
            <v xml:space="preserve">INSPEKTUR JUNIOR II </v>
          </cell>
          <cell r="F34" t="str">
            <v>sudirman.amir@bki.co.id</v>
          </cell>
          <cell r="G34" t="str">
            <v>0852 4209 9836</v>
          </cell>
          <cell r="H34" t="str">
            <v>4C</v>
          </cell>
          <cell r="I34">
            <v>0</v>
          </cell>
        </row>
        <row r="35">
          <cell r="B35" t="str">
            <v>MUKHAMAD ZUL ASIP</v>
          </cell>
          <cell r="C35" t="str">
            <v>CABANG MADYA KOMERSIL BATAM</v>
          </cell>
          <cell r="D35" t="str">
            <v>CABANG MADYA KOMERSIL BATAM</v>
          </cell>
          <cell r="E35" t="str">
            <v>ADMINISTRATOR</v>
          </cell>
          <cell r="F35" t="str">
            <v>zul.asip@bki.co.id</v>
          </cell>
          <cell r="G35" t="str">
            <v>0812 1556 6990</v>
          </cell>
          <cell r="H35" t="str">
            <v>2A</v>
          </cell>
          <cell r="I35">
            <v>0</v>
          </cell>
        </row>
        <row r="36">
          <cell r="B36" t="str">
            <v>PAJARUDDIN</v>
          </cell>
          <cell r="C36" t="str">
            <v>CABANG MADYA KOMERSIL BATAM</v>
          </cell>
          <cell r="D36" t="str">
            <v>CABANG MADYA KOMERSIL BATAM</v>
          </cell>
          <cell r="E36" t="str">
            <v>OPERATOR PENGUJIAN</v>
          </cell>
          <cell r="F36" t="str">
            <v>pajaruddin@bki.co.id</v>
          </cell>
          <cell r="G36" t="str">
            <v/>
          </cell>
          <cell r="H36" t="str">
            <v>3A</v>
          </cell>
          <cell r="I36">
            <v>0</v>
          </cell>
        </row>
        <row r="37">
          <cell r="B37" t="str">
            <v>ZULFADLI</v>
          </cell>
          <cell r="C37" t="str">
            <v>CABANG MADYA KOMERSIL BATAM</v>
          </cell>
          <cell r="D37" t="str">
            <v>CABANG MADYA KOMERSIL BATAM</v>
          </cell>
          <cell r="E37" t="str">
            <v>INSPEKTUR</v>
          </cell>
          <cell r="F37" t="str">
            <v>fadli@bki.co.id</v>
          </cell>
          <cell r="G37" t="str">
            <v>08137275550</v>
          </cell>
          <cell r="H37" t="str">
            <v>5C</v>
          </cell>
          <cell r="I37">
            <v>0</v>
          </cell>
        </row>
        <row r="38">
          <cell r="B38" t="str">
            <v>HELPI TORONG</v>
          </cell>
          <cell r="C38" t="str">
            <v>CABANG MADYA KOMERSIL BATAM</v>
          </cell>
          <cell r="D38" t="str">
            <v>CABANG MADYA KOMERSIL BATAM</v>
          </cell>
          <cell r="E38" t="str">
            <v xml:space="preserve">INSPEKTUR JUNIOR I  </v>
          </cell>
          <cell r="F38" t="str">
            <v>helpi@bki.co.id</v>
          </cell>
          <cell r="G38" t="str">
            <v>081536706628</v>
          </cell>
          <cell r="H38" t="str">
            <v>3C</v>
          </cell>
          <cell r="I38">
            <v>0</v>
          </cell>
        </row>
        <row r="39">
          <cell r="B39" t="str">
            <v>BERMAN SARAGIH</v>
          </cell>
          <cell r="C39" t="str">
            <v>CABANG MADYA KOMERSIL BATAM</v>
          </cell>
          <cell r="D39" t="str">
            <v>CABANG MADYA KOMERSIL BATAM</v>
          </cell>
          <cell r="E39" t="str">
            <v xml:space="preserve">INSPEKTUR JUNIOR I  </v>
          </cell>
          <cell r="F39" t="str">
            <v>berman.saragih@bki.co.id</v>
          </cell>
          <cell r="G39" t="str">
            <v>081372101812</v>
          </cell>
          <cell r="H39" t="str">
            <v>3C</v>
          </cell>
          <cell r="I39">
            <v>150000</v>
          </cell>
        </row>
        <row r="40">
          <cell r="B40" t="str">
            <v>RUSDY WANGSA</v>
          </cell>
          <cell r="C40" t="str">
            <v>CABANG MADYA KOMERSIL BATAM</v>
          </cell>
          <cell r="D40" t="str">
            <v>CABANG MADYA KOMERSIL BATAM</v>
          </cell>
          <cell r="E40" t="str">
            <v>ADMINISTRATOR</v>
          </cell>
          <cell r="F40" t="str">
            <v>rusdy.wangsa@bki.co.id</v>
          </cell>
          <cell r="G40" t="str">
            <v>085668759302</v>
          </cell>
          <cell r="H40" t="str">
            <v>2A</v>
          </cell>
          <cell r="I40">
            <v>150000</v>
          </cell>
        </row>
        <row r="41">
          <cell r="B41" t="str">
            <v>AHDIYAR</v>
          </cell>
          <cell r="C41" t="str">
            <v>CABANG MADYA KOMERSIL BATAM</v>
          </cell>
          <cell r="D41" t="str">
            <v>CABANG MADYA KOMERSIL BATAM</v>
          </cell>
          <cell r="E41" t="str">
            <v xml:space="preserve">INSPEKTUR JUNIOR II </v>
          </cell>
          <cell r="F41" t="str">
            <v>ahdiyar@bki.co.id</v>
          </cell>
          <cell r="G41" t="str">
            <v>08117011082</v>
          </cell>
          <cell r="H41" t="str">
            <v>4C</v>
          </cell>
          <cell r="I41">
            <v>0</v>
          </cell>
        </row>
        <row r="42">
          <cell r="B42" t="str">
            <v>IRVAN DESIADININGRAT ISKANDAR</v>
          </cell>
          <cell r="C42" t="str">
            <v>CABANG MADYA KOMERSIL BATAM</v>
          </cell>
          <cell r="D42" t="str">
            <v>CABANG MADYA KOMERSIL BATAM</v>
          </cell>
          <cell r="E42" t="str">
            <v>INSPEKTUR</v>
          </cell>
          <cell r="F42" t="str">
            <v>irvan@bki.co.id</v>
          </cell>
          <cell r="G42" t="str">
            <v>082173200097</v>
          </cell>
          <cell r="H42" t="str">
            <v>5C</v>
          </cell>
          <cell r="I42">
            <v>0</v>
          </cell>
        </row>
        <row r="43">
          <cell r="B43" t="str">
            <v>MUHAMMAD RYAN ANDHIKA</v>
          </cell>
          <cell r="C43" t="str">
            <v>CABANG MADYA KOMERSIL BATAM</v>
          </cell>
          <cell r="D43" t="str">
            <v>CABANG MADYA KOMERSIL BATAM</v>
          </cell>
          <cell r="E43" t="str">
            <v xml:space="preserve">INSPEKTUR JUNIOR II </v>
          </cell>
          <cell r="F43" t="str">
            <v>ryan@bki.co.id</v>
          </cell>
          <cell r="G43" t="str">
            <v>081364503377</v>
          </cell>
          <cell r="H43" t="str">
            <v>4C</v>
          </cell>
          <cell r="I43">
            <v>0</v>
          </cell>
        </row>
        <row r="44">
          <cell r="B44" t="str">
            <v>HENDRA ADY SAPUTRA M</v>
          </cell>
          <cell r="C44" t="str">
            <v>CABANG MADYA KOMERSIL BATAM</v>
          </cell>
          <cell r="D44" t="str">
            <v>CABANG MADYA KOMERSIL BATAM</v>
          </cell>
          <cell r="E44" t="str">
            <v xml:space="preserve">INSPEKTUR JUNIOR I  </v>
          </cell>
          <cell r="F44" t="str">
            <v>Hendra.as@bki.co.id</v>
          </cell>
          <cell r="G44" t="str">
            <v>0852 5522 2678</v>
          </cell>
          <cell r="H44" t="str">
            <v>3C</v>
          </cell>
          <cell r="I44">
            <v>0</v>
          </cell>
        </row>
        <row r="45">
          <cell r="B45" t="str">
            <v>ANDI MULIADI</v>
          </cell>
          <cell r="C45" t="str">
            <v>CABANG MADYA KOMERSIL BATAM</v>
          </cell>
          <cell r="D45" t="str">
            <v>CABANG MADYA KOMERSIL BATAM</v>
          </cell>
          <cell r="E45" t="str">
            <v xml:space="preserve">INSPEKTUR JUNIOR I  </v>
          </cell>
          <cell r="F45" t="str">
            <v>muliadi@bki.co.id</v>
          </cell>
          <cell r="G45" t="str">
            <v/>
          </cell>
          <cell r="H45" t="str">
            <v>3C</v>
          </cell>
          <cell r="I45">
            <v>0</v>
          </cell>
        </row>
        <row r="46">
          <cell r="B46" t="str">
            <v>MARISANDI</v>
          </cell>
          <cell r="C46" t="str">
            <v>CABANG MADYA KOMERSIL BATAM</v>
          </cell>
          <cell r="D46" t="str">
            <v>CABANG MADYA KOMERSIL BATAM</v>
          </cell>
          <cell r="E46" t="str">
            <v>OPERATOR PENGUJIAN</v>
          </cell>
          <cell r="F46" t="str">
            <v>marisandi@bki.co.id</v>
          </cell>
          <cell r="G46" t="str">
            <v>0813 7274 0152</v>
          </cell>
          <cell r="H46" t="str">
            <v>3A</v>
          </cell>
          <cell r="I46">
            <v>0</v>
          </cell>
        </row>
        <row r="47">
          <cell r="B47" t="str">
            <v>ANDI IKBAR</v>
          </cell>
          <cell r="C47" t="str">
            <v>CABANG MADYA KOMERSIL BATAM</v>
          </cell>
          <cell r="D47" t="str">
            <v>CABANG MADYA KOMERSIL BATAM</v>
          </cell>
          <cell r="E47" t="str">
            <v xml:space="preserve">INSPEKTUR JUNIOR II  </v>
          </cell>
          <cell r="F47" t="str">
            <v>andi.ikbar@bki.co.id</v>
          </cell>
          <cell r="G47" t="str">
            <v>0813 5510 7801</v>
          </cell>
          <cell r="H47" t="str">
            <v>4C</v>
          </cell>
          <cell r="I47">
            <v>0</v>
          </cell>
        </row>
        <row r="48">
          <cell r="B48" t="str">
            <v>KADAR PATTONRA</v>
          </cell>
          <cell r="C48" t="str">
            <v>CABANG MADYA KOMERSIL BATAM</v>
          </cell>
          <cell r="D48" t="str">
            <v>CABANG MADYA KOMERSIL BATAM</v>
          </cell>
          <cell r="E48" t="str">
            <v>INSPEKTUR</v>
          </cell>
          <cell r="F48" t="str">
            <v>kadar@bki.co.id</v>
          </cell>
          <cell r="G48" t="str">
            <v>0852 7437 5777</v>
          </cell>
          <cell r="H48" t="str">
            <v>5C</v>
          </cell>
          <cell r="I48">
            <v>0</v>
          </cell>
        </row>
        <row r="49">
          <cell r="B49" t="str">
            <v>ARIF BIJAKSANA SATRIA NEGARA</v>
          </cell>
          <cell r="C49" t="str">
            <v>CABANG MADYA KOMERSIL BATAM</v>
          </cell>
          <cell r="D49" t="str">
            <v>CABANG MADYA KOMERSIL BATAM</v>
          </cell>
          <cell r="E49" t="str">
            <v>KEPALA CABANG MADYA KOMERSIL BATAM</v>
          </cell>
          <cell r="F49" t="str">
            <v>satria@bki.co.id</v>
          </cell>
          <cell r="G49" t="str">
            <v>08117000292</v>
          </cell>
          <cell r="H49" t="str">
            <v>7C</v>
          </cell>
          <cell r="I49">
            <v>250000</v>
          </cell>
        </row>
        <row r="50">
          <cell r="B50" t="str">
            <v>AHMAD YUSRAN</v>
          </cell>
          <cell r="C50" t="str">
            <v>CABANG MADYA KOMERSIL MAKASSAR</v>
          </cell>
          <cell r="D50" t="str">
            <v>CABANG MADYA KOMERSIL MAKASSAR</v>
          </cell>
          <cell r="E50" t="str">
            <v>INSPEKTUR</v>
          </cell>
          <cell r="F50" t="str">
            <v>ahmad.yusran@bki.co.id</v>
          </cell>
          <cell r="G50" t="str">
            <v>081342208879</v>
          </cell>
          <cell r="H50" t="str">
            <v>5C</v>
          </cell>
          <cell r="I50">
            <v>0</v>
          </cell>
        </row>
        <row r="51">
          <cell r="B51" t="str">
            <v>ACHSAN</v>
          </cell>
          <cell r="C51" t="str">
            <v>CABANG MADYA KOMERSIL MAKASSAR</v>
          </cell>
          <cell r="D51" t="str">
            <v>CABANG MADYA KOMERSIL MAKASSAR</v>
          </cell>
          <cell r="E51" t="str">
            <v>OPERATOR PENGUJIAN</v>
          </cell>
          <cell r="F51" t="str">
            <v>achsan@bki.co.id</v>
          </cell>
          <cell r="G51" t="str">
            <v>082288303315</v>
          </cell>
          <cell r="H51" t="str">
            <v>3A</v>
          </cell>
          <cell r="I51">
            <v>0</v>
          </cell>
        </row>
        <row r="52">
          <cell r="B52" t="str">
            <v>AWALUDDIN</v>
          </cell>
          <cell r="C52" t="str">
            <v>CABANG MADYA KOMERSIL MAKASSAR</v>
          </cell>
          <cell r="D52" t="str">
            <v>CABANG MADYA KOMERSIL MAKASSAR</v>
          </cell>
          <cell r="E52" t="str">
            <v xml:space="preserve">INSPEKTUR JUNIOR II </v>
          </cell>
          <cell r="F52" t="str">
            <v>awaluddin.msc@bki.co.id</v>
          </cell>
          <cell r="G52" t="str">
            <v>085255086542</v>
          </cell>
          <cell r="H52" t="str">
            <v>4C</v>
          </cell>
          <cell r="I52">
            <v>0</v>
          </cell>
        </row>
        <row r="53">
          <cell r="B53" t="str">
            <v>M. IRFAN</v>
          </cell>
          <cell r="C53" t="str">
            <v>CABANG MADYA KOMERSIL MAKASSAR</v>
          </cell>
          <cell r="D53" t="str">
            <v>CABANG MADYA KOMERSIL MAKASSAR</v>
          </cell>
          <cell r="E53" t="str">
            <v xml:space="preserve">INSPEKTUR JUNIOR II </v>
          </cell>
          <cell r="F53" t="str">
            <v>irfan@bki.co.id</v>
          </cell>
          <cell r="G53" t="str">
            <v>085242112823</v>
          </cell>
          <cell r="H53" t="str">
            <v>4C</v>
          </cell>
          <cell r="I53">
            <v>0</v>
          </cell>
        </row>
        <row r="54">
          <cell r="B54" t="str">
            <v>GUNAWAN SUNRE</v>
          </cell>
          <cell r="C54" t="str">
            <v>CABANG MADYA KOMERSIL MAKASSAR</v>
          </cell>
          <cell r="D54" t="str">
            <v>CABANG MADYA KOMERSIL MAKASSAR</v>
          </cell>
          <cell r="E54" t="str">
            <v>ADMINISTRATOR SENIOR</v>
          </cell>
          <cell r="F54" t="str">
            <v>gunawan.sunre@bki.co.id</v>
          </cell>
          <cell r="G54" t="str">
            <v>081245807039</v>
          </cell>
          <cell r="H54" t="str">
            <v>3B</v>
          </cell>
          <cell r="I54">
            <v>0</v>
          </cell>
        </row>
        <row r="55">
          <cell r="B55" t="str">
            <v>IRWAN</v>
          </cell>
          <cell r="C55" t="str">
            <v>CABANG MADYA KOMERSIL MAKASSAR</v>
          </cell>
          <cell r="D55" t="str">
            <v>CABANG MADYA KOMERSIL MAKASSAR</v>
          </cell>
          <cell r="E55" t="str">
            <v>KEPALA CABANG MADYA KOMERSIL MAKASSAR</v>
          </cell>
          <cell r="F55" t="str">
            <v>irwan@bki.co.id</v>
          </cell>
          <cell r="G55" t="str">
            <v>08125887407</v>
          </cell>
          <cell r="H55" t="str">
            <v>7C</v>
          </cell>
          <cell r="I55">
            <v>0</v>
          </cell>
        </row>
        <row r="56">
          <cell r="B56" t="str">
            <v>ANDI ARDI ABDULLAH</v>
          </cell>
          <cell r="C56" t="str">
            <v>CABANG MADYA KOMERSIL MAKASSAR</v>
          </cell>
          <cell r="D56" t="str">
            <v>CABANG MADYA KOMERSIL MAKASSAR</v>
          </cell>
          <cell r="E56" t="str">
            <v>INSPEKTUR</v>
          </cell>
          <cell r="F56" t="str">
            <v>a.ardi@bki.co.id</v>
          </cell>
          <cell r="G56" t="str">
            <v>0813 5551 3555</v>
          </cell>
          <cell r="H56" t="str">
            <v>5C</v>
          </cell>
          <cell r="I56">
            <v>150000</v>
          </cell>
        </row>
        <row r="57">
          <cell r="B57" t="str">
            <v>HAZAIRIN</v>
          </cell>
          <cell r="C57" t="str">
            <v>CABANG MADYA KOMERSIL MAKASSAR</v>
          </cell>
          <cell r="D57" t="str">
            <v>CABANG MADYA KOMERSIL MAKASSAR</v>
          </cell>
          <cell r="E57" t="str">
            <v xml:space="preserve">INSPEKTUR JUNIOR I  </v>
          </cell>
          <cell r="F57" t="str">
            <v>hazairin@bki.co.id</v>
          </cell>
          <cell r="G57" t="str">
            <v>085398570100</v>
          </cell>
          <cell r="H57" t="str">
            <v>3C</v>
          </cell>
          <cell r="I57">
            <v>0</v>
          </cell>
        </row>
        <row r="58">
          <cell r="B58" t="str">
            <v>FERI ANTONI</v>
          </cell>
          <cell r="C58" t="str">
            <v>CABANG MADYA KOMERSIL MAKASSAR</v>
          </cell>
          <cell r="D58" t="str">
            <v>CABANG MADYA KOMERSIL MAKASSAR</v>
          </cell>
          <cell r="E58" t="str">
            <v xml:space="preserve">INSPEKTUR JUNIOR II </v>
          </cell>
          <cell r="F58" t="str">
            <v>feri.antoni@bki.co.id</v>
          </cell>
          <cell r="G58" t="str">
            <v/>
          </cell>
          <cell r="H58" t="str">
            <v>4C</v>
          </cell>
          <cell r="I58">
            <v>0</v>
          </cell>
        </row>
        <row r="59">
          <cell r="B59" t="str">
            <v>RAFIUDDIN HAFID</v>
          </cell>
          <cell r="C59" t="str">
            <v>CABANG MADYA KOMERSIL MAKASSAR</v>
          </cell>
          <cell r="D59" t="str">
            <v>CABANG MADYA KOMERSIL MAKASSAR</v>
          </cell>
          <cell r="E59" t="str">
            <v xml:space="preserve">INSPEKTUR JUNIOR I  </v>
          </cell>
          <cell r="F59" t="str">
            <v>rafiuddin.hafid@bki.co.id</v>
          </cell>
          <cell r="G59" t="str">
            <v/>
          </cell>
          <cell r="H59" t="str">
            <v>3C</v>
          </cell>
          <cell r="I59">
            <v>0</v>
          </cell>
        </row>
        <row r="60">
          <cell r="B60" t="str">
            <v>ARDIYAN EKA SAPUTRA</v>
          </cell>
          <cell r="C60" t="str">
            <v>CABANG MADYA KOMERSIL MAKASSAR</v>
          </cell>
          <cell r="D60" t="str">
            <v>CABANG MADYA KOMERSIL MAKASSAR</v>
          </cell>
          <cell r="E60" t="str">
            <v xml:space="preserve">INSPEKTUR JUNIOR I  </v>
          </cell>
          <cell r="F60" t="str">
            <v>ardiyan.es@bki.co.id</v>
          </cell>
          <cell r="G60" t="str">
            <v>085255516615</v>
          </cell>
          <cell r="H60" t="str">
            <v>3C</v>
          </cell>
          <cell r="I60">
            <v>0</v>
          </cell>
        </row>
        <row r="61">
          <cell r="B61" t="str">
            <v>MUTTAQIN</v>
          </cell>
          <cell r="C61" t="str">
            <v>CABANG MADYA KOMERSIL PEKANBARU</v>
          </cell>
          <cell r="D61" t="str">
            <v>CABANG MADYA KOMERSIL PEKANBARU</v>
          </cell>
          <cell r="E61" t="str">
            <v>KEPALA CABANG MADYA KOMERSIL PEKANBARU</v>
          </cell>
          <cell r="F61" t="str">
            <v>muttaqin@bki.co.id</v>
          </cell>
          <cell r="G61" t="str">
            <v>081319754614</v>
          </cell>
          <cell r="H61" t="str">
            <v>7C</v>
          </cell>
          <cell r="I61">
            <v>0</v>
          </cell>
        </row>
        <row r="62">
          <cell r="B62" t="str">
            <v>M. HATTA BACO B</v>
          </cell>
          <cell r="C62" t="str">
            <v>CABANG MADYA KOMERSIL PEKANBARU</v>
          </cell>
          <cell r="D62" t="str">
            <v>CABANG MADYA KOMERSIL PEKANBARU</v>
          </cell>
          <cell r="E62" t="str">
            <v xml:space="preserve">INSPEKTUR JUNIOR II </v>
          </cell>
          <cell r="F62" t="str">
            <v>m.hatta@bki.co.id</v>
          </cell>
          <cell r="G62" t="str">
            <v/>
          </cell>
          <cell r="H62" t="str">
            <v>4C</v>
          </cell>
          <cell r="I62">
            <v>150000</v>
          </cell>
        </row>
        <row r="63">
          <cell r="B63" t="str">
            <v>RAHMAT S</v>
          </cell>
          <cell r="C63" t="str">
            <v>CABANG MADYA KOMERSIL PEKANBARU</v>
          </cell>
          <cell r="D63" t="str">
            <v>CABANG MADYA KOMERSIL PEKANBARU</v>
          </cell>
          <cell r="E63" t="str">
            <v xml:space="preserve">INSPEKTUR JUNIOR II </v>
          </cell>
          <cell r="F63" t="str">
            <v>rahmat.s@bki.co.id</v>
          </cell>
          <cell r="G63" t="str">
            <v>085364610661</v>
          </cell>
          <cell r="H63" t="str">
            <v>4C</v>
          </cell>
          <cell r="I63">
            <v>150000</v>
          </cell>
        </row>
        <row r="64">
          <cell r="B64" t="str">
            <v>EKONDRO</v>
          </cell>
          <cell r="C64" t="str">
            <v>CABANG MADYA KOMERSIL PEKANBARU</v>
          </cell>
          <cell r="D64" t="str">
            <v>CABANG MADYA KOMERSIL PEKANBARU</v>
          </cell>
          <cell r="E64" t="str">
            <v>OPERATOR PENGUJIAN</v>
          </cell>
          <cell r="F64" t="str">
            <v>ekondro@bki.co.id</v>
          </cell>
          <cell r="G64" t="str">
            <v>081270226202</v>
          </cell>
          <cell r="H64" t="str">
            <v>3A</v>
          </cell>
          <cell r="I64">
            <v>150000</v>
          </cell>
        </row>
        <row r="65">
          <cell r="B65" t="str">
            <v>INDAH PETRICIA SARI</v>
          </cell>
          <cell r="C65" t="str">
            <v>CABANG MADYA KOMERSIL PEKANBARU</v>
          </cell>
          <cell r="D65" t="str">
            <v>CABANG MADYA KOMERSIL PEKANBARU</v>
          </cell>
          <cell r="E65" t="str">
            <v>ADMINISTRATOR SENIOR</v>
          </cell>
          <cell r="F65" t="str">
            <v>indah.ps@bki.co.id</v>
          </cell>
          <cell r="G65" t="str">
            <v>081275591801</v>
          </cell>
          <cell r="H65" t="str">
            <v>3B</v>
          </cell>
          <cell r="I65">
            <v>150000</v>
          </cell>
        </row>
        <row r="66">
          <cell r="B66" t="str">
            <v>ROZI DELFEMI IRAWATI</v>
          </cell>
          <cell r="C66" t="str">
            <v>CABANG MADYA KOMERSIL PEKANBARU</v>
          </cell>
          <cell r="D66" t="str">
            <v>CABANG MADYA KOMERSIL PEKANBARU</v>
          </cell>
          <cell r="E66" t="str">
            <v>ADMINISTRATOR SENIOR</v>
          </cell>
          <cell r="F66" t="str">
            <v>rozi.di@bki.co.id</v>
          </cell>
          <cell r="G66" t="str">
            <v>08126725126</v>
          </cell>
          <cell r="H66" t="str">
            <v>3B</v>
          </cell>
          <cell r="I66">
            <v>150000</v>
          </cell>
        </row>
        <row r="67">
          <cell r="B67" t="str">
            <v>ZULFAENI</v>
          </cell>
          <cell r="C67" t="str">
            <v>CABANG MADYA KOMERSIL PEKANBARU</v>
          </cell>
          <cell r="D67" t="str">
            <v>CABANG MADYA KOMERSIL PEKANBARU</v>
          </cell>
          <cell r="E67" t="str">
            <v>ADMINISTRATOR</v>
          </cell>
          <cell r="F67" t="str">
            <v>zulfaeni@bki.co.id</v>
          </cell>
          <cell r="G67" t="str">
            <v>08127625796</v>
          </cell>
          <cell r="H67" t="str">
            <v>2A</v>
          </cell>
          <cell r="I67">
            <v>150000</v>
          </cell>
        </row>
        <row r="68">
          <cell r="B68" t="str">
            <v>ABDILAH</v>
          </cell>
          <cell r="C68" t="str">
            <v>CABANG MADYA KOMERSIL PEKANBARU</v>
          </cell>
          <cell r="D68" t="str">
            <v>CABANG MADYA KOMERSIL PEKANBARU</v>
          </cell>
          <cell r="E68" t="str">
            <v xml:space="preserve">INSPEKTUR JUNIOR I  </v>
          </cell>
          <cell r="F68" t="str">
            <v>abdilah@bki.co.id</v>
          </cell>
          <cell r="G68" t="str">
            <v>081268365964</v>
          </cell>
          <cell r="H68" t="str">
            <v>3C</v>
          </cell>
          <cell r="I68">
            <v>150000</v>
          </cell>
        </row>
        <row r="69">
          <cell r="B69" t="str">
            <v>ADI ISMANTO</v>
          </cell>
          <cell r="C69" t="str">
            <v>CABANG MADYA KOMERSIL PEKANBARU</v>
          </cell>
          <cell r="D69" t="str">
            <v>CABANG MADYA KOMERSIL PEKANBARU</v>
          </cell>
          <cell r="E69" t="str">
            <v xml:space="preserve">INSPEKTUR JUNIOR I  </v>
          </cell>
          <cell r="F69" t="str">
            <v>adi.ismanto@bki.co.id</v>
          </cell>
          <cell r="G69" t="str">
            <v>081371475688</v>
          </cell>
          <cell r="H69" t="str">
            <v>3C</v>
          </cell>
          <cell r="I69">
            <v>150000</v>
          </cell>
        </row>
        <row r="70">
          <cell r="B70" t="str">
            <v>BARI</v>
          </cell>
          <cell r="C70" t="str">
            <v>CABANG MADYA KOMERSIL PEKANBARU</v>
          </cell>
          <cell r="D70" t="str">
            <v>CABANG MADYA KOMERSIL PEKANBARU</v>
          </cell>
          <cell r="E70" t="str">
            <v xml:space="preserve">INSPEKTUR JUNIOR I  </v>
          </cell>
          <cell r="F70" t="str">
            <v>bari@bki.co.id</v>
          </cell>
          <cell r="G70" t="str">
            <v>08127621059</v>
          </cell>
          <cell r="H70" t="str">
            <v>3C</v>
          </cell>
          <cell r="I70">
            <v>150000</v>
          </cell>
        </row>
        <row r="71">
          <cell r="B71" t="str">
            <v>KAMARUDDIN</v>
          </cell>
          <cell r="C71" t="str">
            <v>CABANG MADYA KOMERSIL PEKANBARU</v>
          </cell>
          <cell r="D71" t="str">
            <v>CABANG MADYA KOMERSIL PEKANBARU</v>
          </cell>
          <cell r="E71" t="str">
            <v xml:space="preserve">INSPEKTUR JUNIOR I  </v>
          </cell>
          <cell r="F71" t="str">
            <v>kamaruddin@bki.co.id</v>
          </cell>
          <cell r="G71" t="str">
            <v>08127675474</v>
          </cell>
          <cell r="H71" t="str">
            <v>3C</v>
          </cell>
          <cell r="I71">
            <v>150000</v>
          </cell>
        </row>
        <row r="72">
          <cell r="B72" t="str">
            <v>SAID TAUFIQ</v>
          </cell>
          <cell r="C72" t="str">
            <v>CABANG MADYA KOMERSIL PEKANBARU</v>
          </cell>
          <cell r="D72" t="str">
            <v>CABANG MADYA KOMERSIL PEKANBARU</v>
          </cell>
          <cell r="E72" t="str">
            <v>INSPEKTUR</v>
          </cell>
          <cell r="F72" t="str">
            <v>said.taufik@bki.co.id</v>
          </cell>
          <cell r="G72" t="str">
            <v>081378425868</v>
          </cell>
          <cell r="H72" t="str">
            <v>5C</v>
          </cell>
          <cell r="I72">
            <v>250000</v>
          </cell>
        </row>
        <row r="73">
          <cell r="B73" t="str">
            <v>MUH ALI HASAN</v>
          </cell>
          <cell r="C73" t="str">
            <v>CABANG MADYA KOMERSIL PEKANBARU</v>
          </cell>
          <cell r="D73" t="str">
            <v>CABANG MADYA KOMERSIL PEKANBARU</v>
          </cell>
          <cell r="E73" t="str">
            <v xml:space="preserve">INSPEKTUR JUNIOR I  </v>
          </cell>
          <cell r="F73" t="str">
            <v>ali.hasan@bki.co.id</v>
          </cell>
          <cell r="G73" t="str">
            <v>081275657517</v>
          </cell>
          <cell r="H73" t="str">
            <v>3C</v>
          </cell>
          <cell r="I73">
            <v>150000</v>
          </cell>
        </row>
        <row r="74">
          <cell r="B74" t="str">
            <v>IRMA ESMERALDA</v>
          </cell>
          <cell r="C74" t="str">
            <v>CABANG MADYA KOMERSIL PEKANBARU</v>
          </cell>
          <cell r="D74" t="str">
            <v>CABANG MADYA KOMERSIL PEKANBARU</v>
          </cell>
          <cell r="E74" t="str">
            <v xml:space="preserve">INSPEKTUR JUNIOR I  </v>
          </cell>
          <cell r="F74" t="str">
            <v>irma.esmeralda@bki.co.id</v>
          </cell>
          <cell r="G74" t="str">
            <v>085272291221</v>
          </cell>
          <cell r="H74" t="str">
            <v>3C</v>
          </cell>
          <cell r="I74">
            <v>0</v>
          </cell>
        </row>
        <row r="75">
          <cell r="B75" t="str">
            <v>RAHMADANI</v>
          </cell>
          <cell r="C75" t="str">
            <v>DIVISI KEUANGAN DAN AKUNTANSI</v>
          </cell>
          <cell r="D75" t="str">
            <v>CABANG MADYA KOMERSIL PEKANBARU</v>
          </cell>
          <cell r="E75" t="str">
            <v>ANALIS KEUANGAN YANG DITEMPATKAN DI CAB. MADYA KOMERSIL PEKAN BARU</v>
          </cell>
          <cell r="F75" t="str">
            <v>rahmadani@bki.co.id</v>
          </cell>
          <cell r="G75" t="str">
            <v>08114197474</v>
          </cell>
          <cell r="H75" t="str">
            <v>5A</v>
          </cell>
          <cell r="I75">
            <v>0</v>
          </cell>
        </row>
        <row r="76">
          <cell r="B76" t="str">
            <v>GUNTUR CAHYO NUGROHO</v>
          </cell>
          <cell r="C76" t="str">
            <v>CABANG MADYA KOMERSIL SURABAYA</v>
          </cell>
          <cell r="D76" t="str">
            <v>CABANG MADYA KOMERSIL SURABAYA</v>
          </cell>
          <cell r="E76" t="str">
            <v xml:space="preserve">INSPEKTUR JUNIOR II </v>
          </cell>
          <cell r="F76" t="str">
            <v>guntur.cahyo@bki.co.id</v>
          </cell>
          <cell r="G76" t="str">
            <v>0852 3024 1208</v>
          </cell>
          <cell r="H76" t="str">
            <v>4C</v>
          </cell>
          <cell r="I76">
            <v>0</v>
          </cell>
        </row>
        <row r="77">
          <cell r="B77" t="str">
            <v>KHOIRUL ASNAWI</v>
          </cell>
          <cell r="C77" t="str">
            <v>CABANG MADYA KOMERSIL SURABAYA</v>
          </cell>
          <cell r="D77" t="str">
            <v>CABANG MADYA KOMERSIL SURABAYA</v>
          </cell>
          <cell r="E77" t="str">
            <v xml:space="preserve">INSPEKTUR JUNIOR I  </v>
          </cell>
          <cell r="F77" t="str">
            <v>khoirul.asnawi@bki.co.id</v>
          </cell>
          <cell r="G77" t="str">
            <v>0813 5834 0669</v>
          </cell>
          <cell r="H77" t="str">
            <v>3C</v>
          </cell>
          <cell r="I77">
            <v>0</v>
          </cell>
        </row>
        <row r="78">
          <cell r="B78" t="str">
            <v>RISKITA NOVITA SARI</v>
          </cell>
          <cell r="C78" t="str">
            <v>CABANG MADYA KOMERSIL SURABAYA</v>
          </cell>
          <cell r="D78" t="str">
            <v>CABANG MADYA KOMERSIL SURABAYA</v>
          </cell>
          <cell r="E78" t="str">
            <v>ADMINISTRATOR SENIOR</v>
          </cell>
          <cell r="F78" t="str">
            <v>riskita.sari@bki.co.id</v>
          </cell>
          <cell r="G78" t="str">
            <v>0812 5956 8424</v>
          </cell>
          <cell r="H78" t="str">
            <v>3B</v>
          </cell>
          <cell r="I78">
            <v>0</v>
          </cell>
        </row>
        <row r="79">
          <cell r="B79" t="str">
            <v>NOVAN ARDYANSYAH</v>
          </cell>
          <cell r="C79" t="str">
            <v>CABANG MADYA KOMERSIL SURABAYA</v>
          </cell>
          <cell r="D79" t="str">
            <v>CABANG MADYA KOMERSIL SURABAYA</v>
          </cell>
          <cell r="E79" t="str">
            <v xml:space="preserve">INSPEKTUR JUNIOR II </v>
          </cell>
          <cell r="F79" t="str">
            <v>novan@bki.co.id</v>
          </cell>
          <cell r="G79" t="str">
            <v>085257964021</v>
          </cell>
          <cell r="H79" t="str">
            <v>4C</v>
          </cell>
          <cell r="I79">
            <v>0</v>
          </cell>
        </row>
        <row r="80">
          <cell r="B80" t="str">
            <v>A'AN AGUS FIRMANSYAH</v>
          </cell>
          <cell r="C80" t="str">
            <v>CABANG MADYA KOMERSIL SURABAYA</v>
          </cell>
          <cell r="D80" t="str">
            <v>CABANG MADYA KOMERSIL SURABAYA</v>
          </cell>
          <cell r="E80" t="str">
            <v>INSPEKTUR</v>
          </cell>
          <cell r="F80" t="str">
            <v>aan@bki.co.id</v>
          </cell>
          <cell r="G80" t="str">
            <v>08123081472</v>
          </cell>
          <cell r="H80" t="str">
            <v>5C</v>
          </cell>
          <cell r="I80">
            <v>150000</v>
          </cell>
        </row>
        <row r="81">
          <cell r="B81" t="str">
            <v>MUH. NASIR</v>
          </cell>
          <cell r="C81" t="str">
            <v>CABANG MADYA KOMERSIL SURABAYA</v>
          </cell>
          <cell r="D81" t="str">
            <v>CABANG MADYA KOMERSIL SURABAYA</v>
          </cell>
          <cell r="E81" t="str">
            <v>INSPEKTUR</v>
          </cell>
          <cell r="F81" t="str">
            <v>nasir@bki.co.id</v>
          </cell>
          <cell r="G81" t="str">
            <v>081357114475</v>
          </cell>
          <cell r="H81" t="str">
            <v>5C</v>
          </cell>
          <cell r="I81">
            <v>150000</v>
          </cell>
        </row>
        <row r="82">
          <cell r="B82" t="str">
            <v>RUDOLF EDWARD DUPUY</v>
          </cell>
          <cell r="C82" t="str">
            <v>CABANG MADYA KOMERSIL SURABAYA</v>
          </cell>
          <cell r="D82" t="str">
            <v>CABANG MADYA KOMERSIL SURABAYA</v>
          </cell>
          <cell r="E82" t="str">
            <v>ADMINISTRATOR</v>
          </cell>
          <cell r="F82" t="str">
            <v>rudolf.ed@bki.co.id</v>
          </cell>
          <cell r="G82" t="str">
            <v>0812 7764 0741</v>
          </cell>
          <cell r="H82" t="str">
            <v>2A</v>
          </cell>
          <cell r="I82">
            <v>0</v>
          </cell>
        </row>
        <row r="83">
          <cell r="B83" t="str">
            <v>SUDIBYO</v>
          </cell>
          <cell r="C83" t="str">
            <v>CABANG MADYA KOMERSIL SURABAYA</v>
          </cell>
          <cell r="D83" t="str">
            <v>CABANG MADYA KOMERSIL SURABAYA</v>
          </cell>
          <cell r="E83" t="str">
            <v>KEPALA CABANG MADYA KOMERSIL SURABAYA</v>
          </cell>
          <cell r="F83" t="str">
            <v>sudibyo@bki.co.id</v>
          </cell>
          <cell r="G83" t="str">
            <v>082138271431</v>
          </cell>
          <cell r="H83" t="str">
            <v>7C</v>
          </cell>
          <cell r="I83">
            <v>0</v>
          </cell>
        </row>
        <row r="84">
          <cell r="B84" t="str">
            <v>BOBBY RAMADHAN</v>
          </cell>
          <cell r="C84" t="str">
            <v>CABANG MADYA KOMERSIL SURABAYA</v>
          </cell>
          <cell r="D84" t="str">
            <v>CABANG MADYA KOMERSIL SURABAYA</v>
          </cell>
          <cell r="E84" t="str">
            <v xml:space="preserve">INSPEKTUR JUNIOR I  </v>
          </cell>
          <cell r="F84" t="str">
            <v>bobby.ramadhan@bki.co.id</v>
          </cell>
          <cell r="G84" t="str">
            <v>081234608932</v>
          </cell>
          <cell r="H84" t="str">
            <v>3C</v>
          </cell>
          <cell r="I84">
            <v>0</v>
          </cell>
        </row>
        <row r="85">
          <cell r="B85" t="str">
            <v>ADIL ASMARA YUDHA</v>
          </cell>
          <cell r="C85" t="str">
            <v>CABANG MADYA KOMERSIL SURABAYA</v>
          </cell>
          <cell r="D85" t="str">
            <v>CABANG MADYA KOMERSIL SURABAYA</v>
          </cell>
          <cell r="E85" t="str">
            <v xml:space="preserve">INSPEKTUR JUNIOR I  </v>
          </cell>
          <cell r="F85" t="str">
            <v>adil.asmara@bki.co.id</v>
          </cell>
          <cell r="G85" t="str">
            <v>082234078634</v>
          </cell>
          <cell r="H85" t="str">
            <v>3C</v>
          </cell>
          <cell r="I85">
            <v>0</v>
          </cell>
        </row>
        <row r="86">
          <cell r="B86" t="str">
            <v>MUSTAKIM</v>
          </cell>
          <cell r="C86" t="str">
            <v>CABANG PRATAMA KLAS AMBON</v>
          </cell>
          <cell r="D86" t="str">
            <v>CABANG PRATAMA KLAS AMBON</v>
          </cell>
          <cell r="E86" t="str">
            <v>SURVEYOR SENIOR I A</v>
          </cell>
          <cell r="F86" t="str">
            <v>mustakim@bki.co.id</v>
          </cell>
          <cell r="G86" t="str">
            <v>082187324634</v>
          </cell>
          <cell r="H86" t="str">
            <v>6A</v>
          </cell>
          <cell r="I86">
            <v>250000</v>
          </cell>
        </row>
        <row r="87">
          <cell r="B87" t="str">
            <v>PETRUS TIPAWAEL</v>
          </cell>
          <cell r="C87" t="str">
            <v>CABANG PRATAMA KLAS AMBON</v>
          </cell>
          <cell r="D87" t="str">
            <v>CABANG PRATAMA KLAS AMBON</v>
          </cell>
          <cell r="E87" t="str">
            <v>ADMINISTRATOR SENIOR</v>
          </cell>
          <cell r="F87" t="str">
            <v>petrus.tipawel@bki.co.id</v>
          </cell>
          <cell r="G87" t="str">
            <v>081247608681</v>
          </cell>
          <cell r="H87" t="str">
            <v>3B</v>
          </cell>
          <cell r="I87">
            <v>0</v>
          </cell>
        </row>
        <row r="88">
          <cell r="B88" t="str">
            <v>MUHAMMAD FAJRIN M. SAID</v>
          </cell>
          <cell r="C88" t="str">
            <v>CABANG PRATAMA KLAS AMBON</v>
          </cell>
          <cell r="D88" t="str">
            <v>CABANG PRATAMA KLAS AMBON</v>
          </cell>
          <cell r="E88" t="str">
            <v>KEPALA CABANG PRATAMA KLAS AMBON</v>
          </cell>
          <cell r="F88" t="str">
            <v>fajrinsaid@bki.co.id</v>
          </cell>
          <cell r="G88" t="str">
            <v>0812241000074</v>
          </cell>
          <cell r="H88" t="str">
            <v>6C</v>
          </cell>
          <cell r="I88">
            <v>250000</v>
          </cell>
        </row>
        <row r="89">
          <cell r="B89" t="str">
            <v>YEHESKIEL HUBERT PARLUHUTAN</v>
          </cell>
          <cell r="C89" t="str">
            <v>CABANG PRATAMA KLAS AMBON</v>
          </cell>
          <cell r="D89" t="str">
            <v>CABANG PRATAMA KLAS AMBON</v>
          </cell>
          <cell r="E89" t="str">
            <v>SURVEYOR JUNIOR</v>
          </cell>
          <cell r="F89" t="str">
            <v>yeheskiel.hp@bki.co.id</v>
          </cell>
          <cell r="H89" t="str">
            <v>4C</v>
          </cell>
          <cell r="I89">
            <v>0</v>
          </cell>
        </row>
        <row r="90">
          <cell r="B90" t="str">
            <v>HARIS HENDRATMOKO</v>
          </cell>
          <cell r="C90" t="str">
            <v>CABANG PRATAMA KLAS BELAWAN</v>
          </cell>
          <cell r="D90" t="str">
            <v>CABANG PRATAMA KLAS BELAWAN</v>
          </cell>
          <cell r="E90" t="str">
            <v>SURVEYOR</v>
          </cell>
          <cell r="F90" t="str">
            <v>haris.hendratmoko@bki.co.id</v>
          </cell>
          <cell r="G90" t="str">
            <v>082166200750</v>
          </cell>
          <cell r="H90" t="str">
            <v>5C</v>
          </cell>
          <cell r="I90">
            <v>0</v>
          </cell>
        </row>
        <row r="91">
          <cell r="B91" t="str">
            <v>ADI KURNIAWAN</v>
          </cell>
          <cell r="C91" t="str">
            <v>CABANG PRATAMA KLAS BELAWAN</v>
          </cell>
          <cell r="D91" t="str">
            <v>CABANG PRATAMA KLAS BELAWAN</v>
          </cell>
          <cell r="E91" t="str">
            <v>KEPALA CABANG PRATAMA KLAS BELAWAN</v>
          </cell>
          <cell r="F91" t="str">
            <v>adi.kurniawan@bki.co.id</v>
          </cell>
          <cell r="G91" t="str">
            <v>0811 7104 046</v>
          </cell>
          <cell r="H91" t="str">
            <v>6C</v>
          </cell>
          <cell r="I91">
            <v>0</v>
          </cell>
        </row>
        <row r="92">
          <cell r="B92" t="str">
            <v>ANDI P. SIAGIAN</v>
          </cell>
          <cell r="C92" t="str">
            <v>DIVISI OPERASI BISNIS KLASIFIKASI</v>
          </cell>
          <cell r="D92" t="str">
            <v>CABANG PRATAMA KLAS BELAWAN</v>
          </cell>
          <cell r="E92" t="str">
            <v>SURVEYOR SENIOR II A KENDALI OPERASI YANG DITEMPATKAN DI CABANG PRATAMA KLAS BELAWAN</v>
          </cell>
          <cell r="F92" t="str">
            <v>andi@bki.co.id</v>
          </cell>
          <cell r="G92" t="str">
            <v>08114707890</v>
          </cell>
          <cell r="H92" t="str">
            <v>7A</v>
          </cell>
          <cell r="I92">
            <v>250000</v>
          </cell>
        </row>
        <row r="93">
          <cell r="B93" t="str">
            <v>FAUZI AKBAR NASUTION</v>
          </cell>
          <cell r="C93" t="str">
            <v>CABANG PRATAMA KLAS BELAWAN</v>
          </cell>
          <cell r="D93" t="str">
            <v>CABANG PRATAMA KLAS BELAWAN</v>
          </cell>
          <cell r="E93" t="str">
            <v>SURVEYOR SENIOR I A</v>
          </cell>
          <cell r="F93" t="str">
            <v>fauzi.an@bki.co.id</v>
          </cell>
          <cell r="G93" t="str">
            <v>081330225570</v>
          </cell>
          <cell r="H93" t="str">
            <v>6A</v>
          </cell>
          <cell r="I93">
            <v>0</v>
          </cell>
        </row>
        <row r="94">
          <cell r="B94" t="str">
            <v>RURI APRIDAH</v>
          </cell>
          <cell r="C94" t="str">
            <v>CABANG PRATAMA KLAS BELAWAN</v>
          </cell>
          <cell r="D94" t="str">
            <v>CABANG PRATAMA KLAS BELAWAN</v>
          </cell>
          <cell r="E94" t="str">
            <v>ADMINISTRATOR SENIOR</v>
          </cell>
          <cell r="F94" t="str">
            <v>ruri.apridah@bki.co.id</v>
          </cell>
          <cell r="G94" t="str">
            <v>0811603284</v>
          </cell>
          <cell r="H94" t="str">
            <v>3B</v>
          </cell>
          <cell r="I94">
            <v>0</v>
          </cell>
        </row>
        <row r="95">
          <cell r="B95" t="str">
            <v>YOSEP PUTERA MARULAM</v>
          </cell>
          <cell r="C95" t="str">
            <v>CABANG PRATAMA KLAS BELAWAN</v>
          </cell>
          <cell r="D95" t="str">
            <v>CABANG PRATAMA KLAS BELAWAN</v>
          </cell>
          <cell r="E95" t="str">
            <v xml:space="preserve">SURVEYOR JUNIOR </v>
          </cell>
          <cell r="F95" t="str">
            <v>yosep.putera@bki.co.id</v>
          </cell>
          <cell r="G95" t="str">
            <v>081262536592</v>
          </cell>
          <cell r="H95" t="str">
            <v>4C</v>
          </cell>
          <cell r="I95">
            <v>0</v>
          </cell>
        </row>
        <row r="96">
          <cell r="B96" t="str">
            <v>RUDI ARFIANSYAH</v>
          </cell>
          <cell r="C96" t="str">
            <v>CABANG PRATAMA KLAS BELAWAN</v>
          </cell>
          <cell r="D96" t="str">
            <v>CABANG PRATAMA KLAS BELAWAN</v>
          </cell>
          <cell r="E96" t="str">
            <v>STAF DUKUNGAN BISNIS</v>
          </cell>
          <cell r="F96" t="str">
            <v>rudi.arfiansyah@bki.co.id</v>
          </cell>
          <cell r="G96" t="str">
            <v>0811 6641 641</v>
          </cell>
          <cell r="H96" t="str">
            <v>-</v>
          </cell>
          <cell r="I96">
            <v>0</v>
          </cell>
        </row>
        <row r="97">
          <cell r="B97" t="str">
            <v>MARIHAT RIDHO SINAGA</v>
          </cell>
          <cell r="C97" t="str">
            <v>CABANG PRATAMA KLAS BELAWAN</v>
          </cell>
          <cell r="D97" t="str">
            <v>CABANG PRATAMA KLAS BELAWAN</v>
          </cell>
          <cell r="E97" t="str">
            <v>STAF DUKUNGAN BISNIS</v>
          </cell>
          <cell r="F97" t="str">
            <v>marihat.rs@bki.co.id</v>
          </cell>
          <cell r="G97" t="str">
            <v>082253379820</v>
          </cell>
          <cell r="H97" t="str">
            <v>-</v>
          </cell>
          <cell r="I97">
            <v>0</v>
          </cell>
        </row>
        <row r="98">
          <cell r="B98" t="str">
            <v>SITI IQLIMA</v>
          </cell>
          <cell r="C98" t="str">
            <v>CABANG PRATAMA KLAS BELAWAN</v>
          </cell>
          <cell r="D98" t="str">
            <v>CABANG PRATAMA KLAS BELAWAN</v>
          </cell>
          <cell r="E98" t="str">
            <v>STAF DUKUNGAN BISNIS</v>
          </cell>
          <cell r="F98" t="str">
            <v>siti.iqlima@bki.co.id</v>
          </cell>
          <cell r="G98" t="str">
            <v>082261271714</v>
          </cell>
          <cell r="H98" t="str">
            <v>-</v>
          </cell>
          <cell r="I98">
            <v>0</v>
          </cell>
        </row>
        <row r="99">
          <cell r="B99" t="str">
            <v>HASIDHIAN PRAYUDHI</v>
          </cell>
          <cell r="C99" t="str">
            <v>CABANG PRATAMA KLAS BITUNG</v>
          </cell>
          <cell r="D99" t="str">
            <v>CABANG PRATAMA KLAS BITUNG</v>
          </cell>
          <cell r="E99" t="str">
            <v>KEPALA CABANG PRATAMA KLAS BITUNG</v>
          </cell>
          <cell r="F99" t="str">
            <v>hprayudhi@bki.co.id</v>
          </cell>
          <cell r="G99" t="str">
            <v>085246377799</v>
          </cell>
          <cell r="H99" t="str">
            <v>6C</v>
          </cell>
          <cell r="I99">
            <v>0</v>
          </cell>
        </row>
        <row r="100">
          <cell r="B100" t="str">
            <v>AGRIS SETYAWAN</v>
          </cell>
          <cell r="C100" t="str">
            <v>CABANG PRATAMA KLAS BITUNG</v>
          </cell>
          <cell r="D100" t="str">
            <v>CABANG PRATAMA KLAS BITUNG</v>
          </cell>
          <cell r="E100" t="str">
            <v>SURVEYOR SENIOR I A</v>
          </cell>
          <cell r="F100" t="str">
            <v>agris@bki.co.id</v>
          </cell>
          <cell r="G100" t="str">
            <v>081380964649</v>
          </cell>
          <cell r="H100" t="str">
            <v>6A</v>
          </cell>
          <cell r="I100">
            <v>250000</v>
          </cell>
        </row>
        <row r="101">
          <cell r="B101" t="str">
            <v>ZUL FAJRIN AZDIN</v>
          </cell>
          <cell r="C101" t="str">
            <v>CABANG PRATAMA KLAS BITUNG</v>
          </cell>
          <cell r="D101" t="str">
            <v>CABANG PRATAMA KLAS BITUNG</v>
          </cell>
          <cell r="E101" t="str">
            <v>ADMINISTRATOR</v>
          </cell>
          <cell r="F101" t="str">
            <v>zul@bki.co.id</v>
          </cell>
          <cell r="G101" t="str">
            <v>085256283519</v>
          </cell>
          <cell r="H101" t="str">
            <v>2A</v>
          </cell>
          <cell r="I101">
            <v>150000</v>
          </cell>
        </row>
        <row r="102">
          <cell r="B102" t="str">
            <v>ARYO SINGGIH</v>
          </cell>
          <cell r="C102" t="str">
            <v>CABANG PRATAMA KLAS BITUNG</v>
          </cell>
          <cell r="D102" t="str">
            <v>CABANG PRATAMA KLAS BITUNG</v>
          </cell>
          <cell r="E102" t="str">
            <v>SURVEYOR SENIOR I</v>
          </cell>
          <cell r="F102" t="str">
            <v>aryo@bki.co.id</v>
          </cell>
          <cell r="G102" t="str">
            <v>08122990883</v>
          </cell>
          <cell r="H102" t="str">
            <v>6C</v>
          </cell>
          <cell r="I102">
            <v>250000</v>
          </cell>
        </row>
        <row r="103">
          <cell r="B103" t="str">
            <v>DARMA TODING</v>
          </cell>
          <cell r="C103" t="str">
            <v>CABANG PRATAMA KLAS BITUNG</v>
          </cell>
          <cell r="D103" t="str">
            <v>CABANG PRATAMA KLAS BITUNG</v>
          </cell>
          <cell r="E103" t="str">
            <v>INSPEKTUR</v>
          </cell>
          <cell r="F103" t="str">
            <v>darma.toding@bki.co.id</v>
          </cell>
          <cell r="G103" t="str">
            <v>08124303195</v>
          </cell>
          <cell r="H103" t="str">
            <v>5C</v>
          </cell>
          <cell r="I103">
            <v>0</v>
          </cell>
        </row>
        <row r="104">
          <cell r="B104" t="str">
            <v>EDY SANTOSO SARIALLO M</v>
          </cell>
          <cell r="C104" t="str">
            <v>CABANG PRATAMA KLAS BITUNG</v>
          </cell>
          <cell r="D104" t="str">
            <v>CABANG PRATAMA KLAS BITUNG</v>
          </cell>
          <cell r="E104" t="str">
            <v xml:space="preserve">INSPEKTUR JUNIOR II </v>
          </cell>
          <cell r="F104" t="str">
            <v>edy.sariallo@bki.co.id</v>
          </cell>
          <cell r="G104">
            <v>0</v>
          </cell>
          <cell r="H104" t="str">
            <v>4C</v>
          </cell>
          <cell r="I104">
            <v>0</v>
          </cell>
        </row>
        <row r="105">
          <cell r="B105" t="str">
            <v>AKHMAD WAHYUDI</v>
          </cell>
          <cell r="C105" t="str">
            <v>CABANG PRATAMA KLAS CIREBON</v>
          </cell>
          <cell r="D105" t="str">
            <v>CABANG PRATAMA KLAS CIREBON</v>
          </cell>
          <cell r="E105" t="str">
            <v>KEPALA CABANG PRATAMA KLAS CIREBON</v>
          </cell>
          <cell r="F105" t="str">
            <v>wahyudi@bki.co.id</v>
          </cell>
          <cell r="G105" t="str">
            <v>08121008904</v>
          </cell>
          <cell r="H105" t="str">
            <v>6C</v>
          </cell>
          <cell r="I105">
            <v>0</v>
          </cell>
        </row>
        <row r="106">
          <cell r="B106" t="str">
            <v>DWI ARYANTO</v>
          </cell>
          <cell r="C106" t="str">
            <v>CABANG PRATAMA KLAS CIREBON</v>
          </cell>
          <cell r="D106" t="str">
            <v>CABANG PRATAMA KLAS CIREBON</v>
          </cell>
          <cell r="E106" t="str">
            <v>SURVEYOR</v>
          </cell>
          <cell r="F106" t="str">
            <v>dwi.aryanto@bki.co.id</v>
          </cell>
          <cell r="G106" t="str">
            <v>0857 0768 9695</v>
          </cell>
          <cell r="H106" t="str">
            <v>5C</v>
          </cell>
          <cell r="I106">
            <v>0</v>
          </cell>
        </row>
        <row r="107">
          <cell r="B107" t="str">
            <v>RICKY YULIANTO</v>
          </cell>
          <cell r="C107" t="str">
            <v>CABANG PRATAMA KLAS CIREBON</v>
          </cell>
          <cell r="D107" t="str">
            <v>CABANG PRATAMA KLAS CIREBON</v>
          </cell>
          <cell r="E107" t="str">
            <v>ADMINISTRATOR SENIOR</v>
          </cell>
          <cell r="F107" t="str">
            <v>ricky@bki.co.id</v>
          </cell>
          <cell r="G107" t="str">
            <v>0812 3167 291</v>
          </cell>
          <cell r="H107" t="str">
            <v>3B</v>
          </cell>
          <cell r="I107">
            <v>0</v>
          </cell>
        </row>
        <row r="108">
          <cell r="B108" t="str">
            <v>CHOIRUN CAHYOABDI</v>
          </cell>
          <cell r="C108" t="str">
            <v>CABANG PRATAMA KLAS CIREBON</v>
          </cell>
          <cell r="D108" t="str">
            <v>CABANG PRATAMA KLAS CIREBON</v>
          </cell>
          <cell r="E108" t="str">
            <v>SURVEYOR</v>
          </cell>
          <cell r="F108" t="str">
            <v>choironcahyo@bki.co.id</v>
          </cell>
          <cell r="G108" t="str">
            <v>0857 1171 1841</v>
          </cell>
          <cell r="H108" t="str">
            <v>5C</v>
          </cell>
          <cell r="I108">
            <v>150000</v>
          </cell>
        </row>
        <row r="109">
          <cell r="B109" t="str">
            <v>ANDI FIRMANSYAH</v>
          </cell>
          <cell r="C109" t="str">
            <v>CABANG PRATAMA KLAS CIREBON</v>
          </cell>
          <cell r="D109" t="str">
            <v>CABANG PRATAMA KLAS CIREBON</v>
          </cell>
          <cell r="E109" t="str">
            <v xml:space="preserve">INSPEKTUR JUNIOR I  </v>
          </cell>
          <cell r="F109" t="str">
            <v>andi.firmansyah@bki.co.id</v>
          </cell>
          <cell r="G109" t="str">
            <v>081242899222</v>
          </cell>
          <cell r="H109" t="str">
            <v>3C</v>
          </cell>
          <cell r="I109">
            <v>0</v>
          </cell>
        </row>
        <row r="110">
          <cell r="B110" t="str">
            <v>IKHSAN ISMAIL</v>
          </cell>
          <cell r="C110" t="str">
            <v>CABANG PRATAMA KLAS CIREBON</v>
          </cell>
          <cell r="D110" t="str">
            <v>CABANG PRATAMA KLAS CIREBON</v>
          </cell>
          <cell r="E110" t="str">
            <v xml:space="preserve">INSPEKTUR JUNIOR II </v>
          </cell>
          <cell r="F110" t="str">
            <v>ikhsan@bki.co.id</v>
          </cell>
          <cell r="G110" t="str">
            <v>0812 2167 6711</v>
          </cell>
          <cell r="H110" t="str">
            <v>4C</v>
          </cell>
          <cell r="I110">
            <v>0</v>
          </cell>
        </row>
        <row r="111">
          <cell r="B111" t="str">
            <v>BERNADUS BAYUAJI WIRABUANA</v>
          </cell>
          <cell r="C111" t="str">
            <v>CABANG PRATAMA KLAS CIREBON</v>
          </cell>
          <cell r="D111" t="str">
            <v>CABANG PRATAMA KLAS CIREBON</v>
          </cell>
          <cell r="E111" t="str">
            <v xml:space="preserve">INSPEKTUR JUNIOR I  </v>
          </cell>
          <cell r="F111" t="str">
            <v>bayu.aw@bki.co.id</v>
          </cell>
          <cell r="G111" t="str">
            <v/>
          </cell>
          <cell r="H111" t="str">
            <v>3C</v>
          </cell>
          <cell r="I111">
            <v>0</v>
          </cell>
        </row>
        <row r="112">
          <cell r="B112" t="str">
            <v>LADY AGUSTINE AMALIYA</v>
          </cell>
          <cell r="C112" t="str">
            <v>CABANG PRATAMA KLAS CIREBON</v>
          </cell>
          <cell r="D112" t="str">
            <v>CABANG PRATAMA KLAS CIREBON</v>
          </cell>
          <cell r="E112" t="str">
            <v>STAF DUKUNGAN BISNIS</v>
          </cell>
          <cell r="F112" t="str">
            <v>lady.agustine@bki.co.id</v>
          </cell>
          <cell r="G112" t="str">
            <v>08128392434</v>
          </cell>
          <cell r="H112" t="str">
            <v>-</v>
          </cell>
          <cell r="I112">
            <v>0</v>
          </cell>
        </row>
        <row r="113">
          <cell r="B113" t="str">
            <v>IZZUDIN AKBAR AL FARABI</v>
          </cell>
          <cell r="C113" t="str">
            <v>CABANG PRATAMA KLAS CIREBON</v>
          </cell>
          <cell r="D113" t="str">
            <v>CABANG PRATAMA KLAS CIREBON</v>
          </cell>
          <cell r="E113" t="str">
            <v xml:space="preserve">Staf Administrasi Operasional </v>
          </cell>
          <cell r="F113" t="str">
            <v>izzuddin.akbar@bki.co.id</v>
          </cell>
          <cell r="G113" t="str">
            <v>085156015638</v>
          </cell>
          <cell r="H113" t="str">
            <v>-</v>
          </cell>
          <cell r="I113">
            <v>0</v>
          </cell>
        </row>
        <row r="114">
          <cell r="B114" t="str">
            <v>RISKY HARI PRASETYO</v>
          </cell>
          <cell r="C114" t="str">
            <v>CABANG PRATAMA KLAS JAMBI</v>
          </cell>
          <cell r="D114" t="str">
            <v>CABANG PRATAMA KLAS JAMBI</v>
          </cell>
          <cell r="E114" t="str">
            <v>SURVEYOR</v>
          </cell>
          <cell r="F114" t="str">
            <v>risky.hp@bki.co.id</v>
          </cell>
          <cell r="G114" t="str">
            <v>0821 1133 3366</v>
          </cell>
          <cell r="H114" t="str">
            <v>5C</v>
          </cell>
          <cell r="I114">
            <v>0</v>
          </cell>
        </row>
        <row r="115">
          <cell r="B115" t="str">
            <v>YULIAN ARPIANTO</v>
          </cell>
          <cell r="C115" t="str">
            <v>CABANG PRATAMA KLAS JAMBI</v>
          </cell>
          <cell r="D115" t="str">
            <v>CABANG PRATAMA KLAS JAMBI</v>
          </cell>
          <cell r="E115" t="str">
            <v>KEPALA CABANG PRATAMA KLAS JAMBI</v>
          </cell>
          <cell r="F115" t="str">
            <v>yulian@bki.co.id</v>
          </cell>
          <cell r="G115" t="str">
            <v>085217089917</v>
          </cell>
          <cell r="H115" t="str">
            <v>6C</v>
          </cell>
          <cell r="I115">
            <v>350000</v>
          </cell>
        </row>
        <row r="116">
          <cell r="B116" t="str">
            <v>SULTAN ABBAS DANGKENG</v>
          </cell>
          <cell r="C116" t="str">
            <v>CABANG PRATAMA KLAS JAMBI</v>
          </cell>
          <cell r="D116" t="str">
            <v>CABANG PRATAMA KLAS JAMBI</v>
          </cell>
          <cell r="E116" t="str">
            <v xml:space="preserve">INSPEKTUR JUNIOR II </v>
          </cell>
          <cell r="F116" t="str">
            <v>sultan@bki.co.id</v>
          </cell>
          <cell r="G116" t="str">
            <v>082392184081</v>
          </cell>
          <cell r="H116" t="str">
            <v>4C</v>
          </cell>
          <cell r="I116">
            <v>0</v>
          </cell>
        </row>
        <row r="117">
          <cell r="B117" t="str">
            <v>EDI ZULKARNAIN</v>
          </cell>
          <cell r="C117" t="str">
            <v>CABANG PRATAMA KLAS JAMBI</v>
          </cell>
          <cell r="D117" t="str">
            <v>CABANG PRATAMA KLAS JAMBI</v>
          </cell>
          <cell r="E117" t="str">
            <v xml:space="preserve">INSPEKTUR JUNIOR II </v>
          </cell>
          <cell r="F117" t="str">
            <v>edi.zulkarnain@bki.co.id</v>
          </cell>
          <cell r="G117" t="str">
            <v>081277778775</v>
          </cell>
          <cell r="H117" t="str">
            <v>4C</v>
          </cell>
          <cell r="I117">
            <v>0</v>
          </cell>
        </row>
        <row r="118">
          <cell r="B118" t="str">
            <v>M IBNU ROHIM</v>
          </cell>
          <cell r="C118" t="str">
            <v>CABANG PRATAMA KLAS JAMBI</v>
          </cell>
          <cell r="D118" t="str">
            <v>CABANG PRATAMA KLAS JAMBI</v>
          </cell>
          <cell r="E118" t="str">
            <v>STAF OPERASIONAL &amp; UMUM</v>
          </cell>
          <cell r="F118" t="str">
            <v>Ibnu.Rohim@bki.co.id</v>
          </cell>
          <cell r="G118">
            <v>0</v>
          </cell>
          <cell r="H118" t="str">
            <v>-</v>
          </cell>
          <cell r="I118">
            <v>0</v>
          </cell>
        </row>
        <row r="119">
          <cell r="B119" t="str">
            <v>NORA OKTAVIA</v>
          </cell>
          <cell r="C119" t="str">
            <v>CABANG PRATAMA KLAS JAMBI</v>
          </cell>
          <cell r="D119" t="str">
            <v>CABANG PRATAMA KLAS JAMBI</v>
          </cell>
          <cell r="E119" t="str">
            <v>STAF DUKUNGAN BISNIS</v>
          </cell>
          <cell r="F119" t="str">
            <v>nora.oktavia@bki.co.id</v>
          </cell>
          <cell r="G119" t="str">
            <v>082280641426</v>
          </cell>
          <cell r="H119" t="str">
            <v>-</v>
          </cell>
          <cell r="I119">
            <v>0</v>
          </cell>
        </row>
        <row r="120">
          <cell r="B120" t="str">
            <v>SULASMAN</v>
          </cell>
          <cell r="C120" t="str">
            <v>CABANG PRATAMA KLAS MAKASSAR</v>
          </cell>
          <cell r="D120" t="str">
            <v>CABANG PRATAMA KLAS MAKASSAR</v>
          </cell>
          <cell r="E120" t="str">
            <v>KEPALA CABANG PRATAMA KLAS MAKASSAR</v>
          </cell>
          <cell r="F120" t="str">
            <v>sulasman@bki.co.id</v>
          </cell>
          <cell r="G120" t="str">
            <v>081231800046</v>
          </cell>
          <cell r="H120" t="str">
            <v>6C</v>
          </cell>
          <cell r="I120">
            <v>250000</v>
          </cell>
        </row>
        <row r="121">
          <cell r="B121" t="str">
            <v>MUH. ASQAR</v>
          </cell>
          <cell r="C121" t="str">
            <v>CABANG PRATAMA KLAS MAKASSAR</v>
          </cell>
          <cell r="D121" t="str">
            <v>CABANG PRATAMA KLAS MAKASSAR</v>
          </cell>
          <cell r="E121" t="str">
            <v>SURVEYOR SENIOR I A</v>
          </cell>
          <cell r="F121" t="str">
            <v>asqar@bki.co.id</v>
          </cell>
          <cell r="G121" t="str">
            <v>085255663280</v>
          </cell>
          <cell r="H121" t="str">
            <v>6A</v>
          </cell>
          <cell r="I121">
            <v>150000</v>
          </cell>
        </row>
        <row r="122">
          <cell r="B122" t="str">
            <v>ARDIANSYAH DAHLAN</v>
          </cell>
          <cell r="C122" t="str">
            <v>CABANG PRATAMA KLAS MAKASSAR</v>
          </cell>
          <cell r="D122" t="str">
            <v>CABANG PRATAMA KLAS MAKASSAR</v>
          </cell>
          <cell r="E122" t="str">
            <v>SURVEYOR CABANG PRATAMA KLAS MAKASSAR YANG DITEMPATKAN DI KENDARI</v>
          </cell>
          <cell r="F122" t="str">
            <v>ardiansyah.dahlan@bki.co.id</v>
          </cell>
          <cell r="G122" t="str">
            <v>0812 8546 8390</v>
          </cell>
          <cell r="H122" t="str">
            <v>5C</v>
          </cell>
          <cell r="I122">
            <v>0</v>
          </cell>
        </row>
        <row r="123">
          <cell r="B123" t="str">
            <v>HAMSAH</v>
          </cell>
          <cell r="C123" t="str">
            <v>CABANG PRATAMA KLAS MAKASSAR</v>
          </cell>
          <cell r="D123" t="str">
            <v>CABANG PRATAMA KLAS MAKASSAR</v>
          </cell>
          <cell r="E123" t="str">
            <v>ADMINISTRATOR</v>
          </cell>
          <cell r="F123" t="str">
            <v>hamsah@bki.co.id</v>
          </cell>
          <cell r="G123" t="str">
            <v>081342735471</v>
          </cell>
          <cell r="H123" t="str">
            <v>2A</v>
          </cell>
          <cell r="I123">
            <v>0</v>
          </cell>
        </row>
        <row r="124">
          <cell r="B124" t="str">
            <v>ILHAM SYAHRIR</v>
          </cell>
          <cell r="C124" t="str">
            <v>CABANG PRATAMA KLAS MAKASSAR</v>
          </cell>
          <cell r="D124" t="str">
            <v>CABANG PRATAMA KLAS MAKASSAR</v>
          </cell>
          <cell r="E124" t="str">
            <v>SURVEYOR SENIOR I A CABANG PRATAMA KLAS MAKASSAR YANG DITEMPATKAN DI KENDARI</v>
          </cell>
          <cell r="F124" t="str">
            <v>ilham@bki.co.id</v>
          </cell>
          <cell r="G124" t="str">
            <v>081316678567</v>
          </cell>
          <cell r="H124" t="str">
            <v>6A</v>
          </cell>
          <cell r="I124">
            <v>250000</v>
          </cell>
        </row>
        <row r="125">
          <cell r="B125" t="str">
            <v>MUHIBBUDDIN</v>
          </cell>
          <cell r="C125" t="str">
            <v>CABANG PRATAMA KLAS MAKASSAR</v>
          </cell>
          <cell r="D125" t="str">
            <v>CABANG PRATAMA KLAS MAKASSAR</v>
          </cell>
          <cell r="E125" t="str">
            <v>SURVEYOR SENIOR I A</v>
          </cell>
          <cell r="F125" t="str">
            <v>muhibuddin@bki.co.id</v>
          </cell>
          <cell r="G125" t="str">
            <v>081364908269</v>
          </cell>
          <cell r="H125" t="str">
            <v>6A</v>
          </cell>
          <cell r="I125">
            <v>0</v>
          </cell>
        </row>
        <row r="126">
          <cell r="B126" t="str">
            <v>MIFTAH FARIDY</v>
          </cell>
          <cell r="C126" t="str">
            <v>CABANG PRATAMA KLAS MAKASSAR</v>
          </cell>
          <cell r="D126" t="str">
            <v>CABANG PRATAMA KLAS MAKASSAR</v>
          </cell>
          <cell r="E126" t="str">
            <v>SURVEYOR SENIOR I B</v>
          </cell>
          <cell r="F126" t="str">
            <v>miftah.faridy@bki.co.id</v>
          </cell>
          <cell r="G126" t="str">
            <v>081268191001</v>
          </cell>
          <cell r="H126" t="str">
            <v>6B</v>
          </cell>
          <cell r="I126">
            <v>250000</v>
          </cell>
        </row>
        <row r="127">
          <cell r="B127" t="str">
            <v>ANGGRAENI DWI RIYANTI</v>
          </cell>
          <cell r="C127" t="str">
            <v>CABANG PRATAMA KLAS MAKASSAR</v>
          </cell>
          <cell r="D127" t="str">
            <v>CABANG PRATAMA KLAS MAKASSAR</v>
          </cell>
          <cell r="E127" t="str">
            <v>STAF DUKUNGAN BISNIS</v>
          </cell>
          <cell r="F127" t="str">
            <v>anggraeni.dr@bki.co.id</v>
          </cell>
          <cell r="G127">
            <v>0</v>
          </cell>
          <cell r="H127" t="str">
            <v>-</v>
          </cell>
          <cell r="I127">
            <v>0</v>
          </cell>
        </row>
        <row r="128">
          <cell r="B128" t="str">
            <v>FAJAR NUGRAHA</v>
          </cell>
          <cell r="C128" t="str">
            <v>CABANG PRATAMA KLAS SEMARANG</v>
          </cell>
          <cell r="D128" t="str">
            <v>CABANG PRATAMA KLAS SEMARANG</v>
          </cell>
          <cell r="E128" t="str">
            <v>SURVEYOR</v>
          </cell>
          <cell r="F128" t="str">
            <v>fajar.np@bki.co.id</v>
          </cell>
          <cell r="G128" t="str">
            <v>0812 8849 8757</v>
          </cell>
          <cell r="H128" t="str">
            <v>5C</v>
          </cell>
          <cell r="I128">
            <v>250000</v>
          </cell>
        </row>
        <row r="129">
          <cell r="B129" t="str">
            <v>ANDREW CRISTIANT PRAMUSINTA</v>
          </cell>
          <cell r="C129" t="str">
            <v>CABANG PRATAMA KLAS SEMARANG</v>
          </cell>
          <cell r="D129" t="str">
            <v>CABANG PRATAMA KLAS SEMARANG</v>
          </cell>
          <cell r="E129" t="str">
            <v>SURVEYOR</v>
          </cell>
          <cell r="F129" t="str">
            <v>andrew.cp@bki.co.id</v>
          </cell>
          <cell r="G129" t="str">
            <v>0812 3057 6267</v>
          </cell>
          <cell r="H129" t="str">
            <v>5C</v>
          </cell>
          <cell r="I129">
            <v>0</v>
          </cell>
        </row>
        <row r="130">
          <cell r="B130" t="str">
            <v>RINTO YANUAR WIJANARKO</v>
          </cell>
          <cell r="C130" t="str">
            <v>CABANG PRATAMA KLAS SEMARANG</v>
          </cell>
          <cell r="D130" t="str">
            <v>CABANG PRATAMA KLAS SEMARANG</v>
          </cell>
          <cell r="E130" t="str">
            <v>ADMINISTRATOR</v>
          </cell>
          <cell r="F130" t="str">
            <v>rinto@bki.co.id</v>
          </cell>
          <cell r="G130" t="str">
            <v>081225382328</v>
          </cell>
          <cell r="H130" t="str">
            <v>2A</v>
          </cell>
          <cell r="I130">
            <v>0</v>
          </cell>
        </row>
        <row r="131">
          <cell r="B131" t="str">
            <v>SUPRIYANTO</v>
          </cell>
          <cell r="C131" t="str">
            <v>CABANG PRATAMA KLAS SEMARANG</v>
          </cell>
          <cell r="D131" t="str">
            <v>CABANG PRATAMA KLAS SEMARANG</v>
          </cell>
          <cell r="E131" t="str">
            <v>SUPIR</v>
          </cell>
          <cell r="F131" t="str">
            <v>supriyanto@bki.co.id</v>
          </cell>
          <cell r="G131" t="str">
            <v>081326147808</v>
          </cell>
          <cell r="H131" t="str">
            <v>1A</v>
          </cell>
          <cell r="I131">
            <v>0</v>
          </cell>
        </row>
        <row r="132">
          <cell r="B132" t="str">
            <v>REVIOLITA</v>
          </cell>
          <cell r="C132" t="str">
            <v>CABANG PRATAMA KLAS SEMARANG</v>
          </cell>
          <cell r="D132" t="str">
            <v>CABANG PRATAMA KLAS SEMARANG</v>
          </cell>
          <cell r="E132" t="str">
            <v>ADMINISTRATOR SENIOR</v>
          </cell>
          <cell r="F132" t="str">
            <v>reviolita@bki.co.id</v>
          </cell>
          <cell r="G132" t="str">
            <v>081225279466</v>
          </cell>
          <cell r="H132" t="str">
            <v>3B</v>
          </cell>
          <cell r="I132">
            <v>0</v>
          </cell>
        </row>
        <row r="133">
          <cell r="B133" t="str">
            <v>HANIEF RIDHWAN ALMASSAWA</v>
          </cell>
          <cell r="C133" t="str">
            <v>CABANG PRATAMA KLAS SEMARANG</v>
          </cell>
          <cell r="D133" t="str">
            <v>CABANG PRATAMA KLAS SEMARANG</v>
          </cell>
          <cell r="E133" t="str">
            <v>KEPALA CABANG PRATAMA KLAS SEMARANG</v>
          </cell>
          <cell r="F133" t="str">
            <v>hanief@bki.co.id</v>
          </cell>
          <cell r="G133" t="str">
            <v>0811 1776 525</v>
          </cell>
          <cell r="H133" t="str">
            <v>6C</v>
          </cell>
          <cell r="I133">
            <v>0</v>
          </cell>
        </row>
        <row r="134">
          <cell r="B134" t="str">
            <v>BAMBANG SAPRIANTO</v>
          </cell>
          <cell r="C134" t="str">
            <v>CABANG PRATAMA KLAS SORONG</v>
          </cell>
          <cell r="D134" t="str">
            <v>CABANG PRATAMA KLAS SORONG</v>
          </cell>
          <cell r="E134" t="str">
            <v>OPERATOR PENGUJIAN</v>
          </cell>
          <cell r="F134" t="str">
            <v>bambang.saprianto@bki.co.id</v>
          </cell>
          <cell r="G134" t="str">
            <v>081347704414</v>
          </cell>
          <cell r="H134" t="str">
            <v>3A</v>
          </cell>
          <cell r="I134">
            <v>0</v>
          </cell>
        </row>
        <row r="135">
          <cell r="B135" t="str">
            <v>MUHAMMAD YUSUF</v>
          </cell>
          <cell r="C135" t="str">
            <v>CABANG PRATAMA KLAS SORONG</v>
          </cell>
          <cell r="D135" t="str">
            <v>CABANG PRATAMA KLAS SORONG</v>
          </cell>
          <cell r="E135" t="str">
            <v>ADMINISTRATOR SENIOR</v>
          </cell>
          <cell r="F135" t="str">
            <v>muhammad.yusuf@bki.co.id</v>
          </cell>
          <cell r="G135" t="str">
            <v>0811483454</v>
          </cell>
          <cell r="H135" t="str">
            <v>3B</v>
          </cell>
          <cell r="I135">
            <v>0</v>
          </cell>
        </row>
        <row r="136">
          <cell r="B136" t="str">
            <v>MUHAMMAD HATTA</v>
          </cell>
          <cell r="C136" t="str">
            <v>CABANG PRATAMA KLAS SORONG</v>
          </cell>
          <cell r="D136" t="str">
            <v>CABANG PRATAMA KLAS SORONG</v>
          </cell>
          <cell r="E136" t="str">
            <v>SUPIR</v>
          </cell>
          <cell r="F136" t="str">
            <v>hatta@bki.co.id</v>
          </cell>
          <cell r="G136">
            <v>0</v>
          </cell>
          <cell r="H136" t="str">
            <v>1A</v>
          </cell>
          <cell r="I136">
            <v>0</v>
          </cell>
        </row>
        <row r="137">
          <cell r="B137" t="str">
            <v>MUHAMMAD ICHSAN</v>
          </cell>
          <cell r="C137" t="str">
            <v>CABANG PRATAMA KLAS SORONG</v>
          </cell>
          <cell r="D137" t="str">
            <v>CABANG PRATAMA KLAS SORONG</v>
          </cell>
          <cell r="E137" t="str">
            <v>KEPALA CABANG PRATAMA KLAS SORONG</v>
          </cell>
          <cell r="F137" t="str">
            <v>ichsan@bki.co.id</v>
          </cell>
          <cell r="G137" t="str">
            <v>0813 5530 3501</v>
          </cell>
          <cell r="H137" t="str">
            <v>6C</v>
          </cell>
          <cell r="I137">
            <v>0</v>
          </cell>
        </row>
        <row r="138">
          <cell r="B138" t="str">
            <v>IWAN KARUNIA SIRINGORINGO</v>
          </cell>
          <cell r="C138" t="str">
            <v>CABANG PRATAMA KLAS SORONG</v>
          </cell>
          <cell r="D138" t="str">
            <v>CABANG PRATAMA KLAS SORONG</v>
          </cell>
          <cell r="E138" t="str">
            <v>SURVEYOR SENIOR I A</v>
          </cell>
          <cell r="F138" t="str">
            <v>ringgo@bki.co.id</v>
          </cell>
          <cell r="G138" t="str">
            <v>081332301979</v>
          </cell>
          <cell r="H138" t="str">
            <v>6A</v>
          </cell>
          <cell r="I138">
            <v>0</v>
          </cell>
        </row>
        <row r="139">
          <cell r="B139" t="str">
            <v>MUH. MUSYFINUL AKRAAM</v>
          </cell>
          <cell r="C139" t="str">
            <v>CABANG PRATAMA KLAS SORONG</v>
          </cell>
          <cell r="D139" t="str">
            <v>CABANG PRATAMA KLAS SORONG</v>
          </cell>
          <cell r="E139" t="str">
            <v xml:space="preserve">INSPEKTUR JUNIOR I  </v>
          </cell>
          <cell r="F139" t="str">
            <v>musyfinul.akraam@bki.co.id</v>
          </cell>
          <cell r="G139" t="str">
            <v/>
          </cell>
          <cell r="H139" t="str">
            <v>3C</v>
          </cell>
          <cell r="I139">
            <v>0</v>
          </cell>
        </row>
        <row r="140">
          <cell r="B140" t="str">
            <v>PAOJI PATRIA</v>
          </cell>
          <cell r="C140" t="str">
            <v>CABANG PRATAMA KLAS SORONG</v>
          </cell>
          <cell r="D140" t="str">
            <v>CABANG PRATAMA KLAS SORONG</v>
          </cell>
          <cell r="E140" t="str">
            <v>SURVEYOR JUNIOR</v>
          </cell>
          <cell r="F140" t="str">
            <v>paoji.pa@bki.co.id</v>
          </cell>
          <cell r="H140" t="str">
            <v>4C</v>
          </cell>
          <cell r="I140">
            <v>0</v>
          </cell>
        </row>
        <row r="141">
          <cell r="B141" t="str">
            <v>ARINDA DWI KUSUMASTUTI</v>
          </cell>
          <cell r="C141" t="str">
            <v>CABANG PRATAMA KLAS SORONG</v>
          </cell>
          <cell r="D141" t="str">
            <v>CABANG PRATAMA KLAS SORONG</v>
          </cell>
          <cell r="E141" t="str">
            <v>STAF ADMINISTRASI</v>
          </cell>
          <cell r="F141" t="str">
            <v>arinda.dk@bki.co.id</v>
          </cell>
          <cell r="G141" t="str">
            <v>085743659984</v>
          </cell>
          <cell r="H141" t="str">
            <v>-</v>
          </cell>
          <cell r="I141">
            <v>0</v>
          </cell>
        </row>
        <row r="142">
          <cell r="B142" t="str">
            <v>ANANDA NURAFIFAH ANGRAENI</v>
          </cell>
          <cell r="C142" t="str">
            <v>CABANG PRATAMA KLAS SORONG</v>
          </cell>
          <cell r="D142" t="str">
            <v>CABANG PRATAMA KLAS SORONG</v>
          </cell>
          <cell r="E142" t="str">
            <v>STAF OPERASIONAL</v>
          </cell>
          <cell r="F142" t="str">
            <v>anandanurafifah@bki.co.id</v>
          </cell>
          <cell r="H142" t="str">
            <v>-</v>
          </cell>
          <cell r="I142">
            <v>0</v>
          </cell>
        </row>
        <row r="143">
          <cell r="B143" t="str">
            <v>RYAN HANGGA SRI WIJIHARTO</v>
          </cell>
          <cell r="C143" t="str">
            <v>CABANG PRATAMA KOMERSIL BANJARMASIN</v>
          </cell>
          <cell r="D143" t="str">
            <v>CABANG PRATAMA KOMERSIL BANJARMASIN</v>
          </cell>
          <cell r="E143" t="str">
            <v>KEPALA CABANG PRATAMA KOMERSIL BANJARMASIN</v>
          </cell>
          <cell r="F143" t="str">
            <v>ryan.hangga@bki.co.id</v>
          </cell>
          <cell r="G143" t="str">
            <v>082111044424</v>
          </cell>
          <cell r="H143" t="str">
            <v>6C</v>
          </cell>
          <cell r="I143">
            <v>100000</v>
          </cell>
        </row>
        <row r="144">
          <cell r="B144" t="str">
            <v>MUHAMMAD ADAM FUDHOLI</v>
          </cell>
          <cell r="C144" t="str">
            <v>CABANG PRATAMA KOMERSIL BANJARMASIN</v>
          </cell>
          <cell r="D144" t="str">
            <v>CABANG PRATAMA KOMERSIL BANJARMASIN</v>
          </cell>
          <cell r="E144" t="str">
            <v xml:space="preserve">INSPEKTUR JUNIOR I  </v>
          </cell>
          <cell r="F144" t="str">
            <v>muhammad.fudholi@bki.co.id</v>
          </cell>
          <cell r="G144" t="str">
            <v>0821 5771 9970</v>
          </cell>
          <cell r="H144" t="str">
            <v>3C</v>
          </cell>
          <cell r="I144">
            <v>0</v>
          </cell>
        </row>
        <row r="145">
          <cell r="B145" t="str">
            <v>MOH. QOMARUZ ZAMAN</v>
          </cell>
          <cell r="C145" t="str">
            <v>CABANG PRATAMA KOMERSIL BANJARMASIN</v>
          </cell>
          <cell r="D145" t="str">
            <v>CABANG PRATAMA KOMERSIL BANJARMASIN</v>
          </cell>
          <cell r="E145" t="str">
            <v>INSPEKTUR</v>
          </cell>
          <cell r="F145" t="str">
            <v>qomaruz@bki.co.id</v>
          </cell>
          <cell r="G145">
            <v>0</v>
          </cell>
          <cell r="H145" t="str">
            <v>5C</v>
          </cell>
          <cell r="I145">
            <v>0</v>
          </cell>
        </row>
        <row r="146">
          <cell r="B146" t="str">
            <v>BAMBANG TRI NUGROHO</v>
          </cell>
          <cell r="C146" t="str">
            <v>CABANG PRATAMA KOMERSIL BANJARMASIN</v>
          </cell>
          <cell r="D146" t="str">
            <v>CABANG PRATAMA KOMERSIL BANJARMASIN</v>
          </cell>
          <cell r="E146" t="str">
            <v xml:space="preserve">INSPEKTUR JUNIOR I  </v>
          </cell>
          <cell r="F146" t="str">
            <v>bambang.tn@bki.co.id</v>
          </cell>
          <cell r="G146" t="str">
            <v>082311541504</v>
          </cell>
          <cell r="H146" t="str">
            <v>3C</v>
          </cell>
          <cell r="I146">
            <v>150000</v>
          </cell>
        </row>
        <row r="147">
          <cell r="B147" t="str">
            <v>NANCY OCTAVIA L. TORUAN</v>
          </cell>
          <cell r="C147" t="str">
            <v>CABANG PRATAMA KOMERSIL BANJARMASIN</v>
          </cell>
          <cell r="D147" t="str">
            <v>CABANG PRATAMA KOMERSIL BANJARMASIN</v>
          </cell>
          <cell r="E147" t="str">
            <v>ADMINISTRATOR</v>
          </cell>
          <cell r="F147" t="str">
            <v>nancy.toruan@bki.co.id</v>
          </cell>
          <cell r="G147" t="str">
            <v>081256860088</v>
          </cell>
          <cell r="H147" t="str">
            <v>2A</v>
          </cell>
          <cell r="I147">
            <v>0</v>
          </cell>
        </row>
        <row r="148">
          <cell r="B148" t="str">
            <v>BOYNI FITHALOKA</v>
          </cell>
          <cell r="C148" t="str">
            <v>CABANG PRATAMA KOMERSIL BANTEN</v>
          </cell>
          <cell r="D148" t="str">
            <v>CABANG PRATAMA KOMERSIL BANTEN</v>
          </cell>
          <cell r="E148" t="str">
            <v xml:space="preserve">INSPEKTUR JUNIOR I  </v>
          </cell>
          <cell r="F148" t="str">
            <v>Boyni.Fithaloka@bki.co.id</v>
          </cell>
          <cell r="G148" t="str">
            <v>081360088007</v>
          </cell>
          <cell r="H148" t="str">
            <v>3C</v>
          </cell>
          <cell r="I148">
            <v>0</v>
          </cell>
        </row>
        <row r="149">
          <cell r="B149" t="str">
            <v>MOH. NOOR KHOLIS</v>
          </cell>
          <cell r="C149" t="str">
            <v>CABANG PRATAMA KOMERSIL BANTEN</v>
          </cell>
          <cell r="D149" t="str">
            <v>CABANG PRATAMA KOMERSIL BANTEN</v>
          </cell>
          <cell r="E149" t="str">
            <v xml:space="preserve">INSPEKTUR JUNIOR II </v>
          </cell>
          <cell r="F149" t="str">
            <v>noor.kholis@bki.co.id</v>
          </cell>
          <cell r="G149" t="str">
            <v>085212431477</v>
          </cell>
          <cell r="H149" t="str">
            <v>4C</v>
          </cell>
          <cell r="I149">
            <v>150000</v>
          </cell>
        </row>
        <row r="150">
          <cell r="B150" t="str">
            <v>MUHAMMAD ARAFAH</v>
          </cell>
          <cell r="C150" t="str">
            <v>CABANG PRATAMA KOMERSIL BANTEN</v>
          </cell>
          <cell r="D150" t="str">
            <v>CABANG PRATAMA KOMERSIL BANTEN</v>
          </cell>
          <cell r="E150" t="str">
            <v>KEPALA CABANG PRATAMA KOMERSIL BANTEN</v>
          </cell>
          <cell r="F150" t="str">
            <v>arafah@bki.co.id</v>
          </cell>
          <cell r="G150" t="str">
            <v>08125434385</v>
          </cell>
          <cell r="H150" t="str">
            <v>6C</v>
          </cell>
          <cell r="I150">
            <v>450000</v>
          </cell>
        </row>
        <row r="151">
          <cell r="B151" t="str">
            <v>OKI DWI ANGGORO</v>
          </cell>
          <cell r="C151" t="str">
            <v>CABANG PRATAMA KOMERSIL BELAWAN</v>
          </cell>
          <cell r="D151" t="str">
            <v>CABANG PRATAMA KOMERSIL BELAWAN</v>
          </cell>
          <cell r="E151" t="str">
            <v xml:space="preserve">INSPEKTUR JUNIOR I  </v>
          </cell>
          <cell r="F151" t="str">
            <v>oki@bki.co.id</v>
          </cell>
          <cell r="G151" t="str">
            <v>0813 7442 6809</v>
          </cell>
          <cell r="H151" t="str">
            <v>3C</v>
          </cell>
          <cell r="I151">
            <v>150000</v>
          </cell>
        </row>
        <row r="152">
          <cell r="B152" t="str">
            <v>YUSRI TOMBANG</v>
          </cell>
          <cell r="C152" t="str">
            <v>CABANG PRATAMA KOMERSIL BELAWAN</v>
          </cell>
          <cell r="D152" t="str">
            <v>CABANG PRATAMA KOMERSIL BELAWAN</v>
          </cell>
          <cell r="E152" t="str">
            <v>KEPALA CABANG PRATAMA KOMERSIL BELAWAN</v>
          </cell>
          <cell r="F152" t="str">
            <v>yusri@bki.co.id</v>
          </cell>
          <cell r="G152" t="str">
            <v>081222953456</v>
          </cell>
          <cell r="H152" t="str">
            <v>6C</v>
          </cell>
          <cell r="I152">
            <v>0</v>
          </cell>
        </row>
        <row r="153">
          <cell r="B153" t="str">
            <v>HERI WIRAWAN</v>
          </cell>
          <cell r="C153" t="str">
            <v>CABANG PRATAMA KOMERSIL BELAWAN</v>
          </cell>
          <cell r="D153" t="str">
            <v>CABANG PRATAMA KOMERSIL BELAWAN</v>
          </cell>
          <cell r="E153" t="str">
            <v>INSPEKTUR</v>
          </cell>
          <cell r="F153" t="str">
            <v>heri.wirawan@bki.co.id</v>
          </cell>
          <cell r="G153" t="str">
            <v>081396563563</v>
          </cell>
          <cell r="H153" t="str">
            <v>5C</v>
          </cell>
          <cell r="I153">
            <v>150000</v>
          </cell>
        </row>
        <row r="154">
          <cell r="B154" t="str">
            <v>SYARI DODI AHMAD YANI</v>
          </cell>
          <cell r="C154" t="str">
            <v>CABANG PRATAMA KOMERSIL BELAWAN</v>
          </cell>
          <cell r="D154" t="str">
            <v>CABANG PRATAMA KOMERSIL BELAWAN</v>
          </cell>
          <cell r="E154" t="str">
            <v xml:space="preserve">INSPEKTUR JUNIOR I  </v>
          </cell>
          <cell r="F154" t="str">
            <v>syari@bki.co.id</v>
          </cell>
          <cell r="G154" t="str">
            <v>081263026504</v>
          </cell>
          <cell r="H154" t="str">
            <v>3C</v>
          </cell>
          <cell r="I154">
            <v>0</v>
          </cell>
        </row>
        <row r="155">
          <cell r="B155" t="str">
            <v>SUDARMA EDY SARAGIH JAWAK</v>
          </cell>
          <cell r="C155" t="str">
            <v>CABANG PRATAMA KOMERSIL BELAWAN</v>
          </cell>
          <cell r="D155" t="str">
            <v>CABANG PRATAMA KOMERSIL BELAWAN</v>
          </cell>
          <cell r="E155" t="str">
            <v>ADMINISTRATOR</v>
          </cell>
          <cell r="F155" t="str">
            <v>sudarma@bki.co.id</v>
          </cell>
          <cell r="G155" t="str">
            <v>081375959669</v>
          </cell>
          <cell r="H155" t="str">
            <v>2A</v>
          </cell>
          <cell r="I155">
            <v>150000</v>
          </cell>
        </row>
        <row r="156">
          <cell r="B156" t="str">
            <v>GANDA TUA LEONARDUS LUMBAN GAOL</v>
          </cell>
          <cell r="C156" t="str">
            <v>CABANG PRATAMA KOMERSIL BELAWAN</v>
          </cell>
          <cell r="D156" t="str">
            <v>CABANG PRATAMA KOMERSIL BELAWAN</v>
          </cell>
          <cell r="E156" t="str">
            <v xml:space="preserve">INSPEKTUR JUNIOR I  </v>
          </cell>
          <cell r="F156" t="str">
            <v>ganda.tua@bki.co.id</v>
          </cell>
          <cell r="G156">
            <v>0</v>
          </cell>
          <cell r="H156" t="str">
            <v>3C</v>
          </cell>
          <cell r="I156">
            <v>0</v>
          </cell>
        </row>
        <row r="157">
          <cell r="B157" t="str">
            <v>MUHAMMAD RIZKI</v>
          </cell>
          <cell r="C157" t="str">
            <v>CABANG PRATAMA KOMERSIL BELAWAN</v>
          </cell>
          <cell r="D157" t="str">
            <v>CABANG PRATAMA KOMERSIL BELAWAN</v>
          </cell>
          <cell r="E157" t="str">
            <v xml:space="preserve">INSPEKTUR JUNIOR I  </v>
          </cell>
          <cell r="F157" t="str">
            <v>muhrizky@bki.co.id</v>
          </cell>
          <cell r="G157" t="str">
            <v>081269080656</v>
          </cell>
          <cell r="H157" t="str">
            <v>3C</v>
          </cell>
          <cell r="I157">
            <v>0</v>
          </cell>
        </row>
        <row r="158">
          <cell r="B158" t="str">
            <v>MARZUKI DG LALLO</v>
          </cell>
          <cell r="C158" t="str">
            <v>CABANG PRATAMA KOMERSIL PALEMBANG</v>
          </cell>
          <cell r="D158" t="str">
            <v>CABANG PRATAMA KOMERSIL PALEMBANG</v>
          </cell>
          <cell r="E158" t="str">
            <v>KEPALA CABANG PRATAMA KOMERSIL PALEMBANG</v>
          </cell>
          <cell r="F158" t="str">
            <v>marzuki@bki.co.id</v>
          </cell>
          <cell r="G158" t="str">
            <v/>
          </cell>
          <cell r="H158" t="str">
            <v>6C</v>
          </cell>
          <cell r="I158">
            <v>0</v>
          </cell>
        </row>
        <row r="159">
          <cell r="B159" t="str">
            <v>WIDODO</v>
          </cell>
          <cell r="C159" t="str">
            <v>CABANG PRATAMA KOMERSIL PALEMBANG</v>
          </cell>
          <cell r="D159" t="str">
            <v>CABANG PRATAMA KOMERSIL PALEMBANG</v>
          </cell>
          <cell r="E159" t="str">
            <v>ADMINISTRATOR SENIOR</v>
          </cell>
          <cell r="F159" t="str">
            <v>widodo@bki.co.id</v>
          </cell>
          <cell r="G159" t="str">
            <v>085273767744</v>
          </cell>
          <cell r="H159" t="str">
            <v>3B</v>
          </cell>
          <cell r="I159">
            <v>150000</v>
          </cell>
        </row>
        <row r="160">
          <cell r="B160" t="str">
            <v>AKHMAD MULIADDIN</v>
          </cell>
          <cell r="C160" t="str">
            <v>CABANG PRATAMA KOMERSIL PALEMBANG</v>
          </cell>
          <cell r="D160" t="str">
            <v>CABANG PRATAMA KOMERSIL PALEMBANG</v>
          </cell>
          <cell r="E160" t="str">
            <v xml:space="preserve">INSPEKTUR JUNIOR II </v>
          </cell>
          <cell r="F160" t="str">
            <v>muliaddin@bki.co.id</v>
          </cell>
          <cell r="G160" t="str">
            <v>0852 5565 0080</v>
          </cell>
          <cell r="H160" t="str">
            <v>4C</v>
          </cell>
          <cell r="I160">
            <v>150000</v>
          </cell>
        </row>
        <row r="161">
          <cell r="B161" t="str">
            <v>ZAINAL</v>
          </cell>
          <cell r="C161" t="str">
            <v>CABANG PRATAMA KOMERSIL PALEMBANG</v>
          </cell>
          <cell r="D161" t="str">
            <v>CABANG PRATAMA KOMERSIL PALEMBANG</v>
          </cell>
          <cell r="E161" t="str">
            <v xml:space="preserve">INSPEKTUR JUNIOR II </v>
          </cell>
          <cell r="F161" t="str">
            <v>zainalstnaval@bki.co.id</v>
          </cell>
          <cell r="G161" t="str">
            <v>085267790318</v>
          </cell>
          <cell r="H161" t="str">
            <v>4C</v>
          </cell>
          <cell r="I161">
            <v>150000</v>
          </cell>
        </row>
        <row r="162">
          <cell r="B162" t="str">
            <v>KHAERUL AKBAR</v>
          </cell>
          <cell r="C162" t="str">
            <v>CABANG PRATAMA KOMERSIL PALEMBANG</v>
          </cell>
          <cell r="D162" t="str">
            <v>CABANG PRATAMA KOMERSIL PALEMBANG</v>
          </cell>
          <cell r="E162" t="str">
            <v xml:space="preserve">INSPEKTUR JUNIOR II </v>
          </cell>
          <cell r="F162" t="str">
            <v>khaerul.akbar@bki.co.id</v>
          </cell>
          <cell r="G162" t="str">
            <v>082377773303</v>
          </cell>
          <cell r="H162" t="str">
            <v>4C</v>
          </cell>
          <cell r="I162">
            <v>150000</v>
          </cell>
        </row>
        <row r="163">
          <cell r="B163" t="str">
            <v>MOKHAMMAD YUFIAN RIDHANANDA</v>
          </cell>
          <cell r="C163" t="str">
            <v>CABANG PRATAMA KOMERSIL PONTIANAK</v>
          </cell>
          <cell r="D163" t="str">
            <v>CABANG PRATAMA KOMERSIL PONTIANAK</v>
          </cell>
          <cell r="E163" t="str">
            <v>KEPALA CABANG PRATAMA KOMERSIL PONTIANAK</v>
          </cell>
          <cell r="F163" t="str">
            <v>yufian.ridhananda@bki.co.id</v>
          </cell>
          <cell r="G163" t="str">
            <v>082213816511</v>
          </cell>
          <cell r="H163" t="str">
            <v>6C</v>
          </cell>
          <cell r="I163">
            <v>100000</v>
          </cell>
        </row>
        <row r="164">
          <cell r="B164" t="str">
            <v>M. AZWAR</v>
          </cell>
          <cell r="C164" t="str">
            <v>CABANG PRATAMA KOMERSIL PONTIANAK</v>
          </cell>
          <cell r="D164" t="str">
            <v>CABANG PRATAMA KOMERSIL PONTIANAK</v>
          </cell>
          <cell r="E164" t="str">
            <v xml:space="preserve">INSPEKTUR JUNIOR I  </v>
          </cell>
          <cell r="F164" t="str">
            <v>m.azwar@bki.co.id</v>
          </cell>
          <cell r="G164" t="str">
            <v>082187076261</v>
          </cell>
          <cell r="H164" t="str">
            <v>3C</v>
          </cell>
          <cell r="I164">
            <v>0</v>
          </cell>
        </row>
        <row r="165">
          <cell r="B165" t="str">
            <v>AZIB MUZANI</v>
          </cell>
          <cell r="C165" t="str">
            <v>CABANG PRATAMA KOMERSIL PONTIANAK</v>
          </cell>
          <cell r="D165" t="str">
            <v>CABANG PRATAMA KOMERSIL PONTIANAK</v>
          </cell>
          <cell r="E165" t="str">
            <v xml:space="preserve">INSPEKTUR JUNIOR I  </v>
          </cell>
          <cell r="F165" t="str">
            <v>azib.muzani@bki.co.id</v>
          </cell>
          <cell r="G165" t="str">
            <v/>
          </cell>
          <cell r="H165" t="str">
            <v>3C</v>
          </cell>
          <cell r="I165">
            <v>0</v>
          </cell>
        </row>
        <row r="166">
          <cell r="B166" t="str">
            <v>RIAN ARISTIANTO</v>
          </cell>
          <cell r="C166" t="str">
            <v>CABANG PRATAMA KOMERSIL PONTIANAK</v>
          </cell>
          <cell r="D166" t="str">
            <v>CABANG PRATAMA KOMERSIL PONTIANAK</v>
          </cell>
          <cell r="E166" t="str">
            <v xml:space="preserve">INSPEKTUR JUNIOR I  </v>
          </cell>
          <cell r="F166" t="str">
            <v>rian.aristianto@bki.co.id</v>
          </cell>
          <cell r="G166" t="str">
            <v/>
          </cell>
          <cell r="H166" t="str">
            <v>3C</v>
          </cell>
          <cell r="I166">
            <v>0</v>
          </cell>
        </row>
        <row r="167">
          <cell r="B167" t="str">
            <v>MUHAMMAD RIZKY PURNAMA</v>
          </cell>
          <cell r="C167" t="str">
            <v>CABANG PRATAMA KOMERSIL SEMARANG</v>
          </cell>
          <cell r="D167" t="str">
            <v>CABANG PRATAMA KOMERSIL SEMARANG</v>
          </cell>
          <cell r="E167" t="str">
            <v>KEPALA CABANG PRATAMA KOMERSIL SEMARANG</v>
          </cell>
          <cell r="F167" t="str">
            <v>rizky@bki.co.id</v>
          </cell>
          <cell r="G167" t="str">
            <v>081257919990</v>
          </cell>
          <cell r="H167" t="str">
            <v>6C</v>
          </cell>
          <cell r="I167">
            <v>350000</v>
          </cell>
        </row>
        <row r="168">
          <cell r="B168" t="str">
            <v>MIFTAKHUL QOMAR</v>
          </cell>
          <cell r="C168" t="str">
            <v>CABANG PRATAMA KOMERSIL SEMARANG</v>
          </cell>
          <cell r="D168" t="str">
            <v>CABANG PRATAMA KOMERSIL SEMARANG</v>
          </cell>
          <cell r="E168" t="str">
            <v xml:space="preserve">INSPEKTUR JUNIOR II </v>
          </cell>
          <cell r="F168" t="str">
            <v>miftakhul.qomar@bki.co.id</v>
          </cell>
          <cell r="G168" t="str">
            <v>0812 2719 1292</v>
          </cell>
          <cell r="H168" t="str">
            <v>4C</v>
          </cell>
          <cell r="I168">
            <v>0</v>
          </cell>
        </row>
        <row r="169">
          <cell r="B169" t="str">
            <v>ISKANDAR PURNOMO SIDI</v>
          </cell>
          <cell r="C169" t="str">
            <v>CABANG PRATAMA KOMERSIL SEMARANG</v>
          </cell>
          <cell r="D169" t="str">
            <v>CABANG PRATAMA KOMERSIL SEMARANG</v>
          </cell>
          <cell r="E169" t="str">
            <v xml:space="preserve">INSPEKTUR JUNIOR II </v>
          </cell>
          <cell r="F169" t="str">
            <v>iskandar.ps@bki.co.id</v>
          </cell>
          <cell r="G169" t="str">
            <v>08122530598</v>
          </cell>
          <cell r="H169" t="str">
            <v>4C</v>
          </cell>
          <cell r="I169">
            <v>0</v>
          </cell>
        </row>
        <row r="170">
          <cell r="B170" t="str">
            <v>TEGUH TRIWIYADI</v>
          </cell>
          <cell r="C170" t="str">
            <v>CABANG PRATAMA KOMERSIL SEMARANG</v>
          </cell>
          <cell r="D170" t="str">
            <v>CABANG PRATAMA KOMERSIL SEMARANG</v>
          </cell>
          <cell r="E170" t="str">
            <v xml:space="preserve">INSPEKTUR JUNIOR II </v>
          </cell>
          <cell r="F170" t="str">
            <v>teguh.triwiyadi@bki.co.id</v>
          </cell>
          <cell r="G170" t="str">
            <v>0813 3031 4354</v>
          </cell>
          <cell r="H170" t="str">
            <v>4C</v>
          </cell>
          <cell r="I170">
            <v>0</v>
          </cell>
        </row>
        <row r="171">
          <cell r="B171" t="str">
            <v>SUCIBTA JABELSIR P</v>
          </cell>
          <cell r="C171" t="str">
            <v>CABANG PRATAMA KOMERSIL SEMARANG</v>
          </cell>
          <cell r="D171" t="str">
            <v>CABANG PRATAMA KOMERSIL SEMARANG</v>
          </cell>
          <cell r="E171" t="str">
            <v>ADMINISTRATOR SENIOR</v>
          </cell>
          <cell r="F171" t="str">
            <v>sucibta@bki.co.id</v>
          </cell>
          <cell r="G171" t="str">
            <v>081215555258</v>
          </cell>
          <cell r="H171" t="str">
            <v>3B</v>
          </cell>
          <cell r="I171">
            <v>0</v>
          </cell>
        </row>
        <row r="172">
          <cell r="B172" t="str">
            <v>TRI KUNCORO RIYADI</v>
          </cell>
          <cell r="C172" t="str">
            <v>CABANG PRATAMA KOMERSIL SEMARANG</v>
          </cell>
          <cell r="D172" t="str">
            <v>CABANG PRATAMA KOMERSIL SEMARANG</v>
          </cell>
          <cell r="E172" t="str">
            <v xml:space="preserve">INSPEKTUR JUNIOR I  </v>
          </cell>
          <cell r="F172" t="str">
            <v>tri.kr@bki.co.id</v>
          </cell>
          <cell r="G172" t="str">
            <v>085225472975</v>
          </cell>
          <cell r="H172" t="str">
            <v>3C</v>
          </cell>
          <cell r="I172">
            <v>0</v>
          </cell>
        </row>
        <row r="173">
          <cell r="B173" t="str">
            <v>YOHANIS</v>
          </cell>
          <cell r="C173" t="str">
            <v>CABANG PRATAMA KOMERSIL SEMARANG</v>
          </cell>
          <cell r="D173" t="str">
            <v>CABANG PRATAMA KOMERSIL SEMARANG</v>
          </cell>
          <cell r="E173" t="str">
            <v>ADMINISTRATOR</v>
          </cell>
          <cell r="F173" t="str">
            <v>yohanis@bki.co.id</v>
          </cell>
          <cell r="G173" t="str">
            <v>0812 2546 1127</v>
          </cell>
          <cell r="H173" t="str">
            <v>2A</v>
          </cell>
          <cell r="I173">
            <v>0</v>
          </cell>
        </row>
        <row r="174">
          <cell r="B174" t="str">
            <v>MISBAHUDIN AIDY</v>
          </cell>
          <cell r="C174" t="str">
            <v>CABANG SINGAPURA</v>
          </cell>
          <cell r="D174" t="str">
            <v>CABANG SINGAPURA</v>
          </cell>
          <cell r="E174" t="str">
            <v>KEPALA CABANG UTAMA KLAS SINGAPORE</v>
          </cell>
          <cell r="F174" t="str">
            <v>aidy@bki.co.id</v>
          </cell>
          <cell r="G174" t="str">
            <v>081234111079</v>
          </cell>
          <cell r="H174" t="str">
            <v>8A</v>
          </cell>
        </row>
        <row r="175">
          <cell r="B175" t="str">
            <v>SUWANDY</v>
          </cell>
          <cell r="C175" t="str">
            <v>CABANG SINGAPURA</v>
          </cell>
          <cell r="D175" t="str">
            <v>CABANG SINGAPURA</v>
          </cell>
          <cell r="E175" t="str">
            <v>SURVEYOR SENIOR I B</v>
          </cell>
          <cell r="F175" t="str">
            <v>suwandy@bki.co.id</v>
          </cell>
          <cell r="G175" t="str">
            <v>085299969336</v>
          </cell>
          <cell r="H175" t="str">
            <v>6B</v>
          </cell>
        </row>
        <row r="176">
          <cell r="B176" t="str">
            <v>MOHAMED FAZLI BIN MAHABUT</v>
          </cell>
          <cell r="C176" t="str">
            <v>CABANG SINGAPURA</v>
          </cell>
          <cell r="D176" t="str">
            <v>CABANG SINGAPURA</v>
          </cell>
          <cell r="E176" t="str">
            <v>STAF DUKUNGAN BISNIS</v>
          </cell>
          <cell r="F176" t="str">
            <v>fazli@bki.co.id</v>
          </cell>
          <cell r="G176" t="str">
            <v/>
          </cell>
          <cell r="H176" t="str">
            <v>-</v>
          </cell>
        </row>
        <row r="177">
          <cell r="B177" t="str">
            <v>RITA TIO</v>
          </cell>
          <cell r="C177" t="str">
            <v>CABANG SINGAPURA</v>
          </cell>
          <cell r="D177" t="str">
            <v>CABANG SINGAPURA</v>
          </cell>
          <cell r="E177" t="str">
            <v>STAF DUKUNGAN BISNIS</v>
          </cell>
          <cell r="F177" t="str">
            <v>rita.tio@bki.co.id</v>
          </cell>
          <cell r="G177" t="str">
            <v/>
          </cell>
          <cell r="H177" t="str">
            <v>-</v>
          </cell>
        </row>
        <row r="178">
          <cell r="B178" t="str">
            <v>SUWATI BUN</v>
          </cell>
          <cell r="C178" t="str">
            <v>CABANG SINGAPURA</v>
          </cell>
          <cell r="D178" t="str">
            <v>CABANG SINGAPURA</v>
          </cell>
          <cell r="E178" t="str">
            <v>STAF DUKUNGAN BISNIS</v>
          </cell>
          <cell r="F178" t="str">
            <v>suwati.bun@bki.co.id</v>
          </cell>
          <cell r="G178" t="str">
            <v/>
          </cell>
          <cell r="H178" t="str">
            <v>-</v>
          </cell>
        </row>
        <row r="179">
          <cell r="B179" t="str">
            <v>SYED MOHAMED ISMAIL</v>
          </cell>
          <cell r="C179" t="str">
            <v>CABANG SINGAPURA</v>
          </cell>
          <cell r="D179" t="str">
            <v>CABANG SINGAPURA</v>
          </cell>
          <cell r="E179" t="str">
            <v>STAF DUKUNGAN BISNIS</v>
          </cell>
          <cell r="F179" t="str">
            <v>ismail.alattas@bki.co.id</v>
          </cell>
          <cell r="G179" t="str">
            <v/>
          </cell>
          <cell r="H179" t="str">
            <v>-</v>
          </cell>
        </row>
        <row r="180">
          <cell r="B180" t="str">
            <v>PURWOKO WIDHYANTO WIRAWAN</v>
          </cell>
          <cell r="C180" t="str">
            <v>CABANG UTAMA KLAS BANTEN</v>
          </cell>
          <cell r="D180" t="str">
            <v>CABANG UTAMA KLAS BANTEN</v>
          </cell>
          <cell r="E180" t="str">
            <v>SURVEYOR</v>
          </cell>
          <cell r="F180" t="str">
            <v>purwoko.ww@bki.co.id</v>
          </cell>
          <cell r="G180" t="str">
            <v>0822 4477 3545</v>
          </cell>
          <cell r="H180" t="str">
            <v>5C</v>
          </cell>
          <cell r="I180">
            <v>250000</v>
          </cell>
        </row>
        <row r="181">
          <cell r="B181" t="str">
            <v>DJOKO WAHYUDI</v>
          </cell>
          <cell r="C181" t="str">
            <v>CABANG UTAMA KLAS BANTEN</v>
          </cell>
          <cell r="D181" t="str">
            <v>CABANG UTAMA KLAS BANTEN</v>
          </cell>
          <cell r="E181" t="str">
            <v>SENIOR MANAGER OPERASI KLAS BANTEN</v>
          </cell>
          <cell r="F181" t="str">
            <v>djoko@bki.co.id</v>
          </cell>
          <cell r="G181" t="str">
            <v>081210124499</v>
          </cell>
          <cell r="H181" t="str">
            <v>7B</v>
          </cell>
          <cell r="I181">
            <v>0</v>
          </cell>
        </row>
        <row r="182">
          <cell r="B182" t="str">
            <v>WISNU WAHYU WARDHINI</v>
          </cell>
          <cell r="C182" t="str">
            <v>CABANG UTAMA KLAS BANTEN</v>
          </cell>
          <cell r="D182" t="str">
            <v>CABANG UTAMA KLAS BANTEN</v>
          </cell>
          <cell r="E182" t="str">
            <v>ADMINISTRATOR SENIOR</v>
          </cell>
          <cell r="F182" t="str">
            <v>wisnu.wahyu@bki.co.id</v>
          </cell>
          <cell r="G182" t="str">
            <v>0857 1050 8878</v>
          </cell>
          <cell r="H182" t="str">
            <v>3B</v>
          </cell>
          <cell r="I182">
            <v>0</v>
          </cell>
        </row>
        <row r="183">
          <cell r="B183" t="str">
            <v>SUWANDI</v>
          </cell>
          <cell r="C183" t="str">
            <v>CABANG UTAMA KLAS BANTEN</v>
          </cell>
          <cell r="D183" t="str">
            <v>CABANG UTAMA KLAS BANTEN</v>
          </cell>
          <cell r="E183" t="str">
            <v>KEPALA CABANG UTAMA KLAS BANTEN</v>
          </cell>
          <cell r="F183" t="str">
            <v>suwandi@bki.co.id</v>
          </cell>
          <cell r="G183" t="str">
            <v>085265782998</v>
          </cell>
          <cell r="H183" t="str">
            <v>8A</v>
          </cell>
          <cell r="I183">
            <v>0</v>
          </cell>
        </row>
        <row r="184">
          <cell r="B184" t="str">
            <v>INDRA KUSUMA MUHAMMAD</v>
          </cell>
          <cell r="C184" t="str">
            <v>CABANG UTAMA KLAS BANTEN</v>
          </cell>
          <cell r="D184" t="str">
            <v>CABANG UTAMA KLAS BANTEN</v>
          </cell>
          <cell r="E184" t="str">
            <v>ADMINISTRATOR SENIOR</v>
          </cell>
          <cell r="F184" t="str">
            <v>indra.km@bki.co.id</v>
          </cell>
          <cell r="G184">
            <v>0</v>
          </cell>
          <cell r="H184" t="str">
            <v>3B</v>
          </cell>
          <cell r="I184">
            <v>150000</v>
          </cell>
        </row>
        <row r="185">
          <cell r="B185" t="str">
            <v>BAWA PRASETYO</v>
          </cell>
          <cell r="C185" t="str">
            <v>CABANG UTAMA KLAS BANTEN</v>
          </cell>
          <cell r="D185" t="str">
            <v>CABANG UTAMA KLAS BANTEN</v>
          </cell>
          <cell r="E185" t="str">
            <v>SURVEYOR SENIOR I A</v>
          </cell>
          <cell r="F185" t="str">
            <v>bawa@bki.co.id</v>
          </cell>
          <cell r="G185" t="str">
            <v>08565260600</v>
          </cell>
          <cell r="H185" t="str">
            <v>6A</v>
          </cell>
          <cell r="I185">
            <v>0</v>
          </cell>
        </row>
        <row r="186">
          <cell r="B186" t="str">
            <v>FERRY FADLI</v>
          </cell>
          <cell r="C186" t="str">
            <v>CABANG UTAMA KLAS BANTEN</v>
          </cell>
          <cell r="D186" t="str">
            <v>CABANG UTAMA KLAS BANTEN</v>
          </cell>
          <cell r="E186" t="str">
            <v>SURVEYOR SENIOR I A</v>
          </cell>
          <cell r="F186" t="str">
            <v>ferry.fadli@bki.co.id</v>
          </cell>
          <cell r="G186" t="str">
            <v>081230565676</v>
          </cell>
          <cell r="H186" t="str">
            <v>6A</v>
          </cell>
          <cell r="I186">
            <v>0</v>
          </cell>
        </row>
        <row r="187">
          <cell r="B187" t="str">
            <v>EDWIN OLAF JULIAN DAMANIK</v>
          </cell>
          <cell r="C187" t="str">
            <v>CABANG UTAMA KLAS BANTEN</v>
          </cell>
          <cell r="D187" t="str">
            <v>CABANG UTAMA KLAS BANTEN</v>
          </cell>
          <cell r="E187" t="str">
            <v>SURVEYOR SENIOR I A</v>
          </cell>
          <cell r="F187" t="str">
            <v>edwin@bki.co.id</v>
          </cell>
          <cell r="G187" t="str">
            <v>081297241192</v>
          </cell>
          <cell r="H187" t="str">
            <v>6A</v>
          </cell>
          <cell r="I187">
            <v>250000</v>
          </cell>
        </row>
        <row r="188">
          <cell r="B188" t="str">
            <v>EKO HARYANTO</v>
          </cell>
          <cell r="C188" t="str">
            <v>CABANG UTAMA KLAS BANTEN</v>
          </cell>
          <cell r="D188" t="str">
            <v>CABANG UTAMA KLAS BANTEN</v>
          </cell>
          <cell r="E188" t="str">
            <v>SURVEYOR</v>
          </cell>
          <cell r="F188" t="str">
            <v>eko.haryanto@bki.co.id</v>
          </cell>
          <cell r="G188" t="str">
            <v>081294773100</v>
          </cell>
          <cell r="H188" t="str">
            <v>5C</v>
          </cell>
          <cell r="I188">
            <v>0</v>
          </cell>
        </row>
        <row r="189">
          <cell r="B189" t="str">
            <v>IBNUL QAYYIM</v>
          </cell>
          <cell r="C189" t="str">
            <v>CABANG UTAMA KLAS BANTEN</v>
          </cell>
          <cell r="D189" t="str">
            <v>CABANG UTAMA KLAS BANTEN</v>
          </cell>
          <cell r="E189" t="str">
            <v xml:space="preserve">SURVEYOR JUNIOR </v>
          </cell>
          <cell r="F189" t="str">
            <v>ibnul.qayyim@bki.co.id</v>
          </cell>
          <cell r="G189" t="str">
            <v>081284684713</v>
          </cell>
          <cell r="H189" t="str">
            <v>4C</v>
          </cell>
          <cell r="I189">
            <v>100000</v>
          </cell>
        </row>
        <row r="190">
          <cell r="B190" t="str">
            <v>FIRMANSYAH PUTRA AGUNG MA'ARIF</v>
          </cell>
          <cell r="C190" t="str">
            <v>DIVISI SURVEY</v>
          </cell>
          <cell r="D190" t="str">
            <v>CABANG UTAMA KLAS BANTEN</v>
          </cell>
          <cell r="E190" t="str">
            <v>SURVEYOR SENIOR I A MEMPERTAHANKAN KLAS DIVISI SURVEY YANG DITEMPATKAN DI CABANG UTAMA KLAS BANTEN</v>
          </cell>
          <cell r="F190" t="str">
            <v>firmansyah.pam@bki.co.id</v>
          </cell>
          <cell r="G190" t="str">
            <v>081333255500</v>
          </cell>
          <cell r="H190" t="str">
            <v>6A</v>
          </cell>
          <cell r="I190">
            <v>0</v>
          </cell>
        </row>
        <row r="191">
          <cell r="B191" t="str">
            <v>ARIFUDDIN</v>
          </cell>
          <cell r="C191" t="str">
            <v>DIVISI SURVEY</v>
          </cell>
          <cell r="D191" t="str">
            <v>CABANG UTAMA KLAS BANTEN</v>
          </cell>
          <cell r="E191" t="str">
            <v>SURVEYOR SENIOR I A MEMPERTAHANKAN KLAS DIVISI SURVEY YANG DITEMPATKAN DI CABANG UTAMA KLAS BANTEN</v>
          </cell>
          <cell r="F191" t="str">
            <v>arifuddin@bki.co.id</v>
          </cell>
          <cell r="G191" t="str">
            <v>081387200046</v>
          </cell>
          <cell r="H191" t="str">
            <v>6A</v>
          </cell>
          <cell r="I191">
            <v>150000</v>
          </cell>
        </row>
        <row r="192">
          <cell r="B192" t="str">
            <v>CATUR ACHIRYANTO ANWARUDIN</v>
          </cell>
          <cell r="C192" t="str">
            <v>DIVISI OPERASI BISNIS KLASIFIKASI</v>
          </cell>
          <cell r="D192" t="str">
            <v>CABANG UTAMA KLAS BANTEN</v>
          </cell>
          <cell r="E192" t="str">
            <v>SURVEYOR SENIOR II B KENDALI OPERASI YANG DITEMPATKAN DI CABANG UTAMA KLAS BANTEN</v>
          </cell>
          <cell r="F192" t="str">
            <v>catur@bki.co.id</v>
          </cell>
          <cell r="G192" t="str">
            <v>081213119685</v>
          </cell>
          <cell r="H192" t="str">
            <v>7B</v>
          </cell>
          <cell r="I192">
            <v>0</v>
          </cell>
        </row>
        <row r="193">
          <cell r="B193" t="str">
            <v>SUHAR CHANDRA KURNIAWAN</v>
          </cell>
          <cell r="C193" t="str">
            <v>DIVISI OPERASI BISNIS KLASIFIKASI</v>
          </cell>
          <cell r="D193" t="str">
            <v>CABANG UTAMA KLAS BANTEN</v>
          </cell>
          <cell r="E193" t="str">
            <v>SURVEYOR SENIOR I A KENDALI OPERASI YANG DITEMPATKAN DI CABANG UTAMA KLAS BANTEN</v>
          </cell>
          <cell r="F193" t="str">
            <v>suhar@bki.co.id</v>
          </cell>
          <cell r="G193" t="str">
            <v>0852 4703 8553</v>
          </cell>
          <cell r="H193" t="str">
            <v>6A</v>
          </cell>
          <cell r="I193">
            <v>0</v>
          </cell>
        </row>
        <row r="194">
          <cell r="B194" t="str">
            <v>IBNU NAFIS</v>
          </cell>
          <cell r="C194" t="str">
            <v>CABANG UTAMA KLAS BATAM</v>
          </cell>
          <cell r="D194" t="str">
            <v>CABANG UTAMA KLAS BATAM</v>
          </cell>
          <cell r="E194" t="str">
            <v>SURVEYOR</v>
          </cell>
          <cell r="F194" t="str">
            <v>ibnu.nafis@bki.co.id</v>
          </cell>
          <cell r="G194" t="str">
            <v>081234710117</v>
          </cell>
          <cell r="H194" t="str">
            <v>5C</v>
          </cell>
          <cell r="I194">
            <v>0</v>
          </cell>
        </row>
        <row r="195">
          <cell r="B195" t="str">
            <v>MUHAMMAD IDAM YON ARIF</v>
          </cell>
          <cell r="C195" t="str">
            <v>CABANG UTAMA KLAS BATAM</v>
          </cell>
          <cell r="D195" t="str">
            <v>CABANG UTAMA KLAS BATAM</v>
          </cell>
          <cell r="E195" t="str">
            <v>SURVEYOR</v>
          </cell>
          <cell r="F195" t="str">
            <v>idam@bki.co.id</v>
          </cell>
          <cell r="G195" t="str">
            <v>081218537861</v>
          </cell>
          <cell r="H195" t="str">
            <v>5C</v>
          </cell>
          <cell r="I195">
            <v>0</v>
          </cell>
        </row>
        <row r="196">
          <cell r="B196" t="str">
            <v>MOH. BASARUDIN ASFAHANI</v>
          </cell>
          <cell r="C196" t="str">
            <v>CABANG UTAMA KLAS BATAM</v>
          </cell>
          <cell r="D196" t="str">
            <v>CABANG UTAMA KLAS BATAM</v>
          </cell>
          <cell r="E196" t="str">
            <v>SENIOR MANAGER PEMASARAN DAN DUKUNGAN BISNIS KLAS BATAM</v>
          </cell>
          <cell r="F196" t="str">
            <v>basarudin@bki.co.id</v>
          </cell>
          <cell r="G196" t="str">
            <v>081335588269</v>
          </cell>
          <cell r="H196" t="str">
            <v>7A</v>
          </cell>
          <cell r="I196">
            <v>0</v>
          </cell>
        </row>
        <row r="197">
          <cell r="B197" t="str">
            <v>ANTONG GOLI</v>
          </cell>
          <cell r="C197" t="str">
            <v>DIVISI OPERASI BISNIS KLASIFIKASI</v>
          </cell>
          <cell r="D197" t="str">
            <v>CABANG UTAMA KLAS BATAM</v>
          </cell>
          <cell r="E197" t="str">
            <v>SURVEYOR SENIOR I A KENDALI OPERASI YANG DITEMPATKAN DI CABANG UTAMA KLAS BATAM</v>
          </cell>
          <cell r="F197" t="str">
            <v>goli@bki.co.id</v>
          </cell>
          <cell r="G197" t="str">
            <v>081347758402</v>
          </cell>
          <cell r="H197" t="str">
            <v>6A</v>
          </cell>
          <cell r="I197">
            <v>0</v>
          </cell>
        </row>
        <row r="198">
          <cell r="B198" t="str">
            <v>YHOGA SUSILA WARDANU</v>
          </cell>
          <cell r="C198" t="str">
            <v>DIVISI SURVEY</v>
          </cell>
          <cell r="D198" t="str">
            <v>CABANG UTAMA KLAS BATAM</v>
          </cell>
          <cell r="E198" t="str">
            <v>SURVEYOR MEMPERTAHANKAN KLAS DIVISI SURVEY YANG DITEMPATKAN DI CABANG UTAMA KLAS BATAM</v>
          </cell>
          <cell r="F198" t="str">
            <v>yswardanu@bki.co.id</v>
          </cell>
          <cell r="G198" t="str">
            <v>0812 3567 8613</v>
          </cell>
          <cell r="H198" t="str">
            <v>5C</v>
          </cell>
          <cell r="I198">
            <v>0</v>
          </cell>
        </row>
        <row r="199">
          <cell r="B199" t="str">
            <v>LINDA MURNI</v>
          </cell>
          <cell r="C199" t="str">
            <v>CABANG UTAMA KLAS BATAM</v>
          </cell>
          <cell r="D199" t="str">
            <v>CABANG UTAMA KLAS BATAM</v>
          </cell>
          <cell r="E199" t="str">
            <v>OFFICER ADMINISTRASI UMUM</v>
          </cell>
          <cell r="F199" t="str">
            <v>linda.murni@bki.co.id</v>
          </cell>
          <cell r="G199" t="str">
            <v>0812 7773 858</v>
          </cell>
          <cell r="H199" t="str">
            <v>4A</v>
          </cell>
          <cell r="I199">
            <v>0</v>
          </cell>
        </row>
        <row r="200">
          <cell r="B200" t="str">
            <v>BOGI AKHMAD SUENDAR</v>
          </cell>
          <cell r="C200" t="str">
            <v>DIVISI OPERASI BISNIS KLASIFIKASI</v>
          </cell>
          <cell r="D200" t="str">
            <v>CABANG UTAMA KLAS BATAM</v>
          </cell>
          <cell r="E200" t="str">
            <v>SURVEYOR SENIOR II B OPERASI KLASIFIKASI YANG DITEMPATKAN DI CABANG UTAMA KLAS BATAM</v>
          </cell>
          <cell r="F200" t="str">
            <v>bogi@bki.co.id</v>
          </cell>
          <cell r="G200" t="str">
            <v>081359333739</v>
          </cell>
          <cell r="H200" t="str">
            <v>7B</v>
          </cell>
          <cell r="I200">
            <v>0</v>
          </cell>
        </row>
        <row r="201">
          <cell r="B201" t="str">
            <v>LUKMAN HAKIM</v>
          </cell>
          <cell r="C201" t="str">
            <v>CABANG UTAMA KLAS BATAM</v>
          </cell>
          <cell r="D201" t="str">
            <v>CABANG UTAMA KLAS BATAM</v>
          </cell>
          <cell r="E201" t="str">
            <v>SENIOR MANAGER OPERASI KLAS BATAM</v>
          </cell>
          <cell r="F201" t="str">
            <v>lukman@bki.co.id</v>
          </cell>
          <cell r="G201" t="str">
            <v>081361008817</v>
          </cell>
          <cell r="H201" t="str">
            <v>7B</v>
          </cell>
          <cell r="I201">
            <v>0</v>
          </cell>
        </row>
        <row r="202">
          <cell r="B202" t="str">
            <v>I GUSTI NGURAH WIRA PRATAMA</v>
          </cell>
          <cell r="C202" t="str">
            <v>CABANG UTAMA KLAS BATAM</v>
          </cell>
          <cell r="D202" t="str">
            <v>CABANG UTAMA KLAS BATAM</v>
          </cell>
          <cell r="E202" t="str">
            <v>SURVEYOR SENIOR I A</v>
          </cell>
          <cell r="F202" t="str">
            <v>wirapratama@bki.co.id</v>
          </cell>
          <cell r="G202" t="str">
            <v>081553800220</v>
          </cell>
          <cell r="H202" t="str">
            <v>6A</v>
          </cell>
          <cell r="I202">
            <v>0</v>
          </cell>
        </row>
        <row r="203">
          <cell r="B203" t="str">
            <v>WULANDARI</v>
          </cell>
          <cell r="C203" t="str">
            <v>CABANG UTAMA KLAS BATAM</v>
          </cell>
          <cell r="D203" t="str">
            <v>CABANG UTAMA KLAS BATAM</v>
          </cell>
          <cell r="E203" t="str">
            <v>ADMINISTRATOR SENIOR</v>
          </cell>
          <cell r="F203" t="str">
            <v>wulandari@bki.co.id</v>
          </cell>
          <cell r="G203" t="str">
            <v>0811 696 769</v>
          </cell>
          <cell r="H203" t="str">
            <v>3B</v>
          </cell>
          <cell r="I203">
            <v>0</v>
          </cell>
        </row>
        <row r="204">
          <cell r="B204" t="str">
            <v>MONAF MASSE</v>
          </cell>
          <cell r="C204" t="str">
            <v>CABANG UTAMA KLAS BATAM</v>
          </cell>
          <cell r="D204" t="str">
            <v>CABANG UTAMA KLAS BATAM</v>
          </cell>
          <cell r="E204" t="str">
            <v>MANAGER ADMINISTRASI UMUM &amp; KEUANGAN KLAS BATAM</v>
          </cell>
          <cell r="F204" t="str">
            <v>monaf@bki.co.id</v>
          </cell>
          <cell r="G204" t="str">
            <v>081342624321</v>
          </cell>
          <cell r="H204" t="str">
            <v>5C</v>
          </cell>
          <cell r="I204">
            <v>0</v>
          </cell>
        </row>
        <row r="205">
          <cell r="B205" t="str">
            <v>ARDIANSYAH</v>
          </cell>
          <cell r="C205" t="str">
            <v>CABANG UTAMA KLAS BATAM</v>
          </cell>
          <cell r="D205" t="str">
            <v>CABANG UTAMA KLAS BATAM</v>
          </cell>
          <cell r="E205" t="str">
            <v>ADMINISTRATOR</v>
          </cell>
          <cell r="F205" t="str">
            <v>ardi.ardiansyah@bki.co.id</v>
          </cell>
          <cell r="G205" t="str">
            <v>08117787774</v>
          </cell>
          <cell r="H205" t="str">
            <v>2A</v>
          </cell>
          <cell r="I205">
            <v>0</v>
          </cell>
        </row>
        <row r="206">
          <cell r="B206" t="str">
            <v>ISHAK NOERPARA</v>
          </cell>
          <cell r="C206" t="str">
            <v>CABANG UTAMA KLAS BATAM</v>
          </cell>
          <cell r="D206" t="str">
            <v>CABANG UTAMA KLAS BATAM</v>
          </cell>
          <cell r="E206" t="str">
            <v>ADMINISTRATOR SENIOR</v>
          </cell>
          <cell r="F206" t="str">
            <v>ishak.noerpara@bki.co.id</v>
          </cell>
          <cell r="G206" t="str">
            <v>0812 1999 2727</v>
          </cell>
          <cell r="H206" t="str">
            <v>3B</v>
          </cell>
          <cell r="I206">
            <v>0</v>
          </cell>
        </row>
        <row r="207">
          <cell r="B207" t="str">
            <v>HENI LESTARI</v>
          </cell>
          <cell r="C207" t="str">
            <v>CABANG UTAMA KLAS BATAM</v>
          </cell>
          <cell r="D207" t="str">
            <v>CABANG UTAMA KLAS BATAM</v>
          </cell>
          <cell r="E207" t="str">
            <v>OFFICER ADMINISTRASI KEUANGAN</v>
          </cell>
          <cell r="F207" t="str">
            <v>heni.lestari@bki.co.id</v>
          </cell>
          <cell r="G207" t="str">
            <v>083191299089</v>
          </cell>
          <cell r="H207" t="str">
            <v>4B</v>
          </cell>
          <cell r="I207">
            <v>0</v>
          </cell>
        </row>
        <row r="208">
          <cell r="B208" t="str">
            <v>DWI MARYANTI PITER PATALO</v>
          </cell>
          <cell r="C208" t="str">
            <v>CABANG UTAMA KLAS BATAM</v>
          </cell>
          <cell r="D208" t="str">
            <v>CABANG UTAMA KLAS BATAM</v>
          </cell>
          <cell r="E208" t="str">
            <v>ADMINISTRATOR</v>
          </cell>
          <cell r="F208" t="str">
            <v>dwi.maryanti@bki.co.id</v>
          </cell>
          <cell r="G208" t="str">
            <v>08117775995</v>
          </cell>
          <cell r="H208" t="str">
            <v>2A</v>
          </cell>
          <cell r="I208">
            <v>0</v>
          </cell>
        </row>
        <row r="209">
          <cell r="B209" t="str">
            <v>MUSTAQIM</v>
          </cell>
          <cell r="C209" t="str">
            <v>CABANG UTAMA KLAS BATAM</v>
          </cell>
          <cell r="D209" t="str">
            <v>CABANG UTAMA KLAS BATAM</v>
          </cell>
          <cell r="E209" t="str">
            <v>ADMINISTRATOR</v>
          </cell>
          <cell r="F209" t="str">
            <v>mustaqim@bki.co.id</v>
          </cell>
          <cell r="G209" t="str">
            <v/>
          </cell>
          <cell r="H209" t="str">
            <v>2A</v>
          </cell>
          <cell r="I209">
            <v>0</v>
          </cell>
        </row>
        <row r="210">
          <cell r="B210" t="str">
            <v>BUDI ISROFI</v>
          </cell>
          <cell r="C210" t="str">
            <v>CABANG UTAMA KLAS BATAM</v>
          </cell>
          <cell r="D210" t="str">
            <v>CABANG UTAMA KLAS BATAM</v>
          </cell>
          <cell r="E210" t="str">
            <v>KEPALA CABANG UTAMA KLAS BATAM</v>
          </cell>
          <cell r="F210" t="str">
            <v>bisrofi@bki.co.id</v>
          </cell>
          <cell r="G210" t="str">
            <v>08127030110</v>
          </cell>
          <cell r="H210" t="str">
            <v>8A</v>
          </cell>
          <cell r="I210">
            <v>350000</v>
          </cell>
        </row>
        <row r="211">
          <cell r="B211" t="str">
            <v>M. BAGUS PRIMA SETIAWAN</v>
          </cell>
          <cell r="C211" t="str">
            <v>CABANG UTAMA KLAS BATAM</v>
          </cell>
          <cell r="D211" t="str">
            <v>CABANG UTAMA KLAS BATAM</v>
          </cell>
          <cell r="E211" t="str">
            <v>SURVEYOR</v>
          </cell>
          <cell r="F211" t="str">
            <v>bagus.setiawan@bki.co.id</v>
          </cell>
          <cell r="G211" t="str">
            <v>085731460824</v>
          </cell>
          <cell r="H211" t="str">
            <v>5C</v>
          </cell>
          <cell r="I211">
            <v>0</v>
          </cell>
        </row>
        <row r="212">
          <cell r="B212" t="str">
            <v>JIADAN</v>
          </cell>
          <cell r="C212" t="str">
            <v>CABANG UTAMA KLAS BATAM</v>
          </cell>
          <cell r="D212" t="str">
            <v>CABANG UTAMA KLAS BATAM</v>
          </cell>
          <cell r="E212" t="str">
            <v>SURVEYOR</v>
          </cell>
          <cell r="F212" t="str">
            <v>jiadan@bki.co.id</v>
          </cell>
          <cell r="G212" t="str">
            <v>085211555909</v>
          </cell>
          <cell r="H212" t="str">
            <v>5C</v>
          </cell>
          <cell r="I212">
            <v>250000</v>
          </cell>
        </row>
        <row r="213">
          <cell r="B213" t="str">
            <v>YULID ANJI FIRMANSYAH</v>
          </cell>
          <cell r="C213" t="str">
            <v>CABANG UTAMA KLAS BATAM</v>
          </cell>
          <cell r="D213" t="str">
            <v>CABANG UTAMA KLAS BATAM</v>
          </cell>
          <cell r="E213" t="str">
            <v>SURVEYOR</v>
          </cell>
          <cell r="F213" t="str">
            <v>yulid@bki.co.id</v>
          </cell>
          <cell r="G213" t="str">
            <v>0898 2404 883</v>
          </cell>
          <cell r="H213" t="str">
            <v>5C</v>
          </cell>
          <cell r="I213">
            <v>250000</v>
          </cell>
        </row>
        <row r="214">
          <cell r="B214" t="str">
            <v>TRIYONO SEMUEL</v>
          </cell>
          <cell r="C214" t="str">
            <v>DIVISI OPERASI BISNIS KLASIFIKASI</v>
          </cell>
          <cell r="D214" t="str">
            <v>CABANG UTAMA KLAS BATAM</v>
          </cell>
          <cell r="E214" t="str">
            <v>SURVEYOR SENIOR II B KENDALI OPERASI YANG DITEMPATKAN DI CABANG UTAMA KLAS BATAM</v>
          </cell>
          <cell r="F214" t="str">
            <v>triyono@bki.co.id</v>
          </cell>
          <cell r="G214" t="str">
            <v>085374286118</v>
          </cell>
          <cell r="H214" t="str">
            <v>7B</v>
          </cell>
          <cell r="I214">
            <v>0</v>
          </cell>
        </row>
        <row r="215">
          <cell r="B215" t="str">
            <v>MUHAMMAD RIZQI ADITYA VEVA</v>
          </cell>
          <cell r="C215" t="str">
            <v>CABANG UTAMA KLAS BATAM</v>
          </cell>
          <cell r="D215" t="str">
            <v>CABANG UTAMA KLAS BATAM</v>
          </cell>
          <cell r="E215" t="str">
            <v xml:space="preserve">SURVEYOR JUNIOR </v>
          </cell>
          <cell r="F215" t="str">
            <v>muhammad.rizqi@bki.co.id</v>
          </cell>
          <cell r="G215" t="str">
            <v>081217430221</v>
          </cell>
          <cell r="H215" t="str">
            <v>4C</v>
          </cell>
          <cell r="I215">
            <v>0</v>
          </cell>
        </row>
        <row r="216">
          <cell r="B216" t="str">
            <v>HARAL LINTANG MEDIKA</v>
          </cell>
          <cell r="C216" t="str">
            <v>CABANG UTAMA KLAS BATAM</v>
          </cell>
          <cell r="D216" t="str">
            <v>CABANG UTAMA KLAS BATAM</v>
          </cell>
          <cell r="E216" t="str">
            <v xml:space="preserve">SURVEYOR JUNIOR  </v>
          </cell>
          <cell r="F216" t="str">
            <v>haral.lintang@bki.co.id</v>
          </cell>
          <cell r="G216" t="str">
            <v>082132153960</v>
          </cell>
          <cell r="H216" t="str">
            <v>4C</v>
          </cell>
          <cell r="I216">
            <v>0</v>
          </cell>
        </row>
        <row r="217">
          <cell r="B217" t="str">
            <v>FARIZ RACHMAN DANIYAL</v>
          </cell>
          <cell r="C217" t="str">
            <v>CABANG UTAMA KLAS BATAM</v>
          </cell>
          <cell r="D217" t="str">
            <v>CABANG UTAMA KLAS BATAM</v>
          </cell>
          <cell r="E217" t="str">
            <v xml:space="preserve">SURVEYOR JUNIOR </v>
          </cell>
          <cell r="F217" t="str">
            <v>fariz.rahman@bki.co.id</v>
          </cell>
          <cell r="G217" t="str">
            <v>089517013988</v>
          </cell>
          <cell r="H217" t="str">
            <v>4C</v>
          </cell>
          <cell r="I217">
            <v>0</v>
          </cell>
        </row>
        <row r="218">
          <cell r="B218" t="str">
            <v>ADE KHANTARI</v>
          </cell>
          <cell r="C218" t="str">
            <v>CABANG UTAMA KLAS BATAM</v>
          </cell>
          <cell r="D218" t="str">
            <v>CABANG UTAMA KLAS BATAM</v>
          </cell>
          <cell r="E218" t="str">
            <v xml:space="preserve">SURVEYOR JUNIOR  </v>
          </cell>
          <cell r="F218" t="str">
            <v>ade.khantari@bki.co.id</v>
          </cell>
          <cell r="G218" t="str">
            <v>082341391174</v>
          </cell>
          <cell r="H218" t="str">
            <v>4C</v>
          </cell>
          <cell r="I218">
            <v>0</v>
          </cell>
        </row>
        <row r="219">
          <cell r="B219" t="str">
            <v>MUHAMMAD SADDAM HUSSEIN</v>
          </cell>
          <cell r="C219" t="str">
            <v>CABANG UTAMA KLAS BATAM</v>
          </cell>
          <cell r="D219" t="str">
            <v>CABANG UTAMA KLAS BATAM</v>
          </cell>
          <cell r="E219" t="str">
            <v xml:space="preserve">SURVEYOR JUNIOR  </v>
          </cell>
          <cell r="F219" t="str">
            <v>muhammad.saddam@bki.co.id</v>
          </cell>
          <cell r="G219" t="str">
            <v>081292123252</v>
          </cell>
          <cell r="H219" t="str">
            <v>4C</v>
          </cell>
          <cell r="I219">
            <v>0</v>
          </cell>
        </row>
        <row r="220">
          <cell r="B220" t="str">
            <v>FAUZI</v>
          </cell>
          <cell r="C220" t="str">
            <v>CABANG UTAMA KLAS BATAM</v>
          </cell>
          <cell r="D220" t="str">
            <v>CABANG UTAMA KLAS BATAM</v>
          </cell>
          <cell r="E220" t="str">
            <v>SURVEYOR</v>
          </cell>
          <cell r="F220" t="str">
            <v>fauzi@bki.co.id</v>
          </cell>
          <cell r="G220" t="str">
            <v>0813 4700 5260</v>
          </cell>
          <cell r="H220" t="str">
            <v>5C</v>
          </cell>
          <cell r="I220">
            <v>250000</v>
          </cell>
        </row>
        <row r="221">
          <cell r="B221" t="str">
            <v>FATHONI KUSUMAHADI</v>
          </cell>
          <cell r="C221" t="str">
            <v>DIVISI PERSETUJUAN RANCANG BANGUN NUSANTARA</v>
          </cell>
          <cell r="D221" t="str">
            <v>CABANG UTAMA KLAS BATAM</v>
          </cell>
          <cell r="E221" t="str">
            <v>SENIOR MANAGER PRB BATAM</v>
          </cell>
          <cell r="F221" t="str">
            <v>fathoni@bki.co.id</v>
          </cell>
          <cell r="G221" t="str">
            <v>0813 3224 4632</v>
          </cell>
          <cell r="H221" t="str">
            <v>7A</v>
          </cell>
          <cell r="I221">
            <v>0</v>
          </cell>
        </row>
        <row r="222">
          <cell r="B222" t="str">
            <v>ANGGA YUSTIAWAN</v>
          </cell>
          <cell r="C222" t="str">
            <v>DIVISI PERSETUJUAN RANCANG BANGUN NUSANTARA</v>
          </cell>
          <cell r="D222" t="str">
            <v>CABANG UTAMA KLAS BATAM</v>
          </cell>
          <cell r="E222" t="str">
            <v>ENGINEER STRUKTUR BAG. PRB BATAM</v>
          </cell>
          <cell r="F222" t="str">
            <v>angga.yustiawan@bki.co.id</v>
          </cell>
          <cell r="G222" t="str">
            <v>0856 312 1208</v>
          </cell>
          <cell r="H222" t="str">
            <v>5C</v>
          </cell>
          <cell r="I222">
            <v>0</v>
          </cell>
        </row>
        <row r="223">
          <cell r="B223" t="str">
            <v>I GUSTI PUTU SUANTARA</v>
          </cell>
          <cell r="C223" t="str">
            <v>DIVISI PERSETUJUAN RANCANG BANGUN NUSANTARA</v>
          </cell>
          <cell r="D223" t="str">
            <v>CABANG UTAMA KLAS BATAM</v>
          </cell>
          <cell r="E223" t="str">
            <v>ENGINEER STRUKTUR BAG. PRB BATAM</v>
          </cell>
          <cell r="F223" t="str">
            <v>putu.suantara@bki.co.id</v>
          </cell>
          <cell r="G223" t="str">
            <v>081353828080</v>
          </cell>
          <cell r="H223" t="str">
            <v>5C</v>
          </cell>
          <cell r="I223">
            <v>0</v>
          </cell>
        </row>
        <row r="224">
          <cell r="B224" t="str">
            <v>BUDI SANTOSO</v>
          </cell>
          <cell r="C224" t="str">
            <v>DIVISI PERSETUJUAN RANCANG BANGUN NUSANTARA</v>
          </cell>
          <cell r="D224" t="str">
            <v>CABANG UTAMA KLAS BATAM</v>
          </cell>
          <cell r="E224" t="str">
            <v>ADMINISTRATOR MADYA BAG. PRB BATAM</v>
          </cell>
          <cell r="F224" t="str">
            <v>santoso.budi@bki.co.id</v>
          </cell>
          <cell r="G224" t="str">
            <v>0813 6454 4336</v>
          </cell>
          <cell r="H224" t="str">
            <v>3A</v>
          </cell>
          <cell r="I224">
            <v>0</v>
          </cell>
        </row>
        <row r="225">
          <cell r="B225" t="str">
            <v>KOKO ANDY SAPUTRO</v>
          </cell>
          <cell r="C225" t="str">
            <v>DIVISI SURVEY</v>
          </cell>
          <cell r="D225" t="str">
            <v>CABANG UTAMA KLAS BATAM</v>
          </cell>
          <cell r="E225" t="str">
            <v>SURVEYOR SENIOR I A MEMPERTAHANKAN KLAS DIVISI SURVEY YANG DITEMPATKAN DI CABANG UTAMA KLAS BATAM</v>
          </cell>
          <cell r="F225" t="str">
            <v>koko.as@bki.co.id</v>
          </cell>
          <cell r="G225">
            <v>0</v>
          </cell>
          <cell r="H225" t="str">
            <v>6A</v>
          </cell>
          <cell r="I225">
            <v>0</v>
          </cell>
        </row>
        <row r="226">
          <cell r="B226" t="str">
            <v>ARIFIN GUSTIAN PRAMOKO</v>
          </cell>
          <cell r="C226" t="str">
            <v>DIVISI SURVEY</v>
          </cell>
          <cell r="D226" t="str">
            <v>CABANG UTAMA KLAS BATAM</v>
          </cell>
          <cell r="E226" t="str">
            <v>SURVEYOR SENIOR I B MEMPERTAHANKAN KLAS DIVISI SURVEY YANG DITEMPATKAN DI CABANG UTAMA KLAS BATAM</v>
          </cell>
          <cell r="F226" t="str">
            <v>arifin.gustian@bki.co.id</v>
          </cell>
          <cell r="G226" t="str">
            <v>081232243708</v>
          </cell>
          <cell r="H226" t="str">
            <v>6A</v>
          </cell>
          <cell r="I226">
            <v>250000</v>
          </cell>
        </row>
        <row r="227">
          <cell r="B227" t="str">
            <v>SYARIFUDDIN YAMIN</v>
          </cell>
          <cell r="C227" t="str">
            <v>CABANG UTAMA KLAS BATAM</v>
          </cell>
          <cell r="D227" t="str">
            <v>CABANG UTAMA KLAS BATAM</v>
          </cell>
          <cell r="E227" t="str">
            <v xml:space="preserve">SURVEYOR </v>
          </cell>
          <cell r="F227" t="str">
            <v>syarifuddin.yamin@bki.co.id</v>
          </cell>
          <cell r="G227" t="str">
            <v>08114499912</v>
          </cell>
          <cell r="H227" t="str">
            <v>5C</v>
          </cell>
          <cell r="I227">
            <v>250000</v>
          </cell>
        </row>
        <row r="228">
          <cell r="B228" t="str">
            <v xml:space="preserve">EDITYA ANGGAWIJAYA </v>
          </cell>
          <cell r="C228" t="str">
            <v>DIVISI SURVEY</v>
          </cell>
          <cell r="D228" t="str">
            <v>CABANG UTAMA KLAS BATAM</v>
          </cell>
          <cell r="E228" t="str">
            <v xml:space="preserve">SURVEYOR JUNIOR DIVISI SURVEY YANG DITEMPATKAN DI CABANG UTAMA KLAS BATAM </v>
          </cell>
          <cell r="F228" t="str">
            <v>editya.an@bki.co.id</v>
          </cell>
          <cell r="H228" t="str">
            <v>4C</v>
          </cell>
          <cell r="I228">
            <v>0</v>
          </cell>
        </row>
        <row r="229">
          <cell r="B229" t="str">
            <v>JERI AGERISTA SEMBIRING</v>
          </cell>
          <cell r="C229" t="str">
            <v>DIVISI SURVEY</v>
          </cell>
          <cell r="D229" t="str">
            <v>CABANG UTAMA KLAS BATAM</v>
          </cell>
          <cell r="E229" t="str">
            <v>SURVEYOR JUNIOR DIVISI SURVEY YANG DITEMPATKAN DI CABANG UTAMA KLAS BATAM</v>
          </cell>
          <cell r="F229" t="str">
            <v>jeri.as@bki.co.id</v>
          </cell>
          <cell r="H229" t="str">
            <v>4C</v>
          </cell>
          <cell r="I229">
            <v>0</v>
          </cell>
        </row>
        <row r="230">
          <cell r="B230" t="str">
            <v>AJI PRABOWO</v>
          </cell>
          <cell r="C230" t="str">
            <v>DIVISI OPERASI BISNIS KLASIFIKASI</v>
          </cell>
          <cell r="D230" t="str">
            <v>CABANG UTAMA KLAS BATAM</v>
          </cell>
          <cell r="E230" t="str">
            <v>SURVEYOR SENIOR II C KENDALI OPERASI YANG DITEMPATKAN DI CABANG UTAMA KLAS BATAM</v>
          </cell>
          <cell r="F230" t="str">
            <v>aji.prabowo@bki.co.id</v>
          </cell>
          <cell r="G230" t="str">
            <v>081703290234</v>
          </cell>
          <cell r="H230" t="str">
            <v>7C</v>
          </cell>
          <cell r="I230">
            <v>0</v>
          </cell>
        </row>
        <row r="231">
          <cell r="B231" t="str">
            <v>DANI MAULANA</v>
          </cell>
          <cell r="C231" t="str">
            <v>DIVISI OPERASI BISNIS KLASIFIKASI</v>
          </cell>
          <cell r="D231" t="str">
            <v>CABANG UTAMA KLAS BATAM</v>
          </cell>
          <cell r="E231" t="str">
            <v>SURVEYOR SENIOR II A KENDALI OPERASI YANG DITEMPATKAN DI CABANG UTAMA KLAS BATAM</v>
          </cell>
          <cell r="F231" t="str">
            <v>dani@bki.co.id</v>
          </cell>
          <cell r="G231" t="str">
            <v>081266000243</v>
          </cell>
          <cell r="H231" t="str">
            <v>7A</v>
          </cell>
          <cell r="I231">
            <v>0</v>
          </cell>
        </row>
        <row r="232">
          <cell r="B232" t="str">
            <v>AGUS SALIM</v>
          </cell>
          <cell r="C232" t="str">
            <v>CABANG UTAMA KLAS BATAM</v>
          </cell>
          <cell r="D232" t="str">
            <v>CABANG UTAMA KLAS BATAM</v>
          </cell>
          <cell r="E232" t="str">
            <v>STAF DUKUNGAN BISNIS</v>
          </cell>
          <cell r="F232" t="str">
            <v>agusalim@bki.co.id</v>
          </cell>
          <cell r="G232">
            <v>0</v>
          </cell>
          <cell r="H232" t="str">
            <v>-</v>
          </cell>
          <cell r="I232">
            <v>0</v>
          </cell>
        </row>
        <row r="233">
          <cell r="B233" t="str">
            <v>MUHAMAD RAMA ALFANDI</v>
          </cell>
          <cell r="C233" t="str">
            <v>DIVISI PERSETUJUAN RANCANG BANGUN</v>
          </cell>
          <cell r="D233" t="str">
            <v>CABANG UTAMA KLAS BATAM</v>
          </cell>
          <cell r="E233" t="str">
            <v>STAF ADMINISTRASI PEMINDAH GAMBAR</v>
          </cell>
          <cell r="F233" t="str">
            <v>muhamad.alfandi@bki.co.id</v>
          </cell>
          <cell r="G233" t="str">
            <v>081334592305</v>
          </cell>
          <cell r="H233" t="str">
            <v>-</v>
          </cell>
          <cell r="I233">
            <v>0</v>
          </cell>
        </row>
        <row r="234">
          <cell r="B234" t="str">
            <v>BENNI HERMAWAN</v>
          </cell>
          <cell r="C234" t="str">
            <v>CABANG UTAMA KLAS SAMARINDA</v>
          </cell>
          <cell r="D234" t="str">
            <v>CABANG UTAMA KLAS SAMARINDA</v>
          </cell>
          <cell r="E234" t="str">
            <v>KEPALA CABANG UTAMA KLAS SAMARINDA</v>
          </cell>
          <cell r="F234" t="str">
            <v>benni.hermawan@bki.co.id</v>
          </cell>
          <cell r="G234" t="str">
            <v>082245118789</v>
          </cell>
          <cell r="H234" t="str">
            <v>8A</v>
          </cell>
          <cell r="I234">
            <v>500000</v>
          </cell>
        </row>
        <row r="235">
          <cell r="B235" t="str">
            <v>DAVID NOER SYUHADA</v>
          </cell>
          <cell r="C235" t="str">
            <v>CABANG UTAMA KLAS SAMARINDA</v>
          </cell>
          <cell r="D235" t="str">
            <v>CABANG UTAMA KLAS SAMARINDA</v>
          </cell>
          <cell r="E235" t="str">
            <v>SENIOR MANAGER OPERASI KLAS SAMARINDA</v>
          </cell>
          <cell r="F235" t="str">
            <v>davidnoers@bki.co.id</v>
          </cell>
          <cell r="G235" t="str">
            <v>081258724374</v>
          </cell>
          <cell r="H235" t="str">
            <v>7B</v>
          </cell>
          <cell r="I235">
            <v>350000</v>
          </cell>
        </row>
        <row r="236">
          <cell r="B236" t="str">
            <v>STEFFY HERMAN</v>
          </cell>
          <cell r="C236" t="str">
            <v>CABANG UTAMA KLAS SAMARINDA</v>
          </cell>
          <cell r="D236" t="str">
            <v>CABANG UTAMA KLAS SAMARINDA</v>
          </cell>
          <cell r="E236" t="str">
            <v>SURVEYOR</v>
          </cell>
          <cell r="F236" t="str">
            <v>steffy.herman@bki.co.id</v>
          </cell>
          <cell r="G236" t="str">
            <v>0812 4130 6058</v>
          </cell>
          <cell r="H236" t="str">
            <v>5C</v>
          </cell>
          <cell r="I236">
            <v>0</v>
          </cell>
        </row>
        <row r="237">
          <cell r="B237" t="str">
            <v>RIZKA PRASETYA</v>
          </cell>
          <cell r="C237" t="str">
            <v>CABANG UTAMA KLAS SAMARINDA</v>
          </cell>
          <cell r="D237" t="str">
            <v>CABANG UTAMA KLAS SAMARINDA</v>
          </cell>
          <cell r="E237" t="str">
            <v>ADMINISTRATOR SENIOR</v>
          </cell>
          <cell r="F237" t="str">
            <v>rizka.prasetya@bki.co.id</v>
          </cell>
          <cell r="G237" t="str">
            <v>0821 5956 0024</v>
          </cell>
          <cell r="H237" t="str">
            <v>3B</v>
          </cell>
          <cell r="I237">
            <v>0</v>
          </cell>
        </row>
        <row r="238">
          <cell r="B238" t="str">
            <v>SYARIF NUHUNG</v>
          </cell>
          <cell r="C238" t="str">
            <v>CABANG UTAMA KLAS SAMARINDA</v>
          </cell>
          <cell r="D238" t="str">
            <v>CABANG UTAMA KLAS SAMARINDA</v>
          </cell>
          <cell r="E238" t="str">
            <v>SENIOR MANAGER PEMASARAN DAN DUKUNGAN BISNIS KLAS SAMARINDA</v>
          </cell>
          <cell r="F238" t="str">
            <v>syarif@bki.co.id</v>
          </cell>
          <cell r="G238" t="str">
            <v>081330351887</v>
          </cell>
          <cell r="H238" t="str">
            <v>7A</v>
          </cell>
          <cell r="I238">
            <v>0</v>
          </cell>
        </row>
        <row r="239">
          <cell r="B239" t="str">
            <v>AGUSTINI</v>
          </cell>
          <cell r="C239" t="str">
            <v>CABANG UTAMA KLAS SAMARINDA</v>
          </cell>
          <cell r="D239" t="str">
            <v>CABANG UTAMA KLAS SAMARINDA</v>
          </cell>
          <cell r="E239" t="str">
            <v>ADMINISTRATOR SENIOR</v>
          </cell>
          <cell r="F239" t="str">
            <v>agustini@bki.co.id</v>
          </cell>
          <cell r="G239" t="str">
            <v>082242222260</v>
          </cell>
          <cell r="H239" t="str">
            <v>3B</v>
          </cell>
          <cell r="I239">
            <v>0</v>
          </cell>
        </row>
        <row r="240">
          <cell r="B240" t="str">
            <v>DANI ISKANDAR</v>
          </cell>
          <cell r="C240" t="str">
            <v>CABANG UTAMA KLAS SAMARINDA</v>
          </cell>
          <cell r="D240" t="str">
            <v>CABANG UTAMA KLAS SAMARINDA</v>
          </cell>
          <cell r="E240" t="str">
            <v>OFFICER ADMINISTRASI UMUM</v>
          </cell>
          <cell r="F240" t="str">
            <v>dani.iskandar@bki.co.id</v>
          </cell>
          <cell r="G240" t="str">
            <v>0811543375</v>
          </cell>
          <cell r="H240" t="str">
            <v>4A</v>
          </cell>
          <cell r="I240">
            <v>0</v>
          </cell>
        </row>
        <row r="241">
          <cell r="B241" t="str">
            <v>RANGSANG KUSUMADILAGA</v>
          </cell>
          <cell r="C241" t="str">
            <v>CABANG UTAMA KLAS SAMARINDA</v>
          </cell>
          <cell r="D241" t="str">
            <v>CABANG UTAMA KLAS SAMARINDA</v>
          </cell>
          <cell r="E241" t="str">
            <v>SURVEYOR</v>
          </cell>
          <cell r="F241" t="str">
            <v>rangsang.kusumadilaga@bki.co.id</v>
          </cell>
          <cell r="G241" t="str">
            <v>085877954649</v>
          </cell>
          <cell r="H241" t="str">
            <v>5C</v>
          </cell>
          <cell r="I241">
            <v>250000</v>
          </cell>
        </row>
        <row r="242">
          <cell r="B242" t="str">
            <v>LA ODE ABDUL RAHMAN FIRU</v>
          </cell>
          <cell r="C242" t="str">
            <v>CABANG UTAMA KLAS SAMARINDA</v>
          </cell>
          <cell r="D242" t="str">
            <v>CABANG UTAMA KLAS SAMARINDA</v>
          </cell>
          <cell r="E242" t="str">
            <v>SURVEYOR SENIOR I A</v>
          </cell>
          <cell r="F242" t="str">
            <v>laode.arf@bki.co.id</v>
          </cell>
          <cell r="G242" t="str">
            <v>085255987950</v>
          </cell>
          <cell r="H242" t="str">
            <v>6A</v>
          </cell>
          <cell r="I242">
            <v>250000</v>
          </cell>
        </row>
        <row r="243">
          <cell r="B243" t="str">
            <v>ABDUL KHOLICK</v>
          </cell>
          <cell r="C243" t="str">
            <v>CABANG UTAMA KLAS SAMARINDA</v>
          </cell>
          <cell r="D243" t="str">
            <v>CABANG UTAMA KLAS SAMARINDA</v>
          </cell>
          <cell r="E243" t="str">
            <v>SURVEYOR SENIOR I A</v>
          </cell>
          <cell r="F243" t="str">
            <v>abdul.kholick@bki.co.id</v>
          </cell>
          <cell r="G243" t="str">
            <v>0856 4808 6841</v>
          </cell>
          <cell r="H243" t="str">
            <v>6A</v>
          </cell>
          <cell r="I243">
            <v>250000</v>
          </cell>
        </row>
        <row r="244">
          <cell r="B244" t="str">
            <v>AGUS ERICSON SIANIPAR</v>
          </cell>
          <cell r="C244" t="str">
            <v>CABANG UTAMA KLAS SAMARINDA</v>
          </cell>
          <cell r="D244" t="str">
            <v>CABANG UTAMA KLAS SAMARINDA</v>
          </cell>
          <cell r="E244" t="str">
            <v>SURVEYOR SENIOR I A</v>
          </cell>
          <cell r="F244" t="str">
            <v>agus.sianipar@bki.co.id</v>
          </cell>
          <cell r="G244" t="str">
            <v>0852 3005 1463</v>
          </cell>
          <cell r="H244" t="str">
            <v>6A</v>
          </cell>
          <cell r="I244">
            <v>250000</v>
          </cell>
        </row>
        <row r="245">
          <cell r="B245" t="str">
            <v>RIDWAN</v>
          </cell>
          <cell r="C245" t="str">
            <v>CABANG UTAMA KLAS SAMARINDA</v>
          </cell>
          <cell r="D245" t="str">
            <v>CABANG UTAMA KLAS SAMARINDA</v>
          </cell>
          <cell r="E245" t="str">
            <v>ANALIS ADMINISTRASI UMUM &amp; KEUANGAN</v>
          </cell>
          <cell r="F245" t="str">
            <v>ridwan@bki.co.id</v>
          </cell>
          <cell r="G245" t="str">
            <v>081346234886</v>
          </cell>
          <cell r="H245" t="str">
            <v>5A</v>
          </cell>
          <cell r="I245">
            <v>0</v>
          </cell>
        </row>
        <row r="246">
          <cell r="B246" t="str">
            <v>ANA RAHMAWATI</v>
          </cell>
          <cell r="C246" t="str">
            <v>CABANG UTAMA KLAS SAMARINDA</v>
          </cell>
          <cell r="D246" t="str">
            <v>CABANG UTAMA KLAS SAMARINDA</v>
          </cell>
          <cell r="E246" t="str">
            <v>MANAGER ADMINISTRASI UMUM &amp; KEUANGAN KLAS SAMARINDA</v>
          </cell>
          <cell r="F246" t="str">
            <v>ana@bki.co.id</v>
          </cell>
          <cell r="G246" t="str">
            <v>085247446300</v>
          </cell>
          <cell r="H246" t="str">
            <v>5C</v>
          </cell>
          <cell r="I246">
            <v>0</v>
          </cell>
        </row>
        <row r="247">
          <cell r="B247" t="str">
            <v>DARMAWAN</v>
          </cell>
          <cell r="C247" t="str">
            <v>CABANG UTAMA KLAS SAMARINDA</v>
          </cell>
          <cell r="D247" t="str">
            <v>CABANG UTAMA KLAS SAMARINDA</v>
          </cell>
          <cell r="E247" t="str">
            <v>ADMINISTRATOR</v>
          </cell>
          <cell r="F247" t="str">
            <v>darmawan@bki.co.id</v>
          </cell>
          <cell r="G247" t="str">
            <v>081314193562</v>
          </cell>
          <cell r="H247" t="str">
            <v>2A</v>
          </cell>
          <cell r="I247">
            <v>0</v>
          </cell>
        </row>
        <row r="248">
          <cell r="B248" t="str">
            <v>HANIF KURNIAWAN</v>
          </cell>
          <cell r="C248" t="str">
            <v>CABANG UTAMA KLAS SAMARINDA</v>
          </cell>
          <cell r="D248" t="str">
            <v>CABANG UTAMA KLAS SAMARINDA</v>
          </cell>
          <cell r="E248" t="str">
            <v xml:space="preserve">SURVEYOR JUNIOR </v>
          </cell>
          <cell r="F248" t="str">
            <v>hanif.kurniawan@bki.co.id</v>
          </cell>
          <cell r="G248" t="str">
            <v>085336351858</v>
          </cell>
          <cell r="H248" t="str">
            <v>4C</v>
          </cell>
          <cell r="I248">
            <v>0</v>
          </cell>
        </row>
        <row r="249">
          <cell r="B249" t="str">
            <v>TIO ANTONI</v>
          </cell>
          <cell r="C249" t="str">
            <v>DIVISI SURVEY</v>
          </cell>
          <cell r="D249" t="str">
            <v>CABANG UTAMA KLAS SAMARINDA</v>
          </cell>
          <cell r="E249" t="str">
            <v>SURVEYOR PENERIMAAN KLAS DIVISI SURVEY YANG DITEMPATKAN DI CABANG UTAMA KLAS SAMARINDA</v>
          </cell>
          <cell r="F249" t="str">
            <v>tio.antoni@bki.co.id</v>
          </cell>
          <cell r="G249" t="str">
            <v>085278708477</v>
          </cell>
          <cell r="H249" t="str">
            <v>5C</v>
          </cell>
          <cell r="I249">
            <v>0</v>
          </cell>
        </row>
        <row r="250">
          <cell r="B250" t="str">
            <v>BACHTIAR YUSUF HABIBI</v>
          </cell>
          <cell r="C250" t="str">
            <v>DIVISI SURVEY</v>
          </cell>
          <cell r="D250" t="str">
            <v>CABANG UTAMA KLAS SAMARINDA</v>
          </cell>
          <cell r="E250" t="str">
            <v>SURVEYOR MEMPERTAHANKAN KLAS DIVISI SURVEY YANG DITEMPATKAN DI CABANG UTAMA KLAS SAMARINDA</v>
          </cell>
          <cell r="F250" t="str">
            <v>by.habibi@bki.co.id</v>
          </cell>
          <cell r="G250" t="str">
            <v>085735074466</v>
          </cell>
          <cell r="H250" t="str">
            <v>5C</v>
          </cell>
          <cell r="I250">
            <v>0</v>
          </cell>
        </row>
        <row r="251">
          <cell r="B251" t="str">
            <v>JOUSTRA BILLY</v>
          </cell>
          <cell r="C251" t="str">
            <v>DIVISI OPERASI BISNIS KLASIFIKASI</v>
          </cell>
          <cell r="D251" t="str">
            <v>CABANG UTAMA KLAS SAMARINDA</v>
          </cell>
          <cell r="E251" t="str">
            <v>SURVEYOR SENIOR I C KENDALI OPERASI YANG DITEMPATKAN DI CABANG UTAMA KLAS SAMARINDA</v>
          </cell>
          <cell r="F251" t="str">
            <v>joustra@bki.co.id</v>
          </cell>
          <cell r="G251" t="str">
            <v>081241404696</v>
          </cell>
          <cell r="H251" t="str">
            <v>6C</v>
          </cell>
          <cell r="I251">
            <v>0</v>
          </cell>
        </row>
        <row r="252">
          <cell r="B252" t="str">
            <v>AWALUDDIN PAINGNGI</v>
          </cell>
          <cell r="C252" t="str">
            <v>DIVISI OPERASI BISNIS KLASIFIKASI</v>
          </cell>
          <cell r="D252" t="str">
            <v>CABANG UTAMA KLAS SAMARINDA</v>
          </cell>
          <cell r="E252" t="str">
            <v>SURVEYOR SENIOR I B KENDALI OPERASI YANG DITEMPATKAN DI CABANG UTAMA KLAS SAMARINDA</v>
          </cell>
          <cell r="F252" t="str">
            <v>awaluddin@bki.co.id</v>
          </cell>
          <cell r="G252" t="str">
            <v>0818805342</v>
          </cell>
          <cell r="H252" t="str">
            <v>6B</v>
          </cell>
          <cell r="I252">
            <v>250000</v>
          </cell>
        </row>
        <row r="253">
          <cell r="B253" t="str">
            <v>MUSHAWWIR RAZAK</v>
          </cell>
          <cell r="C253" t="str">
            <v>DIVISI OPERASI BISNIS KLASIFIKASI</v>
          </cell>
          <cell r="D253" t="str">
            <v>CABANG UTAMA KLAS SAMARINDA</v>
          </cell>
          <cell r="E253" t="str">
            <v>SURVEYOR SENIOR I C KENDALI OPERASI YANG DITEMPATKAN DI CABANG UTAMA KLAS SAMARINDA</v>
          </cell>
          <cell r="F253" t="str">
            <v>mushawwir@bki.co.id</v>
          </cell>
          <cell r="G253" t="str">
            <v>0811915320</v>
          </cell>
          <cell r="H253" t="str">
            <v>6C</v>
          </cell>
          <cell r="I253">
            <v>250000</v>
          </cell>
        </row>
        <row r="254">
          <cell r="B254" t="str">
            <v>TINA AKSARANI</v>
          </cell>
          <cell r="C254" t="str">
            <v>CABANG UTAMA KLAS SAMARINDA</v>
          </cell>
          <cell r="D254" t="str">
            <v>CABANG UTAMA KLAS SAMARINDA</v>
          </cell>
          <cell r="E254" t="str">
            <v>STAF DUKUNGAN BISNIS</v>
          </cell>
          <cell r="F254" t="str">
            <v>tina.aksarani@bki.co.id</v>
          </cell>
          <cell r="G254">
            <v>0</v>
          </cell>
          <cell r="H254" t="str">
            <v>-</v>
          </cell>
          <cell r="I254">
            <v>0</v>
          </cell>
        </row>
        <row r="255">
          <cell r="B255" t="str">
            <v>AJENG KURNIA IMANSARI</v>
          </cell>
          <cell r="C255" t="str">
            <v>CABANG UTAMA KLAS SAMARINDA</v>
          </cell>
          <cell r="D255" t="str">
            <v>CABANG UTAMA KLAS SAMARINDA</v>
          </cell>
          <cell r="E255" t="str">
            <v>STAF DUKUNGAN BISNIS</v>
          </cell>
          <cell r="F255" t="str">
            <v>ajeng.kurnia@bki.co.id</v>
          </cell>
          <cell r="G255">
            <v>0</v>
          </cell>
          <cell r="H255" t="str">
            <v>-</v>
          </cell>
          <cell r="I255">
            <v>0</v>
          </cell>
        </row>
        <row r="256">
          <cell r="B256" t="str">
            <v>MUHAMMAD FADLI AMIR</v>
          </cell>
          <cell r="C256" t="str">
            <v>CABANG UTAMA KLAS SAMARINDA</v>
          </cell>
          <cell r="D256" t="str">
            <v>CABANG UTAMA KLAS SAMARINDA</v>
          </cell>
          <cell r="E256" t="str">
            <v>STAF DUKUNGAN BISNIS</v>
          </cell>
          <cell r="F256" t="str">
            <v>muhammad.fadli@bki.co.id</v>
          </cell>
          <cell r="G256" t="str">
            <v>0813 5076 7776</v>
          </cell>
          <cell r="H256" t="str">
            <v>-</v>
          </cell>
          <cell r="I256">
            <v>0</v>
          </cell>
        </row>
        <row r="257">
          <cell r="B257" t="str">
            <v>TOMMY NUR ADITYA</v>
          </cell>
          <cell r="C257" t="str">
            <v>CABANG UTAMA KLAS SAMARINDA</v>
          </cell>
          <cell r="D257" t="str">
            <v>CABANG UTAMA KLAS SAMARINDA</v>
          </cell>
          <cell r="E257" t="str">
            <v>STAF DUKUNGAN BISNIS</v>
          </cell>
          <cell r="F257" t="str">
            <v>tommy.nur@bki.co.id</v>
          </cell>
          <cell r="G257" t="str">
            <v>0852 5030 3099</v>
          </cell>
          <cell r="H257" t="str">
            <v>-</v>
          </cell>
          <cell r="I257">
            <v>0</v>
          </cell>
        </row>
        <row r="258">
          <cell r="B258" t="str">
            <v>TAMZIL FADILLAH HARDONO</v>
          </cell>
          <cell r="C258" t="str">
            <v>CABANG UTAMA KLAS SAMARINDA</v>
          </cell>
          <cell r="D258" t="str">
            <v>CABANG UTAMA KLAS SAMARINDA</v>
          </cell>
          <cell r="E258" t="str">
            <v>STAF DUKUNGAN BISNIS</v>
          </cell>
          <cell r="F258" t="str">
            <v>tamzil.fadillah@bki.co.id</v>
          </cell>
          <cell r="G258" t="str">
            <v>0812 1721 0250</v>
          </cell>
          <cell r="H258" t="str">
            <v>-</v>
          </cell>
          <cell r="I258">
            <v>0</v>
          </cell>
        </row>
        <row r="259">
          <cell r="B259" t="str">
            <v>IRZAN AZIS</v>
          </cell>
          <cell r="C259" t="str">
            <v>CABANG UTAMA KLAS SURABAYA</v>
          </cell>
          <cell r="D259" t="str">
            <v>CABANG UTAMA KLAS SURABAYA</v>
          </cell>
          <cell r="E259" t="str">
            <v>SURVEYOR SENIOR I A</v>
          </cell>
          <cell r="F259" t="str">
            <v>irzan.azis@bki.co.id</v>
          </cell>
          <cell r="G259" t="str">
            <v>082220431983</v>
          </cell>
          <cell r="H259" t="str">
            <v>6A</v>
          </cell>
          <cell r="I259">
            <v>0</v>
          </cell>
        </row>
        <row r="260">
          <cell r="B260" t="str">
            <v>ALFAN FADHLI</v>
          </cell>
          <cell r="C260" t="str">
            <v>CABANG UTAMA KLAS SURABAYA</v>
          </cell>
          <cell r="D260" t="str">
            <v>CABANG UTAMA KLAS SURABAYA</v>
          </cell>
          <cell r="E260" t="str">
            <v>SURVEYOR SENIOR I A</v>
          </cell>
          <cell r="F260" t="str">
            <v>alfan.fadhli@bki.co.id</v>
          </cell>
          <cell r="G260" t="str">
            <v>085735630613</v>
          </cell>
          <cell r="H260" t="str">
            <v>6A</v>
          </cell>
          <cell r="I260">
            <v>0</v>
          </cell>
        </row>
        <row r="261">
          <cell r="B261" t="str">
            <v>ANUGRAH EKO BUDI SUSANTO</v>
          </cell>
          <cell r="C261" t="str">
            <v>CABANG UTAMA KLAS SURABAYA</v>
          </cell>
          <cell r="D261" t="str">
            <v>CABANG UTAMA KLAS SURABAYA</v>
          </cell>
          <cell r="E261" t="str">
            <v>SURVEYOR SENIOR I A</v>
          </cell>
          <cell r="F261" t="str">
            <v>anugrah.eko@bki.co.id</v>
          </cell>
          <cell r="G261" t="str">
            <v>085645192207</v>
          </cell>
          <cell r="H261" t="str">
            <v>6A</v>
          </cell>
          <cell r="I261">
            <v>0</v>
          </cell>
        </row>
        <row r="262">
          <cell r="B262" t="str">
            <v>BAMBANG RIYANTO</v>
          </cell>
          <cell r="C262" t="str">
            <v>CABANG UTAMA KLAS SURABAYA</v>
          </cell>
          <cell r="D262" t="str">
            <v>CABANG UTAMA KLAS SURABAYA</v>
          </cell>
          <cell r="E262" t="str">
            <v>KEPALA CABANG UTAMA KLAS SURABAYA</v>
          </cell>
          <cell r="F262" t="str">
            <v>bambang.riyanto@bki.co.id</v>
          </cell>
          <cell r="G262" t="str">
            <v>08123562306</v>
          </cell>
          <cell r="H262" t="str">
            <v>8A</v>
          </cell>
          <cell r="I262">
            <v>350000</v>
          </cell>
        </row>
        <row r="263">
          <cell r="B263" t="str">
            <v>BAKTI NUGROHO DWI KUSHADIANTO</v>
          </cell>
          <cell r="C263" t="str">
            <v>CABANG UTAMA KLAS SURABAYA</v>
          </cell>
          <cell r="D263" t="str">
            <v>CABANG UTAMA KLAS SURABAYA</v>
          </cell>
          <cell r="E263" t="str">
            <v>SENIOR MANAGER PEMASARAN &amp; DUKUNGAN BISNIS KLAS SURABAYA</v>
          </cell>
          <cell r="F263" t="str">
            <v>bakti.nugroho@bki.co.id</v>
          </cell>
          <cell r="G263" t="str">
            <v>081219555444</v>
          </cell>
          <cell r="H263" t="str">
            <v>7A</v>
          </cell>
          <cell r="I263">
            <v>250000</v>
          </cell>
        </row>
        <row r="264">
          <cell r="B264" t="str">
            <v>AGUNG WICAKSONO</v>
          </cell>
          <cell r="C264" t="str">
            <v>CABANG UTAMA KLAS SURABAYA</v>
          </cell>
          <cell r="D264" t="str">
            <v>CABANG UTAMA KLAS SURABAYA</v>
          </cell>
          <cell r="E264" t="str">
            <v>SENIOR MANAGER OPERASI KLAS SURABAYA</v>
          </cell>
          <cell r="F264" t="str">
            <v>agung.wicaksono@bki.co.id</v>
          </cell>
          <cell r="G264" t="str">
            <v>0811971970</v>
          </cell>
          <cell r="H264" t="str">
            <v>7B</v>
          </cell>
          <cell r="I264">
            <v>0</v>
          </cell>
        </row>
        <row r="265">
          <cell r="B265" t="str">
            <v>TAMUJI HARI WARTONO</v>
          </cell>
          <cell r="C265" t="str">
            <v>CABANG UTAMA KLAS SURABAYA</v>
          </cell>
          <cell r="D265" t="str">
            <v>CABANG UTAMA KLAS SURABAYA</v>
          </cell>
          <cell r="E265" t="str">
            <v>MANAGER ADMINISTRASI UMUM &amp; KEUANGAN KLAS SURABAYA</v>
          </cell>
          <cell r="F265" t="str">
            <v>tamuji@bki.co.id</v>
          </cell>
          <cell r="G265" t="str">
            <v>081346591400</v>
          </cell>
          <cell r="H265" t="str">
            <v>5C</v>
          </cell>
          <cell r="I265">
            <v>0</v>
          </cell>
        </row>
        <row r="266">
          <cell r="B266" t="str">
            <v>IKA DIAN ARIANY</v>
          </cell>
          <cell r="C266" t="str">
            <v>CABANG UTAMA KLAS SURABAYA</v>
          </cell>
          <cell r="D266" t="str">
            <v>CABANG UTAMA KLAS SURABAYA</v>
          </cell>
          <cell r="E266" t="str">
            <v>ADMINISTRATOR SENIOR</v>
          </cell>
          <cell r="F266" t="str">
            <v>ika.da@bki.co.id</v>
          </cell>
          <cell r="G266" t="str">
            <v>081331278631</v>
          </cell>
          <cell r="H266" t="str">
            <v>3B</v>
          </cell>
          <cell r="I266">
            <v>0</v>
          </cell>
        </row>
        <row r="267">
          <cell r="B267" t="str">
            <v>FITRIA</v>
          </cell>
          <cell r="C267" t="str">
            <v>CABANG UTAMA KLAS SURABAYA</v>
          </cell>
          <cell r="D267" t="str">
            <v>CABANG UTAMA KLAS SURABAYA</v>
          </cell>
          <cell r="E267" t="str">
            <v>OFFICER ADMINISTRASI UMUM</v>
          </cell>
          <cell r="F267" t="str">
            <v>fitria@bki.co.id</v>
          </cell>
          <cell r="G267" t="str">
            <v>085748339599</v>
          </cell>
          <cell r="H267" t="str">
            <v>4A</v>
          </cell>
          <cell r="I267">
            <v>0</v>
          </cell>
        </row>
        <row r="268">
          <cell r="B268" t="str">
            <v>ABUKASIM USMAN</v>
          </cell>
          <cell r="C268" t="str">
            <v>CABANG UTAMA KLAS SURABAYA</v>
          </cell>
          <cell r="D268" t="str">
            <v>CABANG UTAMA KLAS SURABAYA</v>
          </cell>
          <cell r="E268" t="str">
            <v>SUPIR</v>
          </cell>
          <cell r="F268" t="str">
            <v>abukasim@bki.co.id</v>
          </cell>
          <cell r="G268" t="str">
            <v>081357235990</v>
          </cell>
          <cell r="H268" t="str">
            <v>1A</v>
          </cell>
          <cell r="I268">
            <v>150000</v>
          </cell>
        </row>
        <row r="269">
          <cell r="B269" t="str">
            <v>SILVIA KARULITA</v>
          </cell>
          <cell r="C269" t="str">
            <v>CABANG UTAMA KLAS SURABAYA</v>
          </cell>
          <cell r="D269" t="str">
            <v>CABANG UTAMA KLAS SURABAYA</v>
          </cell>
          <cell r="E269" t="str">
            <v>ADMINISTRATOR</v>
          </cell>
          <cell r="F269" t="str">
            <v>silvia@bki.co.id</v>
          </cell>
          <cell r="G269" t="str">
            <v>089682785449</v>
          </cell>
          <cell r="H269" t="str">
            <v>2A</v>
          </cell>
          <cell r="I269">
            <v>0</v>
          </cell>
        </row>
        <row r="270">
          <cell r="B270" t="str">
            <v>NURUL HUDA</v>
          </cell>
          <cell r="C270" t="str">
            <v>CABANG UTAMA KLAS SURABAYA</v>
          </cell>
          <cell r="D270" t="str">
            <v>CABANG UTAMA KLAS SURABAYA</v>
          </cell>
          <cell r="E270" t="str">
            <v>ADMINISTRATOR</v>
          </cell>
          <cell r="F270" t="str">
            <v>nurul.huda@bki.co.id</v>
          </cell>
          <cell r="G270" t="str">
            <v>081357054921</v>
          </cell>
          <cell r="H270" t="str">
            <v>2A</v>
          </cell>
          <cell r="I270">
            <v>150000</v>
          </cell>
        </row>
        <row r="271">
          <cell r="B271" t="str">
            <v>TEGUH BUDI SANTOSO</v>
          </cell>
          <cell r="C271" t="str">
            <v>DIVISI OPERASI BISNIS KLASIFIKASI</v>
          </cell>
          <cell r="D271" t="str">
            <v>CABANG UTAMA KLAS SURABAYA</v>
          </cell>
          <cell r="E271" t="str">
            <v>SURVEYOR SENIOR II B KENDALI OPERASI YANG DITEMPATKAN DI CABANG UTAMA KLAS SURABAYA</v>
          </cell>
          <cell r="F271" t="str">
            <v>teguh@bki.co.id</v>
          </cell>
          <cell r="G271" t="str">
            <v>081332223764</v>
          </cell>
          <cell r="H271" t="str">
            <v>7B</v>
          </cell>
          <cell r="I271">
            <v>250000</v>
          </cell>
        </row>
        <row r="272">
          <cell r="B272" t="str">
            <v>RIDWAN AHMAD FAUZI</v>
          </cell>
          <cell r="C272" t="str">
            <v>CABANG UTAMA KLAS SURABAYA</v>
          </cell>
          <cell r="D272" t="str">
            <v>CABANG UTAMA KLAS SURABAYA</v>
          </cell>
          <cell r="E272" t="str">
            <v>SURVEYOR SENIOR I A</v>
          </cell>
          <cell r="F272" t="str">
            <v>ridwan.af@bki.co.id</v>
          </cell>
          <cell r="G272" t="str">
            <v>081283576001</v>
          </cell>
          <cell r="H272" t="str">
            <v>6A</v>
          </cell>
          <cell r="I272">
            <v>150000</v>
          </cell>
        </row>
        <row r="273">
          <cell r="B273" t="str">
            <v>YOGIA RIVALDHI</v>
          </cell>
          <cell r="C273" t="str">
            <v>CABANG UTAMA KLAS SURABAYA</v>
          </cell>
          <cell r="D273" t="str">
            <v>CABANG UTAMA KLAS SURABAYA</v>
          </cell>
          <cell r="E273" t="str">
            <v>SURVEYOR SENIOR I A CABANG UTAMA KLAS SURABAYA YANG DITEMPATKAN DI LEMBAR</v>
          </cell>
          <cell r="F273" t="str">
            <v>yogia.rivaldhi@bki.co.id</v>
          </cell>
          <cell r="G273" t="str">
            <v>081284546066</v>
          </cell>
          <cell r="H273" t="str">
            <v>6A</v>
          </cell>
          <cell r="I273">
            <v>0</v>
          </cell>
        </row>
        <row r="274">
          <cell r="B274" t="str">
            <v>AHMAD SAIFULLOH</v>
          </cell>
          <cell r="C274" t="str">
            <v>CABANG UTAMA KLAS SURABAYA</v>
          </cell>
          <cell r="D274" t="str">
            <v>CABANG UTAMA KLAS SURABAYA</v>
          </cell>
          <cell r="E274" t="str">
            <v>ANALIS ADMINISTRASI UMUM &amp; KEUANGAN</v>
          </cell>
          <cell r="F274" t="str">
            <v>ahmad.saifulloh@bki.co.id</v>
          </cell>
          <cell r="G274" t="str">
            <v>082139958425</v>
          </cell>
          <cell r="H274" t="str">
            <v>5A</v>
          </cell>
          <cell r="I274">
            <v>0</v>
          </cell>
        </row>
        <row r="275">
          <cell r="B275" t="str">
            <v>SAMSUL ARIF</v>
          </cell>
          <cell r="C275" t="str">
            <v>CABANG UTAMA KLAS SURABAYA</v>
          </cell>
          <cell r="D275" t="str">
            <v>CABANG UTAMA KLAS SURABAYA</v>
          </cell>
          <cell r="E275" t="str">
            <v>SURVEYOR SENIOR I A CABANG UTAMA KLAS SURABAYA YANG DITEMPATKAN DI LEMBAR</v>
          </cell>
          <cell r="F275" t="str">
            <v>samsul.arif@bki.co.id</v>
          </cell>
          <cell r="G275" t="str">
            <v>081284357777</v>
          </cell>
          <cell r="H275" t="str">
            <v>6A</v>
          </cell>
          <cell r="I275">
            <v>0</v>
          </cell>
        </row>
        <row r="276">
          <cell r="B276" t="str">
            <v>ABDUL HAKIM LILLAH</v>
          </cell>
          <cell r="C276" t="str">
            <v>CABANG UTAMA KLAS SURABAYA</v>
          </cell>
          <cell r="D276" t="str">
            <v>CABANG UTAMA KLAS SURABAYA</v>
          </cell>
          <cell r="E276" t="str">
            <v xml:space="preserve">SURVEYOR JUNIOR </v>
          </cell>
          <cell r="F276" t="str">
            <v>abdul.hakim@bki.co.id</v>
          </cell>
          <cell r="G276" t="str">
            <v>081215077665</v>
          </cell>
          <cell r="H276" t="str">
            <v>4C</v>
          </cell>
          <cell r="I276">
            <v>0</v>
          </cell>
        </row>
        <row r="277">
          <cell r="B277" t="str">
            <v>ADITYA ARIAWAN</v>
          </cell>
          <cell r="C277" t="str">
            <v>CABANG UTAMA KLAS SURABAYA</v>
          </cell>
          <cell r="D277" t="str">
            <v>CABANG UTAMA KLAS SURABAYA</v>
          </cell>
          <cell r="E277" t="str">
            <v xml:space="preserve">SURVEYOR JUNIOR  </v>
          </cell>
          <cell r="F277" t="str">
            <v>aditya.ariawan@bki.co.id</v>
          </cell>
          <cell r="G277" t="str">
            <v>085156882906</v>
          </cell>
          <cell r="H277" t="str">
            <v>4C</v>
          </cell>
          <cell r="I277">
            <v>0</v>
          </cell>
        </row>
        <row r="278">
          <cell r="B278" t="str">
            <v>ALIF YUDHA ASHARI</v>
          </cell>
          <cell r="C278" t="str">
            <v>CABANG UTAMA KLAS SURABAYA</v>
          </cell>
          <cell r="D278" t="str">
            <v>CABANG UTAMA KLAS SURABAYA</v>
          </cell>
          <cell r="E278" t="str">
            <v xml:space="preserve">SURVEYOR JUNIOR  </v>
          </cell>
          <cell r="F278" t="str">
            <v>alif.yudha@bki.co.id</v>
          </cell>
          <cell r="G278" t="str">
            <v>083831110483</v>
          </cell>
          <cell r="H278" t="str">
            <v>4C</v>
          </cell>
          <cell r="I278">
            <v>0</v>
          </cell>
        </row>
        <row r="279">
          <cell r="B279" t="str">
            <v>LINTANG BODRORINI KUSUMANINGRUM</v>
          </cell>
          <cell r="C279" t="str">
            <v>CABANG UTAMA KLAS SURABAYA</v>
          </cell>
          <cell r="D279" t="str">
            <v>CABANG UTAMA KLAS SURABAYA</v>
          </cell>
          <cell r="E279" t="str">
            <v>ADMINISTRATOR SENIOR</v>
          </cell>
          <cell r="F279" t="str">
            <v>lintang.kusuma@bki.co.id</v>
          </cell>
          <cell r="G279" t="str">
            <v>085648362006</v>
          </cell>
          <cell r="H279" t="str">
            <v>3B</v>
          </cell>
          <cell r="I279">
            <v>0</v>
          </cell>
        </row>
        <row r="280">
          <cell r="B280" t="str">
            <v>MAHESA SAGA</v>
          </cell>
          <cell r="C280" t="str">
            <v>DIVISI SURVEY</v>
          </cell>
          <cell r="D280" t="str">
            <v>CABANG UTAMA KLAS SURABAYA</v>
          </cell>
          <cell r="E280" t="str">
            <v>SURVEYOR PENERIMAAN KLAS YANG DITEMPATKAN DI CABANG UTAMA KLAS SURABAYA</v>
          </cell>
          <cell r="F280" t="str">
            <v>mahesa@bki.co.id</v>
          </cell>
          <cell r="G280" t="str">
            <v>081335849930</v>
          </cell>
          <cell r="H280" t="str">
            <v>5C</v>
          </cell>
          <cell r="I280">
            <v>250000</v>
          </cell>
        </row>
        <row r="281">
          <cell r="B281" t="str">
            <v>HAFIDS DICKY KHARISMA</v>
          </cell>
          <cell r="C281" t="str">
            <v>DIVISI SURVEY</v>
          </cell>
          <cell r="D281" t="str">
            <v>CABANG UTAMA KLAS SURABAYA</v>
          </cell>
          <cell r="E281" t="str">
            <v>SURVEYOR PENERIMAAN KLAS DIVISI SURVEY YANG DITEMPATKAN DI CABANG UTAMA KLAS SURABAYA</v>
          </cell>
          <cell r="F281" t="str">
            <v>hafids.kharisma@bki.co.id</v>
          </cell>
          <cell r="G281" t="str">
            <v>085730384844</v>
          </cell>
          <cell r="H281" t="str">
            <v>5C</v>
          </cell>
          <cell r="I281">
            <v>0</v>
          </cell>
        </row>
        <row r="282">
          <cell r="B282" t="str">
            <v>MUHAMMAD AZMI NAUFAL MUNIF</v>
          </cell>
          <cell r="C282" t="str">
            <v>DIVISI SURVEY</v>
          </cell>
          <cell r="D282" t="str">
            <v>CABANG UTAMA KLAS SURABAYA</v>
          </cell>
          <cell r="E282" t="str">
            <v xml:space="preserve">SURVEYOR JUNIOR DIVISI SURVEY YANG DITEMPATKAN DI CABANG UTAMA KLAS SURABAYA </v>
          </cell>
          <cell r="F282" t="str">
            <v>m.azmi@bki.co.id</v>
          </cell>
          <cell r="H282" t="str">
            <v>4C</v>
          </cell>
          <cell r="I282">
            <v>0</v>
          </cell>
        </row>
        <row r="283">
          <cell r="B283" t="str">
            <v>MUHAMMAD FADHILAL MURSYID</v>
          </cell>
          <cell r="C283" t="str">
            <v>DIVISI SURVEY</v>
          </cell>
          <cell r="D283" t="str">
            <v>CABANG UTAMA KLAS SURABAYA</v>
          </cell>
          <cell r="E283" t="str">
            <v xml:space="preserve">SURVEYOR JUNIOR DIVISI SURVEY YANG DITEMPATKAN DI CABANG UTAMA KLAS SURABAYA </v>
          </cell>
          <cell r="F283" t="str">
            <v>m.fadhilal@bki.co.id</v>
          </cell>
          <cell r="H283" t="str">
            <v>4C</v>
          </cell>
          <cell r="I283">
            <v>0</v>
          </cell>
        </row>
        <row r="284">
          <cell r="B284" t="str">
            <v>AGUSTANG</v>
          </cell>
          <cell r="C284" t="str">
            <v>CABANG UTAMA KLAS TG.PRIOK</v>
          </cell>
          <cell r="D284" t="str">
            <v>CABANG UTAMA KLAS TG.PRIOK</v>
          </cell>
          <cell r="E284" t="str">
            <v>SURVEYOR SENIOR I A</v>
          </cell>
          <cell r="F284" t="str">
            <v>agustang@bki.co.id</v>
          </cell>
          <cell r="G284" t="str">
            <v/>
          </cell>
          <cell r="H284" t="str">
            <v>6A</v>
          </cell>
          <cell r="I284">
            <v>0</v>
          </cell>
        </row>
        <row r="285">
          <cell r="B285" t="str">
            <v>ARIF KURNIAWAN</v>
          </cell>
          <cell r="C285" t="str">
            <v>DIVISI OPERASI BISNIS KLASIFIKASI</v>
          </cell>
          <cell r="D285" t="str">
            <v>CABANG UTAMA KLAS TG.PRIOK</v>
          </cell>
          <cell r="E285" t="str">
            <v>SURVEYOR SENIOR I C KENDALI OPERASI YANG DITEMPATKAN DI CABANG UTAMA KLAS TG. PRIOK</v>
          </cell>
          <cell r="F285" t="str">
            <v>ariefkurniawan@bki.co.id</v>
          </cell>
          <cell r="G285" t="str">
            <v>081222225772</v>
          </cell>
          <cell r="H285" t="str">
            <v>6C</v>
          </cell>
          <cell r="I285">
            <v>0</v>
          </cell>
        </row>
        <row r="286">
          <cell r="B286" t="str">
            <v>JANU HARI MURTITAKA</v>
          </cell>
          <cell r="C286" t="str">
            <v>CABANG UTAMA KLAS TG.PRIOK</v>
          </cell>
          <cell r="D286" t="str">
            <v>CABANG UTAMA KLAS TG.PRIOK</v>
          </cell>
          <cell r="E286" t="str">
            <v>SURVEYOR</v>
          </cell>
          <cell r="F286" t="str">
            <v>janutaka@bki.co.id</v>
          </cell>
          <cell r="G286" t="str">
            <v>0856 5566 0574</v>
          </cell>
          <cell r="H286" t="str">
            <v>5C</v>
          </cell>
          <cell r="I286">
            <v>0</v>
          </cell>
        </row>
        <row r="287">
          <cell r="B287" t="str">
            <v>MUHAMAD BAQI</v>
          </cell>
          <cell r="C287" t="str">
            <v>CABANG UTAMA KLAS TG.PRIOK</v>
          </cell>
          <cell r="D287" t="str">
            <v>CABANG UTAMA KLAS TG.PRIOK</v>
          </cell>
          <cell r="E287" t="str">
            <v>SURVEYOR</v>
          </cell>
          <cell r="F287" t="str">
            <v>muhamad.baqi@bki.co.id</v>
          </cell>
          <cell r="G287" t="str">
            <v>081285824343</v>
          </cell>
          <cell r="H287" t="str">
            <v>5C</v>
          </cell>
          <cell r="I287">
            <v>250000</v>
          </cell>
        </row>
        <row r="288">
          <cell r="B288" t="str">
            <v>AKBAR RAKANDA PRAKASA</v>
          </cell>
          <cell r="C288" t="str">
            <v>CABANG UTAMA KLAS TG.PRIOK</v>
          </cell>
          <cell r="D288" t="str">
            <v>CABANG UTAMA KLAS TG.PRIOK</v>
          </cell>
          <cell r="E288" t="str">
            <v>ANALIS TEKNIK</v>
          </cell>
          <cell r="F288" t="str">
            <v>akbar.rp@bki.co.id</v>
          </cell>
          <cell r="G288" t="str">
            <v>0856 768 0798</v>
          </cell>
          <cell r="H288" t="str">
            <v>5C</v>
          </cell>
          <cell r="I288">
            <v>0</v>
          </cell>
        </row>
        <row r="289">
          <cell r="B289" t="str">
            <v>SOLEH ABIDIN</v>
          </cell>
          <cell r="C289" t="str">
            <v>CABANG UTAMA KLAS TG.PRIOK</v>
          </cell>
          <cell r="D289" t="str">
            <v>CABANG UTAMA KLAS TG.PRIOK</v>
          </cell>
          <cell r="E289" t="str">
            <v>ADMINISTRATOR SENIOR</v>
          </cell>
          <cell r="F289" t="str">
            <v>soleh.abidin@bki.co.id</v>
          </cell>
          <cell r="G289" t="str">
            <v>081218022729</v>
          </cell>
          <cell r="H289" t="str">
            <v>3B</v>
          </cell>
          <cell r="I289">
            <v>150000</v>
          </cell>
        </row>
        <row r="290">
          <cell r="B290" t="str">
            <v>KARMILA</v>
          </cell>
          <cell r="C290" t="str">
            <v>CABANG UTAMA KLAS TG.PRIOK</v>
          </cell>
          <cell r="D290" t="str">
            <v>CABANG UTAMA KLAS TG.PRIOK</v>
          </cell>
          <cell r="E290" t="str">
            <v>ANALIS ADMINISTRASI UMUM &amp; KEUANGAN</v>
          </cell>
          <cell r="F290" t="str">
            <v>karmila@bki.co.id</v>
          </cell>
          <cell r="G290" t="str">
            <v>08129601868</v>
          </cell>
          <cell r="H290" t="str">
            <v>5A</v>
          </cell>
          <cell r="I290">
            <v>0</v>
          </cell>
        </row>
        <row r="291">
          <cell r="B291" t="str">
            <v>RM KURNAEFI</v>
          </cell>
          <cell r="C291" t="str">
            <v>CABANG UTAMA KLAS TG.PRIOK</v>
          </cell>
          <cell r="D291" t="str">
            <v>CABANG UTAMA KLAS TG.PRIOK</v>
          </cell>
          <cell r="E291" t="str">
            <v>ADMINISTRATOR SENIOR</v>
          </cell>
          <cell r="F291" t="str">
            <v>kurnaefi@bki.co.id</v>
          </cell>
          <cell r="G291">
            <v>0</v>
          </cell>
          <cell r="H291" t="str">
            <v>3B</v>
          </cell>
          <cell r="I291">
            <v>150000</v>
          </cell>
        </row>
        <row r="292">
          <cell r="B292" t="str">
            <v>TONI SYARIF HIDAYAH</v>
          </cell>
          <cell r="C292" t="str">
            <v>CABANG UTAMA KLAS TG.PRIOK</v>
          </cell>
          <cell r="D292" t="str">
            <v>CABANG UTAMA KLAS TG.PRIOK</v>
          </cell>
          <cell r="E292" t="str">
            <v>OFFICER ADMINISTRASI UMUM</v>
          </cell>
          <cell r="F292" t="str">
            <v>toni@bki.co.id</v>
          </cell>
          <cell r="G292" t="str">
            <v>081233028870</v>
          </cell>
          <cell r="H292" t="str">
            <v>4A</v>
          </cell>
          <cell r="I292">
            <v>150000</v>
          </cell>
        </row>
        <row r="293">
          <cell r="B293" t="str">
            <v>HARDI E. P. SIAGIAN</v>
          </cell>
          <cell r="C293" t="str">
            <v>CABANG UTAMA KLAS TG.PRIOK</v>
          </cell>
          <cell r="D293" t="str">
            <v>CABANG UTAMA KLAS TG.PRIOK</v>
          </cell>
          <cell r="E293" t="str">
            <v>SURVEYOR SENIOR I A</v>
          </cell>
          <cell r="F293" t="str">
            <v>hardi@bki.co.id</v>
          </cell>
          <cell r="G293" t="str">
            <v>081330340003</v>
          </cell>
          <cell r="H293" t="str">
            <v>6A</v>
          </cell>
          <cell r="I293">
            <v>150000</v>
          </cell>
        </row>
        <row r="294">
          <cell r="B294" t="str">
            <v>TAUFIK ARIE WIJAYA</v>
          </cell>
          <cell r="C294" t="str">
            <v>CABANG UTAMA KLAS TG.PRIOK</v>
          </cell>
          <cell r="D294" t="str">
            <v>CABANG UTAMA KLAS TG.PRIOK</v>
          </cell>
          <cell r="E294" t="str">
            <v>STAF UTAMA I</v>
          </cell>
          <cell r="F294" t="str">
            <v>taufikaw@bki.co.id</v>
          </cell>
          <cell r="G294" t="str">
            <v>08128221910</v>
          </cell>
          <cell r="H294" t="str">
            <v>7A</v>
          </cell>
          <cell r="I294">
            <v>0</v>
          </cell>
        </row>
        <row r="295">
          <cell r="B295" t="str">
            <v>INDRA PERMANA</v>
          </cell>
          <cell r="C295" t="str">
            <v>CABANG UTAMA KLAS TG.PRIOK</v>
          </cell>
          <cell r="D295" t="str">
            <v>CABANG UTAMA KLAS TG.PRIOK</v>
          </cell>
          <cell r="E295" t="str">
            <v>ADMINISTRATOR SENIOR</v>
          </cell>
          <cell r="F295" t="str">
            <v>indra.permana@bki.co.id</v>
          </cell>
          <cell r="G295" t="str">
            <v>087871762211</v>
          </cell>
          <cell r="H295" t="str">
            <v>3B</v>
          </cell>
          <cell r="I295">
            <v>150000</v>
          </cell>
        </row>
        <row r="296">
          <cell r="B296" t="str">
            <v>RONY WIRANTO SETIAWAN</v>
          </cell>
          <cell r="C296" t="str">
            <v>CABANG UTAMA KLAS TG.PRIOK</v>
          </cell>
          <cell r="D296" t="str">
            <v>CABANG UTAMA KLAS TG.PRIOK</v>
          </cell>
          <cell r="E296" t="str">
            <v>MANAGER ADMINISTRASI UMUM &amp; KEUANGAN KLAS TG. PRIOK</v>
          </cell>
          <cell r="F296" t="str">
            <v>roni.ws@bki.co.id</v>
          </cell>
          <cell r="G296" t="str">
            <v>081231170988</v>
          </cell>
          <cell r="H296" t="str">
            <v>5C</v>
          </cell>
          <cell r="I296">
            <v>150000</v>
          </cell>
        </row>
        <row r="297">
          <cell r="B297" t="str">
            <v>MUHAMMAD IDI</v>
          </cell>
          <cell r="C297" t="str">
            <v>CABANG UTAMA KLAS TG.PRIOK</v>
          </cell>
          <cell r="D297" t="str">
            <v>CABANG UTAMA KLAS TG.PRIOK</v>
          </cell>
          <cell r="E297" t="str">
            <v>KEPALA CABANG UTAMA KLAS TG. PRIOK</v>
          </cell>
          <cell r="F297" t="str">
            <v>idi@bki.co.id</v>
          </cell>
          <cell r="G297" t="str">
            <v>081346603330</v>
          </cell>
          <cell r="H297" t="str">
            <v>8A</v>
          </cell>
          <cell r="I297">
            <v>500000</v>
          </cell>
        </row>
        <row r="298">
          <cell r="B298" t="str">
            <v>DIDI KURNIADI</v>
          </cell>
          <cell r="C298" t="str">
            <v>CABANG UTAMA KLAS TG.PRIOK</v>
          </cell>
          <cell r="D298" t="str">
            <v>CABANG UTAMA KLAS TG.PRIOK</v>
          </cell>
          <cell r="E298" t="str">
            <v>SENIOR MANAGER OPERASI KLAS TG.PRIOK</v>
          </cell>
          <cell r="F298" t="str">
            <v>didi@bki.co.id</v>
          </cell>
          <cell r="G298" t="str">
            <v>0813 3006 7317</v>
          </cell>
          <cell r="H298" t="str">
            <v>7B</v>
          </cell>
          <cell r="I298">
            <v>0</v>
          </cell>
        </row>
        <row r="299">
          <cell r="B299" t="str">
            <v>EKO MAJA PRIYANTO</v>
          </cell>
          <cell r="C299" t="str">
            <v>CABANG UTAMA KLAS TG.PRIOK</v>
          </cell>
          <cell r="D299" t="str">
            <v>CABANG UTAMA KLAS TG.PRIOK</v>
          </cell>
          <cell r="E299" t="str">
            <v>SENIOR MANAGER PEMASARAN OFFSHORE KLAS</v>
          </cell>
          <cell r="F299" t="str">
            <v>eko.maja@bki.co.id</v>
          </cell>
          <cell r="G299" t="str">
            <v>081256599533</v>
          </cell>
          <cell r="H299" t="str">
            <v>7C</v>
          </cell>
          <cell r="I299">
            <v>0</v>
          </cell>
        </row>
        <row r="300">
          <cell r="B300" t="str">
            <v>SHINDU PURWANTO</v>
          </cell>
          <cell r="C300" t="str">
            <v>CABANG UTAMA KLAS TG.PRIOK</v>
          </cell>
          <cell r="D300" t="str">
            <v>CABANG UTAMA KLAS TG.PRIOK</v>
          </cell>
          <cell r="E300" t="str">
            <v>SURVEYOR SENIOR II B</v>
          </cell>
          <cell r="F300" t="str">
            <v>shindu@bki.co.id</v>
          </cell>
          <cell r="G300" t="str">
            <v>081280269612</v>
          </cell>
          <cell r="H300" t="str">
            <v>7B</v>
          </cell>
          <cell r="I300">
            <v>0</v>
          </cell>
        </row>
        <row r="301">
          <cell r="B301" t="str">
            <v>NARSO</v>
          </cell>
          <cell r="C301" t="str">
            <v>CABANG UTAMA KLAS TG.PRIOK</v>
          </cell>
          <cell r="D301" t="str">
            <v>CABANG UTAMA KLAS TG.PRIOK</v>
          </cell>
          <cell r="E301" t="str">
            <v>SURVEYOR SENIOR I A</v>
          </cell>
          <cell r="F301" t="str">
            <v>narso@bki.co.id</v>
          </cell>
          <cell r="G301" t="str">
            <v>081350014469</v>
          </cell>
          <cell r="H301" t="str">
            <v>6A</v>
          </cell>
          <cell r="I301">
            <v>250000</v>
          </cell>
        </row>
        <row r="302">
          <cell r="B302" t="str">
            <v>WILDANIS MIFTAHUL ABROR</v>
          </cell>
          <cell r="C302" t="str">
            <v>CABANG UTAMA KLAS TG.PRIOK</v>
          </cell>
          <cell r="D302" t="str">
            <v>CABANG UTAMA KLAS TG.PRIOK</v>
          </cell>
          <cell r="E302" t="str">
            <v xml:space="preserve">SURVEYOR JUNIOR </v>
          </cell>
          <cell r="F302" t="str">
            <v>wildanis.abror@bki.co.id</v>
          </cell>
          <cell r="G302" t="str">
            <v>081211709932</v>
          </cell>
          <cell r="H302" t="str">
            <v>4C</v>
          </cell>
          <cell r="I302">
            <v>150000</v>
          </cell>
        </row>
        <row r="303">
          <cell r="B303" t="str">
            <v>ADI YUDHO WIJAYANTO</v>
          </cell>
          <cell r="C303" t="str">
            <v>DIVISI OPERASI BISNIS KLASIFIKASI</v>
          </cell>
          <cell r="D303" t="str">
            <v>CABANG UTAMA KLAS TG.PRIOK</v>
          </cell>
          <cell r="E303" t="str">
            <v>SURVEYOR SENIOR I B KENDALI OPERASI YANG DITEMPATKAN DI CABANG UTAMA KLAS TG. PRIOK (OFFSHORE)</v>
          </cell>
          <cell r="F303" t="str">
            <v>adi.yw@bki.co.id</v>
          </cell>
          <cell r="G303" t="str">
            <v>081230754445</v>
          </cell>
          <cell r="H303" t="str">
            <v>6B</v>
          </cell>
          <cell r="I303">
            <v>0</v>
          </cell>
        </row>
        <row r="304">
          <cell r="B304" t="str">
            <v>DEDE NANDA SETYADIN</v>
          </cell>
          <cell r="C304" t="str">
            <v>DIVISI OPERASI BISNIS KLASIFIKASI</v>
          </cell>
          <cell r="D304" t="str">
            <v>CABANG UTAMA KLAS TG.PRIOK</v>
          </cell>
          <cell r="E304" t="str">
            <v>SURVEYOR SENIOR I B KENDALI OPERASI YANG DITEMPATKAN DI CABANG UTAMA KLAS TG. PRIOK</v>
          </cell>
          <cell r="F304" t="str">
            <v>dede.ns@bki.co.id</v>
          </cell>
          <cell r="G304" t="str">
            <v>081230811740</v>
          </cell>
          <cell r="H304" t="str">
            <v>6B</v>
          </cell>
          <cell r="I304">
            <v>0</v>
          </cell>
        </row>
        <row r="305">
          <cell r="B305" t="str">
            <v>YASIN BESARI MUSTOFA</v>
          </cell>
          <cell r="C305" t="str">
            <v>CABANG UTAMA KLAS TG.PRIOK</v>
          </cell>
          <cell r="D305" t="str">
            <v>CABANG UTAMA KLAS TG.PRIOK</v>
          </cell>
          <cell r="E305" t="str">
            <v>SURVEYOR</v>
          </cell>
          <cell r="F305" t="str">
            <v>besari@bki.co.id</v>
          </cell>
          <cell r="G305" t="str">
            <v/>
          </cell>
          <cell r="H305" t="str">
            <v>5C</v>
          </cell>
          <cell r="I305">
            <v>0</v>
          </cell>
        </row>
        <row r="306">
          <cell r="B306" t="str">
            <v>IRWAN EKO SANTOSO</v>
          </cell>
          <cell r="C306" t="str">
            <v>CABANG UTAMA KLAS TG.PRIOK</v>
          </cell>
          <cell r="D306" t="str">
            <v>CABANG UTAMA KLAS TG.PRIOK</v>
          </cell>
          <cell r="E306" t="str">
            <v>SURVEYOR SENIOR I A</v>
          </cell>
          <cell r="F306" t="str">
            <v>irwan.es@bki.co.id</v>
          </cell>
          <cell r="G306" t="str">
            <v>081331036880</v>
          </cell>
          <cell r="H306" t="str">
            <v>6A</v>
          </cell>
          <cell r="I306">
            <v>250000</v>
          </cell>
        </row>
        <row r="307">
          <cell r="B307" t="str">
            <v>EFI LISTIA YUNI</v>
          </cell>
          <cell r="C307" t="str">
            <v>CABANG UTAMA KLAS TG.PRIOK</v>
          </cell>
          <cell r="D307" t="str">
            <v>CABANG UTAMA KLAS TG.PRIOK</v>
          </cell>
          <cell r="E307" t="str">
            <v>STAF DUKUNGAN BISNIS</v>
          </cell>
          <cell r="F307" t="str">
            <v>efi.yuni@bki.co.id</v>
          </cell>
          <cell r="G307" t="str">
            <v>085777484817</v>
          </cell>
          <cell r="H307" t="str">
            <v>-</v>
          </cell>
          <cell r="I307">
            <v>0</v>
          </cell>
        </row>
        <row r="308">
          <cell r="B308" t="str">
            <v>HAFIZH MUHAMMAD NAUFAL SHIDQI</v>
          </cell>
          <cell r="C308" t="str">
            <v>CABANG UTAMA KLAS TG.PRIOK</v>
          </cell>
          <cell r="D308" t="str">
            <v>CABANG UTAMA KLAS TG.PRIOK</v>
          </cell>
          <cell r="E308" t="str">
            <v>STAF DUKUNGAN BISNIS</v>
          </cell>
          <cell r="F308" t="str">
            <v>hafizh.muhammad@bki.co.id</v>
          </cell>
          <cell r="G308" t="str">
            <v>082140788482</v>
          </cell>
          <cell r="H308" t="str">
            <v>-</v>
          </cell>
          <cell r="I308">
            <v>0</v>
          </cell>
        </row>
        <row r="309">
          <cell r="B309" t="str">
            <v>MIRZA OTTOSENNA SYAILENDRA</v>
          </cell>
          <cell r="C309" t="str">
            <v>CABANG UTAMA KLAS TG.PRIOK</v>
          </cell>
          <cell r="D309" t="str">
            <v>CABANG UTAMA KLAS TG.PRIOK</v>
          </cell>
          <cell r="E309" t="str">
            <v>STAF DUKUNGAN BISNIS</v>
          </cell>
          <cell r="F309" t="str">
            <v>mirza.otto@bki.co.id</v>
          </cell>
          <cell r="G309">
            <v>0</v>
          </cell>
          <cell r="H309" t="str">
            <v>-</v>
          </cell>
          <cell r="I309">
            <v>0</v>
          </cell>
        </row>
        <row r="310">
          <cell r="B310" t="str">
            <v>AYU PADMASANTI</v>
          </cell>
          <cell r="C310" t="str">
            <v>CABANG UTAMA KLAS TG.PRIOK</v>
          </cell>
          <cell r="D310" t="str">
            <v>CABANG UTAMA KLAS TG.PRIOK</v>
          </cell>
          <cell r="E310" t="str">
            <v>STAF DUKUNGAN BISNIS</v>
          </cell>
          <cell r="F310" t="str">
            <v>ayu.Padmasanti@bki.co.id</v>
          </cell>
          <cell r="G310" t="str">
            <v>082296753006</v>
          </cell>
          <cell r="H310" t="str">
            <v>-</v>
          </cell>
          <cell r="I310">
            <v>0</v>
          </cell>
        </row>
        <row r="311">
          <cell r="B311" t="str">
            <v>DHIA ADLINA FAJARIN GHAISANI</v>
          </cell>
          <cell r="C311" t="str">
            <v>CABANG UTAMA KLAS TG.PRIOK</v>
          </cell>
          <cell r="D311" t="str">
            <v>CABANG UTAMA KLAS TG.PRIOK</v>
          </cell>
          <cell r="E311" t="str">
            <v>STAF DUKUNGAN BISNIS</v>
          </cell>
          <cell r="F311" t="str">
            <v>dhia.adlina@bki.co.id</v>
          </cell>
          <cell r="G311" t="str">
            <v>081336711670</v>
          </cell>
          <cell r="H311" t="str">
            <v>-</v>
          </cell>
          <cell r="I311">
            <v>0</v>
          </cell>
        </row>
        <row r="312">
          <cell r="B312" t="str">
            <v>FAHMI ALDY</v>
          </cell>
          <cell r="C312" t="str">
            <v>CABANG UTAMA KLAS TG.PRIOK</v>
          </cell>
          <cell r="D312" t="str">
            <v>CABANG UTAMA KLAS TG.PRIOK</v>
          </cell>
          <cell r="E312" t="str">
            <v>STAF DUKUNGAN BISNIS</v>
          </cell>
          <cell r="F312" t="str">
            <v>fahmi.aldy@bki.co.id</v>
          </cell>
          <cell r="G312" t="str">
            <v>081289220828</v>
          </cell>
          <cell r="H312" t="str">
            <v>-</v>
          </cell>
          <cell r="I312">
            <v>0</v>
          </cell>
        </row>
        <row r="313">
          <cell r="B313" t="str">
            <v>NADA NISRINA MARAHAINI</v>
          </cell>
          <cell r="C313" t="str">
            <v>CABANG UTAMA KLAS TG.PRIOK</v>
          </cell>
          <cell r="D313" t="str">
            <v>CABANG UTAMA KLAS TG.PRIOK</v>
          </cell>
          <cell r="E313" t="str">
            <v>STAF DUKUNGAN BISNIS</v>
          </cell>
          <cell r="F313" t="str">
            <v>nada.nisrina@bki.co.id</v>
          </cell>
          <cell r="G313" t="str">
            <v>081296402266</v>
          </cell>
          <cell r="H313" t="str">
            <v>-</v>
          </cell>
          <cell r="I313">
            <v>0</v>
          </cell>
        </row>
        <row r="314">
          <cell r="B314" t="str">
            <v>HANDARBENI DWI PRASETYO</v>
          </cell>
          <cell r="C314" t="str">
            <v>CABANG UTAMA KLAS TG.PRIOK</v>
          </cell>
          <cell r="D314" t="str">
            <v>CABANG UTAMA KLAS TG.PRIOK</v>
          </cell>
          <cell r="E314" t="str">
            <v>STAF OPERASIONAL</v>
          </cell>
          <cell r="F314" t="str">
            <v>handarbeni.dp@bki.co.id</v>
          </cell>
          <cell r="H314" t="str">
            <v>-</v>
          </cell>
          <cell r="I314">
            <v>0</v>
          </cell>
        </row>
        <row r="315">
          <cell r="B315" t="str">
            <v>WAWAN PRIYA WIDYANTA</v>
          </cell>
          <cell r="C315" t="str">
            <v>CABANG UTAMA KOMERSIAL JAKARTA</v>
          </cell>
          <cell r="D315" t="str">
            <v>CABANG UTAMA KOMERSIAL JAKARTA</v>
          </cell>
          <cell r="E315" t="str">
            <v>SPESIALIS VERIFIKASI &amp; VALIDASI</v>
          </cell>
          <cell r="F315" t="str">
            <v>wawan@bki.co.id</v>
          </cell>
          <cell r="G315" t="str">
            <v>082113037170</v>
          </cell>
          <cell r="H315" t="str">
            <v>6A</v>
          </cell>
          <cell r="I315">
            <v>250000</v>
          </cell>
        </row>
        <row r="316">
          <cell r="B316" t="str">
            <v>BUDIMAN JOHANSYAH</v>
          </cell>
          <cell r="C316" t="str">
            <v>CABANG UTAMA KOMERSIAL JAKARTA</v>
          </cell>
          <cell r="D316" t="str">
            <v>CABANG UTAMA KOMERSIAL JAKARTA</v>
          </cell>
          <cell r="E316" t="str">
            <v>KEPALA CABANG UTAMA KOMERSIAL JAKARTA</v>
          </cell>
          <cell r="F316" t="str">
            <v>budiman@bki.co.id</v>
          </cell>
          <cell r="G316" t="str">
            <v>08117713450</v>
          </cell>
          <cell r="H316" t="str">
            <v>8B</v>
          </cell>
          <cell r="I316">
            <v>350000</v>
          </cell>
        </row>
        <row r="317">
          <cell r="B317" t="str">
            <v>HARRYS PAHALA MANALU</v>
          </cell>
          <cell r="C317" t="str">
            <v>CABANG UTAMA KOMERSIAL JAKARTA</v>
          </cell>
          <cell r="D317" t="str">
            <v>CABANG UTAMA KOMERSIAL JAKARTA</v>
          </cell>
          <cell r="E317" t="str">
            <v>PJ. SENIOR MANAGER OPERASI TRANSPORT &amp; LOGISTIC</v>
          </cell>
          <cell r="F317" t="str">
            <v>harrys.pm@bki.co.id</v>
          </cell>
          <cell r="G317" t="str">
            <v>082117700986</v>
          </cell>
          <cell r="H317" t="str">
            <v>5C</v>
          </cell>
          <cell r="I317">
            <v>150000</v>
          </cell>
        </row>
        <row r="318">
          <cell r="B318" t="str">
            <v>ELVA MOCHAMAD RAMDHANI</v>
          </cell>
          <cell r="C318" t="str">
            <v>CABANG UTAMA KOMERSIAL JAKARTA</v>
          </cell>
          <cell r="D318" t="str">
            <v>CABANG UTAMA KOMERSIAL JAKARTA</v>
          </cell>
          <cell r="E318" t="str">
            <v>SENIOR MANAGER TKDN &amp; PEMERINTAHAN</v>
          </cell>
          <cell r="F318" t="str">
            <v>elva@bki.co.id</v>
          </cell>
          <cell r="G318" t="str">
            <v>082123452060</v>
          </cell>
          <cell r="H318" t="str">
            <v>7B</v>
          </cell>
          <cell r="I318">
            <v>350000</v>
          </cell>
        </row>
        <row r="319">
          <cell r="B319" t="str">
            <v>MUH. ASPAR</v>
          </cell>
          <cell r="C319" t="str">
            <v>CABANG UTAMA KOMERSIAL JAKARTA</v>
          </cell>
          <cell r="D319" t="str">
            <v>CABANG UTAMA KOMERSIAL JAKARTA</v>
          </cell>
          <cell r="E319" t="str">
            <v>SENIOR MANAGER PENJUALAN DAN DUKUNGAN BISNIS KOMERSIAL JAKARTA</v>
          </cell>
          <cell r="F319" t="str">
            <v>aspar@bki.co.id</v>
          </cell>
          <cell r="G319" t="str">
            <v>0811772877</v>
          </cell>
          <cell r="H319" t="str">
            <v>7A</v>
          </cell>
          <cell r="I319">
            <v>250000</v>
          </cell>
        </row>
        <row r="320">
          <cell r="B320" t="str">
            <v>DANIEL MAHARDHIKA</v>
          </cell>
          <cell r="C320" t="str">
            <v>CABANG UTAMA KOMERSIAL JAKARTA</v>
          </cell>
          <cell r="D320" t="str">
            <v>CABANG UTAMA KOMERSIAL JAKARTA</v>
          </cell>
          <cell r="E320" t="str">
            <v>MANAGER BISNIS HIJAU</v>
          </cell>
          <cell r="F320" t="str">
            <v>daniel.mahardhika@bki.co.id</v>
          </cell>
          <cell r="G320" t="str">
            <v>085746095515</v>
          </cell>
          <cell r="H320" t="str">
            <v>5C</v>
          </cell>
          <cell r="I320">
            <v>250000</v>
          </cell>
        </row>
        <row r="321">
          <cell r="B321" t="str">
            <v>BAMBANG WIJANARKO</v>
          </cell>
          <cell r="C321" t="str">
            <v>CABANG UTAMA KOMERSIAL JAKARTA</v>
          </cell>
          <cell r="D321" t="str">
            <v>CABANG UTAMA KOMERSIAL JAKARTA</v>
          </cell>
          <cell r="E321" t="str">
            <v>MANAGER LABORATORIUM</v>
          </cell>
          <cell r="F321" t="str">
            <v>wijanarko@bki.co.id</v>
          </cell>
          <cell r="G321" t="str">
            <v>081385270105</v>
          </cell>
          <cell r="H321" t="str">
            <v>5C</v>
          </cell>
          <cell r="I321">
            <v>150000</v>
          </cell>
        </row>
        <row r="322">
          <cell r="B322" t="str">
            <v>FERNANDO S</v>
          </cell>
          <cell r="C322" t="str">
            <v>CABANG UTAMA KOMERSIAL JAKARTA</v>
          </cell>
          <cell r="D322" t="str">
            <v>CABANG UTAMA KOMERSIAL JAKARTA</v>
          </cell>
          <cell r="E322" t="str">
            <v>MANAGER PENJUALAN KOMERSIAL JAKARTA</v>
          </cell>
          <cell r="F322" t="str">
            <v>fernando@bki.co.id</v>
          </cell>
          <cell r="G322">
            <v>0</v>
          </cell>
          <cell r="H322" t="str">
            <v>5B</v>
          </cell>
          <cell r="I322">
            <v>150000</v>
          </cell>
        </row>
        <row r="323">
          <cell r="B323" t="str">
            <v>MERDIANSAH</v>
          </cell>
          <cell r="C323" t="str">
            <v>CABANG UTAMA KOMERSIAL JAKARTA</v>
          </cell>
          <cell r="D323" t="str">
            <v>CABANG UTAMA KOMERSIAL JAKARTA</v>
          </cell>
          <cell r="E323" t="str">
            <v>MANAGER ADMINISTRASI UMUM DAN KEUANGAN</v>
          </cell>
          <cell r="F323" t="str">
            <v>merdiansah@bki.co.id</v>
          </cell>
          <cell r="G323" t="str">
            <v>0822 3352 1552</v>
          </cell>
          <cell r="H323" t="str">
            <v>5C</v>
          </cell>
          <cell r="I323">
            <v>250000</v>
          </cell>
        </row>
        <row r="324">
          <cell r="B324" t="str">
            <v>SUSETYO WIJANARKO BUDIARDHI</v>
          </cell>
          <cell r="C324" t="str">
            <v>CABANG UTAMA KOMERSIAL JAKARTA</v>
          </cell>
          <cell r="D324" t="str">
            <v>CABANG UTAMA KOMERSIAL JAKARTA</v>
          </cell>
          <cell r="E324" t="str">
            <v>INSPEKTUR OPERASI ENERGI</v>
          </cell>
          <cell r="F324" t="str">
            <v>sesetyo@bki.co.id</v>
          </cell>
          <cell r="G324" t="str">
            <v>081384331111</v>
          </cell>
          <cell r="H324" t="str">
            <v>5C</v>
          </cell>
          <cell r="I324">
            <v>150000</v>
          </cell>
        </row>
        <row r="325">
          <cell r="B325" t="str">
            <v>AZHAR GHIPARI</v>
          </cell>
          <cell r="C325" t="str">
            <v>CABANG UTAMA KOMERSIAL JAKARTA</v>
          </cell>
          <cell r="D325" t="str">
            <v>CABANG UTAMA KOMERSIAL JAKARTA</v>
          </cell>
          <cell r="E325" t="str">
            <v>INSPEKTUR OPERASI ENERGI</v>
          </cell>
          <cell r="F325" t="str">
            <v>azhar.ghipari@bki.co.id</v>
          </cell>
          <cell r="G325" t="str">
            <v>081295224728</v>
          </cell>
          <cell r="H325" t="str">
            <v>5C</v>
          </cell>
          <cell r="I325">
            <v>100000</v>
          </cell>
        </row>
        <row r="326">
          <cell r="B326" t="str">
            <v>CATUR WIBOWO</v>
          </cell>
          <cell r="C326" t="str">
            <v>CABANG UTAMA KOMERSIAL JAKARTA</v>
          </cell>
          <cell r="D326" t="str">
            <v>CABANG UTAMA KOMERSIAL JAKARTA</v>
          </cell>
          <cell r="E326" t="str">
            <v>INSPEKTUR OPERASI ENERGI</v>
          </cell>
          <cell r="F326" t="str">
            <v>catur.wibowo@bki.co.id</v>
          </cell>
          <cell r="G326" t="str">
            <v>081212048118</v>
          </cell>
          <cell r="H326" t="str">
            <v>5C</v>
          </cell>
          <cell r="I326">
            <v>0</v>
          </cell>
        </row>
        <row r="327">
          <cell r="B327" t="str">
            <v>EDIT HASTA PRIHANTIKA</v>
          </cell>
          <cell r="C327" t="str">
            <v>CABANG UTAMA KOMERSIAL JAKARTA</v>
          </cell>
          <cell r="D327" t="str">
            <v>CABANG UTAMA KOMERSIAL JAKARTA</v>
          </cell>
          <cell r="E327" t="str">
            <v>INSPEKTUR OPERASI ENERGI</v>
          </cell>
          <cell r="F327" t="str">
            <v>hasta@bki.co.id</v>
          </cell>
          <cell r="G327" t="str">
            <v>082244272242</v>
          </cell>
          <cell r="H327" t="str">
            <v>5C</v>
          </cell>
          <cell r="I327">
            <v>100000</v>
          </cell>
        </row>
        <row r="328">
          <cell r="B328" t="str">
            <v>SUDIRO</v>
          </cell>
          <cell r="C328" t="str">
            <v>CABANG UTAMA KOMERSIAL JAKARTA</v>
          </cell>
          <cell r="D328" t="str">
            <v>CABANG UTAMA KOMERSIAL JAKARTA</v>
          </cell>
          <cell r="E328" t="str">
            <v>ANALIS TEKNIK VERIFIKASI &amp; VALIDASI</v>
          </cell>
          <cell r="F328" t="str">
            <v>sudiro@bki.co.id</v>
          </cell>
          <cell r="G328" t="str">
            <v>085640056444</v>
          </cell>
          <cell r="H328" t="str">
            <v>5A</v>
          </cell>
          <cell r="I328">
            <v>250000</v>
          </cell>
        </row>
        <row r="329">
          <cell r="B329" t="str">
            <v>ARIF RAHMAN HAKIM</v>
          </cell>
          <cell r="C329" t="str">
            <v>CABANG UTAMA KOMERSIAL JAKARTA</v>
          </cell>
          <cell r="D329" t="str">
            <v>CABANG UTAMA KOMERSIAL JAKARTA</v>
          </cell>
          <cell r="E329" t="str">
            <v>INSPEKTUR JUNIOR II OPERASI ENERGI</v>
          </cell>
          <cell r="F329" t="str">
            <v>arif.hakim@bki.co.id</v>
          </cell>
          <cell r="G329" t="str">
            <v/>
          </cell>
          <cell r="H329" t="str">
            <v>4C</v>
          </cell>
          <cell r="I329">
            <v>0</v>
          </cell>
        </row>
        <row r="330">
          <cell r="B330" t="str">
            <v>DIMAS PUTRA PRASETYO</v>
          </cell>
          <cell r="C330" t="str">
            <v>CABANG UTAMA KOMERSIAL JAKARTA</v>
          </cell>
          <cell r="D330" t="str">
            <v>CABANG UTAMA KOMERSIAL JAKARTA</v>
          </cell>
          <cell r="E330" t="str">
            <v>INSPEKTUR JUNIOR II OPERASI ENERGI</v>
          </cell>
          <cell r="F330" t="str">
            <v>dimas.pp@bki.co.id</v>
          </cell>
          <cell r="G330">
            <v>0</v>
          </cell>
          <cell r="H330" t="str">
            <v>4C</v>
          </cell>
          <cell r="I330">
            <v>100000</v>
          </cell>
        </row>
        <row r="331">
          <cell r="B331" t="str">
            <v>FATKHURROHMAN</v>
          </cell>
          <cell r="C331" t="str">
            <v>CABANG UTAMA KOMERSIAL JAKARTA</v>
          </cell>
          <cell r="D331" t="str">
            <v>CABANG UTAMA KOMERSIAL JAKARTA</v>
          </cell>
          <cell r="E331" t="str">
            <v>INSPEKTUR JUNIOR II OPERASI ENERGI</v>
          </cell>
          <cell r="F331" t="str">
            <v>fatkhurrohman@bki.co.id</v>
          </cell>
          <cell r="G331" t="str">
            <v>081212036175</v>
          </cell>
          <cell r="H331" t="str">
            <v>4C</v>
          </cell>
          <cell r="I331">
            <v>100000</v>
          </cell>
        </row>
        <row r="332">
          <cell r="B332" t="str">
            <v>KENNEDI PANGARIBUAN</v>
          </cell>
          <cell r="C332" t="str">
            <v>CABANG UTAMA KOMERSIAL JAKARTA</v>
          </cell>
          <cell r="D332" t="str">
            <v>CABANG UTAMA KOMERSIAL JAKARTA</v>
          </cell>
          <cell r="E332" t="str">
            <v>INSPEKTUR JUNIOR  II OPERASI ENERGI</v>
          </cell>
          <cell r="F332" t="str">
            <v>kenedi.pangaribuan@bki.co.id</v>
          </cell>
          <cell r="G332">
            <v>0</v>
          </cell>
          <cell r="H332" t="str">
            <v>4C</v>
          </cell>
          <cell r="I332">
            <v>150000</v>
          </cell>
        </row>
        <row r="333">
          <cell r="B333" t="str">
            <v>NOVELLA MUSYA</v>
          </cell>
          <cell r="C333" t="str">
            <v>CABANG UTAMA KOMERSIAL JAKARTA</v>
          </cell>
          <cell r="D333" t="str">
            <v>CABANG UTAMA KOMERSIAL JAKARTA</v>
          </cell>
          <cell r="E333" t="str">
            <v>INSPEKTUR JUNIOR II OPERASI ENERGI</v>
          </cell>
          <cell r="F333" t="str">
            <v>novella.musya@bki.co.id</v>
          </cell>
          <cell r="G333" t="str">
            <v>081212789977</v>
          </cell>
          <cell r="H333" t="str">
            <v>4C</v>
          </cell>
          <cell r="I333">
            <v>150000</v>
          </cell>
        </row>
        <row r="334">
          <cell r="B334" t="str">
            <v>RAHADI SIGIT WICAKSONO</v>
          </cell>
          <cell r="C334" t="str">
            <v>CABANG UTAMA KOMERSIAL JAKARTA</v>
          </cell>
          <cell r="D334" t="str">
            <v>CABANG UTAMA KOMERSIAL JAKARTA</v>
          </cell>
          <cell r="E334" t="str">
            <v>INSPEKTUR JUNIOR II OPERASI ENERGI</v>
          </cell>
          <cell r="F334" t="str">
            <v>rahadi@bki.co.id</v>
          </cell>
          <cell r="G334" t="str">
            <v>081288275856</v>
          </cell>
          <cell r="H334" t="str">
            <v>4C</v>
          </cell>
          <cell r="I334">
            <v>150000</v>
          </cell>
        </row>
        <row r="335">
          <cell r="B335" t="str">
            <v>RIZKI ALDILLA TAMTURA</v>
          </cell>
          <cell r="C335" t="str">
            <v>CABANG UTAMA KOMERSIAL JAKARTA</v>
          </cell>
          <cell r="D335" t="str">
            <v>CABANG UTAMA KOMERSIAL JAKARTA</v>
          </cell>
          <cell r="E335" t="str">
            <v>INSPEKTUR JUNIOR II OPERASI ENERGI</v>
          </cell>
          <cell r="F335" t="str">
            <v>rizki.tamtura@bki.co.id</v>
          </cell>
          <cell r="G335" t="str">
            <v>0812 8679 0804</v>
          </cell>
          <cell r="H335" t="str">
            <v>4C</v>
          </cell>
          <cell r="I335">
            <v>150000</v>
          </cell>
        </row>
        <row r="336">
          <cell r="B336" t="str">
            <v>SATRIA ADI SUKMA NEGARA</v>
          </cell>
          <cell r="C336" t="str">
            <v>CABANG UTAMA KOMERSIAL JAKARTA</v>
          </cell>
          <cell r="D336" t="str">
            <v>CABANG UTAMA KOMERSIAL JAKARTA</v>
          </cell>
          <cell r="E336" t="str">
            <v>INSPEKTUR JUNIOR II OPERASI ENERGI</v>
          </cell>
          <cell r="F336" t="str">
            <v>satria.adi@bki.co.id</v>
          </cell>
          <cell r="G336" t="str">
            <v>085205608937</v>
          </cell>
          <cell r="H336" t="str">
            <v>4C</v>
          </cell>
          <cell r="I336">
            <v>100000</v>
          </cell>
        </row>
        <row r="337">
          <cell r="B337" t="str">
            <v>DIMAS ALIF YUNAS</v>
          </cell>
          <cell r="C337" t="str">
            <v>CABANG UTAMA KOMERSIAL JAKARTA</v>
          </cell>
          <cell r="D337" t="str">
            <v>CABANG UTAMA KOMERSIAL JAKARTA</v>
          </cell>
          <cell r="E337" t="str">
            <v>INSPEKTUR JUNIOR I OPERASI ENERGI</v>
          </cell>
          <cell r="F337" t="str">
            <v>dimas.ay@bki.co.id</v>
          </cell>
          <cell r="G337" t="str">
            <v>081249990656</v>
          </cell>
          <cell r="H337" t="str">
            <v>3C</v>
          </cell>
          <cell r="I337">
            <v>0</v>
          </cell>
        </row>
        <row r="338">
          <cell r="B338" t="str">
            <v>DINO VITA LARASANTO</v>
          </cell>
          <cell r="C338" t="str">
            <v>CABANG UTAMA KOMERSIAL JAKARTA</v>
          </cell>
          <cell r="D338" t="str">
            <v>CABANG UTAMA KOMERSIAL JAKARTA</v>
          </cell>
          <cell r="E338" t="str">
            <v>INSPEKTUR JUNIOR I OPERASI ENERGI</v>
          </cell>
          <cell r="F338" t="str">
            <v>dino.vl@bki.co.id</v>
          </cell>
          <cell r="G338" t="str">
            <v>081380487787</v>
          </cell>
          <cell r="H338" t="str">
            <v>3C</v>
          </cell>
          <cell r="I338">
            <v>150000</v>
          </cell>
        </row>
        <row r="339">
          <cell r="B339" t="str">
            <v>MUGHNI COKROBASWORO</v>
          </cell>
          <cell r="C339" t="str">
            <v>CABANG UTAMA KOMERSIAL JAKARTA</v>
          </cell>
          <cell r="D339" t="str">
            <v>CABANG UTAMA KOMERSIAL JAKARTA</v>
          </cell>
          <cell r="E339" t="str">
            <v>INSPEKTUR JUNIOR I OPERASI ENERGI</v>
          </cell>
          <cell r="F339" t="str">
            <v>mughni@bki.co.id</v>
          </cell>
          <cell r="G339">
            <v>0</v>
          </cell>
          <cell r="H339" t="str">
            <v>3C</v>
          </cell>
          <cell r="I339">
            <v>0</v>
          </cell>
        </row>
        <row r="340">
          <cell r="B340" t="str">
            <v>SIGIT SUHAKSO</v>
          </cell>
          <cell r="C340" t="str">
            <v>CABANG UTAMA KOMERSIAL JAKARTA</v>
          </cell>
          <cell r="D340" t="str">
            <v>CABANG UTAMA KOMERSIAL JAKARTA</v>
          </cell>
          <cell r="E340" t="str">
            <v>INSPEKTUR JUNIOR I OPERASI ENERGI</v>
          </cell>
          <cell r="F340" t="str">
            <v>sigit.suhakso@bki.co.id</v>
          </cell>
          <cell r="G340" t="str">
            <v>081283700066</v>
          </cell>
          <cell r="H340" t="str">
            <v>3C</v>
          </cell>
          <cell r="I340">
            <v>0</v>
          </cell>
        </row>
        <row r="341">
          <cell r="B341" t="str">
            <v>SYAFRIL</v>
          </cell>
          <cell r="C341" t="str">
            <v>CABANG UTAMA KOMERSIAL JAKARTA</v>
          </cell>
          <cell r="D341" t="str">
            <v>CABANG UTAMA KOMERSIAL JAKARTA</v>
          </cell>
          <cell r="E341" t="str">
            <v>INSPEKTUR JUNIOR I OPERASI ENERGI</v>
          </cell>
          <cell r="F341" t="str">
            <v>syafril@bki.co.id</v>
          </cell>
          <cell r="G341" t="str">
            <v>08780022888</v>
          </cell>
          <cell r="H341" t="str">
            <v>3C</v>
          </cell>
          <cell r="I341">
            <v>150000</v>
          </cell>
        </row>
        <row r="342">
          <cell r="B342" t="str">
            <v>HENDI ZULFAN</v>
          </cell>
          <cell r="C342" t="str">
            <v>CABANG UTAMA KOMERSIAL JAKARTA</v>
          </cell>
          <cell r="D342" t="str">
            <v>CABANG UTAMA KOMERSIAL JAKARTA</v>
          </cell>
          <cell r="E342" t="str">
            <v>OPERATOR PENGUJIAN</v>
          </cell>
          <cell r="F342" t="str">
            <v>hendy.zulfan@bki.co.id</v>
          </cell>
          <cell r="G342" t="str">
            <v>082284892744</v>
          </cell>
          <cell r="H342" t="str">
            <v>3C</v>
          </cell>
          <cell r="I342">
            <v>150000</v>
          </cell>
        </row>
        <row r="343">
          <cell r="B343" t="str">
            <v>MUHAMMAD SOFIAN</v>
          </cell>
          <cell r="C343" t="str">
            <v>CABANG UTAMA KOMERSIAL JAKARTA</v>
          </cell>
          <cell r="D343" t="str">
            <v>CABANG UTAMA KOMERSIAL JAKARTA</v>
          </cell>
          <cell r="E343" t="str">
            <v>ADMINISTRATOR KEUANGAN</v>
          </cell>
          <cell r="F343" t="str">
            <v>sofian@bki.co.id</v>
          </cell>
          <cell r="G343">
            <v>0</v>
          </cell>
          <cell r="H343" t="str">
            <v>2A</v>
          </cell>
          <cell r="I343">
            <v>100000</v>
          </cell>
        </row>
        <row r="344">
          <cell r="B344" t="str">
            <v>FEBRIANSYAH</v>
          </cell>
          <cell r="C344" t="str">
            <v>CABANG UTAMA KOMERSIAL JAKARTA</v>
          </cell>
          <cell r="D344" t="str">
            <v>CABANG UTAMA KOMERSIAL JAKARTA</v>
          </cell>
          <cell r="E344" t="str">
            <v>PJ. SENIOR MANAGER ENERGY</v>
          </cell>
          <cell r="F344" t="str">
            <v>febriansyah@bki.co.id</v>
          </cell>
          <cell r="G344" t="str">
            <v>081220157726</v>
          </cell>
          <cell r="H344" t="str">
            <v>5C</v>
          </cell>
          <cell r="I344">
            <v>0</v>
          </cell>
        </row>
        <row r="345">
          <cell r="B345" t="str">
            <v>ABD. RAHMAN</v>
          </cell>
          <cell r="C345" t="str">
            <v>CABANG UTAMA KOMERSIAL JAKARTA</v>
          </cell>
          <cell r="D345" t="str">
            <v>CABANG UTAMA KOMERSIAL JAKARTA</v>
          </cell>
          <cell r="E345" t="str">
            <v>INSPEKTUR SENIOR I OPERASI TRANSPORT &amp; LOGISTIC</v>
          </cell>
          <cell r="F345" t="str">
            <v>abd.rahman@bki.co.id</v>
          </cell>
          <cell r="G345" t="str">
            <v>0811 429 250</v>
          </cell>
          <cell r="H345" t="str">
            <v>6C</v>
          </cell>
          <cell r="I345">
            <v>150000</v>
          </cell>
        </row>
        <row r="346">
          <cell r="B346" t="str">
            <v>ISMAIL</v>
          </cell>
          <cell r="C346" t="str">
            <v>CABANG UTAMA KOMERSIAL JAKARTA</v>
          </cell>
          <cell r="D346" t="str">
            <v>CABANG UTAMA KOMERSIAL JAKARTA</v>
          </cell>
          <cell r="E346" t="str">
            <v>INSPEKTUR SENIOR I OPERASI TRANSPORT &amp; LOGISTIC</v>
          </cell>
          <cell r="F346" t="str">
            <v>ismail@bki.co.id</v>
          </cell>
          <cell r="G346" t="str">
            <v>087818253766</v>
          </cell>
          <cell r="H346" t="str">
            <v>6C</v>
          </cell>
          <cell r="I346">
            <v>350000</v>
          </cell>
        </row>
        <row r="347">
          <cell r="B347" t="str">
            <v>NERLAN PASARIBU</v>
          </cell>
          <cell r="C347" t="str">
            <v>CABANG UTAMA KOMERSIAL JAKARTA</v>
          </cell>
          <cell r="D347" t="str">
            <v>CABANG UTAMA KOMERSIAL JAKARTA</v>
          </cell>
          <cell r="E347" t="str">
            <v>INSPEKTUR OPERASI TRANSPORT &amp; LOGISTIC</v>
          </cell>
          <cell r="F347" t="str">
            <v>nerlan@bki.co.id</v>
          </cell>
          <cell r="G347" t="str">
            <v>081384234865</v>
          </cell>
          <cell r="H347" t="str">
            <v>5C</v>
          </cell>
          <cell r="I347">
            <v>250000</v>
          </cell>
        </row>
        <row r="348">
          <cell r="B348" t="str">
            <v>R. ADE WARDOYO WINOTO PUTRO</v>
          </cell>
          <cell r="C348" t="str">
            <v>CABANG UTAMA KOMERSIAL JAKARTA</v>
          </cell>
          <cell r="D348" t="str">
            <v>CABANG UTAMA KOMERSIAL JAKARTA</v>
          </cell>
          <cell r="E348" t="str">
            <v>INSPEKTUR JUNIOR II OPERASI TRANSPORT &amp; LOGISTIC</v>
          </cell>
          <cell r="F348" t="str">
            <v>ade.wardoyo@bki.co.id</v>
          </cell>
          <cell r="G348" t="str">
            <v>081311046490</v>
          </cell>
          <cell r="H348" t="str">
            <v>4C</v>
          </cell>
          <cell r="I348">
            <v>150000</v>
          </cell>
        </row>
        <row r="349">
          <cell r="B349" t="str">
            <v>ARY FIRMANSYAH FIRLI</v>
          </cell>
          <cell r="C349" t="str">
            <v>CABANG UTAMA KOMERSIAL JAKARTA</v>
          </cell>
          <cell r="D349" t="str">
            <v>CABANG UTAMA KOMERSIAL JAKARTA</v>
          </cell>
          <cell r="E349" t="str">
            <v>INSPEKTUR JUNIOR II OPERASI TRANSPORT &amp; LOGISTIC</v>
          </cell>
          <cell r="F349" t="str">
            <v>ary.firmansyah@bki.co.id</v>
          </cell>
          <cell r="G349" t="str">
            <v>0813 5520 0590</v>
          </cell>
          <cell r="H349" t="str">
            <v>4C</v>
          </cell>
          <cell r="I349">
            <v>150000</v>
          </cell>
        </row>
        <row r="350">
          <cell r="B350" t="str">
            <v>HEDIAR HAPRI BANGABUA</v>
          </cell>
          <cell r="C350" t="str">
            <v>CABANG UTAMA KOMERSIAL JAKARTA</v>
          </cell>
          <cell r="D350" t="str">
            <v>CABANG UTAMA KOMERSIAL JAKARTA</v>
          </cell>
          <cell r="E350" t="str">
            <v>INSPEKTUR JUNIOR  II OPERASI TRANSPORT &amp; LOGISTIC</v>
          </cell>
          <cell r="F350" t="str">
            <v>hediar.hb@bki.co.id</v>
          </cell>
          <cell r="G350" t="str">
            <v/>
          </cell>
          <cell r="H350" t="str">
            <v>4C</v>
          </cell>
          <cell r="I350">
            <v>150000</v>
          </cell>
        </row>
        <row r="351">
          <cell r="B351" t="str">
            <v>FERRY HARFIANTO EFFENDY</v>
          </cell>
          <cell r="C351" t="str">
            <v>CABANG UTAMA KOMERSIAL JAKARTA</v>
          </cell>
          <cell r="D351" t="str">
            <v>CABANG UTAMA KOMERSIAL JAKARTA</v>
          </cell>
          <cell r="E351" t="str">
            <v>SPESIALIS TEKNIK TKDN &amp; PEMERINTAH</v>
          </cell>
          <cell r="F351" t="str">
            <v>ferry.harfianto@bki.co.id</v>
          </cell>
          <cell r="G351" t="str">
            <v>081293536185</v>
          </cell>
          <cell r="H351" t="str">
            <v>6C</v>
          </cell>
          <cell r="I351">
            <v>350000</v>
          </cell>
        </row>
        <row r="352">
          <cell r="B352" t="str">
            <v>MUHDAR</v>
          </cell>
          <cell r="C352" t="str">
            <v>CABANG UTAMA KOMERSIAL JAKARTA</v>
          </cell>
          <cell r="D352" t="str">
            <v>CABANG UTAMA KOMERSIAL JAKARTA</v>
          </cell>
          <cell r="E352" t="str">
            <v>SENIOR MANAGER BKI ACADEMY</v>
          </cell>
          <cell r="F352" t="str">
            <v>muhdar@bki.co.id</v>
          </cell>
          <cell r="G352" t="str">
            <v>08124201277</v>
          </cell>
          <cell r="H352" t="str">
            <v>7B</v>
          </cell>
          <cell r="I352">
            <v>0</v>
          </cell>
        </row>
        <row r="353">
          <cell r="B353" t="str">
            <v>BOBBY ADI NOVPRIANTO</v>
          </cell>
          <cell r="C353" t="str">
            <v>CABANG UTAMA KOMERSIAL JAKARTA</v>
          </cell>
          <cell r="D353" t="str">
            <v>CABANG UTAMA KOMERSIAL JAKARTA</v>
          </cell>
          <cell r="E353" t="str">
            <v>ANALIS TEKNIK BKI ACADEMY</v>
          </cell>
          <cell r="F353" t="str">
            <v>bobby.an@bki.co.id</v>
          </cell>
          <cell r="G353" t="str">
            <v>081390083891</v>
          </cell>
          <cell r="H353" t="str">
            <v>5C</v>
          </cell>
          <cell r="I353">
            <v>0</v>
          </cell>
        </row>
        <row r="354">
          <cell r="B354" t="str">
            <v>DANDY RUKMANA</v>
          </cell>
          <cell r="C354" t="str">
            <v>CABANG UTAMA KOMERSIAL JAKARTA</v>
          </cell>
          <cell r="D354" t="str">
            <v>CABANG UTAMA KOMERSIAL JAKARTA</v>
          </cell>
          <cell r="E354" t="str">
            <v>OFFICER PENJUALAN</v>
          </cell>
          <cell r="F354" t="str">
            <v>dandy@bki.co.id</v>
          </cell>
          <cell r="G354" t="str">
            <v>0811159599</v>
          </cell>
          <cell r="H354" t="str">
            <v>4B</v>
          </cell>
          <cell r="I354">
            <v>150000</v>
          </cell>
        </row>
        <row r="355">
          <cell r="B355" t="str">
            <v>MUHAMAD YUSRAN ALOAHIIT</v>
          </cell>
          <cell r="C355" t="str">
            <v>CABANG UTAMA KOMERSIAL JAKARTA</v>
          </cell>
          <cell r="D355" t="str">
            <v>CABANG UTAMA KOMERSIAL JAKARTA</v>
          </cell>
          <cell r="E355" t="str">
            <v>INSPEKTUR SENIOR II OPERASI ENERGI</v>
          </cell>
          <cell r="F355" t="str">
            <v>m.yusran@bki.co.id</v>
          </cell>
          <cell r="G355" t="str">
            <v>0812 9884 1976</v>
          </cell>
          <cell r="H355" t="str">
            <v>7B</v>
          </cell>
          <cell r="I355">
            <v>0</v>
          </cell>
        </row>
        <row r="356">
          <cell r="B356" t="str">
            <v>EFRY TALLAMMA</v>
          </cell>
          <cell r="C356" t="str">
            <v>CABANG UTAMA KOMERSIAL JAKARTA</v>
          </cell>
          <cell r="D356" t="str">
            <v>CABANG UTAMA KOMERSIAL JAKARTA</v>
          </cell>
          <cell r="E356" t="str">
            <v xml:space="preserve">ADMINISTRATOR SENIOR </v>
          </cell>
          <cell r="F356" t="str">
            <v>efry.t@bki.co.id</v>
          </cell>
          <cell r="G356" t="str">
            <v/>
          </cell>
          <cell r="H356" t="str">
            <v>3B</v>
          </cell>
          <cell r="I356">
            <v>150000</v>
          </cell>
        </row>
        <row r="357">
          <cell r="B357" t="str">
            <v>WAHJOE ARIO TEDJO</v>
          </cell>
          <cell r="C357" t="str">
            <v>CABANG UTAMA KOMERSIAL JAKARTA</v>
          </cell>
          <cell r="D357" t="str">
            <v>CABANG UTAMA KOMERSIAL JAKARTA</v>
          </cell>
          <cell r="E357" t="str">
            <v>SPESIALIS SENIOR VERIFIKASI &amp; VALIDASI</v>
          </cell>
          <cell r="F357" t="str">
            <v>tedjo@bki.co.id</v>
          </cell>
          <cell r="G357" t="str">
            <v>0811136934</v>
          </cell>
          <cell r="H357" t="str">
            <v>7A</v>
          </cell>
          <cell r="I357">
            <v>350000</v>
          </cell>
        </row>
        <row r="358">
          <cell r="B358" t="str">
            <v>ARIF RACHMAN</v>
          </cell>
          <cell r="C358" t="str">
            <v>CABANG UTAMA KOMERSIAL JAKARTA</v>
          </cell>
          <cell r="D358" t="str">
            <v>CABANG UTAMA KOMERSIAL JAKARTA</v>
          </cell>
          <cell r="E358" t="str">
            <v>INSPEKTUR OPERASI ENERGI</v>
          </cell>
          <cell r="F358" t="str">
            <v>arachman@bki.co.id</v>
          </cell>
          <cell r="G358" t="str">
            <v>081311263223</v>
          </cell>
          <cell r="H358" t="str">
            <v>5C</v>
          </cell>
          <cell r="I358">
            <v>150000</v>
          </cell>
        </row>
        <row r="359">
          <cell r="B359" t="str">
            <v>A. RASYID ALIMUDDIN</v>
          </cell>
          <cell r="C359" t="str">
            <v>CABANG UTAMA KOMERSIL BALIKPAPAN</v>
          </cell>
          <cell r="D359" t="str">
            <v>CABANG UTAMA KOMERSIL BALIKPAPAN</v>
          </cell>
          <cell r="E359" t="str">
            <v>PJ. KEPALA CABANG UTAMA KOMERSIL BALIKPAPAN</v>
          </cell>
          <cell r="F359" t="str">
            <v>rasyid.alimuddin@bki.co.id</v>
          </cell>
          <cell r="G359" t="str">
            <v>08125434369</v>
          </cell>
          <cell r="H359" t="str">
            <v>7A</v>
          </cell>
          <cell r="I359">
            <v>250000</v>
          </cell>
        </row>
        <row r="360">
          <cell r="B360" t="str">
            <v>JOKO UTOMO</v>
          </cell>
          <cell r="C360" t="str">
            <v>CABANG UTAMA KOMERSIL BALIKPAPAN</v>
          </cell>
          <cell r="D360" t="str">
            <v>CABANG UTAMA KOMERSIL BALIKPAPAN</v>
          </cell>
          <cell r="E360" t="str">
            <v>MANAGER PENJUALAN KOMERSIAL JAKARTA</v>
          </cell>
          <cell r="F360" t="str">
            <v>joko.utomo@bki.co.id</v>
          </cell>
          <cell r="G360" t="str">
            <v>081316932891</v>
          </cell>
          <cell r="H360" t="str">
            <v>5B</v>
          </cell>
          <cell r="I360">
            <v>250000</v>
          </cell>
        </row>
        <row r="361">
          <cell r="B361" t="str">
            <v>SULIADI ARI</v>
          </cell>
          <cell r="C361" t="str">
            <v>CABANG UTAMA KOMERSIL BALIKPAPAN</v>
          </cell>
          <cell r="D361" t="str">
            <v>CABANG UTAMA KOMERSIL BALIKPAPAN</v>
          </cell>
          <cell r="E361" t="str">
            <v xml:space="preserve">INSPEKTUR JUNIOR I  </v>
          </cell>
          <cell r="F361" t="str">
            <v>suliadi@bki.co.id</v>
          </cell>
          <cell r="G361" t="str">
            <v>082352131991</v>
          </cell>
          <cell r="H361" t="str">
            <v>3C</v>
          </cell>
          <cell r="I361">
            <v>0</v>
          </cell>
        </row>
        <row r="362">
          <cell r="B362" t="str">
            <v>LOESTHPEDI PARORRONGAN</v>
          </cell>
          <cell r="C362" t="str">
            <v>CABANG UTAMA KOMERSIL BALIKPAPAN</v>
          </cell>
          <cell r="D362" t="str">
            <v>CABANG UTAMA KOMERSIL BALIKPAPAN</v>
          </cell>
          <cell r="E362" t="str">
            <v xml:space="preserve">INSPEKTUR JUNIOR II  </v>
          </cell>
          <cell r="F362" t="str">
            <v>loesthpedi@bki.co.id</v>
          </cell>
          <cell r="G362" t="str">
            <v>0813 2585 3333</v>
          </cell>
          <cell r="H362" t="str">
            <v>4C</v>
          </cell>
          <cell r="I362">
            <v>0</v>
          </cell>
        </row>
        <row r="363">
          <cell r="B363" t="str">
            <v>MUHAMMAD ALIYAS</v>
          </cell>
          <cell r="C363" t="str">
            <v>CABANG UTAMA KOMERSIL BALIKPAPAN</v>
          </cell>
          <cell r="D363" t="str">
            <v>CABANG UTAMA KOMERSIL BALIKPAPAN</v>
          </cell>
          <cell r="E363" t="str">
            <v xml:space="preserve">INSPEKTUR JUNIOR II   </v>
          </cell>
          <cell r="F363" t="str">
            <v>aliyas@bki.co.id</v>
          </cell>
          <cell r="G363" t="str">
            <v/>
          </cell>
          <cell r="H363" t="str">
            <v>4C</v>
          </cell>
          <cell r="I363">
            <v>0</v>
          </cell>
        </row>
        <row r="364">
          <cell r="B364" t="str">
            <v>FANDI AKBAR</v>
          </cell>
          <cell r="C364" t="str">
            <v>CABANG UTAMA KOMERSIL BALIKPAPAN</v>
          </cell>
          <cell r="D364" t="str">
            <v>CABANG UTAMA KOMERSIL BALIKPAPAN</v>
          </cell>
          <cell r="E364" t="str">
            <v>ADMINISTRATOR</v>
          </cell>
          <cell r="F364" t="str">
            <v>fandi.akbar@bki.co.id</v>
          </cell>
          <cell r="G364" t="str">
            <v>08115999617</v>
          </cell>
          <cell r="H364" t="str">
            <v>2A</v>
          </cell>
          <cell r="I364">
            <v>0</v>
          </cell>
        </row>
        <row r="365">
          <cell r="B365" t="str">
            <v>ZAINAL ABIDIN</v>
          </cell>
          <cell r="C365" t="str">
            <v>CABANG UTAMA KOMERSIL BALIKPAPAN</v>
          </cell>
          <cell r="D365" t="str">
            <v>CABANG UTAMA KOMERSIL BALIKPAPAN</v>
          </cell>
          <cell r="E365" t="str">
            <v xml:space="preserve">INSPEKTUR JUNIOR II </v>
          </cell>
          <cell r="F365" t="str">
            <v>zainal.abidin@bki.co.id</v>
          </cell>
          <cell r="G365" t="str">
            <v>0852 4280 4446</v>
          </cell>
          <cell r="H365" t="str">
            <v>4C</v>
          </cell>
          <cell r="I365">
            <v>0</v>
          </cell>
        </row>
        <row r="366">
          <cell r="B366" t="str">
            <v>HARIMULYO</v>
          </cell>
          <cell r="C366" t="str">
            <v>CABANG UTAMA KOMERSIL BALIKPAPAN</v>
          </cell>
          <cell r="D366" t="str">
            <v>CABANG UTAMA KOMERSIL BALIKPAPAN</v>
          </cell>
          <cell r="E366" t="str">
            <v xml:space="preserve">INSPEKTUR JUNIOR II  </v>
          </cell>
          <cell r="F366" t="str">
            <v>hari.mulyo@bki.co.id</v>
          </cell>
          <cell r="G366" t="str">
            <v>081355100342</v>
          </cell>
          <cell r="H366" t="str">
            <v>4C</v>
          </cell>
          <cell r="I366">
            <v>0</v>
          </cell>
        </row>
        <row r="367">
          <cell r="B367" t="str">
            <v>SAMUEL JOHAN SOSELISA</v>
          </cell>
          <cell r="C367" t="str">
            <v>CABANG UTAMA KOMERSIL BALIKPAPAN</v>
          </cell>
          <cell r="D367" t="str">
            <v>CABANG UTAMA KOMERSIL BALIKPAPAN</v>
          </cell>
          <cell r="E367" t="str">
            <v>OPERATOR PENGUJIAN</v>
          </cell>
          <cell r="F367" t="str">
            <v>samuel@bki.co.id</v>
          </cell>
          <cell r="G367" t="str">
            <v>085226883380</v>
          </cell>
          <cell r="H367" t="str">
            <v>3A</v>
          </cell>
          <cell r="I367">
            <v>0</v>
          </cell>
        </row>
        <row r="368">
          <cell r="B368" t="str">
            <v>SAUR ELI TUA SIRAIT</v>
          </cell>
          <cell r="C368" t="str">
            <v>CABANG UTAMA KOMERSIL BALIKPAPAN</v>
          </cell>
          <cell r="D368" t="str">
            <v>CABANG UTAMA KOMERSIL BALIKPAPAN</v>
          </cell>
          <cell r="E368" t="str">
            <v>OPERATOR PENGUJIAN</v>
          </cell>
          <cell r="F368" t="str">
            <v>saur@bki.co.id</v>
          </cell>
          <cell r="G368">
            <v>0</v>
          </cell>
          <cell r="H368" t="str">
            <v>3A</v>
          </cell>
          <cell r="I368">
            <v>0</v>
          </cell>
        </row>
        <row r="369">
          <cell r="B369" t="str">
            <v>ABDUL SARPAN</v>
          </cell>
          <cell r="C369" t="str">
            <v>CABANG UTAMA KOMERSIL BALIKPAPAN</v>
          </cell>
          <cell r="D369" t="str">
            <v>CABANG UTAMA KOMERSIL BALIKPAPAN</v>
          </cell>
          <cell r="E369" t="str">
            <v>OPERATOR PENGUJIAN</v>
          </cell>
          <cell r="F369" t="str">
            <v>sarpan@bki.co.id</v>
          </cell>
          <cell r="G369" t="str">
            <v>081346557873</v>
          </cell>
          <cell r="H369" t="str">
            <v>3A</v>
          </cell>
          <cell r="I369">
            <v>0</v>
          </cell>
        </row>
        <row r="370">
          <cell r="B370" t="str">
            <v>YAURI LINGKAR PARAENG</v>
          </cell>
          <cell r="C370" t="str">
            <v>CABANG UTAMA KOMERSIL BALIKPAPAN</v>
          </cell>
          <cell r="D370" t="str">
            <v>CABANG UTAMA KOMERSIL BALIKPAPAN</v>
          </cell>
          <cell r="E370" t="str">
            <v xml:space="preserve">INSPEKTUR JUNIOR II  </v>
          </cell>
          <cell r="F370" t="str">
            <v>yauri@bki.co.id</v>
          </cell>
          <cell r="G370" t="str">
            <v>081355386000</v>
          </cell>
          <cell r="H370" t="str">
            <v>4C</v>
          </cell>
          <cell r="I370">
            <v>0</v>
          </cell>
        </row>
        <row r="371">
          <cell r="B371" t="str">
            <v>SUBARI</v>
          </cell>
          <cell r="C371" t="str">
            <v>CABANG UTAMA KOMERSIL BALIKPAPAN</v>
          </cell>
          <cell r="D371" t="str">
            <v>CABANG UTAMA KOMERSIL BALIKPAPAN</v>
          </cell>
          <cell r="E371" t="str">
            <v xml:space="preserve">INSPEKTUR JUNIOR II </v>
          </cell>
          <cell r="F371" t="str">
            <v>subari@bki.co.id</v>
          </cell>
          <cell r="G371" t="str">
            <v/>
          </cell>
          <cell r="H371" t="str">
            <v>4C</v>
          </cell>
          <cell r="I371">
            <v>0</v>
          </cell>
        </row>
        <row r="372">
          <cell r="B372" t="str">
            <v>MUHAMMAD ALI MURTADHO</v>
          </cell>
          <cell r="C372" t="str">
            <v>CABANG UTAMA KOMERSIL BALIKPAPAN</v>
          </cell>
          <cell r="D372" t="str">
            <v>CABANG UTAMA KOMERSIL BALIKPAPAN</v>
          </cell>
          <cell r="E372" t="str">
            <v xml:space="preserve">INSPEKTUR JUNIOR II   </v>
          </cell>
          <cell r="F372" t="str">
            <v>ali.murtadho@bki.co.id</v>
          </cell>
          <cell r="G372" t="str">
            <v>081254268886</v>
          </cell>
          <cell r="H372" t="str">
            <v>4C</v>
          </cell>
          <cell r="I372">
            <v>0</v>
          </cell>
        </row>
        <row r="373">
          <cell r="B373" t="str">
            <v>YOPPY SURYANTO</v>
          </cell>
          <cell r="C373" t="str">
            <v>CABANG UTAMA KOMERSIL BALIKPAPAN</v>
          </cell>
          <cell r="D373" t="str">
            <v>CABANG UTAMA KOMERSIL BALIKPAPAN</v>
          </cell>
          <cell r="E373" t="str">
            <v xml:space="preserve">INSPEKTUR JUNIOR I </v>
          </cell>
          <cell r="F373" t="str">
            <v>yoppy@bki.co.id</v>
          </cell>
          <cell r="G373" t="str">
            <v>081350250880</v>
          </cell>
          <cell r="H373" t="str">
            <v>3C</v>
          </cell>
          <cell r="I373">
            <v>0</v>
          </cell>
        </row>
        <row r="374">
          <cell r="B374" t="str">
            <v>RATNA DAMAYANTI</v>
          </cell>
          <cell r="C374" t="str">
            <v>CABANG UTAMA KOMERSIL BALIKPAPAN</v>
          </cell>
          <cell r="D374" t="str">
            <v>CABANG UTAMA KOMERSIL BALIKPAPAN</v>
          </cell>
          <cell r="E374" t="str">
            <v>ANALIS ADMINISTRASI UMUM &amp; KEUANGAN</v>
          </cell>
          <cell r="F374" t="str">
            <v>ratna.damayanti@bki.co.id</v>
          </cell>
          <cell r="G374" t="str">
            <v>085389302699</v>
          </cell>
          <cell r="H374" t="str">
            <v>5B</v>
          </cell>
          <cell r="I374">
            <v>250000</v>
          </cell>
        </row>
        <row r="375">
          <cell r="B375" t="str">
            <v>TRI WAHYUNI</v>
          </cell>
          <cell r="C375" t="str">
            <v>CABANG UTAMA KOMERSIL BALIKPAPAN</v>
          </cell>
          <cell r="D375" t="str">
            <v>CABANG UTAMA KOMERSIL BALIKPAPAN</v>
          </cell>
          <cell r="E375" t="str">
            <v>OFFICER ADMINISTRASI UMUM</v>
          </cell>
          <cell r="F375" t="str">
            <v>wahyuni@bki.co.id</v>
          </cell>
          <cell r="G375" t="str">
            <v>0812 5170 0408</v>
          </cell>
          <cell r="H375" t="str">
            <v>4A</v>
          </cell>
          <cell r="I375">
            <v>0</v>
          </cell>
        </row>
        <row r="376">
          <cell r="B376" t="str">
            <v>SUDARYONO</v>
          </cell>
          <cell r="C376" t="str">
            <v>CABANG UTAMA KOMERSIL BALIKPAPAN</v>
          </cell>
          <cell r="D376" t="str">
            <v>CABANG UTAMA KOMERSIL BALIKPAPAN</v>
          </cell>
          <cell r="E376" t="str">
            <v>INSPEKTUR</v>
          </cell>
          <cell r="F376" t="str">
            <v>sudaryono@bki.co.id</v>
          </cell>
          <cell r="G376" t="str">
            <v>085246007793</v>
          </cell>
          <cell r="H376" t="str">
            <v>5C</v>
          </cell>
          <cell r="I376">
            <v>150000</v>
          </cell>
        </row>
        <row r="377">
          <cell r="B377" t="str">
            <v>ADNAN</v>
          </cell>
          <cell r="C377" t="str">
            <v>CABANG UTAMA KOMERSIL BALIKPAPAN</v>
          </cell>
          <cell r="D377" t="str">
            <v>CABANG UTAMA KOMERSIL BALIKPAPAN</v>
          </cell>
          <cell r="E377" t="str">
            <v>PJ. SENIOR MANAGER PENJUALAN DAN DUKUNGAN BISNIS KOMERSIAL BALIKPAPAN</v>
          </cell>
          <cell r="F377" t="str">
            <v>adnan@bki.co.id</v>
          </cell>
          <cell r="G377" t="str">
            <v>081347777003</v>
          </cell>
          <cell r="H377" t="str">
            <v>5B</v>
          </cell>
          <cell r="I377">
            <v>150000</v>
          </cell>
        </row>
        <row r="378">
          <cell r="B378" t="str">
            <v>IKBAL KADIR</v>
          </cell>
          <cell r="C378" t="str">
            <v>CABANG UTAMA KOMERSIL BALIKPAPAN</v>
          </cell>
          <cell r="D378" t="str">
            <v>CABANG UTAMA KOMERSIL BALIKPAPAN</v>
          </cell>
          <cell r="E378" t="str">
            <v>PJ. MANAGER ADMINISTRASI UMUM DAN KEUANGAN KOMERSIAL BALIKPAPAN</v>
          </cell>
          <cell r="F378" t="str">
            <v>ikbal.kadir@bki.co.id</v>
          </cell>
          <cell r="G378" t="str">
            <v>081211221245</v>
          </cell>
          <cell r="H378" t="str">
            <v>3B</v>
          </cell>
          <cell r="I378">
            <v>0</v>
          </cell>
        </row>
        <row r="379">
          <cell r="B379" t="str">
            <v>ANDI AGUNG MAPPANGILE</v>
          </cell>
          <cell r="C379" t="str">
            <v>CABANG UTAMA KOMERSIL BALIKPAPAN</v>
          </cell>
          <cell r="D379" t="str">
            <v>CABANG UTAMA KOMERSIL BALIKPAPAN</v>
          </cell>
          <cell r="E379" t="str">
            <v xml:space="preserve">INSPEKTUR JUNIOR II  </v>
          </cell>
          <cell r="F379" t="str">
            <v>mappangile@bki.co.id</v>
          </cell>
          <cell r="G379" t="str">
            <v>0813 4243 5758</v>
          </cell>
          <cell r="H379" t="str">
            <v>4C</v>
          </cell>
          <cell r="I379">
            <v>0</v>
          </cell>
        </row>
        <row r="380">
          <cell r="B380" t="str">
            <v>SYAHRANI SUMAILA</v>
          </cell>
          <cell r="C380" t="str">
            <v>CABANG UTAMA KOMERSIL BALIKPAPAN</v>
          </cell>
          <cell r="D380" t="str">
            <v>CABANG UTAMA KOMERSIL BALIKPAPAN</v>
          </cell>
          <cell r="E380" t="str">
            <v>INSPEKTUR</v>
          </cell>
          <cell r="F380" t="str">
            <v>syahrani@bki.co.id</v>
          </cell>
          <cell r="G380" t="str">
            <v>0852 4326 6209</v>
          </cell>
          <cell r="H380" t="str">
            <v>5C</v>
          </cell>
          <cell r="I380">
            <v>0</v>
          </cell>
        </row>
        <row r="381">
          <cell r="B381" t="str">
            <v>BASORI</v>
          </cell>
          <cell r="C381" t="str">
            <v>CABANG UTAMA KOMERSIL BALIKPAPAN</v>
          </cell>
          <cell r="D381" t="str">
            <v>CABANG UTAMA KOMERSIL BALIKPAPAN</v>
          </cell>
          <cell r="E381" t="str">
            <v>OPERATOR PENGUJIAN</v>
          </cell>
          <cell r="F381" t="str">
            <v>basori@bki.co.id</v>
          </cell>
          <cell r="G381" t="str">
            <v>0813 5051 0072</v>
          </cell>
          <cell r="H381" t="str">
            <v>3A</v>
          </cell>
          <cell r="I381">
            <v>0</v>
          </cell>
        </row>
        <row r="382">
          <cell r="B382" t="str">
            <v>AKBAR EDY</v>
          </cell>
          <cell r="C382" t="str">
            <v>CABANG UTAMA KOMERSIL BALIKPAPAN</v>
          </cell>
          <cell r="D382" t="str">
            <v>CABANG UTAMA KOMERSIL BALIKPAPAN</v>
          </cell>
          <cell r="E382" t="str">
            <v>INSPEKTUR</v>
          </cell>
          <cell r="F382" t="str">
            <v>akbar.edy@bki.co.id</v>
          </cell>
          <cell r="G382" t="str">
            <v>085242152339</v>
          </cell>
          <cell r="H382" t="str">
            <v>5C</v>
          </cell>
          <cell r="I382">
            <v>0</v>
          </cell>
        </row>
        <row r="383">
          <cell r="B383" t="str">
            <v>ROHMAN NAHDIANTO</v>
          </cell>
          <cell r="C383" t="str">
            <v>CABANG UTAMA KOMERSIL BALIKPAPAN</v>
          </cell>
          <cell r="D383" t="str">
            <v>CABANG UTAMA KOMERSIL BALIKPAPAN</v>
          </cell>
          <cell r="E383" t="str">
            <v xml:space="preserve">INSPEKTUR JUNIOR I </v>
          </cell>
          <cell r="F383" t="str">
            <v>nahdianto@bki.co.id</v>
          </cell>
          <cell r="G383" t="str">
            <v>082157105535</v>
          </cell>
          <cell r="H383" t="str">
            <v>3C</v>
          </cell>
          <cell r="I383">
            <v>0</v>
          </cell>
        </row>
        <row r="384">
          <cell r="B384" t="str">
            <v>UMI MAISYAROH</v>
          </cell>
          <cell r="C384" t="str">
            <v>CABANG UTAMA KOMERSIL BALIKPAPAN</v>
          </cell>
          <cell r="D384" t="str">
            <v>CABANG UTAMA KOMERSIL BALIKPAPAN</v>
          </cell>
          <cell r="E384" t="str">
            <v>ADMINISTRATOR SENIOR</v>
          </cell>
          <cell r="F384" t="str">
            <v>umi@bki.co.id</v>
          </cell>
          <cell r="G384" t="str">
            <v>085252004673</v>
          </cell>
          <cell r="H384" t="str">
            <v>3B</v>
          </cell>
          <cell r="I384">
            <v>0</v>
          </cell>
        </row>
        <row r="385">
          <cell r="B385" t="str">
            <v>BRAMANTI PRAMAWEDHA SATRIANTO PUTRA</v>
          </cell>
          <cell r="C385" t="str">
            <v>CABANG UTAMA KOMERSIL BALIKPAPAN</v>
          </cell>
          <cell r="D385" t="str">
            <v>CABANG UTAMA KOMERSIL BALIKPAPAN</v>
          </cell>
          <cell r="E385" t="str">
            <v>PJ. SENIOR MANAGER OPERASI KOMERSIL BALIKPAPAN</v>
          </cell>
          <cell r="F385" t="str">
            <v>bramanti.psp@bki.co.id</v>
          </cell>
          <cell r="G385" t="str">
            <v>081321226869</v>
          </cell>
          <cell r="H385" t="str">
            <v>6B</v>
          </cell>
          <cell r="I385">
            <v>100000</v>
          </cell>
        </row>
        <row r="386">
          <cell r="B386" t="str">
            <v>NUR FAUZAN AZIM</v>
          </cell>
          <cell r="C386" t="str">
            <v>CABANG UTAMA KOMERSIL BALIKPAPAN</v>
          </cell>
          <cell r="D386" t="str">
            <v>CABANG UTAMA KOMERSIL BALIKPAPAN</v>
          </cell>
          <cell r="E386" t="str">
            <v xml:space="preserve">INSPEKTUR JUNIOR I  </v>
          </cell>
          <cell r="F386" t="str">
            <v>fauzan.azim@bki.co.id</v>
          </cell>
          <cell r="G386" t="str">
            <v>082250094467</v>
          </cell>
          <cell r="H386" t="str">
            <v>3C</v>
          </cell>
          <cell r="I386">
            <v>0</v>
          </cell>
        </row>
        <row r="387">
          <cell r="B387" t="str">
            <v>LA ODE ABDUL SAHID MUNIFA</v>
          </cell>
          <cell r="C387" t="str">
            <v>CABANG UTAMA KOMERSIL BALIKPAPAN</v>
          </cell>
          <cell r="D387" t="str">
            <v>CABANG UTAMA KOMERSIL BALIKPAPAN</v>
          </cell>
          <cell r="E387" t="str">
            <v xml:space="preserve">INSPEKTUR JUNIOR I  </v>
          </cell>
          <cell r="F387" t="str">
            <v>laode.sahid@bki.co.id</v>
          </cell>
          <cell r="G387" t="str">
            <v>082131844418</v>
          </cell>
          <cell r="H387" t="str">
            <v>3C</v>
          </cell>
          <cell r="I387">
            <v>0</v>
          </cell>
        </row>
        <row r="388">
          <cell r="B388" t="str">
            <v>YUSRIADY BOROALLO RUGA</v>
          </cell>
          <cell r="C388" t="str">
            <v>CoE ENERGY</v>
          </cell>
          <cell r="D388" t="str">
            <v>CoE ENERGY</v>
          </cell>
          <cell r="E388" t="str">
            <v>ANALIS TEKNIK</v>
          </cell>
          <cell r="F388" t="str">
            <v>yusriadi.br@bki.co.id</v>
          </cell>
          <cell r="G388" t="str">
            <v>081318481114</v>
          </cell>
          <cell r="H388" t="str">
            <v>5C</v>
          </cell>
          <cell r="I388">
            <v>150000</v>
          </cell>
        </row>
        <row r="389">
          <cell r="B389" t="str">
            <v>EVAN EGA RIZKIARSA</v>
          </cell>
          <cell r="C389" t="str">
            <v>CoE ENERGY</v>
          </cell>
          <cell r="D389" t="str">
            <v>CoE ENERGY</v>
          </cell>
          <cell r="E389" t="str">
            <v>OFFICER JUNIOR TEKNIK</v>
          </cell>
          <cell r="F389" t="str">
            <v>evan.ega@bki.co.id</v>
          </cell>
          <cell r="G389" t="str">
            <v/>
          </cell>
          <cell r="H389" t="str">
            <v>3C</v>
          </cell>
          <cell r="I389">
            <v>0</v>
          </cell>
        </row>
        <row r="390">
          <cell r="B390" t="str">
            <v>R. SAPTO AGUNG PRAMUSINTO</v>
          </cell>
          <cell r="C390" t="str">
            <v>CoE ENERGY</v>
          </cell>
          <cell r="D390" t="str">
            <v>CoE ENERGY</v>
          </cell>
          <cell r="E390" t="str">
            <v>VP CoE ENERGY</v>
          </cell>
          <cell r="F390" t="str">
            <v>sapto.ap@bki.co.id</v>
          </cell>
          <cell r="G390" t="str">
            <v/>
          </cell>
          <cell r="H390" t="str">
            <v>8B</v>
          </cell>
          <cell r="I390">
            <v>350000</v>
          </cell>
        </row>
        <row r="391">
          <cell r="B391" t="str">
            <v>AGAH DIRGAPATRIA DJAJASUDARMA</v>
          </cell>
          <cell r="C391" t="str">
            <v>CoE ENERGY</v>
          </cell>
          <cell r="D391" t="str">
            <v>CoE ENERGY</v>
          </cell>
          <cell r="E391" t="str">
            <v>SENIOR MANAGER RISET, PENGEMBANGAN BISNIS DAN PEMASARAN ENERGI</v>
          </cell>
          <cell r="F391" t="str">
            <v>agah.dd@bki.co.id</v>
          </cell>
          <cell r="G391" t="str">
            <v>0811548005</v>
          </cell>
          <cell r="H391" t="str">
            <v>7B</v>
          </cell>
          <cell r="I391">
            <v>0</v>
          </cell>
        </row>
        <row r="392">
          <cell r="B392" t="str">
            <v>YUDI PRAWOTO</v>
          </cell>
          <cell r="C392" t="str">
            <v>CoE ENERGY</v>
          </cell>
          <cell r="D392" t="str">
            <v>CoE ENERGY</v>
          </cell>
          <cell r="E392" t="str">
            <v>SENIOR MANAGER  DUKUNGAN TEKNIS DAN SUMBER DAYA ENERGI</v>
          </cell>
          <cell r="F392" t="str">
            <v>yudi.prawoto@bki.co.id</v>
          </cell>
          <cell r="G392" t="str">
            <v>082135940794</v>
          </cell>
          <cell r="H392" t="str">
            <v>7A</v>
          </cell>
          <cell r="I392">
            <v>350000</v>
          </cell>
        </row>
        <row r="393">
          <cell r="B393" t="str">
            <v>AGUS SUNARTO</v>
          </cell>
          <cell r="C393" t="str">
            <v>CoE ENERGY</v>
          </cell>
          <cell r="D393" t="str">
            <v>CoE ENERGY</v>
          </cell>
          <cell r="E393" t="str">
            <v xml:space="preserve">SPESIALIS SENIOR TEKNIK </v>
          </cell>
          <cell r="F393" t="str">
            <v>agus.sunarto@bki.co.id</v>
          </cell>
          <cell r="G393" t="str">
            <v>08125433771</v>
          </cell>
          <cell r="H393" t="str">
            <v>7B</v>
          </cell>
          <cell r="I393">
            <v>150000</v>
          </cell>
        </row>
        <row r="394">
          <cell r="B394" t="str">
            <v>RUDY SUNARYADI</v>
          </cell>
          <cell r="C394" t="str">
            <v>CoE ENERGY</v>
          </cell>
          <cell r="D394" t="str">
            <v>CoE ENERGY</v>
          </cell>
          <cell r="E394" t="str">
            <v xml:space="preserve">SPESIALIS SENIOR TEKNIK </v>
          </cell>
          <cell r="F394" t="str">
            <v>rudy.sunaryadi@bki.co.id</v>
          </cell>
          <cell r="G394" t="str">
            <v>081350931703</v>
          </cell>
          <cell r="H394" t="str">
            <v>7B</v>
          </cell>
          <cell r="I394">
            <v>0</v>
          </cell>
        </row>
        <row r="395">
          <cell r="B395" t="str">
            <v>AFANI ROMA ARISA</v>
          </cell>
          <cell r="C395" t="str">
            <v>CoE ENERGY</v>
          </cell>
          <cell r="D395" t="str">
            <v>CoE ENERGY</v>
          </cell>
          <cell r="E395" t="str">
            <v>OFFICER JUNIOR TEKNIK</v>
          </cell>
          <cell r="F395" t="str">
            <v>afani.ra@bki.co.id</v>
          </cell>
          <cell r="G395" t="str">
            <v/>
          </cell>
          <cell r="H395" t="str">
            <v>3C</v>
          </cell>
          <cell r="I395">
            <v>0</v>
          </cell>
        </row>
        <row r="396">
          <cell r="B396" t="str">
            <v>BURHANUDDIN</v>
          </cell>
          <cell r="C396" t="str">
            <v>CoE ENERGY</v>
          </cell>
          <cell r="D396" t="str">
            <v>CoE ENERGY</v>
          </cell>
          <cell r="E396" t="str">
            <v xml:space="preserve">ADMINISTRATOR SENIOR </v>
          </cell>
          <cell r="F396" t="str">
            <v>burhanuddin@bki.co.id</v>
          </cell>
          <cell r="G396" t="str">
            <v/>
          </cell>
          <cell r="H396" t="str">
            <v>3B</v>
          </cell>
          <cell r="I396">
            <v>100000</v>
          </cell>
        </row>
        <row r="397">
          <cell r="B397" t="str">
            <v>ELVINO YUSKA PUTRA</v>
          </cell>
          <cell r="C397" t="str">
            <v>CoE ENERGY</v>
          </cell>
          <cell r="D397" t="str">
            <v>CoE ENERGY</v>
          </cell>
          <cell r="E397" t="str">
            <v xml:space="preserve">ADMINISTRATOR SENIOR </v>
          </cell>
          <cell r="F397" t="str">
            <v>elvino.yusca@bki.co.id</v>
          </cell>
          <cell r="G397" t="str">
            <v>082112763607</v>
          </cell>
          <cell r="H397" t="str">
            <v>3B</v>
          </cell>
          <cell r="I397">
            <v>100000</v>
          </cell>
        </row>
        <row r="398">
          <cell r="B398" t="str">
            <v>HELDA YULISTIANI</v>
          </cell>
          <cell r="C398" t="str">
            <v>CoE ENERGY</v>
          </cell>
          <cell r="D398" t="str">
            <v>CoE ENERGY</v>
          </cell>
          <cell r="E398" t="str">
            <v xml:space="preserve">ADMINISTRATOR SENIOR </v>
          </cell>
          <cell r="F398" t="str">
            <v>helda.yulistiani@bki.co.id</v>
          </cell>
          <cell r="G398">
            <v>0</v>
          </cell>
          <cell r="H398" t="str">
            <v>3B</v>
          </cell>
          <cell r="I398">
            <v>100000</v>
          </cell>
        </row>
        <row r="399">
          <cell r="B399" t="str">
            <v>WINARTO</v>
          </cell>
          <cell r="C399" t="str">
            <v>CoE ENERGY</v>
          </cell>
          <cell r="D399" t="str">
            <v>CoE ENERGY</v>
          </cell>
          <cell r="E399" t="str">
            <v xml:space="preserve">SPESIALIS SENIOR TEKNIK </v>
          </cell>
          <cell r="F399" t="str">
            <v>winarto@bki.co.id</v>
          </cell>
          <cell r="G399" t="str">
            <v>081282280509</v>
          </cell>
          <cell r="H399" t="str">
            <v>7A</v>
          </cell>
          <cell r="I399">
            <v>350000</v>
          </cell>
        </row>
        <row r="400">
          <cell r="B400" t="str">
            <v>JOKO SUSILO</v>
          </cell>
          <cell r="C400" t="str">
            <v>CoE ENERGY</v>
          </cell>
          <cell r="D400" t="str">
            <v>CoE ENERGY</v>
          </cell>
          <cell r="E400" t="str">
            <v xml:space="preserve">ANALIS TEKNIK </v>
          </cell>
          <cell r="F400" t="str">
            <v>joko.susilo@bki.co.id</v>
          </cell>
          <cell r="G400" t="str">
            <v>081215171599</v>
          </cell>
          <cell r="H400" t="str">
            <v>5C</v>
          </cell>
          <cell r="I400">
            <v>100000</v>
          </cell>
        </row>
        <row r="401">
          <cell r="B401" t="str">
            <v>WAHYU PRIAMBODO</v>
          </cell>
          <cell r="C401" t="str">
            <v>CoE ENERGY</v>
          </cell>
          <cell r="D401" t="str">
            <v>CoE ENERGY</v>
          </cell>
          <cell r="E401" t="str">
            <v xml:space="preserve">SPESIALIS TEKNIK  </v>
          </cell>
          <cell r="F401" t="str">
            <v>wahyu.priambodo@bki.co.id</v>
          </cell>
          <cell r="G401" t="str">
            <v>08155034245</v>
          </cell>
          <cell r="H401" t="str">
            <v>6C</v>
          </cell>
          <cell r="I401">
            <v>350000</v>
          </cell>
        </row>
        <row r="402">
          <cell r="B402" t="str">
            <v>WAHYU RAHMA PUTRI</v>
          </cell>
          <cell r="C402" t="str">
            <v>CoE ENERGY</v>
          </cell>
          <cell r="D402" t="str">
            <v>CoE ENERGY</v>
          </cell>
          <cell r="E402" t="str">
            <v xml:space="preserve">OFFICER JUNIOR TEKNIK </v>
          </cell>
          <cell r="F402" t="str">
            <v>wahyu.rp@bki.co.id</v>
          </cell>
          <cell r="G402" t="str">
            <v>089690617077</v>
          </cell>
          <cell r="H402" t="str">
            <v>3C</v>
          </cell>
          <cell r="I402">
            <v>0</v>
          </cell>
        </row>
        <row r="403">
          <cell r="B403" t="str">
            <v>TANTRY OCTAVIANI</v>
          </cell>
          <cell r="C403" t="str">
            <v>CoE ENERGY</v>
          </cell>
          <cell r="D403" t="str">
            <v>CoE ENERGY</v>
          </cell>
          <cell r="E403" t="str">
            <v xml:space="preserve">ADMINISTRATOR SENIOR </v>
          </cell>
          <cell r="F403" t="str">
            <v>tantry.octa@bki.co.id</v>
          </cell>
          <cell r="G403" t="str">
            <v>087809705285</v>
          </cell>
          <cell r="H403" t="str">
            <v>3B</v>
          </cell>
          <cell r="I403">
            <v>100000</v>
          </cell>
        </row>
        <row r="404">
          <cell r="B404" t="str">
            <v>DR  KARTIKA KUS HENDRATNA</v>
          </cell>
          <cell r="C404" t="str">
            <v>CoE TRANSPORT &amp; LOGISTIC</v>
          </cell>
          <cell r="D404" t="str">
            <v>CoE TRANSPORT &amp; LOGISTIC</v>
          </cell>
          <cell r="E404" t="str">
            <v>VP CoE TRANSPORT &amp; LOGISTIC</v>
          </cell>
          <cell r="F404" t="str">
            <v>kartika.khendratna@bki.co.id</v>
          </cell>
          <cell r="G404">
            <v>0</v>
          </cell>
          <cell r="H404" t="str">
            <v>8B</v>
          </cell>
          <cell r="I404">
            <v>500000</v>
          </cell>
        </row>
        <row r="405">
          <cell r="B405" t="str">
            <v>ARDHIAN BUDI SULISTIYO</v>
          </cell>
          <cell r="C405" t="str">
            <v>CoE TRANSPORT &amp; LOGISTIC</v>
          </cell>
          <cell r="D405" t="str">
            <v>CoE TRANSPORT &amp; LOGISTIC</v>
          </cell>
          <cell r="E405" t="str">
            <v>SENIOR MANAGER DUKUNGAN TEKNIS DAN SUMBER DAYA TRANSPORT &amp; LOGISTIC</v>
          </cell>
          <cell r="F405" t="str">
            <v>ardhian.bs@bki.co.id</v>
          </cell>
          <cell r="G405" t="str">
            <v>0812 543 4378</v>
          </cell>
          <cell r="H405" t="str">
            <v>7A</v>
          </cell>
          <cell r="I405">
            <v>350000</v>
          </cell>
        </row>
        <row r="406">
          <cell r="B406" t="str">
            <v>ARIF PURWONO</v>
          </cell>
          <cell r="C406" t="str">
            <v>CoE TRANSPORT &amp; LOGISTIC</v>
          </cell>
          <cell r="D406" t="str">
            <v>CoE TRANSPORT &amp; LOGISTIC</v>
          </cell>
          <cell r="E406" t="str">
            <v xml:space="preserve">SPESIALIS SENIOR TEKNIK </v>
          </cell>
          <cell r="F406" t="str">
            <v>arifpurwono@bki.co.id</v>
          </cell>
          <cell r="G406" t="str">
            <v>085645028208</v>
          </cell>
          <cell r="H406" t="str">
            <v>7B</v>
          </cell>
          <cell r="I406">
            <v>350000</v>
          </cell>
        </row>
        <row r="407">
          <cell r="B407" t="str">
            <v>MUHAMMAD TEGUH WIDODO</v>
          </cell>
          <cell r="C407" t="str">
            <v>CoE TRANSPORT &amp; LOGISTIC</v>
          </cell>
          <cell r="D407" t="str">
            <v>CoE TRANSPORT &amp; LOGISTIC</v>
          </cell>
          <cell r="E407" t="str">
            <v xml:space="preserve">ANALIS TEKNIK </v>
          </cell>
          <cell r="F407" t="str">
            <v>teguh.widodo@bki.co.id</v>
          </cell>
          <cell r="G407" t="str">
            <v>081338125071</v>
          </cell>
          <cell r="H407" t="str">
            <v>5C</v>
          </cell>
          <cell r="I407">
            <v>100000</v>
          </cell>
        </row>
        <row r="408">
          <cell r="B408" t="str">
            <v>NEVI EKO YULIANANTO</v>
          </cell>
          <cell r="C408" t="str">
            <v>CoE TRANSPORT &amp; LOGISTIC</v>
          </cell>
          <cell r="D408" t="str">
            <v>CoE TRANSPORT &amp; LOGISTIC</v>
          </cell>
          <cell r="E408" t="str">
            <v xml:space="preserve">ANALIS TEKNIK </v>
          </cell>
          <cell r="F408" t="str">
            <v>nevi@bki.co.id</v>
          </cell>
          <cell r="G408" t="str">
            <v>0856 4860 5511</v>
          </cell>
          <cell r="H408" t="str">
            <v>5C</v>
          </cell>
          <cell r="I408">
            <v>250000</v>
          </cell>
        </row>
        <row r="409">
          <cell r="B409" t="str">
            <v>FARIED</v>
          </cell>
          <cell r="C409" t="str">
            <v>CoE TRANSPORT &amp; LOGISTIC</v>
          </cell>
          <cell r="D409" t="str">
            <v>CoE TRANSPORT &amp; LOGISTIC</v>
          </cell>
          <cell r="E409" t="str">
            <v xml:space="preserve">ANALIS TEKNIK </v>
          </cell>
          <cell r="F409" t="str">
            <v>faried@bki.co.id</v>
          </cell>
          <cell r="G409" t="str">
            <v>082139926702</v>
          </cell>
          <cell r="H409" t="str">
            <v>5C</v>
          </cell>
          <cell r="I409">
            <v>350000</v>
          </cell>
        </row>
        <row r="410">
          <cell r="B410" t="str">
            <v>HERY ALWIS</v>
          </cell>
          <cell r="C410" t="str">
            <v>CoE TRANSPORT &amp; LOGISTIC</v>
          </cell>
          <cell r="D410" t="str">
            <v>CoE TRANSPORT &amp; LOGISTIC</v>
          </cell>
          <cell r="E410" t="str">
            <v xml:space="preserve">ANALIS TEKNIK </v>
          </cell>
          <cell r="F410" t="str">
            <v>hery.alwis@bki.co.id</v>
          </cell>
          <cell r="G410" t="str">
            <v>08118668760</v>
          </cell>
          <cell r="H410" t="str">
            <v>5C</v>
          </cell>
          <cell r="I410">
            <v>100000</v>
          </cell>
        </row>
        <row r="411">
          <cell r="B411" t="str">
            <v>SATRIA ALDI PERMANA</v>
          </cell>
          <cell r="C411" t="str">
            <v>CoE TRANSPORT &amp; LOGISTIC</v>
          </cell>
          <cell r="D411" t="str">
            <v>CoE TRANSPORT &amp; LOGISTIC</v>
          </cell>
          <cell r="E411" t="str">
            <v xml:space="preserve">ANALIS TEKNIK </v>
          </cell>
          <cell r="F411" t="str">
            <v>satria.permana@bki.co.id</v>
          </cell>
          <cell r="G411" t="str">
            <v>081212116830</v>
          </cell>
          <cell r="H411" t="str">
            <v>5C</v>
          </cell>
          <cell r="I411">
            <v>100000</v>
          </cell>
        </row>
        <row r="412">
          <cell r="B412" t="str">
            <v>M. ARDWIANSYAH</v>
          </cell>
          <cell r="C412" t="str">
            <v>CoE TRANSPORT &amp; LOGISTIC</v>
          </cell>
          <cell r="D412" t="str">
            <v>CoE TRANSPORT &amp; LOGISTIC</v>
          </cell>
          <cell r="E412" t="str">
            <v xml:space="preserve">OFFICER JUNIOR TEKNIK </v>
          </cell>
          <cell r="F412" t="str">
            <v>ardwiansyah@bki.co.id</v>
          </cell>
          <cell r="G412" t="str">
            <v/>
          </cell>
          <cell r="H412" t="str">
            <v>3C</v>
          </cell>
          <cell r="I412">
            <v>0</v>
          </cell>
        </row>
        <row r="413">
          <cell r="B413" t="str">
            <v>RANDY YOLANDA ANNOFCI PRATAMA</v>
          </cell>
          <cell r="C413" t="str">
            <v>CoE TRANSPORT &amp; LOGISTIC</v>
          </cell>
          <cell r="D413" t="str">
            <v>CoE TRANSPORT &amp; LOGISTIC</v>
          </cell>
          <cell r="E413" t="str">
            <v xml:space="preserve">ADMINISTRATOR SENIOR </v>
          </cell>
          <cell r="F413" t="str">
            <v>randy.yap@bki.co.id</v>
          </cell>
          <cell r="G413" t="str">
            <v>081291094104</v>
          </cell>
          <cell r="H413" t="str">
            <v>3B</v>
          </cell>
          <cell r="I413">
            <v>150000</v>
          </cell>
        </row>
        <row r="414">
          <cell r="B414" t="str">
            <v>DAVID HARYANTO</v>
          </cell>
          <cell r="C414" t="str">
            <v>DEPARTEMEN MANAJEMEN PORTOFOLIO</v>
          </cell>
          <cell r="D414" t="str">
            <v>DEPARTEMEN MANAJEMEN PORTOFOLIO</v>
          </cell>
          <cell r="E414" t="str">
            <v>SVP MANAJEMEN PORTOFOLIO</v>
          </cell>
          <cell r="F414" t="str">
            <v>david.haryanto@bki.co.id</v>
          </cell>
          <cell r="G414" t="str">
            <v>08121091390</v>
          </cell>
          <cell r="H414" t="str">
            <v>8C</v>
          </cell>
          <cell r="I414">
            <v>0</v>
          </cell>
        </row>
        <row r="415">
          <cell r="B415" t="str">
            <v>ALDICIO WILLIAM SCHUURMAN</v>
          </cell>
          <cell r="C415" t="str">
            <v>DEPARTEMEN MANAJEMEN PORTOFOLIO</v>
          </cell>
          <cell r="D415" t="str">
            <v>DEPARTEMEN MANAJEMEN PORTOFOLIO</v>
          </cell>
          <cell r="E415" t="str">
            <v>SPESIALIS MANAJEMEN PORTOFOLIO</v>
          </cell>
          <cell r="F415" t="str">
            <v>aldicio.ws@bki.co.id</v>
          </cell>
          <cell r="G415" t="str">
            <v>085710573352</v>
          </cell>
          <cell r="H415" t="str">
            <v>6A</v>
          </cell>
          <cell r="I415">
            <v>150000</v>
          </cell>
        </row>
        <row r="416">
          <cell r="B416" t="str">
            <v>MUHAMMAD RIZKY FAUZY FERNANDA</v>
          </cell>
          <cell r="C416" t="str">
            <v>DEPARTEMEN MANAJEMEN PORTOFOLIO</v>
          </cell>
          <cell r="D416" t="str">
            <v>DEPARTEMEN MANAJEMEN PORTOFOLIO</v>
          </cell>
          <cell r="E416" t="str">
            <v>STAF MANAJEMEN KEWILAYAHAN</v>
          </cell>
          <cell r="F416" t="str">
            <v>fauzy.fernanda@bki.co.id</v>
          </cell>
          <cell r="G416" t="str">
            <v/>
          </cell>
          <cell r="H416">
            <v>0</v>
          </cell>
          <cell r="I416">
            <v>0</v>
          </cell>
        </row>
        <row r="417">
          <cell r="B417" t="str">
            <v>ABDUL RIFANI PRAJA NURRAHMAN</v>
          </cell>
          <cell r="C417" t="str">
            <v>DIVISI AKUNTANSI KEUANGAN DAN PAJAK</v>
          </cell>
          <cell r="D417" t="str">
            <v>DIVISI AKUNTANSI KEUANGAN DAN PAJAK</v>
          </cell>
          <cell r="E417" t="str">
            <v>VP AKUNTANSI KEUANGAN DAN PAJAK</v>
          </cell>
          <cell r="F417" t="str">
            <v>arifani@bki.co.id</v>
          </cell>
          <cell r="G417" t="str">
            <v>085692444223</v>
          </cell>
          <cell r="H417" t="str">
            <v>8A</v>
          </cell>
          <cell r="I417">
            <v>500000</v>
          </cell>
        </row>
        <row r="418">
          <cell r="B418" t="str">
            <v>ADESTA MUNAS LATIEF</v>
          </cell>
          <cell r="C418" t="str">
            <v>DIVISI AKUNTANSI KEUANGAN DAN PAJAK</v>
          </cell>
          <cell r="D418" t="str">
            <v>DIVISI AKUNTANSI KEUANGAN DAN PAJAK</v>
          </cell>
          <cell r="E418" t="str">
            <v>SENIOR MANAGER BISNIS DAN SISTEM KEUANGAN</v>
          </cell>
          <cell r="F418" t="str">
            <v>adesta.latief@bki.co.id</v>
          </cell>
          <cell r="G418" t="str">
            <v>087885669200</v>
          </cell>
          <cell r="H418" t="str">
            <v>7A</v>
          </cell>
          <cell r="I418">
            <v>150000</v>
          </cell>
        </row>
        <row r="419">
          <cell r="B419" t="str">
            <v>RATIH TRI HARTANTI</v>
          </cell>
          <cell r="C419" t="str">
            <v>DIVISI AKUNTANSI KEUANGAN DAN PAJAK</v>
          </cell>
          <cell r="D419" t="str">
            <v>DIVISI AKUNTANSI KEUANGAN DAN PAJAK</v>
          </cell>
          <cell r="E419" t="str">
            <v>PJ. SENIOR MANAGER AKUNTANSI</v>
          </cell>
          <cell r="F419" t="str">
            <v>ratih.th@bki.co.id</v>
          </cell>
          <cell r="G419" t="str">
            <v>082119574024</v>
          </cell>
          <cell r="H419" t="str">
            <v>5B</v>
          </cell>
          <cell r="I419">
            <v>0</v>
          </cell>
        </row>
        <row r="420">
          <cell r="B420" t="str">
            <v>ANNISYAH FAZRIN</v>
          </cell>
          <cell r="C420" t="str">
            <v>DIVISI AKUNTANSI KEUANGAN DAN PAJAK</v>
          </cell>
          <cell r="D420" t="str">
            <v>DIVISI AKUNTANSI KEUANGAN DAN PAJAK</v>
          </cell>
          <cell r="E420" t="str">
            <v>ANALIS QA &amp; KEBIJAKAN AKUNTANSI KEUANGAN &amp; PAJAK</v>
          </cell>
          <cell r="F420" t="str">
            <v>annisyah.fazrin@bki.co.id</v>
          </cell>
          <cell r="G420" t="str">
            <v>082232009945</v>
          </cell>
          <cell r="H420" t="str">
            <v>5A</v>
          </cell>
          <cell r="I420">
            <v>150000</v>
          </cell>
        </row>
        <row r="421">
          <cell r="B421" t="str">
            <v>AGIYANI PERMANA PUTRA</v>
          </cell>
          <cell r="C421" t="str">
            <v>DIVISI AKUNTANSI KEUANGAN DAN PAJAK</v>
          </cell>
          <cell r="D421" t="str">
            <v>DIVISI AKUNTANSI KEUANGAN DAN PAJAK</v>
          </cell>
          <cell r="E421" t="str">
            <v>ANALIS PAJAK</v>
          </cell>
          <cell r="F421" t="str">
            <v>agi@bki.co.id</v>
          </cell>
          <cell r="G421" t="str">
            <v>087881752499</v>
          </cell>
          <cell r="H421" t="str">
            <v>5A</v>
          </cell>
          <cell r="I421">
            <v>0</v>
          </cell>
        </row>
        <row r="422">
          <cell r="B422" t="str">
            <v>MOHAMMAD RIZKI SATRIO</v>
          </cell>
          <cell r="C422" t="str">
            <v>DIVISI HUMAN CAPITAL</v>
          </cell>
          <cell r="D422" t="str">
            <v>DIVISI HUMAN CAPITAL</v>
          </cell>
          <cell r="E422" t="str">
            <v>PJ. ANALIS PENGEMBANGAN BUDAYA</v>
          </cell>
          <cell r="F422" t="str">
            <v>rizki.satrio@bki.co.id</v>
          </cell>
          <cell r="G422" t="str">
            <v>081280309635</v>
          </cell>
          <cell r="H422" t="str">
            <v>4A</v>
          </cell>
          <cell r="I422">
            <v>150000</v>
          </cell>
        </row>
        <row r="423">
          <cell r="B423" t="str">
            <v>FIKRAH WATHANI</v>
          </cell>
          <cell r="C423" t="str">
            <v>DIVISI HUMAN CAPITAL</v>
          </cell>
          <cell r="D423" t="str">
            <v>DIVISI HUMAN CAPITAL</v>
          </cell>
          <cell r="E423" t="str">
            <v>PJ. ANALIS PENGEMBANGAN TALENTA</v>
          </cell>
          <cell r="F423" t="str">
            <v>fikrah.wathani@bki.co.id</v>
          </cell>
          <cell r="G423" t="str">
            <v>08119848444</v>
          </cell>
          <cell r="H423" t="str">
            <v>4B</v>
          </cell>
          <cell r="I423">
            <v>150000</v>
          </cell>
        </row>
        <row r="424">
          <cell r="B424" t="str">
            <v>IRMARINDA SHEYNA CHANDRASAFIRA</v>
          </cell>
          <cell r="C424" t="str">
            <v>DIVISI HUMAN CAPITAL</v>
          </cell>
          <cell r="D424" t="str">
            <v>DIVISI HUMAN CAPITAL</v>
          </cell>
          <cell r="E424" t="str">
            <v>ANALIS MANAJEMEN PEMBELAJARAN DAN PELATIHAN</v>
          </cell>
          <cell r="F424" t="str">
            <v>irmarinda.sheyna@bki.co.id</v>
          </cell>
          <cell r="G424" t="str">
            <v>083867027135</v>
          </cell>
          <cell r="H424" t="str">
            <v>5B</v>
          </cell>
          <cell r="I424">
            <v>0</v>
          </cell>
        </row>
        <row r="425">
          <cell r="B425" t="str">
            <v>DIANA PINASTHIKA</v>
          </cell>
          <cell r="C425" t="str">
            <v>DIVISI HUMAN CAPITAL</v>
          </cell>
          <cell r="D425" t="str">
            <v>DIVISI HUMAN CAPITAL</v>
          </cell>
          <cell r="E425" t="str">
            <v>OFFICER MANAJEMEN REWARD DAN REMUNERASI</v>
          </cell>
          <cell r="F425" t="str">
            <v>diana.p@bki.co.id</v>
          </cell>
          <cell r="G425" t="str">
            <v>08567031085</v>
          </cell>
          <cell r="H425" t="str">
            <v>4B</v>
          </cell>
          <cell r="I425">
            <v>0</v>
          </cell>
        </row>
        <row r="426">
          <cell r="B426" t="str">
            <v>AJI ABDUL AZIZ</v>
          </cell>
          <cell r="C426" t="str">
            <v>DIVISI HUMAN CAPITAL DAN TEKNOLOGI INFORMASI</v>
          </cell>
          <cell r="D426" t="str">
            <v>DIVISI HUMAN CAPITAL DAN TEKNOLOGI INFORMASI</v>
          </cell>
          <cell r="E426" t="str">
            <v>ADMINISTRATOR SENIOR</v>
          </cell>
          <cell r="F426" t="str">
            <v>aji.abdulaziz@bki.co.id</v>
          </cell>
          <cell r="G426" t="str">
            <v>081916071982</v>
          </cell>
          <cell r="H426" t="str">
            <v>3B</v>
          </cell>
          <cell r="I426">
            <v>0</v>
          </cell>
        </row>
        <row r="427">
          <cell r="B427" t="str">
            <v>PANDU WIJANARKO</v>
          </cell>
          <cell r="C427" t="str">
            <v>DIVISI HUMAN CAPITAL DAN TEKNOLOGI INFORMASI</v>
          </cell>
          <cell r="D427" t="str">
            <v>DIVISI HUMAN CAPITAL DAN TEKNOLOGI INFORMASI</v>
          </cell>
          <cell r="E427" t="str">
            <v>ADMINISTRATOR SENIOR</v>
          </cell>
          <cell r="F427" t="str">
            <v>pandu@bki.co.id</v>
          </cell>
          <cell r="G427" t="str">
            <v>08122801412</v>
          </cell>
          <cell r="H427" t="str">
            <v>3B</v>
          </cell>
          <cell r="I427">
            <v>0</v>
          </cell>
        </row>
        <row r="428">
          <cell r="B428" t="str">
            <v>SAMSUL MUSLIM</v>
          </cell>
          <cell r="C428" t="str">
            <v>DIVISI HUMAN CAPITAL DAN TEKNOLOGI INFORMASI</v>
          </cell>
          <cell r="D428" t="str">
            <v>DIVISI HUMAN CAPITAL DAN TEKNOLOGI INFORMASI</v>
          </cell>
          <cell r="E428" t="str">
            <v>ANALIS INFRASTRUKTUR TI</v>
          </cell>
          <cell r="F428" t="str">
            <v>samsul.muslim@bki.co.id</v>
          </cell>
          <cell r="G428" t="str">
            <v>08561806366</v>
          </cell>
          <cell r="H428" t="str">
            <v>5B</v>
          </cell>
          <cell r="I428">
            <v>150000</v>
          </cell>
        </row>
        <row r="429">
          <cell r="B429" t="str">
            <v>ROMILLO LIBRA SETIADI</v>
          </cell>
          <cell r="C429" t="str">
            <v>DIVISI HUMAN CAPITAL DAN TEKNOLOGI INFORMASI</v>
          </cell>
          <cell r="D429" t="str">
            <v>DIVISI HUMAN CAPITAL DAN TEKNOLOGI INFORMASI</v>
          </cell>
          <cell r="E429" t="str">
            <v>MANAGER INFRASTRUKTUR TI</v>
          </cell>
          <cell r="F429" t="str">
            <v>romillo@bki.co.id</v>
          </cell>
          <cell r="G429" t="str">
            <v>081310991059</v>
          </cell>
          <cell r="H429" t="str">
            <v>5B</v>
          </cell>
          <cell r="I429">
            <v>250000</v>
          </cell>
        </row>
        <row r="430">
          <cell r="B430" t="str">
            <v>BAYU MAHARDIKA WICAKSONO</v>
          </cell>
          <cell r="C430" t="str">
            <v>DIVISI HUMAN CAPITAL DAN TEKNOLOGI INFORMASI</v>
          </cell>
          <cell r="D430" t="str">
            <v>DIVISI HUMAN CAPITAL DAN TEKNOLOGI INFORMASI</v>
          </cell>
          <cell r="E430" t="str">
            <v>PJ. SENIOR MANAGER TEKNOLOGI INFORMASI</v>
          </cell>
          <cell r="F430" t="str">
            <v>bayu.mahardika@bki.co.id</v>
          </cell>
          <cell r="G430" t="str">
            <v>0812 8988 8084</v>
          </cell>
          <cell r="H430" t="str">
            <v>6A</v>
          </cell>
          <cell r="I430">
            <v>250000</v>
          </cell>
        </row>
        <row r="431">
          <cell r="B431" t="str">
            <v>MUCHLIS RACHMAN</v>
          </cell>
          <cell r="C431" t="str">
            <v>DIVISI HUMAN CAPITAL DAN TEKNOLOGI INFORMASI</v>
          </cell>
          <cell r="D431" t="str">
            <v>DIVISI HUMAN CAPITAL DAN TEKNOLOGI INFORMASI</v>
          </cell>
          <cell r="E431" t="str">
            <v>ANALIS INFRASTRUKTUR TI</v>
          </cell>
          <cell r="F431" t="str">
            <v>muchlis.rachman@bki.co.id</v>
          </cell>
          <cell r="G431" t="str">
            <v>081288304345</v>
          </cell>
          <cell r="H431" t="str">
            <v>5B</v>
          </cell>
          <cell r="I431">
            <v>150000</v>
          </cell>
        </row>
        <row r="432">
          <cell r="B432" t="str">
            <v>DIDING SUWANDI</v>
          </cell>
          <cell r="C432" t="str">
            <v>DIVISI HUMAN CAPITAL DAN TEKNOLOGI INFORMASI</v>
          </cell>
          <cell r="D432" t="str">
            <v>DIVISI HUMAN CAPITAL DAN TEKNOLOGI INFORMASI</v>
          </cell>
          <cell r="E432" t="str">
            <v>SPESIALIS SENIOR TEKNOLOGI INFORMASI</v>
          </cell>
          <cell r="F432" t="str">
            <v>diding@bki.co.id</v>
          </cell>
          <cell r="G432" t="str">
            <v>08129127646</v>
          </cell>
          <cell r="H432" t="str">
            <v>7B</v>
          </cell>
          <cell r="I432">
            <v>0</v>
          </cell>
        </row>
        <row r="433">
          <cell r="B433" t="str">
            <v>MARINA ARIFIANTI</v>
          </cell>
          <cell r="C433" t="str">
            <v>DIVISI HUMAN CAPITAL DAN TEKNOLOGI INFORMASI</v>
          </cell>
          <cell r="D433" t="str">
            <v>DIVISI HUMAN CAPITAL DAN TEKNOLOGI INFORMASI</v>
          </cell>
          <cell r="E433" t="str">
            <v>ANALIS REKRUTMEN &amp; HUBUNGAN INDUSTRIAL</v>
          </cell>
          <cell r="F433" t="str">
            <v>marina@bki.co.id</v>
          </cell>
          <cell r="G433" t="str">
            <v>08129976023</v>
          </cell>
          <cell r="H433" t="str">
            <v>5B</v>
          </cell>
          <cell r="I433">
            <v>250000</v>
          </cell>
        </row>
        <row r="434">
          <cell r="B434" t="str">
            <v>NURKUMALA SAKTI</v>
          </cell>
          <cell r="C434" t="str">
            <v>DIVISI HUMAN CAPITAL DAN TEKNOLOGI INFORMASI</v>
          </cell>
          <cell r="D434" t="str">
            <v>DIVISI HUMAN CAPITAL DAN TEKNOLOGI INFORMASI</v>
          </cell>
          <cell r="E434" t="str">
            <v>MANAGER PENGEMBANGAN SDM</v>
          </cell>
          <cell r="F434" t="str">
            <v>nurkumala.sakti@bki.co.id</v>
          </cell>
          <cell r="G434" t="str">
            <v>085640040762</v>
          </cell>
          <cell r="H434" t="str">
            <v>5C</v>
          </cell>
          <cell r="I434">
            <v>100000</v>
          </cell>
        </row>
        <row r="435">
          <cell r="B435" t="str">
            <v>KOMARIAH</v>
          </cell>
          <cell r="C435" t="str">
            <v>DIVISI HUMAN CAPITAL DAN TEKNOLOGI INFORMASI</v>
          </cell>
          <cell r="D435" t="str">
            <v>DIVISI HUMAN CAPITAL DAN TEKNOLOGI INFORMASI</v>
          </cell>
          <cell r="E435" t="str">
            <v>ANALIS PENGEMBANGAN ORGANISASI</v>
          </cell>
          <cell r="F435" t="str">
            <v>komariah@bki.co.id</v>
          </cell>
          <cell r="G435" t="str">
            <v>0811814859</v>
          </cell>
          <cell r="H435" t="str">
            <v>5B</v>
          </cell>
          <cell r="I435">
            <v>0</v>
          </cell>
        </row>
        <row r="436">
          <cell r="B436" t="str">
            <v>YULIA DIAN ANGGRAINI</v>
          </cell>
          <cell r="C436" t="str">
            <v>DIVISI HUMAN CAPITAL DAN TEKNOLOGI INFORMASI</v>
          </cell>
          <cell r="D436" t="str">
            <v>DIVISI HUMAN CAPITAL DAN TEKNOLOGI INFORMASI</v>
          </cell>
          <cell r="E436" t="str">
            <v>PJ. SENIOR MANAGER LAYANAN HC &amp; HUBUNGAN INDUSTRIAL</v>
          </cell>
          <cell r="F436" t="str">
            <v>yulia.da@bki.co.id</v>
          </cell>
          <cell r="G436" t="str">
            <v>087873064016</v>
          </cell>
          <cell r="H436" t="str">
            <v>5C</v>
          </cell>
          <cell r="I436">
            <v>250000</v>
          </cell>
        </row>
        <row r="437">
          <cell r="B437" t="str">
            <v>MIA MARTINA INDAH</v>
          </cell>
          <cell r="C437" t="str">
            <v>DIVISI HUMAN CAPITAL DAN TEKNOLOGI INFORMASI</v>
          </cell>
          <cell r="D437" t="str">
            <v>DIVISI HUMAN CAPITAL DAN TEKNOLOGI INFORMASI</v>
          </cell>
          <cell r="E437" t="str">
            <v>OFFICER REMUNERASI &amp; HCIS</v>
          </cell>
          <cell r="F437" t="str">
            <v>mia.mi@bki.co.id</v>
          </cell>
          <cell r="G437" t="str">
            <v>087781550626</v>
          </cell>
          <cell r="H437" t="str">
            <v>4B</v>
          </cell>
          <cell r="I437">
            <v>150000</v>
          </cell>
        </row>
        <row r="438">
          <cell r="B438" t="str">
            <v>SALVINUS PATANGKE</v>
          </cell>
          <cell r="C438" t="str">
            <v>DIVISI HUMAN CAPITAL DAN TEKNOLOGI INFORMASI</v>
          </cell>
          <cell r="D438" t="str">
            <v>DIVISI HUMAN CAPITAL DAN TEKNOLOGI INFORMASI</v>
          </cell>
          <cell r="E438" t="str">
            <v>STAF UTAMA II</v>
          </cell>
          <cell r="F438" t="str">
            <v>salvinus@bki.co.id</v>
          </cell>
          <cell r="G438" t="str">
            <v>081232588321</v>
          </cell>
          <cell r="H438" t="str">
            <v>8A</v>
          </cell>
          <cell r="I438">
            <v>0</v>
          </cell>
        </row>
        <row r="439">
          <cell r="B439" t="str">
            <v>MARDINI EMBUN SARI</v>
          </cell>
          <cell r="C439" t="str">
            <v>DIVISI HUMAN CAPITAL DAN TEKNOLOGI INFORMASI</v>
          </cell>
          <cell r="D439" t="str">
            <v>DIVISI HUMAN CAPITAL DAN TEKNOLOGI INFORMASI</v>
          </cell>
          <cell r="E439" t="str">
            <v>MANAGER REKRUTMEN DAN HUBUNGAN INDUSTRIAL</v>
          </cell>
          <cell r="F439" t="str">
            <v>sari@bki.co.id</v>
          </cell>
          <cell r="G439" t="str">
            <v>081286281505</v>
          </cell>
          <cell r="H439" t="str">
            <v>5C</v>
          </cell>
          <cell r="I439">
            <v>250000</v>
          </cell>
        </row>
        <row r="440">
          <cell r="B440" t="str">
            <v>DESI HARDIANAWATI</v>
          </cell>
          <cell r="C440" t="str">
            <v>DIVISI HUMAN CAPITAL DAN TEKNOLOGI INFORMASI</v>
          </cell>
          <cell r="D440" t="str">
            <v>DIVISI HUMAN CAPITAL DAN TEKNOLOGI INFORMASI</v>
          </cell>
          <cell r="E440" t="str">
            <v>OFFICER PENGEMBANGAN ORGANISASI</v>
          </cell>
          <cell r="F440" t="str">
            <v>desi.hardianawati@bki.co.id</v>
          </cell>
          <cell r="G440" t="str">
            <v>081398851781</v>
          </cell>
          <cell r="H440" t="str">
            <v>4B</v>
          </cell>
          <cell r="I440">
            <v>150000</v>
          </cell>
        </row>
        <row r="441">
          <cell r="B441" t="str">
            <v>RIDWAN ARIFIN</v>
          </cell>
          <cell r="C441" t="str">
            <v>DIVISI HUMAN CAPITAL DAN TEKNOLOGI INFORMASI</v>
          </cell>
          <cell r="D441" t="str">
            <v>DIVISI HUMAN CAPITAL DAN TEKNOLOGI INFORMASI</v>
          </cell>
          <cell r="E441" t="str">
            <v>SENIOR MANAGER PERENCANAAN DAN PENGEMBANGAN SDM</v>
          </cell>
          <cell r="F441" t="str">
            <v>ridwan.arifin@bki.co.id</v>
          </cell>
          <cell r="G441" t="str">
            <v>081332430406</v>
          </cell>
          <cell r="H441" t="str">
            <v>7B</v>
          </cell>
          <cell r="I441">
            <v>350000</v>
          </cell>
        </row>
        <row r="442">
          <cell r="B442" t="str">
            <v>EVA SINTAULI SARAGIH</v>
          </cell>
          <cell r="C442" t="str">
            <v>DIVISI HUMAN CAPITAL DAN TEKNOLOGI INFORMASI</v>
          </cell>
          <cell r="D442" t="str">
            <v>DIVISI HUMAN CAPITAL DAN TEKNOLOGI INFORMASI</v>
          </cell>
          <cell r="E442" t="str">
            <v>STAF UTAMA I</v>
          </cell>
          <cell r="F442" t="str">
            <v>eva.ss@bki.co.id</v>
          </cell>
          <cell r="G442" t="str">
            <v>081312315861</v>
          </cell>
          <cell r="H442" t="str">
            <v>7A</v>
          </cell>
          <cell r="I442">
            <v>350000</v>
          </cell>
        </row>
        <row r="443">
          <cell r="B443" t="str">
            <v>APRIANSYAH</v>
          </cell>
          <cell r="C443" t="str">
            <v>DIVISI HUMAN CAPITAL DAN TEKNOLOGI INFORMASI</v>
          </cell>
          <cell r="D443" t="str">
            <v>DIVISI HUMAN CAPITAL DAN TEKNOLOGI INFORMASI</v>
          </cell>
          <cell r="E443" t="str">
            <v>MANAGER REMUNERASI DAN HCIS</v>
          </cell>
          <cell r="F443" t="str">
            <v>apriansyah@bki.co.id</v>
          </cell>
          <cell r="G443" t="str">
            <v>085880894843</v>
          </cell>
          <cell r="H443" t="str">
            <v>5C</v>
          </cell>
          <cell r="I443">
            <v>100000</v>
          </cell>
        </row>
        <row r="444">
          <cell r="B444" t="str">
            <v>RATIH PUTRI ARIFIANTI</v>
          </cell>
          <cell r="C444" t="str">
            <v>DIVISI HUMAN CAPITAL DAN TEKNOLOGI INFORMASI</v>
          </cell>
          <cell r="D444" t="str">
            <v>DIVISI HUMAN CAPITAL DAN TEKNOLOGI INFORMASI</v>
          </cell>
          <cell r="E444" t="str">
            <v>ANALIS PENGEMBANGAN SDM</v>
          </cell>
          <cell r="F444" t="str">
            <v>ratih.pa@bki.co.id</v>
          </cell>
          <cell r="G444" t="str">
            <v>081297814276</v>
          </cell>
          <cell r="H444" t="str">
            <v>5A</v>
          </cell>
          <cell r="I444">
            <v>0</v>
          </cell>
        </row>
        <row r="445">
          <cell r="B445" t="str">
            <v>RACHMAD KURNIAWAN</v>
          </cell>
          <cell r="C445" t="str">
            <v>DIVISI HUMAN CAPITAL DAN TEKNOLOGI INFORMASI</v>
          </cell>
          <cell r="D445" t="str">
            <v>DIVISI HUMAN CAPITAL DAN TEKNOLOGI INFORMASI</v>
          </cell>
          <cell r="E445" t="str">
            <v>ADMINISTRATOR SENIOR</v>
          </cell>
          <cell r="F445" t="str">
            <v>rachmad.kurniawan@bki.co.id</v>
          </cell>
          <cell r="G445" t="str">
            <v>08119880074</v>
          </cell>
          <cell r="H445" t="str">
            <v>3B</v>
          </cell>
          <cell r="I445">
            <v>150000</v>
          </cell>
        </row>
        <row r="446">
          <cell r="B446" t="str">
            <v>MANIAH</v>
          </cell>
          <cell r="C446" t="str">
            <v>DIVISI HUMAN CAPITAL DAN TEKNOLOGI INFORMASI</v>
          </cell>
          <cell r="D446" t="str">
            <v>DIVISI HUMAN CAPITAL DAN TEKNOLOGI INFORMASI</v>
          </cell>
          <cell r="E446" t="str">
            <v>ANALIS REKRUTMEN &amp; HUBUNGAN INDUSTRIAL</v>
          </cell>
          <cell r="F446" t="str">
            <v>maniah@bki.co.id</v>
          </cell>
          <cell r="G446" t="str">
            <v>0811778004</v>
          </cell>
          <cell r="H446" t="str">
            <v>5A</v>
          </cell>
          <cell r="I446">
            <v>0</v>
          </cell>
        </row>
        <row r="447">
          <cell r="B447" t="str">
            <v>ROSALINA AMRAN</v>
          </cell>
          <cell r="C447" t="str">
            <v>DIVISI HUMAN CAPITAL DAN TEKNOLOGI INFORMASI</v>
          </cell>
          <cell r="D447" t="str">
            <v>DIVISI HUMAN CAPITAL DAN TEKNOLOGI INFORMASI</v>
          </cell>
          <cell r="E447" t="str">
            <v>STAF UTAMA I</v>
          </cell>
          <cell r="F447" t="str">
            <v>rosalina@bki.co.id</v>
          </cell>
          <cell r="G447" t="str">
            <v>081314950095</v>
          </cell>
          <cell r="H447" t="str">
            <v>7A</v>
          </cell>
          <cell r="I447">
            <v>350000</v>
          </cell>
        </row>
        <row r="448">
          <cell r="B448" t="str">
            <v>MUHAMAD SODIK</v>
          </cell>
          <cell r="C448" t="str">
            <v>DIVISI HUMAN CAPITAL DAN TEKNOLOGI INFORMASI</v>
          </cell>
          <cell r="D448" t="str">
            <v>DIVISI HUMAN CAPITAL DAN TEKNOLOGI INFORMASI</v>
          </cell>
          <cell r="E448" t="str">
            <v xml:space="preserve">VP HUMAN CAPITAL DAN TEKNOLOGI INFORMASI </v>
          </cell>
          <cell r="F448" t="str">
            <v>sodik@bki.co.id</v>
          </cell>
          <cell r="G448" t="str">
            <v>081380001771</v>
          </cell>
          <cell r="H448" t="str">
            <v>8A</v>
          </cell>
          <cell r="I448">
            <v>500000</v>
          </cell>
        </row>
        <row r="449">
          <cell r="B449" t="str">
            <v>YUSFI NOER ARYANI</v>
          </cell>
          <cell r="C449" t="str">
            <v>DIVISI HUMAN CAPITAL DAN TEKNOLOGI INFORMASI</v>
          </cell>
          <cell r="D449" t="str">
            <v>DIVISI HUMAN CAPITAL DAN TEKNOLOGI INFORMASI</v>
          </cell>
          <cell r="E449" t="str">
            <v>SPESIALIS REMUNERASI &amp; HCIS</v>
          </cell>
          <cell r="F449" t="str">
            <v>yusfi@bki.co.id</v>
          </cell>
          <cell r="G449" t="str">
            <v>081319773241</v>
          </cell>
          <cell r="H449" t="str">
            <v>6C</v>
          </cell>
          <cell r="I449">
            <v>250000</v>
          </cell>
        </row>
        <row r="450">
          <cell r="B450" t="str">
            <v>SAHDAT FAMA RIDHO</v>
          </cell>
          <cell r="C450" t="str">
            <v>DIVISI HUMAN CAPITAL DAN TEKNOLOGI INFORMASI</v>
          </cell>
          <cell r="D450" t="str">
            <v>DIVISI HUMAN CAPITAL DAN TEKNOLOGI INFORMASI</v>
          </cell>
          <cell r="E450" t="str">
            <v>ANALIS REMUNERASI &amp; HCIS</v>
          </cell>
          <cell r="F450" t="str">
            <v>sahdat@bki.co.id</v>
          </cell>
          <cell r="G450" t="str">
            <v>081915030396</v>
          </cell>
          <cell r="H450" t="str">
            <v>5B</v>
          </cell>
          <cell r="I450">
            <v>100000</v>
          </cell>
        </row>
        <row r="451">
          <cell r="B451" t="str">
            <v>FREDY NURMAN SALEH</v>
          </cell>
          <cell r="C451" t="str">
            <v>DIVISI HUMAN CAPITAL DAN TEKNOLOGI INFORMASI</v>
          </cell>
          <cell r="D451" t="str">
            <v>DIVISI HUMAN CAPITAL DAN TEKNOLOGI INFORMASI</v>
          </cell>
          <cell r="E451" t="str">
            <v>OFFICER PENGEMBANGAN PIRANTI LUNAK</v>
          </cell>
          <cell r="F451" t="str">
            <v>fredy.ns@bki.co.id</v>
          </cell>
          <cell r="G451" t="str">
            <v>08112644120</v>
          </cell>
          <cell r="H451" t="str">
            <v>4B</v>
          </cell>
          <cell r="I451">
            <v>0</v>
          </cell>
        </row>
        <row r="452">
          <cell r="B452" t="str">
            <v>ELMY MUFIDAH</v>
          </cell>
          <cell r="C452" t="str">
            <v>DIVISI HUMAN CAPITAL DAN TEKNOLOGI INFORMASI</v>
          </cell>
          <cell r="D452" t="str">
            <v>DIVISI HUMAN CAPITAL DAN TEKNOLOGI INFORMASI</v>
          </cell>
          <cell r="E452" t="str">
            <v>OFFICER PENGEMBANGAN SDM</v>
          </cell>
          <cell r="F452" t="str">
            <v>elmy.m@bki.co.id</v>
          </cell>
          <cell r="H452" t="str">
            <v>4B</v>
          </cell>
          <cell r="I452">
            <v>100000</v>
          </cell>
        </row>
        <row r="453">
          <cell r="B453" t="str">
            <v>RATNA TRI HARDINI</v>
          </cell>
          <cell r="C453" t="str">
            <v>DIVISI HUMAN CAPITAL DAN TEKNOLOGI INFORMASI</v>
          </cell>
          <cell r="D453" t="str">
            <v>DIVISI HUMAN CAPITAL DAN TEKNOLOGI INFORMASI</v>
          </cell>
          <cell r="E453" t="str">
            <v>STAF DUKUNGAN BISNIS</v>
          </cell>
          <cell r="F453" t="str">
            <v>ratna.th@bki.co.id</v>
          </cell>
          <cell r="G453" t="str">
            <v>087784047756</v>
          </cell>
          <cell r="H453" t="str">
            <v>-</v>
          </cell>
          <cell r="I453">
            <v>0</v>
          </cell>
        </row>
        <row r="454">
          <cell r="B454" t="str">
            <v>PERY RINANDAR</v>
          </cell>
          <cell r="C454" t="str">
            <v>DIVISI HUMAN CAPITAL DAN TEKNOLOGI INFORMASI</v>
          </cell>
          <cell r="D454" t="str">
            <v>DIVISI HUMAN CAPITAL DAN TEKNOLOGI INFORMASI</v>
          </cell>
          <cell r="E454" t="str">
            <v>STAF PMO PIUTANG KP</v>
          </cell>
          <cell r="F454" t="str">
            <v>pery.rinandar@bki.co.id</v>
          </cell>
          <cell r="G454" t="str">
            <v>08119933343</v>
          </cell>
          <cell r="H454" t="str">
            <v>-</v>
          </cell>
          <cell r="I454">
            <v>0</v>
          </cell>
        </row>
        <row r="455">
          <cell r="B455" t="str">
            <v>RIZKI DAMAR SATRIA</v>
          </cell>
          <cell r="C455" t="str">
            <v>DIVISI HUMAN CAPITAL DAN TEKNOLOGI INFORMASI</v>
          </cell>
          <cell r="D455" t="str">
            <v>DIVISI HUMAN CAPITAL DAN TEKNOLOGI INFORMASI</v>
          </cell>
          <cell r="E455" t="str">
            <v>STAF PMO PIUTANG KP</v>
          </cell>
          <cell r="F455" t="str">
            <v>rizki.damar@bki.co.id</v>
          </cell>
          <cell r="G455" t="str">
            <v>081314675825</v>
          </cell>
          <cell r="H455" t="str">
            <v>-</v>
          </cell>
          <cell r="I455">
            <v>0</v>
          </cell>
        </row>
        <row r="456">
          <cell r="B456" t="str">
            <v>MUHTAR</v>
          </cell>
          <cell r="C456" t="str">
            <v>DIVISI HUMAN CAPITAL DAN TEKNOLOGI INFORMASI</v>
          </cell>
          <cell r="D456" t="str">
            <v>DIVISI HUMAN CAPITAL DAN TEKNOLOGI INFORMASI</v>
          </cell>
          <cell r="E456" t="str">
            <v>STAF DUKUNGAN BISNIS</v>
          </cell>
          <cell r="F456" t="str">
            <v>muhtar@bki.co.id</v>
          </cell>
          <cell r="G456" t="str">
            <v>087723751723</v>
          </cell>
          <cell r="H456" t="str">
            <v>-</v>
          </cell>
          <cell r="I456">
            <v>100000</v>
          </cell>
        </row>
        <row r="457">
          <cell r="B457" t="str">
            <v>ELVINO ADI PUTRA</v>
          </cell>
          <cell r="C457" t="str">
            <v>DIVISI HUMAN CAPITAL DAN TEKNOLOGI INFORMASI</v>
          </cell>
          <cell r="D457" t="str">
            <v>DIVISI HUMAN CAPITAL DAN TEKNOLOGI INFORMASI</v>
          </cell>
          <cell r="E457" t="str">
            <v>PROJECT MANAGER PMO ERP</v>
          </cell>
          <cell r="F457" t="str">
            <v>elvino.putra@bki.co.id</v>
          </cell>
          <cell r="G457" t="str">
            <v>087780852555</v>
          </cell>
          <cell r="H457">
            <v>3</v>
          </cell>
          <cell r="I457">
            <v>0</v>
          </cell>
        </row>
        <row r="458">
          <cell r="B458" t="str">
            <v>ARIEF SYAFTRIAN</v>
          </cell>
          <cell r="C458" t="str">
            <v>DIVISI HUMAN CAPITAL DAN TEKNOLOGI INFORMASI</v>
          </cell>
          <cell r="D458" t="str">
            <v>DIVISI HUMAN CAPITAL DAN TEKNOLOGI INFORMASI</v>
          </cell>
          <cell r="E458" t="str">
            <v>STAF ABAP</v>
          </cell>
          <cell r="F458" t="str">
            <v>arief.syaftrian@bki.co.id</v>
          </cell>
          <cell r="G458" t="str">
            <v>085692360956</v>
          </cell>
          <cell r="H458" t="str">
            <v>-</v>
          </cell>
          <cell r="I458">
            <v>0</v>
          </cell>
        </row>
        <row r="459">
          <cell r="B459" t="str">
            <v>KHOLID ANAS AMRULLOH</v>
          </cell>
          <cell r="C459" t="str">
            <v>DIVISI HUMAN CAPITAL DAN TEKNOLOGI INFORMASI</v>
          </cell>
          <cell r="D459" t="str">
            <v>DIVISI HUMAN CAPITAL DAN TEKNOLOGI INFORMASI</v>
          </cell>
          <cell r="E459" t="str">
            <v>STAF DUKUNGAN BISNIS</v>
          </cell>
          <cell r="F459" t="str">
            <v>kholidanas@bki.co.id</v>
          </cell>
          <cell r="G459" t="str">
            <v>0895801003657</v>
          </cell>
          <cell r="H459" t="str">
            <v>-</v>
          </cell>
          <cell r="I459">
            <v>0</v>
          </cell>
        </row>
        <row r="460">
          <cell r="B460" t="str">
            <v>MUHAMMAD FACHRI RAMADHAN</v>
          </cell>
          <cell r="C460" t="str">
            <v>DIVISI HUMAN CAPITAL DAN TEKNOLOGI INFORMASI</v>
          </cell>
          <cell r="D460" t="str">
            <v>DIVISI HUMAN CAPITAL DAN TEKNOLOGI INFORMASI</v>
          </cell>
          <cell r="E460" t="str">
            <v xml:space="preserve">STAF PROGRAMMER IT </v>
          </cell>
          <cell r="F460" t="str">
            <v>mfachri.ramadhan@bki.co.id</v>
          </cell>
          <cell r="G460" t="str">
            <v>089629674351</v>
          </cell>
          <cell r="H460" t="str">
            <v>-</v>
          </cell>
          <cell r="I460">
            <v>0</v>
          </cell>
        </row>
        <row r="461">
          <cell r="B461" t="str">
            <v>ARIEF ADHITYA PERDANA</v>
          </cell>
          <cell r="C461" t="str">
            <v>DIVISI HUMAN CAPITAL DAN TEKNOLOGI INFORMASI</v>
          </cell>
          <cell r="D461" t="str">
            <v>DIVISI HUMAN CAPITAL DAN TEKNOLOGI INFORMASI</v>
          </cell>
          <cell r="E461" t="str">
            <v>STAF PERENCANAAN DAN PENGEMBANGAN SUMBER DAYA MANUSIA</v>
          </cell>
          <cell r="F461" t="str">
            <v>arief.adhitya@bki.co.id</v>
          </cell>
          <cell r="G461" t="str">
            <v>085892222273</v>
          </cell>
          <cell r="H461" t="str">
            <v>-</v>
          </cell>
          <cell r="I461">
            <v>0</v>
          </cell>
        </row>
        <row r="462">
          <cell r="B462" t="str">
            <v>KHANSA DAFFA ZUL HAZMI</v>
          </cell>
          <cell r="C462" t="str">
            <v>DIVISI HUMAN CAPITAL DAN TEKNOLOGI INFORMASI</v>
          </cell>
          <cell r="D462" t="str">
            <v>DIVISI HUMAN CAPITAL DAN TEKNOLOGI INFORMASI</v>
          </cell>
          <cell r="E462" t="str">
            <v xml:space="preserve">Staf Infrastruktur Teknologi Informasi </v>
          </cell>
          <cell r="F462" t="str">
            <v>daffa.zulhazmi@bki.co.id</v>
          </cell>
          <cell r="H462" t="str">
            <v>-</v>
          </cell>
          <cell r="I462">
            <v>0</v>
          </cell>
        </row>
        <row r="463">
          <cell r="B463" t="str">
            <v>CHELSYA MANIK</v>
          </cell>
          <cell r="C463" t="str">
            <v>DIVISI HUMAN CAPITAL DAN TEKNOLOGI INFORMASI</v>
          </cell>
          <cell r="D463" t="str">
            <v>DIVISI HUMAN CAPITAL DAN TEKNOLOGI INFORMASI</v>
          </cell>
          <cell r="E463" t="str">
            <v>STAF HUBUNGAN INDUSTRIAL</v>
          </cell>
          <cell r="F463" t="str">
            <v>chelsya.m@bki.co.id</v>
          </cell>
          <cell r="H463" t="str">
            <v>-</v>
          </cell>
          <cell r="I463">
            <v>0</v>
          </cell>
        </row>
        <row r="464">
          <cell r="B464" t="str">
            <v>IFAN SYAHPUTRA</v>
          </cell>
          <cell r="C464" t="str">
            <v>DIVISI HUMAN CAPITAL DAN TEKNOLOGI INFORMASI</v>
          </cell>
          <cell r="D464" t="str">
            <v>DIVISI HUMAN CAPITAL DAN TEKNOLOGI INFORMASI</v>
          </cell>
          <cell r="E464" t="str">
            <v>STAF ANALIS MANAJEMEN &amp; TATA KELOLA TI</v>
          </cell>
          <cell r="F464" t="str">
            <v>Ifan.syahputra@bki.co.id</v>
          </cell>
          <cell r="G464" t="str">
            <v>085691596627</v>
          </cell>
          <cell r="H464">
            <v>4</v>
          </cell>
          <cell r="I464">
            <v>0</v>
          </cell>
        </row>
        <row r="465">
          <cell r="B465" t="str">
            <v>AWANG SYUKRIANSAH DIRGANTORO</v>
          </cell>
          <cell r="C465" t="str">
            <v>DIVISI HUMAN CAPITAL DAN TEKNOLOGI INFORMASI</v>
          </cell>
          <cell r="D465" t="str">
            <v>DIVISI HUMAN CAPITAL DAN TEKNOLOGI INFORMASI</v>
          </cell>
          <cell r="E465" t="str">
            <v xml:space="preserve">STAF PROGRAMMER IT </v>
          </cell>
          <cell r="F465" t="str">
            <v>awang.sd@bki.co.id</v>
          </cell>
          <cell r="H465">
            <v>0</v>
          </cell>
          <cell r="I465">
            <v>0</v>
          </cell>
        </row>
        <row r="466">
          <cell r="B466" t="str">
            <v>FAJAR NUGRAHA</v>
          </cell>
          <cell r="C466" t="str">
            <v>DIVISI INTEGRASI SISTEM DAN PROSES BISNIS</v>
          </cell>
          <cell r="D466" t="str">
            <v>DIVISI INTEGRASI SISTEM DAN PROSES BISNIS</v>
          </cell>
          <cell r="E466" t="str">
            <v>VP INTEGRASI SISTEM DAN PROSES BISNIS</v>
          </cell>
          <cell r="F466" t="str">
            <v>fnugraha@bki.co.id</v>
          </cell>
          <cell r="G466" t="str">
            <v>0812 8849 8757</v>
          </cell>
          <cell r="H466" t="str">
            <v>8A</v>
          </cell>
          <cell r="I466">
            <v>500000</v>
          </cell>
        </row>
        <row r="467">
          <cell r="B467" t="str">
            <v>AGUS SYARIF MAOLANA</v>
          </cell>
          <cell r="C467" t="str">
            <v>DIVISI INTEGRASI SISTEM DAN PROSES BISNIS</v>
          </cell>
          <cell r="D467" t="str">
            <v>DIVISI INTEGRASI SISTEM DAN PROSES BISNIS</v>
          </cell>
          <cell r="E467" t="str">
            <v>SENIOR MANAGER PROSES BISNIS DAN MANAJEMEN SISTEM TERINTEGRASI</v>
          </cell>
          <cell r="F467" t="str">
            <v>agus.syarif@bki.co.id</v>
          </cell>
          <cell r="G467" t="str">
            <v>087874534352</v>
          </cell>
          <cell r="H467" t="str">
            <v>7B</v>
          </cell>
          <cell r="I467">
            <v>350000</v>
          </cell>
        </row>
        <row r="468">
          <cell r="B468" t="str">
            <v>IRMA YUNIATI</v>
          </cell>
          <cell r="C468" t="str">
            <v>DIVISI INTEGRASI SISTEM DAN PROSES BISNIS</v>
          </cell>
          <cell r="D468" t="str">
            <v>DIVISI INTEGRASI SISTEM DAN PROSES BISNIS</v>
          </cell>
          <cell r="E468" t="str">
            <v>JUNIOR OFFICER PENUGASKARYAAN</v>
          </cell>
          <cell r="F468" t="str">
            <v>irma.yuniati@bki.co.id</v>
          </cell>
          <cell r="G468" t="str">
            <v/>
          </cell>
          <cell r="H468" t="str">
            <v>3C</v>
          </cell>
          <cell r="I468">
            <v>100000</v>
          </cell>
        </row>
        <row r="469">
          <cell r="B469" t="str">
            <v>ICHSAN AHRIL AUZAN</v>
          </cell>
          <cell r="C469" t="str">
            <v>DIVISI INTEGRASI SISTEM DAN PROSES BISNIS</v>
          </cell>
          <cell r="D469" t="str">
            <v>DIVISI INTEGRASI SISTEM DAN PROSES BISNIS</v>
          </cell>
          <cell r="E469" t="str">
            <v>STAF DUKUNGAN BISNIS</v>
          </cell>
          <cell r="F469" t="str">
            <v>ichsan.ahril@bki.co.id</v>
          </cell>
          <cell r="G469" t="str">
            <v>081511388854</v>
          </cell>
          <cell r="H469" t="str">
            <v>-</v>
          </cell>
          <cell r="I469">
            <v>0</v>
          </cell>
        </row>
        <row r="470">
          <cell r="B470" t="str">
            <v>RIZKY GUSTI ANDIKA</v>
          </cell>
          <cell r="C470" t="str">
            <v>DIVISI INTEGRASI SISTEM DAN PROSES BISNIS</v>
          </cell>
          <cell r="D470" t="str">
            <v>DIVISI INTEGRASI SISTEM DAN PROSES BISNIS</v>
          </cell>
          <cell r="E470" t="str">
            <v>STAF DUKUNGAN BISNIS</v>
          </cell>
          <cell r="F470" t="str">
            <v>rizky.andika@bki.co.id</v>
          </cell>
          <cell r="G470" t="str">
            <v>082335567954</v>
          </cell>
          <cell r="H470" t="str">
            <v>-</v>
          </cell>
          <cell r="I470">
            <v>0</v>
          </cell>
        </row>
        <row r="471">
          <cell r="B471" t="str">
            <v>RIZA ZAKARIA HELMI</v>
          </cell>
          <cell r="C471" t="str">
            <v>DIVISI INTEGRASI SISTEM DAN PROSES BISNIS</v>
          </cell>
          <cell r="D471" t="str">
            <v>DIVISI INTEGRASI SISTEM DAN PROSES BISNIS</v>
          </cell>
          <cell r="E471" t="str">
            <v>ANALISA PROSES BISNIS TERINTEGRASI</v>
          </cell>
          <cell r="F471" t="str">
            <v>riza.zakaria@bki.co.id</v>
          </cell>
          <cell r="G471" t="str">
            <v>081804960551</v>
          </cell>
          <cell r="H471" t="str">
            <v>-</v>
          </cell>
          <cell r="I471">
            <v>0</v>
          </cell>
        </row>
        <row r="472">
          <cell r="B472" t="str">
            <v>RINO YAN CAHYONO</v>
          </cell>
          <cell r="C472" t="str">
            <v>DIVISI KEUANGAN DAN AKUNTANSI</v>
          </cell>
          <cell r="D472" t="str">
            <v>DIVISI KEUANGAN DAN AKUNTANSI</v>
          </cell>
          <cell r="E472" t="str">
            <v>VP KEUANGAN DAN AKUNTANSI</v>
          </cell>
          <cell r="F472" t="str">
            <v>rino@bki.co.id</v>
          </cell>
          <cell r="G472" t="str">
            <v>081286889062</v>
          </cell>
          <cell r="H472" t="str">
            <v>8A</v>
          </cell>
          <cell r="I472">
            <v>0</v>
          </cell>
        </row>
        <row r="473">
          <cell r="B473" t="str">
            <v>SUMARTINI</v>
          </cell>
          <cell r="C473" t="str">
            <v>DIVISI KEUANGAN DAN AKUNTANSI</v>
          </cell>
          <cell r="D473" t="str">
            <v>DIVISI KEUANGAN DAN AKUNTANSI</v>
          </cell>
          <cell r="E473" t="str">
            <v>ANALIS AKUNTANSI</v>
          </cell>
          <cell r="F473" t="str">
            <v>sumartini@bki.co.id</v>
          </cell>
          <cell r="G473" t="str">
            <v>08121002622</v>
          </cell>
          <cell r="H473" t="str">
            <v>5B</v>
          </cell>
          <cell r="I473">
            <v>250000</v>
          </cell>
        </row>
        <row r="474">
          <cell r="B474" t="str">
            <v>LILY PANDANSARI</v>
          </cell>
          <cell r="C474" t="str">
            <v>DIVISI KEUANGAN DAN AKUNTANSI</v>
          </cell>
          <cell r="D474" t="str">
            <v>DIVISI KEUANGAN DAN AKUNTANSI</v>
          </cell>
          <cell r="E474" t="str">
            <v>ANALIS VERIFIKASI KEUANGAN</v>
          </cell>
          <cell r="F474" t="str">
            <v>lily.pandansari@bki.co.id</v>
          </cell>
          <cell r="G474" t="str">
            <v>082310166000</v>
          </cell>
          <cell r="H474" t="str">
            <v>5B</v>
          </cell>
          <cell r="I474">
            <v>250000</v>
          </cell>
        </row>
        <row r="475">
          <cell r="B475" t="str">
            <v>RISKA TRI HANDINI</v>
          </cell>
          <cell r="C475" t="str">
            <v>DIVISI KEUANGAN DAN AKUNTANSI</v>
          </cell>
          <cell r="D475" t="str">
            <v>DIVISI KEUANGAN DAN AKUNTANSI</v>
          </cell>
          <cell r="E475" t="str">
            <v>OFFICER VERIFIKASI KEUANGAN</v>
          </cell>
          <cell r="F475" t="str">
            <v>riska.th@bki.co.id</v>
          </cell>
          <cell r="G475" t="str">
            <v>081310438068</v>
          </cell>
          <cell r="H475" t="str">
            <v>4A</v>
          </cell>
          <cell r="I475">
            <v>100000</v>
          </cell>
        </row>
        <row r="476">
          <cell r="B476" t="str">
            <v>RATNA DEWI</v>
          </cell>
          <cell r="C476" t="str">
            <v>DIVISI KEUANGAN DAN AKUNTANSI</v>
          </cell>
          <cell r="D476" t="str">
            <v>DIVISI KEUANGAN DAN AKUNTANSI</v>
          </cell>
          <cell r="E476" t="str">
            <v>OFFICER VERIFIKASI KEUANGAN</v>
          </cell>
          <cell r="F476" t="str">
            <v>ratna.dewi@bki.co.id</v>
          </cell>
          <cell r="G476" t="str">
            <v>081289286158</v>
          </cell>
          <cell r="H476" t="str">
            <v>4A</v>
          </cell>
          <cell r="I476">
            <v>150000</v>
          </cell>
        </row>
        <row r="477">
          <cell r="B477" t="str">
            <v>PUTRI NUR LAKSMI</v>
          </cell>
          <cell r="C477" t="str">
            <v>DIVISI KEUANGAN DAN AKUNTANSI</v>
          </cell>
          <cell r="D477" t="str">
            <v>DIVISI KEUANGAN DAN AKUNTANSI</v>
          </cell>
          <cell r="E477" t="str">
            <v>OFFICER VERIFIKASI KEUANGAN</v>
          </cell>
          <cell r="F477" t="str">
            <v>putri.nl@bki.co.id</v>
          </cell>
          <cell r="G477" t="str">
            <v>087782073747</v>
          </cell>
          <cell r="H477" t="str">
            <v>4A</v>
          </cell>
          <cell r="I477">
            <v>150000</v>
          </cell>
        </row>
        <row r="478">
          <cell r="B478" t="str">
            <v>NENNY YUNIARTI</v>
          </cell>
          <cell r="C478" t="str">
            <v>DIVISI KEUANGAN DAN AKUNTANSI</v>
          </cell>
          <cell r="D478" t="str">
            <v>DIVISI KEUANGAN DAN AKUNTANSI</v>
          </cell>
          <cell r="E478" t="str">
            <v>OFFICER VERIFIKASI KEUANGAN</v>
          </cell>
          <cell r="F478" t="str">
            <v>nenny@bki.co.id</v>
          </cell>
          <cell r="G478" t="str">
            <v>087888812809</v>
          </cell>
          <cell r="H478" t="str">
            <v>4A</v>
          </cell>
          <cell r="I478">
            <v>150000</v>
          </cell>
        </row>
        <row r="479">
          <cell r="B479" t="str">
            <v>TRI JANUAR PRATAMA</v>
          </cell>
          <cell r="C479" t="str">
            <v>DIVISI KEUANGAN DAN AKUNTANSI</v>
          </cell>
          <cell r="D479" t="str">
            <v>DIVISI KEUANGAN DAN AKUNTANSI</v>
          </cell>
          <cell r="E479" t="str">
            <v>OFFICER VERIFIKASI KEUANGAN</v>
          </cell>
          <cell r="F479" t="str">
            <v>januar@bki.co.id</v>
          </cell>
          <cell r="G479" t="str">
            <v>085810026013</v>
          </cell>
          <cell r="H479" t="str">
            <v>4A</v>
          </cell>
          <cell r="I479">
            <v>150000</v>
          </cell>
        </row>
        <row r="480">
          <cell r="B480" t="str">
            <v>AZIZA</v>
          </cell>
          <cell r="C480" t="str">
            <v>DIVISI KEUANGAN DAN AKUNTANSI</v>
          </cell>
          <cell r="D480" t="str">
            <v>DIVISI KEUANGAN DAN AKUNTANSI</v>
          </cell>
          <cell r="E480" t="str">
            <v>ANALIS VERIFIKASI KEUANGAN</v>
          </cell>
          <cell r="F480" t="str">
            <v>aziza@bki.co.id</v>
          </cell>
          <cell r="G480" t="str">
            <v>081318014533</v>
          </cell>
          <cell r="H480" t="str">
            <v>5B</v>
          </cell>
          <cell r="I480">
            <v>250000</v>
          </cell>
        </row>
        <row r="481">
          <cell r="B481" t="str">
            <v>ELISHA MUTHIA</v>
          </cell>
          <cell r="C481" t="str">
            <v>DIVISI KEUANGAN DAN AKUNTANSI</v>
          </cell>
          <cell r="D481" t="str">
            <v>DIVISI KEUANGAN DAN AKUNTANSI</v>
          </cell>
          <cell r="E481" t="str">
            <v>PJ. SENIOR MANAGER AKUNTANSI DAN SISTEM KEUANGAN</v>
          </cell>
          <cell r="F481" t="str">
            <v>Elisha.Muthia@bki.co.id</v>
          </cell>
          <cell r="G481" t="str">
            <v>085363271815</v>
          </cell>
          <cell r="H481" t="str">
            <v>5B</v>
          </cell>
          <cell r="I481">
            <v>0</v>
          </cell>
        </row>
        <row r="482">
          <cell r="B482" t="str">
            <v>KURNIA FIRMANSYAH</v>
          </cell>
          <cell r="C482" t="str">
            <v>DIVISI KEUANGAN DAN AKUNTANSI</v>
          </cell>
          <cell r="D482" t="str">
            <v>DIVISI KEUANGAN DAN AKUNTANSI</v>
          </cell>
          <cell r="E482" t="str">
            <v>SENIOR MANAGER TREASURY</v>
          </cell>
          <cell r="F482" t="str">
            <v>kurnia.firmansyah@bki.co.id</v>
          </cell>
          <cell r="G482" t="str">
            <v>0813 1109 9952</v>
          </cell>
          <cell r="H482" t="str">
            <v>7A</v>
          </cell>
          <cell r="I482">
            <v>350000</v>
          </cell>
        </row>
        <row r="483">
          <cell r="B483" t="str">
            <v>YULIA FAJRI KINANTI</v>
          </cell>
          <cell r="C483" t="str">
            <v>DIVISI KEUANGAN DAN AKUNTANSI</v>
          </cell>
          <cell r="D483" t="str">
            <v>DIVISI KEUANGAN DAN AKUNTANSI</v>
          </cell>
          <cell r="E483" t="str">
            <v>OFFICER PEMBAYARAN</v>
          </cell>
          <cell r="F483" t="str">
            <v>yulia.fk@bki.co.id</v>
          </cell>
          <cell r="G483" t="str">
            <v>0896 5913 6249</v>
          </cell>
          <cell r="H483" t="str">
            <v>4A</v>
          </cell>
          <cell r="I483">
            <v>100000</v>
          </cell>
        </row>
        <row r="484">
          <cell r="B484" t="str">
            <v>MUHAMMAD ABDURRAHMAN ALI</v>
          </cell>
          <cell r="C484" t="str">
            <v>DIVISI KEUANGAN DAN AKUNTANSI</v>
          </cell>
          <cell r="D484" t="str">
            <v>DIVISI KEUANGAN DAN AKUNTANSI</v>
          </cell>
          <cell r="E484" t="str">
            <v>OFFICER AKUNTANSI</v>
          </cell>
          <cell r="F484" t="str">
            <v>m.ali@bki.co.id</v>
          </cell>
          <cell r="G484" t="str">
            <v>083892505039</v>
          </cell>
          <cell r="H484" t="str">
            <v>4B</v>
          </cell>
          <cell r="I484">
            <v>0</v>
          </cell>
        </row>
        <row r="485">
          <cell r="B485" t="str">
            <v>MARITSA HADANA</v>
          </cell>
          <cell r="C485" t="str">
            <v>DIVISI KEUANGAN DAN AKUNTANSI</v>
          </cell>
          <cell r="D485" t="str">
            <v>DIVISI KEUANGAN DAN AKUNTANSI</v>
          </cell>
          <cell r="E485" t="str">
            <v>OFFICER AKUNTANSI</v>
          </cell>
          <cell r="F485" t="str">
            <v>maritsa.ha@bki.co.id</v>
          </cell>
          <cell r="H485" t="str">
            <v>4B</v>
          </cell>
          <cell r="I485">
            <v>0</v>
          </cell>
        </row>
        <row r="486">
          <cell r="B486" t="str">
            <v xml:space="preserve">ANNISA FITRI AMALIA </v>
          </cell>
          <cell r="C486" t="str">
            <v>DIVISI KEUANGAN DAN AKUNTANSI</v>
          </cell>
          <cell r="D486" t="str">
            <v>DIVISI KEUANGAN DAN AKUNTANSI</v>
          </cell>
          <cell r="E486" t="str">
            <v>OFFICER PEMBAYARAN</v>
          </cell>
          <cell r="F486" t="str">
            <v>annisa.fa@bki.co.id</v>
          </cell>
          <cell r="H486" t="str">
            <v>4A</v>
          </cell>
          <cell r="I486">
            <v>0</v>
          </cell>
        </row>
        <row r="487">
          <cell r="B487" t="str">
            <v>IRWANTO</v>
          </cell>
          <cell r="C487" t="str">
            <v>DIVISI KEUANGAN DAN AKUNTANSI</v>
          </cell>
          <cell r="D487" t="str">
            <v>DIVISI KEUANGAN DAN AKUNTANSI</v>
          </cell>
          <cell r="E487" t="str">
            <v>SENIOR MANAGER PIUTANG</v>
          </cell>
          <cell r="F487" t="str">
            <v>irwanto@bki.co.id</v>
          </cell>
          <cell r="G487" t="str">
            <v>081388026275</v>
          </cell>
          <cell r="H487" t="str">
            <v>7A</v>
          </cell>
          <cell r="I487">
            <v>350000</v>
          </cell>
        </row>
        <row r="488">
          <cell r="B488" t="str">
            <v>IBRAHIM AD'HA</v>
          </cell>
          <cell r="C488" t="str">
            <v>DIVISI KEUANGAN DAN AKUNTANSI</v>
          </cell>
          <cell r="D488" t="str">
            <v>DIVISI KEUANGAN DAN AKUNTANSI</v>
          </cell>
          <cell r="E488" t="str">
            <v>TENAGA AHLI</v>
          </cell>
          <cell r="F488" t="str">
            <v>ibrahim.ad@bki.co.id</v>
          </cell>
          <cell r="G488" t="str">
            <v>081296690410</v>
          </cell>
          <cell r="H488" t="str">
            <v>-</v>
          </cell>
          <cell r="I488">
            <v>0</v>
          </cell>
        </row>
        <row r="489">
          <cell r="B489" t="str">
            <v>RAHMAT SIREGAR</v>
          </cell>
          <cell r="C489" t="str">
            <v>DIVISI KEUANGAN DAN AKUNTANSI</v>
          </cell>
          <cell r="D489" t="str">
            <v>DIVISI KEUANGAN DAN AKUNTANSI</v>
          </cell>
          <cell r="E489" t="str">
            <v>STAF DUKUNGAN BISNIS</v>
          </cell>
          <cell r="F489" t="str">
            <v>rahmat.sr@bki.co.id</v>
          </cell>
          <cell r="G489" t="str">
            <v>082275316919</v>
          </cell>
          <cell r="H489" t="str">
            <v>-</v>
          </cell>
          <cell r="I489">
            <v>0</v>
          </cell>
        </row>
        <row r="490">
          <cell r="B490" t="str">
            <v>RAMADHINA DEA ANANDA</v>
          </cell>
          <cell r="C490" t="str">
            <v>DIVISI KEUANGAN DAN AKUNTANSI</v>
          </cell>
          <cell r="D490" t="str">
            <v>DIVISI KEUANGAN DAN AKUNTANSI</v>
          </cell>
          <cell r="E490" t="str">
            <v>STAF SENTRALISASI KEUANGAN</v>
          </cell>
          <cell r="F490" t="str">
            <v>ramadhina.dea@bki.co.id</v>
          </cell>
          <cell r="G490" t="str">
            <v>081229386891</v>
          </cell>
          <cell r="H490" t="str">
            <v>-</v>
          </cell>
          <cell r="I490">
            <v>0</v>
          </cell>
        </row>
        <row r="491">
          <cell r="B491" t="str">
            <v>CHAIRANI MAULINA UTAMI</v>
          </cell>
          <cell r="C491" t="str">
            <v>DIVISI KEUANGAN DAN AKUNTANSI</v>
          </cell>
          <cell r="D491" t="str">
            <v>DIVISI KEUANGAN DAN AKUNTANSI</v>
          </cell>
          <cell r="E491" t="str">
            <v>STAF SENTRALISASI KEUANGAN</v>
          </cell>
          <cell r="F491" t="str">
            <v>chairani.maulina@bki.co.id</v>
          </cell>
          <cell r="G491" t="str">
            <v>081211156279</v>
          </cell>
          <cell r="H491" t="str">
            <v>-</v>
          </cell>
          <cell r="I491">
            <v>0</v>
          </cell>
        </row>
        <row r="492">
          <cell r="B492" t="str">
            <v>ARUM CAHAYA SARI</v>
          </cell>
          <cell r="C492" t="str">
            <v>DIVISI KEUANGAN DAN AKUNTANSI</v>
          </cell>
          <cell r="D492" t="str">
            <v>DIVISI KEUANGAN DAN AKUNTANSI</v>
          </cell>
          <cell r="E492" t="str">
            <v>STAF SENTRALISASI KEUANGAN</v>
          </cell>
          <cell r="F492" t="str">
            <v>arum.cs@bki.co.id</v>
          </cell>
          <cell r="G492" t="str">
            <v>087857100760</v>
          </cell>
          <cell r="H492" t="str">
            <v>-</v>
          </cell>
          <cell r="I492">
            <v>0</v>
          </cell>
        </row>
        <row r="493">
          <cell r="B493" t="str">
            <v>DINA NUR AULIANA</v>
          </cell>
          <cell r="C493" t="str">
            <v>DIVISI KEUANGAN DAN AKUNTANSI</v>
          </cell>
          <cell r="D493" t="str">
            <v>DIVISI KEUANGAN DAN AKUNTANSI</v>
          </cell>
          <cell r="E493" t="str">
            <v>STAF SISTEM SENTRALISASI KEUANGAN</v>
          </cell>
          <cell r="F493" t="str">
            <v>dina.na@bki.co.id</v>
          </cell>
          <cell r="H493" t="str">
            <v>-</v>
          </cell>
          <cell r="I493">
            <v>0</v>
          </cell>
        </row>
        <row r="494">
          <cell r="B494" t="str">
            <v>RUTH ALFONSINA WORABAY</v>
          </cell>
          <cell r="C494" t="str">
            <v>DIVISI KEUANGAN DAN AKUNTANSI</v>
          </cell>
          <cell r="D494" t="str">
            <v>DIVISI KEUANGAN DAN AKUNTANSI</v>
          </cell>
          <cell r="E494" t="str">
            <v>STAF TREASURY</v>
          </cell>
          <cell r="F494" t="str">
            <v>ruth.aw@bki.co.id</v>
          </cell>
          <cell r="H494" t="str">
            <v>-</v>
          </cell>
          <cell r="I494">
            <v>0</v>
          </cell>
        </row>
        <row r="495">
          <cell r="B495" t="str">
            <v>BRIAN FIRMANSYAH PUTRA SULMI</v>
          </cell>
          <cell r="C495" t="str">
            <v>DIVISI KEUANGAN DAN AKUNTANSI</v>
          </cell>
          <cell r="D495" t="str">
            <v>DIVISI KEUANGAN DAN AKUNTANSI</v>
          </cell>
          <cell r="E495" t="str">
            <v>STAF ADMINISTRASI KEUANGAN</v>
          </cell>
          <cell r="F495" t="str">
            <v>brian.firmansyah@bki.co.id</v>
          </cell>
          <cell r="G495" t="str">
            <v>082233306392</v>
          </cell>
          <cell r="H495" t="str">
            <v>-</v>
          </cell>
          <cell r="I495">
            <v>0</v>
          </cell>
        </row>
        <row r="496">
          <cell r="B496" t="str">
            <v>I MADE ANDHIKA DARMA PERKASA</v>
          </cell>
          <cell r="C496" t="str">
            <v>DIVISI LEGAL COUNSEL</v>
          </cell>
          <cell r="D496" t="str">
            <v>DIVISI LEGAL COUNSEL</v>
          </cell>
          <cell r="E496" t="str">
            <v>VP LEGAL COUNSEL</v>
          </cell>
          <cell r="F496" t="str">
            <v>made.andhika@bki.co.id</v>
          </cell>
          <cell r="G496" t="str">
            <v>085929991946</v>
          </cell>
          <cell r="H496" t="str">
            <v>8B</v>
          </cell>
          <cell r="I496">
            <v>0</v>
          </cell>
        </row>
        <row r="497">
          <cell r="B497" t="str">
            <v>RICARDO SANTOS</v>
          </cell>
          <cell r="C497" t="str">
            <v>DIVISI LEGAL COUNSEL</v>
          </cell>
          <cell r="D497" t="str">
            <v>DIVISI LEGAL COUNSEL</v>
          </cell>
          <cell r="E497" t="str">
            <v>STAF ANALISA KEPATUHAN ATAU LICENSE TO OPERATE</v>
          </cell>
          <cell r="F497" t="str">
            <v>ricardo.santos@bki.co.id</v>
          </cell>
          <cell r="G497" t="str">
            <v>08997514686</v>
          </cell>
          <cell r="H497" t="str">
            <v>-</v>
          </cell>
          <cell r="I497">
            <v>0</v>
          </cell>
        </row>
        <row r="498">
          <cell r="B498" t="str">
            <v>NURSYIFA RAMADHANI</v>
          </cell>
          <cell r="C498" t="str">
            <v>DIVISI LEGAL COUNSEL</v>
          </cell>
          <cell r="D498" t="str">
            <v>DIVISI LEGAL COUNSEL</v>
          </cell>
          <cell r="E498" t="str">
            <v>STAF LEGAL</v>
          </cell>
          <cell r="F498" t="str">
            <v>nursyifa@idsurvey.co.id</v>
          </cell>
          <cell r="G498" t="str">
            <v>085820072906</v>
          </cell>
          <cell r="H498" t="str">
            <v>-</v>
          </cell>
          <cell r="I498">
            <v>0</v>
          </cell>
        </row>
        <row r="499">
          <cell r="B499" t="str">
            <v>ROYNALD MATAHELUMUAL</v>
          </cell>
          <cell r="C499" t="str">
            <v>DIVISI MANAJEMEN CABANG KOMERSIAL</v>
          </cell>
          <cell r="D499" t="str">
            <v>DIVISI MANAJEMEN CABANG KOMERSIAL</v>
          </cell>
          <cell r="E499" t="str">
            <v>SENIOR MANAGER DUKUNGAN BISNIS KOMERSIL</v>
          </cell>
          <cell r="F499" t="str">
            <v>roynald@bki.co.id</v>
          </cell>
          <cell r="G499" t="str">
            <v>081314930100</v>
          </cell>
          <cell r="H499" t="str">
            <v>7B</v>
          </cell>
          <cell r="I499">
            <v>0</v>
          </cell>
        </row>
        <row r="500">
          <cell r="B500" t="str">
            <v>TOGAP HIDAYAT SIAGIAN</v>
          </cell>
          <cell r="C500" t="str">
            <v>DIVISI MANAJEMEN CABANG KOMERSIAL</v>
          </cell>
          <cell r="D500" t="str">
            <v>DIVISI MANAJEMEN CABANG KOMERSIAL</v>
          </cell>
          <cell r="E500" t="str">
            <v>ANALIS DUKUNGAN BISNIS</v>
          </cell>
          <cell r="F500" t="str">
            <v>togap@bki.co.id</v>
          </cell>
          <cell r="G500" t="str">
            <v>081296022052</v>
          </cell>
          <cell r="H500" t="str">
            <v>5A</v>
          </cell>
          <cell r="I500">
            <v>250000</v>
          </cell>
        </row>
        <row r="501">
          <cell r="B501" t="str">
            <v>ROCHMANSYAH</v>
          </cell>
          <cell r="C501" t="str">
            <v>DIVISI MANAJEMEN CABANG KOMERSIAL</v>
          </cell>
          <cell r="D501" t="str">
            <v>DIVISI MANAJEMEN CABANG KOMERSIAL</v>
          </cell>
          <cell r="E501" t="str">
            <v>ANALIS DUKUNGAN BISNIS</v>
          </cell>
          <cell r="F501" t="str">
            <v>rochmansyah@bki.co.id</v>
          </cell>
          <cell r="G501" t="str">
            <v>087888385192</v>
          </cell>
          <cell r="H501" t="str">
            <v>5A</v>
          </cell>
          <cell r="I501">
            <v>0</v>
          </cell>
        </row>
        <row r="502">
          <cell r="B502" t="str">
            <v>N. HERAWATI MELDA S</v>
          </cell>
          <cell r="C502" t="str">
            <v>DIVISI MANAJEMEN CABANG KOMERSIAL</v>
          </cell>
          <cell r="D502" t="str">
            <v>DIVISI MANAJEMEN CABANG KOMERSIAL</v>
          </cell>
          <cell r="E502" t="str">
            <v>ANALIS DUKUNGAN BISNIS</v>
          </cell>
          <cell r="F502" t="str">
            <v>verra@bki.co.id</v>
          </cell>
          <cell r="G502" t="str">
            <v>087878782105</v>
          </cell>
          <cell r="H502" t="str">
            <v>5A</v>
          </cell>
          <cell r="I502">
            <v>0</v>
          </cell>
        </row>
        <row r="503">
          <cell r="B503" t="str">
            <v>MAMIN RIFFIA KUSNANDAR</v>
          </cell>
          <cell r="C503" t="str">
            <v>DIVISI MANAJEMEN CABANG KOMERSIAL</v>
          </cell>
          <cell r="D503" t="str">
            <v>DIVISI MANAJEMEN CABANG KOMERSIAL</v>
          </cell>
          <cell r="E503" t="str">
            <v>SENIOR MANAGER DUKUNGAN OPERASI KOMERSIAL</v>
          </cell>
          <cell r="F503" t="str">
            <v>mamin@bki.co.id</v>
          </cell>
          <cell r="G503" t="str">
            <v>081326202624</v>
          </cell>
          <cell r="H503" t="str">
            <v>7B</v>
          </cell>
          <cell r="I503">
            <v>250000</v>
          </cell>
        </row>
        <row r="504">
          <cell r="B504" t="str">
            <v>ACHMAD TAWAKKAL RAMPA</v>
          </cell>
          <cell r="C504" t="str">
            <v>DIVISI MANAJEMEN CABANG KOMERSIAL</v>
          </cell>
          <cell r="D504" t="str">
            <v>DIVISI MANAJEMEN CABANG KOMERSIAL</v>
          </cell>
          <cell r="E504" t="str">
            <v>SPESIALIS SENIOR DUKUNGAN OPERASI</v>
          </cell>
          <cell r="F504" t="str">
            <v>tawakkal@bki.co.id</v>
          </cell>
          <cell r="G504" t="str">
            <v>081275385085</v>
          </cell>
          <cell r="H504" t="str">
            <v>7C</v>
          </cell>
          <cell r="I504">
            <v>250000</v>
          </cell>
        </row>
        <row r="505">
          <cell r="B505" t="str">
            <v>LILAH KURNIA SARI</v>
          </cell>
          <cell r="C505" t="str">
            <v>DIVISI MANAJEMEN CABANG KOMERSIAL</v>
          </cell>
          <cell r="D505" t="str">
            <v>DIVISI MANAJEMEN CABANG KOMERSIAL</v>
          </cell>
          <cell r="E505" t="str">
            <v>SPESIALIS DUKUNGAN OPERASI</v>
          </cell>
          <cell r="F505" t="str">
            <v>lilah@bki.co.id</v>
          </cell>
          <cell r="G505" t="str">
            <v>082112789403</v>
          </cell>
          <cell r="H505" t="str">
            <v>6C</v>
          </cell>
          <cell r="I505">
            <v>0</v>
          </cell>
        </row>
        <row r="506">
          <cell r="B506" t="str">
            <v>MUHAMMAD DAFA'ANH MURYA TSANI</v>
          </cell>
          <cell r="C506" t="str">
            <v>DIVISI MANAJEMEN CABANG KOMERSIAL</v>
          </cell>
          <cell r="D506" t="str">
            <v>DIVISI MANAJEMEN CABANG KOMERSIAL</v>
          </cell>
          <cell r="E506" t="str">
            <v>OFFICER KENDALI OPERASI</v>
          </cell>
          <cell r="F506" t="str">
            <v>m.dafa@bki.co.id</v>
          </cell>
          <cell r="H506" t="str">
            <v>4B</v>
          </cell>
          <cell r="I506">
            <v>100000</v>
          </cell>
        </row>
        <row r="507">
          <cell r="B507" t="str">
            <v>CHRISANTYA DIAN EKA WIHARTI</v>
          </cell>
          <cell r="C507" t="str">
            <v>DIVISI MANAJEMEN RISIKO DAN KEBERLANJUTAN</v>
          </cell>
          <cell r="D507" t="str">
            <v>DIVISI MANAJEMEN RISIKO DAN KEBERLANJUTAN</v>
          </cell>
          <cell r="E507" t="str">
            <v>SPESIALIS MANAJEMEN RISIKO</v>
          </cell>
          <cell r="F507" t="str">
            <v>chrisantya.wiharti@bki.co.id</v>
          </cell>
          <cell r="G507" t="str">
            <v>08119844032</v>
          </cell>
          <cell r="H507" t="str">
            <v>6A</v>
          </cell>
          <cell r="I507">
            <v>150000</v>
          </cell>
        </row>
        <row r="508">
          <cell r="B508" t="str">
            <v>SURIATY PARAMINTA PUTRI</v>
          </cell>
          <cell r="C508" t="str">
            <v>DIVISI MANAJEMEN RISIKO DAN KEBERLANJUTAN</v>
          </cell>
          <cell r="D508" t="str">
            <v>DIVISI MANAJEMEN RISIKO DAN KEBERLANJUTAN</v>
          </cell>
          <cell r="E508" t="str">
            <v>SENIOR MANAGER MANAJEMEN RISIKO</v>
          </cell>
          <cell r="F508" t="str">
            <v>putri@bki.co.id</v>
          </cell>
          <cell r="G508" t="str">
            <v>081296098766</v>
          </cell>
          <cell r="H508" t="str">
            <v>7B</v>
          </cell>
          <cell r="I508">
            <v>350000</v>
          </cell>
        </row>
        <row r="509">
          <cell r="B509" t="str">
            <v>WAWAN WIDIATMOKO</v>
          </cell>
          <cell r="C509" t="str">
            <v>DIVISI MANAJEMEN RISIKO DAN KEBERLANJUTAN</v>
          </cell>
          <cell r="D509" t="str">
            <v>DIVISI MANAJEMEN RISIKO DAN KEBERLANJUTAN</v>
          </cell>
          <cell r="E509" t="str">
            <v>PJ. SENIOR MANAGER BERKELANJUTAN</v>
          </cell>
          <cell r="F509" t="str">
            <v>wawan.widiatmoko@bki.co.id</v>
          </cell>
          <cell r="G509" t="str">
            <v>081380532060</v>
          </cell>
          <cell r="H509" t="str">
            <v>5C</v>
          </cell>
          <cell r="I509">
            <v>0</v>
          </cell>
        </row>
        <row r="510">
          <cell r="B510" t="str">
            <v>ALWI</v>
          </cell>
          <cell r="C510" t="str">
            <v>DIVISI OPERASI BISNIS KLASIFIKASI</v>
          </cell>
          <cell r="D510" t="str">
            <v>DIVISI OPERASI BISNIS KLASIFIKASI</v>
          </cell>
          <cell r="E510" t="str">
            <v>MANAGER MONITORING KAPAL</v>
          </cell>
          <cell r="F510" t="str">
            <v>alwi@bki.co.id</v>
          </cell>
          <cell r="G510" t="str">
            <v>081297484019</v>
          </cell>
          <cell r="H510" t="str">
            <v>5C</v>
          </cell>
          <cell r="I510">
            <v>0</v>
          </cell>
        </row>
        <row r="511">
          <cell r="B511" t="str">
            <v>FAISHAL ABDURRAHMAN LABIB</v>
          </cell>
          <cell r="C511" t="str">
            <v>DIVISI OPERASI BISNIS KLASIFIKASI</v>
          </cell>
          <cell r="D511" t="str">
            <v>DIVISI OPERASI BISNIS KLASIFIKASI</v>
          </cell>
          <cell r="E511" t="str">
            <v>MANAGER DATA KLASIFIKASI</v>
          </cell>
          <cell r="F511" t="str">
            <v>faishal.labib@bki.co.id</v>
          </cell>
          <cell r="G511" t="str">
            <v>081283446262</v>
          </cell>
          <cell r="H511" t="str">
            <v>5B</v>
          </cell>
          <cell r="I511">
            <v>150000</v>
          </cell>
        </row>
        <row r="512">
          <cell r="B512" t="str">
            <v>HENRY KURNIAWAN</v>
          </cell>
          <cell r="C512" t="str">
            <v>DIVISI OPERASI BISNIS KLASIFIKASI</v>
          </cell>
          <cell r="D512" t="str">
            <v>DIVISI OPERASI BISNIS KLASIFIKASI</v>
          </cell>
          <cell r="E512" t="str">
            <v>SENIOR MANAGER PEMASARAN DAN PUSAT LAYANAN PELANGGAN</v>
          </cell>
          <cell r="F512" t="str">
            <v>henry.kurniawan@bki.co.id</v>
          </cell>
          <cell r="G512" t="str">
            <v>081358400126</v>
          </cell>
          <cell r="H512" t="str">
            <v>7B</v>
          </cell>
          <cell r="I512">
            <v>0</v>
          </cell>
        </row>
        <row r="513">
          <cell r="B513" t="str">
            <v>HARDIKA RATDITYA ARDYANTO</v>
          </cell>
          <cell r="C513" t="str">
            <v>DIVISI OPERASI BISNIS KLASIFIKASI</v>
          </cell>
          <cell r="D513" t="str">
            <v>DIVISI OPERASI BISNIS KLASIFIKASI</v>
          </cell>
          <cell r="E513" t="str">
            <v>SENIOR MANAGER MANAJEMEN PUSAT KENDALI OPERASI</v>
          </cell>
          <cell r="F513" t="str">
            <v>hardika.ra@bki.co.id</v>
          </cell>
          <cell r="G513" t="str">
            <v>081319869847</v>
          </cell>
          <cell r="H513" t="str">
            <v>7B</v>
          </cell>
          <cell r="I513">
            <v>450000</v>
          </cell>
        </row>
        <row r="514">
          <cell r="B514" t="str">
            <v>PUJATMANTO BASTRIADI</v>
          </cell>
          <cell r="C514" t="str">
            <v>DIVISI OPERASI BISNIS KLASIFIKASI</v>
          </cell>
          <cell r="D514" t="str">
            <v>DIVISI OPERASI BISNIS KLASIFIKASI</v>
          </cell>
          <cell r="E514" t="str">
            <v>ANALIS ADMINISTRASI UMUM &amp; KEUANGAN</v>
          </cell>
          <cell r="F514" t="str">
            <v>pujatmanto@bki.co.id</v>
          </cell>
          <cell r="G514" t="str">
            <v>08124126565</v>
          </cell>
          <cell r="H514" t="str">
            <v>5A</v>
          </cell>
          <cell r="I514">
            <v>250000</v>
          </cell>
        </row>
        <row r="515">
          <cell r="B515" t="str">
            <v>BAMBANG SUTOMO</v>
          </cell>
          <cell r="C515" t="str">
            <v>DIVISI OPERASI BISNIS KLASIFIKASI</v>
          </cell>
          <cell r="D515" t="str">
            <v>DIVISI OPERASI BISNIS KLASIFIKASI</v>
          </cell>
          <cell r="E515" t="str">
            <v>SPESIALIS SENIOR MANAJEMEN PUSAT KENDALI OPERASI</v>
          </cell>
          <cell r="F515" t="str">
            <v>bambangs@bki.co.id</v>
          </cell>
          <cell r="G515" t="str">
            <v>0811326740</v>
          </cell>
          <cell r="H515" t="str">
            <v>7B</v>
          </cell>
          <cell r="I515">
            <v>350000</v>
          </cell>
        </row>
        <row r="516">
          <cell r="B516" t="str">
            <v>HERDIMAN MUSTARI</v>
          </cell>
          <cell r="C516" t="str">
            <v>DIVISI OPERASI BISNIS KLASIFIKASI</v>
          </cell>
          <cell r="D516" t="str">
            <v>DIVISI OPERASI BISNIS KLASIFIKASI</v>
          </cell>
          <cell r="E516" t="str">
            <v>SPESIALIS MANAJEMEN PUSAT KENDALI OPERASI</v>
          </cell>
          <cell r="F516" t="str">
            <v>herdiman@bki.co.id</v>
          </cell>
          <cell r="G516" t="str">
            <v>085242192447</v>
          </cell>
          <cell r="H516" t="str">
            <v>6A</v>
          </cell>
          <cell r="I516">
            <v>0</v>
          </cell>
        </row>
        <row r="517">
          <cell r="B517" t="str">
            <v>FAJAR LUTFIALAYUBI</v>
          </cell>
          <cell r="C517" t="str">
            <v>DIVISI OPERASI BISNIS KLASIFIKASI</v>
          </cell>
          <cell r="D517" t="str">
            <v>DIVISI OPERASI BISNIS KLASIFIKASI</v>
          </cell>
          <cell r="E517" t="str">
            <v>ENGINEER OPERASI MATERIAL &amp; KOMPONEN</v>
          </cell>
          <cell r="F517" t="str">
            <v>fajarluth@bki.co.id</v>
          </cell>
          <cell r="G517" t="str">
            <v>081290830052</v>
          </cell>
          <cell r="H517" t="str">
            <v>5C</v>
          </cell>
          <cell r="I517">
            <v>0</v>
          </cell>
        </row>
        <row r="518">
          <cell r="B518" t="str">
            <v>HERBERT SIMON HUTAJULU</v>
          </cell>
          <cell r="C518" t="str">
            <v>DIVISI OPERASI BISNIS KLASIFIKASI</v>
          </cell>
          <cell r="D518" t="str">
            <v>DIVISI OPERASI BISNIS KLASIFIKASI</v>
          </cell>
          <cell r="E518" t="str">
            <v>SENIOR MANAGER OPERASI MATERIAL DAN KOMPONEN</v>
          </cell>
          <cell r="F518" t="str">
            <v>herbert@bki.co.id</v>
          </cell>
          <cell r="G518">
            <v>0</v>
          </cell>
          <cell r="H518" t="str">
            <v>7B</v>
          </cell>
          <cell r="I518">
            <v>350000</v>
          </cell>
        </row>
        <row r="519">
          <cell r="B519" t="str">
            <v>HIMAWAN</v>
          </cell>
          <cell r="C519" t="str">
            <v>DIVISI OPERASI BISNIS KLASIFIKASI</v>
          </cell>
          <cell r="D519" t="str">
            <v>DIVISI OPERASI BISNIS KLASIFIKASI</v>
          </cell>
          <cell r="E519" t="str">
            <v>ADMINISTRATOR SENIOR</v>
          </cell>
          <cell r="F519" t="str">
            <v>himawan@bki.co.id</v>
          </cell>
          <cell r="G519" t="str">
            <v>0853 131 7079</v>
          </cell>
          <cell r="H519" t="str">
            <v>3B</v>
          </cell>
          <cell r="I519">
            <v>150000</v>
          </cell>
        </row>
        <row r="520">
          <cell r="B520" t="str">
            <v>MUNIR MURADI</v>
          </cell>
          <cell r="C520" t="str">
            <v>DIVISI OPERASI BISNIS KLASIFIKASI</v>
          </cell>
          <cell r="D520" t="str">
            <v>DIVISI OPERASI BISNIS KLASIFIKASI</v>
          </cell>
          <cell r="E520" t="str">
            <v>VP OPERASI BISNIS KLASIFIKASI</v>
          </cell>
          <cell r="F520" t="str">
            <v>munir.m@bki.co.id</v>
          </cell>
          <cell r="G520" t="str">
            <v>081319055319</v>
          </cell>
          <cell r="H520" t="str">
            <v>8B</v>
          </cell>
          <cell r="I520">
            <v>350000</v>
          </cell>
        </row>
        <row r="521">
          <cell r="B521" t="str">
            <v>EDO DODY HANDRADI</v>
          </cell>
          <cell r="C521" t="str">
            <v>DIVISI OPERASI BISNIS KLASIFIKASI</v>
          </cell>
          <cell r="D521" t="str">
            <v>DIVISI OPERASI BISNIS KLASIFIKASI</v>
          </cell>
          <cell r="E521" t="str">
            <v>ENGINEER OPERASI MATERIAL &amp; KOMPONEN</v>
          </cell>
          <cell r="F521" t="str">
            <v>edo.dh@bki.co.id</v>
          </cell>
          <cell r="G521" t="str">
            <v>082170433635</v>
          </cell>
          <cell r="H521" t="str">
            <v>5C</v>
          </cell>
          <cell r="I521">
            <v>0</v>
          </cell>
        </row>
        <row r="522">
          <cell r="B522" t="str">
            <v>NUR RAHMAD HIDAYAT</v>
          </cell>
          <cell r="C522" t="str">
            <v>DIVISI OPERASI BISNIS KLASIFIKASI</v>
          </cell>
          <cell r="D522" t="str">
            <v>DIVISI OPERASI BISNIS KLASIFIKASI</v>
          </cell>
          <cell r="E522" t="str">
            <v>SURVEYOR SENIOR I B OPERASI KLASIFIKASI</v>
          </cell>
          <cell r="F522" t="str">
            <v>nur.ra@bki.co.id</v>
          </cell>
          <cell r="G522" t="str">
            <v>085645364297</v>
          </cell>
          <cell r="H522" t="str">
            <v>6B</v>
          </cell>
          <cell r="I522">
            <v>250000</v>
          </cell>
        </row>
        <row r="523">
          <cell r="B523" t="str">
            <v>TANTYO PRAJOGO</v>
          </cell>
          <cell r="C523" t="str">
            <v>DIVISI OPERASI BISNIS KLASIFIKASI</v>
          </cell>
          <cell r="D523" t="str">
            <v>DIVISI OPERASI BISNIS KLASIFIKASI</v>
          </cell>
          <cell r="E523" t="str">
            <v>SURVEYOR UTAMA</v>
          </cell>
          <cell r="F523" t="str">
            <v>tantyo.prajogo@bki.co.id</v>
          </cell>
          <cell r="G523" t="str">
            <v>08111004390</v>
          </cell>
          <cell r="H523" t="str">
            <v>8A</v>
          </cell>
          <cell r="I523">
            <v>350000</v>
          </cell>
        </row>
        <row r="524">
          <cell r="B524" t="str">
            <v>APRIANTO HANI WIBOWO</v>
          </cell>
          <cell r="C524" t="str">
            <v>DIVISI OPERASI BISNIS KLASIFIKASI</v>
          </cell>
          <cell r="D524" t="str">
            <v>DIVISI OPERASI BISNIS KLASIFIKASI</v>
          </cell>
          <cell r="E524" t="str">
            <v>SENIOR MANAGER OPERASI KLASIFIKASI</v>
          </cell>
          <cell r="F524" t="str">
            <v>aprianto@bki.co.id</v>
          </cell>
          <cell r="G524" t="str">
            <v>08562657988</v>
          </cell>
          <cell r="H524" t="str">
            <v>7C</v>
          </cell>
          <cell r="I524">
            <v>0</v>
          </cell>
        </row>
        <row r="525">
          <cell r="B525" t="str">
            <v>SANG LANANG SADDAMULLAH</v>
          </cell>
          <cell r="C525" t="str">
            <v>DIVISI OPERASI BISNIS KLASIFIKASI</v>
          </cell>
          <cell r="D525" t="str">
            <v>DIVISI OPERASI BISNIS KLASIFIKASI</v>
          </cell>
          <cell r="E525" t="str">
            <v>SENIOR MANAGER MANAJEMEN KLASIFIKASI</v>
          </cell>
          <cell r="F525" t="str">
            <v>sang.saddam@bki.co.id</v>
          </cell>
          <cell r="G525" t="str">
            <v>085335095817</v>
          </cell>
          <cell r="H525" t="str">
            <v>7B</v>
          </cell>
          <cell r="I525">
            <v>250000</v>
          </cell>
        </row>
        <row r="526">
          <cell r="B526" t="str">
            <v>MUHAMMAD AULIA</v>
          </cell>
          <cell r="C526" t="str">
            <v>DIVISI OPERASI BISNIS KLASIFIKASI</v>
          </cell>
          <cell r="D526" t="str">
            <v>DIVISI OPERASI BISNIS KLASIFIKASI</v>
          </cell>
          <cell r="E526" t="str">
            <v>ENGINEER MANAJEMEN KLASIFIKASI</v>
          </cell>
          <cell r="F526" t="str">
            <v>m.aulia@bki.co.id</v>
          </cell>
          <cell r="G526" t="str">
            <v>0812 9874 4402</v>
          </cell>
          <cell r="H526" t="str">
            <v>5C</v>
          </cell>
          <cell r="I526">
            <v>0</v>
          </cell>
        </row>
        <row r="527">
          <cell r="B527" t="str">
            <v>MUHAMMAD ARIS SULTAN</v>
          </cell>
          <cell r="C527" t="str">
            <v>DIVISI OPERASI BISNIS KLASIFIKASI</v>
          </cell>
          <cell r="D527" t="str">
            <v>DIVISI OPERASI BISNIS KLASIFIKASI</v>
          </cell>
          <cell r="E527" t="str">
            <v>ENGINEER OPERASI MATERIAL &amp; KOMPONEN</v>
          </cell>
          <cell r="F527" t="str">
            <v>aris.sultan@bki.co.id</v>
          </cell>
          <cell r="G527" t="str">
            <v>085396012000</v>
          </cell>
          <cell r="H527" t="str">
            <v>5C</v>
          </cell>
          <cell r="I527">
            <v>0</v>
          </cell>
        </row>
        <row r="528">
          <cell r="B528" t="str">
            <v>RAKADITYA PANDU WASKITO</v>
          </cell>
          <cell r="C528" t="str">
            <v>DIVISI OPERASI BISNIS KLASIFIKASI</v>
          </cell>
          <cell r="D528" t="str">
            <v>DIVISI OPERASI BISNIS KLASIFIKASI</v>
          </cell>
          <cell r="E528" t="str">
            <v>OFFICER HUBUNGAN PELANGGAN</v>
          </cell>
          <cell r="F528" t="str">
            <v>rakaditya.pw@bki.co.id</v>
          </cell>
          <cell r="H528" t="str">
            <v>4A</v>
          </cell>
          <cell r="I528">
            <v>0</v>
          </cell>
        </row>
        <row r="529">
          <cell r="B529" t="str">
            <v>JASMINE PRATIWI</v>
          </cell>
          <cell r="C529" t="str">
            <v>DIVISI OPERASI BISNIS KLASIFIKASI</v>
          </cell>
          <cell r="D529" t="str">
            <v>DIVISI OPERASI BISNIS KLASIFIKASI</v>
          </cell>
          <cell r="E529" t="str">
            <v>OFFICER PEMASARAN DAN PENJUALAN</v>
          </cell>
          <cell r="F529" t="str">
            <v>jasmine.pr@bki.co.id</v>
          </cell>
          <cell r="H529" t="str">
            <v>4B</v>
          </cell>
          <cell r="I529">
            <v>100000</v>
          </cell>
        </row>
        <row r="530">
          <cell r="B530" t="str">
            <v>SEPTIANTI LAILI SOFIANA</v>
          </cell>
          <cell r="C530" t="str">
            <v>DIVISI OPERASI BISNIS KLASIFIKASI</v>
          </cell>
          <cell r="D530" t="str">
            <v>DIVISI OPERASI BISNIS KLASIFIKASI</v>
          </cell>
          <cell r="E530" t="str">
            <v>STAF DUKUNGAN BISNIS</v>
          </cell>
          <cell r="F530" t="str">
            <v>septianti.laili@bki.co.id</v>
          </cell>
          <cell r="G530" t="str">
            <v>085859550624</v>
          </cell>
          <cell r="H530" t="str">
            <v>-</v>
          </cell>
          <cell r="I530">
            <v>0</v>
          </cell>
        </row>
        <row r="531">
          <cell r="B531" t="str">
            <v>ILHAM HANAMI</v>
          </cell>
          <cell r="C531" t="str">
            <v>DIVISI OPERASI BISNIS KLASIFIKASI</v>
          </cell>
          <cell r="D531" t="str">
            <v>DIVISI OPERASI BISNIS KLASIFIKASI</v>
          </cell>
          <cell r="E531" t="str">
            <v>STAF DUKUNGAN BISNIS</v>
          </cell>
          <cell r="F531" t="str">
            <v>ilham.hanami@bki.co.id</v>
          </cell>
          <cell r="H531" t="str">
            <v>-</v>
          </cell>
          <cell r="I531">
            <v>0</v>
          </cell>
        </row>
        <row r="532">
          <cell r="B532" t="str">
            <v>VINCENTIUS ARDEN AVIANDA PRADITA</v>
          </cell>
          <cell r="C532" t="str">
            <v>DIVISI OPERASI BISNIS KLASIFIKASI</v>
          </cell>
          <cell r="D532" t="str">
            <v>DIVISI OPERASI BISNIS KLASIFIKASI</v>
          </cell>
          <cell r="E532" t="str">
            <v>STAF EXTERNAL RELATION</v>
          </cell>
          <cell r="F532" t="str">
            <v>vicentius.aap@idsurvey.co.id</v>
          </cell>
          <cell r="G532" t="str">
            <v>081297320366</v>
          </cell>
          <cell r="H532" t="str">
            <v>-</v>
          </cell>
          <cell r="I532">
            <v>0</v>
          </cell>
        </row>
        <row r="533">
          <cell r="B533" t="str">
            <v>BUDI PRAKOSO</v>
          </cell>
          <cell r="C533" t="str">
            <v>DIVISI OPERASI DIGITAL TIC</v>
          </cell>
          <cell r="D533" t="str">
            <v>DIVISI OPERASI DIGITAL TIC</v>
          </cell>
          <cell r="E533" t="str">
            <v>VP OPERASI DIGITAL TIC</v>
          </cell>
          <cell r="F533" t="str">
            <v>budi.prakoso@bki.co.id</v>
          </cell>
          <cell r="G533" t="str">
            <v>08127390156</v>
          </cell>
          <cell r="H533" t="str">
            <v>8B</v>
          </cell>
          <cell r="I533">
            <v>500000</v>
          </cell>
        </row>
        <row r="534">
          <cell r="B534" t="str">
            <v>TRIYAN INDRAWAN</v>
          </cell>
          <cell r="C534" t="str">
            <v>DIVISI OPERASI DIGITAL TIC</v>
          </cell>
          <cell r="D534" t="str">
            <v>DIVISI OPERASI DIGITAL TIC</v>
          </cell>
          <cell r="E534" t="str">
            <v>SENIOR MANAGER RISET DAN PENGEMBANGAN BISNIS</v>
          </cell>
          <cell r="F534" t="str">
            <v>triyan@bki.co.id</v>
          </cell>
          <cell r="G534" t="str">
            <v>081703520278</v>
          </cell>
          <cell r="H534" t="str">
            <v>7B</v>
          </cell>
          <cell r="I534">
            <v>0</v>
          </cell>
        </row>
        <row r="535">
          <cell r="B535" t="str">
            <v>MAT HASAN</v>
          </cell>
          <cell r="C535" t="str">
            <v>DIVISI OPERASI DIGITAL TIC</v>
          </cell>
          <cell r="D535" t="str">
            <v>DIVISI OPERASI DIGITAL TIC</v>
          </cell>
          <cell r="E535" t="str">
            <v>SPESIALIS PEMASARAN &amp; PENJUALAN</v>
          </cell>
          <cell r="F535" t="str">
            <v>mat.hasan@bki.co.id</v>
          </cell>
          <cell r="G535" t="str">
            <v>081294181127</v>
          </cell>
          <cell r="H535" t="str">
            <v>6A</v>
          </cell>
          <cell r="I535">
            <v>350000</v>
          </cell>
        </row>
        <row r="536">
          <cell r="B536" t="str">
            <v>M. FAUZAN FIKRI</v>
          </cell>
          <cell r="C536" t="str">
            <v>DIVISI OPERASI DIGITAL TIC</v>
          </cell>
          <cell r="D536" t="str">
            <v>DIVISI OPERASI DIGITAL TIC</v>
          </cell>
          <cell r="E536" t="str">
            <v>STAF OPERASI DIGITAL MARITIM</v>
          </cell>
          <cell r="F536" t="str">
            <v>m.fauzan@bki.co.id</v>
          </cell>
          <cell r="G536" t="str">
            <v/>
          </cell>
          <cell r="H536" t="str">
            <v>-</v>
          </cell>
          <cell r="I536">
            <v>0</v>
          </cell>
        </row>
        <row r="537">
          <cell r="B537" t="str">
            <v>RAGIL WICAKSONO PUTRA PAMUNGKAS</v>
          </cell>
          <cell r="C537" t="str">
            <v>DIVISI OPERASI DIGITAL TIC</v>
          </cell>
          <cell r="D537" t="str">
            <v>DIVISI OPERASI DIGITAL TIC</v>
          </cell>
          <cell r="E537" t="str">
            <v>STAF ADMINISTRASI</v>
          </cell>
          <cell r="F537" t="str">
            <v>ragil.pp@bki.co.id</v>
          </cell>
          <cell r="G537" t="str">
            <v>085859500048</v>
          </cell>
          <cell r="H537" t="str">
            <v>-</v>
          </cell>
          <cell r="I537">
            <v>0</v>
          </cell>
        </row>
        <row r="538">
          <cell r="B538" t="str">
            <v>NAZWA AHSYANI FAATIHA</v>
          </cell>
          <cell r="C538" t="str">
            <v>DIVISI OPERASI DIGITAL TIC</v>
          </cell>
          <cell r="D538" t="str">
            <v>DIVISI OPERASI DIGITAL TIC</v>
          </cell>
          <cell r="E538" t="str">
            <v>STAF PEMASARAN</v>
          </cell>
          <cell r="F538" t="str">
            <v>nazwa.af@bki.co.id</v>
          </cell>
          <cell r="H538" t="str">
            <v>-</v>
          </cell>
          <cell r="I538">
            <v>0</v>
          </cell>
        </row>
        <row r="539">
          <cell r="B539" t="str">
            <v>ABDIL HAFIIZH ZHAFRAN</v>
          </cell>
          <cell r="C539" t="str">
            <v>DIVISI PEMASARAN KORPORAT</v>
          </cell>
          <cell r="D539" t="str">
            <v>DIVISI PEMASARAN KORPORAT</v>
          </cell>
          <cell r="E539" t="str">
            <v>PJ. SENIOR MANAGER RISET DAN STRATEGI PASAR KORPORAT</v>
          </cell>
          <cell r="F539" t="str">
            <v>abdil.hz@bki.co.id</v>
          </cell>
          <cell r="G539" t="str">
            <v>081230239947</v>
          </cell>
          <cell r="H539" t="str">
            <v>6A</v>
          </cell>
          <cell r="I539">
            <v>150000</v>
          </cell>
        </row>
        <row r="540">
          <cell r="B540" t="str">
            <v>BUSROL KARIM</v>
          </cell>
          <cell r="C540" t="str">
            <v>DIVISI PENGADAAN, UMUM DAN MANAJEMEN ASET</v>
          </cell>
          <cell r="D540" t="str">
            <v>DIVISI PENGADAAN, UMUM DAN MANAJEMEN ASET</v>
          </cell>
          <cell r="E540" t="str">
            <v>SENIOR MANAGER PENGADAAN</v>
          </cell>
          <cell r="F540" t="str">
            <v>busrol.karim@bki.co.id</v>
          </cell>
          <cell r="G540" t="str">
            <v>085640139847</v>
          </cell>
          <cell r="H540" t="str">
            <v>7A</v>
          </cell>
          <cell r="I540">
            <v>250000</v>
          </cell>
        </row>
        <row r="541">
          <cell r="B541" t="str">
            <v>MARISA THERESIA SIHOMBING</v>
          </cell>
          <cell r="C541" t="str">
            <v>DIVISI PENGADAAN, UMUM DAN MANAJEMEN ASET</v>
          </cell>
          <cell r="D541" t="str">
            <v>DIVISI PENGADAAN, UMUM DAN MANAJEMEN ASET</v>
          </cell>
          <cell r="E541" t="str">
            <v>ANALIS MANAJEMEN ASET NON PROPERTI</v>
          </cell>
          <cell r="F541" t="str">
            <v>marisa.ts@bki.co.id</v>
          </cell>
          <cell r="G541" t="str">
            <v>0813 8849 7910</v>
          </cell>
          <cell r="H541" t="str">
            <v>5B</v>
          </cell>
          <cell r="I541">
            <v>250000</v>
          </cell>
        </row>
        <row r="542">
          <cell r="B542" t="str">
            <v>RATNA NURCAHYA</v>
          </cell>
          <cell r="C542" t="str">
            <v>DIVISI PENGADAAN, UMUM DAN MANAJEMEN ASET</v>
          </cell>
          <cell r="D542" t="str">
            <v>DIVISI PENGADAAN, UMUM DAN MANAJEMEN ASET</v>
          </cell>
          <cell r="E542" t="str">
            <v>ANALIS MANAJEMEN ASET PROPERTI DAN KOMERSIALISASI</v>
          </cell>
          <cell r="F542" t="str">
            <v>ratna.nurcahya@bki.co.id</v>
          </cell>
          <cell r="G542" t="str">
            <v>081513299259</v>
          </cell>
          <cell r="H542" t="str">
            <v>5B</v>
          </cell>
          <cell r="I542">
            <v>0</v>
          </cell>
        </row>
        <row r="543">
          <cell r="B543" t="str">
            <v>ILYAS</v>
          </cell>
          <cell r="C543" t="str">
            <v>DIVISI PENGADAAN, UMUM DAN MANAJEMEN ASET</v>
          </cell>
          <cell r="D543" t="str">
            <v>DIVISI PENGADAAN, UMUM DAN MANAJEMEN ASET</v>
          </cell>
          <cell r="E543" t="str">
            <v>SUPIR</v>
          </cell>
          <cell r="F543" t="str">
            <v>ilyas@bki.co.id</v>
          </cell>
          <cell r="G543" t="str">
            <v>0812 9828 839</v>
          </cell>
          <cell r="H543" t="str">
            <v>1A</v>
          </cell>
          <cell r="I543">
            <v>150000</v>
          </cell>
        </row>
        <row r="544">
          <cell r="B544" t="str">
            <v>BAMBANG IRWAN</v>
          </cell>
          <cell r="C544" t="str">
            <v>DIVISI PENGADAAN, UMUM DAN MANAJEMEN ASET</v>
          </cell>
          <cell r="D544" t="str">
            <v>DIVISI PENGADAAN, UMUM DAN MANAJEMEN ASET</v>
          </cell>
          <cell r="E544" t="str">
            <v>PJ. SENIOR MANAGER LAYANAN UMUM DAN MANAJEMEN ASET</v>
          </cell>
          <cell r="F544" t="str">
            <v>bambang.irwan@bki.co.id</v>
          </cell>
          <cell r="G544" t="str">
            <v>08118198123</v>
          </cell>
          <cell r="H544" t="str">
            <v>5C</v>
          </cell>
          <cell r="I544">
            <v>250000</v>
          </cell>
        </row>
        <row r="545">
          <cell r="B545" t="str">
            <v>SRI MULYANTI</v>
          </cell>
          <cell r="C545" t="str">
            <v>DIVISI PENGADAAN, UMUM DAN MANAJEMEN ASET</v>
          </cell>
          <cell r="D545" t="str">
            <v>DIVISI PENGADAAN, UMUM DAN MANAJEMEN ASET</v>
          </cell>
          <cell r="E545" t="str">
            <v>OFFICER LAYANAN UMUM</v>
          </cell>
          <cell r="F545" t="str">
            <v>sri.mulyanti@bki.co.id</v>
          </cell>
          <cell r="G545" t="str">
            <v>08129885312</v>
          </cell>
          <cell r="H545" t="str">
            <v>4A</v>
          </cell>
          <cell r="I545">
            <v>150000</v>
          </cell>
        </row>
        <row r="546">
          <cell r="B546" t="str">
            <v>KOSIM BIN MARI</v>
          </cell>
          <cell r="C546" t="str">
            <v>DIVISI PENGADAAN, UMUM DAN MANAJEMEN ASET</v>
          </cell>
          <cell r="D546" t="str">
            <v>DIVISI PENGADAAN, UMUM DAN MANAJEMEN ASET</v>
          </cell>
          <cell r="E546" t="str">
            <v>SUPIR</v>
          </cell>
          <cell r="F546" t="str">
            <v>Kosim.BinMari@bki.co.id</v>
          </cell>
          <cell r="G546" t="str">
            <v>0812 9920 7020</v>
          </cell>
          <cell r="H546" t="str">
            <v>1A</v>
          </cell>
          <cell r="I546">
            <v>150000</v>
          </cell>
        </row>
        <row r="547">
          <cell r="B547" t="str">
            <v>SARIDI</v>
          </cell>
          <cell r="C547" t="str">
            <v>DIVISI PENGADAAN, UMUM DAN MANAJEMEN ASET</v>
          </cell>
          <cell r="D547" t="str">
            <v>DIVISI PENGADAAN, UMUM DAN MANAJEMEN ASET</v>
          </cell>
          <cell r="E547" t="str">
            <v>SUPIR</v>
          </cell>
          <cell r="F547" t="str">
            <v>Saridi@bki.co.id</v>
          </cell>
          <cell r="G547" t="str">
            <v>081218782002</v>
          </cell>
          <cell r="H547" t="str">
            <v>1A</v>
          </cell>
          <cell r="I547">
            <v>150000</v>
          </cell>
        </row>
        <row r="548">
          <cell r="B548" t="str">
            <v>UNTUNG PRASETYO</v>
          </cell>
          <cell r="C548" t="str">
            <v>DIVISI PENGADAAN, UMUM DAN MANAJEMEN ASET</v>
          </cell>
          <cell r="D548" t="str">
            <v>DIVISI PENGADAAN, UMUM DAN MANAJEMEN ASET</v>
          </cell>
          <cell r="E548" t="str">
            <v>PJ. SENIOR SPESIALIS PERENCANAAN STRATEGI PENGADAAN &amp; PENGENDALIAN</v>
          </cell>
          <cell r="F548" t="str">
            <v>untung@bki.co.id</v>
          </cell>
          <cell r="G548" t="str">
            <v>085220016300</v>
          </cell>
          <cell r="H548" t="str">
            <v>6A</v>
          </cell>
          <cell r="I548">
            <v>250000</v>
          </cell>
        </row>
        <row r="549">
          <cell r="B549" t="str">
            <v>NASARUDDIN</v>
          </cell>
          <cell r="C549" t="str">
            <v>DIVISI PENGADAAN, UMUM DAN MANAJEMEN ASET</v>
          </cell>
          <cell r="D549" t="str">
            <v>DIVISI PENGADAAN, UMUM DAN MANAJEMEN ASET</v>
          </cell>
          <cell r="E549" t="str">
            <v>VP PENGADAAN UMUM DAN MANAJEMEN ASET</v>
          </cell>
          <cell r="F549" t="str">
            <v>nasaruddin@bki.co.id</v>
          </cell>
          <cell r="G549" t="str">
            <v>081317760669</v>
          </cell>
          <cell r="H549" t="str">
            <v>8A</v>
          </cell>
          <cell r="I549">
            <v>500000</v>
          </cell>
        </row>
        <row r="550">
          <cell r="B550" t="str">
            <v>MUSLIM DERMAWAN BARUS</v>
          </cell>
          <cell r="C550" t="str">
            <v>DIVISI PENGADAAN, UMUM DAN MANAJEMEN ASET</v>
          </cell>
          <cell r="D550" t="str">
            <v>DIVISI PENGADAAN, UMUM DAN MANAJEMEN ASET</v>
          </cell>
          <cell r="E550" t="str">
            <v>ADMINISTRATOR SENIOR</v>
          </cell>
          <cell r="F550" t="str">
            <v>muslim.dermawan@bki.co.id</v>
          </cell>
          <cell r="G550" t="str">
            <v>081289558316</v>
          </cell>
          <cell r="H550" t="str">
            <v>3B</v>
          </cell>
          <cell r="I550">
            <v>100000</v>
          </cell>
        </row>
        <row r="551">
          <cell r="B551" t="str">
            <v>RIAN EKA SAPUTRA</v>
          </cell>
          <cell r="C551" t="str">
            <v>DIVISI PENGADAAN, UMUM DAN MANAJEMEN ASET</v>
          </cell>
          <cell r="D551" t="str">
            <v>DIVISI PENGADAAN, UMUM DAN MANAJEMEN ASET</v>
          </cell>
          <cell r="E551" t="str">
            <v>OFFICER MANAJEMEN ASET PROPERTI DAN KOMERSIALISASI</v>
          </cell>
          <cell r="F551" t="str">
            <v>rian.es@bki.co.id</v>
          </cell>
          <cell r="G551" t="str">
            <v>085772551946</v>
          </cell>
          <cell r="H551" t="str">
            <v>4A</v>
          </cell>
          <cell r="I551">
            <v>100000</v>
          </cell>
        </row>
        <row r="552">
          <cell r="B552" t="str">
            <v>RAFIF BINTANG RAMADHAN</v>
          </cell>
          <cell r="C552" t="str">
            <v>DIVISI PENGADAAN, UMUM DAN MANAJEMEN ASET</v>
          </cell>
          <cell r="D552" t="str">
            <v>DIVISI PENGADAAN, UMUM DAN MANAJEMEN ASET</v>
          </cell>
          <cell r="E552" t="str">
            <v>OFFICER MANAJEMEN ASET PROPERTI DAN KOMERSIALISASI</v>
          </cell>
          <cell r="F552" t="str">
            <v>rafif.br@bki.co.id</v>
          </cell>
          <cell r="H552" t="str">
            <v>4A</v>
          </cell>
          <cell r="I552">
            <v>0</v>
          </cell>
        </row>
        <row r="553">
          <cell r="B553" t="str">
            <v>SUKADI REDJI</v>
          </cell>
          <cell r="C553" t="str">
            <v>DIVISI PENGADAAN, UMUM DAN MANAJEMEN ASET</v>
          </cell>
          <cell r="D553" t="str">
            <v>DIVISI PENGADAAN, UMUM DAN MANAJEMEN ASET</v>
          </cell>
          <cell r="E553" t="str">
            <v xml:space="preserve">ADMINISTRASI SENIOR </v>
          </cell>
          <cell r="F553" t="str">
            <v>sukadi.redji@bki.co.id</v>
          </cell>
          <cell r="G553" t="str">
            <v>0818701760</v>
          </cell>
          <cell r="H553" t="str">
            <v>3B</v>
          </cell>
          <cell r="I553">
            <v>150000</v>
          </cell>
        </row>
        <row r="554">
          <cell r="B554" t="str">
            <v>AHMAD YUNUS</v>
          </cell>
          <cell r="C554" t="str">
            <v>DIVISI PENGADAAN, UMUM DAN MANAJEMEN ASET</v>
          </cell>
          <cell r="D554" t="str">
            <v>DIVISI PENGADAAN, UMUM DAN MANAJEMEN ASET</v>
          </cell>
          <cell r="E554" t="str">
            <v>STAF DUKUNGAN BISNIS</v>
          </cell>
          <cell r="F554" t="str">
            <v>ahmad.yunus@bki.co.id</v>
          </cell>
          <cell r="G554" t="str">
            <v>081546035147</v>
          </cell>
          <cell r="H554" t="str">
            <v>-</v>
          </cell>
          <cell r="I554">
            <v>100000</v>
          </cell>
        </row>
        <row r="555">
          <cell r="B555" t="str">
            <v>NAILA IZNA DZAKIA</v>
          </cell>
          <cell r="C555" t="str">
            <v>DIVISI PENGADAAN, UMUM DAN MANAJEMEN ASET</v>
          </cell>
          <cell r="D555" t="str">
            <v>DIVISI PENGADAAN, UMUM DAN MANAJEMEN ASET</v>
          </cell>
          <cell r="E555" t="str">
            <v>STAF DUKUNGAN BISNIS</v>
          </cell>
          <cell r="F555" t="str">
            <v>naila.izna@bki.co.id</v>
          </cell>
          <cell r="G555" t="str">
            <v>081294482759</v>
          </cell>
          <cell r="H555" t="str">
            <v>-</v>
          </cell>
          <cell r="I555">
            <v>0</v>
          </cell>
        </row>
        <row r="556">
          <cell r="B556" t="str">
            <v>PUTRI KANA TAQIYYA</v>
          </cell>
          <cell r="C556" t="str">
            <v>DIVISI PENGADAAN, UMUM DAN MANAJEMEN ASET</v>
          </cell>
          <cell r="D556" t="str">
            <v>DIVISI PENGADAAN, UMUM DAN MANAJEMEN ASET</v>
          </cell>
          <cell r="E556" t="str">
            <v>STAF DUKUNGAN BISNIS</v>
          </cell>
          <cell r="F556" t="str">
            <v>putri.kana@bki.co.id</v>
          </cell>
          <cell r="G556" t="str">
            <v>087782205957</v>
          </cell>
          <cell r="H556" t="str">
            <v>-</v>
          </cell>
          <cell r="I556">
            <v>0</v>
          </cell>
        </row>
        <row r="557">
          <cell r="B557" t="str">
            <v>THAZA FEBRIANTI</v>
          </cell>
          <cell r="C557" t="str">
            <v>DIVISI PENGADAAN, UMUM DAN MANAJEMEN ASET</v>
          </cell>
          <cell r="D557" t="str">
            <v>DIVISI PENGADAAN, UMUM DAN MANAJEMEN ASET</v>
          </cell>
          <cell r="E557" t="str">
            <v>STAF K3L</v>
          </cell>
          <cell r="F557" t="str">
            <v>thaza.febrianti@bki.co.id</v>
          </cell>
          <cell r="G557" t="str">
            <v>085770180233</v>
          </cell>
          <cell r="H557" t="str">
            <v>-</v>
          </cell>
          <cell r="I557">
            <v>0</v>
          </cell>
        </row>
        <row r="558">
          <cell r="B558" t="str">
            <v>ZULFIKAR MA'RIFATULLAH</v>
          </cell>
          <cell r="C558" t="str">
            <v>DIVISI PENGADAAN, UMUM DAN MANAJEMEN ASET</v>
          </cell>
          <cell r="D558" t="str">
            <v>DIVISI PENGADAAN, UMUM DAN MANAJEMEN ASET IDS</v>
          </cell>
          <cell r="E558" t="str">
            <v>ANALIS MANAJEMEN ASET</v>
          </cell>
          <cell r="F558" t="str">
            <v>zulfikar@bki.co.id</v>
          </cell>
          <cell r="G558" t="str">
            <v>085780368471</v>
          </cell>
          <cell r="H558" t="str">
            <v>5A</v>
          </cell>
          <cell r="I558">
            <v>0</v>
          </cell>
        </row>
        <row r="559">
          <cell r="B559" t="str">
            <v>TEGUH ANDANI</v>
          </cell>
          <cell r="C559" t="str">
            <v>DIVISI PENGADAAN, UMUM DAN MANAJEMEN ASET</v>
          </cell>
          <cell r="D559" t="str">
            <v>DIVISI PENGADAAN, UMUM DAN MANAJEMEN ASET IDS</v>
          </cell>
          <cell r="E559" t="str">
            <v>ANALIS MANAJEMEN VENDOR</v>
          </cell>
          <cell r="F559" t="str">
            <v>teguh.andani@bki.co.id</v>
          </cell>
          <cell r="G559" t="str">
            <v>0899 9717 333</v>
          </cell>
          <cell r="H559" t="str">
            <v>5A</v>
          </cell>
          <cell r="I559">
            <v>250000</v>
          </cell>
        </row>
        <row r="560">
          <cell r="B560" t="str">
            <v>MOHAMMAD HASAN</v>
          </cell>
          <cell r="C560" t="str">
            <v>DIVISI PENGADAAN, UMUM DAN MANAJEMEN ASET</v>
          </cell>
          <cell r="D560" t="str">
            <v>DIVISI PENGADAAN, UMUM DAN MANAJEMEN ASET IDS</v>
          </cell>
          <cell r="E560" t="str">
            <v>SENIOR MANAGER PENGADAAN</v>
          </cell>
          <cell r="F560" t="str">
            <v>mohammad.hasan@bki.co.id</v>
          </cell>
          <cell r="G560" t="str">
            <v>081318923011</v>
          </cell>
          <cell r="H560" t="str">
            <v>7A</v>
          </cell>
          <cell r="I560">
            <v>150000</v>
          </cell>
        </row>
        <row r="561">
          <cell r="B561" t="str">
            <v>ADITYA PUTRI ANGGRAINI</v>
          </cell>
          <cell r="C561" t="str">
            <v>DIVISI PENGADAAN, UMUM DAN MANAJEMEN ASET</v>
          </cell>
          <cell r="D561" t="str">
            <v>DIVISI PENGADAAN, UMUM DAN MANAJEMEN ASET IDS</v>
          </cell>
          <cell r="E561" t="str">
            <v>SENIOR MANAGER MANAJEMEN ASET</v>
          </cell>
          <cell r="F561" t="str">
            <v>aditya.putri@bki.co.id</v>
          </cell>
          <cell r="G561" t="str">
            <v>085956733395</v>
          </cell>
          <cell r="H561" t="str">
            <v>7A</v>
          </cell>
          <cell r="I561">
            <v>150000</v>
          </cell>
        </row>
        <row r="562">
          <cell r="B562" t="str">
            <v>ANDRI SURYAWAN</v>
          </cell>
          <cell r="C562" t="str">
            <v>DIVISI PENGADAAN, UMUM DAN MANAJEMEN ASET</v>
          </cell>
          <cell r="D562" t="str">
            <v>DIVISI PENGADAAN, UMUM DAN MANAJEMEN ASET IDS</v>
          </cell>
          <cell r="E562" t="str">
            <v>VP PENGADAAN UMUM DAN MANAJEMEN ASET</v>
          </cell>
          <cell r="F562" t="str">
            <v>andri.suryawan@bki.co.id</v>
          </cell>
          <cell r="G562" t="str">
            <v>081230471475</v>
          </cell>
          <cell r="H562" t="str">
            <v>8A</v>
          </cell>
          <cell r="I562">
            <v>350000</v>
          </cell>
        </row>
        <row r="563">
          <cell r="B563" t="str">
            <v>NADIA LISTIYANI</v>
          </cell>
          <cell r="C563" t="str">
            <v>DIVISI PENGEMBANGAN KORPORAT</v>
          </cell>
          <cell r="D563" t="str">
            <v>DIVISI PENGEMBANGAN KORPORAT</v>
          </cell>
          <cell r="E563" t="str">
            <v>VP PENGEMBANGAN KORPORAT</v>
          </cell>
          <cell r="F563" t="str">
            <v>nadia.listiyani@bki.co.id</v>
          </cell>
          <cell r="G563" t="str">
            <v>083804387774</v>
          </cell>
          <cell r="H563" t="str">
            <v>8A</v>
          </cell>
          <cell r="I563">
            <v>350000</v>
          </cell>
        </row>
        <row r="564">
          <cell r="B564" t="str">
            <v>SALMA FADHILAH WIDITYANI</v>
          </cell>
          <cell r="C564" t="str">
            <v>DIVISI PENGEMBANGAN KORPORAT</v>
          </cell>
          <cell r="D564" t="str">
            <v>DIVISI PENGEMBANGAN KORPORAT</v>
          </cell>
          <cell r="E564" t="str">
            <v>SPESIALIS PENGEMBANGAN KORPORAT</v>
          </cell>
          <cell r="F564" t="str">
            <v>salma.widityani@bki.co.id</v>
          </cell>
          <cell r="G564" t="str">
            <v>082219424908</v>
          </cell>
          <cell r="H564" t="str">
            <v>6A</v>
          </cell>
          <cell r="I564">
            <v>150000</v>
          </cell>
        </row>
        <row r="565">
          <cell r="B565" t="str">
            <v>BUDI FITRIAWAN</v>
          </cell>
          <cell r="C565" t="str">
            <v>DIVISI PERENCANAAN DAN KEUANGAN KORPORAT</v>
          </cell>
          <cell r="D565" t="str">
            <v>DIVISI PERENCANAAN DAN KEUANGAN KORPORAT</v>
          </cell>
          <cell r="E565" t="str">
            <v>SENIOR MANAGER PERENCANAAN KORPORAT</v>
          </cell>
          <cell r="F565" t="str">
            <v>budi.fitriawan@bki.co.id</v>
          </cell>
          <cell r="G565" t="str">
            <v>081330119611</v>
          </cell>
          <cell r="H565" t="str">
            <v>7A</v>
          </cell>
          <cell r="I565">
            <v>250000</v>
          </cell>
        </row>
        <row r="566">
          <cell r="B566" t="str">
            <v>SYAHLIR</v>
          </cell>
          <cell r="C566" t="str">
            <v>DIVISI PERENCANAAN DAN KEUANGAN KORPORAT</v>
          </cell>
          <cell r="D566" t="str">
            <v>DIVISI PERENCANAAN DAN KEUANGAN KORPORAT</v>
          </cell>
          <cell r="E566" t="str">
            <v>ANALIS KENDALI KEUANGAN</v>
          </cell>
          <cell r="F566" t="str">
            <v>syahril@bki.co.id</v>
          </cell>
          <cell r="G566" t="str">
            <v>0813 1142 0213</v>
          </cell>
          <cell r="H566" t="str">
            <v>5B</v>
          </cell>
          <cell r="I566">
            <v>250000</v>
          </cell>
        </row>
        <row r="567">
          <cell r="B567" t="str">
            <v>THOMAS MAHENDRA</v>
          </cell>
          <cell r="C567" t="str">
            <v>DIVISI PERENCANAAN DAN KEUANGAN KORPORAT</v>
          </cell>
          <cell r="D567" t="str">
            <v>DIVISI PERENCANAAN DAN KEUANGAN KORPORAT</v>
          </cell>
          <cell r="E567" t="str">
            <v>OFFICER MANAJEMEN PROGRAM DAN KINERJA KORPORAT</v>
          </cell>
          <cell r="F567" t="str">
            <v>thomas.m@bki.co.id</v>
          </cell>
          <cell r="G567" t="str">
            <v>081288938107</v>
          </cell>
          <cell r="H567" t="str">
            <v>4B</v>
          </cell>
          <cell r="I567">
            <v>100000</v>
          </cell>
        </row>
        <row r="568">
          <cell r="B568" t="str">
            <v>AGUNG PRASETYO</v>
          </cell>
          <cell r="C568" t="str">
            <v>DIVISI PERENCANAAN DAN KEUANGAN KORPORAT</v>
          </cell>
          <cell r="D568" t="str">
            <v>DIVISI PERENCANAAN DAN KEUANGAN KORPORAT</v>
          </cell>
          <cell r="E568" t="str">
            <v>OFFICER PERENCANAAN KORPORAT DAN KEUANGAN</v>
          </cell>
          <cell r="F568" t="str">
            <v>agung.prasetyo@bki.co.id</v>
          </cell>
          <cell r="G568" t="str">
            <v>081513393644</v>
          </cell>
          <cell r="H568" t="str">
            <v>4B</v>
          </cell>
          <cell r="I568">
            <v>100000</v>
          </cell>
        </row>
        <row r="569">
          <cell r="B569" t="str">
            <v>DENY HARDIANSYAH</v>
          </cell>
          <cell r="C569" t="str">
            <v>DIVISI PERENCANAAN DAN KEUANGAN KORPORAT</v>
          </cell>
          <cell r="D569" t="str">
            <v>DIVISI PERENCANAAN DAN KEUANGAN KORPORAT</v>
          </cell>
          <cell r="E569" t="str">
            <v>SPESIALIS PERENCANAAN DAN KEUANGAN KORPORAT</v>
          </cell>
          <cell r="F569" t="str">
            <v>deny.hardiansyah@bki.co.id</v>
          </cell>
          <cell r="G569" t="str">
            <v>08563003646</v>
          </cell>
          <cell r="H569" t="str">
            <v>6A</v>
          </cell>
          <cell r="I569">
            <v>150000</v>
          </cell>
        </row>
        <row r="570">
          <cell r="B570" t="str">
            <v>RIMA NOVEDIA BANGUN</v>
          </cell>
          <cell r="C570" t="str">
            <v>DIVISI PERENCANAAN KORPORAT DAN MANAJEMEN RISIKO</v>
          </cell>
          <cell r="D570" t="str">
            <v>DIVISI PERENCANAAN KORPORAT DAN MANAJEMEN RISIKO</v>
          </cell>
          <cell r="E570" t="str">
            <v>VP PERENCANAAN KORPORAT DAN MANAJEMEN RISIKO</v>
          </cell>
          <cell r="F570" t="str">
            <v>rima@bki.co.id</v>
          </cell>
          <cell r="G570">
            <v>0</v>
          </cell>
          <cell r="H570" t="str">
            <v>8A</v>
          </cell>
          <cell r="I570">
            <v>500000</v>
          </cell>
        </row>
        <row r="571">
          <cell r="B571" t="str">
            <v>WARINI</v>
          </cell>
          <cell r="C571" t="str">
            <v>DIVISI PERENCANAAN KORPORAT DAN MANAJEMEN RISIKO</v>
          </cell>
          <cell r="D571" t="str">
            <v>DIVISI PERENCANAAN KORPORAT DAN MANAJEMEN RISIKO</v>
          </cell>
          <cell r="E571" t="str">
            <v>ANALIS MANAJEMEN RISIKO</v>
          </cell>
          <cell r="F571" t="str">
            <v>warini@bki.co.id</v>
          </cell>
          <cell r="G571" t="str">
            <v>081286000896</v>
          </cell>
          <cell r="H571" t="str">
            <v>5B</v>
          </cell>
          <cell r="I571">
            <v>150000</v>
          </cell>
        </row>
        <row r="572">
          <cell r="B572" t="str">
            <v>ANOGI AKBAR ALI</v>
          </cell>
          <cell r="C572" t="str">
            <v>DIVISI PERENCANAAN KORPORAT DAN MANAJEMEN RISIKO</v>
          </cell>
          <cell r="D572" t="str">
            <v>DIVISI PERENCANAAN KORPORAT DAN MANAJEMEN RISIKO</v>
          </cell>
          <cell r="E572" t="str">
            <v>SPESIALIS SENIOR PERENCANAAN</v>
          </cell>
          <cell r="F572" t="str">
            <v>anogi@bki.co.id</v>
          </cell>
          <cell r="G572" t="str">
            <v>08881955514</v>
          </cell>
          <cell r="H572" t="str">
            <v>7B</v>
          </cell>
          <cell r="I572">
            <v>350000</v>
          </cell>
        </row>
        <row r="573">
          <cell r="B573" t="str">
            <v>MOKHAMMAD FAKHRUR RIZAL</v>
          </cell>
          <cell r="C573" t="str">
            <v>DIVISI PERENCANAAN KORPORAT DAN MANAJEMEN RISIKO</v>
          </cell>
          <cell r="D573" t="str">
            <v>DIVISI PERENCANAAN KORPORAT DAN MANAJEMEN RISIKO</v>
          </cell>
          <cell r="E573" t="str">
            <v>SENIOR MANAGER PERENCANAAN KORPORAT</v>
          </cell>
          <cell r="F573" t="str">
            <v>m.fakhrur@bki.co.id</v>
          </cell>
          <cell r="G573" t="str">
            <v>0812 7889 0138</v>
          </cell>
          <cell r="H573" t="str">
            <v>7B</v>
          </cell>
          <cell r="I573">
            <v>0</v>
          </cell>
        </row>
        <row r="574">
          <cell r="B574" t="str">
            <v>MUHAMMAD ADITYO NUGROHO</v>
          </cell>
          <cell r="C574" t="str">
            <v>DIVISI PERENCANAAN KORPORAT DAN MANAJEMEN RISIKO</v>
          </cell>
          <cell r="D574" t="str">
            <v>DIVISI PERENCANAAN KORPORAT DAN MANAJEMEN RISIKO</v>
          </cell>
          <cell r="E574" t="str">
            <v>SENIOR MANAGER MANAJEMEN RISIKO DAN KEBERLANJUTAN</v>
          </cell>
          <cell r="F574" t="str">
            <v>m.adityo@bki.co.id</v>
          </cell>
          <cell r="G574" t="str">
            <v>081257363863</v>
          </cell>
          <cell r="H574" t="str">
            <v>7A</v>
          </cell>
          <cell r="I574">
            <v>150000</v>
          </cell>
        </row>
        <row r="575">
          <cell r="B575" t="str">
            <v>DWI CAHYA KURNIAWANI</v>
          </cell>
          <cell r="C575" t="str">
            <v>DIVISI PERENCANAAN KORPORAT DAN MANAJEMEN RISIKO</v>
          </cell>
          <cell r="D575" t="str">
            <v>DIVISI PERENCANAAN KORPORAT DAN MANAJEMEN RISIKO</v>
          </cell>
          <cell r="E575" t="str">
            <v>SPESIALIS MANAJEMEN RISIKO</v>
          </cell>
          <cell r="F575" t="str">
            <v>dwi.ck@bki.co.id</v>
          </cell>
          <cell r="G575" t="str">
            <v>08561866589</v>
          </cell>
          <cell r="H575" t="str">
            <v>6A</v>
          </cell>
          <cell r="I575">
            <v>150000</v>
          </cell>
        </row>
        <row r="576">
          <cell r="B576" t="str">
            <v>DEDE MA'MUN SUMANTRI</v>
          </cell>
          <cell r="C576" t="str">
            <v>DIVISI PERENCANAAN KORPORAT DAN MANAJEMEN RISIKO</v>
          </cell>
          <cell r="D576" t="str">
            <v>DIVISI PERENCANAAN KORPORAT DAN MANAJEMEN RISIKO</v>
          </cell>
          <cell r="E576" t="str">
            <v>ANALIS PERENCANAAN</v>
          </cell>
          <cell r="F576" t="str">
            <v>dede@bki.co.id</v>
          </cell>
          <cell r="G576" t="str">
            <v>081285857958</v>
          </cell>
          <cell r="H576" t="str">
            <v>5C</v>
          </cell>
          <cell r="I576">
            <v>250000</v>
          </cell>
        </row>
        <row r="577">
          <cell r="B577" t="str">
            <v>REGIYAN DRININ KAWASUGI</v>
          </cell>
          <cell r="C577" t="str">
            <v>DIVISI PERENCANAAN KORPORAT DAN MANAJEMEN RISIKO</v>
          </cell>
          <cell r="D577" t="str">
            <v>DIVISI PERENCANAAN KORPORAT DAN MANAJEMEN RISIKO</v>
          </cell>
          <cell r="E577" t="str">
            <v>OFFICER PERENCANAAN</v>
          </cell>
          <cell r="F577" t="str">
            <v>regiyan.dk@bki.co.id</v>
          </cell>
          <cell r="G577" t="str">
            <v>082231155448</v>
          </cell>
          <cell r="H577" t="str">
            <v>4B</v>
          </cell>
          <cell r="I577">
            <v>100000</v>
          </cell>
        </row>
        <row r="578">
          <cell r="B578" t="str">
            <v>MUHAMMAD RAFI AMRULLAH</v>
          </cell>
          <cell r="C578" t="str">
            <v>DIVISI PERENCANAAN KORPORAT DAN MANAJEMEN RISIKO</v>
          </cell>
          <cell r="D578" t="str">
            <v>DIVISI PERENCANAAN KORPORAT DAN MANAJEMEN RISIKO</v>
          </cell>
          <cell r="E578" t="str">
            <v>OFFICER PERENCANAAN</v>
          </cell>
          <cell r="F578" t="str">
            <v>m.rafi@bki.co.id</v>
          </cell>
          <cell r="H578" t="str">
            <v>4B</v>
          </cell>
          <cell r="I578">
            <v>100000</v>
          </cell>
        </row>
        <row r="579">
          <cell r="B579" t="str">
            <v>ELVIRA ANGGRAINI KUSUMAPUTRI</v>
          </cell>
          <cell r="C579" t="str">
            <v>DIVISI PERENCANAAN KORPORAT DAN MANAJEMEN RISIKO</v>
          </cell>
          <cell r="D579" t="str">
            <v>DIVISI PERENCANAAN KORPORAT DAN MANAJEMEN RISIKO</v>
          </cell>
          <cell r="E579" t="str">
            <v>OFFICER MANAJEMEN RISIKO</v>
          </cell>
          <cell r="F579" t="str">
            <v>elvira.ak@bki.co.id</v>
          </cell>
          <cell r="H579" t="str">
            <v>4A</v>
          </cell>
          <cell r="I579">
            <v>100000</v>
          </cell>
        </row>
        <row r="580">
          <cell r="B580" t="str">
            <v>MARIYANA ASTRI FANDANI</v>
          </cell>
          <cell r="C580" t="str">
            <v>DIVISI PERENCANAAN KORPORAT DAN MANAJEMEN RISIKO</v>
          </cell>
          <cell r="D580" t="str">
            <v>DIVISI PERENCANAAN KORPORAT DAN MANAJEMEN RISIKO</v>
          </cell>
          <cell r="E580" t="str">
            <v>STAF DUKUNGAN BISNIS</v>
          </cell>
          <cell r="F580" t="str">
            <v>mariyana.af@bki.co.id</v>
          </cell>
          <cell r="G580" t="str">
            <v>083849522432</v>
          </cell>
          <cell r="H580" t="str">
            <v>-</v>
          </cell>
          <cell r="I580">
            <v>100000</v>
          </cell>
        </row>
        <row r="581">
          <cell r="B581" t="str">
            <v>ARDHIANTI NOVIANDITA</v>
          </cell>
          <cell r="C581" t="str">
            <v>DIVISI PERENCANAAN KORPORAT DAN MANAJEMEN RISIKO</v>
          </cell>
          <cell r="D581" t="str">
            <v>DIVISI PERENCANAAN KORPORAT DAN MANAJEMEN RISIKO</v>
          </cell>
          <cell r="E581" t="str">
            <v>STAF DUKUNGAN BISNIS</v>
          </cell>
          <cell r="F581" t="str">
            <v>ardhianti.n@bki.co.id</v>
          </cell>
          <cell r="G581" t="str">
            <v>087727138487</v>
          </cell>
          <cell r="H581" t="str">
            <v>-</v>
          </cell>
          <cell r="I581">
            <v>100000</v>
          </cell>
        </row>
        <row r="582">
          <cell r="B582" t="str">
            <v>GOFUR SIDDIQ RINO HADI</v>
          </cell>
          <cell r="C582" t="str">
            <v>DIVISI PERENCANAAN KORPORAT DAN MANAJEMEN RISIKO</v>
          </cell>
          <cell r="D582" t="str">
            <v>DIVISI PERENCANAAN KORPORAT DAN MANAJEMEN RISIKO</v>
          </cell>
          <cell r="E582" t="str">
            <v>STAF DUKUNGAN BISNIS</v>
          </cell>
          <cell r="F582" t="str">
            <v>gofur.siddiq@bki.co.id</v>
          </cell>
          <cell r="G582" t="str">
            <v>085774259663</v>
          </cell>
          <cell r="H582" t="str">
            <v>-</v>
          </cell>
          <cell r="I582">
            <v>0</v>
          </cell>
        </row>
        <row r="583">
          <cell r="B583" t="str">
            <v>MOCHAMMAD ZAKY</v>
          </cell>
          <cell r="C583" t="str">
            <v>DIVISI PERSETUJUAN RANCANG BANGUN</v>
          </cell>
          <cell r="D583" t="str">
            <v>DIVISI PERSETUJUAN RANCANG BANGUN</v>
          </cell>
          <cell r="E583" t="str">
            <v>SENIOR MANAGER STATUTORIA</v>
          </cell>
          <cell r="F583" t="str">
            <v>zaky@bki.co.id</v>
          </cell>
          <cell r="G583" t="str">
            <v>082147338829</v>
          </cell>
          <cell r="H583" t="str">
            <v>7B</v>
          </cell>
          <cell r="I583">
            <v>350000</v>
          </cell>
        </row>
        <row r="584">
          <cell r="B584" t="str">
            <v>RIZAL FEBRIANTO</v>
          </cell>
          <cell r="C584" t="str">
            <v>DIVISI PERSETUJUAN RANCANG BANGUN</v>
          </cell>
          <cell r="D584" t="str">
            <v>DIVISI PERSETUJUAN RANCANG BANGUN</v>
          </cell>
          <cell r="E584" t="str">
            <v>ADMINISTRATOR</v>
          </cell>
          <cell r="F584" t="str">
            <v>rizal.febrianto@bki.co.id</v>
          </cell>
          <cell r="G584" t="str">
            <v>0812 1803 1501</v>
          </cell>
          <cell r="H584" t="str">
            <v>2A</v>
          </cell>
          <cell r="I584">
            <v>0</v>
          </cell>
        </row>
        <row r="585">
          <cell r="B585" t="str">
            <v>FIVID RIVANTORO</v>
          </cell>
          <cell r="C585" t="str">
            <v>DIVISI PERSETUJUAN RANCANG BANGUN</v>
          </cell>
          <cell r="D585" t="str">
            <v>DIVISI PERSETUJUAN RANCANG BANGUN</v>
          </cell>
          <cell r="E585" t="str">
            <v>ENGINEER PERMESINAN</v>
          </cell>
          <cell r="F585" t="str">
            <v>fivid.rivantoro@bki.co.id</v>
          </cell>
          <cell r="G585" t="str">
            <v>0857 3611 1447</v>
          </cell>
          <cell r="H585" t="str">
            <v>5C</v>
          </cell>
          <cell r="I585">
            <v>0</v>
          </cell>
        </row>
        <row r="586">
          <cell r="B586" t="str">
            <v>ADAM PERDANA PUTERA</v>
          </cell>
          <cell r="C586" t="str">
            <v>DIVISI PERSETUJUAN RANCANG BANGUN</v>
          </cell>
          <cell r="D586" t="str">
            <v>DIVISI PERSETUJUAN RANCANG BANGUN</v>
          </cell>
          <cell r="E586" t="str">
            <v>ENGINEER STATUTORIA</v>
          </cell>
          <cell r="F586" t="str">
            <v>adam@bki.co.id</v>
          </cell>
          <cell r="G586" t="str">
            <v>0856 4851 9575</v>
          </cell>
          <cell r="H586" t="str">
            <v>5C</v>
          </cell>
          <cell r="I586">
            <v>0</v>
          </cell>
        </row>
        <row r="587">
          <cell r="B587" t="str">
            <v>BAMBANG FIRDIANSYAH HADI KUSUMA</v>
          </cell>
          <cell r="C587" t="str">
            <v>DIVISI PERSETUJUAN RANCANG BANGUN</v>
          </cell>
          <cell r="D587" t="str">
            <v>DIVISI PERSETUJUAN RANCANG BANGUN</v>
          </cell>
          <cell r="E587" t="str">
            <v>ENGINEER STRUKTUR</v>
          </cell>
          <cell r="F587" t="str">
            <v>bambangfhk@bki.co.id</v>
          </cell>
          <cell r="G587" t="str">
            <v>082298394795</v>
          </cell>
          <cell r="H587" t="str">
            <v>5C</v>
          </cell>
          <cell r="I587">
            <v>0</v>
          </cell>
        </row>
        <row r="588">
          <cell r="B588" t="str">
            <v>KRISHNA WIJAYADI</v>
          </cell>
          <cell r="C588" t="str">
            <v>DIVISI PERSETUJUAN RANCANG BANGUN</v>
          </cell>
          <cell r="D588" t="str">
            <v>DIVISI PERSETUJUAN RANCANG BANGUN</v>
          </cell>
          <cell r="E588" t="str">
            <v>ENGINEER SENIOR II B KELISTRIKAN</v>
          </cell>
          <cell r="F588" t="str">
            <v>krishna@bki.co.id</v>
          </cell>
          <cell r="G588" t="str">
            <v>0811903524</v>
          </cell>
          <cell r="H588" t="str">
            <v>7B</v>
          </cell>
          <cell r="I588">
            <v>250000</v>
          </cell>
        </row>
        <row r="589">
          <cell r="B589" t="str">
            <v>HIJRAWATI MUHTAR</v>
          </cell>
          <cell r="C589" t="str">
            <v>DIVISI PERSETUJUAN RANCANG BANGUN</v>
          </cell>
          <cell r="D589" t="str">
            <v>DIVISI PERSETUJUAN RANCANG BANGUN</v>
          </cell>
          <cell r="E589" t="str">
            <v>ENGINEER SENIOR I B PERMESINAN</v>
          </cell>
          <cell r="F589" t="str">
            <v>hijrawati@bki.co.id</v>
          </cell>
          <cell r="G589" t="str">
            <v>081213142925</v>
          </cell>
          <cell r="H589" t="str">
            <v>6B</v>
          </cell>
          <cell r="I589">
            <v>250000</v>
          </cell>
        </row>
        <row r="590">
          <cell r="B590" t="str">
            <v>DWIANA GALUH LISTIYARINI</v>
          </cell>
          <cell r="C590" t="str">
            <v>DIVISI PERSETUJUAN RANCANG BANGUN</v>
          </cell>
          <cell r="D590" t="str">
            <v>DIVISI PERSETUJUAN RANCANG BANGUN</v>
          </cell>
          <cell r="E590" t="str">
            <v>ENGINEER SENIOR I C STRUKTUR</v>
          </cell>
          <cell r="F590" t="str">
            <v>dwiana@bki.co.id</v>
          </cell>
          <cell r="G590" t="str">
            <v>085645468365</v>
          </cell>
          <cell r="H590" t="str">
            <v>6C</v>
          </cell>
          <cell r="I590">
            <v>250000</v>
          </cell>
        </row>
        <row r="591">
          <cell r="B591" t="str">
            <v>LIDYA SALIM</v>
          </cell>
          <cell r="C591" t="str">
            <v>DIVISI PERSETUJUAN RANCANG BANGUN</v>
          </cell>
          <cell r="D591" t="str">
            <v>DIVISI PERSETUJUAN RANCANG BANGUN</v>
          </cell>
          <cell r="E591" t="str">
            <v>ENGINEER SENIOR I B STATUTORIA</v>
          </cell>
          <cell r="F591" t="str">
            <v>lidsalim@bki.co.id</v>
          </cell>
          <cell r="G591" t="str">
            <v>081911002040</v>
          </cell>
          <cell r="H591" t="str">
            <v>6B</v>
          </cell>
          <cell r="I591">
            <v>0</v>
          </cell>
        </row>
        <row r="592">
          <cell r="B592" t="str">
            <v>AKHMAD SYARIFUL ANWAR</v>
          </cell>
          <cell r="C592" t="str">
            <v>DIVISI PERSETUJUAN RANCANG BANGUN</v>
          </cell>
          <cell r="D592" t="str">
            <v>DIVISI PERSETUJUAN RANCANG BANGUN</v>
          </cell>
          <cell r="E592" t="str">
            <v>ENGINEER SENIOR I B STATUTORIA</v>
          </cell>
          <cell r="F592" t="str">
            <v>akhmad@bki.co.id</v>
          </cell>
          <cell r="G592" t="str">
            <v>081212429955</v>
          </cell>
          <cell r="H592" t="str">
            <v>6B</v>
          </cell>
          <cell r="I592">
            <v>0</v>
          </cell>
        </row>
        <row r="593">
          <cell r="B593" t="str">
            <v>FAULINCIA</v>
          </cell>
          <cell r="C593" t="str">
            <v>DIVISI PERSETUJUAN RANCANG BANGUN</v>
          </cell>
          <cell r="D593" t="str">
            <v>DIVISI PERSETUJUAN RANCANG BANGUN</v>
          </cell>
          <cell r="E593" t="str">
            <v>ENGINEER KELISTRIKAN</v>
          </cell>
          <cell r="F593" t="str">
            <v>faulincia@bki.co.id</v>
          </cell>
          <cell r="G593" t="str">
            <v>082215497510</v>
          </cell>
          <cell r="H593" t="str">
            <v>5C</v>
          </cell>
          <cell r="I593">
            <v>250000</v>
          </cell>
        </row>
        <row r="594">
          <cell r="B594" t="str">
            <v>DIAN FEBRIAN</v>
          </cell>
          <cell r="C594" t="str">
            <v>DIVISI PERSETUJUAN RANCANG BANGUN</v>
          </cell>
          <cell r="D594" t="str">
            <v>DIVISI PERSETUJUAN RANCANG BANGUN</v>
          </cell>
          <cell r="E594" t="str">
            <v>ENGINEER STATUTORIA</v>
          </cell>
          <cell r="F594" t="str">
            <v>dian.febrian@bki.co.id</v>
          </cell>
          <cell r="G594" t="str">
            <v>085236584487</v>
          </cell>
          <cell r="H594" t="str">
            <v>5C</v>
          </cell>
          <cell r="I594">
            <v>250000</v>
          </cell>
        </row>
        <row r="595">
          <cell r="B595" t="str">
            <v>BAMBANG SUGIONO</v>
          </cell>
          <cell r="C595" t="str">
            <v>DIVISI PERSETUJUAN RANCANG BANGUN</v>
          </cell>
          <cell r="D595" t="str">
            <v>DIVISI PERSETUJUAN RANCANG BANGUN</v>
          </cell>
          <cell r="E595" t="str">
            <v>SENIOR MANAGER LAMBUNG DAN MATERIAL</v>
          </cell>
          <cell r="F595" t="str">
            <v>b.sugiono@bki.co.id</v>
          </cell>
          <cell r="G595" t="str">
            <v>08129485285</v>
          </cell>
          <cell r="H595" t="str">
            <v>7C</v>
          </cell>
          <cell r="I595">
            <v>0</v>
          </cell>
        </row>
        <row r="596">
          <cell r="B596" t="str">
            <v>ANDI NURALIM KAMAL</v>
          </cell>
          <cell r="C596" t="str">
            <v>DIVISI PERSETUJUAN RANCANG BANGUN</v>
          </cell>
          <cell r="D596" t="str">
            <v>DIVISI PERSETUJUAN RANCANG BANGUN</v>
          </cell>
          <cell r="E596" t="str">
            <v>VP PERSETUJUAN RANCANG BANGUN</v>
          </cell>
          <cell r="F596" t="str">
            <v>andi.nuralim@bki.co.id</v>
          </cell>
          <cell r="G596" t="str">
            <v>0813 4264 7979</v>
          </cell>
          <cell r="H596" t="str">
            <v>8B</v>
          </cell>
          <cell r="I596">
            <v>350000</v>
          </cell>
        </row>
        <row r="597">
          <cell r="B597" t="str">
            <v>HERI SISWANTO</v>
          </cell>
          <cell r="C597" t="str">
            <v>DIVISI PERSETUJUAN RANCANG BANGUN</v>
          </cell>
          <cell r="D597" t="str">
            <v>DIVISI PERSETUJUAN RANCANG BANGUN</v>
          </cell>
          <cell r="E597" t="str">
            <v>ENGINEER SENIOR I STRUKTUR</v>
          </cell>
          <cell r="F597" t="str">
            <v>heri.siswanto@bki.co.id</v>
          </cell>
          <cell r="G597" t="str">
            <v>082126022448</v>
          </cell>
          <cell r="H597" t="str">
            <v>6C</v>
          </cell>
          <cell r="I597">
            <v>0</v>
          </cell>
        </row>
        <row r="598">
          <cell r="B598" t="str">
            <v>FAHMI</v>
          </cell>
          <cell r="C598" t="str">
            <v>DIVISI PERSETUJUAN RANCANG BANGUN</v>
          </cell>
          <cell r="D598" t="str">
            <v>DIVISI PERSETUJUAN RANCANG BANGUN</v>
          </cell>
          <cell r="E598" t="str">
            <v>ENGINEER SENIOR II B STATUTORIA</v>
          </cell>
          <cell r="F598" t="str">
            <v>fahmi@bki.co.id</v>
          </cell>
          <cell r="G598" t="str">
            <v>081341111966</v>
          </cell>
          <cell r="H598" t="str">
            <v>7B</v>
          </cell>
          <cell r="I598">
            <v>250000</v>
          </cell>
        </row>
        <row r="599">
          <cell r="B599" t="str">
            <v>SONY ANGGARA</v>
          </cell>
          <cell r="C599" t="str">
            <v>DIVISI PERSETUJUAN RANCANG BANGUN</v>
          </cell>
          <cell r="D599" t="str">
            <v>DIVISI PERSETUJUAN RANCANG BANGUN</v>
          </cell>
          <cell r="E599" t="str">
            <v>ENGINEER STATUTORIA</v>
          </cell>
          <cell r="F599" t="str">
            <v>sony.anggara@bki.co.id</v>
          </cell>
          <cell r="G599" t="str">
            <v>083831283260</v>
          </cell>
          <cell r="H599" t="str">
            <v>5C</v>
          </cell>
          <cell r="I599">
            <v>0</v>
          </cell>
        </row>
        <row r="600">
          <cell r="B600" t="str">
            <v>WAHIDIN</v>
          </cell>
          <cell r="C600" t="str">
            <v>DIVISI PERSETUJUAN RANCANG BANGUN</v>
          </cell>
          <cell r="D600" t="str">
            <v>DIVISI PERSETUJUAN RANCANG BANGUN</v>
          </cell>
          <cell r="E600" t="str">
            <v>ADMINISTRATOR SENIOR</v>
          </cell>
          <cell r="F600" t="str">
            <v>wahidin@bki.co.id</v>
          </cell>
          <cell r="G600" t="str">
            <v>081381145600</v>
          </cell>
          <cell r="H600" t="str">
            <v>3B</v>
          </cell>
          <cell r="I600">
            <v>150000</v>
          </cell>
        </row>
        <row r="601">
          <cell r="B601" t="str">
            <v>TAUFIK AKBAR</v>
          </cell>
          <cell r="C601" t="str">
            <v>DIVISI PERSETUJUAN RANCANG BANGUN</v>
          </cell>
          <cell r="D601" t="str">
            <v>DIVISI PERSETUJUAN RANCANG BANGUN</v>
          </cell>
          <cell r="E601" t="str">
            <v>SENIOR MANAGER MESIN, LISTRIK, KOMPONEN DAN PENYEDIA JASA</v>
          </cell>
          <cell r="F601" t="str">
            <v>taufik.akbar@bki.co.id</v>
          </cell>
          <cell r="G601" t="str">
            <v>083857304689</v>
          </cell>
          <cell r="H601" t="str">
            <v>7B</v>
          </cell>
          <cell r="I601">
            <v>250000</v>
          </cell>
        </row>
        <row r="602">
          <cell r="B602" t="str">
            <v>ADE NURSAL</v>
          </cell>
          <cell r="C602" t="str">
            <v>DIVISI PERSETUJUAN RANCANG BANGUN</v>
          </cell>
          <cell r="D602" t="str">
            <v>DIVISI PERSETUJUAN RANCANG BANGUN</v>
          </cell>
          <cell r="E602" t="str">
            <v>ENGINEER MATERIAL</v>
          </cell>
          <cell r="F602" t="str">
            <v>ade.nursal@bki.co.id</v>
          </cell>
          <cell r="G602" t="str">
            <v>0812 9133 0022</v>
          </cell>
          <cell r="H602" t="str">
            <v>5C</v>
          </cell>
          <cell r="I602">
            <v>0</v>
          </cell>
        </row>
        <row r="603">
          <cell r="B603" t="str">
            <v>TULUS SETIYAWAN WASI KUNTORO</v>
          </cell>
          <cell r="C603" t="str">
            <v>DIVISI PERSETUJUAN RANCANG BANGUN</v>
          </cell>
          <cell r="D603" t="str">
            <v>DIVISI PERSETUJUAN RANCANG BANGUN</v>
          </cell>
          <cell r="E603" t="str">
            <v>ENGINEER STATUTORIA</v>
          </cell>
          <cell r="F603" t="str">
            <v>tulus.setia@bki.co.id</v>
          </cell>
          <cell r="G603">
            <v>0</v>
          </cell>
          <cell r="H603" t="str">
            <v>5C</v>
          </cell>
          <cell r="I603">
            <v>0</v>
          </cell>
        </row>
        <row r="604">
          <cell r="B604" t="str">
            <v>NOMO PRIHASTA</v>
          </cell>
          <cell r="C604" t="str">
            <v>DIVISI PERSETUJUAN RANCANG BANGUN</v>
          </cell>
          <cell r="D604" t="str">
            <v>DIVISI PERSETUJUAN RANCANG BANGUN</v>
          </cell>
          <cell r="E604" t="str">
            <v>ENGINEER STATUTORIA</v>
          </cell>
          <cell r="F604" t="str">
            <v>nomo.prihasta@bki.co.id</v>
          </cell>
          <cell r="G604" t="str">
            <v>0857 3280 0744</v>
          </cell>
          <cell r="H604" t="str">
            <v>5C</v>
          </cell>
          <cell r="I604">
            <v>250000</v>
          </cell>
        </row>
        <row r="605">
          <cell r="B605" t="str">
            <v>MUHAMMAD RIKY ADHITAMA NUGRAHA</v>
          </cell>
          <cell r="C605" t="str">
            <v>DIVISI PERSETUJUAN RANCANG BANGUN</v>
          </cell>
          <cell r="D605" t="str">
            <v>DIVISI PERSETUJUAN RANCANG BANGUN</v>
          </cell>
          <cell r="E605" t="str">
            <v xml:space="preserve">ENGINEER JUNIOR STATUTORIA </v>
          </cell>
          <cell r="F605" t="str">
            <v>m.riky@bki.co.id</v>
          </cell>
          <cell r="H605" t="str">
            <v>4C</v>
          </cell>
          <cell r="I605">
            <v>0</v>
          </cell>
        </row>
        <row r="606">
          <cell r="B606" t="str">
            <v>AFDHAL ALFENDRY</v>
          </cell>
          <cell r="C606" t="str">
            <v>DIVISI PERSETUJUAN RANCANG BANGUN</v>
          </cell>
          <cell r="D606" t="str">
            <v>DIVISI PERSETUJUAN RANCANG BANGUN</v>
          </cell>
          <cell r="E606" t="str">
            <v xml:space="preserve">ENGINEER JUNIOR STATUTORIA </v>
          </cell>
          <cell r="F606" t="str">
            <v>afdhal.al@bki.co.id</v>
          </cell>
          <cell r="H606" t="str">
            <v>4C</v>
          </cell>
          <cell r="I606">
            <v>0</v>
          </cell>
        </row>
        <row r="607">
          <cell r="B607" t="str">
            <v>FARHAND ALLY FAHMI</v>
          </cell>
          <cell r="C607" t="str">
            <v>DIVISI PERSETUJUAN RANCANG BANGUN</v>
          </cell>
          <cell r="D607" t="str">
            <v>DIVISI PERSETUJUAN RANCANG BANGUN</v>
          </cell>
          <cell r="E607" t="str">
            <v xml:space="preserve">STAF ENGINEER </v>
          </cell>
          <cell r="F607" t="str">
            <v>farhand.af@bki.co.id</v>
          </cell>
          <cell r="G607" t="str">
            <v>088227005964</v>
          </cell>
          <cell r="H607" t="str">
            <v>-</v>
          </cell>
          <cell r="I607">
            <v>0</v>
          </cell>
        </row>
        <row r="608">
          <cell r="B608" t="str">
            <v>DINAR RASTA FARA</v>
          </cell>
          <cell r="C608" t="str">
            <v>DIVISI PERSETUJUAN RANCANG BANGUN</v>
          </cell>
          <cell r="D608" t="str">
            <v>DIVISI PERSETUJUAN RANCANG BANGUN</v>
          </cell>
          <cell r="E608" t="str">
            <v>STAF PEMERIKSA PERSETUJUAN DOKUMEN LAMBUNG</v>
          </cell>
          <cell r="F608" t="str">
            <v>dinar.rf@bki.co.id</v>
          </cell>
          <cell r="H608" t="str">
            <v>-</v>
          </cell>
          <cell r="I608">
            <v>0</v>
          </cell>
        </row>
        <row r="609">
          <cell r="B609" t="str">
            <v>DYAH ANGGRAENI AYUNINGTYAS</v>
          </cell>
          <cell r="C609" t="str">
            <v>DIVISI PERSETUJUAN RANCANG BANGUN</v>
          </cell>
          <cell r="D609" t="str">
            <v>DIVISI PERSETUJUAN RANCANG BANGUN</v>
          </cell>
          <cell r="E609" t="str">
            <v>STAF DUKUNGAN BISNIS</v>
          </cell>
          <cell r="F609" t="str">
            <v>dyah.anggraeni@bki.co.id</v>
          </cell>
          <cell r="G609" t="str">
            <v>082170111999</v>
          </cell>
          <cell r="H609" t="str">
            <v>-</v>
          </cell>
          <cell r="I609">
            <v>0</v>
          </cell>
        </row>
        <row r="610">
          <cell r="B610" t="str">
            <v>SYAHRUL IRMANSYAH</v>
          </cell>
          <cell r="C610" t="str">
            <v>DIVISI PERSETUJUAN RANCANG BANGUN</v>
          </cell>
          <cell r="D610" t="str">
            <v>DIVISI PERSETUJUAN RANCANG BANGUN</v>
          </cell>
          <cell r="E610" t="str">
            <v>STAF PEMERIKSA PERSETUJUAN DOKUMEN LAMBUNG</v>
          </cell>
          <cell r="F610" t="str">
            <v>syahrul.irmansyah@bki.co.id</v>
          </cell>
          <cell r="H610" t="str">
            <v>-</v>
          </cell>
          <cell r="I610">
            <v>0</v>
          </cell>
        </row>
        <row r="611">
          <cell r="B611" t="str">
            <v>LUTHFI AFRIZAL</v>
          </cell>
          <cell r="C611" t="str">
            <v>DIVISI PERSETUJUAN RANCANG BANGUN</v>
          </cell>
          <cell r="D611" t="str">
            <v>DIVISI PERSETUJUAN RANCANG BANGUN</v>
          </cell>
          <cell r="E611" t="str">
            <v>STAF ADMIN GAMBAR</v>
          </cell>
          <cell r="F611" t="str">
            <v>luthfi.afrizal@bki.co.id</v>
          </cell>
          <cell r="G611" t="str">
            <v>081215996378</v>
          </cell>
          <cell r="H611" t="str">
            <v>-</v>
          </cell>
          <cell r="I611">
            <v>0</v>
          </cell>
        </row>
        <row r="612">
          <cell r="B612" t="str">
            <v>JUSAK SONANG FERRARI SIAHAAN</v>
          </cell>
          <cell r="C612" t="str">
            <v>DIVISI PERSETUJUAN RANCANG BANGUN</v>
          </cell>
          <cell r="D612" t="str">
            <v>DIVISI PERSETUJUAN RANCANG BANGUN</v>
          </cell>
          <cell r="E612" t="str">
            <v xml:space="preserve">STAF PEMERIKSA PERSETUJUAN DOKUMEN PERMESINAN </v>
          </cell>
          <cell r="F612" t="str">
            <v>jusak.sfs@bki.co.id</v>
          </cell>
          <cell r="H612">
            <v>0</v>
          </cell>
          <cell r="I612">
            <v>0</v>
          </cell>
        </row>
        <row r="613">
          <cell r="B613" t="str">
            <v>PENNI DIAN</v>
          </cell>
          <cell r="C613" t="str">
            <v>DIVISI PERSETUJUAN RANCANG BANGUN</v>
          </cell>
          <cell r="D613" t="str">
            <v>DIVISI PERSETUJUAN RANCANG BANGUN</v>
          </cell>
          <cell r="E613" t="str">
            <v>STAF PEMERIKSA PERSETUJUAN DOKUMEN LAMBUNG TIMBUL &amp; STABILITAS</v>
          </cell>
          <cell r="F613" t="str">
            <v>Penni.Dian@bki.co.id</v>
          </cell>
          <cell r="H613">
            <v>0</v>
          </cell>
          <cell r="I613">
            <v>0</v>
          </cell>
        </row>
        <row r="614">
          <cell r="B614" t="str">
            <v>RAMRAY ANANDA AMIR</v>
          </cell>
          <cell r="C614" t="str">
            <v>DIVISI PERSETUJUAN RANCANG BANGUN</v>
          </cell>
          <cell r="D614" t="str">
            <v>DIVISI PERSETUJUAN RANCANG BANGUN</v>
          </cell>
          <cell r="E614" t="str">
            <v>STAF PEMERIKSA PERSETUJUAN DOKUMEN LOAD LINE &amp; STABILITAS</v>
          </cell>
          <cell r="F614" t="str">
            <v>Ramray.aa@bki.co.id</v>
          </cell>
          <cell r="H614">
            <v>0</v>
          </cell>
          <cell r="I614">
            <v>0</v>
          </cell>
        </row>
        <row r="615">
          <cell r="B615" t="str">
            <v>YOGA ARY LEKSONO</v>
          </cell>
          <cell r="C615" t="str">
            <v>DIVISI PERSETUJUAN RANCANG BANGUN</v>
          </cell>
          <cell r="D615" t="str">
            <v>DIVISI PERSETUJUAN RANCANG BANGUN</v>
          </cell>
          <cell r="E615" t="str">
            <v>Staf Pemeriksa Persetujuan Dokumen Mesin</v>
          </cell>
          <cell r="F615" t="str">
            <v>yoga.ary@bki.co.id</v>
          </cell>
          <cell r="H615" t="str">
            <v>-</v>
          </cell>
          <cell r="I615">
            <v>0</v>
          </cell>
        </row>
        <row r="616">
          <cell r="B616" t="str">
            <v>AHMAD ZAKKY</v>
          </cell>
          <cell r="C616" t="str">
            <v>DIVISI PERSETUJUAN RANCANG BANGUN NUSANTARA</v>
          </cell>
          <cell r="D616" t="str">
            <v>DIVISI PERSETUJUAN RANCANG BANGUN NUSANTARA</v>
          </cell>
          <cell r="E616" t="str">
            <v>ENGINEER SENIOR I C STRUKTUR</v>
          </cell>
          <cell r="F616" t="str">
            <v>ahmad.zakky@bki.co.id</v>
          </cell>
          <cell r="G616" t="str">
            <v>085230183554</v>
          </cell>
          <cell r="H616" t="str">
            <v>6B</v>
          </cell>
          <cell r="I616">
            <v>0</v>
          </cell>
        </row>
        <row r="617">
          <cell r="B617" t="str">
            <v>DENY CAHYO NUGROHO</v>
          </cell>
          <cell r="C617" t="str">
            <v>DIVISI PERSETUJUAN RANCANG BANGUN NUSANTARA</v>
          </cell>
          <cell r="D617" t="str">
            <v>DIVISI PERSETUJUAN RANCANG BANGUN NUSANTARA</v>
          </cell>
          <cell r="E617" t="str">
            <v>ENGINEER KELISTRIKAN</v>
          </cell>
          <cell r="F617" t="str">
            <v>deny.cn@bki.co.id</v>
          </cell>
          <cell r="G617" t="str">
            <v>0857 3000 0425</v>
          </cell>
          <cell r="H617" t="str">
            <v>5C</v>
          </cell>
          <cell r="I617">
            <v>250000</v>
          </cell>
        </row>
        <row r="618">
          <cell r="B618" t="str">
            <v>FAHRUL NUR HIDAYAT</v>
          </cell>
          <cell r="C618" t="str">
            <v>DIVISI PERSETUJUAN RANCANG BANGUN NUSANTARA</v>
          </cell>
          <cell r="D618" t="str">
            <v>DIVISI PERSETUJUAN RANCANG BANGUN NUSANTARA</v>
          </cell>
          <cell r="E618" t="str">
            <v>ENGINEER PERMESINAN</v>
          </cell>
          <cell r="F618" t="str">
            <v>fahrulnurhidayat@bki.co.id</v>
          </cell>
          <cell r="G618" t="str">
            <v/>
          </cell>
          <cell r="H618" t="str">
            <v>5C</v>
          </cell>
          <cell r="I618">
            <v>250000</v>
          </cell>
        </row>
        <row r="619">
          <cell r="B619" t="str">
            <v>NUR HASAN SIDIQ</v>
          </cell>
          <cell r="C619" t="str">
            <v>DIVISI PERSETUJUAN RANCANG BANGUN NUSANTARA</v>
          </cell>
          <cell r="D619" t="str">
            <v>DIVISI PERSETUJUAN RANCANG BANGUN NUSANTARA</v>
          </cell>
          <cell r="E619" t="str">
            <v>ENGINEER STRUKTUR</v>
          </cell>
          <cell r="F619" t="str">
            <v>nur.hs@bki.co.id</v>
          </cell>
          <cell r="G619" t="str">
            <v>081350843985</v>
          </cell>
          <cell r="H619" t="str">
            <v>5C</v>
          </cell>
          <cell r="I619">
            <v>0</v>
          </cell>
        </row>
        <row r="620">
          <cell r="B620" t="str">
            <v>HATRI NINRA DAUD</v>
          </cell>
          <cell r="C620" t="str">
            <v>DIVISI PERSETUJUAN RANCANG BANGUN NUSANTARA</v>
          </cell>
          <cell r="D620" t="str">
            <v>DIVISI PERSETUJUAN RANCANG BANGUN NUSANTARA</v>
          </cell>
          <cell r="E620" t="str">
            <v>ENGINEER PERMESINAN</v>
          </cell>
          <cell r="F620" t="str">
            <v>hatri.nd@bki.co.id</v>
          </cell>
          <cell r="G620" t="str">
            <v>082154508033</v>
          </cell>
          <cell r="H620" t="str">
            <v>5C</v>
          </cell>
          <cell r="I620">
            <v>0</v>
          </cell>
        </row>
        <row r="621">
          <cell r="B621" t="str">
            <v>HERU SUSILO BUDIMAN</v>
          </cell>
          <cell r="C621" t="str">
            <v>DIVISI PERSETUJUAN RANCANG BANGUN NUSANTARA</v>
          </cell>
          <cell r="D621" t="str">
            <v>DIVISI PERSETUJUAN RANCANG BANGUN NUSANTARA</v>
          </cell>
          <cell r="E621" t="str">
            <v>SENIOR MANAGER MESIN DAN LISTRIK NUSANTARA</v>
          </cell>
          <cell r="F621" t="str">
            <v>heru.sb@bki.co.id</v>
          </cell>
          <cell r="G621" t="str">
            <v>081282420046</v>
          </cell>
          <cell r="H621" t="str">
            <v>7B</v>
          </cell>
          <cell r="I621">
            <v>350000</v>
          </cell>
        </row>
        <row r="622">
          <cell r="B622" t="str">
            <v>SEFIA HELMINA</v>
          </cell>
          <cell r="C622" t="str">
            <v>DIVISI PERSETUJUAN RANCANG BANGUN NUSANTARA</v>
          </cell>
          <cell r="D622" t="str">
            <v>DIVISI PERSETUJUAN RANCANG BANGUN NUSANTARA</v>
          </cell>
          <cell r="E622" t="str">
            <v>ENGINEER STRUKTUR</v>
          </cell>
          <cell r="F622" t="str">
            <v>sefia@bki.co.id</v>
          </cell>
          <cell r="G622" t="str">
            <v>082114021642</v>
          </cell>
          <cell r="H622" t="str">
            <v>5C</v>
          </cell>
          <cell r="I622">
            <v>250000</v>
          </cell>
        </row>
        <row r="623">
          <cell r="B623" t="str">
            <v>RIYANTO</v>
          </cell>
          <cell r="C623" t="str">
            <v>DIVISI PERSETUJUAN RANCANG BANGUN NUSANTARA</v>
          </cell>
          <cell r="D623" t="str">
            <v>DIVISI PERSETUJUAN RANCANG BANGUN NUSANTARA</v>
          </cell>
          <cell r="E623" t="str">
            <v>ADMINISTRATOR SENIOR</v>
          </cell>
          <cell r="F623" t="str">
            <v>riyanto@bki.co.id</v>
          </cell>
          <cell r="G623" t="str">
            <v>081996311855</v>
          </cell>
          <cell r="H623" t="str">
            <v>3B</v>
          </cell>
          <cell r="I623">
            <v>150000</v>
          </cell>
        </row>
        <row r="624">
          <cell r="B624" t="str">
            <v>ARMINDARY ARIEF</v>
          </cell>
          <cell r="C624" t="str">
            <v>DIVISI PERSETUJUAN RANCANG BANGUN NUSANTARA</v>
          </cell>
          <cell r="D624" t="str">
            <v>DIVISI PERSETUJUAN RANCANG BANGUN NUSANTARA</v>
          </cell>
          <cell r="E624" t="str">
            <v>ENGINEER STRUKTUR</v>
          </cell>
          <cell r="F624" t="str">
            <v>armindary@bki.co.id</v>
          </cell>
          <cell r="G624" t="str">
            <v>08124155205</v>
          </cell>
          <cell r="H624" t="str">
            <v>5C</v>
          </cell>
          <cell r="I624">
            <v>250000</v>
          </cell>
        </row>
        <row r="625">
          <cell r="B625" t="str">
            <v>FACHRUDDIN</v>
          </cell>
          <cell r="C625" t="str">
            <v>DIVISI PERSETUJUAN RANCANG BANGUN NUSANTARA</v>
          </cell>
          <cell r="D625" t="str">
            <v>DIVISI PERSETUJUAN RANCANG BANGUN NUSANTARA</v>
          </cell>
          <cell r="E625" t="str">
            <v>ENGINEER STRUKTUR</v>
          </cell>
          <cell r="F625" t="str">
            <v>fachruddin@bki.co.id</v>
          </cell>
          <cell r="G625" t="str">
            <v>081342990998</v>
          </cell>
          <cell r="H625" t="str">
            <v>5C</v>
          </cell>
          <cell r="I625">
            <v>250000</v>
          </cell>
        </row>
        <row r="626">
          <cell r="B626" t="str">
            <v>SISWANTO</v>
          </cell>
          <cell r="C626" t="str">
            <v>DIVISI PERSETUJUAN RANCANG BANGUN NUSANTARA</v>
          </cell>
          <cell r="D626" t="str">
            <v>DIVISI PERSETUJUAN RANCANG BANGUN NUSANTARA</v>
          </cell>
          <cell r="E626" t="str">
            <v>SENIOR MANAGER LAMBUNG NUSANTARA</v>
          </cell>
          <cell r="F626" t="str">
            <v>siswanto@bki.co.id</v>
          </cell>
          <cell r="G626" t="str">
            <v>081261449951</v>
          </cell>
          <cell r="H626" t="str">
            <v>7B</v>
          </cell>
          <cell r="I626">
            <v>0</v>
          </cell>
        </row>
        <row r="627">
          <cell r="B627" t="str">
            <v>WASITO ABDUL MUKIT</v>
          </cell>
          <cell r="C627" t="str">
            <v>DIVISI PERSETUJUAN RANCANG BANGUN NUSANTARA</v>
          </cell>
          <cell r="D627" t="str">
            <v>DIVISI PERSETUJUAN RANCANG BANGUN NUSANTARA</v>
          </cell>
          <cell r="E627" t="str">
            <v>VP PERSETUJUAN RANCANG BANGUN NUSANTARA</v>
          </cell>
          <cell r="F627" t="str">
            <v>wasito@bki.co.id</v>
          </cell>
          <cell r="G627" t="str">
            <v>08129004021</v>
          </cell>
          <cell r="H627" t="str">
            <v>8B</v>
          </cell>
          <cell r="I627">
            <v>350000</v>
          </cell>
        </row>
        <row r="628">
          <cell r="B628" t="str">
            <v>ARIF SYARIFUDIN</v>
          </cell>
          <cell r="C628" t="str">
            <v>DIVISI PERSETUJUAN RANCANG BANGUN NUSANTARA</v>
          </cell>
          <cell r="D628" t="str">
            <v>DIVISI PERSETUJUAN RANCANG BANGUN NUSANTARA</v>
          </cell>
          <cell r="E628" t="str">
            <v xml:space="preserve">ADMINISTRATOR SENIOR </v>
          </cell>
          <cell r="F628" t="str">
            <v>arif.syarifudin@bki.co.id</v>
          </cell>
          <cell r="G628" t="str">
            <v>085710061963</v>
          </cell>
          <cell r="H628" t="str">
            <v>3B</v>
          </cell>
          <cell r="I628">
            <v>0</v>
          </cell>
        </row>
        <row r="629">
          <cell r="B629" t="str">
            <v>ZULFIKAR BISMA WICAKSANA</v>
          </cell>
          <cell r="C629" t="str">
            <v>DIVISI PERSETUJUAN RANCANG BANGUN NUSANTARA</v>
          </cell>
          <cell r="D629" t="str">
            <v>DIVISI PERSETUJUAN RANCANG BANGUN NUSANTARA</v>
          </cell>
          <cell r="E629" t="str">
            <v>ENGINEER JUNIOR STRUKTUR</v>
          </cell>
          <cell r="F629" t="str">
            <v>zulfikar.bw@bki.co.id</v>
          </cell>
          <cell r="H629" t="str">
            <v>4C</v>
          </cell>
          <cell r="I629">
            <v>0</v>
          </cell>
        </row>
        <row r="630">
          <cell r="B630" t="str">
            <v>M FAHMI AULIARAHMAN</v>
          </cell>
          <cell r="C630" t="str">
            <v>DIVISI PERSETUJUAN RANCANG BANGUN NUSANTARA</v>
          </cell>
          <cell r="D630" t="str">
            <v>DIVISI PERSETUJUAN RANCANG BANGUN NUSANTARA</v>
          </cell>
          <cell r="E630" t="str">
            <v xml:space="preserve">ENGINEER JUNIOR PERMESINAN </v>
          </cell>
          <cell r="F630" t="str">
            <v>m.fahmi@bki.co.id</v>
          </cell>
          <cell r="H630" t="str">
            <v>4C</v>
          </cell>
          <cell r="I630">
            <v>0</v>
          </cell>
        </row>
        <row r="631">
          <cell r="B631" t="str">
            <v>MUHAMMAD IQRA RAMADHAN</v>
          </cell>
          <cell r="C631" t="str">
            <v>DIVISI PERSETUJUAN RANCANG BANGUN NUSANTARA</v>
          </cell>
          <cell r="D631" t="str">
            <v>DIVISI PERSETUJUAN RANCANG BANGUN NUSANTARA</v>
          </cell>
          <cell r="E631" t="str">
            <v>ENGINEER JUNIOR STRUKTUR</v>
          </cell>
          <cell r="F631" t="str">
            <v>m.iqra@bki.co.id</v>
          </cell>
          <cell r="H631" t="str">
            <v>4C</v>
          </cell>
          <cell r="I631">
            <v>0</v>
          </cell>
        </row>
        <row r="632">
          <cell r="B632" t="str">
            <v>TOPAN FIRMANDHA</v>
          </cell>
          <cell r="C632" t="str">
            <v>DIVISI RISET DAN PENGEMBANGAN BISNIS KLASIFIKASI &amp; STATUTORIA</v>
          </cell>
          <cell r="D632" t="str">
            <v>DIVISI RISET DAN PENGEMBANGAN BISNIS KLASIFIKASI &amp; STATUTORIA</v>
          </cell>
          <cell r="E632" t="str">
            <v>PENGKAJI SENIOR II A MATERIAL &amp; STRUKTUR (PERATURAN  INTERNASIONAL)</v>
          </cell>
          <cell r="F632" t="str">
            <v>topan@bki.co.id</v>
          </cell>
          <cell r="G632" t="str">
            <v>081553005751</v>
          </cell>
          <cell r="H632" t="str">
            <v>7A</v>
          </cell>
          <cell r="I632">
            <v>0</v>
          </cell>
        </row>
        <row r="633">
          <cell r="B633" t="str">
            <v>FREDHI AGUNG PRASETYO</v>
          </cell>
          <cell r="C633" t="str">
            <v>DIVISI RISET DAN PENGEMBANGAN BISNIS KLASIFIKASI &amp; STATUTORIA</v>
          </cell>
          <cell r="D633" t="str">
            <v>DIVISI RISET DAN PENGEMBANGAN BISNIS KLASIFIKASI &amp; STATUTORIA</v>
          </cell>
          <cell r="E633" t="str">
            <v>VP RISET DAN PENGEMBANGAN BISNIS KLAS &amp; STATUTORIA</v>
          </cell>
          <cell r="F633" t="str">
            <v>fredhiagung@bki.co.id</v>
          </cell>
          <cell r="G633" t="str">
            <v>0812 848 6530</v>
          </cell>
          <cell r="H633" t="str">
            <v>8B</v>
          </cell>
          <cell r="I633">
            <v>0</v>
          </cell>
        </row>
        <row r="634">
          <cell r="B634" t="str">
            <v>MOHAMMAD ARIF KURNIAWAN</v>
          </cell>
          <cell r="C634" t="str">
            <v>DIVISI RISET DAN PENGEMBANGAN BISNIS KLASIFIKASI &amp; STATUTORIA</v>
          </cell>
          <cell r="D634" t="str">
            <v>DIVISI RISET DAN PENGEMBANGAN BISNIS KLASIFIKASI &amp; STATUTORIA</v>
          </cell>
          <cell r="E634" t="str">
            <v>SENIOR MANAGER RISET DAN PENGEMBANGAN BISNIS</v>
          </cell>
          <cell r="F634" t="str">
            <v>arif.kurniawan@bki.co.id</v>
          </cell>
          <cell r="G634" t="str">
            <v>082113538332</v>
          </cell>
          <cell r="H634" t="str">
            <v>7C</v>
          </cell>
          <cell r="I634">
            <v>0</v>
          </cell>
        </row>
        <row r="635">
          <cell r="B635" t="str">
            <v>DEFI RIZKI MAULIANI</v>
          </cell>
          <cell r="C635" t="str">
            <v>DIVISI RISET DAN PENGEMBANGAN BISNIS KLASIFIKASI &amp; STATUTORIA</v>
          </cell>
          <cell r="D635" t="str">
            <v>DIVISI RISET DAN PENGEMBANGAN BISNIS KLASIFIKASI &amp; STATUTORIA</v>
          </cell>
          <cell r="E635" t="str">
            <v>PENELITI BISNIS</v>
          </cell>
          <cell r="F635" t="str">
            <v>defi.rm@bki.co.id</v>
          </cell>
          <cell r="G635" t="str">
            <v>0856 5539 2988</v>
          </cell>
          <cell r="H635" t="str">
            <v>5C</v>
          </cell>
          <cell r="I635">
            <v>0</v>
          </cell>
        </row>
        <row r="636">
          <cell r="B636" t="str">
            <v>SITI KOMARIYAH</v>
          </cell>
          <cell r="C636" t="str">
            <v>DIVISI RISET DAN PENGEMBANGAN BISNIS KLASIFIKASI &amp; STATUTORIA</v>
          </cell>
          <cell r="D636" t="str">
            <v>DIVISI RISET DAN PENGEMBANGAN BISNIS KLASIFIKASI &amp; STATUTORIA</v>
          </cell>
          <cell r="E636" t="str">
            <v>SENIOR MANAGER PENGEMBANGAN PERATURAN INTERNASIONAL &amp; APLIKASI</v>
          </cell>
          <cell r="F636" t="str">
            <v>siti.komariyah@bki.co.id</v>
          </cell>
          <cell r="G636" t="str">
            <v>087877840964</v>
          </cell>
          <cell r="H636" t="str">
            <v>7B</v>
          </cell>
          <cell r="I636">
            <v>0</v>
          </cell>
        </row>
        <row r="637">
          <cell r="B637" t="str">
            <v>SUKRON MAKMUN</v>
          </cell>
          <cell r="C637" t="str">
            <v>DIVISI RISET DAN PENGEMBANGAN BISNIS KLASIFIKASI &amp; STATUTORIA</v>
          </cell>
          <cell r="D637" t="str">
            <v>DIVISI RISET DAN PENGEMBANGAN BISNIS KLASIFIKASI &amp; STATUTORIA</v>
          </cell>
          <cell r="E637" t="str">
            <v>SENIOR MANAGER PENGEMBANGAN PERATURAN NASIONAL DAN APLIKASI</v>
          </cell>
          <cell r="F637" t="str">
            <v>sukron@bki.co.id</v>
          </cell>
          <cell r="G637" t="str">
            <v>081330928598</v>
          </cell>
          <cell r="H637" t="str">
            <v>7B</v>
          </cell>
          <cell r="I637">
            <v>0</v>
          </cell>
        </row>
        <row r="638">
          <cell r="B638" t="str">
            <v>MOHAMMAD ABDUL MALIK</v>
          </cell>
          <cell r="C638" t="str">
            <v>DIVISI RISET DAN PENGEMBANGAN BISNIS KLASIFIKASI &amp; STATUTORIA</v>
          </cell>
          <cell r="D638" t="str">
            <v>DIVISI RISET DAN PENGEMBANGAN BISNIS KLASIFIKASI &amp; STATUTORIA</v>
          </cell>
          <cell r="E638" t="str">
            <v>PENGKAJI SENIOR I B STATUTORIA  (PERATURAN  NASIONAL)</v>
          </cell>
          <cell r="F638" t="str">
            <v>abdulmalik@bki.co.id</v>
          </cell>
          <cell r="G638" t="str">
            <v>085 6489 85075</v>
          </cell>
          <cell r="H638" t="str">
            <v>6B</v>
          </cell>
          <cell r="I638">
            <v>250000</v>
          </cell>
        </row>
        <row r="639">
          <cell r="B639" t="str">
            <v>ANGJUANG ADI PANJI PRATAMA</v>
          </cell>
          <cell r="C639" t="str">
            <v>DIVISI RISET DAN PENGEMBANGAN BISNIS KLASIFIKASI &amp; STATUTORIA</v>
          </cell>
          <cell r="D639" t="str">
            <v>DIVISI RISET DAN PENGEMBANGAN BISNIS KLASIFIKASI &amp; STATUTORIA</v>
          </cell>
          <cell r="E639" t="str">
            <v>PENGKAJI SENIOR I B KELISTRIKAN (PERATURAN INTERNASIONAL)</v>
          </cell>
          <cell r="F639" t="str">
            <v>angjuang@bki.co.id</v>
          </cell>
          <cell r="G639" t="str">
            <v>081219289349</v>
          </cell>
          <cell r="H639" t="str">
            <v>6B</v>
          </cell>
          <cell r="I639">
            <v>0</v>
          </cell>
        </row>
        <row r="640">
          <cell r="B640" t="str">
            <v>WANGININGASTUTI MUTMAINNAH</v>
          </cell>
          <cell r="C640" t="str">
            <v>DIVISI RISET DAN PENGEMBANGAN BISNIS KLASIFIKASI &amp; STATUTORIA</v>
          </cell>
          <cell r="D640" t="str">
            <v>DIVISI RISET DAN PENGEMBANGAN BISNIS KLASIFIKASI &amp; STATUTORIA</v>
          </cell>
          <cell r="E640" t="str">
            <v>PENELITI MATERIAL &amp; STRUKTUR</v>
          </cell>
          <cell r="F640" t="str">
            <v>wanginingastuti@bki.co.id</v>
          </cell>
          <cell r="G640" t="str">
            <v>087786372558</v>
          </cell>
          <cell r="H640" t="str">
            <v>5C</v>
          </cell>
          <cell r="I640">
            <v>0</v>
          </cell>
        </row>
        <row r="641">
          <cell r="B641" t="str">
            <v>RISKA DERIANI MASKAR</v>
          </cell>
          <cell r="C641" t="str">
            <v>DIVISI RISET DAN PENGEMBANGAN BISNIS KLASIFIKASI &amp; STATUTORIA</v>
          </cell>
          <cell r="D641" t="str">
            <v>DIVISI RISET DAN PENGEMBANGAN BISNIS KLASIFIKASI &amp; STATUTORIA</v>
          </cell>
          <cell r="E641" t="str">
            <v>PENGKAJI STATUTORIA (PERATURAN  NASIONAL)</v>
          </cell>
          <cell r="F641" t="str">
            <v>riska@bki.co.id</v>
          </cell>
          <cell r="G641" t="str">
            <v>085240409393</v>
          </cell>
          <cell r="H641" t="str">
            <v>5C</v>
          </cell>
          <cell r="I641">
            <v>250000</v>
          </cell>
        </row>
        <row r="642">
          <cell r="B642" t="str">
            <v>MUHAMAD RIZQI FITRA HARIADI</v>
          </cell>
          <cell r="C642" t="str">
            <v>DIVISI RISET DAN PENGEMBANGAN BISNIS KLASIFIKASI &amp; STATUTORIA</v>
          </cell>
          <cell r="D642" t="str">
            <v>DIVISI RISET DAN PENGEMBANGAN BISNIS KLASIFIKASI &amp; STATUTORIA</v>
          </cell>
          <cell r="E642" t="str">
            <v>PENELITI PERMESINAN</v>
          </cell>
          <cell r="F642" t="str">
            <v>m.rizqi@bki.co.id</v>
          </cell>
          <cell r="G642" t="str">
            <v>081292824339</v>
          </cell>
          <cell r="H642" t="str">
            <v>5C</v>
          </cell>
          <cell r="I642">
            <v>0</v>
          </cell>
        </row>
        <row r="643">
          <cell r="B643" t="str">
            <v>MUHAMMAD IRFAN</v>
          </cell>
          <cell r="C643" t="str">
            <v>DIVISI RISET DAN PENGEMBANGAN BISNIS KLASIFIKASI &amp; STATUTORIA</v>
          </cell>
          <cell r="D643" t="str">
            <v>DIVISI RISET DAN PENGEMBANGAN BISNIS KLASIFIKASI &amp; STATUTORIA</v>
          </cell>
          <cell r="E643" t="str">
            <v>PENGKAJI SENIOR I B MATERIAL &amp; STRUKTUR (PERATURAN  INTERNASIONAL)</v>
          </cell>
          <cell r="F643" t="str">
            <v>muhammad.irfan@bki.co.id</v>
          </cell>
          <cell r="G643" t="str">
            <v>087751671225</v>
          </cell>
          <cell r="H643" t="str">
            <v>6B</v>
          </cell>
          <cell r="I643">
            <v>0</v>
          </cell>
        </row>
        <row r="644">
          <cell r="B644" t="str">
            <v>DEFRI SUMARWAN</v>
          </cell>
          <cell r="C644" t="str">
            <v>DIVISI RISET DAN PENGEMBANGAN BISNIS KLASIFIKASI &amp; STATUTORIA</v>
          </cell>
          <cell r="D644" t="str">
            <v>DIVISI RISET DAN PENGEMBANGAN BISNIS KLASIFIKASI &amp; STATUTORIA</v>
          </cell>
          <cell r="E644" t="str">
            <v>PENGKAJI SENIOR I B MATERIAL &amp; STRUKTUR (PERATURAN  NASIONAL)</v>
          </cell>
          <cell r="F644" t="str">
            <v>defri@bki.co.id</v>
          </cell>
          <cell r="G644" t="str">
            <v>085891029080</v>
          </cell>
          <cell r="H644" t="str">
            <v>6B</v>
          </cell>
          <cell r="I644">
            <v>0</v>
          </cell>
        </row>
        <row r="645">
          <cell r="B645" t="str">
            <v>MUHAMMAD YUDI OKTOVIANTO</v>
          </cell>
          <cell r="C645" t="str">
            <v>DIVISI RISET DAN PENGEMBANGAN BISNIS KLASIFIKASI &amp; STATUTORIA</v>
          </cell>
          <cell r="D645" t="str">
            <v>DIVISI RISET DAN PENGEMBANGAN BISNIS KLASIFIKASI &amp; STATUTORIA</v>
          </cell>
          <cell r="E645" t="str">
            <v>PENGKAJI SENIOR I B MATERIAL &amp; STRUKTUR (PERATURAN  NASIONAL)</v>
          </cell>
          <cell r="F645" t="str">
            <v>yudi.oktovianto@bki.co.id</v>
          </cell>
          <cell r="G645" t="str">
            <v>085648222771</v>
          </cell>
          <cell r="H645" t="str">
            <v>6B</v>
          </cell>
          <cell r="I645">
            <v>250000</v>
          </cell>
        </row>
        <row r="646">
          <cell r="B646" t="str">
            <v>ROLAS YOGA MANIK</v>
          </cell>
          <cell r="C646" t="str">
            <v>DIVISI RISET DAN PENGEMBANGAN BISNIS KLASIFIKASI &amp; STATUTORIA</v>
          </cell>
          <cell r="D646" t="str">
            <v>DIVISI RISET DAN PENGEMBANGAN BISNIS KLASIFIKASI &amp; STATUTORIA</v>
          </cell>
          <cell r="E646" t="str">
            <v>PENGKAJI JUNIOR SURVEY NASIONAL</v>
          </cell>
          <cell r="F646" t="str">
            <v>rolas.ym@bki.co.id</v>
          </cell>
          <cell r="H646" t="str">
            <v>4C</v>
          </cell>
          <cell r="I646">
            <v>0</v>
          </cell>
        </row>
        <row r="647">
          <cell r="B647" t="str">
            <v>MUHAMMAD FUAD RASYAD</v>
          </cell>
          <cell r="C647" t="str">
            <v>DIVISI RISET DAN PENGEMBANGAN BISNIS KLASIFIKASI &amp; STATUTORIA</v>
          </cell>
          <cell r="D647" t="str">
            <v>DIVISI RISET DAN PENGEMBANGAN BISNIS KLASIFIKASI &amp; STATUTORIA</v>
          </cell>
          <cell r="E647" t="str">
            <v xml:space="preserve">PENGKAJI JUNIOR SURVEY INTERNASIONAL </v>
          </cell>
          <cell r="F647" t="str">
            <v>m.fuad@bki.co.id</v>
          </cell>
          <cell r="H647" t="str">
            <v>4C</v>
          </cell>
          <cell r="I647">
            <v>0</v>
          </cell>
        </row>
        <row r="648">
          <cell r="B648" t="str">
            <v>AYUMI PUTRI VARADITA</v>
          </cell>
          <cell r="C648" t="str">
            <v>DIVISI RISET DAN PENGEMBANGAN BISNIS KLASIFIKASI &amp; STATUTORIA</v>
          </cell>
          <cell r="D648" t="str">
            <v>DIVISI RISET DAN PENGEMBANGAN BISNIS KLASIFIKASI &amp; STATUTORIA</v>
          </cell>
          <cell r="E648" t="str">
            <v>STAF TEKNIK</v>
          </cell>
          <cell r="F648" t="str">
            <v>ayumi.putri@bki.co.id</v>
          </cell>
          <cell r="G648" t="str">
            <v>081315760098</v>
          </cell>
          <cell r="H648" t="str">
            <v>-</v>
          </cell>
          <cell r="I648">
            <v>0</v>
          </cell>
        </row>
        <row r="649">
          <cell r="B649" t="str">
            <v>VICKY JULIAN PRAYOGA</v>
          </cell>
          <cell r="C649" t="str">
            <v>DIVISI RISET DAN PENGEMBANGAN BISNIS KLASIFIKASI &amp; STATUTORIA</v>
          </cell>
          <cell r="D649" t="str">
            <v>DIVISI RISET DAN PENGEMBANGAN BISNIS KLASIFIKASI &amp; STATUTORIA</v>
          </cell>
          <cell r="E649" t="str">
            <v>STAF DUKUNGAN BISNIS</v>
          </cell>
          <cell r="F649" t="str">
            <v>vicky.julian@bki.co.id</v>
          </cell>
          <cell r="G649" t="str">
            <v>083806412285</v>
          </cell>
          <cell r="H649" t="str">
            <v>-</v>
          </cell>
          <cell r="I649">
            <v>0</v>
          </cell>
        </row>
        <row r="650">
          <cell r="B650" t="str">
            <v>ENDAH NOVITA</v>
          </cell>
          <cell r="C650" t="str">
            <v>DIVISI RISET DAN PENGEMBANGAN BISNIS KLASIFIKASI &amp; STATUTORIA</v>
          </cell>
          <cell r="D650" t="str">
            <v>DIVISI RISET DAN PENGEMBANGAN BISNIS KLASIFIKASI &amp; STATUTORIA</v>
          </cell>
          <cell r="E650" t="str">
            <v>STAF RISET</v>
          </cell>
          <cell r="F650" t="str">
            <v>endah.novita@bki.co.id</v>
          </cell>
          <cell r="G650" t="str">
            <v>082219728690</v>
          </cell>
          <cell r="H650" t="str">
            <v>-</v>
          </cell>
          <cell r="I650">
            <v>0</v>
          </cell>
        </row>
        <row r="651">
          <cell r="B651" t="str">
            <v>ANGGA RAMADHANI SAPUTRA</v>
          </cell>
          <cell r="C651" t="str">
            <v>DIVISI RISET DAN PENGEMBANGAN BISNIS KLASIFIKASI &amp; STATUTORIA</v>
          </cell>
          <cell r="D651" t="str">
            <v>DIVISI RISET DAN PENGEMBANGAN BISNIS KLASIFIKASI &amp; STATUTORIA</v>
          </cell>
          <cell r="E651" t="str">
            <v>STAF RISET BISNIS</v>
          </cell>
          <cell r="F651" t="str">
            <v>angga.rs@bki.co.id</v>
          </cell>
          <cell r="H651" t="str">
            <v>-</v>
          </cell>
          <cell r="I651">
            <v>0</v>
          </cell>
        </row>
        <row r="652">
          <cell r="B652" t="str">
            <v>FARRAH MUTIA NURFADILAH</v>
          </cell>
          <cell r="C652" t="str">
            <v>DIVISI RISET DAN PENGEMBANGAN PRODUK</v>
          </cell>
          <cell r="D652" t="str">
            <v>DIVISI RISET DAN PENGEMBANGAN PRODUK</v>
          </cell>
          <cell r="E652" t="str">
            <v>ADMINISTRATOR SENIOR</v>
          </cell>
          <cell r="F652" t="str">
            <v>farrah.mn@bki.co.id</v>
          </cell>
          <cell r="G652" t="str">
            <v>08128946370</v>
          </cell>
          <cell r="H652" t="str">
            <v>3B</v>
          </cell>
          <cell r="I652">
            <v>150000</v>
          </cell>
        </row>
        <row r="653">
          <cell r="B653" t="str">
            <v>NOVIANSYAH PAMUNGKAS</v>
          </cell>
          <cell r="C653" t="str">
            <v>DIVISI SEKRETARIS PERUSAHAAN</v>
          </cell>
          <cell r="D653" t="str">
            <v>DIVISI SEKRETARIS PERUSAHAAN</v>
          </cell>
          <cell r="E653" t="str">
            <v>ANALIS EXECUTIVE SUPPORT</v>
          </cell>
          <cell r="F653" t="str">
            <v>noviansyah@bki.co.id</v>
          </cell>
          <cell r="G653" t="str">
            <v>085715145677</v>
          </cell>
          <cell r="H653" t="str">
            <v>5B</v>
          </cell>
          <cell r="I653">
            <v>150000</v>
          </cell>
        </row>
        <row r="654">
          <cell r="B654" t="str">
            <v>WILLEM GERRIT PIETER REHATTA</v>
          </cell>
          <cell r="C654" t="str">
            <v>DIVISI SEKRETARIS PERUSAHAAN</v>
          </cell>
          <cell r="D654" t="str">
            <v>DIVISI SEKRETARIS PERUSAHAAN</v>
          </cell>
          <cell r="E654" t="str">
            <v>JUNIOR PROTOKOLER</v>
          </cell>
          <cell r="F654" t="str">
            <v>gerrit.rehatta@bki.co.id</v>
          </cell>
          <cell r="G654">
            <v>0</v>
          </cell>
          <cell r="H654" t="str">
            <v>3B</v>
          </cell>
          <cell r="I654">
            <v>150000</v>
          </cell>
        </row>
        <row r="655">
          <cell r="B655" t="str">
            <v>MICHELLE CHANTAL MUSTAMU</v>
          </cell>
          <cell r="C655" t="str">
            <v>DIVISI SEKRETARIS PERUSAHAAN</v>
          </cell>
          <cell r="D655" t="str">
            <v>DIVISI SEKRETARIS PERUSAHAAN</v>
          </cell>
          <cell r="E655" t="str">
            <v>ADMINISTRATOR</v>
          </cell>
          <cell r="F655" t="str">
            <v>michelle.mustamu@bki.co.id</v>
          </cell>
          <cell r="G655" t="str">
            <v>082110212169</v>
          </cell>
          <cell r="H655" t="str">
            <v>2A</v>
          </cell>
          <cell r="I655">
            <v>150000</v>
          </cell>
        </row>
        <row r="656">
          <cell r="B656" t="str">
            <v>LINDA KURNIATY</v>
          </cell>
          <cell r="C656" t="str">
            <v>DIVISI SEKRETARIS PERUSAHAAN</v>
          </cell>
          <cell r="D656" t="str">
            <v>DIVISI SEKRETARIS PERUSAHAAN</v>
          </cell>
          <cell r="E656" t="str">
            <v>ANALIS ADMISNISTRASI KORPORASI</v>
          </cell>
          <cell r="F656" t="str">
            <v>linda.kurniaty@bki.co.id</v>
          </cell>
          <cell r="G656" t="str">
            <v>081286100266</v>
          </cell>
          <cell r="H656" t="str">
            <v>5A</v>
          </cell>
          <cell r="I656">
            <v>250000</v>
          </cell>
        </row>
        <row r="657">
          <cell r="B657" t="str">
            <v>HAERUDIN</v>
          </cell>
          <cell r="C657" t="str">
            <v>DIVISI SEKRETARIS PERUSAHAAN</v>
          </cell>
          <cell r="D657" t="str">
            <v>DIVISI SEKRETARIS PERUSAHAAN</v>
          </cell>
          <cell r="E657" t="str">
            <v>ADMINISTRATOR</v>
          </cell>
          <cell r="F657" t="str">
            <v>haerudin@bki.co.id</v>
          </cell>
          <cell r="G657" t="str">
            <v>085781100705</v>
          </cell>
          <cell r="H657" t="str">
            <v>2A</v>
          </cell>
          <cell r="I657">
            <v>150000</v>
          </cell>
        </row>
        <row r="658">
          <cell r="B658" t="str">
            <v>DEBORAH NINDYA PAWESTRI</v>
          </cell>
          <cell r="C658" t="str">
            <v>DIVISI SEKRETARIS PERUSAHAAN</v>
          </cell>
          <cell r="D658" t="str">
            <v>DIVISI SEKRETARIS PERUSAHAAN</v>
          </cell>
          <cell r="E658" t="str">
            <v>OFFICER LEGAL DAN KEPATUHAN</v>
          </cell>
          <cell r="F658" t="str">
            <v>deborah.np@bki.co.id</v>
          </cell>
          <cell r="G658" t="str">
            <v>081218903584</v>
          </cell>
          <cell r="H658" t="str">
            <v>4B</v>
          </cell>
          <cell r="I658">
            <v>150000</v>
          </cell>
        </row>
        <row r="659">
          <cell r="B659" t="str">
            <v>ERRY SANJAYA DJAYUS</v>
          </cell>
          <cell r="C659" t="str">
            <v>DIVISI SEKRETARIS PERUSAHAAN</v>
          </cell>
          <cell r="D659" t="str">
            <v>DIVISI SEKRETARIS PERUSAHAAN</v>
          </cell>
          <cell r="E659" t="str">
            <v>STAF UTAMA I A</v>
          </cell>
          <cell r="F659" t="str">
            <v>erry@bki.co.id</v>
          </cell>
          <cell r="G659" t="str">
            <v>081332555251</v>
          </cell>
          <cell r="H659" t="str">
            <v>7A</v>
          </cell>
          <cell r="I659">
            <v>350000</v>
          </cell>
        </row>
        <row r="660">
          <cell r="B660" t="str">
            <v>WILLY ADI NUGROHO</v>
          </cell>
          <cell r="C660" t="str">
            <v>DIVISI SEKRETARIS PERUSAHAAN</v>
          </cell>
          <cell r="D660" t="str">
            <v>DIVISI SEKRETARIS PERUSAHAAN</v>
          </cell>
          <cell r="E660" t="str">
            <v>SENIOR MANAGER KOMUNIKASI KORPORAT DAN TATA KELOLA</v>
          </cell>
          <cell r="F660" t="str">
            <v>willy.an@bki.co.id</v>
          </cell>
          <cell r="G660" t="str">
            <v>081284973144</v>
          </cell>
          <cell r="H660" t="str">
            <v>7A</v>
          </cell>
          <cell r="I660">
            <v>250000</v>
          </cell>
        </row>
        <row r="661">
          <cell r="B661" t="str">
            <v>KEVIN IQBAL RIZALDI</v>
          </cell>
          <cell r="C661" t="str">
            <v>DIVISI SEKRETARIS PERUSAHAAN</v>
          </cell>
          <cell r="D661" t="str">
            <v>DIVISI SEKRETARIS PERUSAHAAN</v>
          </cell>
          <cell r="E661" t="str">
            <v>PJ. SENIOR MANAGER LEGAL DAN KEPATUHAN</v>
          </cell>
          <cell r="F661" t="str">
            <v>kevin.ir@bki.co.id</v>
          </cell>
          <cell r="G661" t="str">
            <v>081334261386</v>
          </cell>
          <cell r="H661" t="str">
            <v>6A</v>
          </cell>
          <cell r="I661">
            <v>150000</v>
          </cell>
        </row>
        <row r="662">
          <cell r="B662" t="str">
            <v>IBNU AL MUAFI</v>
          </cell>
          <cell r="C662" t="str">
            <v>DIVISI SEKRETARIS PERUSAHAAN</v>
          </cell>
          <cell r="D662" t="str">
            <v>DIVISI SEKRETARIS PERUSAHAAN</v>
          </cell>
          <cell r="E662" t="str">
            <v>OFFICER DESIGN KOMUNIKASI</v>
          </cell>
          <cell r="F662" t="str">
            <v>ibnu.am@bki.co.id</v>
          </cell>
          <cell r="H662" t="str">
            <v>4B</v>
          </cell>
          <cell r="I662">
            <v>0</v>
          </cell>
        </row>
        <row r="663">
          <cell r="B663" t="str">
            <v>FEIRUZ RACHMITA ALAMSYAH</v>
          </cell>
          <cell r="C663" t="str">
            <v>DIVISI SEKRETARIS PERUSAHAAN</v>
          </cell>
          <cell r="D663" t="str">
            <v>DIVISI SEKRETARIS PERUSAHAAN</v>
          </cell>
          <cell r="E663" t="str">
            <v>STAF ADMINISTRASI LEGAL</v>
          </cell>
          <cell r="F663" t="str">
            <v>feiruz.rachmita@bki.co.id</v>
          </cell>
          <cell r="G663" t="str">
            <v>087825126719</v>
          </cell>
          <cell r="H663" t="str">
            <v>-</v>
          </cell>
          <cell r="I663">
            <v>0</v>
          </cell>
        </row>
        <row r="664">
          <cell r="B664" t="str">
            <v>ADE SINTYA KUSUMAWARDANI</v>
          </cell>
          <cell r="C664" t="str">
            <v>DIVISI SEKRETARIS PERUSAHAAN</v>
          </cell>
          <cell r="D664" t="str">
            <v>DIVISI SEKRETARIS PERUSAHAAN</v>
          </cell>
          <cell r="E664" t="str">
            <v>STAF DUKUNGAN BISNIS</v>
          </cell>
          <cell r="F664" t="str">
            <v>ade.sintya@bki.co.id</v>
          </cell>
          <cell r="G664" t="str">
            <v>085717557109</v>
          </cell>
          <cell r="H664" t="str">
            <v>-</v>
          </cell>
          <cell r="I664">
            <v>100000</v>
          </cell>
        </row>
        <row r="665">
          <cell r="B665" t="str">
            <v>NAUFAL FARRAS BASUKI</v>
          </cell>
          <cell r="C665" t="str">
            <v>DIVISI SEKRETARIS PERUSAHAAN</v>
          </cell>
          <cell r="D665" t="str">
            <v>DIVISI SEKRETARIS PERUSAHAAN</v>
          </cell>
          <cell r="E665" t="str">
            <v>STAF DUKUNGAN BISNIS</v>
          </cell>
          <cell r="F665" t="str">
            <v>naufal.farras@bki.co.id</v>
          </cell>
          <cell r="G665" t="str">
            <v>087804131975</v>
          </cell>
          <cell r="H665" t="str">
            <v>-</v>
          </cell>
          <cell r="I665">
            <v>0</v>
          </cell>
        </row>
        <row r="666">
          <cell r="B666" t="str">
            <v>NIRMALA LUTHFIYA ATYANTA</v>
          </cell>
          <cell r="C666" t="str">
            <v>DIVISI SEKRETARIS PERUSAHAAN</v>
          </cell>
          <cell r="D666" t="str">
            <v>DIVISI SEKRETARIS PERUSAHAAN</v>
          </cell>
          <cell r="E666" t="str">
            <v>STAF DUKUNGAN BISNIS</v>
          </cell>
          <cell r="F666" t="str">
            <v>nirmala.la@bki.co.id</v>
          </cell>
          <cell r="G666" t="str">
            <v>085876683530</v>
          </cell>
          <cell r="H666" t="str">
            <v>-</v>
          </cell>
          <cell r="I666">
            <v>100000</v>
          </cell>
        </row>
        <row r="667">
          <cell r="B667" t="str">
            <v>AURA AZZAHRA</v>
          </cell>
          <cell r="C667" t="str">
            <v>DIVISI SEKRETARIS PERUSAHAAN</v>
          </cell>
          <cell r="D667" t="str">
            <v>DIVISI SEKRETARIS PERUSAHAAN</v>
          </cell>
          <cell r="E667" t="str">
            <v>STAF DUKUNGAN BISNIS</v>
          </cell>
          <cell r="F667" t="str">
            <v>aura.azzahra@bki.co.id</v>
          </cell>
          <cell r="G667" t="str">
            <v>088233183044</v>
          </cell>
          <cell r="H667" t="str">
            <v>-</v>
          </cell>
          <cell r="I667">
            <v>0</v>
          </cell>
        </row>
        <row r="668">
          <cell r="B668" t="str">
            <v>MUHAMMAD RAHUL</v>
          </cell>
          <cell r="C668" t="str">
            <v>DIVISI SEKRETARIS PERUSAHAAN</v>
          </cell>
          <cell r="D668" t="str">
            <v>DIVISI SEKRETARIS PERUSAHAAN</v>
          </cell>
          <cell r="E668" t="str">
            <v>STAF DUKUNGAN BISNIS</v>
          </cell>
          <cell r="F668" t="str">
            <v>m.rahul@bki.co.id</v>
          </cell>
          <cell r="G668" t="str">
            <v>085778171388</v>
          </cell>
          <cell r="H668" t="str">
            <v>-</v>
          </cell>
          <cell r="I668">
            <v>100000</v>
          </cell>
        </row>
        <row r="669">
          <cell r="B669" t="str">
            <v>JEIHAN FAJAR KUSAENI</v>
          </cell>
          <cell r="C669" t="str">
            <v>DIVISI SEKRETARIS PERUSAHAAN</v>
          </cell>
          <cell r="D669" t="str">
            <v>DIVISI SEKRETARIS PERUSAHAAN</v>
          </cell>
          <cell r="E669" t="str">
            <v>STAF DUKUNGAN BISNIS</v>
          </cell>
          <cell r="F669" t="str">
            <v>jeihan.fajar@bki.co.id</v>
          </cell>
          <cell r="G669" t="str">
            <v>089518789698</v>
          </cell>
          <cell r="H669" t="str">
            <v>-</v>
          </cell>
          <cell r="I669">
            <v>0</v>
          </cell>
        </row>
        <row r="670">
          <cell r="B670" t="str">
            <v>ELLIZARTAMA TAUFIK HADIMULYO</v>
          </cell>
          <cell r="C670" t="str">
            <v>DIVISI SEKRETARIS PERUSAHAAN</v>
          </cell>
          <cell r="D670" t="str">
            <v>DIVISI SEKRETARIS PERUSAHAAN</v>
          </cell>
          <cell r="E670" t="str">
            <v>STAF KOMUNIKASI KORPORAT</v>
          </cell>
          <cell r="F670" t="str">
            <v>Ellizartama.th@bki.co.id</v>
          </cell>
          <cell r="G670" t="str">
            <v>081282553700</v>
          </cell>
          <cell r="H670" t="str">
            <v>-</v>
          </cell>
          <cell r="I670">
            <v>0</v>
          </cell>
        </row>
        <row r="671">
          <cell r="B671" t="str">
            <v>MUHAMMAD HANIF IRSYAD</v>
          </cell>
          <cell r="C671" t="str">
            <v>DIVISI SEKRETARIS PERUSAHAAN</v>
          </cell>
          <cell r="D671" t="str">
            <v>DIVISI SEKRETARIS PERUSAHAAN</v>
          </cell>
          <cell r="E671" t="str">
            <v>STAF KOMUNIKASI KORPORAT</v>
          </cell>
          <cell r="F671" t="str">
            <v>hanif.irsyad@bki.co.id</v>
          </cell>
          <cell r="H671" t="str">
            <v>-</v>
          </cell>
          <cell r="I671">
            <v>0</v>
          </cell>
        </row>
        <row r="672">
          <cell r="B672" t="str">
            <v>KUSUMA WARDANA BAGUS DWI KUNCORO</v>
          </cell>
          <cell r="C672" t="str">
            <v>DIVISI SEKRETARIS PERUSAHAAN</v>
          </cell>
          <cell r="D672" t="str">
            <v>DIVISI SEKRETARIS PERUSAHAAN</v>
          </cell>
          <cell r="E672" t="str">
            <v>STAF OOTB DIREKTUR OPERASI BISNIS KLASIFIKASI</v>
          </cell>
          <cell r="F672" t="str">
            <v>bagus.kuncoro@bki.co.id</v>
          </cell>
          <cell r="H672" t="str">
            <v>-</v>
          </cell>
          <cell r="I672">
            <v>0</v>
          </cell>
        </row>
        <row r="673">
          <cell r="B673" t="str">
            <v>I MADE VIDYA PRAWIRA SATRIO</v>
          </cell>
          <cell r="C673" t="str">
            <v>DIVISI SEKRETARIS PERUSAHAAN</v>
          </cell>
          <cell r="D673" t="str">
            <v>DIVISI SEKRETARIS PERUSAHAAN</v>
          </cell>
          <cell r="E673" t="str">
            <v>STAF OFFICE OF THE BOARD</v>
          </cell>
          <cell r="F673" t="str">
            <v>made.vidya@bki.co.id</v>
          </cell>
          <cell r="G673" t="str">
            <v>082126401744</v>
          </cell>
          <cell r="H673" t="str">
            <v>-</v>
          </cell>
          <cell r="I673">
            <v>0</v>
          </cell>
        </row>
        <row r="674">
          <cell r="B674" t="str">
            <v>TANRI SYAHREZA DIARSA</v>
          </cell>
          <cell r="C674" t="str">
            <v>DIVISI SEKRETARIS PERUSAHAAN</v>
          </cell>
          <cell r="D674" t="str">
            <v>DIVISI SEKRETARIS PERUSAHAAN</v>
          </cell>
          <cell r="E674" t="str">
            <v>STAF LEGAL DAN KEPATUHAN</v>
          </cell>
          <cell r="H674" t="str">
            <v>-</v>
          </cell>
          <cell r="I674">
            <v>0</v>
          </cell>
        </row>
        <row r="675">
          <cell r="B675" t="str">
            <v>N. KARINDITA EKIBDWI PUTRI</v>
          </cell>
          <cell r="C675" t="str">
            <v>DIVISI SEKRETARIS PERUSAHAAN</v>
          </cell>
          <cell r="D675" t="str">
            <v>DIVISI SEKRETARIS PERUSAHAAN IDS</v>
          </cell>
          <cell r="E675" t="str">
            <v>SPESIALIS EXECUTIVE SUPPORT</v>
          </cell>
          <cell r="F675" t="str">
            <v>karindita.ep@bki.co.id</v>
          </cell>
          <cell r="G675" t="str">
            <v>081295481237</v>
          </cell>
          <cell r="H675" t="str">
            <v>6A</v>
          </cell>
          <cell r="I675">
            <v>0</v>
          </cell>
        </row>
        <row r="676">
          <cell r="B676" t="str">
            <v>BONOR SAMUEL CHARLES</v>
          </cell>
          <cell r="C676" t="str">
            <v>DIVISI SEKRETARIS PERUSAHAAN</v>
          </cell>
          <cell r="D676" t="str">
            <v>DIVISI SEKRETARIS PERUSAHAAN IDS</v>
          </cell>
          <cell r="E676" t="str">
            <v>SENIOR MANAGER KOMUNIKASI KORPORAT</v>
          </cell>
          <cell r="F676" t="str">
            <v>bonor.sc@bki.co.id</v>
          </cell>
          <cell r="G676" t="str">
            <v>081383788508</v>
          </cell>
          <cell r="H676" t="str">
            <v>7A</v>
          </cell>
          <cell r="I676">
            <v>250000</v>
          </cell>
        </row>
        <row r="677">
          <cell r="B677" t="str">
            <v>RAGA DICKLIES PURWANTO</v>
          </cell>
          <cell r="C677" t="str">
            <v>DIVISI SEKRETARIS PERUSAHAAN</v>
          </cell>
          <cell r="D677" t="str">
            <v>DIVISI SEKRETARIS PERUSAHAAN IDS</v>
          </cell>
          <cell r="E677" t="str">
            <v>SENIOR MANAGER CHIEF OF STAFF</v>
          </cell>
          <cell r="F677" t="str">
            <v>raga@bki.co.id</v>
          </cell>
          <cell r="G677" t="str">
            <v>0856 5516 8253</v>
          </cell>
          <cell r="H677" t="str">
            <v>7A</v>
          </cell>
          <cell r="I677">
            <v>0</v>
          </cell>
        </row>
        <row r="678">
          <cell r="B678" t="str">
            <v>GDE SANDHYANA PRADHITA</v>
          </cell>
          <cell r="C678" t="str">
            <v>DIVISI SEKRETARIS PERUSAHAAN</v>
          </cell>
          <cell r="D678" t="str">
            <v>DIVISI SEKRETARIS PERUSAHAAN IDS</v>
          </cell>
          <cell r="E678" t="str">
            <v>PROTOKOLER</v>
          </cell>
          <cell r="F678" t="str">
            <v>gde.sandhyana@bki.co.id</v>
          </cell>
          <cell r="G678" t="str">
            <v>081388481914</v>
          </cell>
          <cell r="H678" t="str">
            <v>4B</v>
          </cell>
          <cell r="I678">
            <v>150000</v>
          </cell>
        </row>
        <row r="679">
          <cell r="B679" t="str">
            <v>FARIZ ABDILLAH</v>
          </cell>
          <cell r="C679" t="str">
            <v>DIVISI SEKRETARIS PERUSAHAAN</v>
          </cell>
          <cell r="D679" t="str">
            <v>DIVISI SEKRETARIS PERUSAHAAN IDS</v>
          </cell>
          <cell r="E679" t="str">
            <v>JUNIOR EXECUTIVE SUPPORT</v>
          </cell>
          <cell r="F679" t="str">
            <v>fariz.abdillah@bki.co.id</v>
          </cell>
          <cell r="G679" t="str">
            <v>081210339436</v>
          </cell>
          <cell r="H679" t="str">
            <v>3A</v>
          </cell>
          <cell r="I679">
            <v>0</v>
          </cell>
        </row>
        <row r="680">
          <cell r="B680" t="str">
            <v>ARY DEWANTO</v>
          </cell>
          <cell r="C680" t="str">
            <v>DIVISI SEKRETARIS PERUSAHAAN</v>
          </cell>
          <cell r="D680" t="str">
            <v>DIVISI SEKRETARIS PERUSAHAAN IDS</v>
          </cell>
          <cell r="E680" t="str">
            <v>STAF DUKUNGAN BISNIS</v>
          </cell>
          <cell r="F680" t="str">
            <v>ary.dewanto@bki.co.id</v>
          </cell>
          <cell r="G680" t="str">
            <v>089658963554</v>
          </cell>
          <cell r="H680" t="str">
            <v>-</v>
          </cell>
          <cell r="I680">
            <v>0</v>
          </cell>
        </row>
        <row r="681">
          <cell r="B681" t="str">
            <v>DHITYA PUTRA RAMADHAN</v>
          </cell>
          <cell r="C681" t="str">
            <v>DIVISI SEKRETARIS PERUSAHAAN</v>
          </cell>
          <cell r="D681" t="str">
            <v>DIVISI SEKRETARIS PERUSAHAAN IDS</v>
          </cell>
          <cell r="E681" t="str">
            <v>STAF DUKUNGAN BISNIS</v>
          </cell>
          <cell r="F681" t="str">
            <v>dhitya.putra@bki.co.id</v>
          </cell>
          <cell r="G681" t="str">
            <v>085156460512</v>
          </cell>
          <cell r="H681" t="str">
            <v>-</v>
          </cell>
          <cell r="I681">
            <v>100000</v>
          </cell>
        </row>
        <row r="682">
          <cell r="B682" t="str">
            <v>VERONICA TJINTHIA</v>
          </cell>
          <cell r="C682" t="str">
            <v>DIVISI SEKRETARIS PERUSAHAAN</v>
          </cell>
          <cell r="D682" t="str">
            <v>DIVISI SEKRETARIS PERUSAHAAN IDS</v>
          </cell>
          <cell r="E682" t="str">
            <v>STAF DUKUNGAN BISNIS</v>
          </cell>
          <cell r="F682" t="str">
            <v>veronica.t@bki.co.id</v>
          </cell>
          <cell r="G682">
            <v>0</v>
          </cell>
          <cell r="H682" t="str">
            <v>-</v>
          </cell>
          <cell r="I682">
            <v>0</v>
          </cell>
        </row>
        <row r="683">
          <cell r="B683" t="str">
            <v>ALLARIC AVICENNA RENANDA</v>
          </cell>
          <cell r="C683" t="str">
            <v>DIVISI SEKRETARIS PERUSAHAAN</v>
          </cell>
          <cell r="D683" t="str">
            <v>DIVISI SEKRETARIS PERUSAHAAN IDS</v>
          </cell>
          <cell r="E683" t="str">
            <v>STAF DUKUNGAN BISNIS</v>
          </cell>
          <cell r="F683" t="str">
            <v>allaric@bki.co.id</v>
          </cell>
          <cell r="G683" t="str">
            <v>081381375736</v>
          </cell>
          <cell r="H683" t="str">
            <v>-</v>
          </cell>
          <cell r="I683">
            <v>0</v>
          </cell>
        </row>
        <row r="684">
          <cell r="B684" t="str">
            <v>ADHI KHOLIDDIN</v>
          </cell>
          <cell r="C684" t="str">
            <v>DIVISI SISTEM MANAJEMEN DAN AUDIT</v>
          </cell>
          <cell r="D684" t="str">
            <v>DIVISI SISTEM MANAJEMEN DAN AUDIT</v>
          </cell>
          <cell r="E684" t="str">
            <v>VP MANAJEMEN SISTEM DAN MUTU</v>
          </cell>
          <cell r="F684" t="str">
            <v>adhi@bki.co.id</v>
          </cell>
          <cell r="G684" t="str">
            <v>085769969929</v>
          </cell>
          <cell r="H684" t="str">
            <v>8A</v>
          </cell>
          <cell r="I684">
            <v>0</v>
          </cell>
        </row>
        <row r="685">
          <cell r="B685" t="str">
            <v>LYZA YUNI SETIAWATI</v>
          </cell>
          <cell r="C685" t="str">
            <v>DIVISI SISTEM MANAJEMEN DAN AUDIT</v>
          </cell>
          <cell r="D685" t="str">
            <v>DIVISI SISTEM MANAJEMEN DAN AUDIT</v>
          </cell>
          <cell r="E685" t="str">
            <v>SENIOR MANAGER SISTEM AUDIT DAN MANAJEMEN MUTU KOMERSIL</v>
          </cell>
          <cell r="F685" t="str">
            <v>lyzays@bki.co.id</v>
          </cell>
          <cell r="G685" t="str">
            <v>081213342474</v>
          </cell>
          <cell r="H685" t="str">
            <v>7B</v>
          </cell>
          <cell r="I685">
            <v>250000</v>
          </cell>
        </row>
        <row r="686">
          <cell r="B686" t="str">
            <v>SYAFIUDDIN</v>
          </cell>
          <cell r="C686" t="str">
            <v>DIVISI SISTEM MANAJEMEN DAN AUDIT</v>
          </cell>
          <cell r="D686" t="str">
            <v>DIVISI SISTEM MANAJEMEN DAN AUDIT</v>
          </cell>
          <cell r="E686" t="str">
            <v>SENIOR MANAGER SISTEM AUDIT DAN MANAJEMEN MUTU KLASIFIKASI</v>
          </cell>
          <cell r="F686" t="str">
            <v>syafiuddin@bki.co.id</v>
          </cell>
          <cell r="G686" t="str">
            <v>081586626621</v>
          </cell>
          <cell r="H686" t="str">
            <v>7B</v>
          </cell>
          <cell r="I686">
            <v>0</v>
          </cell>
        </row>
        <row r="687">
          <cell r="B687" t="str">
            <v>SIGIT PAMUNGKAS</v>
          </cell>
          <cell r="C687" t="str">
            <v>DIVISI SISTEM MANAJEMEN DAN AUDIT</v>
          </cell>
          <cell r="D687" t="str">
            <v>DIVISI SISTEM MANAJEMEN DAN AUDIT</v>
          </cell>
          <cell r="E687" t="str">
            <v>AUDITOR SENIOR I A MANAJEMEN MUTU KLASIFIKASI</v>
          </cell>
          <cell r="F687" t="str">
            <v>sigit.pamungkas@bki.co.id</v>
          </cell>
          <cell r="G687" t="str">
            <v>081283286269</v>
          </cell>
          <cell r="H687" t="str">
            <v>6A</v>
          </cell>
          <cell r="I687">
            <v>0</v>
          </cell>
        </row>
        <row r="688">
          <cell r="B688" t="str">
            <v>KARTIKA WIJAYANTI KUSUMAWARDHANI</v>
          </cell>
          <cell r="C688" t="str">
            <v>DIVISI SISTEM MANAJEMEN DAN AUDIT</v>
          </cell>
          <cell r="D688" t="str">
            <v>DIVISI SISTEM MANAJEMEN DAN AUDIT</v>
          </cell>
          <cell r="E688" t="str">
            <v>ADMINISTRATOR SENIOR</v>
          </cell>
          <cell r="F688" t="str">
            <v>kartika.wijayanti@bki.co.id</v>
          </cell>
          <cell r="G688" t="str">
            <v>08161430684</v>
          </cell>
          <cell r="H688" t="str">
            <v>3B</v>
          </cell>
          <cell r="I688">
            <v>150000</v>
          </cell>
        </row>
        <row r="689">
          <cell r="B689" t="str">
            <v>MUKTI BRAVITA</v>
          </cell>
          <cell r="C689" t="str">
            <v>DIVISI SISTEM MANAJEMEN DAN AUDIT</v>
          </cell>
          <cell r="D689" t="str">
            <v>DIVISI SISTEM MANAJEMEN DAN AUDIT</v>
          </cell>
          <cell r="E689" t="str">
            <v>AUDITOR MANAJEMEN MUTU KOMERSIAL</v>
          </cell>
          <cell r="F689" t="str">
            <v>mukti@bki.co.id</v>
          </cell>
          <cell r="G689" t="str">
            <v>081318115181</v>
          </cell>
          <cell r="H689" t="str">
            <v>5C</v>
          </cell>
          <cell r="I689">
            <v>0</v>
          </cell>
        </row>
        <row r="690">
          <cell r="B690" t="str">
            <v>ANDI LAMAPPASESSU</v>
          </cell>
          <cell r="C690" t="str">
            <v>DIVISI SISTEM MANAJEMEN DAN AUDIT</v>
          </cell>
          <cell r="D690" t="str">
            <v>DIVISI SISTEM MANAJEMEN DAN AUDIT</v>
          </cell>
          <cell r="E690" t="str">
            <v>AUDITOR SENIOR I MANAJEMEN MUTU KOMERSIAL</v>
          </cell>
          <cell r="F690" t="str">
            <v>mappasessu@bki.co.id</v>
          </cell>
          <cell r="G690" t="str">
            <v>02186886455</v>
          </cell>
          <cell r="H690" t="str">
            <v>6B</v>
          </cell>
          <cell r="I690">
            <v>350000</v>
          </cell>
        </row>
        <row r="691">
          <cell r="B691" t="str">
            <v>TUNJUNG WIDYATMO HANDOYO</v>
          </cell>
          <cell r="C691" t="str">
            <v>DIVISI SISTEM MANAJEMEN DAN AUDIT</v>
          </cell>
          <cell r="D691" t="str">
            <v>DIVISI SISTEM MANAJEMEN DAN AUDIT</v>
          </cell>
          <cell r="E691" t="str">
            <v>AUDITOR MANAJEMEN MUTU KOMERSIAL</v>
          </cell>
          <cell r="F691" t="str">
            <v>tunjung.wh@bki.co.id</v>
          </cell>
          <cell r="G691" t="str">
            <v>085229530830</v>
          </cell>
          <cell r="H691" t="str">
            <v>5C</v>
          </cell>
          <cell r="I691">
            <v>100000</v>
          </cell>
        </row>
        <row r="692">
          <cell r="B692" t="str">
            <v>ANGGA SANTOSO</v>
          </cell>
          <cell r="C692" t="str">
            <v>DIVISI SISTEM MANAJEMEN DAN AUDIT</v>
          </cell>
          <cell r="D692" t="str">
            <v>DIVISI SISTEM MANAJEMEN DAN AUDIT</v>
          </cell>
          <cell r="E692" t="str">
            <v>AUDITOR SENIOR 1A MANAJEMEN MUTU KOMERSIL</v>
          </cell>
          <cell r="F692" t="str">
            <v>angga.santoso@bki.co.id</v>
          </cell>
          <cell r="G692" t="str">
            <v>082151629265</v>
          </cell>
          <cell r="H692" t="str">
            <v>6A</v>
          </cell>
          <cell r="I692">
            <v>0</v>
          </cell>
        </row>
        <row r="693">
          <cell r="B693" t="str">
            <v>AHMAD RIADUS SHOLIHIN</v>
          </cell>
          <cell r="C693" t="str">
            <v>DIVISI SISTEM MANAJEMEN DAN AUDIT</v>
          </cell>
          <cell r="D693" t="str">
            <v>DIVISI SISTEM MANAJEMEN DAN AUDIT</v>
          </cell>
          <cell r="E693" t="str">
            <v>AUDITOR MANAJEMEN MUTU KLASIFIKASI</v>
          </cell>
          <cell r="F693" t="str">
            <v>ahmadriadus@bki.co.id</v>
          </cell>
          <cell r="G693" t="str">
            <v>0817 5721 964</v>
          </cell>
          <cell r="H693" t="str">
            <v>5C</v>
          </cell>
          <cell r="I693">
            <v>0</v>
          </cell>
        </row>
        <row r="694">
          <cell r="B694" t="str">
            <v>ROMY LESMANA</v>
          </cell>
          <cell r="C694" t="str">
            <v>DIVISI SISTEM MANAJEMEN DAN AUDIT</v>
          </cell>
          <cell r="D694" t="str">
            <v>DIVISI SISTEM MANAJEMEN DAN AUDIT</v>
          </cell>
          <cell r="E694" t="str">
            <v>AUDITOR SENIOR II MANAJEMEN MUTU KLASIFIKASI</v>
          </cell>
          <cell r="F694" t="str">
            <v>romy@bki.co.id</v>
          </cell>
          <cell r="G694" t="str">
            <v>08129937685</v>
          </cell>
          <cell r="H694" t="str">
            <v>7B</v>
          </cell>
          <cell r="I694">
            <v>0</v>
          </cell>
        </row>
        <row r="695">
          <cell r="B695" t="str">
            <v>SITI UKHFIYA</v>
          </cell>
          <cell r="C695" t="str">
            <v>DIVISI SISTEM MANAJEMEN DAN AUDIT</v>
          </cell>
          <cell r="D695" t="str">
            <v>DIVISI SISTEM MANAJEMEN DAN AUDIT</v>
          </cell>
          <cell r="E695" t="str">
            <v>STAF ADMINISTRASI</v>
          </cell>
          <cell r="F695" t="str">
            <v>Siti.Ukhfiya@bki.co.id</v>
          </cell>
          <cell r="H695">
            <v>0</v>
          </cell>
          <cell r="I695">
            <v>0</v>
          </cell>
        </row>
        <row r="696">
          <cell r="B696" t="str">
            <v>TRI LAKSONO JOENIAWAN</v>
          </cell>
          <cell r="C696" t="str">
            <v>DIVISI STATUTORIA</v>
          </cell>
          <cell r="D696" t="str">
            <v>DIVISI STATUTORIA</v>
          </cell>
          <cell r="E696" t="str">
            <v>SURVEYOR SENIOR II B OPERASI STATUTORIA KONVENSI</v>
          </cell>
          <cell r="F696" t="str">
            <v>tri@bki.co.id</v>
          </cell>
          <cell r="G696" t="str">
            <v>08111886369</v>
          </cell>
          <cell r="H696" t="str">
            <v>7B</v>
          </cell>
          <cell r="I696">
            <v>350000</v>
          </cell>
        </row>
        <row r="697">
          <cell r="B697" t="str">
            <v>EFA ROSIDA DWI ADITIRTA</v>
          </cell>
          <cell r="C697" t="str">
            <v>DIVISI STATUTORIA</v>
          </cell>
          <cell r="D697" t="str">
            <v>DIVISI STATUTORIA</v>
          </cell>
          <cell r="E697" t="str">
            <v>SPESIALIS RELASI EKSTERNAL STATUTORIA</v>
          </cell>
          <cell r="F697" t="str">
            <v>efa.rosida@bki.co.id</v>
          </cell>
          <cell r="G697" t="str">
            <v/>
          </cell>
          <cell r="H697" t="str">
            <v>6B</v>
          </cell>
          <cell r="I697">
            <v>0</v>
          </cell>
        </row>
        <row r="698">
          <cell r="B698" t="str">
            <v>DOAN OSCAR DEWANDARU</v>
          </cell>
          <cell r="C698" t="str">
            <v>DIVISI STATUTORIA</v>
          </cell>
          <cell r="D698" t="str">
            <v>DIVISI STATUTORIA</v>
          </cell>
          <cell r="E698" t="str">
            <v>SURVEYOR SENIOR II B OPERASI STATUTORIA KONVENSI</v>
          </cell>
          <cell r="F698" t="str">
            <v>doan.oscar@bki.co.id</v>
          </cell>
          <cell r="G698" t="str">
            <v>08568030060</v>
          </cell>
          <cell r="H698" t="str">
            <v>7B</v>
          </cell>
          <cell r="I698">
            <v>250000</v>
          </cell>
        </row>
        <row r="699">
          <cell r="B699" t="str">
            <v>TRI BUANA GALAXY</v>
          </cell>
          <cell r="C699" t="str">
            <v>DIVISI STATUTORIA</v>
          </cell>
          <cell r="D699" t="str">
            <v>DIVISI STATUTORIA</v>
          </cell>
          <cell r="E699" t="str">
            <v>SENIOR MANAGER RELASI EKSTERNAL STATUTORIA</v>
          </cell>
          <cell r="F699" t="str">
            <v>galaxy@bki.co.id</v>
          </cell>
          <cell r="G699" t="str">
            <v>087865000090</v>
          </cell>
          <cell r="H699" t="str">
            <v>7B</v>
          </cell>
          <cell r="I699">
            <v>350000</v>
          </cell>
        </row>
        <row r="700">
          <cell r="B700" t="str">
            <v>BRAMS FIRNANDES</v>
          </cell>
          <cell r="C700" t="str">
            <v>DIVISI STATUTORIA</v>
          </cell>
          <cell r="D700" t="str">
            <v>DIVISI STATUTORIA</v>
          </cell>
          <cell r="E700" t="str">
            <v>ANALIS RELASI EKSTERNAL STATUTORIA</v>
          </cell>
          <cell r="F700" t="str">
            <v>brams.gultom@bki.co.id</v>
          </cell>
          <cell r="G700" t="str">
            <v>081290761209</v>
          </cell>
          <cell r="H700" t="str">
            <v>5B</v>
          </cell>
          <cell r="I700">
            <v>0</v>
          </cell>
        </row>
        <row r="701">
          <cell r="B701" t="str">
            <v>LA ODE MUHAMMAD ICHSAN</v>
          </cell>
          <cell r="C701" t="str">
            <v>DIVISI STATUTORIA</v>
          </cell>
          <cell r="D701" t="str">
            <v>DIVISI STATUTORIA</v>
          </cell>
          <cell r="E701" t="str">
            <v>SURVEYOR OPERASI STATUTORIA NON KONVENSI</v>
          </cell>
          <cell r="F701" t="str">
            <v>laode.ichsan@bki.co.id</v>
          </cell>
          <cell r="G701" t="str">
            <v>085241678197</v>
          </cell>
          <cell r="H701" t="str">
            <v>5C</v>
          </cell>
          <cell r="I701">
            <v>0</v>
          </cell>
        </row>
        <row r="702">
          <cell r="B702" t="str">
            <v>JAKARIA</v>
          </cell>
          <cell r="C702" t="str">
            <v>DIVISI STATUTORIA</v>
          </cell>
          <cell r="D702" t="str">
            <v>DIVISI STATUTORIA</v>
          </cell>
          <cell r="E702" t="str">
            <v>ADMINISTRATOR</v>
          </cell>
          <cell r="F702" t="str">
            <v>jakaria@bki.co.id</v>
          </cell>
          <cell r="G702" t="str">
            <v>081910779144</v>
          </cell>
          <cell r="H702" t="str">
            <v>2A</v>
          </cell>
          <cell r="I702">
            <v>0</v>
          </cell>
        </row>
        <row r="703">
          <cell r="B703" t="str">
            <v>ASEP SUPRIATNA</v>
          </cell>
          <cell r="C703" t="str">
            <v>DIVISI STATUTORIA</v>
          </cell>
          <cell r="D703" t="str">
            <v>DIVISI STATUTORIA</v>
          </cell>
          <cell r="E703" t="str">
            <v>ADMINISTRATOR SENIOR</v>
          </cell>
          <cell r="F703" t="str">
            <v>asep.supriatna@bki.co.id</v>
          </cell>
          <cell r="G703" t="str">
            <v>085810217933</v>
          </cell>
          <cell r="H703" t="str">
            <v>3B</v>
          </cell>
          <cell r="I703">
            <v>0</v>
          </cell>
        </row>
        <row r="704">
          <cell r="B704" t="str">
            <v>SOFYAN HADI</v>
          </cell>
          <cell r="C704" t="str">
            <v>DIVISI STATUTORIA</v>
          </cell>
          <cell r="D704" t="str">
            <v>DIVISI STATUTORIA</v>
          </cell>
          <cell r="E704" t="str">
            <v>SENIOR MANAGER OPERASI STATUTORIA KONVENSI</v>
          </cell>
          <cell r="F704" t="str">
            <v>sofyan.hadi@bki.co.id</v>
          </cell>
          <cell r="G704" t="str">
            <v>081293594946</v>
          </cell>
          <cell r="H704" t="str">
            <v>7C</v>
          </cell>
          <cell r="I704">
            <v>0</v>
          </cell>
        </row>
        <row r="705">
          <cell r="B705" t="str">
            <v>ADITYA TRISANDHYA PRAMANA</v>
          </cell>
          <cell r="C705" t="str">
            <v>DIVISI STATUTORIA</v>
          </cell>
          <cell r="D705" t="str">
            <v>DIVISI STATUTORIA</v>
          </cell>
          <cell r="E705" t="str">
            <v>VP STATUTORIA</v>
          </cell>
          <cell r="F705" t="str">
            <v>aditya@bki.co.id</v>
          </cell>
          <cell r="G705" t="str">
            <v>087888644345</v>
          </cell>
          <cell r="H705" t="str">
            <v>8B</v>
          </cell>
          <cell r="I705">
            <v>350000</v>
          </cell>
        </row>
        <row r="706">
          <cell r="B706" t="str">
            <v>PURWANTYA</v>
          </cell>
          <cell r="C706" t="str">
            <v>DIVISI STATUTORIA</v>
          </cell>
          <cell r="D706" t="str">
            <v>DIVISI STATUTORIA</v>
          </cell>
          <cell r="E706" t="str">
            <v>ADMINISTRATOR SENIOR</v>
          </cell>
          <cell r="F706" t="str">
            <v>purwantya@bki.co.id</v>
          </cell>
          <cell r="G706" t="str">
            <v>081291960123</v>
          </cell>
          <cell r="H706" t="str">
            <v>3B</v>
          </cell>
          <cell r="I706">
            <v>0</v>
          </cell>
        </row>
        <row r="707">
          <cell r="B707" t="str">
            <v>ANDIK EKO SAPUTRO</v>
          </cell>
          <cell r="C707" t="str">
            <v>DIVISI STATUTORIA</v>
          </cell>
          <cell r="D707" t="str">
            <v>DIVISI STATUTORIA</v>
          </cell>
          <cell r="E707" t="str">
            <v>ENGINEER RELASI EKSTERNAL STATUTORIA</v>
          </cell>
          <cell r="F707" t="str">
            <v>andik.saputro@bki.co.id</v>
          </cell>
          <cell r="G707" t="str">
            <v>085735163732</v>
          </cell>
          <cell r="H707" t="str">
            <v>5B</v>
          </cell>
          <cell r="I707">
            <v>0</v>
          </cell>
        </row>
        <row r="708">
          <cell r="B708" t="str">
            <v>RAHMAT KURNIAWAN</v>
          </cell>
          <cell r="C708" t="str">
            <v>DIVISI STATUTORIA</v>
          </cell>
          <cell r="D708" t="str">
            <v>DIVISI STATUTORIA</v>
          </cell>
          <cell r="E708" t="str">
            <v>SURVEYOR SENIOR II C OPERASI STATUTORIA NON KONVENSI</v>
          </cell>
          <cell r="F708" t="str">
            <v>rahmat.kurniawan@bki.co.id</v>
          </cell>
          <cell r="G708" t="str">
            <v>0818416175</v>
          </cell>
          <cell r="H708" t="str">
            <v>7C</v>
          </cell>
          <cell r="I708">
            <v>0</v>
          </cell>
        </row>
        <row r="709">
          <cell r="B709" t="str">
            <v>FIRMANSYAH</v>
          </cell>
          <cell r="C709" t="str">
            <v>DIVISI STATUTORIA</v>
          </cell>
          <cell r="D709" t="str">
            <v>DIVISI STATUTORIA</v>
          </cell>
          <cell r="E709" t="str">
            <v>ADMINISTRATOR SENIOR</v>
          </cell>
          <cell r="F709" t="str">
            <v>firmansyah@bki.co.id</v>
          </cell>
          <cell r="G709" t="str">
            <v>081315912242</v>
          </cell>
          <cell r="H709" t="str">
            <v>3B</v>
          </cell>
          <cell r="I709">
            <v>150000</v>
          </cell>
        </row>
        <row r="710">
          <cell r="B710" t="str">
            <v>AFIF AMRULLAH</v>
          </cell>
          <cell r="C710" t="str">
            <v>DIVISI STATUTORIA</v>
          </cell>
          <cell r="D710" t="str">
            <v>DIVISI STATUTORIA</v>
          </cell>
          <cell r="E710" t="str">
            <v>SURVEYOR SENIOR I C OPERASI STATUTORIA KONVENSI</v>
          </cell>
          <cell r="F710" t="str">
            <v>afif.amrullah@bki.co.id</v>
          </cell>
          <cell r="G710" t="str">
            <v>085731122280</v>
          </cell>
          <cell r="H710" t="str">
            <v>6C</v>
          </cell>
          <cell r="I710">
            <v>0</v>
          </cell>
        </row>
        <row r="711">
          <cell r="B711" t="str">
            <v>BAYU WINDA ANANTAKA</v>
          </cell>
          <cell r="C711" t="str">
            <v>DIVISI STATUTORIA</v>
          </cell>
          <cell r="D711" t="str">
            <v>DIVISI STATUTORIA</v>
          </cell>
          <cell r="E711" t="str">
            <v>SURVEYOR SENIOR I A OPERASI STATUTORIA NON KONVENSI</v>
          </cell>
          <cell r="F711" t="str">
            <v>bayuwindaa@bki.co.id</v>
          </cell>
          <cell r="G711" t="str">
            <v>0812 8816 2018</v>
          </cell>
          <cell r="H711" t="str">
            <v>6A</v>
          </cell>
          <cell r="I711">
            <v>0</v>
          </cell>
        </row>
        <row r="712">
          <cell r="B712" t="str">
            <v>SALSABILLA AULIA FITRI</v>
          </cell>
          <cell r="C712" t="str">
            <v>DIVISI STATUTORIA</v>
          </cell>
          <cell r="D712" t="str">
            <v>DIVISI STATUTORIA</v>
          </cell>
          <cell r="E712" t="str">
            <v>OFFICER RELASI EKSTERNAL</v>
          </cell>
          <cell r="F712" t="str">
            <v>salsabilla.af@bki.co.id</v>
          </cell>
          <cell r="H712" t="str">
            <v>4C</v>
          </cell>
          <cell r="I712">
            <v>0</v>
          </cell>
        </row>
        <row r="713">
          <cell r="B713" t="str">
            <v>HAFEZ AHMAD TAURY</v>
          </cell>
          <cell r="C713" t="str">
            <v>DIVISI STATUTORIA</v>
          </cell>
          <cell r="D713" t="str">
            <v>DIVISI STATUTORIA</v>
          </cell>
          <cell r="E713" t="str">
            <v xml:space="preserve">STAF ENGINEER </v>
          </cell>
          <cell r="F713" t="str">
            <v>hafez.ah@bki.co.id</v>
          </cell>
          <cell r="G713" t="str">
            <v>081381186619</v>
          </cell>
          <cell r="H713" t="str">
            <v>-</v>
          </cell>
          <cell r="I713">
            <v>0</v>
          </cell>
        </row>
        <row r="714">
          <cell r="B714" t="str">
            <v>NOAH CAHYASASMITA</v>
          </cell>
          <cell r="C714" t="str">
            <v>DIVISI SURVEY</v>
          </cell>
          <cell r="D714" t="str">
            <v>DIVISI SURVEY</v>
          </cell>
          <cell r="E714" t="str">
            <v xml:space="preserve">SURVEYOR SENIOR I A MEMPERTAHANKAN KLAS </v>
          </cell>
          <cell r="F714" t="str">
            <v>noah@bki.co.id</v>
          </cell>
          <cell r="G714" t="str">
            <v>081332556622</v>
          </cell>
          <cell r="H714" t="str">
            <v>6A</v>
          </cell>
          <cell r="I714">
            <v>250000</v>
          </cell>
        </row>
        <row r="715">
          <cell r="B715" t="str">
            <v>FARHAN ABDUL KARIM</v>
          </cell>
          <cell r="C715" t="str">
            <v>DIVISI SURVEY</v>
          </cell>
          <cell r="D715" t="str">
            <v>DIVISI SURVEY</v>
          </cell>
          <cell r="E715" t="str">
            <v>SURVEYOR JUNIOR MEMPERTAHANKAN KLAS</v>
          </cell>
          <cell r="F715" t="str">
            <v>farhan.abdul@bki.co.id</v>
          </cell>
          <cell r="G715" t="str">
            <v>082127057631</v>
          </cell>
          <cell r="H715" t="str">
            <v>4C</v>
          </cell>
          <cell r="I715">
            <v>100000</v>
          </cell>
        </row>
        <row r="716">
          <cell r="B716" t="str">
            <v>SUTRISNO</v>
          </cell>
          <cell r="C716" t="str">
            <v>DIVISI SURVEY</v>
          </cell>
          <cell r="D716" t="str">
            <v>DIVISI SURVEY</v>
          </cell>
          <cell r="E716" t="str">
            <v>SURVEYOR MEMPERTAHANKAN KLAS</v>
          </cell>
          <cell r="F716" t="str">
            <v>sutrisno@bki.co.id</v>
          </cell>
          <cell r="G716" t="str">
            <v>0852 7833 9237</v>
          </cell>
          <cell r="H716" t="str">
            <v>5C</v>
          </cell>
          <cell r="I716">
            <v>150000</v>
          </cell>
        </row>
        <row r="717">
          <cell r="B717" t="str">
            <v>DIDIK PURWOSUSILO</v>
          </cell>
          <cell r="C717" t="str">
            <v>DIVISI SURVEY</v>
          </cell>
          <cell r="D717" t="str">
            <v>DIVISI SURVEY</v>
          </cell>
          <cell r="E717" t="str">
            <v>SENIOR MANAGER MEMPERTAHANKAN KLAS NUSANTARA</v>
          </cell>
          <cell r="F717" t="str">
            <v>didik@bki.co.id</v>
          </cell>
          <cell r="G717" t="str">
            <v>081251299440</v>
          </cell>
          <cell r="H717" t="str">
            <v>7A</v>
          </cell>
          <cell r="I717">
            <v>0</v>
          </cell>
        </row>
        <row r="718">
          <cell r="B718" t="str">
            <v>ARIF YUNAEDI</v>
          </cell>
          <cell r="C718" t="str">
            <v>DIVISI SURVEY</v>
          </cell>
          <cell r="D718" t="str">
            <v>DIVISI SURVEY</v>
          </cell>
          <cell r="E718" t="str">
            <v>SENIOR MANAGER MANAJEMEN KLASIFIKASI NUSANTARA</v>
          </cell>
          <cell r="F718" t="str">
            <v>arif.yunaedi@bki.co.id</v>
          </cell>
          <cell r="G718" t="str">
            <v>081234072072</v>
          </cell>
          <cell r="H718" t="str">
            <v>7B</v>
          </cell>
          <cell r="I718">
            <v>350000</v>
          </cell>
        </row>
        <row r="719">
          <cell r="B719" t="str">
            <v>SIGIT PRASTOWO</v>
          </cell>
          <cell r="C719" t="str">
            <v>DIVISI SURVEY</v>
          </cell>
          <cell r="D719" t="str">
            <v>DIVISI SURVEY</v>
          </cell>
          <cell r="E719" t="str">
            <v>SURVEYOR SENIOR I C MEMPERTAHANKAN KLAS NUSANTARA</v>
          </cell>
          <cell r="F719" t="str">
            <v>sigit.prastowo@bki.co.id</v>
          </cell>
          <cell r="G719" t="str">
            <v>08111917870</v>
          </cell>
          <cell r="H719" t="str">
            <v>6C</v>
          </cell>
          <cell r="I719">
            <v>350000</v>
          </cell>
        </row>
        <row r="720">
          <cell r="B720" t="str">
            <v>SYARIFUL MAHSYAR</v>
          </cell>
          <cell r="C720" t="str">
            <v>DIVISI SURVEY</v>
          </cell>
          <cell r="D720" t="str">
            <v>DIVISI SURVEY</v>
          </cell>
          <cell r="E720" t="str">
            <v>ENGINEER SENIOR I A MANAJEMEN KLASIFIKASI</v>
          </cell>
          <cell r="F720" t="str">
            <v>syariful.mahsyar@bki.co.id</v>
          </cell>
          <cell r="G720" t="str">
            <v>081314135158</v>
          </cell>
          <cell r="H720" t="str">
            <v>6A</v>
          </cell>
          <cell r="I720">
            <v>150000</v>
          </cell>
        </row>
        <row r="721">
          <cell r="B721" t="str">
            <v>ALI AKBAR BASO</v>
          </cell>
          <cell r="C721" t="str">
            <v>DIVISI SURVEY</v>
          </cell>
          <cell r="D721" t="str">
            <v>DIVISI SURVEY</v>
          </cell>
          <cell r="E721" t="str">
            <v>SENIOR MANAGER PENERIMAAN KLAS NUSANTARA</v>
          </cell>
          <cell r="F721" t="str">
            <v>ali.akbarbaso@bki.co.id</v>
          </cell>
          <cell r="G721" t="str">
            <v>081261459165</v>
          </cell>
          <cell r="H721" t="str">
            <v>7C</v>
          </cell>
          <cell r="I721">
            <v>350000</v>
          </cell>
        </row>
        <row r="722">
          <cell r="B722" t="str">
            <v>LUTFI PALIAM PARAYA</v>
          </cell>
          <cell r="C722" t="str">
            <v>DIVISI SURVEY</v>
          </cell>
          <cell r="D722" t="str">
            <v>DIVISI SURVEY</v>
          </cell>
          <cell r="E722" t="str">
            <v>SURVEYOR MEMPERTAHANKAN KLAS NUSANTARA</v>
          </cell>
          <cell r="F722" t="str">
            <v>lutfi.paraya@bki.co.id</v>
          </cell>
          <cell r="G722" t="str">
            <v>081235128004</v>
          </cell>
          <cell r="H722" t="str">
            <v>5C</v>
          </cell>
          <cell r="I722">
            <v>250000</v>
          </cell>
        </row>
        <row r="723">
          <cell r="B723" t="str">
            <v>SETIONO PRABOWO</v>
          </cell>
          <cell r="C723" t="str">
            <v>DIVISI SURVEY</v>
          </cell>
          <cell r="D723" t="str">
            <v>DIVISI SURVEY</v>
          </cell>
          <cell r="E723" t="str">
            <v>SURVEYOR MEMPERTAHANKAN KLAS NUSANTARA</v>
          </cell>
          <cell r="F723" t="str">
            <v>setiono.prabowo@bki.co.id</v>
          </cell>
          <cell r="G723" t="str">
            <v>081288123586</v>
          </cell>
          <cell r="H723" t="str">
            <v>5C</v>
          </cell>
          <cell r="I723">
            <v>250000</v>
          </cell>
        </row>
        <row r="724">
          <cell r="B724" t="str">
            <v>KOKOK YUDHA CAHYONO</v>
          </cell>
          <cell r="C724" t="str">
            <v>DIVISI SURVEY</v>
          </cell>
          <cell r="D724" t="str">
            <v>DIVISI SURVEY</v>
          </cell>
          <cell r="E724" t="str">
            <v>SURVEYOR SENIOR I A PENERIMAAN KLAS NUSANTARA</v>
          </cell>
          <cell r="F724" t="str">
            <v>kokok.yc@bki.co.id</v>
          </cell>
          <cell r="G724" t="str">
            <v>081357910921</v>
          </cell>
          <cell r="H724" t="str">
            <v>6A</v>
          </cell>
          <cell r="I724">
            <v>0</v>
          </cell>
        </row>
        <row r="725">
          <cell r="B725" t="str">
            <v>M. ARIEF MAULANA WIRANEGARA</v>
          </cell>
          <cell r="C725" t="str">
            <v>DIVISI SURVEY</v>
          </cell>
          <cell r="D725" t="str">
            <v>DIVISI SURVEY</v>
          </cell>
          <cell r="E725" t="str">
            <v>SURVEYOR SENIOR I A MEMPERTAHANKAN KLAS NUSANTARA</v>
          </cell>
          <cell r="F725" t="str">
            <v>arief.mw@bki.co.id</v>
          </cell>
          <cell r="G725" t="str">
            <v>082233009911</v>
          </cell>
          <cell r="H725" t="str">
            <v>6A</v>
          </cell>
          <cell r="I725">
            <v>0</v>
          </cell>
        </row>
        <row r="726">
          <cell r="B726" t="str">
            <v>WIYONO</v>
          </cell>
          <cell r="C726" t="str">
            <v>DIVISI SURVEY</v>
          </cell>
          <cell r="D726" t="str">
            <v>DIVISI SURVEY</v>
          </cell>
          <cell r="E726" t="str">
            <v>VP SURVEY</v>
          </cell>
          <cell r="F726" t="str">
            <v>wiyono@bki.co.id</v>
          </cell>
          <cell r="G726" t="str">
            <v>0811805026</v>
          </cell>
          <cell r="H726" t="str">
            <v>8B</v>
          </cell>
          <cell r="I726">
            <v>0</v>
          </cell>
        </row>
        <row r="727">
          <cell r="B727" t="str">
            <v>HAMBALI WAHID</v>
          </cell>
          <cell r="C727" t="str">
            <v>DIVISI SURVEY</v>
          </cell>
          <cell r="D727" t="str">
            <v>DIVISI SURVEY</v>
          </cell>
          <cell r="E727" t="str">
            <v>ADMINISTRATOR SENIOR</v>
          </cell>
          <cell r="F727" t="str">
            <v>hambali.wahid@bki.co.id</v>
          </cell>
          <cell r="G727" t="str">
            <v>085110381105</v>
          </cell>
          <cell r="H727" t="str">
            <v>3B</v>
          </cell>
          <cell r="I727">
            <v>150000</v>
          </cell>
        </row>
        <row r="728">
          <cell r="B728" t="str">
            <v>YUSUF</v>
          </cell>
          <cell r="C728" t="str">
            <v>DIVISI SURVEY</v>
          </cell>
          <cell r="D728" t="str">
            <v>DIVISI SURVEY</v>
          </cell>
          <cell r="E728" t="str">
            <v>ADMINISTRATOR SENIOR</v>
          </cell>
          <cell r="F728" t="str">
            <v>yusuf@bki.co.id</v>
          </cell>
          <cell r="G728" t="str">
            <v>0813 1414 6008</v>
          </cell>
          <cell r="H728" t="str">
            <v>3B</v>
          </cell>
          <cell r="I728">
            <v>0</v>
          </cell>
        </row>
        <row r="729">
          <cell r="B729" t="str">
            <v>ADHITAMA RAMA M</v>
          </cell>
          <cell r="C729" t="str">
            <v>DIVISI SURVEY</v>
          </cell>
          <cell r="D729" t="str">
            <v>DIVISI SURVEY</v>
          </cell>
          <cell r="E729" t="str">
            <v>SURVEYOR MEMPERTAHANKAN KLAS NUSANTARA</v>
          </cell>
          <cell r="F729" t="str">
            <v>adhitama.rama@bki.co.id</v>
          </cell>
          <cell r="G729" t="str">
            <v>081290298732</v>
          </cell>
          <cell r="H729" t="str">
            <v>5C</v>
          </cell>
          <cell r="I729">
            <v>0</v>
          </cell>
        </row>
        <row r="730">
          <cell r="B730" t="str">
            <v>MUHAMMAD ARFAH</v>
          </cell>
          <cell r="C730" t="str">
            <v>DIVISI SURVEY</v>
          </cell>
          <cell r="D730" t="str">
            <v>DIVISI SURVEY</v>
          </cell>
          <cell r="E730" t="str">
            <v>SURVEYOR SENIOR II C MEMPERTAHANKAN KLAS NUSANTARA</v>
          </cell>
          <cell r="F730" t="str">
            <v>arfah@bki.co.id</v>
          </cell>
          <cell r="G730" t="str">
            <v>081288844625</v>
          </cell>
          <cell r="H730" t="str">
            <v>7C</v>
          </cell>
          <cell r="I730">
            <v>350000</v>
          </cell>
        </row>
        <row r="731">
          <cell r="B731" t="str">
            <v>YUDI WASIANTO</v>
          </cell>
          <cell r="C731" t="str">
            <v>DIVISI SURVEY</v>
          </cell>
          <cell r="D731" t="str">
            <v>DIVISI SURVEY</v>
          </cell>
          <cell r="E731" t="str">
            <v>SURVEYOR SENIOR I C MEMPERTAHANKAN KLAS NUSANTARA</v>
          </cell>
          <cell r="F731" t="str">
            <v>yudi.wasianto@bki.co.id</v>
          </cell>
          <cell r="G731" t="str">
            <v>0811 270 2942</v>
          </cell>
          <cell r="H731" t="str">
            <v>6C</v>
          </cell>
          <cell r="I731">
            <v>0</v>
          </cell>
        </row>
        <row r="732">
          <cell r="B732" t="str">
            <v>GARY SIMON</v>
          </cell>
          <cell r="C732" t="str">
            <v>DIVISI SURVEY</v>
          </cell>
          <cell r="D732" t="str">
            <v>DIVISI SURVEY</v>
          </cell>
          <cell r="E732" t="str">
            <v>SURVEYOR SENIOR I B PENERIMAAN KLAS NUSANTARA</v>
          </cell>
          <cell r="F732" t="str">
            <v>gary.simon@bki.co.id</v>
          </cell>
          <cell r="G732" t="str">
            <v>082169967749</v>
          </cell>
          <cell r="H732" t="str">
            <v>6B</v>
          </cell>
          <cell r="I732">
            <v>250000</v>
          </cell>
        </row>
        <row r="733">
          <cell r="B733" t="str">
            <v xml:space="preserve">TRI ASTUTI SUDARMINTO </v>
          </cell>
          <cell r="C733" t="str">
            <v>DIVISI SURVEY</v>
          </cell>
          <cell r="D733" t="str">
            <v>DIVISI SURVEY</v>
          </cell>
          <cell r="E733" t="str">
            <v>SURVEYOR JUNIOR MENAJEMEN KLAS</v>
          </cell>
          <cell r="F733" t="str">
            <v>tri.as@bki.co.id</v>
          </cell>
          <cell r="H733" t="str">
            <v>4C</v>
          </cell>
          <cell r="I733">
            <v>0</v>
          </cell>
        </row>
        <row r="734">
          <cell r="B734" t="str">
            <v>PRASETYO</v>
          </cell>
          <cell r="C734" t="str">
            <v>DIVISI TEKNOLOGI INFORMASI</v>
          </cell>
          <cell r="D734" t="str">
            <v>DIVISI TEKNOLOGI INFORMASI</v>
          </cell>
          <cell r="E734" t="str">
            <v>SENIOR MANAGER PENGEMBANGAN DAN OPERASI TI</v>
          </cell>
          <cell r="F734" t="str">
            <v>prasetyo@bki.co.id</v>
          </cell>
          <cell r="G734" t="str">
            <v>082192733363</v>
          </cell>
          <cell r="H734" t="str">
            <v>7B</v>
          </cell>
          <cell r="I734">
            <v>350000</v>
          </cell>
        </row>
        <row r="735">
          <cell r="B735" t="str">
            <v>DICKY ALDOKO</v>
          </cell>
          <cell r="C735" t="str">
            <v>DIVISI TEKNOLOGI INFORMASI</v>
          </cell>
          <cell r="D735" t="str">
            <v>DIVISI TEKNOLOGI INFORMASI</v>
          </cell>
          <cell r="E735" t="str">
            <v>ANALIS MANAJEMEN PROYEK TEKNOLOGI INFORMASI</v>
          </cell>
          <cell r="F735" t="str">
            <v>dicky.aldoko@bki.co.id</v>
          </cell>
          <cell r="G735" t="str">
            <v>087859294665</v>
          </cell>
          <cell r="H735" t="str">
            <v>5C</v>
          </cell>
          <cell r="I735">
            <v>150000</v>
          </cell>
        </row>
        <row r="736">
          <cell r="B736" t="str">
            <v>RIZKY PRASETYA ADE N</v>
          </cell>
          <cell r="C736" t="str">
            <v>DIVISI TEKNOLOGI INFORMASI</v>
          </cell>
          <cell r="D736" t="str">
            <v>DIVISI TEKNOLOGI INFORMASI</v>
          </cell>
          <cell r="E736" t="str">
            <v>SPESIALIS PENGAMANAN TEKNOLOGI INFORMASI</v>
          </cell>
          <cell r="F736" t="str">
            <v>rizky.pan@bki.co.id</v>
          </cell>
          <cell r="G736">
            <v>0</v>
          </cell>
          <cell r="H736" t="str">
            <v>6A</v>
          </cell>
          <cell r="I736">
            <v>0</v>
          </cell>
        </row>
        <row r="737">
          <cell r="B737" t="str">
            <v>M RAHMAT AKBAR RAMADHAN</v>
          </cell>
          <cell r="C737" t="str">
            <v>DIVISI TEKNOLOGI INFORMASI</v>
          </cell>
          <cell r="D737" t="str">
            <v>DIVISI TEKNOLOGI INFORMASI</v>
          </cell>
          <cell r="E737" t="str">
            <v>ANALIS PENGEMBANGAN DAN OPERASI TEKNOLOGI INFORMASI</v>
          </cell>
          <cell r="F737" t="str">
            <v>rahmat.akbar@bki.co.id</v>
          </cell>
          <cell r="G737">
            <v>0</v>
          </cell>
          <cell r="H737" t="str">
            <v>5C</v>
          </cell>
          <cell r="I737">
            <v>250000</v>
          </cell>
        </row>
        <row r="738">
          <cell r="B738" t="str">
            <v>FACHRUDIN NUR</v>
          </cell>
          <cell r="C738" t="str">
            <v>DIVISI TEKNOLOGI INFORMASI</v>
          </cell>
          <cell r="D738" t="str">
            <v>DIVISI TEKNOLOGI INFORMASI</v>
          </cell>
          <cell r="E738" t="str">
            <v>PJ. SENIOR MANAGER PERENCANAAN STRATEGIS DAN TATA KELOLA IT</v>
          </cell>
          <cell r="F738" t="str">
            <v>f.nur@bki.co.id</v>
          </cell>
          <cell r="G738" t="str">
            <v>082125774400</v>
          </cell>
          <cell r="H738" t="str">
            <v>6A</v>
          </cell>
          <cell r="I738">
            <v>0</v>
          </cell>
        </row>
        <row r="739">
          <cell r="B739" t="str">
            <v>HARDIAN</v>
          </cell>
          <cell r="C739" t="str">
            <v>DIVISI TEKNOLOGI INFORMASI</v>
          </cell>
          <cell r="D739" t="str">
            <v>DIVISI TEKNOLOGI INFORMASI</v>
          </cell>
          <cell r="E739" t="str">
            <v>SPESIALIS MANAJEMEN PROYEK TEKNOLOGI INFORMASI</v>
          </cell>
          <cell r="F739" t="str">
            <v>hardian@bki.co.id</v>
          </cell>
          <cell r="G739" t="str">
            <v>08881111010</v>
          </cell>
          <cell r="H739" t="str">
            <v>6A</v>
          </cell>
          <cell r="I739">
            <v>250000</v>
          </cell>
        </row>
        <row r="740">
          <cell r="B740" t="str">
            <v>MUHAMAD HASYIM RASIDI</v>
          </cell>
          <cell r="C740" t="str">
            <v>DIVISI TEKNOLOGI INFORMASI</v>
          </cell>
          <cell r="D740" t="str">
            <v>DIVISI TEKNOLOGI INFORMASI</v>
          </cell>
          <cell r="E740" t="str">
            <v>STAF FUNCTION</v>
          </cell>
          <cell r="F740" t="str">
            <v>hasyim.rashidi@bki.co.id</v>
          </cell>
          <cell r="G740">
            <v>0</v>
          </cell>
          <cell r="H740">
            <v>4</v>
          </cell>
          <cell r="I740">
            <v>0</v>
          </cell>
        </row>
        <row r="741">
          <cell r="B741" t="str">
            <v>ARIEF NURTJAHJO</v>
          </cell>
          <cell r="C741" t="str">
            <v>GROUP BISNIS KLASIFIKASI NUSANTARA</v>
          </cell>
          <cell r="D741" t="str">
            <v>GROUP BISNIS KLASIFIKASI NUSANTARA</v>
          </cell>
          <cell r="E741" t="str">
            <v>DEPUTI DIREKTUR BISNIS KLASIFIKASI NUSANTARA</v>
          </cell>
          <cell r="F741" t="str">
            <v>ariefn@bki.co.id</v>
          </cell>
          <cell r="G741" t="str">
            <v>0818905340</v>
          </cell>
          <cell r="H741">
            <v>9</v>
          </cell>
          <cell r="I741">
            <v>0</v>
          </cell>
        </row>
        <row r="742">
          <cell r="B742" t="str">
            <v>RIANA PATRICIA</v>
          </cell>
          <cell r="C742" t="str">
            <v>GROUP STRATEGI DAN TRANSFORMASI KORPORAT</v>
          </cell>
          <cell r="D742" t="str">
            <v>GROUP STRATEGI DAN TRANSFORMASI KORPORAT</v>
          </cell>
          <cell r="E742" t="str">
            <v>SPESIALIS TRANSFORMATION OFFICE CHAMPION</v>
          </cell>
          <cell r="F742" t="str">
            <v>riana.patricia@bki.co.id</v>
          </cell>
          <cell r="G742" t="str">
            <v>087722192699</v>
          </cell>
          <cell r="H742" t="str">
            <v>6A</v>
          </cell>
          <cell r="I742">
            <v>150000</v>
          </cell>
        </row>
        <row r="743">
          <cell r="B743" t="str">
            <v>MEGAWATI ROSALIO PUTRI</v>
          </cell>
          <cell r="C743" t="str">
            <v>GROUP STRATEGI DAN TRANSFORMASI KORPORAT</v>
          </cell>
          <cell r="D743" t="str">
            <v>GROUP STRATEGI DAN TRANSFORMASI KORPORAT</v>
          </cell>
          <cell r="E743" t="str">
            <v>SPESIALIS TRANSFORMATION OFFICE CHAMPION</v>
          </cell>
          <cell r="F743" t="str">
            <v>megawati.rp@bki.co.id</v>
          </cell>
          <cell r="G743" t="str">
            <v>081373364078</v>
          </cell>
          <cell r="H743" t="str">
            <v>6A</v>
          </cell>
          <cell r="I743">
            <v>150000</v>
          </cell>
        </row>
        <row r="744">
          <cell r="B744" t="str">
            <v>IRAWATI</v>
          </cell>
          <cell r="C744" t="str">
            <v>GROUP STRATEGI DAN TRANSFORMASI KORPORAT</v>
          </cell>
          <cell r="D744" t="str">
            <v>GROUP STRATEGI DAN TRANSFORMASI KORPORAT</v>
          </cell>
          <cell r="E744" t="str">
            <v>SPESIALIS TRANSFORMATION OFFICE CHAMPION</v>
          </cell>
          <cell r="F744" t="str">
            <v>irawati@bki.co.id</v>
          </cell>
          <cell r="G744" t="str">
            <v>085649714979</v>
          </cell>
          <cell r="H744" t="str">
            <v>6A</v>
          </cell>
          <cell r="I744">
            <v>250000</v>
          </cell>
        </row>
        <row r="745">
          <cell r="B745" t="str">
            <v>RAHMAN SUSILO</v>
          </cell>
          <cell r="C745" t="str">
            <v>SATUAN PENGAWASAN INTERN</v>
          </cell>
          <cell r="D745" t="str">
            <v>SATUAN PENGAWASAN INTERN</v>
          </cell>
          <cell r="E745" t="str">
            <v>SENIOR MANAGER AUDIT SEGMEN KOMERSIAL</v>
          </cell>
          <cell r="F745" t="str">
            <v>susilo@bki.co.id</v>
          </cell>
          <cell r="G745" t="str">
            <v>08129495233</v>
          </cell>
          <cell r="H745" t="str">
            <v>7C</v>
          </cell>
          <cell r="I745">
            <v>250000</v>
          </cell>
        </row>
        <row r="746">
          <cell r="B746" t="str">
            <v>ABDUR RAHMAN</v>
          </cell>
          <cell r="C746" t="str">
            <v>SATUAN PENGAWASAN INTERN</v>
          </cell>
          <cell r="D746" t="str">
            <v>SATUAN PENGAWASAN INTERN</v>
          </cell>
          <cell r="E746" t="str">
            <v>VP PENGAWASAN INTERN</v>
          </cell>
          <cell r="F746" t="str">
            <v>rahman@bki.co.id</v>
          </cell>
          <cell r="G746" t="str">
            <v>085811583555</v>
          </cell>
          <cell r="H746" t="str">
            <v>8B</v>
          </cell>
          <cell r="I746">
            <v>350000</v>
          </cell>
        </row>
        <row r="747">
          <cell r="B747" t="str">
            <v>SARI GITA TANTINIS</v>
          </cell>
          <cell r="C747" t="str">
            <v>SATUAN PENGAWASAN INTERN</v>
          </cell>
          <cell r="D747" t="str">
            <v>SATUAN PENGAWASAN INTERN</v>
          </cell>
          <cell r="E747" t="str">
            <v>AUDITOR SENIOR</v>
          </cell>
          <cell r="F747" t="str">
            <v>gita@bki.co.id</v>
          </cell>
          <cell r="G747" t="str">
            <v>087880847033</v>
          </cell>
          <cell r="H747" t="str">
            <v>5C</v>
          </cell>
          <cell r="I747">
            <v>150000</v>
          </cell>
        </row>
        <row r="748">
          <cell r="B748" t="str">
            <v>ARIEF HENDRO RUKMINTO</v>
          </cell>
          <cell r="C748" t="str">
            <v>SATUAN PENGAWASAN INTERN</v>
          </cell>
          <cell r="D748" t="str">
            <v>SATUAN PENGAWASAN INTERN</v>
          </cell>
          <cell r="E748" t="str">
            <v>SENIOR LEAD AUDITOR</v>
          </cell>
          <cell r="F748" t="str">
            <v>rukminto@bki.co.id</v>
          </cell>
          <cell r="G748" t="str">
            <v>08128299471</v>
          </cell>
          <cell r="H748" t="str">
            <v>7C</v>
          </cell>
          <cell r="I748">
            <v>0</v>
          </cell>
        </row>
        <row r="749">
          <cell r="B749" t="str">
            <v>IZZAFAJRI SYAFIRA</v>
          </cell>
          <cell r="C749" t="str">
            <v>SATUAN PENGAWASAN INTERN</v>
          </cell>
          <cell r="D749" t="str">
            <v>SATUAN PENGAWASAN INTERN</v>
          </cell>
          <cell r="E749" t="str">
            <v>STAF ANALIS</v>
          </cell>
          <cell r="F749" t="str">
            <v>izzafajri.sy@bki.co.id</v>
          </cell>
          <cell r="G749" t="str">
            <v>082114091022</v>
          </cell>
          <cell r="H749" t="str">
            <v>-</v>
          </cell>
          <cell r="I749">
            <v>100000</v>
          </cell>
        </row>
        <row r="750">
          <cell r="B750" t="str">
            <v>MUTIARA PUTRI AMELIA</v>
          </cell>
          <cell r="C750" t="str">
            <v>SATUAN PENGAWASAN INTERN</v>
          </cell>
          <cell r="D750" t="str">
            <v>SATUAN PENGAWASAN INTERN</v>
          </cell>
          <cell r="E750" t="str">
            <v>STAF DUKUNGAN BISNIS</v>
          </cell>
          <cell r="F750" t="str">
            <v>mutiara.putri@bki.co.id</v>
          </cell>
          <cell r="G750" t="str">
            <v>085894042758</v>
          </cell>
          <cell r="H750" t="str">
            <v>-</v>
          </cell>
          <cell r="I750">
            <v>0</v>
          </cell>
        </row>
        <row r="751">
          <cell r="B751" t="str">
            <v>MUHAMMAD IRVAN WIDYA</v>
          </cell>
          <cell r="C751" t="str">
            <v>SATUAN PENGAWASAN INTERN</v>
          </cell>
          <cell r="D751" t="str">
            <v>SATUAN PENGAWASAN INTERN IDS</v>
          </cell>
          <cell r="E751" t="str">
            <v>SENIOR AUDITOR SEGMEN KOMERSIAL</v>
          </cell>
          <cell r="F751" t="str">
            <v>muhammad.iw@bki.co.id</v>
          </cell>
          <cell r="G751" t="str">
            <v>082194720847</v>
          </cell>
          <cell r="H751" t="str">
            <v>5C</v>
          </cell>
          <cell r="I751">
            <v>150000</v>
          </cell>
        </row>
        <row r="752">
          <cell r="B752" t="str">
            <v>ANITA MAGDALENA</v>
          </cell>
          <cell r="C752" t="str">
            <v>SATUAN PENGAWASAN INTERN</v>
          </cell>
          <cell r="D752" t="str">
            <v>SATUAN PENGAWASAN INTERN IDS</v>
          </cell>
          <cell r="E752" t="str">
            <v>SENIOR MANAGER AUDIT SEGMEN KLASIFIKASI</v>
          </cell>
          <cell r="F752" t="str">
            <v>anitamp@bki.co.id</v>
          </cell>
          <cell r="G752" t="str">
            <v>08128185481</v>
          </cell>
          <cell r="H752" t="str">
            <v>7C</v>
          </cell>
        </row>
        <row r="753">
          <cell r="B753" t="str">
            <v>LUTHFI SETIA MARDANI</v>
          </cell>
          <cell r="C753" t="str">
            <v>SATUAN PENGAWASAN INTERN</v>
          </cell>
          <cell r="D753" t="str">
            <v>SATUAN PENGAWASAN INTERN IDS</v>
          </cell>
          <cell r="E753" t="str">
            <v>ANALIS PERENCANAAN &amp; AUDIT SEGMEN KLASIFIKASI</v>
          </cell>
          <cell r="F753" t="str">
            <v>luthfi.mardani@bki.co.id</v>
          </cell>
          <cell r="G753" t="str">
            <v>089520418838</v>
          </cell>
          <cell r="H753" t="str">
            <v>5C</v>
          </cell>
          <cell r="I753">
            <v>150000</v>
          </cell>
        </row>
        <row r="754">
          <cell r="B754" t="str">
            <v>DIDIET EDITHIA FIRMAN</v>
          </cell>
          <cell r="C754" t="str">
            <v>UNIT HSE</v>
          </cell>
          <cell r="D754" t="str">
            <v>UNIT HSE</v>
          </cell>
          <cell r="E754" t="str">
            <v>ANALIS OPERASI HSE</v>
          </cell>
          <cell r="F754" t="str">
            <v>didiet.ef@bki.co.id</v>
          </cell>
          <cell r="G754" t="str">
            <v>08129371120</v>
          </cell>
          <cell r="H754" t="str">
            <v>5B</v>
          </cell>
          <cell r="I754">
            <v>250000</v>
          </cell>
        </row>
        <row r="755">
          <cell r="B755" t="str">
            <v>AGUNG BUDI ARNANTO</v>
          </cell>
          <cell r="C755" t="str">
            <v>UNIT HSE</v>
          </cell>
          <cell r="D755" t="str">
            <v>UNIT HSE</v>
          </cell>
          <cell r="E755" t="str">
            <v>SPESIALIS SENIOR HSE</v>
          </cell>
          <cell r="F755" t="str">
            <v>agungba@bki.co.id</v>
          </cell>
          <cell r="G755" t="str">
            <v>08111140999</v>
          </cell>
          <cell r="H755" t="str">
            <v>7A</v>
          </cell>
          <cell r="I755">
            <v>0</v>
          </cell>
        </row>
        <row r="756">
          <cell r="B756" t="str">
            <v>TARIZA BRILIANTI</v>
          </cell>
          <cell r="C756" t="str">
            <v>UNIT HSE</v>
          </cell>
          <cell r="D756" t="str">
            <v>UNIT HSE</v>
          </cell>
          <cell r="E756" t="str">
            <v>STAF DUKUNGAN BISNIS</v>
          </cell>
          <cell r="F756" t="str">
            <v>tariza.b@bki.co.id</v>
          </cell>
          <cell r="G756" t="str">
            <v>085334939230</v>
          </cell>
          <cell r="H756" t="str">
            <v>-</v>
          </cell>
          <cell r="I756">
            <v>0</v>
          </cell>
        </row>
        <row r="757">
          <cell r="B757" t="str">
            <v>SUKMA MAHARANI</v>
          </cell>
          <cell r="C757" t="str">
            <v>UNIT PEMASARAN DAN LAYANAN PELANGGAN NUSANTARA</v>
          </cell>
          <cell r="D757" t="str">
            <v>UNIT PEMASARAN DAN LAYANAN PELANGGAN NUSANTARA</v>
          </cell>
          <cell r="E757" t="str">
            <v>SENIOR MANAGER PEMASARAN DAN LAYANAN PELANGGAN NUSANTARA</v>
          </cell>
          <cell r="F757" t="str">
            <v>rani@bki.co.id</v>
          </cell>
          <cell r="G757" t="str">
            <v>085732555187</v>
          </cell>
          <cell r="H757" t="str">
            <v>7B</v>
          </cell>
          <cell r="I757">
            <v>350000</v>
          </cell>
        </row>
        <row r="758">
          <cell r="B758" t="str">
            <v>DWIYANA</v>
          </cell>
          <cell r="C758" t="str">
            <v>UNIT PEMASARAN DAN LAYANAN PELANGGAN NUSANTARA</v>
          </cell>
          <cell r="D758" t="str">
            <v>UNIT PEMASARAN DAN LAYANAN PELANGGAN NUSANTARA</v>
          </cell>
          <cell r="E758" t="str">
            <v>ANALIS PEMASARAN DAN PENJUALAN</v>
          </cell>
          <cell r="F758" t="str">
            <v>dwiyana@bki.co.id</v>
          </cell>
          <cell r="G758" t="str">
            <v>0811912463</v>
          </cell>
          <cell r="H758" t="str">
            <v>5A</v>
          </cell>
          <cell r="I758">
            <v>0</v>
          </cell>
        </row>
        <row r="759">
          <cell r="B759" t="str">
            <v>RAKA DWITA SETYANEGARA</v>
          </cell>
          <cell r="C759" t="str">
            <v>UNIT PEMASARAN DAN LAYANAN PELANGGAN NUSANTARA</v>
          </cell>
          <cell r="D759" t="str">
            <v>UNIT PEMASARAN DAN LAYANAN PELANGGAN NUSANTARA</v>
          </cell>
          <cell r="E759" t="str">
            <v>OFFICER PEMASARAN DAN PENJUALAN</v>
          </cell>
          <cell r="F759" t="str">
            <v>raka.dwita@bki.co.id</v>
          </cell>
          <cell r="G759" t="str">
            <v>085233076997</v>
          </cell>
          <cell r="H759" t="str">
            <v>4A</v>
          </cell>
          <cell r="I759">
            <v>100000</v>
          </cell>
        </row>
        <row r="760">
          <cell r="B760" t="str">
            <v>ADITYA ILHAM SAPTIAWAN</v>
          </cell>
          <cell r="C760" t="str">
            <v>UNIT PEMASARAN DAN LAYANAN PELANGGAN NUSANTARA</v>
          </cell>
          <cell r="D760" t="str">
            <v>UNIT PEMASARAN DAN LAYANAN PELANGGAN NUSANTARA</v>
          </cell>
          <cell r="E760" t="str">
            <v xml:space="preserve">STAF ADMINISTRASI </v>
          </cell>
          <cell r="F760" t="str">
            <v>aditya.is@bki.co.id</v>
          </cell>
          <cell r="G760" t="str">
            <v>082132153960</v>
          </cell>
          <cell r="H760" t="str">
            <v>-</v>
          </cell>
          <cell r="I760">
            <v>100000</v>
          </cell>
        </row>
        <row r="761">
          <cell r="B761" t="str">
            <v>AGNES RENITA OKTAVIANI</v>
          </cell>
          <cell r="C761" t="str">
            <v>UNIT PEMASARAN DAN LAYANAN PELANGGAN NUSANTARA</v>
          </cell>
          <cell r="D761" t="str">
            <v>UNIT PEMASARAN DAN LAYANAN PELANGGAN NUSANTARA</v>
          </cell>
          <cell r="E761" t="str">
            <v>CUSTOMER SERVICES</v>
          </cell>
          <cell r="F761" t="str">
            <v>agnes.renita@bki.co.id</v>
          </cell>
          <cell r="G761" t="str">
            <v>081906671482</v>
          </cell>
          <cell r="H761" t="str">
            <v>-</v>
          </cell>
          <cell r="I761">
            <v>0</v>
          </cell>
        </row>
        <row r="762">
          <cell r="B762" t="str">
            <v>MOCHAMAD FAUZY</v>
          </cell>
          <cell r="C762" t="str">
            <v>UNIT PEMASARAN DAN LAYANAN PELANGGAN NUSANTARA</v>
          </cell>
          <cell r="D762" t="str">
            <v>UNIT PEMASARAN DAN LAYANAN PELANGGAN NUSANTARA</v>
          </cell>
          <cell r="E762" t="str">
            <v>STAF DUKUNGAN BISNIS</v>
          </cell>
          <cell r="F762" t="str">
            <v>mochamad.fauzy@bki.co.id</v>
          </cell>
          <cell r="G762" t="str">
            <v>081219274319</v>
          </cell>
          <cell r="H762" t="str">
            <v>-</v>
          </cell>
          <cell r="I762">
            <v>0</v>
          </cell>
        </row>
        <row r="763">
          <cell r="B763" t="str">
            <v>WITA KUSUMA WARDANI</v>
          </cell>
          <cell r="C763" t="str">
            <v>UNIT PEMASARAN DAN LAYANAN PELANGGAN NUSANTARA</v>
          </cell>
          <cell r="D763" t="str">
            <v>UNIT PEMASARAN DAN LAYANAN PELANGGAN NUSANTARA</v>
          </cell>
          <cell r="E763" t="str">
            <v>STAF DUKUNGAN BISNIS</v>
          </cell>
          <cell r="F763" t="str">
            <v>wita.kusuma@bki.co.id</v>
          </cell>
          <cell r="G763" t="str">
            <v>082229197520</v>
          </cell>
          <cell r="H763" t="str">
            <v>-</v>
          </cell>
          <cell r="I763">
            <v>0</v>
          </cell>
        </row>
        <row r="764">
          <cell r="B764" t="str">
            <v>SYAHRIZAL NUR ARFANI</v>
          </cell>
          <cell r="C764" t="str">
            <v>UNIT PEMASARAN DAN LAYANAN PELANGGAN NUSANTARA</v>
          </cell>
          <cell r="D764" t="str">
            <v>UNIT PEMASARAN DAN LAYANAN PELANGGAN NUSANTARA</v>
          </cell>
          <cell r="E764" t="str">
            <v>STAF CUSTOMER ADVISORY</v>
          </cell>
          <cell r="F764" t="str">
            <v>syahrizalnur@bki.co.id</v>
          </cell>
          <cell r="H764" t="str">
            <v>-</v>
          </cell>
          <cell r="I764">
            <v>0</v>
          </cell>
        </row>
        <row r="765">
          <cell r="B765" t="str">
            <v>DEVI RAHMA FAUZIA</v>
          </cell>
          <cell r="C765" t="str">
            <v>UNIT PEMASARAN DAN LAYANAN PELANGGAN NUSANTARA</v>
          </cell>
          <cell r="D765" t="str">
            <v>UNIT PEMASARAN DAN LAYANAN PELANGGAN NUSANTARA</v>
          </cell>
          <cell r="E765" t="str">
            <v>STAF CUSTOMER ADVISORY</v>
          </cell>
          <cell r="F765" t="str">
            <v>devirahma@bki.co.id</v>
          </cell>
          <cell r="H765" t="str">
            <v>-</v>
          </cell>
          <cell r="I765">
            <v>0</v>
          </cell>
        </row>
        <row r="766">
          <cell r="B766" t="str">
            <v>ENDAH MUSTIKA NINGTIAS</v>
          </cell>
          <cell r="C766" t="str">
            <v>UNIT TANGGUNG JAWAB SOSIAL DAN LINGKUNGAN</v>
          </cell>
          <cell r="D766" t="str">
            <v>UNIT TANGGUNG JAWAB SOSIAL DAN LINGKUNGAN</v>
          </cell>
          <cell r="E766" t="str">
            <v>ANALIS TANGGUNG JAWAB SOSIAL DAN LINGKUNGAN</v>
          </cell>
          <cell r="F766" t="str">
            <v>endah.mn@bki.co.id</v>
          </cell>
          <cell r="G766" t="str">
            <v>0812 8329 9946</v>
          </cell>
          <cell r="H766" t="str">
            <v>5C</v>
          </cell>
          <cell r="I766">
            <v>250000</v>
          </cell>
        </row>
        <row r="767">
          <cell r="B767" t="str">
            <v>ALWIN RIDWAN</v>
          </cell>
          <cell r="C767" t="str">
            <v>UNIT TANGGUNG JAWAB SOSIAL DAN LINGKUNGAN</v>
          </cell>
          <cell r="D767" t="str">
            <v>UNIT TANGGUNG JAWAB SOSIAL DAN LINGKUNGAN</v>
          </cell>
          <cell r="E767" t="str">
            <v>ADMINISTRATOR SENIOR</v>
          </cell>
          <cell r="F767" t="str">
            <v>alwin.ridwan@bki.co.id</v>
          </cell>
          <cell r="G767" t="str">
            <v>081387812624</v>
          </cell>
          <cell r="H767" t="str">
            <v>3B</v>
          </cell>
          <cell r="I767">
            <v>150000</v>
          </cell>
        </row>
        <row r="768">
          <cell r="B768" t="str">
            <v>ARIF BIJAKSANA PRAWIRA NEGARA</v>
          </cell>
          <cell r="C768" t="str">
            <v>UNIT TANGGUNG JAWAB SOSIAL DAN LINGKUNGAN</v>
          </cell>
          <cell r="D768" t="str">
            <v>UNIT TANGGUNG JAWAB SOSIAL DAN LINGKUNGAN</v>
          </cell>
          <cell r="E768" t="str">
            <v>KEPALA UNIT TANGGUNG JAWAB SOSIAL LINGKUNGAN</v>
          </cell>
          <cell r="F768" t="str">
            <v>arif@bki.co.id</v>
          </cell>
          <cell r="G768" t="str">
            <v>08127032211</v>
          </cell>
          <cell r="H768" t="str">
            <v>7C</v>
          </cell>
          <cell r="I768">
            <v>0</v>
          </cell>
        </row>
        <row r="769">
          <cell r="B769" t="str">
            <v>DINDA PRATIWI</v>
          </cell>
          <cell r="C769" t="str">
            <v>UNIT TANGGUNG JAWAB SOSIAL DAN LINGKUNGAN</v>
          </cell>
          <cell r="D769" t="str">
            <v>UNIT TANGGUNG JAWAB SOSIAL DAN LINGKUNGAN</v>
          </cell>
          <cell r="E769" t="str">
            <v>STAF DUKUNGAN BISNIS</v>
          </cell>
          <cell r="F769" t="str">
            <v>dinda.p@bki.co.id</v>
          </cell>
          <cell r="G769" t="str">
            <v>08567448009</v>
          </cell>
          <cell r="H769" t="str">
            <v>-</v>
          </cell>
          <cell r="I769">
            <v>0</v>
          </cell>
        </row>
        <row r="770">
          <cell r="B770" t="str">
            <v>MOCHAMAD FASHA FIRDAUS</v>
          </cell>
          <cell r="C770" t="str">
            <v>UNIT TANGGUNG JAWAB SOSIAL DAN LINGKUNGAN</v>
          </cell>
          <cell r="D770" t="str">
            <v>UNIT TANGGUNG JAWAB SOSIAL DAN LINGKUNGAN IDS</v>
          </cell>
          <cell r="E770" t="str">
            <v>STAF DUKUNGAN BISNIS</v>
          </cell>
          <cell r="F770" t="str">
            <v>mochamad.fasha@bki.co.id</v>
          </cell>
          <cell r="G770" t="str">
            <v>089647726467</v>
          </cell>
          <cell r="H770" t="str">
            <v>-</v>
          </cell>
          <cell r="I770">
            <v>0</v>
          </cell>
        </row>
        <row r="771">
          <cell r="B771" t="str">
            <v>ARIEF BUDI PERMANA</v>
          </cell>
          <cell r="D771" t="str">
            <v>DIREKSI</v>
          </cell>
          <cell r="I771">
            <v>500000</v>
          </cell>
        </row>
        <row r="772">
          <cell r="B772" t="str">
            <v>R. AGUS DODDY DWISAGITA</v>
          </cell>
          <cell r="D772" t="str">
            <v>DIREKSI</v>
          </cell>
          <cell r="I772">
            <v>500000</v>
          </cell>
        </row>
        <row r="773">
          <cell r="B773" t="str">
            <v>BENNY SUSANTO</v>
          </cell>
          <cell r="D773" t="str">
            <v>DIREKSI</v>
          </cell>
          <cell r="G773" t="str">
            <v>x</v>
          </cell>
          <cell r="H773" t="str">
            <v>x</v>
          </cell>
          <cell r="I773">
            <v>500000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NDA TERIMA"/>
      <sheetName val="LUNAS"/>
      <sheetName val="DAFTAR (2)"/>
      <sheetName val="REKAP"/>
      <sheetName val="DAFTAR ALL"/>
      <sheetName val="BREAKDOWN DAFTAR"/>
      <sheetName val="Reguler &amp; Khusus"/>
      <sheetName val="DKI 2011"/>
      <sheetName val="DKI 2012"/>
      <sheetName val="BRIS I"/>
      <sheetName val="BRIS II-V"/>
      <sheetName val="BRIS VI-VII"/>
      <sheetName val="BRIS I 2015"/>
      <sheetName val="BRIS II 2015"/>
      <sheetName val="BRIS III 2015"/>
      <sheetName val="BRIS IV 2015"/>
      <sheetName val="BRIS V 2015 "/>
      <sheetName val="BRIS VI 2015"/>
      <sheetName val="BRIS II 2016 "/>
      <sheetName val="BRIS III 2016"/>
      <sheetName val="BRIS I 2016"/>
      <sheetName val="BJB"/>
      <sheetName val="BJB FASILITAS 2"/>
      <sheetName val="DKI 2008"/>
      <sheetName val="BJB FASILITAS 3"/>
      <sheetName val="PINJAMAN PT SYS"/>
      <sheetName val="BANK MANDIRI"/>
      <sheetName val="BANK SYARIAH INDONESIA"/>
      <sheetName val="TAB.QUR"/>
      <sheetName val="Sheet1"/>
      <sheetName val="SIMPANAN SUKARELA"/>
      <sheetName val="KENDARAAN"/>
      <sheetName val="PINJ STNK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ABDUR RAHMAN</v>
          </cell>
          <cell r="C8">
            <v>1500000</v>
          </cell>
          <cell r="D8">
            <v>1500000</v>
          </cell>
        </row>
        <row r="9">
          <cell r="B9" t="str">
            <v>AHMAD YUNUS</v>
          </cell>
          <cell r="C9">
            <v>1020833</v>
          </cell>
          <cell r="D9">
            <v>1020833</v>
          </cell>
        </row>
        <row r="10">
          <cell r="B10" t="str">
            <v>ANDI LAMAPPASESSU</v>
          </cell>
          <cell r="C10">
            <v>7609848</v>
          </cell>
          <cell r="D10">
            <v>7609848</v>
          </cell>
        </row>
        <row r="11">
          <cell r="B11" t="str">
            <v>ANDRI SURYAWAN</v>
          </cell>
          <cell r="C11">
            <v>4708150</v>
          </cell>
          <cell r="D11">
            <v>4708150</v>
          </cell>
        </row>
        <row r="12">
          <cell r="B12" t="str">
            <v>BAYU MAHARDIKA WICAKSONO</v>
          </cell>
          <cell r="C12">
            <v>7801667</v>
          </cell>
          <cell r="D12">
            <v>7801667</v>
          </cell>
        </row>
        <row r="13">
          <cell r="B13" t="str">
            <v>DEDE MA'MUN SUMANTRI</v>
          </cell>
          <cell r="C13">
            <v>18366992</v>
          </cell>
          <cell r="D13">
            <v>18366992</v>
          </cell>
        </row>
        <row r="14">
          <cell r="B14" t="str">
            <v>DIDIET EDITHIA FIRMAN</v>
          </cell>
          <cell r="C14">
            <v>2871528</v>
          </cell>
          <cell r="D14">
            <v>2871528</v>
          </cell>
        </row>
        <row r="15">
          <cell r="B15" t="str">
            <v>ENDAH MUSTIKA NINGTIAS</v>
          </cell>
          <cell r="C15">
            <v>6053100</v>
          </cell>
          <cell r="D15">
            <v>6053100</v>
          </cell>
        </row>
        <row r="16">
          <cell r="B16" t="str">
            <v>ERRY SANJAYA DJAYUS</v>
          </cell>
          <cell r="C16">
            <v>11006944</v>
          </cell>
          <cell r="D16">
            <v>11006944</v>
          </cell>
        </row>
        <row r="17">
          <cell r="B17" t="str">
            <v>EVA SINTAULI SARAGIH</v>
          </cell>
          <cell r="C17">
            <v>17623786</v>
          </cell>
          <cell r="D17">
            <v>17623786</v>
          </cell>
        </row>
        <row r="18">
          <cell r="B18" t="str">
            <v>GDE SANDHYANA PRADHITA</v>
          </cell>
          <cell r="C18">
            <v>3650000</v>
          </cell>
          <cell r="D18">
            <v>3650000</v>
          </cell>
        </row>
        <row r="19">
          <cell r="B19" t="str">
            <v>HAERUDIN</v>
          </cell>
          <cell r="C19">
            <v>5767335</v>
          </cell>
          <cell r="D19">
            <v>5767335</v>
          </cell>
        </row>
        <row r="20">
          <cell r="B20" t="str">
            <v>HARDIAN</v>
          </cell>
          <cell r="C20">
            <v>3563351</v>
          </cell>
          <cell r="D20">
            <v>3563351</v>
          </cell>
        </row>
        <row r="21">
          <cell r="B21" t="str">
            <v>HIMAWAN</v>
          </cell>
          <cell r="C21">
            <v>850694</v>
          </cell>
          <cell r="D21">
            <v>850694</v>
          </cell>
        </row>
        <row r="22">
          <cell r="B22" t="str">
            <v>IRAWATI</v>
          </cell>
          <cell r="C22">
            <v>9525267</v>
          </cell>
          <cell r="D22">
            <v>9525267</v>
          </cell>
        </row>
        <row r="23">
          <cell r="B23" t="str">
            <v>IRWANTO</v>
          </cell>
          <cell r="C23">
            <v>5832511</v>
          </cell>
          <cell r="D23">
            <v>5832511</v>
          </cell>
        </row>
        <row r="24">
          <cell r="B24" t="str">
            <v>KOSIM BIN MARI</v>
          </cell>
          <cell r="C24">
            <v>3450042</v>
          </cell>
          <cell r="D24">
            <v>3450042</v>
          </cell>
        </row>
        <row r="25">
          <cell r="B25" t="str">
            <v>LINDA KURNIATY</v>
          </cell>
          <cell r="C25">
            <v>2395833</v>
          </cell>
          <cell r="D25">
            <v>2395833</v>
          </cell>
        </row>
        <row r="26">
          <cell r="B26" t="str">
            <v>MARINA ARIFIANTI</v>
          </cell>
          <cell r="C26">
            <v>3562500</v>
          </cell>
          <cell r="D26">
            <v>3562500</v>
          </cell>
        </row>
        <row r="27">
          <cell r="B27" t="str">
            <v>MARISA THERESIA SIHOMBING</v>
          </cell>
          <cell r="C27">
            <v>2291667</v>
          </cell>
          <cell r="D27">
            <v>2291667</v>
          </cell>
        </row>
        <row r="28">
          <cell r="B28" t="str">
            <v>MEGAWATI ROSALIO PUTRI</v>
          </cell>
          <cell r="C28">
            <v>1354167</v>
          </cell>
          <cell r="D28">
            <v>1354167</v>
          </cell>
        </row>
        <row r="29">
          <cell r="B29" t="str">
            <v>MOCHAMMAD ZAKY</v>
          </cell>
          <cell r="C29">
            <v>5510000</v>
          </cell>
          <cell r="D29">
            <v>5510000</v>
          </cell>
        </row>
        <row r="30">
          <cell r="B30" t="str">
            <v>NASARUDDIN</v>
          </cell>
          <cell r="C30">
            <v>3402778</v>
          </cell>
          <cell r="D30">
            <v>3402778</v>
          </cell>
        </row>
        <row r="31">
          <cell r="B31" t="str">
            <v>NENNY YUNIARTI</v>
          </cell>
          <cell r="C31">
            <v>5638526</v>
          </cell>
          <cell r="D31">
            <v>5638526</v>
          </cell>
        </row>
        <row r="32">
          <cell r="B32" t="str">
            <v>PRASETYO</v>
          </cell>
          <cell r="C32">
            <v>1733796</v>
          </cell>
          <cell r="D32">
            <v>1733796</v>
          </cell>
        </row>
        <row r="33">
          <cell r="B33" t="str">
            <v>PUJATMANTO BASTRIADI</v>
          </cell>
          <cell r="C33">
            <v>2500000</v>
          </cell>
          <cell r="D33">
            <v>2500000</v>
          </cell>
        </row>
        <row r="34">
          <cell r="B34" t="str">
            <v>RACHMAD KURNIAWAN</v>
          </cell>
          <cell r="C34">
            <v>6629441</v>
          </cell>
          <cell r="D34">
            <v>6629441</v>
          </cell>
        </row>
        <row r="35">
          <cell r="B35" t="str">
            <v>RATNA DEWI</v>
          </cell>
          <cell r="C35">
            <v>1200000</v>
          </cell>
          <cell r="D35">
            <v>1200000</v>
          </cell>
        </row>
        <row r="36">
          <cell r="B36" t="str">
            <v>RISKA TRI HANDINI</v>
          </cell>
          <cell r="C36">
            <v>1665000</v>
          </cell>
          <cell r="D36">
            <v>1665000</v>
          </cell>
        </row>
        <row r="37">
          <cell r="B37" t="str">
            <v>SAMSUL MUSLIM</v>
          </cell>
          <cell r="C37">
            <v>2395833</v>
          </cell>
          <cell r="D37">
            <v>2395833</v>
          </cell>
        </row>
        <row r="38">
          <cell r="B38" t="str">
            <v>SARI GITA TANTINIS</v>
          </cell>
          <cell r="C38">
            <v>2395833</v>
          </cell>
          <cell r="D38">
            <v>2395833</v>
          </cell>
        </row>
        <row r="39">
          <cell r="B39" t="str">
            <v>SARIDI</v>
          </cell>
          <cell r="C39">
            <v>4697816</v>
          </cell>
          <cell r="D39">
            <v>4697816</v>
          </cell>
        </row>
        <row r="40">
          <cell r="B40" t="str">
            <v>SUKADI REDJI</v>
          </cell>
          <cell r="C40">
            <v>12486708</v>
          </cell>
          <cell r="D40">
            <v>12486708</v>
          </cell>
        </row>
        <row r="41">
          <cell r="B41" t="str">
            <v>SUMARTINI</v>
          </cell>
          <cell r="C41">
            <v>17584050</v>
          </cell>
          <cell r="D41">
            <v>17584050</v>
          </cell>
        </row>
        <row r="42">
          <cell r="B42" t="str">
            <v>SYAHLIR</v>
          </cell>
          <cell r="C42">
            <v>2822700</v>
          </cell>
          <cell r="D42">
            <v>2822700</v>
          </cell>
        </row>
        <row r="43">
          <cell r="B43" t="str">
            <v>TEGUH ANDANI</v>
          </cell>
          <cell r="C43">
            <v>9019189</v>
          </cell>
          <cell r="D43">
            <v>9019189</v>
          </cell>
        </row>
        <row r="44">
          <cell r="B44" t="str">
            <v>UNTUNG PRASETYO</v>
          </cell>
          <cell r="C44">
            <v>1190972</v>
          </cell>
          <cell r="D44">
            <v>1190972</v>
          </cell>
        </row>
        <row r="45">
          <cell r="B45" t="str">
            <v>WAHIDIN</v>
          </cell>
          <cell r="C45">
            <v>6939841</v>
          </cell>
          <cell r="D45">
            <v>6939841</v>
          </cell>
        </row>
        <row r="46">
          <cell r="B46" t="str">
            <v>WILLY ADI NUGROHO</v>
          </cell>
          <cell r="C46">
            <v>4125351</v>
          </cell>
          <cell r="D46">
            <v>4125351</v>
          </cell>
        </row>
        <row r="47">
          <cell r="B47" t="str">
            <v>YULIA FAJRI KINANTI</v>
          </cell>
          <cell r="C47">
            <v>1000000</v>
          </cell>
          <cell r="D47">
            <v>1000000</v>
          </cell>
        </row>
        <row r="48">
          <cell r="B48" t="str">
            <v>PUTRI NUR LAKSMI</v>
          </cell>
          <cell r="C48">
            <v>2500000</v>
          </cell>
          <cell r="D48">
            <v>2500000</v>
          </cell>
        </row>
        <row r="49">
          <cell r="B49" t="str">
            <v>ACHMAD TAWAKKAL RAMPA</v>
          </cell>
          <cell r="C49">
            <v>6887500</v>
          </cell>
          <cell r="D49">
            <v>6887500</v>
          </cell>
        </row>
        <row r="50">
          <cell r="B50" t="str">
            <v>MIA MARTINA INDAH</v>
          </cell>
          <cell r="C50">
            <v>1500000</v>
          </cell>
          <cell r="D50">
            <v>1500000</v>
          </cell>
        </row>
        <row r="51">
          <cell r="B51" t="str">
            <v>MUHAMMAD IRVAN WIDYA</v>
          </cell>
          <cell r="C51">
            <v>2500000</v>
          </cell>
          <cell r="D51">
            <v>2500000</v>
          </cell>
        </row>
        <row r="52">
          <cell r="B52" t="str">
            <v>TOGAP HIDAYAT SIAGIAN</v>
          </cell>
          <cell r="C52">
            <v>6154617</v>
          </cell>
          <cell r="D52">
            <v>6154617</v>
          </cell>
        </row>
        <row r="53">
          <cell r="B53" t="str">
            <v>ALDICIO WILLIAM SCHUURMAN</v>
          </cell>
          <cell r="C53">
            <v>1531250</v>
          </cell>
          <cell r="D53">
            <v>1531250</v>
          </cell>
        </row>
        <row r="54">
          <cell r="B54" t="str">
            <v>R. AGUS DODDY DWISAGITA</v>
          </cell>
          <cell r="C54">
            <v>6746750</v>
          </cell>
          <cell r="D54">
            <v>6746750</v>
          </cell>
        </row>
        <row r="55">
          <cell r="B55" t="str">
            <v>BUSROL KARIM</v>
          </cell>
          <cell r="C55">
            <v>1000000</v>
          </cell>
          <cell r="D55">
            <v>1000000</v>
          </cell>
        </row>
        <row r="56">
          <cell r="B56" t="str">
            <v>ADESTA MUNAS LATIEF</v>
          </cell>
          <cell r="C56">
            <v>7522865</v>
          </cell>
          <cell r="D56">
            <v>7522865</v>
          </cell>
        </row>
        <row r="57">
          <cell r="B57" t="str">
            <v>MAT HASAN</v>
          </cell>
          <cell r="C57">
            <v>10608334</v>
          </cell>
          <cell r="D57">
            <v>10608334</v>
          </cell>
        </row>
        <row r="58">
          <cell r="B58" t="str">
            <v>TRI LAKSONO JOENIAWAN</v>
          </cell>
          <cell r="C58">
            <v>7560692</v>
          </cell>
          <cell r="D58">
            <v>7560692</v>
          </cell>
        </row>
        <row r="59">
          <cell r="B59" t="str">
            <v>NUR RAHMAD HIDAYAT</v>
          </cell>
          <cell r="C59">
            <v>2702244</v>
          </cell>
          <cell r="D59">
            <v>2702244</v>
          </cell>
        </row>
        <row r="60">
          <cell r="B60" t="str">
            <v>DWI CAHYA KURNIAWANI</v>
          </cell>
          <cell r="C60">
            <v>3510416</v>
          </cell>
          <cell r="D60">
            <v>3510416</v>
          </cell>
        </row>
        <row r="61">
          <cell r="B61" t="str">
            <v>DHITYA PUTRA RAMADHAN</v>
          </cell>
          <cell r="C61">
            <v>1500000</v>
          </cell>
          <cell r="D61">
            <v>1500000</v>
          </cell>
        </row>
        <row r="62">
          <cell r="B62" t="str">
            <v>MOHAMMAD HASAN</v>
          </cell>
          <cell r="C62">
            <v>13910000</v>
          </cell>
          <cell r="D62">
            <v>13910000</v>
          </cell>
        </row>
        <row r="63">
          <cell r="B63" t="str">
            <v>NOAH CAHYASASMITA</v>
          </cell>
          <cell r="C63">
            <v>5510001</v>
          </cell>
          <cell r="D63">
            <v>5510001</v>
          </cell>
        </row>
        <row r="64">
          <cell r="B64" t="str">
            <v>KARTIKA WIJAYANTI KUSUMAWARDHANI</v>
          </cell>
          <cell r="C64">
            <v>1000000</v>
          </cell>
          <cell r="D64">
            <v>1000000</v>
          </cell>
        </row>
        <row r="65">
          <cell r="B65" t="str">
            <v>TUNJUNG WIDYATMO HANDOYO</v>
          </cell>
          <cell r="C65">
            <v>1000000</v>
          </cell>
          <cell r="D65">
            <v>1000000</v>
          </cell>
        </row>
        <row r="66">
          <cell r="B66" t="str">
            <v>KURNIA FIRMANSYAH</v>
          </cell>
          <cell r="C66">
            <v>500000</v>
          </cell>
          <cell r="D66">
            <v>500000</v>
          </cell>
        </row>
        <row r="67">
          <cell r="B67" t="str">
            <v>ILYAS</v>
          </cell>
          <cell r="C67">
            <v>500000</v>
          </cell>
          <cell r="D67">
            <v>500000</v>
          </cell>
        </row>
        <row r="68">
          <cell r="B68" t="str">
            <v>HARDIKA RATDITYA ARDYANTO</v>
          </cell>
          <cell r="C68">
            <v>1889063</v>
          </cell>
          <cell r="D68">
            <v>1889063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D5">
            <v>500000</v>
          </cell>
        </row>
        <row r="6">
          <cell r="D6">
            <v>400000</v>
          </cell>
        </row>
      </sheetData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FTAR (2)"/>
      <sheetName val="REKAP"/>
      <sheetName val="DAFTAR (No Tittle)"/>
      <sheetName val="KHUSUS&amp;REG"/>
      <sheetName val="BANK MANDIRI"/>
      <sheetName val="BSI"/>
    </sheetNames>
    <sheetDataSet>
      <sheetData sheetId="0" refreshError="1"/>
      <sheetData sheetId="1" refreshError="1"/>
      <sheetData sheetId="2">
        <row r="8">
          <cell r="B8" t="str">
            <v>INDRA PERMANA</v>
          </cell>
          <cell r="C8">
            <v>150000</v>
          </cell>
          <cell r="D8">
            <v>8671513</v>
          </cell>
        </row>
        <row r="9">
          <cell r="B9" t="str">
            <v>RM KURNAEFI</v>
          </cell>
          <cell r="C9">
            <v>150000</v>
          </cell>
          <cell r="D9">
            <v>0</v>
          </cell>
        </row>
        <row r="10">
          <cell r="B10" t="str">
            <v>RONY WIRANTO SETIAWAN</v>
          </cell>
          <cell r="C10">
            <v>150000</v>
          </cell>
          <cell r="D10">
            <v>0</v>
          </cell>
        </row>
        <row r="11">
          <cell r="B11" t="str">
            <v>SOLEH ABIDIN</v>
          </cell>
          <cell r="C11">
            <v>150000</v>
          </cell>
          <cell r="D11">
            <v>7597381</v>
          </cell>
        </row>
        <row r="12">
          <cell r="B12" t="str">
            <v>TONI SYARIF HIDAYAH</v>
          </cell>
          <cell r="C12">
            <v>150000</v>
          </cell>
          <cell r="D12">
            <v>0</v>
          </cell>
        </row>
        <row r="13">
          <cell r="B13" t="str">
            <v>NARSO</v>
          </cell>
          <cell r="C13">
            <v>250000</v>
          </cell>
          <cell r="D13">
            <v>0</v>
          </cell>
        </row>
        <row r="14">
          <cell r="B14" t="str">
            <v>MUHAMMAD IDI</v>
          </cell>
          <cell r="C14">
            <v>500000</v>
          </cell>
          <cell r="D14">
            <v>0</v>
          </cell>
        </row>
        <row r="15">
          <cell r="B15" t="str">
            <v>HARDI E. P. SIAGIAN</v>
          </cell>
          <cell r="C15">
            <v>150000</v>
          </cell>
          <cell r="D15">
            <v>0</v>
          </cell>
        </row>
        <row r="16">
          <cell r="B16" t="str">
            <v>WILDANIS MIFTAHUL ABROR</v>
          </cell>
          <cell r="C16">
            <v>150000</v>
          </cell>
          <cell r="D16">
            <v>0</v>
          </cell>
        </row>
        <row r="17">
          <cell r="B17" t="str">
            <v>MUHAMAD BAQI</v>
          </cell>
          <cell r="C17">
            <v>250000</v>
          </cell>
          <cell r="D17">
            <v>0</v>
          </cell>
        </row>
        <row r="18">
          <cell r="B18" t="str">
            <v>IRWAN EKO SANTOSO</v>
          </cell>
          <cell r="C18">
            <v>250000</v>
          </cell>
          <cell r="D18">
            <v>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NDA TERIMA"/>
      <sheetName val="DAFTAR (2)"/>
      <sheetName val="REKAP"/>
      <sheetName val="DAFTAR"/>
      <sheetName val="Khusus &amp; reguler"/>
      <sheetName val="BSI"/>
      <sheetName val="BANK MANDIRI"/>
      <sheetName val="DKI (2)"/>
      <sheetName val="BRIS"/>
      <sheetName val="BRIS (2)"/>
      <sheetName val="BJB"/>
      <sheetName val="MANDIRI"/>
    </sheetNames>
    <sheetDataSet>
      <sheetData sheetId="0" refreshError="1"/>
      <sheetData sheetId="1" refreshError="1"/>
      <sheetData sheetId="2" refreshError="1"/>
      <sheetData sheetId="3">
        <row r="8">
          <cell r="B8" t="str">
            <v>BUDIMAN JOHANSYAH</v>
          </cell>
          <cell r="C8">
            <v>350000</v>
          </cell>
          <cell r="D8">
            <v>0</v>
          </cell>
          <cell r="E8">
            <v>0</v>
          </cell>
        </row>
        <row r="9">
          <cell r="B9" t="str">
            <v>BAMBANG WIJANARKO</v>
          </cell>
          <cell r="C9">
            <v>150000</v>
          </cell>
          <cell r="D9">
            <v>0</v>
          </cell>
          <cell r="E9">
            <v>2500000</v>
          </cell>
        </row>
        <row r="10">
          <cell r="B10" t="str">
            <v>DINO VITA LARASANTO</v>
          </cell>
          <cell r="C10">
            <v>150000</v>
          </cell>
          <cell r="D10">
            <v>0</v>
          </cell>
          <cell r="E10">
            <v>2041667</v>
          </cell>
        </row>
        <row r="11">
          <cell r="B11" t="str">
            <v>DIMAS PUTRA PRASETYO</v>
          </cell>
          <cell r="C11">
            <v>100000</v>
          </cell>
          <cell r="D11">
            <v>0</v>
          </cell>
          <cell r="E11">
            <v>2500000</v>
          </cell>
        </row>
        <row r="12">
          <cell r="B12" t="str">
            <v>HARRYS PAHALA MANALU</v>
          </cell>
          <cell r="C12">
            <v>150000</v>
          </cell>
          <cell r="D12">
            <v>0</v>
          </cell>
          <cell r="E12">
            <v>1890628</v>
          </cell>
        </row>
        <row r="13">
          <cell r="B13" t="str">
            <v>FATKHURROHMAN</v>
          </cell>
          <cell r="C13">
            <v>100000</v>
          </cell>
          <cell r="D13">
            <v>0</v>
          </cell>
          <cell r="E13">
            <v>0</v>
          </cell>
        </row>
        <row r="14">
          <cell r="B14" t="str">
            <v>ELVA MOCHAMAD RAMDHANI</v>
          </cell>
          <cell r="C14">
            <v>350000</v>
          </cell>
          <cell r="D14">
            <v>0</v>
          </cell>
          <cell r="E14">
            <v>0</v>
          </cell>
        </row>
        <row r="15">
          <cell r="B15" t="str">
            <v>RAHADI SIGIT WICAKSONO</v>
          </cell>
          <cell r="C15">
            <v>150000</v>
          </cell>
          <cell r="D15">
            <v>0</v>
          </cell>
          <cell r="E15">
            <v>0</v>
          </cell>
        </row>
        <row r="16">
          <cell r="B16" t="str">
            <v>SYAFRIL</v>
          </cell>
          <cell r="C16">
            <v>150000</v>
          </cell>
          <cell r="D16">
            <v>0</v>
          </cell>
          <cell r="E16">
            <v>2500000</v>
          </cell>
        </row>
        <row r="17">
          <cell r="B17" t="str">
            <v>SUDIRO</v>
          </cell>
          <cell r="C17">
            <v>250000</v>
          </cell>
          <cell r="D17">
            <v>0</v>
          </cell>
          <cell r="E17">
            <v>0</v>
          </cell>
        </row>
        <row r="18">
          <cell r="B18" t="str">
            <v>SUSETYO WIJANARKO BUDIARDHI</v>
          </cell>
          <cell r="C18">
            <v>150000</v>
          </cell>
          <cell r="D18">
            <v>0</v>
          </cell>
          <cell r="E18">
            <v>958333</v>
          </cell>
        </row>
        <row r="19">
          <cell r="B19" t="str">
            <v>MUH. ASPAR</v>
          </cell>
          <cell r="C19">
            <v>250000</v>
          </cell>
          <cell r="D19">
            <v>0</v>
          </cell>
          <cell r="E19">
            <v>3075835</v>
          </cell>
        </row>
        <row r="20">
          <cell r="B20" t="str">
            <v>KENNEDI PANGARIBUAN</v>
          </cell>
          <cell r="C20">
            <v>150000</v>
          </cell>
          <cell r="D20">
            <v>0</v>
          </cell>
          <cell r="E20">
            <v>0</v>
          </cell>
        </row>
        <row r="21">
          <cell r="B21" t="str">
            <v>DANIEL MAHARDHIKA</v>
          </cell>
          <cell r="C21">
            <v>250000</v>
          </cell>
          <cell r="D21">
            <v>0</v>
          </cell>
          <cell r="E21">
            <v>0</v>
          </cell>
        </row>
        <row r="22">
          <cell r="B22" t="str">
            <v>HENDI ZULFAN</v>
          </cell>
          <cell r="C22">
            <v>150000</v>
          </cell>
          <cell r="D22">
            <v>0</v>
          </cell>
          <cell r="E22">
            <v>0</v>
          </cell>
        </row>
        <row r="23">
          <cell r="B23" t="str">
            <v>FERNANDO S</v>
          </cell>
          <cell r="C23">
            <v>150000</v>
          </cell>
          <cell r="D23">
            <v>0</v>
          </cell>
          <cell r="E23">
            <v>0</v>
          </cell>
        </row>
        <row r="24">
          <cell r="B24" t="str">
            <v>MERDIANSAH</v>
          </cell>
          <cell r="C24">
            <v>250000</v>
          </cell>
          <cell r="D24">
            <v>0</v>
          </cell>
          <cell r="E24">
            <v>0</v>
          </cell>
        </row>
        <row r="25">
          <cell r="B25" t="str">
            <v>AZHAR GHIPARI</v>
          </cell>
          <cell r="C25">
            <v>100000</v>
          </cell>
          <cell r="D25">
            <v>0</v>
          </cell>
          <cell r="E25">
            <v>1700000</v>
          </cell>
        </row>
        <row r="26">
          <cell r="B26" t="str">
            <v>EDIT HASTA PRIHANTIKA</v>
          </cell>
          <cell r="C26">
            <v>100000</v>
          </cell>
          <cell r="D26">
            <v>0</v>
          </cell>
          <cell r="E26">
            <v>2400000</v>
          </cell>
        </row>
        <row r="27">
          <cell r="B27" t="str">
            <v>NOVELLA MUSYA</v>
          </cell>
          <cell r="C27">
            <v>150000</v>
          </cell>
          <cell r="D27">
            <v>0</v>
          </cell>
          <cell r="E27">
            <v>0</v>
          </cell>
        </row>
        <row r="28">
          <cell r="B28" t="str">
            <v>RIZKI ALDILLA TAMTURA</v>
          </cell>
          <cell r="C28">
            <v>150000</v>
          </cell>
          <cell r="D28">
            <v>0</v>
          </cell>
          <cell r="E28">
            <v>985417</v>
          </cell>
        </row>
        <row r="29">
          <cell r="B29" t="str">
            <v>SATRIA ADI SUKMA NEGARA</v>
          </cell>
          <cell r="C29">
            <v>100000</v>
          </cell>
          <cell r="D29">
            <v>0</v>
          </cell>
          <cell r="E29">
            <v>2500000</v>
          </cell>
        </row>
        <row r="30">
          <cell r="B30" t="str">
            <v>MUHAMMAD SOFIAN</v>
          </cell>
          <cell r="C30">
            <v>100000</v>
          </cell>
          <cell r="D30">
            <v>0</v>
          </cell>
          <cell r="E30">
            <v>5075758</v>
          </cell>
        </row>
        <row r="31">
          <cell r="B31" t="str">
            <v>ABD. RAHMAN</v>
          </cell>
          <cell r="C31">
            <v>150000</v>
          </cell>
          <cell r="D31">
            <v>0</v>
          </cell>
          <cell r="E31">
            <v>3408467</v>
          </cell>
        </row>
        <row r="32">
          <cell r="B32" t="str">
            <v>ISMAIL</v>
          </cell>
          <cell r="C32">
            <v>350000</v>
          </cell>
          <cell r="D32">
            <v>0</v>
          </cell>
          <cell r="E32">
            <v>0</v>
          </cell>
        </row>
        <row r="33">
          <cell r="B33" t="str">
            <v>NERLAN PASARIBU</v>
          </cell>
          <cell r="C33">
            <v>250000</v>
          </cell>
          <cell r="D33">
            <v>0</v>
          </cell>
          <cell r="E33">
            <v>0</v>
          </cell>
        </row>
        <row r="34">
          <cell r="B34" t="str">
            <v>R. ADE WARDOYO WINOTO PUTRO</v>
          </cell>
          <cell r="C34">
            <v>150000</v>
          </cell>
          <cell r="D34">
            <v>0</v>
          </cell>
          <cell r="E34">
            <v>4863285</v>
          </cell>
        </row>
        <row r="35">
          <cell r="B35" t="str">
            <v>ARY FIRMANSYAH FIRLI</v>
          </cell>
          <cell r="C35">
            <v>150000</v>
          </cell>
          <cell r="D35">
            <v>0</v>
          </cell>
          <cell r="E35">
            <v>2500000</v>
          </cell>
        </row>
        <row r="36">
          <cell r="B36" t="str">
            <v>HEDIAR HAPRI BANGABUA</v>
          </cell>
          <cell r="C36">
            <v>150000</v>
          </cell>
          <cell r="D36">
            <v>0</v>
          </cell>
          <cell r="E36">
            <v>1625122</v>
          </cell>
        </row>
        <row r="37">
          <cell r="B37" t="str">
            <v>FERRY HARFIANTO EFFENDY</v>
          </cell>
          <cell r="C37">
            <v>350000</v>
          </cell>
          <cell r="D37">
            <v>0</v>
          </cell>
          <cell r="E37">
            <v>2500000</v>
          </cell>
        </row>
        <row r="38">
          <cell r="B38" t="str">
            <v>DANDY RUKMANA</v>
          </cell>
          <cell r="C38">
            <v>150000</v>
          </cell>
          <cell r="D38">
            <v>0</v>
          </cell>
          <cell r="E38">
            <v>2125000</v>
          </cell>
        </row>
        <row r="39">
          <cell r="B39" t="str">
            <v>ARIF RACHMAN</v>
          </cell>
          <cell r="C39">
            <v>150000</v>
          </cell>
          <cell r="D39">
            <v>0</v>
          </cell>
          <cell r="E39">
            <v>1000000</v>
          </cell>
        </row>
        <row r="40">
          <cell r="B40" t="str">
            <v>EFRY TALLAMMA</v>
          </cell>
          <cell r="C40">
            <v>150000</v>
          </cell>
          <cell r="D40">
            <v>0</v>
          </cell>
          <cell r="E40">
            <v>0</v>
          </cell>
        </row>
        <row r="41">
          <cell r="B41" t="str">
            <v>WAHJOE ARIO TEDJO</v>
          </cell>
          <cell r="C41">
            <v>350000</v>
          </cell>
          <cell r="D41">
            <v>0</v>
          </cell>
          <cell r="E41">
            <v>11907733</v>
          </cell>
        </row>
        <row r="42">
          <cell r="B42" t="str">
            <v>WAWAN PRIYA WIDYANTA</v>
          </cell>
          <cell r="C42">
            <v>250000</v>
          </cell>
          <cell r="D42">
            <v>0</v>
          </cell>
          <cell r="E42">
            <v>9373356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NDA TERIMA"/>
      <sheetName val="DAFTAR (2)"/>
      <sheetName val="REKAP (2)"/>
      <sheetName val="REKAP (3)"/>
      <sheetName val="REKAP"/>
      <sheetName val="DAFTAR"/>
      <sheetName val="Khusus &amp; reguler"/>
      <sheetName val="BSI"/>
      <sheetName val="DKI (2)"/>
      <sheetName val="DKI(LUNAS)"/>
      <sheetName val="BRIS"/>
      <sheetName val="BJ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7">
          <cell r="B7" t="str">
            <v>AGUS SUNARTO</v>
          </cell>
          <cell r="C7">
            <v>150000</v>
          </cell>
          <cell r="D7">
            <v>0</v>
          </cell>
          <cell r="E7">
            <v>0</v>
          </cell>
        </row>
        <row r="8">
          <cell r="B8" t="str">
            <v>BURHANUDDIN</v>
          </cell>
          <cell r="C8">
            <v>100000</v>
          </cell>
          <cell r="D8">
            <v>0</v>
          </cell>
          <cell r="E8">
            <v>1000000</v>
          </cell>
        </row>
        <row r="9">
          <cell r="B9" t="str">
            <v>ELVINO YUSKA PUTRA</v>
          </cell>
          <cell r="C9">
            <v>100000</v>
          </cell>
          <cell r="D9">
            <v>0</v>
          </cell>
          <cell r="E9">
            <v>1000000</v>
          </cell>
        </row>
        <row r="10">
          <cell r="B10" t="str">
            <v>WINARTO</v>
          </cell>
          <cell r="C10">
            <v>350000</v>
          </cell>
          <cell r="D10">
            <v>0</v>
          </cell>
          <cell r="E10">
            <v>0</v>
          </cell>
        </row>
        <row r="11">
          <cell r="B11" t="str">
            <v>JOKO SUSILO</v>
          </cell>
          <cell r="C11">
            <v>100000</v>
          </cell>
          <cell r="D11">
            <v>0</v>
          </cell>
          <cell r="E11">
            <v>0</v>
          </cell>
        </row>
        <row r="12">
          <cell r="B12" t="str">
            <v>WAHYU PRIAMBODO</v>
          </cell>
          <cell r="C12">
            <v>350000</v>
          </cell>
          <cell r="D12">
            <v>0</v>
          </cell>
          <cell r="E12">
            <v>0</v>
          </cell>
        </row>
        <row r="13">
          <cell r="B13" t="str">
            <v>R. SAPTO AGUNG PRAMUSINTO</v>
          </cell>
          <cell r="C13">
            <v>350000</v>
          </cell>
          <cell r="D13">
            <v>0</v>
          </cell>
          <cell r="E13">
            <v>0</v>
          </cell>
        </row>
        <row r="14">
          <cell r="B14" t="str">
            <v>YUDI PRAWOTO</v>
          </cell>
          <cell r="C14">
            <v>350000</v>
          </cell>
          <cell r="D14">
            <v>0</v>
          </cell>
          <cell r="E14">
            <v>0</v>
          </cell>
        </row>
        <row r="15">
          <cell r="B15" t="str">
            <v>TANTRY OCTAVIANI</v>
          </cell>
          <cell r="C15">
            <v>100000</v>
          </cell>
          <cell r="D15">
            <v>0</v>
          </cell>
          <cell r="E15">
            <v>0</v>
          </cell>
        </row>
        <row r="16">
          <cell r="B16" t="str">
            <v>HELDA YULISTIANI</v>
          </cell>
          <cell r="C16">
            <v>100000</v>
          </cell>
          <cell r="D16">
            <v>0</v>
          </cell>
          <cell r="E16">
            <v>0</v>
          </cell>
        </row>
        <row r="17">
          <cell r="B17" t="str">
            <v>YUSRIADY BOROALLO RUGA</v>
          </cell>
          <cell r="C17">
            <v>150000</v>
          </cell>
          <cell r="D17">
            <v>0</v>
          </cell>
          <cell r="E17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NDA TERIMA"/>
      <sheetName val="DAFTAR "/>
      <sheetName val="REKAP"/>
      <sheetName val="KHUSUS &amp; REGULER ORGANIK"/>
      <sheetName val="BJB ORGANIK"/>
      <sheetName val="BANK MANDIRI"/>
      <sheetName val="DAFTAR ORGANIK"/>
      <sheetName val="KHUSUS &amp; REGULER"/>
      <sheetName val="BSI"/>
      <sheetName val="KHUSUS &amp; REGULER KONTRAK KERJA"/>
      <sheetName val="DKI 1&amp; 2 (LUNAS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B8" t="str">
            <v>ARDHIAN BUDI SULISTIYO</v>
          </cell>
          <cell r="C8">
            <v>350000</v>
          </cell>
          <cell r="D8">
            <v>0</v>
          </cell>
          <cell r="E8">
            <v>0</v>
          </cell>
        </row>
        <row r="9">
          <cell r="B9" t="str">
            <v>HERY ALWIS</v>
          </cell>
          <cell r="C9">
            <v>100000</v>
          </cell>
          <cell r="D9">
            <v>0</v>
          </cell>
          <cell r="E9">
            <v>0</v>
          </cell>
        </row>
        <row r="10">
          <cell r="B10" t="str">
            <v>MUHAMMAD TEGUH WIDODO</v>
          </cell>
          <cell r="C10">
            <v>100000</v>
          </cell>
          <cell r="D10">
            <v>0</v>
          </cell>
          <cell r="E10">
            <v>0</v>
          </cell>
        </row>
        <row r="11">
          <cell r="B11" t="str">
            <v>SATRIA ALDI PERMANA</v>
          </cell>
          <cell r="C11">
            <v>100000</v>
          </cell>
          <cell r="D11">
            <v>0</v>
          </cell>
          <cell r="E11">
            <v>0</v>
          </cell>
        </row>
        <row r="12">
          <cell r="B12" t="str">
            <v>DR  KARTIKA KUS HENDRATNA</v>
          </cell>
          <cell r="C12">
            <v>500000</v>
          </cell>
          <cell r="D12">
            <v>0</v>
          </cell>
          <cell r="E12">
            <v>0</v>
          </cell>
        </row>
        <row r="13">
          <cell r="B13" t="str">
            <v>FARIED</v>
          </cell>
          <cell r="C13">
            <v>350000</v>
          </cell>
          <cell r="D13">
            <v>0</v>
          </cell>
          <cell r="E13">
            <v>4722725</v>
          </cell>
        </row>
        <row r="14">
          <cell r="B14" t="str">
            <v>RANDY YOLANDA ANNOFCI PRATAMA</v>
          </cell>
          <cell r="C14">
            <v>150000</v>
          </cell>
          <cell r="D14">
            <v>0</v>
          </cell>
          <cell r="E14">
            <v>0</v>
          </cell>
        </row>
        <row r="15">
          <cell r="B15" t="str">
            <v>ARIF PURWONO</v>
          </cell>
          <cell r="C15">
            <v>350000</v>
          </cell>
          <cell r="D15">
            <v>0</v>
          </cell>
          <cell r="E15">
            <v>0</v>
          </cell>
        </row>
        <row r="16">
          <cell r="B16" t="str">
            <v>NEVI EKO YULIANANTO</v>
          </cell>
          <cell r="C16">
            <v>250000</v>
          </cell>
          <cell r="D16">
            <v>0</v>
          </cell>
          <cell r="E16">
            <v>0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5205C-C04D-4E59-B77A-49B17F6C5907}">
  <dimension ref="A1:L783"/>
  <sheetViews>
    <sheetView tabSelected="1" zoomScaleNormal="100" workbookViewId="0">
      <pane xSplit="2" ySplit="1" topLeftCell="C566" activePane="bottomRight" state="frozen"/>
      <selection pane="topRight" activeCell="C1" sqref="C1"/>
      <selection pane="bottomLeft" activeCell="A2" sqref="A2"/>
      <selection pane="bottomRight" activeCell="B574" sqref="B574"/>
    </sheetView>
  </sheetViews>
  <sheetFormatPr defaultRowHeight="14.5" x14ac:dyDescent="0.35"/>
  <cols>
    <col min="1" max="1" width="7" style="1" bestFit="1" customWidth="1"/>
    <col min="2" max="2" width="28.08984375" style="1" customWidth="1"/>
    <col min="3" max="3" width="7.81640625" style="1" customWidth="1"/>
    <col min="4" max="4" width="33.90625" style="1" customWidth="1"/>
    <col min="5" max="5" width="36.6328125" style="1" customWidth="1"/>
    <col min="6" max="6" width="53.81640625" style="1" customWidth="1"/>
    <col min="7" max="7" width="12.90625" style="2" bestFit="1" customWidth="1"/>
    <col min="8" max="8" width="13.7265625" style="2" bestFit="1" customWidth="1"/>
    <col min="9" max="9" width="12.26953125" customWidth="1"/>
    <col min="10" max="10" width="77.54296875" bestFit="1" customWidth="1"/>
    <col min="11" max="12" width="12.1796875" bestFit="1" customWidth="1"/>
  </cols>
  <sheetData>
    <row r="1" spans="1:9" x14ac:dyDescent="0.35">
      <c r="A1" s="1" t="s">
        <v>0</v>
      </c>
      <c r="B1" s="1" t="s">
        <v>1</v>
      </c>
      <c r="C1" s="1" t="s">
        <v>2027</v>
      </c>
      <c r="D1" s="1" t="s">
        <v>2</v>
      </c>
      <c r="E1" s="1" t="s">
        <v>3</v>
      </c>
      <c r="F1" s="1" t="s">
        <v>1704</v>
      </c>
      <c r="G1" s="2" t="s">
        <v>1992</v>
      </c>
      <c r="H1" s="2" t="s">
        <v>1993</v>
      </c>
    </row>
    <row r="2" spans="1:9" x14ac:dyDescent="0.35">
      <c r="A2" s="1" t="s">
        <v>4</v>
      </c>
      <c r="B2" s="1" t="s">
        <v>5</v>
      </c>
      <c r="D2" s="1" t="s">
        <v>6</v>
      </c>
      <c r="E2" s="1" t="s">
        <v>6</v>
      </c>
      <c r="F2" s="1" t="s">
        <v>1379</v>
      </c>
      <c r="G2" s="2">
        <v>0</v>
      </c>
      <c r="H2" s="2">
        <v>0</v>
      </c>
    </row>
    <row r="3" spans="1:9" x14ac:dyDescent="0.35">
      <c r="A3" s="1" t="s">
        <v>7</v>
      </c>
      <c r="B3" s="1" t="s">
        <v>8</v>
      </c>
      <c r="D3" s="1" t="s">
        <v>9</v>
      </c>
      <c r="E3" s="1" t="s">
        <v>9</v>
      </c>
      <c r="F3" s="1" t="s">
        <v>1380</v>
      </c>
      <c r="G3" s="2">
        <f>VLOOKUP(B3,'[1]REKAP POTONGAN'!B$6:D$93,3,FALSE)</f>
        <v>350000</v>
      </c>
      <c r="H3" s="2">
        <f>VLOOKUP(B3,'[1]REKAP POTONGAN'!B$6:C$93,2,FALSE)</f>
        <v>0</v>
      </c>
      <c r="I3" s="27"/>
    </row>
    <row r="4" spans="1:9" x14ac:dyDescent="0.35">
      <c r="A4" s="1" t="s">
        <v>10</v>
      </c>
      <c r="B4" s="1" t="s">
        <v>11</v>
      </c>
      <c r="D4" s="1" t="s">
        <v>9</v>
      </c>
      <c r="E4" s="1" t="s">
        <v>9</v>
      </c>
      <c r="F4" s="1" t="s">
        <v>1381</v>
      </c>
      <c r="G4" s="2">
        <f>VLOOKUP(B4,'[1]REKAP POTONGAN'!B$6:D$93,3,FALSE)</f>
        <v>150000</v>
      </c>
      <c r="H4" s="2">
        <f>VLOOKUP(B4,'[1]REKAP POTONGAN'!B$6:C$93,2,FALSE)</f>
        <v>0</v>
      </c>
      <c r="I4" s="27"/>
    </row>
    <row r="5" spans="1:9" x14ac:dyDescent="0.35">
      <c r="A5" s="1" t="s">
        <v>12</v>
      </c>
      <c r="B5" s="1" t="s">
        <v>13</v>
      </c>
      <c r="D5" s="1" t="s">
        <v>9</v>
      </c>
      <c r="E5" s="1" t="s">
        <v>9</v>
      </c>
      <c r="F5" s="1" t="s">
        <v>1382</v>
      </c>
      <c r="G5" s="2">
        <f>VLOOKUP(B5,'[1]REKAP POTONGAN'!B$6:D$93,3,FALSE)</f>
        <v>250000</v>
      </c>
      <c r="H5" s="2">
        <f>VLOOKUP(B5,'[1]REKAP POTONGAN'!B$6:C$93,2,FALSE)</f>
        <v>6272588</v>
      </c>
      <c r="I5" s="27"/>
    </row>
    <row r="6" spans="1:9" x14ac:dyDescent="0.35">
      <c r="A6" s="1" t="s">
        <v>14</v>
      </c>
      <c r="B6" s="1" t="s">
        <v>15</v>
      </c>
      <c r="D6" s="1" t="s">
        <v>16</v>
      </c>
      <c r="E6" s="1" t="s">
        <v>9</v>
      </c>
      <c r="F6" s="1" t="s">
        <v>1383</v>
      </c>
      <c r="G6" s="2">
        <v>0</v>
      </c>
      <c r="H6" s="2">
        <v>0</v>
      </c>
    </row>
    <row r="7" spans="1:9" x14ac:dyDescent="0.35">
      <c r="A7" s="1" t="s">
        <v>17</v>
      </c>
      <c r="B7" s="1" t="s">
        <v>18</v>
      </c>
      <c r="D7" s="1" t="s">
        <v>9</v>
      </c>
      <c r="E7" s="1" t="s">
        <v>9</v>
      </c>
      <c r="F7" s="1" t="s">
        <v>1379</v>
      </c>
      <c r="G7" s="2">
        <v>0</v>
      </c>
      <c r="H7" s="2">
        <v>0</v>
      </c>
    </row>
    <row r="8" spans="1:9" x14ac:dyDescent="0.35">
      <c r="A8" s="1" t="s">
        <v>19</v>
      </c>
      <c r="B8" s="1" t="s">
        <v>20</v>
      </c>
      <c r="D8" s="1" t="s">
        <v>9</v>
      </c>
      <c r="E8" s="1" t="s">
        <v>9</v>
      </c>
      <c r="F8" s="1" t="s">
        <v>1384</v>
      </c>
      <c r="G8" s="2">
        <v>0</v>
      </c>
      <c r="H8" s="2">
        <v>0</v>
      </c>
    </row>
    <row r="9" spans="1:9" x14ac:dyDescent="0.35">
      <c r="A9" s="1" t="s">
        <v>21</v>
      </c>
      <c r="B9" s="1" t="s">
        <v>22</v>
      </c>
      <c r="D9" s="1" t="s">
        <v>9</v>
      </c>
      <c r="E9" s="1" t="s">
        <v>9</v>
      </c>
      <c r="F9" s="1" t="s">
        <v>1381</v>
      </c>
      <c r="G9" s="2">
        <f>VLOOKUP(B9,'[1]REKAP POTONGAN'!B$6:D$93,3,FALSE)</f>
        <v>150000</v>
      </c>
      <c r="H9" s="2">
        <f>VLOOKUP(B9,'[1]REKAP POTONGAN'!B$6:C$93,2,FALSE)</f>
        <v>0</v>
      </c>
      <c r="I9" s="27"/>
    </row>
    <row r="10" spans="1:9" x14ac:dyDescent="0.35">
      <c r="A10" s="1" t="s">
        <v>23</v>
      </c>
      <c r="B10" s="1" t="s">
        <v>24</v>
      </c>
      <c r="D10" s="1" t="s">
        <v>9</v>
      </c>
      <c r="E10" s="1" t="s">
        <v>9</v>
      </c>
      <c r="F10" s="1" t="s">
        <v>1385</v>
      </c>
      <c r="G10" s="2">
        <v>0</v>
      </c>
      <c r="H10" s="2">
        <v>0</v>
      </c>
    </row>
    <row r="11" spans="1:9" x14ac:dyDescent="0.35">
      <c r="A11" s="1" t="s">
        <v>25</v>
      </c>
      <c r="B11" s="1" t="s">
        <v>26</v>
      </c>
      <c r="D11" s="1" t="s">
        <v>27</v>
      </c>
      <c r="E11" s="1" t="s">
        <v>27</v>
      </c>
      <c r="F11" s="1" t="s">
        <v>1386</v>
      </c>
      <c r="G11" s="2">
        <v>0</v>
      </c>
      <c r="H11" s="2">
        <v>0</v>
      </c>
    </row>
    <row r="12" spans="1:9" x14ac:dyDescent="0.35">
      <c r="A12" s="1" t="s">
        <v>28</v>
      </c>
      <c r="B12" s="1" t="s">
        <v>29</v>
      </c>
      <c r="D12" s="1" t="s">
        <v>27</v>
      </c>
      <c r="E12" s="1" t="s">
        <v>27</v>
      </c>
      <c r="F12" s="1" t="s">
        <v>1381</v>
      </c>
      <c r="G12" s="2">
        <v>0</v>
      </c>
      <c r="H12" s="2">
        <v>0</v>
      </c>
    </row>
    <row r="13" spans="1:9" x14ac:dyDescent="0.35">
      <c r="A13" s="1" t="s">
        <v>30</v>
      </c>
      <c r="B13" s="1" t="s">
        <v>31</v>
      </c>
      <c r="D13" s="1" t="s">
        <v>27</v>
      </c>
      <c r="E13" s="1" t="s">
        <v>27</v>
      </c>
      <c r="F13" s="1" t="s">
        <v>1382</v>
      </c>
      <c r="G13" s="2">
        <v>0</v>
      </c>
      <c r="H13" s="2">
        <v>0</v>
      </c>
    </row>
    <row r="14" spans="1:9" x14ac:dyDescent="0.35">
      <c r="A14" s="1" t="s">
        <v>32</v>
      </c>
      <c r="B14" s="1" t="s">
        <v>33</v>
      </c>
      <c r="D14" s="1" t="s">
        <v>27</v>
      </c>
      <c r="E14" s="1" t="s">
        <v>27</v>
      </c>
      <c r="F14" s="1" t="s">
        <v>1384</v>
      </c>
      <c r="G14" s="2">
        <v>0</v>
      </c>
      <c r="H14" s="2">
        <v>0</v>
      </c>
    </row>
    <row r="15" spans="1:9" x14ac:dyDescent="0.35">
      <c r="A15" s="1" t="s">
        <v>34</v>
      </c>
      <c r="B15" s="1" t="s">
        <v>35</v>
      </c>
      <c r="D15" s="1" t="s">
        <v>36</v>
      </c>
      <c r="E15" s="1" t="s">
        <v>36</v>
      </c>
      <c r="F15" s="1" t="s">
        <v>1384</v>
      </c>
      <c r="G15" s="2">
        <v>0</v>
      </c>
      <c r="H15" s="2">
        <v>0</v>
      </c>
    </row>
    <row r="16" spans="1:9" x14ac:dyDescent="0.35">
      <c r="A16" s="1" t="s">
        <v>37</v>
      </c>
      <c r="B16" s="1" t="s">
        <v>38</v>
      </c>
      <c r="D16" s="1" t="s">
        <v>39</v>
      </c>
      <c r="E16" s="1" t="s">
        <v>39</v>
      </c>
      <c r="F16" s="1" t="s">
        <v>1379</v>
      </c>
      <c r="G16" s="2">
        <f>VLOOKUP(B16,'[1]REKAP POTONGAN'!B$6:D$93,3,FALSE)</f>
        <v>250000</v>
      </c>
      <c r="H16" s="2">
        <f>VLOOKUP(B16,'[1]REKAP POTONGAN'!B$6:C$93,2,FALSE)</f>
        <v>0</v>
      </c>
      <c r="I16" s="27"/>
    </row>
    <row r="17" spans="1:9" x14ac:dyDescent="0.35">
      <c r="A17" s="1" t="s">
        <v>40</v>
      </c>
      <c r="B17" s="1" t="s">
        <v>41</v>
      </c>
      <c r="D17" s="1" t="s">
        <v>42</v>
      </c>
      <c r="E17" s="1" t="s">
        <v>42</v>
      </c>
      <c r="F17" s="1" t="s">
        <v>1387</v>
      </c>
      <c r="G17" s="2">
        <f>VLOOKUP(B17,'[1]REKAP POTONGAN'!B$6:D$93,3,FALSE)</f>
        <v>150000</v>
      </c>
      <c r="H17" s="2">
        <f>VLOOKUP(B17,'[1]REKAP POTONGAN'!B$6:C$93,2,FALSE)</f>
        <v>0</v>
      </c>
      <c r="I17" s="27"/>
    </row>
    <row r="18" spans="1:9" x14ac:dyDescent="0.35">
      <c r="A18" s="1" t="s">
        <v>43</v>
      </c>
      <c r="B18" s="1" t="s">
        <v>44</v>
      </c>
      <c r="D18" s="1" t="s">
        <v>42</v>
      </c>
      <c r="E18" s="1" t="s">
        <v>42</v>
      </c>
      <c r="F18" s="1" t="s">
        <v>1381</v>
      </c>
      <c r="G18" s="2">
        <f>VLOOKUP(B18,'[1]REKAP POTONGAN'!B$6:D$93,3,FALSE)</f>
        <v>150000</v>
      </c>
      <c r="H18" s="2">
        <f>VLOOKUP(B18,'[1]REKAP POTONGAN'!B$6:C$93,2,FALSE)</f>
        <v>0</v>
      </c>
      <c r="I18" s="27"/>
    </row>
    <row r="19" spans="1:9" x14ac:dyDescent="0.35">
      <c r="A19" s="1" t="s">
        <v>45</v>
      </c>
      <c r="B19" s="1" t="s">
        <v>46</v>
      </c>
      <c r="D19" s="1" t="s">
        <v>36</v>
      </c>
      <c r="E19" s="1" t="s">
        <v>36</v>
      </c>
      <c r="F19" s="1" t="s">
        <v>1384</v>
      </c>
      <c r="G19" s="2">
        <v>0</v>
      </c>
      <c r="H19" s="2">
        <v>0</v>
      </c>
    </row>
    <row r="20" spans="1:9" x14ac:dyDescent="0.35">
      <c r="A20" s="1" t="s">
        <v>47</v>
      </c>
      <c r="B20" s="1" t="s">
        <v>48</v>
      </c>
      <c r="D20" s="1" t="s">
        <v>42</v>
      </c>
      <c r="E20" s="1" t="s">
        <v>42</v>
      </c>
      <c r="F20" s="1" t="s">
        <v>1388</v>
      </c>
      <c r="G20" s="2">
        <f>VLOOKUP(B20,'[1]REKAP POTONGAN'!B$6:D$93,3,FALSE)</f>
        <v>350000</v>
      </c>
      <c r="H20" s="2">
        <f>VLOOKUP(B20,'[1]REKAP POTONGAN'!B$6:C$93,2,FALSE)</f>
        <v>0</v>
      </c>
      <c r="I20" s="27"/>
    </row>
    <row r="21" spans="1:9" x14ac:dyDescent="0.35">
      <c r="A21" s="1" t="s">
        <v>49</v>
      </c>
      <c r="B21" s="1" t="s">
        <v>50</v>
      </c>
      <c r="D21" s="1" t="s">
        <v>42</v>
      </c>
      <c r="E21" s="1" t="s">
        <v>42</v>
      </c>
      <c r="F21" s="1" t="s">
        <v>1382</v>
      </c>
      <c r="G21" s="2">
        <v>0</v>
      </c>
      <c r="H21" s="2">
        <v>0</v>
      </c>
    </row>
    <row r="22" spans="1:9" x14ac:dyDescent="0.35">
      <c r="A22" s="1" t="s">
        <v>51</v>
      </c>
      <c r="B22" s="1" t="s">
        <v>52</v>
      </c>
      <c r="D22" s="1" t="s">
        <v>53</v>
      </c>
      <c r="E22" s="1" t="s">
        <v>53</v>
      </c>
      <c r="F22" s="1" t="s">
        <v>1379</v>
      </c>
      <c r="G22" s="2">
        <v>0</v>
      </c>
      <c r="H22" s="2">
        <v>0</v>
      </c>
    </row>
    <row r="23" spans="1:9" x14ac:dyDescent="0.35">
      <c r="A23" s="1" t="s">
        <v>54</v>
      </c>
      <c r="B23" s="1" t="s">
        <v>55</v>
      </c>
      <c r="D23" s="1" t="s">
        <v>56</v>
      </c>
      <c r="E23" s="1" t="s">
        <v>56</v>
      </c>
      <c r="F23" s="1" t="s">
        <v>1381</v>
      </c>
      <c r="G23" s="2">
        <f>VLOOKUP(B23,'[1]REKAP POTONGAN'!B$6:D$93,3,FALSE)</f>
        <v>150000</v>
      </c>
      <c r="H23" s="2">
        <f>VLOOKUP(B23,'[1]REKAP POTONGAN'!B$6:C$93,2,FALSE)</f>
        <v>0</v>
      </c>
      <c r="I23" s="27"/>
    </row>
    <row r="24" spans="1:9" x14ac:dyDescent="0.35">
      <c r="A24" s="1" t="s">
        <v>57</v>
      </c>
      <c r="B24" s="1" t="s">
        <v>58</v>
      </c>
      <c r="D24" s="1" t="s">
        <v>56</v>
      </c>
      <c r="E24" s="1" t="s">
        <v>56</v>
      </c>
      <c r="F24" s="1" t="s">
        <v>1389</v>
      </c>
      <c r="G24" s="2">
        <v>0</v>
      </c>
      <c r="H24" s="2">
        <v>0</v>
      </c>
    </row>
    <row r="25" spans="1:9" x14ac:dyDescent="0.35">
      <c r="A25" s="1" t="s">
        <v>59</v>
      </c>
      <c r="B25" s="1" t="s">
        <v>60</v>
      </c>
      <c r="D25" s="1" t="s">
        <v>56</v>
      </c>
      <c r="E25" s="1" t="s">
        <v>56</v>
      </c>
      <c r="F25" s="1" t="s">
        <v>1379</v>
      </c>
      <c r="G25" s="2">
        <f>VLOOKUP(B25,'[1]REKAP POTONGAN'!B$6:D$93,3,FALSE)</f>
        <v>250000</v>
      </c>
      <c r="H25" s="2">
        <f>VLOOKUP(B25,'[1]REKAP POTONGAN'!B$6:C$93,2,FALSE)</f>
        <v>0</v>
      </c>
      <c r="I25" s="27"/>
    </row>
    <row r="26" spans="1:9" x14ac:dyDescent="0.35">
      <c r="A26" s="1" t="s">
        <v>61</v>
      </c>
      <c r="B26" s="1" t="s">
        <v>62</v>
      </c>
      <c r="D26" s="1" t="s">
        <v>56</v>
      </c>
      <c r="E26" s="1" t="s">
        <v>56</v>
      </c>
      <c r="F26" s="1" t="s">
        <v>1384</v>
      </c>
      <c r="G26" s="2">
        <v>0</v>
      </c>
      <c r="H26" s="2">
        <v>0</v>
      </c>
    </row>
    <row r="27" spans="1:9" x14ac:dyDescent="0.35">
      <c r="A27" s="1" t="s">
        <v>63</v>
      </c>
      <c r="B27" s="1" t="s">
        <v>64</v>
      </c>
      <c r="D27" s="1" t="s">
        <v>56</v>
      </c>
      <c r="E27" s="1" t="s">
        <v>56</v>
      </c>
      <c r="F27" s="1" t="s">
        <v>1384</v>
      </c>
      <c r="G27" s="2">
        <v>0</v>
      </c>
      <c r="H27" s="2">
        <v>0</v>
      </c>
    </row>
    <row r="28" spans="1:9" x14ac:dyDescent="0.35">
      <c r="A28" s="1" t="s">
        <v>65</v>
      </c>
      <c r="B28" s="1" t="s">
        <v>66</v>
      </c>
      <c r="D28" s="1" t="s">
        <v>56</v>
      </c>
      <c r="E28" s="1" t="s">
        <v>56</v>
      </c>
      <c r="F28" s="1" t="s">
        <v>1390</v>
      </c>
      <c r="G28" s="2">
        <v>0</v>
      </c>
      <c r="H28" s="2">
        <v>0</v>
      </c>
    </row>
    <row r="29" spans="1:9" x14ac:dyDescent="0.35">
      <c r="A29" s="1" t="s">
        <v>67</v>
      </c>
      <c r="B29" s="1" t="s">
        <v>68</v>
      </c>
      <c r="D29" s="1" t="s">
        <v>69</v>
      </c>
      <c r="E29" s="1" t="s">
        <v>69</v>
      </c>
      <c r="F29" s="1" t="s">
        <v>1391</v>
      </c>
      <c r="G29" s="2">
        <v>0</v>
      </c>
      <c r="H29" s="2">
        <v>0</v>
      </c>
    </row>
    <row r="30" spans="1:9" x14ac:dyDescent="0.35">
      <c r="A30" s="1" t="s">
        <v>70</v>
      </c>
      <c r="B30" s="1" t="s">
        <v>71</v>
      </c>
      <c r="D30" s="1" t="s">
        <v>69</v>
      </c>
      <c r="E30" s="1" t="s">
        <v>69</v>
      </c>
      <c r="F30" s="1" t="s">
        <v>1387</v>
      </c>
      <c r="G30" s="2">
        <v>0</v>
      </c>
      <c r="H30" s="2">
        <v>0</v>
      </c>
    </row>
    <row r="31" spans="1:9" x14ac:dyDescent="0.35">
      <c r="A31" s="1" t="s">
        <v>72</v>
      </c>
      <c r="B31" s="1" t="s">
        <v>73</v>
      </c>
      <c r="D31" s="1" t="s">
        <v>69</v>
      </c>
      <c r="E31" s="1" t="s">
        <v>69</v>
      </c>
      <c r="F31" s="1" t="s">
        <v>1392</v>
      </c>
      <c r="G31" s="2">
        <v>0</v>
      </c>
      <c r="H31" s="2">
        <v>0</v>
      </c>
    </row>
    <row r="32" spans="1:9" x14ac:dyDescent="0.35">
      <c r="A32" s="1" t="s">
        <v>74</v>
      </c>
      <c r="B32" s="1" t="s">
        <v>75</v>
      </c>
      <c r="D32" s="1" t="s">
        <v>69</v>
      </c>
      <c r="E32" s="1" t="s">
        <v>69</v>
      </c>
      <c r="F32" s="1" t="s">
        <v>1393</v>
      </c>
      <c r="G32" s="2">
        <v>0</v>
      </c>
      <c r="H32" s="2">
        <v>0</v>
      </c>
    </row>
    <row r="33" spans="1:9" x14ac:dyDescent="0.35">
      <c r="A33" s="1" t="s">
        <v>76</v>
      </c>
      <c r="B33" s="1" t="s">
        <v>77</v>
      </c>
      <c r="D33" s="1" t="s">
        <v>69</v>
      </c>
      <c r="E33" s="1" t="s">
        <v>69</v>
      </c>
      <c r="F33" s="1" t="s">
        <v>1394</v>
      </c>
      <c r="G33" s="2">
        <v>0</v>
      </c>
      <c r="H33" s="2">
        <v>0</v>
      </c>
    </row>
    <row r="34" spans="1:9" x14ac:dyDescent="0.35">
      <c r="A34" s="1" t="s">
        <v>78</v>
      </c>
      <c r="B34" s="1" t="s">
        <v>79</v>
      </c>
      <c r="D34" s="1" t="s">
        <v>69</v>
      </c>
      <c r="E34" s="1" t="s">
        <v>69</v>
      </c>
      <c r="F34" s="1" t="s">
        <v>1394</v>
      </c>
      <c r="G34" s="2">
        <f>VLOOKUP(B34,'[1]REKAP POTONGAN'!B$6:D$93,3,FALSE)</f>
        <v>150000</v>
      </c>
      <c r="H34" s="2">
        <f>VLOOKUP(B34,'[1]REKAP POTONGAN'!B$6:C$93,2,FALSE)</f>
        <v>0</v>
      </c>
      <c r="I34" s="27"/>
    </row>
    <row r="35" spans="1:9" x14ac:dyDescent="0.35">
      <c r="A35" s="1" t="s">
        <v>80</v>
      </c>
      <c r="B35" s="1" t="s">
        <v>81</v>
      </c>
      <c r="D35" s="1" t="s">
        <v>69</v>
      </c>
      <c r="E35" s="1" t="s">
        <v>69</v>
      </c>
      <c r="F35" s="1" t="s">
        <v>1387</v>
      </c>
      <c r="G35" s="2">
        <f>VLOOKUP(B35,'[1]REKAP POTONGAN'!B$6:D$93,3,FALSE)</f>
        <v>150000</v>
      </c>
      <c r="H35" s="2">
        <f>VLOOKUP(B35,'[1]REKAP POTONGAN'!B$6:C$93,2,FALSE)</f>
        <v>2500000</v>
      </c>
      <c r="I35" s="27"/>
    </row>
    <row r="36" spans="1:9" x14ac:dyDescent="0.35">
      <c r="A36" s="1" t="s">
        <v>82</v>
      </c>
      <c r="B36" s="1" t="s">
        <v>83</v>
      </c>
      <c r="D36" s="1" t="s">
        <v>69</v>
      </c>
      <c r="E36" s="1" t="s">
        <v>69</v>
      </c>
      <c r="F36" s="1" t="s">
        <v>1391</v>
      </c>
      <c r="G36" s="2">
        <v>0</v>
      </c>
      <c r="H36" s="2">
        <v>0</v>
      </c>
    </row>
    <row r="37" spans="1:9" x14ac:dyDescent="0.35">
      <c r="A37" s="1" t="s">
        <v>84</v>
      </c>
      <c r="B37" s="1" t="s">
        <v>85</v>
      </c>
      <c r="D37" s="1" t="s">
        <v>69</v>
      </c>
      <c r="E37" s="1" t="s">
        <v>69</v>
      </c>
      <c r="F37" s="1" t="s">
        <v>1393</v>
      </c>
      <c r="G37" s="2">
        <v>0</v>
      </c>
      <c r="H37" s="2">
        <v>0</v>
      </c>
    </row>
    <row r="38" spans="1:9" x14ac:dyDescent="0.35">
      <c r="A38" s="1" t="s">
        <v>86</v>
      </c>
      <c r="B38" s="1" t="s">
        <v>87</v>
      </c>
      <c r="D38" s="1" t="s">
        <v>69</v>
      </c>
      <c r="E38" s="1" t="s">
        <v>69</v>
      </c>
      <c r="F38" s="1" t="s">
        <v>1391</v>
      </c>
      <c r="G38" s="2">
        <v>0</v>
      </c>
      <c r="H38" s="2">
        <v>0</v>
      </c>
    </row>
    <row r="39" spans="1:9" x14ac:dyDescent="0.35">
      <c r="A39" s="1" t="s">
        <v>88</v>
      </c>
      <c r="B39" s="1" t="s">
        <v>89</v>
      </c>
      <c r="D39" s="1" t="s">
        <v>69</v>
      </c>
      <c r="E39" s="1" t="s">
        <v>69</v>
      </c>
      <c r="F39" s="1" t="s">
        <v>1394</v>
      </c>
      <c r="G39" s="2">
        <v>0</v>
      </c>
      <c r="H39" s="2">
        <v>0</v>
      </c>
    </row>
    <row r="40" spans="1:9" x14ac:dyDescent="0.35">
      <c r="A40" s="1" t="s">
        <v>90</v>
      </c>
      <c r="B40" s="1" t="s">
        <v>91</v>
      </c>
      <c r="D40" s="1" t="s">
        <v>69</v>
      </c>
      <c r="E40" s="1" t="s">
        <v>69</v>
      </c>
      <c r="F40" s="1" t="s">
        <v>1394</v>
      </c>
      <c r="G40" s="2">
        <v>0</v>
      </c>
      <c r="H40" s="2">
        <v>0</v>
      </c>
    </row>
    <row r="41" spans="1:9" x14ac:dyDescent="0.35">
      <c r="A41" s="1" t="s">
        <v>92</v>
      </c>
      <c r="B41" s="1" t="s">
        <v>93</v>
      </c>
      <c r="D41" s="1" t="s">
        <v>69</v>
      </c>
      <c r="E41" s="1" t="s">
        <v>69</v>
      </c>
      <c r="F41" s="1" t="s">
        <v>1392</v>
      </c>
      <c r="G41" s="2">
        <v>0</v>
      </c>
      <c r="H41" s="2">
        <v>0</v>
      </c>
    </row>
    <row r="42" spans="1:9" x14ac:dyDescent="0.35">
      <c r="A42" s="1" t="s">
        <v>94</v>
      </c>
      <c r="B42" s="1" t="s">
        <v>95</v>
      </c>
      <c r="D42" s="1" t="s">
        <v>69</v>
      </c>
      <c r="E42" s="1" t="s">
        <v>69</v>
      </c>
      <c r="F42" s="1" t="s">
        <v>1391</v>
      </c>
      <c r="G42" s="2">
        <v>0</v>
      </c>
      <c r="H42" s="2">
        <v>0</v>
      </c>
    </row>
    <row r="43" spans="1:9" x14ac:dyDescent="0.35">
      <c r="A43" s="1" t="s">
        <v>96</v>
      </c>
      <c r="B43" s="1" t="s">
        <v>97</v>
      </c>
      <c r="D43" s="1" t="s">
        <v>69</v>
      </c>
      <c r="E43" s="1" t="s">
        <v>69</v>
      </c>
      <c r="F43" s="1" t="s">
        <v>1393</v>
      </c>
      <c r="G43" s="2">
        <v>0</v>
      </c>
      <c r="H43" s="2">
        <v>0</v>
      </c>
    </row>
    <row r="44" spans="1:9" x14ac:dyDescent="0.35">
      <c r="A44" s="1" t="s">
        <v>98</v>
      </c>
      <c r="B44" s="1" t="s">
        <v>99</v>
      </c>
      <c r="D44" s="1" t="s">
        <v>69</v>
      </c>
      <c r="E44" s="1" t="s">
        <v>69</v>
      </c>
      <c r="F44" s="1" t="s">
        <v>1395</v>
      </c>
      <c r="G44" s="2">
        <f>VLOOKUP(B44,'[1]REKAP POTONGAN'!B$6:D$93,3,FALSE)</f>
        <v>250000</v>
      </c>
      <c r="H44" s="2">
        <f>VLOOKUP(B44,'[1]REKAP POTONGAN'!B$6:C$93,2,FALSE)</f>
        <v>0</v>
      </c>
      <c r="I44" s="27"/>
    </row>
    <row r="45" spans="1:9" x14ac:dyDescent="0.35">
      <c r="A45" s="1" t="s">
        <v>100</v>
      </c>
      <c r="B45" s="1" t="s">
        <v>101</v>
      </c>
      <c r="D45" s="1" t="s">
        <v>102</v>
      </c>
      <c r="E45" s="1" t="s">
        <v>102</v>
      </c>
      <c r="F45" s="1" t="s">
        <v>1393</v>
      </c>
      <c r="G45" s="2">
        <v>0</v>
      </c>
      <c r="H45" s="2">
        <v>0</v>
      </c>
    </row>
    <row r="46" spans="1:9" x14ac:dyDescent="0.35">
      <c r="A46" s="1" t="s">
        <v>103</v>
      </c>
      <c r="B46" s="1" t="s">
        <v>104</v>
      </c>
      <c r="D46" s="1" t="s">
        <v>102</v>
      </c>
      <c r="E46" s="1" t="s">
        <v>102</v>
      </c>
      <c r="F46" s="1" t="s">
        <v>1392</v>
      </c>
      <c r="G46" s="2">
        <v>0</v>
      </c>
      <c r="H46" s="2">
        <v>0</v>
      </c>
    </row>
    <row r="47" spans="1:9" x14ac:dyDescent="0.35">
      <c r="A47" s="1" t="s">
        <v>105</v>
      </c>
      <c r="B47" s="1" t="s">
        <v>106</v>
      </c>
      <c r="D47" s="1" t="s">
        <v>102</v>
      </c>
      <c r="E47" s="1" t="s">
        <v>102</v>
      </c>
      <c r="F47" s="1" t="s">
        <v>1391</v>
      </c>
      <c r="G47" s="2">
        <v>0</v>
      </c>
      <c r="H47" s="2">
        <v>0</v>
      </c>
    </row>
    <row r="48" spans="1:9" x14ac:dyDescent="0.35">
      <c r="A48" s="1" t="s">
        <v>107</v>
      </c>
      <c r="B48" s="1" t="s">
        <v>108</v>
      </c>
      <c r="D48" s="1" t="s">
        <v>102</v>
      </c>
      <c r="E48" s="1" t="s">
        <v>102</v>
      </c>
      <c r="F48" s="1" t="s">
        <v>1391</v>
      </c>
      <c r="G48" s="2">
        <v>0</v>
      </c>
      <c r="H48" s="2">
        <v>0</v>
      </c>
    </row>
    <row r="49" spans="1:9" x14ac:dyDescent="0.35">
      <c r="A49" s="1" t="s">
        <v>109</v>
      </c>
      <c r="B49" s="1" t="s">
        <v>110</v>
      </c>
      <c r="D49" s="1" t="s">
        <v>102</v>
      </c>
      <c r="E49" s="1" t="s">
        <v>102</v>
      </c>
      <c r="F49" s="1" t="s">
        <v>1381</v>
      </c>
      <c r="G49" s="2">
        <v>0</v>
      </c>
      <c r="H49" s="2">
        <v>0</v>
      </c>
    </row>
    <row r="50" spans="1:9" x14ac:dyDescent="0.35">
      <c r="A50" s="1" t="s">
        <v>111</v>
      </c>
      <c r="B50" s="1" t="s">
        <v>112</v>
      </c>
      <c r="D50" s="1" t="s">
        <v>102</v>
      </c>
      <c r="E50" s="1" t="s">
        <v>102</v>
      </c>
      <c r="F50" s="1" t="s">
        <v>1396</v>
      </c>
      <c r="G50" s="2">
        <v>0</v>
      </c>
      <c r="H50" s="2">
        <v>0</v>
      </c>
    </row>
    <row r="51" spans="1:9" x14ac:dyDescent="0.35">
      <c r="A51" s="1" t="s">
        <v>113</v>
      </c>
      <c r="B51" s="1" t="s">
        <v>114</v>
      </c>
      <c r="D51" s="1" t="s">
        <v>102</v>
      </c>
      <c r="E51" s="1" t="s">
        <v>102</v>
      </c>
      <c r="F51" s="1" t="s">
        <v>1393</v>
      </c>
      <c r="G51" s="2">
        <f>VLOOKUP(B51,'[1]REKAP POTONGAN'!B$6:D$93,3,FALSE)</f>
        <v>150000</v>
      </c>
      <c r="H51" s="2">
        <f>VLOOKUP(B51,'[1]REKAP POTONGAN'!B$6:C$93,2,FALSE)</f>
        <v>0</v>
      </c>
      <c r="I51" s="27"/>
    </row>
    <row r="52" spans="1:9" x14ac:dyDescent="0.35">
      <c r="A52" s="1" t="s">
        <v>115</v>
      </c>
      <c r="B52" s="1" t="s">
        <v>116</v>
      </c>
      <c r="D52" s="1" t="s">
        <v>102</v>
      </c>
      <c r="E52" s="1" t="s">
        <v>102</v>
      </c>
      <c r="F52" s="1" t="s">
        <v>1394</v>
      </c>
      <c r="G52" s="2">
        <v>0</v>
      </c>
      <c r="H52" s="2">
        <v>0</v>
      </c>
    </row>
    <row r="53" spans="1:9" x14ac:dyDescent="0.35">
      <c r="A53" s="1" t="s">
        <v>117</v>
      </c>
      <c r="B53" s="1" t="s">
        <v>118</v>
      </c>
      <c r="D53" s="1" t="s">
        <v>102</v>
      </c>
      <c r="E53" s="1" t="s">
        <v>102</v>
      </c>
      <c r="F53" s="1" t="s">
        <v>1391</v>
      </c>
      <c r="G53" s="2">
        <v>0</v>
      </c>
      <c r="H53" s="2">
        <v>0</v>
      </c>
    </row>
    <row r="54" spans="1:9" x14ac:dyDescent="0.35">
      <c r="A54" s="1" t="s">
        <v>119</v>
      </c>
      <c r="B54" s="1" t="s">
        <v>120</v>
      </c>
      <c r="D54" s="1" t="s">
        <v>102</v>
      </c>
      <c r="E54" s="1" t="s">
        <v>102</v>
      </c>
      <c r="F54" s="1" t="s">
        <v>1394</v>
      </c>
      <c r="G54" s="2">
        <v>0</v>
      </c>
      <c r="H54" s="2">
        <v>0</v>
      </c>
    </row>
    <row r="55" spans="1:9" x14ac:dyDescent="0.35">
      <c r="A55" s="1" t="s">
        <v>121</v>
      </c>
      <c r="B55" s="1" t="s">
        <v>122</v>
      </c>
      <c r="D55" s="1" t="s">
        <v>102</v>
      </c>
      <c r="E55" s="1" t="s">
        <v>102</v>
      </c>
      <c r="F55" s="1" t="s">
        <v>1394</v>
      </c>
      <c r="G55" s="2">
        <v>0</v>
      </c>
      <c r="H55" s="2">
        <v>0</v>
      </c>
    </row>
    <row r="56" spans="1:9" x14ac:dyDescent="0.35">
      <c r="A56" s="1" t="s">
        <v>123</v>
      </c>
      <c r="B56" s="1" t="s">
        <v>124</v>
      </c>
      <c r="D56" s="1" t="s">
        <v>125</v>
      </c>
      <c r="E56" s="1" t="s">
        <v>125</v>
      </c>
      <c r="F56" s="1" t="s">
        <v>1397</v>
      </c>
      <c r="G56" s="2">
        <v>0</v>
      </c>
      <c r="H56" s="2">
        <v>0</v>
      </c>
    </row>
    <row r="57" spans="1:9" x14ac:dyDescent="0.35">
      <c r="A57" s="1" t="s">
        <v>126</v>
      </c>
      <c r="B57" s="1" t="s">
        <v>127</v>
      </c>
      <c r="D57" s="1" t="s">
        <v>125</v>
      </c>
      <c r="E57" s="1" t="s">
        <v>125</v>
      </c>
      <c r="F57" s="1" t="s">
        <v>1391</v>
      </c>
      <c r="G57" s="2">
        <f>VLOOKUP(B57,'[1]REKAP POTONGAN'!B$6:D$93,3,FALSE)</f>
        <v>150000</v>
      </c>
      <c r="H57" s="2">
        <f>VLOOKUP(B57,'[1]REKAP POTONGAN'!B$6:C$93,2,FALSE)</f>
        <v>0</v>
      </c>
      <c r="I57" s="27"/>
    </row>
    <row r="58" spans="1:9" x14ac:dyDescent="0.35">
      <c r="A58" s="1" t="s">
        <v>128</v>
      </c>
      <c r="B58" s="1" t="s">
        <v>129</v>
      </c>
      <c r="D58" s="1" t="s">
        <v>125</v>
      </c>
      <c r="E58" s="1" t="s">
        <v>125</v>
      </c>
      <c r="F58" s="1" t="s">
        <v>1391</v>
      </c>
      <c r="G58" s="2">
        <f>VLOOKUP(B58,'[1]REKAP POTONGAN'!B$6:D$93,3,FALSE)</f>
        <v>150000</v>
      </c>
      <c r="H58" s="2">
        <f>VLOOKUP(B58,'[1]REKAP POTONGAN'!B$6:C$93,2,FALSE)</f>
        <v>0</v>
      </c>
      <c r="I58" s="27"/>
    </row>
    <row r="59" spans="1:9" x14ac:dyDescent="0.35">
      <c r="A59" s="1" t="s">
        <v>130</v>
      </c>
      <c r="B59" s="1" t="s">
        <v>131</v>
      </c>
      <c r="D59" s="1" t="s">
        <v>125</v>
      </c>
      <c r="E59" s="1" t="s">
        <v>125</v>
      </c>
      <c r="F59" s="1" t="s">
        <v>1392</v>
      </c>
      <c r="G59" s="2">
        <f>VLOOKUP(B59,'[1]REKAP POTONGAN'!B$6:D$93,3,FALSE)</f>
        <v>150000</v>
      </c>
      <c r="H59" s="2">
        <f>VLOOKUP(B59,'[1]REKAP POTONGAN'!B$6:C$93,2,FALSE)</f>
        <v>0</v>
      </c>
      <c r="I59" s="27"/>
    </row>
    <row r="60" spans="1:9" x14ac:dyDescent="0.35">
      <c r="A60" s="1" t="s">
        <v>132</v>
      </c>
      <c r="B60" s="1" t="s">
        <v>133</v>
      </c>
      <c r="D60" s="1" t="s">
        <v>125</v>
      </c>
      <c r="E60" s="1" t="s">
        <v>125</v>
      </c>
      <c r="F60" s="1" t="s">
        <v>1381</v>
      </c>
      <c r="G60" s="2">
        <f>VLOOKUP(B60,'[1]REKAP POTONGAN'!B$6:D$93,3,FALSE)</f>
        <v>150000</v>
      </c>
      <c r="H60" s="2">
        <f>VLOOKUP(B60,'[1]REKAP POTONGAN'!B$6:C$93,2,FALSE)</f>
        <v>0</v>
      </c>
      <c r="I60" s="27"/>
    </row>
    <row r="61" spans="1:9" x14ac:dyDescent="0.35">
      <c r="A61" s="1" t="s">
        <v>134</v>
      </c>
      <c r="B61" s="1" t="s">
        <v>135</v>
      </c>
      <c r="D61" s="1" t="s">
        <v>125</v>
      </c>
      <c r="E61" s="1" t="s">
        <v>125</v>
      </c>
      <c r="F61" s="1" t="s">
        <v>1381</v>
      </c>
      <c r="G61" s="2">
        <f>VLOOKUP(B61,'[1]REKAP POTONGAN'!B$6:D$93,3,FALSE)</f>
        <v>150000</v>
      </c>
      <c r="H61" s="2">
        <f>VLOOKUP(B61,'[1]REKAP POTONGAN'!B$6:C$93,2,FALSE)</f>
        <v>0</v>
      </c>
      <c r="I61" s="27"/>
    </row>
    <row r="62" spans="1:9" x14ac:dyDescent="0.35">
      <c r="A62" s="1" t="s">
        <v>136</v>
      </c>
      <c r="B62" s="1" t="s">
        <v>137</v>
      </c>
      <c r="D62" s="1" t="s">
        <v>125</v>
      </c>
      <c r="E62" s="1" t="s">
        <v>125</v>
      </c>
      <c r="F62" s="1" t="s">
        <v>1387</v>
      </c>
      <c r="G62" s="2">
        <f>VLOOKUP(B62,'[1]REKAP POTONGAN'!B$6:D$93,3,FALSE)</f>
        <v>150000</v>
      </c>
      <c r="H62" s="2">
        <f>VLOOKUP(B62,'[1]REKAP POTONGAN'!B$6:C$93,2,FALSE)</f>
        <v>0</v>
      </c>
      <c r="I62" s="27"/>
    </row>
    <row r="63" spans="1:9" x14ac:dyDescent="0.35">
      <c r="A63" s="1" t="s">
        <v>138</v>
      </c>
      <c r="B63" s="1" t="s">
        <v>139</v>
      </c>
      <c r="D63" s="1" t="s">
        <v>125</v>
      </c>
      <c r="E63" s="1" t="s">
        <v>125</v>
      </c>
      <c r="F63" s="1" t="s">
        <v>1394</v>
      </c>
      <c r="G63" s="2">
        <f>VLOOKUP(B63,'[1]REKAP POTONGAN'!B$6:D$93,3,FALSE)</f>
        <v>150000</v>
      </c>
      <c r="H63" s="2">
        <f>VLOOKUP(B63,'[1]REKAP POTONGAN'!B$6:C$93,2,FALSE)</f>
        <v>0</v>
      </c>
      <c r="I63" s="27"/>
    </row>
    <row r="64" spans="1:9" x14ac:dyDescent="0.35">
      <c r="A64" s="1" t="s">
        <v>140</v>
      </c>
      <c r="B64" s="1" t="s">
        <v>141</v>
      </c>
      <c r="D64" s="1" t="s">
        <v>125</v>
      </c>
      <c r="E64" s="1" t="s">
        <v>125</v>
      </c>
      <c r="F64" s="1" t="s">
        <v>1394</v>
      </c>
      <c r="G64" s="2">
        <f>VLOOKUP(B64,'[1]REKAP POTONGAN'!B$6:D$93,3,FALSE)</f>
        <v>150000</v>
      </c>
      <c r="H64" s="2">
        <f>VLOOKUP(B64,'[1]REKAP POTONGAN'!B$6:C$93,2,FALSE)</f>
        <v>0</v>
      </c>
      <c r="I64" s="27"/>
    </row>
    <row r="65" spans="1:9" x14ac:dyDescent="0.35">
      <c r="A65" s="1" t="s">
        <v>142</v>
      </c>
      <c r="B65" s="1" t="s">
        <v>143</v>
      </c>
      <c r="D65" s="1" t="s">
        <v>125</v>
      </c>
      <c r="E65" s="1" t="s">
        <v>125</v>
      </c>
      <c r="F65" s="1" t="s">
        <v>1394</v>
      </c>
      <c r="G65" s="2">
        <f>VLOOKUP(B65,'[1]REKAP POTONGAN'!B$6:D$93,3,FALSE)</f>
        <v>150000</v>
      </c>
      <c r="H65" s="2">
        <f>VLOOKUP(B65,'[1]REKAP POTONGAN'!B$6:C$93,2,FALSE)</f>
        <v>0</v>
      </c>
      <c r="I65" s="27"/>
    </row>
    <row r="66" spans="1:9" x14ac:dyDescent="0.35">
      <c r="A66" s="1" t="s">
        <v>144</v>
      </c>
      <c r="B66" s="1" t="s">
        <v>145</v>
      </c>
      <c r="D66" s="1" t="s">
        <v>125</v>
      </c>
      <c r="E66" s="1" t="s">
        <v>125</v>
      </c>
      <c r="F66" s="1" t="s">
        <v>1394</v>
      </c>
      <c r="G66" s="2">
        <f>VLOOKUP(B66,'[1]REKAP POTONGAN'!B$6:D$93,3,FALSE)</f>
        <v>150000</v>
      </c>
      <c r="H66" s="2">
        <f>VLOOKUP(B66,'[1]REKAP POTONGAN'!B$6:C$93,2,FALSE)</f>
        <v>0</v>
      </c>
      <c r="I66" s="27"/>
    </row>
    <row r="67" spans="1:9" x14ac:dyDescent="0.35">
      <c r="A67" s="1" t="s">
        <v>146</v>
      </c>
      <c r="B67" s="1" t="s">
        <v>147</v>
      </c>
      <c r="D67" s="1" t="s">
        <v>125</v>
      </c>
      <c r="E67" s="1" t="s">
        <v>125</v>
      </c>
      <c r="F67" s="1" t="s">
        <v>1393</v>
      </c>
      <c r="G67" s="2">
        <f>VLOOKUP(B67,'[1]REKAP POTONGAN'!B$6:D$93,3,FALSE)</f>
        <v>250000</v>
      </c>
      <c r="H67" s="2">
        <f>VLOOKUP(B67,'[1]REKAP POTONGAN'!B$6:C$93,2,FALSE)</f>
        <v>0</v>
      </c>
      <c r="I67" s="27"/>
    </row>
    <row r="68" spans="1:9" x14ac:dyDescent="0.35">
      <c r="A68" s="1" t="s">
        <v>148</v>
      </c>
      <c r="B68" s="1" t="s">
        <v>149</v>
      </c>
      <c r="D68" s="1" t="s">
        <v>125</v>
      </c>
      <c r="E68" s="1" t="s">
        <v>125</v>
      </c>
      <c r="F68" s="1" t="s">
        <v>1394</v>
      </c>
      <c r="G68" s="2">
        <f>VLOOKUP(B68,'[1]REKAP POTONGAN'!B$6:D$93,3,FALSE)</f>
        <v>150000</v>
      </c>
      <c r="H68" s="2">
        <f>VLOOKUP(B68,'[1]REKAP POTONGAN'!B$6:C$93,2,FALSE)</f>
        <v>0</v>
      </c>
      <c r="I68" s="27"/>
    </row>
    <row r="69" spans="1:9" x14ac:dyDescent="0.35">
      <c r="A69" s="1" t="s">
        <v>150</v>
      </c>
      <c r="B69" s="1" t="s">
        <v>151</v>
      </c>
      <c r="D69" s="1" t="s">
        <v>125</v>
      </c>
      <c r="E69" s="1" t="s">
        <v>125</v>
      </c>
      <c r="F69" s="1" t="s">
        <v>1394</v>
      </c>
      <c r="G69" s="2">
        <v>0</v>
      </c>
      <c r="H69" s="2">
        <v>0</v>
      </c>
    </row>
    <row r="70" spans="1:9" x14ac:dyDescent="0.35">
      <c r="A70" s="1" t="s">
        <v>152</v>
      </c>
      <c r="B70" s="1" t="s">
        <v>153</v>
      </c>
      <c r="D70" s="1" t="s">
        <v>154</v>
      </c>
      <c r="E70" s="1" t="s">
        <v>154</v>
      </c>
      <c r="F70" s="1" t="s">
        <v>1391</v>
      </c>
      <c r="G70" s="2">
        <v>0</v>
      </c>
      <c r="H70" s="2">
        <v>0</v>
      </c>
    </row>
    <row r="71" spans="1:9" x14ac:dyDescent="0.35">
      <c r="A71" s="1" t="s">
        <v>155</v>
      </c>
      <c r="B71" s="1" t="s">
        <v>156</v>
      </c>
      <c r="D71" s="1" t="s">
        <v>154</v>
      </c>
      <c r="E71" s="1" t="s">
        <v>154</v>
      </c>
      <c r="F71" s="1" t="s">
        <v>1394</v>
      </c>
      <c r="G71" s="2">
        <v>0</v>
      </c>
      <c r="H71" s="2">
        <v>0</v>
      </c>
    </row>
    <row r="72" spans="1:9" x14ac:dyDescent="0.35">
      <c r="A72" s="1" t="s">
        <v>157</v>
      </c>
      <c r="B72" s="1" t="s">
        <v>158</v>
      </c>
      <c r="D72" s="1" t="s">
        <v>154</v>
      </c>
      <c r="E72" s="1" t="s">
        <v>154</v>
      </c>
      <c r="F72" s="1" t="s">
        <v>1381</v>
      </c>
      <c r="G72" s="2">
        <v>0</v>
      </c>
      <c r="H72" s="2">
        <v>0</v>
      </c>
    </row>
    <row r="73" spans="1:9" x14ac:dyDescent="0.35">
      <c r="A73" s="1" t="s">
        <v>159</v>
      </c>
      <c r="B73" s="1" t="s">
        <v>160</v>
      </c>
      <c r="D73" s="1" t="s">
        <v>154</v>
      </c>
      <c r="E73" s="1" t="s">
        <v>154</v>
      </c>
      <c r="F73" s="1" t="s">
        <v>1391</v>
      </c>
      <c r="G73" s="2">
        <v>0</v>
      </c>
      <c r="H73" s="2">
        <v>0</v>
      </c>
    </row>
    <row r="74" spans="1:9" x14ac:dyDescent="0.35">
      <c r="A74" s="1" t="s">
        <v>161</v>
      </c>
      <c r="B74" s="1" t="s">
        <v>162</v>
      </c>
      <c r="D74" s="1" t="s">
        <v>154</v>
      </c>
      <c r="E74" s="1" t="s">
        <v>154</v>
      </c>
      <c r="F74" s="1" t="s">
        <v>1393</v>
      </c>
      <c r="G74" s="2">
        <f>VLOOKUP(B74,'[1]REKAP POTONGAN'!B$6:D$93,3,FALSE)</f>
        <v>150000</v>
      </c>
      <c r="H74" s="2">
        <f>VLOOKUP(B74,'[1]REKAP POTONGAN'!B$6:C$93,2,FALSE)</f>
        <v>0</v>
      </c>
      <c r="I74" s="27"/>
    </row>
    <row r="75" spans="1:9" x14ac:dyDescent="0.35">
      <c r="A75" s="1" t="s">
        <v>163</v>
      </c>
      <c r="B75" s="1" t="s">
        <v>164</v>
      </c>
      <c r="D75" s="1" t="s">
        <v>154</v>
      </c>
      <c r="E75" s="1" t="s">
        <v>154</v>
      </c>
      <c r="F75" s="1" t="s">
        <v>1393</v>
      </c>
      <c r="G75" s="2">
        <f>VLOOKUP(B75,'[1]REKAP POTONGAN'!B$6:D$93,3,FALSE)</f>
        <v>150000</v>
      </c>
      <c r="H75" s="2">
        <f>VLOOKUP(B75,'[1]REKAP POTONGAN'!B$6:C$93,2,FALSE)</f>
        <v>0</v>
      </c>
      <c r="I75" s="27"/>
    </row>
    <row r="76" spans="1:9" x14ac:dyDescent="0.35">
      <c r="A76" s="1" t="s">
        <v>165</v>
      </c>
      <c r="B76" s="1" t="s">
        <v>166</v>
      </c>
      <c r="D76" s="1" t="s">
        <v>154</v>
      </c>
      <c r="E76" s="1" t="s">
        <v>154</v>
      </c>
      <c r="F76" s="1" t="s">
        <v>1387</v>
      </c>
      <c r="G76" s="2">
        <v>0</v>
      </c>
      <c r="H76" s="2">
        <v>0</v>
      </c>
    </row>
    <row r="77" spans="1:9" x14ac:dyDescent="0.35">
      <c r="A77" s="1" t="s">
        <v>167</v>
      </c>
      <c r="B77" s="1" t="s">
        <v>168</v>
      </c>
      <c r="D77" s="1" t="s">
        <v>154</v>
      </c>
      <c r="E77" s="1" t="s">
        <v>154</v>
      </c>
      <c r="F77" s="1" t="s">
        <v>1398</v>
      </c>
      <c r="G77" s="2">
        <v>0</v>
      </c>
      <c r="H77" s="2">
        <v>0</v>
      </c>
    </row>
    <row r="78" spans="1:9" x14ac:dyDescent="0.35">
      <c r="A78" s="1" t="s">
        <v>169</v>
      </c>
      <c r="B78" s="1" t="s">
        <v>170</v>
      </c>
      <c r="D78" s="1" t="s">
        <v>154</v>
      </c>
      <c r="E78" s="1" t="s">
        <v>154</v>
      </c>
      <c r="F78" s="1" t="s">
        <v>1394</v>
      </c>
      <c r="G78" s="2">
        <v>0</v>
      </c>
      <c r="H78" s="2">
        <v>0</v>
      </c>
    </row>
    <row r="79" spans="1:9" x14ac:dyDescent="0.35">
      <c r="A79" s="1" t="s">
        <v>171</v>
      </c>
      <c r="B79" s="1" t="s">
        <v>172</v>
      </c>
      <c r="D79" s="1" t="s">
        <v>154</v>
      </c>
      <c r="E79" s="1" t="s">
        <v>154</v>
      </c>
      <c r="F79" s="1" t="s">
        <v>1394</v>
      </c>
      <c r="G79" s="2">
        <v>0</v>
      </c>
      <c r="H79" s="2">
        <v>0</v>
      </c>
    </row>
    <row r="80" spans="1:9" x14ac:dyDescent="0.35">
      <c r="A80" s="1" t="s">
        <v>173</v>
      </c>
      <c r="B80" s="1" t="s">
        <v>174</v>
      </c>
      <c r="D80" s="1" t="s">
        <v>9</v>
      </c>
      <c r="E80" s="1" t="s">
        <v>9</v>
      </c>
      <c r="F80" s="1" t="s">
        <v>1379</v>
      </c>
      <c r="G80" s="2">
        <f>VLOOKUP(B80,'[1]REKAP POTONGAN'!B$6:D$93,3,FALSE)</f>
        <v>250000</v>
      </c>
      <c r="H80" s="2">
        <f>VLOOKUP(B80,'[1]REKAP POTONGAN'!B$6:C$93,2,FALSE)</f>
        <v>0</v>
      </c>
      <c r="I80" s="27"/>
    </row>
    <row r="81" spans="1:9" x14ac:dyDescent="0.35">
      <c r="A81" s="1" t="s">
        <v>175</v>
      </c>
      <c r="B81" s="1" t="s">
        <v>176</v>
      </c>
      <c r="D81" s="1" t="s">
        <v>177</v>
      </c>
      <c r="E81" s="1" t="s">
        <v>177</v>
      </c>
      <c r="F81" s="1" t="s">
        <v>1384</v>
      </c>
      <c r="G81" s="2">
        <f>VLOOKUP(B81,'[1]REKAP POTONGAN'!B$6:D$93,3,FALSE)</f>
        <v>250000</v>
      </c>
      <c r="H81" s="2">
        <f>VLOOKUP(B81,'[1]REKAP POTONGAN'!B$6:C$93,2,FALSE)</f>
        <v>0</v>
      </c>
      <c r="I81" s="27"/>
    </row>
    <row r="82" spans="1:9" x14ac:dyDescent="0.35">
      <c r="A82" s="1" t="s">
        <v>178</v>
      </c>
      <c r="B82" s="1" t="s">
        <v>179</v>
      </c>
      <c r="D82" s="1" t="s">
        <v>177</v>
      </c>
      <c r="E82" s="1" t="s">
        <v>177</v>
      </c>
      <c r="F82" s="1" t="s">
        <v>1381</v>
      </c>
      <c r="G82" s="2">
        <v>0</v>
      </c>
      <c r="H82" s="2">
        <v>0</v>
      </c>
    </row>
    <row r="83" spans="1:9" x14ac:dyDescent="0.35">
      <c r="A83" s="1" t="s">
        <v>180</v>
      </c>
      <c r="B83" s="1" t="s">
        <v>181</v>
      </c>
      <c r="D83" s="1" t="s">
        <v>177</v>
      </c>
      <c r="E83" s="1" t="s">
        <v>177</v>
      </c>
      <c r="F83" s="1" t="s">
        <v>1399</v>
      </c>
      <c r="G83" s="2">
        <f>VLOOKUP(B83,'[1]REKAP POTONGAN'!B$6:D$93,3,FALSE)</f>
        <v>250000</v>
      </c>
      <c r="H83" s="2">
        <f>VLOOKUP(B83,'[1]REKAP POTONGAN'!B$6:C$93,2,FALSE)</f>
        <v>0</v>
      </c>
      <c r="I83" s="27"/>
    </row>
    <row r="84" spans="1:9" x14ac:dyDescent="0.35">
      <c r="A84" s="1" t="s">
        <v>182</v>
      </c>
      <c r="B84" s="1" t="s">
        <v>183</v>
      </c>
      <c r="D84" s="1" t="s">
        <v>184</v>
      </c>
      <c r="E84" s="1" t="s">
        <v>184</v>
      </c>
      <c r="F84" s="1" t="s">
        <v>1379</v>
      </c>
      <c r="G84" s="2">
        <v>0</v>
      </c>
      <c r="H84" s="2">
        <v>0</v>
      </c>
    </row>
    <row r="85" spans="1:9" x14ac:dyDescent="0.35">
      <c r="A85" s="1" t="s">
        <v>185</v>
      </c>
      <c r="B85" s="1" t="s">
        <v>186</v>
      </c>
      <c r="D85" s="1" t="s">
        <v>184</v>
      </c>
      <c r="E85" s="1" t="s">
        <v>184</v>
      </c>
      <c r="F85" s="1" t="s">
        <v>1400</v>
      </c>
      <c r="G85" s="2">
        <v>0</v>
      </c>
      <c r="H85" s="2">
        <v>0</v>
      </c>
    </row>
    <row r="86" spans="1:9" x14ac:dyDescent="0.35">
      <c r="A86" s="1" t="s">
        <v>187</v>
      </c>
      <c r="B86" s="1" t="s">
        <v>188</v>
      </c>
      <c r="D86" s="1" t="s">
        <v>16</v>
      </c>
      <c r="E86" s="1" t="s">
        <v>184</v>
      </c>
      <c r="F86" s="1" t="s">
        <v>1401</v>
      </c>
      <c r="G86" s="2">
        <f>VLOOKUP(B86,'[1]REKAP POTONGAN'!B$6:D$93,3,FALSE)</f>
        <v>250000</v>
      </c>
      <c r="H86" s="2">
        <f>VLOOKUP(B86,'[1]REKAP POTONGAN'!B$6:C$93,2,FALSE)</f>
        <v>0</v>
      </c>
      <c r="I86" s="27"/>
    </row>
    <row r="87" spans="1:9" x14ac:dyDescent="0.35">
      <c r="A87" s="1" t="s">
        <v>189</v>
      </c>
      <c r="B87" s="1" t="s">
        <v>190</v>
      </c>
      <c r="D87" s="1" t="s">
        <v>184</v>
      </c>
      <c r="E87" s="1" t="s">
        <v>184</v>
      </c>
      <c r="F87" s="1" t="s">
        <v>1384</v>
      </c>
      <c r="G87" s="2">
        <v>0</v>
      </c>
      <c r="H87" s="2">
        <v>0</v>
      </c>
    </row>
    <row r="88" spans="1:9" x14ac:dyDescent="0.35">
      <c r="A88" s="1" t="s">
        <v>191</v>
      </c>
      <c r="B88" s="1" t="s">
        <v>192</v>
      </c>
      <c r="D88" s="1" t="s">
        <v>184</v>
      </c>
      <c r="E88" s="1" t="s">
        <v>184</v>
      </c>
      <c r="F88" s="1" t="s">
        <v>1381</v>
      </c>
      <c r="G88" s="2">
        <v>0</v>
      </c>
      <c r="H88" s="2">
        <v>0</v>
      </c>
    </row>
    <row r="89" spans="1:9" x14ac:dyDescent="0.35">
      <c r="A89" s="1" t="s">
        <v>193</v>
      </c>
      <c r="B89" s="1" t="s">
        <v>194</v>
      </c>
      <c r="D89" s="1" t="s">
        <v>184</v>
      </c>
      <c r="E89" s="1" t="s">
        <v>184</v>
      </c>
      <c r="F89" s="1" t="s">
        <v>1385</v>
      </c>
      <c r="G89" s="2">
        <v>0</v>
      </c>
      <c r="H89" s="2">
        <v>0</v>
      </c>
    </row>
    <row r="90" spans="1:9" x14ac:dyDescent="0.35">
      <c r="A90" s="1" t="s">
        <v>195</v>
      </c>
      <c r="B90" s="1" t="s">
        <v>196</v>
      </c>
      <c r="D90" s="1" t="s">
        <v>197</v>
      </c>
      <c r="E90" s="1" t="s">
        <v>197</v>
      </c>
      <c r="F90" s="1" t="s">
        <v>1402</v>
      </c>
      <c r="G90" s="2">
        <v>0</v>
      </c>
      <c r="H90" s="2">
        <v>0</v>
      </c>
    </row>
    <row r="91" spans="1:9" x14ac:dyDescent="0.35">
      <c r="A91" s="1" t="s">
        <v>198</v>
      </c>
      <c r="B91" s="1" t="s">
        <v>199</v>
      </c>
      <c r="D91" s="1" t="s">
        <v>197</v>
      </c>
      <c r="E91" s="1" t="s">
        <v>197</v>
      </c>
      <c r="F91" s="1" t="s">
        <v>1384</v>
      </c>
      <c r="G91" s="2">
        <f>VLOOKUP(B91,'[1]REKAP POTONGAN'!B$6:D$93,3,FALSE)</f>
        <v>250000</v>
      </c>
      <c r="H91" s="2">
        <f>VLOOKUP(B91,'[1]REKAP POTONGAN'!B$6:C$93,2,FALSE)</f>
        <v>1699127</v>
      </c>
      <c r="I91" s="27"/>
    </row>
    <row r="92" spans="1:9" x14ac:dyDescent="0.35">
      <c r="A92" s="1" t="s">
        <v>200</v>
      </c>
      <c r="B92" s="1" t="s">
        <v>201</v>
      </c>
      <c r="D92" s="1" t="s">
        <v>197</v>
      </c>
      <c r="E92" s="1" t="s">
        <v>197</v>
      </c>
      <c r="F92" s="1" t="s">
        <v>1387</v>
      </c>
      <c r="G92" s="2">
        <f>VLOOKUP(B92,'[1]REKAP POTONGAN'!B$6:D$93,3,FALSE)</f>
        <v>150000</v>
      </c>
      <c r="H92" s="2">
        <f>VLOOKUP(B92,'[1]REKAP POTONGAN'!B$6:C$93,2,FALSE)</f>
        <v>2310813</v>
      </c>
      <c r="I92" s="27"/>
    </row>
    <row r="93" spans="1:9" x14ac:dyDescent="0.35">
      <c r="A93" s="1" t="s">
        <v>202</v>
      </c>
      <c r="B93" s="1" t="s">
        <v>203</v>
      </c>
      <c r="D93" s="1" t="s">
        <v>197</v>
      </c>
      <c r="E93" s="1" t="s">
        <v>197</v>
      </c>
      <c r="F93" s="1" t="s">
        <v>1382</v>
      </c>
      <c r="G93" s="2">
        <f>VLOOKUP(B93,'[1]REKAP POTONGAN'!B$6:D$93,3,FALSE)</f>
        <v>250000</v>
      </c>
      <c r="H93" s="2">
        <f>VLOOKUP(B93,'[1]REKAP POTONGAN'!B$6:C$93,2,FALSE)</f>
        <v>0</v>
      </c>
      <c r="I93" s="27"/>
    </row>
    <row r="94" spans="1:9" x14ac:dyDescent="0.35">
      <c r="A94" s="1" t="s">
        <v>204</v>
      </c>
      <c r="B94" s="1" t="s">
        <v>205</v>
      </c>
      <c r="D94" s="1" t="s">
        <v>206</v>
      </c>
      <c r="E94" s="1" t="s">
        <v>206</v>
      </c>
      <c r="F94" s="1" t="s">
        <v>1403</v>
      </c>
      <c r="G94" s="2">
        <v>0</v>
      </c>
      <c r="H94" s="2">
        <v>0</v>
      </c>
    </row>
    <row r="95" spans="1:9" x14ac:dyDescent="0.35">
      <c r="A95" s="1" t="s">
        <v>207</v>
      </c>
      <c r="B95" s="1" t="s">
        <v>208</v>
      </c>
      <c r="D95" s="1" t="s">
        <v>206</v>
      </c>
      <c r="E95" s="1" t="s">
        <v>206</v>
      </c>
      <c r="F95" s="1" t="s">
        <v>1379</v>
      </c>
      <c r="G95" s="2">
        <v>0</v>
      </c>
      <c r="H95" s="2">
        <v>0</v>
      </c>
    </row>
    <row r="96" spans="1:9" x14ac:dyDescent="0.35">
      <c r="A96" s="1" t="s">
        <v>209</v>
      </c>
      <c r="B96" s="1" t="s">
        <v>210</v>
      </c>
      <c r="D96" s="1" t="s">
        <v>206</v>
      </c>
      <c r="E96" s="1" t="s">
        <v>206</v>
      </c>
      <c r="F96" s="1" t="s">
        <v>1381</v>
      </c>
      <c r="G96" s="2">
        <v>0</v>
      </c>
      <c r="H96" s="2">
        <v>0</v>
      </c>
    </row>
    <row r="97" spans="1:9" x14ac:dyDescent="0.35">
      <c r="A97" s="1" t="s">
        <v>211</v>
      </c>
      <c r="B97" s="1" t="s">
        <v>212</v>
      </c>
      <c r="D97" s="1" t="s">
        <v>206</v>
      </c>
      <c r="E97" s="1" t="s">
        <v>206</v>
      </c>
      <c r="F97" s="1" t="s">
        <v>1379</v>
      </c>
      <c r="G97" s="2">
        <f>VLOOKUP(B97,'[1]REKAP POTONGAN'!B$6:D$93,3,FALSE)</f>
        <v>150000</v>
      </c>
      <c r="H97" s="2">
        <f>VLOOKUP(B97,'[1]REKAP POTONGAN'!B$6:C$93,2,FALSE)</f>
        <v>0</v>
      </c>
      <c r="I97" s="27"/>
    </row>
    <row r="98" spans="1:9" x14ac:dyDescent="0.35">
      <c r="A98" s="1" t="s">
        <v>213</v>
      </c>
      <c r="B98" s="1" t="s">
        <v>214</v>
      </c>
      <c r="D98" s="1" t="s">
        <v>206</v>
      </c>
      <c r="E98" s="1" t="s">
        <v>206</v>
      </c>
      <c r="F98" s="1" t="s">
        <v>1394</v>
      </c>
      <c r="G98" s="2">
        <v>0</v>
      </c>
      <c r="H98" s="2">
        <v>0</v>
      </c>
    </row>
    <row r="99" spans="1:9" x14ac:dyDescent="0.35">
      <c r="A99" s="1" t="s">
        <v>215</v>
      </c>
      <c r="B99" s="1" t="s">
        <v>216</v>
      </c>
      <c r="D99" s="1" t="s">
        <v>6</v>
      </c>
      <c r="E99" s="1" t="s">
        <v>6</v>
      </c>
      <c r="F99" s="1" t="s">
        <v>1379</v>
      </c>
      <c r="G99" s="2">
        <v>0</v>
      </c>
      <c r="H99" s="2">
        <v>0</v>
      </c>
    </row>
    <row r="100" spans="1:9" x14ac:dyDescent="0.35">
      <c r="A100" s="1" t="s">
        <v>217</v>
      </c>
      <c r="B100" s="1" t="s">
        <v>218</v>
      </c>
      <c r="D100" s="1" t="s">
        <v>53</v>
      </c>
      <c r="E100" s="1" t="s">
        <v>53</v>
      </c>
      <c r="F100" s="1" t="s">
        <v>1404</v>
      </c>
      <c r="G100" s="2">
        <f>VLOOKUP(B100,'[1]REKAP POTONGAN'!B$6:D$93,3,FALSE)</f>
        <v>350000</v>
      </c>
      <c r="H100" s="2">
        <f>VLOOKUP(B100,'[1]REKAP POTONGAN'!B$6:C$93,2,FALSE)</f>
        <v>0</v>
      </c>
      <c r="I100" s="27"/>
    </row>
    <row r="101" spans="1:9" x14ac:dyDescent="0.35">
      <c r="A101" s="1" t="s">
        <v>219</v>
      </c>
      <c r="B101" s="1" t="s">
        <v>220</v>
      </c>
      <c r="D101" s="1" t="s">
        <v>221</v>
      </c>
      <c r="E101" s="1" t="s">
        <v>221</v>
      </c>
      <c r="F101" s="1" t="s">
        <v>1405</v>
      </c>
      <c r="G101" s="2">
        <f>VLOOKUP(B101,'[1]REKAP POTONGAN'!B$6:D$93,3,FALSE)</f>
        <v>250000</v>
      </c>
      <c r="H101" s="2">
        <f>VLOOKUP(B101,'[1]REKAP POTONGAN'!B$6:C$93,2,FALSE)</f>
        <v>0</v>
      </c>
      <c r="I101" s="27"/>
    </row>
    <row r="102" spans="1:9" x14ac:dyDescent="0.35">
      <c r="A102" s="1" t="s">
        <v>222</v>
      </c>
      <c r="B102" s="1" t="s">
        <v>223</v>
      </c>
      <c r="D102" s="1" t="s">
        <v>221</v>
      </c>
      <c r="E102" s="1" t="s">
        <v>221</v>
      </c>
      <c r="F102" s="1" t="s">
        <v>1384</v>
      </c>
      <c r="G102" s="2">
        <f>VLOOKUP(B102,'[1]REKAP POTONGAN'!B$6:D$93,3,FALSE)</f>
        <v>150000</v>
      </c>
      <c r="H102" s="2">
        <f>VLOOKUP(B102,'[1]REKAP POTONGAN'!B$6:C$93,2,FALSE)</f>
        <v>0</v>
      </c>
      <c r="I102" s="27"/>
    </row>
    <row r="103" spans="1:9" x14ac:dyDescent="0.35">
      <c r="A103" s="1" t="s">
        <v>224</v>
      </c>
      <c r="B103" s="1" t="s">
        <v>225</v>
      </c>
      <c r="D103" s="1" t="s">
        <v>221</v>
      </c>
      <c r="E103" s="1" t="s">
        <v>221</v>
      </c>
      <c r="F103" s="1" t="s">
        <v>1406</v>
      </c>
      <c r="G103" s="2">
        <v>0</v>
      </c>
      <c r="H103" s="2">
        <v>0</v>
      </c>
    </row>
    <row r="104" spans="1:9" x14ac:dyDescent="0.35">
      <c r="A104" s="1" t="s">
        <v>226</v>
      </c>
      <c r="B104" s="1" t="s">
        <v>227</v>
      </c>
      <c r="D104" s="1" t="s">
        <v>221</v>
      </c>
      <c r="E104" s="1" t="s">
        <v>221</v>
      </c>
      <c r="F104" s="1" t="s">
        <v>1387</v>
      </c>
      <c r="G104" s="2">
        <v>0</v>
      </c>
      <c r="H104" s="2">
        <v>0</v>
      </c>
    </row>
    <row r="105" spans="1:9" x14ac:dyDescent="0.35">
      <c r="A105" s="1" t="s">
        <v>228</v>
      </c>
      <c r="B105" s="1" t="s">
        <v>229</v>
      </c>
      <c r="D105" s="1" t="s">
        <v>221</v>
      </c>
      <c r="E105" s="1" t="s">
        <v>221</v>
      </c>
      <c r="F105" s="1" t="s">
        <v>1407</v>
      </c>
      <c r="G105" s="2">
        <f>VLOOKUP(B105,'[1]REKAP POTONGAN'!B$6:D$93,3,FALSE)</f>
        <v>250000</v>
      </c>
      <c r="H105" s="2">
        <f>VLOOKUP(B105,'[1]REKAP POTONGAN'!B$6:C$93,2,FALSE)</f>
        <v>0</v>
      </c>
      <c r="I105" s="27"/>
    </row>
    <row r="106" spans="1:9" x14ac:dyDescent="0.35">
      <c r="A106" s="1" t="s">
        <v>230</v>
      </c>
      <c r="B106" s="1" t="s">
        <v>231</v>
      </c>
      <c r="C106" s="1" t="s">
        <v>2027</v>
      </c>
      <c r="D106" s="1" t="s">
        <v>232</v>
      </c>
      <c r="E106" s="1" t="s">
        <v>232</v>
      </c>
      <c r="F106" s="1" t="s">
        <v>1379</v>
      </c>
      <c r="G106" s="2">
        <f>VLOOKUP(B106,'[1]REKAP POTONGAN'!B$6:D$93,3,FALSE)</f>
        <v>250000</v>
      </c>
      <c r="H106" s="2">
        <f>VLOOKUP(B106,'[1]REKAP POTONGAN'!B$6:C$93,2,FALSE)</f>
        <v>0</v>
      </c>
      <c r="I106" s="27"/>
    </row>
    <row r="107" spans="1:9" x14ac:dyDescent="0.35">
      <c r="A107" s="1" t="s">
        <v>233</v>
      </c>
      <c r="B107" s="1" t="s">
        <v>234</v>
      </c>
      <c r="D107" s="1" t="s">
        <v>232</v>
      </c>
      <c r="E107" s="1" t="s">
        <v>232</v>
      </c>
      <c r="F107" s="1" t="s">
        <v>1379</v>
      </c>
      <c r="G107" s="2">
        <v>0</v>
      </c>
      <c r="H107" s="2">
        <v>0</v>
      </c>
    </row>
    <row r="108" spans="1:9" x14ac:dyDescent="0.35">
      <c r="A108" s="1" t="s">
        <v>235</v>
      </c>
      <c r="B108" s="1" t="s">
        <v>236</v>
      </c>
      <c r="D108" s="1" t="s">
        <v>232</v>
      </c>
      <c r="E108" s="1" t="s">
        <v>232</v>
      </c>
      <c r="F108" s="1" t="s">
        <v>1387</v>
      </c>
      <c r="G108" s="2">
        <v>0</v>
      </c>
      <c r="H108" s="2">
        <v>0</v>
      </c>
    </row>
    <row r="109" spans="1:9" x14ac:dyDescent="0.35">
      <c r="A109" s="1" t="s">
        <v>237</v>
      </c>
      <c r="B109" s="1" t="s">
        <v>238</v>
      </c>
      <c r="D109" s="1" t="s">
        <v>232</v>
      </c>
      <c r="E109" s="1" t="s">
        <v>232</v>
      </c>
      <c r="F109" s="1" t="s">
        <v>1390</v>
      </c>
      <c r="G109" s="2">
        <v>0</v>
      </c>
      <c r="H109" s="2">
        <v>0</v>
      </c>
    </row>
    <row r="110" spans="1:9" x14ac:dyDescent="0.35">
      <c r="A110" s="1" t="s">
        <v>239</v>
      </c>
      <c r="B110" s="1" t="s">
        <v>240</v>
      </c>
      <c r="D110" s="1" t="s">
        <v>232</v>
      </c>
      <c r="E110" s="1" t="s">
        <v>232</v>
      </c>
      <c r="F110" s="1" t="s">
        <v>1381</v>
      </c>
      <c r="G110" s="2">
        <v>0</v>
      </c>
      <c r="H110" s="2">
        <v>0</v>
      </c>
    </row>
    <row r="111" spans="1:9" x14ac:dyDescent="0.35">
      <c r="A111" s="1" t="s">
        <v>241</v>
      </c>
      <c r="B111" s="1" t="s">
        <v>242</v>
      </c>
      <c r="D111" s="1" t="s">
        <v>232</v>
      </c>
      <c r="E111" s="1" t="s">
        <v>232</v>
      </c>
      <c r="F111" s="1" t="s">
        <v>1408</v>
      </c>
      <c r="G111" s="2">
        <v>0</v>
      </c>
      <c r="H111" s="2">
        <v>0</v>
      </c>
    </row>
    <row r="112" spans="1:9" x14ac:dyDescent="0.35">
      <c r="A112" s="1" t="s">
        <v>243</v>
      </c>
      <c r="B112" s="1" t="s">
        <v>244</v>
      </c>
      <c r="D112" s="1" t="s">
        <v>245</v>
      </c>
      <c r="E112" s="1" t="s">
        <v>245</v>
      </c>
      <c r="F112" s="1" t="s">
        <v>1392</v>
      </c>
      <c r="G112" s="2">
        <v>0</v>
      </c>
      <c r="H112" s="2">
        <v>0</v>
      </c>
    </row>
    <row r="113" spans="1:9" x14ac:dyDescent="0.35">
      <c r="A113" s="1" t="s">
        <v>246</v>
      </c>
      <c r="B113" s="1" t="s">
        <v>247</v>
      </c>
      <c r="D113" s="1" t="s">
        <v>245</v>
      </c>
      <c r="E113" s="1" t="s">
        <v>245</v>
      </c>
      <c r="F113" s="1" t="s">
        <v>1381</v>
      </c>
      <c r="G113" s="2">
        <v>0</v>
      </c>
      <c r="H113" s="2">
        <v>0</v>
      </c>
    </row>
    <row r="114" spans="1:9" x14ac:dyDescent="0.35">
      <c r="A114" s="1" t="s">
        <v>248</v>
      </c>
      <c r="B114" s="1" t="s">
        <v>249</v>
      </c>
      <c r="D114" s="1" t="s">
        <v>245</v>
      </c>
      <c r="E114" s="1" t="s">
        <v>245</v>
      </c>
      <c r="F114" s="1" t="s">
        <v>1390</v>
      </c>
      <c r="G114" s="2">
        <v>0</v>
      </c>
      <c r="H114" s="2">
        <v>0</v>
      </c>
    </row>
    <row r="115" spans="1:9" x14ac:dyDescent="0.35">
      <c r="A115" s="1" t="s">
        <v>250</v>
      </c>
      <c r="B115" s="1" t="s">
        <v>251</v>
      </c>
      <c r="D115" s="1" t="s">
        <v>252</v>
      </c>
      <c r="E115" s="1" t="s">
        <v>252</v>
      </c>
      <c r="F115" s="1" t="s">
        <v>1409</v>
      </c>
      <c r="G115" s="2">
        <f>VLOOKUP(B115,[2]Sheet1!B$2:I$773,8,FALSE)</f>
        <v>250000</v>
      </c>
      <c r="H115" s="2">
        <f>VLOOKUP(B115,'[3]DAFTAR ALL'!B$8:D$68,3,FALSE)</f>
        <v>5510001</v>
      </c>
      <c r="I115" s="27"/>
    </row>
    <row r="116" spans="1:9" x14ac:dyDescent="0.35">
      <c r="A116" s="1" t="s">
        <v>253</v>
      </c>
      <c r="B116" s="1" t="s">
        <v>254</v>
      </c>
      <c r="D116" s="1" t="s">
        <v>245</v>
      </c>
      <c r="E116" s="1" t="s">
        <v>245</v>
      </c>
      <c r="F116" s="1" t="s">
        <v>1410</v>
      </c>
      <c r="G116" s="2">
        <v>0</v>
      </c>
      <c r="H116" s="2">
        <v>0</v>
      </c>
    </row>
    <row r="117" spans="1:9" x14ac:dyDescent="0.35">
      <c r="A117" s="1" t="s">
        <v>255</v>
      </c>
      <c r="B117" s="1" t="s">
        <v>256</v>
      </c>
      <c r="D117" s="1" t="s">
        <v>245</v>
      </c>
      <c r="E117" s="1" t="s">
        <v>245</v>
      </c>
      <c r="F117" s="1" t="s">
        <v>1384</v>
      </c>
      <c r="G117" s="2">
        <v>0</v>
      </c>
      <c r="H117" s="2">
        <v>0</v>
      </c>
    </row>
    <row r="118" spans="1:9" x14ac:dyDescent="0.35">
      <c r="A118" s="1" t="s">
        <v>257</v>
      </c>
      <c r="B118" s="1" t="s">
        <v>258</v>
      </c>
      <c r="D118" s="1" t="s">
        <v>245</v>
      </c>
      <c r="E118" s="1" t="s">
        <v>259</v>
      </c>
      <c r="F118" s="1" t="s">
        <v>1394</v>
      </c>
      <c r="G118" s="2">
        <v>0</v>
      </c>
      <c r="H118" s="2">
        <v>0</v>
      </c>
    </row>
    <row r="119" spans="1:9" x14ac:dyDescent="0.35">
      <c r="A119" s="1" t="s">
        <v>260</v>
      </c>
      <c r="B119" s="1" t="s">
        <v>261</v>
      </c>
      <c r="D119" s="1" t="s">
        <v>262</v>
      </c>
      <c r="E119" s="1" t="s">
        <v>262</v>
      </c>
      <c r="F119" s="1" t="s">
        <v>1411</v>
      </c>
      <c r="G119" s="2">
        <f>VLOOKUP(B119,'[1]REKAP POTONGAN'!B$6:D$93,3,FALSE)</f>
        <v>100000</v>
      </c>
      <c r="H119" s="2">
        <f>VLOOKUP(B119,'[1]REKAP POTONGAN'!B$6:C$93,2,FALSE)</f>
        <v>0</v>
      </c>
      <c r="I119" s="27"/>
    </row>
    <row r="120" spans="1:9" x14ac:dyDescent="0.35">
      <c r="A120" s="1" t="s">
        <v>263</v>
      </c>
      <c r="B120" s="1" t="s">
        <v>264</v>
      </c>
      <c r="D120" s="1" t="s">
        <v>262</v>
      </c>
      <c r="E120" s="1" t="s">
        <v>262</v>
      </c>
      <c r="F120" s="1" t="s">
        <v>1394</v>
      </c>
      <c r="G120" s="2">
        <v>0</v>
      </c>
      <c r="H120" s="2">
        <v>0</v>
      </c>
    </row>
    <row r="121" spans="1:9" x14ac:dyDescent="0.35">
      <c r="A121" s="1" t="s">
        <v>265</v>
      </c>
      <c r="B121" s="1" t="s">
        <v>266</v>
      </c>
      <c r="D121" s="1" t="s">
        <v>262</v>
      </c>
      <c r="E121" s="1" t="s">
        <v>262</v>
      </c>
      <c r="F121" s="1" t="s">
        <v>1393</v>
      </c>
      <c r="G121" s="2">
        <v>0</v>
      </c>
      <c r="H121" s="2">
        <v>0</v>
      </c>
    </row>
    <row r="122" spans="1:9" x14ac:dyDescent="0.35">
      <c r="A122" s="1" t="s">
        <v>267</v>
      </c>
      <c r="B122" s="1" t="s">
        <v>268</v>
      </c>
      <c r="D122" s="1" t="s">
        <v>262</v>
      </c>
      <c r="E122" s="1" t="s">
        <v>262</v>
      </c>
      <c r="F122" s="1" t="s">
        <v>1394</v>
      </c>
      <c r="G122" s="2">
        <f>VLOOKUP(B122,'[1]REKAP POTONGAN'!B$6:D$93,3,FALSE)</f>
        <v>150000</v>
      </c>
      <c r="H122" s="2">
        <f>VLOOKUP(B122,'[1]REKAP POTONGAN'!B$6:C$93,2,FALSE)</f>
        <v>0</v>
      </c>
      <c r="I122" s="27"/>
    </row>
    <row r="123" spans="1:9" x14ac:dyDescent="0.35">
      <c r="A123" s="1" t="s">
        <v>269</v>
      </c>
      <c r="B123" s="1" t="s">
        <v>270</v>
      </c>
      <c r="D123" s="1" t="s">
        <v>262</v>
      </c>
      <c r="E123" s="1" t="s">
        <v>262</v>
      </c>
      <c r="F123" s="1" t="s">
        <v>1387</v>
      </c>
      <c r="G123" s="2">
        <v>0</v>
      </c>
      <c r="H123" s="2">
        <v>0</v>
      </c>
    </row>
    <row r="124" spans="1:9" x14ac:dyDescent="0.35">
      <c r="A124" s="1" t="s">
        <v>271</v>
      </c>
      <c r="B124" s="1" t="s">
        <v>272</v>
      </c>
      <c r="D124" s="1" t="s">
        <v>273</v>
      </c>
      <c r="E124" s="1" t="s">
        <v>273</v>
      </c>
      <c r="F124" s="1" t="s">
        <v>1394</v>
      </c>
      <c r="G124" s="2">
        <v>0</v>
      </c>
      <c r="H124" s="2">
        <v>0</v>
      </c>
    </row>
    <row r="125" spans="1:9" x14ac:dyDescent="0.35">
      <c r="A125" s="1" t="s">
        <v>274</v>
      </c>
      <c r="B125" s="1" t="s">
        <v>275</v>
      </c>
      <c r="D125" s="1" t="s">
        <v>273</v>
      </c>
      <c r="E125" s="1" t="s">
        <v>273</v>
      </c>
      <c r="F125" s="1" t="s">
        <v>1391</v>
      </c>
      <c r="G125" s="2">
        <f>VLOOKUP(B125,'[1]REKAP POTONGAN'!B$6:D$93,3,FALSE)</f>
        <v>150000</v>
      </c>
      <c r="H125" s="2">
        <f>VLOOKUP(B125,'[1]REKAP POTONGAN'!B$6:C$93,2,FALSE)</f>
        <v>0</v>
      </c>
      <c r="I125" s="27"/>
    </row>
    <row r="126" spans="1:9" x14ac:dyDescent="0.35">
      <c r="A126" s="1" t="s">
        <v>276</v>
      </c>
      <c r="B126" s="1" t="s">
        <v>277</v>
      </c>
      <c r="D126" s="1" t="s">
        <v>273</v>
      </c>
      <c r="E126" s="1" t="s">
        <v>273</v>
      </c>
      <c r="F126" s="1" t="s">
        <v>1412</v>
      </c>
      <c r="G126" s="2">
        <f>VLOOKUP(B126,'[1]REKAP POTONGAN'!B$6:D$93,3,FALSE)</f>
        <v>450000</v>
      </c>
      <c r="H126" s="2">
        <f>VLOOKUP(B126,'[1]REKAP POTONGAN'!B$6:C$93,2,FALSE)</f>
        <v>0</v>
      </c>
      <c r="I126" s="27"/>
    </row>
    <row r="127" spans="1:9" x14ac:dyDescent="0.35">
      <c r="A127" s="1" t="s">
        <v>278</v>
      </c>
      <c r="B127" s="1" t="s">
        <v>279</v>
      </c>
      <c r="D127" s="1" t="s">
        <v>280</v>
      </c>
      <c r="E127" s="1" t="s">
        <v>280</v>
      </c>
      <c r="F127" s="1" t="s">
        <v>1394</v>
      </c>
      <c r="G127" s="2">
        <f>VLOOKUP(B127,'[1]REKAP POTONGAN'!B$6:D$93,3,FALSE)</f>
        <v>150000</v>
      </c>
      <c r="H127" s="2">
        <f>VLOOKUP(B127,'[1]REKAP POTONGAN'!B$6:C$93,2,FALSE)</f>
        <v>0</v>
      </c>
      <c r="I127" s="27"/>
    </row>
    <row r="128" spans="1:9" x14ac:dyDescent="0.35">
      <c r="A128" s="1" t="s">
        <v>281</v>
      </c>
      <c r="B128" s="1" t="s">
        <v>282</v>
      </c>
      <c r="D128" s="1" t="s">
        <v>280</v>
      </c>
      <c r="E128" s="1" t="s">
        <v>280</v>
      </c>
      <c r="F128" s="1" t="s">
        <v>1413</v>
      </c>
      <c r="G128" s="2">
        <v>0</v>
      </c>
      <c r="H128" s="2">
        <v>0</v>
      </c>
    </row>
    <row r="129" spans="1:9" x14ac:dyDescent="0.35">
      <c r="A129" s="1" t="s">
        <v>283</v>
      </c>
      <c r="B129" s="1" t="s">
        <v>284</v>
      </c>
      <c r="D129" s="1" t="s">
        <v>280</v>
      </c>
      <c r="E129" s="1" t="s">
        <v>280</v>
      </c>
      <c r="F129" s="1" t="s">
        <v>1393</v>
      </c>
      <c r="G129" s="2">
        <f>VLOOKUP(B129,'[1]REKAP POTONGAN'!B$6:D$93,3,FALSE)</f>
        <v>150000</v>
      </c>
      <c r="H129" s="2">
        <f>VLOOKUP(B129,'[1]REKAP POTONGAN'!B$6:C$93,2,FALSE)</f>
        <v>1701389</v>
      </c>
      <c r="I129" s="27"/>
    </row>
    <row r="130" spans="1:9" x14ac:dyDescent="0.35">
      <c r="A130" s="1" t="s">
        <v>285</v>
      </c>
      <c r="B130" s="1" t="s">
        <v>286</v>
      </c>
      <c r="D130" s="1" t="s">
        <v>280</v>
      </c>
      <c r="E130" s="1" t="s">
        <v>280</v>
      </c>
      <c r="F130" s="1" t="s">
        <v>1394</v>
      </c>
      <c r="G130" s="2">
        <v>0</v>
      </c>
      <c r="H130" s="2">
        <v>0</v>
      </c>
    </row>
    <row r="131" spans="1:9" x14ac:dyDescent="0.35">
      <c r="A131" s="1" t="s">
        <v>287</v>
      </c>
      <c r="B131" s="1" t="s">
        <v>288</v>
      </c>
      <c r="D131" s="1" t="s">
        <v>280</v>
      </c>
      <c r="E131" s="1" t="s">
        <v>280</v>
      </c>
      <c r="F131" s="1" t="s">
        <v>1387</v>
      </c>
      <c r="G131" s="2">
        <f>VLOOKUP(B131,'[1]REKAP POTONGAN'!B$6:D$93,3,FALSE)</f>
        <v>150000</v>
      </c>
      <c r="H131" s="2">
        <f>VLOOKUP(B131,'[1]REKAP POTONGAN'!B$6:C$93,2,FALSE)</f>
        <v>0</v>
      </c>
      <c r="I131" s="27"/>
    </row>
    <row r="132" spans="1:9" x14ac:dyDescent="0.35">
      <c r="A132" s="1" t="s">
        <v>289</v>
      </c>
      <c r="B132" s="1" t="s">
        <v>290</v>
      </c>
      <c r="D132" s="1" t="s">
        <v>280</v>
      </c>
      <c r="E132" s="1" t="s">
        <v>280</v>
      </c>
      <c r="F132" s="1" t="s">
        <v>1394</v>
      </c>
      <c r="G132" s="2">
        <v>0</v>
      </c>
      <c r="H132" s="2">
        <v>0</v>
      </c>
    </row>
    <row r="133" spans="1:9" x14ac:dyDescent="0.35">
      <c r="A133" s="1" t="s">
        <v>291</v>
      </c>
      <c r="B133" s="1" t="s">
        <v>292</v>
      </c>
      <c r="D133" s="1" t="s">
        <v>280</v>
      </c>
      <c r="E133" s="1" t="s">
        <v>280</v>
      </c>
      <c r="F133" s="1" t="s">
        <v>1394</v>
      </c>
      <c r="G133" s="2">
        <v>0</v>
      </c>
      <c r="H133" s="2">
        <v>0</v>
      </c>
    </row>
    <row r="134" spans="1:9" x14ac:dyDescent="0.35">
      <c r="A134" s="1" t="s">
        <v>293</v>
      </c>
      <c r="B134" s="1" t="s">
        <v>294</v>
      </c>
      <c r="D134" s="1" t="s">
        <v>197</v>
      </c>
      <c r="E134" s="1" t="s">
        <v>295</v>
      </c>
      <c r="F134" s="1" t="s">
        <v>1393</v>
      </c>
      <c r="G134" s="2">
        <v>0</v>
      </c>
      <c r="H134" s="2">
        <v>0</v>
      </c>
    </row>
    <row r="135" spans="1:9" x14ac:dyDescent="0.35">
      <c r="A135" s="1" t="s">
        <v>296</v>
      </c>
      <c r="B135" s="1" t="s">
        <v>297</v>
      </c>
      <c r="D135" s="1" t="s">
        <v>197</v>
      </c>
      <c r="E135" s="1" t="s">
        <v>295</v>
      </c>
      <c r="F135" s="1" t="s">
        <v>1391</v>
      </c>
      <c r="G135" s="2">
        <v>0</v>
      </c>
      <c r="H135" s="2">
        <v>0</v>
      </c>
    </row>
    <row r="136" spans="1:9" x14ac:dyDescent="0.35">
      <c r="A136" s="1" t="s">
        <v>298</v>
      </c>
      <c r="B136" s="1" t="s">
        <v>299</v>
      </c>
      <c r="D136" s="1" t="s">
        <v>206</v>
      </c>
      <c r="E136" s="1" t="s">
        <v>300</v>
      </c>
      <c r="F136" s="1" t="s">
        <v>1391</v>
      </c>
      <c r="G136" s="2">
        <v>0</v>
      </c>
      <c r="H136" s="2">
        <v>0</v>
      </c>
    </row>
    <row r="137" spans="1:9" x14ac:dyDescent="0.35">
      <c r="A137" s="1" t="s">
        <v>301</v>
      </c>
      <c r="B137" s="1" t="s">
        <v>302</v>
      </c>
      <c r="D137" s="1" t="s">
        <v>206</v>
      </c>
      <c r="E137" s="1" t="s">
        <v>300</v>
      </c>
      <c r="F137" s="1" t="s">
        <v>1394</v>
      </c>
      <c r="G137" s="2">
        <v>0</v>
      </c>
      <c r="H137" s="2">
        <v>0</v>
      </c>
    </row>
    <row r="138" spans="1:9" x14ac:dyDescent="0.35">
      <c r="A138" s="1" t="s">
        <v>303</v>
      </c>
      <c r="B138" s="1" t="s">
        <v>304</v>
      </c>
      <c r="D138" s="1" t="s">
        <v>53</v>
      </c>
      <c r="E138" s="1" t="s">
        <v>305</v>
      </c>
      <c r="F138" s="1" t="s">
        <v>1391</v>
      </c>
      <c r="G138" s="2">
        <v>0</v>
      </c>
      <c r="H138" s="2">
        <v>0</v>
      </c>
    </row>
    <row r="139" spans="1:9" x14ac:dyDescent="0.35">
      <c r="A139" s="1" t="s">
        <v>306</v>
      </c>
      <c r="B139" s="1" t="s">
        <v>307</v>
      </c>
      <c r="D139" s="1" t="s">
        <v>53</v>
      </c>
      <c r="E139" s="1" t="s">
        <v>305</v>
      </c>
      <c r="F139" s="1" t="s">
        <v>1391</v>
      </c>
      <c r="G139" s="2">
        <v>0</v>
      </c>
      <c r="H139" s="2">
        <v>0</v>
      </c>
    </row>
    <row r="140" spans="1:9" x14ac:dyDescent="0.35">
      <c r="A140" s="1" t="s">
        <v>308</v>
      </c>
      <c r="B140" s="1" t="s">
        <v>309</v>
      </c>
      <c r="D140" s="1" t="s">
        <v>310</v>
      </c>
      <c r="E140" s="1" t="s">
        <v>310</v>
      </c>
      <c r="F140" s="1" t="s">
        <v>1414</v>
      </c>
      <c r="G140" s="2">
        <v>0</v>
      </c>
      <c r="H140" s="2">
        <v>0</v>
      </c>
    </row>
    <row r="141" spans="1:9" x14ac:dyDescent="0.35">
      <c r="A141" s="1" t="s">
        <v>311</v>
      </c>
      <c r="B141" s="1" t="s">
        <v>312</v>
      </c>
      <c r="D141" s="1" t="s">
        <v>310</v>
      </c>
      <c r="E141" s="1" t="s">
        <v>310</v>
      </c>
      <c r="F141" s="1" t="s">
        <v>1381</v>
      </c>
      <c r="G141" s="2">
        <f>VLOOKUP(B141,'[1]REKAP POTONGAN'!B$6:D$93,3,FALSE)</f>
        <v>150000</v>
      </c>
      <c r="H141" s="2">
        <f>VLOOKUP(B141,'[1]REKAP POTONGAN'!B$6:C$93,2,FALSE)</f>
        <v>0</v>
      </c>
      <c r="I141" s="27"/>
    </row>
    <row r="142" spans="1:9" x14ac:dyDescent="0.35">
      <c r="A142" s="1" t="s">
        <v>313</v>
      </c>
      <c r="B142" s="1" t="s">
        <v>314</v>
      </c>
      <c r="D142" s="1" t="s">
        <v>310</v>
      </c>
      <c r="E142" s="1" t="s">
        <v>310</v>
      </c>
      <c r="F142" s="1" t="s">
        <v>1391</v>
      </c>
      <c r="G142" s="2">
        <f>VLOOKUP(B142,'[1]REKAP POTONGAN'!B$6:D$93,3,FALSE)</f>
        <v>150000</v>
      </c>
      <c r="H142" s="2">
        <f>VLOOKUP(B142,'[1]REKAP POTONGAN'!B$6:C$93,2,FALSE)</f>
        <v>0</v>
      </c>
      <c r="I142" s="27"/>
    </row>
    <row r="143" spans="1:9" x14ac:dyDescent="0.35">
      <c r="A143" s="1" t="s">
        <v>315</v>
      </c>
      <c r="B143" s="1" t="s">
        <v>316</v>
      </c>
      <c r="D143" s="1" t="s">
        <v>310</v>
      </c>
      <c r="E143" s="1" t="s">
        <v>310</v>
      </c>
      <c r="F143" s="1" t="s">
        <v>1391</v>
      </c>
      <c r="G143" s="2">
        <f>VLOOKUP(B143,'[1]REKAP POTONGAN'!B$6:D$93,3,FALSE)</f>
        <v>150000</v>
      </c>
      <c r="H143" s="2">
        <f>VLOOKUP(B143,'[1]REKAP POTONGAN'!B$6:C$93,2,FALSE)</f>
        <v>0</v>
      </c>
      <c r="I143" s="27"/>
    </row>
    <row r="144" spans="1:9" x14ac:dyDescent="0.35">
      <c r="A144" s="1" t="s">
        <v>317</v>
      </c>
      <c r="B144" s="1" t="s">
        <v>318</v>
      </c>
      <c r="D144" s="1" t="s">
        <v>310</v>
      </c>
      <c r="E144" s="1" t="s">
        <v>310</v>
      </c>
      <c r="F144" s="1" t="s">
        <v>1391</v>
      </c>
      <c r="G144" s="2">
        <f>VLOOKUP(B144,'[1]REKAP POTONGAN'!B$6:D$93,3,FALSE)</f>
        <v>150000</v>
      </c>
      <c r="H144" s="2">
        <f>VLOOKUP(B144,'[1]REKAP POTONGAN'!B$6:C$93,2,FALSE)</f>
        <v>0</v>
      </c>
      <c r="I144" s="27"/>
    </row>
    <row r="145" spans="1:9" x14ac:dyDescent="0.35">
      <c r="A145" s="1" t="s">
        <v>319</v>
      </c>
      <c r="B145" s="1" t="s">
        <v>320</v>
      </c>
      <c r="D145" s="1" t="s">
        <v>321</v>
      </c>
      <c r="E145" s="1" t="s">
        <v>321</v>
      </c>
      <c r="F145" s="1" t="s">
        <v>1415</v>
      </c>
      <c r="G145" s="2">
        <f>VLOOKUP(B145,'[1]REKAP POTONGAN'!B$6:D$93,3,FALSE)</f>
        <v>100000</v>
      </c>
      <c r="H145" s="2">
        <f>VLOOKUP(B145,'[1]REKAP POTONGAN'!B$6:C$93,2,FALSE)</f>
        <v>0</v>
      </c>
      <c r="I145" s="27"/>
    </row>
    <row r="146" spans="1:9" x14ac:dyDescent="0.35">
      <c r="A146" s="1" t="s">
        <v>322</v>
      </c>
      <c r="B146" s="1" t="s">
        <v>323</v>
      </c>
      <c r="D146" s="1" t="s">
        <v>321</v>
      </c>
      <c r="E146" s="1" t="s">
        <v>321</v>
      </c>
      <c r="F146" s="1" t="s">
        <v>1394</v>
      </c>
      <c r="G146" s="2">
        <v>0</v>
      </c>
      <c r="H146" s="2">
        <v>0</v>
      </c>
    </row>
    <row r="147" spans="1:9" x14ac:dyDescent="0.35">
      <c r="A147" s="1" t="s">
        <v>324</v>
      </c>
      <c r="B147" s="1" t="s">
        <v>325</v>
      </c>
      <c r="D147" s="1" t="s">
        <v>321</v>
      </c>
      <c r="E147" s="1" t="s">
        <v>321</v>
      </c>
      <c r="F147" s="1" t="s">
        <v>1394</v>
      </c>
      <c r="G147" s="2">
        <v>0</v>
      </c>
      <c r="H147" s="2">
        <v>0</v>
      </c>
    </row>
    <row r="148" spans="1:9" x14ac:dyDescent="0.35">
      <c r="A148" s="1" t="s">
        <v>326</v>
      </c>
      <c r="B148" s="1" t="s">
        <v>327</v>
      </c>
      <c r="D148" s="1" t="s">
        <v>321</v>
      </c>
      <c r="E148" s="1" t="s">
        <v>321</v>
      </c>
      <c r="F148" s="1" t="s">
        <v>1394</v>
      </c>
      <c r="G148" s="2">
        <v>0</v>
      </c>
      <c r="H148" s="2">
        <v>0</v>
      </c>
    </row>
    <row r="149" spans="1:9" x14ac:dyDescent="0.35">
      <c r="A149" s="1" t="s">
        <v>328</v>
      </c>
      <c r="B149" s="1" t="s">
        <v>329</v>
      </c>
      <c r="D149" s="1" t="s">
        <v>330</v>
      </c>
      <c r="E149" s="1" t="s">
        <v>330</v>
      </c>
      <c r="F149" s="1" t="s">
        <v>1416</v>
      </c>
      <c r="G149" s="2">
        <f>VLOOKUP(B149,'[1]REKAP POTONGAN'!B$6:D$93,3,FALSE)</f>
        <v>350000</v>
      </c>
      <c r="H149" s="2">
        <f>VLOOKUP(B149,'[1]REKAP POTONGAN'!B$6:C$93,2,FALSE)</f>
        <v>0</v>
      </c>
      <c r="I149" s="27"/>
    </row>
    <row r="150" spans="1:9" x14ac:dyDescent="0.35">
      <c r="A150" s="1" t="s">
        <v>331</v>
      </c>
      <c r="B150" s="1" t="s">
        <v>332</v>
      </c>
      <c r="D150" s="1" t="s">
        <v>330</v>
      </c>
      <c r="E150" s="1" t="s">
        <v>330</v>
      </c>
      <c r="F150" s="1" t="s">
        <v>1391</v>
      </c>
      <c r="G150" s="2">
        <v>0</v>
      </c>
      <c r="H150" s="2">
        <v>0</v>
      </c>
    </row>
    <row r="151" spans="1:9" x14ac:dyDescent="0.35">
      <c r="A151" s="1" t="s">
        <v>333</v>
      </c>
      <c r="B151" s="1" t="s">
        <v>334</v>
      </c>
      <c r="D151" s="1" t="s">
        <v>330</v>
      </c>
      <c r="E151" s="1" t="s">
        <v>330</v>
      </c>
      <c r="F151" s="1" t="s">
        <v>1391</v>
      </c>
      <c r="G151" s="2">
        <v>0</v>
      </c>
      <c r="H151" s="2">
        <v>0</v>
      </c>
    </row>
    <row r="152" spans="1:9" x14ac:dyDescent="0.35">
      <c r="A152" s="1" t="s">
        <v>335</v>
      </c>
      <c r="B152" s="1" t="s">
        <v>336</v>
      </c>
      <c r="D152" s="1" t="s">
        <v>330</v>
      </c>
      <c r="E152" s="1" t="s">
        <v>330</v>
      </c>
      <c r="F152" s="1" t="s">
        <v>1391</v>
      </c>
      <c r="G152" s="2">
        <v>0</v>
      </c>
      <c r="H152" s="2">
        <v>0</v>
      </c>
    </row>
    <row r="153" spans="1:9" x14ac:dyDescent="0.35">
      <c r="A153" s="1" t="s">
        <v>337</v>
      </c>
      <c r="B153" s="1" t="s">
        <v>338</v>
      </c>
      <c r="D153" s="1" t="s">
        <v>330</v>
      </c>
      <c r="E153" s="1" t="s">
        <v>330</v>
      </c>
      <c r="F153" s="1" t="s">
        <v>1381</v>
      </c>
      <c r="G153" s="2">
        <v>0</v>
      </c>
      <c r="H153" s="2">
        <v>0</v>
      </c>
    </row>
    <row r="154" spans="1:9" x14ac:dyDescent="0.35">
      <c r="A154" s="1" t="s">
        <v>339</v>
      </c>
      <c r="B154" s="1" t="s">
        <v>340</v>
      </c>
      <c r="D154" s="1" t="s">
        <v>330</v>
      </c>
      <c r="E154" s="1" t="s">
        <v>330</v>
      </c>
      <c r="F154" s="1" t="s">
        <v>1394</v>
      </c>
      <c r="G154" s="2">
        <v>0</v>
      </c>
      <c r="H154" s="2">
        <v>0</v>
      </c>
    </row>
    <row r="155" spans="1:9" x14ac:dyDescent="0.35">
      <c r="A155" s="1" t="s">
        <v>341</v>
      </c>
      <c r="B155" s="1" t="s">
        <v>342</v>
      </c>
      <c r="D155" s="1" t="s">
        <v>330</v>
      </c>
      <c r="E155" s="1" t="s">
        <v>330</v>
      </c>
      <c r="F155" s="1" t="s">
        <v>1387</v>
      </c>
      <c r="G155" s="2">
        <v>0</v>
      </c>
      <c r="H155" s="2">
        <v>0</v>
      </c>
    </row>
    <row r="156" spans="1:9" x14ac:dyDescent="0.35">
      <c r="A156" s="1" t="s">
        <v>343</v>
      </c>
      <c r="B156" s="1" t="s">
        <v>344</v>
      </c>
      <c r="D156" s="1" t="s">
        <v>39</v>
      </c>
      <c r="E156" s="1" t="s">
        <v>39</v>
      </c>
      <c r="F156" s="1" t="s">
        <v>1417</v>
      </c>
      <c r="G156" s="2">
        <v>0</v>
      </c>
      <c r="H156" s="2">
        <v>0</v>
      </c>
    </row>
    <row r="157" spans="1:9" x14ac:dyDescent="0.35">
      <c r="A157" s="1" t="s">
        <v>345</v>
      </c>
      <c r="B157" s="1" t="s">
        <v>346</v>
      </c>
      <c r="D157" s="1" t="s">
        <v>39</v>
      </c>
      <c r="E157" s="1" t="s">
        <v>39</v>
      </c>
      <c r="F157" s="1" t="s">
        <v>1381</v>
      </c>
      <c r="G157" s="2">
        <v>0</v>
      </c>
      <c r="H157" s="2">
        <v>0</v>
      </c>
    </row>
    <row r="158" spans="1:9" x14ac:dyDescent="0.35">
      <c r="A158" s="1" t="s">
        <v>347</v>
      </c>
      <c r="B158" s="1" t="s">
        <v>348</v>
      </c>
      <c r="D158" s="1" t="s">
        <v>39</v>
      </c>
      <c r="E158" s="1" t="s">
        <v>39</v>
      </c>
      <c r="F158" s="1" t="s">
        <v>1418</v>
      </c>
      <c r="G158" s="2">
        <v>0</v>
      </c>
      <c r="H158" s="2">
        <v>0</v>
      </c>
    </row>
    <row r="159" spans="1:9" x14ac:dyDescent="0.35">
      <c r="A159" s="1" t="s">
        <v>349</v>
      </c>
      <c r="B159" s="1" t="s">
        <v>350</v>
      </c>
      <c r="D159" s="1" t="s">
        <v>39</v>
      </c>
      <c r="E159" s="1" t="s">
        <v>39</v>
      </c>
      <c r="F159" s="1" t="s">
        <v>1381</v>
      </c>
      <c r="G159" s="2">
        <f>VLOOKUP(B159,'[1]REKAP POTONGAN'!B$6:D$93,3,FALSE)</f>
        <v>150000</v>
      </c>
      <c r="H159" s="2">
        <f>VLOOKUP(B159,'[1]REKAP POTONGAN'!B$6:C$93,2,FALSE)</f>
        <v>2876137</v>
      </c>
      <c r="I159" s="27"/>
    </row>
    <row r="160" spans="1:9" x14ac:dyDescent="0.35">
      <c r="A160" s="1" t="s">
        <v>351</v>
      </c>
      <c r="B160" s="1" t="s">
        <v>352</v>
      </c>
      <c r="D160" s="1" t="s">
        <v>39</v>
      </c>
      <c r="E160" s="1" t="s">
        <v>39</v>
      </c>
      <c r="F160" s="1" t="s">
        <v>1384</v>
      </c>
      <c r="G160" s="2">
        <v>0</v>
      </c>
      <c r="H160" s="2">
        <v>0</v>
      </c>
    </row>
    <row r="161" spans="1:9" x14ac:dyDescent="0.35">
      <c r="A161" s="1" t="s">
        <v>353</v>
      </c>
      <c r="B161" s="1" t="s">
        <v>354</v>
      </c>
      <c r="D161" s="1" t="s">
        <v>39</v>
      </c>
      <c r="E161" s="1" t="s">
        <v>39</v>
      </c>
      <c r="F161" s="1" t="s">
        <v>1384</v>
      </c>
      <c r="G161" s="2">
        <v>0</v>
      </c>
      <c r="H161" s="2">
        <v>0</v>
      </c>
    </row>
    <row r="162" spans="1:9" x14ac:dyDescent="0.35">
      <c r="A162" s="1" t="s">
        <v>355</v>
      </c>
      <c r="B162" s="1" t="s">
        <v>356</v>
      </c>
      <c r="D162" s="1" t="s">
        <v>39</v>
      </c>
      <c r="E162" s="1" t="s">
        <v>39</v>
      </c>
      <c r="F162" s="1" t="s">
        <v>1384</v>
      </c>
      <c r="G162" s="2">
        <f>VLOOKUP(B162,'[1]REKAP POTONGAN'!B$6:D$93,3,FALSE)</f>
        <v>250000</v>
      </c>
      <c r="H162" s="2">
        <f>VLOOKUP(B162,'[1]REKAP POTONGAN'!B$6:C$93,2,FALSE)</f>
        <v>0</v>
      </c>
      <c r="I162" s="27"/>
    </row>
    <row r="163" spans="1:9" x14ac:dyDescent="0.35">
      <c r="A163" s="1" t="s">
        <v>357</v>
      </c>
      <c r="B163" s="1" t="s">
        <v>358</v>
      </c>
      <c r="D163" s="1" t="s">
        <v>39</v>
      </c>
      <c r="E163" s="1" t="s">
        <v>39</v>
      </c>
      <c r="F163" s="1" t="s">
        <v>1379</v>
      </c>
      <c r="G163" s="2">
        <v>0</v>
      </c>
      <c r="H163" s="2">
        <v>0</v>
      </c>
    </row>
    <row r="164" spans="1:9" x14ac:dyDescent="0.35">
      <c r="A164" s="1" t="s">
        <v>359</v>
      </c>
      <c r="B164" s="1" t="s">
        <v>360</v>
      </c>
      <c r="D164" s="1" t="s">
        <v>39</v>
      </c>
      <c r="E164" s="1" t="s">
        <v>39</v>
      </c>
      <c r="F164" s="1" t="s">
        <v>1385</v>
      </c>
      <c r="G164" s="2">
        <f>VLOOKUP(B164,'[1]REKAP POTONGAN'!B$6:D$93,3,FALSE)</f>
        <v>100000</v>
      </c>
      <c r="H164" s="2">
        <f>VLOOKUP(B164,'[1]REKAP POTONGAN'!B$6:C$93,2,FALSE)</f>
        <v>0</v>
      </c>
      <c r="I164" s="27"/>
    </row>
    <row r="165" spans="1:9" x14ac:dyDescent="0.35">
      <c r="A165" s="1" t="s">
        <v>361</v>
      </c>
      <c r="B165" s="1" t="s">
        <v>362</v>
      </c>
      <c r="D165" s="1" t="s">
        <v>6</v>
      </c>
      <c r="E165" s="1" t="s">
        <v>6</v>
      </c>
      <c r="F165" s="1" t="s">
        <v>1419</v>
      </c>
      <c r="G165" s="2">
        <v>0</v>
      </c>
      <c r="H165" s="2">
        <v>0</v>
      </c>
    </row>
    <row r="166" spans="1:9" x14ac:dyDescent="0.35">
      <c r="A166" s="1" t="s">
        <v>363</v>
      </c>
      <c r="B166" s="1" t="s">
        <v>364</v>
      </c>
      <c r="D166" s="1" t="s">
        <v>42</v>
      </c>
      <c r="E166" s="1" t="s">
        <v>42</v>
      </c>
      <c r="F166" s="1" t="s">
        <v>1379</v>
      </c>
      <c r="G166" s="2">
        <f>VLOOKUP(B166,'[1]REKAP POTONGAN'!B$6:D$93,3,FALSE)</f>
        <v>150000</v>
      </c>
      <c r="H166" s="2">
        <f>VLOOKUP(B166,'[1]REKAP POTONGAN'!B$6:C$93,2,FALSE)</f>
        <v>0</v>
      </c>
      <c r="I166" s="27"/>
    </row>
    <row r="167" spans="1:9" x14ac:dyDescent="0.35">
      <c r="A167" s="1" t="s">
        <v>365</v>
      </c>
      <c r="B167" s="1" t="s">
        <v>366</v>
      </c>
      <c r="D167" s="1" t="s">
        <v>16</v>
      </c>
      <c r="E167" s="1" t="s">
        <v>6</v>
      </c>
      <c r="F167" s="1" t="s">
        <v>1420</v>
      </c>
      <c r="G167" s="2">
        <v>0</v>
      </c>
      <c r="H167" s="2">
        <v>0</v>
      </c>
    </row>
    <row r="168" spans="1:9" x14ac:dyDescent="0.35">
      <c r="A168" s="1" t="s">
        <v>367</v>
      </c>
      <c r="B168" s="1" t="s">
        <v>368</v>
      </c>
      <c r="D168" s="1" t="s">
        <v>252</v>
      </c>
      <c r="E168" s="1" t="s">
        <v>6</v>
      </c>
      <c r="F168" s="1" t="s">
        <v>1421</v>
      </c>
      <c r="G168" s="2">
        <v>0</v>
      </c>
      <c r="H168" s="2">
        <v>0</v>
      </c>
    </row>
    <row r="169" spans="1:9" x14ac:dyDescent="0.35">
      <c r="A169" s="1" t="s">
        <v>369</v>
      </c>
      <c r="B169" s="1" t="s">
        <v>370</v>
      </c>
      <c r="D169" s="1" t="s">
        <v>6</v>
      </c>
      <c r="E169" s="1" t="s">
        <v>6</v>
      </c>
      <c r="F169" s="1" t="s">
        <v>1422</v>
      </c>
      <c r="G169" s="2">
        <v>0</v>
      </c>
      <c r="H169" s="2">
        <v>0</v>
      </c>
    </row>
    <row r="170" spans="1:9" x14ac:dyDescent="0.35">
      <c r="A170" s="1" t="s">
        <v>371</v>
      </c>
      <c r="B170" s="1" t="s">
        <v>372</v>
      </c>
      <c r="D170" s="1" t="s">
        <v>16</v>
      </c>
      <c r="E170" s="1" t="s">
        <v>6</v>
      </c>
      <c r="F170" s="1" t="s">
        <v>1423</v>
      </c>
      <c r="G170" s="2">
        <v>0</v>
      </c>
      <c r="H170" s="2">
        <v>0</v>
      </c>
    </row>
    <row r="171" spans="1:9" x14ac:dyDescent="0.35">
      <c r="A171" s="1" t="s">
        <v>373</v>
      </c>
      <c r="B171" s="1" t="s">
        <v>374</v>
      </c>
      <c r="D171" s="1" t="s">
        <v>375</v>
      </c>
      <c r="E171" s="1" t="s">
        <v>375</v>
      </c>
      <c r="F171" s="1" t="s">
        <v>1384</v>
      </c>
    </row>
    <row r="172" spans="1:9" x14ac:dyDescent="0.35">
      <c r="A172" s="1" t="s">
        <v>376</v>
      </c>
      <c r="B172" s="1" t="s">
        <v>377</v>
      </c>
      <c r="D172" s="1" t="s">
        <v>221</v>
      </c>
      <c r="E172" s="1" t="s">
        <v>221</v>
      </c>
      <c r="F172" s="1" t="s">
        <v>1384</v>
      </c>
      <c r="G172" s="2">
        <v>0</v>
      </c>
      <c r="H172" s="2">
        <v>0</v>
      </c>
    </row>
    <row r="173" spans="1:9" x14ac:dyDescent="0.35">
      <c r="A173" s="1" t="s">
        <v>378</v>
      </c>
      <c r="B173" s="1" t="s">
        <v>379</v>
      </c>
      <c r="D173" s="1" t="s">
        <v>6</v>
      </c>
      <c r="E173" s="1" t="s">
        <v>6</v>
      </c>
      <c r="F173" s="1" t="s">
        <v>1424</v>
      </c>
      <c r="G173" s="2">
        <v>0</v>
      </c>
      <c r="H173" s="2">
        <v>0</v>
      </c>
    </row>
    <row r="174" spans="1:9" x14ac:dyDescent="0.35">
      <c r="A174" s="1" t="s">
        <v>380</v>
      </c>
      <c r="B174" s="1" t="s">
        <v>381</v>
      </c>
      <c r="D174" s="1" t="s">
        <v>6</v>
      </c>
      <c r="E174" s="1" t="s">
        <v>6</v>
      </c>
      <c r="F174" s="1" t="s">
        <v>1384</v>
      </c>
      <c r="G174" s="2">
        <v>0</v>
      </c>
      <c r="H174" s="2">
        <v>0</v>
      </c>
    </row>
    <row r="175" spans="1:9" x14ac:dyDescent="0.35">
      <c r="A175" s="1" t="s">
        <v>382</v>
      </c>
      <c r="B175" s="1" t="s">
        <v>383</v>
      </c>
      <c r="D175" s="1" t="s">
        <v>6</v>
      </c>
      <c r="E175" s="1" t="s">
        <v>6</v>
      </c>
      <c r="F175" s="1" t="s">
        <v>1381</v>
      </c>
      <c r="G175" s="2">
        <v>0</v>
      </c>
      <c r="H175" s="2">
        <v>0</v>
      </c>
    </row>
    <row r="176" spans="1:9" x14ac:dyDescent="0.35">
      <c r="A176" s="1" t="s">
        <v>384</v>
      </c>
      <c r="B176" s="1" t="s">
        <v>385</v>
      </c>
      <c r="D176" s="1" t="s">
        <v>6</v>
      </c>
      <c r="E176" s="1" t="s">
        <v>6</v>
      </c>
      <c r="F176" s="1" t="s">
        <v>1425</v>
      </c>
      <c r="G176" s="2">
        <v>0</v>
      </c>
      <c r="H176" s="2">
        <v>0</v>
      </c>
    </row>
    <row r="177" spans="1:9" x14ac:dyDescent="0.35">
      <c r="A177" s="1" t="s">
        <v>386</v>
      </c>
      <c r="B177" s="1" t="s">
        <v>387</v>
      </c>
      <c r="D177" s="1" t="s">
        <v>6</v>
      </c>
      <c r="E177" s="1" t="s">
        <v>6</v>
      </c>
      <c r="F177" s="1" t="s">
        <v>1387</v>
      </c>
      <c r="G177" s="2">
        <v>0</v>
      </c>
      <c r="H177" s="2">
        <v>0</v>
      </c>
    </row>
    <row r="178" spans="1:9" x14ac:dyDescent="0.35">
      <c r="A178" s="1" t="s">
        <v>388</v>
      </c>
      <c r="B178" s="1" t="s">
        <v>389</v>
      </c>
      <c r="D178" s="1" t="s">
        <v>6</v>
      </c>
      <c r="E178" s="1" t="s">
        <v>6</v>
      </c>
      <c r="F178" s="1" t="s">
        <v>1381</v>
      </c>
      <c r="G178" s="2">
        <v>0</v>
      </c>
      <c r="H178" s="2">
        <v>0</v>
      </c>
    </row>
    <row r="179" spans="1:9" x14ac:dyDescent="0.35">
      <c r="A179" s="1" t="s">
        <v>390</v>
      </c>
      <c r="B179" s="1" t="s">
        <v>391</v>
      </c>
      <c r="D179" s="1" t="s">
        <v>6</v>
      </c>
      <c r="E179" s="1" t="s">
        <v>6</v>
      </c>
      <c r="F179" s="1" t="s">
        <v>1426</v>
      </c>
      <c r="G179" s="2">
        <v>0</v>
      </c>
      <c r="H179" s="2">
        <v>0</v>
      </c>
    </row>
    <row r="180" spans="1:9" x14ac:dyDescent="0.35">
      <c r="A180" s="1" t="s">
        <v>392</v>
      </c>
      <c r="B180" s="1" t="s">
        <v>393</v>
      </c>
      <c r="D180" s="1" t="s">
        <v>42</v>
      </c>
      <c r="E180" s="1" t="s">
        <v>42</v>
      </c>
      <c r="F180" s="1" t="s">
        <v>1379</v>
      </c>
      <c r="G180" s="2">
        <v>0</v>
      </c>
      <c r="H180" s="2">
        <v>0</v>
      </c>
    </row>
    <row r="181" spans="1:9" x14ac:dyDescent="0.35">
      <c r="A181" s="1" t="s">
        <v>394</v>
      </c>
      <c r="B181" s="1" t="s">
        <v>395</v>
      </c>
      <c r="D181" s="1" t="s">
        <v>6</v>
      </c>
      <c r="E181" s="1" t="s">
        <v>6</v>
      </c>
      <c r="F181" s="1" t="s">
        <v>1387</v>
      </c>
      <c r="G181" s="2">
        <v>0</v>
      </c>
      <c r="H181" s="2">
        <v>0</v>
      </c>
    </row>
    <row r="182" spans="1:9" x14ac:dyDescent="0.35">
      <c r="A182" s="1" t="s">
        <v>396</v>
      </c>
      <c r="B182" s="1" t="s">
        <v>397</v>
      </c>
      <c r="D182" s="1" t="s">
        <v>6</v>
      </c>
      <c r="E182" s="1" t="s">
        <v>6</v>
      </c>
      <c r="F182" s="1" t="s">
        <v>1387</v>
      </c>
      <c r="G182" s="2">
        <v>0</v>
      </c>
      <c r="H182" s="2">
        <v>0</v>
      </c>
    </row>
    <row r="183" spans="1:9" x14ac:dyDescent="0.35">
      <c r="A183" s="1" t="s">
        <v>398</v>
      </c>
      <c r="B183" s="1" t="s">
        <v>399</v>
      </c>
      <c r="D183" s="1" t="s">
        <v>6</v>
      </c>
      <c r="E183" s="1" t="s">
        <v>6</v>
      </c>
      <c r="F183" s="1" t="s">
        <v>1427</v>
      </c>
      <c r="G183" s="2">
        <f>VLOOKUP(B183,'[1]REKAP POTONGAN'!B$6:D$93,3,FALSE)</f>
        <v>350000</v>
      </c>
      <c r="H183" s="2">
        <f>VLOOKUP(B183,'[1]REKAP POTONGAN'!B$6:C$93,2,FALSE)</f>
        <v>0</v>
      </c>
      <c r="I183" s="27"/>
    </row>
    <row r="184" spans="1:9" x14ac:dyDescent="0.35">
      <c r="A184" s="1" t="s">
        <v>400</v>
      </c>
      <c r="B184" s="1" t="s">
        <v>401</v>
      </c>
      <c r="D184" s="1" t="s">
        <v>6</v>
      </c>
      <c r="E184" s="1" t="s">
        <v>6</v>
      </c>
      <c r="F184" s="1" t="s">
        <v>1379</v>
      </c>
      <c r="G184" s="2">
        <v>0</v>
      </c>
      <c r="H184" s="2">
        <v>0</v>
      </c>
    </row>
    <row r="185" spans="1:9" x14ac:dyDescent="0.35">
      <c r="A185" s="1" t="s">
        <v>402</v>
      </c>
      <c r="B185" s="1" t="s">
        <v>403</v>
      </c>
      <c r="D185" s="1" t="s">
        <v>6</v>
      </c>
      <c r="E185" s="1" t="s">
        <v>6</v>
      </c>
      <c r="F185" s="1" t="s">
        <v>1379</v>
      </c>
      <c r="G185" s="2">
        <f>VLOOKUP(B185,'[1]REKAP POTONGAN'!B$6:D$93,3,FALSE)</f>
        <v>250000</v>
      </c>
      <c r="H185" s="2">
        <f>VLOOKUP(B185,'[1]REKAP POTONGAN'!B$6:C$93,2,FALSE)</f>
        <v>0</v>
      </c>
      <c r="I185" s="27"/>
    </row>
    <row r="186" spans="1:9" x14ac:dyDescent="0.35">
      <c r="A186" s="1" t="s">
        <v>404</v>
      </c>
      <c r="B186" s="1" t="s">
        <v>405</v>
      </c>
      <c r="D186" s="1" t="s">
        <v>6</v>
      </c>
      <c r="E186" s="1" t="s">
        <v>6</v>
      </c>
      <c r="F186" s="1" t="s">
        <v>1379</v>
      </c>
      <c r="G186" s="2">
        <f>VLOOKUP(B186,'[1]REKAP POTONGAN'!B$6:D$93,3,FALSE)</f>
        <v>250000</v>
      </c>
      <c r="H186" s="2">
        <f>VLOOKUP(B186,'[1]REKAP POTONGAN'!B$6:C$93,2,FALSE)</f>
        <v>0</v>
      </c>
      <c r="I186" s="27"/>
    </row>
    <row r="187" spans="1:9" x14ac:dyDescent="0.35">
      <c r="A187" s="1" t="s">
        <v>406</v>
      </c>
      <c r="B187" s="1" t="s">
        <v>407</v>
      </c>
      <c r="D187" s="1" t="s">
        <v>16</v>
      </c>
      <c r="E187" s="1" t="s">
        <v>6</v>
      </c>
      <c r="F187" s="1" t="s">
        <v>1428</v>
      </c>
      <c r="G187" s="2">
        <v>0</v>
      </c>
      <c r="H187" s="2">
        <v>0</v>
      </c>
    </row>
    <row r="188" spans="1:9" x14ac:dyDescent="0.35">
      <c r="A188" s="1" t="s">
        <v>408</v>
      </c>
      <c r="B188" s="1" t="s">
        <v>409</v>
      </c>
      <c r="D188" s="1" t="s">
        <v>6</v>
      </c>
      <c r="E188" s="1" t="s">
        <v>6</v>
      </c>
      <c r="F188" s="1" t="s">
        <v>1385</v>
      </c>
      <c r="G188" s="2">
        <v>0</v>
      </c>
      <c r="H188" s="2">
        <v>0</v>
      </c>
    </row>
    <row r="189" spans="1:9" x14ac:dyDescent="0.35">
      <c r="A189" s="1" t="s">
        <v>410</v>
      </c>
      <c r="B189" s="1" t="s">
        <v>411</v>
      </c>
      <c r="D189" s="1" t="s">
        <v>6</v>
      </c>
      <c r="E189" s="1" t="s">
        <v>6</v>
      </c>
      <c r="F189" s="1" t="s">
        <v>1385</v>
      </c>
      <c r="G189" s="2">
        <v>0</v>
      </c>
      <c r="H189" s="2">
        <v>0</v>
      </c>
    </row>
    <row r="190" spans="1:9" x14ac:dyDescent="0.35">
      <c r="A190" s="1" t="s">
        <v>412</v>
      </c>
      <c r="B190" s="1" t="s">
        <v>413</v>
      </c>
      <c r="D190" s="1" t="s">
        <v>6</v>
      </c>
      <c r="E190" s="1" t="s">
        <v>6</v>
      </c>
      <c r="F190" s="1" t="s">
        <v>1385</v>
      </c>
      <c r="G190" s="2">
        <v>0</v>
      </c>
      <c r="H190" s="2">
        <v>0</v>
      </c>
    </row>
    <row r="191" spans="1:9" x14ac:dyDescent="0.35">
      <c r="A191" s="1" t="s">
        <v>414</v>
      </c>
      <c r="B191" s="1" t="s">
        <v>415</v>
      </c>
      <c r="D191" s="1" t="s">
        <v>6</v>
      </c>
      <c r="E191" s="1" t="s">
        <v>6</v>
      </c>
      <c r="F191" s="1" t="s">
        <v>1385</v>
      </c>
      <c r="G191" s="2">
        <v>0</v>
      </c>
      <c r="H191" s="2">
        <v>0</v>
      </c>
    </row>
    <row r="192" spans="1:9" x14ac:dyDescent="0.35">
      <c r="A192" s="1" t="s">
        <v>416</v>
      </c>
      <c r="B192" s="1" t="s">
        <v>417</v>
      </c>
      <c r="D192" s="1" t="s">
        <v>6</v>
      </c>
      <c r="E192" s="1" t="s">
        <v>6</v>
      </c>
      <c r="F192" s="1" t="s">
        <v>1385</v>
      </c>
      <c r="G192" s="2">
        <v>0</v>
      </c>
      <c r="H192" s="2">
        <v>0</v>
      </c>
    </row>
    <row r="193" spans="1:9" x14ac:dyDescent="0.35">
      <c r="A193" s="1" t="s">
        <v>418</v>
      </c>
      <c r="B193" s="1" t="s">
        <v>419</v>
      </c>
      <c r="D193" s="1" t="s">
        <v>420</v>
      </c>
      <c r="E193" s="1" t="s">
        <v>420</v>
      </c>
      <c r="F193" s="1" t="s">
        <v>1429</v>
      </c>
      <c r="G193" s="2">
        <f>VLOOKUP(B193,'[1]REKAP POTONGAN'!B$6:D$93,3,FALSE)</f>
        <v>500000</v>
      </c>
      <c r="H193" s="2">
        <f>VLOOKUP(B193,'[1]REKAP POTONGAN'!B$6:C$93,2,FALSE)</f>
        <v>0</v>
      </c>
      <c r="I193" s="27"/>
    </row>
    <row r="194" spans="1:9" x14ac:dyDescent="0.35">
      <c r="A194" s="1" t="s">
        <v>421</v>
      </c>
      <c r="B194" s="1" t="s">
        <v>422</v>
      </c>
      <c r="D194" s="1" t="s">
        <v>420</v>
      </c>
      <c r="E194" s="1" t="s">
        <v>420</v>
      </c>
      <c r="F194" s="1" t="s">
        <v>1430</v>
      </c>
      <c r="G194" s="2">
        <f>VLOOKUP(B194,'[1]REKAP POTONGAN'!B$6:D$93,3,FALSE)</f>
        <v>350000</v>
      </c>
      <c r="H194" s="2">
        <f>VLOOKUP(B194,'[1]REKAP POTONGAN'!B$6:C$93,2,FALSE)</f>
        <v>0</v>
      </c>
      <c r="I194" s="27"/>
    </row>
    <row r="195" spans="1:9" x14ac:dyDescent="0.35">
      <c r="A195" s="1" t="s">
        <v>423</v>
      </c>
      <c r="B195" s="1" t="s">
        <v>424</v>
      </c>
      <c r="D195" s="1" t="s">
        <v>420</v>
      </c>
      <c r="E195" s="1" t="s">
        <v>420</v>
      </c>
      <c r="F195" s="1" t="s">
        <v>1379</v>
      </c>
      <c r="G195" s="2">
        <v>0</v>
      </c>
      <c r="H195" s="2">
        <v>0</v>
      </c>
    </row>
    <row r="196" spans="1:9" x14ac:dyDescent="0.35">
      <c r="A196" s="1" t="s">
        <v>425</v>
      </c>
      <c r="B196" s="1" t="s">
        <v>426</v>
      </c>
      <c r="D196" s="1" t="s">
        <v>420</v>
      </c>
      <c r="E196" s="1" t="s">
        <v>420</v>
      </c>
      <c r="F196" s="1" t="s">
        <v>1381</v>
      </c>
      <c r="G196" s="2">
        <v>0</v>
      </c>
      <c r="H196" s="2">
        <v>0</v>
      </c>
    </row>
    <row r="197" spans="1:9" x14ac:dyDescent="0.35">
      <c r="A197" s="1" t="s">
        <v>427</v>
      </c>
      <c r="B197" s="1" t="s">
        <v>428</v>
      </c>
      <c r="D197" s="1" t="s">
        <v>420</v>
      </c>
      <c r="E197" s="1" t="s">
        <v>420</v>
      </c>
      <c r="F197" s="1" t="s">
        <v>1431</v>
      </c>
      <c r="G197" s="2">
        <v>0</v>
      </c>
      <c r="H197" s="2">
        <v>0</v>
      </c>
    </row>
    <row r="198" spans="1:9" x14ac:dyDescent="0.35">
      <c r="A198" s="1" t="s">
        <v>429</v>
      </c>
      <c r="B198" s="1" t="s">
        <v>430</v>
      </c>
      <c r="D198" s="1" t="s">
        <v>420</v>
      </c>
      <c r="E198" s="1" t="s">
        <v>420</v>
      </c>
      <c r="F198" s="1" t="s">
        <v>1381</v>
      </c>
      <c r="G198" s="2">
        <v>0</v>
      </c>
      <c r="H198" s="2">
        <v>0</v>
      </c>
    </row>
    <row r="199" spans="1:9" x14ac:dyDescent="0.35">
      <c r="A199" s="1" t="s">
        <v>431</v>
      </c>
      <c r="B199" s="1" t="s">
        <v>432</v>
      </c>
      <c r="D199" s="1" t="s">
        <v>420</v>
      </c>
      <c r="E199" s="1" t="s">
        <v>420</v>
      </c>
      <c r="F199" s="1" t="s">
        <v>1422</v>
      </c>
      <c r="G199" s="2">
        <v>0</v>
      </c>
      <c r="H199" s="2">
        <v>0</v>
      </c>
    </row>
    <row r="200" spans="1:9" x14ac:dyDescent="0.35">
      <c r="A200" s="1" t="s">
        <v>433</v>
      </c>
      <c r="B200" s="1" t="s">
        <v>434</v>
      </c>
      <c r="D200" s="1" t="s">
        <v>420</v>
      </c>
      <c r="E200" s="1" t="s">
        <v>420</v>
      </c>
      <c r="F200" s="1" t="s">
        <v>1379</v>
      </c>
      <c r="G200" s="2">
        <f>VLOOKUP(B200,'[1]REKAP POTONGAN'!B$6:D$93,3,FALSE)</f>
        <v>250000</v>
      </c>
      <c r="H200" s="2">
        <f>VLOOKUP(B200,'[1]REKAP POTONGAN'!B$6:C$93,2,FALSE)</f>
        <v>0</v>
      </c>
      <c r="I200" s="27"/>
    </row>
    <row r="201" spans="1:9" x14ac:dyDescent="0.35">
      <c r="A201" s="1" t="s">
        <v>435</v>
      </c>
      <c r="B201" s="1" t="s">
        <v>436</v>
      </c>
      <c r="D201" s="1" t="s">
        <v>420</v>
      </c>
      <c r="E201" s="1" t="s">
        <v>420</v>
      </c>
      <c r="F201" s="1" t="s">
        <v>1384</v>
      </c>
      <c r="G201" s="2">
        <f>VLOOKUP(B201,'[1]REKAP POTONGAN'!B$6:D$93,3,FALSE)</f>
        <v>250000</v>
      </c>
      <c r="H201" s="2">
        <f>VLOOKUP(B201,'[1]REKAP POTONGAN'!B$6:C$93,2,FALSE)</f>
        <v>0</v>
      </c>
      <c r="I201" s="27"/>
    </row>
    <row r="202" spans="1:9" x14ac:dyDescent="0.35">
      <c r="A202" s="1" t="s">
        <v>437</v>
      </c>
      <c r="B202" s="1" t="s">
        <v>438</v>
      </c>
      <c r="D202" s="1" t="s">
        <v>420</v>
      </c>
      <c r="E202" s="1" t="s">
        <v>420</v>
      </c>
      <c r="F202" s="1" t="s">
        <v>1384</v>
      </c>
      <c r="G202" s="2">
        <f>VLOOKUP(B202,'[1]REKAP POTONGAN'!B$6:D$93,3,FALSE)</f>
        <v>250000</v>
      </c>
      <c r="H202" s="2">
        <f>VLOOKUP(B202,'[1]REKAP POTONGAN'!B$6:C$93,2,FALSE)</f>
        <v>0</v>
      </c>
      <c r="I202" s="27"/>
    </row>
    <row r="203" spans="1:9" x14ac:dyDescent="0.35">
      <c r="A203" s="1" t="s">
        <v>439</v>
      </c>
      <c r="B203" s="1" t="s">
        <v>440</v>
      </c>
      <c r="D203" s="1" t="s">
        <v>420</v>
      </c>
      <c r="E203" s="1" t="s">
        <v>420</v>
      </c>
      <c r="F203" s="1" t="s">
        <v>1384</v>
      </c>
      <c r="G203" s="2">
        <f>VLOOKUP(B203,'[1]REKAP POTONGAN'!B$6:D$93,3,FALSE)</f>
        <v>250000</v>
      </c>
      <c r="H203" s="2">
        <f>VLOOKUP(B203,'[1]REKAP POTONGAN'!B$6:C$93,2,FALSE)</f>
        <v>0</v>
      </c>
      <c r="I203" s="27"/>
    </row>
    <row r="204" spans="1:9" x14ac:dyDescent="0.35">
      <c r="A204" s="1" t="s">
        <v>441</v>
      </c>
      <c r="B204" s="1" t="s">
        <v>442</v>
      </c>
      <c r="D204" s="1" t="s">
        <v>420</v>
      </c>
      <c r="E204" s="1" t="s">
        <v>420</v>
      </c>
      <c r="F204" s="1" t="s">
        <v>1432</v>
      </c>
      <c r="G204" s="2">
        <v>0</v>
      </c>
      <c r="H204" s="2">
        <v>0</v>
      </c>
    </row>
    <row r="205" spans="1:9" x14ac:dyDescent="0.35">
      <c r="A205" s="1" t="s">
        <v>443</v>
      </c>
      <c r="B205" s="1" t="s">
        <v>444</v>
      </c>
      <c r="D205" s="1" t="s">
        <v>420</v>
      </c>
      <c r="E205" s="1" t="s">
        <v>420</v>
      </c>
      <c r="F205" s="1" t="s">
        <v>1433</v>
      </c>
      <c r="G205" s="2">
        <v>0</v>
      </c>
      <c r="H205" s="2">
        <v>0</v>
      </c>
    </row>
    <row r="206" spans="1:9" x14ac:dyDescent="0.35">
      <c r="A206" s="1" t="s">
        <v>445</v>
      </c>
      <c r="B206" s="1" t="s">
        <v>446</v>
      </c>
      <c r="D206" s="1" t="s">
        <v>420</v>
      </c>
      <c r="E206" s="1" t="s">
        <v>420</v>
      </c>
      <c r="F206" s="1" t="s">
        <v>1387</v>
      </c>
      <c r="G206" s="2">
        <v>0</v>
      </c>
      <c r="H206" s="2">
        <v>0</v>
      </c>
    </row>
    <row r="207" spans="1:9" x14ac:dyDescent="0.35">
      <c r="A207" s="1" t="s">
        <v>447</v>
      </c>
      <c r="B207" s="1" t="s">
        <v>448</v>
      </c>
      <c r="D207" s="1" t="s">
        <v>420</v>
      </c>
      <c r="E207" s="1" t="s">
        <v>420</v>
      </c>
      <c r="F207" s="1" t="s">
        <v>1385</v>
      </c>
      <c r="G207" s="2">
        <v>0</v>
      </c>
      <c r="H207" s="2">
        <v>0</v>
      </c>
    </row>
    <row r="208" spans="1:9" x14ac:dyDescent="0.35">
      <c r="A208" s="1" t="s">
        <v>449</v>
      </c>
      <c r="B208" s="1" t="s">
        <v>450</v>
      </c>
      <c r="D208" s="1" t="s">
        <v>451</v>
      </c>
      <c r="E208" s="1" t="s">
        <v>451</v>
      </c>
      <c r="F208" s="1" t="s">
        <v>1434</v>
      </c>
      <c r="G208" s="2">
        <v>0</v>
      </c>
      <c r="H208" s="2">
        <v>0</v>
      </c>
    </row>
    <row r="209" spans="1:9" x14ac:dyDescent="0.35">
      <c r="A209" s="1" t="s">
        <v>452</v>
      </c>
      <c r="B209" s="1" t="s">
        <v>453</v>
      </c>
      <c r="D209" s="1" t="s">
        <v>451</v>
      </c>
      <c r="E209" s="1" t="s">
        <v>451</v>
      </c>
      <c r="F209" s="1" t="s">
        <v>1435</v>
      </c>
      <c r="G209" s="2">
        <v>0</v>
      </c>
      <c r="H209" s="2">
        <v>0</v>
      </c>
    </row>
    <row r="210" spans="1:9" x14ac:dyDescent="0.35">
      <c r="A210" s="1" t="s">
        <v>454</v>
      </c>
      <c r="B210" s="1" t="s">
        <v>455</v>
      </c>
      <c r="D210" s="1" t="s">
        <v>36</v>
      </c>
      <c r="E210" s="1" t="s">
        <v>36</v>
      </c>
      <c r="F210" s="1" t="s">
        <v>1384</v>
      </c>
      <c r="G210" s="2">
        <v>0</v>
      </c>
      <c r="H210" s="2">
        <v>0</v>
      </c>
    </row>
    <row r="211" spans="1:9" x14ac:dyDescent="0.35">
      <c r="A211" s="1" t="s">
        <v>456</v>
      </c>
      <c r="B211" s="1" t="s">
        <v>457</v>
      </c>
      <c r="D211" s="1" t="s">
        <v>36</v>
      </c>
      <c r="E211" s="1" t="s">
        <v>36</v>
      </c>
      <c r="F211" s="1" t="s">
        <v>1436</v>
      </c>
      <c r="G211" s="2">
        <f>VLOOKUP(B211,'[1]REKAP POTONGAN'!B$6:D$93,3,FALSE)</f>
        <v>350000</v>
      </c>
      <c r="H211" s="2">
        <f>VLOOKUP(B211,'[1]REKAP POTONGAN'!B$6:C$93,2,FALSE)</f>
        <v>0</v>
      </c>
      <c r="I211" s="27"/>
    </row>
    <row r="212" spans="1:9" x14ac:dyDescent="0.35">
      <c r="A212" s="1" t="s">
        <v>458</v>
      </c>
      <c r="B212" s="1" t="s">
        <v>459</v>
      </c>
      <c r="D212" s="1" t="s">
        <v>36</v>
      </c>
      <c r="E212" s="1" t="s">
        <v>36</v>
      </c>
      <c r="F212" s="1" t="s">
        <v>1437</v>
      </c>
      <c r="G212" s="2">
        <f>VLOOKUP(B212,'[1]REKAP POTONGAN'!B$6:D$93,3,FALSE)</f>
        <v>250000</v>
      </c>
      <c r="H212" s="2">
        <f>VLOOKUP(B212,'[1]REKAP POTONGAN'!B$6:C$93,2,FALSE)</f>
        <v>0</v>
      </c>
      <c r="I212" s="27"/>
    </row>
    <row r="213" spans="1:9" x14ac:dyDescent="0.35">
      <c r="A213" s="1" t="s">
        <v>460</v>
      </c>
      <c r="B213" s="1" t="s">
        <v>461</v>
      </c>
      <c r="D213" s="1" t="s">
        <v>36</v>
      </c>
      <c r="E213" s="1" t="s">
        <v>36</v>
      </c>
      <c r="F213" s="1" t="s">
        <v>1438</v>
      </c>
      <c r="G213" s="2">
        <v>0</v>
      </c>
      <c r="H213" s="2">
        <v>0</v>
      </c>
    </row>
    <row r="214" spans="1:9" x14ac:dyDescent="0.35">
      <c r="A214" s="1" t="s">
        <v>462</v>
      </c>
      <c r="B214" s="1" t="s">
        <v>463</v>
      </c>
      <c r="D214" s="1" t="s">
        <v>36</v>
      </c>
      <c r="E214" s="1" t="s">
        <v>36</v>
      </c>
      <c r="F214" s="1" t="s">
        <v>1439</v>
      </c>
      <c r="G214" s="2">
        <v>0</v>
      </c>
      <c r="H214" s="2">
        <v>0</v>
      </c>
    </row>
    <row r="215" spans="1:9" x14ac:dyDescent="0.35">
      <c r="A215" s="1" t="s">
        <v>464</v>
      </c>
      <c r="B215" s="1" t="s">
        <v>465</v>
      </c>
      <c r="D215" s="1" t="s">
        <v>36</v>
      </c>
      <c r="E215" s="1" t="s">
        <v>36</v>
      </c>
      <c r="F215" s="1" t="s">
        <v>1381</v>
      </c>
      <c r="G215" s="2">
        <v>0</v>
      </c>
      <c r="H215" s="2">
        <v>0</v>
      </c>
    </row>
    <row r="216" spans="1:9" x14ac:dyDescent="0.35">
      <c r="A216" s="1" t="s">
        <v>466</v>
      </c>
      <c r="B216" s="1" t="s">
        <v>467</v>
      </c>
      <c r="D216" s="1" t="s">
        <v>36</v>
      </c>
      <c r="E216" s="1" t="s">
        <v>36</v>
      </c>
      <c r="F216" s="1" t="s">
        <v>1422</v>
      </c>
      <c r="G216" s="2">
        <v>0</v>
      </c>
      <c r="H216" s="2">
        <v>0</v>
      </c>
    </row>
    <row r="217" spans="1:9" x14ac:dyDescent="0.35">
      <c r="A217" s="1" t="s">
        <v>468</v>
      </c>
      <c r="B217" s="1" t="s">
        <v>469</v>
      </c>
      <c r="D217" s="1" t="s">
        <v>36</v>
      </c>
      <c r="E217" s="1" t="s">
        <v>36</v>
      </c>
      <c r="F217" s="1" t="s">
        <v>1390</v>
      </c>
      <c r="G217" s="2">
        <f>VLOOKUP(B217,'[1]REKAP POTONGAN'!B$6:D$93,3,FALSE)</f>
        <v>150000</v>
      </c>
      <c r="H217" s="2">
        <f>VLOOKUP(B217,'[1]REKAP POTONGAN'!B$6:C$93,2,FALSE)</f>
        <v>0</v>
      </c>
      <c r="I217" s="27"/>
    </row>
    <row r="218" spans="1:9" x14ac:dyDescent="0.35">
      <c r="A218" s="1" t="s">
        <v>470</v>
      </c>
      <c r="B218" s="1" t="s">
        <v>471</v>
      </c>
      <c r="D218" s="1" t="s">
        <v>36</v>
      </c>
      <c r="E218" s="1" t="s">
        <v>36</v>
      </c>
      <c r="F218" s="1" t="s">
        <v>1387</v>
      </c>
      <c r="G218" s="2">
        <v>0</v>
      </c>
      <c r="H218" s="2">
        <v>0</v>
      </c>
    </row>
    <row r="219" spans="1:9" x14ac:dyDescent="0.35">
      <c r="A219" s="1" t="s">
        <v>472</v>
      </c>
      <c r="B219" s="1" t="s">
        <v>473</v>
      </c>
      <c r="D219" s="1" t="s">
        <v>36</v>
      </c>
      <c r="E219" s="1" t="s">
        <v>36</v>
      </c>
      <c r="F219" s="1" t="s">
        <v>1387</v>
      </c>
      <c r="G219" s="2">
        <f>VLOOKUP(B219,'[1]REKAP POTONGAN'!B$6:D$93,3,FALSE)</f>
        <v>150000</v>
      </c>
      <c r="H219" s="2">
        <f>VLOOKUP(B219,'[1]REKAP POTONGAN'!B$6:C$93,2,FALSE)</f>
        <v>0</v>
      </c>
      <c r="I219" s="27"/>
    </row>
    <row r="220" spans="1:9" x14ac:dyDescent="0.35">
      <c r="A220" s="1" t="s">
        <v>474</v>
      </c>
      <c r="B220" s="1" t="s">
        <v>475</v>
      </c>
      <c r="D220" s="1" t="s">
        <v>16</v>
      </c>
      <c r="E220" s="1" t="s">
        <v>36</v>
      </c>
      <c r="F220" s="1" t="s">
        <v>1440</v>
      </c>
      <c r="G220" s="2">
        <f>VLOOKUP(B220,'[1]REKAP POTONGAN'!B$6:D$93,3,FALSE)</f>
        <v>250000</v>
      </c>
      <c r="H220" s="2">
        <f>VLOOKUP(B220,'[1]REKAP POTONGAN'!B$6:C$93,2,FALSE)</f>
        <v>0</v>
      </c>
      <c r="I220" s="27"/>
    </row>
    <row r="221" spans="1:9" x14ac:dyDescent="0.35">
      <c r="A221" s="1" t="s">
        <v>476</v>
      </c>
      <c r="B221" s="1" t="s">
        <v>477</v>
      </c>
      <c r="D221" s="1" t="s">
        <v>16</v>
      </c>
      <c r="E221" s="1" t="s">
        <v>375</v>
      </c>
      <c r="F221" s="1" t="s">
        <v>1441</v>
      </c>
      <c r="G221" s="2">
        <v>0</v>
      </c>
      <c r="H221" s="2">
        <v>0</v>
      </c>
    </row>
    <row r="222" spans="1:9" x14ac:dyDescent="0.35">
      <c r="A222" s="1" t="s">
        <v>478</v>
      </c>
      <c r="B222" s="1" t="s">
        <v>479</v>
      </c>
      <c r="D222" s="1" t="s">
        <v>36</v>
      </c>
      <c r="E222" s="1" t="s">
        <v>36</v>
      </c>
      <c r="F222" s="1" t="s">
        <v>1384</v>
      </c>
      <c r="G222" s="2">
        <f>VLOOKUP(B222,'[1]REKAP POTONGAN'!B$6:D$93,3,FALSE)</f>
        <v>150000</v>
      </c>
      <c r="H222" s="2">
        <f>VLOOKUP(B222,'[1]REKAP POTONGAN'!B$6:C$93,2,FALSE)</f>
        <v>0</v>
      </c>
      <c r="I222" s="27"/>
    </row>
    <row r="223" spans="1:9" x14ac:dyDescent="0.35">
      <c r="A223" s="1" t="s">
        <v>480</v>
      </c>
      <c r="B223" s="1" t="s">
        <v>481</v>
      </c>
      <c r="D223" s="1" t="s">
        <v>27</v>
      </c>
      <c r="E223" s="1" t="s">
        <v>27</v>
      </c>
      <c r="F223" s="1" t="s">
        <v>1379</v>
      </c>
      <c r="G223" s="2">
        <f>VLOOKUP(B223,'[1]REKAP POTONGAN'!B$6:D$93,3,FALSE)</f>
        <v>150000</v>
      </c>
      <c r="H223" s="2">
        <f>VLOOKUP(B223,'[1]REKAP POTONGAN'!B$6:C$93,2,FALSE)</f>
        <v>0</v>
      </c>
      <c r="I223" s="27"/>
    </row>
    <row r="224" spans="1:9" x14ac:dyDescent="0.35">
      <c r="A224" s="1" t="s">
        <v>482</v>
      </c>
      <c r="B224" s="1" t="s">
        <v>483</v>
      </c>
      <c r="D224" s="1" t="s">
        <v>36</v>
      </c>
      <c r="E224" s="1" t="s">
        <v>36</v>
      </c>
      <c r="F224" s="1" t="s">
        <v>1442</v>
      </c>
      <c r="G224" s="2">
        <v>0</v>
      </c>
      <c r="H224" s="2">
        <v>0</v>
      </c>
    </row>
    <row r="225" spans="1:9" x14ac:dyDescent="0.35">
      <c r="A225" s="1" t="s">
        <v>484</v>
      </c>
      <c r="B225" s="1" t="s">
        <v>485</v>
      </c>
      <c r="D225" s="1" t="s">
        <v>36</v>
      </c>
      <c r="E225" s="1" t="s">
        <v>36</v>
      </c>
      <c r="F225" s="1" t="s">
        <v>1432</v>
      </c>
      <c r="G225" s="2">
        <v>0</v>
      </c>
      <c r="H225" s="2">
        <v>0</v>
      </c>
    </row>
    <row r="226" spans="1:9" x14ac:dyDescent="0.35">
      <c r="A226" s="1" t="s">
        <v>486</v>
      </c>
      <c r="B226" s="1" t="s">
        <v>487</v>
      </c>
      <c r="D226" s="1" t="s">
        <v>36</v>
      </c>
      <c r="E226" s="1" t="s">
        <v>36</v>
      </c>
      <c r="F226" s="1" t="s">
        <v>1442</v>
      </c>
      <c r="G226" s="2">
        <v>0</v>
      </c>
      <c r="H226" s="2">
        <v>0</v>
      </c>
    </row>
    <row r="227" spans="1:9" x14ac:dyDescent="0.35">
      <c r="A227" s="1" t="s">
        <v>488</v>
      </c>
      <c r="B227" s="1" t="s">
        <v>489</v>
      </c>
      <c r="D227" s="1" t="s">
        <v>36</v>
      </c>
      <c r="E227" s="1" t="s">
        <v>36</v>
      </c>
      <c r="F227" s="1" t="s">
        <v>1385</v>
      </c>
      <c r="G227" s="2">
        <v>0</v>
      </c>
      <c r="H227" s="2">
        <v>0</v>
      </c>
    </row>
    <row r="228" spans="1:9" x14ac:dyDescent="0.35">
      <c r="A228" s="1" t="s">
        <v>490</v>
      </c>
      <c r="B228" s="1" t="s">
        <v>491</v>
      </c>
      <c r="D228" s="1" t="s">
        <v>36</v>
      </c>
      <c r="E228" s="1" t="s">
        <v>36</v>
      </c>
      <c r="F228" s="1" t="s">
        <v>1385</v>
      </c>
      <c r="G228" s="2">
        <v>0</v>
      </c>
      <c r="H228" s="2">
        <v>0</v>
      </c>
    </row>
    <row r="229" spans="1:9" x14ac:dyDescent="0.35">
      <c r="A229" s="1" t="s">
        <v>492</v>
      </c>
      <c r="B229" s="1" t="s">
        <v>493</v>
      </c>
      <c r="D229" s="1" t="s">
        <v>36</v>
      </c>
      <c r="E229" s="1" t="s">
        <v>36</v>
      </c>
      <c r="F229" s="1" t="s">
        <v>1385</v>
      </c>
      <c r="G229" s="2">
        <v>0</v>
      </c>
      <c r="H229" s="2">
        <v>0</v>
      </c>
    </row>
    <row r="230" spans="1:9" x14ac:dyDescent="0.35">
      <c r="A230" s="1" t="s">
        <v>494</v>
      </c>
      <c r="B230" s="1" t="s">
        <v>495</v>
      </c>
      <c r="D230" s="1" t="s">
        <v>36</v>
      </c>
      <c r="E230" s="1" t="s">
        <v>36</v>
      </c>
      <c r="F230" s="1" t="s">
        <v>1381</v>
      </c>
      <c r="G230" s="2">
        <v>0</v>
      </c>
      <c r="H230" s="2">
        <v>0</v>
      </c>
    </row>
    <row r="231" spans="1:9" x14ac:dyDescent="0.35">
      <c r="A231" s="1" t="s">
        <v>496</v>
      </c>
      <c r="B231" s="1" t="s">
        <v>497</v>
      </c>
      <c r="D231" s="1" t="s">
        <v>375</v>
      </c>
      <c r="E231" s="1" t="s">
        <v>375</v>
      </c>
      <c r="F231" s="1" t="s">
        <v>1379</v>
      </c>
    </row>
    <row r="232" spans="1:9" x14ac:dyDescent="0.35">
      <c r="A232" s="1" t="s">
        <v>498</v>
      </c>
      <c r="B232" s="1" t="s">
        <v>499</v>
      </c>
      <c r="D232" s="1" t="s">
        <v>375</v>
      </c>
      <c r="E232" s="1" t="s">
        <v>375</v>
      </c>
      <c r="F232" s="1" t="s">
        <v>1379</v>
      </c>
      <c r="G232" s="2">
        <f>VLOOKUP(B232,'[4]DAFTAR (No Tittle)'!B$8:C$18,2,FALSE)</f>
        <v>250000</v>
      </c>
      <c r="H232" s="2">
        <f>VLOOKUP(B232,'[4]DAFTAR (No Tittle)'!B$8:D$18,3,FALSE)</f>
        <v>0</v>
      </c>
      <c r="I232" s="27"/>
    </row>
    <row r="233" spans="1:9" x14ac:dyDescent="0.35">
      <c r="A233" s="1" t="s">
        <v>500</v>
      </c>
      <c r="B233" s="1" t="s">
        <v>501</v>
      </c>
      <c r="D233" s="1" t="s">
        <v>6</v>
      </c>
      <c r="E233" s="1" t="s">
        <v>6</v>
      </c>
      <c r="F233" s="1" t="s">
        <v>1379</v>
      </c>
      <c r="G233" s="2">
        <f>VLOOKUP(B233,'[1]REKAP POTONGAN'!B$6:D$93,3,FALSE)</f>
        <v>250000</v>
      </c>
      <c r="H233" s="2">
        <f>VLOOKUP(B233,'[1]REKAP POTONGAN'!B$6:C$93,2,FALSE)</f>
        <v>5373476</v>
      </c>
      <c r="I233" s="27"/>
    </row>
    <row r="234" spans="1:9" x14ac:dyDescent="0.35">
      <c r="A234" s="1" t="s">
        <v>502</v>
      </c>
      <c r="B234" s="1" t="s">
        <v>503</v>
      </c>
      <c r="D234" s="1" t="s">
        <v>375</v>
      </c>
      <c r="E234" s="1" t="s">
        <v>375</v>
      </c>
      <c r="F234" s="1" t="s">
        <v>1443</v>
      </c>
    </row>
    <row r="235" spans="1:9" x14ac:dyDescent="0.35">
      <c r="A235" s="1" t="s">
        <v>504</v>
      </c>
      <c r="B235" s="1" t="s">
        <v>505</v>
      </c>
      <c r="D235" s="1" t="s">
        <v>375</v>
      </c>
      <c r="E235" s="1" t="s">
        <v>375</v>
      </c>
      <c r="F235" s="1" t="s">
        <v>1381</v>
      </c>
      <c r="G235" s="2">
        <f>VLOOKUP(B235,'[4]DAFTAR (No Tittle)'!B$8:C$18,2,FALSE)</f>
        <v>150000</v>
      </c>
      <c r="H235" s="2">
        <f>VLOOKUP(B235,'[4]DAFTAR (No Tittle)'!B$8:D$18,3,FALSE)</f>
        <v>7597381</v>
      </c>
      <c r="I235" s="27"/>
    </row>
    <row r="236" spans="1:9" x14ac:dyDescent="0.35">
      <c r="A236" s="1" t="s">
        <v>506</v>
      </c>
      <c r="B236" s="1" t="s">
        <v>507</v>
      </c>
      <c r="D236" s="1" t="s">
        <v>375</v>
      </c>
      <c r="E236" s="1" t="s">
        <v>375</v>
      </c>
      <c r="F236" s="1" t="s">
        <v>1432</v>
      </c>
    </row>
    <row r="237" spans="1:9" x14ac:dyDescent="0.35">
      <c r="A237" s="1" t="s">
        <v>508</v>
      </c>
      <c r="B237" s="1" t="s">
        <v>509</v>
      </c>
      <c r="D237" s="1" t="s">
        <v>375</v>
      </c>
      <c r="E237" s="1" t="s">
        <v>375</v>
      </c>
      <c r="F237" s="1" t="s">
        <v>1381</v>
      </c>
      <c r="G237" s="2">
        <f>VLOOKUP(B237,'[4]DAFTAR (No Tittle)'!B$8:C$18,2,FALSE)</f>
        <v>150000</v>
      </c>
      <c r="H237" s="2">
        <f>VLOOKUP(B237,'[4]DAFTAR (No Tittle)'!B$8:D$18,3,FALSE)</f>
        <v>0</v>
      </c>
      <c r="I237" s="27"/>
    </row>
    <row r="238" spans="1:9" x14ac:dyDescent="0.35">
      <c r="A238" s="1" t="s">
        <v>510</v>
      </c>
      <c r="B238" s="1" t="s">
        <v>511</v>
      </c>
      <c r="D238" s="1" t="s">
        <v>375</v>
      </c>
      <c r="E238" s="1" t="s">
        <v>375</v>
      </c>
      <c r="F238" s="1" t="s">
        <v>1422</v>
      </c>
      <c r="G238" s="2">
        <f>VLOOKUP(B238,'[4]DAFTAR (No Tittle)'!B$8:C$18,2,FALSE)</f>
        <v>150000</v>
      </c>
      <c r="H238" s="2">
        <f>VLOOKUP(B238,'[4]DAFTAR (No Tittle)'!B$8:D$18,3,FALSE)</f>
        <v>0</v>
      </c>
      <c r="I238" s="27"/>
    </row>
    <row r="239" spans="1:9" x14ac:dyDescent="0.35">
      <c r="A239" s="1" t="s">
        <v>512</v>
      </c>
      <c r="B239" s="1" t="s">
        <v>513</v>
      </c>
      <c r="D239" s="1" t="s">
        <v>375</v>
      </c>
      <c r="E239" s="1" t="s">
        <v>375</v>
      </c>
      <c r="F239" s="1" t="s">
        <v>1384</v>
      </c>
      <c r="G239" s="2">
        <f>VLOOKUP(B239,'[4]DAFTAR (No Tittle)'!B$8:C$18,2,FALSE)</f>
        <v>150000</v>
      </c>
      <c r="H239" s="2">
        <f>VLOOKUP(B239,'[4]DAFTAR (No Tittle)'!B$8:D$18,3,FALSE)</f>
        <v>0</v>
      </c>
      <c r="I239" s="27"/>
    </row>
    <row r="240" spans="1:9" x14ac:dyDescent="0.35">
      <c r="A240" s="1" t="s">
        <v>514</v>
      </c>
      <c r="B240" s="1" t="s">
        <v>515</v>
      </c>
      <c r="D240" s="1" t="s">
        <v>375</v>
      </c>
      <c r="E240" s="1" t="s">
        <v>375</v>
      </c>
      <c r="F240" s="1" t="s">
        <v>1444</v>
      </c>
    </row>
    <row r="241" spans="1:10" x14ac:dyDescent="0.35">
      <c r="A241" s="1" t="s">
        <v>516</v>
      </c>
      <c r="B241" s="1" t="s">
        <v>517</v>
      </c>
      <c r="D241" s="1" t="s">
        <v>375</v>
      </c>
      <c r="E241" s="1" t="s">
        <v>375</v>
      </c>
      <c r="F241" s="1" t="s">
        <v>1381</v>
      </c>
      <c r="G241" s="2">
        <f>VLOOKUP(B241,'[4]DAFTAR (No Tittle)'!B$8:C$18,2,FALSE)</f>
        <v>150000</v>
      </c>
      <c r="H241" s="2">
        <f>VLOOKUP(B241,'[4]DAFTAR (No Tittle)'!B$8:D$18,3,FALSE)</f>
        <v>8671513</v>
      </c>
      <c r="I241" s="27"/>
    </row>
    <row r="242" spans="1:10" x14ac:dyDescent="0.35">
      <c r="A242" s="1" t="s">
        <v>518</v>
      </c>
      <c r="B242" s="1" t="s">
        <v>519</v>
      </c>
      <c r="D242" s="1" t="s">
        <v>375</v>
      </c>
      <c r="E242" s="1" t="s">
        <v>375</v>
      </c>
      <c r="F242" s="1" t="s">
        <v>1445</v>
      </c>
      <c r="G242" s="2">
        <f>VLOOKUP(B242,'[4]DAFTAR (No Tittle)'!B$8:C$18,2,FALSE)</f>
        <v>150000</v>
      </c>
      <c r="H242" s="2">
        <f>VLOOKUP(B242,'[4]DAFTAR (No Tittle)'!B$8:D$18,3,FALSE)</f>
        <v>0</v>
      </c>
      <c r="I242" s="27"/>
    </row>
    <row r="243" spans="1:10" x14ac:dyDescent="0.35">
      <c r="A243" s="1" t="s">
        <v>520</v>
      </c>
      <c r="B243" s="1" t="s">
        <v>521</v>
      </c>
      <c r="D243" s="1" t="s">
        <v>375</v>
      </c>
      <c r="E243" s="1" t="s">
        <v>375</v>
      </c>
      <c r="F243" s="1" t="s">
        <v>1446</v>
      </c>
      <c r="G243" s="2">
        <f>VLOOKUP(B243,'[4]DAFTAR (No Tittle)'!B$8:C$18,2,FALSE)</f>
        <v>500000</v>
      </c>
      <c r="H243" s="2">
        <f>VLOOKUP(B243,'[4]DAFTAR (No Tittle)'!B$8:D$18,3,FALSE)</f>
        <v>0</v>
      </c>
      <c r="I243" s="27"/>
    </row>
    <row r="244" spans="1:10" x14ac:dyDescent="0.35">
      <c r="A244" s="1" t="s">
        <v>522</v>
      </c>
      <c r="B244" s="1" t="s">
        <v>523</v>
      </c>
      <c r="D244" s="1" t="s">
        <v>375</v>
      </c>
      <c r="E244" s="1" t="s">
        <v>375</v>
      </c>
      <c r="F244" s="1" t="s">
        <v>1447</v>
      </c>
    </row>
    <row r="245" spans="1:10" x14ac:dyDescent="0.35">
      <c r="A245" s="1" t="s">
        <v>524</v>
      </c>
      <c r="B245" s="1" t="s">
        <v>525</v>
      </c>
      <c r="D245" s="1" t="s">
        <v>375</v>
      </c>
      <c r="E245" s="1" t="s">
        <v>375</v>
      </c>
      <c r="F245" s="1" t="s">
        <v>1448</v>
      </c>
    </row>
    <row r="246" spans="1:10" x14ac:dyDescent="0.35">
      <c r="A246" s="1" t="s">
        <v>526</v>
      </c>
      <c r="B246" s="1" t="s">
        <v>527</v>
      </c>
      <c r="D246" s="1" t="s">
        <v>375</v>
      </c>
      <c r="E246" s="1" t="s">
        <v>375</v>
      </c>
      <c r="F246" s="1" t="s">
        <v>1449</v>
      </c>
    </row>
    <row r="247" spans="1:10" x14ac:dyDescent="0.35">
      <c r="A247" s="1" t="s">
        <v>528</v>
      </c>
      <c r="B247" s="1" t="s">
        <v>529</v>
      </c>
      <c r="D247" s="1" t="s">
        <v>375</v>
      </c>
      <c r="E247" s="1" t="s">
        <v>375</v>
      </c>
      <c r="F247" s="1" t="s">
        <v>1384</v>
      </c>
      <c r="G247" s="2">
        <f>VLOOKUP(B247,'[4]DAFTAR (No Tittle)'!B$8:C$18,2,FALSE)</f>
        <v>250000</v>
      </c>
      <c r="H247" s="2">
        <f>VLOOKUP(B247,'[4]DAFTAR (No Tittle)'!B$8:D$18,3,FALSE)</f>
        <v>0</v>
      </c>
      <c r="I247" s="27"/>
    </row>
    <row r="248" spans="1:10" x14ac:dyDescent="0.35">
      <c r="A248" s="1" t="s">
        <v>530</v>
      </c>
      <c r="B248" s="1" t="s">
        <v>531</v>
      </c>
      <c r="D248" s="1" t="s">
        <v>375</v>
      </c>
      <c r="E248" s="1" t="s">
        <v>375</v>
      </c>
      <c r="F248" s="1" t="s">
        <v>1385</v>
      </c>
      <c r="G248" s="2">
        <f>VLOOKUP(B248,'[4]DAFTAR (No Tittle)'!B$8:C$18,2,FALSE)</f>
        <v>150000</v>
      </c>
      <c r="H248" s="2">
        <f>VLOOKUP(B248,'[4]DAFTAR (No Tittle)'!B$8:D$18,3,FALSE)</f>
        <v>0</v>
      </c>
      <c r="I248" s="27"/>
    </row>
    <row r="249" spans="1:10" x14ac:dyDescent="0.35">
      <c r="A249" s="1" t="s">
        <v>532</v>
      </c>
      <c r="B249" s="1" t="s">
        <v>533</v>
      </c>
      <c r="D249" s="1" t="s">
        <v>252</v>
      </c>
      <c r="E249" s="1" t="s">
        <v>252</v>
      </c>
      <c r="F249" s="1" t="s">
        <v>1450</v>
      </c>
      <c r="G249" s="2">
        <f>VLOOKUP(B249,[2]Sheet1!B$2:I$773,8,FALSE)</f>
        <v>100000</v>
      </c>
      <c r="H249" s="2">
        <v>0</v>
      </c>
      <c r="I249" s="27"/>
      <c r="J249">
        <v>0</v>
      </c>
    </row>
    <row r="250" spans="1:10" x14ac:dyDescent="0.35">
      <c r="A250" s="1" t="s">
        <v>534</v>
      </c>
      <c r="B250" s="1" t="s">
        <v>535</v>
      </c>
      <c r="D250" s="1" t="s">
        <v>375</v>
      </c>
      <c r="E250" s="1" t="s">
        <v>536</v>
      </c>
      <c r="F250" s="1" t="s">
        <v>1451</v>
      </c>
    </row>
    <row r="251" spans="1:10" x14ac:dyDescent="0.35">
      <c r="A251" s="1" t="s">
        <v>537</v>
      </c>
      <c r="B251" s="1" t="s">
        <v>538</v>
      </c>
      <c r="D251" s="1" t="s">
        <v>252</v>
      </c>
      <c r="E251" s="1" t="s">
        <v>252</v>
      </c>
      <c r="F251" s="1" t="s">
        <v>1452</v>
      </c>
      <c r="G251" s="2">
        <f>VLOOKUP(B251,[2]Sheet1!B$2:I$773,8,FALSE)</f>
        <v>150000</v>
      </c>
      <c r="H251" s="2">
        <v>0</v>
      </c>
      <c r="I251" s="27"/>
    </row>
    <row r="252" spans="1:10" x14ac:dyDescent="0.35">
      <c r="A252" s="1" t="s">
        <v>539</v>
      </c>
      <c r="B252" s="1" t="s">
        <v>540</v>
      </c>
      <c r="D252" s="1" t="s">
        <v>16</v>
      </c>
      <c r="E252" s="1" t="s">
        <v>375</v>
      </c>
      <c r="F252" s="1" t="s">
        <v>1453</v>
      </c>
      <c r="G252" s="2">
        <v>0</v>
      </c>
      <c r="H252" s="2">
        <v>0</v>
      </c>
    </row>
    <row r="253" spans="1:10" x14ac:dyDescent="0.35">
      <c r="A253" s="1" t="s">
        <v>541</v>
      </c>
      <c r="B253" s="1" t="s">
        <v>542</v>
      </c>
      <c r="D253" s="1" t="s">
        <v>543</v>
      </c>
      <c r="E253" s="1" t="s">
        <v>543</v>
      </c>
      <c r="F253" s="1" t="s">
        <v>1454</v>
      </c>
      <c r="G253" s="2">
        <f>VLOOKUP(B253,'[1]REKAP POTONGAN'!B$6:D$93,3,FALSE)</f>
        <v>250000</v>
      </c>
      <c r="H253" s="2">
        <f>VLOOKUP(B253,'[1]REKAP POTONGAN'!B$6:C$93,2,FALSE)</f>
        <v>0</v>
      </c>
      <c r="I253" s="27"/>
    </row>
    <row r="254" spans="1:10" x14ac:dyDescent="0.35">
      <c r="A254" s="1" t="s">
        <v>544</v>
      </c>
      <c r="B254" s="1" t="s">
        <v>545</v>
      </c>
      <c r="D254" s="1" t="s">
        <v>543</v>
      </c>
      <c r="E254" s="1" t="s">
        <v>543</v>
      </c>
      <c r="F254" s="1" t="s">
        <v>1455</v>
      </c>
      <c r="G254" s="2">
        <f>VLOOKUP(B254,'[1]REKAP POTONGAN'!B$6:D$93,3,FALSE)</f>
        <v>250000</v>
      </c>
      <c r="H254" s="2">
        <f>VLOOKUP(B254,'[1]REKAP POTONGAN'!B$6:C$93,2,FALSE)</f>
        <v>4895833</v>
      </c>
      <c r="I254" s="27"/>
    </row>
    <row r="255" spans="1:10" x14ac:dyDescent="0.35">
      <c r="A255" s="1" t="s">
        <v>546</v>
      </c>
      <c r="B255" s="1" t="s">
        <v>547</v>
      </c>
      <c r="D255" s="1" t="s">
        <v>543</v>
      </c>
      <c r="E255" s="1" t="s">
        <v>543</v>
      </c>
      <c r="F255" s="1" t="s">
        <v>1394</v>
      </c>
      <c r="G255" s="2">
        <v>0</v>
      </c>
      <c r="H255" s="2">
        <v>0</v>
      </c>
    </row>
    <row r="256" spans="1:10" x14ac:dyDescent="0.35">
      <c r="A256" s="1" t="s">
        <v>548</v>
      </c>
      <c r="B256" s="1" t="s">
        <v>549</v>
      </c>
      <c r="D256" s="1" t="s">
        <v>543</v>
      </c>
      <c r="E256" s="1" t="s">
        <v>543</v>
      </c>
      <c r="F256" s="1" t="s">
        <v>1391</v>
      </c>
      <c r="G256" s="2">
        <v>0</v>
      </c>
      <c r="H256" s="2">
        <v>0</v>
      </c>
    </row>
    <row r="257" spans="1:9" x14ac:dyDescent="0.35">
      <c r="A257" s="1" t="s">
        <v>550</v>
      </c>
      <c r="B257" s="1" t="s">
        <v>551</v>
      </c>
      <c r="D257" s="1" t="s">
        <v>543</v>
      </c>
      <c r="E257" s="1" t="s">
        <v>543</v>
      </c>
      <c r="F257" s="1" t="s">
        <v>1391</v>
      </c>
      <c r="G257" s="2">
        <v>0</v>
      </c>
      <c r="H257" s="2">
        <v>0</v>
      </c>
    </row>
    <row r="258" spans="1:9" x14ac:dyDescent="0.35">
      <c r="A258" s="1" t="s">
        <v>552</v>
      </c>
      <c r="B258" s="1" t="s">
        <v>553</v>
      </c>
      <c r="D258" s="1" t="s">
        <v>543</v>
      </c>
      <c r="E258" s="1" t="s">
        <v>543</v>
      </c>
      <c r="F258" s="1" t="s">
        <v>1387</v>
      </c>
      <c r="G258" s="2">
        <v>0</v>
      </c>
      <c r="H258" s="2">
        <v>0</v>
      </c>
    </row>
    <row r="259" spans="1:9" x14ac:dyDescent="0.35">
      <c r="A259" s="1" t="s">
        <v>554</v>
      </c>
      <c r="B259" s="1" t="s">
        <v>555</v>
      </c>
      <c r="D259" s="1" t="s">
        <v>543</v>
      </c>
      <c r="E259" s="1" t="s">
        <v>543</v>
      </c>
      <c r="F259" s="1" t="s">
        <v>1391</v>
      </c>
      <c r="G259" s="2">
        <v>0</v>
      </c>
      <c r="H259" s="2">
        <v>0</v>
      </c>
    </row>
    <row r="260" spans="1:9" x14ac:dyDescent="0.35">
      <c r="A260" s="1" t="s">
        <v>556</v>
      </c>
      <c r="B260" s="1" t="s">
        <v>557</v>
      </c>
      <c r="D260" s="1" t="s">
        <v>543</v>
      </c>
      <c r="E260" s="1" t="s">
        <v>543</v>
      </c>
      <c r="F260" s="1" t="s">
        <v>1391</v>
      </c>
      <c r="G260" s="2">
        <v>0</v>
      </c>
      <c r="H260" s="2">
        <v>0</v>
      </c>
    </row>
    <row r="261" spans="1:9" x14ac:dyDescent="0.35">
      <c r="A261" s="1" t="s">
        <v>558</v>
      </c>
      <c r="B261" s="1" t="s">
        <v>559</v>
      </c>
      <c r="D261" s="1" t="s">
        <v>543</v>
      </c>
      <c r="E261" s="1" t="s">
        <v>543</v>
      </c>
      <c r="F261" s="1" t="s">
        <v>1392</v>
      </c>
      <c r="G261" s="2">
        <v>0</v>
      </c>
      <c r="H261" s="2">
        <v>0</v>
      </c>
    </row>
    <row r="262" spans="1:9" x14ac:dyDescent="0.35">
      <c r="A262" s="1" t="s">
        <v>560</v>
      </c>
      <c r="B262" s="1" t="s">
        <v>561</v>
      </c>
      <c r="D262" s="1" t="s">
        <v>543</v>
      </c>
      <c r="E262" s="1" t="s">
        <v>543</v>
      </c>
      <c r="F262" s="1" t="s">
        <v>1392</v>
      </c>
      <c r="G262" s="2">
        <v>0</v>
      </c>
      <c r="H262" s="2">
        <v>0</v>
      </c>
    </row>
    <row r="263" spans="1:9" x14ac:dyDescent="0.35">
      <c r="A263" s="1" t="s">
        <v>562</v>
      </c>
      <c r="B263" s="1" t="s">
        <v>563</v>
      </c>
      <c r="D263" s="1" t="s">
        <v>543</v>
      </c>
      <c r="E263" s="1" t="s">
        <v>543</v>
      </c>
      <c r="F263" s="1" t="s">
        <v>1392</v>
      </c>
      <c r="G263" s="2">
        <v>0</v>
      </c>
      <c r="H263" s="2">
        <v>0</v>
      </c>
    </row>
    <row r="264" spans="1:9" x14ac:dyDescent="0.35">
      <c r="A264" s="1" t="s">
        <v>564</v>
      </c>
      <c r="B264" s="1" t="s">
        <v>565</v>
      </c>
      <c r="D264" s="1" t="s">
        <v>543</v>
      </c>
      <c r="E264" s="1" t="s">
        <v>543</v>
      </c>
      <c r="F264" s="1" t="s">
        <v>1391</v>
      </c>
      <c r="G264" s="2">
        <v>0</v>
      </c>
      <c r="H264" s="2">
        <v>0</v>
      </c>
    </row>
    <row r="265" spans="1:9" x14ac:dyDescent="0.35">
      <c r="A265" s="1" t="s">
        <v>566</v>
      </c>
      <c r="B265" s="1" t="s">
        <v>567</v>
      </c>
      <c r="D265" s="1" t="s">
        <v>543</v>
      </c>
      <c r="E265" s="1" t="s">
        <v>543</v>
      </c>
      <c r="F265" s="1" t="s">
        <v>1391</v>
      </c>
      <c r="G265" s="2">
        <v>0</v>
      </c>
      <c r="H265" s="2">
        <v>0</v>
      </c>
    </row>
    <row r="266" spans="1:9" x14ac:dyDescent="0.35">
      <c r="A266" s="1" t="s">
        <v>568</v>
      </c>
      <c r="B266" s="1" t="s">
        <v>569</v>
      </c>
      <c r="D266" s="1" t="s">
        <v>543</v>
      </c>
      <c r="E266" s="1" t="s">
        <v>543</v>
      </c>
      <c r="F266" s="1" t="s">
        <v>1391</v>
      </c>
      <c r="G266" s="2">
        <v>0</v>
      </c>
      <c r="H266" s="2">
        <v>0</v>
      </c>
    </row>
    <row r="267" spans="1:9" x14ac:dyDescent="0.35">
      <c r="A267" s="1" t="s">
        <v>570</v>
      </c>
      <c r="B267" s="1" t="s">
        <v>571</v>
      </c>
      <c r="D267" s="1" t="s">
        <v>543</v>
      </c>
      <c r="E267" s="1" t="s">
        <v>543</v>
      </c>
      <c r="F267" s="1" t="s">
        <v>1394</v>
      </c>
      <c r="G267" s="2">
        <v>0</v>
      </c>
      <c r="H267" s="2">
        <v>0</v>
      </c>
    </row>
    <row r="268" spans="1:9" x14ac:dyDescent="0.35">
      <c r="A268" s="1" t="s">
        <v>572</v>
      </c>
      <c r="B268" s="1" t="s">
        <v>573</v>
      </c>
      <c r="D268" s="1" t="s">
        <v>543</v>
      </c>
      <c r="E268" s="1" t="s">
        <v>543</v>
      </c>
      <c r="F268" s="1" t="s">
        <v>1432</v>
      </c>
      <c r="G268" s="2">
        <f>VLOOKUP(B268,'[1]REKAP POTONGAN'!B$6:D$93,3,FALSE)</f>
        <v>250000</v>
      </c>
      <c r="H268" s="2">
        <f>VLOOKUP(B268,'[1]REKAP POTONGAN'!B$6:C$93,2,FALSE)</f>
        <v>0</v>
      </c>
      <c r="I268" s="27"/>
    </row>
    <row r="269" spans="1:9" x14ac:dyDescent="0.35">
      <c r="A269" s="1" t="s">
        <v>574</v>
      </c>
      <c r="B269" s="1" t="s">
        <v>575</v>
      </c>
      <c r="D269" s="1" t="s">
        <v>543</v>
      </c>
      <c r="E269" s="1" t="s">
        <v>543</v>
      </c>
      <c r="F269" s="1" t="s">
        <v>1422</v>
      </c>
      <c r="G269" s="2">
        <v>0</v>
      </c>
      <c r="H269" s="2">
        <v>0</v>
      </c>
    </row>
    <row r="270" spans="1:9" x14ac:dyDescent="0.35">
      <c r="A270" s="1" t="s">
        <v>576</v>
      </c>
      <c r="B270" s="1" t="s">
        <v>577</v>
      </c>
      <c r="D270" s="1" t="s">
        <v>543</v>
      </c>
      <c r="E270" s="1" t="s">
        <v>543</v>
      </c>
      <c r="F270" s="1" t="s">
        <v>1393</v>
      </c>
      <c r="G270" s="2">
        <f>VLOOKUP(B270,'[1]REKAP POTONGAN'!B$6:D$93,3,FALSE)</f>
        <v>150000</v>
      </c>
      <c r="H270" s="2">
        <f>VLOOKUP(B270,'[1]REKAP POTONGAN'!B$6:C$93,2,FALSE)</f>
        <v>0</v>
      </c>
      <c r="I270" s="27"/>
    </row>
    <row r="271" spans="1:9" x14ac:dyDescent="0.35">
      <c r="A271" s="1" t="s">
        <v>578</v>
      </c>
      <c r="B271" s="1" t="s">
        <v>579</v>
      </c>
      <c r="D271" s="1" t="s">
        <v>543</v>
      </c>
      <c r="E271" s="1" t="s">
        <v>543</v>
      </c>
      <c r="F271" s="1" t="s">
        <v>1456</v>
      </c>
      <c r="G271" s="2">
        <f>VLOOKUP(B271,'[1]REKAP POTONGAN'!B$6:D$93,3,FALSE)</f>
        <v>150000</v>
      </c>
      <c r="H271" s="2">
        <f>VLOOKUP(B271,'[1]REKAP POTONGAN'!B$6:C$93,2,FALSE)</f>
        <v>0</v>
      </c>
      <c r="I271" s="27"/>
    </row>
    <row r="272" spans="1:9" x14ac:dyDescent="0.35">
      <c r="A272" s="1" t="s">
        <v>580</v>
      </c>
      <c r="B272" s="1" t="s">
        <v>581</v>
      </c>
      <c r="D272" s="1" t="s">
        <v>543</v>
      </c>
      <c r="E272" s="1" t="s">
        <v>543</v>
      </c>
      <c r="F272" s="1" t="s">
        <v>1457</v>
      </c>
      <c r="G272" s="2">
        <v>0</v>
      </c>
      <c r="H272" s="2">
        <v>0</v>
      </c>
    </row>
    <row r="273" spans="1:9" x14ac:dyDescent="0.35">
      <c r="A273" s="1" t="s">
        <v>582</v>
      </c>
      <c r="B273" s="1" t="s">
        <v>583</v>
      </c>
      <c r="D273" s="1" t="s">
        <v>543</v>
      </c>
      <c r="E273" s="1" t="s">
        <v>543</v>
      </c>
      <c r="F273" s="1" t="s">
        <v>1391</v>
      </c>
      <c r="G273" s="2">
        <v>0</v>
      </c>
      <c r="H273" s="2">
        <v>0</v>
      </c>
    </row>
    <row r="274" spans="1:9" x14ac:dyDescent="0.35">
      <c r="A274" s="1" t="s">
        <v>584</v>
      </c>
      <c r="B274" s="1" t="s">
        <v>585</v>
      </c>
      <c r="D274" s="1" t="s">
        <v>543</v>
      </c>
      <c r="E274" s="1" t="s">
        <v>543</v>
      </c>
      <c r="F274" s="1" t="s">
        <v>1393</v>
      </c>
      <c r="G274" s="2">
        <v>0</v>
      </c>
      <c r="H274" s="2">
        <v>0</v>
      </c>
    </row>
    <row r="275" spans="1:9" x14ac:dyDescent="0.35">
      <c r="A275" s="1" t="s">
        <v>586</v>
      </c>
      <c r="B275" s="1" t="s">
        <v>587</v>
      </c>
      <c r="D275" s="1" t="s">
        <v>543</v>
      </c>
      <c r="E275" s="1" t="s">
        <v>543</v>
      </c>
      <c r="F275" s="1" t="s">
        <v>1392</v>
      </c>
      <c r="G275" s="2">
        <v>0</v>
      </c>
      <c r="H275" s="2">
        <v>0</v>
      </c>
    </row>
    <row r="276" spans="1:9" x14ac:dyDescent="0.35">
      <c r="A276" s="1" t="s">
        <v>588</v>
      </c>
      <c r="B276" s="1" t="s">
        <v>589</v>
      </c>
      <c r="D276" s="1" t="s">
        <v>543</v>
      </c>
      <c r="E276" s="1" t="s">
        <v>543</v>
      </c>
      <c r="F276" s="1" t="s">
        <v>1393</v>
      </c>
      <c r="G276" s="2">
        <v>0</v>
      </c>
      <c r="H276" s="2">
        <v>0</v>
      </c>
    </row>
    <row r="277" spans="1:9" x14ac:dyDescent="0.35">
      <c r="A277" s="1" t="s">
        <v>590</v>
      </c>
      <c r="B277" s="1" t="s">
        <v>591</v>
      </c>
      <c r="D277" s="1" t="s">
        <v>543</v>
      </c>
      <c r="E277" s="1" t="s">
        <v>543</v>
      </c>
      <c r="F277" s="1" t="s">
        <v>1394</v>
      </c>
      <c r="G277" s="2">
        <v>0</v>
      </c>
      <c r="H277" s="2">
        <v>0</v>
      </c>
    </row>
    <row r="278" spans="1:9" x14ac:dyDescent="0.35">
      <c r="A278" s="1" t="s">
        <v>592</v>
      </c>
      <c r="B278" s="1" t="s">
        <v>593</v>
      </c>
      <c r="D278" s="1" t="s">
        <v>543</v>
      </c>
      <c r="E278" s="1" t="s">
        <v>543</v>
      </c>
      <c r="F278" s="1" t="s">
        <v>1381</v>
      </c>
      <c r="G278" s="2">
        <v>0</v>
      </c>
      <c r="H278" s="2">
        <v>0</v>
      </c>
    </row>
    <row r="279" spans="1:9" x14ac:dyDescent="0.35">
      <c r="A279" s="1" t="s">
        <v>594</v>
      </c>
      <c r="B279" s="1" t="s">
        <v>595</v>
      </c>
      <c r="D279" s="1" t="s">
        <v>543</v>
      </c>
      <c r="E279" s="1" t="s">
        <v>543</v>
      </c>
      <c r="F279" s="1" t="s">
        <v>1458</v>
      </c>
      <c r="G279" s="2">
        <f>VLOOKUP(B279,'[1]REKAP POTONGAN'!B$6:D$93,3,FALSE)</f>
        <v>100000</v>
      </c>
      <c r="H279" s="2">
        <f>VLOOKUP(B279,'[1]REKAP POTONGAN'!B$6:C$93,2,FALSE)</f>
        <v>0</v>
      </c>
      <c r="I279" s="27"/>
    </row>
    <row r="280" spans="1:9" x14ac:dyDescent="0.35">
      <c r="A280" s="1" t="s">
        <v>596</v>
      </c>
      <c r="B280" s="1" t="s">
        <v>597</v>
      </c>
      <c r="D280" s="1" t="s">
        <v>543</v>
      </c>
      <c r="E280" s="1" t="s">
        <v>543</v>
      </c>
      <c r="F280" s="1" t="s">
        <v>1394</v>
      </c>
      <c r="G280" s="2">
        <v>0</v>
      </c>
      <c r="H280" s="2">
        <v>0</v>
      </c>
    </row>
    <row r="281" spans="1:9" x14ac:dyDescent="0.35">
      <c r="A281" s="1" t="s">
        <v>598</v>
      </c>
      <c r="B281" s="1" t="s">
        <v>599</v>
      </c>
      <c r="D281" s="1" t="s">
        <v>543</v>
      </c>
      <c r="E281" s="1" t="s">
        <v>543</v>
      </c>
      <c r="F281" s="1" t="s">
        <v>1394</v>
      </c>
      <c r="G281" s="2">
        <v>0</v>
      </c>
      <c r="H281" s="2">
        <v>0</v>
      </c>
    </row>
    <row r="282" spans="1:9" x14ac:dyDescent="0.35">
      <c r="A282" s="1" t="s">
        <v>600</v>
      </c>
      <c r="B282" s="1" t="s">
        <v>601</v>
      </c>
      <c r="D282" s="1" t="s">
        <v>602</v>
      </c>
      <c r="E282" s="1" t="s">
        <v>602</v>
      </c>
      <c r="F282" s="1" t="s">
        <v>1459</v>
      </c>
      <c r="G282" s="2">
        <f>VLOOKUP(B282,[2]Sheet1!B$2:I$773,8,FALSE)</f>
        <v>0</v>
      </c>
      <c r="H282" s="2">
        <v>0</v>
      </c>
    </row>
    <row r="283" spans="1:9" x14ac:dyDescent="0.35">
      <c r="A283" s="1" t="s">
        <v>603</v>
      </c>
      <c r="B283" s="1" t="s">
        <v>604</v>
      </c>
      <c r="C283" s="1" t="s">
        <v>2027</v>
      </c>
      <c r="D283" s="1" t="s">
        <v>602</v>
      </c>
      <c r="E283" s="1" t="s">
        <v>602</v>
      </c>
      <c r="F283" s="1" t="s">
        <v>1460</v>
      </c>
      <c r="G283" s="2">
        <f>VLOOKUP(B283,[2]Sheet1!B$2:I$773,8,FALSE)</f>
        <v>150000</v>
      </c>
      <c r="H283" s="2">
        <f>VLOOKUP(B283,'[3]DAFTAR ALL'!B$8:D$68,3,FALSE)</f>
        <v>1531250</v>
      </c>
      <c r="I283" s="27"/>
    </row>
    <row r="284" spans="1:9" x14ac:dyDescent="0.35">
      <c r="A284" s="1" t="s">
        <v>605</v>
      </c>
      <c r="B284" s="1" t="s">
        <v>606</v>
      </c>
      <c r="D284" s="1" t="s">
        <v>16</v>
      </c>
      <c r="E284" s="1" t="s">
        <v>16</v>
      </c>
      <c r="F284" s="1" t="s">
        <v>1461</v>
      </c>
      <c r="G284" s="2">
        <f>VLOOKUP(B284,[2]Sheet1!B$2:I$773,8,FALSE)</f>
        <v>0</v>
      </c>
      <c r="H284" s="2">
        <v>0</v>
      </c>
    </row>
    <row r="285" spans="1:9" x14ac:dyDescent="0.35">
      <c r="A285" s="1" t="s">
        <v>607</v>
      </c>
      <c r="B285" s="1" t="s">
        <v>608</v>
      </c>
      <c r="D285" s="1" t="s">
        <v>16</v>
      </c>
      <c r="E285" s="1" t="s">
        <v>16</v>
      </c>
      <c r="F285" s="1" t="s">
        <v>1462</v>
      </c>
      <c r="G285" s="2">
        <f>VLOOKUP(B285,[2]Sheet1!B$2:I$773,8,FALSE)</f>
        <v>150000</v>
      </c>
      <c r="H285" s="2">
        <v>0</v>
      </c>
      <c r="I285" s="27"/>
    </row>
    <row r="286" spans="1:9" x14ac:dyDescent="0.35">
      <c r="A286" s="1" t="s">
        <v>609</v>
      </c>
      <c r="B286" s="1" t="s">
        <v>610</v>
      </c>
      <c r="D286" s="1" t="s">
        <v>16</v>
      </c>
      <c r="E286" s="1" t="s">
        <v>16</v>
      </c>
      <c r="F286" s="1" t="s">
        <v>1463</v>
      </c>
      <c r="G286" s="2">
        <f>VLOOKUP(B286,[2]Sheet1!B$2:I$773,8,FALSE)</f>
        <v>0</v>
      </c>
      <c r="H286" s="2">
        <v>0</v>
      </c>
    </row>
    <row r="287" spans="1:9" x14ac:dyDescent="0.35">
      <c r="A287" s="22" t="s">
        <v>611</v>
      </c>
      <c r="B287" s="22" t="s">
        <v>612</v>
      </c>
      <c r="C287" s="22"/>
      <c r="D287" s="22" t="s">
        <v>16</v>
      </c>
      <c r="E287" s="22" t="s">
        <v>16</v>
      </c>
      <c r="F287" s="22" t="s">
        <v>1464</v>
      </c>
      <c r="G287" s="23">
        <f>VLOOKUP(B287,[2]Sheet1!B$2:I$773,8,FALSE)</f>
        <v>450000</v>
      </c>
      <c r="H287" s="23">
        <f>VLOOKUP(B287,'[3]DAFTAR ALL'!B$8:D$68,3,FALSE)</f>
        <v>1889063</v>
      </c>
      <c r="I287" s="99" t="s">
        <v>2269</v>
      </c>
    </row>
    <row r="288" spans="1:9" x14ac:dyDescent="0.35">
      <c r="A288" s="1" t="s">
        <v>613</v>
      </c>
      <c r="B288" s="1" t="s">
        <v>614</v>
      </c>
      <c r="D288" s="1" t="s">
        <v>16</v>
      </c>
      <c r="E288" s="1" t="s">
        <v>16</v>
      </c>
      <c r="F288" s="1" t="s">
        <v>1432</v>
      </c>
      <c r="G288" s="2">
        <f>VLOOKUP(B288,[2]Sheet1!B$2:I$773,8,FALSE)</f>
        <v>250000</v>
      </c>
      <c r="H288" s="2">
        <f>VLOOKUP(B288,'[3]DAFTAR ALL'!B$8:D$68,3,FALSE)</f>
        <v>2500000</v>
      </c>
      <c r="I288" s="27"/>
    </row>
    <row r="289" spans="1:9" x14ac:dyDescent="0.35">
      <c r="A289" s="1" t="s">
        <v>615</v>
      </c>
      <c r="B289" s="1" t="s">
        <v>616</v>
      </c>
      <c r="D289" s="1" t="s">
        <v>16</v>
      </c>
      <c r="E289" s="1" t="s">
        <v>16</v>
      </c>
      <c r="F289" s="1" t="s">
        <v>1465</v>
      </c>
      <c r="G289" s="2">
        <f>VLOOKUP(B289,[2]Sheet1!B$2:I$773,8,FALSE)</f>
        <v>350000</v>
      </c>
      <c r="H289" s="2">
        <v>0</v>
      </c>
      <c r="I289" s="27"/>
    </row>
    <row r="290" spans="1:9" x14ac:dyDescent="0.35">
      <c r="A290" s="1" t="s">
        <v>617</v>
      </c>
      <c r="B290" s="1" t="s">
        <v>618</v>
      </c>
      <c r="D290" s="1" t="s">
        <v>16</v>
      </c>
      <c r="E290" s="1" t="s">
        <v>16</v>
      </c>
      <c r="F290" s="1" t="s">
        <v>1466</v>
      </c>
      <c r="G290" s="2">
        <f>VLOOKUP(B290,[2]Sheet1!B$2:I$773,8,FALSE)</f>
        <v>0</v>
      </c>
      <c r="H290" s="2">
        <v>0</v>
      </c>
    </row>
    <row r="291" spans="1:9" x14ac:dyDescent="0.35">
      <c r="A291" s="1" t="s">
        <v>619</v>
      </c>
      <c r="B291" s="1" t="s">
        <v>620</v>
      </c>
      <c r="D291" s="1" t="s">
        <v>16</v>
      </c>
      <c r="E291" s="1" t="s">
        <v>16</v>
      </c>
      <c r="F291" s="1" t="s">
        <v>1467</v>
      </c>
      <c r="G291" s="2">
        <f>VLOOKUP(B291,[2]Sheet1!B$2:I$773,8,FALSE)</f>
        <v>0</v>
      </c>
      <c r="H291" s="2">
        <v>0</v>
      </c>
    </row>
    <row r="292" spans="1:9" x14ac:dyDescent="0.35">
      <c r="A292" s="1" t="s">
        <v>621</v>
      </c>
      <c r="B292" s="1" t="s">
        <v>622</v>
      </c>
      <c r="D292" s="1" t="s">
        <v>375</v>
      </c>
      <c r="E292" s="1" t="s">
        <v>375</v>
      </c>
      <c r="F292" s="1" t="s">
        <v>1379</v>
      </c>
    </row>
    <row r="293" spans="1:9" x14ac:dyDescent="0.35">
      <c r="A293" s="1" t="s">
        <v>623</v>
      </c>
      <c r="B293" s="1" t="s">
        <v>624</v>
      </c>
      <c r="D293" s="1" t="s">
        <v>16</v>
      </c>
      <c r="E293" s="1" t="s">
        <v>16</v>
      </c>
      <c r="F293" s="1" t="s">
        <v>1468</v>
      </c>
      <c r="G293" s="2">
        <f>VLOOKUP(B293,[2]Sheet1!B$2:I$773,8,FALSE)</f>
        <v>350000</v>
      </c>
      <c r="H293" s="2">
        <v>0</v>
      </c>
      <c r="I293" s="27"/>
    </row>
    <row r="294" spans="1:9" x14ac:dyDescent="0.35">
      <c r="A294" s="1" t="s">
        <v>625</v>
      </c>
      <c r="B294" s="1" t="s">
        <v>626</v>
      </c>
      <c r="D294" s="1" t="s">
        <v>16</v>
      </c>
      <c r="E294" s="1" t="s">
        <v>16</v>
      </c>
      <c r="F294" s="1" t="s">
        <v>1381</v>
      </c>
      <c r="G294" s="2">
        <f>VLOOKUP(B294,[2]Sheet1!B$2:I$773,8,FALSE)</f>
        <v>150000</v>
      </c>
      <c r="H294" s="2">
        <f>VLOOKUP(B294,'[3]DAFTAR ALL'!B$8:D$68,3,FALSE)</f>
        <v>850694</v>
      </c>
      <c r="I294" s="27"/>
    </row>
    <row r="295" spans="1:9" x14ac:dyDescent="0.35">
      <c r="A295" s="1" t="s">
        <v>627</v>
      </c>
      <c r="B295" s="1" t="s">
        <v>628</v>
      </c>
      <c r="D295" s="1" t="s">
        <v>16</v>
      </c>
      <c r="E295" s="1" t="s">
        <v>16</v>
      </c>
      <c r="F295" s="1" t="s">
        <v>1469</v>
      </c>
      <c r="G295" s="2">
        <f>VLOOKUP(B295,[2]Sheet1!B$2:I$773,8,FALSE)</f>
        <v>350000</v>
      </c>
      <c r="H295" s="2">
        <v>0</v>
      </c>
      <c r="I295" s="27"/>
    </row>
    <row r="296" spans="1:9" x14ac:dyDescent="0.35">
      <c r="A296" s="1" t="s">
        <v>629</v>
      </c>
      <c r="B296" s="1" t="s">
        <v>630</v>
      </c>
      <c r="D296" s="1" t="s">
        <v>16</v>
      </c>
      <c r="E296" s="1" t="s">
        <v>16</v>
      </c>
      <c r="F296" s="1" t="s">
        <v>1467</v>
      </c>
      <c r="G296" s="2">
        <f>VLOOKUP(B296,[2]Sheet1!B$2:I$773,8,FALSE)</f>
        <v>0</v>
      </c>
      <c r="H296" s="2">
        <v>0</v>
      </c>
    </row>
    <row r="297" spans="1:9" x14ac:dyDescent="0.35">
      <c r="A297" s="1" t="s">
        <v>631</v>
      </c>
      <c r="B297" s="1" t="s">
        <v>632</v>
      </c>
      <c r="D297" s="1" t="s">
        <v>633</v>
      </c>
      <c r="E297" s="1" t="s">
        <v>633</v>
      </c>
      <c r="F297" s="1" t="s">
        <v>1470</v>
      </c>
      <c r="G297" s="2">
        <f>VLOOKUP(B297,[2]Sheet1!B$2:I$773,8,FALSE)</f>
        <v>0</v>
      </c>
      <c r="H297" s="2">
        <v>0</v>
      </c>
    </row>
    <row r="298" spans="1:9" x14ac:dyDescent="0.35">
      <c r="A298" s="1" t="s">
        <v>634</v>
      </c>
      <c r="B298" s="1" t="s">
        <v>635</v>
      </c>
      <c r="D298" s="1" t="s">
        <v>636</v>
      </c>
      <c r="E298" s="1" t="s">
        <v>636</v>
      </c>
      <c r="F298" s="1" t="s">
        <v>1471</v>
      </c>
      <c r="G298" s="2">
        <f>VLOOKUP(B298,[2]Sheet1!B$2:I$773,8,FALSE)</f>
        <v>0</v>
      </c>
      <c r="H298" s="2">
        <v>0</v>
      </c>
    </row>
    <row r="299" spans="1:9" x14ac:dyDescent="0.35">
      <c r="A299" s="1" t="s">
        <v>637</v>
      </c>
      <c r="B299" s="1" t="s">
        <v>638</v>
      </c>
      <c r="D299" s="1" t="s">
        <v>636</v>
      </c>
      <c r="E299" s="1" t="s">
        <v>636</v>
      </c>
      <c r="F299" s="1" t="s">
        <v>1472</v>
      </c>
      <c r="G299" s="2">
        <f>VLOOKUP(B299,[2]Sheet1!B$2:I$773,8,FALSE)</f>
        <v>250000</v>
      </c>
      <c r="H299" s="2">
        <f>VLOOKUP(B299,'[3]DAFTAR ALL'!B$8:D$68,3,FALSE)</f>
        <v>6154617</v>
      </c>
      <c r="I299" s="27"/>
    </row>
    <row r="300" spans="1:9" x14ac:dyDescent="0.35">
      <c r="A300" s="1" t="s">
        <v>639</v>
      </c>
      <c r="B300" s="1" t="s">
        <v>640</v>
      </c>
      <c r="D300" s="1" t="s">
        <v>636</v>
      </c>
      <c r="E300" s="1" t="s">
        <v>636</v>
      </c>
      <c r="F300" s="1" t="s">
        <v>1472</v>
      </c>
      <c r="G300" s="2">
        <f>VLOOKUP(B300,[2]Sheet1!B$2:I$773,8,FALSE)</f>
        <v>0</v>
      </c>
      <c r="H300" s="2">
        <v>0</v>
      </c>
    </row>
    <row r="301" spans="1:9" x14ac:dyDescent="0.35">
      <c r="A301" s="1" t="s">
        <v>641</v>
      </c>
      <c r="B301" s="1" t="s">
        <v>642</v>
      </c>
      <c r="D301" s="1" t="s">
        <v>636</v>
      </c>
      <c r="E301" s="1" t="s">
        <v>636</v>
      </c>
      <c r="F301" s="1" t="s">
        <v>1472</v>
      </c>
      <c r="G301" s="2">
        <f>VLOOKUP(B301,[2]Sheet1!B$2:I$773,8,FALSE)</f>
        <v>0</v>
      </c>
      <c r="H301" s="2">
        <v>0</v>
      </c>
    </row>
    <row r="302" spans="1:9" x14ac:dyDescent="0.35">
      <c r="A302" s="1" t="s">
        <v>643</v>
      </c>
      <c r="B302" s="96" t="s">
        <v>644</v>
      </c>
      <c r="D302" s="1" t="s">
        <v>636</v>
      </c>
      <c r="E302" s="1" t="s">
        <v>636</v>
      </c>
      <c r="F302" s="1" t="s">
        <v>1473</v>
      </c>
      <c r="G302" s="2">
        <f>VLOOKUP(B302,[2]Sheet1!B$2:I$773,8,FALSE)</f>
        <v>250000</v>
      </c>
      <c r="H302" s="2">
        <v>0</v>
      </c>
      <c r="I302" s="27"/>
    </row>
    <row r="303" spans="1:9" x14ac:dyDescent="0.35">
      <c r="A303" s="1" t="s">
        <v>645</v>
      </c>
      <c r="B303" s="1" t="s">
        <v>646</v>
      </c>
      <c r="D303" s="1" t="s">
        <v>636</v>
      </c>
      <c r="E303" s="1" t="s">
        <v>636</v>
      </c>
      <c r="F303" s="1" t="s">
        <v>1474</v>
      </c>
      <c r="G303" s="2">
        <f>VLOOKUP(B303,[2]Sheet1!B$2:I$773,8,FALSE)</f>
        <v>250000</v>
      </c>
      <c r="H303" s="2">
        <f>VLOOKUP(B303,'[3]DAFTAR ALL'!B$8:D$68,3,FALSE)</f>
        <v>6887500</v>
      </c>
      <c r="I303" s="27"/>
    </row>
    <row r="304" spans="1:9" x14ac:dyDescent="0.35">
      <c r="A304" s="1" t="s">
        <v>647</v>
      </c>
      <c r="B304" s="1" t="s">
        <v>648</v>
      </c>
      <c r="D304" s="1" t="s">
        <v>636</v>
      </c>
      <c r="E304" s="1" t="s">
        <v>636</v>
      </c>
      <c r="F304" s="1" t="s">
        <v>1475</v>
      </c>
      <c r="G304" s="2">
        <f>VLOOKUP(B304,[2]Sheet1!B$2:I$773,8,FALSE)</f>
        <v>0</v>
      </c>
      <c r="H304" s="2">
        <v>0</v>
      </c>
    </row>
    <row r="305" spans="1:9" x14ac:dyDescent="0.35">
      <c r="A305" s="1" t="s">
        <v>649</v>
      </c>
      <c r="B305" s="1" t="s">
        <v>650</v>
      </c>
      <c r="D305" s="1" t="s">
        <v>636</v>
      </c>
      <c r="E305" s="1" t="s">
        <v>636</v>
      </c>
      <c r="F305" s="1" t="s">
        <v>1476</v>
      </c>
      <c r="G305" s="2">
        <f>VLOOKUP(B305,[2]Sheet1!B$2:I$773,8,FALSE)</f>
        <v>100000</v>
      </c>
      <c r="H305" s="2">
        <v>0</v>
      </c>
      <c r="I305" s="27"/>
    </row>
    <row r="306" spans="1:9" x14ac:dyDescent="0.35">
      <c r="A306" s="1" t="s">
        <v>651</v>
      </c>
      <c r="B306" s="1" t="s">
        <v>652</v>
      </c>
      <c r="D306" s="1" t="s">
        <v>653</v>
      </c>
      <c r="E306" s="1" t="s">
        <v>653</v>
      </c>
      <c r="F306" s="1" t="s">
        <v>1477</v>
      </c>
      <c r="G306" s="2">
        <f>VLOOKUP(B306,[2]Sheet1!B$2:I$773,8,FALSE)</f>
        <v>500000</v>
      </c>
      <c r="H306" s="2">
        <v>0</v>
      </c>
      <c r="I306" s="27"/>
    </row>
    <row r="307" spans="1:9" x14ac:dyDescent="0.35">
      <c r="A307" s="1" t="s">
        <v>654</v>
      </c>
      <c r="B307" s="1" t="s">
        <v>655</v>
      </c>
      <c r="D307" s="1" t="s">
        <v>653</v>
      </c>
      <c r="E307" s="1" t="s">
        <v>653</v>
      </c>
      <c r="F307" s="1" t="s">
        <v>1478</v>
      </c>
      <c r="G307" s="2">
        <f>VLOOKUP(B307,[2]Sheet1!B$2:I$773,8,FALSE)</f>
        <v>0</v>
      </c>
      <c r="H307" s="2">
        <v>0</v>
      </c>
    </row>
    <row r="308" spans="1:9" x14ac:dyDescent="0.35">
      <c r="A308" s="1" t="s">
        <v>656</v>
      </c>
      <c r="B308" s="1" t="s">
        <v>657</v>
      </c>
      <c r="D308" s="1" t="s">
        <v>653</v>
      </c>
      <c r="E308" s="1" t="s">
        <v>653</v>
      </c>
      <c r="F308" s="1" t="s">
        <v>1479</v>
      </c>
      <c r="G308" s="2">
        <f>VLOOKUP(B308,[2]Sheet1!B$2:I$773,8,FALSE)</f>
        <v>350000</v>
      </c>
      <c r="H308" s="2">
        <f>VLOOKUP(B308,'[3]DAFTAR ALL'!B$8:D$68,3,FALSE)</f>
        <v>10608334</v>
      </c>
      <c r="I308" s="27"/>
    </row>
    <row r="309" spans="1:9" x14ac:dyDescent="0.35">
      <c r="A309" s="1" t="s">
        <v>658</v>
      </c>
      <c r="B309" s="1" t="s">
        <v>659</v>
      </c>
      <c r="C309" s="1" t="s">
        <v>2027</v>
      </c>
      <c r="D309" s="1" t="s">
        <v>660</v>
      </c>
      <c r="E309" s="1" t="s">
        <v>660</v>
      </c>
      <c r="F309" s="1" t="s">
        <v>1480</v>
      </c>
      <c r="G309" s="2">
        <f>VLOOKUP(B309,[2]Sheet1!B$2:I$773,8,FALSE)</f>
        <v>150000</v>
      </c>
      <c r="H309" s="2">
        <v>0</v>
      </c>
      <c r="I309" s="27"/>
    </row>
    <row r="310" spans="1:9" x14ac:dyDescent="0.35">
      <c r="A310" s="1" t="s">
        <v>661</v>
      </c>
      <c r="B310" s="1" t="s">
        <v>662</v>
      </c>
      <c r="C310" s="1" t="s">
        <v>2027</v>
      </c>
      <c r="D310" s="1" t="s">
        <v>660</v>
      </c>
      <c r="E310" s="1" t="s">
        <v>660</v>
      </c>
      <c r="F310" s="1" t="s">
        <v>1480</v>
      </c>
      <c r="G310" s="2">
        <f>VLOOKUP(B310,[2]Sheet1!B$2:I$773,8,FALSE)</f>
        <v>150000</v>
      </c>
      <c r="H310" s="2">
        <f>VLOOKUP(B310,'[3]DAFTAR ALL'!B$8:D$68,3,FALSE)</f>
        <v>1354167</v>
      </c>
      <c r="I310" s="27"/>
    </row>
    <row r="311" spans="1:9" x14ac:dyDescent="0.35">
      <c r="A311" s="1" t="s">
        <v>663</v>
      </c>
      <c r="B311" s="1" t="s">
        <v>664</v>
      </c>
      <c r="C311" s="1" t="s">
        <v>2027</v>
      </c>
      <c r="D311" s="1" t="s">
        <v>660</v>
      </c>
      <c r="E311" s="1" t="s">
        <v>660</v>
      </c>
      <c r="F311" s="1" t="s">
        <v>1480</v>
      </c>
      <c r="G311" s="2">
        <f>VLOOKUP(B311,[2]Sheet1!B$2:I$773,8,FALSE)</f>
        <v>250000</v>
      </c>
      <c r="H311" s="2">
        <f>VLOOKUP(B311,'[3]DAFTAR ALL'!B$8:D$68,3,FALSE)</f>
        <v>9525267</v>
      </c>
      <c r="I311" s="27"/>
    </row>
    <row r="312" spans="1:9" x14ac:dyDescent="0.35">
      <c r="A312" s="1" t="s">
        <v>665</v>
      </c>
      <c r="B312" s="1" t="s">
        <v>666</v>
      </c>
      <c r="C312" s="1" t="s">
        <v>2027</v>
      </c>
      <c r="D312" s="1" t="s">
        <v>667</v>
      </c>
      <c r="E312" s="1" t="s">
        <v>667</v>
      </c>
      <c r="F312" s="1" t="s">
        <v>1481</v>
      </c>
      <c r="G312" s="2">
        <f>VLOOKUP(B312,[2]Sheet1!B$2:I$773,8,FALSE)</f>
        <v>500000</v>
      </c>
      <c r="H312" s="2">
        <v>0</v>
      </c>
      <c r="I312" s="27"/>
    </row>
    <row r="313" spans="1:9" x14ac:dyDescent="0.35">
      <c r="A313" s="1" t="s">
        <v>668</v>
      </c>
      <c r="B313" s="1" t="s">
        <v>669</v>
      </c>
      <c r="C313" s="1" t="s">
        <v>2027</v>
      </c>
      <c r="D313" s="1" t="s">
        <v>667</v>
      </c>
      <c r="E313" s="1" t="s">
        <v>667</v>
      </c>
      <c r="F313" s="1" t="s">
        <v>1482</v>
      </c>
      <c r="G313" s="2">
        <f>VLOOKUP(B313,[2]Sheet1!B$2:I$773,8,FALSE)</f>
        <v>150000</v>
      </c>
      <c r="H313" s="2">
        <f>VLOOKUP(B313,'[3]DAFTAR ALL'!B$8:D$68,3,FALSE)</f>
        <v>7522865</v>
      </c>
      <c r="I313" s="27"/>
    </row>
    <row r="314" spans="1:9" x14ac:dyDescent="0.35">
      <c r="A314" s="1" t="s">
        <v>670</v>
      </c>
      <c r="B314" s="1" t="s">
        <v>671</v>
      </c>
      <c r="D314" s="1" t="s">
        <v>667</v>
      </c>
      <c r="E314" s="1" t="s">
        <v>667</v>
      </c>
      <c r="F314" s="1" t="s">
        <v>1483</v>
      </c>
      <c r="G314" s="2">
        <f>VLOOKUP(B314,[2]Sheet1!B$2:I$773,8,FALSE)</f>
        <v>0</v>
      </c>
      <c r="H314" s="2">
        <v>0</v>
      </c>
    </row>
    <row r="315" spans="1:9" x14ac:dyDescent="0.35">
      <c r="A315" s="1" t="s">
        <v>672</v>
      </c>
      <c r="B315" s="1" t="s">
        <v>673</v>
      </c>
      <c r="C315" s="1" t="s">
        <v>2027</v>
      </c>
      <c r="D315" s="1" t="s">
        <v>667</v>
      </c>
      <c r="E315" s="1" t="s">
        <v>667</v>
      </c>
      <c r="F315" s="1" t="s">
        <v>1484</v>
      </c>
      <c r="G315" s="2">
        <f>VLOOKUP(B315,[2]Sheet1!B$2:I$773,8,FALSE)</f>
        <v>150000</v>
      </c>
      <c r="H315" s="2">
        <v>0</v>
      </c>
      <c r="I315" s="27"/>
    </row>
    <row r="316" spans="1:9" x14ac:dyDescent="0.35">
      <c r="A316" s="1" t="s">
        <v>674</v>
      </c>
      <c r="B316" s="1" t="s">
        <v>675</v>
      </c>
      <c r="D316" s="1" t="s">
        <v>667</v>
      </c>
      <c r="E316" s="1" t="s">
        <v>667</v>
      </c>
      <c r="F316" s="1" t="s">
        <v>1485</v>
      </c>
      <c r="G316" s="2">
        <f>VLOOKUP(B316,[2]Sheet1!B$2:I$773,8,FALSE)</f>
        <v>0</v>
      </c>
      <c r="H316" s="2">
        <v>0</v>
      </c>
    </row>
    <row r="317" spans="1:9" x14ac:dyDescent="0.35">
      <c r="A317" s="1" t="s">
        <v>676</v>
      </c>
      <c r="B317" s="1" t="s">
        <v>677</v>
      </c>
      <c r="D317" s="1" t="s">
        <v>678</v>
      </c>
      <c r="E317" s="1" t="s">
        <v>678</v>
      </c>
      <c r="F317" s="1" t="s">
        <v>1486</v>
      </c>
      <c r="G317" s="2">
        <f>VLOOKUP(B317,[2]Sheet1!B$2:I$773,8,FALSE)</f>
        <v>0</v>
      </c>
      <c r="H317" s="2">
        <v>0</v>
      </c>
    </row>
    <row r="318" spans="1:9" x14ac:dyDescent="0.35">
      <c r="A318" s="1" t="s">
        <v>679</v>
      </c>
      <c r="B318" s="1" t="s">
        <v>680</v>
      </c>
      <c r="D318" s="1" t="s">
        <v>678</v>
      </c>
      <c r="E318" s="1" t="s">
        <v>678</v>
      </c>
      <c r="F318" s="1" t="s">
        <v>1487</v>
      </c>
      <c r="G318" s="2">
        <f>VLOOKUP(B318,[2]Sheet1!B$2:I$773,8,FALSE)</f>
        <v>250000</v>
      </c>
      <c r="H318" s="2">
        <f>VLOOKUP(B318,'[3]DAFTAR ALL'!B$8:D$68,3,FALSE)</f>
        <v>17584050</v>
      </c>
      <c r="I318" s="27"/>
    </row>
    <row r="319" spans="1:9" x14ac:dyDescent="0.35">
      <c r="A319" s="1" t="s">
        <v>681</v>
      </c>
      <c r="B319" s="1" t="s">
        <v>682</v>
      </c>
      <c r="D319" s="1" t="s">
        <v>678</v>
      </c>
      <c r="E319" s="1" t="s">
        <v>678</v>
      </c>
      <c r="F319" s="1" t="s">
        <v>1488</v>
      </c>
      <c r="G319" s="2">
        <f>VLOOKUP(B319,[2]Sheet1!B$2:I$773,8,FALSE)</f>
        <v>250000</v>
      </c>
      <c r="H319" s="2">
        <v>0</v>
      </c>
      <c r="I319" s="27"/>
    </row>
    <row r="320" spans="1:9" x14ac:dyDescent="0.35">
      <c r="A320" s="1" t="s">
        <v>683</v>
      </c>
      <c r="B320" s="1" t="s">
        <v>684</v>
      </c>
      <c r="D320" s="1" t="s">
        <v>678</v>
      </c>
      <c r="E320" s="1" t="s">
        <v>678</v>
      </c>
      <c r="F320" s="1" t="s">
        <v>1489</v>
      </c>
      <c r="G320" s="2">
        <f>VLOOKUP(B320,[2]Sheet1!B$2:I$773,8,FALSE)</f>
        <v>100000</v>
      </c>
      <c r="H320" s="2">
        <f>VLOOKUP(B320,'[3]DAFTAR ALL'!B$8:D$68,3,FALSE)</f>
        <v>1665000</v>
      </c>
      <c r="I320" s="27"/>
    </row>
    <row r="321" spans="1:9" x14ac:dyDescent="0.35">
      <c r="A321" s="1" t="s">
        <v>685</v>
      </c>
      <c r="B321" s="1" t="s">
        <v>686</v>
      </c>
      <c r="D321" s="1" t="s">
        <v>678</v>
      </c>
      <c r="E321" s="1" t="s">
        <v>678</v>
      </c>
      <c r="F321" s="1" t="s">
        <v>1489</v>
      </c>
      <c r="G321" s="2">
        <f>VLOOKUP(B321,[2]Sheet1!B$2:I$773,8,FALSE)</f>
        <v>150000</v>
      </c>
      <c r="H321" s="2">
        <f>VLOOKUP(B321,'[3]DAFTAR ALL'!B$8:D$68,3,FALSE)</f>
        <v>1200000</v>
      </c>
      <c r="I321" s="27"/>
    </row>
    <row r="322" spans="1:9" x14ac:dyDescent="0.35">
      <c r="A322" s="1" t="s">
        <v>687</v>
      </c>
      <c r="B322" s="1" t="s">
        <v>688</v>
      </c>
      <c r="D322" s="1" t="s">
        <v>678</v>
      </c>
      <c r="E322" s="1" t="s">
        <v>678</v>
      </c>
      <c r="F322" s="1" t="s">
        <v>1489</v>
      </c>
      <c r="G322" s="2">
        <f>VLOOKUP(B322,[2]Sheet1!B$2:I$773,8,FALSE)</f>
        <v>150000</v>
      </c>
      <c r="H322" s="2">
        <f>VLOOKUP(B322,'[3]DAFTAR ALL'!B$8:D$68,3,FALSE)</f>
        <v>2500000</v>
      </c>
      <c r="I322" s="27"/>
    </row>
    <row r="323" spans="1:9" x14ac:dyDescent="0.35">
      <c r="A323" s="1" t="s">
        <v>689</v>
      </c>
      <c r="B323" s="1" t="s">
        <v>690</v>
      </c>
      <c r="D323" s="1" t="s">
        <v>678</v>
      </c>
      <c r="E323" s="1" t="s">
        <v>678</v>
      </c>
      <c r="F323" s="1" t="s">
        <v>1489</v>
      </c>
      <c r="G323" s="2">
        <f>VLOOKUP(B323,[2]Sheet1!B$2:I$773,8,FALSE)</f>
        <v>150000</v>
      </c>
      <c r="H323" s="2">
        <f>VLOOKUP(B323,'[3]DAFTAR ALL'!B$8:D$68,3,FALSE)</f>
        <v>5638526</v>
      </c>
      <c r="I323" s="27"/>
    </row>
    <row r="324" spans="1:9" x14ac:dyDescent="0.35">
      <c r="A324" s="1" t="s">
        <v>691</v>
      </c>
      <c r="B324" s="1" t="s">
        <v>692</v>
      </c>
      <c r="D324" s="1" t="s">
        <v>678</v>
      </c>
      <c r="E324" s="1" t="s">
        <v>678</v>
      </c>
      <c r="F324" s="1" t="s">
        <v>1489</v>
      </c>
      <c r="G324" s="2">
        <f>VLOOKUP(B324,[2]Sheet1!B$2:I$773,8,FALSE)</f>
        <v>150000</v>
      </c>
      <c r="H324" s="2">
        <v>0</v>
      </c>
      <c r="I324" s="27"/>
    </row>
    <row r="325" spans="1:9" x14ac:dyDescent="0.35">
      <c r="A325" s="1" t="s">
        <v>693</v>
      </c>
      <c r="B325" s="1" t="s">
        <v>694</v>
      </c>
      <c r="D325" s="1" t="s">
        <v>678</v>
      </c>
      <c r="E325" s="1" t="s">
        <v>678</v>
      </c>
      <c r="F325" s="1" t="s">
        <v>1488</v>
      </c>
      <c r="G325" s="2">
        <f>VLOOKUP(B325,[2]Sheet1!B$2:I$773,8,FALSE)</f>
        <v>250000</v>
      </c>
      <c r="H325" s="2">
        <v>0</v>
      </c>
      <c r="I325" s="27"/>
    </row>
    <row r="326" spans="1:9" x14ac:dyDescent="0.35">
      <c r="A326" s="1" t="s">
        <v>695</v>
      </c>
      <c r="B326" s="1" t="s">
        <v>696</v>
      </c>
      <c r="D326" s="1" t="s">
        <v>678</v>
      </c>
      <c r="E326" s="1" t="s">
        <v>678</v>
      </c>
      <c r="F326" s="1" t="s">
        <v>1487</v>
      </c>
      <c r="G326" s="2">
        <f>VLOOKUP(B326,[2]Sheet1!B$2:I$773,8,FALSE)</f>
        <v>0</v>
      </c>
      <c r="H326" s="2">
        <v>0</v>
      </c>
    </row>
    <row r="327" spans="1:9" x14ac:dyDescent="0.35">
      <c r="A327" s="1" t="s">
        <v>697</v>
      </c>
      <c r="B327" s="1" t="s">
        <v>698</v>
      </c>
      <c r="D327" s="1" t="s">
        <v>678</v>
      </c>
      <c r="E327" s="1" t="s">
        <v>678</v>
      </c>
      <c r="F327" s="1" t="s">
        <v>1490</v>
      </c>
      <c r="G327" s="2">
        <f>VLOOKUP(B327,[2]Sheet1!B$2:I$773,8,FALSE)</f>
        <v>0</v>
      </c>
      <c r="H327" s="2">
        <v>0</v>
      </c>
    </row>
    <row r="328" spans="1:9" x14ac:dyDescent="0.35">
      <c r="A328" s="1" t="s">
        <v>699</v>
      </c>
      <c r="B328" s="1" t="s">
        <v>700</v>
      </c>
      <c r="D328" s="1" t="s">
        <v>678</v>
      </c>
      <c r="E328" s="1" t="s">
        <v>678</v>
      </c>
      <c r="F328" s="1" t="s">
        <v>1491</v>
      </c>
      <c r="G328" s="2">
        <f>VLOOKUP(B328,[2]Sheet1!B$2:I$773,8,FALSE)</f>
        <v>350000</v>
      </c>
      <c r="H328" s="2">
        <f>VLOOKUP(B328,'[3]DAFTAR ALL'!B$8:D$68,3,FALSE)</f>
        <v>500000</v>
      </c>
      <c r="I328" s="27"/>
    </row>
    <row r="329" spans="1:9" x14ac:dyDescent="0.35">
      <c r="A329" s="1" t="s">
        <v>701</v>
      </c>
      <c r="B329" s="1" t="s">
        <v>702</v>
      </c>
      <c r="D329" s="1" t="s">
        <v>678</v>
      </c>
      <c r="E329" s="1" t="s">
        <v>678</v>
      </c>
      <c r="F329" s="1" t="s">
        <v>1492</v>
      </c>
      <c r="G329" s="2">
        <f>VLOOKUP(B329,[2]Sheet1!B$2:I$773,8,FALSE)</f>
        <v>100000</v>
      </c>
      <c r="H329" s="2">
        <f>VLOOKUP(B329,'[3]DAFTAR ALL'!B$8:D$68,3,FALSE)</f>
        <v>1000000</v>
      </c>
      <c r="I329" s="27"/>
    </row>
    <row r="330" spans="1:9" x14ac:dyDescent="0.35">
      <c r="A330" s="1" t="s">
        <v>703</v>
      </c>
      <c r="B330" s="1" t="s">
        <v>704</v>
      </c>
      <c r="D330" s="1" t="s">
        <v>678</v>
      </c>
      <c r="E330" s="1" t="s">
        <v>678</v>
      </c>
      <c r="F330" s="1" t="s">
        <v>1490</v>
      </c>
      <c r="G330" s="2">
        <f>VLOOKUP(B330,[2]Sheet1!B$2:I$773,8,FALSE)</f>
        <v>0</v>
      </c>
      <c r="H330" s="2">
        <v>0</v>
      </c>
    </row>
    <row r="331" spans="1:9" x14ac:dyDescent="0.35">
      <c r="A331" s="1" t="s">
        <v>705</v>
      </c>
      <c r="B331" s="1" t="s">
        <v>706</v>
      </c>
      <c r="D331" s="1" t="s">
        <v>678</v>
      </c>
      <c r="E331" s="1" t="s">
        <v>678</v>
      </c>
      <c r="F331" s="1" t="s">
        <v>1490</v>
      </c>
      <c r="G331" s="2">
        <f>VLOOKUP(B331,[2]Sheet1!B$2:I$773,8,FALSE)</f>
        <v>0</v>
      </c>
      <c r="H331" s="2">
        <v>0</v>
      </c>
    </row>
    <row r="332" spans="1:9" x14ac:dyDescent="0.35">
      <c r="A332" s="1" t="s">
        <v>707</v>
      </c>
      <c r="B332" s="1" t="s">
        <v>708</v>
      </c>
      <c r="D332" s="1" t="s">
        <v>678</v>
      </c>
      <c r="E332" s="1" t="s">
        <v>678</v>
      </c>
      <c r="F332" s="1" t="s">
        <v>1492</v>
      </c>
      <c r="G332" s="2">
        <f>VLOOKUP(B332,[2]Sheet1!B$2:I$773,8,FALSE)</f>
        <v>0</v>
      </c>
      <c r="H332" s="2">
        <v>0</v>
      </c>
    </row>
    <row r="333" spans="1:9" x14ac:dyDescent="0.35">
      <c r="A333" s="1" t="s">
        <v>709</v>
      </c>
      <c r="B333" s="1" t="s">
        <v>710</v>
      </c>
      <c r="D333" s="1" t="s">
        <v>711</v>
      </c>
      <c r="E333" s="1" t="s">
        <v>711</v>
      </c>
      <c r="F333" s="1" t="s">
        <v>1381</v>
      </c>
      <c r="G333" s="2">
        <f>VLOOKUP(B333,[2]Sheet1!B$2:I$773,8,FALSE)</f>
        <v>0</v>
      </c>
      <c r="H333" s="2">
        <v>0</v>
      </c>
    </row>
    <row r="334" spans="1:9" x14ac:dyDescent="0.35">
      <c r="A334" s="1" t="s">
        <v>712</v>
      </c>
      <c r="B334" s="1" t="s">
        <v>713</v>
      </c>
      <c r="D334" s="1" t="s">
        <v>711</v>
      </c>
      <c r="E334" s="1" t="s">
        <v>711</v>
      </c>
      <c r="F334" s="1" t="s">
        <v>1381</v>
      </c>
      <c r="G334" s="2">
        <f>VLOOKUP(B334,[2]Sheet1!B$2:I$773,8,FALSE)</f>
        <v>0</v>
      </c>
      <c r="H334" s="2">
        <v>0</v>
      </c>
    </row>
    <row r="335" spans="1:9" x14ac:dyDescent="0.35">
      <c r="A335" s="1" t="s">
        <v>714</v>
      </c>
      <c r="B335" s="1" t="s">
        <v>715</v>
      </c>
      <c r="D335" s="1" t="s">
        <v>711</v>
      </c>
      <c r="E335" s="1" t="s">
        <v>711</v>
      </c>
      <c r="F335" s="1" t="s">
        <v>1493</v>
      </c>
      <c r="G335" s="2">
        <f>VLOOKUP(B335,[2]Sheet1!B$2:I$773,8,FALSE)</f>
        <v>150000</v>
      </c>
      <c r="H335" s="2">
        <f>VLOOKUP(B335,'[3]DAFTAR ALL'!B$8:D$68,3,FALSE)</f>
        <v>2395833</v>
      </c>
      <c r="I335" s="27"/>
    </row>
    <row r="336" spans="1:9" x14ac:dyDescent="0.35">
      <c r="A336" s="1" t="s">
        <v>716</v>
      </c>
      <c r="B336" s="1" t="s">
        <v>717</v>
      </c>
      <c r="D336" s="1" t="s">
        <v>711</v>
      </c>
      <c r="E336" s="1" t="s">
        <v>711</v>
      </c>
      <c r="F336" s="1" t="s">
        <v>1494</v>
      </c>
      <c r="G336" s="2">
        <f>VLOOKUP(B336,[2]Sheet1!B$2:I$773,8,FALSE)</f>
        <v>250000</v>
      </c>
      <c r="H336" s="2">
        <v>0</v>
      </c>
      <c r="I336" s="27"/>
    </row>
    <row r="337" spans="1:9" x14ac:dyDescent="0.35">
      <c r="A337" s="1" t="s">
        <v>718</v>
      </c>
      <c r="B337" s="1" t="s">
        <v>719</v>
      </c>
      <c r="D337" s="1" t="s">
        <v>711</v>
      </c>
      <c r="E337" s="1" t="s">
        <v>711</v>
      </c>
      <c r="F337" s="1" t="s">
        <v>1495</v>
      </c>
      <c r="G337" s="2">
        <f>VLOOKUP(B337,[2]Sheet1!B$2:I$773,8,FALSE)</f>
        <v>250000</v>
      </c>
      <c r="H337" s="2">
        <f>VLOOKUP(B337,'[3]DAFTAR ALL'!B$8:D$68,3,FALSE)</f>
        <v>7801667</v>
      </c>
      <c r="I337" s="27"/>
    </row>
    <row r="338" spans="1:9" x14ac:dyDescent="0.35">
      <c r="A338" s="1" t="s">
        <v>720</v>
      </c>
      <c r="B338" s="1" t="s">
        <v>721</v>
      </c>
      <c r="D338" s="1" t="s">
        <v>711</v>
      </c>
      <c r="E338" s="1" t="s">
        <v>711</v>
      </c>
      <c r="F338" s="1" t="s">
        <v>1493</v>
      </c>
      <c r="G338" s="2">
        <f>VLOOKUP(B338,[2]Sheet1!B$2:I$773,8,FALSE)</f>
        <v>150000</v>
      </c>
      <c r="H338" s="2">
        <v>0</v>
      </c>
      <c r="I338" s="27"/>
    </row>
    <row r="339" spans="1:9" x14ac:dyDescent="0.35">
      <c r="A339" s="1" t="s">
        <v>722</v>
      </c>
      <c r="B339" s="1" t="s">
        <v>723</v>
      </c>
      <c r="D339" s="1" t="s">
        <v>711</v>
      </c>
      <c r="E339" s="1" t="s">
        <v>711</v>
      </c>
      <c r="F339" s="1" t="s">
        <v>1496</v>
      </c>
      <c r="G339" s="2">
        <f>VLOOKUP(B339,[2]Sheet1!B$2:I$773,8,FALSE)</f>
        <v>0</v>
      </c>
      <c r="H339" s="2">
        <v>0</v>
      </c>
    </row>
    <row r="340" spans="1:9" x14ac:dyDescent="0.35">
      <c r="A340" s="1" t="s">
        <v>724</v>
      </c>
      <c r="B340" s="1" t="s">
        <v>725</v>
      </c>
      <c r="D340" s="1" t="s">
        <v>711</v>
      </c>
      <c r="E340" s="1" t="s">
        <v>711</v>
      </c>
      <c r="F340" s="1" t="s">
        <v>1497</v>
      </c>
      <c r="G340" s="2">
        <f>VLOOKUP(B340,[2]Sheet1!B$2:I$773,8,FALSE)</f>
        <v>250000</v>
      </c>
      <c r="H340" s="2">
        <f>VLOOKUP(B340,'[3]DAFTAR ALL'!B$8:D$68,3,FALSE)</f>
        <v>3562500</v>
      </c>
      <c r="I340" s="27"/>
    </row>
    <row r="341" spans="1:9" x14ac:dyDescent="0.35">
      <c r="A341" s="1" t="s">
        <v>726</v>
      </c>
      <c r="B341" s="1" t="s">
        <v>727</v>
      </c>
      <c r="D341" s="1" t="s">
        <v>711</v>
      </c>
      <c r="E341" s="1" t="s">
        <v>711</v>
      </c>
      <c r="F341" s="1" t="s">
        <v>1498</v>
      </c>
      <c r="G341" s="2">
        <f>VLOOKUP(B341,[2]Sheet1!B$2:I$773,8,FALSE)</f>
        <v>100000</v>
      </c>
      <c r="H341" s="2">
        <v>0</v>
      </c>
      <c r="I341" s="27"/>
    </row>
    <row r="342" spans="1:9" x14ac:dyDescent="0.35">
      <c r="A342" s="1" t="s">
        <v>728</v>
      </c>
      <c r="B342" s="1" t="s">
        <v>729</v>
      </c>
      <c r="D342" s="1" t="s">
        <v>711</v>
      </c>
      <c r="E342" s="1" t="s">
        <v>711</v>
      </c>
      <c r="F342" s="1" t="s">
        <v>1499</v>
      </c>
      <c r="G342" s="2">
        <f>VLOOKUP(B342,[2]Sheet1!B$2:I$773,8,FALSE)</f>
        <v>0</v>
      </c>
      <c r="H342" s="2">
        <v>0</v>
      </c>
    </row>
    <row r="343" spans="1:9" x14ac:dyDescent="0.35">
      <c r="A343" s="1" t="s">
        <v>730</v>
      </c>
      <c r="B343" s="1" t="s">
        <v>731</v>
      </c>
      <c r="D343" s="1" t="s">
        <v>711</v>
      </c>
      <c r="E343" s="1" t="s">
        <v>711</v>
      </c>
      <c r="F343" s="1" t="s">
        <v>1500</v>
      </c>
      <c r="G343" s="2">
        <f>VLOOKUP(B343,[2]Sheet1!B$2:I$773,8,FALSE)</f>
        <v>250000</v>
      </c>
      <c r="H343" s="2">
        <v>0</v>
      </c>
      <c r="I343" s="27"/>
    </row>
    <row r="344" spans="1:9" x14ac:dyDescent="0.35">
      <c r="A344" s="1" t="s">
        <v>732</v>
      </c>
      <c r="B344" s="1" t="s">
        <v>733</v>
      </c>
      <c r="D344" s="1" t="s">
        <v>711</v>
      </c>
      <c r="E344" s="1" t="s">
        <v>711</v>
      </c>
      <c r="F344" s="1" t="s">
        <v>1501</v>
      </c>
      <c r="G344" s="2">
        <f>VLOOKUP(B344,[2]Sheet1!B$2:I$773,8,FALSE)</f>
        <v>150000</v>
      </c>
      <c r="H344" s="2">
        <f>VLOOKUP(B344,'[3]DAFTAR ALL'!B$8:D$68,3,FALSE)</f>
        <v>1500000</v>
      </c>
      <c r="I344" s="27"/>
    </row>
    <row r="345" spans="1:9" x14ac:dyDescent="0.35">
      <c r="A345" s="1" t="s">
        <v>734</v>
      </c>
      <c r="B345" s="1" t="s">
        <v>735</v>
      </c>
      <c r="D345" s="1" t="s">
        <v>711</v>
      </c>
      <c r="E345" s="1" t="s">
        <v>711</v>
      </c>
      <c r="F345" s="1" t="s">
        <v>1502</v>
      </c>
      <c r="G345" s="2">
        <f>VLOOKUP(B345,[2]Sheet1!B$2:I$773,8,FALSE)</f>
        <v>0</v>
      </c>
      <c r="H345" s="2">
        <v>0</v>
      </c>
    </row>
    <row r="346" spans="1:9" x14ac:dyDescent="0.35">
      <c r="A346" s="1" t="s">
        <v>736</v>
      </c>
      <c r="B346" s="1" t="s">
        <v>737</v>
      </c>
      <c r="D346" s="1" t="s">
        <v>711</v>
      </c>
      <c r="E346" s="1" t="s">
        <v>711</v>
      </c>
      <c r="F346" s="1" t="s">
        <v>1503</v>
      </c>
      <c r="G346" s="2">
        <f>VLOOKUP(B346,[2]Sheet1!B$2:I$773,8,FALSE)</f>
        <v>250000</v>
      </c>
      <c r="H346" s="2">
        <v>0</v>
      </c>
      <c r="I346" s="27"/>
    </row>
    <row r="347" spans="1:9" x14ac:dyDescent="0.35">
      <c r="A347" s="1" t="s">
        <v>738</v>
      </c>
      <c r="B347" s="1" t="s">
        <v>739</v>
      </c>
      <c r="D347" s="1" t="s">
        <v>711</v>
      </c>
      <c r="E347" s="1" t="s">
        <v>711</v>
      </c>
      <c r="F347" s="1" t="s">
        <v>1504</v>
      </c>
      <c r="G347" s="2">
        <f>VLOOKUP(B347,[2]Sheet1!B$2:I$773,8,FALSE)</f>
        <v>150000</v>
      </c>
      <c r="H347" s="2">
        <v>0</v>
      </c>
      <c r="I347" s="27"/>
    </row>
    <row r="348" spans="1:9" x14ac:dyDescent="0.35">
      <c r="A348" s="1" t="s">
        <v>740</v>
      </c>
      <c r="B348" s="1" t="s">
        <v>741</v>
      </c>
      <c r="D348" s="1" t="s">
        <v>711</v>
      </c>
      <c r="E348" s="1" t="s">
        <v>711</v>
      </c>
      <c r="F348" s="1" t="s">
        <v>1505</v>
      </c>
      <c r="G348" s="2">
        <f>VLOOKUP(B348,[2]Sheet1!B$2:I$773,8,FALSE)</f>
        <v>350000</v>
      </c>
      <c r="H348" s="2">
        <v>0</v>
      </c>
      <c r="I348" s="27"/>
    </row>
    <row r="349" spans="1:9" x14ac:dyDescent="0.35">
      <c r="A349" s="1" t="s">
        <v>742</v>
      </c>
      <c r="B349" s="1" t="s">
        <v>743</v>
      </c>
      <c r="D349" s="1" t="s">
        <v>711</v>
      </c>
      <c r="E349" s="1" t="s">
        <v>711</v>
      </c>
      <c r="F349" s="1" t="s">
        <v>1444</v>
      </c>
      <c r="G349" s="2">
        <f>VLOOKUP(B349,[2]Sheet1!B$2:I$773,8,FALSE)</f>
        <v>350000</v>
      </c>
      <c r="H349" s="2">
        <f>VLOOKUP(B349,'[3]DAFTAR ALL'!B$8:D$68,3,FALSE)</f>
        <v>17623786</v>
      </c>
      <c r="I349" s="27"/>
    </row>
    <row r="350" spans="1:9" x14ac:dyDescent="0.35">
      <c r="A350" s="1" t="s">
        <v>744</v>
      </c>
      <c r="B350" s="1" t="s">
        <v>745</v>
      </c>
      <c r="D350" s="1" t="s">
        <v>711</v>
      </c>
      <c r="E350" s="1" t="s">
        <v>711</v>
      </c>
      <c r="F350" s="1" t="s">
        <v>1506</v>
      </c>
      <c r="G350" s="2">
        <f>VLOOKUP(B350,[2]Sheet1!B$2:I$773,8,FALSE)</f>
        <v>100000</v>
      </c>
      <c r="H350" s="2">
        <v>0</v>
      </c>
      <c r="I350" s="27"/>
    </row>
    <row r="351" spans="1:9" x14ac:dyDescent="0.35">
      <c r="A351" s="1" t="s">
        <v>746</v>
      </c>
      <c r="B351" s="1" t="s">
        <v>747</v>
      </c>
      <c r="D351" s="1" t="s">
        <v>711</v>
      </c>
      <c r="E351" s="1" t="s">
        <v>711</v>
      </c>
      <c r="F351" s="1" t="s">
        <v>1507</v>
      </c>
      <c r="G351" s="2">
        <f>VLOOKUP(B351,[2]Sheet1!B$2:I$773,8,FALSE)</f>
        <v>0</v>
      </c>
      <c r="H351" s="2">
        <v>0</v>
      </c>
    </row>
    <row r="352" spans="1:9" x14ac:dyDescent="0.35">
      <c r="A352" s="1" t="s">
        <v>748</v>
      </c>
      <c r="B352" s="1" t="s">
        <v>749</v>
      </c>
      <c r="D352" s="1" t="s">
        <v>711</v>
      </c>
      <c r="E352" s="1" t="s">
        <v>711</v>
      </c>
      <c r="F352" s="1" t="s">
        <v>1381</v>
      </c>
      <c r="G352" s="2">
        <f>VLOOKUP(B352,[2]Sheet1!B$2:I$773,8,FALSE)</f>
        <v>150000</v>
      </c>
      <c r="H352" s="2">
        <f>VLOOKUP(B352,'[3]DAFTAR ALL'!B$8:D$68,3,FALSE)</f>
        <v>6629441</v>
      </c>
      <c r="I352" s="27"/>
    </row>
    <row r="353" spans="1:9" x14ac:dyDescent="0.35">
      <c r="A353" s="1" t="s">
        <v>750</v>
      </c>
      <c r="B353" s="96" t="s">
        <v>751</v>
      </c>
      <c r="D353" s="1" t="s">
        <v>678</v>
      </c>
      <c r="E353" s="1" t="s">
        <v>678</v>
      </c>
      <c r="F353" s="1" t="s">
        <v>2265</v>
      </c>
      <c r="G353" s="2">
        <f>VLOOKUP(B353,[2]Sheet1!B$2:I$773,8,FALSE)</f>
        <v>350000</v>
      </c>
      <c r="H353" s="2">
        <f>VLOOKUP(B353,'[3]DAFTAR ALL'!B$8:D$68,3,FALSE)</f>
        <v>5832511</v>
      </c>
      <c r="I353" s="27"/>
    </row>
    <row r="354" spans="1:9" x14ac:dyDescent="0.35">
      <c r="A354" s="1" t="s">
        <v>752</v>
      </c>
      <c r="B354" s="96" t="s">
        <v>753</v>
      </c>
      <c r="D354" s="1" t="s">
        <v>1230</v>
      </c>
      <c r="E354" s="1" t="s">
        <v>1230</v>
      </c>
      <c r="F354" s="1" t="s">
        <v>2267</v>
      </c>
      <c r="G354" s="2">
        <f>VLOOKUP(B354,[5]DAFTAR!B$8:C$42,2,FALSE)</f>
        <v>250000</v>
      </c>
      <c r="H354" s="2">
        <f>VLOOKUP(B354,[5]DAFTAR!B$8:E$42,4,FALSE)</f>
        <v>9373356</v>
      </c>
      <c r="I354" s="27"/>
    </row>
    <row r="355" spans="1:9" x14ac:dyDescent="0.35">
      <c r="A355" s="1" t="s">
        <v>754</v>
      </c>
      <c r="B355" s="1" t="s">
        <v>755</v>
      </c>
      <c r="D355" s="1" t="s">
        <v>711</v>
      </c>
      <c r="E355" s="1" t="s">
        <v>711</v>
      </c>
      <c r="F355" s="1" t="s">
        <v>1497</v>
      </c>
      <c r="G355" s="2">
        <f>VLOOKUP(B355,[2]Sheet1!B$2:I$773,8,FALSE)</f>
        <v>0</v>
      </c>
      <c r="H355" s="2">
        <v>0</v>
      </c>
    </row>
    <row r="356" spans="1:9" x14ac:dyDescent="0.35">
      <c r="A356" s="1" t="s">
        <v>756</v>
      </c>
      <c r="B356" s="1" t="s">
        <v>757</v>
      </c>
      <c r="D356" s="1" t="s">
        <v>711</v>
      </c>
      <c r="E356" s="1" t="s">
        <v>711</v>
      </c>
      <c r="F356" s="1" t="s">
        <v>1444</v>
      </c>
      <c r="G356" s="2">
        <f>VLOOKUP(B356,[2]Sheet1!B$2:I$773,8,FALSE)</f>
        <v>350000</v>
      </c>
      <c r="H356" s="2">
        <v>0</v>
      </c>
      <c r="I356" s="27"/>
    </row>
    <row r="357" spans="1:9" x14ac:dyDescent="0.35">
      <c r="A357" s="1" t="s">
        <v>758</v>
      </c>
      <c r="B357" s="1" t="s">
        <v>759</v>
      </c>
      <c r="D357" s="1" t="s">
        <v>711</v>
      </c>
      <c r="E357" s="1" t="s">
        <v>711</v>
      </c>
      <c r="F357" s="1" t="s">
        <v>1508</v>
      </c>
      <c r="G357" s="2">
        <f>VLOOKUP(B357,[2]Sheet1!B$2:I$773,8,FALSE)</f>
        <v>500000</v>
      </c>
      <c r="H357" s="2">
        <v>0</v>
      </c>
      <c r="I357" s="27"/>
    </row>
    <row r="358" spans="1:9" x14ac:dyDescent="0.35">
      <c r="A358" s="1" t="s">
        <v>760</v>
      </c>
      <c r="B358" s="1" t="s">
        <v>761</v>
      </c>
      <c r="D358" s="1" t="s">
        <v>711</v>
      </c>
      <c r="E358" s="1" t="s">
        <v>711</v>
      </c>
      <c r="F358" s="1" t="s">
        <v>1509</v>
      </c>
      <c r="G358" s="2">
        <f>VLOOKUP(B358,[2]Sheet1!B$2:I$773,8,FALSE)</f>
        <v>250000</v>
      </c>
      <c r="H358" s="2">
        <v>0</v>
      </c>
      <c r="I358" s="27"/>
    </row>
    <row r="359" spans="1:9" x14ac:dyDescent="0.35">
      <c r="A359" s="1" t="s">
        <v>762</v>
      </c>
      <c r="B359" s="1" t="s">
        <v>763</v>
      </c>
      <c r="D359" s="1" t="s">
        <v>711</v>
      </c>
      <c r="E359" s="1" t="s">
        <v>711</v>
      </c>
      <c r="F359" s="1" t="s">
        <v>1510</v>
      </c>
      <c r="G359" s="2">
        <f>VLOOKUP(B359,[2]Sheet1!B$2:I$773,8,FALSE)</f>
        <v>100000</v>
      </c>
      <c r="H359" s="2">
        <v>0</v>
      </c>
      <c r="I359" s="27"/>
    </row>
    <row r="360" spans="1:9" x14ac:dyDescent="0.35">
      <c r="A360" s="1" t="s">
        <v>764</v>
      </c>
      <c r="B360" s="1" t="s">
        <v>765</v>
      </c>
      <c r="D360" s="1" t="s">
        <v>711</v>
      </c>
      <c r="E360" s="1" t="s">
        <v>711</v>
      </c>
      <c r="F360" s="1" t="s">
        <v>1511</v>
      </c>
      <c r="G360" s="2">
        <f>VLOOKUP(B360,[2]Sheet1!B$2:I$773,8,FALSE)</f>
        <v>0</v>
      </c>
      <c r="H360" s="2">
        <v>0</v>
      </c>
    </row>
    <row r="361" spans="1:9" x14ac:dyDescent="0.35">
      <c r="A361" s="1" t="s">
        <v>766</v>
      </c>
      <c r="B361" s="1" t="s">
        <v>767</v>
      </c>
      <c r="D361" s="1" t="s">
        <v>711</v>
      </c>
      <c r="E361" s="1" t="s">
        <v>711</v>
      </c>
      <c r="F361" s="1" t="s">
        <v>1512</v>
      </c>
      <c r="G361" s="2">
        <f>VLOOKUP(B361,[2]Sheet1!B$2:I$773,8,FALSE)</f>
        <v>100000</v>
      </c>
      <c r="H361" s="2">
        <v>0</v>
      </c>
      <c r="I361" s="27"/>
    </row>
    <row r="362" spans="1:9" x14ac:dyDescent="0.35">
      <c r="A362" s="1" t="s">
        <v>768</v>
      </c>
      <c r="B362" s="1" t="s">
        <v>769</v>
      </c>
      <c r="C362" s="1" t="s">
        <v>2027</v>
      </c>
      <c r="D362" s="1" t="s">
        <v>770</v>
      </c>
      <c r="E362" s="1" t="s">
        <v>770</v>
      </c>
      <c r="F362" s="1" t="s">
        <v>1513</v>
      </c>
      <c r="G362" s="2">
        <f>VLOOKUP(B362,[2]Sheet1!B$2:I$773,8,FALSE)</f>
        <v>150000</v>
      </c>
      <c r="H362" s="2">
        <v>0</v>
      </c>
      <c r="I362" s="27"/>
    </row>
    <row r="363" spans="1:9" x14ac:dyDescent="0.35">
      <c r="A363" s="1" t="s">
        <v>771</v>
      </c>
      <c r="B363" s="1" t="s">
        <v>772</v>
      </c>
      <c r="C363" s="1" t="s">
        <v>2027</v>
      </c>
      <c r="D363" s="1" t="s">
        <v>770</v>
      </c>
      <c r="E363" s="1" t="s">
        <v>770</v>
      </c>
      <c r="F363" s="1" t="s">
        <v>1514</v>
      </c>
      <c r="G363" s="2">
        <f>VLOOKUP(B363,[2]Sheet1!B$2:I$773,8,FALSE)</f>
        <v>150000</v>
      </c>
      <c r="H363" s="2">
        <v>0</v>
      </c>
      <c r="I363" s="27"/>
    </row>
    <row r="364" spans="1:9" x14ac:dyDescent="0.35">
      <c r="A364" s="1" t="s">
        <v>773</v>
      </c>
      <c r="B364" s="1" t="s">
        <v>774</v>
      </c>
      <c r="D364" s="1" t="s">
        <v>770</v>
      </c>
      <c r="E364" s="1" t="s">
        <v>770</v>
      </c>
      <c r="F364" s="1" t="s">
        <v>1515</v>
      </c>
      <c r="G364" s="2">
        <f>VLOOKUP(B364,[2]Sheet1!B$2:I$773,8,FALSE)</f>
        <v>0</v>
      </c>
      <c r="H364" s="2">
        <v>0</v>
      </c>
    </row>
    <row r="365" spans="1:9" x14ac:dyDescent="0.35">
      <c r="A365" s="1" t="s">
        <v>775</v>
      </c>
      <c r="B365" s="1" t="s">
        <v>776</v>
      </c>
      <c r="D365" s="1" t="s">
        <v>770</v>
      </c>
      <c r="E365" s="1" t="s">
        <v>770</v>
      </c>
      <c r="F365" s="1" t="s">
        <v>1516</v>
      </c>
      <c r="G365" s="2">
        <f>VLOOKUP(B365,[2]Sheet1!B$2:I$773,8,FALSE)</f>
        <v>0</v>
      </c>
      <c r="H365" s="2">
        <v>0</v>
      </c>
    </row>
    <row r="366" spans="1:9" x14ac:dyDescent="0.35">
      <c r="A366" s="1" t="s">
        <v>777</v>
      </c>
      <c r="B366" s="1" t="s">
        <v>231</v>
      </c>
      <c r="C366" s="1" t="s">
        <v>2027</v>
      </c>
      <c r="D366" s="1" t="s">
        <v>778</v>
      </c>
      <c r="E366" s="1" t="s">
        <v>778</v>
      </c>
      <c r="F366" s="1" t="s">
        <v>1517</v>
      </c>
      <c r="G366" s="2">
        <v>500000</v>
      </c>
      <c r="H366" s="2">
        <v>0</v>
      </c>
      <c r="I366" s="27"/>
    </row>
    <row r="367" spans="1:9" x14ac:dyDescent="0.35">
      <c r="A367" s="1" t="s">
        <v>779</v>
      </c>
      <c r="B367" s="1" t="s">
        <v>780</v>
      </c>
      <c r="C367" s="1" t="s">
        <v>2027</v>
      </c>
      <c r="D367" s="1" t="s">
        <v>778</v>
      </c>
      <c r="E367" s="1" t="s">
        <v>778</v>
      </c>
      <c r="F367" s="1" t="s">
        <v>1518</v>
      </c>
      <c r="G367" s="2">
        <f>VLOOKUP(B367,[2]Sheet1!B$2:I$773,8,FALSE)</f>
        <v>350000</v>
      </c>
      <c r="H367" s="2">
        <v>0</v>
      </c>
      <c r="I367" s="27"/>
    </row>
    <row r="368" spans="1:9" x14ac:dyDescent="0.35">
      <c r="A368" s="1" t="s">
        <v>781</v>
      </c>
      <c r="B368" s="1" t="s">
        <v>782</v>
      </c>
      <c r="C368" s="1" t="s">
        <v>2027</v>
      </c>
      <c r="D368" s="1" t="s">
        <v>778</v>
      </c>
      <c r="E368" s="1" t="s">
        <v>778</v>
      </c>
      <c r="F368" s="1" t="s">
        <v>1519</v>
      </c>
      <c r="G368" s="2">
        <f>VLOOKUP(B368,[2]Sheet1!B$2:I$773,8,FALSE)</f>
        <v>100000</v>
      </c>
      <c r="H368" s="2">
        <v>0</v>
      </c>
      <c r="I368" s="27"/>
    </row>
    <row r="369" spans="1:9" x14ac:dyDescent="0.35">
      <c r="A369" s="1" t="s">
        <v>783</v>
      </c>
      <c r="B369" s="96" t="s">
        <v>784</v>
      </c>
      <c r="D369" s="1" t="s">
        <v>828</v>
      </c>
      <c r="E369" s="1" t="s">
        <v>828</v>
      </c>
      <c r="F369" s="1" t="s">
        <v>1541</v>
      </c>
      <c r="G369" s="2">
        <f>VLOOKUP(B369,[2]Sheet1!B$2:I$773,8,FALSE)</f>
        <v>250000</v>
      </c>
      <c r="H369" s="2">
        <f>VLOOKUP(B369,'[3]DAFTAR ALL'!B$8:D$68,3,FALSE)</f>
        <v>1000000</v>
      </c>
      <c r="I369" s="27"/>
    </row>
    <row r="370" spans="1:9" x14ac:dyDescent="0.35">
      <c r="A370" s="1" t="s">
        <v>786</v>
      </c>
      <c r="B370" s="1" t="s">
        <v>787</v>
      </c>
      <c r="D370" s="1" t="s">
        <v>785</v>
      </c>
      <c r="E370" s="1" t="s">
        <v>785</v>
      </c>
      <c r="F370" s="1" t="s">
        <v>1520</v>
      </c>
      <c r="G370" s="2">
        <f>VLOOKUP(B370,[2]Sheet1!B$2:I$773,8,FALSE)</f>
        <v>250000</v>
      </c>
      <c r="H370" s="2">
        <f>VLOOKUP(B370,'[3]DAFTAR ALL'!B$8:D$68,3,FALSE)</f>
        <v>2871528</v>
      </c>
      <c r="I370" s="27"/>
    </row>
    <row r="371" spans="1:9" x14ac:dyDescent="0.35">
      <c r="A371" s="1" t="s">
        <v>788</v>
      </c>
      <c r="B371" s="1" t="s">
        <v>789</v>
      </c>
      <c r="D371" s="1" t="s">
        <v>785</v>
      </c>
      <c r="E371" s="1" t="s">
        <v>785</v>
      </c>
      <c r="F371" s="1" t="s">
        <v>1521</v>
      </c>
      <c r="G371" s="2">
        <f>VLOOKUP(B371,[2]Sheet1!B$2:I$773,8,FALSE)</f>
        <v>0</v>
      </c>
      <c r="H371" s="2">
        <v>0</v>
      </c>
    </row>
    <row r="372" spans="1:9" x14ac:dyDescent="0.35">
      <c r="A372" s="1" t="s">
        <v>790</v>
      </c>
      <c r="B372" s="1" t="s">
        <v>791</v>
      </c>
      <c r="D372" s="1" t="s">
        <v>792</v>
      </c>
      <c r="E372" s="1" t="s">
        <v>792</v>
      </c>
      <c r="F372" s="1" t="s">
        <v>1522</v>
      </c>
      <c r="G372" s="2">
        <f>VLOOKUP(B372,[2]Sheet1!B$2:I$773,8,FALSE)</f>
        <v>500000</v>
      </c>
      <c r="H372" s="2">
        <v>0</v>
      </c>
      <c r="I372" s="27"/>
    </row>
    <row r="373" spans="1:9" x14ac:dyDescent="0.35">
      <c r="A373" s="1" t="s">
        <v>793</v>
      </c>
      <c r="B373" s="1" t="s">
        <v>794</v>
      </c>
      <c r="D373" s="1" t="s">
        <v>792</v>
      </c>
      <c r="E373" s="1" t="s">
        <v>792</v>
      </c>
      <c r="F373" s="1" t="s">
        <v>1523</v>
      </c>
      <c r="G373" s="2">
        <f>VLOOKUP(B373,[2]Sheet1!B$2:I$773,8,FALSE)</f>
        <v>150000</v>
      </c>
      <c r="H373" s="2">
        <v>0</v>
      </c>
      <c r="I373" s="27"/>
    </row>
    <row r="374" spans="1:9" x14ac:dyDescent="0.35">
      <c r="A374" s="1" t="s">
        <v>795</v>
      </c>
      <c r="B374" s="1" t="s">
        <v>796</v>
      </c>
      <c r="D374" s="1" t="s">
        <v>792</v>
      </c>
      <c r="E374" s="1" t="s">
        <v>792</v>
      </c>
      <c r="F374" s="1" t="s">
        <v>1524</v>
      </c>
      <c r="G374" s="2">
        <f>VLOOKUP(B374,[2]Sheet1!B$2:I$773,8,FALSE)</f>
        <v>350000</v>
      </c>
      <c r="H374" s="2">
        <v>0</v>
      </c>
      <c r="I374" s="27"/>
    </row>
    <row r="375" spans="1:9" x14ac:dyDescent="0.35">
      <c r="A375" s="1" t="s">
        <v>797</v>
      </c>
      <c r="B375" s="1" t="s">
        <v>798</v>
      </c>
      <c r="D375" s="1" t="s">
        <v>792</v>
      </c>
      <c r="E375" s="1" t="s">
        <v>792</v>
      </c>
      <c r="F375" s="1" t="s">
        <v>1525</v>
      </c>
      <c r="G375" s="2">
        <f>VLOOKUP(B375,[2]Sheet1!B$2:I$773,8,FALSE)</f>
        <v>0</v>
      </c>
      <c r="H375" s="2">
        <v>0</v>
      </c>
    </row>
    <row r="376" spans="1:9" x14ac:dyDescent="0.35">
      <c r="A376" s="1" t="s">
        <v>799</v>
      </c>
      <c r="B376" s="1" t="s">
        <v>800</v>
      </c>
      <c r="D376" s="1" t="s">
        <v>792</v>
      </c>
      <c r="E376" s="1" t="s">
        <v>792</v>
      </c>
      <c r="F376" s="1" t="s">
        <v>1526</v>
      </c>
      <c r="G376" s="2">
        <f>VLOOKUP(B376,[2]Sheet1!B$2:I$773,8,FALSE)</f>
        <v>150000</v>
      </c>
      <c r="H376" s="2">
        <v>0</v>
      </c>
      <c r="I376" s="27"/>
    </row>
    <row r="377" spans="1:9" x14ac:dyDescent="0.35">
      <c r="A377" s="1" t="s">
        <v>801</v>
      </c>
      <c r="B377" s="1" t="s">
        <v>802</v>
      </c>
      <c r="D377" s="1" t="s">
        <v>792</v>
      </c>
      <c r="E377" s="1" t="s">
        <v>792</v>
      </c>
      <c r="F377" s="1" t="s">
        <v>1527</v>
      </c>
      <c r="G377" s="2">
        <f>VLOOKUP(B377,[2]Sheet1!B$2:I$773,8,FALSE)</f>
        <v>150000</v>
      </c>
      <c r="H377" s="2">
        <f>VLOOKUP(B377,'[3]DAFTAR ALL'!B$8:D$68,3,FALSE)</f>
        <v>3510416</v>
      </c>
      <c r="I377" s="27"/>
    </row>
    <row r="378" spans="1:9" x14ac:dyDescent="0.35">
      <c r="A378" s="1" t="s">
        <v>803</v>
      </c>
      <c r="B378" s="1" t="s">
        <v>804</v>
      </c>
      <c r="D378" s="1" t="s">
        <v>792</v>
      </c>
      <c r="E378" s="1" t="s">
        <v>792</v>
      </c>
      <c r="F378" s="1" t="s">
        <v>1528</v>
      </c>
      <c r="G378" s="2">
        <f>VLOOKUP(B378,[2]Sheet1!B$2:I$773,8,FALSE)</f>
        <v>250000</v>
      </c>
      <c r="H378" s="2">
        <f>VLOOKUP(B378,'[3]DAFTAR ALL'!B$8:D$68,3,FALSE)</f>
        <v>18366992</v>
      </c>
      <c r="I378" s="27"/>
    </row>
    <row r="379" spans="1:9" x14ac:dyDescent="0.35">
      <c r="A379" s="1" t="s">
        <v>805</v>
      </c>
      <c r="B379" s="1" t="s">
        <v>806</v>
      </c>
      <c r="D379" s="1" t="s">
        <v>792</v>
      </c>
      <c r="E379" s="1" t="s">
        <v>792</v>
      </c>
      <c r="F379" s="1" t="s">
        <v>1529</v>
      </c>
      <c r="G379" s="2">
        <f>VLOOKUP(B379,[2]Sheet1!B$2:I$773,8,FALSE)</f>
        <v>100000</v>
      </c>
      <c r="H379" s="2">
        <v>0</v>
      </c>
      <c r="I379" s="27"/>
    </row>
    <row r="380" spans="1:9" x14ac:dyDescent="0.35">
      <c r="A380" s="1" t="s">
        <v>807</v>
      </c>
      <c r="B380" s="1" t="s">
        <v>808</v>
      </c>
      <c r="D380" s="1" t="s">
        <v>792</v>
      </c>
      <c r="E380" s="1" t="s">
        <v>792</v>
      </c>
      <c r="F380" s="1" t="s">
        <v>1529</v>
      </c>
      <c r="G380" s="2">
        <f>VLOOKUP(B380,[2]Sheet1!B$2:I$773,8,FALSE)</f>
        <v>100000</v>
      </c>
      <c r="H380" s="2">
        <v>0</v>
      </c>
      <c r="I380" s="27"/>
    </row>
    <row r="381" spans="1:9" x14ac:dyDescent="0.35">
      <c r="A381" s="1" t="s">
        <v>809</v>
      </c>
      <c r="B381" s="1" t="s">
        <v>810</v>
      </c>
      <c r="D381" s="1" t="s">
        <v>792</v>
      </c>
      <c r="E381" s="1" t="s">
        <v>792</v>
      </c>
      <c r="F381" s="1" t="s">
        <v>1530</v>
      </c>
      <c r="G381" s="2">
        <f>VLOOKUP(B381,[2]Sheet1!B$2:I$773,8,FALSE)</f>
        <v>100000</v>
      </c>
      <c r="H381" s="2">
        <v>0</v>
      </c>
      <c r="I381" s="27"/>
    </row>
    <row r="382" spans="1:9" x14ac:dyDescent="0.35">
      <c r="A382" s="1" t="s">
        <v>811</v>
      </c>
      <c r="B382" s="1" t="s">
        <v>812</v>
      </c>
      <c r="C382" s="1" t="s">
        <v>2027</v>
      </c>
      <c r="D382" s="1" t="s">
        <v>813</v>
      </c>
      <c r="E382" s="1" t="s">
        <v>813</v>
      </c>
      <c r="F382" s="1" t="s">
        <v>1531</v>
      </c>
      <c r="G382" s="2">
        <f>VLOOKUP(B382,[2]Sheet1!B$2:I$773,8,FALSE)</f>
        <v>150000</v>
      </c>
      <c r="H382" s="2">
        <v>0</v>
      </c>
      <c r="I382" s="27"/>
    </row>
    <row r="383" spans="1:9" x14ac:dyDescent="0.35">
      <c r="A383" s="1" t="s">
        <v>814</v>
      </c>
      <c r="B383" s="1" t="s">
        <v>815</v>
      </c>
      <c r="C383" s="1" t="s">
        <v>2027</v>
      </c>
      <c r="D383" s="1" t="s">
        <v>813</v>
      </c>
      <c r="E383" s="1" t="s">
        <v>813</v>
      </c>
      <c r="F383" s="1" t="s">
        <v>1532</v>
      </c>
      <c r="G383" s="2">
        <f>VLOOKUP(B383,[2]Sheet1!B$2:I$773,8,FALSE)</f>
        <v>350000</v>
      </c>
      <c r="H383" s="2">
        <v>0</v>
      </c>
      <c r="I383" s="27"/>
    </row>
    <row r="384" spans="1:9" x14ac:dyDescent="0.35">
      <c r="A384" s="1" t="s">
        <v>816</v>
      </c>
      <c r="B384" s="1" t="s">
        <v>817</v>
      </c>
      <c r="C384" s="1" t="s">
        <v>2027</v>
      </c>
      <c r="D384" s="1" t="s">
        <v>818</v>
      </c>
      <c r="E384" s="1" t="s">
        <v>818</v>
      </c>
      <c r="F384" s="1" t="s">
        <v>1533</v>
      </c>
      <c r="G384" s="2">
        <f>VLOOKUP(B384,[2]Sheet1!B$2:I$773,8,FALSE)</f>
        <v>150000</v>
      </c>
      <c r="H384" s="2">
        <v>0</v>
      </c>
      <c r="I384" s="27"/>
    </row>
    <row r="385" spans="1:9" x14ac:dyDescent="0.35">
      <c r="A385" s="1" t="s">
        <v>819</v>
      </c>
      <c r="B385" s="1" t="s">
        <v>820</v>
      </c>
      <c r="D385" s="1" t="s">
        <v>821</v>
      </c>
      <c r="E385" s="1" t="s">
        <v>821</v>
      </c>
      <c r="F385" s="1" t="s">
        <v>1534</v>
      </c>
      <c r="G385" s="2">
        <f>VLOOKUP(B385,[2]Sheet1!B$2:I$773,8,FALSE)</f>
        <v>350000</v>
      </c>
      <c r="H385" s="2">
        <v>0</v>
      </c>
      <c r="I385" s="27"/>
    </row>
    <row r="386" spans="1:9" x14ac:dyDescent="0.35">
      <c r="A386" s="1" t="s">
        <v>822</v>
      </c>
      <c r="B386" s="1" t="s">
        <v>823</v>
      </c>
      <c r="D386" s="1" t="s">
        <v>821</v>
      </c>
      <c r="E386" s="1" t="s">
        <v>821</v>
      </c>
      <c r="F386" s="1" t="s">
        <v>1535</v>
      </c>
      <c r="G386" s="2">
        <f>VLOOKUP(B386,[2]Sheet1!B$2:I$773,8,FALSE)</f>
        <v>0</v>
      </c>
      <c r="H386" s="2">
        <v>0</v>
      </c>
    </row>
    <row r="387" spans="1:9" x14ac:dyDescent="0.35">
      <c r="A387" s="1" t="s">
        <v>824</v>
      </c>
      <c r="B387" s="1" t="s">
        <v>825</v>
      </c>
      <c r="D387" s="1" t="s">
        <v>821</v>
      </c>
      <c r="E387" s="1" t="s">
        <v>821</v>
      </c>
      <c r="F387" s="1" t="s">
        <v>1536</v>
      </c>
      <c r="G387" s="2">
        <f>VLOOKUP(B387,[2]Sheet1!B$2:I$773,8,FALSE)</f>
        <v>100000</v>
      </c>
      <c r="H387" s="2">
        <v>0</v>
      </c>
      <c r="I387" s="27"/>
    </row>
    <row r="388" spans="1:9" x14ac:dyDescent="0.35">
      <c r="A388" s="1" t="s">
        <v>826</v>
      </c>
      <c r="B388" s="1" t="s">
        <v>827</v>
      </c>
      <c r="D388" s="1" t="s">
        <v>828</v>
      </c>
      <c r="E388" s="1" t="s">
        <v>828</v>
      </c>
      <c r="F388" s="1" t="s">
        <v>1537</v>
      </c>
      <c r="G388" s="2">
        <f>VLOOKUP(B388,[2]Sheet1!B$2:I$773,8,FALSE)</f>
        <v>250000</v>
      </c>
      <c r="H388" s="2">
        <f>VLOOKUP(B388,'[3]DAFTAR ALL'!B$8:D$68,3,FALSE)</f>
        <v>2291667</v>
      </c>
      <c r="I388" s="27"/>
    </row>
    <row r="389" spans="1:9" x14ac:dyDescent="0.35">
      <c r="A389" s="1" t="s">
        <v>829</v>
      </c>
      <c r="B389" s="1" t="s">
        <v>830</v>
      </c>
      <c r="D389" s="1" t="s">
        <v>828</v>
      </c>
      <c r="E389" s="1" t="s">
        <v>828</v>
      </c>
      <c r="F389" s="1" t="s">
        <v>1538</v>
      </c>
      <c r="G389" s="2">
        <f>VLOOKUP(B389,[2]Sheet1!B$2:I$773,8,FALSE)</f>
        <v>0</v>
      </c>
      <c r="H389" s="2">
        <v>0</v>
      </c>
    </row>
    <row r="390" spans="1:9" x14ac:dyDescent="0.35">
      <c r="A390" s="1" t="s">
        <v>831</v>
      </c>
      <c r="B390" s="1" t="s">
        <v>832</v>
      </c>
      <c r="D390" s="1" t="s">
        <v>828</v>
      </c>
      <c r="E390" s="1" t="s">
        <v>828</v>
      </c>
      <c r="F390" s="1" t="s">
        <v>1390</v>
      </c>
      <c r="G390" s="2">
        <f>VLOOKUP(B390,[2]Sheet1!B$2:I$773,8,FALSE)</f>
        <v>150000</v>
      </c>
      <c r="H390" s="2">
        <f>VLOOKUP(B390,'[3]DAFTAR ALL'!B$8:D$68,3,FALSE)</f>
        <v>500000</v>
      </c>
      <c r="I390" s="27"/>
    </row>
    <row r="391" spans="1:9" x14ac:dyDescent="0.35">
      <c r="A391" s="1" t="s">
        <v>833</v>
      </c>
      <c r="B391" s="1" t="s">
        <v>834</v>
      </c>
      <c r="D391" s="1" t="s">
        <v>828</v>
      </c>
      <c r="E391" s="1" t="s">
        <v>828</v>
      </c>
      <c r="F391" s="1" t="s">
        <v>1539</v>
      </c>
      <c r="G391" s="2">
        <f>VLOOKUP(B391,[2]Sheet1!B$2:I$773,8,FALSE)</f>
        <v>250000</v>
      </c>
      <c r="H391" s="2">
        <v>0</v>
      </c>
      <c r="I391" s="27"/>
    </row>
    <row r="392" spans="1:9" x14ac:dyDescent="0.35">
      <c r="A392" s="1" t="s">
        <v>835</v>
      </c>
      <c r="B392" s="1" t="s">
        <v>836</v>
      </c>
      <c r="C392" s="1" t="s">
        <v>2027</v>
      </c>
      <c r="D392" s="1" t="s">
        <v>828</v>
      </c>
      <c r="E392" s="1" t="s">
        <v>828</v>
      </c>
      <c r="F392" s="1" t="s">
        <v>1540</v>
      </c>
      <c r="G392" s="2">
        <f>VLOOKUP(B392,[2]Sheet1!B$2:I$773,8,FALSE)</f>
        <v>250000</v>
      </c>
      <c r="H392" s="2">
        <f>VLOOKUP(B392,'[3]DAFTAR ALL'!B$8:D$68,3,FALSE)</f>
        <v>9019189</v>
      </c>
      <c r="I392" s="27"/>
    </row>
    <row r="393" spans="1:9" x14ac:dyDescent="0.35">
      <c r="A393" s="1" t="s">
        <v>837</v>
      </c>
      <c r="B393" s="1" t="s">
        <v>838</v>
      </c>
      <c r="C393" s="1" t="s">
        <v>2027</v>
      </c>
      <c r="D393" s="1" t="s">
        <v>828</v>
      </c>
      <c r="E393" s="1" t="s">
        <v>828</v>
      </c>
      <c r="F393" s="1" t="s">
        <v>1541</v>
      </c>
      <c r="G393" s="2">
        <f>VLOOKUP(B393,[2]Sheet1!B$2:I$773,8,FALSE)</f>
        <v>150000</v>
      </c>
      <c r="H393" s="2">
        <f>VLOOKUP(B393,'[3]DAFTAR ALL'!B$8:D$68,3,FALSE)</f>
        <v>13910000</v>
      </c>
      <c r="I393" s="27"/>
    </row>
    <row r="394" spans="1:9" x14ac:dyDescent="0.35">
      <c r="A394" s="1" t="s">
        <v>839</v>
      </c>
      <c r="B394" s="1" t="s">
        <v>840</v>
      </c>
      <c r="D394" s="1" t="s">
        <v>828</v>
      </c>
      <c r="E394" s="1" t="s">
        <v>828</v>
      </c>
      <c r="F394" s="1" t="s">
        <v>1542</v>
      </c>
      <c r="G394" s="2">
        <f>VLOOKUP(B394,[2]Sheet1!B$2:I$773,8,FALSE)</f>
        <v>150000</v>
      </c>
      <c r="H394" s="2">
        <v>0</v>
      </c>
      <c r="I394" s="27"/>
    </row>
    <row r="395" spans="1:9" x14ac:dyDescent="0.35">
      <c r="A395" s="1" t="s">
        <v>841</v>
      </c>
      <c r="B395" s="1" t="s">
        <v>842</v>
      </c>
      <c r="D395" s="1" t="s">
        <v>828</v>
      </c>
      <c r="E395" s="1" t="s">
        <v>828</v>
      </c>
      <c r="F395" s="1" t="s">
        <v>1390</v>
      </c>
      <c r="G395" s="2">
        <f>VLOOKUP(B395,[2]Sheet1!B$2:I$773,8,FALSE)</f>
        <v>150000</v>
      </c>
      <c r="H395" s="2">
        <f>VLOOKUP(B395,'[3]DAFTAR ALL'!B$8:D$68,3,FALSE)</f>
        <v>3450042</v>
      </c>
      <c r="I395" s="27"/>
    </row>
    <row r="396" spans="1:9" x14ac:dyDescent="0.35">
      <c r="A396" s="1" t="s">
        <v>843</v>
      </c>
      <c r="B396" s="1" t="s">
        <v>844</v>
      </c>
      <c r="D396" s="1" t="s">
        <v>828</v>
      </c>
      <c r="E396" s="1" t="s">
        <v>828</v>
      </c>
      <c r="F396" s="1" t="s">
        <v>1390</v>
      </c>
      <c r="G396" s="2">
        <f>VLOOKUP(B396,[2]Sheet1!B$2:I$773,8,FALSE)</f>
        <v>150000</v>
      </c>
      <c r="H396" s="2">
        <f>VLOOKUP(B396,'[3]DAFTAR ALL'!B$8:D$68,3,FALSE)</f>
        <v>4697816</v>
      </c>
      <c r="I396" s="27"/>
    </row>
    <row r="397" spans="1:9" x14ac:dyDescent="0.35">
      <c r="A397" s="1" t="s">
        <v>845</v>
      </c>
      <c r="B397" s="1" t="s">
        <v>846</v>
      </c>
      <c r="C397" s="1" t="s">
        <v>2027</v>
      </c>
      <c r="D397" s="1" t="s">
        <v>828</v>
      </c>
      <c r="E397" s="1" t="s">
        <v>828</v>
      </c>
      <c r="F397" s="1" t="s">
        <v>1543</v>
      </c>
      <c r="G397" s="2">
        <f>VLOOKUP(B397,[2]Sheet1!B$2:I$773,8,FALSE)</f>
        <v>150000</v>
      </c>
      <c r="H397" s="2">
        <v>0</v>
      </c>
      <c r="I397" s="27"/>
    </row>
    <row r="398" spans="1:9" x14ac:dyDescent="0.35">
      <c r="A398" s="1" t="s">
        <v>847</v>
      </c>
      <c r="B398" s="1" t="s">
        <v>848</v>
      </c>
      <c r="D398" s="1" t="s">
        <v>828</v>
      </c>
      <c r="E398" s="1" t="s">
        <v>828</v>
      </c>
      <c r="F398" s="1" t="s">
        <v>1544</v>
      </c>
      <c r="G398" s="2">
        <f>VLOOKUP(B398,[2]Sheet1!B$2:I$773,8,FALSE)</f>
        <v>250000</v>
      </c>
      <c r="H398" s="2">
        <f>VLOOKUP(B398,'[3]DAFTAR ALL'!B$8:D$68,3,FALSE)+[3]TAB.QUR!$D$6</f>
        <v>1590972</v>
      </c>
      <c r="I398" s="27"/>
    </row>
    <row r="399" spans="1:9" x14ac:dyDescent="0.35">
      <c r="A399" s="1" t="s">
        <v>849</v>
      </c>
      <c r="B399" s="1" t="s">
        <v>850</v>
      </c>
      <c r="D399" s="1" t="s">
        <v>828</v>
      </c>
      <c r="E399" s="1" t="s">
        <v>828</v>
      </c>
      <c r="F399" s="1" t="s">
        <v>1545</v>
      </c>
      <c r="G399" s="2">
        <f>VLOOKUP(B399,[2]Sheet1!B$2:I$773,8,FALSE)</f>
        <v>500000</v>
      </c>
      <c r="H399" s="2">
        <f>VLOOKUP(B399,'[3]DAFTAR ALL'!B$8:D$68,3,FALSE)</f>
        <v>3402778</v>
      </c>
      <c r="I399" s="27"/>
    </row>
    <row r="400" spans="1:9" x14ac:dyDescent="0.35">
      <c r="A400" s="1" t="s">
        <v>851</v>
      </c>
      <c r="B400" s="1" t="s">
        <v>852</v>
      </c>
      <c r="D400" s="1" t="s">
        <v>828</v>
      </c>
      <c r="E400" s="1" t="s">
        <v>828</v>
      </c>
      <c r="F400" s="1" t="s">
        <v>1381</v>
      </c>
      <c r="G400" s="2">
        <f>VLOOKUP(B400,[2]Sheet1!B$2:I$773,8,FALSE)</f>
        <v>100000</v>
      </c>
      <c r="H400" s="2">
        <v>0</v>
      </c>
      <c r="I400" s="27"/>
    </row>
    <row r="401" spans="1:9" x14ac:dyDescent="0.35">
      <c r="A401" s="1" t="s">
        <v>853</v>
      </c>
      <c r="B401" s="1" t="s">
        <v>854</v>
      </c>
      <c r="D401" s="1" t="s">
        <v>828</v>
      </c>
      <c r="E401" s="1" t="s">
        <v>828</v>
      </c>
      <c r="F401" s="1" t="s">
        <v>1546</v>
      </c>
      <c r="G401" s="2">
        <f>VLOOKUP(B401,[2]Sheet1!B$2:I$773,8,FALSE)</f>
        <v>100000</v>
      </c>
      <c r="H401" s="2">
        <v>0</v>
      </c>
      <c r="I401" s="27"/>
    </row>
    <row r="402" spans="1:9" x14ac:dyDescent="0.35">
      <c r="A402" s="1" t="s">
        <v>855</v>
      </c>
      <c r="B402" s="1" t="s">
        <v>856</v>
      </c>
      <c r="D402" s="1" t="s">
        <v>828</v>
      </c>
      <c r="E402" s="1" t="s">
        <v>828</v>
      </c>
      <c r="F402" s="1" t="s">
        <v>1546</v>
      </c>
      <c r="G402" s="2">
        <f>VLOOKUP(B402,[2]Sheet1!B$2:I$773,8,FALSE)</f>
        <v>0</v>
      </c>
      <c r="H402" s="2">
        <v>0</v>
      </c>
    </row>
    <row r="403" spans="1:9" x14ac:dyDescent="0.35">
      <c r="A403" s="1" t="s">
        <v>857</v>
      </c>
      <c r="B403" s="1" t="s">
        <v>858</v>
      </c>
      <c r="D403" s="1" t="s">
        <v>828</v>
      </c>
      <c r="E403" s="1" t="s">
        <v>828</v>
      </c>
      <c r="F403" s="1" t="s">
        <v>1381</v>
      </c>
      <c r="G403" s="2">
        <f>VLOOKUP(B403,[2]Sheet1!B$2:I$773,8,FALSE)</f>
        <v>150000</v>
      </c>
      <c r="H403" s="2">
        <f>VLOOKUP(B403,'[3]DAFTAR ALL'!B$8:D$68,3,FALSE)</f>
        <v>12486708</v>
      </c>
      <c r="I403" s="27"/>
    </row>
    <row r="404" spans="1:9" x14ac:dyDescent="0.35">
      <c r="A404" s="1" t="s">
        <v>859</v>
      </c>
      <c r="B404" s="1" t="s">
        <v>860</v>
      </c>
      <c r="C404" s="1" t="s">
        <v>2027</v>
      </c>
      <c r="D404" s="1" t="s">
        <v>861</v>
      </c>
      <c r="E404" s="1" t="s">
        <v>861</v>
      </c>
      <c r="F404" s="1" t="s">
        <v>1547</v>
      </c>
      <c r="G404" s="2">
        <f>VLOOKUP(B404,[2]Sheet1!B$2:I$773,8,FALSE)</f>
        <v>350000</v>
      </c>
      <c r="H404" s="2">
        <v>0</v>
      </c>
      <c r="I404" s="27"/>
    </row>
    <row r="405" spans="1:9" x14ac:dyDescent="0.35">
      <c r="A405" s="1" t="s">
        <v>862</v>
      </c>
      <c r="B405" s="1" t="s">
        <v>863</v>
      </c>
      <c r="C405" s="1" t="s">
        <v>2027</v>
      </c>
      <c r="D405" s="1" t="s">
        <v>861</v>
      </c>
      <c r="E405" s="1" t="s">
        <v>861</v>
      </c>
      <c r="F405" s="1" t="s">
        <v>1548</v>
      </c>
      <c r="G405" s="2">
        <f>VLOOKUP(B405,[2]Sheet1!B$2:I$773,8,FALSE)</f>
        <v>150000</v>
      </c>
      <c r="H405" s="2">
        <v>0</v>
      </c>
      <c r="I405" s="27"/>
    </row>
    <row r="406" spans="1:9" x14ac:dyDescent="0.35">
      <c r="A406" s="1" t="s">
        <v>864</v>
      </c>
      <c r="B406" s="1" t="s">
        <v>865</v>
      </c>
      <c r="D406" s="1" t="s">
        <v>678</v>
      </c>
      <c r="E406" s="1" t="s">
        <v>125</v>
      </c>
      <c r="F406" s="1" t="s">
        <v>1549</v>
      </c>
      <c r="G406" s="2">
        <v>0</v>
      </c>
      <c r="H406" s="2">
        <v>0</v>
      </c>
    </row>
    <row r="407" spans="1:9" x14ac:dyDescent="0.35">
      <c r="A407" s="1" t="s">
        <v>866</v>
      </c>
      <c r="B407" s="1" t="s">
        <v>867</v>
      </c>
      <c r="C407" s="1" t="s">
        <v>2027</v>
      </c>
      <c r="D407" s="1" t="s">
        <v>678</v>
      </c>
      <c r="E407" s="1" t="s">
        <v>868</v>
      </c>
      <c r="F407" s="1" t="s">
        <v>1525</v>
      </c>
      <c r="G407" s="2">
        <f>VLOOKUP(B407,[2]Sheet1!B$2:I$773,8,FALSE)</f>
        <v>250000</v>
      </c>
      <c r="H407" s="2">
        <v>0</v>
      </c>
      <c r="I407" s="27"/>
    </row>
    <row r="408" spans="1:9" x14ac:dyDescent="0.35">
      <c r="A408" s="1" t="s">
        <v>869</v>
      </c>
      <c r="B408" s="1" t="s">
        <v>870</v>
      </c>
      <c r="C408" s="1" t="s">
        <v>2027</v>
      </c>
      <c r="D408" s="1" t="s">
        <v>678</v>
      </c>
      <c r="E408" s="1" t="s">
        <v>868</v>
      </c>
      <c r="F408" s="1" t="s">
        <v>1550</v>
      </c>
      <c r="G408" s="2">
        <f>VLOOKUP(B408,[2]Sheet1!B$2:I$773,8,FALSE)</f>
        <v>250000</v>
      </c>
      <c r="H408" s="2">
        <f>VLOOKUP(B408,'[3]DAFTAR ALL'!B$8:D$68,3,FALSE)</f>
        <v>2822700</v>
      </c>
      <c r="I408" s="27"/>
    </row>
    <row r="409" spans="1:9" x14ac:dyDescent="0.35">
      <c r="A409" s="1" t="s">
        <v>871</v>
      </c>
      <c r="B409" s="1" t="s">
        <v>872</v>
      </c>
      <c r="C409" s="1" t="s">
        <v>2027</v>
      </c>
      <c r="D409" s="1" t="s">
        <v>678</v>
      </c>
      <c r="E409" s="1" t="s">
        <v>868</v>
      </c>
      <c r="F409" s="1" t="s">
        <v>1551</v>
      </c>
      <c r="G409" s="2">
        <f>VLOOKUP(B409,[2]Sheet1!B$2:I$773,8,FALSE)</f>
        <v>100000</v>
      </c>
      <c r="H409" s="2">
        <v>0</v>
      </c>
      <c r="I409" s="27"/>
    </row>
    <row r="410" spans="1:9" x14ac:dyDescent="0.35">
      <c r="A410" s="1" t="s">
        <v>873</v>
      </c>
      <c r="B410" s="1" t="s">
        <v>874</v>
      </c>
      <c r="C410" s="1" t="s">
        <v>2027</v>
      </c>
      <c r="D410" s="1" t="s">
        <v>678</v>
      </c>
      <c r="E410" s="1" t="s">
        <v>868</v>
      </c>
      <c r="F410" s="1" t="s">
        <v>1552</v>
      </c>
      <c r="G410" s="2">
        <f>VLOOKUP(B410,[2]Sheet1!B$2:I$773,8,FALSE)</f>
        <v>100000</v>
      </c>
      <c r="H410" s="2">
        <v>0</v>
      </c>
      <c r="I410" s="27"/>
    </row>
    <row r="411" spans="1:9" x14ac:dyDescent="0.35">
      <c r="A411" s="1" t="s">
        <v>875</v>
      </c>
      <c r="B411" s="1" t="s">
        <v>876</v>
      </c>
      <c r="C411" s="1" t="s">
        <v>2027</v>
      </c>
      <c r="D411" s="1" t="s">
        <v>678</v>
      </c>
      <c r="E411" s="1" t="s">
        <v>868</v>
      </c>
      <c r="F411" s="1" t="s">
        <v>1553</v>
      </c>
      <c r="G411" s="2">
        <f>VLOOKUP(B411,[2]Sheet1!B$2:I$773,8,FALSE)</f>
        <v>150000</v>
      </c>
      <c r="H411" s="2">
        <v>0</v>
      </c>
      <c r="I411" s="27"/>
    </row>
    <row r="412" spans="1:9" x14ac:dyDescent="0.35">
      <c r="A412" s="1" t="s">
        <v>877</v>
      </c>
      <c r="B412" s="1" t="s">
        <v>878</v>
      </c>
      <c r="D412" s="1" t="s">
        <v>879</v>
      </c>
      <c r="E412" s="1" t="s">
        <v>879</v>
      </c>
      <c r="F412" s="1" t="s">
        <v>1554</v>
      </c>
      <c r="G412" s="2">
        <f>VLOOKUP(B412,[2]Sheet1!B$2:I$773,8,FALSE)</f>
        <v>0</v>
      </c>
      <c r="H412" s="2">
        <v>0</v>
      </c>
    </row>
    <row r="413" spans="1:9" x14ac:dyDescent="0.35">
      <c r="A413" s="1" t="s">
        <v>880</v>
      </c>
      <c r="B413" s="1" t="s">
        <v>881</v>
      </c>
      <c r="D413" s="1" t="s">
        <v>879</v>
      </c>
      <c r="E413" s="1" t="s">
        <v>879</v>
      </c>
      <c r="F413" s="1" t="s">
        <v>1555</v>
      </c>
      <c r="G413" s="2">
        <f>VLOOKUP(B413,[2]Sheet1!B$2:I$773,8,FALSE)</f>
        <v>250000</v>
      </c>
      <c r="H413" s="2">
        <v>0</v>
      </c>
      <c r="I413" s="27"/>
    </row>
    <row r="414" spans="1:9" x14ac:dyDescent="0.35">
      <c r="A414" s="1" t="s">
        <v>882</v>
      </c>
      <c r="B414" s="1" t="s">
        <v>883</v>
      </c>
      <c r="D414" s="1" t="s">
        <v>879</v>
      </c>
      <c r="E414" s="1" t="s">
        <v>879</v>
      </c>
      <c r="F414" s="1" t="s">
        <v>1556</v>
      </c>
      <c r="G414" s="2">
        <f>VLOOKUP(B414,[2]Sheet1!B$2:I$773,8,FALSE)</f>
        <v>0</v>
      </c>
      <c r="H414" s="2">
        <v>0</v>
      </c>
    </row>
    <row r="415" spans="1:9" x14ac:dyDescent="0.35">
      <c r="A415" s="1" t="s">
        <v>884</v>
      </c>
      <c r="B415" s="1" t="s">
        <v>885</v>
      </c>
      <c r="D415" s="1" t="s">
        <v>879</v>
      </c>
      <c r="E415" s="1" t="s">
        <v>879</v>
      </c>
      <c r="F415" s="1" t="s">
        <v>1557</v>
      </c>
      <c r="G415" s="2">
        <f>VLOOKUP(B415,[2]Sheet1!B$2:I$773,8,FALSE)</f>
        <v>0</v>
      </c>
      <c r="H415" s="2">
        <v>0</v>
      </c>
    </row>
    <row r="416" spans="1:9" x14ac:dyDescent="0.35">
      <c r="A416" s="1" t="s">
        <v>886</v>
      </c>
      <c r="B416" s="1" t="s">
        <v>887</v>
      </c>
      <c r="D416" s="1" t="s">
        <v>879</v>
      </c>
      <c r="E416" s="1" t="s">
        <v>879</v>
      </c>
      <c r="F416" s="1" t="s">
        <v>1381</v>
      </c>
      <c r="G416" s="2">
        <f>VLOOKUP(B416,[2]Sheet1!B$2:I$773,8,FALSE)</f>
        <v>150000</v>
      </c>
      <c r="H416" s="2">
        <f>VLOOKUP(B416,'[3]DAFTAR ALL'!B$8:D$68,3,FALSE)</f>
        <v>1000000</v>
      </c>
      <c r="I416" s="27"/>
    </row>
    <row r="417" spans="1:9" x14ac:dyDescent="0.35">
      <c r="A417" s="1" t="s">
        <v>888</v>
      </c>
      <c r="B417" s="1" t="s">
        <v>889</v>
      </c>
      <c r="D417" s="1" t="s">
        <v>879</v>
      </c>
      <c r="E417" s="1" t="s">
        <v>879</v>
      </c>
      <c r="F417" s="1" t="s">
        <v>1558</v>
      </c>
      <c r="G417" s="2">
        <f>VLOOKUP(B417,[2]Sheet1!B$2:I$773,8,FALSE)</f>
        <v>0</v>
      </c>
      <c r="H417" s="2">
        <v>0</v>
      </c>
    </row>
    <row r="418" spans="1:9" x14ac:dyDescent="0.35">
      <c r="A418" s="1" t="s">
        <v>890</v>
      </c>
      <c r="B418" s="1" t="s">
        <v>891</v>
      </c>
      <c r="D418" s="1" t="s">
        <v>879</v>
      </c>
      <c r="E418" s="1" t="s">
        <v>879</v>
      </c>
      <c r="F418" s="1" t="s">
        <v>1559</v>
      </c>
      <c r="G418" s="2">
        <f>VLOOKUP(B418,[2]Sheet1!B$2:I$773,8,FALSE)</f>
        <v>350000</v>
      </c>
      <c r="H418" s="2">
        <f>VLOOKUP(B418,'[3]DAFTAR ALL'!B$8:D$68,3,FALSE)</f>
        <v>7609848</v>
      </c>
      <c r="I418" s="27"/>
    </row>
    <row r="419" spans="1:9" x14ac:dyDescent="0.35">
      <c r="A419" s="1" t="s">
        <v>892</v>
      </c>
      <c r="B419" s="1" t="s">
        <v>893</v>
      </c>
      <c r="D419" s="1" t="s">
        <v>879</v>
      </c>
      <c r="E419" s="1" t="s">
        <v>879</v>
      </c>
      <c r="F419" s="1" t="s">
        <v>1558</v>
      </c>
      <c r="G419" s="2">
        <f>VLOOKUP(B419,[2]Sheet1!B$2:I$773,8,FALSE)</f>
        <v>100000</v>
      </c>
      <c r="H419" s="2">
        <f>VLOOKUP(B419,'[3]DAFTAR ALL'!B$8:D$68,3,FALSE)</f>
        <v>1000000</v>
      </c>
      <c r="I419" s="27"/>
    </row>
    <row r="420" spans="1:9" x14ac:dyDescent="0.35">
      <c r="A420" s="1" t="s">
        <v>894</v>
      </c>
      <c r="B420" s="1" t="s">
        <v>895</v>
      </c>
      <c r="D420" s="1" t="s">
        <v>879</v>
      </c>
      <c r="E420" s="1" t="s">
        <v>879</v>
      </c>
      <c r="F420" s="1" t="s">
        <v>1560</v>
      </c>
      <c r="G420" s="2">
        <f>VLOOKUP(B420,[2]Sheet1!B$2:I$773,8,FALSE)</f>
        <v>0</v>
      </c>
      <c r="H420" s="2">
        <v>0</v>
      </c>
    </row>
    <row r="421" spans="1:9" x14ac:dyDescent="0.35">
      <c r="A421" s="1" t="s">
        <v>896</v>
      </c>
      <c r="B421" s="1" t="s">
        <v>897</v>
      </c>
      <c r="D421" s="1" t="s">
        <v>879</v>
      </c>
      <c r="E421" s="1" t="s">
        <v>879</v>
      </c>
      <c r="F421" s="1" t="s">
        <v>1561</v>
      </c>
      <c r="G421" s="2">
        <f>VLOOKUP(B421,[2]Sheet1!B$2:I$773,8,FALSE)</f>
        <v>0</v>
      </c>
      <c r="H421" s="2">
        <v>0</v>
      </c>
    </row>
    <row r="422" spans="1:9" x14ac:dyDescent="0.35">
      <c r="A422" s="1" t="s">
        <v>898</v>
      </c>
      <c r="B422" s="1" t="s">
        <v>899</v>
      </c>
      <c r="D422" s="1" t="s">
        <v>879</v>
      </c>
      <c r="E422" s="1" t="s">
        <v>879</v>
      </c>
      <c r="F422" s="1" t="s">
        <v>1562</v>
      </c>
      <c r="G422" s="2">
        <f>VLOOKUP(B422,[2]Sheet1!B$2:I$773,8,FALSE)</f>
        <v>0</v>
      </c>
      <c r="H422" s="2">
        <v>0</v>
      </c>
    </row>
    <row r="423" spans="1:9" x14ac:dyDescent="0.35">
      <c r="A423" s="1" t="s">
        <v>900</v>
      </c>
      <c r="B423" s="1" t="s">
        <v>901</v>
      </c>
      <c r="D423" s="1" t="s">
        <v>902</v>
      </c>
      <c r="E423" s="1" t="s">
        <v>902</v>
      </c>
      <c r="F423" s="1" t="s">
        <v>1563</v>
      </c>
      <c r="G423" s="2">
        <f>VLOOKUP(B423,[2]Sheet1!B$2:I$773,8,FALSE)</f>
        <v>0</v>
      </c>
      <c r="H423" s="2">
        <v>0</v>
      </c>
    </row>
    <row r="424" spans="1:9" x14ac:dyDescent="0.35">
      <c r="A424" s="1" t="s">
        <v>903</v>
      </c>
      <c r="B424" s="1" t="s">
        <v>904</v>
      </c>
      <c r="D424" s="1" t="s">
        <v>902</v>
      </c>
      <c r="E424" s="1" t="s">
        <v>6</v>
      </c>
      <c r="F424" s="1" t="s">
        <v>1564</v>
      </c>
      <c r="G424" s="2">
        <v>0</v>
      </c>
      <c r="H424" s="2">
        <v>0</v>
      </c>
    </row>
    <row r="425" spans="1:9" x14ac:dyDescent="0.35">
      <c r="A425" s="1" t="s">
        <v>905</v>
      </c>
      <c r="B425" s="1" t="s">
        <v>906</v>
      </c>
      <c r="D425" s="1" t="s">
        <v>902</v>
      </c>
      <c r="E425" s="1" t="s">
        <v>6</v>
      </c>
      <c r="F425" s="1" t="s">
        <v>1565</v>
      </c>
      <c r="G425" s="2">
        <v>0</v>
      </c>
      <c r="H425" s="2">
        <v>0</v>
      </c>
    </row>
    <row r="426" spans="1:9" x14ac:dyDescent="0.35">
      <c r="A426" s="1" t="s">
        <v>907</v>
      </c>
      <c r="B426" s="1" t="s">
        <v>908</v>
      </c>
      <c r="D426" s="1" t="s">
        <v>902</v>
      </c>
      <c r="E426" s="1" t="s">
        <v>6</v>
      </c>
      <c r="F426" s="1" t="s">
        <v>1565</v>
      </c>
      <c r="G426" s="2">
        <v>0</v>
      </c>
      <c r="H426" s="2">
        <v>0</v>
      </c>
    </row>
    <row r="427" spans="1:9" x14ac:dyDescent="0.35">
      <c r="A427" s="1" t="s">
        <v>909</v>
      </c>
      <c r="B427" s="1" t="s">
        <v>910</v>
      </c>
      <c r="D427" s="1" t="s">
        <v>902</v>
      </c>
      <c r="E427" s="1" t="s">
        <v>902</v>
      </c>
      <c r="F427" s="1" t="s">
        <v>1566</v>
      </c>
      <c r="G427" s="2">
        <f>VLOOKUP(B427,[2]Sheet1!B$2:I$773,8,FALSE)</f>
        <v>250000</v>
      </c>
      <c r="H427" s="2">
        <v>0</v>
      </c>
      <c r="I427" s="27"/>
    </row>
    <row r="428" spans="1:9" x14ac:dyDescent="0.35">
      <c r="A428" s="1" t="s">
        <v>911</v>
      </c>
      <c r="B428" s="1" t="s">
        <v>912</v>
      </c>
      <c r="D428" s="1" t="s">
        <v>902</v>
      </c>
      <c r="E428" s="1" t="s">
        <v>902</v>
      </c>
      <c r="F428" s="1" t="s">
        <v>1567</v>
      </c>
      <c r="G428" s="2">
        <f>VLOOKUP(B428,[2]Sheet1!B$2:I$773,8,FALSE)</f>
        <v>250000</v>
      </c>
      <c r="H428" s="2">
        <v>0</v>
      </c>
      <c r="I428" s="27"/>
    </row>
    <row r="429" spans="1:9" x14ac:dyDescent="0.35">
      <c r="A429" s="1" t="s">
        <v>913</v>
      </c>
      <c r="B429" s="1" t="s">
        <v>914</v>
      </c>
      <c r="D429" s="1" t="s">
        <v>902</v>
      </c>
      <c r="E429" s="1" t="s">
        <v>902</v>
      </c>
      <c r="F429" s="1" t="s">
        <v>1568</v>
      </c>
      <c r="G429" s="2">
        <f>VLOOKUP(B429,[2]Sheet1!B$2:I$773,8,FALSE)</f>
        <v>0</v>
      </c>
      <c r="H429" s="2">
        <v>0</v>
      </c>
    </row>
    <row r="430" spans="1:9" x14ac:dyDescent="0.35">
      <c r="A430" s="1" t="s">
        <v>915</v>
      </c>
      <c r="B430" s="1" t="s">
        <v>916</v>
      </c>
      <c r="D430" s="1" t="s">
        <v>902</v>
      </c>
      <c r="E430" s="1" t="s">
        <v>902</v>
      </c>
      <c r="F430" s="1" t="s">
        <v>1567</v>
      </c>
      <c r="G430" s="2">
        <f>VLOOKUP(B430,[2]Sheet1!B$2:I$773,8,FALSE)</f>
        <v>0</v>
      </c>
      <c r="H430" s="2">
        <v>0</v>
      </c>
    </row>
    <row r="431" spans="1:9" x14ac:dyDescent="0.35">
      <c r="A431" s="1" t="s">
        <v>917</v>
      </c>
      <c r="B431" s="1" t="s">
        <v>918</v>
      </c>
      <c r="D431" s="1" t="s">
        <v>902</v>
      </c>
      <c r="E431" s="1" t="s">
        <v>902</v>
      </c>
      <c r="F431" s="1" t="s">
        <v>1569</v>
      </c>
      <c r="G431" s="2">
        <f>VLOOKUP(B431,[2]Sheet1!B$2:I$773,8,FALSE)</f>
        <v>350000</v>
      </c>
      <c r="H431" s="2">
        <v>0</v>
      </c>
      <c r="I431" s="27"/>
    </row>
    <row r="432" spans="1:9" x14ac:dyDescent="0.35">
      <c r="A432" s="1" t="s">
        <v>919</v>
      </c>
      <c r="B432" s="1" t="s">
        <v>920</v>
      </c>
      <c r="D432" s="1" t="s">
        <v>902</v>
      </c>
      <c r="E432" s="1" t="s">
        <v>902</v>
      </c>
      <c r="F432" s="1" t="s">
        <v>1568</v>
      </c>
      <c r="G432" s="2">
        <f>VLOOKUP(B432,[2]Sheet1!B$2:I$773,8,FALSE)</f>
        <v>250000</v>
      </c>
      <c r="H432" s="2">
        <v>0</v>
      </c>
      <c r="I432" s="27"/>
    </row>
    <row r="433" spans="1:9" x14ac:dyDescent="0.35">
      <c r="A433" s="1" t="s">
        <v>921</v>
      </c>
      <c r="B433" s="1" t="s">
        <v>922</v>
      </c>
      <c r="D433" s="1" t="s">
        <v>902</v>
      </c>
      <c r="E433" s="1" t="s">
        <v>902</v>
      </c>
      <c r="F433" s="1" t="s">
        <v>1381</v>
      </c>
      <c r="G433" s="2">
        <f>VLOOKUP(B433,[2]Sheet1!B$2:I$773,8,FALSE)</f>
        <v>150000</v>
      </c>
      <c r="H433" s="2">
        <v>0</v>
      </c>
      <c r="I433" s="27"/>
    </row>
    <row r="434" spans="1:9" x14ac:dyDescent="0.35">
      <c r="A434" s="1" t="s">
        <v>923</v>
      </c>
      <c r="B434" s="1" t="s">
        <v>924</v>
      </c>
      <c r="D434" s="1" t="s">
        <v>902</v>
      </c>
      <c r="E434" s="1" t="s">
        <v>902</v>
      </c>
      <c r="F434" s="1" t="s">
        <v>1568</v>
      </c>
      <c r="G434" s="2">
        <f>VLOOKUP(B434,[2]Sheet1!B$2:I$773,8,FALSE)</f>
        <v>250000</v>
      </c>
      <c r="H434" s="2">
        <v>0</v>
      </c>
      <c r="I434" s="27"/>
    </row>
    <row r="435" spans="1:9" x14ac:dyDescent="0.35">
      <c r="A435" s="1" t="s">
        <v>925</v>
      </c>
      <c r="B435" s="1" t="s">
        <v>926</v>
      </c>
      <c r="D435" s="1" t="s">
        <v>902</v>
      </c>
      <c r="E435" s="1" t="s">
        <v>902</v>
      </c>
      <c r="F435" s="1" t="s">
        <v>1568</v>
      </c>
      <c r="G435" s="2">
        <f>VLOOKUP(B435,[2]Sheet1!B$2:I$773,8,FALSE)</f>
        <v>250000</v>
      </c>
      <c r="H435" s="2">
        <v>0</v>
      </c>
      <c r="I435" s="27"/>
    </row>
    <row r="436" spans="1:9" x14ac:dyDescent="0.35">
      <c r="A436" s="1" t="s">
        <v>927</v>
      </c>
      <c r="B436" s="1" t="s">
        <v>928</v>
      </c>
      <c r="D436" s="1" t="s">
        <v>902</v>
      </c>
      <c r="E436" s="1" t="s">
        <v>6</v>
      </c>
      <c r="F436" s="1" t="s">
        <v>1570</v>
      </c>
      <c r="G436" s="2">
        <v>0</v>
      </c>
      <c r="H436" s="2">
        <v>0</v>
      </c>
    </row>
    <row r="437" spans="1:9" x14ac:dyDescent="0.35">
      <c r="A437" s="1" t="s">
        <v>929</v>
      </c>
      <c r="B437" s="1" t="s">
        <v>930</v>
      </c>
      <c r="D437" s="1" t="s">
        <v>902</v>
      </c>
      <c r="E437" s="1" t="s">
        <v>902</v>
      </c>
      <c r="F437" s="1" t="s">
        <v>1571</v>
      </c>
      <c r="G437" s="2">
        <f>VLOOKUP(B437,[2]Sheet1!B$2:I$773,8,FALSE)</f>
        <v>0</v>
      </c>
      <c r="H437" s="2">
        <v>0</v>
      </c>
    </row>
    <row r="438" spans="1:9" x14ac:dyDescent="0.35">
      <c r="A438" s="1" t="s">
        <v>931</v>
      </c>
      <c r="B438" s="1" t="s">
        <v>932</v>
      </c>
      <c r="D438" s="1" t="s">
        <v>902</v>
      </c>
      <c r="E438" s="1" t="s">
        <v>902</v>
      </c>
      <c r="F438" s="1" t="s">
        <v>1572</v>
      </c>
      <c r="G438" s="2">
        <f>VLOOKUP(B438,[2]Sheet1!B$2:I$773,8,FALSE)</f>
        <v>350000</v>
      </c>
      <c r="H438" s="2">
        <v>0</v>
      </c>
      <c r="I438" s="27"/>
    </row>
    <row r="439" spans="1:9" x14ac:dyDescent="0.35">
      <c r="A439" s="1" t="s">
        <v>933</v>
      </c>
      <c r="B439" s="1" t="s">
        <v>934</v>
      </c>
      <c r="D439" s="1" t="s">
        <v>902</v>
      </c>
      <c r="E439" s="1" t="s">
        <v>902</v>
      </c>
      <c r="F439" s="1" t="s">
        <v>1381</v>
      </c>
      <c r="G439" s="2">
        <f>VLOOKUP(B439,[2]Sheet1!B$2:I$773,8,FALSE)</f>
        <v>0</v>
      </c>
      <c r="H439" s="2">
        <v>0</v>
      </c>
    </row>
    <row r="440" spans="1:9" x14ac:dyDescent="0.35">
      <c r="A440" s="1" t="s">
        <v>935</v>
      </c>
      <c r="B440" s="1" t="s">
        <v>936</v>
      </c>
      <c r="D440" s="1" t="s">
        <v>902</v>
      </c>
      <c r="E440" s="1" t="s">
        <v>902</v>
      </c>
      <c r="F440" s="1" t="s">
        <v>1573</v>
      </c>
      <c r="G440" s="2">
        <f>VLOOKUP(B440,[2]Sheet1!B$2:I$773,8,FALSE)</f>
        <v>0</v>
      </c>
      <c r="H440" s="2">
        <v>0</v>
      </c>
    </row>
    <row r="441" spans="1:9" x14ac:dyDescent="0.35">
      <c r="A441" s="1" t="s">
        <v>937</v>
      </c>
      <c r="B441" s="1" t="s">
        <v>938</v>
      </c>
      <c r="D441" s="1" t="s">
        <v>902</v>
      </c>
      <c r="E441" s="1" t="s">
        <v>902</v>
      </c>
      <c r="F441" s="1" t="s">
        <v>1574</v>
      </c>
      <c r="G441" s="2">
        <f>VLOOKUP(B441,[2]Sheet1!B$2:I$773,8,FALSE)</f>
        <v>0</v>
      </c>
      <c r="H441" s="2">
        <v>0</v>
      </c>
    </row>
    <row r="442" spans="1:9" x14ac:dyDescent="0.35">
      <c r="A442" s="1" t="s">
        <v>939</v>
      </c>
      <c r="B442" s="1" t="s">
        <v>940</v>
      </c>
      <c r="D442" s="1" t="s">
        <v>902</v>
      </c>
      <c r="E442" s="1" t="s">
        <v>902</v>
      </c>
      <c r="F442" s="1" t="s">
        <v>1573</v>
      </c>
      <c r="G442" s="2">
        <f>VLOOKUP(B442,[2]Sheet1!B$2:I$773,8,FALSE)</f>
        <v>0</v>
      </c>
      <c r="H442" s="2">
        <v>0</v>
      </c>
    </row>
    <row r="443" spans="1:9" x14ac:dyDescent="0.35">
      <c r="A443" s="1" t="s">
        <v>941</v>
      </c>
      <c r="B443" s="1" t="s">
        <v>942</v>
      </c>
      <c r="D443" s="1" t="s">
        <v>943</v>
      </c>
      <c r="E443" s="1" t="s">
        <v>943</v>
      </c>
      <c r="F443" s="1" t="s">
        <v>1575</v>
      </c>
      <c r="G443" s="2">
        <f>VLOOKUP(B443,[2]Sheet1!B$2:I$773,8,FALSE)</f>
        <v>350000</v>
      </c>
      <c r="H443" s="2">
        <f>VLOOKUP(B443,'[3]DAFTAR ALL'!B$8:D$68,3,FALSE)</f>
        <v>5510000</v>
      </c>
      <c r="I443" s="27"/>
    </row>
    <row r="444" spans="1:9" x14ac:dyDescent="0.35">
      <c r="A444" s="1" t="s">
        <v>944</v>
      </c>
      <c r="B444" s="1" t="s">
        <v>945</v>
      </c>
      <c r="D444" s="1" t="s">
        <v>943</v>
      </c>
      <c r="E444" s="1" t="s">
        <v>943</v>
      </c>
      <c r="F444" s="1" t="s">
        <v>1387</v>
      </c>
      <c r="G444" s="2">
        <f>VLOOKUP(B444,[2]Sheet1!B$2:I$773,8,FALSE)</f>
        <v>0</v>
      </c>
      <c r="H444" s="2">
        <v>0</v>
      </c>
    </row>
    <row r="445" spans="1:9" x14ac:dyDescent="0.35">
      <c r="A445" s="1" t="s">
        <v>946</v>
      </c>
      <c r="B445" s="1" t="s">
        <v>947</v>
      </c>
      <c r="D445" s="1" t="s">
        <v>943</v>
      </c>
      <c r="E445" s="1" t="s">
        <v>943</v>
      </c>
      <c r="F445" s="1" t="s">
        <v>1567</v>
      </c>
      <c r="G445" s="2">
        <f>VLOOKUP(B445,[2]Sheet1!B$2:I$773,8,FALSE)</f>
        <v>0</v>
      </c>
      <c r="H445" s="2">
        <v>0</v>
      </c>
    </row>
    <row r="446" spans="1:9" x14ac:dyDescent="0.35">
      <c r="A446" s="1" t="s">
        <v>948</v>
      </c>
      <c r="B446" s="1" t="s">
        <v>949</v>
      </c>
      <c r="D446" s="1" t="s">
        <v>943</v>
      </c>
      <c r="E446" s="1" t="s">
        <v>943</v>
      </c>
      <c r="F446" s="1" t="s">
        <v>1576</v>
      </c>
      <c r="G446" s="2">
        <f>VLOOKUP(B446,[2]Sheet1!B$2:I$773,8,FALSE)</f>
        <v>0</v>
      </c>
      <c r="H446" s="2">
        <v>0</v>
      </c>
    </row>
    <row r="447" spans="1:9" x14ac:dyDescent="0.35">
      <c r="A447" s="1" t="s">
        <v>950</v>
      </c>
      <c r="B447" s="1" t="s">
        <v>951</v>
      </c>
      <c r="D447" s="1" t="s">
        <v>943</v>
      </c>
      <c r="E447" s="1" t="s">
        <v>943</v>
      </c>
      <c r="F447" s="1" t="s">
        <v>1568</v>
      </c>
      <c r="G447" s="2">
        <f>VLOOKUP(B447,[2]Sheet1!B$2:I$773,8,FALSE)</f>
        <v>0</v>
      </c>
      <c r="H447" s="2">
        <v>0</v>
      </c>
    </row>
    <row r="448" spans="1:9" x14ac:dyDescent="0.35">
      <c r="A448" s="1" t="s">
        <v>952</v>
      </c>
      <c r="B448" s="1" t="s">
        <v>953</v>
      </c>
      <c r="D448" s="1" t="s">
        <v>943</v>
      </c>
      <c r="E448" s="1" t="s">
        <v>943</v>
      </c>
      <c r="F448" s="1" t="s">
        <v>1577</v>
      </c>
      <c r="G448" s="2">
        <f>VLOOKUP(B448,[2]Sheet1!B$2:I$773,8,FALSE)</f>
        <v>250000</v>
      </c>
      <c r="H448" s="2">
        <v>0</v>
      </c>
      <c r="I448" s="27"/>
    </row>
    <row r="449" spans="1:9" x14ac:dyDescent="0.35">
      <c r="A449" s="1" t="s">
        <v>954</v>
      </c>
      <c r="B449" s="1" t="s">
        <v>955</v>
      </c>
      <c r="D449" s="1" t="s">
        <v>943</v>
      </c>
      <c r="E449" s="1" t="s">
        <v>943</v>
      </c>
      <c r="F449" s="1" t="s">
        <v>1578</v>
      </c>
      <c r="G449" s="2">
        <f>VLOOKUP(B449,[2]Sheet1!B$2:I$773,8,FALSE)</f>
        <v>250000</v>
      </c>
      <c r="H449" s="2">
        <v>0</v>
      </c>
      <c r="I449" s="27"/>
    </row>
    <row r="450" spans="1:9" x14ac:dyDescent="0.35">
      <c r="A450" s="1" t="s">
        <v>956</v>
      </c>
      <c r="B450" s="1" t="s">
        <v>957</v>
      </c>
      <c r="D450" s="1" t="s">
        <v>943</v>
      </c>
      <c r="E450" s="1" t="s">
        <v>943</v>
      </c>
      <c r="F450" s="1" t="s">
        <v>1563</v>
      </c>
      <c r="G450" s="2">
        <f>VLOOKUP(B450,[2]Sheet1!B$2:I$773,8,FALSE)</f>
        <v>250000</v>
      </c>
      <c r="H450" s="2">
        <v>0</v>
      </c>
      <c r="I450" s="27"/>
    </row>
    <row r="451" spans="1:9" x14ac:dyDescent="0.35">
      <c r="A451" s="1" t="s">
        <v>958</v>
      </c>
      <c r="B451" s="1" t="s">
        <v>959</v>
      </c>
      <c r="D451" s="1" t="s">
        <v>943</v>
      </c>
      <c r="E451" s="1" t="s">
        <v>943</v>
      </c>
      <c r="F451" s="1" t="s">
        <v>1579</v>
      </c>
      <c r="G451" s="2">
        <f>VLOOKUP(B451,[2]Sheet1!B$2:I$773,8,FALSE)</f>
        <v>0</v>
      </c>
      <c r="H451" s="2">
        <v>0</v>
      </c>
    </row>
    <row r="452" spans="1:9" x14ac:dyDescent="0.35">
      <c r="A452" s="1" t="s">
        <v>960</v>
      </c>
      <c r="B452" s="1" t="s">
        <v>961</v>
      </c>
      <c r="D452" s="1" t="s">
        <v>943</v>
      </c>
      <c r="E452" s="1" t="s">
        <v>943</v>
      </c>
      <c r="F452" s="1" t="s">
        <v>1579</v>
      </c>
      <c r="G452" s="2">
        <f>VLOOKUP(B452,[2]Sheet1!B$2:I$773,8,FALSE)</f>
        <v>0</v>
      </c>
      <c r="H452" s="2">
        <v>0</v>
      </c>
    </row>
    <row r="453" spans="1:9" x14ac:dyDescent="0.35">
      <c r="A453" s="1" t="s">
        <v>962</v>
      </c>
      <c r="B453" s="1" t="s">
        <v>963</v>
      </c>
      <c r="D453" s="1" t="s">
        <v>943</v>
      </c>
      <c r="E453" s="1" t="s">
        <v>943</v>
      </c>
      <c r="F453" s="1" t="s">
        <v>1566</v>
      </c>
      <c r="G453" s="2">
        <f>VLOOKUP(B453,[2]Sheet1!B$2:I$773,8,FALSE)</f>
        <v>250000</v>
      </c>
      <c r="H453" s="2">
        <v>0</v>
      </c>
      <c r="I453" s="27"/>
    </row>
    <row r="454" spans="1:9" x14ac:dyDescent="0.35">
      <c r="A454" s="1" t="s">
        <v>964</v>
      </c>
      <c r="B454" s="1" t="s">
        <v>965</v>
      </c>
      <c r="D454" s="1" t="s">
        <v>943</v>
      </c>
      <c r="E454" s="1" t="s">
        <v>943</v>
      </c>
      <c r="F454" s="1" t="s">
        <v>1576</v>
      </c>
      <c r="G454" s="2">
        <f>VLOOKUP(B454,[2]Sheet1!B$2:I$773,8,FALSE)</f>
        <v>250000</v>
      </c>
      <c r="H454" s="2">
        <v>0</v>
      </c>
      <c r="I454" s="27"/>
    </row>
    <row r="455" spans="1:9" x14ac:dyDescent="0.35">
      <c r="A455" s="1" t="s">
        <v>966</v>
      </c>
      <c r="B455" s="1" t="s">
        <v>967</v>
      </c>
      <c r="D455" s="1" t="s">
        <v>943</v>
      </c>
      <c r="E455" s="1" t="s">
        <v>943</v>
      </c>
      <c r="F455" s="1" t="s">
        <v>1580</v>
      </c>
      <c r="G455" s="2">
        <f>VLOOKUP(B455,[2]Sheet1!B$2:I$773,8,FALSE)</f>
        <v>0</v>
      </c>
      <c r="H455" s="2">
        <v>0</v>
      </c>
    </row>
    <row r="456" spans="1:9" x14ac:dyDescent="0.35">
      <c r="A456" s="1" t="s">
        <v>968</v>
      </c>
      <c r="B456" s="1" t="s">
        <v>969</v>
      </c>
      <c r="D456" s="1" t="s">
        <v>943</v>
      </c>
      <c r="E456" s="1" t="s">
        <v>943</v>
      </c>
      <c r="F456" s="1" t="s">
        <v>1581</v>
      </c>
      <c r="G456" s="2">
        <f>VLOOKUP(B456,[2]Sheet1!B$2:I$773,8,FALSE)</f>
        <v>350000</v>
      </c>
      <c r="H456" s="2">
        <v>0</v>
      </c>
      <c r="I456" s="27"/>
    </row>
    <row r="457" spans="1:9" x14ac:dyDescent="0.35">
      <c r="A457" s="1" t="s">
        <v>970</v>
      </c>
      <c r="B457" s="1" t="s">
        <v>971</v>
      </c>
      <c r="D457" s="1" t="s">
        <v>943</v>
      </c>
      <c r="E457" s="1" t="s">
        <v>943</v>
      </c>
      <c r="F457" s="1" t="s">
        <v>1582</v>
      </c>
      <c r="G457" s="2">
        <f>VLOOKUP(B457,[2]Sheet1!B$2:I$773,8,FALSE)</f>
        <v>0</v>
      </c>
      <c r="H457" s="2">
        <v>0</v>
      </c>
    </row>
    <row r="458" spans="1:9" x14ac:dyDescent="0.35">
      <c r="A458" s="1" t="s">
        <v>972</v>
      </c>
      <c r="B458" s="1" t="s">
        <v>973</v>
      </c>
      <c r="D458" s="1" t="s">
        <v>943</v>
      </c>
      <c r="E458" s="1" t="s">
        <v>943</v>
      </c>
      <c r="F458" s="1" t="s">
        <v>1583</v>
      </c>
      <c r="G458" s="2">
        <f>VLOOKUP(B458,[2]Sheet1!B$2:I$773,8,FALSE)</f>
        <v>250000</v>
      </c>
      <c r="H458" s="2">
        <v>0</v>
      </c>
      <c r="I458" s="27"/>
    </row>
    <row r="459" spans="1:9" x14ac:dyDescent="0.35">
      <c r="A459" s="1" t="s">
        <v>974</v>
      </c>
      <c r="B459" s="1" t="s">
        <v>975</v>
      </c>
      <c r="D459" s="1" t="s">
        <v>943</v>
      </c>
      <c r="E459" s="1" t="s">
        <v>943</v>
      </c>
      <c r="F459" s="1" t="s">
        <v>1576</v>
      </c>
      <c r="G459" s="2">
        <f>VLOOKUP(B459,[2]Sheet1!B$2:I$773,8,FALSE)</f>
        <v>0</v>
      </c>
      <c r="H459" s="2">
        <v>0</v>
      </c>
    </row>
    <row r="460" spans="1:9" x14ac:dyDescent="0.35">
      <c r="A460" s="1" t="s">
        <v>976</v>
      </c>
      <c r="B460" s="1" t="s">
        <v>977</v>
      </c>
      <c r="D460" s="1" t="s">
        <v>943</v>
      </c>
      <c r="E460" s="1" t="s">
        <v>943</v>
      </c>
      <c r="F460" s="1" t="s">
        <v>1381</v>
      </c>
      <c r="G460" s="2">
        <f>VLOOKUP(B460,[2]Sheet1!B$2:I$773,8,FALSE)</f>
        <v>150000</v>
      </c>
      <c r="H460" s="2">
        <f>VLOOKUP(B460,'[3]DAFTAR ALL'!B$8:D$68,3,FALSE)</f>
        <v>6939841</v>
      </c>
      <c r="I460" s="27"/>
    </row>
    <row r="461" spans="1:9" x14ac:dyDescent="0.35">
      <c r="A461" s="1" t="s">
        <v>978</v>
      </c>
      <c r="B461" s="1" t="s">
        <v>979</v>
      </c>
      <c r="D461" s="1" t="s">
        <v>943</v>
      </c>
      <c r="E461" s="1" t="s">
        <v>943</v>
      </c>
      <c r="F461" s="1" t="s">
        <v>1584</v>
      </c>
      <c r="G461" s="2">
        <f>VLOOKUP(B461,[2]Sheet1!B$2:I$773,8,FALSE)</f>
        <v>250000</v>
      </c>
      <c r="H461" s="2">
        <v>0</v>
      </c>
      <c r="I461" s="27"/>
    </row>
    <row r="462" spans="1:9" x14ac:dyDescent="0.35">
      <c r="A462" s="1" t="s">
        <v>980</v>
      </c>
      <c r="B462" s="1" t="s">
        <v>981</v>
      </c>
      <c r="D462" s="1" t="s">
        <v>943</v>
      </c>
      <c r="E462" s="1" t="s">
        <v>943</v>
      </c>
      <c r="F462" s="1" t="s">
        <v>1585</v>
      </c>
      <c r="G462" s="2">
        <f>VLOOKUP(B462,[2]Sheet1!B$2:I$773,8,FALSE)</f>
        <v>0</v>
      </c>
      <c r="H462" s="2">
        <v>0</v>
      </c>
    </row>
    <row r="463" spans="1:9" x14ac:dyDescent="0.35">
      <c r="A463" s="1" t="s">
        <v>982</v>
      </c>
      <c r="B463" s="1" t="s">
        <v>983</v>
      </c>
      <c r="D463" s="1" t="s">
        <v>943</v>
      </c>
      <c r="E463" s="1" t="s">
        <v>943</v>
      </c>
      <c r="F463" s="1" t="s">
        <v>1576</v>
      </c>
      <c r="G463" s="2">
        <f>VLOOKUP(B463,[2]Sheet1!B$2:I$773,8,FALSE)</f>
        <v>0</v>
      </c>
      <c r="H463" s="2">
        <v>0</v>
      </c>
    </row>
    <row r="464" spans="1:9" x14ac:dyDescent="0.35">
      <c r="A464" s="1" t="s">
        <v>984</v>
      </c>
      <c r="B464" s="1" t="s">
        <v>985</v>
      </c>
      <c r="D464" s="1" t="s">
        <v>943</v>
      </c>
      <c r="E464" s="1" t="s">
        <v>943</v>
      </c>
      <c r="F464" s="1" t="s">
        <v>1576</v>
      </c>
      <c r="G464" s="2">
        <f>VLOOKUP(B464,[2]Sheet1!B$2:I$773,8,FALSE)</f>
        <v>250000</v>
      </c>
      <c r="H464" s="2">
        <v>0</v>
      </c>
      <c r="I464" s="27"/>
    </row>
    <row r="465" spans="1:9" x14ac:dyDescent="0.35">
      <c r="A465" s="1" t="s">
        <v>986</v>
      </c>
      <c r="B465" s="1" t="s">
        <v>987</v>
      </c>
      <c r="D465" s="1" t="s">
        <v>943</v>
      </c>
      <c r="E465" s="1" t="s">
        <v>943</v>
      </c>
      <c r="F465" s="1" t="s">
        <v>1586</v>
      </c>
      <c r="G465" s="2">
        <f>VLOOKUP(B465,[2]Sheet1!B$2:I$773,8,FALSE)</f>
        <v>0</v>
      </c>
      <c r="H465" s="2">
        <v>0</v>
      </c>
    </row>
    <row r="466" spans="1:9" x14ac:dyDescent="0.35">
      <c r="A466" s="1" t="s">
        <v>988</v>
      </c>
      <c r="B466" s="1" t="s">
        <v>989</v>
      </c>
      <c r="D466" s="1" t="s">
        <v>943</v>
      </c>
      <c r="E466" s="1" t="s">
        <v>943</v>
      </c>
      <c r="F466" s="1" t="s">
        <v>1586</v>
      </c>
      <c r="G466" s="2">
        <f>VLOOKUP(B466,[2]Sheet1!B$2:I$773,8,FALSE)</f>
        <v>0</v>
      </c>
      <c r="H466" s="2">
        <v>0</v>
      </c>
    </row>
    <row r="467" spans="1:9" x14ac:dyDescent="0.35">
      <c r="A467" s="1" t="s">
        <v>990</v>
      </c>
      <c r="B467" s="1" t="s">
        <v>991</v>
      </c>
      <c r="C467" s="1" t="s">
        <v>2027</v>
      </c>
      <c r="D467" s="1" t="s">
        <v>992</v>
      </c>
      <c r="E467" s="1" t="s">
        <v>992</v>
      </c>
      <c r="F467" s="1" t="s">
        <v>1381</v>
      </c>
      <c r="G467" s="2">
        <f>VLOOKUP(B467,[2]Sheet1!B$2:I$773,8,FALSE)</f>
        <v>150000</v>
      </c>
      <c r="H467" s="2">
        <v>0</v>
      </c>
      <c r="I467" s="27"/>
    </row>
    <row r="468" spans="1:9" x14ac:dyDescent="0.35">
      <c r="A468" s="1" t="s">
        <v>993</v>
      </c>
      <c r="B468" s="1" t="s">
        <v>994</v>
      </c>
      <c r="D468" s="1" t="s">
        <v>995</v>
      </c>
      <c r="E468" s="1" t="s">
        <v>995</v>
      </c>
      <c r="F468" s="1" t="s">
        <v>1587</v>
      </c>
      <c r="G468" s="2">
        <f>VLOOKUP(B468,[2]Sheet1!B$2:I$773,8,FALSE)</f>
        <v>0</v>
      </c>
      <c r="H468" s="2">
        <v>0</v>
      </c>
    </row>
    <row r="469" spans="1:9" x14ac:dyDescent="0.35">
      <c r="A469" s="1" t="s">
        <v>996</v>
      </c>
      <c r="B469" s="1" t="s">
        <v>997</v>
      </c>
      <c r="D469" s="1" t="s">
        <v>995</v>
      </c>
      <c r="E469" s="1" t="s">
        <v>995</v>
      </c>
      <c r="F469" s="1" t="s">
        <v>1588</v>
      </c>
      <c r="G469" s="2">
        <f>VLOOKUP(B469,[2]Sheet1!B$2:I$773,8,FALSE)</f>
        <v>0</v>
      </c>
      <c r="H469" s="2">
        <v>0</v>
      </c>
    </row>
    <row r="470" spans="1:9" x14ac:dyDescent="0.35">
      <c r="A470" s="1" t="s">
        <v>998</v>
      </c>
      <c r="B470" s="1" t="s">
        <v>999</v>
      </c>
      <c r="D470" s="1" t="s">
        <v>995</v>
      </c>
      <c r="E470" s="1" t="s">
        <v>995</v>
      </c>
      <c r="F470" s="1" t="s">
        <v>1478</v>
      </c>
      <c r="G470" s="2">
        <f>VLOOKUP(B470,[2]Sheet1!B$2:I$773,8,FALSE)</f>
        <v>0</v>
      </c>
      <c r="H470" s="2">
        <v>0</v>
      </c>
    </row>
    <row r="471" spans="1:9" x14ac:dyDescent="0.35">
      <c r="A471" s="1" t="s">
        <v>1000</v>
      </c>
      <c r="B471" s="1" t="s">
        <v>1001</v>
      </c>
      <c r="D471" s="1" t="s">
        <v>995</v>
      </c>
      <c r="E471" s="1" t="s">
        <v>995</v>
      </c>
      <c r="F471" s="1" t="s">
        <v>1589</v>
      </c>
      <c r="G471" s="2">
        <f>VLOOKUP(B471,[2]Sheet1!B$2:I$773,8,FALSE)</f>
        <v>0</v>
      </c>
      <c r="H471" s="2">
        <v>0</v>
      </c>
    </row>
    <row r="472" spans="1:9" x14ac:dyDescent="0.35">
      <c r="A472" s="1" t="s">
        <v>1002</v>
      </c>
      <c r="B472" s="1" t="s">
        <v>1003</v>
      </c>
      <c r="D472" s="1" t="s">
        <v>995</v>
      </c>
      <c r="E472" s="1" t="s">
        <v>995</v>
      </c>
      <c r="F472" s="1" t="s">
        <v>1590</v>
      </c>
      <c r="G472" s="2">
        <f>VLOOKUP(B472,[2]Sheet1!B$2:I$773,8,FALSE)</f>
        <v>0</v>
      </c>
      <c r="H472" s="2">
        <v>0</v>
      </c>
    </row>
    <row r="473" spans="1:9" x14ac:dyDescent="0.35">
      <c r="A473" s="1" t="s">
        <v>1004</v>
      </c>
      <c r="B473" s="1" t="s">
        <v>1005</v>
      </c>
      <c r="D473" s="1" t="s">
        <v>995</v>
      </c>
      <c r="E473" s="1" t="s">
        <v>995</v>
      </c>
      <c r="F473" s="1" t="s">
        <v>1591</v>
      </c>
      <c r="G473" s="2">
        <f>VLOOKUP(B473,[2]Sheet1!B$2:I$773,8,FALSE)</f>
        <v>0</v>
      </c>
      <c r="H473" s="2">
        <v>0</v>
      </c>
    </row>
    <row r="474" spans="1:9" x14ac:dyDescent="0.35">
      <c r="A474" s="1" t="s">
        <v>1006</v>
      </c>
      <c r="B474" s="1" t="s">
        <v>1007</v>
      </c>
      <c r="D474" s="1" t="s">
        <v>995</v>
      </c>
      <c r="E474" s="1" t="s">
        <v>995</v>
      </c>
      <c r="F474" s="1" t="s">
        <v>1592</v>
      </c>
      <c r="G474" s="2">
        <f>VLOOKUP(B474,[2]Sheet1!B$2:I$773,8,FALSE)</f>
        <v>250000</v>
      </c>
      <c r="H474" s="2">
        <v>0</v>
      </c>
      <c r="I474" s="27"/>
    </row>
    <row r="475" spans="1:9" x14ac:dyDescent="0.35">
      <c r="A475" s="1" t="s">
        <v>1008</v>
      </c>
      <c r="B475" s="1" t="s">
        <v>1009</v>
      </c>
      <c r="D475" s="1" t="s">
        <v>995</v>
      </c>
      <c r="E475" s="1" t="s">
        <v>995</v>
      </c>
      <c r="F475" s="1" t="s">
        <v>1593</v>
      </c>
      <c r="G475" s="2">
        <f>VLOOKUP(B475,[2]Sheet1!B$2:I$773,8,FALSE)</f>
        <v>0</v>
      </c>
      <c r="H475" s="2">
        <v>0</v>
      </c>
    </row>
    <row r="476" spans="1:9" x14ac:dyDescent="0.35">
      <c r="A476" s="1" t="s">
        <v>1010</v>
      </c>
      <c r="B476" s="1" t="s">
        <v>1011</v>
      </c>
      <c r="D476" s="1" t="s">
        <v>995</v>
      </c>
      <c r="E476" s="1" t="s">
        <v>995</v>
      </c>
      <c r="F476" s="1" t="s">
        <v>1594</v>
      </c>
      <c r="G476" s="2">
        <f>VLOOKUP(B476,[2]Sheet1!B$2:I$773,8,FALSE)</f>
        <v>0</v>
      </c>
      <c r="H476" s="2">
        <v>0</v>
      </c>
    </row>
    <row r="477" spans="1:9" x14ac:dyDescent="0.35">
      <c r="A477" s="1" t="s">
        <v>1012</v>
      </c>
      <c r="B477" s="1" t="s">
        <v>1013</v>
      </c>
      <c r="D477" s="1" t="s">
        <v>995</v>
      </c>
      <c r="E477" s="1" t="s">
        <v>995</v>
      </c>
      <c r="F477" s="1" t="s">
        <v>1595</v>
      </c>
      <c r="G477" s="2">
        <f>VLOOKUP(B477,[2]Sheet1!B$2:I$773,8,FALSE)</f>
        <v>250000</v>
      </c>
      <c r="H477" s="2">
        <v>0</v>
      </c>
      <c r="I477" s="27"/>
    </row>
    <row r="478" spans="1:9" x14ac:dyDescent="0.35">
      <c r="A478" s="1" t="s">
        <v>1014</v>
      </c>
      <c r="B478" s="1" t="s">
        <v>1015</v>
      </c>
      <c r="D478" s="1" t="s">
        <v>995</v>
      </c>
      <c r="E478" s="1" t="s">
        <v>995</v>
      </c>
      <c r="F478" s="1" t="s">
        <v>1596</v>
      </c>
      <c r="G478" s="2">
        <f>VLOOKUP(B478,[2]Sheet1!B$2:I$773,8,FALSE)</f>
        <v>0</v>
      </c>
      <c r="H478" s="2">
        <v>0</v>
      </c>
    </row>
    <row r="479" spans="1:9" x14ac:dyDescent="0.35">
      <c r="A479" s="1" t="s">
        <v>1016</v>
      </c>
      <c r="B479" s="1" t="s">
        <v>1017</v>
      </c>
      <c r="D479" s="1" t="s">
        <v>995</v>
      </c>
      <c r="E479" s="1" t="s">
        <v>995</v>
      </c>
      <c r="F479" s="1" t="s">
        <v>1597</v>
      </c>
      <c r="G479" s="2">
        <f>VLOOKUP(B479,[2]Sheet1!B$2:I$773,8,FALSE)</f>
        <v>0</v>
      </c>
      <c r="H479" s="2">
        <v>0</v>
      </c>
    </row>
    <row r="480" spans="1:9" x14ac:dyDescent="0.35">
      <c r="A480" s="1" t="s">
        <v>1018</v>
      </c>
      <c r="B480" s="1" t="s">
        <v>1019</v>
      </c>
      <c r="D480" s="1" t="s">
        <v>995</v>
      </c>
      <c r="E480" s="1" t="s">
        <v>995</v>
      </c>
      <c r="F480" s="1" t="s">
        <v>1598</v>
      </c>
      <c r="G480" s="2">
        <f>VLOOKUP(B480,[2]Sheet1!B$2:I$773,8,FALSE)</f>
        <v>0</v>
      </c>
      <c r="H480" s="2">
        <v>0</v>
      </c>
    </row>
    <row r="481" spans="1:9" x14ac:dyDescent="0.35">
      <c r="A481" s="1" t="s">
        <v>1020</v>
      </c>
      <c r="B481" s="1" t="s">
        <v>1021</v>
      </c>
      <c r="D481" s="1" t="s">
        <v>995</v>
      </c>
      <c r="E481" s="1" t="s">
        <v>995</v>
      </c>
      <c r="F481" s="1" t="s">
        <v>1598</v>
      </c>
      <c r="G481" s="2">
        <f>VLOOKUP(B481,[2]Sheet1!B$2:I$773,8,FALSE)</f>
        <v>250000</v>
      </c>
      <c r="H481" s="2">
        <v>0</v>
      </c>
      <c r="I481" s="27"/>
    </row>
    <row r="482" spans="1:9" x14ac:dyDescent="0.35">
      <c r="A482" s="1" t="s">
        <v>1022</v>
      </c>
      <c r="B482" s="1" t="s">
        <v>1023</v>
      </c>
      <c r="D482" s="1" t="s">
        <v>995</v>
      </c>
      <c r="E482" s="1" t="s">
        <v>995</v>
      </c>
      <c r="F482" s="1" t="s">
        <v>1599</v>
      </c>
      <c r="G482" s="2">
        <f>VLOOKUP(B482,[2]Sheet1!B$2:I$773,8,FALSE)</f>
        <v>0</v>
      </c>
      <c r="H482" s="2">
        <v>0</v>
      </c>
    </row>
    <row r="483" spans="1:9" x14ac:dyDescent="0.35">
      <c r="A483" s="1" t="s">
        <v>1024</v>
      </c>
      <c r="B483" s="1" t="s">
        <v>1025</v>
      </c>
      <c r="D483" s="1" t="s">
        <v>995</v>
      </c>
      <c r="E483" s="1" t="s">
        <v>995</v>
      </c>
      <c r="F483" s="1" t="s">
        <v>1600</v>
      </c>
      <c r="G483" s="2">
        <f>VLOOKUP(B483,[2]Sheet1!B$2:I$773,8,FALSE)</f>
        <v>0</v>
      </c>
      <c r="H483" s="2">
        <v>0</v>
      </c>
    </row>
    <row r="484" spans="1:9" x14ac:dyDescent="0.35">
      <c r="A484" s="1" t="s">
        <v>1026</v>
      </c>
      <c r="B484" s="1" t="s">
        <v>1027</v>
      </c>
      <c r="D484" s="1" t="s">
        <v>995</v>
      </c>
      <c r="E484" s="1" t="s">
        <v>995</v>
      </c>
      <c r="F484" s="1" t="s">
        <v>1601</v>
      </c>
      <c r="G484" s="2">
        <f>VLOOKUP(B484,[2]Sheet1!B$2:I$773,8,FALSE)</f>
        <v>0</v>
      </c>
      <c r="H484" s="2">
        <v>0</v>
      </c>
    </row>
    <row r="485" spans="1:9" x14ac:dyDescent="0.35">
      <c r="A485" s="1" t="s">
        <v>1028</v>
      </c>
      <c r="B485" s="1" t="s">
        <v>1029</v>
      </c>
      <c r="D485" s="1" t="s">
        <v>1030</v>
      </c>
      <c r="E485" s="1" t="s">
        <v>1030</v>
      </c>
      <c r="F485" s="1" t="s">
        <v>1602</v>
      </c>
      <c r="G485" s="2">
        <f>VLOOKUP(B485,[2]Sheet1!B$2:I$773,8,FALSE)</f>
        <v>150000</v>
      </c>
      <c r="H485" s="2">
        <v>0</v>
      </c>
      <c r="I485" s="27"/>
    </row>
    <row r="486" spans="1:9" x14ac:dyDescent="0.35">
      <c r="A486" s="1" t="s">
        <v>1031</v>
      </c>
      <c r="B486" s="1" t="s">
        <v>1032</v>
      </c>
      <c r="D486" s="1" t="s">
        <v>1030</v>
      </c>
      <c r="E486" s="1" t="s">
        <v>1030</v>
      </c>
      <c r="F486" s="1" t="s">
        <v>1603</v>
      </c>
      <c r="G486" s="2">
        <f>VLOOKUP(B486,[2]Sheet1!B$2:I$773,8,FALSE)</f>
        <v>0</v>
      </c>
      <c r="H486" s="2">
        <v>0</v>
      </c>
    </row>
    <row r="487" spans="1:9" x14ac:dyDescent="0.35">
      <c r="A487" s="1" t="s">
        <v>1033</v>
      </c>
      <c r="B487" s="1" t="s">
        <v>1034</v>
      </c>
      <c r="D487" s="1" t="s">
        <v>1030</v>
      </c>
      <c r="E487" s="1" t="s">
        <v>1030</v>
      </c>
      <c r="F487" s="1" t="s">
        <v>1604</v>
      </c>
      <c r="G487" s="2">
        <f>VLOOKUP(B487,[2]Sheet1!B$2:I$773,8,FALSE)</f>
        <v>150000</v>
      </c>
      <c r="H487" s="2">
        <v>0</v>
      </c>
      <c r="I487" s="27"/>
    </row>
    <row r="488" spans="1:9" x14ac:dyDescent="0.35">
      <c r="A488" s="1" t="s">
        <v>1035</v>
      </c>
      <c r="B488" s="1" t="s">
        <v>1036</v>
      </c>
      <c r="D488" s="1" t="s">
        <v>1030</v>
      </c>
      <c r="E488" s="1" t="s">
        <v>1030</v>
      </c>
      <c r="F488" s="1" t="s">
        <v>1387</v>
      </c>
      <c r="G488" s="2">
        <f>VLOOKUP(B488,[2]Sheet1!B$2:I$773,8,FALSE)</f>
        <v>150000</v>
      </c>
      <c r="H488" s="2">
        <v>0</v>
      </c>
      <c r="I488" s="27"/>
    </row>
    <row r="489" spans="1:9" x14ac:dyDescent="0.35">
      <c r="A489" s="1" t="s">
        <v>1037</v>
      </c>
      <c r="B489" s="1" t="s">
        <v>1038</v>
      </c>
      <c r="C489" s="1" t="s">
        <v>2027</v>
      </c>
      <c r="D489" s="1" t="s">
        <v>1030</v>
      </c>
      <c r="E489" s="1" t="s">
        <v>1030</v>
      </c>
      <c r="F489" s="1" t="s">
        <v>1605</v>
      </c>
      <c r="G489" s="2">
        <f>VLOOKUP(B489,[2]Sheet1!B$2:I$773,8,FALSE)</f>
        <v>250000</v>
      </c>
      <c r="H489" s="2">
        <v>0</v>
      </c>
      <c r="I489" s="27"/>
    </row>
    <row r="490" spans="1:9" x14ac:dyDescent="0.35">
      <c r="A490" s="1" t="s">
        <v>1039</v>
      </c>
      <c r="B490" s="1" t="s">
        <v>1040</v>
      </c>
      <c r="D490" s="1" t="s">
        <v>1030</v>
      </c>
      <c r="E490" s="1" t="s">
        <v>1030</v>
      </c>
      <c r="F490" s="1" t="s">
        <v>1606</v>
      </c>
      <c r="G490" s="2">
        <f>VLOOKUP(B490,[2]Sheet1!B$2:I$773,8,FALSE)</f>
        <v>0</v>
      </c>
      <c r="H490" s="2">
        <v>0</v>
      </c>
    </row>
    <row r="491" spans="1:9" x14ac:dyDescent="0.35">
      <c r="A491" s="1" t="s">
        <v>1041</v>
      </c>
      <c r="B491" s="1" t="s">
        <v>1042</v>
      </c>
      <c r="D491" s="1" t="s">
        <v>1030</v>
      </c>
      <c r="E491" s="1" t="s">
        <v>1030</v>
      </c>
      <c r="F491" s="1" t="s">
        <v>1607</v>
      </c>
      <c r="G491" s="2">
        <f>VLOOKUP(B491,[2]Sheet1!B$2:I$773,8,FALSE)</f>
        <v>250000</v>
      </c>
      <c r="H491" s="2">
        <f>VLOOKUP(B491,'[3]DAFTAR ALL'!B$8:D$68,3,FALSE)+[3]TAB.QUR!$D$5</f>
        <v>2895833</v>
      </c>
      <c r="I491" s="27"/>
    </row>
    <row r="492" spans="1:9" x14ac:dyDescent="0.35">
      <c r="A492" s="1" t="s">
        <v>1043</v>
      </c>
      <c r="B492" s="1" t="s">
        <v>1044</v>
      </c>
      <c r="D492" s="1" t="s">
        <v>1030</v>
      </c>
      <c r="E492" s="1" t="s">
        <v>1030</v>
      </c>
      <c r="F492" s="1" t="s">
        <v>1387</v>
      </c>
      <c r="G492" s="2">
        <f>VLOOKUP(B492,[2]Sheet1!B$2:I$773,8,FALSE)</f>
        <v>150000</v>
      </c>
      <c r="H492" s="2">
        <f>VLOOKUP(B492,'[3]DAFTAR ALL'!B$8:D$68,3,FALSE)</f>
        <v>5767335</v>
      </c>
      <c r="I492" s="27"/>
    </row>
    <row r="493" spans="1:9" x14ac:dyDescent="0.35">
      <c r="A493" s="1" t="s">
        <v>1045</v>
      </c>
      <c r="B493" s="1" t="s">
        <v>1046</v>
      </c>
      <c r="C493" s="1" t="s">
        <v>2027</v>
      </c>
      <c r="D493" s="1" t="s">
        <v>1030</v>
      </c>
      <c r="E493" s="1" t="s">
        <v>1030</v>
      </c>
      <c r="F493" s="1" t="s">
        <v>1608</v>
      </c>
      <c r="G493" s="2">
        <f>VLOOKUP(B493,[2]Sheet1!B$2:I$773,8,FALSE)</f>
        <v>150000</v>
      </c>
      <c r="H493" s="2">
        <f>VLOOKUP(B493,'[3]DAFTAR ALL'!B$8:D$68,3,FALSE)</f>
        <v>3650000</v>
      </c>
      <c r="I493" s="27"/>
    </row>
    <row r="494" spans="1:9" x14ac:dyDescent="0.35">
      <c r="A494" s="1" t="s">
        <v>1047</v>
      </c>
      <c r="B494" s="1" t="s">
        <v>1048</v>
      </c>
      <c r="D494" s="1" t="s">
        <v>1030</v>
      </c>
      <c r="E494" s="1" t="s">
        <v>1030</v>
      </c>
      <c r="F494" s="1" t="s">
        <v>1609</v>
      </c>
      <c r="G494" s="2">
        <f>VLOOKUP(B494,[2]Sheet1!B$2:I$773,8,FALSE)</f>
        <v>150000</v>
      </c>
      <c r="H494" s="2">
        <v>0</v>
      </c>
      <c r="I494" s="27"/>
    </row>
    <row r="495" spans="1:9" x14ac:dyDescent="0.35">
      <c r="A495" s="1" t="s">
        <v>1049</v>
      </c>
      <c r="B495" s="1" t="s">
        <v>1050</v>
      </c>
      <c r="D495" s="1" t="s">
        <v>1030</v>
      </c>
      <c r="E495" s="1" t="s">
        <v>1030</v>
      </c>
      <c r="F495" s="1" t="s">
        <v>1610</v>
      </c>
      <c r="G495" s="2">
        <f>VLOOKUP(B495,[2]Sheet1!B$2:I$773,8,FALSE)</f>
        <v>350000</v>
      </c>
      <c r="H495" s="2">
        <f>VLOOKUP(B495,'[3]DAFTAR ALL'!B$8:D$68,3,FALSE)</f>
        <v>11006944</v>
      </c>
      <c r="I495" s="27"/>
    </row>
    <row r="496" spans="1:9" x14ac:dyDescent="0.35">
      <c r="A496" s="1" t="s">
        <v>1051</v>
      </c>
      <c r="B496" s="1" t="s">
        <v>1052</v>
      </c>
      <c r="D496" s="1" t="s">
        <v>1030</v>
      </c>
      <c r="E496" s="1" t="s">
        <v>1030</v>
      </c>
      <c r="F496" s="1" t="s">
        <v>1611</v>
      </c>
      <c r="G496" s="2">
        <f>VLOOKUP(B496,[2]Sheet1!B$2:I$773,8,FALSE)</f>
        <v>250000</v>
      </c>
      <c r="H496" s="2">
        <f>VLOOKUP(B496,'[3]DAFTAR ALL'!B$8:D$68,3,FALSE)</f>
        <v>4125351</v>
      </c>
      <c r="I496" s="27"/>
    </row>
    <row r="497" spans="1:9" x14ac:dyDescent="0.35">
      <c r="A497" s="1" t="s">
        <v>1053</v>
      </c>
      <c r="B497" s="1" t="s">
        <v>1054</v>
      </c>
      <c r="D497" s="1" t="s">
        <v>1030</v>
      </c>
      <c r="E497" s="1" t="s">
        <v>1030</v>
      </c>
      <c r="F497" s="1" t="s">
        <v>1612</v>
      </c>
      <c r="G497" s="2">
        <f>VLOOKUP(B497,[2]Sheet1!B$2:I$773,8,FALSE)</f>
        <v>150000</v>
      </c>
      <c r="H497" s="2">
        <v>0</v>
      </c>
      <c r="I497" s="27"/>
    </row>
    <row r="498" spans="1:9" x14ac:dyDescent="0.35">
      <c r="A498" s="1" t="s">
        <v>1055</v>
      </c>
      <c r="B498" s="1" t="s">
        <v>1056</v>
      </c>
      <c r="D498" s="1" t="s">
        <v>1030</v>
      </c>
      <c r="E498" s="1" t="s">
        <v>1030</v>
      </c>
      <c r="F498" s="1" t="s">
        <v>1613</v>
      </c>
      <c r="G498" s="2">
        <f>VLOOKUP(B498,[2]Sheet1!B$2:I$773,8,FALSE)</f>
        <v>0</v>
      </c>
      <c r="H498" s="2">
        <v>0</v>
      </c>
    </row>
    <row r="499" spans="1:9" x14ac:dyDescent="0.35">
      <c r="A499" s="1" t="s">
        <v>1057</v>
      </c>
      <c r="B499" s="1" t="s">
        <v>1058</v>
      </c>
      <c r="D499" s="1" t="s">
        <v>1030</v>
      </c>
      <c r="E499" s="1" t="s">
        <v>1030</v>
      </c>
      <c r="F499" s="1" t="s">
        <v>1614</v>
      </c>
      <c r="G499" s="2">
        <f>VLOOKUP(B499,[2]Sheet1!B$2:I$773,8,FALSE)</f>
        <v>0</v>
      </c>
      <c r="H499" s="2">
        <v>0</v>
      </c>
    </row>
    <row r="500" spans="1:9" x14ac:dyDescent="0.35">
      <c r="A500" s="1" t="s">
        <v>1059</v>
      </c>
      <c r="B500" s="1" t="s">
        <v>1060</v>
      </c>
      <c r="D500" s="1" t="s">
        <v>1061</v>
      </c>
      <c r="E500" s="1" t="s">
        <v>1061</v>
      </c>
      <c r="F500" s="1" t="s">
        <v>1615</v>
      </c>
      <c r="G500" s="2">
        <f>VLOOKUP(B500,[2]Sheet1!B$2:I$773,8,FALSE)</f>
        <v>350000</v>
      </c>
      <c r="H500" s="2">
        <f>VLOOKUP(B500,'[3]DAFTAR ALL'!B$8:D$68,3,FALSE)</f>
        <v>7560692</v>
      </c>
      <c r="I500" s="27"/>
    </row>
    <row r="501" spans="1:9" x14ac:dyDescent="0.35">
      <c r="A501" s="1" t="s">
        <v>1062</v>
      </c>
      <c r="B501" s="1" t="s">
        <v>1063</v>
      </c>
      <c r="D501" s="1" t="s">
        <v>1061</v>
      </c>
      <c r="E501" s="1" t="s">
        <v>1061</v>
      </c>
      <c r="F501" s="1" t="s">
        <v>1616</v>
      </c>
      <c r="G501" s="2">
        <f>VLOOKUP(B501,[2]Sheet1!B$2:I$773,8,FALSE)</f>
        <v>0</v>
      </c>
      <c r="H501" s="2">
        <v>0</v>
      </c>
    </row>
    <row r="502" spans="1:9" x14ac:dyDescent="0.35">
      <c r="A502" s="1" t="s">
        <v>1064</v>
      </c>
      <c r="B502" s="1" t="s">
        <v>1065</v>
      </c>
      <c r="D502" s="1" t="s">
        <v>1061</v>
      </c>
      <c r="E502" s="1" t="s">
        <v>1061</v>
      </c>
      <c r="F502" s="1" t="s">
        <v>1615</v>
      </c>
      <c r="G502" s="2">
        <f>VLOOKUP(B502,[2]Sheet1!B$2:I$773,8,FALSE)</f>
        <v>250000</v>
      </c>
      <c r="H502" s="2">
        <v>0</v>
      </c>
      <c r="I502" s="27"/>
    </row>
    <row r="503" spans="1:9" x14ac:dyDescent="0.35">
      <c r="A503" s="1" t="s">
        <v>1066</v>
      </c>
      <c r="B503" s="1" t="s">
        <v>1067</v>
      </c>
      <c r="D503" s="1" t="s">
        <v>1061</v>
      </c>
      <c r="E503" s="1" t="s">
        <v>1061</v>
      </c>
      <c r="F503" s="1" t="s">
        <v>1617</v>
      </c>
      <c r="G503" s="2">
        <f>VLOOKUP(B503,[2]Sheet1!B$2:I$773,8,FALSE)</f>
        <v>350000</v>
      </c>
      <c r="H503" s="2">
        <v>0</v>
      </c>
      <c r="I503" s="27"/>
    </row>
    <row r="504" spans="1:9" x14ac:dyDescent="0.35">
      <c r="A504" s="1" t="s">
        <v>1068</v>
      </c>
      <c r="B504" s="1" t="s">
        <v>1069</v>
      </c>
      <c r="D504" s="1" t="s">
        <v>1061</v>
      </c>
      <c r="E504" s="1" t="s">
        <v>1061</v>
      </c>
      <c r="F504" s="1" t="s">
        <v>1618</v>
      </c>
      <c r="G504" s="2">
        <f>VLOOKUP(B504,[2]Sheet1!B$2:I$773,8,FALSE)</f>
        <v>0</v>
      </c>
      <c r="H504" s="2">
        <v>0</v>
      </c>
    </row>
    <row r="505" spans="1:9" x14ac:dyDescent="0.35">
      <c r="A505" s="1" t="s">
        <v>1070</v>
      </c>
      <c r="B505" s="1" t="s">
        <v>1071</v>
      </c>
      <c r="D505" s="1" t="s">
        <v>1061</v>
      </c>
      <c r="E505" s="1" t="s">
        <v>1061</v>
      </c>
      <c r="F505" s="1" t="s">
        <v>1619</v>
      </c>
      <c r="G505" s="2">
        <f>VLOOKUP(B505,[2]Sheet1!B$2:I$773,8,FALSE)</f>
        <v>0</v>
      </c>
      <c r="H505" s="2">
        <v>0</v>
      </c>
    </row>
    <row r="506" spans="1:9" x14ac:dyDescent="0.35">
      <c r="A506" s="1" t="s">
        <v>1072</v>
      </c>
      <c r="B506" s="1" t="s">
        <v>1073</v>
      </c>
      <c r="D506" s="1" t="s">
        <v>1061</v>
      </c>
      <c r="E506" s="1" t="s">
        <v>1061</v>
      </c>
      <c r="F506" s="1" t="s">
        <v>1387</v>
      </c>
      <c r="G506" s="2">
        <f>VLOOKUP(B506,[2]Sheet1!B$2:I$773,8,FALSE)</f>
        <v>0</v>
      </c>
      <c r="H506" s="2">
        <v>0</v>
      </c>
    </row>
    <row r="507" spans="1:9" x14ac:dyDescent="0.35">
      <c r="A507" s="1" t="s">
        <v>1074</v>
      </c>
      <c r="B507" s="1" t="s">
        <v>1075</v>
      </c>
      <c r="D507" s="1" t="s">
        <v>1061</v>
      </c>
      <c r="E507" s="1" t="s">
        <v>1061</v>
      </c>
      <c r="F507" s="1" t="s">
        <v>1381</v>
      </c>
      <c r="G507" s="2">
        <f>VLOOKUP(B507,[2]Sheet1!B$2:I$773,8,FALSE)</f>
        <v>0</v>
      </c>
      <c r="H507" s="2">
        <v>0</v>
      </c>
    </row>
    <row r="508" spans="1:9" x14ac:dyDescent="0.35">
      <c r="A508" s="1" t="s">
        <v>1076</v>
      </c>
      <c r="B508" s="1" t="s">
        <v>1077</v>
      </c>
      <c r="D508" s="1" t="s">
        <v>1061</v>
      </c>
      <c r="E508" s="1" t="s">
        <v>1061</v>
      </c>
      <c r="F508" s="1" t="s">
        <v>1620</v>
      </c>
      <c r="G508" s="2">
        <f>VLOOKUP(B508,[2]Sheet1!B$2:I$773,8,FALSE)</f>
        <v>0</v>
      </c>
      <c r="H508" s="2">
        <v>0</v>
      </c>
    </row>
    <row r="509" spans="1:9" x14ac:dyDescent="0.35">
      <c r="A509" s="1" t="s">
        <v>1078</v>
      </c>
      <c r="B509" s="1" t="s">
        <v>1079</v>
      </c>
      <c r="D509" s="1" t="s">
        <v>1061</v>
      </c>
      <c r="E509" s="1" t="s">
        <v>1061</v>
      </c>
      <c r="F509" s="1" t="s">
        <v>1621</v>
      </c>
      <c r="G509" s="2">
        <f>VLOOKUP(B509,[2]Sheet1!B$2:I$773,8,FALSE)</f>
        <v>350000</v>
      </c>
      <c r="H509" s="2">
        <v>0</v>
      </c>
      <c r="I509" s="27"/>
    </row>
    <row r="510" spans="1:9" x14ac:dyDescent="0.35">
      <c r="A510" s="1" t="s">
        <v>1080</v>
      </c>
      <c r="B510" s="1" t="s">
        <v>1081</v>
      </c>
      <c r="D510" s="1" t="s">
        <v>1061</v>
      </c>
      <c r="E510" s="1" t="s">
        <v>1061</v>
      </c>
      <c r="F510" s="1" t="s">
        <v>1381</v>
      </c>
      <c r="G510" s="2">
        <f>VLOOKUP(B510,[2]Sheet1!B$2:I$773,8,FALSE)</f>
        <v>0</v>
      </c>
      <c r="H510" s="2">
        <v>0</v>
      </c>
    </row>
    <row r="511" spans="1:9" x14ac:dyDescent="0.35">
      <c r="A511" s="1" t="s">
        <v>1082</v>
      </c>
      <c r="B511" s="1" t="s">
        <v>1083</v>
      </c>
      <c r="D511" s="1" t="s">
        <v>1061</v>
      </c>
      <c r="E511" s="1" t="s">
        <v>1061</v>
      </c>
      <c r="F511" s="1" t="s">
        <v>1622</v>
      </c>
      <c r="G511" s="2">
        <f>VLOOKUP(B511,[2]Sheet1!B$2:I$773,8,FALSE)</f>
        <v>0</v>
      </c>
      <c r="H511" s="2">
        <v>0</v>
      </c>
    </row>
    <row r="512" spans="1:9" x14ac:dyDescent="0.35">
      <c r="A512" s="1" t="s">
        <v>1084</v>
      </c>
      <c r="B512" s="1" t="s">
        <v>1085</v>
      </c>
      <c r="D512" s="1" t="s">
        <v>1061</v>
      </c>
      <c r="E512" s="1" t="s">
        <v>1061</v>
      </c>
      <c r="F512" s="1" t="s">
        <v>1623</v>
      </c>
      <c r="G512" s="2">
        <f>VLOOKUP(B512,[2]Sheet1!B$2:I$773,8,FALSE)</f>
        <v>0</v>
      </c>
      <c r="H512" s="2">
        <v>0</v>
      </c>
    </row>
    <row r="513" spans="1:9" x14ac:dyDescent="0.35">
      <c r="A513" s="1" t="s">
        <v>1086</v>
      </c>
      <c r="B513" s="1" t="s">
        <v>1087</v>
      </c>
      <c r="D513" s="1" t="s">
        <v>1061</v>
      </c>
      <c r="E513" s="1" t="s">
        <v>1061</v>
      </c>
      <c r="F513" s="1" t="s">
        <v>1381</v>
      </c>
      <c r="G513" s="2">
        <f>VLOOKUP(B513,[2]Sheet1!B$2:I$773,8,FALSE)</f>
        <v>150000</v>
      </c>
      <c r="H513" s="2">
        <v>0</v>
      </c>
      <c r="I513" s="27"/>
    </row>
    <row r="514" spans="1:9" x14ac:dyDescent="0.35">
      <c r="A514" s="1" t="s">
        <v>1088</v>
      </c>
      <c r="B514" s="1" t="s">
        <v>1089</v>
      </c>
      <c r="D514" s="1" t="s">
        <v>1061</v>
      </c>
      <c r="E514" s="1" t="s">
        <v>1061</v>
      </c>
      <c r="F514" s="1" t="s">
        <v>1624</v>
      </c>
      <c r="G514" s="2">
        <f>VLOOKUP(B514,[2]Sheet1!B$2:I$773,8,FALSE)</f>
        <v>0</v>
      </c>
      <c r="H514" s="2">
        <v>0</v>
      </c>
    </row>
    <row r="515" spans="1:9" x14ac:dyDescent="0.35">
      <c r="A515" s="1" t="s">
        <v>1090</v>
      </c>
      <c r="B515" s="1" t="s">
        <v>1091</v>
      </c>
      <c r="D515" s="1" t="s">
        <v>1061</v>
      </c>
      <c r="E515" s="1" t="s">
        <v>1061</v>
      </c>
      <c r="F515" s="1" t="s">
        <v>1625</v>
      </c>
      <c r="G515" s="2">
        <f>VLOOKUP(B515,[2]Sheet1!B$2:I$773,8,FALSE)</f>
        <v>0</v>
      </c>
      <c r="H515" s="2">
        <v>0</v>
      </c>
    </row>
    <row r="516" spans="1:9" x14ac:dyDescent="0.35">
      <c r="A516" s="1" t="s">
        <v>1092</v>
      </c>
      <c r="B516" s="1" t="s">
        <v>1093</v>
      </c>
      <c r="D516" s="1" t="s">
        <v>1061</v>
      </c>
      <c r="E516" s="1" t="s">
        <v>1061</v>
      </c>
      <c r="F516" s="1" t="s">
        <v>1626</v>
      </c>
      <c r="G516" s="2">
        <f>VLOOKUP(B516,[2]Sheet1!B$2:I$773,8,FALSE)</f>
        <v>0</v>
      </c>
      <c r="H516" s="2">
        <v>0</v>
      </c>
    </row>
    <row r="517" spans="1:9" x14ac:dyDescent="0.35">
      <c r="A517" s="1" t="s">
        <v>1094</v>
      </c>
      <c r="B517" s="1" t="s">
        <v>1095</v>
      </c>
      <c r="D517" s="1" t="s">
        <v>252</v>
      </c>
      <c r="E517" s="1" t="s">
        <v>252</v>
      </c>
      <c r="F517" s="1" t="s">
        <v>1627</v>
      </c>
      <c r="G517" s="2">
        <f>VLOOKUP(B517,[2]Sheet1!B$2:I$773,8,FALSE)</f>
        <v>0</v>
      </c>
      <c r="H517" s="2">
        <v>0</v>
      </c>
    </row>
    <row r="518" spans="1:9" x14ac:dyDescent="0.35">
      <c r="A518" s="1" t="s">
        <v>1096</v>
      </c>
      <c r="B518" s="1" t="s">
        <v>1097</v>
      </c>
      <c r="D518" s="1" t="s">
        <v>252</v>
      </c>
      <c r="E518" s="1" t="s">
        <v>252</v>
      </c>
      <c r="F518" s="1" t="s">
        <v>1628</v>
      </c>
      <c r="G518" s="2">
        <f>VLOOKUP(B518,[2]Sheet1!B$2:I$773,8,FALSE)</f>
        <v>350000</v>
      </c>
      <c r="H518" s="2">
        <v>0</v>
      </c>
      <c r="I518" s="27"/>
    </row>
    <row r="519" spans="1:9" x14ac:dyDescent="0.35">
      <c r="A519" s="1" t="s">
        <v>1098</v>
      </c>
      <c r="B519" s="1" t="s">
        <v>1099</v>
      </c>
      <c r="D519" s="1" t="s">
        <v>252</v>
      </c>
      <c r="E519" s="1" t="s">
        <v>252</v>
      </c>
      <c r="F519" s="1" t="s">
        <v>1629</v>
      </c>
      <c r="G519" s="2">
        <f>VLOOKUP(B519,[2]Sheet1!B$2:I$773,8,FALSE)</f>
        <v>350000</v>
      </c>
      <c r="H519" s="2">
        <v>0</v>
      </c>
      <c r="I519" s="27"/>
    </row>
    <row r="520" spans="1:9" x14ac:dyDescent="0.35">
      <c r="A520" s="1" t="s">
        <v>1100</v>
      </c>
      <c r="B520" s="1" t="s">
        <v>1101</v>
      </c>
      <c r="D520" s="1" t="s">
        <v>252</v>
      </c>
      <c r="E520" s="1" t="s">
        <v>252</v>
      </c>
      <c r="F520" s="1" t="s">
        <v>1630</v>
      </c>
      <c r="G520" s="2">
        <f>VLOOKUP(B520,[2]Sheet1!B$2:I$773,8,FALSE)</f>
        <v>150000</v>
      </c>
      <c r="H520" s="2">
        <v>0</v>
      </c>
      <c r="I520" s="27"/>
    </row>
    <row r="521" spans="1:9" x14ac:dyDescent="0.35">
      <c r="A521" s="1" t="s">
        <v>1102</v>
      </c>
      <c r="B521" s="1" t="s">
        <v>1103</v>
      </c>
      <c r="D521" s="1" t="s">
        <v>252</v>
      </c>
      <c r="E521" s="1" t="s">
        <v>252</v>
      </c>
      <c r="F521" s="1" t="s">
        <v>1631</v>
      </c>
      <c r="G521" s="2">
        <f>VLOOKUP(B521,[2]Sheet1!B$2:I$773,8,FALSE)</f>
        <v>350000</v>
      </c>
      <c r="H521" s="2">
        <v>0</v>
      </c>
      <c r="I521" s="27"/>
    </row>
    <row r="522" spans="1:9" x14ac:dyDescent="0.35">
      <c r="A522" s="1" t="s">
        <v>1104</v>
      </c>
      <c r="B522" s="1" t="s">
        <v>1105</v>
      </c>
      <c r="D522" s="1" t="s">
        <v>252</v>
      </c>
      <c r="E522" s="1" t="s">
        <v>252</v>
      </c>
      <c r="F522" s="1" t="s">
        <v>1632</v>
      </c>
      <c r="G522" s="2">
        <f>VLOOKUP(B522,[2]Sheet1!B$2:I$773,8,FALSE)</f>
        <v>250000</v>
      </c>
      <c r="H522" s="2">
        <v>0</v>
      </c>
      <c r="I522" s="27"/>
    </row>
    <row r="523" spans="1:9" x14ac:dyDescent="0.35">
      <c r="A523" s="1" t="s">
        <v>1106</v>
      </c>
      <c r="B523" s="1" t="s">
        <v>1107</v>
      </c>
      <c r="D523" s="1" t="s">
        <v>252</v>
      </c>
      <c r="E523" s="1" t="s">
        <v>252</v>
      </c>
      <c r="F523" s="1" t="s">
        <v>1632</v>
      </c>
      <c r="G523" s="2">
        <f>VLOOKUP(B523,[2]Sheet1!B$2:I$773,8,FALSE)</f>
        <v>250000</v>
      </c>
      <c r="H523" s="2">
        <v>0</v>
      </c>
      <c r="I523" s="27"/>
    </row>
    <row r="524" spans="1:9" x14ac:dyDescent="0.35">
      <c r="A524" s="1" t="s">
        <v>1108</v>
      </c>
      <c r="B524" s="1" t="s">
        <v>1109</v>
      </c>
      <c r="D524" s="1" t="s">
        <v>252</v>
      </c>
      <c r="E524" s="1" t="s">
        <v>39</v>
      </c>
      <c r="F524" s="1" t="s">
        <v>1633</v>
      </c>
      <c r="G524" s="2">
        <v>0</v>
      </c>
      <c r="H524" s="2">
        <v>0</v>
      </c>
    </row>
    <row r="525" spans="1:9" x14ac:dyDescent="0.35">
      <c r="A525" s="1" t="s">
        <v>1110</v>
      </c>
      <c r="B525" s="1" t="s">
        <v>1111</v>
      </c>
      <c r="D525" s="1" t="s">
        <v>252</v>
      </c>
      <c r="E525" s="1" t="s">
        <v>39</v>
      </c>
      <c r="F525" s="1" t="s">
        <v>1633</v>
      </c>
      <c r="G525" s="2">
        <f>VLOOKUP(B525,'[1]REKAP POTONGAN'!B$6:D$93,3,FALSE)</f>
        <v>150000</v>
      </c>
      <c r="H525" s="2">
        <f>VLOOKUP(B525,'[1]REKAP POTONGAN'!B$6:C$93,2,FALSE)</f>
        <v>0</v>
      </c>
      <c r="I525" s="27"/>
    </row>
    <row r="526" spans="1:9" x14ac:dyDescent="0.35">
      <c r="A526" s="1" t="s">
        <v>1112</v>
      </c>
      <c r="B526" s="1" t="s">
        <v>1113</v>
      </c>
      <c r="D526" s="1" t="s">
        <v>252</v>
      </c>
      <c r="E526" s="1" t="s">
        <v>6</v>
      </c>
      <c r="F526" s="1" t="s">
        <v>1634</v>
      </c>
      <c r="G526" s="2">
        <v>0</v>
      </c>
      <c r="H526" s="2">
        <v>0</v>
      </c>
    </row>
    <row r="527" spans="1:9" x14ac:dyDescent="0.35">
      <c r="A527" s="1" t="s">
        <v>1114</v>
      </c>
      <c r="B527" s="1" t="s">
        <v>1115</v>
      </c>
      <c r="D527" s="1" t="s">
        <v>252</v>
      </c>
      <c r="E527" s="1" t="s">
        <v>6</v>
      </c>
      <c r="F527" s="1" t="s">
        <v>1635</v>
      </c>
      <c r="G527" s="2">
        <v>0</v>
      </c>
      <c r="H527" s="2">
        <v>0</v>
      </c>
    </row>
    <row r="528" spans="1:9" x14ac:dyDescent="0.35">
      <c r="A528" s="1" t="s">
        <v>1116</v>
      </c>
      <c r="B528" s="1" t="s">
        <v>1117</v>
      </c>
      <c r="D528" s="1" t="s">
        <v>252</v>
      </c>
      <c r="E528" s="1" t="s">
        <v>6</v>
      </c>
      <c r="F528" s="1" t="s">
        <v>1636</v>
      </c>
      <c r="G528" s="2">
        <f>VLOOKUP(B528,'[1]REKAP POTONGAN'!B$6:D$93,3,FALSE)</f>
        <v>250000</v>
      </c>
      <c r="H528" s="2">
        <f>VLOOKUP(B528,'[1]REKAP POTONGAN'!B$6:C$93,2,FALSE)</f>
        <v>0</v>
      </c>
      <c r="I528" s="27"/>
    </row>
    <row r="529" spans="1:9" x14ac:dyDescent="0.35">
      <c r="A529" s="1" t="s">
        <v>1118</v>
      </c>
      <c r="B529" s="1" t="s">
        <v>1119</v>
      </c>
      <c r="D529" s="1" t="s">
        <v>252</v>
      </c>
      <c r="E529" s="1" t="s">
        <v>420</v>
      </c>
      <c r="F529" s="1" t="s">
        <v>1637</v>
      </c>
      <c r="G529" s="2">
        <v>0</v>
      </c>
      <c r="H529" s="2">
        <v>0</v>
      </c>
    </row>
    <row r="530" spans="1:9" x14ac:dyDescent="0.35">
      <c r="A530" s="1" t="s">
        <v>1120</v>
      </c>
      <c r="B530" s="1" t="s">
        <v>1121</v>
      </c>
      <c r="D530" s="1" t="s">
        <v>252</v>
      </c>
      <c r="E530" s="1" t="s">
        <v>420</v>
      </c>
      <c r="F530" s="1" t="s">
        <v>1638</v>
      </c>
      <c r="G530" s="2">
        <v>0</v>
      </c>
      <c r="H530" s="2">
        <v>0</v>
      </c>
    </row>
    <row r="531" spans="1:9" x14ac:dyDescent="0.35">
      <c r="A531" s="1" t="s">
        <v>1122</v>
      </c>
      <c r="B531" s="1" t="s">
        <v>1123</v>
      </c>
      <c r="D531" s="1" t="s">
        <v>252</v>
      </c>
      <c r="E531" s="1" t="s">
        <v>252</v>
      </c>
      <c r="F531" s="1" t="s">
        <v>1639</v>
      </c>
      <c r="G531" s="2">
        <f>VLOOKUP(B531,[2]Sheet1!B$2:I$773,8,FALSE)</f>
        <v>0</v>
      </c>
      <c r="H531" s="2">
        <v>0</v>
      </c>
    </row>
    <row r="532" spans="1:9" x14ac:dyDescent="0.35">
      <c r="A532" s="1" t="s">
        <v>1124</v>
      </c>
      <c r="B532" s="1" t="s">
        <v>1125</v>
      </c>
      <c r="D532" s="1" t="s">
        <v>252</v>
      </c>
      <c r="E532" s="1" t="s">
        <v>36</v>
      </c>
      <c r="F532" s="1" t="s">
        <v>1640</v>
      </c>
      <c r="G532" s="2">
        <f>VLOOKUP(B532,'[1]REKAP POTONGAN'!B$6:D$93,3,FALSE)</f>
        <v>250000</v>
      </c>
      <c r="H532" s="2">
        <f>VLOOKUP(B532,'[1]REKAP POTONGAN'!B$6:C$93,2,FALSE)</f>
        <v>0</v>
      </c>
      <c r="I532" s="27"/>
    </row>
    <row r="533" spans="1:9" x14ac:dyDescent="0.35">
      <c r="A533" s="1" t="s">
        <v>1126</v>
      </c>
      <c r="B533" s="1" t="s">
        <v>1127</v>
      </c>
      <c r="D533" s="1" t="s">
        <v>252</v>
      </c>
      <c r="E533" s="1" t="s">
        <v>36</v>
      </c>
      <c r="F533" s="1" t="s">
        <v>1641</v>
      </c>
      <c r="G533" s="2">
        <v>0</v>
      </c>
      <c r="H533" s="2">
        <v>0</v>
      </c>
    </row>
    <row r="534" spans="1:9" x14ac:dyDescent="0.35">
      <c r="A534" s="1" t="s">
        <v>1128</v>
      </c>
      <c r="B534" s="1" t="s">
        <v>1129</v>
      </c>
      <c r="D534" s="1" t="s">
        <v>252</v>
      </c>
      <c r="E534" s="1" t="s">
        <v>252</v>
      </c>
      <c r="F534" s="1" t="s">
        <v>1642</v>
      </c>
      <c r="G534" s="2">
        <f>VLOOKUP(B534,[2]Sheet1!B$2:I$773,8,FALSE)</f>
        <v>0</v>
      </c>
      <c r="H534" s="2">
        <v>0</v>
      </c>
    </row>
    <row r="535" spans="1:9" x14ac:dyDescent="0.35">
      <c r="A535" s="1" t="s">
        <v>1130</v>
      </c>
      <c r="B535" s="1" t="s">
        <v>1131</v>
      </c>
      <c r="D535" s="1" t="s">
        <v>6</v>
      </c>
      <c r="E535" s="1" t="s">
        <v>6</v>
      </c>
      <c r="F535" s="1" t="s">
        <v>1379</v>
      </c>
      <c r="G535" s="2">
        <f>VLOOKUP(B535,'[1]REKAP POTONGAN'!B$6:D$93,3,FALSE)</f>
        <v>250000</v>
      </c>
      <c r="H535" s="2">
        <f>VLOOKUP(B535,'[1]REKAP POTONGAN'!B$6:C$93,2,FALSE)</f>
        <v>0</v>
      </c>
      <c r="I535" s="27"/>
    </row>
    <row r="536" spans="1:9" x14ac:dyDescent="0.35">
      <c r="A536" s="1" t="s">
        <v>1132</v>
      </c>
      <c r="B536" s="1" t="s">
        <v>1133</v>
      </c>
      <c r="D536" s="1" t="s">
        <v>252</v>
      </c>
      <c r="E536" s="1" t="s">
        <v>252</v>
      </c>
      <c r="F536" s="1" t="s">
        <v>1643</v>
      </c>
      <c r="G536" s="2">
        <f>VLOOKUP(B536,[2]Sheet1!B$2:I$773,8,FALSE)</f>
        <v>0</v>
      </c>
      <c r="H536" s="2">
        <v>0</v>
      </c>
    </row>
    <row r="537" spans="1:9" x14ac:dyDescent="0.35">
      <c r="A537" s="1" t="s">
        <v>1134</v>
      </c>
      <c r="B537" s="1" t="s">
        <v>1135</v>
      </c>
      <c r="D537" s="1" t="s">
        <v>252</v>
      </c>
      <c r="E537" s="1" t="s">
        <v>252</v>
      </c>
      <c r="F537" s="1" t="s">
        <v>1381</v>
      </c>
      <c r="G537" s="2">
        <f>VLOOKUP(B537,[2]Sheet1!B$2:I$773,8,FALSE)</f>
        <v>150000</v>
      </c>
      <c r="H537" s="2">
        <v>0</v>
      </c>
      <c r="I537" s="27"/>
    </row>
    <row r="538" spans="1:9" x14ac:dyDescent="0.35">
      <c r="A538" s="1" t="s">
        <v>1136</v>
      </c>
      <c r="B538" s="1" t="s">
        <v>1137</v>
      </c>
      <c r="D538" s="1" t="s">
        <v>252</v>
      </c>
      <c r="E538" s="1" t="s">
        <v>252</v>
      </c>
      <c r="F538" s="1" t="s">
        <v>1381</v>
      </c>
      <c r="G538" s="2">
        <f>VLOOKUP(B538,[2]Sheet1!B$2:I$773,8,FALSE)</f>
        <v>0</v>
      </c>
      <c r="H538" s="2">
        <v>0</v>
      </c>
    </row>
    <row r="539" spans="1:9" x14ac:dyDescent="0.35">
      <c r="A539" s="1" t="s">
        <v>1138</v>
      </c>
      <c r="B539" s="1" t="s">
        <v>1139</v>
      </c>
      <c r="D539" s="1" t="s">
        <v>56</v>
      </c>
      <c r="E539" s="1" t="s">
        <v>56</v>
      </c>
      <c r="F539" s="1" t="s">
        <v>1379</v>
      </c>
      <c r="G539" s="2">
        <v>0</v>
      </c>
      <c r="H539" s="2">
        <v>0</v>
      </c>
    </row>
    <row r="540" spans="1:9" x14ac:dyDescent="0.35">
      <c r="B540" s="1" t="s">
        <v>1140</v>
      </c>
      <c r="D540" s="1" t="s">
        <v>221</v>
      </c>
      <c r="E540" s="1" t="s">
        <v>221</v>
      </c>
      <c r="F540" s="1" t="s">
        <v>1435</v>
      </c>
      <c r="G540" s="2">
        <f>VLOOKUP(B540,'[1]REKAP POTONGAN'!B$6:D$93,3,FALSE)</f>
        <v>250000</v>
      </c>
      <c r="H540" s="2">
        <f>VLOOKUP(B540,'[1]REKAP POTONGAN'!B$6:C$93,2,FALSE)</f>
        <v>0</v>
      </c>
      <c r="I540" s="27"/>
    </row>
    <row r="541" spans="1:9" x14ac:dyDescent="0.35">
      <c r="A541" s="1" t="s">
        <v>1141</v>
      </c>
      <c r="B541" s="1" t="s">
        <v>1142</v>
      </c>
      <c r="D541" s="1" t="s">
        <v>252</v>
      </c>
      <c r="E541" s="1" t="s">
        <v>252</v>
      </c>
      <c r="F541" s="1" t="s">
        <v>1632</v>
      </c>
      <c r="G541" s="2">
        <f>VLOOKUP(B541,[2]Sheet1!B$2:I$773,8,FALSE)</f>
        <v>0</v>
      </c>
      <c r="H541" s="2">
        <v>0</v>
      </c>
    </row>
    <row r="542" spans="1:9" x14ac:dyDescent="0.35">
      <c r="A542" s="1" t="s">
        <v>1143</v>
      </c>
      <c r="B542" s="1" t="s">
        <v>1144</v>
      </c>
      <c r="D542" s="1" t="s">
        <v>252</v>
      </c>
      <c r="E542" s="1" t="s">
        <v>252</v>
      </c>
      <c r="F542" s="1" t="s">
        <v>1644</v>
      </c>
      <c r="G542" s="2">
        <f>VLOOKUP(B542,[2]Sheet1!B$2:I$773,8,FALSE)</f>
        <v>350000</v>
      </c>
      <c r="H542" s="2">
        <v>0</v>
      </c>
      <c r="I542" s="27"/>
    </row>
    <row r="543" spans="1:9" x14ac:dyDescent="0.35">
      <c r="A543" s="1" t="s">
        <v>1145</v>
      </c>
      <c r="B543" s="1" t="s">
        <v>1146</v>
      </c>
      <c r="D543" s="1" t="s">
        <v>252</v>
      </c>
      <c r="E543" s="1" t="s">
        <v>252</v>
      </c>
      <c r="F543" s="1" t="s">
        <v>1629</v>
      </c>
      <c r="G543" s="2">
        <f>VLOOKUP(B543,[2]Sheet1!B$2:I$773,8,FALSE)</f>
        <v>0</v>
      </c>
      <c r="H543" s="2">
        <v>0</v>
      </c>
    </row>
    <row r="544" spans="1:9" x14ac:dyDescent="0.35">
      <c r="A544" s="1" t="s">
        <v>1147</v>
      </c>
      <c r="B544" s="1" t="s">
        <v>1148</v>
      </c>
      <c r="D544" s="1" t="s">
        <v>252</v>
      </c>
      <c r="E544" s="1" t="s">
        <v>252</v>
      </c>
      <c r="F544" s="1" t="s">
        <v>1645</v>
      </c>
      <c r="G544" s="2">
        <f>VLOOKUP(B544,[2]Sheet1!B$2:I$773,8,FALSE)</f>
        <v>250000</v>
      </c>
      <c r="H544" s="2">
        <v>0</v>
      </c>
      <c r="I544" s="27"/>
    </row>
    <row r="545" spans="1:9" x14ac:dyDescent="0.35">
      <c r="A545" s="1" t="s">
        <v>1149</v>
      </c>
      <c r="B545" s="1" t="s">
        <v>1150</v>
      </c>
      <c r="D545" s="1" t="s">
        <v>375</v>
      </c>
      <c r="E545" s="1" t="s">
        <v>375</v>
      </c>
      <c r="F545" s="1" t="s">
        <v>1384</v>
      </c>
      <c r="G545" s="2">
        <f>VLOOKUP(B545,'[4]DAFTAR (No Tittle)'!B$8:C$18,2,FALSE)</f>
        <v>250000</v>
      </c>
      <c r="H545" s="2">
        <f>VLOOKUP(B545,'[4]DAFTAR (No Tittle)'!B$8:D$18,3,FALSE)</f>
        <v>0</v>
      </c>
      <c r="I545" s="27"/>
    </row>
    <row r="546" spans="1:9" x14ac:dyDescent="0.35">
      <c r="A546" s="1" t="s">
        <v>1151</v>
      </c>
      <c r="B546" s="1" t="s">
        <v>1152</v>
      </c>
      <c r="D546" s="1" t="s">
        <v>245</v>
      </c>
      <c r="E546" s="1" t="s">
        <v>245</v>
      </c>
      <c r="F546" s="1" t="s">
        <v>1385</v>
      </c>
      <c r="G546" s="2">
        <v>0</v>
      </c>
      <c r="H546" s="2">
        <v>0</v>
      </c>
    </row>
    <row r="547" spans="1:9" x14ac:dyDescent="0.35">
      <c r="A547" s="1" t="s">
        <v>1153</v>
      </c>
      <c r="B547" s="1" t="s">
        <v>1154</v>
      </c>
      <c r="D547" s="1" t="s">
        <v>252</v>
      </c>
      <c r="E547" s="1" t="s">
        <v>252</v>
      </c>
      <c r="F547" s="1" t="s">
        <v>1646</v>
      </c>
      <c r="G547" s="2">
        <f>VLOOKUP(B547,[2]Sheet1!B$2:I$773,8,FALSE)</f>
        <v>0</v>
      </c>
      <c r="H547" s="2">
        <v>0</v>
      </c>
    </row>
    <row r="548" spans="1:9" x14ac:dyDescent="0.35">
      <c r="A548" s="1" t="s">
        <v>1155</v>
      </c>
      <c r="B548" s="1" t="s">
        <v>1156</v>
      </c>
      <c r="D548" s="1" t="s">
        <v>252</v>
      </c>
      <c r="E548" s="1" t="s">
        <v>6</v>
      </c>
      <c r="F548" s="1" t="s">
        <v>1385</v>
      </c>
      <c r="G548" s="2">
        <v>0</v>
      </c>
      <c r="H548" s="2">
        <v>0</v>
      </c>
    </row>
    <row r="549" spans="1:9" x14ac:dyDescent="0.35">
      <c r="A549" s="1" t="s">
        <v>1157</v>
      </c>
      <c r="B549" s="1" t="s">
        <v>1158</v>
      </c>
      <c r="D549" s="1" t="s">
        <v>252</v>
      </c>
      <c r="E549" s="1" t="s">
        <v>36</v>
      </c>
      <c r="F549" s="1" t="s">
        <v>1385</v>
      </c>
      <c r="G549" s="2">
        <v>0</v>
      </c>
      <c r="H549" s="2">
        <v>0</v>
      </c>
    </row>
    <row r="550" spans="1:9" x14ac:dyDescent="0.35">
      <c r="A550" s="1" t="s">
        <v>1159</v>
      </c>
      <c r="B550" s="1" t="s">
        <v>1160</v>
      </c>
      <c r="D550" s="1" t="s">
        <v>252</v>
      </c>
      <c r="E550" s="1" t="s">
        <v>36</v>
      </c>
      <c r="F550" s="1" t="s">
        <v>1385</v>
      </c>
      <c r="G550" s="2">
        <v>0</v>
      </c>
      <c r="H550" s="2">
        <v>0</v>
      </c>
    </row>
    <row r="551" spans="1:9" x14ac:dyDescent="0.35">
      <c r="A551" s="1" t="s">
        <v>1161</v>
      </c>
      <c r="B551" s="1" t="s">
        <v>1162</v>
      </c>
      <c r="D551" s="1" t="s">
        <v>252</v>
      </c>
      <c r="E551" s="1" t="s">
        <v>6</v>
      </c>
      <c r="F551" s="1" t="s">
        <v>1385</v>
      </c>
      <c r="G551" s="2">
        <v>0</v>
      </c>
      <c r="H551" s="2">
        <v>0</v>
      </c>
    </row>
    <row r="552" spans="1:9" x14ac:dyDescent="0.35">
      <c r="A552" s="1" t="s">
        <v>1163</v>
      </c>
      <c r="B552" s="1" t="s">
        <v>1164</v>
      </c>
      <c r="D552" s="1" t="s">
        <v>177</v>
      </c>
      <c r="E552" s="1" t="s">
        <v>177</v>
      </c>
      <c r="F552" s="1" t="s">
        <v>1385</v>
      </c>
      <c r="G552" s="2">
        <v>0</v>
      </c>
      <c r="H552" s="2">
        <v>0</v>
      </c>
    </row>
    <row r="553" spans="1:9" x14ac:dyDescent="0.35">
      <c r="A553" s="1" t="s">
        <v>1165</v>
      </c>
      <c r="B553" s="1" t="s">
        <v>1166</v>
      </c>
      <c r="D553" s="1" t="s">
        <v>16</v>
      </c>
      <c r="E553" s="1" t="s">
        <v>16</v>
      </c>
      <c r="F553" s="1" t="s">
        <v>1647</v>
      </c>
      <c r="G553" s="2">
        <f>VLOOKUP(B553,[2]Sheet1!B$2:I$773,8,FALSE)</f>
        <v>250000</v>
      </c>
      <c r="H553" s="2">
        <f>VLOOKUP(B553,'[3]DAFTAR ALL'!B$8:D$68,3,FALSE)</f>
        <v>2702244</v>
      </c>
      <c r="I553" s="27"/>
    </row>
    <row r="554" spans="1:9" x14ac:dyDescent="0.35">
      <c r="A554" s="1" t="s">
        <v>1167</v>
      </c>
      <c r="B554" s="1" t="s">
        <v>1168</v>
      </c>
      <c r="D554" s="1" t="s">
        <v>16</v>
      </c>
      <c r="E554" s="1" t="s">
        <v>6</v>
      </c>
      <c r="F554" s="1" t="s">
        <v>1648</v>
      </c>
      <c r="G554" s="2">
        <v>0</v>
      </c>
      <c r="H554" s="2">
        <v>0</v>
      </c>
    </row>
    <row r="555" spans="1:9" x14ac:dyDescent="0.35">
      <c r="A555" s="1" t="s">
        <v>1169</v>
      </c>
      <c r="B555" s="1" t="s">
        <v>1170</v>
      </c>
      <c r="D555" s="1" t="s">
        <v>16</v>
      </c>
      <c r="E555" s="1" t="s">
        <v>39</v>
      </c>
      <c r="F555" s="1" t="s">
        <v>1649</v>
      </c>
      <c r="G555" s="2">
        <v>0</v>
      </c>
      <c r="H555" s="2">
        <v>0</v>
      </c>
    </row>
    <row r="556" spans="1:9" x14ac:dyDescent="0.35">
      <c r="A556" s="1" t="s">
        <v>1171</v>
      </c>
      <c r="B556" s="1" t="s">
        <v>1172</v>
      </c>
      <c r="D556" s="1" t="s">
        <v>16</v>
      </c>
      <c r="E556" s="1" t="s">
        <v>39</v>
      </c>
      <c r="F556" s="1" t="s">
        <v>1650</v>
      </c>
      <c r="G556" s="2">
        <v>0</v>
      </c>
      <c r="H556" s="2">
        <v>0</v>
      </c>
    </row>
    <row r="557" spans="1:9" x14ac:dyDescent="0.35">
      <c r="A557" s="1" t="s">
        <v>1173</v>
      </c>
      <c r="B557" s="1" t="s">
        <v>1174</v>
      </c>
      <c r="D557" s="1" t="s">
        <v>16</v>
      </c>
      <c r="E557" s="1" t="s">
        <v>6</v>
      </c>
      <c r="F557" s="1" t="s">
        <v>1651</v>
      </c>
      <c r="G557" s="2">
        <v>0</v>
      </c>
      <c r="H557" s="2">
        <v>0</v>
      </c>
    </row>
    <row r="558" spans="1:9" x14ac:dyDescent="0.35">
      <c r="A558" s="1" t="s">
        <v>1175</v>
      </c>
      <c r="B558" s="1" t="s">
        <v>1176</v>
      </c>
      <c r="D558" s="1" t="s">
        <v>16</v>
      </c>
      <c r="E558" s="1" t="s">
        <v>420</v>
      </c>
      <c r="F558" s="1" t="s">
        <v>1652</v>
      </c>
      <c r="G558" s="2">
        <v>0</v>
      </c>
      <c r="H558" s="2">
        <v>0</v>
      </c>
    </row>
    <row r="559" spans="1:9" x14ac:dyDescent="0.35">
      <c r="A559" s="1" t="s">
        <v>1177</v>
      </c>
      <c r="B559" s="1" t="s">
        <v>1178</v>
      </c>
      <c r="D559" s="1" t="s">
        <v>16</v>
      </c>
      <c r="E559" s="1" t="s">
        <v>16</v>
      </c>
      <c r="F559" s="1" t="s">
        <v>1653</v>
      </c>
      <c r="G559" s="2">
        <f>VLOOKUP(B559,[2]Sheet1!B$2:I$773,8,FALSE)</f>
        <v>350000</v>
      </c>
      <c r="H559" s="2">
        <v>0</v>
      </c>
      <c r="I559" s="27"/>
    </row>
    <row r="560" spans="1:9" x14ac:dyDescent="0.35">
      <c r="A560" s="1" t="s">
        <v>1179</v>
      </c>
      <c r="B560" s="1" t="s">
        <v>1180</v>
      </c>
      <c r="D560" s="1" t="s">
        <v>16</v>
      </c>
      <c r="E560" s="1" t="s">
        <v>16</v>
      </c>
      <c r="F560" s="1" t="s">
        <v>1654</v>
      </c>
      <c r="G560" s="2">
        <f>VLOOKUP(B560,[2]Sheet1!B$2:I$773,8,FALSE)</f>
        <v>0</v>
      </c>
      <c r="H560" s="2">
        <v>0</v>
      </c>
    </row>
    <row r="561" spans="1:9" x14ac:dyDescent="0.35">
      <c r="A561" s="1" t="s">
        <v>1181</v>
      </c>
      <c r="B561" s="1" t="s">
        <v>1182</v>
      </c>
      <c r="D561" s="1" t="s">
        <v>16</v>
      </c>
      <c r="E561" s="1" t="s">
        <v>420</v>
      </c>
      <c r="F561" s="1" t="s">
        <v>1655</v>
      </c>
      <c r="G561" s="2">
        <f>VLOOKUP(B561,'[1]REKAP POTONGAN'!B$6:D$93,3,FALSE)</f>
        <v>250000</v>
      </c>
      <c r="H561" s="2">
        <f>VLOOKUP(B561,'[1]REKAP POTONGAN'!B$6:C$93,2,FALSE)</f>
        <v>3402778</v>
      </c>
      <c r="I561" s="27"/>
    </row>
    <row r="562" spans="1:9" x14ac:dyDescent="0.35">
      <c r="A562" s="1" t="s">
        <v>1183</v>
      </c>
      <c r="B562" s="1" t="s">
        <v>1184</v>
      </c>
      <c r="D562" s="1" t="s">
        <v>16</v>
      </c>
      <c r="E562" s="1" t="s">
        <v>420</v>
      </c>
      <c r="F562" s="1" t="s">
        <v>1652</v>
      </c>
      <c r="G562" s="2">
        <f>VLOOKUP(B562,'[1]REKAP POTONGAN'!B$6:D$93,3,FALSE)</f>
        <v>250000</v>
      </c>
      <c r="H562" s="2">
        <f>VLOOKUP(B562,'[1]REKAP POTONGAN'!B$6:C$93,2,FALSE)</f>
        <v>0</v>
      </c>
      <c r="I562" s="27"/>
    </row>
    <row r="563" spans="1:9" x14ac:dyDescent="0.35">
      <c r="A563" s="1" t="s">
        <v>1185</v>
      </c>
      <c r="B563" s="1" t="s">
        <v>1186</v>
      </c>
      <c r="D563" s="1" t="s">
        <v>16</v>
      </c>
      <c r="E563" s="1" t="s">
        <v>16</v>
      </c>
      <c r="F563" s="1" t="s">
        <v>1656</v>
      </c>
      <c r="G563" s="2">
        <f>VLOOKUP(B563,[2]Sheet1!B$2:I$773,8,FALSE)</f>
        <v>250000</v>
      </c>
      <c r="H563" s="2">
        <v>0</v>
      </c>
      <c r="I563" s="27"/>
    </row>
    <row r="564" spans="1:9" x14ac:dyDescent="0.35">
      <c r="A564" s="1" t="s">
        <v>1187</v>
      </c>
      <c r="B564" s="1" t="s">
        <v>1188</v>
      </c>
      <c r="D564" s="1" t="s">
        <v>16</v>
      </c>
      <c r="E564" s="1" t="s">
        <v>16</v>
      </c>
      <c r="F564" s="1" t="s">
        <v>1657</v>
      </c>
      <c r="G564" s="2">
        <f>VLOOKUP(B564,[2]Sheet1!B$2:I$773,8,FALSE)</f>
        <v>0</v>
      </c>
      <c r="H564" s="2">
        <v>0</v>
      </c>
    </row>
    <row r="565" spans="1:9" x14ac:dyDescent="0.35">
      <c r="A565" s="1" t="s">
        <v>1189</v>
      </c>
      <c r="B565" s="1" t="s">
        <v>1190</v>
      </c>
      <c r="D565" s="1" t="s">
        <v>16</v>
      </c>
      <c r="E565" s="1" t="s">
        <v>16</v>
      </c>
      <c r="F565" s="1" t="s">
        <v>1467</v>
      </c>
      <c r="G565" s="2">
        <f>VLOOKUP(B565,[2]Sheet1!B$2:I$773,8,FALSE)</f>
        <v>0</v>
      </c>
      <c r="H565" s="2">
        <v>0</v>
      </c>
    </row>
    <row r="566" spans="1:9" x14ac:dyDescent="0.35">
      <c r="A566" s="1" t="s">
        <v>1191</v>
      </c>
      <c r="B566" s="1" t="s">
        <v>1192</v>
      </c>
      <c r="D566" s="1" t="s">
        <v>16</v>
      </c>
      <c r="E566" s="1" t="s">
        <v>16</v>
      </c>
      <c r="F566" s="1" t="s">
        <v>1658</v>
      </c>
      <c r="G566" s="2">
        <f>VLOOKUP(B566,[2]Sheet1!B$2:I$773,8,FALSE)</f>
        <v>0</v>
      </c>
      <c r="H566" s="2">
        <v>0</v>
      </c>
    </row>
    <row r="567" spans="1:9" x14ac:dyDescent="0.35">
      <c r="A567" s="1" t="s">
        <v>1193</v>
      </c>
      <c r="B567" s="1" t="s">
        <v>1194</v>
      </c>
      <c r="D567" s="1" t="s">
        <v>16</v>
      </c>
      <c r="E567" s="1" t="s">
        <v>16</v>
      </c>
      <c r="F567" s="1" t="s">
        <v>1536</v>
      </c>
      <c r="G567" s="2">
        <f>VLOOKUP(B567,[2]Sheet1!B$2:I$773,8,FALSE)</f>
        <v>100000</v>
      </c>
      <c r="H567" s="2">
        <v>0</v>
      </c>
      <c r="I567" s="27"/>
    </row>
    <row r="568" spans="1:9" x14ac:dyDescent="0.35">
      <c r="A568" s="1" t="s">
        <v>1195</v>
      </c>
      <c r="B568" s="1" t="s">
        <v>1196</v>
      </c>
      <c r="C568" s="1" t="s">
        <v>2027</v>
      </c>
      <c r="D568" s="1" t="s">
        <v>1197</v>
      </c>
      <c r="E568" s="1" t="s">
        <v>1197</v>
      </c>
      <c r="F568" s="1" t="s">
        <v>1659</v>
      </c>
      <c r="G568" s="2">
        <f>VLOOKUP(B568,[2]Sheet1!B$2:I$773,8,FALSE)</f>
        <v>350000</v>
      </c>
      <c r="H568" s="2">
        <f>VLOOKUP(B568,'[3]DAFTAR ALL'!B$8:D$68,3,FALSE)</f>
        <v>1733796</v>
      </c>
      <c r="I568" s="27"/>
    </row>
    <row r="569" spans="1:9" x14ac:dyDescent="0.35">
      <c r="A569" s="1" t="s">
        <v>1198</v>
      </c>
      <c r="B569" s="1" t="s">
        <v>1199</v>
      </c>
      <c r="C569" s="1" t="s">
        <v>2027</v>
      </c>
      <c r="D569" s="1" t="s">
        <v>1197</v>
      </c>
      <c r="E569" s="1" t="s">
        <v>1197</v>
      </c>
      <c r="F569" s="1" t="s">
        <v>1660</v>
      </c>
      <c r="G569" s="2">
        <f>VLOOKUP(B569,[2]Sheet1!B$2:I$773,8,FALSE)</f>
        <v>150000</v>
      </c>
      <c r="H569" s="2">
        <v>0</v>
      </c>
      <c r="I569" s="27"/>
    </row>
    <row r="570" spans="1:9" x14ac:dyDescent="0.35">
      <c r="A570" s="1" t="s">
        <v>1200</v>
      </c>
      <c r="B570" s="1" t="s">
        <v>1201</v>
      </c>
      <c r="D570" s="1" t="s">
        <v>1197</v>
      </c>
      <c r="E570" s="1" t="s">
        <v>1197</v>
      </c>
      <c r="F570" s="1" t="s">
        <v>1661</v>
      </c>
      <c r="G570" s="2">
        <f>VLOOKUP(B570,[2]Sheet1!B$2:I$773,8,FALSE)</f>
        <v>0</v>
      </c>
      <c r="H570" s="2">
        <v>0</v>
      </c>
    </row>
    <row r="571" spans="1:9" x14ac:dyDescent="0.35">
      <c r="A571" s="1" t="s">
        <v>1202</v>
      </c>
      <c r="B571" s="1" t="s">
        <v>1203</v>
      </c>
      <c r="C571" s="1" t="s">
        <v>2027</v>
      </c>
      <c r="D571" s="1" t="s">
        <v>1197</v>
      </c>
      <c r="E571" s="1" t="s">
        <v>1197</v>
      </c>
      <c r="F571" s="1" t="s">
        <v>1662</v>
      </c>
      <c r="G571" s="2">
        <f>VLOOKUP(B571,[2]Sheet1!B$2:I$773,8,FALSE)</f>
        <v>250000</v>
      </c>
      <c r="H571" s="2">
        <v>0</v>
      </c>
      <c r="I571" s="27"/>
    </row>
    <row r="572" spans="1:9" x14ac:dyDescent="0.35">
      <c r="A572" s="1" t="s">
        <v>1204</v>
      </c>
      <c r="B572" s="1" t="s">
        <v>1205</v>
      </c>
      <c r="D572" s="1" t="s">
        <v>1197</v>
      </c>
      <c r="E572" s="1" t="s">
        <v>1197</v>
      </c>
      <c r="F572" s="1" t="s">
        <v>1663</v>
      </c>
      <c r="G572" s="2">
        <f>VLOOKUP(B572,[2]Sheet1!B$2:I$773,8,FALSE)</f>
        <v>0</v>
      </c>
      <c r="H572" s="2">
        <v>0</v>
      </c>
    </row>
    <row r="573" spans="1:9" x14ac:dyDescent="0.35">
      <c r="A573" s="1" t="s">
        <v>1206</v>
      </c>
      <c r="B573" s="1" t="s">
        <v>1207</v>
      </c>
      <c r="C573" s="1" t="s">
        <v>2027</v>
      </c>
      <c r="D573" s="1" t="s">
        <v>1197</v>
      </c>
      <c r="E573" s="1" t="s">
        <v>1197</v>
      </c>
      <c r="F573" s="1" t="s">
        <v>1664</v>
      </c>
      <c r="G573" s="2">
        <f>VLOOKUP(B573,[2]Sheet1!B$2:I$773,8,FALSE)</f>
        <v>250000</v>
      </c>
      <c r="H573" s="2">
        <f>VLOOKUP(B573,'[3]DAFTAR ALL'!B$8:D$68,3,FALSE)</f>
        <v>3563351</v>
      </c>
      <c r="I573" s="27"/>
    </row>
    <row r="574" spans="1:9" x14ac:dyDescent="0.35">
      <c r="A574" s="1" t="s">
        <v>1208</v>
      </c>
      <c r="B574" s="1" t="s">
        <v>1209</v>
      </c>
      <c r="D574" s="1" t="s">
        <v>1210</v>
      </c>
      <c r="E574" s="1" t="s">
        <v>1210</v>
      </c>
      <c r="F574" s="1" t="s">
        <v>1665</v>
      </c>
      <c r="G574" s="2">
        <f>VLOOKUP(B574,[2]Sheet1!B$2:I$773,8,FALSE)</f>
        <v>0</v>
      </c>
      <c r="H574" s="2">
        <v>0</v>
      </c>
    </row>
    <row r="575" spans="1:9" x14ac:dyDescent="0.35">
      <c r="A575" s="1" t="s">
        <v>1211</v>
      </c>
      <c r="B575" s="1" t="s">
        <v>1212</v>
      </c>
      <c r="C575" s="1" t="s">
        <v>2027</v>
      </c>
      <c r="D575" s="1" t="s">
        <v>828</v>
      </c>
      <c r="E575" s="1" t="s">
        <v>828</v>
      </c>
      <c r="F575" s="1" t="s">
        <v>1666</v>
      </c>
      <c r="G575" s="2">
        <f>VLOOKUP(B575,[2]Sheet1!B$2:I$773,8,FALSE)</f>
        <v>350000</v>
      </c>
      <c r="H575" s="2">
        <f>VLOOKUP(B575,'[3]DAFTAR ALL'!B$8:D$68,3,FALSE)</f>
        <v>4708150</v>
      </c>
      <c r="I575" s="27"/>
    </row>
    <row r="576" spans="1:9" x14ac:dyDescent="0.35">
      <c r="A576" s="1" t="s">
        <v>1213</v>
      </c>
      <c r="B576" s="1" t="s">
        <v>1214</v>
      </c>
      <c r="C576" s="1" t="s">
        <v>2027</v>
      </c>
      <c r="D576" s="1" t="s">
        <v>1215</v>
      </c>
      <c r="E576" s="1" t="s">
        <v>1215</v>
      </c>
      <c r="F576" s="1" t="s">
        <v>1667</v>
      </c>
      <c r="G576" s="2">
        <f>VLOOKUP(B576,[2]Sheet1!B$2:I$773,8,FALSE)</f>
        <v>150000</v>
      </c>
      <c r="H576" s="2">
        <f>VLOOKUP(B576,'[3]DAFTAR ALL'!B$8:D$68,3,FALSE)</f>
        <v>2500000</v>
      </c>
      <c r="I576" s="27"/>
    </row>
    <row r="577" spans="1:9" x14ac:dyDescent="0.35">
      <c r="A577" s="1" t="s">
        <v>1216</v>
      </c>
      <c r="B577" s="1" t="s">
        <v>1217</v>
      </c>
      <c r="D577" s="1" t="s">
        <v>1215</v>
      </c>
      <c r="E577" s="1" t="s">
        <v>1215</v>
      </c>
      <c r="F577" s="1" t="s">
        <v>1668</v>
      </c>
      <c r="G577" s="2">
        <f>VLOOKUP(B577,[2]Sheet1!B$2:I$773,8,FALSE)</f>
        <v>250000</v>
      </c>
      <c r="H577" s="2">
        <v>0</v>
      </c>
      <c r="I577" s="27"/>
    </row>
    <row r="578" spans="1:9" x14ac:dyDescent="0.35">
      <c r="A578" s="4" t="s">
        <v>1218</v>
      </c>
      <c r="B578" s="4" t="s">
        <v>1219</v>
      </c>
      <c r="C578" s="4" t="s">
        <v>2027</v>
      </c>
      <c r="D578" s="4" t="s">
        <v>1215</v>
      </c>
      <c r="E578" s="4" t="s">
        <v>1215</v>
      </c>
      <c r="F578" s="4" t="s">
        <v>1669</v>
      </c>
      <c r="G578" s="97">
        <f>VLOOKUP(B578,[2]Sheet1!B$2:I$773,8,FALSE)</f>
        <v>0</v>
      </c>
      <c r="H578" s="97">
        <v>0</v>
      </c>
      <c r="I578" s="98" t="s">
        <v>2268</v>
      </c>
    </row>
    <row r="579" spans="1:9" x14ac:dyDescent="0.35">
      <c r="A579" s="1" t="s">
        <v>1220</v>
      </c>
      <c r="B579" s="1" t="s">
        <v>1221</v>
      </c>
      <c r="C579" s="1" t="s">
        <v>2027</v>
      </c>
      <c r="D579" s="1" t="s">
        <v>1215</v>
      </c>
      <c r="E579" s="1" t="s">
        <v>1215</v>
      </c>
      <c r="F579" s="1" t="s">
        <v>1670</v>
      </c>
      <c r="G579" s="2">
        <f>VLOOKUP(B579,[2]Sheet1!B$2:I$773,8,FALSE)</f>
        <v>150000</v>
      </c>
      <c r="H579" s="2">
        <v>0</v>
      </c>
      <c r="I579" s="27"/>
    </row>
    <row r="580" spans="1:9" x14ac:dyDescent="0.35">
      <c r="A580" s="1" t="s">
        <v>1222</v>
      </c>
      <c r="B580" s="1" t="s">
        <v>1223</v>
      </c>
      <c r="D580" s="1" t="s">
        <v>1215</v>
      </c>
      <c r="E580" s="1" t="s">
        <v>1215</v>
      </c>
      <c r="F580" s="1" t="s">
        <v>1671</v>
      </c>
      <c r="G580" s="2">
        <f>VLOOKUP(B580,[2]Sheet1!B$2:I$773,8,FALSE)</f>
        <v>350000</v>
      </c>
      <c r="H580" s="2">
        <f>VLOOKUP(B580,'[3]DAFTAR ALL'!B$8:D$68,3,FALSE)</f>
        <v>1500000</v>
      </c>
      <c r="I580" s="27"/>
    </row>
    <row r="581" spans="1:9" x14ac:dyDescent="0.35">
      <c r="A581" s="1" t="s">
        <v>1224</v>
      </c>
      <c r="B581" s="1" t="s">
        <v>1225</v>
      </c>
      <c r="D581" s="1" t="s">
        <v>1215</v>
      </c>
      <c r="E581" s="1" t="s">
        <v>1215</v>
      </c>
      <c r="F581" s="1" t="s">
        <v>1672</v>
      </c>
      <c r="G581" s="2">
        <f>VLOOKUP(B581,[2]Sheet1!B$2:I$773,8,FALSE)</f>
        <v>150000</v>
      </c>
      <c r="H581" s="2">
        <f>VLOOKUP(B581,'[3]DAFTAR ALL'!B$8:D$68,3,FALSE)</f>
        <v>2395833</v>
      </c>
      <c r="I581" s="27"/>
    </row>
    <row r="582" spans="1:9" x14ac:dyDescent="0.35">
      <c r="A582" s="1" t="s">
        <v>1226</v>
      </c>
      <c r="B582" s="1" t="s">
        <v>1227</v>
      </c>
      <c r="D582" s="1" t="s">
        <v>1215</v>
      </c>
      <c r="E582" s="1" t="s">
        <v>1215</v>
      </c>
      <c r="F582" s="1" t="s">
        <v>1673</v>
      </c>
      <c r="G582" s="2">
        <f>VLOOKUP(B582,[2]Sheet1!B$2:I$773,8,FALSE)</f>
        <v>0</v>
      </c>
      <c r="H582" s="2">
        <v>0</v>
      </c>
    </row>
    <row r="583" spans="1:9" x14ac:dyDescent="0.35">
      <c r="A583" s="1" t="s">
        <v>1228</v>
      </c>
      <c r="B583" s="1" t="s">
        <v>1229</v>
      </c>
      <c r="D583" s="1" t="s">
        <v>1230</v>
      </c>
      <c r="E583" s="1" t="s">
        <v>1230</v>
      </c>
      <c r="F583" s="1" t="s">
        <v>1674</v>
      </c>
      <c r="G583" s="2">
        <f>VLOOKUP(B583,[5]DAFTAR!B$8:C$42,2,FALSE)</f>
        <v>350000</v>
      </c>
      <c r="H583" s="2">
        <f>VLOOKUP(B583,[5]DAFTAR!B$8:E$42,4,FALSE)</f>
        <v>0</v>
      </c>
      <c r="I583" s="27"/>
    </row>
    <row r="584" spans="1:9" x14ac:dyDescent="0.35">
      <c r="A584" s="1" t="s">
        <v>1231</v>
      </c>
      <c r="B584" s="1" t="s">
        <v>1232</v>
      </c>
      <c r="D584" s="1" t="s">
        <v>1230</v>
      </c>
      <c r="E584" s="1" t="s">
        <v>1230</v>
      </c>
      <c r="F584" s="1" t="s">
        <v>1675</v>
      </c>
      <c r="G584" s="2">
        <f>VLOOKUP(B584,[5]DAFTAR!B$8:C$42,2,FALSE)</f>
        <v>150000</v>
      </c>
      <c r="H584" s="2">
        <f>VLOOKUP(B584,[5]DAFTAR!B$8:E$42,4,FALSE)</f>
        <v>1890628</v>
      </c>
      <c r="I584" s="27"/>
    </row>
    <row r="585" spans="1:9" x14ac:dyDescent="0.35">
      <c r="A585" s="1" t="s">
        <v>1233</v>
      </c>
      <c r="B585" s="1" t="s">
        <v>1234</v>
      </c>
      <c r="D585" s="1" t="s">
        <v>1230</v>
      </c>
      <c r="E585" s="1" t="s">
        <v>1230</v>
      </c>
      <c r="F585" s="1" t="s">
        <v>1676</v>
      </c>
      <c r="G585" s="2">
        <f>VLOOKUP(B585,[5]DAFTAR!B$8:C$42,2,FALSE)</f>
        <v>350000</v>
      </c>
      <c r="H585" s="2">
        <f>VLOOKUP(B585,[5]DAFTAR!B$8:E$42,4,FALSE)</f>
        <v>0</v>
      </c>
      <c r="I585" s="27"/>
    </row>
    <row r="586" spans="1:9" x14ac:dyDescent="0.35">
      <c r="A586" s="1" t="s">
        <v>1235</v>
      </c>
      <c r="B586" s="1" t="s">
        <v>1236</v>
      </c>
      <c r="D586" s="1" t="s">
        <v>1230</v>
      </c>
      <c r="E586" s="1" t="s">
        <v>1230</v>
      </c>
      <c r="F586" s="1" t="s">
        <v>1677</v>
      </c>
      <c r="G586" s="2">
        <f>VLOOKUP(B586,[5]DAFTAR!B$8:C$42,2,FALSE)</f>
        <v>250000</v>
      </c>
      <c r="H586" s="2">
        <f>VLOOKUP(B586,[5]DAFTAR!B$8:E$42,4,FALSE)</f>
        <v>3075835</v>
      </c>
      <c r="I586" s="27"/>
    </row>
    <row r="587" spans="1:9" x14ac:dyDescent="0.35">
      <c r="A587" s="1" t="s">
        <v>1237</v>
      </c>
      <c r="B587" s="1" t="s">
        <v>1238</v>
      </c>
      <c r="D587" s="1" t="s">
        <v>1230</v>
      </c>
      <c r="E587" s="1" t="s">
        <v>1230</v>
      </c>
      <c r="F587" s="1" t="s">
        <v>1678</v>
      </c>
      <c r="G587" s="2">
        <f>VLOOKUP(B587,[5]DAFTAR!B$8:C$42,2,FALSE)</f>
        <v>250000</v>
      </c>
      <c r="H587" s="2">
        <f>VLOOKUP(B587,[5]DAFTAR!B$8:E$42,4,FALSE)</f>
        <v>0</v>
      </c>
      <c r="I587" s="27"/>
    </row>
    <row r="588" spans="1:9" x14ac:dyDescent="0.35">
      <c r="A588" s="1" t="s">
        <v>1239</v>
      </c>
      <c r="B588" s="1" t="s">
        <v>1240</v>
      </c>
      <c r="D588" s="1" t="s">
        <v>1230</v>
      </c>
      <c r="E588" s="1" t="s">
        <v>1230</v>
      </c>
      <c r="F588" s="1" t="s">
        <v>1679</v>
      </c>
      <c r="G588" s="2">
        <f>VLOOKUP(B588,[5]DAFTAR!B$8:C$42,2,FALSE)</f>
        <v>150000</v>
      </c>
      <c r="H588" s="2">
        <f>VLOOKUP(B588,[5]DAFTAR!B$8:E$42,4,FALSE)</f>
        <v>2500000</v>
      </c>
      <c r="I588" s="27"/>
    </row>
    <row r="589" spans="1:9" x14ac:dyDescent="0.35">
      <c r="A589" s="1" t="s">
        <v>1241</v>
      </c>
      <c r="B589" s="1" t="s">
        <v>1242</v>
      </c>
      <c r="D589" s="1" t="s">
        <v>1230</v>
      </c>
      <c r="E589" s="1" t="s">
        <v>1230</v>
      </c>
      <c r="F589" s="1" t="s">
        <v>1680</v>
      </c>
      <c r="G589" s="2">
        <f>VLOOKUP(B589,[5]DAFTAR!B$8:C$42,2,FALSE)</f>
        <v>150000</v>
      </c>
      <c r="H589" s="2">
        <f>VLOOKUP(B589,[5]DAFTAR!B$8:E$42,4,FALSE)</f>
        <v>0</v>
      </c>
      <c r="I589" s="27"/>
    </row>
    <row r="590" spans="1:9" x14ac:dyDescent="0.35">
      <c r="A590" s="1" t="s">
        <v>1243</v>
      </c>
      <c r="B590" s="1" t="s">
        <v>1244</v>
      </c>
      <c r="D590" s="1" t="s">
        <v>1230</v>
      </c>
      <c r="E590" s="1" t="s">
        <v>1230</v>
      </c>
      <c r="F590" s="1" t="s">
        <v>1681</v>
      </c>
      <c r="G590" s="2">
        <f>VLOOKUP(B590,[5]DAFTAR!B$8:C$42,2,FALSE)</f>
        <v>250000</v>
      </c>
      <c r="H590" s="2">
        <f>VLOOKUP(B590,[5]DAFTAR!B$8:E$42,4,FALSE)</f>
        <v>0</v>
      </c>
      <c r="I590" s="27"/>
    </row>
    <row r="591" spans="1:9" x14ac:dyDescent="0.35">
      <c r="A591" s="1" t="s">
        <v>1245</v>
      </c>
      <c r="B591" s="1" t="s">
        <v>1246</v>
      </c>
      <c r="D591" s="1" t="s">
        <v>1230</v>
      </c>
      <c r="E591" s="1" t="s">
        <v>1230</v>
      </c>
      <c r="F591" s="1" t="s">
        <v>1682</v>
      </c>
      <c r="G591" s="2">
        <f>VLOOKUP(B591,[5]DAFTAR!B$8:C$42,2,FALSE)</f>
        <v>150000</v>
      </c>
      <c r="H591" s="2">
        <f>VLOOKUP(B591,[5]DAFTAR!B$8:E$42,4,FALSE)</f>
        <v>958333</v>
      </c>
      <c r="I591" s="27"/>
    </row>
    <row r="592" spans="1:9" x14ac:dyDescent="0.35">
      <c r="A592" s="1" t="s">
        <v>1247</v>
      </c>
      <c r="B592" s="1" t="s">
        <v>1248</v>
      </c>
      <c r="D592" s="1" t="s">
        <v>1230</v>
      </c>
      <c r="E592" s="1" t="s">
        <v>1230</v>
      </c>
      <c r="F592" s="1" t="s">
        <v>1682</v>
      </c>
      <c r="G592" s="2">
        <f>VLOOKUP(B592,[5]DAFTAR!B$8:C$42,2,FALSE)</f>
        <v>100000</v>
      </c>
      <c r="H592" s="2">
        <f>VLOOKUP(B592,[5]DAFTAR!B$8:E$42,4,FALSE)</f>
        <v>1700000</v>
      </c>
      <c r="I592" s="27"/>
    </row>
    <row r="593" spans="1:9" x14ac:dyDescent="0.35">
      <c r="A593" s="1" t="s">
        <v>1249</v>
      </c>
      <c r="B593" s="1" t="s">
        <v>1250</v>
      </c>
      <c r="D593" s="1" t="s">
        <v>1230</v>
      </c>
      <c r="E593" s="1" t="s">
        <v>1230</v>
      </c>
      <c r="F593" s="1" t="s">
        <v>1682</v>
      </c>
    </row>
    <row r="594" spans="1:9" x14ac:dyDescent="0.35">
      <c r="A594" s="1" t="s">
        <v>1251</v>
      </c>
      <c r="B594" s="1" t="s">
        <v>1252</v>
      </c>
      <c r="D594" s="1" t="s">
        <v>1230</v>
      </c>
      <c r="E594" s="1" t="s">
        <v>1230</v>
      </c>
      <c r="F594" s="1" t="s">
        <v>1682</v>
      </c>
      <c r="G594" s="2">
        <f>VLOOKUP(B594,[5]DAFTAR!B$8:C$42,2,FALSE)</f>
        <v>100000</v>
      </c>
      <c r="H594" s="2">
        <f>VLOOKUP(B594,[5]DAFTAR!B$8:E$42,4,FALSE)</f>
        <v>2400000</v>
      </c>
      <c r="I594" s="27"/>
    </row>
    <row r="595" spans="1:9" x14ac:dyDescent="0.35">
      <c r="A595" s="1" t="s">
        <v>1253</v>
      </c>
      <c r="B595" s="96" t="s">
        <v>1254</v>
      </c>
      <c r="D595" s="1" t="s">
        <v>1313</v>
      </c>
      <c r="E595" s="1" t="s">
        <v>1313</v>
      </c>
      <c r="F595" s="1" t="s">
        <v>1699</v>
      </c>
      <c r="G595" s="2">
        <f>VLOOKUP(B595,[6]DAFTAR!B$7:C$17,2,FALSE)</f>
        <v>150000</v>
      </c>
      <c r="H595" s="2">
        <f>VLOOKUP(B595,[6]DAFTAR!B$7:E$17,4,FALSE)</f>
        <v>0</v>
      </c>
      <c r="I595" s="27"/>
    </row>
    <row r="596" spans="1:9" x14ac:dyDescent="0.35">
      <c r="A596" s="1" t="s">
        <v>1255</v>
      </c>
      <c r="B596" s="1" t="s">
        <v>1256</v>
      </c>
      <c r="D596" s="1" t="s">
        <v>1230</v>
      </c>
      <c r="E596" s="1" t="s">
        <v>1230</v>
      </c>
      <c r="F596" s="1" t="s">
        <v>1682</v>
      </c>
      <c r="G596" s="2">
        <f>VLOOKUP(B596,[5]DAFTAR!B$8:C$42,2,FALSE)</f>
        <v>250000</v>
      </c>
      <c r="H596" s="2">
        <f>VLOOKUP(B596,[5]DAFTAR!B$8:E$42,4,FALSE)</f>
        <v>0</v>
      </c>
      <c r="I596" s="27"/>
    </row>
    <row r="597" spans="1:9" x14ac:dyDescent="0.35">
      <c r="A597" s="1" t="s">
        <v>1257</v>
      </c>
      <c r="B597" s="1" t="s">
        <v>1258</v>
      </c>
      <c r="D597" s="1" t="s">
        <v>1230</v>
      </c>
      <c r="E597" s="1" t="s">
        <v>1230</v>
      </c>
      <c r="F597" s="1" t="s">
        <v>1683</v>
      </c>
    </row>
    <row r="598" spans="1:9" x14ac:dyDescent="0.35">
      <c r="A598" s="1" t="s">
        <v>1259</v>
      </c>
      <c r="B598" s="1" t="s">
        <v>1260</v>
      </c>
      <c r="D598" s="1" t="s">
        <v>1230</v>
      </c>
      <c r="E598" s="1" t="s">
        <v>1230</v>
      </c>
      <c r="F598" s="1" t="s">
        <v>1683</v>
      </c>
      <c r="G598" s="2">
        <f>VLOOKUP(B598,[5]DAFTAR!B$8:C$42,2,FALSE)</f>
        <v>100000</v>
      </c>
      <c r="H598" s="2">
        <f>VLOOKUP(B598,[5]DAFTAR!B$8:E$42,4,FALSE)</f>
        <v>2500000</v>
      </c>
      <c r="I598" s="27"/>
    </row>
    <row r="599" spans="1:9" x14ac:dyDescent="0.35">
      <c r="A599" s="1" t="s">
        <v>1261</v>
      </c>
      <c r="B599" s="1" t="s">
        <v>1262</v>
      </c>
      <c r="D599" s="1" t="s">
        <v>1230</v>
      </c>
      <c r="E599" s="1" t="s">
        <v>1230</v>
      </c>
      <c r="F599" s="1" t="s">
        <v>1683</v>
      </c>
      <c r="G599" s="2">
        <f>VLOOKUP(B599,[5]DAFTAR!B$8:C$42,2,FALSE)</f>
        <v>100000</v>
      </c>
      <c r="H599" s="2">
        <f>VLOOKUP(B599,[5]DAFTAR!B$8:E$42,4,FALSE)</f>
        <v>0</v>
      </c>
      <c r="I599" s="27"/>
    </row>
    <row r="600" spans="1:9" x14ac:dyDescent="0.35">
      <c r="A600" s="1" t="s">
        <v>1263</v>
      </c>
      <c r="B600" s="1" t="s">
        <v>1264</v>
      </c>
      <c r="D600" s="1" t="s">
        <v>1230</v>
      </c>
      <c r="E600" s="1" t="s">
        <v>1230</v>
      </c>
      <c r="F600" s="1" t="s">
        <v>1683</v>
      </c>
      <c r="G600" s="2">
        <f>VLOOKUP(B600,[5]DAFTAR!B$8:C$42,2,FALSE)</f>
        <v>150000</v>
      </c>
      <c r="H600" s="2">
        <f>VLOOKUP(B600,[5]DAFTAR!B$8:E$42,4,FALSE)</f>
        <v>0</v>
      </c>
      <c r="I600" s="27"/>
    </row>
    <row r="601" spans="1:9" x14ac:dyDescent="0.35">
      <c r="A601" s="1" t="s">
        <v>1265</v>
      </c>
      <c r="B601" s="1" t="s">
        <v>1266</v>
      </c>
      <c r="D601" s="1" t="s">
        <v>1230</v>
      </c>
      <c r="E601" s="1" t="s">
        <v>1230</v>
      </c>
      <c r="F601" s="1" t="s">
        <v>1683</v>
      </c>
      <c r="G601" s="2">
        <f>VLOOKUP(B601,[5]DAFTAR!B$8:C$42,2,FALSE)</f>
        <v>150000</v>
      </c>
      <c r="H601" s="2">
        <f>VLOOKUP(B601,[5]DAFTAR!B$8:E$42,4,FALSE)</f>
        <v>0</v>
      </c>
      <c r="I601" s="27"/>
    </row>
    <row r="602" spans="1:9" x14ac:dyDescent="0.35">
      <c r="A602" s="1" t="s">
        <v>1267</v>
      </c>
      <c r="B602" s="1" t="s">
        <v>1268</v>
      </c>
      <c r="D602" s="1" t="s">
        <v>1230</v>
      </c>
      <c r="E602" s="1" t="s">
        <v>1230</v>
      </c>
      <c r="F602" s="1" t="s">
        <v>1683</v>
      </c>
      <c r="G602" s="2">
        <f>VLOOKUP(B602,[5]DAFTAR!B$8:C$42,2,FALSE)</f>
        <v>150000</v>
      </c>
      <c r="H602" s="2">
        <f>VLOOKUP(B602,[5]DAFTAR!B$8:E$42,4,FALSE)</f>
        <v>0</v>
      </c>
      <c r="I602" s="27"/>
    </row>
    <row r="603" spans="1:9" x14ac:dyDescent="0.35">
      <c r="A603" s="1" t="s">
        <v>1269</v>
      </c>
      <c r="B603" s="1" t="s">
        <v>1270</v>
      </c>
      <c r="D603" s="1" t="s">
        <v>1230</v>
      </c>
      <c r="E603" s="1" t="s">
        <v>1230</v>
      </c>
      <c r="F603" s="1" t="s">
        <v>1683</v>
      </c>
      <c r="G603" s="2">
        <f>VLOOKUP(B603,[5]DAFTAR!B$8:C$42,2,FALSE)</f>
        <v>150000</v>
      </c>
      <c r="H603" s="2">
        <f>VLOOKUP(B603,[5]DAFTAR!B$8:E$42,4,FALSE)</f>
        <v>985417</v>
      </c>
      <c r="I603" s="27"/>
    </row>
    <row r="604" spans="1:9" x14ac:dyDescent="0.35">
      <c r="A604" s="1" t="s">
        <v>1271</v>
      </c>
      <c r="B604" s="1" t="s">
        <v>1272</v>
      </c>
      <c r="D604" s="1" t="s">
        <v>1230</v>
      </c>
      <c r="E604" s="1" t="s">
        <v>1230</v>
      </c>
      <c r="F604" s="1" t="s">
        <v>1683</v>
      </c>
      <c r="G604" s="2">
        <f>VLOOKUP(B604,[5]DAFTAR!B$8:C$42,2,FALSE)</f>
        <v>100000</v>
      </c>
      <c r="H604" s="2">
        <f>VLOOKUP(B604,[5]DAFTAR!B$8:E$42,4,FALSE)</f>
        <v>2500000</v>
      </c>
      <c r="I604" s="27"/>
    </row>
    <row r="605" spans="1:9" x14ac:dyDescent="0.35">
      <c r="A605" s="1" t="s">
        <v>1273</v>
      </c>
      <c r="B605" s="1" t="s">
        <v>1274</v>
      </c>
      <c r="D605" s="1" t="s">
        <v>1230</v>
      </c>
      <c r="E605" s="1" t="s">
        <v>1230</v>
      </c>
      <c r="F605" s="1" t="s">
        <v>1684</v>
      </c>
    </row>
    <row r="606" spans="1:9" x14ac:dyDescent="0.35">
      <c r="A606" s="1" t="s">
        <v>1275</v>
      </c>
      <c r="B606" s="1" t="s">
        <v>1276</v>
      </c>
      <c r="D606" s="1" t="s">
        <v>1230</v>
      </c>
      <c r="E606" s="1" t="s">
        <v>1230</v>
      </c>
      <c r="F606" s="1" t="s">
        <v>1684</v>
      </c>
      <c r="G606" s="2">
        <f>VLOOKUP(B606,[5]DAFTAR!B$8:C$42,2,FALSE)</f>
        <v>150000</v>
      </c>
      <c r="H606" s="2">
        <f>VLOOKUP(B606,[5]DAFTAR!B$8:E$42,4,FALSE)</f>
        <v>2041667</v>
      </c>
      <c r="I606" s="27"/>
    </row>
    <row r="607" spans="1:9" x14ac:dyDescent="0.35">
      <c r="A607" s="1" t="s">
        <v>1277</v>
      </c>
      <c r="B607" s="1" t="s">
        <v>1278</v>
      </c>
      <c r="D607" s="1" t="s">
        <v>1230</v>
      </c>
      <c r="E607" s="1" t="s">
        <v>1230</v>
      </c>
      <c r="F607" s="1" t="s">
        <v>1684</v>
      </c>
    </row>
    <row r="608" spans="1:9" x14ac:dyDescent="0.35">
      <c r="A608" s="1" t="s">
        <v>1279</v>
      </c>
      <c r="B608" s="1" t="s">
        <v>1280</v>
      </c>
      <c r="D608" s="1" t="s">
        <v>1230</v>
      </c>
      <c r="E608" s="1" t="s">
        <v>1230</v>
      </c>
      <c r="F608" s="1" t="s">
        <v>1684</v>
      </c>
    </row>
    <row r="609" spans="1:9" x14ac:dyDescent="0.35">
      <c r="A609" s="1" t="s">
        <v>1281</v>
      </c>
      <c r="B609" s="1" t="s">
        <v>1282</v>
      </c>
      <c r="D609" s="1" t="s">
        <v>1230</v>
      </c>
      <c r="E609" s="1" t="s">
        <v>1230</v>
      </c>
      <c r="F609" s="1" t="s">
        <v>1684</v>
      </c>
    </row>
    <row r="610" spans="1:9" x14ac:dyDescent="0.35">
      <c r="A610" s="1" t="s">
        <v>1283</v>
      </c>
      <c r="B610" s="1" t="s">
        <v>1284</v>
      </c>
      <c r="D610" s="1" t="s">
        <v>1230</v>
      </c>
      <c r="E610" s="1" t="s">
        <v>1230</v>
      </c>
      <c r="F610" s="1" t="s">
        <v>1684</v>
      </c>
      <c r="G610" s="2">
        <f>VLOOKUP(B610,[5]DAFTAR!B$8:C$42,2,FALSE)</f>
        <v>150000</v>
      </c>
      <c r="H610" s="2">
        <f>VLOOKUP(B610,[5]DAFTAR!B$8:E$42,4,FALSE)</f>
        <v>2500000</v>
      </c>
      <c r="I610" s="27"/>
    </row>
    <row r="611" spans="1:9" x14ac:dyDescent="0.35">
      <c r="A611" s="1" t="s">
        <v>1285</v>
      </c>
      <c r="B611" s="1" t="s">
        <v>1286</v>
      </c>
      <c r="D611" s="1" t="s">
        <v>1230</v>
      </c>
      <c r="E611" s="1" t="s">
        <v>1230</v>
      </c>
      <c r="F611" s="1" t="s">
        <v>1392</v>
      </c>
      <c r="G611" s="2">
        <f>VLOOKUP(B611,[5]DAFTAR!B$8:C$42,2,FALSE)</f>
        <v>150000</v>
      </c>
      <c r="H611" s="2">
        <f>VLOOKUP(B611,[5]DAFTAR!B$8:E$42,4,FALSE)</f>
        <v>0</v>
      </c>
      <c r="I611" s="27"/>
    </row>
    <row r="612" spans="1:9" x14ac:dyDescent="0.35">
      <c r="A612" s="1" t="s">
        <v>1287</v>
      </c>
      <c r="B612" s="1" t="s">
        <v>1288</v>
      </c>
      <c r="D612" s="1" t="s">
        <v>1230</v>
      </c>
      <c r="E612" s="1" t="s">
        <v>1230</v>
      </c>
      <c r="F612" s="1" t="s">
        <v>1685</v>
      </c>
      <c r="G612" s="2">
        <f>VLOOKUP(B612,[5]DAFTAR!B$8:C$42,2,FALSE)</f>
        <v>100000</v>
      </c>
      <c r="H612" s="2">
        <f>VLOOKUP(B612,[5]DAFTAR!B$8:E$42,4,FALSE)</f>
        <v>5075758</v>
      </c>
      <c r="I612" s="27"/>
    </row>
    <row r="613" spans="1:9" x14ac:dyDescent="0.35">
      <c r="A613" s="1" t="s">
        <v>1289</v>
      </c>
      <c r="B613" s="1" t="s">
        <v>1290</v>
      </c>
      <c r="D613" s="1" t="s">
        <v>1230</v>
      </c>
      <c r="E613" s="1" t="s">
        <v>1230</v>
      </c>
      <c r="F613" s="1" t="s">
        <v>1686</v>
      </c>
    </row>
    <row r="614" spans="1:9" x14ac:dyDescent="0.35">
      <c r="A614" s="1" t="s">
        <v>1291</v>
      </c>
      <c r="B614" s="1" t="s">
        <v>1292</v>
      </c>
      <c r="D614" s="1" t="s">
        <v>1230</v>
      </c>
      <c r="E614" s="1" t="s">
        <v>1230</v>
      </c>
      <c r="F614" s="1" t="s">
        <v>1687</v>
      </c>
      <c r="G614" s="2">
        <f>VLOOKUP(B614,[5]DAFTAR!B$8:C$42,2,FALSE)</f>
        <v>150000</v>
      </c>
      <c r="H614" s="2">
        <f>VLOOKUP(B614,[5]DAFTAR!B$8:E$42,4,FALSE)</f>
        <v>3408467</v>
      </c>
      <c r="I614" s="27"/>
    </row>
    <row r="615" spans="1:9" x14ac:dyDescent="0.35">
      <c r="A615" s="1" t="s">
        <v>1293</v>
      </c>
      <c r="B615" s="1" t="s">
        <v>1294</v>
      </c>
      <c r="D615" s="1" t="s">
        <v>1230</v>
      </c>
      <c r="E615" s="1" t="s">
        <v>1230</v>
      </c>
      <c r="F615" s="1" t="s">
        <v>1687</v>
      </c>
      <c r="G615" s="2">
        <f>VLOOKUP(B615,[5]DAFTAR!B$8:C$42,2,FALSE)</f>
        <v>350000</v>
      </c>
      <c r="H615" s="2">
        <f>VLOOKUP(B615,[5]DAFTAR!B$8:E$42,4,FALSE)</f>
        <v>0</v>
      </c>
      <c r="I615" s="27"/>
    </row>
    <row r="616" spans="1:9" x14ac:dyDescent="0.35">
      <c r="A616" s="1" t="s">
        <v>1295</v>
      </c>
      <c r="B616" s="1" t="s">
        <v>1296</v>
      </c>
      <c r="D616" s="1" t="s">
        <v>1230</v>
      </c>
      <c r="E616" s="1" t="s">
        <v>1230</v>
      </c>
      <c r="F616" s="1" t="s">
        <v>1688</v>
      </c>
      <c r="G616" s="2">
        <f>VLOOKUP(B616,[5]DAFTAR!B$8:C$42,2,FALSE)</f>
        <v>250000</v>
      </c>
      <c r="H616" s="2">
        <f>VLOOKUP(B616,[5]DAFTAR!B$8:E$42,4,FALSE)</f>
        <v>0</v>
      </c>
      <c r="I616" s="27"/>
    </row>
    <row r="617" spans="1:9" x14ac:dyDescent="0.35">
      <c r="A617" s="1" t="s">
        <v>1297</v>
      </c>
      <c r="B617" s="1" t="s">
        <v>1298</v>
      </c>
      <c r="D617" s="1" t="s">
        <v>1230</v>
      </c>
      <c r="E617" s="1" t="s">
        <v>1230</v>
      </c>
      <c r="F617" s="1" t="s">
        <v>1689</v>
      </c>
      <c r="G617" s="2">
        <f>VLOOKUP(B617,[5]DAFTAR!B$8:C$42,2,FALSE)</f>
        <v>150000</v>
      </c>
      <c r="H617" s="2">
        <f>VLOOKUP(B617,[5]DAFTAR!B$8:E$42,4,FALSE)</f>
        <v>4863285</v>
      </c>
      <c r="I617" s="27"/>
    </row>
    <row r="618" spans="1:9" x14ac:dyDescent="0.35">
      <c r="A618" s="1" t="s">
        <v>1299</v>
      </c>
      <c r="B618" s="1" t="s">
        <v>1300</v>
      </c>
      <c r="D618" s="1" t="s">
        <v>1230</v>
      </c>
      <c r="E618" s="1" t="s">
        <v>1230</v>
      </c>
      <c r="F618" s="1" t="s">
        <v>1689</v>
      </c>
      <c r="G618" s="2">
        <f>VLOOKUP(B618,[5]DAFTAR!B$8:C$42,2,FALSE)</f>
        <v>150000</v>
      </c>
      <c r="H618" s="2">
        <f>VLOOKUP(B618,[5]DAFTAR!B$8:E$42,4,FALSE)</f>
        <v>2500000</v>
      </c>
      <c r="I618" s="27"/>
    </row>
    <row r="619" spans="1:9" x14ac:dyDescent="0.35">
      <c r="A619" s="1" t="s">
        <v>1301</v>
      </c>
      <c r="B619" s="1" t="s">
        <v>1302</v>
      </c>
      <c r="D619" s="1" t="s">
        <v>1230</v>
      </c>
      <c r="E619" s="1" t="s">
        <v>1230</v>
      </c>
      <c r="F619" s="1" t="s">
        <v>1689</v>
      </c>
      <c r="G619" s="2">
        <f>VLOOKUP(B619,[5]DAFTAR!B$8:C$42,2,FALSE)</f>
        <v>150000</v>
      </c>
      <c r="H619" s="2">
        <f>VLOOKUP(B619,[5]DAFTAR!B$8:E$42,4,FALSE)</f>
        <v>1625122</v>
      </c>
      <c r="I619" s="27"/>
    </row>
    <row r="620" spans="1:9" x14ac:dyDescent="0.35">
      <c r="A620" s="1" t="s">
        <v>1303</v>
      </c>
      <c r="B620" s="1" t="s">
        <v>1304</v>
      </c>
      <c r="D620" s="1" t="s">
        <v>1230</v>
      </c>
      <c r="E620" s="1" t="s">
        <v>1230</v>
      </c>
      <c r="F620" s="1" t="s">
        <v>1690</v>
      </c>
      <c r="G620" s="2">
        <f>VLOOKUP(B620,[5]DAFTAR!B$8:C$42,2,FALSE)</f>
        <v>350000</v>
      </c>
      <c r="H620" s="2">
        <f>VLOOKUP(B620,[5]DAFTAR!B$8:E$42,4,FALSE)</f>
        <v>2500000</v>
      </c>
      <c r="I620" s="27"/>
    </row>
    <row r="621" spans="1:9" x14ac:dyDescent="0.35">
      <c r="A621" s="1" t="s">
        <v>1305</v>
      </c>
      <c r="B621" s="1" t="s">
        <v>1306</v>
      </c>
      <c r="D621" s="1" t="s">
        <v>1230</v>
      </c>
      <c r="E621" s="1" t="s">
        <v>1230</v>
      </c>
      <c r="F621" s="1" t="s">
        <v>1691</v>
      </c>
      <c r="G621" s="2">
        <v>0</v>
      </c>
      <c r="H621" s="2">
        <v>0</v>
      </c>
    </row>
    <row r="622" spans="1:9" x14ac:dyDescent="0.35">
      <c r="A622" s="1" t="s">
        <v>1307</v>
      </c>
      <c r="B622" s="1" t="s">
        <v>1308</v>
      </c>
      <c r="D622" s="1" t="s">
        <v>1230</v>
      </c>
      <c r="E622" s="1" t="s">
        <v>1230</v>
      </c>
      <c r="F622" s="1" t="s">
        <v>1692</v>
      </c>
      <c r="G622" s="2">
        <v>0</v>
      </c>
      <c r="H622" s="2">
        <v>0</v>
      </c>
    </row>
    <row r="623" spans="1:9" x14ac:dyDescent="0.35">
      <c r="A623" s="1" t="s">
        <v>1309</v>
      </c>
      <c r="B623" s="1" t="s">
        <v>1310</v>
      </c>
      <c r="D623" s="1" t="s">
        <v>1230</v>
      </c>
      <c r="E623" s="1" t="s">
        <v>1230</v>
      </c>
      <c r="F623" s="1" t="s">
        <v>1693</v>
      </c>
      <c r="G623" s="2">
        <f>VLOOKUP(B623,[5]DAFTAR!B$8:C$42,2,FALSE)</f>
        <v>150000</v>
      </c>
      <c r="H623" s="2">
        <f>VLOOKUP(B623,[5]DAFTAR!B$8:E$42,4,FALSE)</f>
        <v>2125000</v>
      </c>
      <c r="I623" s="27"/>
    </row>
    <row r="624" spans="1:9" x14ac:dyDescent="0.35">
      <c r="A624" s="1" t="s">
        <v>1311</v>
      </c>
      <c r="B624" s="1" t="s">
        <v>1312</v>
      </c>
      <c r="D624" s="1" t="s">
        <v>1313</v>
      </c>
      <c r="E624" s="1" t="s">
        <v>1313</v>
      </c>
      <c r="F624" s="1" t="s">
        <v>1694</v>
      </c>
      <c r="G624" s="2">
        <f>VLOOKUP(B624,[6]DAFTAR!B$7:C$17,2,FALSE)</f>
        <v>350000</v>
      </c>
      <c r="H624" s="2">
        <f>VLOOKUP(B624,[6]DAFTAR!B$7:E$17,4,FALSE)</f>
        <v>0</v>
      </c>
      <c r="I624" s="27"/>
    </row>
    <row r="625" spans="1:9" x14ac:dyDescent="0.35">
      <c r="A625" s="1" t="s">
        <v>1314</v>
      </c>
      <c r="B625" s="1" t="s">
        <v>1315</v>
      </c>
      <c r="D625" s="1" t="s">
        <v>1313</v>
      </c>
      <c r="E625" s="1" t="s">
        <v>1313</v>
      </c>
      <c r="F625" s="1" t="s">
        <v>1695</v>
      </c>
    </row>
    <row r="626" spans="1:9" x14ac:dyDescent="0.35">
      <c r="A626" s="1" t="s">
        <v>1316</v>
      </c>
      <c r="B626" s="1" t="s">
        <v>1317</v>
      </c>
      <c r="D626" s="1" t="s">
        <v>1313</v>
      </c>
      <c r="E626" s="1" t="s">
        <v>1313</v>
      </c>
      <c r="F626" s="1" t="s">
        <v>1696</v>
      </c>
      <c r="G626" s="2">
        <f>VLOOKUP(B626,[6]DAFTAR!B$7:C$17,2,FALSE)</f>
        <v>350000</v>
      </c>
      <c r="H626" s="2">
        <f>VLOOKUP(B626,[6]DAFTAR!B$7:E$17,4,FALSE)</f>
        <v>0</v>
      </c>
      <c r="I626" s="27"/>
    </row>
    <row r="627" spans="1:9" x14ac:dyDescent="0.35">
      <c r="A627" s="1" t="s">
        <v>1318</v>
      </c>
      <c r="B627" s="1" t="s">
        <v>1319</v>
      </c>
      <c r="D627" s="1" t="s">
        <v>1313</v>
      </c>
      <c r="E627" s="1" t="s">
        <v>1320</v>
      </c>
      <c r="F627" s="1" t="s">
        <v>1697</v>
      </c>
    </row>
    <row r="628" spans="1:9" x14ac:dyDescent="0.35">
      <c r="A628" s="1" t="s">
        <v>1321</v>
      </c>
      <c r="B628" s="1" t="s">
        <v>1322</v>
      </c>
      <c r="D628" s="1" t="s">
        <v>1313</v>
      </c>
      <c r="E628" s="1" t="s">
        <v>1313</v>
      </c>
      <c r="F628" s="1" t="s">
        <v>1697</v>
      </c>
      <c r="G628" s="2">
        <f>VLOOKUP(B628,[6]DAFTAR!B$7:C$17,2,FALSE)</f>
        <v>150000</v>
      </c>
      <c r="H628" s="2">
        <f>VLOOKUP(B628,[6]DAFTAR!B$7:E$17,4,FALSE)</f>
        <v>0</v>
      </c>
      <c r="I628" s="27"/>
    </row>
    <row r="629" spans="1:9" x14ac:dyDescent="0.35">
      <c r="A629" s="1" t="s">
        <v>1323</v>
      </c>
      <c r="B629" s="1" t="s">
        <v>1324</v>
      </c>
      <c r="D629" s="1" t="s">
        <v>1313</v>
      </c>
      <c r="E629" s="1" t="s">
        <v>1320</v>
      </c>
      <c r="F629" s="1" t="s">
        <v>1697</v>
      </c>
    </row>
    <row r="630" spans="1:9" x14ac:dyDescent="0.35">
      <c r="A630" s="1" t="s">
        <v>1325</v>
      </c>
      <c r="B630" s="1" t="s">
        <v>1326</v>
      </c>
      <c r="D630" s="1" t="s">
        <v>1313</v>
      </c>
      <c r="E630" s="1" t="s">
        <v>1320</v>
      </c>
      <c r="F630" s="1" t="s">
        <v>1698</v>
      </c>
    </row>
    <row r="631" spans="1:9" x14ac:dyDescent="0.35">
      <c r="A631" s="1" t="s">
        <v>1327</v>
      </c>
      <c r="B631" s="1" t="s">
        <v>1328</v>
      </c>
      <c r="D631" s="1" t="s">
        <v>1313</v>
      </c>
      <c r="E631" s="1" t="s">
        <v>1313</v>
      </c>
      <c r="F631" s="1" t="s">
        <v>1381</v>
      </c>
      <c r="G631" s="2">
        <f>VLOOKUP(B631,[6]DAFTAR!B$7:C$17,2,FALSE)</f>
        <v>100000</v>
      </c>
      <c r="H631" s="2">
        <f>VLOOKUP(B631,[6]DAFTAR!B$7:E$17,4,FALSE)</f>
        <v>1000000</v>
      </c>
      <c r="I631" s="27"/>
    </row>
    <row r="632" spans="1:9" x14ac:dyDescent="0.35">
      <c r="A632" s="1" t="s">
        <v>1329</v>
      </c>
      <c r="B632" s="96" t="s">
        <v>1330</v>
      </c>
      <c r="D632" s="1" t="s">
        <v>1230</v>
      </c>
      <c r="E632" s="1" t="s">
        <v>1230</v>
      </c>
      <c r="F632" s="1" t="s">
        <v>1381</v>
      </c>
      <c r="G632" s="2">
        <f>VLOOKUP(B632,[5]DAFTAR!B$8:C$42,2,FALSE)</f>
        <v>150000</v>
      </c>
      <c r="H632" s="2">
        <f>VLOOKUP(B632,[5]DAFTAR!B$8:E$42,4,FALSE)</f>
        <v>0</v>
      </c>
      <c r="I632" s="27"/>
    </row>
    <row r="633" spans="1:9" x14ac:dyDescent="0.35">
      <c r="A633" s="1" t="s">
        <v>1331</v>
      </c>
      <c r="B633" s="1" t="s">
        <v>1332</v>
      </c>
      <c r="D633" s="1" t="s">
        <v>1313</v>
      </c>
      <c r="E633" s="1" t="s">
        <v>1313</v>
      </c>
      <c r="F633" s="1" t="s">
        <v>1381</v>
      </c>
      <c r="G633" s="2">
        <f>VLOOKUP(B633,[6]DAFTAR!B$7:C$17,2,FALSE)</f>
        <v>100000</v>
      </c>
      <c r="H633" s="2">
        <f>VLOOKUP(B633,[6]DAFTAR!B$7:E$17,4,FALSE)</f>
        <v>1000000</v>
      </c>
      <c r="I633" s="27"/>
    </row>
    <row r="634" spans="1:9" x14ac:dyDescent="0.35">
      <c r="A634" s="1" t="s">
        <v>1333</v>
      </c>
      <c r="B634" s="1" t="s">
        <v>1334</v>
      </c>
      <c r="D634" s="1" t="s">
        <v>1313</v>
      </c>
      <c r="E634" s="1" t="s">
        <v>1313</v>
      </c>
      <c r="F634" s="1" t="s">
        <v>1381</v>
      </c>
      <c r="G634" s="2">
        <f>VLOOKUP(B634,[6]DAFTAR!B$7:C$17,2,FALSE)</f>
        <v>100000</v>
      </c>
      <c r="H634" s="2">
        <f>VLOOKUP(B634,[6]DAFTAR!B$7:E$17,4,FALSE)</f>
        <v>0</v>
      </c>
      <c r="I634" s="27"/>
    </row>
    <row r="635" spans="1:9" x14ac:dyDescent="0.35">
      <c r="A635" s="1" t="s">
        <v>1335</v>
      </c>
      <c r="B635" s="96" t="s">
        <v>1336</v>
      </c>
      <c r="D635" s="1" t="s">
        <v>1230</v>
      </c>
      <c r="E635" s="1" t="s">
        <v>1230</v>
      </c>
      <c r="F635" s="1" t="s">
        <v>2266</v>
      </c>
      <c r="G635" s="2">
        <f>VLOOKUP(B635,[5]DAFTAR!B$8:C$42,2,FALSE)</f>
        <v>350000</v>
      </c>
      <c r="H635" s="2">
        <f>VLOOKUP(B635,[5]DAFTAR!B$8:E$42,4,FALSE)</f>
        <v>11907733</v>
      </c>
      <c r="I635" s="27"/>
    </row>
    <row r="636" spans="1:9" x14ac:dyDescent="0.35">
      <c r="A636" s="1" t="s">
        <v>1337</v>
      </c>
      <c r="B636" s="1" t="s">
        <v>1338</v>
      </c>
      <c r="D636" s="1" t="s">
        <v>1313</v>
      </c>
      <c r="E636" s="1" t="s">
        <v>1313</v>
      </c>
      <c r="F636" s="1" t="s">
        <v>1697</v>
      </c>
      <c r="G636" s="2">
        <f>VLOOKUP(B636,[6]DAFTAR!B$7:C$17,2,FALSE)</f>
        <v>350000</v>
      </c>
      <c r="H636" s="2">
        <f>VLOOKUP(B636,[6]DAFTAR!B$7:E$17,4,FALSE)</f>
        <v>0</v>
      </c>
      <c r="I636" s="27"/>
    </row>
    <row r="637" spans="1:9" x14ac:dyDescent="0.35">
      <c r="A637" s="1" t="s">
        <v>1340</v>
      </c>
      <c r="B637" s="1" t="s">
        <v>1341</v>
      </c>
      <c r="D637" s="1" t="s">
        <v>1313</v>
      </c>
      <c r="E637" s="1" t="s">
        <v>1313</v>
      </c>
      <c r="F637" s="1" t="s">
        <v>1699</v>
      </c>
      <c r="G637" s="2">
        <f>VLOOKUP(B637,[6]DAFTAR!B$7:C$17,2,FALSE)</f>
        <v>100000</v>
      </c>
      <c r="H637" s="2">
        <f>VLOOKUP(B637,[6]DAFTAR!B$7:E$17,4,FALSE)</f>
        <v>0</v>
      </c>
      <c r="I637" s="27"/>
    </row>
    <row r="638" spans="1:9" x14ac:dyDescent="0.35">
      <c r="A638" s="1" t="s">
        <v>1342</v>
      </c>
      <c r="B638" s="1" t="s">
        <v>1343</v>
      </c>
      <c r="D638" s="1" t="s">
        <v>1313</v>
      </c>
      <c r="E638" s="1" t="s">
        <v>1313</v>
      </c>
      <c r="F638" s="1" t="s">
        <v>1451</v>
      </c>
      <c r="G638" s="2">
        <f>VLOOKUP(B638,[6]DAFTAR!B$7:C$17,2,FALSE)</f>
        <v>350000</v>
      </c>
      <c r="H638" s="2">
        <f>VLOOKUP(B638,[6]DAFTAR!B$7:E$17,4,FALSE)</f>
        <v>0</v>
      </c>
      <c r="I638" s="27"/>
    </row>
    <row r="639" spans="1:9" x14ac:dyDescent="0.35">
      <c r="A639" s="1" t="s">
        <v>1344</v>
      </c>
      <c r="B639" s="96" t="s">
        <v>1345</v>
      </c>
      <c r="D639" s="1" t="s">
        <v>1230</v>
      </c>
      <c r="E639" s="1" t="s">
        <v>1230</v>
      </c>
      <c r="F639" s="1" t="s">
        <v>1682</v>
      </c>
      <c r="G639" s="2">
        <f>VLOOKUP(B639,[5]DAFTAR!B$8:C$42,2,FALSE)</f>
        <v>150000</v>
      </c>
      <c r="H639" s="2">
        <f>VLOOKUP(B639,[5]DAFTAR!B$8:E$42,4,FALSE)</f>
        <v>1000000</v>
      </c>
      <c r="I639" s="27"/>
    </row>
    <row r="640" spans="1:9" x14ac:dyDescent="0.35">
      <c r="A640" s="1" t="s">
        <v>1346</v>
      </c>
      <c r="B640" s="1" t="s">
        <v>1347</v>
      </c>
      <c r="D640" s="1" t="s">
        <v>1313</v>
      </c>
      <c r="E640" s="1" t="s">
        <v>1339</v>
      </c>
      <c r="F640" s="1" t="s">
        <v>1698</v>
      </c>
    </row>
    <row r="641" spans="1:9" x14ac:dyDescent="0.35">
      <c r="A641" s="1" t="s">
        <v>1348</v>
      </c>
      <c r="B641" s="1" t="s">
        <v>1349</v>
      </c>
      <c r="D641" s="1" t="s">
        <v>1313</v>
      </c>
      <c r="E641" s="1" t="s">
        <v>1313</v>
      </c>
      <c r="F641" s="1" t="s">
        <v>1381</v>
      </c>
      <c r="G641" s="2">
        <f>VLOOKUP(B641,[6]DAFTAR!B$7:C$17,2,FALSE)</f>
        <v>100000</v>
      </c>
      <c r="H641" s="2">
        <f>VLOOKUP(B641,[6]DAFTAR!B$7:E$17,4,FALSE)</f>
        <v>0</v>
      </c>
      <c r="I641" s="27"/>
    </row>
    <row r="642" spans="1:9" x14ac:dyDescent="0.35">
      <c r="A642" s="1" t="s">
        <v>1350</v>
      </c>
      <c r="B642" s="1" t="s">
        <v>1351</v>
      </c>
      <c r="D642" s="1" t="s">
        <v>1352</v>
      </c>
      <c r="E642" s="1" t="s">
        <v>1352</v>
      </c>
      <c r="F642" s="1" t="s">
        <v>1700</v>
      </c>
      <c r="G642" s="2">
        <v>500000</v>
      </c>
      <c r="H642" s="2">
        <v>0</v>
      </c>
      <c r="I642" s="27"/>
    </row>
    <row r="643" spans="1:9" x14ac:dyDescent="0.35">
      <c r="A643" s="1" t="s">
        <v>1353</v>
      </c>
      <c r="B643" s="1" t="s">
        <v>1354</v>
      </c>
      <c r="D643" s="1" t="s">
        <v>1352</v>
      </c>
      <c r="E643" s="1" t="s">
        <v>1352</v>
      </c>
      <c r="F643" s="1" t="s">
        <v>1701</v>
      </c>
      <c r="G643" s="2">
        <f>VLOOKUP(B643,'[7]DAFTAR ORGANIK'!B$8:C$16,2,FALSE)</f>
        <v>350000</v>
      </c>
      <c r="H643" s="2">
        <f>VLOOKUP(B643,'[7]DAFTAR ORGANIK'!B$8:E$16,4,FALSE)</f>
        <v>0</v>
      </c>
      <c r="I643" s="27"/>
    </row>
    <row r="644" spans="1:9" x14ac:dyDescent="0.35">
      <c r="A644" s="1" t="s">
        <v>1355</v>
      </c>
      <c r="B644" s="1" t="s">
        <v>1356</v>
      </c>
      <c r="D644" s="1" t="s">
        <v>1352</v>
      </c>
      <c r="E644" s="1" t="s">
        <v>1352</v>
      </c>
      <c r="F644" s="1" t="s">
        <v>1697</v>
      </c>
      <c r="G644" s="2">
        <f>VLOOKUP(B644,'[7]DAFTAR ORGANIK'!B$8:C$16,2,FALSE)</f>
        <v>350000</v>
      </c>
      <c r="H644" s="2">
        <f>VLOOKUP(B644,'[7]DAFTAR ORGANIK'!B$8:E$16,4,FALSE)</f>
        <v>0</v>
      </c>
      <c r="I644" s="27"/>
    </row>
    <row r="645" spans="1:9" x14ac:dyDescent="0.35">
      <c r="A645" s="1" t="s">
        <v>1357</v>
      </c>
      <c r="B645" s="1" t="s">
        <v>1358</v>
      </c>
      <c r="D645" s="1" t="s">
        <v>1352</v>
      </c>
      <c r="E645" s="1" t="s">
        <v>1352</v>
      </c>
      <c r="F645" s="1" t="s">
        <v>1699</v>
      </c>
      <c r="G645" s="2">
        <f>VLOOKUP(B645,'[7]DAFTAR ORGANIK'!B$8:C$16,2,FALSE)</f>
        <v>100000</v>
      </c>
      <c r="H645" s="2">
        <f>VLOOKUP(B645,'[7]DAFTAR ORGANIK'!B$8:E$16,4,FALSE)</f>
        <v>0</v>
      </c>
      <c r="I645" s="27"/>
    </row>
    <row r="646" spans="1:9" x14ac:dyDescent="0.35">
      <c r="A646" s="1" t="s">
        <v>1359</v>
      </c>
      <c r="B646" s="1" t="s">
        <v>1360</v>
      </c>
      <c r="D646" s="1" t="s">
        <v>1352</v>
      </c>
      <c r="E646" s="1" t="s">
        <v>1352</v>
      </c>
      <c r="F646" s="1" t="s">
        <v>1699</v>
      </c>
      <c r="G646" s="2">
        <f>VLOOKUP(B646,'[7]DAFTAR ORGANIK'!B$8:C$16,2,FALSE)</f>
        <v>250000</v>
      </c>
      <c r="H646" s="2">
        <f>VLOOKUP(B646,'[7]DAFTAR ORGANIK'!B$8:E$16,4,FALSE)</f>
        <v>0</v>
      </c>
      <c r="I646" s="27"/>
    </row>
    <row r="647" spans="1:9" x14ac:dyDescent="0.35">
      <c r="A647" s="1" t="s">
        <v>1361</v>
      </c>
      <c r="B647" s="1" t="s">
        <v>1362</v>
      </c>
      <c r="D647" s="1" t="s">
        <v>1352</v>
      </c>
      <c r="E647" s="1" t="s">
        <v>1352</v>
      </c>
      <c r="F647" s="1" t="s">
        <v>1699</v>
      </c>
      <c r="G647" s="2">
        <f>VLOOKUP(B647,'[7]DAFTAR ORGANIK'!B$8:C$16,2,FALSE)</f>
        <v>350000</v>
      </c>
      <c r="H647" s="2">
        <f>VLOOKUP(B647,'[7]DAFTAR ORGANIK'!B$8:E$16,4,FALSE)</f>
        <v>4722725</v>
      </c>
      <c r="I647" s="27"/>
    </row>
    <row r="648" spans="1:9" x14ac:dyDescent="0.35">
      <c r="A648" s="1" t="s">
        <v>1364</v>
      </c>
      <c r="B648" s="1" t="s">
        <v>1365</v>
      </c>
      <c r="D648" s="1" t="s">
        <v>1352</v>
      </c>
      <c r="E648" s="1" t="s">
        <v>1352</v>
      </c>
      <c r="F648" s="1" t="s">
        <v>1699</v>
      </c>
      <c r="G648" s="2">
        <f>VLOOKUP(B648,'[7]DAFTAR ORGANIK'!B$8:C$16,2,FALSE)</f>
        <v>100000</v>
      </c>
      <c r="H648" s="2">
        <f>VLOOKUP(B648,'[7]DAFTAR ORGANIK'!B$8:E$16,4,FALSE)</f>
        <v>0</v>
      </c>
      <c r="I648" s="27"/>
    </row>
    <row r="649" spans="1:9" x14ac:dyDescent="0.35">
      <c r="A649" s="1" t="s">
        <v>1366</v>
      </c>
      <c r="B649" s="1" t="s">
        <v>1367</v>
      </c>
      <c r="D649" s="1" t="s">
        <v>1352</v>
      </c>
      <c r="E649" s="1" t="s">
        <v>1352</v>
      </c>
      <c r="F649" s="1" t="s">
        <v>1699</v>
      </c>
      <c r="G649" s="2">
        <f>VLOOKUP(B649,'[7]DAFTAR ORGANIK'!B$8:C$16,2,FALSE)</f>
        <v>100000</v>
      </c>
      <c r="H649" s="2">
        <f>VLOOKUP(B649,'[7]DAFTAR ORGANIK'!B$8:E$16,4,FALSE)</f>
        <v>0</v>
      </c>
      <c r="I649" s="27"/>
    </row>
    <row r="650" spans="1:9" x14ac:dyDescent="0.35">
      <c r="A650" s="1" t="s">
        <v>1368</v>
      </c>
      <c r="B650" s="1" t="s">
        <v>1369</v>
      </c>
      <c r="D650" s="1" t="s">
        <v>1352</v>
      </c>
      <c r="E650" s="1" t="s">
        <v>1363</v>
      </c>
      <c r="F650" s="1" t="s">
        <v>1698</v>
      </c>
      <c r="G650" s="2">
        <v>0</v>
      </c>
      <c r="H650" s="2">
        <v>0</v>
      </c>
    </row>
    <row r="651" spans="1:9" x14ac:dyDescent="0.35">
      <c r="A651" s="1" t="s">
        <v>1370</v>
      </c>
      <c r="B651" s="1" t="s">
        <v>1371</v>
      </c>
      <c r="D651" s="1" t="s">
        <v>1352</v>
      </c>
      <c r="E651" s="1" t="s">
        <v>1352</v>
      </c>
      <c r="F651" s="1" t="s">
        <v>1381</v>
      </c>
      <c r="G651" s="2">
        <f>VLOOKUP(B651,'[7]DAFTAR ORGANIK'!B$8:C$16,2,FALSE)</f>
        <v>150000</v>
      </c>
      <c r="H651" s="2">
        <f>VLOOKUP(B651,'[7]DAFTAR ORGANIK'!B$8:E$16,4,FALSE)</f>
        <v>0</v>
      </c>
      <c r="I651" s="27"/>
    </row>
    <row r="652" spans="1:9" x14ac:dyDescent="0.35">
      <c r="A652" s="1" t="s">
        <v>1372</v>
      </c>
      <c r="B652" s="1" t="s">
        <v>1373</v>
      </c>
      <c r="D652" s="1" t="s">
        <v>1374</v>
      </c>
      <c r="E652" s="1" t="s">
        <v>1374</v>
      </c>
      <c r="F652" s="1" t="s">
        <v>1702</v>
      </c>
      <c r="G652" s="2">
        <f>VLOOKUP(B652,[2]Sheet1!B$2:I$773,8,FALSE)</f>
        <v>250000</v>
      </c>
      <c r="H652" s="2">
        <f>VLOOKUP(B652,'[3]DAFTAR ALL'!B$8:D$68,3,FALSE)</f>
        <v>6053100</v>
      </c>
      <c r="I652" s="27"/>
    </row>
    <row r="653" spans="1:9" x14ac:dyDescent="0.35">
      <c r="A653" s="1" t="s">
        <v>1375</v>
      </c>
      <c r="B653" s="1" t="s">
        <v>1376</v>
      </c>
      <c r="D653" s="1" t="s">
        <v>1374</v>
      </c>
      <c r="E653" s="1" t="s">
        <v>1374</v>
      </c>
      <c r="F653" s="1" t="s">
        <v>1381</v>
      </c>
      <c r="G653" s="2">
        <f>VLOOKUP(B653,[2]Sheet1!B$2:I$773,8,FALSE)</f>
        <v>150000</v>
      </c>
      <c r="H653" s="2">
        <v>0</v>
      </c>
      <c r="I653" s="27"/>
    </row>
    <row r="654" spans="1:9" x14ac:dyDescent="0.35">
      <c r="A654" s="1" t="s">
        <v>1377</v>
      </c>
      <c r="B654" s="1" t="s">
        <v>1378</v>
      </c>
      <c r="D654" s="1" t="s">
        <v>1374</v>
      </c>
      <c r="E654" s="1" t="s">
        <v>1374</v>
      </c>
      <c r="F654" s="1" t="s">
        <v>1703</v>
      </c>
      <c r="G654" s="2">
        <f>VLOOKUP(B654,[2]Sheet1!B$2:I$773,8,FALSE)</f>
        <v>0</v>
      </c>
      <c r="H654" s="2">
        <v>0</v>
      </c>
    </row>
    <row r="655" spans="1:9" x14ac:dyDescent="0.35">
      <c r="A655" s="1" t="s">
        <v>1705</v>
      </c>
      <c r="B655" s="1" t="s">
        <v>1706</v>
      </c>
      <c r="D655" s="1" t="s">
        <v>9</v>
      </c>
      <c r="E655" s="1" t="s">
        <v>9</v>
      </c>
      <c r="F655" s="1" t="s">
        <v>1939</v>
      </c>
      <c r="G655" s="2">
        <v>0</v>
      </c>
      <c r="H655" s="2">
        <v>0</v>
      </c>
    </row>
    <row r="656" spans="1:9" x14ac:dyDescent="0.35">
      <c r="A656" s="1" t="s">
        <v>1707</v>
      </c>
      <c r="B656" s="1" t="s">
        <v>1708</v>
      </c>
      <c r="D656" s="1" t="s">
        <v>9</v>
      </c>
      <c r="E656" s="1" t="s">
        <v>9</v>
      </c>
      <c r="F656" s="1" t="s">
        <v>1940</v>
      </c>
      <c r="G656" s="2">
        <v>0</v>
      </c>
      <c r="H656" s="2">
        <v>0</v>
      </c>
    </row>
    <row r="657" spans="1:8" x14ac:dyDescent="0.35">
      <c r="A657" s="1" t="s">
        <v>1709</v>
      </c>
      <c r="B657" s="1" t="s">
        <v>1710</v>
      </c>
      <c r="D657" s="1" t="s">
        <v>27</v>
      </c>
      <c r="E657" s="1" t="s">
        <v>27</v>
      </c>
      <c r="F657" s="1" t="s">
        <v>1941</v>
      </c>
      <c r="G657" s="2">
        <v>0</v>
      </c>
      <c r="H657" s="2">
        <v>0</v>
      </c>
    </row>
    <row r="658" spans="1:8" x14ac:dyDescent="0.35">
      <c r="A658" s="1" t="s">
        <v>1711</v>
      </c>
      <c r="B658" s="1" t="s">
        <v>1712</v>
      </c>
      <c r="D658" s="1" t="s">
        <v>56</v>
      </c>
      <c r="E658" s="1" t="s">
        <v>56</v>
      </c>
      <c r="F658" s="1" t="s">
        <v>1940</v>
      </c>
      <c r="G658" s="2">
        <v>0</v>
      </c>
      <c r="H658" s="2">
        <v>0</v>
      </c>
    </row>
    <row r="659" spans="1:8" x14ac:dyDescent="0.35">
      <c r="A659" s="1" t="s">
        <v>1713</v>
      </c>
      <c r="B659" s="1" t="s">
        <v>1714</v>
      </c>
      <c r="D659" s="1" t="s">
        <v>56</v>
      </c>
      <c r="E659" s="1" t="s">
        <v>56</v>
      </c>
      <c r="F659" s="1" t="s">
        <v>1940</v>
      </c>
      <c r="G659" s="2">
        <v>0</v>
      </c>
      <c r="H659" s="2">
        <v>0</v>
      </c>
    </row>
    <row r="660" spans="1:8" x14ac:dyDescent="0.35">
      <c r="A660" s="1" t="s">
        <v>1715</v>
      </c>
      <c r="B660" s="1" t="s">
        <v>1716</v>
      </c>
      <c r="D660" s="1" t="s">
        <v>184</v>
      </c>
      <c r="E660" s="1" t="s">
        <v>184</v>
      </c>
      <c r="F660" s="1" t="s">
        <v>1940</v>
      </c>
      <c r="G660" s="2">
        <v>0</v>
      </c>
      <c r="H660" s="2">
        <v>0</v>
      </c>
    </row>
    <row r="661" spans="1:8" x14ac:dyDescent="0.35">
      <c r="A661" s="1" t="s">
        <v>1717</v>
      </c>
      <c r="B661" s="1" t="s">
        <v>1718</v>
      </c>
      <c r="D661" s="1" t="s">
        <v>184</v>
      </c>
      <c r="E661" s="1" t="s">
        <v>184</v>
      </c>
      <c r="F661" s="1" t="s">
        <v>1940</v>
      </c>
      <c r="G661" s="2">
        <v>0</v>
      </c>
      <c r="H661" s="2">
        <v>0</v>
      </c>
    </row>
    <row r="662" spans="1:8" x14ac:dyDescent="0.35">
      <c r="A662" s="1" t="s">
        <v>1719</v>
      </c>
      <c r="B662" s="1" t="s">
        <v>1720</v>
      </c>
      <c r="D662" s="1" t="s">
        <v>184</v>
      </c>
      <c r="E662" s="1" t="s">
        <v>184</v>
      </c>
      <c r="F662" s="1" t="s">
        <v>1940</v>
      </c>
      <c r="G662" s="2">
        <v>0</v>
      </c>
      <c r="H662" s="2">
        <v>0</v>
      </c>
    </row>
    <row r="663" spans="1:8" x14ac:dyDescent="0.35">
      <c r="A663" s="1" t="s">
        <v>1721</v>
      </c>
      <c r="B663" s="1" t="s">
        <v>1722</v>
      </c>
      <c r="D663" s="1" t="s">
        <v>206</v>
      </c>
      <c r="E663" s="1" t="s">
        <v>206</v>
      </c>
      <c r="F663" s="1" t="s">
        <v>1940</v>
      </c>
      <c r="G663" s="2">
        <v>0</v>
      </c>
      <c r="H663" s="2">
        <v>0</v>
      </c>
    </row>
    <row r="664" spans="1:8" x14ac:dyDescent="0.35">
      <c r="A664" s="1" t="s">
        <v>1723</v>
      </c>
      <c r="B664" s="1" t="s">
        <v>1724</v>
      </c>
      <c r="D664" s="1" t="s">
        <v>206</v>
      </c>
      <c r="E664" s="1" t="s">
        <v>206</v>
      </c>
      <c r="F664" s="1" t="s">
        <v>1942</v>
      </c>
      <c r="G664" s="2">
        <v>0</v>
      </c>
      <c r="H664" s="2">
        <v>0</v>
      </c>
    </row>
    <row r="665" spans="1:8" x14ac:dyDescent="0.35">
      <c r="A665" s="1" t="s">
        <v>1725</v>
      </c>
      <c r="B665" s="1" t="s">
        <v>1726</v>
      </c>
      <c r="D665" s="1" t="s">
        <v>53</v>
      </c>
      <c r="E665" s="1" t="s">
        <v>53</v>
      </c>
      <c r="F665" s="1" t="s">
        <v>1943</v>
      </c>
      <c r="G665" s="2">
        <v>0</v>
      </c>
      <c r="H665" s="2">
        <v>0</v>
      </c>
    </row>
    <row r="666" spans="1:8" x14ac:dyDescent="0.35">
      <c r="A666" s="1" t="s">
        <v>1727</v>
      </c>
      <c r="B666" s="1" t="s">
        <v>1728</v>
      </c>
      <c r="D666" s="1" t="s">
        <v>53</v>
      </c>
      <c r="E666" s="1" t="s">
        <v>53</v>
      </c>
      <c r="F666" s="1" t="s">
        <v>1940</v>
      </c>
      <c r="G666" s="2">
        <v>0</v>
      </c>
      <c r="H666" s="2">
        <v>0</v>
      </c>
    </row>
    <row r="667" spans="1:8" x14ac:dyDescent="0.35">
      <c r="A667" s="1" t="s">
        <v>1729</v>
      </c>
      <c r="B667" s="1" t="s">
        <v>1730</v>
      </c>
      <c r="D667" s="1" t="s">
        <v>221</v>
      </c>
      <c r="E667" s="1" t="s">
        <v>221</v>
      </c>
      <c r="F667" s="1" t="s">
        <v>1940</v>
      </c>
      <c r="G667" s="2">
        <v>0</v>
      </c>
      <c r="H667" s="2">
        <v>0</v>
      </c>
    </row>
    <row r="668" spans="1:8" x14ac:dyDescent="0.35">
      <c r="A668" s="1" t="s">
        <v>1731</v>
      </c>
      <c r="B668" s="1" t="s">
        <v>1732</v>
      </c>
      <c r="D668" s="1" t="s">
        <v>245</v>
      </c>
      <c r="E668" s="1" t="s">
        <v>245</v>
      </c>
      <c r="F668" s="1" t="s">
        <v>1944</v>
      </c>
      <c r="G668" s="2">
        <v>0</v>
      </c>
      <c r="H668" s="2">
        <v>0</v>
      </c>
    </row>
    <row r="669" spans="1:8" x14ac:dyDescent="0.35">
      <c r="A669" s="1" t="s">
        <v>1733</v>
      </c>
      <c r="B669" s="1" t="s">
        <v>1734</v>
      </c>
      <c r="D669" s="1" t="s">
        <v>245</v>
      </c>
      <c r="E669" s="1" t="s">
        <v>245</v>
      </c>
      <c r="F669" s="1" t="s">
        <v>1939</v>
      </c>
      <c r="G669" s="2">
        <v>0</v>
      </c>
      <c r="H669" s="2">
        <v>0</v>
      </c>
    </row>
    <row r="670" spans="1:8" x14ac:dyDescent="0.35">
      <c r="A670" s="1" t="s">
        <v>1735</v>
      </c>
      <c r="B670" s="1" t="s">
        <v>1736</v>
      </c>
      <c r="D670" s="1" t="s">
        <v>1945</v>
      </c>
      <c r="E670" s="1" t="s">
        <v>1945</v>
      </c>
      <c r="F670" s="1" t="s">
        <v>1940</v>
      </c>
    </row>
    <row r="671" spans="1:8" x14ac:dyDescent="0.35">
      <c r="A671" s="1" t="s">
        <v>1737</v>
      </c>
      <c r="B671" s="1" t="s">
        <v>1738</v>
      </c>
      <c r="D671" s="1" t="s">
        <v>1945</v>
      </c>
      <c r="E671" s="1" t="s">
        <v>1945</v>
      </c>
      <c r="F671" s="1" t="s">
        <v>1940</v>
      </c>
    </row>
    <row r="672" spans="1:8" x14ac:dyDescent="0.35">
      <c r="A672" s="1" t="s">
        <v>1739</v>
      </c>
      <c r="B672" s="1" t="s">
        <v>1740</v>
      </c>
      <c r="D672" s="1" t="s">
        <v>1945</v>
      </c>
      <c r="E672" s="1" t="s">
        <v>1945</v>
      </c>
      <c r="F672" s="1" t="s">
        <v>1940</v>
      </c>
    </row>
    <row r="673" spans="1:8" x14ac:dyDescent="0.35">
      <c r="A673" s="1" t="s">
        <v>1741</v>
      </c>
      <c r="B673" s="1" t="s">
        <v>1742</v>
      </c>
      <c r="D673" s="1" t="s">
        <v>1945</v>
      </c>
      <c r="E673" s="1" t="s">
        <v>1945</v>
      </c>
      <c r="F673" s="1" t="s">
        <v>1940</v>
      </c>
    </row>
    <row r="674" spans="1:8" x14ac:dyDescent="0.35">
      <c r="A674" s="1" t="s">
        <v>1743</v>
      </c>
      <c r="B674" s="1" t="s">
        <v>1744</v>
      </c>
      <c r="D674" s="1" t="s">
        <v>6</v>
      </c>
      <c r="E674" s="1" t="s">
        <v>6</v>
      </c>
      <c r="F674" s="1" t="s">
        <v>1940</v>
      </c>
      <c r="G674" s="2">
        <v>0</v>
      </c>
      <c r="H674" s="2">
        <v>0</v>
      </c>
    </row>
    <row r="675" spans="1:8" x14ac:dyDescent="0.35">
      <c r="A675" s="1" t="s">
        <v>1745</v>
      </c>
      <c r="B675" s="1" t="s">
        <v>1746</v>
      </c>
      <c r="D675" s="1" t="s">
        <v>943</v>
      </c>
      <c r="E675" s="1" t="s">
        <v>6</v>
      </c>
      <c r="F675" s="1" t="s">
        <v>1946</v>
      </c>
      <c r="G675" s="2">
        <v>0</v>
      </c>
      <c r="H675" s="2">
        <v>0</v>
      </c>
    </row>
    <row r="676" spans="1:8" x14ac:dyDescent="0.35">
      <c r="A676" s="1" t="s">
        <v>1747</v>
      </c>
      <c r="B676" s="1" t="s">
        <v>1748</v>
      </c>
      <c r="D676" s="1" t="s">
        <v>420</v>
      </c>
      <c r="E676" s="1" t="s">
        <v>420</v>
      </c>
      <c r="F676" s="1" t="s">
        <v>1940</v>
      </c>
      <c r="G676" s="2">
        <v>0</v>
      </c>
      <c r="H676" s="2">
        <v>0</v>
      </c>
    </row>
    <row r="677" spans="1:8" x14ac:dyDescent="0.35">
      <c r="A677" s="1" t="s">
        <v>1749</v>
      </c>
      <c r="B677" s="1" t="s">
        <v>1750</v>
      </c>
      <c r="D677" s="1" t="s">
        <v>420</v>
      </c>
      <c r="E677" s="1" t="s">
        <v>420</v>
      </c>
      <c r="F677" s="1" t="s">
        <v>1940</v>
      </c>
      <c r="G677" s="2">
        <v>0</v>
      </c>
      <c r="H677" s="2">
        <v>0</v>
      </c>
    </row>
    <row r="678" spans="1:8" x14ac:dyDescent="0.35">
      <c r="A678" s="1" t="s">
        <v>1751</v>
      </c>
      <c r="B678" s="1" t="s">
        <v>1752</v>
      </c>
      <c r="D678" s="1" t="s">
        <v>420</v>
      </c>
      <c r="E678" s="1" t="s">
        <v>420</v>
      </c>
      <c r="F678" s="1" t="s">
        <v>1940</v>
      </c>
      <c r="G678" s="2">
        <v>0</v>
      </c>
      <c r="H678" s="2">
        <v>0</v>
      </c>
    </row>
    <row r="679" spans="1:8" x14ac:dyDescent="0.35">
      <c r="A679" s="1" t="s">
        <v>1753</v>
      </c>
      <c r="B679" s="1" t="s">
        <v>1754</v>
      </c>
      <c r="D679" s="1" t="s">
        <v>420</v>
      </c>
      <c r="E679" s="1" t="s">
        <v>420</v>
      </c>
      <c r="F679" s="1" t="s">
        <v>1940</v>
      </c>
      <c r="G679" s="2">
        <v>0</v>
      </c>
      <c r="H679" s="2">
        <v>0</v>
      </c>
    </row>
    <row r="680" spans="1:8" x14ac:dyDescent="0.35">
      <c r="A680" s="1" t="s">
        <v>1755</v>
      </c>
      <c r="B680" s="1" t="s">
        <v>1756</v>
      </c>
      <c r="D680" s="1" t="s">
        <v>420</v>
      </c>
      <c r="E680" s="1" t="s">
        <v>420</v>
      </c>
      <c r="F680" s="1" t="s">
        <v>1940</v>
      </c>
      <c r="G680" s="2">
        <v>0</v>
      </c>
      <c r="H680" s="2">
        <v>0</v>
      </c>
    </row>
    <row r="681" spans="1:8" x14ac:dyDescent="0.35">
      <c r="A681" s="1" t="s">
        <v>1757</v>
      </c>
      <c r="B681" s="1" t="s">
        <v>1758</v>
      </c>
      <c r="D681" s="1" t="s">
        <v>1947</v>
      </c>
      <c r="E681" s="1" t="s">
        <v>1947</v>
      </c>
      <c r="F681" s="1" t="s">
        <v>1940</v>
      </c>
    </row>
    <row r="682" spans="1:8" x14ac:dyDescent="0.35">
      <c r="A682" s="1" t="s">
        <v>1759</v>
      </c>
      <c r="B682" s="1" t="s">
        <v>1760</v>
      </c>
      <c r="D682" s="1" t="s">
        <v>1947</v>
      </c>
      <c r="E682" s="1" t="s">
        <v>1947</v>
      </c>
      <c r="F682" s="1" t="s">
        <v>1940</v>
      </c>
    </row>
    <row r="683" spans="1:8" x14ac:dyDescent="0.35">
      <c r="A683" s="1" t="s">
        <v>1761</v>
      </c>
      <c r="B683" s="1" t="s">
        <v>1762</v>
      </c>
      <c r="D683" s="1" t="s">
        <v>1947</v>
      </c>
      <c r="E683" s="1" t="s">
        <v>1947</v>
      </c>
      <c r="F683" s="1" t="s">
        <v>1940</v>
      </c>
    </row>
    <row r="684" spans="1:8" x14ac:dyDescent="0.35">
      <c r="A684" s="1" t="s">
        <v>1763</v>
      </c>
      <c r="B684" s="1" t="s">
        <v>1764</v>
      </c>
      <c r="D684" s="1" t="s">
        <v>1947</v>
      </c>
      <c r="E684" s="1" t="s">
        <v>1947</v>
      </c>
      <c r="F684" s="1" t="s">
        <v>1940</v>
      </c>
    </row>
    <row r="685" spans="1:8" x14ac:dyDescent="0.35">
      <c r="A685" s="1" t="s">
        <v>1765</v>
      </c>
      <c r="B685" s="1" t="s">
        <v>1766</v>
      </c>
      <c r="D685" s="1" t="s">
        <v>1947</v>
      </c>
      <c r="E685" s="1" t="s">
        <v>1947</v>
      </c>
      <c r="F685" s="1" t="s">
        <v>1940</v>
      </c>
    </row>
    <row r="686" spans="1:8" x14ac:dyDescent="0.35">
      <c r="A686" s="1" t="s">
        <v>1767</v>
      </c>
      <c r="B686" s="1" t="s">
        <v>1768</v>
      </c>
      <c r="D686" s="1" t="s">
        <v>1947</v>
      </c>
      <c r="E686" s="1" t="s">
        <v>1947</v>
      </c>
      <c r="F686" s="1" t="s">
        <v>1940</v>
      </c>
    </row>
    <row r="687" spans="1:8" x14ac:dyDescent="0.35">
      <c r="A687" s="1" t="s">
        <v>1769</v>
      </c>
      <c r="B687" s="1" t="s">
        <v>1770</v>
      </c>
      <c r="D687" s="1" t="s">
        <v>1947</v>
      </c>
      <c r="E687" s="1" t="s">
        <v>1947</v>
      </c>
      <c r="F687" s="1" t="s">
        <v>1940</v>
      </c>
    </row>
    <row r="688" spans="1:8" x14ac:dyDescent="0.35">
      <c r="A688" s="1" t="s">
        <v>1771</v>
      </c>
      <c r="B688" s="1" t="s">
        <v>1772</v>
      </c>
      <c r="D688" s="1" t="s">
        <v>1947</v>
      </c>
      <c r="E688" s="1" t="s">
        <v>1947</v>
      </c>
      <c r="F688" s="1" t="s">
        <v>1940</v>
      </c>
    </row>
    <row r="689" spans="1:9" x14ac:dyDescent="0.35">
      <c r="A689" s="1" t="s">
        <v>1773</v>
      </c>
      <c r="B689" s="1" t="s">
        <v>1774</v>
      </c>
      <c r="D689" s="1" t="s">
        <v>1947</v>
      </c>
      <c r="E689" s="1" t="s">
        <v>1947</v>
      </c>
      <c r="F689" s="1" t="s">
        <v>1939</v>
      </c>
    </row>
    <row r="690" spans="1:9" x14ac:dyDescent="0.35">
      <c r="A690" s="1" t="s">
        <v>1775</v>
      </c>
      <c r="B690" s="1" t="s">
        <v>1776</v>
      </c>
      <c r="D690" s="1" t="s">
        <v>602</v>
      </c>
      <c r="E690" s="1" t="s">
        <v>602</v>
      </c>
      <c r="F690" s="1" t="s">
        <v>1948</v>
      </c>
      <c r="G690" s="2">
        <f>VLOOKUP(B690,[2]Sheet1!B$2:I$773,8,FALSE)</f>
        <v>0</v>
      </c>
      <c r="H690" s="2">
        <v>0</v>
      </c>
    </row>
    <row r="691" spans="1:9" x14ac:dyDescent="0.35">
      <c r="A691" s="1" t="s">
        <v>1777</v>
      </c>
      <c r="B691" s="1" t="s">
        <v>1778</v>
      </c>
      <c r="D691" s="1" t="s">
        <v>711</v>
      </c>
      <c r="E691" s="1" t="s">
        <v>711</v>
      </c>
      <c r="F691" s="1" t="s">
        <v>1940</v>
      </c>
      <c r="G691" s="2">
        <f>VLOOKUP(B691,[2]Sheet1!B$2:I$773,8,FALSE)</f>
        <v>0</v>
      </c>
      <c r="H691" s="2">
        <v>0</v>
      </c>
    </row>
    <row r="692" spans="1:9" x14ac:dyDescent="0.35">
      <c r="A692" s="1" t="s">
        <v>1779</v>
      </c>
      <c r="B692" s="1" t="s">
        <v>1780</v>
      </c>
      <c r="D692" s="1" t="s">
        <v>711</v>
      </c>
      <c r="E692" s="1" t="s">
        <v>711</v>
      </c>
      <c r="F692" s="1" t="s">
        <v>1949</v>
      </c>
      <c r="G692" s="2">
        <f>VLOOKUP(B692,[2]Sheet1!B$2:I$773,8,FALSE)</f>
        <v>0</v>
      </c>
      <c r="H692" s="2">
        <v>0</v>
      </c>
    </row>
    <row r="693" spans="1:9" x14ac:dyDescent="0.35">
      <c r="A693" s="1" t="s">
        <v>1781</v>
      </c>
      <c r="B693" s="1" t="s">
        <v>1782</v>
      </c>
      <c r="D693" s="1" t="s">
        <v>711</v>
      </c>
      <c r="E693" s="1" t="s">
        <v>711</v>
      </c>
      <c r="F693" s="1" t="s">
        <v>1949</v>
      </c>
      <c r="G693" s="2">
        <f>VLOOKUP(B693,[2]Sheet1!B$2:I$773,8,FALSE)</f>
        <v>0</v>
      </c>
      <c r="H693" s="2">
        <v>0</v>
      </c>
    </row>
    <row r="694" spans="1:9" x14ac:dyDescent="0.35">
      <c r="A694" s="1" t="s">
        <v>1783</v>
      </c>
      <c r="B694" s="1" t="s">
        <v>1784</v>
      </c>
      <c r="D694" s="1" t="s">
        <v>711</v>
      </c>
      <c r="E694" s="1" t="s">
        <v>711</v>
      </c>
      <c r="F694" s="1" t="s">
        <v>1940</v>
      </c>
      <c r="G694" s="2">
        <f>VLOOKUP(B694,[2]Sheet1!B$2:I$773,8,FALSE)</f>
        <v>100000</v>
      </c>
      <c r="H694" s="2">
        <v>0</v>
      </c>
      <c r="I694" s="27"/>
    </row>
    <row r="695" spans="1:9" x14ac:dyDescent="0.35">
      <c r="A695" s="1" t="s">
        <v>1785</v>
      </c>
      <c r="B695" s="1" t="s">
        <v>1786</v>
      </c>
      <c r="D695" s="1" t="s">
        <v>711</v>
      </c>
      <c r="E695" s="1" t="s">
        <v>711</v>
      </c>
      <c r="F695" s="1" t="s">
        <v>1950</v>
      </c>
      <c r="G695" s="2">
        <f>VLOOKUP(B695,[2]Sheet1!B$2:I$773,8,FALSE)</f>
        <v>0</v>
      </c>
      <c r="H695" s="2">
        <v>0</v>
      </c>
    </row>
    <row r="696" spans="1:9" x14ac:dyDescent="0.35">
      <c r="A696" s="1" t="s">
        <v>1787</v>
      </c>
      <c r="B696" s="1" t="s">
        <v>1788</v>
      </c>
      <c r="D696" s="1" t="s">
        <v>711</v>
      </c>
      <c r="E696" s="1" t="s">
        <v>711</v>
      </c>
      <c r="F696" s="1" t="s">
        <v>1951</v>
      </c>
      <c r="G696" s="2">
        <f>VLOOKUP(B696,[2]Sheet1!B$2:I$773,8,FALSE)</f>
        <v>0</v>
      </c>
      <c r="H696" s="2">
        <v>0</v>
      </c>
    </row>
    <row r="697" spans="1:9" x14ac:dyDescent="0.35">
      <c r="A697" s="1" t="s">
        <v>1789</v>
      </c>
      <c r="B697" s="1" t="s">
        <v>1790</v>
      </c>
      <c r="D697" s="1" t="s">
        <v>711</v>
      </c>
      <c r="E697" s="1" t="s">
        <v>711</v>
      </c>
      <c r="F697" s="1" t="s">
        <v>1940</v>
      </c>
      <c r="G697" s="2">
        <f>VLOOKUP(B697,[2]Sheet1!B$2:I$773,8,FALSE)</f>
        <v>0</v>
      </c>
      <c r="H697" s="2">
        <v>0</v>
      </c>
    </row>
    <row r="698" spans="1:9" x14ac:dyDescent="0.35">
      <c r="A698" s="1" t="s">
        <v>1791</v>
      </c>
      <c r="B698" s="1" t="s">
        <v>1792</v>
      </c>
      <c r="D698" s="1" t="s">
        <v>711</v>
      </c>
      <c r="E698" s="1" t="s">
        <v>711</v>
      </c>
      <c r="F698" s="1" t="s">
        <v>1952</v>
      </c>
      <c r="G698" s="2">
        <f>VLOOKUP(B698,[2]Sheet1!B$2:I$773,8,FALSE)</f>
        <v>0</v>
      </c>
      <c r="H698" s="2">
        <v>0</v>
      </c>
    </row>
    <row r="699" spans="1:9" x14ac:dyDescent="0.35">
      <c r="A699" s="1" t="s">
        <v>1793</v>
      </c>
      <c r="B699" s="1" t="s">
        <v>1794</v>
      </c>
      <c r="D699" s="1" t="s">
        <v>711</v>
      </c>
      <c r="E699" s="1" t="s">
        <v>711</v>
      </c>
      <c r="F699" s="1" t="s">
        <v>1953</v>
      </c>
      <c r="G699" s="2">
        <f>VLOOKUP(B699,[2]Sheet1!B$2:I$773,8,FALSE)</f>
        <v>0</v>
      </c>
      <c r="H699" s="2">
        <v>0</v>
      </c>
    </row>
    <row r="700" spans="1:9" x14ac:dyDescent="0.35">
      <c r="A700" s="1" t="s">
        <v>1795</v>
      </c>
      <c r="B700" s="1" t="s">
        <v>1796</v>
      </c>
      <c r="D700" s="1" t="s">
        <v>711</v>
      </c>
      <c r="E700" s="1" t="s">
        <v>711</v>
      </c>
      <c r="F700" s="1" t="s">
        <v>1954</v>
      </c>
      <c r="G700" s="2">
        <f>VLOOKUP(B700,[2]Sheet1!B$2:I$773,8,FALSE)</f>
        <v>0</v>
      </c>
      <c r="H700" s="2">
        <v>0</v>
      </c>
    </row>
    <row r="701" spans="1:9" x14ac:dyDescent="0.35">
      <c r="A701" s="1" t="s">
        <v>1797</v>
      </c>
      <c r="B701" s="1" t="s">
        <v>1798</v>
      </c>
      <c r="D701" s="1" t="s">
        <v>711</v>
      </c>
      <c r="E701" s="1" t="s">
        <v>711</v>
      </c>
      <c r="F701" s="1" t="s">
        <v>1955</v>
      </c>
      <c r="G701" s="2">
        <f>VLOOKUP(B701,[2]Sheet1!B$2:I$773,8,FALSE)</f>
        <v>0</v>
      </c>
      <c r="H701" s="2">
        <v>0</v>
      </c>
    </row>
    <row r="702" spans="1:9" x14ac:dyDescent="0.35">
      <c r="A702" s="1" t="s">
        <v>1799</v>
      </c>
      <c r="B702" s="1" t="s">
        <v>1800</v>
      </c>
      <c r="D702" s="1" t="s">
        <v>711</v>
      </c>
      <c r="E702" s="1" t="s">
        <v>711</v>
      </c>
      <c r="F702" s="1" t="s">
        <v>1956</v>
      </c>
      <c r="G702" s="2">
        <f>VLOOKUP(B702,[2]Sheet1!B$2:I$773,8,FALSE)</f>
        <v>0</v>
      </c>
      <c r="H702" s="2">
        <v>0</v>
      </c>
    </row>
    <row r="703" spans="1:9" x14ac:dyDescent="0.35">
      <c r="A703" s="1" t="s">
        <v>1801</v>
      </c>
      <c r="B703" s="1" t="s">
        <v>1802</v>
      </c>
      <c r="D703" s="1" t="s">
        <v>711</v>
      </c>
      <c r="E703" s="1" t="s">
        <v>711</v>
      </c>
      <c r="F703" s="1" t="s">
        <v>1952</v>
      </c>
      <c r="G703" s="2">
        <f>VLOOKUP(B703,[2]Sheet1!B$2:I$773,8,FALSE)</f>
        <v>0</v>
      </c>
      <c r="H703" s="2">
        <v>0</v>
      </c>
    </row>
    <row r="704" spans="1:9" x14ac:dyDescent="0.35">
      <c r="A704" s="1" t="s">
        <v>1803</v>
      </c>
      <c r="B704" s="1" t="s">
        <v>1804</v>
      </c>
      <c r="D704" s="1" t="s">
        <v>778</v>
      </c>
      <c r="E704" s="1" t="s">
        <v>778</v>
      </c>
      <c r="F704" s="1" t="s">
        <v>1940</v>
      </c>
      <c r="G704" s="2">
        <f>VLOOKUP(B704,[2]Sheet1!B$2:I$773,8,FALSE)</f>
        <v>0</v>
      </c>
      <c r="H704" s="2">
        <v>0</v>
      </c>
    </row>
    <row r="705" spans="1:8" x14ac:dyDescent="0.35">
      <c r="A705" s="1" t="s">
        <v>1805</v>
      </c>
      <c r="B705" s="1" t="s">
        <v>1806</v>
      </c>
      <c r="D705" s="1" t="s">
        <v>778</v>
      </c>
      <c r="E705" s="1" t="s">
        <v>778</v>
      </c>
      <c r="F705" s="1" t="s">
        <v>1940</v>
      </c>
      <c r="G705" s="2">
        <f>VLOOKUP(B705,[2]Sheet1!B$2:I$773,8,FALSE)</f>
        <v>0</v>
      </c>
      <c r="H705" s="2">
        <v>0</v>
      </c>
    </row>
    <row r="706" spans="1:8" x14ac:dyDescent="0.35">
      <c r="A706" s="1" t="s">
        <v>1807</v>
      </c>
      <c r="B706" s="1" t="s">
        <v>1808</v>
      </c>
      <c r="D706" s="1" t="s">
        <v>778</v>
      </c>
      <c r="E706" s="1" t="s">
        <v>778</v>
      </c>
      <c r="F706" s="1" t="s">
        <v>1957</v>
      </c>
      <c r="G706" s="2">
        <f>VLOOKUP(B706,[2]Sheet1!B$2:I$773,8,FALSE)</f>
        <v>0</v>
      </c>
      <c r="H706" s="2">
        <v>0</v>
      </c>
    </row>
    <row r="707" spans="1:8" x14ac:dyDescent="0.35">
      <c r="A707" s="1" t="s">
        <v>1809</v>
      </c>
      <c r="B707" s="1" t="s">
        <v>1810</v>
      </c>
      <c r="D707" s="1" t="s">
        <v>678</v>
      </c>
      <c r="E707" s="1" t="s">
        <v>678</v>
      </c>
      <c r="F707" s="1" t="s">
        <v>1958</v>
      </c>
      <c r="G707" s="2">
        <f>VLOOKUP(B707,[2]Sheet1!B$2:I$773,8,FALSE)</f>
        <v>0</v>
      </c>
      <c r="H707" s="2">
        <v>0</v>
      </c>
    </row>
    <row r="708" spans="1:8" x14ac:dyDescent="0.35">
      <c r="A708" s="1" t="s">
        <v>1811</v>
      </c>
      <c r="B708" s="1" t="s">
        <v>1812</v>
      </c>
      <c r="D708" s="1" t="s">
        <v>678</v>
      </c>
      <c r="E708" s="1" t="s">
        <v>678</v>
      </c>
      <c r="F708" s="1" t="s">
        <v>1940</v>
      </c>
      <c r="G708" s="2">
        <f>VLOOKUP(B708,[2]Sheet1!B$2:I$773,8,FALSE)</f>
        <v>0</v>
      </c>
      <c r="H708" s="2">
        <v>0</v>
      </c>
    </row>
    <row r="709" spans="1:8" x14ac:dyDescent="0.35">
      <c r="A709" s="1" t="s">
        <v>1813</v>
      </c>
      <c r="B709" s="1" t="s">
        <v>1814</v>
      </c>
      <c r="D709" s="1" t="s">
        <v>678</v>
      </c>
      <c r="E709" s="1" t="s">
        <v>678</v>
      </c>
      <c r="F709" s="1" t="s">
        <v>1959</v>
      </c>
      <c r="G709" s="2">
        <f>VLOOKUP(B709,[2]Sheet1!B$2:I$773,8,FALSE)</f>
        <v>0</v>
      </c>
      <c r="H709" s="2">
        <v>0</v>
      </c>
    </row>
    <row r="710" spans="1:8" x14ac:dyDescent="0.35">
      <c r="A710" s="1" t="s">
        <v>1815</v>
      </c>
      <c r="B710" s="1" t="s">
        <v>1816</v>
      </c>
      <c r="D710" s="1" t="s">
        <v>678</v>
      </c>
      <c r="E710" s="1" t="s">
        <v>678</v>
      </c>
      <c r="F710" s="1" t="s">
        <v>1959</v>
      </c>
      <c r="G710" s="2">
        <f>VLOOKUP(B710,[2]Sheet1!B$2:I$773,8,FALSE)</f>
        <v>0</v>
      </c>
      <c r="H710" s="2">
        <v>0</v>
      </c>
    </row>
    <row r="711" spans="1:8" x14ac:dyDescent="0.35">
      <c r="A711" s="1" t="s">
        <v>1817</v>
      </c>
      <c r="B711" s="1" t="s">
        <v>1818</v>
      </c>
      <c r="D711" s="1" t="s">
        <v>678</v>
      </c>
      <c r="E711" s="1" t="s">
        <v>678</v>
      </c>
      <c r="F711" s="1" t="s">
        <v>1959</v>
      </c>
      <c r="G711" s="2">
        <f>VLOOKUP(B711,[2]Sheet1!B$2:I$773,8,FALSE)</f>
        <v>0</v>
      </c>
      <c r="H711" s="2">
        <v>0</v>
      </c>
    </row>
    <row r="712" spans="1:8" x14ac:dyDescent="0.35">
      <c r="A712" s="1" t="s">
        <v>1819</v>
      </c>
      <c r="B712" s="1" t="s">
        <v>1820</v>
      </c>
      <c r="D712" s="1" t="s">
        <v>678</v>
      </c>
      <c r="E712" s="1" t="s">
        <v>678</v>
      </c>
      <c r="F712" s="1" t="s">
        <v>1960</v>
      </c>
      <c r="G712" s="2">
        <f>VLOOKUP(B712,[2]Sheet1!B$2:I$773,8,FALSE)</f>
        <v>0</v>
      </c>
      <c r="H712" s="2">
        <v>0</v>
      </c>
    </row>
    <row r="713" spans="1:8" x14ac:dyDescent="0.35">
      <c r="A713" s="1" t="s">
        <v>1821</v>
      </c>
      <c r="B713" s="1" t="s">
        <v>1822</v>
      </c>
      <c r="D713" s="1" t="s">
        <v>678</v>
      </c>
      <c r="E713" s="1" t="s">
        <v>678</v>
      </c>
      <c r="F713" s="1" t="s">
        <v>1961</v>
      </c>
      <c r="G713" s="2">
        <f>VLOOKUP(B713,[2]Sheet1!B$2:I$773,8,FALSE)</f>
        <v>0</v>
      </c>
      <c r="H713" s="2">
        <v>0</v>
      </c>
    </row>
    <row r="714" spans="1:8" x14ac:dyDescent="0.35">
      <c r="A714" s="1" t="s">
        <v>1823</v>
      </c>
      <c r="B714" s="1" t="s">
        <v>1824</v>
      </c>
      <c r="D714" s="1" t="s">
        <v>678</v>
      </c>
      <c r="E714" s="1" t="s">
        <v>678</v>
      </c>
      <c r="F714" s="1" t="s">
        <v>1962</v>
      </c>
      <c r="G714" s="2">
        <f>VLOOKUP(B714,[2]Sheet1!B$2:I$773,8,FALSE)</f>
        <v>0</v>
      </c>
      <c r="H714" s="2">
        <v>0</v>
      </c>
    </row>
    <row r="715" spans="1:8" x14ac:dyDescent="0.35">
      <c r="A715" s="1" t="s">
        <v>1825</v>
      </c>
      <c r="B715" s="1" t="s">
        <v>1826</v>
      </c>
      <c r="D715" s="1" t="s">
        <v>1963</v>
      </c>
      <c r="E715" s="1" t="s">
        <v>1963</v>
      </c>
      <c r="F715" s="1" t="s">
        <v>1964</v>
      </c>
      <c r="G715" s="2">
        <f>VLOOKUP(B715,[2]Sheet1!B$2:I$773,8,FALSE)</f>
        <v>0</v>
      </c>
      <c r="H715" s="2">
        <v>0</v>
      </c>
    </row>
    <row r="716" spans="1:8" x14ac:dyDescent="0.35">
      <c r="A716" s="1" t="s">
        <v>1827</v>
      </c>
      <c r="B716" s="1" t="s">
        <v>1828</v>
      </c>
      <c r="D716" s="1" t="s">
        <v>1963</v>
      </c>
      <c r="E716" s="1" t="s">
        <v>1963</v>
      </c>
      <c r="F716" s="1" t="s">
        <v>1965</v>
      </c>
      <c r="G716" s="2">
        <f>VLOOKUP(B716,[2]Sheet1!B$2:I$773,8,FALSE)</f>
        <v>0</v>
      </c>
      <c r="H716" s="2">
        <v>0</v>
      </c>
    </row>
    <row r="717" spans="1:8" x14ac:dyDescent="0.35">
      <c r="A717" s="1" t="s">
        <v>1829</v>
      </c>
      <c r="B717" s="1" t="s">
        <v>1830</v>
      </c>
      <c r="D717" s="1" t="s">
        <v>16</v>
      </c>
      <c r="E717" s="1" t="s">
        <v>16</v>
      </c>
      <c r="F717" s="1" t="s">
        <v>1940</v>
      </c>
      <c r="G717" s="2">
        <f>VLOOKUP(B717,[2]Sheet1!B$2:I$773,8,FALSE)</f>
        <v>0</v>
      </c>
      <c r="H717" s="2">
        <v>0</v>
      </c>
    </row>
    <row r="718" spans="1:8" x14ac:dyDescent="0.35">
      <c r="A718" s="1" t="s">
        <v>1831</v>
      </c>
      <c r="B718" s="1" t="s">
        <v>1832</v>
      </c>
      <c r="D718" s="1" t="s">
        <v>16</v>
      </c>
      <c r="E718" s="1" t="s">
        <v>16</v>
      </c>
      <c r="F718" s="1" t="s">
        <v>1940</v>
      </c>
      <c r="G718" s="2">
        <f>VLOOKUP(B718,[2]Sheet1!B$2:I$773,8,FALSE)</f>
        <v>0</v>
      </c>
      <c r="H718" s="2">
        <v>0</v>
      </c>
    </row>
    <row r="719" spans="1:8" x14ac:dyDescent="0.35">
      <c r="A719" s="1" t="s">
        <v>1833</v>
      </c>
      <c r="B719" s="1" t="s">
        <v>1834</v>
      </c>
      <c r="D719" s="1" t="s">
        <v>1030</v>
      </c>
      <c r="E719" s="1" t="s">
        <v>1030</v>
      </c>
      <c r="F719" s="1" t="s">
        <v>1966</v>
      </c>
      <c r="G719" s="2">
        <f>VLOOKUP(B719,[2]Sheet1!B$2:I$773,8,FALSE)</f>
        <v>0</v>
      </c>
      <c r="H719" s="2">
        <v>0</v>
      </c>
    </row>
    <row r="720" spans="1:8" x14ac:dyDescent="0.35">
      <c r="A720" s="1" t="s">
        <v>1835</v>
      </c>
      <c r="B720" s="1" t="s">
        <v>1836</v>
      </c>
      <c r="D720" s="1" t="s">
        <v>653</v>
      </c>
      <c r="E720" s="1" t="s">
        <v>653</v>
      </c>
      <c r="F720" s="1" t="s">
        <v>1967</v>
      </c>
      <c r="G720" s="2">
        <f>VLOOKUP(B720,[2]Sheet1!B$2:I$773,8,FALSE)</f>
        <v>0</v>
      </c>
      <c r="H720" s="2">
        <v>0</v>
      </c>
    </row>
    <row r="721" spans="1:9" x14ac:dyDescent="0.35">
      <c r="A721" s="1" t="s">
        <v>1837</v>
      </c>
      <c r="B721" s="1" t="s">
        <v>1838</v>
      </c>
      <c r="D721" s="1" t="s">
        <v>653</v>
      </c>
      <c r="E721" s="1" t="s">
        <v>653</v>
      </c>
      <c r="F721" s="1" t="s">
        <v>1944</v>
      </c>
      <c r="G721" s="2">
        <f>VLOOKUP(B721,[2]Sheet1!B$2:I$773,8,FALSE)</f>
        <v>0</v>
      </c>
      <c r="H721" s="2">
        <v>0</v>
      </c>
    </row>
    <row r="722" spans="1:9" x14ac:dyDescent="0.35">
      <c r="A722" s="1" t="s">
        <v>1839</v>
      </c>
      <c r="B722" s="1" t="s">
        <v>1840</v>
      </c>
      <c r="D722" s="1" t="s">
        <v>653</v>
      </c>
      <c r="E722" s="1" t="s">
        <v>653</v>
      </c>
      <c r="F722" s="1" t="s">
        <v>1968</v>
      </c>
      <c r="G722" s="2">
        <f>VLOOKUP(B722,[2]Sheet1!B$2:I$773,8,FALSE)</f>
        <v>0</v>
      </c>
      <c r="H722" s="2">
        <v>0</v>
      </c>
    </row>
    <row r="723" spans="1:9" x14ac:dyDescent="0.35">
      <c r="A723" s="1" t="s">
        <v>1841</v>
      </c>
      <c r="B723" s="1" t="s">
        <v>1842</v>
      </c>
      <c r="D723" s="1" t="s">
        <v>828</v>
      </c>
      <c r="E723" s="1" t="s">
        <v>828</v>
      </c>
      <c r="F723" s="1" t="s">
        <v>1940</v>
      </c>
      <c r="G723" s="2">
        <f>VLOOKUP(B723,[2]Sheet1!B$2:I$773,8,FALSE)</f>
        <v>100000</v>
      </c>
      <c r="H723" s="2">
        <f>VLOOKUP(B723,'[3]DAFTAR ALL'!B$8:D$68,3,FALSE)</f>
        <v>1020833</v>
      </c>
      <c r="I723" s="27"/>
    </row>
    <row r="724" spans="1:9" x14ac:dyDescent="0.35">
      <c r="A724" s="1" t="s">
        <v>1843</v>
      </c>
      <c r="B724" s="1" t="s">
        <v>1844</v>
      </c>
      <c r="D724" s="1" t="s">
        <v>828</v>
      </c>
      <c r="E724" s="1" t="s">
        <v>828</v>
      </c>
      <c r="F724" s="1" t="s">
        <v>1940</v>
      </c>
      <c r="G724" s="2">
        <f>VLOOKUP(B724,[2]Sheet1!B$2:I$773,8,FALSE)</f>
        <v>0</v>
      </c>
      <c r="H724" s="2">
        <v>0</v>
      </c>
    </row>
    <row r="725" spans="1:9" x14ac:dyDescent="0.35">
      <c r="A725" s="1" t="s">
        <v>1845</v>
      </c>
      <c r="B725" s="1" t="s">
        <v>1846</v>
      </c>
      <c r="D725" s="1" t="s">
        <v>828</v>
      </c>
      <c r="E725" s="1" t="s">
        <v>828</v>
      </c>
      <c r="F725" s="1" t="s">
        <v>1940</v>
      </c>
      <c r="G725" s="2">
        <f>VLOOKUP(B725,[2]Sheet1!B$2:I$773,8,FALSE)</f>
        <v>0</v>
      </c>
      <c r="H725" s="2">
        <v>0</v>
      </c>
    </row>
    <row r="726" spans="1:9" x14ac:dyDescent="0.35">
      <c r="A726" s="1" t="s">
        <v>1847</v>
      </c>
      <c r="B726" s="1" t="s">
        <v>1848</v>
      </c>
      <c r="D726" s="1" t="s">
        <v>828</v>
      </c>
      <c r="E726" s="1" t="s">
        <v>828</v>
      </c>
      <c r="F726" s="1" t="s">
        <v>1969</v>
      </c>
      <c r="G726" s="2">
        <f>VLOOKUP(B726,[2]Sheet1!B$2:I$773,8,FALSE)</f>
        <v>0</v>
      </c>
      <c r="H726" s="2">
        <v>0</v>
      </c>
    </row>
    <row r="727" spans="1:9" x14ac:dyDescent="0.35">
      <c r="A727" s="1" t="s">
        <v>1849</v>
      </c>
      <c r="B727" s="1" t="s">
        <v>1850</v>
      </c>
      <c r="D727" s="1" t="s">
        <v>792</v>
      </c>
      <c r="E727" s="1" t="s">
        <v>792</v>
      </c>
      <c r="F727" s="1" t="s">
        <v>1940</v>
      </c>
      <c r="G727" s="2">
        <f>VLOOKUP(B727,[2]Sheet1!B$2:I$773,8,FALSE)</f>
        <v>100000</v>
      </c>
      <c r="H727" s="2">
        <v>0</v>
      </c>
      <c r="I727" s="27"/>
    </row>
    <row r="728" spans="1:9" x14ac:dyDescent="0.35">
      <c r="A728" s="1" t="s">
        <v>1851</v>
      </c>
      <c r="B728" s="1" t="s">
        <v>1852</v>
      </c>
      <c r="D728" s="1" t="s">
        <v>792</v>
      </c>
      <c r="E728" s="1" t="s">
        <v>792</v>
      </c>
      <c r="F728" s="1" t="s">
        <v>1940</v>
      </c>
      <c r="G728" s="2">
        <f>VLOOKUP(B728,[2]Sheet1!B$2:I$773,8,FALSE)</f>
        <v>100000</v>
      </c>
      <c r="H728" s="2">
        <v>0</v>
      </c>
      <c r="I728" s="27"/>
    </row>
    <row r="729" spans="1:9" x14ac:dyDescent="0.35">
      <c r="A729" s="1" t="s">
        <v>1853</v>
      </c>
      <c r="B729" s="1" t="s">
        <v>1854</v>
      </c>
      <c r="D729" s="1" t="s">
        <v>792</v>
      </c>
      <c r="E729" s="1" t="s">
        <v>792</v>
      </c>
      <c r="F729" s="1" t="s">
        <v>1940</v>
      </c>
      <c r="G729" s="2">
        <f>VLOOKUP(B729,[2]Sheet1!B$2:I$773,8,FALSE)</f>
        <v>0</v>
      </c>
      <c r="H729" s="2">
        <v>0</v>
      </c>
    </row>
    <row r="730" spans="1:9" x14ac:dyDescent="0.35">
      <c r="A730" s="1" t="s">
        <v>1855</v>
      </c>
      <c r="B730" s="1" t="s">
        <v>1856</v>
      </c>
      <c r="D730" s="1" t="s">
        <v>943</v>
      </c>
      <c r="E730" s="1" t="s">
        <v>943</v>
      </c>
      <c r="F730" s="1" t="s">
        <v>1970</v>
      </c>
      <c r="G730" s="2">
        <f>VLOOKUP(B730,[2]Sheet1!B$2:I$773,8,FALSE)</f>
        <v>0</v>
      </c>
      <c r="H730" s="2">
        <v>0</v>
      </c>
    </row>
    <row r="731" spans="1:9" x14ac:dyDescent="0.35">
      <c r="A731" s="1" t="s">
        <v>1857</v>
      </c>
      <c r="B731" s="1" t="s">
        <v>1858</v>
      </c>
      <c r="D731" s="1" t="s">
        <v>943</v>
      </c>
      <c r="E731" s="1" t="s">
        <v>943</v>
      </c>
      <c r="F731" s="1" t="s">
        <v>1971</v>
      </c>
      <c r="G731" s="2">
        <f>VLOOKUP(B731,[2]Sheet1!B$2:I$773,8,FALSE)</f>
        <v>0</v>
      </c>
      <c r="H731" s="2">
        <v>0</v>
      </c>
    </row>
    <row r="732" spans="1:9" x14ac:dyDescent="0.35">
      <c r="A732" s="1" t="s">
        <v>1859</v>
      </c>
      <c r="B732" s="1" t="s">
        <v>1860</v>
      </c>
      <c r="D732" s="1" t="s">
        <v>943</v>
      </c>
      <c r="E732" s="1" t="s">
        <v>943</v>
      </c>
      <c r="F732" s="1" t="s">
        <v>1940</v>
      </c>
      <c r="G732" s="2">
        <f>VLOOKUP(B732,[2]Sheet1!B$2:I$773,8,FALSE)</f>
        <v>0</v>
      </c>
      <c r="H732" s="2">
        <v>0</v>
      </c>
    </row>
    <row r="733" spans="1:9" x14ac:dyDescent="0.35">
      <c r="A733" s="1" t="s">
        <v>1861</v>
      </c>
      <c r="B733" s="1" t="s">
        <v>1862</v>
      </c>
      <c r="D733" s="1" t="s">
        <v>943</v>
      </c>
      <c r="E733" s="1" t="s">
        <v>943</v>
      </c>
      <c r="F733" s="1" t="s">
        <v>1971</v>
      </c>
      <c r="G733" s="2">
        <f>VLOOKUP(B733,[2]Sheet1!B$2:I$773,8,FALSE)</f>
        <v>0</v>
      </c>
      <c r="H733" s="2">
        <v>0</v>
      </c>
    </row>
    <row r="734" spans="1:9" x14ac:dyDescent="0.35">
      <c r="A734" s="1" t="s">
        <v>1863</v>
      </c>
      <c r="B734" s="1" t="s">
        <v>1864</v>
      </c>
      <c r="D734" s="1" t="s">
        <v>943</v>
      </c>
      <c r="E734" s="1" t="s">
        <v>943</v>
      </c>
      <c r="F734" s="1" t="s">
        <v>1972</v>
      </c>
      <c r="G734" s="2">
        <f>VLOOKUP(B734,[2]Sheet1!B$2:I$773,8,FALSE)</f>
        <v>0</v>
      </c>
      <c r="H734" s="2">
        <v>0</v>
      </c>
    </row>
    <row r="735" spans="1:9" x14ac:dyDescent="0.35">
      <c r="A735" s="1" t="s">
        <v>1865</v>
      </c>
      <c r="B735" s="1" t="s">
        <v>1866</v>
      </c>
      <c r="D735" s="1" t="s">
        <v>943</v>
      </c>
      <c r="E735" s="1" t="s">
        <v>943</v>
      </c>
      <c r="F735" s="1" t="s">
        <v>1973</v>
      </c>
      <c r="G735" s="2">
        <f>VLOOKUP(B735,[2]Sheet1!B$2:I$773,8,FALSE)</f>
        <v>0</v>
      </c>
      <c r="H735" s="2">
        <v>0</v>
      </c>
    </row>
    <row r="736" spans="1:9" x14ac:dyDescent="0.35">
      <c r="A736" s="1" t="s">
        <v>1867</v>
      </c>
      <c r="B736" s="1" t="s">
        <v>1868</v>
      </c>
      <c r="D736" s="1" t="s">
        <v>943</v>
      </c>
      <c r="E736" s="1" t="s">
        <v>943</v>
      </c>
      <c r="F736" s="1" t="s">
        <v>1974</v>
      </c>
      <c r="G736" s="2">
        <f>VLOOKUP(B736,[2]Sheet1!B$2:I$773,8,FALSE)</f>
        <v>0</v>
      </c>
      <c r="H736" s="2">
        <v>0</v>
      </c>
    </row>
    <row r="737" spans="1:9" x14ac:dyDescent="0.35">
      <c r="A737" s="1" t="s">
        <v>1869</v>
      </c>
      <c r="B737" s="1" t="s">
        <v>1870</v>
      </c>
      <c r="D737" s="1" t="s">
        <v>943</v>
      </c>
      <c r="E737" s="1" t="s">
        <v>943</v>
      </c>
      <c r="F737" s="1" t="s">
        <v>1975</v>
      </c>
      <c r="G737" s="2">
        <f>VLOOKUP(B737,[2]Sheet1!B$2:I$773,8,FALSE)</f>
        <v>0</v>
      </c>
      <c r="H737" s="2">
        <v>0</v>
      </c>
    </row>
    <row r="738" spans="1:9" x14ac:dyDescent="0.35">
      <c r="A738" s="1" t="s">
        <v>1871</v>
      </c>
      <c r="B738" s="1" t="s">
        <v>1872</v>
      </c>
      <c r="D738" s="1" t="s">
        <v>943</v>
      </c>
      <c r="E738" s="1" t="s">
        <v>943</v>
      </c>
      <c r="F738" s="1" t="s">
        <v>1976</v>
      </c>
      <c r="G738" s="2">
        <f>VLOOKUP(B738,[2]Sheet1!B$2:I$773,8,FALSE)</f>
        <v>0</v>
      </c>
      <c r="H738" s="2">
        <v>0</v>
      </c>
    </row>
    <row r="739" spans="1:9" x14ac:dyDescent="0.35">
      <c r="A739" s="1" t="s">
        <v>1873</v>
      </c>
      <c r="B739" s="1" t="s">
        <v>1874</v>
      </c>
      <c r="D739" s="1" t="s">
        <v>995</v>
      </c>
      <c r="E739" s="1" t="s">
        <v>995</v>
      </c>
      <c r="F739" s="1" t="s">
        <v>1977</v>
      </c>
      <c r="G739" s="2">
        <f>VLOOKUP(B739,[2]Sheet1!B$2:I$773,8,FALSE)</f>
        <v>0</v>
      </c>
      <c r="H739" s="2">
        <v>0</v>
      </c>
    </row>
    <row r="740" spans="1:9" x14ac:dyDescent="0.35">
      <c r="A740" s="1" t="s">
        <v>1875</v>
      </c>
      <c r="B740" s="1" t="s">
        <v>1876</v>
      </c>
      <c r="D740" s="1" t="s">
        <v>995</v>
      </c>
      <c r="E740" s="1" t="s">
        <v>995</v>
      </c>
      <c r="F740" s="1" t="s">
        <v>1940</v>
      </c>
      <c r="G740" s="2">
        <f>VLOOKUP(B740,[2]Sheet1!B$2:I$773,8,FALSE)</f>
        <v>0</v>
      </c>
      <c r="H740" s="2">
        <v>0</v>
      </c>
    </row>
    <row r="741" spans="1:9" x14ac:dyDescent="0.35">
      <c r="A741" s="1" t="s">
        <v>1877</v>
      </c>
      <c r="B741" s="1" t="s">
        <v>1878</v>
      </c>
      <c r="D741" s="1" t="s">
        <v>995</v>
      </c>
      <c r="E741" s="1" t="s">
        <v>995</v>
      </c>
      <c r="F741" s="1" t="s">
        <v>1978</v>
      </c>
      <c r="G741" s="2">
        <f>VLOOKUP(B741,[2]Sheet1!B$2:I$773,8,FALSE)</f>
        <v>0</v>
      </c>
      <c r="H741" s="2">
        <v>0</v>
      </c>
    </row>
    <row r="742" spans="1:9" x14ac:dyDescent="0.35">
      <c r="A742" s="1" t="s">
        <v>1879</v>
      </c>
      <c r="B742" s="1" t="s">
        <v>1880</v>
      </c>
      <c r="D742" s="1" t="s">
        <v>995</v>
      </c>
      <c r="E742" s="1" t="s">
        <v>995</v>
      </c>
      <c r="F742" s="1" t="s">
        <v>1979</v>
      </c>
      <c r="G742" s="2">
        <f>VLOOKUP(B742,[2]Sheet1!B$2:I$773,8,FALSE)</f>
        <v>0</v>
      </c>
      <c r="H742" s="2">
        <v>0</v>
      </c>
    </row>
    <row r="743" spans="1:9" x14ac:dyDescent="0.35">
      <c r="A743" s="1" t="s">
        <v>1881</v>
      </c>
      <c r="B743" s="1" t="s">
        <v>1882</v>
      </c>
      <c r="D743" s="1" t="s">
        <v>16</v>
      </c>
      <c r="E743" s="1" t="s">
        <v>16</v>
      </c>
      <c r="F743" s="1" t="s">
        <v>1980</v>
      </c>
      <c r="G743" s="2">
        <f>VLOOKUP(B743,[2]Sheet1!B$2:I$773,8,FALSE)</f>
        <v>0</v>
      </c>
      <c r="H743" s="2">
        <v>0</v>
      </c>
    </row>
    <row r="744" spans="1:9" x14ac:dyDescent="0.35">
      <c r="A744" s="1" t="s">
        <v>1883</v>
      </c>
      <c r="B744" s="1" t="s">
        <v>1884</v>
      </c>
      <c r="D744" s="1" t="s">
        <v>1030</v>
      </c>
      <c r="E744" s="1" t="s">
        <v>1030</v>
      </c>
      <c r="F744" s="1" t="s">
        <v>1940</v>
      </c>
      <c r="G744" s="2">
        <f>VLOOKUP(B744,[2]Sheet1!B$2:I$773,8,FALSE)</f>
        <v>100000</v>
      </c>
      <c r="H744" s="2">
        <v>0</v>
      </c>
      <c r="I744" s="27"/>
    </row>
    <row r="745" spans="1:9" x14ac:dyDescent="0.35">
      <c r="A745" s="1" t="s">
        <v>1885</v>
      </c>
      <c r="B745" s="1" t="s">
        <v>1886</v>
      </c>
      <c r="D745" s="1" t="s">
        <v>1030</v>
      </c>
      <c r="E745" s="1" t="s">
        <v>1030</v>
      </c>
      <c r="F745" s="1" t="s">
        <v>1940</v>
      </c>
      <c r="G745" s="2">
        <f>VLOOKUP(B745,[2]Sheet1!B$2:I$773,8,FALSE)</f>
        <v>0</v>
      </c>
      <c r="H745" s="2">
        <v>0</v>
      </c>
    </row>
    <row r="746" spans="1:9" x14ac:dyDescent="0.35">
      <c r="A746" s="1" t="s">
        <v>1887</v>
      </c>
      <c r="B746" s="1" t="s">
        <v>1888</v>
      </c>
      <c r="D746" s="1" t="s">
        <v>1030</v>
      </c>
      <c r="E746" s="1" t="s">
        <v>1030</v>
      </c>
      <c r="F746" s="1" t="s">
        <v>1940</v>
      </c>
      <c r="G746" s="2">
        <f>VLOOKUP(B746,[2]Sheet1!B$2:I$773,8,FALSE)</f>
        <v>100000</v>
      </c>
      <c r="H746" s="2">
        <v>0</v>
      </c>
      <c r="I746" s="27"/>
    </row>
    <row r="747" spans="1:9" x14ac:dyDescent="0.35">
      <c r="A747" s="1" t="s">
        <v>1889</v>
      </c>
      <c r="B747" s="1" t="s">
        <v>1890</v>
      </c>
      <c r="D747" s="1" t="s">
        <v>1030</v>
      </c>
      <c r="E747" s="1" t="s">
        <v>1030</v>
      </c>
      <c r="F747" s="1" t="s">
        <v>1940</v>
      </c>
      <c r="G747" s="2">
        <f>VLOOKUP(B747,[2]Sheet1!B$2:I$773,8,FALSE)</f>
        <v>0</v>
      </c>
      <c r="H747" s="2">
        <v>0</v>
      </c>
    </row>
    <row r="748" spans="1:9" x14ac:dyDescent="0.35">
      <c r="A748" s="1" t="s">
        <v>1891</v>
      </c>
      <c r="B748" s="1" t="s">
        <v>1892</v>
      </c>
      <c r="D748" s="1" t="s">
        <v>1030</v>
      </c>
      <c r="E748" s="1" t="s">
        <v>1030</v>
      </c>
      <c r="F748" s="1" t="s">
        <v>1940</v>
      </c>
      <c r="G748" s="2">
        <f>VLOOKUP(B748,[2]Sheet1!B$2:I$773,8,FALSE)</f>
        <v>100000</v>
      </c>
      <c r="H748" s="2">
        <v>0</v>
      </c>
      <c r="I748" s="27"/>
    </row>
    <row r="749" spans="1:9" x14ac:dyDescent="0.35">
      <c r="A749" s="1" t="s">
        <v>1893</v>
      </c>
      <c r="B749" s="1" t="s">
        <v>1894</v>
      </c>
      <c r="D749" s="1" t="s">
        <v>1030</v>
      </c>
      <c r="E749" s="1" t="s">
        <v>1030</v>
      </c>
      <c r="F749" s="1" t="s">
        <v>1940</v>
      </c>
      <c r="G749" s="2">
        <f>VLOOKUP(B749,[2]Sheet1!B$2:I$773,8,FALSE)</f>
        <v>0</v>
      </c>
      <c r="H749" s="2">
        <v>0</v>
      </c>
    </row>
    <row r="750" spans="1:9" x14ac:dyDescent="0.35">
      <c r="A750" s="1" t="s">
        <v>1895</v>
      </c>
      <c r="B750" s="1" t="s">
        <v>1896</v>
      </c>
      <c r="D750" s="1" t="s">
        <v>1030</v>
      </c>
      <c r="E750" s="1" t="s">
        <v>1030</v>
      </c>
      <c r="F750" s="1" t="s">
        <v>1981</v>
      </c>
      <c r="G750" s="2">
        <f>VLOOKUP(B750,[2]Sheet1!B$2:I$773,8,FALSE)</f>
        <v>0</v>
      </c>
      <c r="H750" s="2">
        <v>0</v>
      </c>
    </row>
    <row r="751" spans="1:9" x14ac:dyDescent="0.35">
      <c r="A751" s="1" t="s">
        <v>1897</v>
      </c>
      <c r="B751" s="1" t="s">
        <v>1898</v>
      </c>
      <c r="D751" s="1" t="s">
        <v>1030</v>
      </c>
      <c r="E751" s="1" t="s">
        <v>1030</v>
      </c>
      <c r="F751" s="1" t="s">
        <v>1981</v>
      </c>
      <c r="G751" s="2">
        <f>VLOOKUP(B751,[2]Sheet1!B$2:I$773,8,FALSE)</f>
        <v>0</v>
      </c>
      <c r="H751" s="2">
        <v>0</v>
      </c>
    </row>
    <row r="752" spans="1:9" x14ac:dyDescent="0.35">
      <c r="A752" s="1" t="s">
        <v>1899</v>
      </c>
      <c r="B752" s="1" t="s">
        <v>1900</v>
      </c>
      <c r="D752" s="1" t="s">
        <v>1030</v>
      </c>
      <c r="E752" s="1" t="s">
        <v>1030</v>
      </c>
      <c r="F752" s="1" t="s">
        <v>1982</v>
      </c>
      <c r="G752" s="2">
        <f>VLOOKUP(B752,[2]Sheet1!B$2:I$773,8,FALSE)</f>
        <v>0</v>
      </c>
      <c r="H752" s="2">
        <v>0</v>
      </c>
    </row>
    <row r="753" spans="1:9" x14ac:dyDescent="0.35">
      <c r="A753" s="1" t="s">
        <v>1901</v>
      </c>
      <c r="B753" s="1" t="s">
        <v>1902</v>
      </c>
      <c r="D753" s="1" t="s">
        <v>1030</v>
      </c>
      <c r="E753" s="1" t="s">
        <v>1030</v>
      </c>
      <c r="F753" s="1" t="s">
        <v>1983</v>
      </c>
      <c r="G753" s="2">
        <f>VLOOKUP(B753,[2]Sheet1!B$2:I$773,8,FALSE)</f>
        <v>0</v>
      </c>
      <c r="H753" s="2">
        <v>0</v>
      </c>
    </row>
    <row r="754" spans="1:9" x14ac:dyDescent="0.35">
      <c r="A754" s="1" t="s">
        <v>1903</v>
      </c>
      <c r="B754" s="1" t="s">
        <v>1904</v>
      </c>
      <c r="D754" s="1" t="s">
        <v>1030</v>
      </c>
      <c r="E754" s="1" t="s">
        <v>1030</v>
      </c>
      <c r="F754" s="1" t="s">
        <v>1984</v>
      </c>
      <c r="G754" s="2">
        <f>VLOOKUP(B754,[2]Sheet1!B$2:I$773,8,FALSE)</f>
        <v>0</v>
      </c>
      <c r="H754" s="2">
        <v>0</v>
      </c>
    </row>
    <row r="755" spans="1:9" x14ac:dyDescent="0.35">
      <c r="A755" s="1" t="s">
        <v>1905</v>
      </c>
      <c r="B755" s="1" t="s">
        <v>1906</v>
      </c>
      <c r="C755" s="1" t="s">
        <v>2027</v>
      </c>
      <c r="D755" s="1" t="s">
        <v>1030</v>
      </c>
      <c r="E755" s="1" t="s">
        <v>1985</v>
      </c>
      <c r="F755" s="1" t="s">
        <v>1940</v>
      </c>
      <c r="G755" s="2">
        <f>VLOOKUP(B755,[2]Sheet1!B$2:I$773,8,FALSE)</f>
        <v>100000</v>
      </c>
      <c r="H755" s="2">
        <f>VLOOKUP(B755,'[3]DAFTAR ALL'!B$8:D$68,3,FALSE)</f>
        <v>1500000</v>
      </c>
      <c r="I755" s="27"/>
    </row>
    <row r="756" spans="1:9" x14ac:dyDescent="0.35">
      <c r="A756" s="1" t="s">
        <v>1907</v>
      </c>
      <c r="B756" s="1" t="s">
        <v>1908</v>
      </c>
      <c r="D756" s="1" t="s">
        <v>1030</v>
      </c>
      <c r="E756" s="1" t="s">
        <v>1985</v>
      </c>
      <c r="F756" s="1" t="s">
        <v>1940</v>
      </c>
      <c r="G756" s="2">
        <f>VLOOKUP(B756,[2]Sheet1!B$2:I$773,8,FALSE)</f>
        <v>0</v>
      </c>
      <c r="H756" s="2">
        <v>0</v>
      </c>
    </row>
    <row r="757" spans="1:9" x14ac:dyDescent="0.35">
      <c r="A757" s="1" t="s">
        <v>1909</v>
      </c>
      <c r="B757" s="1" t="s">
        <v>1910</v>
      </c>
      <c r="D757" s="1" t="s">
        <v>1030</v>
      </c>
      <c r="E757" s="1" t="s">
        <v>1985</v>
      </c>
      <c r="F757" s="1" t="s">
        <v>1940</v>
      </c>
      <c r="G757" s="2">
        <f>VLOOKUP(B757,[2]Sheet1!B$2:I$773,8,FALSE)</f>
        <v>0</v>
      </c>
      <c r="H757" s="2">
        <v>0</v>
      </c>
    </row>
    <row r="758" spans="1:9" x14ac:dyDescent="0.35">
      <c r="A758" s="1" t="s">
        <v>1911</v>
      </c>
      <c r="B758" s="1" t="s">
        <v>1912</v>
      </c>
      <c r="D758" s="1" t="s">
        <v>879</v>
      </c>
      <c r="E758" s="1" t="s">
        <v>879</v>
      </c>
      <c r="F758" s="1" t="s">
        <v>1944</v>
      </c>
      <c r="G758" s="2">
        <f>VLOOKUP(B758,[2]Sheet1!B$2:I$773,8,FALSE)</f>
        <v>0</v>
      </c>
      <c r="H758" s="2">
        <v>0</v>
      </c>
    </row>
    <row r="759" spans="1:9" x14ac:dyDescent="0.35">
      <c r="A759" s="1" t="s">
        <v>1913</v>
      </c>
      <c r="B759" s="1" t="s">
        <v>1914</v>
      </c>
      <c r="D759" s="1" t="s">
        <v>1061</v>
      </c>
      <c r="E759" s="1" t="s">
        <v>1061</v>
      </c>
      <c r="F759" s="1" t="s">
        <v>1970</v>
      </c>
      <c r="G759" s="2">
        <f>VLOOKUP(B759,[2]Sheet1!B$2:I$773,8,FALSE)</f>
        <v>0</v>
      </c>
      <c r="H759" s="2">
        <v>0</v>
      </c>
    </row>
    <row r="760" spans="1:9" x14ac:dyDescent="0.35">
      <c r="A760" s="1" t="s">
        <v>1915</v>
      </c>
      <c r="B760" s="1" t="s">
        <v>1916</v>
      </c>
      <c r="D760" s="1" t="s">
        <v>1197</v>
      </c>
      <c r="E760" s="1" t="s">
        <v>1197</v>
      </c>
      <c r="F760" s="1" t="s">
        <v>1986</v>
      </c>
      <c r="G760" s="2">
        <f>VLOOKUP(B760,[2]Sheet1!B$2:I$773,8,FALSE)</f>
        <v>0</v>
      </c>
      <c r="H760" s="2">
        <v>0</v>
      </c>
    </row>
    <row r="761" spans="1:9" x14ac:dyDescent="0.35">
      <c r="A761" s="1" t="s">
        <v>1917</v>
      </c>
      <c r="B761" s="1" t="s">
        <v>1918</v>
      </c>
      <c r="D761" s="1" t="s">
        <v>1215</v>
      </c>
      <c r="E761" s="1" t="s">
        <v>1215</v>
      </c>
      <c r="F761" s="1" t="s">
        <v>1987</v>
      </c>
      <c r="G761" s="2">
        <f>VLOOKUP(B761,[2]Sheet1!B$2:I$773,8,FALSE)</f>
        <v>100000</v>
      </c>
      <c r="H761" s="2">
        <v>0</v>
      </c>
      <c r="I761" s="27"/>
    </row>
    <row r="762" spans="1:9" x14ac:dyDescent="0.35">
      <c r="A762" s="1" t="s">
        <v>1919</v>
      </c>
      <c r="B762" s="1" t="s">
        <v>1920</v>
      </c>
      <c r="D762" s="1" t="s">
        <v>1215</v>
      </c>
      <c r="E762" s="1" t="s">
        <v>1215</v>
      </c>
      <c r="F762" s="1" t="s">
        <v>1940</v>
      </c>
      <c r="G762" s="2">
        <f>VLOOKUP(B762,[2]Sheet1!B$2:I$773,8,FALSE)</f>
        <v>0</v>
      </c>
      <c r="H762" s="2">
        <v>0</v>
      </c>
    </row>
    <row r="763" spans="1:9" x14ac:dyDescent="0.35">
      <c r="A763" s="1" t="s">
        <v>1921</v>
      </c>
      <c r="B763" s="1" t="s">
        <v>1922</v>
      </c>
      <c r="D763" s="1" t="s">
        <v>785</v>
      </c>
      <c r="E763" s="1" t="s">
        <v>785</v>
      </c>
      <c r="F763" s="1" t="s">
        <v>1940</v>
      </c>
      <c r="G763" s="2">
        <f>VLOOKUP(B763,[2]Sheet1!B$2:I$773,8,FALSE)</f>
        <v>0</v>
      </c>
      <c r="H763" s="2">
        <v>0</v>
      </c>
    </row>
    <row r="764" spans="1:9" x14ac:dyDescent="0.35">
      <c r="A764" s="1" t="s">
        <v>1923</v>
      </c>
      <c r="B764" s="1" t="s">
        <v>1924</v>
      </c>
      <c r="D764" s="1" t="s">
        <v>821</v>
      </c>
      <c r="E764" s="1" t="s">
        <v>821</v>
      </c>
      <c r="F764" s="1" t="s">
        <v>1988</v>
      </c>
      <c r="G764" s="2">
        <f>VLOOKUP(B764,[2]Sheet1!B$2:I$773,8,FALSE)</f>
        <v>100000</v>
      </c>
      <c r="H764" s="2">
        <v>0</v>
      </c>
      <c r="I764" s="27"/>
    </row>
    <row r="765" spans="1:9" x14ac:dyDescent="0.35">
      <c r="A765" s="1" t="s">
        <v>1925</v>
      </c>
      <c r="B765" s="1" t="s">
        <v>1926</v>
      </c>
      <c r="D765" s="1" t="s">
        <v>821</v>
      </c>
      <c r="E765" s="1" t="s">
        <v>821</v>
      </c>
      <c r="F765" s="1" t="s">
        <v>1989</v>
      </c>
      <c r="G765" s="2">
        <f>VLOOKUP(B765,[2]Sheet1!B$2:I$773,8,FALSE)</f>
        <v>0</v>
      </c>
      <c r="H765" s="2">
        <v>0</v>
      </c>
    </row>
    <row r="766" spans="1:9" x14ac:dyDescent="0.35">
      <c r="A766" s="1" t="s">
        <v>1927</v>
      </c>
      <c r="B766" s="1" t="s">
        <v>1928</v>
      </c>
      <c r="D766" s="1" t="s">
        <v>821</v>
      </c>
      <c r="E766" s="1" t="s">
        <v>821</v>
      </c>
      <c r="F766" s="1" t="s">
        <v>1940</v>
      </c>
      <c r="G766" s="2">
        <f>VLOOKUP(B766,[2]Sheet1!B$2:I$773,8,FALSE)</f>
        <v>0</v>
      </c>
      <c r="H766" s="2">
        <v>0</v>
      </c>
    </row>
    <row r="767" spans="1:9" x14ac:dyDescent="0.35">
      <c r="A767" s="1" t="s">
        <v>1929</v>
      </c>
      <c r="B767" s="1" t="s">
        <v>1930</v>
      </c>
      <c r="D767" s="1" t="s">
        <v>821</v>
      </c>
      <c r="E767" s="1" t="s">
        <v>821</v>
      </c>
      <c r="F767" s="1" t="s">
        <v>1940</v>
      </c>
      <c r="G767" s="2">
        <f>VLOOKUP(B767,[2]Sheet1!B$2:I$773,8,FALSE)</f>
        <v>0</v>
      </c>
      <c r="H767" s="2">
        <v>0</v>
      </c>
    </row>
    <row r="768" spans="1:9" x14ac:dyDescent="0.35">
      <c r="A768" s="1" t="s">
        <v>1931</v>
      </c>
      <c r="B768" s="1" t="s">
        <v>1932</v>
      </c>
      <c r="D768" s="1" t="s">
        <v>821</v>
      </c>
      <c r="E768" s="1" t="s">
        <v>821</v>
      </c>
      <c r="F768" s="1" t="s">
        <v>1990</v>
      </c>
      <c r="G768" s="2">
        <f>VLOOKUP(B768,[2]Sheet1!B$2:I$773,8,FALSE)</f>
        <v>0</v>
      </c>
      <c r="H768" s="2">
        <v>0</v>
      </c>
    </row>
    <row r="769" spans="1:12" x14ac:dyDescent="0.35">
      <c r="A769" s="1" t="s">
        <v>1933</v>
      </c>
      <c r="B769" s="1" t="s">
        <v>1934</v>
      </c>
      <c r="D769" s="1" t="s">
        <v>821</v>
      </c>
      <c r="E769" s="1" t="s">
        <v>821</v>
      </c>
      <c r="F769" s="1" t="s">
        <v>1990</v>
      </c>
      <c r="G769" s="2">
        <f>VLOOKUP(B769,[2]Sheet1!B$2:I$773,8,FALSE)</f>
        <v>0</v>
      </c>
      <c r="H769" s="2">
        <v>0</v>
      </c>
    </row>
    <row r="770" spans="1:12" x14ac:dyDescent="0.35">
      <c r="A770" s="1" t="s">
        <v>1935</v>
      </c>
      <c r="B770" s="1" t="s">
        <v>1936</v>
      </c>
      <c r="D770" s="1" t="s">
        <v>1374</v>
      </c>
      <c r="E770" s="1" t="s">
        <v>1374</v>
      </c>
      <c r="F770" s="1" t="s">
        <v>1940</v>
      </c>
      <c r="G770" s="2">
        <f>VLOOKUP(B770,[2]Sheet1!B$2:I$773,8,FALSE)</f>
        <v>0</v>
      </c>
      <c r="H770" s="2">
        <v>0</v>
      </c>
    </row>
    <row r="771" spans="1:12" x14ac:dyDescent="0.35">
      <c r="A771" s="1" t="s">
        <v>1937</v>
      </c>
      <c r="B771" s="1" t="s">
        <v>1938</v>
      </c>
      <c r="D771" s="1" t="s">
        <v>1374</v>
      </c>
      <c r="E771" s="1" t="s">
        <v>1991</v>
      </c>
      <c r="F771" s="1" t="s">
        <v>1940</v>
      </c>
      <c r="G771" s="2">
        <f>VLOOKUP(B771,[2]Sheet1!B$2:I$773,8,FALSE)</f>
        <v>0</v>
      </c>
      <c r="H771" s="2">
        <v>0</v>
      </c>
    </row>
    <row r="772" spans="1:12" x14ac:dyDescent="0.35">
      <c r="B772" s="5" t="s">
        <v>1994</v>
      </c>
      <c r="D772" s="1" t="s">
        <v>1997</v>
      </c>
      <c r="E772" s="1" t="s">
        <v>1997</v>
      </c>
      <c r="F772" s="5" t="s">
        <v>1997</v>
      </c>
      <c r="G772" s="2">
        <f>VLOOKUP(B772,[2]Sheet1!B$2:I$773,8,FALSE)</f>
        <v>500000</v>
      </c>
      <c r="H772" s="2">
        <v>0</v>
      </c>
      <c r="I772" s="27"/>
    </row>
    <row r="773" spans="1:12" x14ac:dyDescent="0.35">
      <c r="B773" s="5" t="s">
        <v>1995</v>
      </c>
      <c r="D773" s="1" t="s">
        <v>1997</v>
      </c>
      <c r="E773" s="1" t="s">
        <v>1997</v>
      </c>
      <c r="F773" s="5" t="s">
        <v>1997</v>
      </c>
      <c r="G773" s="2">
        <f>VLOOKUP(B773,[2]Sheet1!B$2:I$773,8,FALSE)</f>
        <v>500000</v>
      </c>
      <c r="H773" s="2">
        <f>VLOOKUP(B773,'[3]DAFTAR ALL'!B$8:D$68,3,FALSE)</f>
        <v>6746750</v>
      </c>
      <c r="I773" s="27"/>
    </row>
    <row r="774" spans="1:12" x14ac:dyDescent="0.35">
      <c r="B774" s="5" t="s">
        <v>1996</v>
      </c>
      <c r="D774" s="1" t="s">
        <v>1997</v>
      </c>
      <c r="E774" s="1" t="s">
        <v>1997</v>
      </c>
      <c r="F774" s="5" t="s">
        <v>1997</v>
      </c>
      <c r="G774" s="2">
        <f>VLOOKUP(B774,[2]Sheet1!B$2:I$773,8,FALSE)</f>
        <v>500000</v>
      </c>
      <c r="H774" s="2">
        <v>0</v>
      </c>
      <c r="I774" s="27"/>
    </row>
    <row r="775" spans="1:12" x14ac:dyDescent="0.35">
      <c r="B775" s="7"/>
      <c r="C775" s="7"/>
      <c r="D775" s="7"/>
      <c r="E775" s="7"/>
      <c r="F775" s="7"/>
    </row>
    <row r="776" spans="1:12" x14ac:dyDescent="0.35">
      <c r="J776" s="18" t="s">
        <v>2000</v>
      </c>
      <c r="K776" s="2">
        <v>38500000</v>
      </c>
      <c r="L776" s="19"/>
    </row>
    <row r="777" spans="1:12" x14ac:dyDescent="0.35">
      <c r="J777" s="18" t="s">
        <v>2001</v>
      </c>
      <c r="K777" s="2">
        <v>1500000</v>
      </c>
      <c r="L777" s="19"/>
    </row>
    <row r="778" spans="1:12" x14ac:dyDescent="0.35">
      <c r="J778" s="20" t="s">
        <v>2002</v>
      </c>
      <c r="K778" s="21">
        <f>K776+K777</f>
        <v>40000000</v>
      </c>
      <c r="L778" s="19"/>
    </row>
    <row r="779" spans="1:12" x14ac:dyDescent="0.35">
      <c r="K779" s="19"/>
      <c r="L779" s="19"/>
    </row>
    <row r="780" spans="1:12" x14ac:dyDescent="0.35">
      <c r="J780" s="22" t="s">
        <v>2014</v>
      </c>
      <c r="K780" s="23"/>
      <c r="L780" s="23">
        <f>300277781+900000</f>
        <v>301177781</v>
      </c>
    </row>
    <row r="781" spans="1:12" x14ac:dyDescent="0.35">
      <c r="J781" s="24" t="s">
        <v>2005</v>
      </c>
      <c r="K781" s="23"/>
      <c r="L781" s="25">
        <f>L780</f>
        <v>301177781</v>
      </c>
    </row>
    <row r="782" spans="1:12" x14ac:dyDescent="0.35">
      <c r="K782" s="19"/>
      <c r="L782" s="19"/>
    </row>
    <row r="783" spans="1:12" x14ac:dyDescent="0.35">
      <c r="J783" s="106" t="s">
        <v>2006</v>
      </c>
      <c r="K783" s="107">
        <f>L781+K778</f>
        <v>341177781</v>
      </c>
      <c r="L783" s="19"/>
    </row>
  </sheetData>
  <autoFilter ref="A1:H774" xr:uid="{7865205C-C04D-4E59-B77A-49B17F6C5907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FD165-A66F-40DE-A7F1-B7F63B52BA6E}">
  <dimension ref="A1:F149"/>
  <sheetViews>
    <sheetView workbookViewId="0">
      <selection activeCell="B1" sqref="B1"/>
    </sheetView>
  </sheetViews>
  <sheetFormatPr defaultRowHeight="14.5" x14ac:dyDescent="0.35"/>
  <cols>
    <col min="1" max="1" width="31.90625" customWidth="1"/>
    <col min="2" max="2" width="19.54296875" customWidth="1"/>
    <col min="3" max="3" width="23.7265625" customWidth="1"/>
    <col min="4" max="4" width="51.08984375" customWidth="1"/>
    <col min="5" max="5" width="15.08984375" customWidth="1"/>
    <col min="6" max="6" width="13.54296875" bestFit="1" customWidth="1"/>
  </cols>
  <sheetData>
    <row r="1" spans="1:6" x14ac:dyDescent="0.35">
      <c r="A1" s="8" t="s">
        <v>2281</v>
      </c>
    </row>
    <row r="2" spans="1:6" x14ac:dyDescent="0.35">
      <c r="A2" s="8" t="s">
        <v>2282</v>
      </c>
    </row>
    <row r="4" spans="1:6" x14ac:dyDescent="0.35">
      <c r="A4" s="1" t="s">
        <v>1</v>
      </c>
      <c r="B4" s="1" t="s">
        <v>2</v>
      </c>
      <c r="C4" s="1" t="s">
        <v>3</v>
      </c>
      <c r="D4" s="1" t="s">
        <v>1704</v>
      </c>
      <c r="E4" s="2" t="s">
        <v>1992</v>
      </c>
      <c r="F4" s="2" t="s">
        <v>1993</v>
      </c>
    </row>
    <row r="5" spans="1:6" x14ac:dyDescent="0.35">
      <c r="A5" s="1" t="s">
        <v>251</v>
      </c>
      <c r="B5" s="1" t="s">
        <v>252</v>
      </c>
      <c r="C5" s="1" t="s">
        <v>252</v>
      </c>
      <c r="D5" s="1" t="s">
        <v>1409</v>
      </c>
      <c r="E5" s="2">
        <v>250000</v>
      </c>
      <c r="F5" s="2">
        <v>5510001</v>
      </c>
    </row>
    <row r="6" spans="1:6" x14ac:dyDescent="0.35">
      <c r="A6" s="1" t="s">
        <v>533</v>
      </c>
      <c r="B6" s="1" t="s">
        <v>252</v>
      </c>
      <c r="C6" s="1" t="s">
        <v>252</v>
      </c>
      <c r="D6" s="1" t="s">
        <v>1450</v>
      </c>
      <c r="E6" s="2">
        <v>100000</v>
      </c>
      <c r="F6" s="2">
        <v>0</v>
      </c>
    </row>
    <row r="7" spans="1:6" x14ac:dyDescent="0.35">
      <c r="A7" s="1" t="s">
        <v>538</v>
      </c>
      <c r="B7" s="1" t="s">
        <v>252</v>
      </c>
      <c r="C7" s="1" t="s">
        <v>252</v>
      </c>
      <c r="D7" s="1" t="s">
        <v>1452</v>
      </c>
      <c r="E7" s="2">
        <v>150000</v>
      </c>
      <c r="F7" s="2">
        <v>0</v>
      </c>
    </row>
    <row r="8" spans="1:6" x14ac:dyDescent="0.35">
      <c r="A8" s="1" t="s">
        <v>608</v>
      </c>
      <c r="B8" s="1" t="s">
        <v>16</v>
      </c>
      <c r="C8" s="1" t="s">
        <v>16</v>
      </c>
      <c r="D8" s="1" t="s">
        <v>1462</v>
      </c>
      <c r="E8" s="2">
        <v>150000</v>
      </c>
      <c r="F8" s="2">
        <v>0</v>
      </c>
    </row>
    <row r="9" spans="1:6" x14ac:dyDescent="0.35">
      <c r="A9" s="22" t="s">
        <v>612</v>
      </c>
      <c r="B9" s="22" t="s">
        <v>16</v>
      </c>
      <c r="C9" s="22" t="s">
        <v>16</v>
      </c>
      <c r="D9" s="22" t="s">
        <v>1464</v>
      </c>
      <c r="E9" s="23">
        <v>450000</v>
      </c>
      <c r="F9" s="23">
        <v>1889063</v>
      </c>
    </row>
    <row r="10" spans="1:6" x14ac:dyDescent="0.35">
      <c r="A10" s="1" t="s">
        <v>614</v>
      </c>
      <c r="B10" s="1" t="s">
        <v>16</v>
      </c>
      <c r="C10" s="1" t="s">
        <v>16</v>
      </c>
      <c r="D10" s="1" t="s">
        <v>1432</v>
      </c>
      <c r="E10" s="2">
        <v>250000</v>
      </c>
      <c r="F10" s="2">
        <v>2500000</v>
      </c>
    </row>
    <row r="11" spans="1:6" x14ac:dyDescent="0.35">
      <c r="A11" s="1" t="s">
        <v>616</v>
      </c>
      <c r="B11" s="1" t="s">
        <v>16</v>
      </c>
      <c r="C11" s="1" t="s">
        <v>16</v>
      </c>
      <c r="D11" s="1" t="s">
        <v>1465</v>
      </c>
      <c r="E11" s="2">
        <v>350000</v>
      </c>
      <c r="F11" s="2">
        <v>0</v>
      </c>
    </row>
    <row r="12" spans="1:6" x14ac:dyDescent="0.35">
      <c r="A12" s="1" t="s">
        <v>624</v>
      </c>
      <c r="B12" s="1" t="s">
        <v>16</v>
      </c>
      <c r="C12" s="1" t="s">
        <v>16</v>
      </c>
      <c r="D12" s="1" t="s">
        <v>1468</v>
      </c>
      <c r="E12" s="2">
        <v>350000</v>
      </c>
      <c r="F12" s="2">
        <v>0</v>
      </c>
    </row>
    <row r="13" spans="1:6" x14ac:dyDescent="0.35">
      <c r="A13" s="1" t="s">
        <v>626</v>
      </c>
      <c r="B13" s="1" t="s">
        <v>16</v>
      </c>
      <c r="C13" s="1" t="s">
        <v>16</v>
      </c>
      <c r="D13" s="1" t="s">
        <v>1381</v>
      </c>
      <c r="E13" s="2">
        <v>150000</v>
      </c>
      <c r="F13" s="2">
        <v>850694</v>
      </c>
    </row>
    <row r="14" spans="1:6" x14ac:dyDescent="0.35">
      <c r="A14" s="1" t="s">
        <v>628</v>
      </c>
      <c r="B14" s="1" t="s">
        <v>16</v>
      </c>
      <c r="C14" s="1" t="s">
        <v>16</v>
      </c>
      <c r="D14" s="1" t="s">
        <v>1469</v>
      </c>
      <c r="E14" s="2">
        <v>350000</v>
      </c>
      <c r="F14" s="2">
        <v>0</v>
      </c>
    </row>
    <row r="15" spans="1:6" x14ac:dyDescent="0.35">
      <c r="A15" s="1" t="s">
        <v>638</v>
      </c>
      <c r="B15" s="1" t="s">
        <v>636</v>
      </c>
      <c r="C15" s="1" t="s">
        <v>636</v>
      </c>
      <c r="D15" s="1" t="s">
        <v>1472</v>
      </c>
      <c r="E15" s="2">
        <v>250000</v>
      </c>
      <c r="F15" s="2">
        <v>6154617</v>
      </c>
    </row>
    <row r="16" spans="1:6" x14ac:dyDescent="0.35">
      <c r="A16" s="96" t="s">
        <v>644</v>
      </c>
      <c r="B16" s="1" t="s">
        <v>636</v>
      </c>
      <c r="C16" s="1" t="s">
        <v>636</v>
      </c>
      <c r="D16" s="1" t="s">
        <v>1473</v>
      </c>
      <c r="E16" s="2">
        <v>250000</v>
      </c>
      <c r="F16" s="2">
        <v>0</v>
      </c>
    </row>
    <row r="17" spans="1:6" x14ac:dyDescent="0.35">
      <c r="A17" s="1" t="s">
        <v>646</v>
      </c>
      <c r="B17" s="1" t="s">
        <v>636</v>
      </c>
      <c r="C17" s="1" t="s">
        <v>636</v>
      </c>
      <c r="D17" s="1" t="s">
        <v>1474</v>
      </c>
      <c r="E17" s="2">
        <v>250000</v>
      </c>
      <c r="F17" s="2">
        <v>6887500</v>
      </c>
    </row>
    <row r="18" spans="1:6" x14ac:dyDescent="0.35">
      <c r="A18" s="1" t="s">
        <v>650</v>
      </c>
      <c r="B18" s="1" t="s">
        <v>636</v>
      </c>
      <c r="C18" s="1" t="s">
        <v>636</v>
      </c>
      <c r="D18" s="1" t="s">
        <v>1476</v>
      </c>
      <c r="E18" s="2">
        <v>100000</v>
      </c>
      <c r="F18" s="2">
        <v>0</v>
      </c>
    </row>
    <row r="19" spans="1:6" x14ac:dyDescent="0.35">
      <c r="A19" s="1" t="s">
        <v>652</v>
      </c>
      <c r="B19" s="1" t="s">
        <v>653</v>
      </c>
      <c r="C19" s="1" t="s">
        <v>653</v>
      </c>
      <c r="D19" s="1" t="s">
        <v>1477</v>
      </c>
      <c r="E19" s="2">
        <v>500000</v>
      </c>
      <c r="F19" s="2">
        <v>0</v>
      </c>
    </row>
    <row r="20" spans="1:6" x14ac:dyDescent="0.35">
      <c r="A20" s="1" t="s">
        <v>657</v>
      </c>
      <c r="B20" s="1" t="s">
        <v>653</v>
      </c>
      <c r="C20" s="1" t="s">
        <v>653</v>
      </c>
      <c r="D20" s="1" t="s">
        <v>1479</v>
      </c>
      <c r="E20" s="2">
        <v>350000</v>
      </c>
      <c r="F20" s="2">
        <v>10608334</v>
      </c>
    </row>
    <row r="21" spans="1:6" x14ac:dyDescent="0.35">
      <c r="A21" s="1" t="s">
        <v>680</v>
      </c>
      <c r="B21" s="1" t="s">
        <v>678</v>
      </c>
      <c r="C21" s="1" t="s">
        <v>678</v>
      </c>
      <c r="D21" s="1" t="s">
        <v>1487</v>
      </c>
      <c r="E21" s="2">
        <v>250000</v>
      </c>
      <c r="F21" s="2">
        <v>17584050</v>
      </c>
    </row>
    <row r="22" spans="1:6" x14ac:dyDescent="0.35">
      <c r="A22" s="1" t="s">
        <v>682</v>
      </c>
      <c r="B22" s="1" t="s">
        <v>678</v>
      </c>
      <c r="C22" s="1" t="s">
        <v>678</v>
      </c>
      <c r="D22" s="1" t="s">
        <v>1488</v>
      </c>
      <c r="E22" s="2">
        <v>250000</v>
      </c>
      <c r="F22" s="2">
        <v>0</v>
      </c>
    </row>
    <row r="23" spans="1:6" x14ac:dyDescent="0.35">
      <c r="A23" s="1" t="s">
        <v>684</v>
      </c>
      <c r="B23" s="1" t="s">
        <v>678</v>
      </c>
      <c r="C23" s="1" t="s">
        <v>678</v>
      </c>
      <c r="D23" s="1" t="s">
        <v>1489</v>
      </c>
      <c r="E23" s="2">
        <v>100000</v>
      </c>
      <c r="F23" s="2">
        <v>1665000</v>
      </c>
    </row>
    <row r="24" spans="1:6" x14ac:dyDescent="0.35">
      <c r="A24" s="1" t="s">
        <v>686</v>
      </c>
      <c r="B24" s="1" t="s">
        <v>678</v>
      </c>
      <c r="C24" s="1" t="s">
        <v>678</v>
      </c>
      <c r="D24" s="1" t="s">
        <v>1489</v>
      </c>
      <c r="E24" s="2">
        <v>150000</v>
      </c>
      <c r="F24" s="2">
        <v>1200000</v>
      </c>
    </row>
    <row r="25" spans="1:6" x14ac:dyDescent="0.35">
      <c r="A25" s="1" t="s">
        <v>688</v>
      </c>
      <c r="B25" s="1" t="s">
        <v>678</v>
      </c>
      <c r="C25" s="1" t="s">
        <v>678</v>
      </c>
      <c r="D25" s="1" t="s">
        <v>1489</v>
      </c>
      <c r="E25" s="2">
        <v>150000</v>
      </c>
      <c r="F25" s="2">
        <v>2500000</v>
      </c>
    </row>
    <row r="26" spans="1:6" x14ac:dyDescent="0.35">
      <c r="A26" s="1" t="s">
        <v>690</v>
      </c>
      <c r="B26" s="1" t="s">
        <v>678</v>
      </c>
      <c r="C26" s="1" t="s">
        <v>678</v>
      </c>
      <c r="D26" s="1" t="s">
        <v>1489</v>
      </c>
      <c r="E26" s="2">
        <v>150000</v>
      </c>
      <c r="F26" s="2">
        <v>5638526</v>
      </c>
    </row>
    <row r="27" spans="1:6" x14ac:dyDescent="0.35">
      <c r="A27" s="1" t="s">
        <v>692</v>
      </c>
      <c r="B27" s="1" t="s">
        <v>678</v>
      </c>
      <c r="C27" s="1" t="s">
        <v>678</v>
      </c>
      <c r="D27" s="1" t="s">
        <v>1489</v>
      </c>
      <c r="E27" s="2">
        <v>150000</v>
      </c>
      <c r="F27" s="2">
        <v>0</v>
      </c>
    </row>
    <row r="28" spans="1:6" x14ac:dyDescent="0.35">
      <c r="A28" s="1" t="s">
        <v>694</v>
      </c>
      <c r="B28" s="1" t="s">
        <v>678</v>
      </c>
      <c r="C28" s="1" t="s">
        <v>678</v>
      </c>
      <c r="D28" s="1" t="s">
        <v>1488</v>
      </c>
      <c r="E28" s="2">
        <v>250000</v>
      </c>
      <c r="F28" s="2">
        <v>0</v>
      </c>
    </row>
    <row r="29" spans="1:6" x14ac:dyDescent="0.35">
      <c r="A29" s="1" t="s">
        <v>700</v>
      </c>
      <c r="B29" s="1" t="s">
        <v>678</v>
      </c>
      <c r="C29" s="1" t="s">
        <v>678</v>
      </c>
      <c r="D29" s="1" t="s">
        <v>1491</v>
      </c>
      <c r="E29" s="2">
        <v>350000</v>
      </c>
      <c r="F29" s="2">
        <v>500000</v>
      </c>
    </row>
    <row r="30" spans="1:6" x14ac:dyDescent="0.35">
      <c r="A30" s="1" t="s">
        <v>702</v>
      </c>
      <c r="B30" s="1" t="s">
        <v>678</v>
      </c>
      <c r="C30" s="1" t="s">
        <v>678</v>
      </c>
      <c r="D30" s="1" t="s">
        <v>1492</v>
      </c>
      <c r="E30" s="2">
        <v>100000</v>
      </c>
      <c r="F30" s="2">
        <v>1000000</v>
      </c>
    </row>
    <row r="31" spans="1:6" x14ac:dyDescent="0.35">
      <c r="A31" s="1" t="s">
        <v>715</v>
      </c>
      <c r="B31" s="1" t="s">
        <v>711</v>
      </c>
      <c r="C31" s="1" t="s">
        <v>711</v>
      </c>
      <c r="D31" s="1" t="s">
        <v>1493</v>
      </c>
      <c r="E31" s="2">
        <v>150000</v>
      </c>
      <c r="F31" s="2">
        <v>2395833</v>
      </c>
    </row>
    <row r="32" spans="1:6" x14ac:dyDescent="0.35">
      <c r="A32" s="1" t="s">
        <v>717</v>
      </c>
      <c r="B32" s="1" t="s">
        <v>711</v>
      </c>
      <c r="C32" s="1" t="s">
        <v>711</v>
      </c>
      <c r="D32" s="1" t="s">
        <v>1494</v>
      </c>
      <c r="E32" s="2">
        <v>250000</v>
      </c>
      <c r="F32" s="2">
        <v>0</v>
      </c>
    </row>
    <row r="33" spans="1:6" x14ac:dyDescent="0.35">
      <c r="A33" s="1" t="s">
        <v>719</v>
      </c>
      <c r="B33" s="1" t="s">
        <v>711</v>
      </c>
      <c r="C33" s="1" t="s">
        <v>711</v>
      </c>
      <c r="D33" s="1" t="s">
        <v>1495</v>
      </c>
      <c r="E33" s="2">
        <v>250000</v>
      </c>
      <c r="F33" s="2">
        <v>7801667</v>
      </c>
    </row>
    <row r="34" spans="1:6" x14ac:dyDescent="0.35">
      <c r="A34" s="1" t="s">
        <v>721</v>
      </c>
      <c r="B34" s="1" t="s">
        <v>711</v>
      </c>
      <c r="C34" s="1" t="s">
        <v>711</v>
      </c>
      <c r="D34" s="1" t="s">
        <v>1493</v>
      </c>
      <c r="E34" s="2">
        <v>150000</v>
      </c>
      <c r="F34" s="2">
        <v>0</v>
      </c>
    </row>
    <row r="35" spans="1:6" x14ac:dyDescent="0.35">
      <c r="A35" s="1" t="s">
        <v>725</v>
      </c>
      <c r="B35" s="1" t="s">
        <v>711</v>
      </c>
      <c r="C35" s="1" t="s">
        <v>711</v>
      </c>
      <c r="D35" s="1" t="s">
        <v>1497</v>
      </c>
      <c r="E35" s="2">
        <v>250000</v>
      </c>
      <c r="F35" s="2">
        <v>3562500</v>
      </c>
    </row>
    <row r="36" spans="1:6" x14ac:dyDescent="0.35">
      <c r="A36" s="1" t="s">
        <v>727</v>
      </c>
      <c r="B36" s="1" t="s">
        <v>711</v>
      </c>
      <c r="C36" s="1" t="s">
        <v>711</v>
      </c>
      <c r="D36" s="1" t="s">
        <v>1498</v>
      </c>
      <c r="E36" s="2">
        <v>100000</v>
      </c>
      <c r="F36" s="2">
        <v>0</v>
      </c>
    </row>
    <row r="37" spans="1:6" x14ac:dyDescent="0.35">
      <c r="A37" s="1" t="s">
        <v>731</v>
      </c>
      <c r="B37" s="1" t="s">
        <v>711</v>
      </c>
      <c r="C37" s="1" t="s">
        <v>711</v>
      </c>
      <c r="D37" s="1" t="s">
        <v>1500</v>
      </c>
      <c r="E37" s="2">
        <v>250000</v>
      </c>
      <c r="F37" s="2">
        <v>0</v>
      </c>
    </row>
    <row r="38" spans="1:6" x14ac:dyDescent="0.35">
      <c r="A38" s="1" t="s">
        <v>733</v>
      </c>
      <c r="B38" s="1" t="s">
        <v>711</v>
      </c>
      <c r="C38" s="1" t="s">
        <v>711</v>
      </c>
      <c r="D38" s="1" t="s">
        <v>1501</v>
      </c>
      <c r="E38" s="2">
        <v>150000</v>
      </c>
      <c r="F38" s="2">
        <v>1500000</v>
      </c>
    </row>
    <row r="39" spans="1:6" x14ac:dyDescent="0.35">
      <c r="A39" s="1" t="s">
        <v>737</v>
      </c>
      <c r="B39" s="1" t="s">
        <v>711</v>
      </c>
      <c r="C39" s="1" t="s">
        <v>711</v>
      </c>
      <c r="D39" s="1" t="s">
        <v>1503</v>
      </c>
      <c r="E39" s="2">
        <v>250000</v>
      </c>
      <c r="F39" s="2">
        <v>0</v>
      </c>
    </row>
    <row r="40" spans="1:6" x14ac:dyDescent="0.35">
      <c r="A40" s="1" t="s">
        <v>739</v>
      </c>
      <c r="B40" s="1" t="s">
        <v>711</v>
      </c>
      <c r="C40" s="1" t="s">
        <v>711</v>
      </c>
      <c r="D40" s="1" t="s">
        <v>1504</v>
      </c>
      <c r="E40" s="2">
        <v>150000</v>
      </c>
      <c r="F40" s="2">
        <v>0</v>
      </c>
    </row>
    <row r="41" spans="1:6" x14ac:dyDescent="0.35">
      <c r="A41" s="1" t="s">
        <v>741</v>
      </c>
      <c r="B41" s="1" t="s">
        <v>711</v>
      </c>
      <c r="C41" s="1" t="s">
        <v>711</v>
      </c>
      <c r="D41" s="1" t="s">
        <v>1505</v>
      </c>
      <c r="E41" s="2">
        <v>350000</v>
      </c>
      <c r="F41" s="2">
        <v>0</v>
      </c>
    </row>
    <row r="42" spans="1:6" x14ac:dyDescent="0.35">
      <c r="A42" s="1" t="s">
        <v>743</v>
      </c>
      <c r="B42" s="1" t="s">
        <v>711</v>
      </c>
      <c r="C42" s="1" t="s">
        <v>711</v>
      </c>
      <c r="D42" s="1" t="s">
        <v>1444</v>
      </c>
      <c r="E42" s="2">
        <v>350000</v>
      </c>
      <c r="F42" s="2">
        <v>17623786</v>
      </c>
    </row>
    <row r="43" spans="1:6" x14ac:dyDescent="0.35">
      <c r="A43" s="1" t="s">
        <v>745</v>
      </c>
      <c r="B43" s="1" t="s">
        <v>711</v>
      </c>
      <c r="C43" s="1" t="s">
        <v>711</v>
      </c>
      <c r="D43" s="1" t="s">
        <v>1506</v>
      </c>
      <c r="E43" s="2">
        <v>100000</v>
      </c>
      <c r="F43" s="2">
        <v>0</v>
      </c>
    </row>
    <row r="44" spans="1:6" x14ac:dyDescent="0.35">
      <c r="A44" s="1" t="s">
        <v>749</v>
      </c>
      <c r="B44" s="1" t="s">
        <v>711</v>
      </c>
      <c r="C44" s="1" t="s">
        <v>711</v>
      </c>
      <c r="D44" s="1" t="s">
        <v>1381</v>
      </c>
      <c r="E44" s="2">
        <v>150000</v>
      </c>
      <c r="F44" s="2">
        <v>6629441</v>
      </c>
    </row>
    <row r="45" spans="1:6" x14ac:dyDescent="0.35">
      <c r="A45" s="96" t="s">
        <v>751</v>
      </c>
      <c r="B45" s="1" t="s">
        <v>678</v>
      </c>
      <c r="C45" s="1" t="s">
        <v>678</v>
      </c>
      <c r="D45" s="1" t="s">
        <v>2265</v>
      </c>
      <c r="E45" s="2">
        <v>350000</v>
      </c>
      <c r="F45" s="2">
        <v>5832511</v>
      </c>
    </row>
    <row r="46" spans="1:6" x14ac:dyDescent="0.35">
      <c r="A46" s="1" t="s">
        <v>757</v>
      </c>
      <c r="B46" s="1" t="s">
        <v>711</v>
      </c>
      <c r="C46" s="1" t="s">
        <v>711</v>
      </c>
      <c r="D46" s="1" t="s">
        <v>1444</v>
      </c>
      <c r="E46" s="2">
        <v>350000</v>
      </c>
      <c r="F46" s="2">
        <v>0</v>
      </c>
    </row>
    <row r="47" spans="1:6" x14ac:dyDescent="0.35">
      <c r="A47" s="1" t="s">
        <v>759</v>
      </c>
      <c r="B47" s="1" t="s">
        <v>711</v>
      </c>
      <c r="C47" s="1" t="s">
        <v>711</v>
      </c>
      <c r="D47" s="1" t="s">
        <v>1508</v>
      </c>
      <c r="E47" s="2">
        <v>500000</v>
      </c>
      <c r="F47" s="2">
        <v>0</v>
      </c>
    </row>
    <row r="48" spans="1:6" x14ac:dyDescent="0.35">
      <c r="A48" s="1" t="s">
        <v>761</v>
      </c>
      <c r="B48" s="1" t="s">
        <v>711</v>
      </c>
      <c r="C48" s="1" t="s">
        <v>711</v>
      </c>
      <c r="D48" s="1" t="s">
        <v>1509</v>
      </c>
      <c r="E48" s="2">
        <v>250000</v>
      </c>
      <c r="F48" s="2">
        <v>0</v>
      </c>
    </row>
    <row r="49" spans="1:6" x14ac:dyDescent="0.35">
      <c r="A49" s="1" t="s">
        <v>763</v>
      </c>
      <c r="B49" s="1" t="s">
        <v>711</v>
      </c>
      <c r="C49" s="1" t="s">
        <v>711</v>
      </c>
      <c r="D49" s="1" t="s">
        <v>1510</v>
      </c>
      <c r="E49" s="2">
        <v>100000</v>
      </c>
      <c r="F49" s="2">
        <v>0</v>
      </c>
    </row>
    <row r="50" spans="1:6" x14ac:dyDescent="0.35">
      <c r="A50" s="1" t="s">
        <v>767</v>
      </c>
      <c r="B50" s="1" t="s">
        <v>711</v>
      </c>
      <c r="C50" s="1" t="s">
        <v>711</v>
      </c>
      <c r="D50" s="1" t="s">
        <v>1512</v>
      </c>
      <c r="E50" s="2">
        <v>100000</v>
      </c>
      <c r="F50" s="2">
        <v>0</v>
      </c>
    </row>
    <row r="51" spans="1:6" x14ac:dyDescent="0.35">
      <c r="A51" s="96" t="s">
        <v>784</v>
      </c>
      <c r="B51" s="1" t="s">
        <v>828</v>
      </c>
      <c r="C51" s="1" t="s">
        <v>828</v>
      </c>
      <c r="D51" s="1" t="s">
        <v>1541</v>
      </c>
      <c r="E51" s="2">
        <v>250000</v>
      </c>
      <c r="F51" s="2">
        <v>1000000</v>
      </c>
    </row>
    <row r="52" spans="1:6" x14ac:dyDescent="0.35">
      <c r="A52" s="1" t="s">
        <v>787</v>
      </c>
      <c r="B52" s="1" t="s">
        <v>785</v>
      </c>
      <c r="C52" s="1" t="s">
        <v>785</v>
      </c>
      <c r="D52" s="1" t="s">
        <v>1520</v>
      </c>
      <c r="E52" s="2">
        <v>250000</v>
      </c>
      <c r="F52" s="2">
        <v>2871528</v>
      </c>
    </row>
    <row r="53" spans="1:6" x14ac:dyDescent="0.35">
      <c r="A53" s="1" t="s">
        <v>791</v>
      </c>
      <c r="B53" s="1" t="s">
        <v>792</v>
      </c>
      <c r="C53" s="1" t="s">
        <v>792</v>
      </c>
      <c r="D53" s="1" t="s">
        <v>1522</v>
      </c>
      <c r="E53" s="2">
        <v>500000</v>
      </c>
      <c r="F53" s="2">
        <v>0</v>
      </c>
    </row>
    <row r="54" spans="1:6" x14ac:dyDescent="0.35">
      <c r="A54" s="1" t="s">
        <v>794</v>
      </c>
      <c r="B54" s="1" t="s">
        <v>792</v>
      </c>
      <c r="C54" s="1" t="s">
        <v>792</v>
      </c>
      <c r="D54" s="1" t="s">
        <v>1523</v>
      </c>
      <c r="E54" s="2">
        <v>150000</v>
      </c>
      <c r="F54" s="2">
        <v>0</v>
      </c>
    </row>
    <row r="55" spans="1:6" x14ac:dyDescent="0.35">
      <c r="A55" s="1" t="s">
        <v>796</v>
      </c>
      <c r="B55" s="1" t="s">
        <v>792</v>
      </c>
      <c r="C55" s="1" t="s">
        <v>792</v>
      </c>
      <c r="D55" s="1" t="s">
        <v>1524</v>
      </c>
      <c r="E55" s="2">
        <v>350000</v>
      </c>
      <c r="F55" s="2">
        <v>0</v>
      </c>
    </row>
    <row r="56" spans="1:6" x14ac:dyDescent="0.35">
      <c r="A56" s="1" t="s">
        <v>800</v>
      </c>
      <c r="B56" s="1" t="s">
        <v>792</v>
      </c>
      <c r="C56" s="1" t="s">
        <v>792</v>
      </c>
      <c r="D56" s="1" t="s">
        <v>1526</v>
      </c>
      <c r="E56" s="2">
        <v>150000</v>
      </c>
      <c r="F56" s="2">
        <v>0</v>
      </c>
    </row>
    <row r="57" spans="1:6" x14ac:dyDescent="0.35">
      <c r="A57" s="1" t="s">
        <v>802</v>
      </c>
      <c r="B57" s="1" t="s">
        <v>792</v>
      </c>
      <c r="C57" s="1" t="s">
        <v>792</v>
      </c>
      <c r="D57" s="1" t="s">
        <v>1527</v>
      </c>
      <c r="E57" s="2">
        <v>150000</v>
      </c>
      <c r="F57" s="2">
        <v>3510416</v>
      </c>
    </row>
    <row r="58" spans="1:6" x14ac:dyDescent="0.35">
      <c r="A58" s="1" t="s">
        <v>804</v>
      </c>
      <c r="B58" s="1" t="s">
        <v>792</v>
      </c>
      <c r="C58" s="1" t="s">
        <v>792</v>
      </c>
      <c r="D58" s="1" t="s">
        <v>1528</v>
      </c>
      <c r="E58" s="2">
        <v>250000</v>
      </c>
      <c r="F58" s="2">
        <v>18366992</v>
      </c>
    </row>
    <row r="59" spans="1:6" x14ac:dyDescent="0.35">
      <c r="A59" s="1" t="s">
        <v>806</v>
      </c>
      <c r="B59" s="1" t="s">
        <v>792</v>
      </c>
      <c r="C59" s="1" t="s">
        <v>792</v>
      </c>
      <c r="D59" s="1" t="s">
        <v>1529</v>
      </c>
      <c r="E59" s="2">
        <v>100000</v>
      </c>
      <c r="F59" s="2">
        <v>0</v>
      </c>
    </row>
    <row r="60" spans="1:6" x14ac:dyDescent="0.35">
      <c r="A60" s="1" t="s">
        <v>808</v>
      </c>
      <c r="B60" s="1" t="s">
        <v>792</v>
      </c>
      <c r="C60" s="1" t="s">
        <v>792</v>
      </c>
      <c r="D60" s="1" t="s">
        <v>1529</v>
      </c>
      <c r="E60" s="2">
        <v>100000</v>
      </c>
      <c r="F60" s="2">
        <v>0</v>
      </c>
    </row>
    <row r="61" spans="1:6" x14ac:dyDescent="0.35">
      <c r="A61" s="1" t="s">
        <v>810</v>
      </c>
      <c r="B61" s="1" t="s">
        <v>792</v>
      </c>
      <c r="C61" s="1" t="s">
        <v>792</v>
      </c>
      <c r="D61" s="1" t="s">
        <v>1530</v>
      </c>
      <c r="E61" s="2">
        <v>100000</v>
      </c>
      <c r="F61" s="2">
        <v>0</v>
      </c>
    </row>
    <row r="62" spans="1:6" x14ac:dyDescent="0.35">
      <c r="A62" s="1" t="s">
        <v>820</v>
      </c>
      <c r="B62" s="1" t="s">
        <v>821</v>
      </c>
      <c r="C62" s="1" t="s">
        <v>821</v>
      </c>
      <c r="D62" s="1" t="s">
        <v>1534</v>
      </c>
      <c r="E62" s="2">
        <v>350000</v>
      </c>
      <c r="F62" s="2">
        <v>0</v>
      </c>
    </row>
    <row r="63" spans="1:6" x14ac:dyDescent="0.35">
      <c r="A63" s="1" t="s">
        <v>825</v>
      </c>
      <c r="B63" s="1" t="s">
        <v>821</v>
      </c>
      <c r="C63" s="1" t="s">
        <v>821</v>
      </c>
      <c r="D63" s="1" t="s">
        <v>1536</v>
      </c>
      <c r="E63" s="2">
        <v>100000</v>
      </c>
      <c r="F63" s="2">
        <v>0</v>
      </c>
    </row>
    <row r="64" spans="1:6" x14ac:dyDescent="0.35">
      <c r="A64" s="1" t="s">
        <v>827</v>
      </c>
      <c r="B64" s="1" t="s">
        <v>828</v>
      </c>
      <c r="C64" s="1" t="s">
        <v>828</v>
      </c>
      <c r="D64" s="1" t="s">
        <v>1537</v>
      </c>
      <c r="E64" s="2">
        <v>250000</v>
      </c>
      <c r="F64" s="2">
        <v>2291667</v>
      </c>
    </row>
    <row r="65" spans="1:6" x14ac:dyDescent="0.35">
      <c r="A65" s="1" t="s">
        <v>832</v>
      </c>
      <c r="B65" s="1" t="s">
        <v>828</v>
      </c>
      <c r="C65" s="1" t="s">
        <v>828</v>
      </c>
      <c r="D65" s="1" t="s">
        <v>1390</v>
      </c>
      <c r="E65" s="2">
        <v>150000</v>
      </c>
      <c r="F65" s="2">
        <v>500000</v>
      </c>
    </row>
    <row r="66" spans="1:6" x14ac:dyDescent="0.35">
      <c r="A66" s="1" t="s">
        <v>834</v>
      </c>
      <c r="B66" s="1" t="s">
        <v>828</v>
      </c>
      <c r="C66" s="1" t="s">
        <v>828</v>
      </c>
      <c r="D66" s="1" t="s">
        <v>1539</v>
      </c>
      <c r="E66" s="2">
        <v>250000</v>
      </c>
      <c r="F66" s="2">
        <v>0</v>
      </c>
    </row>
    <row r="67" spans="1:6" x14ac:dyDescent="0.35">
      <c r="A67" s="1" t="s">
        <v>840</v>
      </c>
      <c r="B67" s="1" t="s">
        <v>828</v>
      </c>
      <c r="C67" s="1" t="s">
        <v>828</v>
      </c>
      <c r="D67" s="1" t="s">
        <v>1542</v>
      </c>
      <c r="E67" s="2">
        <v>150000</v>
      </c>
      <c r="F67" s="2">
        <v>0</v>
      </c>
    </row>
    <row r="68" spans="1:6" x14ac:dyDescent="0.35">
      <c r="A68" s="1" t="s">
        <v>842</v>
      </c>
      <c r="B68" s="1" t="s">
        <v>828</v>
      </c>
      <c r="C68" s="1" t="s">
        <v>828</v>
      </c>
      <c r="D68" s="1" t="s">
        <v>1390</v>
      </c>
      <c r="E68" s="2">
        <v>150000</v>
      </c>
      <c r="F68" s="2">
        <v>3450042</v>
      </c>
    </row>
    <row r="69" spans="1:6" x14ac:dyDescent="0.35">
      <c r="A69" s="1" t="s">
        <v>844</v>
      </c>
      <c r="B69" s="1" t="s">
        <v>828</v>
      </c>
      <c r="C69" s="1" t="s">
        <v>828</v>
      </c>
      <c r="D69" s="1" t="s">
        <v>1390</v>
      </c>
      <c r="E69" s="2">
        <v>150000</v>
      </c>
      <c r="F69" s="2">
        <v>4697816</v>
      </c>
    </row>
    <row r="70" spans="1:6" x14ac:dyDescent="0.35">
      <c r="A70" s="1" t="s">
        <v>848</v>
      </c>
      <c r="B70" s="1" t="s">
        <v>828</v>
      </c>
      <c r="C70" s="1" t="s">
        <v>828</v>
      </c>
      <c r="D70" s="1" t="s">
        <v>1544</v>
      </c>
      <c r="E70" s="2">
        <v>250000</v>
      </c>
      <c r="F70" s="2">
        <v>1590972</v>
      </c>
    </row>
    <row r="71" spans="1:6" x14ac:dyDescent="0.35">
      <c r="A71" s="1" t="s">
        <v>850</v>
      </c>
      <c r="B71" s="1" t="s">
        <v>828</v>
      </c>
      <c r="C71" s="1" t="s">
        <v>828</v>
      </c>
      <c r="D71" s="1" t="s">
        <v>1545</v>
      </c>
      <c r="E71" s="2">
        <v>500000</v>
      </c>
      <c r="F71" s="2">
        <v>3402778</v>
      </c>
    </row>
    <row r="72" spans="1:6" x14ac:dyDescent="0.35">
      <c r="A72" s="1" t="s">
        <v>852</v>
      </c>
      <c r="B72" s="1" t="s">
        <v>828</v>
      </c>
      <c r="C72" s="1" t="s">
        <v>828</v>
      </c>
      <c r="D72" s="1" t="s">
        <v>1381</v>
      </c>
      <c r="E72" s="2">
        <v>100000</v>
      </c>
      <c r="F72" s="2">
        <v>0</v>
      </c>
    </row>
    <row r="73" spans="1:6" x14ac:dyDescent="0.35">
      <c r="A73" s="1" t="s">
        <v>854</v>
      </c>
      <c r="B73" s="1" t="s">
        <v>828</v>
      </c>
      <c r="C73" s="1" t="s">
        <v>828</v>
      </c>
      <c r="D73" s="1" t="s">
        <v>1546</v>
      </c>
      <c r="E73" s="2">
        <v>100000</v>
      </c>
      <c r="F73" s="2">
        <v>0</v>
      </c>
    </row>
    <row r="74" spans="1:6" x14ac:dyDescent="0.35">
      <c r="A74" s="1" t="s">
        <v>858</v>
      </c>
      <c r="B74" s="1" t="s">
        <v>828</v>
      </c>
      <c r="C74" s="1" t="s">
        <v>828</v>
      </c>
      <c r="D74" s="1" t="s">
        <v>1381</v>
      </c>
      <c r="E74" s="2">
        <v>150000</v>
      </c>
      <c r="F74" s="2">
        <v>12486708</v>
      </c>
    </row>
    <row r="75" spans="1:6" x14ac:dyDescent="0.35">
      <c r="A75" s="1" t="s">
        <v>881</v>
      </c>
      <c r="B75" s="1" t="s">
        <v>879</v>
      </c>
      <c r="C75" s="1" t="s">
        <v>879</v>
      </c>
      <c r="D75" s="1" t="s">
        <v>1555</v>
      </c>
      <c r="E75" s="2">
        <v>250000</v>
      </c>
      <c r="F75" s="2">
        <v>0</v>
      </c>
    </row>
    <row r="76" spans="1:6" x14ac:dyDescent="0.35">
      <c r="A76" s="1" t="s">
        <v>887</v>
      </c>
      <c r="B76" s="1" t="s">
        <v>879</v>
      </c>
      <c r="C76" s="1" t="s">
        <v>879</v>
      </c>
      <c r="D76" s="1" t="s">
        <v>1381</v>
      </c>
      <c r="E76" s="2">
        <v>150000</v>
      </c>
      <c r="F76" s="2">
        <v>1000000</v>
      </c>
    </row>
    <row r="77" spans="1:6" x14ac:dyDescent="0.35">
      <c r="A77" s="1" t="s">
        <v>891</v>
      </c>
      <c r="B77" s="1" t="s">
        <v>879</v>
      </c>
      <c r="C77" s="1" t="s">
        <v>879</v>
      </c>
      <c r="D77" s="1" t="s">
        <v>1559</v>
      </c>
      <c r="E77" s="2">
        <v>350000</v>
      </c>
      <c r="F77" s="2">
        <v>7609848</v>
      </c>
    </row>
    <row r="78" spans="1:6" x14ac:dyDescent="0.35">
      <c r="A78" s="1" t="s">
        <v>893</v>
      </c>
      <c r="B78" s="1" t="s">
        <v>879</v>
      </c>
      <c r="C78" s="1" t="s">
        <v>879</v>
      </c>
      <c r="D78" s="1" t="s">
        <v>1558</v>
      </c>
      <c r="E78" s="2">
        <v>100000</v>
      </c>
      <c r="F78" s="2">
        <v>1000000</v>
      </c>
    </row>
    <row r="79" spans="1:6" x14ac:dyDescent="0.35">
      <c r="A79" s="1" t="s">
        <v>910</v>
      </c>
      <c r="B79" s="1" t="s">
        <v>902</v>
      </c>
      <c r="C79" s="1" t="s">
        <v>902</v>
      </c>
      <c r="D79" s="1" t="s">
        <v>1566</v>
      </c>
      <c r="E79" s="2">
        <v>250000</v>
      </c>
      <c r="F79" s="2">
        <v>0</v>
      </c>
    </row>
    <row r="80" spans="1:6" x14ac:dyDescent="0.35">
      <c r="A80" s="1" t="s">
        <v>912</v>
      </c>
      <c r="B80" s="1" t="s">
        <v>902</v>
      </c>
      <c r="C80" s="1" t="s">
        <v>902</v>
      </c>
      <c r="D80" s="1" t="s">
        <v>1567</v>
      </c>
      <c r="E80" s="2">
        <v>250000</v>
      </c>
      <c r="F80" s="2">
        <v>0</v>
      </c>
    </row>
    <row r="81" spans="1:6" x14ac:dyDescent="0.35">
      <c r="A81" s="1" t="s">
        <v>918</v>
      </c>
      <c r="B81" s="1" t="s">
        <v>902</v>
      </c>
      <c r="C81" s="1" t="s">
        <v>902</v>
      </c>
      <c r="D81" s="1" t="s">
        <v>1569</v>
      </c>
      <c r="E81" s="2">
        <v>350000</v>
      </c>
      <c r="F81" s="2">
        <v>0</v>
      </c>
    </row>
    <row r="82" spans="1:6" x14ac:dyDescent="0.35">
      <c r="A82" s="1" t="s">
        <v>920</v>
      </c>
      <c r="B82" s="1" t="s">
        <v>902</v>
      </c>
      <c r="C82" s="1" t="s">
        <v>902</v>
      </c>
      <c r="D82" s="1" t="s">
        <v>1568</v>
      </c>
      <c r="E82" s="2">
        <v>250000</v>
      </c>
      <c r="F82" s="2">
        <v>0</v>
      </c>
    </row>
    <row r="83" spans="1:6" x14ac:dyDescent="0.35">
      <c r="A83" s="1" t="s">
        <v>922</v>
      </c>
      <c r="B83" s="1" t="s">
        <v>902</v>
      </c>
      <c r="C83" s="1" t="s">
        <v>902</v>
      </c>
      <c r="D83" s="1" t="s">
        <v>1381</v>
      </c>
      <c r="E83" s="2">
        <v>150000</v>
      </c>
      <c r="F83" s="2">
        <v>0</v>
      </c>
    </row>
    <row r="84" spans="1:6" x14ac:dyDescent="0.35">
      <c r="A84" s="1" t="s">
        <v>924</v>
      </c>
      <c r="B84" s="1" t="s">
        <v>902</v>
      </c>
      <c r="C84" s="1" t="s">
        <v>902</v>
      </c>
      <c r="D84" s="1" t="s">
        <v>1568</v>
      </c>
      <c r="E84" s="2">
        <v>250000</v>
      </c>
      <c r="F84" s="2">
        <v>0</v>
      </c>
    </row>
    <row r="85" spans="1:6" x14ac:dyDescent="0.35">
      <c r="A85" s="1" t="s">
        <v>926</v>
      </c>
      <c r="B85" s="1" t="s">
        <v>902</v>
      </c>
      <c r="C85" s="1" t="s">
        <v>902</v>
      </c>
      <c r="D85" s="1" t="s">
        <v>1568</v>
      </c>
      <c r="E85" s="2">
        <v>250000</v>
      </c>
      <c r="F85" s="2">
        <v>0</v>
      </c>
    </row>
    <row r="86" spans="1:6" x14ac:dyDescent="0.35">
      <c r="A86" s="1" t="s">
        <v>932</v>
      </c>
      <c r="B86" s="1" t="s">
        <v>902</v>
      </c>
      <c r="C86" s="1" t="s">
        <v>902</v>
      </c>
      <c r="D86" s="1" t="s">
        <v>1572</v>
      </c>
      <c r="E86" s="2">
        <v>350000</v>
      </c>
      <c r="F86" s="2">
        <v>0</v>
      </c>
    </row>
    <row r="87" spans="1:6" x14ac:dyDescent="0.35">
      <c r="A87" s="1" t="s">
        <v>942</v>
      </c>
      <c r="B87" s="1" t="s">
        <v>943</v>
      </c>
      <c r="C87" s="1" t="s">
        <v>943</v>
      </c>
      <c r="D87" s="1" t="s">
        <v>1575</v>
      </c>
      <c r="E87" s="2">
        <v>350000</v>
      </c>
      <c r="F87" s="2">
        <v>5510000</v>
      </c>
    </row>
    <row r="88" spans="1:6" x14ac:dyDescent="0.35">
      <c r="A88" s="1" t="s">
        <v>953</v>
      </c>
      <c r="B88" s="1" t="s">
        <v>943</v>
      </c>
      <c r="C88" s="1" t="s">
        <v>943</v>
      </c>
      <c r="D88" s="1" t="s">
        <v>1577</v>
      </c>
      <c r="E88" s="2">
        <v>250000</v>
      </c>
      <c r="F88" s="2">
        <v>0</v>
      </c>
    </row>
    <row r="89" spans="1:6" x14ac:dyDescent="0.35">
      <c r="A89" s="1" t="s">
        <v>955</v>
      </c>
      <c r="B89" s="1" t="s">
        <v>943</v>
      </c>
      <c r="C89" s="1" t="s">
        <v>943</v>
      </c>
      <c r="D89" s="1" t="s">
        <v>1578</v>
      </c>
      <c r="E89" s="2">
        <v>250000</v>
      </c>
      <c r="F89" s="2">
        <v>0</v>
      </c>
    </row>
    <row r="90" spans="1:6" x14ac:dyDescent="0.35">
      <c r="A90" s="1" t="s">
        <v>957</v>
      </c>
      <c r="B90" s="1" t="s">
        <v>943</v>
      </c>
      <c r="C90" s="1" t="s">
        <v>943</v>
      </c>
      <c r="D90" s="1" t="s">
        <v>1563</v>
      </c>
      <c r="E90" s="2">
        <v>250000</v>
      </c>
      <c r="F90" s="2">
        <v>0</v>
      </c>
    </row>
    <row r="91" spans="1:6" x14ac:dyDescent="0.35">
      <c r="A91" s="1" t="s">
        <v>963</v>
      </c>
      <c r="B91" s="1" t="s">
        <v>943</v>
      </c>
      <c r="C91" s="1" t="s">
        <v>943</v>
      </c>
      <c r="D91" s="1" t="s">
        <v>1566</v>
      </c>
      <c r="E91" s="2">
        <v>250000</v>
      </c>
      <c r="F91" s="2">
        <v>0</v>
      </c>
    </row>
    <row r="92" spans="1:6" x14ac:dyDescent="0.35">
      <c r="A92" s="1" t="s">
        <v>965</v>
      </c>
      <c r="B92" s="1" t="s">
        <v>943</v>
      </c>
      <c r="C92" s="1" t="s">
        <v>943</v>
      </c>
      <c r="D92" s="1" t="s">
        <v>1576</v>
      </c>
      <c r="E92" s="2">
        <v>250000</v>
      </c>
      <c r="F92" s="2">
        <v>0</v>
      </c>
    </row>
    <row r="93" spans="1:6" x14ac:dyDescent="0.35">
      <c r="A93" s="1" t="s">
        <v>969</v>
      </c>
      <c r="B93" s="1" t="s">
        <v>943</v>
      </c>
      <c r="C93" s="1" t="s">
        <v>943</v>
      </c>
      <c r="D93" s="1" t="s">
        <v>1581</v>
      </c>
      <c r="E93" s="2">
        <v>350000</v>
      </c>
      <c r="F93" s="2">
        <v>0</v>
      </c>
    </row>
    <row r="94" spans="1:6" x14ac:dyDescent="0.35">
      <c r="A94" s="1" t="s">
        <v>973</v>
      </c>
      <c r="B94" s="1" t="s">
        <v>943</v>
      </c>
      <c r="C94" s="1" t="s">
        <v>943</v>
      </c>
      <c r="D94" s="1" t="s">
        <v>1583</v>
      </c>
      <c r="E94" s="2">
        <v>250000</v>
      </c>
      <c r="F94" s="2">
        <v>0</v>
      </c>
    </row>
    <row r="95" spans="1:6" x14ac:dyDescent="0.35">
      <c r="A95" s="1" t="s">
        <v>977</v>
      </c>
      <c r="B95" s="1" t="s">
        <v>943</v>
      </c>
      <c r="C95" s="1" t="s">
        <v>943</v>
      </c>
      <c r="D95" s="1" t="s">
        <v>1381</v>
      </c>
      <c r="E95" s="2">
        <v>150000</v>
      </c>
      <c r="F95" s="2">
        <v>6939841</v>
      </c>
    </row>
    <row r="96" spans="1:6" x14ac:dyDescent="0.35">
      <c r="A96" s="1" t="s">
        <v>979</v>
      </c>
      <c r="B96" s="1" t="s">
        <v>943</v>
      </c>
      <c r="C96" s="1" t="s">
        <v>943</v>
      </c>
      <c r="D96" s="1" t="s">
        <v>1584</v>
      </c>
      <c r="E96" s="2">
        <v>250000</v>
      </c>
      <c r="F96" s="2">
        <v>0</v>
      </c>
    </row>
    <row r="97" spans="1:6" x14ac:dyDescent="0.35">
      <c r="A97" s="1" t="s">
        <v>985</v>
      </c>
      <c r="B97" s="1" t="s">
        <v>943</v>
      </c>
      <c r="C97" s="1" t="s">
        <v>943</v>
      </c>
      <c r="D97" s="1" t="s">
        <v>1576</v>
      </c>
      <c r="E97" s="2">
        <v>250000</v>
      </c>
      <c r="F97" s="2">
        <v>0</v>
      </c>
    </row>
    <row r="98" spans="1:6" x14ac:dyDescent="0.35">
      <c r="A98" s="1" t="s">
        <v>1007</v>
      </c>
      <c r="B98" s="1" t="s">
        <v>995</v>
      </c>
      <c r="C98" s="1" t="s">
        <v>995</v>
      </c>
      <c r="D98" s="1" t="s">
        <v>1592</v>
      </c>
      <c r="E98" s="2">
        <v>250000</v>
      </c>
      <c r="F98" s="2">
        <v>0</v>
      </c>
    </row>
    <row r="99" spans="1:6" x14ac:dyDescent="0.35">
      <c r="A99" s="1" t="s">
        <v>1013</v>
      </c>
      <c r="B99" s="1" t="s">
        <v>995</v>
      </c>
      <c r="C99" s="1" t="s">
        <v>995</v>
      </c>
      <c r="D99" s="1" t="s">
        <v>1595</v>
      </c>
      <c r="E99" s="2">
        <v>250000</v>
      </c>
      <c r="F99" s="2">
        <v>0</v>
      </c>
    </row>
    <row r="100" spans="1:6" x14ac:dyDescent="0.35">
      <c r="A100" s="1" t="s">
        <v>1021</v>
      </c>
      <c r="B100" s="1" t="s">
        <v>995</v>
      </c>
      <c r="C100" s="1" t="s">
        <v>995</v>
      </c>
      <c r="D100" s="1" t="s">
        <v>1598</v>
      </c>
      <c r="E100" s="2">
        <v>250000</v>
      </c>
      <c r="F100" s="2">
        <v>0</v>
      </c>
    </row>
    <row r="101" spans="1:6" x14ac:dyDescent="0.35">
      <c r="A101" s="1" t="s">
        <v>1029</v>
      </c>
      <c r="B101" s="1" t="s">
        <v>1030</v>
      </c>
      <c r="C101" s="1" t="s">
        <v>1030</v>
      </c>
      <c r="D101" s="1" t="s">
        <v>1602</v>
      </c>
      <c r="E101" s="2">
        <v>150000</v>
      </c>
      <c r="F101" s="2">
        <v>0</v>
      </c>
    </row>
    <row r="102" spans="1:6" x14ac:dyDescent="0.35">
      <c r="A102" s="1" t="s">
        <v>1034</v>
      </c>
      <c r="B102" s="1" t="s">
        <v>1030</v>
      </c>
      <c r="C102" s="1" t="s">
        <v>1030</v>
      </c>
      <c r="D102" s="1" t="s">
        <v>1604</v>
      </c>
      <c r="E102" s="2">
        <v>150000</v>
      </c>
      <c r="F102" s="2">
        <v>0</v>
      </c>
    </row>
    <row r="103" spans="1:6" x14ac:dyDescent="0.35">
      <c r="A103" s="1" t="s">
        <v>1036</v>
      </c>
      <c r="B103" s="1" t="s">
        <v>1030</v>
      </c>
      <c r="C103" s="1" t="s">
        <v>1030</v>
      </c>
      <c r="D103" s="1" t="s">
        <v>1387</v>
      </c>
      <c r="E103" s="2">
        <v>150000</v>
      </c>
      <c r="F103" s="2">
        <v>0</v>
      </c>
    </row>
    <row r="104" spans="1:6" x14ac:dyDescent="0.35">
      <c r="A104" s="1" t="s">
        <v>1042</v>
      </c>
      <c r="B104" s="1" t="s">
        <v>1030</v>
      </c>
      <c r="C104" s="1" t="s">
        <v>1030</v>
      </c>
      <c r="D104" s="1" t="s">
        <v>1607</v>
      </c>
      <c r="E104" s="2">
        <v>250000</v>
      </c>
      <c r="F104" s="2">
        <v>2895833</v>
      </c>
    </row>
    <row r="105" spans="1:6" x14ac:dyDescent="0.35">
      <c r="A105" s="1" t="s">
        <v>1044</v>
      </c>
      <c r="B105" s="1" t="s">
        <v>1030</v>
      </c>
      <c r="C105" s="1" t="s">
        <v>1030</v>
      </c>
      <c r="D105" s="1" t="s">
        <v>1387</v>
      </c>
      <c r="E105" s="2">
        <v>150000</v>
      </c>
      <c r="F105" s="2">
        <v>5767335</v>
      </c>
    </row>
    <row r="106" spans="1:6" x14ac:dyDescent="0.35">
      <c r="A106" s="1" t="s">
        <v>1048</v>
      </c>
      <c r="B106" s="1" t="s">
        <v>1030</v>
      </c>
      <c r="C106" s="1" t="s">
        <v>1030</v>
      </c>
      <c r="D106" s="1" t="s">
        <v>1609</v>
      </c>
      <c r="E106" s="2">
        <v>150000</v>
      </c>
      <c r="F106" s="2">
        <v>0</v>
      </c>
    </row>
    <row r="107" spans="1:6" x14ac:dyDescent="0.35">
      <c r="A107" s="1" t="s">
        <v>1050</v>
      </c>
      <c r="B107" s="1" t="s">
        <v>1030</v>
      </c>
      <c r="C107" s="1" t="s">
        <v>1030</v>
      </c>
      <c r="D107" s="1" t="s">
        <v>1610</v>
      </c>
      <c r="E107" s="2">
        <v>350000</v>
      </c>
      <c r="F107" s="2">
        <v>11006944</v>
      </c>
    </row>
    <row r="108" spans="1:6" x14ac:dyDescent="0.35">
      <c r="A108" s="1" t="s">
        <v>1052</v>
      </c>
      <c r="B108" s="1" t="s">
        <v>1030</v>
      </c>
      <c r="C108" s="1" t="s">
        <v>1030</v>
      </c>
      <c r="D108" s="1" t="s">
        <v>1611</v>
      </c>
      <c r="E108" s="2">
        <v>250000</v>
      </c>
      <c r="F108" s="2">
        <v>4125351</v>
      </c>
    </row>
    <row r="109" spans="1:6" x14ac:dyDescent="0.35">
      <c r="A109" s="1" t="s">
        <v>1054</v>
      </c>
      <c r="B109" s="1" t="s">
        <v>1030</v>
      </c>
      <c r="C109" s="1" t="s">
        <v>1030</v>
      </c>
      <c r="D109" s="1" t="s">
        <v>1612</v>
      </c>
      <c r="E109" s="2">
        <v>150000</v>
      </c>
      <c r="F109" s="2">
        <v>0</v>
      </c>
    </row>
    <row r="110" spans="1:6" x14ac:dyDescent="0.35">
      <c r="A110" s="1" t="s">
        <v>1060</v>
      </c>
      <c r="B110" s="1" t="s">
        <v>1061</v>
      </c>
      <c r="C110" s="1" t="s">
        <v>1061</v>
      </c>
      <c r="D110" s="1" t="s">
        <v>1615</v>
      </c>
      <c r="E110" s="2">
        <v>350000</v>
      </c>
      <c r="F110" s="2">
        <v>7560692</v>
      </c>
    </row>
    <row r="111" spans="1:6" x14ac:dyDescent="0.35">
      <c r="A111" s="1" t="s">
        <v>1065</v>
      </c>
      <c r="B111" s="1" t="s">
        <v>1061</v>
      </c>
      <c r="C111" s="1" t="s">
        <v>1061</v>
      </c>
      <c r="D111" s="1" t="s">
        <v>1615</v>
      </c>
      <c r="E111" s="2">
        <v>250000</v>
      </c>
      <c r="F111" s="2">
        <v>0</v>
      </c>
    </row>
    <row r="112" spans="1:6" x14ac:dyDescent="0.35">
      <c r="A112" s="1" t="s">
        <v>1067</v>
      </c>
      <c r="B112" s="1" t="s">
        <v>1061</v>
      </c>
      <c r="C112" s="1" t="s">
        <v>1061</v>
      </c>
      <c r="D112" s="1" t="s">
        <v>1617</v>
      </c>
      <c r="E112" s="2">
        <v>350000</v>
      </c>
      <c r="F112" s="2">
        <v>0</v>
      </c>
    </row>
    <row r="113" spans="1:6" x14ac:dyDescent="0.35">
      <c r="A113" s="1" t="s">
        <v>1079</v>
      </c>
      <c r="B113" s="1" t="s">
        <v>1061</v>
      </c>
      <c r="C113" s="1" t="s">
        <v>1061</v>
      </c>
      <c r="D113" s="1" t="s">
        <v>1621</v>
      </c>
      <c r="E113" s="2">
        <v>350000</v>
      </c>
      <c r="F113" s="2">
        <v>0</v>
      </c>
    </row>
    <row r="114" spans="1:6" x14ac:dyDescent="0.35">
      <c r="A114" s="1" t="s">
        <v>1087</v>
      </c>
      <c r="B114" s="1" t="s">
        <v>1061</v>
      </c>
      <c r="C114" s="1" t="s">
        <v>1061</v>
      </c>
      <c r="D114" s="1" t="s">
        <v>1381</v>
      </c>
      <c r="E114" s="2">
        <v>150000</v>
      </c>
      <c r="F114" s="2">
        <v>0</v>
      </c>
    </row>
    <row r="115" spans="1:6" x14ac:dyDescent="0.35">
      <c r="A115" s="1" t="s">
        <v>1097</v>
      </c>
      <c r="B115" s="1" t="s">
        <v>252</v>
      </c>
      <c r="C115" s="1" t="s">
        <v>252</v>
      </c>
      <c r="D115" s="1" t="s">
        <v>1628</v>
      </c>
      <c r="E115" s="2">
        <v>350000</v>
      </c>
      <c r="F115" s="2">
        <v>0</v>
      </c>
    </row>
    <row r="116" spans="1:6" x14ac:dyDescent="0.35">
      <c r="A116" s="1" t="s">
        <v>1099</v>
      </c>
      <c r="B116" s="1" t="s">
        <v>252</v>
      </c>
      <c r="C116" s="1" t="s">
        <v>252</v>
      </c>
      <c r="D116" s="1" t="s">
        <v>1629</v>
      </c>
      <c r="E116" s="2">
        <v>350000</v>
      </c>
      <c r="F116" s="2">
        <v>0</v>
      </c>
    </row>
    <row r="117" spans="1:6" x14ac:dyDescent="0.35">
      <c r="A117" s="1" t="s">
        <v>1101</v>
      </c>
      <c r="B117" s="1" t="s">
        <v>252</v>
      </c>
      <c r="C117" s="1" t="s">
        <v>252</v>
      </c>
      <c r="D117" s="1" t="s">
        <v>1630</v>
      </c>
      <c r="E117" s="2">
        <v>150000</v>
      </c>
      <c r="F117" s="2">
        <v>0</v>
      </c>
    </row>
    <row r="118" spans="1:6" x14ac:dyDescent="0.35">
      <c r="A118" s="1" t="s">
        <v>1103</v>
      </c>
      <c r="B118" s="1" t="s">
        <v>252</v>
      </c>
      <c r="C118" s="1" t="s">
        <v>252</v>
      </c>
      <c r="D118" s="1" t="s">
        <v>1631</v>
      </c>
      <c r="E118" s="2">
        <v>350000</v>
      </c>
      <c r="F118" s="2">
        <v>0</v>
      </c>
    </row>
    <row r="119" spans="1:6" x14ac:dyDescent="0.35">
      <c r="A119" s="1" t="s">
        <v>1105</v>
      </c>
      <c r="B119" s="1" t="s">
        <v>252</v>
      </c>
      <c r="C119" s="1" t="s">
        <v>252</v>
      </c>
      <c r="D119" s="1" t="s">
        <v>1632</v>
      </c>
      <c r="E119" s="2">
        <v>250000</v>
      </c>
      <c r="F119" s="2">
        <v>0</v>
      </c>
    </row>
    <row r="120" spans="1:6" x14ac:dyDescent="0.35">
      <c r="A120" s="1" t="s">
        <v>1107</v>
      </c>
      <c r="B120" s="1" t="s">
        <v>252</v>
      </c>
      <c r="C120" s="1" t="s">
        <v>252</v>
      </c>
      <c r="D120" s="1" t="s">
        <v>1632</v>
      </c>
      <c r="E120" s="2">
        <v>250000</v>
      </c>
      <c r="F120" s="2">
        <v>0</v>
      </c>
    </row>
    <row r="121" spans="1:6" x14ac:dyDescent="0.35">
      <c r="A121" s="1" t="s">
        <v>1135</v>
      </c>
      <c r="B121" s="1" t="s">
        <v>252</v>
      </c>
      <c r="C121" s="1" t="s">
        <v>252</v>
      </c>
      <c r="D121" s="1" t="s">
        <v>1381</v>
      </c>
      <c r="E121" s="2">
        <v>150000</v>
      </c>
      <c r="F121" s="2">
        <v>0</v>
      </c>
    </row>
    <row r="122" spans="1:6" x14ac:dyDescent="0.35">
      <c r="A122" s="1" t="s">
        <v>1144</v>
      </c>
      <c r="B122" s="1" t="s">
        <v>252</v>
      </c>
      <c r="C122" s="1" t="s">
        <v>252</v>
      </c>
      <c r="D122" s="1" t="s">
        <v>1644</v>
      </c>
      <c r="E122" s="2">
        <v>350000</v>
      </c>
      <c r="F122" s="2">
        <v>0</v>
      </c>
    </row>
    <row r="123" spans="1:6" x14ac:dyDescent="0.35">
      <c r="A123" s="1" t="s">
        <v>1148</v>
      </c>
      <c r="B123" s="1" t="s">
        <v>252</v>
      </c>
      <c r="C123" s="1" t="s">
        <v>252</v>
      </c>
      <c r="D123" s="1" t="s">
        <v>1645</v>
      </c>
      <c r="E123" s="2">
        <v>250000</v>
      </c>
      <c r="F123" s="2">
        <v>0</v>
      </c>
    </row>
    <row r="124" spans="1:6" x14ac:dyDescent="0.35">
      <c r="A124" s="1" t="s">
        <v>1166</v>
      </c>
      <c r="B124" s="1" t="s">
        <v>16</v>
      </c>
      <c r="C124" s="1" t="s">
        <v>16</v>
      </c>
      <c r="D124" s="1" t="s">
        <v>1647</v>
      </c>
      <c r="E124" s="2">
        <v>250000</v>
      </c>
      <c r="F124" s="2">
        <v>2702244</v>
      </c>
    </row>
    <row r="125" spans="1:6" x14ac:dyDescent="0.35">
      <c r="A125" s="1" t="s">
        <v>1178</v>
      </c>
      <c r="B125" s="1" t="s">
        <v>16</v>
      </c>
      <c r="C125" s="1" t="s">
        <v>16</v>
      </c>
      <c r="D125" s="1" t="s">
        <v>1653</v>
      </c>
      <c r="E125" s="2">
        <v>350000</v>
      </c>
      <c r="F125" s="2">
        <v>0</v>
      </c>
    </row>
    <row r="126" spans="1:6" x14ac:dyDescent="0.35">
      <c r="A126" s="1" t="s">
        <v>1186</v>
      </c>
      <c r="B126" s="1" t="s">
        <v>16</v>
      </c>
      <c r="C126" s="1" t="s">
        <v>16</v>
      </c>
      <c r="D126" s="1" t="s">
        <v>1656</v>
      </c>
      <c r="E126" s="2">
        <v>250000</v>
      </c>
      <c r="F126" s="2">
        <v>0</v>
      </c>
    </row>
    <row r="127" spans="1:6" x14ac:dyDescent="0.35">
      <c r="A127" s="1" t="s">
        <v>1194</v>
      </c>
      <c r="B127" s="1" t="s">
        <v>16</v>
      </c>
      <c r="C127" s="1" t="s">
        <v>16</v>
      </c>
      <c r="D127" s="1" t="s">
        <v>1536</v>
      </c>
      <c r="E127" s="2">
        <v>100000</v>
      </c>
      <c r="F127" s="2">
        <v>0</v>
      </c>
    </row>
    <row r="128" spans="1:6" x14ac:dyDescent="0.35">
      <c r="A128" s="1" t="s">
        <v>1217</v>
      </c>
      <c r="B128" s="1" t="s">
        <v>1215</v>
      </c>
      <c r="C128" s="1" t="s">
        <v>1215</v>
      </c>
      <c r="D128" s="1" t="s">
        <v>1668</v>
      </c>
      <c r="E128" s="2">
        <v>250000</v>
      </c>
      <c r="F128" s="2">
        <v>0</v>
      </c>
    </row>
    <row r="129" spans="1:6" x14ac:dyDescent="0.35">
      <c r="A129" s="1" t="s">
        <v>1223</v>
      </c>
      <c r="B129" s="1" t="s">
        <v>1215</v>
      </c>
      <c r="C129" s="1" t="s">
        <v>1215</v>
      </c>
      <c r="D129" s="1" t="s">
        <v>1671</v>
      </c>
      <c r="E129" s="2">
        <v>350000</v>
      </c>
      <c r="F129" s="2">
        <v>1500000</v>
      </c>
    </row>
    <row r="130" spans="1:6" x14ac:dyDescent="0.35">
      <c r="A130" s="1" t="s">
        <v>1225</v>
      </c>
      <c r="B130" s="1" t="s">
        <v>1215</v>
      </c>
      <c r="C130" s="1" t="s">
        <v>1215</v>
      </c>
      <c r="D130" s="1" t="s">
        <v>1672</v>
      </c>
      <c r="E130" s="2">
        <v>150000</v>
      </c>
      <c r="F130" s="2">
        <v>2395833</v>
      </c>
    </row>
    <row r="131" spans="1:6" x14ac:dyDescent="0.35">
      <c r="A131" s="1" t="s">
        <v>1373</v>
      </c>
      <c r="B131" s="1" t="s">
        <v>1374</v>
      </c>
      <c r="C131" s="1" t="s">
        <v>1374</v>
      </c>
      <c r="D131" s="1" t="s">
        <v>1702</v>
      </c>
      <c r="E131" s="2">
        <v>250000</v>
      </c>
      <c r="F131" s="2">
        <v>6053100</v>
      </c>
    </row>
    <row r="132" spans="1:6" x14ac:dyDescent="0.35">
      <c r="A132" s="1" t="s">
        <v>1376</v>
      </c>
      <c r="B132" s="1" t="s">
        <v>1374</v>
      </c>
      <c r="C132" s="1" t="s">
        <v>1374</v>
      </c>
      <c r="D132" s="1" t="s">
        <v>1381</v>
      </c>
      <c r="E132" s="2">
        <v>150000</v>
      </c>
      <c r="F132" s="2">
        <v>0</v>
      </c>
    </row>
    <row r="133" spans="1:6" x14ac:dyDescent="0.35">
      <c r="A133" s="1" t="s">
        <v>1784</v>
      </c>
      <c r="B133" s="1" t="s">
        <v>711</v>
      </c>
      <c r="C133" s="1" t="s">
        <v>711</v>
      </c>
      <c r="D133" s="1" t="s">
        <v>1940</v>
      </c>
      <c r="E133" s="2">
        <v>100000</v>
      </c>
      <c r="F133" s="2">
        <v>0</v>
      </c>
    </row>
    <row r="134" spans="1:6" x14ac:dyDescent="0.35">
      <c r="A134" s="1" t="s">
        <v>1842</v>
      </c>
      <c r="B134" s="1" t="s">
        <v>828</v>
      </c>
      <c r="C134" s="1" t="s">
        <v>828</v>
      </c>
      <c r="D134" s="1" t="s">
        <v>1940</v>
      </c>
      <c r="E134" s="2">
        <v>100000</v>
      </c>
      <c r="F134" s="2">
        <v>1020833</v>
      </c>
    </row>
    <row r="135" spans="1:6" x14ac:dyDescent="0.35">
      <c r="A135" s="1" t="s">
        <v>1850</v>
      </c>
      <c r="B135" s="1" t="s">
        <v>792</v>
      </c>
      <c r="C135" s="1" t="s">
        <v>792</v>
      </c>
      <c r="D135" s="1" t="s">
        <v>1940</v>
      </c>
      <c r="E135" s="2">
        <v>100000</v>
      </c>
      <c r="F135" s="2">
        <v>0</v>
      </c>
    </row>
    <row r="136" spans="1:6" x14ac:dyDescent="0.35">
      <c r="A136" s="1" t="s">
        <v>1852</v>
      </c>
      <c r="B136" s="1" t="s">
        <v>792</v>
      </c>
      <c r="C136" s="1" t="s">
        <v>792</v>
      </c>
      <c r="D136" s="1" t="s">
        <v>1940</v>
      </c>
      <c r="E136" s="2">
        <v>100000</v>
      </c>
      <c r="F136" s="2">
        <v>0</v>
      </c>
    </row>
    <row r="137" spans="1:6" x14ac:dyDescent="0.35">
      <c r="A137" s="1" t="s">
        <v>1884</v>
      </c>
      <c r="B137" s="1" t="s">
        <v>1030</v>
      </c>
      <c r="C137" s="1" t="s">
        <v>1030</v>
      </c>
      <c r="D137" s="1" t="s">
        <v>1940</v>
      </c>
      <c r="E137" s="2">
        <v>100000</v>
      </c>
      <c r="F137" s="2">
        <v>0</v>
      </c>
    </row>
    <row r="138" spans="1:6" x14ac:dyDescent="0.35">
      <c r="A138" s="1" t="s">
        <v>1888</v>
      </c>
      <c r="B138" s="1" t="s">
        <v>1030</v>
      </c>
      <c r="C138" s="1" t="s">
        <v>1030</v>
      </c>
      <c r="D138" s="1" t="s">
        <v>1940</v>
      </c>
      <c r="E138" s="2">
        <v>100000</v>
      </c>
      <c r="F138" s="2">
        <v>0</v>
      </c>
    </row>
    <row r="139" spans="1:6" x14ac:dyDescent="0.35">
      <c r="A139" s="1" t="s">
        <v>1892</v>
      </c>
      <c r="B139" s="1" t="s">
        <v>1030</v>
      </c>
      <c r="C139" s="1" t="s">
        <v>1030</v>
      </c>
      <c r="D139" s="1" t="s">
        <v>1940</v>
      </c>
      <c r="E139" s="2">
        <v>100000</v>
      </c>
      <c r="F139" s="2">
        <v>0</v>
      </c>
    </row>
    <row r="140" spans="1:6" x14ac:dyDescent="0.35">
      <c r="A140" s="1" t="s">
        <v>1918</v>
      </c>
      <c r="B140" s="1" t="s">
        <v>1215</v>
      </c>
      <c r="C140" s="1" t="s">
        <v>1215</v>
      </c>
      <c r="D140" s="1" t="s">
        <v>1987</v>
      </c>
      <c r="E140" s="2">
        <v>100000</v>
      </c>
      <c r="F140" s="2">
        <v>0</v>
      </c>
    </row>
    <row r="141" spans="1:6" x14ac:dyDescent="0.35">
      <c r="A141" s="1" t="s">
        <v>1924</v>
      </c>
      <c r="B141" s="1" t="s">
        <v>821</v>
      </c>
      <c r="C141" s="1" t="s">
        <v>821</v>
      </c>
      <c r="D141" s="1" t="s">
        <v>1988</v>
      </c>
      <c r="E141" s="2">
        <v>100000</v>
      </c>
      <c r="F141" s="2">
        <v>0</v>
      </c>
    </row>
    <row r="142" spans="1:6" x14ac:dyDescent="0.35">
      <c r="A142" s="5" t="s">
        <v>1994</v>
      </c>
      <c r="B142" s="1" t="s">
        <v>1997</v>
      </c>
      <c r="C142" s="1" t="s">
        <v>1997</v>
      </c>
      <c r="D142" s="5" t="s">
        <v>1997</v>
      </c>
      <c r="E142" s="2">
        <v>500000</v>
      </c>
      <c r="F142" s="2">
        <v>0</v>
      </c>
    </row>
    <row r="143" spans="1:6" x14ac:dyDescent="0.35">
      <c r="A143" s="5" t="s">
        <v>1995</v>
      </c>
      <c r="B143" s="1" t="s">
        <v>1997</v>
      </c>
      <c r="C143" s="1" t="s">
        <v>1997</v>
      </c>
      <c r="D143" s="5" t="s">
        <v>1997</v>
      </c>
      <c r="E143" s="2">
        <v>500000</v>
      </c>
      <c r="F143" s="2">
        <v>6746750</v>
      </c>
    </row>
    <row r="144" spans="1:6" x14ac:dyDescent="0.35">
      <c r="A144" s="5" t="s">
        <v>1996</v>
      </c>
      <c r="B144" s="1" t="s">
        <v>1997</v>
      </c>
      <c r="C144" s="1" t="s">
        <v>1997</v>
      </c>
      <c r="D144" s="5" t="s">
        <v>1997</v>
      </c>
      <c r="E144" s="2">
        <v>500000</v>
      </c>
      <c r="F144" s="2">
        <v>0</v>
      </c>
    </row>
    <row r="146" spans="4:6" x14ac:dyDescent="0.35">
      <c r="D146" s="26" t="s">
        <v>2283</v>
      </c>
      <c r="E146" s="55">
        <f>SUM(E5:E144)</f>
        <v>32400000</v>
      </c>
      <c r="F146" s="26"/>
    </row>
    <row r="147" spans="4:6" x14ac:dyDescent="0.35">
      <c r="D147" s="26" t="s">
        <v>2284</v>
      </c>
      <c r="E147" s="26"/>
      <c r="F147" s="55">
        <f>SUM(F5:F144)</f>
        <v>237837046</v>
      </c>
    </row>
    <row r="148" spans="4:6" x14ac:dyDescent="0.35">
      <c r="D148" s="26"/>
      <c r="E148" s="26"/>
      <c r="F148" s="26"/>
    </row>
    <row r="149" spans="4:6" x14ac:dyDescent="0.35">
      <c r="D149" s="26" t="s">
        <v>2285</v>
      </c>
      <c r="E149" s="26"/>
      <c r="F149" s="55">
        <f>E146+F147</f>
        <v>270237046</v>
      </c>
    </row>
  </sheetData>
  <autoFilter ref="A4:F144" xr:uid="{CA4FD165-A66F-40DE-A7F1-B7F63B52BA6E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DEE24-4888-4446-B032-8DBB8EAAFCB7}">
  <dimension ref="A1:H45"/>
  <sheetViews>
    <sheetView workbookViewId="0">
      <selection activeCell="G45" sqref="G45"/>
    </sheetView>
  </sheetViews>
  <sheetFormatPr defaultRowHeight="14.5" x14ac:dyDescent="0.35"/>
  <cols>
    <col min="1" max="1" width="4" style="104" customWidth="1"/>
    <col min="2" max="2" width="30.26953125" bestFit="1" customWidth="1"/>
    <col min="3" max="3" width="3.54296875" bestFit="1" customWidth="1"/>
    <col min="4" max="4" width="12.26953125" customWidth="1"/>
    <col min="5" max="5" width="24.1796875" customWidth="1"/>
    <col min="6" max="6" width="31.36328125" customWidth="1"/>
    <col min="7" max="7" width="14.08984375" bestFit="1" customWidth="1"/>
    <col min="8" max="8" width="13.54296875" bestFit="1" customWidth="1"/>
  </cols>
  <sheetData>
    <row r="1" spans="1:8" x14ac:dyDescent="0.35">
      <c r="A1" s="105" t="s">
        <v>2275</v>
      </c>
    </row>
    <row r="2" spans="1:8" x14ac:dyDescent="0.35">
      <c r="A2" s="105" t="s">
        <v>2274</v>
      </c>
    </row>
    <row r="3" spans="1:8" x14ac:dyDescent="0.35">
      <c r="A3" s="105"/>
    </row>
    <row r="4" spans="1:8" x14ac:dyDescent="0.35">
      <c r="A4" s="103" t="s">
        <v>2270</v>
      </c>
      <c r="B4" s="101" t="s">
        <v>1</v>
      </c>
      <c r="C4" s="101" t="s">
        <v>2027</v>
      </c>
      <c r="D4" s="101" t="s">
        <v>2</v>
      </c>
      <c r="E4" s="101" t="s">
        <v>3</v>
      </c>
      <c r="F4" s="101" t="s">
        <v>1704</v>
      </c>
      <c r="G4" s="102" t="s">
        <v>1992</v>
      </c>
      <c r="H4" s="102" t="s">
        <v>1993</v>
      </c>
    </row>
    <row r="5" spans="1:8" x14ac:dyDescent="0.35">
      <c r="A5" s="100">
        <v>1</v>
      </c>
      <c r="B5" s="1" t="s">
        <v>604</v>
      </c>
      <c r="C5" s="1" t="s">
        <v>2027</v>
      </c>
      <c r="D5" s="1" t="s">
        <v>602</v>
      </c>
      <c r="E5" s="1" t="s">
        <v>602</v>
      </c>
      <c r="F5" s="1" t="s">
        <v>1460</v>
      </c>
      <c r="G5" s="2">
        <v>150000</v>
      </c>
      <c r="H5" s="2">
        <v>1531250</v>
      </c>
    </row>
    <row r="6" spans="1:8" x14ac:dyDescent="0.35">
      <c r="A6" s="100">
        <v>2</v>
      </c>
      <c r="B6" s="1" t="s">
        <v>659</v>
      </c>
      <c r="C6" s="1" t="s">
        <v>2027</v>
      </c>
      <c r="D6" s="1" t="s">
        <v>660</v>
      </c>
      <c r="E6" s="1" t="s">
        <v>660</v>
      </c>
      <c r="F6" s="1" t="s">
        <v>1480</v>
      </c>
      <c r="G6" s="2">
        <v>150000</v>
      </c>
      <c r="H6" s="2">
        <v>0</v>
      </c>
    </row>
    <row r="7" spans="1:8" x14ac:dyDescent="0.35">
      <c r="A7" s="100">
        <v>3</v>
      </c>
      <c r="B7" s="1" t="s">
        <v>662</v>
      </c>
      <c r="C7" s="1" t="s">
        <v>2027</v>
      </c>
      <c r="D7" s="1" t="s">
        <v>660</v>
      </c>
      <c r="E7" s="1" t="s">
        <v>660</v>
      </c>
      <c r="F7" s="1" t="s">
        <v>1480</v>
      </c>
      <c r="G7" s="2">
        <v>150000</v>
      </c>
      <c r="H7" s="2">
        <v>1354167</v>
      </c>
    </row>
    <row r="8" spans="1:8" x14ac:dyDescent="0.35">
      <c r="A8" s="100">
        <v>4</v>
      </c>
      <c r="B8" s="1" t="s">
        <v>664</v>
      </c>
      <c r="C8" s="1" t="s">
        <v>2027</v>
      </c>
      <c r="D8" s="1" t="s">
        <v>660</v>
      </c>
      <c r="E8" s="1" t="s">
        <v>660</v>
      </c>
      <c r="F8" s="1" t="s">
        <v>1480</v>
      </c>
      <c r="G8" s="2">
        <v>250000</v>
      </c>
      <c r="H8" s="2">
        <v>9525267</v>
      </c>
    </row>
    <row r="9" spans="1:8" x14ac:dyDescent="0.35">
      <c r="A9" s="100">
        <v>5</v>
      </c>
      <c r="B9" s="1" t="s">
        <v>666</v>
      </c>
      <c r="C9" s="1" t="s">
        <v>2027</v>
      </c>
      <c r="D9" s="1" t="s">
        <v>667</v>
      </c>
      <c r="E9" s="1" t="s">
        <v>667</v>
      </c>
      <c r="F9" s="1" t="s">
        <v>1481</v>
      </c>
      <c r="G9" s="2">
        <v>500000</v>
      </c>
      <c r="H9" s="2">
        <v>0</v>
      </c>
    </row>
    <row r="10" spans="1:8" x14ac:dyDescent="0.35">
      <c r="A10" s="100">
        <v>6</v>
      </c>
      <c r="B10" s="1" t="s">
        <v>669</v>
      </c>
      <c r="C10" s="1" t="s">
        <v>2027</v>
      </c>
      <c r="D10" s="1" t="s">
        <v>667</v>
      </c>
      <c r="E10" s="1" t="s">
        <v>667</v>
      </c>
      <c r="F10" s="1" t="s">
        <v>1482</v>
      </c>
      <c r="G10" s="2">
        <v>150000</v>
      </c>
      <c r="H10" s="2">
        <v>7522865</v>
      </c>
    </row>
    <row r="11" spans="1:8" x14ac:dyDescent="0.35">
      <c r="A11" s="100">
        <v>7</v>
      </c>
      <c r="B11" s="1" t="s">
        <v>673</v>
      </c>
      <c r="C11" s="1" t="s">
        <v>2027</v>
      </c>
      <c r="D11" s="1" t="s">
        <v>667</v>
      </c>
      <c r="E11" s="1" t="s">
        <v>667</v>
      </c>
      <c r="F11" s="1" t="s">
        <v>1484</v>
      </c>
      <c r="G11" s="2">
        <v>150000</v>
      </c>
      <c r="H11" s="2">
        <v>0</v>
      </c>
    </row>
    <row r="12" spans="1:8" x14ac:dyDescent="0.35">
      <c r="A12" s="100">
        <v>8</v>
      </c>
      <c r="B12" s="1" t="s">
        <v>769</v>
      </c>
      <c r="C12" s="1" t="s">
        <v>2027</v>
      </c>
      <c r="D12" s="1" t="s">
        <v>770</v>
      </c>
      <c r="E12" s="1" t="s">
        <v>770</v>
      </c>
      <c r="F12" s="1" t="s">
        <v>1513</v>
      </c>
      <c r="G12" s="2">
        <v>150000</v>
      </c>
      <c r="H12" s="2">
        <v>0</v>
      </c>
    </row>
    <row r="13" spans="1:8" x14ac:dyDescent="0.35">
      <c r="A13" s="100">
        <v>9</v>
      </c>
      <c r="B13" s="1" t="s">
        <v>772</v>
      </c>
      <c r="C13" s="1" t="s">
        <v>2027</v>
      </c>
      <c r="D13" s="1" t="s">
        <v>770</v>
      </c>
      <c r="E13" s="1" t="s">
        <v>770</v>
      </c>
      <c r="F13" s="1" t="s">
        <v>1514</v>
      </c>
      <c r="G13" s="2">
        <v>150000</v>
      </c>
      <c r="H13" s="2">
        <v>0</v>
      </c>
    </row>
    <row r="14" spans="1:8" x14ac:dyDescent="0.35">
      <c r="A14" s="100">
        <v>10</v>
      </c>
      <c r="B14" s="1" t="s">
        <v>231</v>
      </c>
      <c r="C14" s="1" t="s">
        <v>2027</v>
      </c>
      <c r="D14" s="1" t="s">
        <v>778</v>
      </c>
      <c r="E14" s="1" t="s">
        <v>778</v>
      </c>
      <c r="F14" s="1" t="s">
        <v>1517</v>
      </c>
      <c r="G14" s="2">
        <v>500000</v>
      </c>
      <c r="H14" s="2">
        <v>0</v>
      </c>
    </row>
    <row r="15" spans="1:8" x14ac:dyDescent="0.35">
      <c r="A15" s="100">
        <v>11</v>
      </c>
      <c r="B15" s="1" t="s">
        <v>780</v>
      </c>
      <c r="C15" s="1" t="s">
        <v>2027</v>
      </c>
      <c r="D15" s="1" t="s">
        <v>778</v>
      </c>
      <c r="E15" s="1" t="s">
        <v>778</v>
      </c>
      <c r="F15" s="1" t="s">
        <v>1518</v>
      </c>
      <c r="G15" s="2">
        <v>350000</v>
      </c>
      <c r="H15" s="2">
        <v>0</v>
      </c>
    </row>
    <row r="16" spans="1:8" x14ac:dyDescent="0.35">
      <c r="A16" s="100">
        <v>12</v>
      </c>
      <c r="B16" s="1" t="s">
        <v>782</v>
      </c>
      <c r="C16" s="1" t="s">
        <v>2027</v>
      </c>
      <c r="D16" s="1" t="s">
        <v>778</v>
      </c>
      <c r="E16" s="1" t="s">
        <v>778</v>
      </c>
      <c r="F16" s="1" t="s">
        <v>1519</v>
      </c>
      <c r="G16" s="2">
        <v>100000</v>
      </c>
      <c r="H16" s="2">
        <v>0</v>
      </c>
    </row>
    <row r="17" spans="1:8" x14ac:dyDescent="0.35">
      <c r="A17" s="100">
        <v>13</v>
      </c>
      <c r="B17" s="1" t="s">
        <v>812</v>
      </c>
      <c r="C17" s="1" t="s">
        <v>2027</v>
      </c>
      <c r="D17" s="1" t="s">
        <v>813</v>
      </c>
      <c r="E17" s="1" t="s">
        <v>813</v>
      </c>
      <c r="F17" s="1" t="s">
        <v>1531</v>
      </c>
      <c r="G17" s="2">
        <v>150000</v>
      </c>
      <c r="H17" s="2">
        <v>0</v>
      </c>
    </row>
    <row r="18" spans="1:8" x14ac:dyDescent="0.35">
      <c r="A18" s="100">
        <v>14</v>
      </c>
      <c r="B18" s="1" t="s">
        <v>815</v>
      </c>
      <c r="C18" s="1" t="s">
        <v>2027</v>
      </c>
      <c r="D18" s="1" t="s">
        <v>813</v>
      </c>
      <c r="E18" s="1" t="s">
        <v>813</v>
      </c>
      <c r="F18" s="1" t="s">
        <v>1532</v>
      </c>
      <c r="G18" s="2">
        <v>350000</v>
      </c>
      <c r="H18" s="2">
        <v>0</v>
      </c>
    </row>
    <row r="19" spans="1:8" x14ac:dyDescent="0.35">
      <c r="A19" s="100">
        <v>15</v>
      </c>
      <c r="B19" s="1" t="s">
        <v>817</v>
      </c>
      <c r="C19" s="1" t="s">
        <v>2027</v>
      </c>
      <c r="D19" s="1" t="s">
        <v>818</v>
      </c>
      <c r="E19" s="1" t="s">
        <v>818</v>
      </c>
      <c r="F19" s="1" t="s">
        <v>1533</v>
      </c>
      <c r="G19" s="2">
        <v>150000</v>
      </c>
      <c r="H19" s="2">
        <v>0</v>
      </c>
    </row>
    <row r="20" spans="1:8" x14ac:dyDescent="0.35">
      <c r="A20" s="100">
        <v>16</v>
      </c>
      <c r="B20" s="1" t="s">
        <v>836</v>
      </c>
      <c r="C20" s="1" t="s">
        <v>2027</v>
      </c>
      <c r="D20" s="1" t="s">
        <v>828</v>
      </c>
      <c r="E20" s="1" t="s">
        <v>828</v>
      </c>
      <c r="F20" s="1" t="s">
        <v>1540</v>
      </c>
      <c r="G20" s="2">
        <v>250000</v>
      </c>
      <c r="H20" s="2">
        <v>9019189</v>
      </c>
    </row>
    <row r="21" spans="1:8" x14ac:dyDescent="0.35">
      <c r="A21" s="100">
        <v>17</v>
      </c>
      <c r="B21" s="1" t="s">
        <v>838</v>
      </c>
      <c r="C21" s="1" t="s">
        <v>2027</v>
      </c>
      <c r="D21" s="1" t="s">
        <v>828</v>
      </c>
      <c r="E21" s="1" t="s">
        <v>828</v>
      </c>
      <c r="F21" s="1" t="s">
        <v>1541</v>
      </c>
      <c r="G21" s="2">
        <v>150000</v>
      </c>
      <c r="H21" s="2">
        <v>13910000</v>
      </c>
    </row>
    <row r="22" spans="1:8" x14ac:dyDescent="0.35">
      <c r="A22" s="100">
        <v>18</v>
      </c>
      <c r="B22" s="1" t="s">
        <v>846</v>
      </c>
      <c r="C22" s="1" t="s">
        <v>2027</v>
      </c>
      <c r="D22" s="1" t="s">
        <v>828</v>
      </c>
      <c r="E22" s="1" t="s">
        <v>828</v>
      </c>
      <c r="F22" s="1" t="s">
        <v>1543</v>
      </c>
      <c r="G22" s="2">
        <v>150000</v>
      </c>
      <c r="H22" s="2">
        <v>0</v>
      </c>
    </row>
    <row r="23" spans="1:8" x14ac:dyDescent="0.35">
      <c r="A23" s="100">
        <v>19</v>
      </c>
      <c r="B23" s="1" t="s">
        <v>860</v>
      </c>
      <c r="C23" s="1" t="s">
        <v>2027</v>
      </c>
      <c r="D23" s="1" t="s">
        <v>861</v>
      </c>
      <c r="E23" s="1" t="s">
        <v>861</v>
      </c>
      <c r="F23" s="1" t="s">
        <v>1547</v>
      </c>
      <c r="G23" s="2">
        <v>350000</v>
      </c>
      <c r="H23" s="2">
        <v>0</v>
      </c>
    </row>
    <row r="24" spans="1:8" x14ac:dyDescent="0.35">
      <c r="A24" s="100">
        <v>20</v>
      </c>
      <c r="B24" s="1" t="s">
        <v>863</v>
      </c>
      <c r="C24" s="1" t="s">
        <v>2027</v>
      </c>
      <c r="D24" s="1" t="s">
        <v>861</v>
      </c>
      <c r="E24" s="1" t="s">
        <v>861</v>
      </c>
      <c r="F24" s="1" t="s">
        <v>1548</v>
      </c>
      <c r="G24" s="2">
        <v>150000</v>
      </c>
      <c r="H24" s="2">
        <v>0</v>
      </c>
    </row>
    <row r="25" spans="1:8" x14ac:dyDescent="0.35">
      <c r="A25" s="100">
        <v>21</v>
      </c>
      <c r="B25" s="1" t="s">
        <v>867</v>
      </c>
      <c r="C25" s="1" t="s">
        <v>2027</v>
      </c>
      <c r="D25" s="1" t="s">
        <v>678</v>
      </c>
      <c r="E25" s="1" t="s">
        <v>868</v>
      </c>
      <c r="F25" s="1" t="s">
        <v>1525</v>
      </c>
      <c r="G25" s="2">
        <v>250000</v>
      </c>
      <c r="H25" s="2">
        <v>0</v>
      </c>
    </row>
    <row r="26" spans="1:8" x14ac:dyDescent="0.35">
      <c r="A26" s="100">
        <v>22</v>
      </c>
      <c r="B26" s="1" t="s">
        <v>870</v>
      </c>
      <c r="C26" s="1" t="s">
        <v>2027</v>
      </c>
      <c r="D26" s="1" t="s">
        <v>678</v>
      </c>
      <c r="E26" s="1" t="s">
        <v>868</v>
      </c>
      <c r="F26" s="1" t="s">
        <v>1550</v>
      </c>
      <c r="G26" s="2">
        <v>250000</v>
      </c>
      <c r="H26" s="2">
        <v>2822700</v>
      </c>
    </row>
    <row r="27" spans="1:8" x14ac:dyDescent="0.35">
      <c r="A27" s="100">
        <v>23</v>
      </c>
      <c r="B27" s="1" t="s">
        <v>872</v>
      </c>
      <c r="C27" s="1" t="s">
        <v>2027</v>
      </c>
      <c r="D27" s="1" t="s">
        <v>678</v>
      </c>
      <c r="E27" s="1" t="s">
        <v>868</v>
      </c>
      <c r="F27" s="1" t="s">
        <v>1551</v>
      </c>
      <c r="G27" s="2">
        <v>100000</v>
      </c>
      <c r="H27" s="2">
        <v>0</v>
      </c>
    </row>
    <row r="28" spans="1:8" x14ac:dyDescent="0.35">
      <c r="A28" s="100">
        <v>24</v>
      </c>
      <c r="B28" s="1" t="s">
        <v>874</v>
      </c>
      <c r="C28" s="1" t="s">
        <v>2027</v>
      </c>
      <c r="D28" s="1" t="s">
        <v>678</v>
      </c>
      <c r="E28" s="1" t="s">
        <v>868</v>
      </c>
      <c r="F28" s="1" t="s">
        <v>1552</v>
      </c>
      <c r="G28" s="2">
        <v>100000</v>
      </c>
      <c r="H28" s="2">
        <v>0</v>
      </c>
    </row>
    <row r="29" spans="1:8" x14ac:dyDescent="0.35">
      <c r="A29" s="100">
        <v>25</v>
      </c>
      <c r="B29" s="1" t="s">
        <v>876</v>
      </c>
      <c r="C29" s="1" t="s">
        <v>2027</v>
      </c>
      <c r="D29" s="1" t="s">
        <v>678</v>
      </c>
      <c r="E29" s="1" t="s">
        <v>868</v>
      </c>
      <c r="F29" s="1" t="s">
        <v>1553</v>
      </c>
      <c r="G29" s="2">
        <v>150000</v>
      </c>
      <c r="H29" s="2">
        <v>0</v>
      </c>
    </row>
    <row r="30" spans="1:8" x14ac:dyDescent="0.35">
      <c r="A30" s="100">
        <v>26</v>
      </c>
      <c r="B30" s="1" t="s">
        <v>991</v>
      </c>
      <c r="C30" s="1" t="s">
        <v>2027</v>
      </c>
      <c r="D30" s="1" t="s">
        <v>992</v>
      </c>
      <c r="E30" s="1" t="s">
        <v>992</v>
      </c>
      <c r="F30" s="1" t="s">
        <v>1381</v>
      </c>
      <c r="G30" s="2">
        <v>150000</v>
      </c>
      <c r="H30" s="2">
        <v>0</v>
      </c>
    </row>
    <row r="31" spans="1:8" x14ac:dyDescent="0.35">
      <c r="A31" s="100">
        <v>27</v>
      </c>
      <c r="B31" s="1" t="s">
        <v>1038</v>
      </c>
      <c r="C31" s="1" t="s">
        <v>2027</v>
      </c>
      <c r="D31" s="1" t="s">
        <v>1030</v>
      </c>
      <c r="E31" s="1" t="s">
        <v>1030</v>
      </c>
      <c r="F31" s="1" t="s">
        <v>1605</v>
      </c>
      <c r="G31" s="2">
        <v>250000</v>
      </c>
      <c r="H31" s="2">
        <v>0</v>
      </c>
    </row>
    <row r="32" spans="1:8" x14ac:dyDescent="0.35">
      <c r="A32" s="100">
        <v>28</v>
      </c>
      <c r="B32" s="1" t="s">
        <v>1046</v>
      </c>
      <c r="C32" s="1" t="s">
        <v>2027</v>
      </c>
      <c r="D32" s="1" t="s">
        <v>1030</v>
      </c>
      <c r="E32" s="1" t="s">
        <v>1030</v>
      </c>
      <c r="F32" s="1" t="s">
        <v>1608</v>
      </c>
      <c r="G32" s="2">
        <v>150000</v>
      </c>
      <c r="H32" s="2">
        <v>3650000</v>
      </c>
    </row>
    <row r="33" spans="1:8" x14ac:dyDescent="0.35">
      <c r="A33" s="100">
        <v>29</v>
      </c>
      <c r="B33" s="1" t="s">
        <v>1196</v>
      </c>
      <c r="C33" s="1" t="s">
        <v>2027</v>
      </c>
      <c r="D33" s="1" t="s">
        <v>1197</v>
      </c>
      <c r="E33" s="1" t="s">
        <v>1197</v>
      </c>
      <c r="F33" s="1" t="s">
        <v>1659</v>
      </c>
      <c r="G33" s="2">
        <v>350000</v>
      </c>
      <c r="H33" s="2">
        <v>1733796</v>
      </c>
    </row>
    <row r="34" spans="1:8" x14ac:dyDescent="0.35">
      <c r="A34" s="100">
        <v>30</v>
      </c>
      <c r="B34" s="1" t="s">
        <v>1199</v>
      </c>
      <c r="C34" s="1" t="s">
        <v>2027</v>
      </c>
      <c r="D34" s="1" t="s">
        <v>1197</v>
      </c>
      <c r="E34" s="1" t="s">
        <v>1197</v>
      </c>
      <c r="F34" s="1" t="s">
        <v>1660</v>
      </c>
      <c r="G34" s="2">
        <v>150000</v>
      </c>
      <c r="H34" s="2">
        <v>0</v>
      </c>
    </row>
    <row r="35" spans="1:8" x14ac:dyDescent="0.35">
      <c r="A35" s="100">
        <v>31</v>
      </c>
      <c r="B35" s="1" t="s">
        <v>1203</v>
      </c>
      <c r="C35" s="1" t="s">
        <v>2027</v>
      </c>
      <c r="D35" s="1" t="s">
        <v>1197</v>
      </c>
      <c r="E35" s="1" t="s">
        <v>1197</v>
      </c>
      <c r="F35" s="1" t="s">
        <v>1662</v>
      </c>
      <c r="G35" s="2">
        <v>250000</v>
      </c>
      <c r="H35" s="2">
        <v>0</v>
      </c>
    </row>
    <row r="36" spans="1:8" x14ac:dyDescent="0.35">
      <c r="A36" s="100">
        <v>32</v>
      </c>
      <c r="B36" s="1" t="s">
        <v>1207</v>
      </c>
      <c r="C36" s="1" t="s">
        <v>2027</v>
      </c>
      <c r="D36" s="1" t="s">
        <v>1197</v>
      </c>
      <c r="E36" s="1" t="s">
        <v>1197</v>
      </c>
      <c r="F36" s="1" t="s">
        <v>1664</v>
      </c>
      <c r="G36" s="2">
        <v>250000</v>
      </c>
      <c r="H36" s="2">
        <v>3563351</v>
      </c>
    </row>
    <row r="37" spans="1:8" x14ac:dyDescent="0.35">
      <c r="A37" s="100">
        <v>33</v>
      </c>
      <c r="B37" s="1" t="s">
        <v>1212</v>
      </c>
      <c r="C37" s="1" t="s">
        <v>2027</v>
      </c>
      <c r="D37" s="1" t="s">
        <v>828</v>
      </c>
      <c r="E37" s="1" t="s">
        <v>828</v>
      </c>
      <c r="F37" s="1" t="s">
        <v>1666</v>
      </c>
      <c r="G37" s="2">
        <v>350000</v>
      </c>
      <c r="H37" s="2">
        <v>4708150</v>
      </c>
    </row>
    <row r="38" spans="1:8" x14ac:dyDescent="0.35">
      <c r="A38" s="100">
        <v>34</v>
      </c>
      <c r="B38" s="1" t="s">
        <v>1214</v>
      </c>
      <c r="C38" s="1" t="s">
        <v>2027</v>
      </c>
      <c r="D38" s="1" t="s">
        <v>1215</v>
      </c>
      <c r="E38" s="1" t="s">
        <v>1215</v>
      </c>
      <c r="F38" s="1" t="s">
        <v>1667</v>
      </c>
      <c r="G38" s="2">
        <v>150000</v>
      </c>
      <c r="H38" s="2">
        <v>2500000</v>
      </c>
    </row>
    <row r="39" spans="1:8" x14ac:dyDescent="0.35">
      <c r="A39" s="100">
        <v>35</v>
      </c>
      <c r="B39" s="1" t="s">
        <v>1221</v>
      </c>
      <c r="C39" s="1" t="s">
        <v>2027</v>
      </c>
      <c r="D39" s="1" t="s">
        <v>1215</v>
      </c>
      <c r="E39" s="1" t="s">
        <v>1215</v>
      </c>
      <c r="F39" s="1" t="s">
        <v>1670</v>
      </c>
      <c r="G39" s="2">
        <v>150000</v>
      </c>
      <c r="H39" s="2">
        <v>0</v>
      </c>
    </row>
    <row r="40" spans="1:8" x14ac:dyDescent="0.35">
      <c r="A40" s="100">
        <v>36</v>
      </c>
      <c r="B40" s="1" t="s">
        <v>1906</v>
      </c>
      <c r="C40" s="1" t="s">
        <v>2027</v>
      </c>
      <c r="D40" s="1" t="s">
        <v>1030</v>
      </c>
      <c r="E40" s="1" t="s">
        <v>1985</v>
      </c>
      <c r="F40" s="1" t="s">
        <v>1940</v>
      </c>
      <c r="G40" s="2">
        <v>100000</v>
      </c>
      <c r="H40" s="2">
        <v>1500000</v>
      </c>
    </row>
    <row r="42" spans="1:8" x14ac:dyDescent="0.35">
      <c r="F42" s="26" t="s">
        <v>2271</v>
      </c>
      <c r="G42" s="55">
        <f>SUM(G5:G40)</f>
        <v>7600000</v>
      </c>
      <c r="H42" s="26"/>
    </row>
    <row r="43" spans="1:8" x14ac:dyDescent="0.35">
      <c r="F43" s="26" t="s">
        <v>2272</v>
      </c>
      <c r="G43" s="26"/>
      <c r="H43" s="55">
        <f>SUM(H5:H40)</f>
        <v>63340735</v>
      </c>
    </row>
    <row r="44" spans="1:8" x14ac:dyDescent="0.35">
      <c r="F44" s="1"/>
      <c r="G44" s="1"/>
      <c r="H44" s="1"/>
    </row>
    <row r="45" spans="1:8" x14ac:dyDescent="0.35">
      <c r="F45" s="26" t="s">
        <v>2273</v>
      </c>
      <c r="G45" s="55">
        <f>G42+H43</f>
        <v>70940735</v>
      </c>
      <c r="H4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BDD74-95B2-47C4-BDD8-B0219812F53B}">
  <dimension ref="A1:K158"/>
  <sheetViews>
    <sheetView workbookViewId="0"/>
  </sheetViews>
  <sheetFormatPr defaultRowHeight="14.5" x14ac:dyDescent="0.35"/>
  <cols>
    <col min="1" max="1" width="39.7265625" bestFit="1" customWidth="1"/>
    <col min="2" max="2" width="40" hidden="1" customWidth="1"/>
    <col min="3" max="3" width="32.7265625" customWidth="1"/>
    <col min="4" max="4" width="39.26953125" customWidth="1"/>
    <col min="5" max="5" width="14.08984375" bestFit="1" customWidth="1"/>
    <col min="6" max="6" width="13.54296875" bestFit="1" customWidth="1"/>
    <col min="8" max="8" width="24.453125" bestFit="1" customWidth="1"/>
    <col min="9" max="9" width="11.81640625" bestFit="1" customWidth="1"/>
    <col min="10" max="10" width="12.54296875" bestFit="1" customWidth="1"/>
    <col min="11" max="11" width="20.54296875" bestFit="1" customWidth="1"/>
  </cols>
  <sheetData>
    <row r="1" spans="1:11" x14ac:dyDescent="0.35">
      <c r="A1" s="8" t="s">
        <v>2276</v>
      </c>
      <c r="B1" s="8"/>
    </row>
    <row r="2" spans="1:11" x14ac:dyDescent="0.35">
      <c r="A2" s="8" t="s">
        <v>2274</v>
      </c>
      <c r="B2" s="8"/>
    </row>
    <row r="4" spans="1:11" ht="14.5" customHeight="1" x14ac:dyDescent="0.35">
      <c r="A4" s="26" t="s">
        <v>1</v>
      </c>
      <c r="B4" s="26" t="s">
        <v>2</v>
      </c>
      <c r="C4" s="26" t="s">
        <v>3</v>
      </c>
      <c r="D4" s="26" t="s">
        <v>1704</v>
      </c>
      <c r="E4" s="21" t="s">
        <v>1992</v>
      </c>
      <c r="F4" s="21" t="s">
        <v>1993</v>
      </c>
      <c r="H4" s="108"/>
      <c r="I4" s="110" t="s">
        <v>2278</v>
      </c>
      <c r="J4" s="110" t="s">
        <v>2279</v>
      </c>
      <c r="K4" s="110" t="s">
        <v>2277</v>
      </c>
    </row>
    <row r="5" spans="1:11" x14ac:dyDescent="0.35">
      <c r="A5" s="1" t="s">
        <v>8</v>
      </c>
      <c r="B5" s="1" t="s">
        <v>9</v>
      </c>
      <c r="C5" s="1" t="s">
        <v>9</v>
      </c>
      <c r="D5" s="1" t="s">
        <v>1380</v>
      </c>
      <c r="E5" s="2">
        <v>350000</v>
      </c>
      <c r="F5" s="2">
        <v>0</v>
      </c>
      <c r="H5" s="109"/>
      <c r="I5" s="111"/>
      <c r="J5" s="111"/>
      <c r="K5" s="111"/>
    </row>
    <row r="6" spans="1:11" x14ac:dyDescent="0.35">
      <c r="A6" s="1" t="s">
        <v>11</v>
      </c>
      <c r="B6" s="1" t="s">
        <v>9</v>
      </c>
      <c r="C6" s="1" t="s">
        <v>9</v>
      </c>
      <c r="D6" s="1" t="s">
        <v>1381</v>
      </c>
      <c r="E6" s="2">
        <v>150000</v>
      </c>
      <c r="F6" s="2">
        <v>0</v>
      </c>
      <c r="H6" s="1" t="s">
        <v>2248</v>
      </c>
      <c r="I6" s="53">
        <v>18350000</v>
      </c>
      <c r="J6" s="53">
        <v>31032141</v>
      </c>
      <c r="K6" s="53">
        <f>I6+J6</f>
        <v>49382141</v>
      </c>
    </row>
    <row r="7" spans="1:11" x14ac:dyDescent="0.35">
      <c r="A7" s="1" t="s">
        <v>13</v>
      </c>
      <c r="B7" s="1" t="s">
        <v>9</v>
      </c>
      <c r="C7" s="1" t="s">
        <v>9</v>
      </c>
      <c r="D7" s="1" t="s">
        <v>1382</v>
      </c>
      <c r="E7" s="2">
        <v>250000</v>
      </c>
      <c r="F7" s="2">
        <v>6272588</v>
      </c>
      <c r="H7" s="1" t="s">
        <v>2251</v>
      </c>
      <c r="I7" s="53">
        <v>2300000</v>
      </c>
      <c r="J7" s="53">
        <v>16268894</v>
      </c>
      <c r="K7" s="53">
        <f t="shared" ref="K7:K10" si="0">I7+J7</f>
        <v>18568894</v>
      </c>
    </row>
    <row r="8" spans="1:11" x14ac:dyDescent="0.35">
      <c r="A8" s="1" t="s">
        <v>22</v>
      </c>
      <c r="B8" s="1" t="s">
        <v>9</v>
      </c>
      <c r="C8" s="1" t="s">
        <v>9</v>
      </c>
      <c r="D8" s="1" t="s">
        <v>1381</v>
      </c>
      <c r="E8" s="2">
        <v>150000</v>
      </c>
      <c r="F8" s="2">
        <v>0</v>
      </c>
      <c r="H8" s="1" t="s">
        <v>1352</v>
      </c>
      <c r="I8" s="53">
        <v>6550000</v>
      </c>
      <c r="J8" s="53">
        <v>67430601</v>
      </c>
      <c r="K8" s="53">
        <f t="shared" si="0"/>
        <v>73980601</v>
      </c>
    </row>
    <row r="9" spans="1:11" x14ac:dyDescent="0.35">
      <c r="A9" s="1" t="s">
        <v>38</v>
      </c>
      <c r="B9" s="1" t="s">
        <v>39</v>
      </c>
      <c r="C9" s="1" t="s">
        <v>39</v>
      </c>
      <c r="D9" s="1" t="s">
        <v>1379</v>
      </c>
      <c r="E9" s="2">
        <v>250000</v>
      </c>
      <c r="F9" s="2">
        <v>0</v>
      </c>
      <c r="H9" s="1" t="s">
        <v>1313</v>
      </c>
      <c r="I9" s="53">
        <v>2200000</v>
      </c>
      <c r="J9" s="53">
        <v>2000000</v>
      </c>
      <c r="K9" s="53">
        <f t="shared" si="0"/>
        <v>4200000</v>
      </c>
    </row>
    <row r="10" spans="1:11" x14ac:dyDescent="0.35">
      <c r="A10" s="1" t="s">
        <v>41</v>
      </c>
      <c r="B10" s="1" t="s">
        <v>42</v>
      </c>
      <c r="C10" s="1" t="s">
        <v>42</v>
      </c>
      <c r="D10" s="1" t="s">
        <v>1387</v>
      </c>
      <c r="E10" s="2">
        <v>150000</v>
      </c>
      <c r="F10" s="2">
        <v>0</v>
      </c>
      <c r="H10" s="1" t="s">
        <v>2252</v>
      </c>
      <c r="I10" s="53">
        <v>2250000</v>
      </c>
      <c r="J10" s="53">
        <v>4722725</v>
      </c>
      <c r="K10" s="53">
        <f t="shared" si="0"/>
        <v>6972725</v>
      </c>
    </row>
    <row r="11" spans="1:11" x14ac:dyDescent="0.35">
      <c r="A11" s="1" t="s">
        <v>44</v>
      </c>
      <c r="B11" s="1" t="s">
        <v>42</v>
      </c>
      <c r="C11" s="1" t="s">
        <v>42</v>
      </c>
      <c r="D11" s="1" t="s">
        <v>1381</v>
      </c>
      <c r="E11" s="2">
        <v>150000</v>
      </c>
      <c r="F11" s="2">
        <v>0</v>
      </c>
      <c r="H11" s="112" t="s">
        <v>2280</v>
      </c>
      <c r="I11" s="113"/>
      <c r="J11" s="114"/>
      <c r="K11" s="54">
        <f>SUM(K6:K10)</f>
        <v>153104361</v>
      </c>
    </row>
    <row r="12" spans="1:11" x14ac:dyDescent="0.35">
      <c r="A12" s="1" t="s">
        <v>48</v>
      </c>
      <c r="B12" s="1" t="s">
        <v>42</v>
      </c>
      <c r="C12" s="1" t="s">
        <v>42</v>
      </c>
      <c r="D12" s="1" t="s">
        <v>1388</v>
      </c>
      <c r="E12" s="2">
        <v>350000</v>
      </c>
      <c r="F12" s="2">
        <v>0</v>
      </c>
    </row>
    <row r="13" spans="1:11" x14ac:dyDescent="0.35">
      <c r="A13" s="1" t="s">
        <v>55</v>
      </c>
      <c r="B13" s="1" t="s">
        <v>56</v>
      </c>
      <c r="C13" s="1" t="s">
        <v>56</v>
      </c>
      <c r="D13" s="1" t="s">
        <v>1381</v>
      </c>
      <c r="E13" s="2">
        <v>150000</v>
      </c>
      <c r="F13" s="2">
        <v>0</v>
      </c>
    </row>
    <row r="14" spans="1:11" x14ac:dyDescent="0.35">
      <c r="A14" s="1" t="s">
        <v>60</v>
      </c>
      <c r="B14" s="1" t="s">
        <v>56</v>
      </c>
      <c r="C14" s="1" t="s">
        <v>56</v>
      </c>
      <c r="D14" s="1" t="s">
        <v>1379</v>
      </c>
      <c r="E14" s="2">
        <v>250000</v>
      </c>
      <c r="F14" s="2">
        <v>0</v>
      </c>
    </row>
    <row r="15" spans="1:11" x14ac:dyDescent="0.35">
      <c r="A15" s="1" t="s">
        <v>79</v>
      </c>
      <c r="B15" s="1" t="s">
        <v>69</v>
      </c>
      <c r="C15" s="1" t="s">
        <v>69</v>
      </c>
      <c r="D15" s="1" t="s">
        <v>1394</v>
      </c>
      <c r="E15" s="2">
        <v>150000</v>
      </c>
      <c r="F15" s="2">
        <v>0</v>
      </c>
    </row>
    <row r="16" spans="1:11" x14ac:dyDescent="0.35">
      <c r="A16" s="1" t="s">
        <v>81</v>
      </c>
      <c r="B16" s="1" t="s">
        <v>69</v>
      </c>
      <c r="C16" s="1" t="s">
        <v>69</v>
      </c>
      <c r="D16" s="1" t="s">
        <v>1387</v>
      </c>
      <c r="E16" s="2">
        <v>150000</v>
      </c>
      <c r="F16" s="2">
        <v>2500000</v>
      </c>
    </row>
    <row r="17" spans="1:6" x14ac:dyDescent="0.35">
      <c r="A17" s="1" t="s">
        <v>99</v>
      </c>
      <c r="B17" s="1" t="s">
        <v>69</v>
      </c>
      <c r="C17" s="1" t="s">
        <v>69</v>
      </c>
      <c r="D17" s="1" t="s">
        <v>1395</v>
      </c>
      <c r="E17" s="2">
        <v>250000</v>
      </c>
      <c r="F17" s="2">
        <v>0</v>
      </c>
    </row>
    <row r="18" spans="1:6" x14ac:dyDescent="0.35">
      <c r="A18" s="1" t="s">
        <v>114</v>
      </c>
      <c r="B18" s="1" t="s">
        <v>102</v>
      </c>
      <c r="C18" s="1" t="s">
        <v>102</v>
      </c>
      <c r="D18" s="1" t="s">
        <v>1393</v>
      </c>
      <c r="E18" s="2">
        <v>150000</v>
      </c>
      <c r="F18" s="2">
        <v>0</v>
      </c>
    </row>
    <row r="19" spans="1:6" x14ac:dyDescent="0.35">
      <c r="A19" s="1" t="s">
        <v>127</v>
      </c>
      <c r="B19" s="1" t="s">
        <v>125</v>
      </c>
      <c r="C19" s="1" t="s">
        <v>125</v>
      </c>
      <c r="D19" s="1" t="s">
        <v>1391</v>
      </c>
      <c r="E19" s="2">
        <v>150000</v>
      </c>
      <c r="F19" s="2">
        <v>0</v>
      </c>
    </row>
    <row r="20" spans="1:6" x14ac:dyDescent="0.35">
      <c r="A20" s="1" t="s">
        <v>129</v>
      </c>
      <c r="B20" s="1" t="s">
        <v>125</v>
      </c>
      <c r="C20" s="1" t="s">
        <v>125</v>
      </c>
      <c r="D20" s="1" t="s">
        <v>1391</v>
      </c>
      <c r="E20" s="2">
        <v>150000</v>
      </c>
      <c r="F20" s="2">
        <v>0</v>
      </c>
    </row>
    <row r="21" spans="1:6" x14ac:dyDescent="0.35">
      <c r="A21" s="1" t="s">
        <v>131</v>
      </c>
      <c r="B21" s="1" t="s">
        <v>125</v>
      </c>
      <c r="C21" s="1" t="s">
        <v>125</v>
      </c>
      <c r="D21" s="1" t="s">
        <v>1392</v>
      </c>
      <c r="E21" s="2">
        <v>150000</v>
      </c>
      <c r="F21" s="2">
        <v>0</v>
      </c>
    </row>
    <row r="22" spans="1:6" x14ac:dyDescent="0.35">
      <c r="A22" s="1" t="s">
        <v>133</v>
      </c>
      <c r="B22" s="1" t="s">
        <v>125</v>
      </c>
      <c r="C22" s="1" t="s">
        <v>125</v>
      </c>
      <c r="D22" s="1" t="s">
        <v>1381</v>
      </c>
      <c r="E22" s="2">
        <v>150000</v>
      </c>
      <c r="F22" s="2">
        <v>0</v>
      </c>
    </row>
    <row r="23" spans="1:6" x14ac:dyDescent="0.35">
      <c r="A23" s="1" t="s">
        <v>135</v>
      </c>
      <c r="B23" s="1" t="s">
        <v>125</v>
      </c>
      <c r="C23" s="1" t="s">
        <v>125</v>
      </c>
      <c r="D23" s="1" t="s">
        <v>1381</v>
      </c>
      <c r="E23" s="2">
        <v>150000</v>
      </c>
      <c r="F23" s="2">
        <v>0</v>
      </c>
    </row>
    <row r="24" spans="1:6" x14ac:dyDescent="0.35">
      <c r="A24" s="1" t="s">
        <v>137</v>
      </c>
      <c r="B24" s="1" t="s">
        <v>125</v>
      </c>
      <c r="C24" s="1" t="s">
        <v>125</v>
      </c>
      <c r="D24" s="1" t="s">
        <v>1387</v>
      </c>
      <c r="E24" s="2">
        <v>150000</v>
      </c>
      <c r="F24" s="2">
        <v>0</v>
      </c>
    </row>
    <row r="25" spans="1:6" x14ac:dyDescent="0.35">
      <c r="A25" s="1" t="s">
        <v>139</v>
      </c>
      <c r="B25" s="1" t="s">
        <v>125</v>
      </c>
      <c r="C25" s="1" t="s">
        <v>125</v>
      </c>
      <c r="D25" s="1" t="s">
        <v>1394</v>
      </c>
      <c r="E25" s="2">
        <v>150000</v>
      </c>
      <c r="F25" s="2">
        <v>0</v>
      </c>
    </row>
    <row r="26" spans="1:6" x14ac:dyDescent="0.35">
      <c r="A26" s="1" t="s">
        <v>141</v>
      </c>
      <c r="B26" s="1" t="s">
        <v>125</v>
      </c>
      <c r="C26" s="1" t="s">
        <v>125</v>
      </c>
      <c r="D26" s="1" t="s">
        <v>1394</v>
      </c>
      <c r="E26" s="2">
        <v>150000</v>
      </c>
      <c r="F26" s="2">
        <v>0</v>
      </c>
    </row>
    <row r="27" spans="1:6" x14ac:dyDescent="0.35">
      <c r="A27" s="1" t="s">
        <v>143</v>
      </c>
      <c r="B27" s="1" t="s">
        <v>125</v>
      </c>
      <c r="C27" s="1" t="s">
        <v>125</v>
      </c>
      <c r="D27" s="1" t="s">
        <v>1394</v>
      </c>
      <c r="E27" s="2">
        <v>150000</v>
      </c>
      <c r="F27" s="2">
        <v>0</v>
      </c>
    </row>
    <row r="28" spans="1:6" x14ac:dyDescent="0.35">
      <c r="A28" s="1" t="s">
        <v>145</v>
      </c>
      <c r="B28" s="1" t="s">
        <v>125</v>
      </c>
      <c r="C28" s="1" t="s">
        <v>125</v>
      </c>
      <c r="D28" s="1" t="s">
        <v>1394</v>
      </c>
      <c r="E28" s="2">
        <v>150000</v>
      </c>
      <c r="F28" s="2">
        <v>0</v>
      </c>
    </row>
    <row r="29" spans="1:6" x14ac:dyDescent="0.35">
      <c r="A29" s="1" t="s">
        <v>147</v>
      </c>
      <c r="B29" s="1" t="s">
        <v>125</v>
      </c>
      <c r="C29" s="1" t="s">
        <v>125</v>
      </c>
      <c r="D29" s="1" t="s">
        <v>1393</v>
      </c>
      <c r="E29" s="2">
        <v>250000</v>
      </c>
      <c r="F29" s="2">
        <v>0</v>
      </c>
    </row>
    <row r="30" spans="1:6" x14ac:dyDescent="0.35">
      <c r="A30" s="1" t="s">
        <v>149</v>
      </c>
      <c r="B30" s="1" t="s">
        <v>125</v>
      </c>
      <c r="C30" s="1" t="s">
        <v>125</v>
      </c>
      <c r="D30" s="1" t="s">
        <v>1394</v>
      </c>
      <c r="E30" s="2">
        <v>150000</v>
      </c>
      <c r="F30" s="2">
        <v>0</v>
      </c>
    </row>
    <row r="31" spans="1:6" x14ac:dyDescent="0.35">
      <c r="A31" s="1" t="s">
        <v>162</v>
      </c>
      <c r="B31" s="1" t="s">
        <v>154</v>
      </c>
      <c r="C31" s="1" t="s">
        <v>154</v>
      </c>
      <c r="D31" s="1" t="s">
        <v>1393</v>
      </c>
      <c r="E31" s="2">
        <v>150000</v>
      </c>
      <c r="F31" s="2">
        <v>0</v>
      </c>
    </row>
    <row r="32" spans="1:6" x14ac:dyDescent="0.35">
      <c r="A32" s="1" t="s">
        <v>164</v>
      </c>
      <c r="B32" s="1" t="s">
        <v>154</v>
      </c>
      <c r="C32" s="1" t="s">
        <v>154</v>
      </c>
      <c r="D32" s="1" t="s">
        <v>1393</v>
      </c>
      <c r="E32" s="2">
        <v>150000</v>
      </c>
      <c r="F32" s="2">
        <v>0</v>
      </c>
    </row>
    <row r="33" spans="1:6" x14ac:dyDescent="0.35">
      <c r="A33" s="1" t="s">
        <v>174</v>
      </c>
      <c r="B33" s="1" t="s">
        <v>9</v>
      </c>
      <c r="C33" s="1" t="s">
        <v>9</v>
      </c>
      <c r="D33" s="1" t="s">
        <v>1379</v>
      </c>
      <c r="E33" s="2">
        <v>250000</v>
      </c>
      <c r="F33" s="2">
        <v>0</v>
      </c>
    </row>
    <row r="34" spans="1:6" x14ac:dyDescent="0.35">
      <c r="A34" s="1" t="s">
        <v>176</v>
      </c>
      <c r="B34" s="1" t="s">
        <v>177</v>
      </c>
      <c r="C34" s="1" t="s">
        <v>177</v>
      </c>
      <c r="D34" s="1" t="s">
        <v>1384</v>
      </c>
      <c r="E34" s="2">
        <v>250000</v>
      </c>
      <c r="F34" s="2">
        <v>0</v>
      </c>
    </row>
    <row r="35" spans="1:6" x14ac:dyDescent="0.35">
      <c r="A35" s="1" t="s">
        <v>181</v>
      </c>
      <c r="B35" s="1" t="s">
        <v>177</v>
      </c>
      <c r="C35" s="1" t="s">
        <v>177</v>
      </c>
      <c r="D35" s="1" t="s">
        <v>1399</v>
      </c>
      <c r="E35" s="2">
        <v>250000</v>
      </c>
      <c r="F35" s="2">
        <v>0</v>
      </c>
    </row>
    <row r="36" spans="1:6" x14ac:dyDescent="0.35">
      <c r="A36" s="1" t="s">
        <v>188</v>
      </c>
      <c r="B36" s="1" t="s">
        <v>16</v>
      </c>
      <c r="C36" s="1" t="s">
        <v>184</v>
      </c>
      <c r="D36" s="1" t="s">
        <v>1401</v>
      </c>
      <c r="E36" s="2">
        <v>250000</v>
      </c>
      <c r="F36" s="2">
        <v>0</v>
      </c>
    </row>
    <row r="37" spans="1:6" x14ac:dyDescent="0.35">
      <c r="A37" s="1" t="s">
        <v>199</v>
      </c>
      <c r="B37" s="1" t="s">
        <v>197</v>
      </c>
      <c r="C37" s="1" t="s">
        <v>197</v>
      </c>
      <c r="D37" s="1" t="s">
        <v>1384</v>
      </c>
      <c r="E37" s="2">
        <v>250000</v>
      </c>
      <c r="F37" s="2">
        <v>1699127</v>
      </c>
    </row>
    <row r="38" spans="1:6" x14ac:dyDescent="0.35">
      <c r="A38" s="1" t="s">
        <v>201</v>
      </c>
      <c r="B38" s="1" t="s">
        <v>197</v>
      </c>
      <c r="C38" s="1" t="s">
        <v>197</v>
      </c>
      <c r="D38" s="1" t="s">
        <v>1387</v>
      </c>
      <c r="E38" s="2">
        <v>150000</v>
      </c>
      <c r="F38" s="2">
        <v>2310813</v>
      </c>
    </row>
    <row r="39" spans="1:6" x14ac:dyDescent="0.35">
      <c r="A39" s="1" t="s">
        <v>203</v>
      </c>
      <c r="B39" s="1" t="s">
        <v>197</v>
      </c>
      <c r="C39" s="1" t="s">
        <v>197</v>
      </c>
      <c r="D39" s="1" t="s">
        <v>1382</v>
      </c>
      <c r="E39" s="2">
        <v>250000</v>
      </c>
      <c r="F39" s="2">
        <v>0</v>
      </c>
    </row>
    <row r="40" spans="1:6" x14ac:dyDescent="0.35">
      <c r="A40" s="1" t="s">
        <v>212</v>
      </c>
      <c r="B40" s="1" t="s">
        <v>206</v>
      </c>
      <c r="C40" s="1" t="s">
        <v>206</v>
      </c>
      <c r="D40" s="1" t="s">
        <v>1379</v>
      </c>
      <c r="E40" s="2">
        <v>150000</v>
      </c>
      <c r="F40" s="2">
        <v>0</v>
      </c>
    </row>
    <row r="41" spans="1:6" x14ac:dyDescent="0.35">
      <c r="A41" s="1" t="s">
        <v>218</v>
      </c>
      <c r="B41" s="1" t="s">
        <v>53</v>
      </c>
      <c r="C41" s="1" t="s">
        <v>53</v>
      </c>
      <c r="D41" s="1" t="s">
        <v>1404</v>
      </c>
      <c r="E41" s="2">
        <v>350000</v>
      </c>
      <c r="F41" s="2">
        <v>0</v>
      </c>
    </row>
    <row r="42" spans="1:6" x14ac:dyDescent="0.35">
      <c r="A42" s="1" t="s">
        <v>220</v>
      </c>
      <c r="B42" s="1" t="s">
        <v>221</v>
      </c>
      <c r="C42" s="1" t="s">
        <v>221</v>
      </c>
      <c r="D42" s="1" t="s">
        <v>1405</v>
      </c>
      <c r="E42" s="2">
        <v>250000</v>
      </c>
      <c r="F42" s="2">
        <v>0</v>
      </c>
    </row>
    <row r="43" spans="1:6" x14ac:dyDescent="0.35">
      <c r="A43" s="1" t="s">
        <v>223</v>
      </c>
      <c r="B43" s="1" t="s">
        <v>221</v>
      </c>
      <c r="C43" s="1" t="s">
        <v>221</v>
      </c>
      <c r="D43" s="1" t="s">
        <v>1384</v>
      </c>
      <c r="E43" s="2">
        <v>150000</v>
      </c>
      <c r="F43" s="2">
        <v>0</v>
      </c>
    </row>
    <row r="44" spans="1:6" x14ac:dyDescent="0.35">
      <c r="A44" s="1" t="s">
        <v>229</v>
      </c>
      <c r="B44" s="1" t="s">
        <v>221</v>
      </c>
      <c r="C44" s="1" t="s">
        <v>221</v>
      </c>
      <c r="D44" s="1" t="s">
        <v>1407</v>
      </c>
      <c r="E44" s="2">
        <v>250000</v>
      </c>
      <c r="F44" s="2">
        <v>0</v>
      </c>
    </row>
    <row r="45" spans="1:6" x14ac:dyDescent="0.35">
      <c r="A45" s="1" t="s">
        <v>231</v>
      </c>
      <c r="B45" s="1" t="s">
        <v>232</v>
      </c>
      <c r="C45" s="1" t="s">
        <v>232</v>
      </c>
      <c r="D45" s="1" t="s">
        <v>1379</v>
      </c>
      <c r="E45" s="2">
        <v>250000</v>
      </c>
      <c r="F45" s="2">
        <v>0</v>
      </c>
    </row>
    <row r="46" spans="1:6" x14ac:dyDescent="0.35">
      <c r="A46" s="1" t="s">
        <v>261</v>
      </c>
      <c r="B46" s="1" t="s">
        <v>262</v>
      </c>
      <c r="C46" s="1" t="s">
        <v>262</v>
      </c>
      <c r="D46" s="1" t="s">
        <v>1411</v>
      </c>
      <c r="E46" s="2">
        <v>100000</v>
      </c>
      <c r="F46" s="2">
        <v>0</v>
      </c>
    </row>
    <row r="47" spans="1:6" x14ac:dyDescent="0.35">
      <c r="A47" s="1" t="s">
        <v>268</v>
      </c>
      <c r="B47" s="1" t="s">
        <v>262</v>
      </c>
      <c r="C47" s="1" t="s">
        <v>262</v>
      </c>
      <c r="D47" s="1" t="s">
        <v>1394</v>
      </c>
      <c r="E47" s="2">
        <v>150000</v>
      </c>
      <c r="F47" s="2">
        <v>0</v>
      </c>
    </row>
    <row r="48" spans="1:6" x14ac:dyDescent="0.35">
      <c r="A48" s="1" t="s">
        <v>275</v>
      </c>
      <c r="B48" s="1" t="s">
        <v>273</v>
      </c>
      <c r="C48" s="1" t="s">
        <v>273</v>
      </c>
      <c r="D48" s="1" t="s">
        <v>1391</v>
      </c>
      <c r="E48" s="2">
        <v>150000</v>
      </c>
      <c r="F48" s="2">
        <v>0</v>
      </c>
    </row>
    <row r="49" spans="1:6" x14ac:dyDescent="0.35">
      <c r="A49" s="1" t="s">
        <v>277</v>
      </c>
      <c r="B49" s="1" t="s">
        <v>273</v>
      </c>
      <c r="C49" s="1" t="s">
        <v>273</v>
      </c>
      <c r="D49" s="1" t="s">
        <v>1412</v>
      </c>
      <c r="E49" s="2">
        <v>450000</v>
      </c>
      <c r="F49" s="2">
        <v>0</v>
      </c>
    </row>
    <row r="50" spans="1:6" x14ac:dyDescent="0.35">
      <c r="A50" s="1" t="s">
        <v>279</v>
      </c>
      <c r="B50" s="1" t="s">
        <v>280</v>
      </c>
      <c r="C50" s="1" t="s">
        <v>280</v>
      </c>
      <c r="D50" s="1" t="s">
        <v>1394</v>
      </c>
      <c r="E50" s="2">
        <v>150000</v>
      </c>
      <c r="F50" s="2">
        <v>0</v>
      </c>
    </row>
    <row r="51" spans="1:6" x14ac:dyDescent="0.35">
      <c r="A51" s="1" t="s">
        <v>284</v>
      </c>
      <c r="B51" s="1" t="s">
        <v>280</v>
      </c>
      <c r="C51" s="1" t="s">
        <v>280</v>
      </c>
      <c r="D51" s="1" t="s">
        <v>1393</v>
      </c>
      <c r="E51" s="2">
        <v>150000</v>
      </c>
      <c r="F51" s="2">
        <v>1701389</v>
      </c>
    </row>
    <row r="52" spans="1:6" x14ac:dyDescent="0.35">
      <c r="A52" s="1" t="s">
        <v>288</v>
      </c>
      <c r="B52" s="1" t="s">
        <v>280</v>
      </c>
      <c r="C52" s="1" t="s">
        <v>280</v>
      </c>
      <c r="D52" s="1" t="s">
        <v>1387</v>
      </c>
      <c r="E52" s="2">
        <v>150000</v>
      </c>
      <c r="F52" s="2">
        <v>0</v>
      </c>
    </row>
    <row r="53" spans="1:6" x14ac:dyDescent="0.35">
      <c r="A53" s="1" t="s">
        <v>312</v>
      </c>
      <c r="B53" s="1" t="s">
        <v>310</v>
      </c>
      <c r="C53" s="1" t="s">
        <v>310</v>
      </c>
      <c r="D53" s="1" t="s">
        <v>1381</v>
      </c>
      <c r="E53" s="2">
        <v>150000</v>
      </c>
      <c r="F53" s="2">
        <v>0</v>
      </c>
    </row>
    <row r="54" spans="1:6" x14ac:dyDescent="0.35">
      <c r="A54" s="1" t="s">
        <v>314</v>
      </c>
      <c r="B54" s="1" t="s">
        <v>310</v>
      </c>
      <c r="C54" s="1" t="s">
        <v>310</v>
      </c>
      <c r="D54" s="1" t="s">
        <v>1391</v>
      </c>
      <c r="E54" s="2">
        <v>150000</v>
      </c>
      <c r="F54" s="2">
        <v>0</v>
      </c>
    </row>
    <row r="55" spans="1:6" x14ac:dyDescent="0.35">
      <c r="A55" s="1" t="s">
        <v>316</v>
      </c>
      <c r="B55" s="1" t="s">
        <v>310</v>
      </c>
      <c r="C55" s="1" t="s">
        <v>310</v>
      </c>
      <c r="D55" s="1" t="s">
        <v>1391</v>
      </c>
      <c r="E55" s="2">
        <v>150000</v>
      </c>
      <c r="F55" s="2">
        <v>0</v>
      </c>
    </row>
    <row r="56" spans="1:6" x14ac:dyDescent="0.35">
      <c r="A56" s="1" t="s">
        <v>318</v>
      </c>
      <c r="B56" s="1" t="s">
        <v>310</v>
      </c>
      <c r="C56" s="1" t="s">
        <v>310</v>
      </c>
      <c r="D56" s="1" t="s">
        <v>1391</v>
      </c>
      <c r="E56" s="2">
        <v>150000</v>
      </c>
      <c r="F56" s="2">
        <v>0</v>
      </c>
    </row>
    <row r="57" spans="1:6" x14ac:dyDescent="0.35">
      <c r="A57" s="1" t="s">
        <v>320</v>
      </c>
      <c r="B57" s="1" t="s">
        <v>321</v>
      </c>
      <c r="C57" s="1" t="s">
        <v>321</v>
      </c>
      <c r="D57" s="1" t="s">
        <v>1415</v>
      </c>
      <c r="E57" s="2">
        <v>100000</v>
      </c>
      <c r="F57" s="2">
        <v>0</v>
      </c>
    </row>
    <row r="58" spans="1:6" x14ac:dyDescent="0.35">
      <c r="A58" s="1" t="s">
        <v>329</v>
      </c>
      <c r="B58" s="1" t="s">
        <v>330</v>
      </c>
      <c r="C58" s="1" t="s">
        <v>330</v>
      </c>
      <c r="D58" s="1" t="s">
        <v>1416</v>
      </c>
      <c r="E58" s="2">
        <v>350000</v>
      </c>
      <c r="F58" s="2">
        <v>0</v>
      </c>
    </row>
    <row r="59" spans="1:6" x14ac:dyDescent="0.35">
      <c r="A59" s="1" t="s">
        <v>350</v>
      </c>
      <c r="B59" s="1" t="s">
        <v>39</v>
      </c>
      <c r="C59" s="1" t="s">
        <v>39</v>
      </c>
      <c r="D59" s="1" t="s">
        <v>1381</v>
      </c>
      <c r="E59" s="2">
        <v>150000</v>
      </c>
      <c r="F59" s="2">
        <v>2876137</v>
      </c>
    </row>
    <row r="60" spans="1:6" x14ac:dyDescent="0.35">
      <c r="A60" s="1" t="s">
        <v>356</v>
      </c>
      <c r="B60" s="1" t="s">
        <v>39</v>
      </c>
      <c r="C60" s="1" t="s">
        <v>39</v>
      </c>
      <c r="D60" s="1" t="s">
        <v>1384</v>
      </c>
      <c r="E60" s="2">
        <v>250000</v>
      </c>
      <c r="F60" s="2">
        <v>0</v>
      </c>
    </row>
    <row r="61" spans="1:6" x14ac:dyDescent="0.35">
      <c r="A61" s="1" t="s">
        <v>360</v>
      </c>
      <c r="B61" s="1" t="s">
        <v>39</v>
      </c>
      <c r="C61" s="1" t="s">
        <v>39</v>
      </c>
      <c r="D61" s="1" t="s">
        <v>1385</v>
      </c>
      <c r="E61" s="2">
        <v>100000</v>
      </c>
      <c r="F61" s="2">
        <v>0</v>
      </c>
    </row>
    <row r="62" spans="1:6" x14ac:dyDescent="0.35">
      <c r="A62" s="1" t="s">
        <v>364</v>
      </c>
      <c r="B62" s="1" t="s">
        <v>42</v>
      </c>
      <c r="C62" s="1" t="s">
        <v>42</v>
      </c>
      <c r="D62" s="1" t="s">
        <v>1379</v>
      </c>
      <c r="E62" s="2">
        <v>150000</v>
      </c>
      <c r="F62" s="2">
        <v>0</v>
      </c>
    </row>
    <row r="63" spans="1:6" x14ac:dyDescent="0.35">
      <c r="A63" s="1" t="s">
        <v>399</v>
      </c>
      <c r="B63" s="1" t="s">
        <v>6</v>
      </c>
      <c r="C63" s="1" t="s">
        <v>6</v>
      </c>
      <c r="D63" s="1" t="s">
        <v>1427</v>
      </c>
      <c r="E63" s="2">
        <v>350000</v>
      </c>
      <c r="F63" s="2">
        <v>0</v>
      </c>
    </row>
    <row r="64" spans="1:6" x14ac:dyDescent="0.35">
      <c r="A64" s="1" t="s">
        <v>403</v>
      </c>
      <c r="B64" s="1" t="s">
        <v>6</v>
      </c>
      <c r="C64" s="1" t="s">
        <v>6</v>
      </c>
      <c r="D64" s="1" t="s">
        <v>1379</v>
      </c>
      <c r="E64" s="2">
        <v>250000</v>
      </c>
      <c r="F64" s="2">
        <v>0</v>
      </c>
    </row>
    <row r="65" spans="1:6" x14ac:dyDescent="0.35">
      <c r="A65" s="1" t="s">
        <v>405</v>
      </c>
      <c r="B65" s="1" t="s">
        <v>6</v>
      </c>
      <c r="C65" s="1" t="s">
        <v>6</v>
      </c>
      <c r="D65" s="1" t="s">
        <v>1379</v>
      </c>
      <c r="E65" s="2">
        <v>250000</v>
      </c>
      <c r="F65" s="2">
        <v>0</v>
      </c>
    </row>
    <row r="66" spans="1:6" x14ac:dyDescent="0.35">
      <c r="A66" s="1" t="s">
        <v>419</v>
      </c>
      <c r="B66" s="1" t="s">
        <v>420</v>
      </c>
      <c r="C66" s="1" t="s">
        <v>420</v>
      </c>
      <c r="D66" s="1" t="s">
        <v>1429</v>
      </c>
      <c r="E66" s="2">
        <v>500000</v>
      </c>
      <c r="F66" s="2">
        <v>0</v>
      </c>
    </row>
    <row r="67" spans="1:6" x14ac:dyDescent="0.35">
      <c r="A67" s="1" t="s">
        <v>422</v>
      </c>
      <c r="B67" s="1" t="s">
        <v>420</v>
      </c>
      <c r="C67" s="1" t="s">
        <v>420</v>
      </c>
      <c r="D67" s="1" t="s">
        <v>1430</v>
      </c>
      <c r="E67" s="2">
        <v>350000</v>
      </c>
      <c r="F67" s="2">
        <v>0</v>
      </c>
    </row>
    <row r="68" spans="1:6" x14ac:dyDescent="0.35">
      <c r="A68" s="1" t="s">
        <v>434</v>
      </c>
      <c r="B68" s="1" t="s">
        <v>420</v>
      </c>
      <c r="C68" s="1" t="s">
        <v>420</v>
      </c>
      <c r="D68" s="1" t="s">
        <v>1379</v>
      </c>
      <c r="E68" s="2">
        <v>250000</v>
      </c>
      <c r="F68" s="2">
        <v>0</v>
      </c>
    </row>
    <row r="69" spans="1:6" x14ac:dyDescent="0.35">
      <c r="A69" s="1" t="s">
        <v>436</v>
      </c>
      <c r="B69" s="1" t="s">
        <v>420</v>
      </c>
      <c r="C69" s="1" t="s">
        <v>420</v>
      </c>
      <c r="D69" s="1" t="s">
        <v>1384</v>
      </c>
      <c r="E69" s="2">
        <v>250000</v>
      </c>
      <c r="F69" s="2">
        <v>0</v>
      </c>
    </row>
    <row r="70" spans="1:6" x14ac:dyDescent="0.35">
      <c r="A70" s="1" t="s">
        <v>438</v>
      </c>
      <c r="B70" s="1" t="s">
        <v>420</v>
      </c>
      <c r="C70" s="1" t="s">
        <v>420</v>
      </c>
      <c r="D70" s="1" t="s">
        <v>1384</v>
      </c>
      <c r="E70" s="2">
        <v>250000</v>
      </c>
      <c r="F70" s="2">
        <v>0</v>
      </c>
    </row>
    <row r="71" spans="1:6" x14ac:dyDescent="0.35">
      <c r="A71" s="1" t="s">
        <v>440</v>
      </c>
      <c r="B71" s="1" t="s">
        <v>420</v>
      </c>
      <c r="C71" s="1" t="s">
        <v>420</v>
      </c>
      <c r="D71" s="1" t="s">
        <v>1384</v>
      </c>
      <c r="E71" s="2">
        <v>250000</v>
      </c>
      <c r="F71" s="2">
        <v>0</v>
      </c>
    </row>
    <row r="72" spans="1:6" x14ac:dyDescent="0.35">
      <c r="A72" s="1" t="s">
        <v>457</v>
      </c>
      <c r="B72" s="1" t="s">
        <v>36</v>
      </c>
      <c r="C72" s="1" t="s">
        <v>36</v>
      </c>
      <c r="D72" s="1" t="s">
        <v>1436</v>
      </c>
      <c r="E72" s="2">
        <v>350000</v>
      </c>
      <c r="F72" s="2">
        <v>0</v>
      </c>
    </row>
    <row r="73" spans="1:6" x14ac:dyDescent="0.35">
      <c r="A73" s="1" t="s">
        <v>459</v>
      </c>
      <c r="B73" s="1" t="s">
        <v>36</v>
      </c>
      <c r="C73" s="1" t="s">
        <v>36</v>
      </c>
      <c r="D73" s="1" t="s">
        <v>1437</v>
      </c>
      <c r="E73" s="2">
        <v>250000</v>
      </c>
      <c r="F73" s="2">
        <v>0</v>
      </c>
    </row>
    <row r="74" spans="1:6" x14ac:dyDescent="0.35">
      <c r="A74" s="1" t="s">
        <v>469</v>
      </c>
      <c r="B74" s="1" t="s">
        <v>36</v>
      </c>
      <c r="C74" s="1" t="s">
        <v>36</v>
      </c>
      <c r="D74" s="1" t="s">
        <v>1390</v>
      </c>
      <c r="E74" s="2">
        <v>150000</v>
      </c>
      <c r="F74" s="2">
        <v>0</v>
      </c>
    </row>
    <row r="75" spans="1:6" x14ac:dyDescent="0.35">
      <c r="A75" s="1" t="s">
        <v>473</v>
      </c>
      <c r="B75" s="1" t="s">
        <v>36</v>
      </c>
      <c r="C75" s="1" t="s">
        <v>36</v>
      </c>
      <c r="D75" s="1" t="s">
        <v>1387</v>
      </c>
      <c r="E75" s="2">
        <v>150000</v>
      </c>
      <c r="F75" s="2">
        <v>0</v>
      </c>
    </row>
    <row r="76" spans="1:6" x14ac:dyDescent="0.35">
      <c r="A76" s="1" t="s">
        <v>475</v>
      </c>
      <c r="B76" s="1" t="s">
        <v>16</v>
      </c>
      <c r="C76" s="1" t="s">
        <v>36</v>
      </c>
      <c r="D76" s="1" t="s">
        <v>1440</v>
      </c>
      <c r="E76" s="2">
        <v>250000</v>
      </c>
      <c r="F76" s="2">
        <v>0</v>
      </c>
    </row>
    <row r="77" spans="1:6" x14ac:dyDescent="0.35">
      <c r="A77" s="1" t="s">
        <v>479</v>
      </c>
      <c r="B77" s="1" t="s">
        <v>36</v>
      </c>
      <c r="C77" s="1" t="s">
        <v>36</v>
      </c>
      <c r="D77" s="1" t="s">
        <v>1384</v>
      </c>
      <c r="E77" s="2">
        <v>150000</v>
      </c>
      <c r="F77" s="2">
        <v>0</v>
      </c>
    </row>
    <row r="78" spans="1:6" x14ac:dyDescent="0.35">
      <c r="A78" s="1" t="s">
        <v>481</v>
      </c>
      <c r="B78" s="1" t="s">
        <v>27</v>
      </c>
      <c r="C78" s="1" t="s">
        <v>27</v>
      </c>
      <c r="D78" s="1" t="s">
        <v>1379</v>
      </c>
      <c r="E78" s="2">
        <v>150000</v>
      </c>
      <c r="F78" s="2">
        <v>0</v>
      </c>
    </row>
    <row r="79" spans="1:6" x14ac:dyDescent="0.35">
      <c r="A79" s="1" t="s">
        <v>499</v>
      </c>
      <c r="B79" s="1" t="s">
        <v>375</v>
      </c>
      <c r="C79" s="1" t="s">
        <v>375</v>
      </c>
      <c r="D79" s="1" t="s">
        <v>1379</v>
      </c>
      <c r="E79" s="2">
        <v>250000</v>
      </c>
      <c r="F79" s="2">
        <v>0</v>
      </c>
    </row>
    <row r="80" spans="1:6" x14ac:dyDescent="0.35">
      <c r="A80" s="1" t="s">
        <v>501</v>
      </c>
      <c r="B80" s="1" t="s">
        <v>6</v>
      </c>
      <c r="C80" s="1" t="s">
        <v>6</v>
      </c>
      <c r="D80" s="1" t="s">
        <v>1379</v>
      </c>
      <c r="E80" s="2">
        <v>250000</v>
      </c>
      <c r="F80" s="2">
        <v>5373476</v>
      </c>
    </row>
    <row r="81" spans="1:6" x14ac:dyDescent="0.35">
      <c r="A81" s="1" t="s">
        <v>505</v>
      </c>
      <c r="B81" s="1" t="s">
        <v>375</v>
      </c>
      <c r="C81" s="1" t="s">
        <v>375</v>
      </c>
      <c r="D81" s="1" t="s">
        <v>1381</v>
      </c>
      <c r="E81" s="2">
        <v>150000</v>
      </c>
      <c r="F81" s="2">
        <v>7597381</v>
      </c>
    </row>
    <row r="82" spans="1:6" x14ac:dyDescent="0.35">
      <c r="A82" s="1" t="s">
        <v>509</v>
      </c>
      <c r="B82" s="1" t="s">
        <v>375</v>
      </c>
      <c r="C82" s="1" t="s">
        <v>375</v>
      </c>
      <c r="D82" s="1" t="s">
        <v>1381</v>
      </c>
      <c r="E82" s="2">
        <v>150000</v>
      </c>
      <c r="F82" s="2">
        <v>0</v>
      </c>
    </row>
    <row r="83" spans="1:6" x14ac:dyDescent="0.35">
      <c r="A83" s="1" t="s">
        <v>511</v>
      </c>
      <c r="B83" s="1" t="s">
        <v>375</v>
      </c>
      <c r="C83" s="1" t="s">
        <v>375</v>
      </c>
      <c r="D83" s="1" t="s">
        <v>1422</v>
      </c>
      <c r="E83" s="2">
        <v>150000</v>
      </c>
      <c r="F83" s="2">
        <v>0</v>
      </c>
    </row>
    <row r="84" spans="1:6" x14ac:dyDescent="0.35">
      <c r="A84" s="1" t="s">
        <v>513</v>
      </c>
      <c r="B84" s="1" t="s">
        <v>375</v>
      </c>
      <c r="C84" s="1" t="s">
        <v>375</v>
      </c>
      <c r="D84" s="1" t="s">
        <v>1384</v>
      </c>
      <c r="E84" s="2">
        <v>150000</v>
      </c>
      <c r="F84" s="2">
        <v>0</v>
      </c>
    </row>
    <row r="85" spans="1:6" x14ac:dyDescent="0.35">
      <c r="A85" s="1" t="s">
        <v>517</v>
      </c>
      <c r="B85" s="1" t="s">
        <v>375</v>
      </c>
      <c r="C85" s="1" t="s">
        <v>375</v>
      </c>
      <c r="D85" s="1" t="s">
        <v>1381</v>
      </c>
      <c r="E85" s="2">
        <v>150000</v>
      </c>
      <c r="F85" s="2">
        <v>8671513</v>
      </c>
    </row>
    <row r="86" spans="1:6" x14ac:dyDescent="0.35">
      <c r="A86" s="1" t="s">
        <v>519</v>
      </c>
      <c r="B86" s="1" t="s">
        <v>375</v>
      </c>
      <c r="C86" s="1" t="s">
        <v>375</v>
      </c>
      <c r="D86" s="1" t="s">
        <v>1445</v>
      </c>
      <c r="E86" s="2">
        <v>150000</v>
      </c>
      <c r="F86" s="2">
        <v>0</v>
      </c>
    </row>
    <row r="87" spans="1:6" x14ac:dyDescent="0.35">
      <c r="A87" s="1" t="s">
        <v>521</v>
      </c>
      <c r="B87" s="1" t="s">
        <v>375</v>
      </c>
      <c r="C87" s="1" t="s">
        <v>375</v>
      </c>
      <c r="D87" s="1" t="s">
        <v>1446</v>
      </c>
      <c r="E87" s="2">
        <v>500000</v>
      </c>
      <c r="F87" s="2">
        <v>0</v>
      </c>
    </row>
    <row r="88" spans="1:6" x14ac:dyDescent="0.35">
      <c r="A88" s="1" t="s">
        <v>529</v>
      </c>
      <c r="B88" s="1" t="s">
        <v>375</v>
      </c>
      <c r="C88" s="1" t="s">
        <v>375</v>
      </c>
      <c r="D88" s="1" t="s">
        <v>1384</v>
      </c>
      <c r="E88" s="2">
        <v>250000</v>
      </c>
      <c r="F88" s="2">
        <v>0</v>
      </c>
    </row>
    <row r="89" spans="1:6" x14ac:dyDescent="0.35">
      <c r="A89" s="1" t="s">
        <v>531</v>
      </c>
      <c r="B89" s="1" t="s">
        <v>375</v>
      </c>
      <c r="C89" s="1" t="s">
        <v>375</v>
      </c>
      <c r="D89" s="1" t="s">
        <v>1385</v>
      </c>
      <c r="E89" s="2">
        <v>150000</v>
      </c>
      <c r="F89" s="2">
        <v>0</v>
      </c>
    </row>
    <row r="90" spans="1:6" x14ac:dyDescent="0.35">
      <c r="A90" s="1" t="s">
        <v>542</v>
      </c>
      <c r="B90" s="1" t="s">
        <v>543</v>
      </c>
      <c r="C90" s="1" t="s">
        <v>543</v>
      </c>
      <c r="D90" s="1" t="s">
        <v>1454</v>
      </c>
      <c r="E90" s="2">
        <v>250000</v>
      </c>
      <c r="F90" s="2">
        <v>0</v>
      </c>
    </row>
    <row r="91" spans="1:6" x14ac:dyDescent="0.35">
      <c r="A91" s="1" t="s">
        <v>545</v>
      </c>
      <c r="B91" s="1" t="s">
        <v>543</v>
      </c>
      <c r="C91" s="1" t="s">
        <v>543</v>
      </c>
      <c r="D91" s="1" t="s">
        <v>1455</v>
      </c>
      <c r="E91" s="2">
        <v>250000</v>
      </c>
      <c r="F91" s="2">
        <v>4895833</v>
      </c>
    </row>
    <row r="92" spans="1:6" x14ac:dyDescent="0.35">
      <c r="A92" s="1" t="s">
        <v>573</v>
      </c>
      <c r="B92" s="1" t="s">
        <v>543</v>
      </c>
      <c r="C92" s="1" t="s">
        <v>543</v>
      </c>
      <c r="D92" s="1" t="s">
        <v>1432</v>
      </c>
      <c r="E92" s="2">
        <v>250000</v>
      </c>
      <c r="F92" s="2">
        <v>0</v>
      </c>
    </row>
    <row r="93" spans="1:6" x14ac:dyDescent="0.35">
      <c r="A93" s="1" t="s">
        <v>577</v>
      </c>
      <c r="B93" s="1" t="s">
        <v>543</v>
      </c>
      <c r="C93" s="1" t="s">
        <v>543</v>
      </c>
      <c r="D93" s="1" t="s">
        <v>1393</v>
      </c>
      <c r="E93" s="2">
        <v>150000</v>
      </c>
      <c r="F93" s="2">
        <v>0</v>
      </c>
    </row>
    <row r="94" spans="1:6" x14ac:dyDescent="0.35">
      <c r="A94" s="1" t="s">
        <v>579</v>
      </c>
      <c r="B94" s="1" t="s">
        <v>543</v>
      </c>
      <c r="C94" s="1" t="s">
        <v>543</v>
      </c>
      <c r="D94" s="1" t="s">
        <v>1456</v>
      </c>
      <c r="E94" s="2">
        <v>150000</v>
      </c>
      <c r="F94" s="2">
        <v>0</v>
      </c>
    </row>
    <row r="95" spans="1:6" x14ac:dyDescent="0.35">
      <c r="A95" s="1" t="s">
        <v>595</v>
      </c>
      <c r="B95" s="1" t="s">
        <v>543</v>
      </c>
      <c r="C95" s="1" t="s">
        <v>543</v>
      </c>
      <c r="D95" s="1" t="s">
        <v>1458</v>
      </c>
      <c r="E95" s="2">
        <v>100000</v>
      </c>
      <c r="F95" s="2">
        <v>0</v>
      </c>
    </row>
    <row r="96" spans="1:6" x14ac:dyDescent="0.35">
      <c r="A96" s="96" t="s">
        <v>753</v>
      </c>
      <c r="B96" s="1" t="s">
        <v>1230</v>
      </c>
      <c r="C96" s="1" t="s">
        <v>1230</v>
      </c>
      <c r="D96" s="1" t="s">
        <v>2267</v>
      </c>
      <c r="E96" s="2">
        <v>250000</v>
      </c>
      <c r="F96" s="2">
        <v>9373356</v>
      </c>
    </row>
    <row r="97" spans="1:6" x14ac:dyDescent="0.35">
      <c r="A97" s="1" t="s">
        <v>1111</v>
      </c>
      <c r="B97" s="1" t="s">
        <v>252</v>
      </c>
      <c r="C97" s="1" t="s">
        <v>39</v>
      </c>
      <c r="D97" s="1" t="s">
        <v>1633</v>
      </c>
      <c r="E97" s="2">
        <v>150000</v>
      </c>
      <c r="F97" s="2">
        <v>0</v>
      </c>
    </row>
    <row r="98" spans="1:6" x14ac:dyDescent="0.35">
      <c r="A98" s="1" t="s">
        <v>1117</v>
      </c>
      <c r="B98" s="1" t="s">
        <v>252</v>
      </c>
      <c r="C98" s="1" t="s">
        <v>6</v>
      </c>
      <c r="D98" s="1" t="s">
        <v>1636</v>
      </c>
      <c r="E98" s="2">
        <v>250000</v>
      </c>
      <c r="F98" s="2">
        <v>0</v>
      </c>
    </row>
    <row r="99" spans="1:6" x14ac:dyDescent="0.35">
      <c r="A99" s="1" t="s">
        <v>1125</v>
      </c>
      <c r="B99" s="1" t="s">
        <v>252</v>
      </c>
      <c r="C99" s="1" t="s">
        <v>36</v>
      </c>
      <c r="D99" s="1" t="s">
        <v>1640</v>
      </c>
      <c r="E99" s="2">
        <v>250000</v>
      </c>
      <c r="F99" s="2">
        <v>0</v>
      </c>
    </row>
    <row r="100" spans="1:6" x14ac:dyDescent="0.35">
      <c r="A100" s="1" t="s">
        <v>1131</v>
      </c>
      <c r="B100" s="1" t="s">
        <v>6</v>
      </c>
      <c r="C100" s="1" t="s">
        <v>6</v>
      </c>
      <c r="D100" s="1" t="s">
        <v>1379</v>
      </c>
      <c r="E100" s="2">
        <v>250000</v>
      </c>
      <c r="F100" s="2">
        <v>0</v>
      </c>
    </row>
    <row r="101" spans="1:6" x14ac:dyDescent="0.35">
      <c r="A101" s="1" t="s">
        <v>1140</v>
      </c>
      <c r="B101" s="1" t="s">
        <v>221</v>
      </c>
      <c r="C101" s="1" t="s">
        <v>221</v>
      </c>
      <c r="D101" s="1" t="s">
        <v>1435</v>
      </c>
      <c r="E101" s="2">
        <v>250000</v>
      </c>
      <c r="F101" s="2">
        <v>0</v>
      </c>
    </row>
    <row r="102" spans="1:6" x14ac:dyDescent="0.35">
      <c r="A102" s="1" t="s">
        <v>1150</v>
      </c>
      <c r="B102" s="1" t="s">
        <v>375</v>
      </c>
      <c r="C102" s="1" t="s">
        <v>375</v>
      </c>
      <c r="D102" s="1" t="s">
        <v>1384</v>
      </c>
      <c r="E102" s="2">
        <v>250000</v>
      </c>
      <c r="F102" s="2">
        <v>0</v>
      </c>
    </row>
    <row r="103" spans="1:6" x14ac:dyDescent="0.35">
      <c r="A103" s="1" t="s">
        <v>1182</v>
      </c>
      <c r="B103" s="1" t="s">
        <v>16</v>
      </c>
      <c r="C103" s="1" t="s">
        <v>420</v>
      </c>
      <c r="D103" s="1" t="s">
        <v>1655</v>
      </c>
      <c r="E103" s="2">
        <v>250000</v>
      </c>
      <c r="F103" s="2">
        <v>3402778</v>
      </c>
    </row>
    <row r="104" spans="1:6" x14ac:dyDescent="0.35">
      <c r="A104" s="1" t="s">
        <v>1184</v>
      </c>
      <c r="B104" s="1" t="s">
        <v>16</v>
      </c>
      <c r="C104" s="1" t="s">
        <v>420</v>
      </c>
      <c r="D104" s="1" t="s">
        <v>1652</v>
      </c>
      <c r="E104" s="2">
        <v>250000</v>
      </c>
      <c r="F104" s="2">
        <v>0</v>
      </c>
    </row>
    <row r="105" spans="1:6" x14ac:dyDescent="0.35">
      <c r="A105" s="1" t="s">
        <v>1229</v>
      </c>
      <c r="B105" s="1" t="s">
        <v>1230</v>
      </c>
      <c r="C105" s="1" t="s">
        <v>1230</v>
      </c>
      <c r="D105" s="1" t="s">
        <v>1674</v>
      </c>
      <c r="E105" s="2">
        <v>350000</v>
      </c>
      <c r="F105" s="2">
        <v>0</v>
      </c>
    </row>
    <row r="106" spans="1:6" x14ac:dyDescent="0.35">
      <c r="A106" s="1" t="s">
        <v>1232</v>
      </c>
      <c r="B106" s="1" t="s">
        <v>1230</v>
      </c>
      <c r="C106" s="1" t="s">
        <v>1230</v>
      </c>
      <c r="D106" s="1" t="s">
        <v>1675</v>
      </c>
      <c r="E106" s="2">
        <v>150000</v>
      </c>
      <c r="F106" s="2">
        <v>1890628</v>
      </c>
    </row>
    <row r="107" spans="1:6" x14ac:dyDescent="0.35">
      <c r="A107" s="1" t="s">
        <v>1234</v>
      </c>
      <c r="B107" s="1" t="s">
        <v>1230</v>
      </c>
      <c r="C107" s="1" t="s">
        <v>1230</v>
      </c>
      <c r="D107" s="1" t="s">
        <v>1676</v>
      </c>
      <c r="E107" s="2">
        <v>350000</v>
      </c>
      <c r="F107" s="2">
        <v>0</v>
      </c>
    </row>
    <row r="108" spans="1:6" x14ac:dyDescent="0.35">
      <c r="A108" s="1" t="s">
        <v>1236</v>
      </c>
      <c r="B108" s="1" t="s">
        <v>1230</v>
      </c>
      <c r="C108" s="1" t="s">
        <v>1230</v>
      </c>
      <c r="D108" s="1" t="s">
        <v>1677</v>
      </c>
      <c r="E108" s="2">
        <v>250000</v>
      </c>
      <c r="F108" s="2">
        <v>3075835</v>
      </c>
    </row>
    <row r="109" spans="1:6" x14ac:dyDescent="0.35">
      <c r="A109" s="1" t="s">
        <v>1238</v>
      </c>
      <c r="B109" s="1" t="s">
        <v>1230</v>
      </c>
      <c r="C109" s="1" t="s">
        <v>1230</v>
      </c>
      <c r="D109" s="1" t="s">
        <v>1678</v>
      </c>
      <c r="E109" s="2">
        <v>250000</v>
      </c>
      <c r="F109" s="2">
        <v>0</v>
      </c>
    </row>
    <row r="110" spans="1:6" x14ac:dyDescent="0.35">
      <c r="A110" s="1" t="s">
        <v>1240</v>
      </c>
      <c r="B110" s="1" t="s">
        <v>1230</v>
      </c>
      <c r="C110" s="1" t="s">
        <v>1230</v>
      </c>
      <c r="D110" s="1" t="s">
        <v>1679</v>
      </c>
      <c r="E110" s="2">
        <v>150000</v>
      </c>
      <c r="F110" s="2">
        <v>2500000</v>
      </c>
    </row>
    <row r="111" spans="1:6" x14ac:dyDescent="0.35">
      <c r="A111" s="1" t="s">
        <v>1242</v>
      </c>
      <c r="B111" s="1" t="s">
        <v>1230</v>
      </c>
      <c r="C111" s="1" t="s">
        <v>1230</v>
      </c>
      <c r="D111" s="1" t="s">
        <v>1680</v>
      </c>
      <c r="E111" s="2">
        <v>150000</v>
      </c>
      <c r="F111" s="2">
        <v>0</v>
      </c>
    </row>
    <row r="112" spans="1:6" x14ac:dyDescent="0.35">
      <c r="A112" s="1" t="s">
        <v>1244</v>
      </c>
      <c r="B112" s="1" t="s">
        <v>1230</v>
      </c>
      <c r="C112" s="1" t="s">
        <v>1230</v>
      </c>
      <c r="D112" s="1" t="s">
        <v>1681</v>
      </c>
      <c r="E112" s="2">
        <v>250000</v>
      </c>
      <c r="F112" s="2">
        <v>0</v>
      </c>
    </row>
    <row r="113" spans="1:6" x14ac:dyDescent="0.35">
      <c r="A113" s="1" t="s">
        <v>1246</v>
      </c>
      <c r="B113" s="1" t="s">
        <v>1230</v>
      </c>
      <c r="C113" s="1" t="s">
        <v>1230</v>
      </c>
      <c r="D113" s="1" t="s">
        <v>1682</v>
      </c>
      <c r="E113" s="2">
        <v>150000</v>
      </c>
      <c r="F113" s="2">
        <v>958333</v>
      </c>
    </row>
    <row r="114" spans="1:6" x14ac:dyDescent="0.35">
      <c r="A114" s="1" t="s">
        <v>1248</v>
      </c>
      <c r="B114" s="1" t="s">
        <v>1230</v>
      </c>
      <c r="C114" s="1" t="s">
        <v>1230</v>
      </c>
      <c r="D114" s="1" t="s">
        <v>1682</v>
      </c>
      <c r="E114" s="2">
        <v>100000</v>
      </c>
      <c r="F114" s="2">
        <v>1700000</v>
      </c>
    </row>
    <row r="115" spans="1:6" x14ac:dyDescent="0.35">
      <c r="A115" s="1" t="s">
        <v>1252</v>
      </c>
      <c r="B115" s="1" t="s">
        <v>1230</v>
      </c>
      <c r="C115" s="1" t="s">
        <v>1230</v>
      </c>
      <c r="D115" s="1" t="s">
        <v>1682</v>
      </c>
      <c r="E115" s="2">
        <v>100000</v>
      </c>
      <c r="F115" s="2">
        <v>2400000</v>
      </c>
    </row>
    <row r="116" spans="1:6" x14ac:dyDescent="0.35">
      <c r="A116" s="96" t="s">
        <v>1254</v>
      </c>
      <c r="B116" s="1" t="s">
        <v>1313</v>
      </c>
      <c r="C116" s="1" t="s">
        <v>1313</v>
      </c>
      <c r="D116" s="1" t="s">
        <v>1699</v>
      </c>
      <c r="E116" s="2">
        <v>150000</v>
      </c>
      <c r="F116" s="2">
        <v>0</v>
      </c>
    </row>
    <row r="117" spans="1:6" x14ac:dyDescent="0.35">
      <c r="A117" s="1" t="s">
        <v>1256</v>
      </c>
      <c r="B117" s="1" t="s">
        <v>1230</v>
      </c>
      <c r="C117" s="1" t="s">
        <v>1230</v>
      </c>
      <c r="D117" s="1" t="s">
        <v>1682</v>
      </c>
      <c r="E117" s="2">
        <v>250000</v>
      </c>
      <c r="F117" s="2">
        <v>0</v>
      </c>
    </row>
    <row r="118" spans="1:6" x14ac:dyDescent="0.35">
      <c r="A118" s="1" t="s">
        <v>1260</v>
      </c>
      <c r="B118" s="1" t="s">
        <v>1230</v>
      </c>
      <c r="C118" s="1" t="s">
        <v>1230</v>
      </c>
      <c r="D118" s="1" t="s">
        <v>1683</v>
      </c>
      <c r="E118" s="2">
        <v>100000</v>
      </c>
      <c r="F118" s="2">
        <v>2500000</v>
      </c>
    </row>
    <row r="119" spans="1:6" x14ac:dyDescent="0.35">
      <c r="A119" s="1" t="s">
        <v>1262</v>
      </c>
      <c r="B119" s="1" t="s">
        <v>1230</v>
      </c>
      <c r="C119" s="1" t="s">
        <v>1230</v>
      </c>
      <c r="D119" s="1" t="s">
        <v>1683</v>
      </c>
      <c r="E119" s="2">
        <v>100000</v>
      </c>
      <c r="F119" s="2">
        <v>0</v>
      </c>
    </row>
    <row r="120" spans="1:6" x14ac:dyDescent="0.35">
      <c r="A120" s="1" t="s">
        <v>1264</v>
      </c>
      <c r="B120" s="1" t="s">
        <v>1230</v>
      </c>
      <c r="C120" s="1" t="s">
        <v>1230</v>
      </c>
      <c r="D120" s="1" t="s">
        <v>1683</v>
      </c>
      <c r="E120" s="2">
        <v>150000</v>
      </c>
      <c r="F120" s="2">
        <v>0</v>
      </c>
    </row>
    <row r="121" spans="1:6" x14ac:dyDescent="0.35">
      <c r="A121" s="1" t="s">
        <v>1266</v>
      </c>
      <c r="B121" s="1" t="s">
        <v>1230</v>
      </c>
      <c r="C121" s="1" t="s">
        <v>1230</v>
      </c>
      <c r="D121" s="1" t="s">
        <v>1683</v>
      </c>
      <c r="E121" s="2">
        <v>150000</v>
      </c>
      <c r="F121" s="2">
        <v>0</v>
      </c>
    </row>
    <row r="122" spans="1:6" x14ac:dyDescent="0.35">
      <c r="A122" s="1" t="s">
        <v>1268</v>
      </c>
      <c r="B122" s="1" t="s">
        <v>1230</v>
      </c>
      <c r="C122" s="1" t="s">
        <v>1230</v>
      </c>
      <c r="D122" s="1" t="s">
        <v>1683</v>
      </c>
      <c r="E122" s="2">
        <v>150000</v>
      </c>
      <c r="F122" s="2">
        <v>0</v>
      </c>
    </row>
    <row r="123" spans="1:6" x14ac:dyDescent="0.35">
      <c r="A123" s="1" t="s">
        <v>1270</v>
      </c>
      <c r="B123" s="1" t="s">
        <v>1230</v>
      </c>
      <c r="C123" s="1" t="s">
        <v>1230</v>
      </c>
      <c r="D123" s="1" t="s">
        <v>1683</v>
      </c>
      <c r="E123" s="2">
        <v>150000</v>
      </c>
      <c r="F123" s="2">
        <v>985417</v>
      </c>
    </row>
    <row r="124" spans="1:6" x14ac:dyDescent="0.35">
      <c r="A124" s="1" t="s">
        <v>1272</v>
      </c>
      <c r="B124" s="1" t="s">
        <v>1230</v>
      </c>
      <c r="C124" s="1" t="s">
        <v>1230</v>
      </c>
      <c r="D124" s="1" t="s">
        <v>1683</v>
      </c>
      <c r="E124" s="2">
        <v>100000</v>
      </c>
      <c r="F124" s="2">
        <v>2500000</v>
      </c>
    </row>
    <row r="125" spans="1:6" x14ac:dyDescent="0.35">
      <c r="A125" s="1" t="s">
        <v>1276</v>
      </c>
      <c r="B125" s="1" t="s">
        <v>1230</v>
      </c>
      <c r="C125" s="1" t="s">
        <v>1230</v>
      </c>
      <c r="D125" s="1" t="s">
        <v>1684</v>
      </c>
      <c r="E125" s="2">
        <v>150000</v>
      </c>
      <c r="F125" s="2">
        <v>2041667</v>
      </c>
    </row>
    <row r="126" spans="1:6" x14ac:dyDescent="0.35">
      <c r="A126" s="1" t="s">
        <v>1284</v>
      </c>
      <c r="B126" s="1" t="s">
        <v>1230</v>
      </c>
      <c r="C126" s="1" t="s">
        <v>1230</v>
      </c>
      <c r="D126" s="1" t="s">
        <v>1684</v>
      </c>
      <c r="E126" s="2">
        <v>150000</v>
      </c>
      <c r="F126" s="2">
        <v>2500000</v>
      </c>
    </row>
    <row r="127" spans="1:6" x14ac:dyDescent="0.35">
      <c r="A127" s="1" t="s">
        <v>1286</v>
      </c>
      <c r="B127" s="1" t="s">
        <v>1230</v>
      </c>
      <c r="C127" s="1" t="s">
        <v>1230</v>
      </c>
      <c r="D127" s="1" t="s">
        <v>1392</v>
      </c>
      <c r="E127" s="2">
        <v>150000</v>
      </c>
      <c r="F127" s="2">
        <v>0</v>
      </c>
    </row>
    <row r="128" spans="1:6" x14ac:dyDescent="0.35">
      <c r="A128" s="1" t="s">
        <v>1288</v>
      </c>
      <c r="B128" s="1" t="s">
        <v>1230</v>
      </c>
      <c r="C128" s="1" t="s">
        <v>1230</v>
      </c>
      <c r="D128" s="1" t="s">
        <v>1685</v>
      </c>
      <c r="E128" s="2">
        <v>100000</v>
      </c>
      <c r="F128" s="2">
        <v>5075758</v>
      </c>
    </row>
    <row r="129" spans="1:6" x14ac:dyDescent="0.35">
      <c r="A129" s="1" t="s">
        <v>1292</v>
      </c>
      <c r="B129" s="1" t="s">
        <v>1230</v>
      </c>
      <c r="C129" s="1" t="s">
        <v>1230</v>
      </c>
      <c r="D129" s="1" t="s">
        <v>1687</v>
      </c>
      <c r="E129" s="2">
        <v>150000</v>
      </c>
      <c r="F129" s="2">
        <v>3408467</v>
      </c>
    </row>
    <row r="130" spans="1:6" x14ac:dyDescent="0.35">
      <c r="A130" s="1" t="s">
        <v>1294</v>
      </c>
      <c r="B130" s="1" t="s">
        <v>1230</v>
      </c>
      <c r="C130" s="1" t="s">
        <v>1230</v>
      </c>
      <c r="D130" s="1" t="s">
        <v>1687</v>
      </c>
      <c r="E130" s="2">
        <v>350000</v>
      </c>
      <c r="F130" s="2">
        <v>0</v>
      </c>
    </row>
    <row r="131" spans="1:6" x14ac:dyDescent="0.35">
      <c r="A131" s="1" t="s">
        <v>1296</v>
      </c>
      <c r="B131" s="1" t="s">
        <v>1230</v>
      </c>
      <c r="C131" s="1" t="s">
        <v>1230</v>
      </c>
      <c r="D131" s="1" t="s">
        <v>1688</v>
      </c>
      <c r="E131" s="2">
        <v>250000</v>
      </c>
      <c r="F131" s="2">
        <v>0</v>
      </c>
    </row>
    <row r="132" spans="1:6" x14ac:dyDescent="0.35">
      <c r="A132" s="1" t="s">
        <v>1298</v>
      </c>
      <c r="B132" s="1" t="s">
        <v>1230</v>
      </c>
      <c r="C132" s="1" t="s">
        <v>1230</v>
      </c>
      <c r="D132" s="1" t="s">
        <v>1689</v>
      </c>
      <c r="E132" s="2">
        <v>150000</v>
      </c>
      <c r="F132" s="2">
        <v>4863285</v>
      </c>
    </row>
    <row r="133" spans="1:6" x14ac:dyDescent="0.35">
      <c r="A133" s="1" t="s">
        <v>1300</v>
      </c>
      <c r="B133" s="1" t="s">
        <v>1230</v>
      </c>
      <c r="C133" s="1" t="s">
        <v>1230</v>
      </c>
      <c r="D133" s="1" t="s">
        <v>1689</v>
      </c>
      <c r="E133" s="2">
        <v>150000</v>
      </c>
      <c r="F133" s="2">
        <v>2500000</v>
      </c>
    </row>
    <row r="134" spans="1:6" x14ac:dyDescent="0.35">
      <c r="A134" s="1" t="s">
        <v>1302</v>
      </c>
      <c r="B134" s="1" t="s">
        <v>1230</v>
      </c>
      <c r="C134" s="1" t="s">
        <v>1230</v>
      </c>
      <c r="D134" s="1" t="s">
        <v>1689</v>
      </c>
      <c r="E134" s="2">
        <v>150000</v>
      </c>
      <c r="F134" s="2">
        <v>1625122</v>
      </c>
    </row>
    <row r="135" spans="1:6" x14ac:dyDescent="0.35">
      <c r="A135" s="1" t="s">
        <v>1304</v>
      </c>
      <c r="B135" s="1" t="s">
        <v>1230</v>
      </c>
      <c r="C135" s="1" t="s">
        <v>1230</v>
      </c>
      <c r="D135" s="1" t="s">
        <v>1690</v>
      </c>
      <c r="E135" s="2">
        <v>350000</v>
      </c>
      <c r="F135" s="2">
        <v>2500000</v>
      </c>
    </row>
    <row r="136" spans="1:6" x14ac:dyDescent="0.35">
      <c r="A136" s="1" t="s">
        <v>1310</v>
      </c>
      <c r="B136" s="1" t="s">
        <v>1230</v>
      </c>
      <c r="C136" s="1" t="s">
        <v>1230</v>
      </c>
      <c r="D136" s="1" t="s">
        <v>1693</v>
      </c>
      <c r="E136" s="2">
        <v>150000</v>
      </c>
      <c r="F136" s="2">
        <v>2125000</v>
      </c>
    </row>
    <row r="137" spans="1:6" x14ac:dyDescent="0.35">
      <c r="A137" s="1" t="s">
        <v>1312</v>
      </c>
      <c r="B137" s="1" t="s">
        <v>1313</v>
      </c>
      <c r="C137" s="1" t="s">
        <v>1313</v>
      </c>
      <c r="D137" s="1" t="s">
        <v>1694</v>
      </c>
      <c r="E137" s="2">
        <v>350000</v>
      </c>
      <c r="F137" s="2">
        <v>0</v>
      </c>
    </row>
    <row r="138" spans="1:6" x14ac:dyDescent="0.35">
      <c r="A138" s="1" t="s">
        <v>1317</v>
      </c>
      <c r="B138" s="1" t="s">
        <v>1313</v>
      </c>
      <c r="C138" s="1" t="s">
        <v>1313</v>
      </c>
      <c r="D138" s="1" t="s">
        <v>1696</v>
      </c>
      <c r="E138" s="2">
        <v>350000</v>
      </c>
      <c r="F138" s="2">
        <v>0</v>
      </c>
    </row>
    <row r="139" spans="1:6" x14ac:dyDescent="0.35">
      <c r="A139" s="1" t="s">
        <v>1322</v>
      </c>
      <c r="B139" s="1" t="s">
        <v>1313</v>
      </c>
      <c r="C139" s="1" t="s">
        <v>1313</v>
      </c>
      <c r="D139" s="1" t="s">
        <v>1697</v>
      </c>
      <c r="E139" s="2">
        <v>150000</v>
      </c>
      <c r="F139" s="2">
        <v>0</v>
      </c>
    </row>
    <row r="140" spans="1:6" x14ac:dyDescent="0.35">
      <c r="A140" s="1" t="s">
        <v>1328</v>
      </c>
      <c r="B140" s="1" t="s">
        <v>1313</v>
      </c>
      <c r="C140" s="1" t="s">
        <v>1313</v>
      </c>
      <c r="D140" s="1" t="s">
        <v>1381</v>
      </c>
      <c r="E140" s="2">
        <v>100000</v>
      </c>
      <c r="F140" s="2">
        <v>1000000</v>
      </c>
    </row>
    <row r="141" spans="1:6" x14ac:dyDescent="0.35">
      <c r="A141" s="96" t="s">
        <v>1330</v>
      </c>
      <c r="B141" s="1" t="s">
        <v>1230</v>
      </c>
      <c r="C141" s="1" t="s">
        <v>1230</v>
      </c>
      <c r="D141" s="1" t="s">
        <v>1381</v>
      </c>
      <c r="E141" s="2">
        <v>150000</v>
      </c>
      <c r="F141" s="2">
        <v>0</v>
      </c>
    </row>
    <row r="142" spans="1:6" x14ac:dyDescent="0.35">
      <c r="A142" s="1" t="s">
        <v>1332</v>
      </c>
      <c r="B142" s="1" t="s">
        <v>1313</v>
      </c>
      <c r="C142" s="1" t="s">
        <v>1313</v>
      </c>
      <c r="D142" s="1" t="s">
        <v>1381</v>
      </c>
      <c r="E142" s="2">
        <v>100000</v>
      </c>
      <c r="F142" s="2">
        <v>1000000</v>
      </c>
    </row>
    <row r="143" spans="1:6" x14ac:dyDescent="0.35">
      <c r="A143" s="1" t="s">
        <v>1334</v>
      </c>
      <c r="B143" s="1" t="s">
        <v>1313</v>
      </c>
      <c r="C143" s="1" t="s">
        <v>1313</v>
      </c>
      <c r="D143" s="1" t="s">
        <v>1381</v>
      </c>
      <c r="E143" s="2">
        <v>100000</v>
      </c>
      <c r="F143" s="2">
        <v>0</v>
      </c>
    </row>
    <row r="144" spans="1:6" x14ac:dyDescent="0.35">
      <c r="A144" s="96" t="s">
        <v>1336</v>
      </c>
      <c r="B144" s="1" t="s">
        <v>1230</v>
      </c>
      <c r="C144" s="1" t="s">
        <v>1230</v>
      </c>
      <c r="D144" s="1" t="s">
        <v>2266</v>
      </c>
      <c r="E144" s="2">
        <v>350000</v>
      </c>
      <c r="F144" s="2">
        <v>11907733</v>
      </c>
    </row>
    <row r="145" spans="1:6" x14ac:dyDescent="0.35">
      <c r="A145" s="1" t="s">
        <v>1338</v>
      </c>
      <c r="B145" s="1" t="s">
        <v>1313</v>
      </c>
      <c r="C145" s="1" t="s">
        <v>1313</v>
      </c>
      <c r="D145" s="1" t="s">
        <v>1697</v>
      </c>
      <c r="E145" s="2">
        <v>350000</v>
      </c>
      <c r="F145" s="2">
        <v>0</v>
      </c>
    </row>
    <row r="146" spans="1:6" x14ac:dyDescent="0.35">
      <c r="A146" s="1" t="s">
        <v>1341</v>
      </c>
      <c r="B146" s="1" t="s">
        <v>1313</v>
      </c>
      <c r="C146" s="1" t="s">
        <v>1313</v>
      </c>
      <c r="D146" s="1" t="s">
        <v>1699</v>
      </c>
      <c r="E146" s="2">
        <v>100000</v>
      </c>
      <c r="F146" s="2">
        <v>0</v>
      </c>
    </row>
    <row r="147" spans="1:6" x14ac:dyDescent="0.35">
      <c r="A147" s="1" t="s">
        <v>1343</v>
      </c>
      <c r="B147" s="1" t="s">
        <v>1313</v>
      </c>
      <c r="C147" s="1" t="s">
        <v>1313</v>
      </c>
      <c r="D147" s="1" t="s">
        <v>1451</v>
      </c>
      <c r="E147" s="2">
        <v>350000</v>
      </c>
      <c r="F147" s="2">
        <v>0</v>
      </c>
    </row>
    <row r="148" spans="1:6" x14ac:dyDescent="0.35">
      <c r="A148" s="96" t="s">
        <v>1345</v>
      </c>
      <c r="B148" s="1" t="s">
        <v>1230</v>
      </c>
      <c r="C148" s="1" t="s">
        <v>1230</v>
      </c>
      <c r="D148" s="1" t="s">
        <v>1682</v>
      </c>
      <c r="E148" s="2">
        <v>150000</v>
      </c>
      <c r="F148" s="2">
        <v>1000000</v>
      </c>
    </row>
    <row r="149" spans="1:6" x14ac:dyDescent="0.35">
      <c r="A149" s="1" t="s">
        <v>1349</v>
      </c>
      <c r="B149" s="1" t="s">
        <v>1313</v>
      </c>
      <c r="C149" s="1" t="s">
        <v>1313</v>
      </c>
      <c r="D149" s="1" t="s">
        <v>1381</v>
      </c>
      <c r="E149" s="2">
        <v>100000</v>
      </c>
      <c r="F149" s="2">
        <v>0</v>
      </c>
    </row>
    <row r="150" spans="1:6" x14ac:dyDescent="0.35">
      <c r="A150" s="1" t="s">
        <v>1351</v>
      </c>
      <c r="B150" s="1" t="s">
        <v>1352</v>
      </c>
      <c r="C150" s="1" t="s">
        <v>1352</v>
      </c>
      <c r="D150" s="1" t="s">
        <v>1700</v>
      </c>
      <c r="E150" s="2">
        <v>500000</v>
      </c>
      <c r="F150" s="2">
        <v>0</v>
      </c>
    </row>
    <row r="151" spans="1:6" x14ac:dyDescent="0.35">
      <c r="A151" s="1" t="s">
        <v>1354</v>
      </c>
      <c r="B151" s="1" t="s">
        <v>1352</v>
      </c>
      <c r="C151" s="1" t="s">
        <v>1352</v>
      </c>
      <c r="D151" s="1" t="s">
        <v>1701</v>
      </c>
      <c r="E151" s="2">
        <v>350000</v>
      </c>
      <c r="F151" s="2">
        <v>0</v>
      </c>
    </row>
    <row r="152" spans="1:6" x14ac:dyDescent="0.35">
      <c r="A152" s="1" t="s">
        <v>1356</v>
      </c>
      <c r="B152" s="1" t="s">
        <v>1352</v>
      </c>
      <c r="C152" s="1" t="s">
        <v>1352</v>
      </c>
      <c r="D152" s="1" t="s">
        <v>1697</v>
      </c>
      <c r="E152" s="2">
        <v>350000</v>
      </c>
      <c r="F152" s="2">
        <v>0</v>
      </c>
    </row>
    <row r="153" spans="1:6" x14ac:dyDescent="0.35">
      <c r="A153" s="1" t="s">
        <v>1358</v>
      </c>
      <c r="B153" s="1" t="s">
        <v>1352</v>
      </c>
      <c r="C153" s="1" t="s">
        <v>1352</v>
      </c>
      <c r="D153" s="1" t="s">
        <v>1699</v>
      </c>
      <c r="E153" s="2">
        <v>100000</v>
      </c>
      <c r="F153" s="2">
        <v>0</v>
      </c>
    </row>
    <row r="154" spans="1:6" x14ac:dyDescent="0.35">
      <c r="A154" s="1" t="s">
        <v>1360</v>
      </c>
      <c r="B154" s="1" t="s">
        <v>1352</v>
      </c>
      <c r="C154" s="1" t="s">
        <v>1352</v>
      </c>
      <c r="D154" s="1" t="s">
        <v>1699</v>
      </c>
      <c r="E154" s="2">
        <v>250000</v>
      </c>
      <c r="F154" s="2">
        <v>0</v>
      </c>
    </row>
    <row r="155" spans="1:6" x14ac:dyDescent="0.35">
      <c r="A155" s="1" t="s">
        <v>1362</v>
      </c>
      <c r="B155" s="1" t="s">
        <v>1352</v>
      </c>
      <c r="C155" s="1" t="s">
        <v>1352</v>
      </c>
      <c r="D155" s="1" t="s">
        <v>1699</v>
      </c>
      <c r="E155" s="2">
        <v>350000</v>
      </c>
      <c r="F155" s="2">
        <v>4722725</v>
      </c>
    </row>
    <row r="156" spans="1:6" x14ac:dyDescent="0.35">
      <c r="A156" s="1" t="s">
        <v>1365</v>
      </c>
      <c r="B156" s="1" t="s">
        <v>1352</v>
      </c>
      <c r="C156" s="1" t="s">
        <v>1352</v>
      </c>
      <c r="D156" s="1" t="s">
        <v>1699</v>
      </c>
      <c r="E156" s="2">
        <v>100000</v>
      </c>
      <c r="F156" s="2">
        <v>0</v>
      </c>
    </row>
    <row r="157" spans="1:6" x14ac:dyDescent="0.35">
      <c r="A157" s="1" t="s">
        <v>1367</v>
      </c>
      <c r="B157" s="1" t="s">
        <v>1352</v>
      </c>
      <c r="C157" s="1" t="s">
        <v>1352</v>
      </c>
      <c r="D157" s="1" t="s">
        <v>1699</v>
      </c>
      <c r="E157" s="2">
        <v>100000</v>
      </c>
      <c r="F157" s="2">
        <v>0</v>
      </c>
    </row>
    <row r="158" spans="1:6" x14ac:dyDescent="0.35">
      <c r="A158" s="1" t="s">
        <v>1371</v>
      </c>
      <c r="B158" s="1" t="s">
        <v>1352</v>
      </c>
      <c r="C158" s="1" t="s">
        <v>1352</v>
      </c>
      <c r="D158" s="1" t="s">
        <v>1381</v>
      </c>
      <c r="E158" s="2">
        <v>150000</v>
      </c>
      <c r="F158" s="2">
        <v>0</v>
      </c>
    </row>
  </sheetData>
  <autoFilter ref="A4:F158" xr:uid="{377BDD74-95B2-47C4-BDD8-B0219812F53B}"/>
  <mergeCells count="5">
    <mergeCell ref="H4:H5"/>
    <mergeCell ref="I4:I5"/>
    <mergeCell ref="J4:J5"/>
    <mergeCell ref="K4:K5"/>
    <mergeCell ref="H11:J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84DB8-EAC7-44B0-8C88-5CB4CF6D33D8}">
  <dimension ref="A2:S208"/>
  <sheetViews>
    <sheetView topLeftCell="G1" zoomScale="55" zoomScaleNormal="55" workbookViewId="0">
      <selection activeCell="O10" sqref="O10"/>
    </sheetView>
  </sheetViews>
  <sheetFormatPr defaultRowHeight="14.5" x14ac:dyDescent="0.35"/>
  <cols>
    <col min="1" max="1" width="19.453125" customWidth="1"/>
    <col min="2" max="3" width="10.81640625" customWidth="1"/>
    <col min="4" max="4" width="4.54296875" customWidth="1"/>
    <col min="5" max="5" width="21.54296875" customWidth="1"/>
    <col min="6" max="6" width="11.81640625" customWidth="1"/>
    <col min="7" max="7" width="12.26953125" customWidth="1"/>
    <col min="8" max="8" width="8.7265625" customWidth="1"/>
    <col min="9" max="9" width="24.1796875" customWidth="1"/>
    <col min="10" max="10" width="12.54296875" customWidth="1"/>
    <col min="11" max="11" width="12.7265625" customWidth="1"/>
    <col min="12" max="12" width="5.90625" customWidth="1"/>
    <col min="13" max="13" width="12.1796875" customWidth="1"/>
    <col min="14" max="14" width="13.453125" style="19" bestFit="1" customWidth="1"/>
    <col min="15" max="15" width="11.81640625" style="19" bestFit="1" customWidth="1"/>
    <col min="17" max="17" width="13.453125" style="19" bestFit="1" customWidth="1"/>
    <col min="18" max="18" width="12.90625" style="19" bestFit="1" customWidth="1"/>
    <col min="19" max="19" width="12.81640625" bestFit="1" customWidth="1"/>
  </cols>
  <sheetData>
    <row r="2" spans="1:18" x14ac:dyDescent="0.35">
      <c r="A2" t="s">
        <v>2254</v>
      </c>
      <c r="E2" s="92" t="s">
        <v>2253</v>
      </c>
      <c r="F2" s="92"/>
      <c r="G2" s="92"/>
      <c r="I2" t="s">
        <v>2255</v>
      </c>
      <c r="J2" t="s">
        <v>2256</v>
      </c>
      <c r="K2" t="s">
        <v>2257</v>
      </c>
      <c r="N2" s="19" t="s">
        <v>2244</v>
      </c>
      <c r="O2" s="19" t="s">
        <v>2245</v>
      </c>
    </row>
    <row r="3" spans="1:18" x14ac:dyDescent="0.35">
      <c r="A3" t="s">
        <v>542</v>
      </c>
      <c r="B3" s="27">
        <v>250000</v>
      </c>
      <c r="C3" s="27">
        <v>0</v>
      </c>
      <c r="E3" s="92"/>
      <c r="F3" s="92"/>
      <c r="G3" s="92"/>
      <c r="I3" t="s">
        <v>542</v>
      </c>
      <c r="J3" s="27">
        <f>B3-F3</f>
        <v>250000</v>
      </c>
      <c r="K3" s="27">
        <f>C3-G3</f>
        <v>0</v>
      </c>
      <c r="N3"/>
      <c r="O3"/>
      <c r="Q3"/>
      <c r="R3"/>
    </row>
    <row r="4" spans="1:18" x14ac:dyDescent="0.35">
      <c r="A4" t="s">
        <v>162</v>
      </c>
      <c r="B4" s="27">
        <v>150000</v>
      </c>
      <c r="C4" s="27">
        <v>0</v>
      </c>
      <c r="E4" s="92"/>
      <c r="F4" s="92"/>
      <c r="G4" s="92"/>
      <c r="I4" t="s">
        <v>162</v>
      </c>
      <c r="J4" s="27">
        <f t="shared" ref="J4:J67" si="0">B4-F4</f>
        <v>150000</v>
      </c>
      <c r="K4" s="27">
        <f t="shared" ref="K4:K67" si="1">C4-G4</f>
        <v>0</v>
      </c>
      <c r="N4"/>
      <c r="O4"/>
      <c r="Q4"/>
      <c r="R4"/>
    </row>
    <row r="5" spans="1:18" x14ac:dyDescent="0.35">
      <c r="A5" t="s">
        <v>1292</v>
      </c>
      <c r="B5" s="27">
        <v>150000</v>
      </c>
      <c r="C5" s="27">
        <v>3408467</v>
      </c>
      <c r="E5" s="92" t="s">
        <v>1292</v>
      </c>
      <c r="F5" s="93">
        <v>150000</v>
      </c>
      <c r="G5" s="93">
        <v>3408467</v>
      </c>
      <c r="I5" t="s">
        <v>1292</v>
      </c>
      <c r="J5" s="27">
        <f t="shared" si="0"/>
        <v>0</v>
      </c>
      <c r="K5" s="27">
        <f t="shared" si="1"/>
        <v>0</v>
      </c>
      <c r="N5"/>
      <c r="O5"/>
      <c r="Q5"/>
      <c r="R5"/>
    </row>
    <row r="6" spans="1:18" x14ac:dyDescent="0.35">
      <c r="A6" t="s">
        <v>139</v>
      </c>
      <c r="B6" s="27">
        <v>150000</v>
      </c>
      <c r="C6" s="27">
        <v>0</v>
      </c>
      <c r="E6" s="92"/>
      <c r="F6" s="93"/>
      <c r="G6" s="93"/>
      <c r="I6" t="s">
        <v>139</v>
      </c>
      <c r="J6" s="27">
        <f t="shared" si="0"/>
        <v>150000</v>
      </c>
      <c r="K6" s="27">
        <f t="shared" si="1"/>
        <v>0</v>
      </c>
      <c r="N6"/>
      <c r="O6"/>
      <c r="Q6"/>
      <c r="R6"/>
    </row>
    <row r="7" spans="1:18" x14ac:dyDescent="0.35">
      <c r="A7" t="s">
        <v>438</v>
      </c>
      <c r="B7" s="27">
        <v>250000</v>
      </c>
      <c r="C7" s="27">
        <v>0</v>
      </c>
      <c r="E7" s="92"/>
      <c r="F7" s="93"/>
      <c r="G7" s="93"/>
      <c r="I7" t="s">
        <v>438</v>
      </c>
      <c r="J7" s="27">
        <f t="shared" si="0"/>
        <v>250000</v>
      </c>
      <c r="K7" s="27">
        <f t="shared" si="1"/>
        <v>0</v>
      </c>
      <c r="N7"/>
      <c r="O7"/>
      <c r="Q7"/>
      <c r="R7"/>
    </row>
    <row r="8" spans="1:18" x14ac:dyDescent="0.35">
      <c r="A8" t="s">
        <v>469</v>
      </c>
      <c r="B8" s="27">
        <v>150000</v>
      </c>
      <c r="C8" s="27">
        <v>0</v>
      </c>
      <c r="E8" s="92"/>
      <c r="F8" s="93"/>
      <c r="G8" s="93"/>
      <c r="I8" t="s">
        <v>469</v>
      </c>
      <c r="J8" s="27">
        <f t="shared" si="0"/>
        <v>150000</v>
      </c>
      <c r="K8" s="27">
        <f t="shared" si="1"/>
        <v>0</v>
      </c>
      <c r="N8"/>
      <c r="O8"/>
      <c r="Q8"/>
      <c r="R8"/>
    </row>
    <row r="9" spans="1:18" x14ac:dyDescent="0.35">
      <c r="A9" t="s">
        <v>141</v>
      </c>
      <c r="B9" s="27">
        <v>150000</v>
      </c>
      <c r="C9" s="27">
        <v>0</v>
      </c>
      <c r="E9" s="92"/>
      <c r="F9" s="93"/>
      <c r="G9" s="93"/>
      <c r="I9" t="s">
        <v>141</v>
      </c>
      <c r="J9" s="27">
        <f t="shared" si="0"/>
        <v>150000</v>
      </c>
      <c r="K9" s="27">
        <f t="shared" si="1"/>
        <v>0</v>
      </c>
      <c r="N9"/>
      <c r="O9"/>
      <c r="Q9"/>
      <c r="R9"/>
    </row>
    <row r="10" spans="1:18" x14ac:dyDescent="0.35">
      <c r="A10" t="s">
        <v>579</v>
      </c>
      <c r="B10" s="27">
        <v>150000</v>
      </c>
      <c r="C10" s="27">
        <v>0</v>
      </c>
      <c r="E10" s="92"/>
      <c r="F10" s="93"/>
      <c r="G10" s="93"/>
      <c r="I10" t="s">
        <v>579</v>
      </c>
      <c r="J10" s="27">
        <f t="shared" si="0"/>
        <v>150000</v>
      </c>
      <c r="K10" s="27">
        <f t="shared" si="1"/>
        <v>0</v>
      </c>
      <c r="N10"/>
      <c r="O10"/>
      <c r="Q10"/>
      <c r="R10"/>
    </row>
    <row r="11" spans="1:18" x14ac:dyDescent="0.35">
      <c r="A11" t="s">
        <v>199</v>
      </c>
      <c r="B11" s="27">
        <v>250000</v>
      </c>
      <c r="C11" s="27">
        <v>1699127</v>
      </c>
      <c r="E11" s="92"/>
      <c r="F11" s="93"/>
      <c r="G11" s="93"/>
      <c r="I11" t="s">
        <v>199</v>
      </c>
      <c r="J11" s="27">
        <f t="shared" si="0"/>
        <v>250000</v>
      </c>
      <c r="K11" s="27">
        <f t="shared" si="1"/>
        <v>1699127</v>
      </c>
      <c r="M11" t="s">
        <v>2247</v>
      </c>
      <c r="N11" s="19">
        <v>1003934</v>
      </c>
      <c r="O11" s="19">
        <v>695193</v>
      </c>
    </row>
    <row r="12" spans="1:18" x14ac:dyDescent="0.35">
      <c r="A12" t="s">
        <v>440</v>
      </c>
      <c r="B12" s="27">
        <v>250000</v>
      </c>
      <c r="C12" s="27">
        <v>0</v>
      </c>
      <c r="E12" s="92"/>
      <c r="F12" s="93"/>
      <c r="G12" s="93"/>
      <c r="I12" t="s">
        <v>440</v>
      </c>
      <c r="J12" s="27">
        <f t="shared" si="0"/>
        <v>250000</v>
      </c>
      <c r="K12" s="27">
        <f t="shared" si="1"/>
        <v>0</v>
      </c>
      <c r="N12"/>
      <c r="O12"/>
      <c r="Q12"/>
      <c r="R12"/>
    </row>
    <row r="13" spans="1:18" x14ac:dyDescent="0.35">
      <c r="A13" t="s">
        <v>314</v>
      </c>
      <c r="B13" s="27">
        <v>150000</v>
      </c>
      <c r="C13" s="27">
        <v>0</v>
      </c>
      <c r="E13" s="92"/>
      <c r="F13" s="93"/>
      <c r="G13" s="93"/>
      <c r="I13" t="s">
        <v>314</v>
      </c>
      <c r="J13" s="27">
        <f t="shared" si="0"/>
        <v>150000</v>
      </c>
      <c r="K13" s="27">
        <f t="shared" si="1"/>
        <v>0</v>
      </c>
      <c r="N13"/>
      <c r="O13"/>
      <c r="Q13"/>
      <c r="R13"/>
    </row>
    <row r="14" spans="1:18" x14ac:dyDescent="0.35">
      <c r="A14" t="s">
        <v>114</v>
      </c>
      <c r="B14" s="27">
        <v>150000</v>
      </c>
      <c r="C14" s="27">
        <v>0</v>
      </c>
      <c r="E14" s="92"/>
      <c r="F14" s="93"/>
      <c r="G14" s="93"/>
      <c r="I14" t="s">
        <v>114</v>
      </c>
      <c r="J14" s="27">
        <f t="shared" si="0"/>
        <v>150000</v>
      </c>
      <c r="K14" s="27">
        <f t="shared" si="1"/>
        <v>0</v>
      </c>
      <c r="N14"/>
      <c r="O14"/>
      <c r="Q14"/>
      <c r="R14"/>
    </row>
    <row r="15" spans="1:18" x14ac:dyDescent="0.35">
      <c r="A15" t="s">
        <v>188</v>
      </c>
      <c r="B15" s="27">
        <v>250000</v>
      </c>
      <c r="C15" s="27">
        <v>0</v>
      </c>
      <c r="E15" s="92"/>
      <c r="F15" s="93"/>
      <c r="G15" s="93"/>
      <c r="I15" t="s">
        <v>188</v>
      </c>
      <c r="J15" s="27">
        <f t="shared" si="0"/>
        <v>250000</v>
      </c>
      <c r="K15" s="27">
        <f t="shared" si="1"/>
        <v>0</v>
      </c>
      <c r="N15"/>
      <c r="O15"/>
      <c r="Q15"/>
      <c r="R15"/>
    </row>
    <row r="16" spans="1:18" x14ac:dyDescent="0.35">
      <c r="A16" t="s">
        <v>1354</v>
      </c>
      <c r="B16" s="27">
        <v>350000</v>
      </c>
      <c r="C16" s="27">
        <v>0</v>
      </c>
      <c r="E16" s="92"/>
      <c r="F16" s="92"/>
      <c r="G16" s="92"/>
      <c r="I16" t="s">
        <v>1354</v>
      </c>
      <c r="J16" s="27">
        <f t="shared" si="0"/>
        <v>350000</v>
      </c>
      <c r="K16" s="27">
        <f t="shared" si="1"/>
        <v>0</v>
      </c>
      <c r="N16"/>
      <c r="O16"/>
      <c r="Q16"/>
      <c r="R16"/>
    </row>
    <row r="17" spans="1:19" x14ac:dyDescent="0.35">
      <c r="A17" t="s">
        <v>8</v>
      </c>
      <c r="B17" s="27">
        <v>350000</v>
      </c>
      <c r="C17" s="27">
        <v>0</v>
      </c>
      <c r="E17" s="92" t="s">
        <v>1354</v>
      </c>
      <c r="F17" s="93">
        <v>350000</v>
      </c>
      <c r="G17" s="93">
        <v>0</v>
      </c>
      <c r="I17" t="s">
        <v>8</v>
      </c>
      <c r="J17" s="27">
        <f t="shared" si="0"/>
        <v>0</v>
      </c>
      <c r="K17" s="27">
        <f t="shared" si="1"/>
        <v>0</v>
      </c>
      <c r="N17"/>
      <c r="O17"/>
      <c r="Q17"/>
      <c r="R17"/>
    </row>
    <row r="18" spans="1:19" x14ac:dyDescent="0.35">
      <c r="A18" t="s">
        <v>99</v>
      </c>
      <c r="B18" s="27">
        <v>250000</v>
      </c>
      <c r="C18" s="27">
        <v>0</v>
      </c>
      <c r="E18" s="92"/>
      <c r="F18" s="93"/>
      <c r="G18" s="93"/>
      <c r="I18" t="s">
        <v>99</v>
      </c>
      <c r="J18" s="27">
        <f t="shared" si="0"/>
        <v>250000</v>
      </c>
      <c r="K18" s="27">
        <f t="shared" si="1"/>
        <v>0</v>
      </c>
      <c r="N18"/>
      <c r="O18"/>
      <c r="Q18"/>
      <c r="R18"/>
    </row>
    <row r="19" spans="1:19" x14ac:dyDescent="0.35">
      <c r="A19" t="s">
        <v>1356</v>
      </c>
      <c r="B19" s="27">
        <v>350000</v>
      </c>
      <c r="C19" s="27">
        <v>0</v>
      </c>
      <c r="E19" s="92" t="s">
        <v>1356</v>
      </c>
      <c r="F19" s="93">
        <v>350000</v>
      </c>
      <c r="G19" s="93">
        <v>0</v>
      </c>
      <c r="I19" t="s">
        <v>1356</v>
      </c>
      <c r="J19" s="27">
        <f t="shared" si="0"/>
        <v>0</v>
      </c>
      <c r="K19" s="27">
        <f t="shared" si="1"/>
        <v>0</v>
      </c>
      <c r="N19"/>
      <c r="O19"/>
      <c r="Q19"/>
      <c r="R19"/>
    </row>
    <row r="20" spans="1:19" x14ac:dyDescent="0.35">
      <c r="A20" t="s">
        <v>1345</v>
      </c>
      <c r="B20" s="27">
        <v>150000</v>
      </c>
      <c r="C20" s="27">
        <v>1000000</v>
      </c>
      <c r="E20" s="92" t="s">
        <v>1345</v>
      </c>
      <c r="F20" s="93">
        <v>150000</v>
      </c>
      <c r="G20" s="93">
        <v>1000000</v>
      </c>
      <c r="I20" t="s">
        <v>1345</v>
      </c>
      <c r="J20" s="27">
        <f t="shared" si="0"/>
        <v>0</v>
      </c>
      <c r="K20" s="27">
        <f t="shared" si="1"/>
        <v>0</v>
      </c>
      <c r="N20"/>
      <c r="O20"/>
      <c r="Q20"/>
      <c r="R20"/>
    </row>
    <row r="21" spans="1:19" x14ac:dyDescent="0.35">
      <c r="A21" t="s">
        <v>1117</v>
      </c>
      <c r="B21" s="27">
        <v>250000</v>
      </c>
      <c r="C21" s="27">
        <v>0</v>
      </c>
      <c r="E21" s="92"/>
      <c r="F21" s="93"/>
      <c r="G21" s="93"/>
      <c r="I21" t="s">
        <v>1117</v>
      </c>
      <c r="J21" s="27">
        <f t="shared" si="0"/>
        <v>250000</v>
      </c>
      <c r="K21" s="27">
        <f t="shared" si="1"/>
        <v>0</v>
      </c>
      <c r="N21"/>
      <c r="O21"/>
      <c r="Q21"/>
      <c r="R21"/>
    </row>
    <row r="22" spans="1:19" x14ac:dyDescent="0.35">
      <c r="A22" t="s">
        <v>1111</v>
      </c>
      <c r="B22" s="27">
        <v>150000</v>
      </c>
      <c r="C22" s="27">
        <v>0</v>
      </c>
      <c r="E22" s="92"/>
      <c r="F22" s="93"/>
      <c r="G22" s="93"/>
      <c r="I22" t="s">
        <v>1111</v>
      </c>
      <c r="J22" s="27">
        <f t="shared" si="0"/>
        <v>150000</v>
      </c>
      <c r="K22" s="27">
        <f t="shared" si="1"/>
        <v>0</v>
      </c>
      <c r="N22"/>
      <c r="O22"/>
      <c r="Q22"/>
      <c r="R22"/>
    </row>
    <row r="23" spans="1:19" x14ac:dyDescent="0.35">
      <c r="A23" t="s">
        <v>1300</v>
      </c>
      <c r="B23" s="27">
        <v>150000</v>
      </c>
      <c r="C23" s="27">
        <v>2500000</v>
      </c>
      <c r="E23" s="92" t="s">
        <v>1300</v>
      </c>
      <c r="F23" s="93">
        <v>150000</v>
      </c>
      <c r="G23" s="93">
        <v>2500000</v>
      </c>
      <c r="I23" t="s">
        <v>1300</v>
      </c>
      <c r="J23" s="27">
        <f t="shared" si="0"/>
        <v>0</v>
      </c>
      <c r="K23" s="27">
        <f t="shared" si="1"/>
        <v>0</v>
      </c>
      <c r="N23"/>
      <c r="O23"/>
      <c r="Q23" t="s">
        <v>2263</v>
      </c>
      <c r="R23"/>
    </row>
    <row r="24" spans="1:19" x14ac:dyDescent="0.35">
      <c r="A24" t="s">
        <v>203</v>
      </c>
      <c r="B24" s="27">
        <v>250000</v>
      </c>
      <c r="C24" s="27">
        <v>0</v>
      </c>
      <c r="E24" s="92"/>
      <c r="F24" s="93"/>
      <c r="G24" s="93"/>
      <c r="I24" t="s">
        <v>203</v>
      </c>
      <c r="J24" s="27">
        <f t="shared" si="0"/>
        <v>250000</v>
      </c>
      <c r="K24" s="27">
        <f t="shared" si="1"/>
        <v>0</v>
      </c>
      <c r="N24"/>
      <c r="O24"/>
      <c r="Q24"/>
      <c r="R24" t="s">
        <v>2244</v>
      </c>
      <c r="S24" t="s">
        <v>2245</v>
      </c>
    </row>
    <row r="25" spans="1:19" x14ac:dyDescent="0.35">
      <c r="A25" t="s">
        <v>1182</v>
      </c>
      <c r="B25" s="27">
        <v>250000</v>
      </c>
      <c r="C25" s="27">
        <v>3402778</v>
      </c>
      <c r="E25" s="92"/>
      <c r="F25" s="93"/>
      <c r="G25" s="93"/>
      <c r="I25" t="s">
        <v>1182</v>
      </c>
      <c r="J25" s="27">
        <f t="shared" si="0"/>
        <v>250000</v>
      </c>
      <c r="K25" s="27">
        <f t="shared" si="1"/>
        <v>3402778</v>
      </c>
      <c r="M25" t="s">
        <v>2258</v>
      </c>
      <c r="N25" s="19">
        <v>2777778</v>
      </c>
      <c r="O25" s="19">
        <v>625000</v>
      </c>
      <c r="Q25" s="19" t="s">
        <v>2259</v>
      </c>
      <c r="R25" s="19">
        <f>5000000</f>
        <v>5000000</v>
      </c>
      <c r="S25" s="19"/>
    </row>
    <row r="26" spans="1:19" x14ac:dyDescent="0.35">
      <c r="A26" t="s">
        <v>1248</v>
      </c>
      <c r="B26" s="27">
        <v>100000</v>
      </c>
      <c r="C26" s="27">
        <v>100000</v>
      </c>
      <c r="E26" s="92" t="s">
        <v>1248</v>
      </c>
      <c r="F26" s="93">
        <v>100000</v>
      </c>
      <c r="G26" s="93">
        <v>1800000</v>
      </c>
      <c r="I26" t="s">
        <v>1248</v>
      </c>
      <c r="J26" s="27">
        <f t="shared" si="0"/>
        <v>0</v>
      </c>
      <c r="K26" s="27">
        <f t="shared" si="1"/>
        <v>-1700000</v>
      </c>
      <c r="M26" t="s">
        <v>2258</v>
      </c>
      <c r="Q26" s="19" t="s">
        <v>2258</v>
      </c>
      <c r="R26" s="19">
        <f>2777778+1388889+1041667</f>
        <v>5208334</v>
      </c>
      <c r="S26" s="19">
        <f>625000+312500+312500</f>
        <v>1250000</v>
      </c>
    </row>
    <row r="27" spans="1:19" x14ac:dyDescent="0.35">
      <c r="A27" t="s">
        <v>459</v>
      </c>
      <c r="B27" s="27">
        <v>250000</v>
      </c>
      <c r="C27" s="27">
        <v>0</v>
      </c>
      <c r="E27" s="92"/>
      <c r="F27" s="93"/>
      <c r="G27" s="93">
        <v>0</v>
      </c>
      <c r="I27" t="s">
        <v>459</v>
      </c>
      <c r="J27" s="27">
        <f t="shared" si="0"/>
        <v>250000</v>
      </c>
      <c r="K27" s="27">
        <f t="shared" si="1"/>
        <v>0</v>
      </c>
      <c r="N27"/>
      <c r="O27"/>
      <c r="Q27" t="s">
        <v>2247</v>
      </c>
      <c r="R27" s="19">
        <f>1003934+3213852+1279708+1402374</f>
        <v>6899868</v>
      </c>
      <c r="S27" s="19">
        <f>695193+2159623+242261+908439</f>
        <v>4005516</v>
      </c>
    </row>
    <row r="28" spans="1:19" x14ac:dyDescent="0.35">
      <c r="A28" t="s">
        <v>457</v>
      </c>
      <c r="B28" s="27">
        <v>350000</v>
      </c>
      <c r="C28" s="27">
        <v>0</v>
      </c>
      <c r="E28" s="92"/>
      <c r="F28" s="93"/>
      <c r="G28" s="93"/>
      <c r="I28" t="s">
        <v>457</v>
      </c>
      <c r="J28" s="27">
        <f t="shared" si="0"/>
        <v>350000</v>
      </c>
      <c r="K28" s="27">
        <f t="shared" si="1"/>
        <v>0</v>
      </c>
      <c r="N28"/>
      <c r="O28"/>
      <c r="Q28" t="s">
        <v>2264</v>
      </c>
      <c r="R28" s="19">
        <v>5089939</v>
      </c>
      <c r="S28" s="19">
        <v>1182649</v>
      </c>
    </row>
    <row r="29" spans="1:19" x14ac:dyDescent="0.35">
      <c r="A29" t="s">
        <v>268</v>
      </c>
      <c r="B29" s="27">
        <v>150000</v>
      </c>
      <c r="C29" s="27">
        <v>0</v>
      </c>
      <c r="E29" s="92"/>
      <c r="F29" s="93"/>
      <c r="G29" s="93"/>
      <c r="I29" t="s">
        <v>268</v>
      </c>
      <c r="J29" s="27">
        <f t="shared" si="0"/>
        <v>150000</v>
      </c>
      <c r="K29" s="27">
        <f t="shared" si="1"/>
        <v>0</v>
      </c>
      <c r="N29"/>
      <c r="O29"/>
      <c r="Q29"/>
      <c r="R29"/>
    </row>
    <row r="30" spans="1:19" x14ac:dyDescent="0.35">
      <c r="A30" t="s">
        <v>11</v>
      </c>
      <c r="B30" s="27">
        <v>150000</v>
      </c>
      <c r="C30" s="27">
        <v>0</v>
      </c>
      <c r="E30" s="92"/>
      <c r="F30" s="93"/>
      <c r="G30" s="93"/>
      <c r="I30" t="s">
        <v>11</v>
      </c>
      <c r="J30" s="27">
        <f t="shared" si="0"/>
        <v>150000</v>
      </c>
      <c r="K30" s="27">
        <f t="shared" si="1"/>
        <v>0</v>
      </c>
      <c r="N30"/>
      <c r="O30"/>
      <c r="Q30"/>
      <c r="R30"/>
    </row>
    <row r="31" spans="1:19" x14ac:dyDescent="0.35">
      <c r="A31" t="s">
        <v>1240</v>
      </c>
      <c r="B31" s="27">
        <v>150000</v>
      </c>
      <c r="C31" s="27">
        <v>2500000</v>
      </c>
      <c r="E31" s="92" t="s">
        <v>1240</v>
      </c>
      <c r="F31" s="93">
        <v>150000</v>
      </c>
      <c r="G31" s="93">
        <v>2500000</v>
      </c>
      <c r="I31" t="s">
        <v>1240</v>
      </c>
      <c r="J31" s="27">
        <f t="shared" si="0"/>
        <v>0</v>
      </c>
      <c r="K31" s="27">
        <f t="shared" si="1"/>
        <v>0</v>
      </c>
      <c r="N31"/>
      <c r="O31"/>
      <c r="Q31"/>
      <c r="R31"/>
    </row>
    <row r="32" spans="1:19" x14ac:dyDescent="0.35">
      <c r="A32" t="s">
        <v>143</v>
      </c>
      <c r="B32" s="27">
        <v>150000</v>
      </c>
      <c r="C32" s="27">
        <v>0</v>
      </c>
      <c r="I32" t="s">
        <v>143</v>
      </c>
      <c r="J32" s="27">
        <f t="shared" si="0"/>
        <v>150000</v>
      </c>
      <c r="K32" s="27">
        <f t="shared" si="1"/>
        <v>0</v>
      </c>
      <c r="N32"/>
      <c r="O32"/>
      <c r="Q32"/>
      <c r="R32"/>
    </row>
    <row r="33" spans="1:18" x14ac:dyDescent="0.35">
      <c r="A33" t="s">
        <v>481</v>
      </c>
      <c r="B33" s="27">
        <v>150000</v>
      </c>
      <c r="C33" s="27">
        <v>0</v>
      </c>
      <c r="I33" t="s">
        <v>481</v>
      </c>
      <c r="J33" s="27">
        <f t="shared" si="0"/>
        <v>150000</v>
      </c>
      <c r="K33" s="27">
        <f t="shared" si="1"/>
        <v>0</v>
      </c>
      <c r="N33"/>
      <c r="O33"/>
      <c r="Q33"/>
      <c r="R33"/>
    </row>
    <row r="34" spans="1:18" x14ac:dyDescent="0.35">
      <c r="A34" t="s">
        <v>419</v>
      </c>
      <c r="B34" s="27">
        <v>500000</v>
      </c>
      <c r="C34" s="27">
        <v>0</v>
      </c>
      <c r="I34" t="s">
        <v>419</v>
      </c>
      <c r="J34" s="27">
        <f t="shared" si="0"/>
        <v>500000</v>
      </c>
      <c r="K34" s="27">
        <f t="shared" si="1"/>
        <v>0</v>
      </c>
      <c r="N34"/>
      <c r="O34"/>
      <c r="Q34"/>
      <c r="R34"/>
    </row>
    <row r="35" spans="1:18" x14ac:dyDescent="0.35">
      <c r="A35" t="s">
        <v>79</v>
      </c>
      <c r="B35" s="27">
        <v>150000</v>
      </c>
      <c r="C35" s="27">
        <v>0</v>
      </c>
      <c r="I35" t="s">
        <v>79</v>
      </c>
      <c r="J35" s="27">
        <f t="shared" si="0"/>
        <v>150000</v>
      </c>
      <c r="K35" s="27">
        <f t="shared" si="1"/>
        <v>0</v>
      </c>
      <c r="N35"/>
      <c r="O35"/>
      <c r="Q35"/>
      <c r="R35"/>
    </row>
    <row r="36" spans="1:18" x14ac:dyDescent="0.35">
      <c r="A36" t="s">
        <v>595</v>
      </c>
      <c r="B36" s="27">
        <v>100000</v>
      </c>
      <c r="C36" s="27">
        <v>0</v>
      </c>
      <c r="I36" t="s">
        <v>595</v>
      </c>
      <c r="J36" s="27">
        <f t="shared" si="0"/>
        <v>100000</v>
      </c>
      <c r="K36" s="27">
        <f t="shared" si="1"/>
        <v>0</v>
      </c>
      <c r="N36"/>
      <c r="O36"/>
      <c r="Q36"/>
      <c r="R36"/>
    </row>
    <row r="37" spans="1:18" x14ac:dyDescent="0.35">
      <c r="A37" t="s">
        <v>399</v>
      </c>
      <c r="B37" s="27">
        <v>350000</v>
      </c>
      <c r="C37" s="27">
        <v>0</v>
      </c>
      <c r="I37" t="s">
        <v>399</v>
      </c>
      <c r="J37" s="27">
        <f t="shared" si="0"/>
        <v>350000</v>
      </c>
      <c r="K37" s="27">
        <f t="shared" si="1"/>
        <v>0</v>
      </c>
      <c r="N37"/>
      <c r="O37"/>
      <c r="Q37"/>
      <c r="R37"/>
    </row>
    <row r="38" spans="1:18" x14ac:dyDescent="0.35">
      <c r="A38" t="s">
        <v>1328</v>
      </c>
      <c r="B38" s="27">
        <v>100000</v>
      </c>
      <c r="C38" s="27"/>
      <c r="E38" s="92" t="s">
        <v>1328</v>
      </c>
      <c r="F38" s="93">
        <v>100000</v>
      </c>
      <c r="G38" s="93">
        <v>1000000</v>
      </c>
      <c r="I38" t="s">
        <v>1328</v>
      </c>
      <c r="J38" s="27">
        <f t="shared" si="0"/>
        <v>0</v>
      </c>
      <c r="K38" s="27">
        <f t="shared" si="1"/>
        <v>-1000000</v>
      </c>
      <c r="M38" t="s">
        <v>2259</v>
      </c>
      <c r="N38" s="19">
        <v>0</v>
      </c>
      <c r="O38" s="19">
        <v>0</v>
      </c>
    </row>
    <row r="39" spans="1:18" x14ac:dyDescent="0.35">
      <c r="A39" t="s">
        <v>212</v>
      </c>
      <c r="B39" s="27">
        <v>150000</v>
      </c>
      <c r="C39" s="27">
        <v>0</v>
      </c>
      <c r="E39" s="92"/>
      <c r="F39" s="93"/>
      <c r="G39" s="93"/>
      <c r="I39" t="s">
        <v>212</v>
      </c>
      <c r="J39" s="27">
        <f t="shared" si="0"/>
        <v>150000</v>
      </c>
      <c r="K39" s="27">
        <f t="shared" si="1"/>
        <v>0</v>
      </c>
      <c r="N39"/>
      <c r="O39"/>
      <c r="Q39"/>
      <c r="R39"/>
    </row>
    <row r="40" spans="1:18" x14ac:dyDescent="0.35">
      <c r="A40" t="s">
        <v>1310</v>
      </c>
      <c r="B40" s="27">
        <v>150000</v>
      </c>
      <c r="C40" s="27">
        <v>2125000</v>
      </c>
      <c r="E40" s="92" t="s">
        <v>1310</v>
      </c>
      <c r="F40" s="93">
        <v>150000</v>
      </c>
      <c r="G40" s="93">
        <v>2125000</v>
      </c>
      <c r="I40" t="s">
        <v>1310</v>
      </c>
      <c r="J40" s="27">
        <f t="shared" si="0"/>
        <v>0</v>
      </c>
      <c r="K40" s="27">
        <f t="shared" si="1"/>
        <v>0</v>
      </c>
      <c r="N40"/>
      <c r="O40"/>
      <c r="Q40"/>
      <c r="R40"/>
    </row>
    <row r="41" spans="1:18" x14ac:dyDescent="0.35">
      <c r="A41" t="s">
        <v>1238</v>
      </c>
      <c r="B41" s="27">
        <v>250000</v>
      </c>
      <c r="C41" s="27">
        <v>0</v>
      </c>
      <c r="E41" s="92" t="s">
        <v>1238</v>
      </c>
      <c r="F41" s="93">
        <v>250000</v>
      </c>
      <c r="G41" s="93">
        <v>0</v>
      </c>
      <c r="I41" t="s">
        <v>1238</v>
      </c>
      <c r="J41" s="27">
        <f t="shared" si="0"/>
        <v>0</v>
      </c>
      <c r="K41" s="27">
        <f t="shared" si="1"/>
        <v>0</v>
      </c>
      <c r="N41"/>
      <c r="O41"/>
      <c r="Q41"/>
      <c r="R41"/>
    </row>
    <row r="42" spans="1:18" x14ac:dyDescent="0.35">
      <c r="A42" t="s">
        <v>422</v>
      </c>
      <c r="B42" s="27">
        <v>350000</v>
      </c>
      <c r="C42" s="27">
        <v>0</v>
      </c>
      <c r="E42" s="92"/>
      <c r="F42" s="93"/>
      <c r="G42" s="93"/>
      <c r="I42" t="s">
        <v>422</v>
      </c>
      <c r="J42" s="27">
        <f t="shared" si="0"/>
        <v>350000</v>
      </c>
      <c r="K42" s="27">
        <f t="shared" si="1"/>
        <v>0</v>
      </c>
      <c r="N42"/>
      <c r="O42"/>
      <c r="Q42"/>
      <c r="R42"/>
    </row>
    <row r="43" spans="1:18" x14ac:dyDescent="0.35">
      <c r="A43" t="s">
        <v>1260</v>
      </c>
      <c r="B43" s="27">
        <v>100000</v>
      </c>
      <c r="C43" s="27">
        <v>2500000</v>
      </c>
      <c r="E43" s="92" t="s">
        <v>1260</v>
      </c>
      <c r="F43" s="93">
        <v>100000</v>
      </c>
      <c r="G43" s="93">
        <v>2500000</v>
      </c>
      <c r="I43" t="s">
        <v>1260</v>
      </c>
      <c r="J43" s="27">
        <f t="shared" si="0"/>
        <v>0</v>
      </c>
      <c r="K43" s="27">
        <f t="shared" si="1"/>
        <v>0</v>
      </c>
      <c r="N43"/>
      <c r="O43"/>
      <c r="Q43"/>
      <c r="R43"/>
    </row>
    <row r="44" spans="1:18" x14ac:dyDescent="0.35">
      <c r="A44" t="s">
        <v>1276</v>
      </c>
      <c r="B44" s="27">
        <v>150000</v>
      </c>
      <c r="C44" s="27">
        <v>2041667</v>
      </c>
      <c r="E44" s="92" t="s">
        <v>1276</v>
      </c>
      <c r="F44" s="93">
        <v>150000</v>
      </c>
      <c r="G44" s="93">
        <v>2041667</v>
      </c>
      <c r="I44" t="s">
        <v>1276</v>
      </c>
      <c r="J44" s="27">
        <f t="shared" si="0"/>
        <v>0</v>
      </c>
      <c r="K44" s="27">
        <f t="shared" si="1"/>
        <v>0</v>
      </c>
      <c r="N44"/>
      <c r="O44"/>
      <c r="Q44"/>
      <c r="R44"/>
    </row>
    <row r="45" spans="1:18" x14ac:dyDescent="0.35">
      <c r="A45" t="s">
        <v>48</v>
      </c>
      <c r="B45" s="27">
        <v>350000</v>
      </c>
      <c r="C45" s="27">
        <v>0</v>
      </c>
      <c r="E45" s="92"/>
      <c r="F45" s="93"/>
      <c r="G45" s="93"/>
      <c r="I45" t="s">
        <v>48</v>
      </c>
      <c r="J45" s="27">
        <f t="shared" si="0"/>
        <v>350000</v>
      </c>
      <c r="K45" s="27">
        <f t="shared" si="1"/>
        <v>0</v>
      </c>
      <c r="N45"/>
      <c r="O45"/>
      <c r="Q45"/>
      <c r="R45"/>
    </row>
    <row r="46" spans="1:18" x14ac:dyDescent="0.35">
      <c r="A46" t="s">
        <v>1351</v>
      </c>
      <c r="B46" s="27">
        <v>500000</v>
      </c>
      <c r="C46" s="27">
        <v>0</v>
      </c>
      <c r="E46" s="92" t="s">
        <v>1351</v>
      </c>
      <c r="F46" s="93">
        <v>500000</v>
      </c>
      <c r="G46" s="93">
        <v>0</v>
      </c>
      <c r="I46" t="s">
        <v>1351</v>
      </c>
      <c r="J46" s="27">
        <f t="shared" si="0"/>
        <v>0</v>
      </c>
      <c r="K46" s="27">
        <f t="shared" si="1"/>
        <v>0</v>
      </c>
      <c r="N46"/>
      <c r="O46"/>
      <c r="Q46"/>
      <c r="R46"/>
    </row>
    <row r="47" spans="1:18" x14ac:dyDescent="0.35">
      <c r="A47" t="s">
        <v>1252</v>
      </c>
      <c r="B47" s="27">
        <v>100000</v>
      </c>
      <c r="C47" s="27">
        <v>100000</v>
      </c>
      <c r="E47" s="92" t="s">
        <v>1252</v>
      </c>
      <c r="F47" s="93">
        <v>100000</v>
      </c>
      <c r="G47" s="93">
        <v>0</v>
      </c>
      <c r="I47" t="s">
        <v>1252</v>
      </c>
      <c r="J47" s="27">
        <f t="shared" si="0"/>
        <v>0</v>
      </c>
      <c r="K47" s="27">
        <f t="shared" si="1"/>
        <v>100000</v>
      </c>
      <c r="M47" t="s">
        <v>2246</v>
      </c>
      <c r="N47" s="19">
        <v>100000</v>
      </c>
    </row>
    <row r="48" spans="1:18" x14ac:dyDescent="0.35">
      <c r="A48" t="s">
        <v>356</v>
      </c>
      <c r="B48" s="27">
        <v>250000</v>
      </c>
      <c r="C48" s="27">
        <v>0</v>
      </c>
      <c r="E48" s="92"/>
      <c r="F48" s="93"/>
      <c r="G48" s="93"/>
      <c r="I48" t="s">
        <v>356</v>
      </c>
      <c r="J48" s="27">
        <f t="shared" si="0"/>
        <v>250000</v>
      </c>
      <c r="K48" s="27">
        <f t="shared" si="1"/>
        <v>0</v>
      </c>
      <c r="N48"/>
      <c r="O48"/>
      <c r="Q48"/>
      <c r="R48"/>
    </row>
    <row r="49" spans="1:18" x14ac:dyDescent="0.35">
      <c r="A49" t="s">
        <v>1330</v>
      </c>
      <c r="B49" s="27">
        <v>150000</v>
      </c>
      <c r="C49" s="27">
        <v>0</v>
      </c>
      <c r="E49" s="92" t="s">
        <v>1330</v>
      </c>
      <c r="F49" s="93">
        <v>150000</v>
      </c>
      <c r="G49" s="93">
        <v>0</v>
      </c>
      <c r="I49" t="s">
        <v>1330</v>
      </c>
      <c r="J49" s="27">
        <f t="shared" si="0"/>
        <v>0</v>
      </c>
      <c r="K49" s="27">
        <f t="shared" si="1"/>
        <v>0</v>
      </c>
      <c r="N49"/>
      <c r="O49"/>
      <c r="Q49"/>
      <c r="R49"/>
    </row>
    <row r="50" spans="1:18" x14ac:dyDescent="0.35">
      <c r="A50" t="s">
        <v>13</v>
      </c>
      <c r="B50" s="27">
        <v>250000</v>
      </c>
      <c r="C50" s="27">
        <v>6272588</v>
      </c>
      <c r="E50" s="92"/>
      <c r="F50" s="93"/>
      <c r="G50" s="93"/>
      <c r="I50" t="s">
        <v>13</v>
      </c>
      <c r="J50" s="27">
        <f t="shared" si="0"/>
        <v>250000</v>
      </c>
      <c r="K50" s="27">
        <f t="shared" si="1"/>
        <v>6272588</v>
      </c>
      <c r="M50" t="s">
        <v>2260</v>
      </c>
      <c r="N50" s="19">
        <v>5089939</v>
      </c>
      <c r="O50" s="19">
        <v>1182649</v>
      </c>
    </row>
    <row r="51" spans="1:18" x14ac:dyDescent="0.35">
      <c r="A51" t="s">
        <v>131</v>
      </c>
      <c r="B51" s="27">
        <v>150000</v>
      </c>
      <c r="C51" s="27">
        <v>0</v>
      </c>
      <c r="E51" s="92"/>
      <c r="F51" s="93"/>
      <c r="G51" s="93"/>
      <c r="I51" t="s">
        <v>131</v>
      </c>
      <c r="J51" s="27">
        <f t="shared" si="0"/>
        <v>150000</v>
      </c>
      <c r="K51" s="27">
        <f t="shared" si="1"/>
        <v>0</v>
      </c>
      <c r="N51"/>
      <c r="O51"/>
      <c r="Q51"/>
      <c r="R51"/>
    </row>
    <row r="52" spans="1:18" x14ac:dyDescent="0.35">
      <c r="A52" t="s">
        <v>1234</v>
      </c>
      <c r="B52" s="27">
        <v>350000</v>
      </c>
      <c r="C52" s="27">
        <v>0</v>
      </c>
      <c r="E52" s="92" t="s">
        <v>1234</v>
      </c>
      <c r="F52" s="93">
        <v>350000</v>
      </c>
      <c r="G52" s="93">
        <v>0</v>
      </c>
      <c r="I52" t="s">
        <v>1234</v>
      </c>
      <c r="J52" s="27">
        <f t="shared" si="0"/>
        <v>0</v>
      </c>
      <c r="K52" s="27">
        <f t="shared" si="1"/>
        <v>0</v>
      </c>
      <c r="N52"/>
      <c r="O52"/>
      <c r="Q52"/>
      <c r="R52"/>
    </row>
    <row r="53" spans="1:18" x14ac:dyDescent="0.35">
      <c r="A53" t="s">
        <v>1332</v>
      </c>
      <c r="B53" s="27">
        <v>100000</v>
      </c>
      <c r="C53" s="27">
        <v>1000000</v>
      </c>
      <c r="E53" s="92" t="s">
        <v>1332</v>
      </c>
      <c r="F53" s="93">
        <v>100000</v>
      </c>
      <c r="G53" s="93">
        <v>1000000</v>
      </c>
      <c r="I53" t="s">
        <v>1332</v>
      </c>
      <c r="J53" s="27">
        <f t="shared" si="0"/>
        <v>0</v>
      </c>
      <c r="K53" s="27">
        <f t="shared" si="1"/>
        <v>0</v>
      </c>
      <c r="N53"/>
      <c r="O53"/>
      <c r="Q53"/>
      <c r="R53"/>
    </row>
    <row r="54" spans="1:18" x14ac:dyDescent="0.35">
      <c r="A54" t="s">
        <v>231</v>
      </c>
      <c r="B54" s="27">
        <v>250000</v>
      </c>
      <c r="C54" s="27">
        <v>0</v>
      </c>
      <c r="E54" s="92"/>
      <c r="F54" s="93"/>
      <c r="G54" s="93"/>
      <c r="I54" t="s">
        <v>231</v>
      </c>
      <c r="J54" s="27">
        <f t="shared" si="0"/>
        <v>250000</v>
      </c>
      <c r="K54" s="27">
        <f t="shared" si="1"/>
        <v>0</v>
      </c>
      <c r="N54"/>
      <c r="O54"/>
      <c r="Q54"/>
      <c r="R54"/>
    </row>
    <row r="55" spans="1:18" x14ac:dyDescent="0.35">
      <c r="A55" t="s">
        <v>1362</v>
      </c>
      <c r="B55" s="27">
        <v>350000</v>
      </c>
      <c r="C55" s="27">
        <v>4722725</v>
      </c>
      <c r="E55" s="92" t="s">
        <v>1362</v>
      </c>
      <c r="F55" s="93">
        <v>350000</v>
      </c>
      <c r="G55" s="93">
        <v>4722725</v>
      </c>
      <c r="I55" t="s">
        <v>1362</v>
      </c>
      <c r="J55" s="27">
        <f t="shared" si="0"/>
        <v>0</v>
      </c>
      <c r="K55" s="27">
        <f t="shared" si="1"/>
        <v>0</v>
      </c>
      <c r="N55"/>
      <c r="O55"/>
      <c r="Q55"/>
      <c r="R55"/>
    </row>
    <row r="56" spans="1:18" x14ac:dyDescent="0.35">
      <c r="A56" t="s">
        <v>1262</v>
      </c>
      <c r="B56" s="27">
        <v>100000</v>
      </c>
      <c r="C56" s="27">
        <v>0</v>
      </c>
      <c r="E56" s="92" t="s">
        <v>1262</v>
      </c>
      <c r="F56" s="93">
        <v>100000</v>
      </c>
      <c r="G56" s="93">
        <v>0</v>
      </c>
      <c r="I56" t="s">
        <v>1262</v>
      </c>
      <c r="J56" s="27">
        <f t="shared" si="0"/>
        <v>0</v>
      </c>
      <c r="K56" s="27">
        <f t="shared" si="1"/>
        <v>0</v>
      </c>
      <c r="N56"/>
      <c r="O56"/>
      <c r="Q56"/>
      <c r="R56"/>
    </row>
    <row r="57" spans="1:18" x14ac:dyDescent="0.35">
      <c r="A57" t="s">
        <v>501</v>
      </c>
      <c r="B57" s="27">
        <v>250000</v>
      </c>
      <c r="C57" s="27">
        <v>5373475</v>
      </c>
      <c r="E57" s="92"/>
      <c r="F57" s="93"/>
      <c r="G57" s="93"/>
      <c r="I57" t="s">
        <v>501</v>
      </c>
      <c r="J57" s="27">
        <f t="shared" si="0"/>
        <v>250000</v>
      </c>
      <c r="K57" s="27">
        <f t="shared" si="1"/>
        <v>5373475</v>
      </c>
      <c r="M57" t="s">
        <v>2247</v>
      </c>
      <c r="N57" s="19">
        <v>3213852</v>
      </c>
      <c r="O57" s="19">
        <v>2159623</v>
      </c>
    </row>
    <row r="58" spans="1:18" x14ac:dyDescent="0.35">
      <c r="A58" t="s">
        <v>41</v>
      </c>
      <c r="B58" s="27">
        <v>150000</v>
      </c>
      <c r="C58" s="27">
        <v>0</v>
      </c>
      <c r="E58" s="92"/>
      <c r="F58" s="93"/>
      <c r="G58" s="93"/>
      <c r="I58" t="s">
        <v>41</v>
      </c>
      <c r="J58" s="27">
        <f t="shared" si="0"/>
        <v>150000</v>
      </c>
      <c r="K58" s="27">
        <f t="shared" si="1"/>
        <v>0</v>
      </c>
      <c r="N58"/>
      <c r="O58"/>
      <c r="Q58"/>
      <c r="R58"/>
    </row>
    <row r="59" spans="1:18" x14ac:dyDescent="0.35">
      <c r="A59" t="s">
        <v>1242</v>
      </c>
      <c r="B59" s="27">
        <v>150000</v>
      </c>
      <c r="C59" s="27">
        <v>0</v>
      </c>
      <c r="E59" s="92" t="s">
        <v>1242</v>
      </c>
      <c r="F59" s="93">
        <v>150000</v>
      </c>
      <c r="G59" s="93">
        <v>0</v>
      </c>
      <c r="I59" t="s">
        <v>1242</v>
      </c>
      <c r="J59" s="27">
        <f t="shared" si="0"/>
        <v>0</v>
      </c>
      <c r="K59" s="27">
        <f t="shared" si="1"/>
        <v>0</v>
      </c>
      <c r="N59"/>
      <c r="O59"/>
      <c r="Q59"/>
      <c r="R59"/>
    </row>
    <row r="60" spans="1:18" x14ac:dyDescent="0.35">
      <c r="A60" t="s">
        <v>55</v>
      </c>
      <c r="B60" s="27">
        <v>150000</v>
      </c>
      <c r="C60" s="27">
        <v>0</v>
      </c>
      <c r="E60" s="92"/>
      <c r="F60" s="93"/>
      <c r="G60" s="93"/>
      <c r="I60" t="s">
        <v>55</v>
      </c>
      <c r="J60" s="27">
        <f t="shared" si="0"/>
        <v>150000</v>
      </c>
      <c r="K60" s="27">
        <f t="shared" si="1"/>
        <v>0</v>
      </c>
      <c r="N60"/>
      <c r="O60"/>
      <c r="Q60"/>
      <c r="R60"/>
    </row>
    <row r="61" spans="1:18" x14ac:dyDescent="0.35">
      <c r="A61" t="s">
        <v>513</v>
      </c>
      <c r="B61" s="27">
        <v>150000</v>
      </c>
      <c r="C61" s="27">
        <v>0</v>
      </c>
      <c r="E61" s="92" t="s">
        <v>513</v>
      </c>
      <c r="F61" s="93">
        <v>150000</v>
      </c>
      <c r="G61" s="93">
        <v>0</v>
      </c>
      <c r="I61" t="s">
        <v>513</v>
      </c>
      <c r="J61" s="27">
        <f t="shared" si="0"/>
        <v>0</v>
      </c>
      <c r="K61" s="27">
        <f t="shared" si="1"/>
        <v>0</v>
      </c>
      <c r="N61"/>
      <c r="O61"/>
      <c r="Q61"/>
      <c r="R61"/>
    </row>
    <row r="62" spans="1:18" x14ac:dyDescent="0.35">
      <c r="A62" t="s">
        <v>1302</v>
      </c>
      <c r="B62" s="27">
        <v>150000</v>
      </c>
      <c r="C62" s="27">
        <v>1625122</v>
      </c>
      <c r="E62" s="92" t="s">
        <v>1302</v>
      </c>
      <c r="F62" s="93">
        <v>150000</v>
      </c>
      <c r="G62" s="93">
        <v>1625122</v>
      </c>
      <c r="I62" t="s">
        <v>1302</v>
      </c>
      <c r="J62" s="27">
        <f t="shared" si="0"/>
        <v>0</v>
      </c>
      <c r="K62" s="27">
        <f t="shared" si="1"/>
        <v>0</v>
      </c>
      <c r="N62"/>
      <c r="O62"/>
      <c r="Q62"/>
      <c r="R62"/>
    </row>
    <row r="63" spans="1:18" x14ac:dyDescent="0.35">
      <c r="A63" t="s">
        <v>1334</v>
      </c>
      <c r="B63" s="27">
        <v>100000</v>
      </c>
      <c r="C63" s="27">
        <v>0</v>
      </c>
      <c r="E63" s="92" t="s">
        <v>1334</v>
      </c>
      <c r="F63" s="93">
        <v>100000</v>
      </c>
      <c r="G63" s="93">
        <v>0</v>
      </c>
      <c r="I63" t="s">
        <v>1334</v>
      </c>
      <c r="J63" s="27">
        <f t="shared" si="0"/>
        <v>0</v>
      </c>
      <c r="K63" s="27">
        <f t="shared" si="1"/>
        <v>0</v>
      </c>
      <c r="N63"/>
      <c r="O63"/>
      <c r="Q63"/>
      <c r="R63"/>
    </row>
    <row r="64" spans="1:18" x14ac:dyDescent="0.35">
      <c r="A64" t="s">
        <v>1286</v>
      </c>
      <c r="B64" s="27">
        <v>150000</v>
      </c>
      <c r="C64" s="27">
        <v>0</v>
      </c>
      <c r="E64" s="92" t="s">
        <v>1286</v>
      </c>
      <c r="F64" s="93">
        <v>150000</v>
      </c>
      <c r="G64" s="93">
        <v>0</v>
      </c>
      <c r="I64" t="s">
        <v>1286</v>
      </c>
      <c r="J64" s="27">
        <f t="shared" si="0"/>
        <v>0</v>
      </c>
      <c r="K64" s="27">
        <f t="shared" si="1"/>
        <v>0</v>
      </c>
      <c r="N64"/>
      <c r="O64"/>
      <c r="Q64"/>
      <c r="R64"/>
    </row>
    <row r="65" spans="1:18" x14ac:dyDescent="0.35">
      <c r="A65" t="s">
        <v>284</v>
      </c>
      <c r="B65" s="27">
        <v>150000</v>
      </c>
      <c r="C65" s="27">
        <v>1701389</v>
      </c>
      <c r="E65" s="92"/>
      <c r="F65" s="93"/>
      <c r="G65" s="93"/>
      <c r="I65" t="s">
        <v>284</v>
      </c>
      <c r="J65" s="27">
        <f t="shared" si="0"/>
        <v>150000</v>
      </c>
      <c r="K65" s="27">
        <f t="shared" si="1"/>
        <v>1701389</v>
      </c>
      <c r="M65" t="s">
        <v>2261</v>
      </c>
      <c r="N65" s="19">
        <v>1388889</v>
      </c>
      <c r="O65" s="19">
        <v>312500</v>
      </c>
    </row>
    <row r="66" spans="1:18" x14ac:dyDescent="0.35">
      <c r="A66" t="s">
        <v>1365</v>
      </c>
      <c r="B66" s="27">
        <v>100000</v>
      </c>
      <c r="C66" s="27">
        <v>0</v>
      </c>
      <c r="E66" s="92" t="s">
        <v>1365</v>
      </c>
      <c r="F66" s="93">
        <v>100000</v>
      </c>
      <c r="G66" s="93">
        <v>0</v>
      </c>
      <c r="I66" t="s">
        <v>1365</v>
      </c>
      <c r="J66" s="27">
        <f t="shared" si="0"/>
        <v>0</v>
      </c>
      <c r="K66" s="27">
        <f t="shared" si="1"/>
        <v>0</v>
      </c>
      <c r="N66"/>
      <c r="O66"/>
      <c r="Q66"/>
      <c r="R66"/>
    </row>
    <row r="67" spans="1:18" x14ac:dyDescent="0.35">
      <c r="A67" t="s">
        <v>360</v>
      </c>
      <c r="B67" s="27">
        <v>100000</v>
      </c>
      <c r="C67" s="27">
        <v>0</v>
      </c>
      <c r="I67" t="s">
        <v>360</v>
      </c>
      <c r="J67" s="27">
        <f t="shared" si="0"/>
        <v>100000</v>
      </c>
      <c r="K67" s="27">
        <f t="shared" si="1"/>
        <v>0</v>
      </c>
      <c r="N67"/>
      <c r="O67"/>
      <c r="Q67"/>
      <c r="R67"/>
    </row>
    <row r="68" spans="1:18" x14ac:dyDescent="0.35">
      <c r="A68" t="s">
        <v>229</v>
      </c>
      <c r="B68" s="27">
        <v>250000</v>
      </c>
      <c r="C68" s="27">
        <v>0</v>
      </c>
      <c r="I68" t="s">
        <v>229</v>
      </c>
      <c r="J68" s="27">
        <f t="shared" ref="J68:J131" si="2">B68-F68</f>
        <v>250000</v>
      </c>
      <c r="K68" s="27">
        <f t="shared" ref="K68:K131" si="3">C68-G68</f>
        <v>0</v>
      </c>
      <c r="N68"/>
      <c r="O68"/>
      <c r="Q68"/>
      <c r="R68"/>
    </row>
    <row r="69" spans="1:18" x14ac:dyDescent="0.35">
      <c r="A69" t="s">
        <v>133</v>
      </c>
      <c r="B69" s="27">
        <v>150000</v>
      </c>
      <c r="C69" s="27">
        <v>0</v>
      </c>
      <c r="I69" t="s">
        <v>133</v>
      </c>
      <c r="J69" s="27">
        <f t="shared" si="2"/>
        <v>150000</v>
      </c>
      <c r="K69" s="27">
        <f t="shared" si="3"/>
        <v>0</v>
      </c>
      <c r="N69"/>
      <c r="O69"/>
      <c r="Q69"/>
      <c r="R69"/>
    </row>
    <row r="70" spans="1:18" x14ac:dyDescent="0.35">
      <c r="A70" t="s">
        <v>350</v>
      </c>
      <c r="B70" s="27">
        <v>150000</v>
      </c>
      <c r="C70" s="27">
        <v>2876136</v>
      </c>
      <c r="I70" t="s">
        <v>350</v>
      </c>
      <c r="J70" s="27">
        <f t="shared" si="2"/>
        <v>150000</v>
      </c>
      <c r="K70" s="27">
        <f t="shared" si="3"/>
        <v>2876136</v>
      </c>
      <c r="M70" t="s">
        <v>2247</v>
      </c>
      <c r="N70" s="19">
        <v>1279708</v>
      </c>
      <c r="O70" s="19">
        <v>242261</v>
      </c>
      <c r="P70" t="s">
        <v>2261</v>
      </c>
      <c r="Q70" s="19">
        <v>1041667</v>
      </c>
      <c r="R70" s="19">
        <v>312500</v>
      </c>
    </row>
    <row r="71" spans="1:18" x14ac:dyDescent="0.35">
      <c r="A71" t="s">
        <v>517</v>
      </c>
      <c r="B71" s="27">
        <v>150000</v>
      </c>
      <c r="C71" s="27">
        <v>8671513</v>
      </c>
      <c r="E71" s="92" t="s">
        <v>517</v>
      </c>
      <c r="F71" s="93">
        <v>150000</v>
      </c>
      <c r="G71" s="93">
        <v>8671513</v>
      </c>
      <c r="I71" t="s">
        <v>517</v>
      </c>
      <c r="J71" s="27">
        <f t="shared" si="2"/>
        <v>0</v>
      </c>
      <c r="K71" s="27">
        <f t="shared" si="3"/>
        <v>0</v>
      </c>
      <c r="N71"/>
      <c r="O71"/>
      <c r="Q71"/>
      <c r="R71"/>
    </row>
    <row r="72" spans="1:18" x14ac:dyDescent="0.35">
      <c r="A72" t="s">
        <v>1150</v>
      </c>
      <c r="B72" s="27">
        <v>250000</v>
      </c>
      <c r="C72" s="27"/>
      <c r="E72" s="92" t="s">
        <v>1150</v>
      </c>
      <c r="F72" s="93">
        <v>250000</v>
      </c>
      <c r="G72" s="93">
        <v>0</v>
      </c>
      <c r="I72" t="s">
        <v>1150</v>
      </c>
      <c r="J72" s="27">
        <f t="shared" si="2"/>
        <v>0</v>
      </c>
      <c r="K72" s="27">
        <f t="shared" si="3"/>
        <v>0</v>
      </c>
      <c r="N72"/>
      <c r="O72"/>
      <c r="Q72"/>
      <c r="R72"/>
    </row>
    <row r="73" spans="1:18" x14ac:dyDescent="0.35">
      <c r="A73" t="s">
        <v>1294</v>
      </c>
      <c r="B73" s="27">
        <v>350000</v>
      </c>
      <c r="C73" s="27">
        <v>0</v>
      </c>
      <c r="E73" s="92" t="s">
        <v>1294</v>
      </c>
      <c r="F73" s="93">
        <v>350000</v>
      </c>
      <c r="G73" s="93">
        <v>0</v>
      </c>
      <c r="I73" t="s">
        <v>1294</v>
      </c>
      <c r="J73" s="27">
        <f t="shared" si="2"/>
        <v>0</v>
      </c>
      <c r="K73" s="27">
        <f t="shared" si="3"/>
        <v>0</v>
      </c>
      <c r="N73"/>
      <c r="O73"/>
      <c r="Q73"/>
      <c r="R73"/>
    </row>
    <row r="74" spans="1:18" x14ac:dyDescent="0.35">
      <c r="A74" t="s">
        <v>403</v>
      </c>
      <c r="B74" s="27">
        <v>250000</v>
      </c>
      <c r="C74" s="27">
        <v>0</v>
      </c>
      <c r="E74" s="92"/>
      <c r="F74" s="93"/>
      <c r="G74" s="93"/>
      <c r="I74" t="s">
        <v>403</v>
      </c>
      <c r="J74" s="27">
        <f t="shared" si="2"/>
        <v>250000</v>
      </c>
      <c r="K74" s="27">
        <f t="shared" si="3"/>
        <v>0</v>
      </c>
      <c r="N74"/>
      <c r="O74"/>
      <c r="Q74"/>
      <c r="R74"/>
    </row>
    <row r="75" spans="1:18" x14ac:dyDescent="0.35">
      <c r="A75" t="s">
        <v>1341</v>
      </c>
      <c r="B75" s="27">
        <v>100000</v>
      </c>
      <c r="C75" s="27">
        <v>0</v>
      </c>
      <c r="E75" s="92" t="s">
        <v>1341</v>
      </c>
      <c r="F75" s="93">
        <v>100000</v>
      </c>
      <c r="G75" s="93">
        <v>0</v>
      </c>
      <c r="I75" t="s">
        <v>1341</v>
      </c>
      <c r="J75" s="27">
        <f t="shared" si="2"/>
        <v>0</v>
      </c>
      <c r="K75" s="27">
        <f t="shared" si="3"/>
        <v>0</v>
      </c>
      <c r="N75"/>
      <c r="O75"/>
      <c r="Q75"/>
      <c r="R75"/>
    </row>
    <row r="76" spans="1:18" x14ac:dyDescent="0.35">
      <c r="A76" t="s">
        <v>545</v>
      </c>
      <c r="B76" s="27">
        <v>250000</v>
      </c>
      <c r="C76" s="27">
        <v>2500000</v>
      </c>
      <c r="E76" s="92"/>
      <c r="F76" s="93"/>
      <c r="G76" s="93"/>
      <c r="I76" t="s">
        <v>545</v>
      </c>
      <c r="J76" s="27">
        <f t="shared" si="2"/>
        <v>250000</v>
      </c>
      <c r="K76" s="27">
        <f t="shared" si="3"/>
        <v>2500000</v>
      </c>
      <c r="M76" t="s">
        <v>2262</v>
      </c>
      <c r="N76" s="19">
        <v>2500000</v>
      </c>
    </row>
    <row r="77" spans="1:18" x14ac:dyDescent="0.35">
      <c r="A77" t="s">
        <v>145</v>
      </c>
      <c r="B77" s="27">
        <v>150000</v>
      </c>
      <c r="C77" s="27">
        <v>0</v>
      </c>
      <c r="I77" t="s">
        <v>145</v>
      </c>
      <c r="J77" s="27">
        <f t="shared" si="2"/>
        <v>150000</v>
      </c>
      <c r="K77" s="27">
        <f t="shared" si="3"/>
        <v>0</v>
      </c>
      <c r="N77"/>
      <c r="O77"/>
      <c r="Q77"/>
      <c r="R77"/>
    </row>
    <row r="78" spans="1:18" x14ac:dyDescent="0.35">
      <c r="A78" t="s">
        <v>1264</v>
      </c>
      <c r="B78" s="27">
        <v>150000</v>
      </c>
      <c r="C78" s="27">
        <v>0</v>
      </c>
      <c r="E78" s="92" t="s">
        <v>1264</v>
      </c>
      <c r="F78" s="93">
        <v>150000</v>
      </c>
      <c r="G78" s="93">
        <v>0</v>
      </c>
      <c r="I78" t="s">
        <v>1264</v>
      </c>
      <c r="J78" s="27">
        <f t="shared" si="2"/>
        <v>0</v>
      </c>
      <c r="K78" s="27">
        <f t="shared" si="3"/>
        <v>0</v>
      </c>
      <c r="N78"/>
      <c r="O78"/>
      <c r="Q78"/>
      <c r="R78"/>
    </row>
    <row r="79" spans="1:18" x14ac:dyDescent="0.35">
      <c r="A79" t="s">
        <v>318</v>
      </c>
      <c r="B79" s="27">
        <v>150000</v>
      </c>
      <c r="C79" s="27">
        <v>0</v>
      </c>
      <c r="E79" s="92"/>
      <c r="F79" s="93"/>
      <c r="G79" s="93"/>
      <c r="I79" t="s">
        <v>318</v>
      </c>
      <c r="J79" s="27">
        <f t="shared" si="2"/>
        <v>150000</v>
      </c>
      <c r="K79" s="27">
        <f t="shared" si="3"/>
        <v>0</v>
      </c>
      <c r="N79"/>
      <c r="O79"/>
      <c r="Q79"/>
      <c r="R79"/>
    </row>
    <row r="80" spans="1:18" x14ac:dyDescent="0.35">
      <c r="A80" t="s">
        <v>436</v>
      </c>
      <c r="B80" s="27">
        <v>250000</v>
      </c>
      <c r="C80" s="27">
        <v>0</v>
      </c>
      <c r="E80" s="92"/>
      <c r="F80" s="93"/>
      <c r="G80" s="93"/>
      <c r="I80" t="s">
        <v>436</v>
      </c>
      <c r="J80" s="27">
        <f t="shared" si="2"/>
        <v>250000</v>
      </c>
      <c r="K80" s="27">
        <f t="shared" si="3"/>
        <v>0</v>
      </c>
      <c r="N80"/>
      <c r="O80"/>
      <c r="Q80"/>
      <c r="R80"/>
    </row>
    <row r="81" spans="1:11" customFormat="1" x14ac:dyDescent="0.35">
      <c r="A81" t="s">
        <v>44</v>
      </c>
      <c r="B81" s="27">
        <v>150000</v>
      </c>
      <c r="C81" s="27">
        <v>0</v>
      </c>
      <c r="E81" s="92"/>
      <c r="F81" s="93"/>
      <c r="G81" s="93"/>
      <c r="I81" t="s">
        <v>44</v>
      </c>
      <c r="J81" s="27">
        <f t="shared" si="2"/>
        <v>150000</v>
      </c>
      <c r="K81" s="27">
        <f t="shared" si="3"/>
        <v>0</v>
      </c>
    </row>
    <row r="82" spans="1:11" customFormat="1" x14ac:dyDescent="0.35">
      <c r="A82" t="s">
        <v>127</v>
      </c>
      <c r="B82" s="27">
        <v>150000</v>
      </c>
      <c r="C82" s="27">
        <v>0</v>
      </c>
      <c r="E82" s="92"/>
      <c r="F82" s="93"/>
      <c r="G82" s="93"/>
      <c r="I82" t="s">
        <v>127</v>
      </c>
      <c r="J82" s="27">
        <f t="shared" si="2"/>
        <v>150000</v>
      </c>
      <c r="K82" s="27">
        <f t="shared" si="3"/>
        <v>0</v>
      </c>
    </row>
    <row r="83" spans="1:11" customFormat="1" x14ac:dyDescent="0.35">
      <c r="A83" t="s">
        <v>1125</v>
      </c>
      <c r="B83" s="27">
        <v>250000</v>
      </c>
      <c r="C83" s="27">
        <v>0</v>
      </c>
      <c r="E83" s="92"/>
      <c r="F83" s="93"/>
      <c r="G83" s="93"/>
      <c r="I83" t="s">
        <v>1125</v>
      </c>
      <c r="J83" s="27">
        <f t="shared" si="2"/>
        <v>250000</v>
      </c>
      <c r="K83" s="27">
        <f t="shared" si="3"/>
        <v>0</v>
      </c>
    </row>
    <row r="84" spans="1:11" customFormat="1" x14ac:dyDescent="0.35">
      <c r="A84" t="s">
        <v>644</v>
      </c>
      <c r="B84" s="27">
        <v>250000</v>
      </c>
      <c r="C84" s="27">
        <v>0</v>
      </c>
      <c r="E84" s="92"/>
      <c r="F84" s="93"/>
      <c r="G84" s="93"/>
      <c r="I84" t="s">
        <v>644</v>
      </c>
      <c r="J84" s="27">
        <f t="shared" si="2"/>
        <v>250000</v>
      </c>
      <c r="K84" s="27">
        <f t="shared" si="3"/>
        <v>0</v>
      </c>
    </row>
    <row r="85" spans="1:11" customFormat="1" x14ac:dyDescent="0.35">
      <c r="A85" t="s">
        <v>1244</v>
      </c>
      <c r="B85" s="27">
        <v>250000</v>
      </c>
      <c r="C85" s="27">
        <v>0</v>
      </c>
      <c r="E85" s="92" t="s">
        <v>1244</v>
      </c>
      <c r="F85" s="93">
        <v>250000</v>
      </c>
      <c r="G85" s="93">
        <v>0</v>
      </c>
      <c r="I85" t="s">
        <v>1244</v>
      </c>
      <c r="J85" s="27">
        <f t="shared" si="2"/>
        <v>0</v>
      </c>
      <c r="K85" s="27">
        <f t="shared" si="3"/>
        <v>0</v>
      </c>
    </row>
    <row r="86" spans="1:11" customFormat="1" x14ac:dyDescent="0.35">
      <c r="A86" t="s">
        <v>1140</v>
      </c>
      <c r="B86" s="27">
        <v>250000</v>
      </c>
      <c r="C86" s="27">
        <v>0</v>
      </c>
      <c r="E86" s="92"/>
      <c r="F86" s="93"/>
      <c r="G86" s="93"/>
      <c r="I86" t="s">
        <v>1140</v>
      </c>
      <c r="J86" s="27">
        <f t="shared" si="2"/>
        <v>250000</v>
      </c>
      <c r="K86" s="27">
        <f t="shared" si="3"/>
        <v>0</v>
      </c>
    </row>
    <row r="87" spans="1:11" customFormat="1" x14ac:dyDescent="0.35">
      <c r="A87" t="s">
        <v>275</v>
      </c>
      <c r="B87" s="27">
        <v>150000</v>
      </c>
      <c r="C87" s="27">
        <v>0</v>
      </c>
      <c r="E87" s="92"/>
      <c r="F87" s="93"/>
      <c r="G87" s="93"/>
      <c r="I87" t="s">
        <v>275</v>
      </c>
      <c r="J87" s="27">
        <f t="shared" si="2"/>
        <v>150000</v>
      </c>
      <c r="K87" s="27">
        <f t="shared" si="3"/>
        <v>0</v>
      </c>
    </row>
    <row r="88" spans="1:11" customFormat="1" x14ac:dyDescent="0.35">
      <c r="A88" t="s">
        <v>320</v>
      </c>
      <c r="B88" s="27">
        <v>100000</v>
      </c>
      <c r="C88" s="27">
        <v>0</v>
      </c>
      <c r="E88" s="92"/>
      <c r="F88" s="93"/>
      <c r="G88" s="93"/>
      <c r="I88" t="s">
        <v>320</v>
      </c>
      <c r="J88" s="27">
        <f t="shared" si="2"/>
        <v>100000</v>
      </c>
      <c r="K88" s="27">
        <f t="shared" si="3"/>
        <v>0</v>
      </c>
    </row>
    <row r="89" spans="1:11" customFormat="1" x14ac:dyDescent="0.35">
      <c r="A89" t="s">
        <v>149</v>
      </c>
      <c r="B89" s="27">
        <v>150000</v>
      </c>
      <c r="C89" s="27">
        <v>0</v>
      </c>
      <c r="E89" s="92"/>
      <c r="F89" s="93"/>
      <c r="G89" s="93"/>
      <c r="I89" t="s">
        <v>149</v>
      </c>
      <c r="J89" s="27">
        <f t="shared" si="2"/>
        <v>150000</v>
      </c>
      <c r="K89" s="27">
        <f t="shared" si="3"/>
        <v>0</v>
      </c>
    </row>
    <row r="90" spans="1:11" customFormat="1" x14ac:dyDescent="0.35">
      <c r="A90" t="s">
        <v>1236</v>
      </c>
      <c r="B90" s="27">
        <v>250000</v>
      </c>
      <c r="C90" s="27">
        <v>3075835</v>
      </c>
      <c r="E90" s="92" t="s">
        <v>1236</v>
      </c>
      <c r="F90" s="93">
        <v>250000</v>
      </c>
      <c r="G90" s="93">
        <v>3075835</v>
      </c>
      <c r="I90" t="s">
        <v>1236</v>
      </c>
      <c r="J90" s="27">
        <f t="shared" si="2"/>
        <v>0</v>
      </c>
      <c r="K90" s="27">
        <f t="shared" si="3"/>
        <v>0</v>
      </c>
    </row>
    <row r="91" spans="1:11" customFormat="1" x14ac:dyDescent="0.35">
      <c r="A91" t="s">
        <v>223</v>
      </c>
      <c r="B91" s="27">
        <v>150000</v>
      </c>
      <c r="C91" s="27">
        <v>0</v>
      </c>
      <c r="E91" s="92"/>
      <c r="F91" s="93"/>
      <c r="G91" s="93"/>
      <c r="I91" t="s">
        <v>223</v>
      </c>
      <c r="J91" s="27">
        <f t="shared" si="2"/>
        <v>150000</v>
      </c>
      <c r="K91" s="27">
        <f t="shared" si="3"/>
        <v>0</v>
      </c>
    </row>
    <row r="92" spans="1:11" customFormat="1" x14ac:dyDescent="0.35">
      <c r="A92" t="s">
        <v>164</v>
      </c>
      <c r="B92" s="27">
        <v>150000</v>
      </c>
      <c r="C92" s="27">
        <v>0</v>
      </c>
      <c r="E92" s="92"/>
      <c r="F92" s="93"/>
      <c r="G92" s="93"/>
      <c r="I92" t="s">
        <v>164</v>
      </c>
      <c r="J92" s="27">
        <f t="shared" si="2"/>
        <v>150000</v>
      </c>
      <c r="K92" s="27">
        <f t="shared" si="3"/>
        <v>0</v>
      </c>
    </row>
    <row r="93" spans="1:11" customFormat="1" x14ac:dyDescent="0.35">
      <c r="A93" t="s">
        <v>499</v>
      </c>
      <c r="B93" s="27">
        <v>250000</v>
      </c>
      <c r="C93" s="27">
        <v>0</v>
      </c>
      <c r="E93" s="92" t="s">
        <v>499</v>
      </c>
      <c r="F93" s="93">
        <v>250000</v>
      </c>
      <c r="G93" s="93">
        <v>0</v>
      </c>
      <c r="I93" t="s">
        <v>499</v>
      </c>
      <c r="J93" s="27">
        <f t="shared" si="2"/>
        <v>0</v>
      </c>
      <c r="K93" s="27">
        <f t="shared" si="3"/>
        <v>0</v>
      </c>
    </row>
    <row r="94" spans="1:11" customFormat="1" x14ac:dyDescent="0.35">
      <c r="A94" t="s">
        <v>277</v>
      </c>
      <c r="B94" s="27">
        <v>450000</v>
      </c>
      <c r="C94" s="27">
        <v>0</v>
      </c>
      <c r="E94" s="92"/>
      <c r="F94" s="93"/>
      <c r="G94" s="93"/>
      <c r="I94" t="s">
        <v>277</v>
      </c>
      <c r="J94" s="27">
        <f t="shared" si="2"/>
        <v>450000</v>
      </c>
      <c r="K94" s="27">
        <f t="shared" si="3"/>
        <v>0</v>
      </c>
    </row>
    <row r="95" spans="1:11" customFormat="1" x14ac:dyDescent="0.35">
      <c r="A95" t="s">
        <v>364</v>
      </c>
      <c r="B95" s="27">
        <v>150000</v>
      </c>
      <c r="C95" s="27">
        <v>0</v>
      </c>
      <c r="E95" s="92"/>
      <c r="F95" s="93"/>
      <c r="G95" s="93"/>
      <c r="I95" t="s">
        <v>364</v>
      </c>
      <c r="J95" s="27">
        <f t="shared" si="2"/>
        <v>150000</v>
      </c>
      <c r="K95" s="27">
        <f t="shared" si="3"/>
        <v>0</v>
      </c>
    </row>
    <row r="96" spans="1:11" customFormat="1" x14ac:dyDescent="0.35">
      <c r="A96" t="s">
        <v>181</v>
      </c>
      <c r="B96" s="27">
        <v>250000</v>
      </c>
      <c r="C96" s="27">
        <v>0</v>
      </c>
      <c r="E96" s="92"/>
      <c r="F96" s="93"/>
      <c r="G96" s="93"/>
      <c r="I96" t="s">
        <v>181</v>
      </c>
      <c r="J96" s="27">
        <f t="shared" si="2"/>
        <v>250000</v>
      </c>
      <c r="K96" s="27">
        <f t="shared" si="3"/>
        <v>0</v>
      </c>
    </row>
    <row r="97" spans="1:11" customFormat="1" x14ac:dyDescent="0.35">
      <c r="A97" t="s">
        <v>521</v>
      </c>
      <c r="B97" s="27">
        <v>500000</v>
      </c>
      <c r="C97" s="27">
        <v>0</v>
      </c>
      <c r="E97" s="92" t="s">
        <v>521</v>
      </c>
      <c r="F97" s="93">
        <v>500000</v>
      </c>
      <c r="G97" s="93">
        <v>0</v>
      </c>
      <c r="I97" t="s">
        <v>521</v>
      </c>
      <c r="J97" s="27">
        <f t="shared" si="2"/>
        <v>0</v>
      </c>
      <c r="K97" s="27">
        <f t="shared" si="3"/>
        <v>0</v>
      </c>
    </row>
    <row r="98" spans="1:11" customFormat="1" x14ac:dyDescent="0.35">
      <c r="A98" t="s">
        <v>329</v>
      </c>
      <c r="B98" s="27">
        <v>350000</v>
      </c>
      <c r="C98" s="27">
        <v>0</v>
      </c>
      <c r="E98" s="92"/>
      <c r="F98" s="93"/>
      <c r="G98" s="93"/>
      <c r="I98" t="s">
        <v>329</v>
      </c>
      <c r="J98" s="27">
        <f t="shared" si="2"/>
        <v>350000</v>
      </c>
      <c r="K98" s="27">
        <f t="shared" si="3"/>
        <v>0</v>
      </c>
    </row>
    <row r="99" spans="1:11" customFormat="1" x14ac:dyDescent="0.35">
      <c r="A99" t="s">
        <v>1288</v>
      </c>
      <c r="B99" s="27">
        <v>100000</v>
      </c>
      <c r="C99" s="27">
        <v>5075758</v>
      </c>
      <c r="E99" s="92" t="s">
        <v>1288</v>
      </c>
      <c r="F99" s="93">
        <v>100000</v>
      </c>
      <c r="G99" s="93">
        <v>5075758</v>
      </c>
      <c r="I99" t="s">
        <v>1288</v>
      </c>
      <c r="J99" s="27">
        <f t="shared" si="2"/>
        <v>0</v>
      </c>
      <c r="K99" s="27">
        <f t="shared" si="3"/>
        <v>0</v>
      </c>
    </row>
    <row r="100" spans="1:11" customFormat="1" x14ac:dyDescent="0.35">
      <c r="A100" t="s">
        <v>1358</v>
      </c>
      <c r="B100" s="27">
        <v>100000</v>
      </c>
      <c r="C100" s="27">
        <v>0</v>
      </c>
      <c r="E100" s="92" t="s">
        <v>1358</v>
      </c>
      <c r="F100" s="93">
        <v>100000</v>
      </c>
      <c r="G100" s="93">
        <v>0</v>
      </c>
      <c r="I100" t="s">
        <v>1358</v>
      </c>
      <c r="J100" s="27">
        <f t="shared" si="2"/>
        <v>0</v>
      </c>
      <c r="K100" s="27">
        <f t="shared" si="3"/>
        <v>0</v>
      </c>
    </row>
    <row r="101" spans="1:11" customFormat="1" x14ac:dyDescent="0.35">
      <c r="A101" t="s">
        <v>1184</v>
      </c>
      <c r="B101" s="27">
        <v>250000</v>
      </c>
      <c r="C101" s="27">
        <v>0</v>
      </c>
      <c r="E101" s="92"/>
      <c r="F101" s="93"/>
      <c r="G101" s="93"/>
      <c r="I101" t="s">
        <v>1184</v>
      </c>
      <c r="J101" s="27">
        <f t="shared" si="2"/>
        <v>250000</v>
      </c>
      <c r="K101" s="27">
        <f t="shared" si="3"/>
        <v>0</v>
      </c>
    </row>
    <row r="102" spans="1:11" customFormat="1" x14ac:dyDescent="0.35">
      <c r="A102" t="s">
        <v>176</v>
      </c>
      <c r="B102" s="27">
        <v>250000</v>
      </c>
      <c r="C102" s="27">
        <v>0</v>
      </c>
      <c r="E102" s="92"/>
      <c r="F102" s="93"/>
      <c r="G102" s="93"/>
      <c r="I102" t="s">
        <v>176</v>
      </c>
      <c r="J102" s="27">
        <f t="shared" si="2"/>
        <v>250000</v>
      </c>
      <c r="K102" s="27">
        <f t="shared" si="3"/>
        <v>0</v>
      </c>
    </row>
    <row r="103" spans="1:11" customFormat="1" x14ac:dyDescent="0.35">
      <c r="A103" t="s">
        <v>529</v>
      </c>
      <c r="B103" s="27">
        <v>250000</v>
      </c>
      <c r="C103" s="27">
        <v>0</v>
      </c>
      <c r="E103" s="94" t="s">
        <v>529</v>
      </c>
      <c r="F103" s="93">
        <v>250000</v>
      </c>
      <c r="G103" s="93">
        <v>0</v>
      </c>
      <c r="I103" t="s">
        <v>529</v>
      </c>
      <c r="J103" s="27">
        <f t="shared" si="2"/>
        <v>0</v>
      </c>
      <c r="K103" s="27">
        <f t="shared" si="3"/>
        <v>0</v>
      </c>
    </row>
    <row r="104" spans="1:11" customFormat="1" x14ac:dyDescent="0.35">
      <c r="A104" t="s">
        <v>1296</v>
      </c>
      <c r="B104" s="27">
        <v>250000</v>
      </c>
      <c r="C104" s="27">
        <v>0</v>
      </c>
      <c r="E104" s="92" t="s">
        <v>1296</v>
      </c>
      <c r="F104" s="93">
        <v>250000</v>
      </c>
      <c r="G104" s="93">
        <v>0</v>
      </c>
      <c r="I104" t="s">
        <v>1296</v>
      </c>
      <c r="J104" s="27">
        <f t="shared" si="2"/>
        <v>0</v>
      </c>
      <c r="K104" s="27">
        <f t="shared" si="3"/>
        <v>0</v>
      </c>
    </row>
    <row r="105" spans="1:11" customFormat="1" x14ac:dyDescent="0.35">
      <c r="A105" t="s">
        <v>1360</v>
      </c>
      <c r="B105" s="27">
        <v>250000</v>
      </c>
      <c r="C105" s="27">
        <v>0</v>
      </c>
      <c r="E105" s="92" t="s">
        <v>1360</v>
      </c>
      <c r="F105" s="93">
        <v>250000</v>
      </c>
      <c r="G105" s="93">
        <v>0</v>
      </c>
      <c r="I105" t="s">
        <v>1360</v>
      </c>
      <c r="J105" s="27">
        <f t="shared" si="2"/>
        <v>0</v>
      </c>
      <c r="K105" s="27">
        <f t="shared" si="3"/>
        <v>0</v>
      </c>
    </row>
    <row r="106" spans="1:11" customFormat="1" x14ac:dyDescent="0.35">
      <c r="A106" t="s">
        <v>22</v>
      </c>
      <c r="B106" s="27">
        <v>150000</v>
      </c>
      <c r="C106" s="27">
        <v>0</v>
      </c>
      <c r="E106" s="92"/>
      <c r="F106" s="93"/>
      <c r="G106" s="93"/>
      <c r="I106" t="s">
        <v>22</v>
      </c>
      <c r="J106" s="27">
        <f t="shared" si="2"/>
        <v>150000</v>
      </c>
      <c r="K106" s="27">
        <f t="shared" si="3"/>
        <v>0</v>
      </c>
    </row>
    <row r="107" spans="1:11" customFormat="1" x14ac:dyDescent="0.35">
      <c r="A107" t="s">
        <v>1266</v>
      </c>
      <c r="B107" s="27">
        <v>150000</v>
      </c>
      <c r="C107" s="27">
        <v>0</v>
      </c>
      <c r="E107" s="92" t="s">
        <v>1266</v>
      </c>
      <c r="F107" s="93">
        <v>150000</v>
      </c>
      <c r="G107" s="93">
        <v>0</v>
      </c>
      <c r="I107" t="s">
        <v>1266</v>
      </c>
      <c r="J107" s="27">
        <f t="shared" si="2"/>
        <v>0</v>
      </c>
      <c r="K107" s="27">
        <f t="shared" si="3"/>
        <v>0</v>
      </c>
    </row>
    <row r="108" spans="1:11" customFormat="1" x14ac:dyDescent="0.35">
      <c r="A108" t="s">
        <v>473</v>
      </c>
      <c r="B108" s="27">
        <v>150000</v>
      </c>
      <c r="C108" s="27">
        <v>0</v>
      </c>
      <c r="E108" s="92"/>
      <c r="F108" s="93"/>
      <c r="G108" s="93"/>
      <c r="I108" t="s">
        <v>473</v>
      </c>
      <c r="J108" s="27">
        <f t="shared" si="2"/>
        <v>150000</v>
      </c>
      <c r="K108" s="27">
        <f t="shared" si="3"/>
        <v>0</v>
      </c>
    </row>
    <row r="109" spans="1:11" customFormat="1" x14ac:dyDescent="0.35">
      <c r="A109" t="s">
        <v>279</v>
      </c>
      <c r="B109" s="27">
        <v>150000</v>
      </c>
      <c r="C109" s="27">
        <v>0</v>
      </c>
      <c r="E109" s="92"/>
      <c r="F109" s="93"/>
      <c r="G109" s="93"/>
      <c r="I109" t="s">
        <v>279</v>
      </c>
      <c r="J109" s="27">
        <f t="shared" si="2"/>
        <v>150000</v>
      </c>
      <c r="K109" s="27">
        <f t="shared" si="3"/>
        <v>0</v>
      </c>
    </row>
    <row r="110" spans="1:11" customFormat="1" x14ac:dyDescent="0.35">
      <c r="A110" t="s">
        <v>38</v>
      </c>
      <c r="B110" s="27">
        <v>250000</v>
      </c>
      <c r="C110" s="27">
        <v>0</v>
      </c>
      <c r="E110" s="92"/>
      <c r="F110" s="93"/>
      <c r="G110" s="93"/>
      <c r="I110" t="s">
        <v>38</v>
      </c>
      <c r="J110" s="27">
        <f t="shared" si="2"/>
        <v>250000</v>
      </c>
      <c r="K110" s="27">
        <f t="shared" si="3"/>
        <v>0</v>
      </c>
    </row>
    <row r="111" spans="1:11" customFormat="1" x14ac:dyDescent="0.35">
      <c r="A111" t="s">
        <v>1298</v>
      </c>
      <c r="B111" s="27">
        <v>150000</v>
      </c>
      <c r="C111" s="27">
        <v>4863285</v>
      </c>
      <c r="E111" s="92" t="s">
        <v>1298</v>
      </c>
      <c r="F111" s="93">
        <v>150000</v>
      </c>
      <c r="G111" s="93">
        <v>4863285</v>
      </c>
      <c r="I111" t="s">
        <v>1298</v>
      </c>
      <c r="J111" s="27">
        <f t="shared" si="2"/>
        <v>0</v>
      </c>
      <c r="K111" s="27">
        <f t="shared" si="3"/>
        <v>0</v>
      </c>
    </row>
    <row r="112" spans="1:11" customFormat="1" x14ac:dyDescent="0.35">
      <c r="A112" t="s">
        <v>1312</v>
      </c>
      <c r="B112" s="27">
        <v>350000</v>
      </c>
      <c r="C112" s="27">
        <v>0</v>
      </c>
      <c r="E112" s="92" t="s">
        <v>1312</v>
      </c>
      <c r="F112" s="93">
        <v>350000</v>
      </c>
      <c r="G112" s="93">
        <v>0</v>
      </c>
      <c r="I112" t="s">
        <v>1312</v>
      </c>
      <c r="J112" s="27">
        <f t="shared" si="2"/>
        <v>0</v>
      </c>
      <c r="K112" s="27">
        <f t="shared" si="3"/>
        <v>0</v>
      </c>
    </row>
    <row r="113" spans="1:18" x14ac:dyDescent="0.35">
      <c r="A113" t="s">
        <v>1268</v>
      </c>
      <c r="B113" s="27">
        <v>150000</v>
      </c>
      <c r="C113" s="27">
        <v>0</v>
      </c>
      <c r="E113" s="92" t="s">
        <v>1268</v>
      </c>
      <c r="F113" s="93">
        <v>150000</v>
      </c>
      <c r="G113" s="93">
        <v>0</v>
      </c>
      <c r="I113" t="s">
        <v>1268</v>
      </c>
      <c r="J113" s="27">
        <f t="shared" si="2"/>
        <v>0</v>
      </c>
      <c r="K113" s="27">
        <f t="shared" si="3"/>
        <v>0</v>
      </c>
      <c r="N113"/>
      <c r="O113"/>
      <c r="Q113"/>
      <c r="R113"/>
    </row>
    <row r="114" spans="1:18" x14ac:dyDescent="0.35">
      <c r="A114" t="s">
        <v>129</v>
      </c>
      <c r="B114" s="27">
        <v>150000</v>
      </c>
      <c r="C114" s="27">
        <v>0</v>
      </c>
      <c r="E114" s="92"/>
      <c r="F114" s="93"/>
      <c r="G114" s="93"/>
      <c r="I114" t="s">
        <v>129</v>
      </c>
      <c r="J114" s="27">
        <f t="shared" si="2"/>
        <v>150000</v>
      </c>
      <c r="K114" s="27">
        <f t="shared" si="3"/>
        <v>0</v>
      </c>
      <c r="N114"/>
      <c r="O114"/>
      <c r="Q114"/>
      <c r="R114"/>
    </row>
    <row r="115" spans="1:18" x14ac:dyDescent="0.35">
      <c r="A115" t="s">
        <v>1371</v>
      </c>
      <c r="B115" s="27">
        <v>150000</v>
      </c>
      <c r="C115" s="27">
        <v>0</v>
      </c>
      <c r="E115" s="92" t="s">
        <v>1371</v>
      </c>
      <c r="F115" s="93">
        <v>150000</v>
      </c>
      <c r="G115" s="93">
        <v>0</v>
      </c>
      <c r="I115" t="s">
        <v>1371</v>
      </c>
      <c r="J115" s="27">
        <f t="shared" si="2"/>
        <v>0</v>
      </c>
      <c r="K115" s="27">
        <f t="shared" si="3"/>
        <v>0</v>
      </c>
      <c r="N115"/>
      <c r="O115"/>
      <c r="Q115"/>
      <c r="R115"/>
    </row>
    <row r="116" spans="1:18" x14ac:dyDescent="0.35">
      <c r="A116" t="s">
        <v>434</v>
      </c>
      <c r="B116" s="27">
        <v>250000</v>
      </c>
      <c r="C116" s="27">
        <v>0</v>
      </c>
      <c r="E116" s="92"/>
      <c r="F116" s="93"/>
      <c r="G116" s="93"/>
      <c r="I116" t="s">
        <v>434</v>
      </c>
      <c r="J116" s="27">
        <f t="shared" si="2"/>
        <v>250000</v>
      </c>
      <c r="K116" s="27">
        <f t="shared" si="3"/>
        <v>0</v>
      </c>
      <c r="N116"/>
      <c r="O116"/>
      <c r="Q116"/>
      <c r="R116"/>
    </row>
    <row r="117" spans="1:18" x14ac:dyDescent="0.35">
      <c r="A117" t="s">
        <v>573</v>
      </c>
      <c r="B117" s="27">
        <v>250000</v>
      </c>
      <c r="C117" s="27">
        <v>0</v>
      </c>
      <c r="E117" s="92"/>
      <c r="F117" s="93"/>
      <c r="G117" s="93"/>
      <c r="I117" t="s">
        <v>573</v>
      </c>
      <c r="J117" s="27">
        <f t="shared" si="2"/>
        <v>250000</v>
      </c>
      <c r="K117" s="27">
        <f t="shared" si="3"/>
        <v>0</v>
      </c>
      <c r="N117"/>
      <c r="O117"/>
      <c r="Q117"/>
      <c r="R117"/>
    </row>
    <row r="118" spans="1:18" x14ac:dyDescent="0.35">
      <c r="A118" t="s">
        <v>479</v>
      </c>
      <c r="B118" s="27">
        <v>150000</v>
      </c>
      <c r="C118" s="27">
        <v>0</v>
      </c>
      <c r="E118" s="92"/>
      <c r="F118" s="93"/>
      <c r="G118" s="93"/>
      <c r="I118" t="s">
        <v>479</v>
      </c>
      <c r="J118" s="27">
        <f t="shared" si="2"/>
        <v>150000</v>
      </c>
      <c r="K118" s="27">
        <f t="shared" si="3"/>
        <v>0</v>
      </c>
      <c r="N118"/>
      <c r="O118"/>
      <c r="Q118"/>
      <c r="R118"/>
    </row>
    <row r="119" spans="1:18" x14ac:dyDescent="0.35">
      <c r="A119" t="s">
        <v>1270</v>
      </c>
      <c r="B119" s="27">
        <v>150000</v>
      </c>
      <c r="C119" s="27">
        <v>985417</v>
      </c>
      <c r="E119" s="92" t="s">
        <v>1270</v>
      </c>
      <c r="F119" s="93">
        <v>150000</v>
      </c>
      <c r="G119" s="93">
        <v>985417</v>
      </c>
      <c r="I119" t="s">
        <v>1270</v>
      </c>
      <c r="J119" s="27">
        <f t="shared" si="2"/>
        <v>0</v>
      </c>
      <c r="K119" s="27">
        <f t="shared" si="3"/>
        <v>0</v>
      </c>
      <c r="N119"/>
      <c r="O119"/>
      <c r="Q119"/>
      <c r="R119"/>
    </row>
    <row r="120" spans="1:18" x14ac:dyDescent="0.35">
      <c r="A120" t="s">
        <v>509</v>
      </c>
      <c r="B120" s="27">
        <v>150000</v>
      </c>
      <c r="C120" s="27">
        <v>0</v>
      </c>
      <c r="E120" s="92" t="s">
        <v>509</v>
      </c>
      <c r="F120" s="93">
        <v>150000</v>
      </c>
      <c r="G120" s="93">
        <v>0</v>
      </c>
      <c r="I120" t="s">
        <v>509</v>
      </c>
      <c r="J120" s="27">
        <f t="shared" si="2"/>
        <v>0</v>
      </c>
      <c r="K120" s="27">
        <f t="shared" si="3"/>
        <v>0</v>
      </c>
      <c r="N120"/>
      <c r="O120"/>
      <c r="Q120"/>
      <c r="R120"/>
    </row>
    <row r="121" spans="1:18" x14ac:dyDescent="0.35">
      <c r="A121" t="s">
        <v>519</v>
      </c>
      <c r="B121" s="27">
        <v>150000</v>
      </c>
      <c r="C121" s="27">
        <v>0</v>
      </c>
      <c r="E121" s="92" t="s">
        <v>519</v>
      </c>
      <c r="F121" s="93">
        <v>150000</v>
      </c>
      <c r="G121" s="93">
        <v>0</v>
      </c>
      <c r="I121" t="s">
        <v>519</v>
      </c>
      <c r="J121" s="27">
        <f t="shared" si="2"/>
        <v>0</v>
      </c>
      <c r="K121" s="27">
        <f t="shared" si="3"/>
        <v>0</v>
      </c>
      <c r="N121"/>
      <c r="O121"/>
      <c r="Q121"/>
      <c r="R121"/>
    </row>
    <row r="122" spans="1:18" x14ac:dyDescent="0.35">
      <c r="A122" t="s">
        <v>135</v>
      </c>
      <c r="B122" s="27">
        <v>150000</v>
      </c>
      <c r="C122" s="27">
        <v>0</v>
      </c>
      <c r="E122" s="92"/>
      <c r="F122" s="93"/>
      <c r="G122" s="93"/>
      <c r="I122" t="s">
        <v>135</v>
      </c>
      <c r="J122" s="27">
        <f t="shared" si="2"/>
        <v>150000</v>
      </c>
      <c r="K122" s="27">
        <f t="shared" si="3"/>
        <v>0</v>
      </c>
      <c r="N122"/>
      <c r="O122"/>
      <c r="Q122"/>
      <c r="R122"/>
    </row>
    <row r="123" spans="1:18" x14ac:dyDescent="0.35">
      <c r="A123" t="s">
        <v>81</v>
      </c>
      <c r="B123" s="27">
        <v>150000</v>
      </c>
      <c r="C123" s="27">
        <v>2500000</v>
      </c>
      <c r="E123" s="92"/>
      <c r="F123" s="93"/>
      <c r="G123" s="93"/>
      <c r="I123" t="s">
        <v>81</v>
      </c>
      <c r="J123" s="27">
        <f t="shared" si="2"/>
        <v>150000</v>
      </c>
      <c r="K123" s="27">
        <f t="shared" si="3"/>
        <v>2500000</v>
      </c>
      <c r="M123" t="s">
        <v>2262</v>
      </c>
      <c r="N123" s="19">
        <v>2500000</v>
      </c>
    </row>
    <row r="124" spans="1:18" x14ac:dyDescent="0.35">
      <c r="A124" t="s">
        <v>261</v>
      </c>
      <c r="B124" s="27">
        <v>100000</v>
      </c>
      <c r="C124" s="27">
        <v>0</v>
      </c>
      <c r="E124" s="92"/>
      <c r="F124" s="93"/>
      <c r="G124" s="93"/>
      <c r="I124" t="s">
        <v>261</v>
      </c>
      <c r="J124" s="27">
        <f t="shared" si="2"/>
        <v>100000</v>
      </c>
      <c r="K124" s="27">
        <f t="shared" si="3"/>
        <v>0</v>
      </c>
      <c r="N124"/>
      <c r="O124"/>
      <c r="Q124"/>
      <c r="R124"/>
    </row>
    <row r="125" spans="1:18" x14ac:dyDescent="0.35">
      <c r="A125" t="s">
        <v>147</v>
      </c>
      <c r="B125" s="27">
        <v>250000</v>
      </c>
      <c r="C125" s="27">
        <v>0</v>
      </c>
      <c r="E125" s="92"/>
      <c r="F125" s="93"/>
      <c r="G125" s="93"/>
      <c r="I125" t="s">
        <v>147</v>
      </c>
      <c r="J125" s="27">
        <f t="shared" si="2"/>
        <v>250000</v>
      </c>
      <c r="K125" s="27">
        <f t="shared" si="3"/>
        <v>0</v>
      </c>
      <c r="N125"/>
      <c r="O125"/>
      <c r="Q125"/>
      <c r="R125"/>
    </row>
    <row r="126" spans="1:18" x14ac:dyDescent="0.35">
      <c r="A126" t="s">
        <v>1272</v>
      </c>
      <c r="B126" s="27">
        <v>100000</v>
      </c>
      <c r="C126" s="27">
        <v>2500000</v>
      </c>
      <c r="E126" s="92" t="s">
        <v>1272</v>
      </c>
      <c r="F126" s="93">
        <v>100000</v>
      </c>
      <c r="G126" s="93">
        <v>2500000</v>
      </c>
      <c r="I126" t="s">
        <v>1272</v>
      </c>
      <c r="J126" s="27">
        <f t="shared" si="2"/>
        <v>0</v>
      </c>
      <c r="K126" s="27">
        <f t="shared" si="3"/>
        <v>0</v>
      </c>
      <c r="N126"/>
      <c r="O126"/>
      <c r="Q126"/>
      <c r="R126"/>
    </row>
    <row r="127" spans="1:18" x14ac:dyDescent="0.35">
      <c r="A127" t="s">
        <v>1367</v>
      </c>
      <c r="B127" s="27">
        <v>100000</v>
      </c>
      <c r="C127" s="27">
        <v>0</v>
      </c>
      <c r="E127" s="92" t="s">
        <v>1367</v>
      </c>
      <c r="F127" s="93">
        <v>100000</v>
      </c>
      <c r="G127" s="93">
        <v>0</v>
      </c>
      <c r="I127" t="s">
        <v>1367</v>
      </c>
      <c r="J127" s="27">
        <f t="shared" si="2"/>
        <v>0</v>
      </c>
      <c r="K127" s="27">
        <f t="shared" si="3"/>
        <v>0</v>
      </c>
      <c r="N127"/>
      <c r="O127"/>
      <c r="Q127"/>
      <c r="R127"/>
    </row>
    <row r="128" spans="1:18" x14ac:dyDescent="0.35">
      <c r="A128" t="s">
        <v>60</v>
      </c>
      <c r="B128" s="27">
        <v>250000</v>
      </c>
      <c r="C128" s="27">
        <v>0</v>
      </c>
      <c r="E128" s="92"/>
      <c r="F128" s="93"/>
      <c r="G128" s="93"/>
      <c r="I128" t="s">
        <v>60</v>
      </c>
      <c r="J128" s="27">
        <f t="shared" si="2"/>
        <v>250000</v>
      </c>
      <c r="K128" s="27">
        <f t="shared" si="3"/>
        <v>0</v>
      </c>
      <c r="N128"/>
      <c r="O128"/>
      <c r="Q128"/>
      <c r="R128"/>
    </row>
    <row r="129" spans="1:11" customFormat="1" x14ac:dyDescent="0.35">
      <c r="A129" t="s">
        <v>505</v>
      </c>
      <c r="B129" s="27">
        <v>150000</v>
      </c>
      <c r="C129" s="27">
        <v>7597381</v>
      </c>
      <c r="E129" s="92" t="s">
        <v>505</v>
      </c>
      <c r="F129" s="93">
        <v>150000</v>
      </c>
      <c r="G129" s="93">
        <v>7597381</v>
      </c>
      <c r="I129" t="s">
        <v>505</v>
      </c>
      <c r="J129" s="27">
        <f t="shared" si="2"/>
        <v>0</v>
      </c>
      <c r="K129" s="27">
        <f t="shared" si="3"/>
        <v>0</v>
      </c>
    </row>
    <row r="130" spans="1:11" customFormat="1" x14ac:dyDescent="0.35">
      <c r="A130" t="s">
        <v>288</v>
      </c>
      <c r="B130" s="27">
        <v>150000</v>
      </c>
      <c r="C130" s="27">
        <v>0</v>
      </c>
      <c r="E130" s="92"/>
      <c r="F130" s="93"/>
      <c r="G130" s="93"/>
      <c r="I130" t="s">
        <v>288</v>
      </c>
      <c r="J130" s="27">
        <f t="shared" si="2"/>
        <v>150000</v>
      </c>
      <c r="K130" s="27">
        <f t="shared" si="3"/>
        <v>0</v>
      </c>
    </row>
    <row r="131" spans="1:11" customFormat="1" x14ac:dyDescent="0.35">
      <c r="A131" t="s">
        <v>577</v>
      </c>
      <c r="B131" s="27">
        <v>150000</v>
      </c>
      <c r="C131" s="27">
        <v>0</v>
      </c>
      <c r="E131" s="92"/>
      <c r="F131" s="93"/>
      <c r="G131" s="93"/>
      <c r="I131" t="s">
        <v>577</v>
      </c>
      <c r="J131" s="27">
        <f t="shared" si="2"/>
        <v>150000</v>
      </c>
      <c r="K131" s="27">
        <f t="shared" si="3"/>
        <v>0</v>
      </c>
    </row>
    <row r="132" spans="1:11" customFormat="1" x14ac:dyDescent="0.35">
      <c r="A132" t="s">
        <v>1256</v>
      </c>
      <c r="B132" s="27">
        <v>250000</v>
      </c>
      <c r="C132" s="27">
        <v>0</v>
      </c>
      <c r="E132" s="92" t="s">
        <v>1256</v>
      </c>
      <c r="F132" s="93">
        <v>250000</v>
      </c>
      <c r="G132" s="93">
        <v>0</v>
      </c>
      <c r="I132" t="s">
        <v>1256</v>
      </c>
      <c r="J132" s="27">
        <f t="shared" ref="J132:J153" si="4">B132-F132</f>
        <v>0</v>
      </c>
      <c r="K132" s="27">
        <f t="shared" ref="K132:K153" si="5">C132-G132</f>
        <v>0</v>
      </c>
    </row>
    <row r="133" spans="1:11" customFormat="1" x14ac:dyDescent="0.35">
      <c r="A133" t="s">
        <v>220</v>
      </c>
      <c r="B133" s="27">
        <v>250000</v>
      </c>
      <c r="C133" s="27">
        <v>0</v>
      </c>
      <c r="E133" s="92"/>
      <c r="F133" s="93"/>
      <c r="G133" s="93"/>
      <c r="I133" t="s">
        <v>220</v>
      </c>
      <c r="J133" s="27">
        <f t="shared" si="4"/>
        <v>250000</v>
      </c>
      <c r="K133" s="27">
        <f t="shared" si="5"/>
        <v>0</v>
      </c>
    </row>
    <row r="134" spans="1:11" customFormat="1" x14ac:dyDescent="0.35">
      <c r="A134" t="s">
        <v>1246</v>
      </c>
      <c r="B134" s="27">
        <v>150000</v>
      </c>
      <c r="C134" s="27">
        <v>958333</v>
      </c>
      <c r="E134" s="92" t="s">
        <v>1246</v>
      </c>
      <c r="F134" s="93">
        <v>150000</v>
      </c>
      <c r="G134" s="93">
        <v>958333</v>
      </c>
      <c r="I134" t="s">
        <v>1246</v>
      </c>
      <c r="J134" s="27">
        <f t="shared" si="4"/>
        <v>0</v>
      </c>
      <c r="K134" s="27">
        <f t="shared" si="5"/>
        <v>0</v>
      </c>
    </row>
    <row r="135" spans="1:11" customFormat="1" x14ac:dyDescent="0.35">
      <c r="A135" t="s">
        <v>1284</v>
      </c>
      <c r="B135" s="27">
        <v>150000</v>
      </c>
      <c r="C135" s="27">
        <v>3687500</v>
      </c>
      <c r="E135" s="92" t="s">
        <v>1284</v>
      </c>
      <c r="F135" s="93">
        <v>150000</v>
      </c>
      <c r="G135" s="93">
        <v>3687500</v>
      </c>
      <c r="I135" t="s">
        <v>1284</v>
      </c>
      <c r="J135" s="27">
        <f t="shared" si="4"/>
        <v>0</v>
      </c>
      <c r="K135" s="27">
        <f t="shared" si="5"/>
        <v>0</v>
      </c>
    </row>
    <row r="136" spans="1:11" customFormat="1" x14ac:dyDescent="0.35">
      <c r="A136" t="s">
        <v>1131</v>
      </c>
      <c r="B136" s="27">
        <v>250000</v>
      </c>
      <c r="C136" s="27">
        <v>0</v>
      </c>
      <c r="E136" s="92"/>
      <c r="F136" s="93"/>
      <c r="G136" s="93"/>
      <c r="I136" t="s">
        <v>1131</v>
      </c>
      <c r="J136" s="27">
        <f t="shared" si="4"/>
        <v>250000</v>
      </c>
      <c r="K136" s="27">
        <f t="shared" si="5"/>
        <v>0</v>
      </c>
    </row>
    <row r="137" spans="1:11" customFormat="1" x14ac:dyDescent="0.35">
      <c r="A137" t="s">
        <v>1349</v>
      </c>
      <c r="B137" s="27">
        <v>100000</v>
      </c>
      <c r="C137" s="27">
        <v>0</v>
      </c>
      <c r="E137" s="92" t="s">
        <v>1349</v>
      </c>
      <c r="F137" s="93">
        <v>100000</v>
      </c>
      <c r="G137" s="93">
        <v>0</v>
      </c>
      <c r="I137" t="s">
        <v>1349</v>
      </c>
      <c r="J137" s="27">
        <f t="shared" si="4"/>
        <v>0</v>
      </c>
      <c r="K137" s="27">
        <f t="shared" si="5"/>
        <v>0</v>
      </c>
    </row>
    <row r="138" spans="1:11" customFormat="1" x14ac:dyDescent="0.35">
      <c r="A138" t="s">
        <v>475</v>
      </c>
      <c r="B138" s="27">
        <v>250000</v>
      </c>
      <c r="C138" s="27">
        <v>0</v>
      </c>
      <c r="E138" s="92"/>
      <c r="F138" s="93"/>
      <c r="G138" s="93"/>
      <c r="I138" t="s">
        <v>475</v>
      </c>
      <c r="J138" s="27">
        <f t="shared" si="4"/>
        <v>250000</v>
      </c>
      <c r="K138" s="27">
        <f t="shared" si="5"/>
        <v>0</v>
      </c>
    </row>
    <row r="139" spans="1:11" customFormat="1" x14ac:dyDescent="0.35">
      <c r="A139" t="s">
        <v>511</v>
      </c>
      <c r="B139" s="27">
        <v>150000</v>
      </c>
      <c r="C139" s="27">
        <v>0</v>
      </c>
      <c r="E139" s="92" t="s">
        <v>511</v>
      </c>
      <c r="F139" s="93">
        <v>150000</v>
      </c>
      <c r="G139" s="93">
        <v>0</v>
      </c>
      <c r="I139" t="s">
        <v>511</v>
      </c>
      <c r="J139" s="27">
        <f t="shared" si="4"/>
        <v>0</v>
      </c>
      <c r="K139" s="27">
        <f t="shared" si="5"/>
        <v>0</v>
      </c>
    </row>
    <row r="140" spans="1:11" customFormat="1" x14ac:dyDescent="0.35">
      <c r="A140" t="s">
        <v>1336</v>
      </c>
      <c r="B140" s="27">
        <v>350000</v>
      </c>
      <c r="C140" s="27">
        <v>11907732</v>
      </c>
      <c r="E140" s="92" t="s">
        <v>1336</v>
      </c>
      <c r="F140" s="93">
        <v>350000</v>
      </c>
      <c r="G140" s="93">
        <v>11907732</v>
      </c>
      <c r="I140" t="s">
        <v>1336</v>
      </c>
      <c r="J140" s="27">
        <f t="shared" si="4"/>
        <v>0</v>
      </c>
      <c r="K140" s="27">
        <f t="shared" si="5"/>
        <v>0</v>
      </c>
    </row>
    <row r="141" spans="1:11" customFormat="1" x14ac:dyDescent="0.35">
      <c r="A141" t="s">
        <v>1343</v>
      </c>
      <c r="B141" s="27">
        <v>350000</v>
      </c>
      <c r="C141" s="27">
        <v>0</v>
      </c>
      <c r="E141" s="92" t="s">
        <v>1343</v>
      </c>
      <c r="F141" s="93">
        <v>350000</v>
      </c>
      <c r="G141" s="93">
        <v>0</v>
      </c>
      <c r="I141" t="s">
        <v>1343</v>
      </c>
      <c r="J141" s="27">
        <f t="shared" si="4"/>
        <v>0</v>
      </c>
      <c r="K141" s="27">
        <f t="shared" si="5"/>
        <v>0</v>
      </c>
    </row>
    <row r="142" spans="1:11" customFormat="1" x14ac:dyDescent="0.35">
      <c r="A142" t="s">
        <v>312</v>
      </c>
      <c r="B142" s="27">
        <v>150000</v>
      </c>
      <c r="C142" s="27">
        <v>0</v>
      </c>
      <c r="E142" s="92"/>
      <c r="F142" s="93"/>
      <c r="G142" s="93"/>
      <c r="I142" t="s">
        <v>312</v>
      </c>
      <c r="J142" s="27">
        <f t="shared" si="4"/>
        <v>150000</v>
      </c>
      <c r="K142" s="27">
        <f t="shared" si="5"/>
        <v>0</v>
      </c>
    </row>
    <row r="143" spans="1:11" customFormat="1" x14ac:dyDescent="0.35">
      <c r="A143" t="s">
        <v>531</v>
      </c>
      <c r="B143" s="27">
        <v>150000</v>
      </c>
      <c r="C143" s="27">
        <v>0</v>
      </c>
      <c r="E143" s="92" t="s">
        <v>531</v>
      </c>
      <c r="F143" s="93">
        <v>150000</v>
      </c>
      <c r="G143" s="93">
        <v>0</v>
      </c>
      <c r="I143" t="s">
        <v>531</v>
      </c>
      <c r="J143" s="27">
        <f t="shared" si="4"/>
        <v>0</v>
      </c>
      <c r="K143" s="27">
        <f t="shared" si="5"/>
        <v>0</v>
      </c>
    </row>
    <row r="144" spans="1:11" customFormat="1" x14ac:dyDescent="0.35">
      <c r="A144" t="s">
        <v>1338</v>
      </c>
      <c r="B144" s="27">
        <v>350000</v>
      </c>
      <c r="C144" s="27">
        <v>2500000</v>
      </c>
      <c r="E144" s="92" t="s">
        <v>1338</v>
      </c>
      <c r="F144" s="93">
        <v>350000</v>
      </c>
      <c r="G144" s="93">
        <v>2500000</v>
      </c>
      <c r="I144" t="s">
        <v>1338</v>
      </c>
      <c r="J144" s="27">
        <f t="shared" si="4"/>
        <v>0</v>
      </c>
      <c r="K144" s="27">
        <f t="shared" si="5"/>
        <v>0</v>
      </c>
    </row>
    <row r="145" spans="1:18" x14ac:dyDescent="0.35">
      <c r="A145" t="s">
        <v>174</v>
      </c>
      <c r="B145" s="27">
        <v>250000</v>
      </c>
      <c r="C145" s="27">
        <v>0</v>
      </c>
      <c r="E145" s="92"/>
      <c r="F145" s="93"/>
      <c r="G145" s="93"/>
      <c r="I145" t="s">
        <v>174</v>
      </c>
      <c r="J145" s="27">
        <f t="shared" si="4"/>
        <v>250000</v>
      </c>
      <c r="K145" s="27">
        <f t="shared" si="5"/>
        <v>0</v>
      </c>
      <c r="N145"/>
      <c r="O145"/>
      <c r="Q145"/>
      <c r="R145"/>
    </row>
    <row r="146" spans="1:18" x14ac:dyDescent="0.35">
      <c r="A146" t="s">
        <v>1317</v>
      </c>
      <c r="B146" s="27">
        <v>350000</v>
      </c>
      <c r="C146" s="27">
        <v>0</v>
      </c>
      <c r="E146" s="92" t="s">
        <v>1317</v>
      </c>
      <c r="F146" s="93">
        <v>350000</v>
      </c>
      <c r="G146" s="93">
        <v>0</v>
      </c>
      <c r="I146" t="s">
        <v>1317</v>
      </c>
      <c r="J146" s="27">
        <f t="shared" si="4"/>
        <v>0</v>
      </c>
      <c r="K146" s="27">
        <f t="shared" si="5"/>
        <v>0</v>
      </c>
      <c r="N146"/>
      <c r="O146"/>
      <c r="Q146"/>
      <c r="R146"/>
    </row>
    <row r="147" spans="1:18" x14ac:dyDescent="0.35">
      <c r="A147" t="s">
        <v>218</v>
      </c>
      <c r="B147" s="27">
        <v>350000</v>
      </c>
      <c r="C147" s="27">
        <v>0</v>
      </c>
      <c r="E147" s="92"/>
      <c r="F147" s="93"/>
      <c r="G147" s="93"/>
      <c r="I147" t="s">
        <v>218</v>
      </c>
      <c r="J147" s="27">
        <f t="shared" si="4"/>
        <v>350000</v>
      </c>
      <c r="K147" s="27">
        <f t="shared" si="5"/>
        <v>0</v>
      </c>
      <c r="N147"/>
      <c r="O147"/>
      <c r="Q147"/>
      <c r="R147"/>
    </row>
    <row r="148" spans="1:18" x14ac:dyDescent="0.35">
      <c r="A148" t="s">
        <v>405</v>
      </c>
      <c r="B148" s="27">
        <v>250000</v>
      </c>
      <c r="C148" s="27">
        <v>0</v>
      </c>
      <c r="E148" s="92"/>
      <c r="F148" s="93"/>
      <c r="G148" s="93"/>
      <c r="I148" t="s">
        <v>405</v>
      </c>
      <c r="J148" s="27">
        <f t="shared" si="4"/>
        <v>250000</v>
      </c>
      <c r="K148" s="27">
        <f t="shared" si="5"/>
        <v>0</v>
      </c>
      <c r="N148"/>
      <c r="O148"/>
      <c r="Q148"/>
      <c r="R148"/>
    </row>
    <row r="149" spans="1:18" x14ac:dyDescent="0.35">
      <c r="A149" t="s">
        <v>1254</v>
      </c>
      <c r="B149" s="27">
        <v>150000</v>
      </c>
      <c r="C149" s="27">
        <v>0</v>
      </c>
      <c r="E149" s="92" t="s">
        <v>1254</v>
      </c>
      <c r="F149" s="93">
        <v>150000</v>
      </c>
      <c r="G149" s="93">
        <v>0</v>
      </c>
      <c r="I149" t="s">
        <v>1254</v>
      </c>
      <c r="J149" s="27">
        <f t="shared" si="4"/>
        <v>0</v>
      </c>
      <c r="K149" s="27">
        <f t="shared" si="5"/>
        <v>0</v>
      </c>
      <c r="N149"/>
      <c r="O149"/>
      <c r="Q149"/>
      <c r="R149"/>
    </row>
    <row r="150" spans="1:18" x14ac:dyDescent="0.35">
      <c r="A150" t="s">
        <v>316</v>
      </c>
      <c r="B150" s="27">
        <v>150000</v>
      </c>
      <c r="C150" s="27">
        <v>0</v>
      </c>
      <c r="E150" s="92"/>
      <c r="F150" s="93"/>
      <c r="G150" s="93"/>
      <c r="I150" t="s">
        <v>316</v>
      </c>
      <c r="J150" s="27">
        <f t="shared" si="4"/>
        <v>150000</v>
      </c>
      <c r="K150" s="27">
        <f t="shared" si="5"/>
        <v>0</v>
      </c>
      <c r="N150"/>
      <c r="O150"/>
      <c r="Q150"/>
      <c r="R150"/>
    </row>
    <row r="151" spans="1:18" x14ac:dyDescent="0.35">
      <c r="A151" t="s">
        <v>201</v>
      </c>
      <c r="B151" s="27">
        <v>150000</v>
      </c>
      <c r="C151" s="27">
        <v>2310813</v>
      </c>
      <c r="E151" s="92"/>
      <c r="F151" s="93"/>
      <c r="G151" s="93"/>
      <c r="I151" t="s">
        <v>201</v>
      </c>
      <c r="J151" s="27">
        <f t="shared" si="4"/>
        <v>150000</v>
      </c>
      <c r="K151" s="27">
        <f t="shared" si="5"/>
        <v>2310813</v>
      </c>
      <c r="M151" t="s">
        <v>2247</v>
      </c>
      <c r="N151" s="19">
        <v>1402374</v>
      </c>
      <c r="O151" s="19">
        <v>908439</v>
      </c>
    </row>
    <row r="152" spans="1:18" x14ac:dyDescent="0.35">
      <c r="A152" t="s">
        <v>137</v>
      </c>
      <c r="B152" s="27">
        <v>150000</v>
      </c>
      <c r="C152" s="27">
        <v>0</v>
      </c>
      <c r="E152" s="92"/>
      <c r="F152" s="93"/>
      <c r="G152" s="93"/>
      <c r="I152" t="s">
        <v>137</v>
      </c>
      <c r="J152" s="27">
        <f t="shared" si="4"/>
        <v>150000</v>
      </c>
      <c r="K152" s="27">
        <f t="shared" si="5"/>
        <v>0</v>
      </c>
      <c r="N152"/>
      <c r="O152"/>
      <c r="Q152"/>
      <c r="R152"/>
    </row>
    <row r="153" spans="1:18" x14ac:dyDescent="0.35">
      <c r="E153" s="92"/>
      <c r="F153" s="93"/>
      <c r="G153" s="93"/>
      <c r="J153" s="27">
        <f t="shared" si="4"/>
        <v>0</v>
      </c>
      <c r="K153" s="27">
        <f t="shared" si="5"/>
        <v>0</v>
      </c>
      <c r="N153"/>
      <c r="O153"/>
      <c r="Q153"/>
      <c r="R153"/>
    </row>
    <row r="154" spans="1:18" x14ac:dyDescent="0.35">
      <c r="B154" s="27">
        <f>SUM(B3:B152)</f>
        <v>30650000</v>
      </c>
      <c r="C154" s="27">
        <f>SUM(C3:C152)</f>
        <v>104082041</v>
      </c>
      <c r="F154" s="27">
        <f>SUM(F3:F152)</f>
        <v>12050000</v>
      </c>
      <c r="G154" s="27">
        <f>SUM(G3:G152)</f>
        <v>78045735</v>
      </c>
      <c r="J154" s="27">
        <f>SUM(J3:J152)</f>
        <v>18600000</v>
      </c>
      <c r="K154" s="27">
        <f>SUM(K3:K152)</f>
        <v>26036306</v>
      </c>
    </row>
    <row r="155" spans="1:18" x14ac:dyDescent="0.35">
      <c r="C155" s="27">
        <f>B154+C154</f>
        <v>134732041</v>
      </c>
      <c r="E155" s="92"/>
      <c r="F155" s="92"/>
      <c r="G155" s="27">
        <f>F154+G154</f>
        <v>90095735</v>
      </c>
      <c r="K155" s="27">
        <f>J154+K154</f>
        <v>44636306</v>
      </c>
    </row>
    <row r="156" spans="1:18" x14ac:dyDescent="0.35">
      <c r="E156" s="92"/>
      <c r="F156" s="92"/>
      <c r="G156" s="95">
        <f>C155-G155</f>
        <v>44636306</v>
      </c>
    </row>
    <row r="157" spans="1:18" x14ac:dyDescent="0.35">
      <c r="E157" s="92"/>
      <c r="F157" s="92"/>
      <c r="G157" s="92"/>
    </row>
    <row r="158" spans="1:18" x14ac:dyDescent="0.35">
      <c r="E158" s="92"/>
      <c r="F158" s="92"/>
      <c r="G158" s="92"/>
    </row>
    <row r="159" spans="1:18" x14ac:dyDescent="0.35">
      <c r="E159" s="92"/>
      <c r="F159" s="92"/>
      <c r="G159" s="92"/>
    </row>
    <row r="160" spans="1:18" x14ac:dyDescent="0.35">
      <c r="E160" s="92"/>
      <c r="F160" s="92"/>
      <c r="G160" s="92"/>
    </row>
    <row r="161" spans="5:7" x14ac:dyDescent="0.35">
      <c r="E161" s="92"/>
      <c r="F161" s="92"/>
      <c r="G161" s="92"/>
    </row>
    <row r="162" spans="5:7" x14ac:dyDescent="0.35">
      <c r="E162" s="92"/>
      <c r="F162" s="92"/>
      <c r="G162" s="92"/>
    </row>
    <row r="163" spans="5:7" x14ac:dyDescent="0.35">
      <c r="E163" s="92"/>
      <c r="F163" s="92"/>
      <c r="G163" s="92"/>
    </row>
    <row r="164" spans="5:7" x14ac:dyDescent="0.35">
      <c r="E164" s="92"/>
      <c r="F164" s="92"/>
      <c r="G164" s="92"/>
    </row>
    <row r="165" spans="5:7" x14ac:dyDescent="0.35">
      <c r="E165" s="92"/>
      <c r="F165" s="92"/>
      <c r="G165" s="92"/>
    </row>
    <row r="166" spans="5:7" x14ac:dyDescent="0.35">
      <c r="E166" s="92"/>
      <c r="F166" s="92"/>
      <c r="G166" s="92"/>
    </row>
    <row r="167" spans="5:7" x14ac:dyDescent="0.35">
      <c r="E167" s="92"/>
      <c r="F167" s="92"/>
      <c r="G167" s="92"/>
    </row>
    <row r="168" spans="5:7" x14ac:dyDescent="0.35">
      <c r="E168" s="92"/>
      <c r="F168" s="92"/>
      <c r="G168" s="92"/>
    </row>
    <row r="169" spans="5:7" x14ac:dyDescent="0.35">
      <c r="E169" s="92"/>
      <c r="F169" s="92"/>
      <c r="G169" s="92"/>
    </row>
    <row r="170" spans="5:7" x14ac:dyDescent="0.35">
      <c r="E170" s="92"/>
      <c r="F170" s="92"/>
      <c r="G170" s="92"/>
    </row>
    <row r="171" spans="5:7" x14ac:dyDescent="0.35">
      <c r="E171" s="92"/>
      <c r="F171" s="92"/>
      <c r="G171" s="92"/>
    </row>
    <row r="172" spans="5:7" x14ac:dyDescent="0.35">
      <c r="E172" s="92"/>
      <c r="F172" s="92"/>
      <c r="G172" s="92"/>
    </row>
    <row r="173" spans="5:7" x14ac:dyDescent="0.35">
      <c r="E173" s="92"/>
      <c r="F173" s="92"/>
      <c r="G173" s="92"/>
    </row>
    <row r="174" spans="5:7" x14ac:dyDescent="0.35">
      <c r="E174" s="92"/>
      <c r="F174" s="92"/>
      <c r="G174" s="92"/>
    </row>
    <row r="175" spans="5:7" x14ac:dyDescent="0.35">
      <c r="E175" s="92"/>
      <c r="F175" s="92"/>
      <c r="G175" s="92"/>
    </row>
    <row r="176" spans="5:7" x14ac:dyDescent="0.35">
      <c r="E176" s="92"/>
      <c r="F176" s="92"/>
      <c r="G176" s="92"/>
    </row>
    <row r="177" spans="5:7" x14ac:dyDescent="0.35">
      <c r="E177" s="92"/>
      <c r="F177" s="92"/>
      <c r="G177" s="92"/>
    </row>
    <row r="178" spans="5:7" x14ac:dyDescent="0.35">
      <c r="E178" s="92"/>
      <c r="F178" s="92"/>
      <c r="G178" s="92"/>
    </row>
    <row r="179" spans="5:7" x14ac:dyDescent="0.35">
      <c r="E179" s="92"/>
      <c r="F179" s="92"/>
      <c r="G179" s="92"/>
    </row>
    <row r="180" spans="5:7" x14ac:dyDescent="0.35">
      <c r="E180" s="92"/>
      <c r="F180" s="92"/>
      <c r="G180" s="92"/>
    </row>
    <row r="181" spans="5:7" x14ac:dyDescent="0.35">
      <c r="E181" s="92"/>
      <c r="F181" s="92"/>
      <c r="G181" s="92"/>
    </row>
    <row r="182" spans="5:7" x14ac:dyDescent="0.35">
      <c r="E182" s="92"/>
      <c r="F182" s="92"/>
      <c r="G182" s="92"/>
    </row>
    <row r="183" spans="5:7" x14ac:dyDescent="0.35">
      <c r="E183" s="92"/>
      <c r="F183" s="92"/>
      <c r="G183" s="92"/>
    </row>
    <row r="184" spans="5:7" x14ac:dyDescent="0.35">
      <c r="E184" s="92"/>
      <c r="F184" s="92"/>
      <c r="G184" s="92"/>
    </row>
    <row r="185" spans="5:7" x14ac:dyDescent="0.35">
      <c r="E185" s="92"/>
      <c r="F185" s="92"/>
      <c r="G185" s="92"/>
    </row>
    <row r="186" spans="5:7" x14ac:dyDescent="0.35">
      <c r="E186" s="92"/>
      <c r="F186" s="92"/>
      <c r="G186" s="92"/>
    </row>
    <row r="187" spans="5:7" x14ac:dyDescent="0.35">
      <c r="E187" s="92"/>
      <c r="F187" s="92"/>
      <c r="G187" s="92"/>
    </row>
    <row r="188" spans="5:7" x14ac:dyDescent="0.35">
      <c r="E188" s="92"/>
      <c r="F188" s="92"/>
      <c r="G188" s="92"/>
    </row>
    <row r="189" spans="5:7" x14ac:dyDescent="0.35">
      <c r="E189" s="92"/>
      <c r="F189" s="92"/>
      <c r="G189" s="92"/>
    </row>
    <row r="190" spans="5:7" x14ac:dyDescent="0.35">
      <c r="E190" s="92"/>
      <c r="F190" s="92"/>
      <c r="G190" s="92"/>
    </row>
    <row r="191" spans="5:7" x14ac:dyDescent="0.35">
      <c r="E191" s="92"/>
      <c r="F191" s="92"/>
      <c r="G191" s="92"/>
    </row>
    <row r="192" spans="5:7" x14ac:dyDescent="0.35">
      <c r="E192" s="92"/>
      <c r="F192" s="92"/>
      <c r="G192" s="92"/>
    </row>
    <row r="193" spans="5:7" x14ac:dyDescent="0.35">
      <c r="E193" s="92"/>
      <c r="F193" s="92"/>
      <c r="G193" s="92"/>
    </row>
    <row r="194" spans="5:7" x14ac:dyDescent="0.35">
      <c r="E194" s="92"/>
      <c r="F194" s="92"/>
      <c r="G194" s="92"/>
    </row>
    <row r="195" spans="5:7" x14ac:dyDescent="0.35">
      <c r="E195" s="92"/>
      <c r="F195" s="92"/>
      <c r="G195" s="92"/>
    </row>
    <row r="196" spans="5:7" x14ac:dyDescent="0.35">
      <c r="E196" s="92"/>
      <c r="F196" s="92"/>
      <c r="G196" s="92"/>
    </row>
    <row r="197" spans="5:7" x14ac:dyDescent="0.35">
      <c r="E197" s="92"/>
      <c r="F197" s="92"/>
      <c r="G197" s="92"/>
    </row>
    <row r="198" spans="5:7" x14ac:dyDescent="0.35">
      <c r="E198" s="92"/>
      <c r="F198" s="92"/>
      <c r="G198" s="92"/>
    </row>
    <row r="199" spans="5:7" x14ac:dyDescent="0.35">
      <c r="E199" s="92"/>
      <c r="F199" s="92"/>
      <c r="G199" s="92"/>
    </row>
    <row r="200" spans="5:7" x14ac:dyDescent="0.35">
      <c r="E200" s="92"/>
      <c r="F200" s="92"/>
      <c r="G200" s="92"/>
    </row>
    <row r="201" spans="5:7" x14ac:dyDescent="0.35">
      <c r="E201" s="92"/>
      <c r="F201" s="92"/>
      <c r="G201" s="92"/>
    </row>
    <row r="202" spans="5:7" x14ac:dyDescent="0.35">
      <c r="E202" s="92"/>
      <c r="F202" s="92"/>
      <c r="G202" s="92"/>
    </row>
    <row r="203" spans="5:7" x14ac:dyDescent="0.35">
      <c r="E203" s="92"/>
      <c r="F203" s="92"/>
      <c r="G203" s="92"/>
    </row>
    <row r="204" spans="5:7" x14ac:dyDescent="0.35">
      <c r="E204" s="92"/>
      <c r="F204" s="92"/>
      <c r="G204" s="92"/>
    </row>
    <row r="205" spans="5:7" x14ac:dyDescent="0.35">
      <c r="E205" s="92"/>
      <c r="F205" s="92"/>
      <c r="G205" s="92"/>
    </row>
    <row r="206" spans="5:7" x14ac:dyDescent="0.35">
      <c r="E206" s="92"/>
      <c r="F206" s="92"/>
      <c r="G206" s="92"/>
    </row>
    <row r="207" spans="5:7" x14ac:dyDescent="0.35">
      <c r="E207" s="92"/>
      <c r="F207" s="92"/>
      <c r="G207" s="92"/>
    </row>
    <row r="208" spans="5:7" x14ac:dyDescent="0.35">
      <c r="E208" s="92"/>
      <c r="F208" s="92"/>
      <c r="G208" s="92"/>
    </row>
  </sheetData>
  <autoFilter ref="I2:K155" xr:uid="{B3A84DB8-EAC7-44B0-8C88-5CB4CF6D33D8}"/>
  <sortState xmlns:xlrd2="http://schemas.microsoft.com/office/spreadsheetml/2017/richdata2" ref="E5:G226">
    <sortCondition ref="E1:E226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31F4-3354-4418-A722-C29173C820C8}">
  <dimension ref="A3:J158"/>
  <sheetViews>
    <sheetView topLeftCell="A22" zoomScaleNormal="100" workbookViewId="0">
      <selection activeCell="G37" sqref="G37"/>
    </sheetView>
  </sheetViews>
  <sheetFormatPr defaultRowHeight="14.5" x14ac:dyDescent="0.35"/>
  <cols>
    <col min="1" max="1" width="31.08984375" customWidth="1"/>
    <col min="2" max="2" width="16.1796875" customWidth="1"/>
    <col min="3" max="3" width="17.90625" customWidth="1"/>
    <col min="4" max="4" width="5.26953125" customWidth="1"/>
    <col min="5" max="5" width="23" customWidth="1"/>
    <col min="6" max="6" width="17.7265625" customWidth="1"/>
    <col min="7" max="7" width="16.08984375" customWidth="1"/>
    <col min="8" max="8" width="5.08984375" customWidth="1"/>
    <col min="9" max="9" width="17.08984375" customWidth="1"/>
    <col min="10" max="10" width="13.7265625" customWidth="1"/>
  </cols>
  <sheetData>
    <row r="3" spans="1:10" x14ac:dyDescent="0.35">
      <c r="A3" s="34" t="s">
        <v>2075</v>
      </c>
      <c r="B3" s="31">
        <v>250000</v>
      </c>
      <c r="C3" s="31">
        <v>0</v>
      </c>
      <c r="E3" s="1" t="s">
        <v>542</v>
      </c>
      <c r="F3" s="2">
        <v>250000</v>
      </c>
      <c r="G3" s="2">
        <v>0</v>
      </c>
      <c r="I3" s="33">
        <f>B3-F3</f>
        <v>0</v>
      </c>
      <c r="J3" s="33">
        <f>C3-G3</f>
        <v>0</v>
      </c>
    </row>
    <row r="4" spans="1:10" x14ac:dyDescent="0.35">
      <c r="A4" s="34" t="s">
        <v>162</v>
      </c>
      <c r="B4" s="31">
        <v>150000</v>
      </c>
      <c r="C4" s="31">
        <v>0</v>
      </c>
      <c r="E4" s="1" t="s">
        <v>162</v>
      </c>
      <c r="F4" s="2">
        <v>150000</v>
      </c>
      <c r="G4" s="2">
        <v>0</v>
      </c>
      <c r="I4" s="33">
        <f t="shared" ref="I4:I9" si="0">B4-F4</f>
        <v>0</v>
      </c>
      <c r="J4" s="33">
        <f t="shared" ref="J4:J9" si="1">C4-G4</f>
        <v>0</v>
      </c>
    </row>
    <row r="5" spans="1:10" x14ac:dyDescent="0.35">
      <c r="A5" s="34" t="s">
        <v>2061</v>
      </c>
      <c r="B5" s="31">
        <v>150000</v>
      </c>
      <c r="C5" s="31">
        <v>3408467</v>
      </c>
      <c r="E5" s="1" t="s">
        <v>1292</v>
      </c>
      <c r="F5" s="2">
        <v>150000</v>
      </c>
      <c r="G5" s="2">
        <v>3408467</v>
      </c>
      <c r="I5" s="33">
        <f t="shared" si="0"/>
        <v>0</v>
      </c>
      <c r="J5" s="33">
        <f t="shared" si="1"/>
        <v>0</v>
      </c>
    </row>
    <row r="6" spans="1:10" x14ac:dyDescent="0.35">
      <c r="A6" s="34" t="s">
        <v>139</v>
      </c>
      <c r="B6" s="31">
        <v>150000</v>
      </c>
      <c r="C6" s="31">
        <v>0</v>
      </c>
      <c r="E6" s="1" t="s">
        <v>139</v>
      </c>
      <c r="F6" s="2">
        <v>150000</v>
      </c>
      <c r="G6" s="2">
        <v>0</v>
      </c>
      <c r="I6" s="33">
        <f t="shared" si="0"/>
        <v>0</v>
      </c>
      <c r="J6" s="33">
        <f t="shared" si="1"/>
        <v>0</v>
      </c>
    </row>
    <row r="7" spans="1:10" x14ac:dyDescent="0.35">
      <c r="A7" s="34" t="s">
        <v>2089</v>
      </c>
      <c r="B7" s="31">
        <v>250000</v>
      </c>
      <c r="C7" s="31">
        <v>0</v>
      </c>
      <c r="E7" s="1" t="s">
        <v>438</v>
      </c>
      <c r="F7" s="2">
        <v>250000</v>
      </c>
      <c r="G7" s="2">
        <v>0</v>
      </c>
      <c r="I7" s="33">
        <f t="shared" si="0"/>
        <v>0</v>
      </c>
      <c r="J7" s="33">
        <f t="shared" si="1"/>
        <v>0</v>
      </c>
    </row>
    <row r="8" spans="1:10" x14ac:dyDescent="0.35">
      <c r="A8" s="34" t="s">
        <v>469</v>
      </c>
      <c r="B8" s="31">
        <v>150000</v>
      </c>
      <c r="C8" s="31">
        <v>0</v>
      </c>
      <c r="E8" s="1" t="s">
        <v>469</v>
      </c>
      <c r="F8" s="2">
        <v>150000</v>
      </c>
      <c r="G8" s="2">
        <v>0</v>
      </c>
      <c r="I8" s="33">
        <f t="shared" si="0"/>
        <v>0</v>
      </c>
      <c r="J8" s="33">
        <f t="shared" si="1"/>
        <v>0</v>
      </c>
    </row>
    <row r="9" spans="1:10" x14ac:dyDescent="0.35">
      <c r="A9" s="34" t="s">
        <v>141</v>
      </c>
      <c r="B9" s="31">
        <v>150000</v>
      </c>
      <c r="C9" s="31">
        <v>0</v>
      </c>
      <c r="E9" s="1" t="s">
        <v>141</v>
      </c>
      <c r="F9" s="2">
        <v>150000</v>
      </c>
      <c r="G9" s="2">
        <v>0</v>
      </c>
      <c r="I9" s="33">
        <f t="shared" si="0"/>
        <v>0</v>
      </c>
      <c r="J9" s="33">
        <f t="shared" si="1"/>
        <v>0</v>
      </c>
    </row>
    <row r="10" spans="1:10" x14ac:dyDescent="0.35">
      <c r="A10" s="34" t="s">
        <v>2104</v>
      </c>
      <c r="B10" s="31">
        <v>150000</v>
      </c>
      <c r="C10" s="31">
        <v>0</v>
      </c>
      <c r="E10" s="1" t="s">
        <v>579</v>
      </c>
      <c r="F10" s="2">
        <v>150000</v>
      </c>
      <c r="G10" s="2">
        <v>0</v>
      </c>
      <c r="I10" s="33">
        <f t="shared" ref="I10" si="2">B10-F10</f>
        <v>0</v>
      </c>
      <c r="J10" s="33">
        <f t="shared" ref="J10" si="3">C10-G10</f>
        <v>0</v>
      </c>
    </row>
    <row r="11" spans="1:10" x14ac:dyDescent="0.35">
      <c r="A11" s="34" t="s">
        <v>2146</v>
      </c>
      <c r="B11" s="31">
        <v>250000</v>
      </c>
      <c r="C11" s="31">
        <v>1699127</v>
      </c>
      <c r="E11" s="1" t="s">
        <v>199</v>
      </c>
      <c r="F11" s="2">
        <v>250000</v>
      </c>
      <c r="G11" s="2">
        <v>1699127</v>
      </c>
      <c r="I11" s="33">
        <f t="shared" ref="I11:I16" si="4">B11-F11</f>
        <v>0</v>
      </c>
      <c r="J11" s="33">
        <f t="shared" ref="J11:J16" si="5">C11-G11</f>
        <v>0</v>
      </c>
    </row>
    <row r="12" spans="1:10" x14ac:dyDescent="0.35">
      <c r="A12" s="34" t="s">
        <v>2067</v>
      </c>
      <c r="B12" s="31">
        <v>250000</v>
      </c>
      <c r="C12" s="31">
        <v>0</v>
      </c>
      <c r="E12" s="1" t="s">
        <v>440</v>
      </c>
      <c r="F12" s="2">
        <v>250000</v>
      </c>
      <c r="G12" s="2">
        <v>0</v>
      </c>
      <c r="I12" s="33">
        <f t="shared" si="4"/>
        <v>0</v>
      </c>
      <c r="J12" s="33">
        <f t="shared" si="5"/>
        <v>0</v>
      </c>
    </row>
    <row r="13" spans="1:10" x14ac:dyDescent="0.35">
      <c r="A13" s="34"/>
      <c r="B13" s="31"/>
      <c r="C13" s="31"/>
      <c r="E13" s="3" t="s">
        <v>1322</v>
      </c>
      <c r="F13" s="2">
        <v>150000</v>
      </c>
      <c r="G13" s="2"/>
      <c r="I13" s="33">
        <f t="shared" si="4"/>
        <v>-150000</v>
      </c>
      <c r="J13" s="33">
        <f t="shared" si="5"/>
        <v>0</v>
      </c>
    </row>
    <row r="14" spans="1:10" x14ac:dyDescent="0.35">
      <c r="A14" s="34" t="s">
        <v>2072</v>
      </c>
      <c r="B14" s="31">
        <v>150000</v>
      </c>
      <c r="C14" s="31">
        <v>0</v>
      </c>
      <c r="E14" s="1" t="s">
        <v>314</v>
      </c>
      <c r="F14" s="2">
        <v>150000</v>
      </c>
      <c r="G14" s="2">
        <v>0</v>
      </c>
      <c r="I14" s="33">
        <f t="shared" si="4"/>
        <v>0</v>
      </c>
      <c r="J14" s="33">
        <f t="shared" si="5"/>
        <v>0</v>
      </c>
    </row>
    <row r="15" spans="1:10" x14ac:dyDescent="0.35">
      <c r="A15" s="34" t="s">
        <v>2052</v>
      </c>
      <c r="B15" s="31">
        <v>150000</v>
      </c>
      <c r="C15" s="31">
        <v>0</v>
      </c>
      <c r="E15" s="1" t="s">
        <v>114</v>
      </c>
      <c r="F15" s="2">
        <v>150000</v>
      </c>
      <c r="G15" s="2">
        <v>0</v>
      </c>
      <c r="I15" s="33">
        <f t="shared" si="4"/>
        <v>0</v>
      </c>
      <c r="J15" s="33">
        <f t="shared" si="5"/>
        <v>0</v>
      </c>
    </row>
    <row r="16" spans="1:10" x14ac:dyDescent="0.35">
      <c r="A16" s="34" t="s">
        <v>2096</v>
      </c>
      <c r="B16" s="31">
        <v>250000</v>
      </c>
      <c r="C16" s="31">
        <v>0</v>
      </c>
      <c r="E16" s="1"/>
      <c r="F16" s="2"/>
      <c r="G16" s="2"/>
      <c r="I16" s="33">
        <f t="shared" si="4"/>
        <v>250000</v>
      </c>
      <c r="J16" s="33">
        <f t="shared" si="5"/>
        <v>0</v>
      </c>
    </row>
    <row r="17" spans="1:10" x14ac:dyDescent="0.35">
      <c r="A17" s="34" t="s">
        <v>2136</v>
      </c>
      <c r="B17" s="31">
        <v>350000</v>
      </c>
      <c r="C17" s="31">
        <v>0</v>
      </c>
      <c r="E17" s="1" t="s">
        <v>1354</v>
      </c>
      <c r="F17" s="2">
        <v>350000</v>
      </c>
      <c r="G17" s="2">
        <v>0</v>
      </c>
      <c r="I17" s="33">
        <f t="shared" ref="I17:I19" si="6">B17-F17</f>
        <v>0</v>
      </c>
      <c r="J17" s="33">
        <f t="shared" ref="J17:J19" si="7">C17-G17</f>
        <v>0</v>
      </c>
    </row>
    <row r="18" spans="1:10" x14ac:dyDescent="0.35">
      <c r="A18" s="34" t="s">
        <v>2062</v>
      </c>
      <c r="B18" s="31">
        <v>350000</v>
      </c>
      <c r="C18" s="31">
        <v>0</v>
      </c>
      <c r="E18" s="1" t="s">
        <v>8</v>
      </c>
      <c r="F18" s="2">
        <v>350000</v>
      </c>
      <c r="G18" s="2">
        <v>0</v>
      </c>
      <c r="I18" s="33">
        <f t="shared" si="6"/>
        <v>0</v>
      </c>
      <c r="J18" s="33">
        <f t="shared" si="7"/>
        <v>0</v>
      </c>
    </row>
    <row r="19" spans="1:10" x14ac:dyDescent="0.35">
      <c r="A19" s="34" t="s">
        <v>2135</v>
      </c>
      <c r="B19" s="31">
        <v>250000</v>
      </c>
      <c r="C19" s="31">
        <v>0</v>
      </c>
      <c r="E19" s="1" t="s">
        <v>99</v>
      </c>
      <c r="F19" s="2">
        <v>250000</v>
      </c>
      <c r="G19" s="2">
        <v>0</v>
      </c>
      <c r="I19" s="33">
        <f t="shared" si="6"/>
        <v>0</v>
      </c>
      <c r="J19" s="33">
        <f t="shared" si="7"/>
        <v>0</v>
      </c>
    </row>
    <row r="20" spans="1:10" x14ac:dyDescent="0.35">
      <c r="A20" s="35" t="s">
        <v>2151</v>
      </c>
      <c r="B20" s="31">
        <v>350000</v>
      </c>
      <c r="C20" s="31">
        <v>0</v>
      </c>
      <c r="E20" s="1" t="s">
        <v>1356</v>
      </c>
      <c r="F20" s="2">
        <v>350000</v>
      </c>
      <c r="G20" s="2">
        <v>0</v>
      </c>
      <c r="I20" s="33">
        <f t="shared" ref="I20:I23" si="8">B20-F20</f>
        <v>0</v>
      </c>
      <c r="J20" s="33">
        <f t="shared" ref="J20:J23" si="9">C20-G20</f>
        <v>0</v>
      </c>
    </row>
    <row r="21" spans="1:10" x14ac:dyDescent="0.35">
      <c r="A21" s="34" t="s">
        <v>2114</v>
      </c>
      <c r="B21" s="31">
        <v>150000</v>
      </c>
      <c r="C21" s="31">
        <v>1000000</v>
      </c>
      <c r="E21" s="1" t="s">
        <v>1345</v>
      </c>
      <c r="F21" s="2">
        <v>150000</v>
      </c>
      <c r="G21" s="2">
        <v>1000000</v>
      </c>
      <c r="I21" s="33">
        <f t="shared" si="8"/>
        <v>0</v>
      </c>
      <c r="J21" s="33">
        <f t="shared" si="9"/>
        <v>0</v>
      </c>
    </row>
    <row r="22" spans="1:10" x14ac:dyDescent="0.35">
      <c r="A22" s="34" t="s">
        <v>2050</v>
      </c>
      <c r="B22" s="31">
        <v>150000</v>
      </c>
      <c r="C22" s="31">
        <v>2500000</v>
      </c>
      <c r="E22" s="1" t="s">
        <v>1300</v>
      </c>
      <c r="F22" s="2">
        <v>150000</v>
      </c>
      <c r="G22" s="2">
        <v>2500000</v>
      </c>
      <c r="I22" s="33">
        <f t="shared" si="8"/>
        <v>0</v>
      </c>
      <c r="J22" s="33">
        <f t="shared" si="9"/>
        <v>0</v>
      </c>
    </row>
    <row r="23" spans="1:10" x14ac:dyDescent="0.35">
      <c r="A23" s="34" t="s">
        <v>2078</v>
      </c>
      <c r="B23" s="31">
        <v>250000</v>
      </c>
      <c r="C23" s="31">
        <v>0</v>
      </c>
      <c r="E23" s="1" t="s">
        <v>203</v>
      </c>
      <c r="F23" s="2">
        <v>250000</v>
      </c>
      <c r="G23" s="2">
        <v>0</v>
      </c>
      <c r="I23" s="33">
        <f t="shared" si="8"/>
        <v>0</v>
      </c>
      <c r="J23" s="33">
        <f t="shared" si="9"/>
        <v>0</v>
      </c>
    </row>
    <row r="24" spans="1:10" x14ac:dyDescent="0.35">
      <c r="A24" s="34" t="s">
        <v>2118</v>
      </c>
      <c r="B24" s="31">
        <v>100000</v>
      </c>
      <c r="C24" s="31">
        <v>100000</v>
      </c>
      <c r="E24" s="1" t="s">
        <v>1248</v>
      </c>
      <c r="F24" s="2">
        <v>100000</v>
      </c>
      <c r="G24" s="2">
        <v>100000</v>
      </c>
      <c r="I24" s="33">
        <f t="shared" ref="I24:I36" si="10">B24-F24</f>
        <v>0</v>
      </c>
      <c r="J24" s="33">
        <f t="shared" ref="J24:J36" si="11">C24-G24</f>
        <v>0</v>
      </c>
    </row>
    <row r="25" spans="1:10" x14ac:dyDescent="0.35">
      <c r="A25" s="34" t="s">
        <v>2090</v>
      </c>
      <c r="B25" s="31">
        <v>250000</v>
      </c>
      <c r="C25" s="31">
        <v>0</v>
      </c>
      <c r="E25" s="1"/>
      <c r="F25" s="2"/>
      <c r="G25" s="2"/>
      <c r="I25" s="33">
        <f t="shared" si="10"/>
        <v>250000</v>
      </c>
      <c r="J25" s="33">
        <f t="shared" si="11"/>
        <v>0</v>
      </c>
    </row>
    <row r="26" spans="1:10" x14ac:dyDescent="0.35">
      <c r="A26" s="34" t="s">
        <v>2083</v>
      </c>
      <c r="B26" s="31">
        <v>150000</v>
      </c>
      <c r="C26" s="31">
        <v>0</v>
      </c>
      <c r="E26" s="1"/>
      <c r="F26" s="2"/>
      <c r="G26" s="2"/>
      <c r="I26" s="33">
        <f t="shared" si="10"/>
        <v>150000</v>
      </c>
      <c r="J26" s="33">
        <f t="shared" si="11"/>
        <v>0</v>
      </c>
    </row>
    <row r="27" spans="1:10" x14ac:dyDescent="0.35">
      <c r="A27" s="34" t="s">
        <v>2150</v>
      </c>
      <c r="B27" s="31">
        <v>250000</v>
      </c>
      <c r="C27" s="31">
        <v>0</v>
      </c>
      <c r="E27" s="1" t="s">
        <v>459</v>
      </c>
      <c r="F27" s="2">
        <v>250000</v>
      </c>
      <c r="G27" s="2">
        <v>0</v>
      </c>
      <c r="I27" s="33">
        <f t="shared" si="10"/>
        <v>0</v>
      </c>
      <c r="J27" s="33">
        <f t="shared" si="11"/>
        <v>0</v>
      </c>
    </row>
    <row r="28" spans="1:10" x14ac:dyDescent="0.35">
      <c r="A28" s="34" t="s">
        <v>2102</v>
      </c>
      <c r="B28" s="31">
        <v>350000</v>
      </c>
      <c r="C28" s="31">
        <v>0</v>
      </c>
      <c r="E28" s="1" t="s">
        <v>457</v>
      </c>
      <c r="F28" s="2">
        <v>350000</v>
      </c>
      <c r="G28" s="2">
        <v>0</v>
      </c>
      <c r="I28" s="33">
        <f t="shared" si="10"/>
        <v>0</v>
      </c>
      <c r="J28" s="33">
        <f t="shared" si="11"/>
        <v>0</v>
      </c>
    </row>
    <row r="29" spans="1:10" x14ac:dyDescent="0.35">
      <c r="A29" s="34" t="s">
        <v>2069</v>
      </c>
      <c r="B29" s="31">
        <v>150000</v>
      </c>
      <c r="C29" s="31">
        <v>0</v>
      </c>
      <c r="E29" s="1" t="s">
        <v>268</v>
      </c>
      <c r="F29" s="2">
        <v>150000</v>
      </c>
      <c r="G29" s="2">
        <v>0</v>
      </c>
      <c r="I29" s="33">
        <f t="shared" si="10"/>
        <v>0</v>
      </c>
      <c r="J29" s="33">
        <f t="shared" si="11"/>
        <v>0</v>
      </c>
    </row>
    <row r="30" spans="1:10" x14ac:dyDescent="0.35">
      <c r="A30" s="34" t="s">
        <v>11</v>
      </c>
      <c r="B30" s="31">
        <v>150000</v>
      </c>
      <c r="C30" s="31">
        <v>0</v>
      </c>
      <c r="E30" s="1" t="s">
        <v>11</v>
      </c>
      <c r="F30" s="2">
        <v>150000</v>
      </c>
      <c r="G30" s="2">
        <v>0</v>
      </c>
      <c r="I30" s="33">
        <f t="shared" si="10"/>
        <v>0</v>
      </c>
      <c r="J30" s="33">
        <f t="shared" si="11"/>
        <v>0</v>
      </c>
    </row>
    <row r="31" spans="1:10" x14ac:dyDescent="0.35">
      <c r="A31" s="34" t="s">
        <v>1240</v>
      </c>
      <c r="B31" s="31">
        <v>150000</v>
      </c>
      <c r="C31" s="31">
        <v>2500000</v>
      </c>
      <c r="E31" s="1" t="s">
        <v>1240</v>
      </c>
      <c r="F31" s="2">
        <v>150000</v>
      </c>
      <c r="G31" s="2">
        <v>2500000</v>
      </c>
      <c r="I31" s="33">
        <f t="shared" si="10"/>
        <v>0</v>
      </c>
      <c r="J31" s="33">
        <f t="shared" si="11"/>
        <v>0</v>
      </c>
    </row>
    <row r="32" spans="1:10" x14ac:dyDescent="0.35">
      <c r="A32" s="34" t="s">
        <v>143</v>
      </c>
      <c r="B32" s="31">
        <v>150000</v>
      </c>
      <c r="C32" s="31">
        <v>0</v>
      </c>
      <c r="E32" s="1" t="s">
        <v>143</v>
      </c>
      <c r="F32" s="2">
        <v>150000</v>
      </c>
      <c r="G32" s="2">
        <v>0</v>
      </c>
      <c r="I32" s="33">
        <f t="shared" si="10"/>
        <v>0</v>
      </c>
      <c r="J32" s="33">
        <f t="shared" si="11"/>
        <v>0</v>
      </c>
    </row>
    <row r="33" spans="1:10" x14ac:dyDescent="0.35">
      <c r="A33" s="34" t="s">
        <v>2092</v>
      </c>
      <c r="B33" s="31">
        <v>150000</v>
      </c>
      <c r="C33" s="31">
        <v>0</v>
      </c>
      <c r="E33" s="1" t="s">
        <v>481</v>
      </c>
      <c r="F33" s="2">
        <v>150000</v>
      </c>
      <c r="G33" s="2">
        <v>0</v>
      </c>
      <c r="I33" s="33">
        <f t="shared" si="10"/>
        <v>0</v>
      </c>
      <c r="J33" s="33">
        <f t="shared" si="11"/>
        <v>0</v>
      </c>
    </row>
    <row r="34" spans="1:10" x14ac:dyDescent="0.35">
      <c r="A34" s="34" t="s">
        <v>2145</v>
      </c>
      <c r="B34" s="31">
        <v>500000</v>
      </c>
      <c r="C34" s="31">
        <v>0</v>
      </c>
      <c r="E34" s="1" t="s">
        <v>419</v>
      </c>
      <c r="F34" s="2">
        <v>500000</v>
      </c>
      <c r="G34" s="2">
        <v>0</v>
      </c>
      <c r="I34" s="33">
        <f t="shared" si="10"/>
        <v>0</v>
      </c>
      <c r="J34" s="33">
        <f t="shared" si="11"/>
        <v>0</v>
      </c>
    </row>
    <row r="35" spans="1:10" x14ac:dyDescent="0.35">
      <c r="A35" s="34" t="s">
        <v>79</v>
      </c>
      <c r="B35" s="31">
        <v>150000</v>
      </c>
      <c r="C35" s="31">
        <v>0</v>
      </c>
      <c r="E35" s="1" t="s">
        <v>79</v>
      </c>
      <c r="F35" s="2">
        <v>150000</v>
      </c>
      <c r="G35" s="2">
        <v>0</v>
      </c>
      <c r="I35" s="33">
        <f t="shared" si="10"/>
        <v>0</v>
      </c>
      <c r="J35" s="33">
        <f t="shared" si="11"/>
        <v>0</v>
      </c>
    </row>
    <row r="36" spans="1:10" x14ac:dyDescent="0.35">
      <c r="A36" s="34" t="s">
        <v>595</v>
      </c>
      <c r="B36" s="31">
        <v>100000</v>
      </c>
      <c r="C36" s="31">
        <v>0</v>
      </c>
      <c r="E36" s="1" t="s">
        <v>595</v>
      </c>
      <c r="F36" s="2">
        <v>100000</v>
      </c>
      <c r="G36" s="2">
        <v>0</v>
      </c>
      <c r="I36" s="33">
        <f t="shared" si="10"/>
        <v>0</v>
      </c>
      <c r="J36" s="33">
        <f t="shared" si="11"/>
        <v>0</v>
      </c>
    </row>
    <row r="37" spans="1:10" x14ac:dyDescent="0.35">
      <c r="A37" s="34" t="s">
        <v>2080</v>
      </c>
      <c r="B37" s="31">
        <v>350000</v>
      </c>
      <c r="C37" s="31">
        <v>0</v>
      </c>
      <c r="E37" s="1" t="s">
        <v>399</v>
      </c>
      <c r="F37" s="2">
        <v>350000</v>
      </c>
      <c r="G37" s="2">
        <v>0</v>
      </c>
      <c r="I37" s="33">
        <f t="shared" ref="I37:I54" si="12">B37-F37</f>
        <v>0</v>
      </c>
      <c r="J37" s="33">
        <f t="shared" ref="J37:J54" si="13">C37-G37</f>
        <v>0</v>
      </c>
    </row>
    <row r="38" spans="1:10" x14ac:dyDescent="0.35">
      <c r="A38" s="34"/>
      <c r="B38" s="31"/>
      <c r="C38" s="31"/>
      <c r="E38" s="3" t="s">
        <v>1229</v>
      </c>
      <c r="F38" s="2">
        <v>350000</v>
      </c>
      <c r="G38" s="2"/>
      <c r="I38" s="33">
        <f t="shared" si="12"/>
        <v>-350000</v>
      </c>
      <c r="J38" s="33">
        <f t="shared" si="13"/>
        <v>0</v>
      </c>
    </row>
    <row r="39" spans="1:10" x14ac:dyDescent="0.35">
      <c r="A39" s="34" t="s">
        <v>2121</v>
      </c>
      <c r="B39" s="31">
        <v>100000</v>
      </c>
      <c r="C39" s="31">
        <v>0</v>
      </c>
      <c r="E39" s="1" t="s">
        <v>1328</v>
      </c>
      <c r="F39" s="2">
        <v>100000</v>
      </c>
      <c r="G39" s="2"/>
      <c r="I39" s="33">
        <f t="shared" si="12"/>
        <v>0</v>
      </c>
      <c r="J39" s="33">
        <f t="shared" si="13"/>
        <v>0</v>
      </c>
    </row>
    <row r="40" spans="1:10" x14ac:dyDescent="0.35">
      <c r="A40" s="34" t="s">
        <v>2081</v>
      </c>
      <c r="B40" s="31">
        <v>150000</v>
      </c>
      <c r="C40" s="31">
        <v>0</v>
      </c>
      <c r="E40" s="1" t="s">
        <v>212</v>
      </c>
      <c r="F40" s="2">
        <v>150000</v>
      </c>
      <c r="G40" s="2">
        <v>0</v>
      </c>
      <c r="I40" s="33">
        <f t="shared" si="12"/>
        <v>0</v>
      </c>
      <c r="J40" s="33">
        <f t="shared" si="13"/>
        <v>0</v>
      </c>
    </row>
    <row r="41" spans="1:10" x14ac:dyDescent="0.35">
      <c r="A41" s="34" t="s">
        <v>1310</v>
      </c>
      <c r="B41" s="31">
        <v>150000</v>
      </c>
      <c r="C41" s="31">
        <v>2125000</v>
      </c>
      <c r="E41" s="1" t="s">
        <v>1310</v>
      </c>
      <c r="F41" s="2">
        <v>150000</v>
      </c>
      <c r="G41" s="2">
        <v>2125000</v>
      </c>
      <c r="I41" s="33">
        <f t="shared" si="12"/>
        <v>0</v>
      </c>
      <c r="J41" s="33">
        <f t="shared" si="13"/>
        <v>0</v>
      </c>
    </row>
    <row r="42" spans="1:10" x14ac:dyDescent="0.35">
      <c r="A42" s="34" t="s">
        <v>2108</v>
      </c>
      <c r="B42" s="31">
        <v>250000</v>
      </c>
      <c r="C42" s="31">
        <v>0</v>
      </c>
      <c r="E42" s="1" t="s">
        <v>1238</v>
      </c>
      <c r="F42" s="2">
        <v>250000</v>
      </c>
      <c r="G42" s="2">
        <v>0</v>
      </c>
      <c r="I42" s="33">
        <f t="shared" si="12"/>
        <v>0</v>
      </c>
      <c r="J42" s="33">
        <f t="shared" si="13"/>
        <v>0</v>
      </c>
    </row>
    <row r="43" spans="1:10" x14ac:dyDescent="0.35">
      <c r="A43" s="35" t="s">
        <v>2154</v>
      </c>
      <c r="B43" s="31">
        <v>350000</v>
      </c>
      <c r="C43" s="31">
        <v>0</v>
      </c>
      <c r="E43" s="1" t="s">
        <v>422</v>
      </c>
      <c r="F43" s="2">
        <v>350000</v>
      </c>
      <c r="G43" s="2">
        <v>0</v>
      </c>
      <c r="I43" s="33">
        <f t="shared" si="12"/>
        <v>0</v>
      </c>
      <c r="J43" s="33">
        <f t="shared" si="13"/>
        <v>0</v>
      </c>
    </row>
    <row r="44" spans="1:10" x14ac:dyDescent="0.35">
      <c r="A44" s="35" t="s">
        <v>1260</v>
      </c>
      <c r="B44" s="31">
        <v>100000</v>
      </c>
      <c r="C44" s="31">
        <v>2500000</v>
      </c>
      <c r="E44" s="1" t="s">
        <v>1260</v>
      </c>
      <c r="F44" s="2">
        <v>100000</v>
      </c>
      <c r="G44" s="2">
        <v>2500000</v>
      </c>
      <c r="I44" s="33">
        <f t="shared" si="12"/>
        <v>0</v>
      </c>
      <c r="J44" s="33">
        <f t="shared" si="13"/>
        <v>0</v>
      </c>
    </row>
    <row r="45" spans="1:10" x14ac:dyDescent="0.35">
      <c r="A45" s="34" t="s">
        <v>1276</v>
      </c>
      <c r="B45" s="31">
        <v>150000</v>
      </c>
      <c r="C45" s="31">
        <v>2041667</v>
      </c>
      <c r="E45" s="1" t="s">
        <v>1276</v>
      </c>
      <c r="F45" s="2">
        <v>150000</v>
      </c>
      <c r="G45" s="2">
        <v>2041667</v>
      </c>
      <c r="I45" s="33">
        <f t="shared" si="12"/>
        <v>0</v>
      </c>
      <c r="J45" s="33">
        <f t="shared" si="13"/>
        <v>0</v>
      </c>
    </row>
    <row r="46" spans="1:10" x14ac:dyDescent="0.35">
      <c r="A46" s="34" t="s">
        <v>2047</v>
      </c>
      <c r="B46" s="31">
        <v>350000</v>
      </c>
      <c r="C46" s="31">
        <v>0</v>
      </c>
      <c r="E46" s="1" t="s">
        <v>48</v>
      </c>
      <c r="F46" s="2">
        <v>350000</v>
      </c>
      <c r="G46" s="2">
        <v>0</v>
      </c>
      <c r="I46" s="33">
        <f t="shared" si="12"/>
        <v>0</v>
      </c>
      <c r="J46" s="33">
        <f t="shared" si="13"/>
        <v>0</v>
      </c>
    </row>
    <row r="47" spans="1:10" x14ac:dyDescent="0.35">
      <c r="A47" s="34" t="s">
        <v>2149</v>
      </c>
      <c r="B47" s="31">
        <v>500000</v>
      </c>
      <c r="C47" s="31">
        <v>0</v>
      </c>
      <c r="E47" s="1" t="s">
        <v>1351</v>
      </c>
      <c r="F47" s="2">
        <v>500000</v>
      </c>
      <c r="G47" s="2">
        <v>0</v>
      </c>
      <c r="I47" s="33">
        <f t="shared" si="12"/>
        <v>0</v>
      </c>
      <c r="J47" s="33">
        <f t="shared" si="13"/>
        <v>0</v>
      </c>
    </row>
    <row r="48" spans="1:10" x14ac:dyDescent="0.35">
      <c r="A48" s="34" t="s">
        <v>2117</v>
      </c>
      <c r="B48" s="31">
        <v>100000</v>
      </c>
      <c r="C48" s="31">
        <v>100000</v>
      </c>
      <c r="E48" s="1" t="s">
        <v>1252</v>
      </c>
      <c r="F48" s="2">
        <v>100000</v>
      </c>
      <c r="G48" s="2">
        <v>100000</v>
      </c>
      <c r="I48" s="33">
        <f t="shared" si="12"/>
        <v>0</v>
      </c>
      <c r="J48" s="33">
        <f t="shared" si="13"/>
        <v>0</v>
      </c>
    </row>
    <row r="49" spans="1:10" x14ac:dyDescent="0.35">
      <c r="A49" s="34" t="s">
        <v>2097</v>
      </c>
      <c r="B49" s="31">
        <v>250000</v>
      </c>
      <c r="C49" s="31">
        <v>0</v>
      </c>
      <c r="E49" s="1" t="s">
        <v>356</v>
      </c>
      <c r="F49" s="2">
        <v>250000</v>
      </c>
      <c r="G49" s="2">
        <v>0</v>
      </c>
      <c r="I49" s="33">
        <f t="shared" si="12"/>
        <v>0</v>
      </c>
      <c r="J49" s="33">
        <f t="shared" si="13"/>
        <v>0</v>
      </c>
    </row>
    <row r="50" spans="1:10" x14ac:dyDescent="0.35">
      <c r="A50" s="34" t="s">
        <v>2107</v>
      </c>
      <c r="B50" s="31">
        <v>150000</v>
      </c>
      <c r="C50" s="31">
        <v>0</v>
      </c>
      <c r="E50" s="1" t="s">
        <v>1330</v>
      </c>
      <c r="F50" s="2">
        <v>150000</v>
      </c>
      <c r="G50" s="2">
        <v>0</v>
      </c>
      <c r="I50" s="33">
        <f t="shared" si="12"/>
        <v>0</v>
      </c>
      <c r="J50" s="33">
        <f t="shared" si="13"/>
        <v>0</v>
      </c>
    </row>
    <row r="51" spans="1:10" x14ac:dyDescent="0.35">
      <c r="A51" s="34" t="s">
        <v>2063</v>
      </c>
      <c r="B51" s="31">
        <v>250000</v>
      </c>
      <c r="C51" s="31">
        <v>6272588</v>
      </c>
      <c r="E51" s="1" t="s">
        <v>13</v>
      </c>
      <c r="F51" s="2">
        <v>250000</v>
      </c>
      <c r="G51" s="2">
        <v>6272588</v>
      </c>
      <c r="I51" s="33">
        <f t="shared" si="12"/>
        <v>0</v>
      </c>
      <c r="J51" s="33">
        <f t="shared" si="13"/>
        <v>0</v>
      </c>
    </row>
    <row r="52" spans="1:10" x14ac:dyDescent="0.35">
      <c r="A52" s="34" t="s">
        <v>131</v>
      </c>
      <c r="B52" s="31">
        <v>150000</v>
      </c>
      <c r="C52" s="31">
        <v>0</v>
      </c>
      <c r="E52" s="1" t="s">
        <v>131</v>
      </c>
      <c r="F52" s="2">
        <v>150000</v>
      </c>
      <c r="G52" s="2">
        <v>0</v>
      </c>
      <c r="I52" s="33">
        <f t="shared" si="12"/>
        <v>0</v>
      </c>
      <c r="J52" s="33">
        <f t="shared" si="13"/>
        <v>0</v>
      </c>
    </row>
    <row r="53" spans="1:10" x14ac:dyDescent="0.35">
      <c r="A53" s="34" t="s">
        <v>2131</v>
      </c>
      <c r="B53" s="31">
        <v>350000</v>
      </c>
      <c r="C53" s="31">
        <v>0</v>
      </c>
      <c r="E53" s="1" t="s">
        <v>1234</v>
      </c>
      <c r="F53" s="2">
        <v>350000</v>
      </c>
      <c r="G53" s="2">
        <v>0</v>
      </c>
      <c r="I53" s="33">
        <f t="shared" si="12"/>
        <v>0</v>
      </c>
      <c r="J53" s="33">
        <f t="shared" si="13"/>
        <v>0</v>
      </c>
    </row>
    <row r="54" spans="1:10" x14ac:dyDescent="0.35">
      <c r="A54" s="34" t="s">
        <v>2120</v>
      </c>
      <c r="B54" s="31">
        <v>100000</v>
      </c>
      <c r="C54" s="31">
        <v>1000000</v>
      </c>
      <c r="E54" s="1" t="s">
        <v>1332</v>
      </c>
      <c r="F54" s="2">
        <v>100000</v>
      </c>
      <c r="G54" s="2">
        <v>1000000</v>
      </c>
      <c r="I54" s="33">
        <f t="shared" si="12"/>
        <v>0</v>
      </c>
      <c r="J54" s="33">
        <f t="shared" si="13"/>
        <v>0</v>
      </c>
    </row>
    <row r="55" spans="1:10" x14ac:dyDescent="0.35">
      <c r="A55" s="34" t="s">
        <v>2045</v>
      </c>
      <c r="B55" s="31">
        <v>250000</v>
      </c>
      <c r="C55" s="31">
        <v>0</v>
      </c>
      <c r="E55" s="1" t="s">
        <v>231</v>
      </c>
      <c r="F55" s="2">
        <v>250000</v>
      </c>
      <c r="G55" s="2">
        <v>0</v>
      </c>
      <c r="I55" s="33">
        <f t="shared" ref="I55:I58" si="14">B55-F55</f>
        <v>0</v>
      </c>
      <c r="J55" s="33">
        <f t="shared" ref="J55:J58" si="15">C55-G55</f>
        <v>0</v>
      </c>
    </row>
    <row r="56" spans="1:10" x14ac:dyDescent="0.35">
      <c r="A56" s="34" t="s">
        <v>2134</v>
      </c>
      <c r="B56" s="31">
        <v>350000</v>
      </c>
      <c r="C56" s="31">
        <v>4722725</v>
      </c>
      <c r="E56" s="1" t="s">
        <v>1362</v>
      </c>
      <c r="F56" s="2">
        <v>350000</v>
      </c>
      <c r="G56" s="2">
        <v>4722725</v>
      </c>
      <c r="I56" s="33">
        <f t="shared" si="14"/>
        <v>0</v>
      </c>
      <c r="J56" s="33">
        <f t="shared" si="15"/>
        <v>0</v>
      </c>
    </row>
    <row r="57" spans="1:10" x14ac:dyDescent="0.35">
      <c r="A57" s="34" t="s">
        <v>2110</v>
      </c>
      <c r="B57" s="31">
        <v>100000</v>
      </c>
      <c r="C57" s="31">
        <v>0</v>
      </c>
      <c r="E57" s="1" t="s">
        <v>1262</v>
      </c>
      <c r="F57" s="2">
        <v>100000</v>
      </c>
      <c r="G57" s="2">
        <v>0</v>
      </c>
      <c r="I57" s="33">
        <f t="shared" si="14"/>
        <v>0</v>
      </c>
      <c r="J57" s="33">
        <f t="shared" si="15"/>
        <v>0</v>
      </c>
    </row>
    <row r="58" spans="1:10" x14ac:dyDescent="0.35">
      <c r="A58" s="34" t="s">
        <v>2094</v>
      </c>
      <c r="B58" s="31">
        <v>250000</v>
      </c>
      <c r="C58" s="31">
        <v>5373475</v>
      </c>
      <c r="E58" s="3" t="s">
        <v>501</v>
      </c>
      <c r="F58" s="2">
        <v>250000</v>
      </c>
      <c r="G58" s="2">
        <v>5373475</v>
      </c>
      <c r="I58" s="33">
        <f t="shared" si="14"/>
        <v>0</v>
      </c>
      <c r="J58" s="33">
        <f t="shared" si="15"/>
        <v>0</v>
      </c>
    </row>
    <row r="59" spans="1:10" x14ac:dyDescent="0.35">
      <c r="A59" s="34" t="s">
        <v>41</v>
      </c>
      <c r="B59" s="31">
        <v>150000</v>
      </c>
      <c r="C59" s="31">
        <v>0</v>
      </c>
      <c r="E59" s="1" t="s">
        <v>41</v>
      </c>
      <c r="F59" s="2">
        <v>150000</v>
      </c>
      <c r="G59" s="2">
        <v>0</v>
      </c>
      <c r="I59" s="33">
        <f t="shared" ref="I59:I80" si="16">B59-F59</f>
        <v>0</v>
      </c>
      <c r="J59" s="33">
        <f t="shared" ref="J59:J80" si="17">C59-G59</f>
        <v>0</v>
      </c>
    </row>
    <row r="60" spans="1:10" x14ac:dyDescent="0.35">
      <c r="A60" s="34" t="s">
        <v>2113</v>
      </c>
      <c r="B60" s="31">
        <v>150000</v>
      </c>
      <c r="C60" s="31">
        <v>0</v>
      </c>
      <c r="E60" s="1" t="s">
        <v>1242</v>
      </c>
      <c r="F60" s="2">
        <v>150000</v>
      </c>
      <c r="G60" s="2">
        <v>0</v>
      </c>
      <c r="I60" s="33">
        <f t="shared" si="16"/>
        <v>0</v>
      </c>
      <c r="J60" s="33">
        <f t="shared" si="17"/>
        <v>0</v>
      </c>
    </row>
    <row r="61" spans="1:10" x14ac:dyDescent="0.35">
      <c r="A61" s="34"/>
      <c r="B61" s="31"/>
      <c r="C61" s="31"/>
      <c r="E61" s="3" t="s">
        <v>1304</v>
      </c>
      <c r="F61" s="2">
        <v>350000</v>
      </c>
      <c r="G61" s="2">
        <v>0</v>
      </c>
      <c r="I61" s="33">
        <f t="shared" si="16"/>
        <v>-350000</v>
      </c>
      <c r="J61" s="33">
        <f t="shared" si="17"/>
        <v>0</v>
      </c>
    </row>
    <row r="62" spans="1:10" x14ac:dyDescent="0.35">
      <c r="A62" s="34" t="s">
        <v>2048</v>
      </c>
      <c r="B62" s="31">
        <v>150000</v>
      </c>
      <c r="C62" s="31">
        <v>0</v>
      </c>
      <c r="E62" s="1" t="s">
        <v>55</v>
      </c>
      <c r="F62" s="2">
        <v>150000</v>
      </c>
      <c r="G62" s="2">
        <v>0</v>
      </c>
      <c r="I62" s="33">
        <f t="shared" si="16"/>
        <v>0</v>
      </c>
      <c r="J62" s="33">
        <f t="shared" si="17"/>
        <v>0</v>
      </c>
    </row>
    <row r="63" spans="1:10" x14ac:dyDescent="0.35">
      <c r="A63" s="34" t="s">
        <v>2084</v>
      </c>
      <c r="B63" s="31">
        <v>150000</v>
      </c>
      <c r="C63" s="31">
        <v>0</v>
      </c>
      <c r="E63" s="1" t="s">
        <v>513</v>
      </c>
      <c r="F63" s="2">
        <v>150000</v>
      </c>
      <c r="G63" s="2">
        <v>0</v>
      </c>
      <c r="I63" s="33">
        <f t="shared" si="16"/>
        <v>0</v>
      </c>
      <c r="J63" s="33">
        <f t="shared" si="17"/>
        <v>0</v>
      </c>
    </row>
    <row r="64" spans="1:10" x14ac:dyDescent="0.35">
      <c r="A64" s="34"/>
      <c r="B64" s="31"/>
      <c r="C64" s="31"/>
      <c r="E64" s="3" t="s">
        <v>1232</v>
      </c>
      <c r="F64" s="2">
        <v>150000</v>
      </c>
      <c r="G64" s="2">
        <v>1890628</v>
      </c>
      <c r="I64" s="33">
        <f t="shared" si="16"/>
        <v>-150000</v>
      </c>
      <c r="J64" s="33">
        <f t="shared" si="17"/>
        <v>-1890628</v>
      </c>
    </row>
    <row r="65" spans="1:10" x14ac:dyDescent="0.35">
      <c r="A65" s="34" t="s">
        <v>2128</v>
      </c>
      <c r="B65" s="31">
        <v>150000</v>
      </c>
      <c r="C65" s="31">
        <v>1625122</v>
      </c>
      <c r="E65" s="1" t="s">
        <v>1302</v>
      </c>
      <c r="F65" s="2">
        <v>150000</v>
      </c>
      <c r="G65" s="2">
        <v>1625122</v>
      </c>
      <c r="I65" s="33">
        <f t="shared" si="16"/>
        <v>0</v>
      </c>
      <c r="J65" s="33">
        <f t="shared" si="17"/>
        <v>0</v>
      </c>
    </row>
    <row r="66" spans="1:10" x14ac:dyDescent="0.35">
      <c r="A66" s="34" t="s">
        <v>2111</v>
      </c>
      <c r="B66" s="31">
        <v>100000</v>
      </c>
      <c r="C66" s="31">
        <v>0</v>
      </c>
      <c r="E66" s="1" t="s">
        <v>1334</v>
      </c>
      <c r="F66" s="2">
        <v>100000</v>
      </c>
      <c r="G66" s="2">
        <v>0</v>
      </c>
      <c r="I66" s="33">
        <f t="shared" si="16"/>
        <v>0</v>
      </c>
      <c r="J66" s="33">
        <f t="shared" si="17"/>
        <v>0</v>
      </c>
    </row>
    <row r="67" spans="1:10" x14ac:dyDescent="0.35">
      <c r="A67" s="34" t="s">
        <v>2051</v>
      </c>
      <c r="B67" s="31">
        <v>150000</v>
      </c>
      <c r="C67" s="31">
        <v>0</v>
      </c>
      <c r="E67" s="1" t="s">
        <v>1286</v>
      </c>
      <c r="F67" s="2">
        <v>150000</v>
      </c>
      <c r="G67" s="2">
        <v>0</v>
      </c>
      <c r="I67" s="33">
        <f t="shared" si="16"/>
        <v>0</v>
      </c>
      <c r="J67" s="33">
        <f t="shared" si="17"/>
        <v>0</v>
      </c>
    </row>
    <row r="68" spans="1:10" x14ac:dyDescent="0.35">
      <c r="A68" s="34" t="s">
        <v>2071</v>
      </c>
      <c r="B68" s="31">
        <v>150000</v>
      </c>
      <c r="C68" s="31">
        <v>1701389</v>
      </c>
      <c r="E68" s="1" t="s">
        <v>284</v>
      </c>
      <c r="F68" s="2">
        <v>150000</v>
      </c>
      <c r="G68" s="2">
        <v>1701389</v>
      </c>
      <c r="I68" s="33">
        <f t="shared" si="16"/>
        <v>0</v>
      </c>
      <c r="J68" s="33">
        <f t="shared" si="17"/>
        <v>0</v>
      </c>
    </row>
    <row r="69" spans="1:10" x14ac:dyDescent="0.35">
      <c r="A69" s="34" t="s">
        <v>2129</v>
      </c>
      <c r="B69" s="31">
        <v>100000</v>
      </c>
      <c r="C69" s="31">
        <v>0</v>
      </c>
      <c r="E69" s="1" t="s">
        <v>1365</v>
      </c>
      <c r="F69" s="2">
        <v>100000</v>
      </c>
      <c r="G69" s="2">
        <v>0</v>
      </c>
      <c r="I69" s="33">
        <f t="shared" si="16"/>
        <v>0</v>
      </c>
      <c r="J69" s="33">
        <f t="shared" si="17"/>
        <v>0</v>
      </c>
    </row>
    <row r="70" spans="1:10" x14ac:dyDescent="0.35">
      <c r="A70" s="34" t="s">
        <v>360</v>
      </c>
      <c r="B70" s="31">
        <v>100000</v>
      </c>
      <c r="C70" s="31">
        <v>0</v>
      </c>
      <c r="E70" s="1" t="s">
        <v>360</v>
      </c>
      <c r="F70" s="2">
        <v>100000</v>
      </c>
      <c r="G70" s="2">
        <v>0</v>
      </c>
      <c r="I70" s="33">
        <f t="shared" si="16"/>
        <v>0</v>
      </c>
      <c r="J70" s="33">
        <f t="shared" si="17"/>
        <v>0</v>
      </c>
    </row>
    <row r="71" spans="1:10" x14ac:dyDescent="0.35">
      <c r="A71" s="34" t="s">
        <v>2098</v>
      </c>
      <c r="B71" s="31">
        <v>250000</v>
      </c>
      <c r="C71" s="31">
        <v>0</v>
      </c>
      <c r="E71" s="1" t="s">
        <v>229</v>
      </c>
      <c r="F71" s="2">
        <v>250000</v>
      </c>
      <c r="G71" s="2">
        <v>0</v>
      </c>
      <c r="I71" s="33">
        <f t="shared" si="16"/>
        <v>0</v>
      </c>
      <c r="J71" s="33">
        <f t="shared" si="17"/>
        <v>0</v>
      </c>
    </row>
    <row r="72" spans="1:10" x14ac:dyDescent="0.35">
      <c r="A72" s="34" t="s">
        <v>2055</v>
      </c>
      <c r="B72" s="31">
        <v>150000</v>
      </c>
      <c r="C72" s="31">
        <v>0</v>
      </c>
      <c r="E72" s="1" t="s">
        <v>133</v>
      </c>
      <c r="F72" s="2">
        <v>150000</v>
      </c>
      <c r="G72" s="2">
        <v>0</v>
      </c>
      <c r="I72" s="33">
        <f t="shared" si="16"/>
        <v>0</v>
      </c>
      <c r="J72" s="33">
        <f t="shared" si="17"/>
        <v>0</v>
      </c>
    </row>
    <row r="73" spans="1:10" x14ac:dyDescent="0.35">
      <c r="A73" s="34" t="s">
        <v>2044</v>
      </c>
      <c r="B73" s="31">
        <v>150000</v>
      </c>
      <c r="C73" s="31">
        <v>2876136</v>
      </c>
      <c r="E73" s="1" t="s">
        <v>350</v>
      </c>
      <c r="F73" s="2">
        <v>150000</v>
      </c>
      <c r="G73" s="2">
        <v>2876136</v>
      </c>
      <c r="I73" s="33">
        <f t="shared" si="16"/>
        <v>0</v>
      </c>
      <c r="J73" s="33">
        <f t="shared" si="17"/>
        <v>0</v>
      </c>
    </row>
    <row r="74" spans="1:10" x14ac:dyDescent="0.35">
      <c r="A74" s="34" t="s">
        <v>517</v>
      </c>
      <c r="B74" s="31">
        <v>150000</v>
      </c>
      <c r="C74" s="31">
        <v>8671513</v>
      </c>
      <c r="E74" s="1" t="s">
        <v>517</v>
      </c>
      <c r="F74" s="2">
        <v>150000</v>
      </c>
      <c r="G74" s="2">
        <v>8671513</v>
      </c>
      <c r="I74" s="33">
        <f t="shared" si="16"/>
        <v>0</v>
      </c>
      <c r="J74" s="33">
        <f t="shared" si="17"/>
        <v>0</v>
      </c>
    </row>
    <row r="75" spans="1:10" x14ac:dyDescent="0.35">
      <c r="A75" s="34" t="s">
        <v>2085</v>
      </c>
      <c r="B75" s="31">
        <v>250000</v>
      </c>
      <c r="C75" s="31">
        <v>0</v>
      </c>
      <c r="E75" s="3" t="s">
        <v>1150</v>
      </c>
      <c r="F75" s="2">
        <v>250000</v>
      </c>
      <c r="G75" s="2"/>
      <c r="I75" s="33">
        <f t="shared" si="16"/>
        <v>0</v>
      </c>
      <c r="J75" s="33">
        <f t="shared" si="17"/>
        <v>0</v>
      </c>
    </row>
    <row r="76" spans="1:10" x14ac:dyDescent="0.35">
      <c r="A76" s="34" t="s">
        <v>2137</v>
      </c>
      <c r="B76" s="31">
        <v>350000</v>
      </c>
      <c r="C76" s="31">
        <v>0</v>
      </c>
      <c r="E76" s="1" t="s">
        <v>1294</v>
      </c>
      <c r="F76" s="2">
        <v>350000</v>
      </c>
      <c r="G76" s="2">
        <v>0</v>
      </c>
      <c r="I76" s="33">
        <f t="shared" si="16"/>
        <v>0</v>
      </c>
      <c r="J76" s="33">
        <f t="shared" si="17"/>
        <v>0</v>
      </c>
    </row>
    <row r="77" spans="1:10" x14ac:dyDescent="0.35">
      <c r="A77" s="34" t="s">
        <v>2148</v>
      </c>
      <c r="B77" s="31">
        <v>250000</v>
      </c>
      <c r="C77" s="31">
        <v>0</v>
      </c>
      <c r="E77" s="1" t="s">
        <v>403</v>
      </c>
      <c r="F77" s="2">
        <v>250000</v>
      </c>
      <c r="G77" s="2">
        <v>0</v>
      </c>
      <c r="I77" s="33">
        <f t="shared" si="16"/>
        <v>0</v>
      </c>
      <c r="J77" s="33">
        <f t="shared" si="17"/>
        <v>0</v>
      </c>
    </row>
    <row r="78" spans="1:10" x14ac:dyDescent="0.35">
      <c r="A78" s="34" t="s">
        <v>2109</v>
      </c>
      <c r="B78" s="31">
        <v>100000</v>
      </c>
      <c r="C78" s="31">
        <v>0</v>
      </c>
      <c r="E78" s="1" t="s">
        <v>1341</v>
      </c>
      <c r="F78" s="2">
        <v>100000</v>
      </c>
      <c r="G78" s="2">
        <v>0</v>
      </c>
      <c r="I78" s="33">
        <f t="shared" si="16"/>
        <v>0</v>
      </c>
      <c r="J78" s="33">
        <f t="shared" si="17"/>
        <v>0</v>
      </c>
    </row>
    <row r="79" spans="1:10" x14ac:dyDescent="0.35">
      <c r="A79" s="34" t="s">
        <v>2115</v>
      </c>
      <c r="B79" s="31">
        <v>250000</v>
      </c>
      <c r="C79" s="31">
        <v>2500000</v>
      </c>
      <c r="E79" s="3" t="s">
        <v>545</v>
      </c>
      <c r="F79" s="2">
        <v>250000</v>
      </c>
      <c r="G79" s="2">
        <v>2500000</v>
      </c>
      <c r="I79" s="33">
        <f t="shared" si="16"/>
        <v>0</v>
      </c>
      <c r="J79" s="33">
        <f t="shared" si="17"/>
        <v>0</v>
      </c>
    </row>
    <row r="80" spans="1:10" x14ac:dyDescent="0.35">
      <c r="A80" s="34" t="s">
        <v>145</v>
      </c>
      <c r="B80" s="31">
        <v>150000</v>
      </c>
      <c r="C80" s="31">
        <v>0</v>
      </c>
      <c r="E80" s="1" t="s">
        <v>145</v>
      </c>
      <c r="F80" s="2">
        <v>150000</v>
      </c>
      <c r="G80" s="2">
        <v>0</v>
      </c>
      <c r="I80" s="33">
        <f t="shared" si="16"/>
        <v>0</v>
      </c>
      <c r="J80" s="33">
        <f t="shared" si="17"/>
        <v>0</v>
      </c>
    </row>
    <row r="81" spans="1:10" x14ac:dyDescent="0.35">
      <c r="A81" s="34" t="s">
        <v>2143</v>
      </c>
      <c r="B81" s="31">
        <v>150000</v>
      </c>
      <c r="C81" s="31">
        <v>0</v>
      </c>
      <c r="E81" s="1" t="s">
        <v>1264</v>
      </c>
      <c r="F81" s="2">
        <v>150000</v>
      </c>
      <c r="G81" s="2">
        <v>0</v>
      </c>
      <c r="I81" s="33">
        <f t="shared" ref="I81" si="18">B81-F81</f>
        <v>0</v>
      </c>
      <c r="J81" s="33">
        <f t="shared" ref="J81" si="19">C81-G81</f>
        <v>0</v>
      </c>
    </row>
    <row r="82" spans="1:10" x14ac:dyDescent="0.35">
      <c r="A82" s="34" t="s">
        <v>2074</v>
      </c>
      <c r="B82" s="31">
        <v>150000</v>
      </c>
      <c r="C82" s="31">
        <v>0</v>
      </c>
      <c r="E82" s="1" t="s">
        <v>318</v>
      </c>
      <c r="F82" s="2">
        <v>150000</v>
      </c>
      <c r="G82" s="2">
        <v>0</v>
      </c>
      <c r="I82" s="33">
        <f t="shared" ref="I82:I101" si="20">B82-F82</f>
        <v>0</v>
      </c>
      <c r="J82" s="33">
        <f t="shared" ref="J82:J101" si="21">C82-G82</f>
        <v>0</v>
      </c>
    </row>
    <row r="83" spans="1:10" x14ac:dyDescent="0.35">
      <c r="A83" s="34" t="s">
        <v>2060</v>
      </c>
      <c r="B83" s="31">
        <v>250000</v>
      </c>
      <c r="C83" s="31">
        <v>0</v>
      </c>
      <c r="E83" s="1" t="s">
        <v>436</v>
      </c>
      <c r="F83" s="2">
        <v>250000</v>
      </c>
      <c r="G83" s="2">
        <v>0</v>
      </c>
      <c r="I83" s="33">
        <f t="shared" si="20"/>
        <v>0</v>
      </c>
      <c r="J83" s="33">
        <f t="shared" si="21"/>
        <v>0</v>
      </c>
    </row>
    <row r="84" spans="1:10" x14ac:dyDescent="0.35">
      <c r="A84" s="34" t="s">
        <v>44</v>
      </c>
      <c r="B84" s="31">
        <v>150000</v>
      </c>
      <c r="C84" s="31">
        <v>0</v>
      </c>
      <c r="E84" s="1" t="s">
        <v>44</v>
      </c>
      <c r="F84" s="2">
        <v>150000</v>
      </c>
      <c r="G84" s="2">
        <v>0</v>
      </c>
      <c r="I84" s="33">
        <f t="shared" si="20"/>
        <v>0</v>
      </c>
      <c r="J84" s="33">
        <f t="shared" si="21"/>
        <v>0</v>
      </c>
    </row>
    <row r="85" spans="1:10" x14ac:dyDescent="0.35">
      <c r="A85" s="34" t="s">
        <v>2053</v>
      </c>
      <c r="B85" s="31">
        <v>150000</v>
      </c>
      <c r="C85" s="31">
        <v>0</v>
      </c>
      <c r="E85" s="1" t="s">
        <v>127</v>
      </c>
      <c r="F85" s="2">
        <v>150000</v>
      </c>
      <c r="G85" s="2">
        <v>0</v>
      </c>
      <c r="I85" s="33">
        <f t="shared" si="20"/>
        <v>0</v>
      </c>
      <c r="J85" s="33">
        <f t="shared" si="21"/>
        <v>0</v>
      </c>
    </row>
    <row r="86" spans="1:10" x14ac:dyDescent="0.35">
      <c r="A86" s="34" t="s">
        <v>2142</v>
      </c>
      <c r="B86" s="31">
        <v>250000</v>
      </c>
      <c r="C86" s="31">
        <v>0</v>
      </c>
      <c r="E86" s="1"/>
      <c r="F86" s="2"/>
      <c r="G86" s="2"/>
      <c r="I86" s="33">
        <f t="shared" si="20"/>
        <v>250000</v>
      </c>
      <c r="J86" s="33">
        <f t="shared" si="21"/>
        <v>0</v>
      </c>
    </row>
    <row r="87" spans="1:10" x14ac:dyDescent="0.35">
      <c r="A87" s="34" t="s">
        <v>2123</v>
      </c>
      <c r="B87" s="31">
        <v>250000</v>
      </c>
      <c r="C87" s="31">
        <v>0</v>
      </c>
      <c r="E87" s="1"/>
      <c r="F87" s="2"/>
      <c r="G87" s="2"/>
      <c r="I87" s="33">
        <f t="shared" si="20"/>
        <v>250000</v>
      </c>
      <c r="J87" s="33">
        <f t="shared" si="21"/>
        <v>0</v>
      </c>
    </row>
    <row r="88" spans="1:10" x14ac:dyDescent="0.35">
      <c r="A88" s="34" t="s">
        <v>2139</v>
      </c>
      <c r="B88" s="31">
        <v>250000</v>
      </c>
      <c r="C88" s="31">
        <v>0</v>
      </c>
      <c r="E88" s="1" t="s">
        <v>1244</v>
      </c>
      <c r="F88" s="2">
        <v>250000</v>
      </c>
      <c r="G88" s="2">
        <v>0</v>
      </c>
      <c r="I88" s="33">
        <f t="shared" si="20"/>
        <v>0</v>
      </c>
      <c r="J88" s="33">
        <f t="shared" si="21"/>
        <v>0</v>
      </c>
    </row>
    <row r="89" spans="1:10" x14ac:dyDescent="0.35">
      <c r="A89" s="35" t="s">
        <v>2155</v>
      </c>
      <c r="B89" s="31">
        <v>250000</v>
      </c>
      <c r="C89" s="31">
        <v>0</v>
      </c>
      <c r="E89" s="3" t="s">
        <v>1140</v>
      </c>
      <c r="F89" s="2">
        <v>250000</v>
      </c>
      <c r="G89" s="2">
        <v>0</v>
      </c>
      <c r="I89" s="33">
        <f t="shared" si="20"/>
        <v>0</v>
      </c>
      <c r="J89" s="33">
        <f t="shared" si="21"/>
        <v>0</v>
      </c>
    </row>
    <row r="90" spans="1:10" x14ac:dyDescent="0.35">
      <c r="A90" s="34" t="s">
        <v>2068</v>
      </c>
      <c r="B90" s="31">
        <v>150000</v>
      </c>
      <c r="C90" s="31">
        <v>0</v>
      </c>
      <c r="E90" s="1" t="s">
        <v>275</v>
      </c>
      <c r="F90" s="2">
        <v>150000</v>
      </c>
      <c r="G90" s="2">
        <v>0</v>
      </c>
      <c r="I90" s="33">
        <f t="shared" si="20"/>
        <v>0</v>
      </c>
      <c r="J90" s="33">
        <f t="shared" si="21"/>
        <v>0</v>
      </c>
    </row>
    <row r="91" spans="1:10" x14ac:dyDescent="0.35">
      <c r="A91" s="34" t="s">
        <v>2119</v>
      </c>
      <c r="B91" s="31">
        <v>100000</v>
      </c>
      <c r="C91" s="31">
        <v>0</v>
      </c>
      <c r="E91" s="1" t="s">
        <v>320</v>
      </c>
      <c r="F91" s="2">
        <v>100000</v>
      </c>
      <c r="G91" s="2">
        <v>0</v>
      </c>
      <c r="I91" s="33">
        <f t="shared" si="20"/>
        <v>0</v>
      </c>
      <c r="J91" s="33">
        <f t="shared" si="21"/>
        <v>0</v>
      </c>
    </row>
    <row r="92" spans="1:10" x14ac:dyDescent="0.35">
      <c r="A92" s="34" t="s">
        <v>2057</v>
      </c>
      <c r="B92" s="31">
        <v>150000</v>
      </c>
      <c r="C92" s="31">
        <v>0</v>
      </c>
      <c r="E92" s="1" t="s">
        <v>149</v>
      </c>
      <c r="F92" s="2">
        <v>150000</v>
      </c>
      <c r="G92" s="2">
        <v>0</v>
      </c>
      <c r="I92" s="33">
        <f t="shared" si="20"/>
        <v>0</v>
      </c>
      <c r="J92" s="33">
        <f t="shared" si="21"/>
        <v>0</v>
      </c>
    </row>
    <row r="93" spans="1:10" x14ac:dyDescent="0.35">
      <c r="A93" s="34" t="s">
        <v>2140</v>
      </c>
      <c r="B93" s="31">
        <v>250000</v>
      </c>
      <c r="C93" s="31">
        <v>3075835</v>
      </c>
      <c r="E93" s="1" t="s">
        <v>1236</v>
      </c>
      <c r="F93" s="2">
        <v>250000</v>
      </c>
      <c r="G93" s="2">
        <v>3075835</v>
      </c>
      <c r="I93" s="33">
        <f t="shared" si="20"/>
        <v>0</v>
      </c>
      <c r="J93" s="33">
        <f t="shared" si="21"/>
        <v>0</v>
      </c>
    </row>
    <row r="94" spans="1:10" x14ac:dyDescent="0.35">
      <c r="A94" s="34" t="s">
        <v>2086</v>
      </c>
      <c r="B94" s="31">
        <v>150000</v>
      </c>
      <c r="C94" s="31">
        <v>0</v>
      </c>
      <c r="E94" s="1" t="s">
        <v>223</v>
      </c>
      <c r="F94" s="2">
        <v>150000</v>
      </c>
      <c r="G94" s="2">
        <v>0</v>
      </c>
      <c r="I94" s="33">
        <f t="shared" si="20"/>
        <v>0</v>
      </c>
      <c r="J94" s="33">
        <f t="shared" si="21"/>
        <v>0</v>
      </c>
    </row>
    <row r="95" spans="1:10" x14ac:dyDescent="0.35">
      <c r="A95" s="34" t="s">
        <v>2058</v>
      </c>
      <c r="B95" s="31">
        <v>150000</v>
      </c>
      <c r="C95" s="31">
        <v>0</v>
      </c>
      <c r="E95" s="1" t="s">
        <v>164</v>
      </c>
      <c r="F95" s="2">
        <v>150000</v>
      </c>
      <c r="G95" s="2">
        <v>0</v>
      </c>
      <c r="I95" s="33">
        <f t="shared" si="20"/>
        <v>0</v>
      </c>
      <c r="J95" s="33">
        <f t="shared" si="21"/>
        <v>0</v>
      </c>
    </row>
    <row r="96" spans="1:10" x14ac:dyDescent="0.35">
      <c r="A96" s="34" t="s">
        <v>2093</v>
      </c>
      <c r="B96" s="31">
        <v>250000</v>
      </c>
      <c r="C96" s="31">
        <v>0</v>
      </c>
      <c r="E96" s="1" t="s">
        <v>499</v>
      </c>
      <c r="F96" s="2">
        <v>250000</v>
      </c>
      <c r="G96" s="2">
        <v>0</v>
      </c>
      <c r="I96" s="33">
        <f t="shared" si="20"/>
        <v>0</v>
      </c>
      <c r="J96" s="33">
        <f t="shared" si="21"/>
        <v>0</v>
      </c>
    </row>
    <row r="97" spans="1:10" x14ac:dyDescent="0.35">
      <c r="A97" s="34" t="s">
        <v>2105</v>
      </c>
      <c r="B97" s="31">
        <v>450000</v>
      </c>
      <c r="C97" s="31">
        <v>0</v>
      </c>
      <c r="E97" s="1" t="s">
        <v>277</v>
      </c>
      <c r="F97" s="2">
        <v>450000</v>
      </c>
      <c r="G97" s="2">
        <v>0</v>
      </c>
      <c r="I97" s="33">
        <f t="shared" si="20"/>
        <v>0</v>
      </c>
      <c r="J97" s="33">
        <f t="shared" si="21"/>
        <v>0</v>
      </c>
    </row>
    <row r="98" spans="1:10" x14ac:dyDescent="0.35">
      <c r="A98" s="34" t="s">
        <v>2079</v>
      </c>
      <c r="B98" s="31">
        <v>150000</v>
      </c>
      <c r="C98" s="31">
        <v>0</v>
      </c>
      <c r="E98" s="1" t="s">
        <v>364</v>
      </c>
      <c r="F98" s="2">
        <v>150000</v>
      </c>
      <c r="G98" s="2">
        <v>0</v>
      </c>
      <c r="I98" s="33">
        <f t="shared" si="20"/>
        <v>0</v>
      </c>
      <c r="J98" s="33">
        <f t="shared" si="21"/>
        <v>0</v>
      </c>
    </row>
    <row r="99" spans="1:10" x14ac:dyDescent="0.35">
      <c r="A99" s="34" t="s">
        <v>2066</v>
      </c>
      <c r="B99" s="31">
        <v>250000</v>
      </c>
      <c r="C99" s="31">
        <v>0</v>
      </c>
      <c r="E99" s="1" t="s">
        <v>181</v>
      </c>
      <c r="F99" s="2">
        <v>250000</v>
      </c>
      <c r="G99" s="2">
        <v>0</v>
      </c>
      <c r="I99" s="33">
        <f t="shared" si="20"/>
        <v>0</v>
      </c>
      <c r="J99" s="33">
        <f t="shared" si="21"/>
        <v>0</v>
      </c>
    </row>
    <row r="100" spans="1:10" x14ac:dyDescent="0.35">
      <c r="A100" s="34" t="s">
        <v>2049</v>
      </c>
      <c r="B100" s="31">
        <v>500000</v>
      </c>
      <c r="C100" s="31">
        <v>0</v>
      </c>
      <c r="E100" s="1" t="s">
        <v>521</v>
      </c>
      <c r="F100" s="2">
        <v>500000</v>
      </c>
      <c r="G100" s="2">
        <v>0</v>
      </c>
      <c r="I100" s="33">
        <f t="shared" si="20"/>
        <v>0</v>
      </c>
      <c r="J100" s="33">
        <f t="shared" si="21"/>
        <v>0</v>
      </c>
    </row>
    <row r="101" spans="1:10" x14ac:dyDescent="0.35">
      <c r="A101" s="34" t="s">
        <v>2106</v>
      </c>
      <c r="B101" s="31">
        <v>350000</v>
      </c>
      <c r="C101" s="31">
        <v>0</v>
      </c>
      <c r="E101" s="1" t="s">
        <v>329</v>
      </c>
      <c r="F101" s="2">
        <v>350000</v>
      </c>
      <c r="G101" s="2">
        <v>0</v>
      </c>
      <c r="I101" s="33">
        <f t="shared" si="20"/>
        <v>0</v>
      </c>
      <c r="J101" s="33">
        <f t="shared" si="21"/>
        <v>0</v>
      </c>
    </row>
    <row r="102" spans="1:10" x14ac:dyDescent="0.35">
      <c r="A102" s="34" t="s">
        <v>1288</v>
      </c>
      <c r="B102" s="31">
        <v>100000</v>
      </c>
      <c r="C102" s="31">
        <v>5075758</v>
      </c>
      <c r="E102" s="1" t="s">
        <v>1288</v>
      </c>
      <c r="F102" s="2">
        <v>100000</v>
      </c>
      <c r="G102" s="2">
        <v>5075758</v>
      </c>
      <c r="I102" s="33">
        <f t="shared" ref="I102:I132" si="22">B102-F102</f>
        <v>0</v>
      </c>
      <c r="J102" s="33">
        <f t="shared" ref="J102:J132" si="23">C102-G102</f>
        <v>0</v>
      </c>
    </row>
    <row r="103" spans="1:10" x14ac:dyDescent="0.35">
      <c r="A103" s="34" t="s">
        <v>2133</v>
      </c>
      <c r="B103" s="31">
        <v>100000</v>
      </c>
      <c r="C103" s="31">
        <v>0</v>
      </c>
      <c r="E103" s="1" t="s">
        <v>1358</v>
      </c>
      <c r="F103" s="2">
        <v>100000</v>
      </c>
      <c r="G103" s="2">
        <v>0</v>
      </c>
      <c r="I103" s="33">
        <f t="shared" si="22"/>
        <v>0</v>
      </c>
      <c r="J103" s="33">
        <f t="shared" si="23"/>
        <v>0</v>
      </c>
    </row>
    <row r="104" spans="1:10" x14ac:dyDescent="0.35">
      <c r="A104" s="34" t="s">
        <v>2065</v>
      </c>
      <c r="B104" s="31">
        <v>250000</v>
      </c>
      <c r="C104" s="31">
        <v>0</v>
      </c>
      <c r="E104" s="1"/>
      <c r="F104" s="2"/>
      <c r="G104" s="2"/>
      <c r="I104" s="33">
        <f t="shared" si="22"/>
        <v>250000</v>
      </c>
      <c r="J104" s="33">
        <f t="shared" si="23"/>
        <v>0</v>
      </c>
    </row>
    <row r="105" spans="1:10" x14ac:dyDescent="0.35">
      <c r="A105" s="34" t="s">
        <v>2064</v>
      </c>
      <c r="B105" s="31">
        <v>250000</v>
      </c>
      <c r="C105" s="31">
        <v>0</v>
      </c>
      <c r="E105" s="1" t="s">
        <v>176</v>
      </c>
      <c r="F105" s="2">
        <v>250000</v>
      </c>
      <c r="G105" s="2">
        <v>0</v>
      </c>
      <c r="I105" s="33">
        <f t="shared" si="22"/>
        <v>0</v>
      </c>
      <c r="J105" s="33">
        <f t="shared" si="23"/>
        <v>0</v>
      </c>
    </row>
    <row r="106" spans="1:10" x14ac:dyDescent="0.35">
      <c r="A106" s="34" t="s">
        <v>2101</v>
      </c>
      <c r="B106" s="31">
        <v>250000</v>
      </c>
      <c r="C106" s="31">
        <v>0</v>
      </c>
      <c r="E106" s="1" t="s">
        <v>529</v>
      </c>
      <c r="F106" s="2">
        <v>250000</v>
      </c>
      <c r="G106" s="2">
        <v>0</v>
      </c>
      <c r="I106" s="33">
        <f t="shared" si="22"/>
        <v>0</v>
      </c>
      <c r="J106" s="33">
        <f t="shared" si="23"/>
        <v>0</v>
      </c>
    </row>
    <row r="107" spans="1:10" x14ac:dyDescent="0.35">
      <c r="A107" s="34" t="s">
        <v>2130</v>
      </c>
      <c r="B107" s="31">
        <v>250000</v>
      </c>
      <c r="C107" s="31">
        <v>0</v>
      </c>
      <c r="E107" s="1" t="s">
        <v>1296</v>
      </c>
      <c r="F107" s="2">
        <v>250000</v>
      </c>
      <c r="G107" s="2">
        <v>0</v>
      </c>
      <c r="I107" s="33">
        <f t="shared" si="22"/>
        <v>0</v>
      </c>
      <c r="J107" s="33">
        <f t="shared" si="23"/>
        <v>0</v>
      </c>
    </row>
    <row r="108" spans="1:10" x14ac:dyDescent="0.35">
      <c r="A108" s="35" t="s">
        <v>2152</v>
      </c>
      <c r="B108" s="31">
        <v>250000</v>
      </c>
      <c r="C108" s="31">
        <v>0</v>
      </c>
      <c r="E108" s="1" t="s">
        <v>1360</v>
      </c>
      <c r="F108" s="2">
        <v>250000</v>
      </c>
      <c r="G108" s="2">
        <v>0</v>
      </c>
      <c r="I108" s="33">
        <f t="shared" si="22"/>
        <v>0</v>
      </c>
      <c r="J108" s="33">
        <f t="shared" si="23"/>
        <v>0</v>
      </c>
    </row>
    <row r="109" spans="1:10" x14ac:dyDescent="0.35">
      <c r="A109" s="34" t="s">
        <v>22</v>
      </c>
      <c r="B109" s="31">
        <v>150000</v>
      </c>
      <c r="C109" s="31">
        <v>0</v>
      </c>
      <c r="E109" s="1" t="s">
        <v>22</v>
      </c>
      <c r="F109" s="2">
        <v>150000</v>
      </c>
      <c r="G109" s="2">
        <v>0</v>
      </c>
      <c r="I109" s="33">
        <f t="shared" si="22"/>
        <v>0</v>
      </c>
      <c r="J109" s="33">
        <f t="shared" si="23"/>
        <v>0</v>
      </c>
    </row>
    <row r="110" spans="1:10" x14ac:dyDescent="0.35">
      <c r="A110" s="34" t="s">
        <v>1266</v>
      </c>
      <c r="B110" s="31">
        <v>150000</v>
      </c>
      <c r="C110" s="31">
        <v>0</v>
      </c>
      <c r="E110" s="1" t="s">
        <v>1266</v>
      </c>
      <c r="F110" s="2">
        <v>150000</v>
      </c>
      <c r="G110" s="2">
        <v>0</v>
      </c>
      <c r="I110" s="33">
        <f t="shared" si="22"/>
        <v>0</v>
      </c>
      <c r="J110" s="33">
        <f t="shared" si="23"/>
        <v>0</v>
      </c>
    </row>
    <row r="111" spans="1:10" x14ac:dyDescent="0.35">
      <c r="A111" s="34" t="s">
        <v>473</v>
      </c>
      <c r="B111" s="31">
        <v>150000</v>
      </c>
      <c r="C111" s="31">
        <v>0</v>
      </c>
      <c r="E111" s="1" t="s">
        <v>473</v>
      </c>
      <c r="F111" s="2">
        <v>150000</v>
      </c>
      <c r="G111" s="2">
        <v>0</v>
      </c>
      <c r="I111" s="33">
        <f t="shared" si="22"/>
        <v>0</v>
      </c>
      <c r="J111" s="33">
        <f t="shared" si="23"/>
        <v>0</v>
      </c>
    </row>
    <row r="112" spans="1:10" x14ac:dyDescent="0.35">
      <c r="A112" s="34" t="s">
        <v>2070</v>
      </c>
      <c r="B112" s="31">
        <v>150000</v>
      </c>
      <c r="C112" s="31">
        <v>0</v>
      </c>
      <c r="E112" s="1" t="s">
        <v>279</v>
      </c>
      <c r="F112" s="2">
        <v>150000</v>
      </c>
      <c r="G112" s="2">
        <v>0</v>
      </c>
      <c r="I112" s="33">
        <f t="shared" si="22"/>
        <v>0</v>
      </c>
      <c r="J112" s="33">
        <f t="shared" si="23"/>
        <v>0</v>
      </c>
    </row>
    <row r="113" spans="1:10" x14ac:dyDescent="0.35">
      <c r="A113" s="34" t="s">
        <v>2046</v>
      </c>
      <c r="B113" s="31">
        <v>250000</v>
      </c>
      <c r="C113" s="31">
        <v>0</v>
      </c>
      <c r="E113" s="1" t="s">
        <v>38</v>
      </c>
      <c r="F113" s="2">
        <v>250000</v>
      </c>
      <c r="G113" s="2">
        <v>0</v>
      </c>
      <c r="I113" s="33">
        <f t="shared" si="22"/>
        <v>0</v>
      </c>
      <c r="J113" s="33">
        <f t="shared" si="23"/>
        <v>0</v>
      </c>
    </row>
    <row r="114" spans="1:10" x14ac:dyDescent="0.35">
      <c r="A114" s="34" t="s">
        <v>2138</v>
      </c>
      <c r="B114" s="31">
        <v>150000</v>
      </c>
      <c r="C114" s="31">
        <v>4863285</v>
      </c>
      <c r="E114" s="1" t="s">
        <v>1298</v>
      </c>
      <c r="F114" s="2">
        <v>150000</v>
      </c>
      <c r="G114" s="2">
        <v>4863285</v>
      </c>
      <c r="I114" s="33">
        <f t="shared" si="22"/>
        <v>0</v>
      </c>
      <c r="J114" s="33">
        <f t="shared" si="23"/>
        <v>0</v>
      </c>
    </row>
    <row r="115" spans="1:10" x14ac:dyDescent="0.35">
      <c r="A115" s="34" t="s">
        <v>2122</v>
      </c>
      <c r="B115" s="31">
        <v>350000</v>
      </c>
      <c r="C115" s="31">
        <v>0</v>
      </c>
      <c r="E115" s="1" t="s">
        <v>1312</v>
      </c>
      <c r="F115" s="2">
        <v>350000</v>
      </c>
      <c r="G115" s="2">
        <v>0</v>
      </c>
      <c r="I115" s="33">
        <f t="shared" si="22"/>
        <v>0</v>
      </c>
      <c r="J115" s="33">
        <f t="shared" si="23"/>
        <v>0</v>
      </c>
    </row>
    <row r="116" spans="1:10" x14ac:dyDescent="0.35">
      <c r="A116" s="34" t="s">
        <v>1268</v>
      </c>
      <c r="B116" s="31">
        <v>150000</v>
      </c>
      <c r="C116" s="31">
        <v>0</v>
      </c>
      <c r="E116" s="1" t="s">
        <v>1268</v>
      </c>
      <c r="F116" s="2">
        <v>150000</v>
      </c>
      <c r="G116" s="2">
        <v>0</v>
      </c>
      <c r="I116" s="33">
        <f t="shared" si="22"/>
        <v>0</v>
      </c>
      <c r="J116" s="33">
        <f t="shared" si="23"/>
        <v>0</v>
      </c>
    </row>
    <row r="117" spans="1:10" x14ac:dyDescent="0.35">
      <c r="A117" s="34" t="s">
        <v>2054</v>
      </c>
      <c r="B117" s="31">
        <v>150000</v>
      </c>
      <c r="C117" s="31">
        <v>0</v>
      </c>
      <c r="E117" s="1" t="s">
        <v>129</v>
      </c>
      <c r="F117" s="2">
        <v>150000</v>
      </c>
      <c r="G117" s="2">
        <v>0</v>
      </c>
      <c r="I117" s="33">
        <f t="shared" si="22"/>
        <v>0</v>
      </c>
      <c r="J117" s="33">
        <f t="shared" si="23"/>
        <v>0</v>
      </c>
    </row>
    <row r="118" spans="1:10" x14ac:dyDescent="0.35">
      <c r="A118" s="35" t="s">
        <v>1371</v>
      </c>
      <c r="B118" s="31">
        <v>150000</v>
      </c>
      <c r="C118" s="31">
        <v>0</v>
      </c>
      <c r="E118" s="1" t="s">
        <v>1371</v>
      </c>
      <c r="F118" s="2">
        <v>150000</v>
      </c>
      <c r="G118" s="2">
        <v>0</v>
      </c>
      <c r="I118" s="33">
        <f t="shared" si="22"/>
        <v>0</v>
      </c>
      <c r="J118" s="33">
        <f t="shared" si="23"/>
        <v>0</v>
      </c>
    </row>
    <row r="119" spans="1:10" x14ac:dyDescent="0.35">
      <c r="A119" s="34" t="s">
        <v>2099</v>
      </c>
      <c r="B119" s="31">
        <v>250000</v>
      </c>
      <c r="C119" s="31">
        <v>0</v>
      </c>
      <c r="E119" s="1" t="s">
        <v>434</v>
      </c>
      <c r="F119" s="2">
        <v>250000</v>
      </c>
      <c r="G119" s="2">
        <v>0</v>
      </c>
      <c r="I119" s="33">
        <f t="shared" si="22"/>
        <v>0</v>
      </c>
      <c r="J119" s="33">
        <f t="shared" si="23"/>
        <v>0</v>
      </c>
    </row>
    <row r="120" spans="1:10" x14ac:dyDescent="0.35">
      <c r="A120" s="34" t="s">
        <v>573</v>
      </c>
      <c r="B120" s="31">
        <v>250000</v>
      </c>
      <c r="C120" s="31">
        <v>0</v>
      </c>
      <c r="E120" s="1" t="s">
        <v>573</v>
      </c>
      <c r="F120" s="2">
        <v>250000</v>
      </c>
      <c r="G120" s="2">
        <v>0</v>
      </c>
      <c r="I120" s="33">
        <f t="shared" si="22"/>
        <v>0</v>
      </c>
      <c r="J120" s="33">
        <f t="shared" si="23"/>
        <v>0</v>
      </c>
    </row>
    <row r="121" spans="1:10" x14ac:dyDescent="0.35">
      <c r="A121" s="34" t="s">
        <v>2087</v>
      </c>
      <c r="B121" s="31">
        <v>150000</v>
      </c>
      <c r="C121" s="31">
        <v>0</v>
      </c>
      <c r="E121" s="1" t="s">
        <v>479</v>
      </c>
      <c r="F121" s="2">
        <v>150000</v>
      </c>
      <c r="G121" s="2">
        <v>0</v>
      </c>
      <c r="I121" s="33">
        <f t="shared" si="22"/>
        <v>0</v>
      </c>
      <c r="J121" s="33">
        <f t="shared" si="23"/>
        <v>0</v>
      </c>
    </row>
    <row r="122" spans="1:10" x14ac:dyDescent="0.35">
      <c r="A122" s="34" t="s">
        <v>2116</v>
      </c>
      <c r="B122" s="31">
        <v>150000</v>
      </c>
      <c r="C122" s="31">
        <v>985417</v>
      </c>
      <c r="E122" s="1" t="s">
        <v>1270</v>
      </c>
      <c r="F122" s="2">
        <v>150000</v>
      </c>
      <c r="G122" s="2">
        <v>985417</v>
      </c>
      <c r="I122" s="33">
        <f t="shared" si="22"/>
        <v>0</v>
      </c>
      <c r="J122" s="33">
        <f t="shared" si="23"/>
        <v>0</v>
      </c>
    </row>
    <row r="123" spans="1:10" x14ac:dyDescent="0.35">
      <c r="A123" s="34" t="s">
        <v>509</v>
      </c>
      <c r="B123" s="31">
        <v>150000</v>
      </c>
      <c r="C123" s="31">
        <v>0</v>
      </c>
      <c r="E123" s="1" t="s">
        <v>509</v>
      </c>
      <c r="F123" s="2">
        <v>150000</v>
      </c>
      <c r="G123" s="2">
        <v>0</v>
      </c>
      <c r="I123" s="33">
        <f t="shared" si="22"/>
        <v>0</v>
      </c>
      <c r="J123" s="33">
        <f t="shared" si="23"/>
        <v>0</v>
      </c>
    </row>
    <row r="124" spans="1:10" x14ac:dyDescent="0.35">
      <c r="A124" s="34" t="s">
        <v>2100</v>
      </c>
      <c r="B124" s="31">
        <v>150000</v>
      </c>
      <c r="C124" s="31">
        <v>0</v>
      </c>
      <c r="E124" s="1" t="s">
        <v>519</v>
      </c>
      <c r="F124" s="2">
        <v>150000</v>
      </c>
      <c r="G124" s="2">
        <v>0</v>
      </c>
      <c r="I124" s="33">
        <f t="shared" si="22"/>
        <v>0</v>
      </c>
      <c r="J124" s="33">
        <f t="shared" si="23"/>
        <v>0</v>
      </c>
    </row>
    <row r="125" spans="1:10" x14ac:dyDescent="0.35">
      <c r="A125" s="34" t="s">
        <v>135</v>
      </c>
      <c r="B125" s="31">
        <v>150000</v>
      </c>
      <c r="C125" s="31">
        <v>0</v>
      </c>
      <c r="E125" s="1" t="s">
        <v>135</v>
      </c>
      <c r="F125" s="2">
        <v>150000</v>
      </c>
      <c r="G125" s="2">
        <v>0</v>
      </c>
      <c r="I125" s="33">
        <f t="shared" si="22"/>
        <v>0</v>
      </c>
      <c r="J125" s="33">
        <f t="shared" si="23"/>
        <v>0</v>
      </c>
    </row>
    <row r="126" spans="1:10" x14ac:dyDescent="0.35">
      <c r="A126" s="34" t="s">
        <v>81</v>
      </c>
      <c r="B126" s="31">
        <v>150000</v>
      </c>
      <c r="C126" s="31">
        <v>2500000</v>
      </c>
      <c r="E126" s="1" t="s">
        <v>81</v>
      </c>
      <c r="F126" s="2">
        <v>150000</v>
      </c>
      <c r="G126" s="2">
        <v>2500000</v>
      </c>
      <c r="I126" s="33">
        <f t="shared" si="22"/>
        <v>0</v>
      </c>
      <c r="J126" s="33">
        <f t="shared" si="23"/>
        <v>0</v>
      </c>
    </row>
    <row r="127" spans="1:10" x14ac:dyDescent="0.35">
      <c r="A127" s="34" t="s">
        <v>2127</v>
      </c>
      <c r="B127" s="31">
        <v>100000</v>
      </c>
      <c r="C127" s="31">
        <v>0</v>
      </c>
      <c r="E127" s="1" t="s">
        <v>261</v>
      </c>
      <c r="F127" s="2">
        <v>100000</v>
      </c>
      <c r="G127" s="2">
        <v>0</v>
      </c>
      <c r="I127" s="33">
        <f t="shared" si="22"/>
        <v>0</v>
      </c>
      <c r="J127" s="33">
        <f t="shared" si="23"/>
        <v>0</v>
      </c>
    </row>
    <row r="128" spans="1:10" x14ac:dyDescent="0.35">
      <c r="A128" s="34" t="s">
        <v>2056</v>
      </c>
      <c r="B128" s="31">
        <v>250000</v>
      </c>
      <c r="C128" s="31">
        <v>0</v>
      </c>
      <c r="E128" s="1" t="s">
        <v>147</v>
      </c>
      <c r="F128" s="2">
        <v>250000</v>
      </c>
      <c r="G128" s="2">
        <v>0</v>
      </c>
      <c r="I128" s="33">
        <f t="shared" si="22"/>
        <v>0</v>
      </c>
      <c r="J128" s="33">
        <f t="shared" si="23"/>
        <v>0</v>
      </c>
    </row>
    <row r="129" spans="1:10" x14ac:dyDescent="0.35">
      <c r="A129" s="34" t="s">
        <v>2144</v>
      </c>
      <c r="B129" s="31">
        <v>100000</v>
      </c>
      <c r="C129" s="31">
        <v>2500000</v>
      </c>
      <c r="E129" s="1" t="s">
        <v>1272</v>
      </c>
      <c r="F129" s="2">
        <v>100000</v>
      </c>
      <c r="G129" s="2">
        <v>2500000</v>
      </c>
      <c r="I129" s="33">
        <f t="shared" si="22"/>
        <v>0</v>
      </c>
      <c r="J129" s="33">
        <f t="shared" si="23"/>
        <v>0</v>
      </c>
    </row>
    <row r="130" spans="1:10" x14ac:dyDescent="0.35">
      <c r="A130" s="34" t="s">
        <v>2132</v>
      </c>
      <c r="B130" s="31">
        <v>100000</v>
      </c>
      <c r="C130" s="31">
        <v>0</v>
      </c>
      <c r="E130" s="1" t="s">
        <v>1367</v>
      </c>
      <c r="F130" s="2">
        <v>100000</v>
      </c>
      <c r="G130" s="2">
        <v>0</v>
      </c>
      <c r="I130" s="33">
        <f t="shared" si="22"/>
        <v>0</v>
      </c>
      <c r="J130" s="33">
        <f t="shared" si="23"/>
        <v>0</v>
      </c>
    </row>
    <row r="131" spans="1:10" x14ac:dyDescent="0.35">
      <c r="A131" s="34" t="s">
        <v>2091</v>
      </c>
      <c r="B131" s="31">
        <v>250000</v>
      </c>
      <c r="C131" s="31">
        <v>0</v>
      </c>
      <c r="E131" s="1" t="s">
        <v>60</v>
      </c>
      <c r="F131" s="2">
        <v>250000</v>
      </c>
      <c r="G131" s="2">
        <v>0</v>
      </c>
      <c r="I131" s="33">
        <f t="shared" si="22"/>
        <v>0</v>
      </c>
      <c r="J131" s="33">
        <f t="shared" si="23"/>
        <v>0</v>
      </c>
    </row>
    <row r="132" spans="1:10" x14ac:dyDescent="0.35">
      <c r="A132" s="34" t="s">
        <v>505</v>
      </c>
      <c r="B132" s="31">
        <v>150000</v>
      </c>
      <c r="C132" s="31">
        <v>7597381</v>
      </c>
      <c r="E132" s="1" t="s">
        <v>505</v>
      </c>
      <c r="F132" s="2">
        <v>150000</v>
      </c>
      <c r="G132" s="2">
        <v>7597381</v>
      </c>
      <c r="I132" s="33">
        <f t="shared" si="22"/>
        <v>0</v>
      </c>
      <c r="J132" s="33">
        <f t="shared" si="23"/>
        <v>0</v>
      </c>
    </row>
    <row r="133" spans="1:10" x14ac:dyDescent="0.35">
      <c r="A133" s="34" t="s">
        <v>288</v>
      </c>
      <c r="B133" s="31">
        <v>150000</v>
      </c>
      <c r="C133" s="31">
        <v>0</v>
      </c>
      <c r="E133" s="1" t="s">
        <v>288</v>
      </c>
      <c r="F133" s="2">
        <v>150000</v>
      </c>
      <c r="G133" s="2">
        <v>0</v>
      </c>
      <c r="I133" s="33">
        <f t="shared" ref="I133:I154" si="24">B133-F133</f>
        <v>0</v>
      </c>
      <c r="J133" s="33">
        <f t="shared" ref="J133:J154" si="25">C133-G133</f>
        <v>0</v>
      </c>
    </row>
    <row r="134" spans="1:10" x14ac:dyDescent="0.35">
      <c r="A134" s="34" t="s">
        <v>2103</v>
      </c>
      <c r="B134" s="31">
        <v>150000</v>
      </c>
      <c r="C134" s="31">
        <v>0</v>
      </c>
      <c r="E134" s="1" t="s">
        <v>577</v>
      </c>
      <c r="F134" s="2">
        <v>150000</v>
      </c>
      <c r="G134" s="2">
        <v>0</v>
      </c>
      <c r="I134" s="33">
        <f t="shared" si="24"/>
        <v>0</v>
      </c>
      <c r="J134" s="33">
        <f t="shared" si="25"/>
        <v>0</v>
      </c>
    </row>
    <row r="135" spans="1:10" x14ac:dyDescent="0.35">
      <c r="A135" s="34" t="s">
        <v>2126</v>
      </c>
      <c r="B135" s="31">
        <v>250000</v>
      </c>
      <c r="C135" s="31">
        <v>0</v>
      </c>
      <c r="E135" s="1" t="s">
        <v>1256</v>
      </c>
      <c r="F135" s="2">
        <v>250000</v>
      </c>
      <c r="G135" s="2">
        <v>0</v>
      </c>
      <c r="I135" s="33">
        <f t="shared" si="24"/>
        <v>0</v>
      </c>
      <c r="J135" s="33">
        <f t="shared" si="25"/>
        <v>0</v>
      </c>
    </row>
    <row r="136" spans="1:10" x14ac:dyDescent="0.35">
      <c r="A136" s="34" t="s">
        <v>2082</v>
      </c>
      <c r="B136" s="31">
        <v>250000</v>
      </c>
      <c r="C136" s="31">
        <v>0</v>
      </c>
      <c r="E136" s="1" t="s">
        <v>220</v>
      </c>
      <c r="F136" s="2">
        <v>250000</v>
      </c>
      <c r="G136" s="2">
        <v>0</v>
      </c>
      <c r="I136" s="33">
        <f t="shared" si="24"/>
        <v>0</v>
      </c>
      <c r="J136" s="33">
        <f t="shared" si="25"/>
        <v>0</v>
      </c>
    </row>
    <row r="137" spans="1:10" x14ac:dyDescent="0.35">
      <c r="A137" s="34" t="s">
        <v>1246</v>
      </c>
      <c r="B137" s="31">
        <v>150000</v>
      </c>
      <c r="C137" s="31">
        <v>958333</v>
      </c>
      <c r="E137" s="1" t="s">
        <v>1246</v>
      </c>
      <c r="F137" s="2">
        <v>150000</v>
      </c>
      <c r="G137" s="2">
        <v>958333</v>
      </c>
      <c r="I137" s="33">
        <f t="shared" si="24"/>
        <v>0</v>
      </c>
      <c r="J137" s="33">
        <f t="shared" si="25"/>
        <v>0</v>
      </c>
    </row>
    <row r="138" spans="1:10" x14ac:dyDescent="0.35">
      <c r="A138" s="34" t="s">
        <v>1284</v>
      </c>
      <c r="B138" s="31">
        <v>150000</v>
      </c>
      <c r="C138" s="31">
        <v>3687500</v>
      </c>
      <c r="E138" s="1" t="s">
        <v>1284</v>
      </c>
      <c r="F138" s="2">
        <v>150000</v>
      </c>
      <c r="G138" s="2">
        <v>3687500</v>
      </c>
      <c r="I138" s="33">
        <f t="shared" si="24"/>
        <v>0</v>
      </c>
      <c r="J138" s="33">
        <f t="shared" si="25"/>
        <v>0</v>
      </c>
    </row>
    <row r="139" spans="1:10" x14ac:dyDescent="0.35">
      <c r="A139" s="34" t="s">
        <v>2095</v>
      </c>
      <c r="B139" s="31">
        <v>250000</v>
      </c>
      <c r="C139" s="31">
        <v>0</v>
      </c>
      <c r="E139" s="3" t="s">
        <v>1131</v>
      </c>
      <c r="F139" s="2">
        <v>250000</v>
      </c>
      <c r="G139" s="2">
        <v>0</v>
      </c>
      <c r="I139" s="33">
        <f t="shared" si="24"/>
        <v>0</v>
      </c>
      <c r="J139" s="33">
        <f t="shared" si="25"/>
        <v>0</v>
      </c>
    </row>
    <row r="140" spans="1:10" x14ac:dyDescent="0.35">
      <c r="A140" s="34" t="s">
        <v>1349</v>
      </c>
      <c r="B140" s="31">
        <v>100000</v>
      </c>
      <c r="C140" s="31">
        <v>0</v>
      </c>
      <c r="E140" s="1" t="s">
        <v>1349</v>
      </c>
      <c r="F140" s="2">
        <v>100000</v>
      </c>
      <c r="G140" s="2">
        <v>0</v>
      </c>
      <c r="I140" s="33">
        <f t="shared" si="24"/>
        <v>0</v>
      </c>
      <c r="J140" s="33">
        <f t="shared" si="25"/>
        <v>0</v>
      </c>
    </row>
    <row r="141" spans="1:10" x14ac:dyDescent="0.35">
      <c r="A141" s="34" t="s">
        <v>2088</v>
      </c>
      <c r="B141" s="31">
        <v>250000</v>
      </c>
      <c r="C141" s="31">
        <v>0</v>
      </c>
      <c r="E141" s="1"/>
      <c r="F141" s="2"/>
      <c r="G141" s="2"/>
      <c r="I141" s="33">
        <f t="shared" si="24"/>
        <v>250000</v>
      </c>
      <c r="J141" s="33">
        <f t="shared" si="25"/>
        <v>0</v>
      </c>
    </row>
    <row r="142" spans="1:10" x14ac:dyDescent="0.35">
      <c r="A142" s="34" t="s">
        <v>511</v>
      </c>
      <c r="B142" s="31">
        <v>150000</v>
      </c>
      <c r="C142" s="31">
        <v>0</v>
      </c>
      <c r="E142" s="1" t="s">
        <v>511</v>
      </c>
      <c r="F142" s="2">
        <v>150000</v>
      </c>
      <c r="G142" s="2">
        <v>0</v>
      </c>
      <c r="I142" s="33">
        <f t="shared" si="24"/>
        <v>0</v>
      </c>
      <c r="J142" s="33">
        <f t="shared" si="25"/>
        <v>0</v>
      </c>
    </row>
    <row r="143" spans="1:10" x14ac:dyDescent="0.35">
      <c r="A143" s="34" t="s">
        <v>2076</v>
      </c>
      <c r="B143" s="31">
        <v>350000</v>
      </c>
      <c r="C143" s="31">
        <v>11907732</v>
      </c>
      <c r="E143" s="1" t="s">
        <v>1336</v>
      </c>
      <c r="F143" s="2">
        <v>350000</v>
      </c>
      <c r="G143" s="2">
        <v>11907732</v>
      </c>
      <c r="I143" s="33">
        <f t="shared" si="24"/>
        <v>0</v>
      </c>
      <c r="J143" s="33">
        <f t="shared" si="25"/>
        <v>0</v>
      </c>
    </row>
    <row r="144" spans="1:10" x14ac:dyDescent="0.35">
      <c r="A144" s="34" t="s">
        <v>2141</v>
      </c>
      <c r="B144" s="31">
        <v>350000</v>
      </c>
      <c r="C144" s="31">
        <v>0</v>
      </c>
      <c r="E144" s="1" t="s">
        <v>1343</v>
      </c>
      <c r="F144" s="2">
        <v>350000</v>
      </c>
      <c r="G144" s="2">
        <v>0</v>
      </c>
      <c r="I144" s="33">
        <f t="shared" si="24"/>
        <v>0</v>
      </c>
      <c r="J144" s="33">
        <f t="shared" si="25"/>
        <v>0</v>
      </c>
    </row>
    <row r="145" spans="1:10" x14ac:dyDescent="0.35">
      <c r="A145" s="34" t="s">
        <v>312</v>
      </c>
      <c r="B145" s="31">
        <v>150000</v>
      </c>
      <c r="C145" s="31">
        <v>0</v>
      </c>
      <c r="E145" s="1" t="s">
        <v>312</v>
      </c>
      <c r="F145" s="2">
        <v>150000</v>
      </c>
      <c r="G145" s="2">
        <v>0</v>
      </c>
      <c r="I145" s="33">
        <f t="shared" si="24"/>
        <v>0</v>
      </c>
      <c r="J145" s="33">
        <f t="shared" si="25"/>
        <v>0</v>
      </c>
    </row>
    <row r="146" spans="1:10" x14ac:dyDescent="0.35">
      <c r="A146" s="30" t="s">
        <v>531</v>
      </c>
      <c r="B146" s="31">
        <v>150000</v>
      </c>
      <c r="C146" s="31">
        <v>0</v>
      </c>
      <c r="E146" s="1" t="s">
        <v>531</v>
      </c>
      <c r="F146" s="2">
        <v>150000</v>
      </c>
      <c r="G146" s="2">
        <v>0</v>
      </c>
      <c r="I146" s="33">
        <f t="shared" si="24"/>
        <v>0</v>
      </c>
      <c r="J146" s="33">
        <f t="shared" si="25"/>
        <v>0</v>
      </c>
    </row>
    <row r="147" spans="1:10" x14ac:dyDescent="0.35">
      <c r="A147" s="30" t="s">
        <v>2124</v>
      </c>
      <c r="B147" s="31">
        <v>350000</v>
      </c>
      <c r="C147" s="31">
        <v>2500000</v>
      </c>
      <c r="E147" s="1" t="s">
        <v>1338</v>
      </c>
      <c r="F147" s="2">
        <v>350000</v>
      </c>
      <c r="G147" s="2">
        <v>2500000</v>
      </c>
      <c r="I147" s="33">
        <f t="shared" si="24"/>
        <v>0</v>
      </c>
      <c r="J147" s="33">
        <f t="shared" si="25"/>
        <v>0</v>
      </c>
    </row>
    <row r="148" spans="1:10" x14ac:dyDescent="0.35">
      <c r="A148" s="30" t="s">
        <v>2059</v>
      </c>
      <c r="B148" s="31">
        <v>250000</v>
      </c>
      <c r="C148" s="31">
        <v>0</v>
      </c>
      <c r="E148" s="1" t="s">
        <v>174</v>
      </c>
      <c r="F148" s="2">
        <v>250000</v>
      </c>
      <c r="G148" s="2">
        <v>0</v>
      </c>
      <c r="I148" s="33">
        <f t="shared" si="24"/>
        <v>0</v>
      </c>
      <c r="J148" s="33">
        <f t="shared" si="25"/>
        <v>0</v>
      </c>
    </row>
    <row r="149" spans="1:10" x14ac:dyDescent="0.35">
      <c r="A149" s="30" t="s">
        <v>2125</v>
      </c>
      <c r="B149" s="31">
        <v>350000</v>
      </c>
      <c r="C149" s="31">
        <v>0</v>
      </c>
      <c r="E149" s="1" t="s">
        <v>1317</v>
      </c>
      <c r="F149" s="2">
        <v>350000</v>
      </c>
      <c r="G149" s="2">
        <v>0</v>
      </c>
      <c r="I149" s="33">
        <f t="shared" si="24"/>
        <v>0</v>
      </c>
      <c r="J149" s="33">
        <f t="shared" si="25"/>
        <v>0</v>
      </c>
    </row>
    <row r="150" spans="1:10" x14ac:dyDescent="0.35">
      <c r="A150" s="30" t="s">
        <v>2077</v>
      </c>
      <c r="B150" s="31">
        <v>350000</v>
      </c>
      <c r="C150" s="31">
        <v>0</v>
      </c>
      <c r="E150" s="1" t="s">
        <v>218</v>
      </c>
      <c r="F150" s="2">
        <v>350000</v>
      </c>
      <c r="G150" s="2">
        <v>0</v>
      </c>
      <c r="I150" s="33">
        <f t="shared" si="24"/>
        <v>0</v>
      </c>
      <c r="J150" s="33">
        <f t="shared" si="25"/>
        <v>0</v>
      </c>
    </row>
    <row r="151" spans="1:10" x14ac:dyDescent="0.35">
      <c r="A151" s="30" t="s">
        <v>2147</v>
      </c>
      <c r="B151" s="31">
        <v>250000</v>
      </c>
      <c r="C151" s="31">
        <v>0</v>
      </c>
      <c r="E151" s="1" t="s">
        <v>405</v>
      </c>
      <c r="F151" s="2">
        <v>250000</v>
      </c>
      <c r="G151" s="2">
        <v>0</v>
      </c>
      <c r="I151" s="33">
        <f t="shared" si="24"/>
        <v>0</v>
      </c>
      <c r="J151" s="33">
        <f t="shared" si="25"/>
        <v>0</v>
      </c>
    </row>
    <row r="152" spans="1:10" x14ac:dyDescent="0.35">
      <c r="A152" s="30" t="s">
        <v>2112</v>
      </c>
      <c r="B152" s="31">
        <v>150000</v>
      </c>
      <c r="C152" s="31">
        <v>0</v>
      </c>
      <c r="E152" s="1" t="s">
        <v>1254</v>
      </c>
      <c r="F152" s="2">
        <v>150000</v>
      </c>
      <c r="G152" s="2">
        <v>0</v>
      </c>
      <c r="I152" s="33">
        <f t="shared" si="24"/>
        <v>0</v>
      </c>
      <c r="J152" s="33">
        <f t="shared" si="25"/>
        <v>0</v>
      </c>
    </row>
    <row r="153" spans="1:10" x14ac:dyDescent="0.35">
      <c r="A153" s="30" t="s">
        <v>2073</v>
      </c>
      <c r="B153" s="31">
        <v>150000</v>
      </c>
      <c r="C153" s="31">
        <v>0</v>
      </c>
      <c r="E153" s="1" t="s">
        <v>316</v>
      </c>
      <c r="F153" s="2">
        <v>150000</v>
      </c>
      <c r="G153" s="2">
        <v>0</v>
      </c>
      <c r="I153" s="33">
        <f t="shared" si="24"/>
        <v>0</v>
      </c>
      <c r="J153" s="33">
        <f t="shared" si="25"/>
        <v>0</v>
      </c>
    </row>
    <row r="154" spans="1:10" x14ac:dyDescent="0.35">
      <c r="A154" s="30" t="s">
        <v>201</v>
      </c>
      <c r="B154" s="31">
        <v>150000</v>
      </c>
      <c r="C154" s="31">
        <v>2310813</v>
      </c>
      <c r="E154" s="1" t="s">
        <v>201</v>
      </c>
      <c r="F154" s="2">
        <v>150000</v>
      </c>
      <c r="G154" s="2">
        <v>2310813</v>
      </c>
      <c r="I154" s="33">
        <f t="shared" si="24"/>
        <v>0</v>
      </c>
      <c r="J154" s="33">
        <f t="shared" si="25"/>
        <v>0</v>
      </c>
    </row>
    <row r="155" spans="1:10" x14ac:dyDescent="0.35">
      <c r="A155" s="30" t="s">
        <v>137</v>
      </c>
      <c r="B155" s="31">
        <v>150000</v>
      </c>
      <c r="C155" s="31">
        <v>0</v>
      </c>
      <c r="E155" s="1" t="s">
        <v>137</v>
      </c>
      <c r="F155" s="2">
        <v>150000</v>
      </c>
      <c r="G155" s="2">
        <v>0</v>
      </c>
      <c r="I155" s="33">
        <f t="shared" ref="I155:I156" si="26">B155-F155</f>
        <v>0</v>
      </c>
      <c r="J155" s="33">
        <f t="shared" ref="J155:J156" si="27">C155-G155</f>
        <v>0</v>
      </c>
    </row>
    <row r="156" spans="1:10" x14ac:dyDescent="0.35">
      <c r="A156" s="35" t="s">
        <v>2153</v>
      </c>
      <c r="B156" s="31">
        <v>250000</v>
      </c>
      <c r="C156" s="31">
        <v>3402778</v>
      </c>
      <c r="I156" s="33">
        <f t="shared" si="26"/>
        <v>250000</v>
      </c>
      <c r="J156" s="33">
        <f t="shared" si="27"/>
        <v>3402778</v>
      </c>
    </row>
    <row r="158" spans="1:10" x14ac:dyDescent="0.35">
      <c r="B158" s="36">
        <f>SUM(B3:B156)</f>
        <v>30650000</v>
      </c>
      <c r="C158" s="36">
        <f t="shared" ref="C158:J158" si="28">SUM(C3:C156)</f>
        <v>104082041</v>
      </c>
      <c r="D158" s="36">
        <f t="shared" si="28"/>
        <v>0</v>
      </c>
      <c r="E158" s="36">
        <f t="shared" si="28"/>
        <v>0</v>
      </c>
      <c r="F158" s="36">
        <f t="shared" si="28"/>
        <v>29750000</v>
      </c>
      <c r="G158" s="36">
        <f t="shared" si="28"/>
        <v>102569891</v>
      </c>
      <c r="H158" s="36">
        <f t="shared" si="28"/>
        <v>0</v>
      </c>
      <c r="I158" s="36">
        <f t="shared" si="28"/>
        <v>900000</v>
      </c>
      <c r="J158" s="36">
        <f t="shared" si="28"/>
        <v>1512150</v>
      </c>
    </row>
  </sheetData>
  <sortState xmlns:xlrd2="http://schemas.microsoft.com/office/spreadsheetml/2017/richdata2" ref="E3:G160">
    <sortCondition ref="E1:E160"/>
  </sortState>
  <conditionalFormatting sqref="A134">
    <cfRule type="duplicateValues" dxfId="5" priority="2" stopIfTrue="1"/>
  </conditionalFormatting>
  <conditionalFormatting sqref="A135:A137">
    <cfRule type="duplicateValues" dxfId="4" priority="1" stopIfTrue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7AE8F-2896-453F-8C20-960AF0A61EF8}">
  <dimension ref="A3:T48"/>
  <sheetViews>
    <sheetView topLeftCell="A22" zoomScale="85" zoomScaleNormal="85" workbookViewId="0">
      <selection activeCell="G37" sqref="G37"/>
    </sheetView>
  </sheetViews>
  <sheetFormatPr defaultRowHeight="14.5" x14ac:dyDescent="0.35"/>
  <cols>
    <col min="1" max="1" width="22.6328125" customWidth="1"/>
    <col min="2" max="2" width="13.7265625" bestFit="1" customWidth="1"/>
    <col min="3" max="3" width="5.90625" customWidth="1"/>
    <col min="4" max="4" width="16.7265625" hidden="1" customWidth="1"/>
    <col min="5" max="5" width="13" hidden="1" customWidth="1"/>
    <col min="6" max="6" width="5.1796875" hidden="1" customWidth="1"/>
    <col min="7" max="7" width="25.54296875" hidden="1" customWidth="1"/>
    <col min="8" max="8" width="13" hidden="1" customWidth="1"/>
    <col min="9" max="9" width="4.54296875" hidden="1" customWidth="1"/>
    <col min="10" max="10" width="23.08984375" hidden="1" customWidth="1"/>
    <col min="11" max="11" width="14.08984375" hidden="1" customWidth="1"/>
    <col min="12" max="12" width="5.36328125" hidden="1" customWidth="1"/>
    <col min="13" max="13" width="23.7265625" customWidth="1"/>
    <col min="14" max="14" width="13.81640625" customWidth="1"/>
    <col min="15" max="15" width="4.26953125" customWidth="1"/>
    <col min="16" max="16" width="11.6328125" customWidth="1"/>
    <col min="17" max="17" width="11.1796875" customWidth="1"/>
    <col min="19" max="19" width="20.36328125" customWidth="1"/>
    <col min="20" max="20" width="14.54296875" customWidth="1"/>
  </cols>
  <sheetData>
    <row r="3" spans="1:20" ht="15" thickBot="1" x14ac:dyDescent="0.4">
      <c r="A3" s="89" t="s">
        <v>1223</v>
      </c>
      <c r="B3" s="90">
        <v>1500000</v>
      </c>
    </row>
    <row r="4" spans="1:20" x14ac:dyDescent="0.35">
      <c r="A4" s="56" t="s">
        <v>646</v>
      </c>
      <c r="B4" s="57">
        <v>6887500</v>
      </c>
      <c r="D4" t="s">
        <v>1842</v>
      </c>
      <c r="E4" s="12">
        <v>1020833</v>
      </c>
      <c r="G4" s="59" t="s">
        <v>1842</v>
      </c>
      <c r="H4" s="65">
        <v>0</v>
      </c>
      <c r="J4" t="s">
        <v>1842</v>
      </c>
      <c r="K4" s="12">
        <v>0</v>
      </c>
      <c r="M4" t="s">
        <v>1842</v>
      </c>
      <c r="N4" s="12">
        <f>E4+H4+K4</f>
        <v>1020833</v>
      </c>
      <c r="P4" s="73" t="s">
        <v>753</v>
      </c>
      <c r="Q4" s="75">
        <v>6873356</v>
      </c>
      <c r="S4" s="77" t="s">
        <v>804</v>
      </c>
      <c r="T4" s="75">
        <v>9158659</v>
      </c>
    </row>
    <row r="5" spans="1:20" x14ac:dyDescent="0.35">
      <c r="A5" s="56" t="s">
        <v>1842</v>
      </c>
      <c r="B5" s="57">
        <v>1020833</v>
      </c>
      <c r="D5" t="s">
        <v>719</v>
      </c>
      <c r="E5" s="12">
        <v>2291667</v>
      </c>
      <c r="G5" s="60" t="s">
        <v>719</v>
      </c>
      <c r="H5" s="66"/>
      <c r="J5" t="s">
        <v>719</v>
      </c>
      <c r="K5" s="12">
        <v>0</v>
      </c>
      <c r="M5" t="s">
        <v>719</v>
      </c>
      <c r="N5" s="12">
        <f>E5+H5+K5+T6</f>
        <v>7801667</v>
      </c>
      <c r="P5" s="73" t="s">
        <v>751</v>
      </c>
      <c r="Q5" s="75">
        <v>3436678</v>
      </c>
      <c r="S5" s="73" t="s">
        <v>743</v>
      </c>
      <c r="T5" s="78">
        <v>7312930</v>
      </c>
    </row>
    <row r="6" spans="1:20" x14ac:dyDescent="0.35">
      <c r="A6" s="56" t="s">
        <v>891</v>
      </c>
      <c r="B6" s="57">
        <v>7609848</v>
      </c>
      <c r="D6" t="s">
        <v>804</v>
      </c>
      <c r="E6" s="12">
        <v>6708333</v>
      </c>
      <c r="G6" s="60" t="s">
        <v>804</v>
      </c>
      <c r="H6" s="67">
        <v>2500000</v>
      </c>
      <c r="J6" t="s">
        <v>804</v>
      </c>
      <c r="K6" s="12">
        <v>0</v>
      </c>
      <c r="M6" t="s">
        <v>804</v>
      </c>
      <c r="N6" s="12">
        <f>E6+H6+K6+T4</f>
        <v>18366992</v>
      </c>
      <c r="P6" s="73" t="s">
        <v>680</v>
      </c>
      <c r="Q6" s="75">
        <v>5498685</v>
      </c>
      <c r="S6" s="73" t="s">
        <v>719</v>
      </c>
      <c r="T6" s="78">
        <v>5510000</v>
      </c>
    </row>
    <row r="7" spans="1:20" x14ac:dyDescent="0.35">
      <c r="A7" s="56" t="s">
        <v>719</v>
      </c>
      <c r="B7" s="57">
        <v>7801667</v>
      </c>
      <c r="D7" t="s">
        <v>787</v>
      </c>
      <c r="E7" s="12">
        <v>1871528</v>
      </c>
      <c r="G7" s="60" t="s">
        <v>787</v>
      </c>
      <c r="H7" s="66"/>
      <c r="J7" t="s">
        <v>787</v>
      </c>
      <c r="K7" s="12">
        <v>0</v>
      </c>
      <c r="M7" t="s">
        <v>787</v>
      </c>
      <c r="N7" s="12">
        <f>E7+H7+K7</f>
        <v>1871528</v>
      </c>
      <c r="P7" s="73" t="s">
        <v>743</v>
      </c>
      <c r="Q7" s="75">
        <v>6873357</v>
      </c>
      <c r="S7" s="73" t="s">
        <v>942</v>
      </c>
      <c r="T7" s="78">
        <v>5510000</v>
      </c>
    </row>
    <row r="8" spans="1:20" x14ac:dyDescent="0.35">
      <c r="A8" s="56" t="s">
        <v>784</v>
      </c>
      <c r="B8" s="57">
        <v>1000000</v>
      </c>
      <c r="D8" t="s">
        <v>1373</v>
      </c>
      <c r="E8" s="12">
        <v>2291667</v>
      </c>
      <c r="G8" s="60" t="s">
        <v>1373</v>
      </c>
      <c r="H8" s="66"/>
      <c r="J8" t="s">
        <v>1373</v>
      </c>
      <c r="K8" s="12">
        <v>0</v>
      </c>
      <c r="M8" t="s">
        <v>1373</v>
      </c>
      <c r="N8" s="12">
        <f>E8+H8+K8+T11</f>
        <v>6053100</v>
      </c>
      <c r="P8" s="73" t="s">
        <v>858</v>
      </c>
      <c r="Q8" s="75">
        <v>4986707</v>
      </c>
      <c r="S8" s="79" t="s">
        <v>844</v>
      </c>
      <c r="T8" s="78">
        <v>2996427</v>
      </c>
    </row>
    <row r="9" spans="1:20" x14ac:dyDescent="0.35">
      <c r="A9" s="56" t="s">
        <v>804</v>
      </c>
      <c r="B9" s="57">
        <v>18366992</v>
      </c>
      <c r="D9" t="s">
        <v>1050</v>
      </c>
      <c r="E9" s="12">
        <v>8506944</v>
      </c>
      <c r="G9" s="60" t="s">
        <v>1050</v>
      </c>
      <c r="H9" s="68">
        <v>2500000</v>
      </c>
      <c r="J9" t="s">
        <v>1050</v>
      </c>
      <c r="K9" s="12">
        <v>0</v>
      </c>
      <c r="M9" t="s">
        <v>1050</v>
      </c>
      <c r="N9" s="12">
        <f>E9+H9+K9</f>
        <v>11006944</v>
      </c>
      <c r="P9" s="73" t="s">
        <v>749</v>
      </c>
      <c r="Q9" s="75">
        <v>4704441</v>
      </c>
      <c r="S9" s="73" t="s">
        <v>891</v>
      </c>
      <c r="T9" s="78">
        <v>7609848</v>
      </c>
    </row>
    <row r="10" spans="1:20" x14ac:dyDescent="0.35">
      <c r="A10" s="56" t="s">
        <v>787</v>
      </c>
      <c r="B10" s="57">
        <v>1871528</v>
      </c>
      <c r="D10" t="s">
        <v>743</v>
      </c>
      <c r="E10" s="12">
        <v>3437500</v>
      </c>
      <c r="G10" s="61" t="s">
        <v>743</v>
      </c>
      <c r="H10" s="68"/>
      <c r="J10" t="s">
        <v>743</v>
      </c>
      <c r="K10" s="12">
        <v>0</v>
      </c>
      <c r="M10" t="s">
        <v>743</v>
      </c>
      <c r="N10" s="12">
        <f>E10+H10+K10+Q7+T5</f>
        <v>17623787</v>
      </c>
      <c r="P10" s="73" t="s">
        <v>638</v>
      </c>
      <c r="Q10" s="75">
        <v>6154617</v>
      </c>
      <c r="S10" s="79" t="s">
        <v>680</v>
      </c>
      <c r="T10" s="78">
        <v>6617197</v>
      </c>
    </row>
    <row r="11" spans="1:20" x14ac:dyDescent="0.35">
      <c r="A11" s="56" t="s">
        <v>802</v>
      </c>
      <c r="B11" s="57">
        <v>6750416</v>
      </c>
      <c r="D11" t="s">
        <v>1044</v>
      </c>
      <c r="E11" s="12">
        <v>0</v>
      </c>
      <c r="G11" s="60" t="s">
        <v>1044</v>
      </c>
      <c r="H11" s="68">
        <v>2000000</v>
      </c>
      <c r="J11" t="s">
        <v>1044</v>
      </c>
      <c r="K11" s="12">
        <v>0</v>
      </c>
      <c r="M11" t="s">
        <v>1044</v>
      </c>
      <c r="N11" s="12">
        <f>E11+H11+K11+T15</f>
        <v>5767335</v>
      </c>
      <c r="P11" s="74" t="s">
        <v>1060</v>
      </c>
      <c r="Q11" s="76">
        <v>7560693</v>
      </c>
      <c r="S11" s="73" t="s">
        <v>1373</v>
      </c>
      <c r="T11" s="78">
        <v>3761433</v>
      </c>
    </row>
    <row r="12" spans="1:20" x14ac:dyDescent="0.35">
      <c r="A12" s="56" t="s">
        <v>1373</v>
      </c>
      <c r="B12" s="57">
        <v>6053100</v>
      </c>
      <c r="D12" t="s">
        <v>626</v>
      </c>
      <c r="E12" s="12">
        <v>850694</v>
      </c>
      <c r="G12" s="60" t="s">
        <v>626</v>
      </c>
      <c r="H12" s="66"/>
      <c r="J12" t="s">
        <v>626</v>
      </c>
      <c r="K12" s="12">
        <v>0</v>
      </c>
      <c r="M12" t="s">
        <v>626</v>
      </c>
      <c r="N12" s="12">
        <f>E12+H12+K12</f>
        <v>850694</v>
      </c>
      <c r="S12" s="79" t="s">
        <v>977</v>
      </c>
      <c r="T12" s="78">
        <v>4387759</v>
      </c>
    </row>
    <row r="13" spans="1:20" x14ac:dyDescent="0.35">
      <c r="A13" s="56" t="s">
        <v>1050</v>
      </c>
      <c r="B13" s="57">
        <v>11006944</v>
      </c>
      <c r="D13" t="s">
        <v>751</v>
      </c>
      <c r="E13" s="12">
        <v>2395833</v>
      </c>
      <c r="G13" s="60" t="s">
        <v>751</v>
      </c>
      <c r="H13" s="66"/>
      <c r="J13" t="s">
        <v>751</v>
      </c>
      <c r="K13" s="12">
        <v>0</v>
      </c>
      <c r="M13" t="s">
        <v>751</v>
      </c>
      <c r="N13" s="12">
        <f>E13+H13+K13+Q5</f>
        <v>5832511</v>
      </c>
      <c r="S13" s="80" t="s">
        <v>646</v>
      </c>
      <c r="T13" s="78">
        <v>6887500</v>
      </c>
    </row>
    <row r="14" spans="1:20" x14ac:dyDescent="0.35">
      <c r="A14" s="56" t="s">
        <v>743</v>
      </c>
      <c r="B14" s="57">
        <v>17623787</v>
      </c>
      <c r="D14" t="s">
        <v>842</v>
      </c>
      <c r="E14" s="12">
        <v>1197917</v>
      </c>
      <c r="G14" s="60" t="s">
        <v>842</v>
      </c>
      <c r="H14" s="67">
        <v>1000000</v>
      </c>
      <c r="J14" t="s">
        <v>842</v>
      </c>
      <c r="K14" s="12">
        <v>1252125</v>
      </c>
      <c r="M14" t="s">
        <v>842</v>
      </c>
      <c r="N14" s="12">
        <f>E14+H14+K14</f>
        <v>3450042</v>
      </c>
      <c r="S14" s="81" t="s">
        <v>690</v>
      </c>
      <c r="T14" s="85">
        <v>3242693</v>
      </c>
    </row>
    <row r="15" spans="1:20" x14ac:dyDescent="0.35">
      <c r="A15" s="56" t="s">
        <v>1044</v>
      </c>
      <c r="B15" s="57">
        <v>5767335</v>
      </c>
      <c r="D15" t="s">
        <v>1042</v>
      </c>
      <c r="E15" s="12">
        <v>2395833</v>
      </c>
      <c r="G15" s="59" t="s">
        <v>1042</v>
      </c>
      <c r="H15" s="65"/>
      <c r="J15" t="s">
        <v>1042</v>
      </c>
      <c r="K15" s="12">
        <v>0</v>
      </c>
      <c r="M15" t="s">
        <v>1042</v>
      </c>
      <c r="N15" s="12">
        <f>E15+H15+K15</f>
        <v>2395833</v>
      </c>
      <c r="S15" s="82" t="s">
        <v>1044</v>
      </c>
      <c r="T15" s="85">
        <v>3767335</v>
      </c>
    </row>
    <row r="16" spans="1:20" x14ac:dyDescent="0.35">
      <c r="A16" s="56" t="s">
        <v>1232</v>
      </c>
      <c r="B16" s="57">
        <v>1890628</v>
      </c>
      <c r="D16" t="s">
        <v>725</v>
      </c>
      <c r="E16" s="12">
        <v>3562500</v>
      </c>
      <c r="G16" s="60" t="s">
        <v>725</v>
      </c>
      <c r="H16" s="68"/>
      <c r="J16" t="s">
        <v>725</v>
      </c>
      <c r="K16" s="12">
        <v>0</v>
      </c>
      <c r="M16" t="s">
        <v>725</v>
      </c>
      <c r="N16" s="12">
        <f>E16+H16+K16</f>
        <v>3562500</v>
      </c>
      <c r="S16" s="83" t="s">
        <v>1166</v>
      </c>
      <c r="T16" s="86">
        <v>2702245</v>
      </c>
    </row>
    <row r="17" spans="1:20" x14ac:dyDescent="0.35">
      <c r="A17" s="56" t="s">
        <v>626</v>
      </c>
      <c r="B17" s="57">
        <v>850694</v>
      </c>
      <c r="D17" t="s">
        <v>827</v>
      </c>
      <c r="E17" s="12">
        <v>2291667</v>
      </c>
      <c r="G17" s="62" t="s">
        <v>827</v>
      </c>
      <c r="H17" s="68"/>
      <c r="J17" t="s">
        <v>827</v>
      </c>
      <c r="K17" s="12">
        <v>0</v>
      </c>
      <c r="M17" t="s">
        <v>827</v>
      </c>
      <c r="N17" s="12">
        <f>E17+H17+K17</f>
        <v>2291667</v>
      </c>
      <c r="S17" s="84" t="s">
        <v>1995</v>
      </c>
      <c r="T17" s="85">
        <v>6746749</v>
      </c>
    </row>
    <row r="18" spans="1:20" ht="15" thickBot="1" x14ac:dyDescent="0.4">
      <c r="A18" s="56" t="s">
        <v>751</v>
      </c>
      <c r="B18" s="57">
        <v>5832511</v>
      </c>
      <c r="D18" t="s">
        <v>850</v>
      </c>
      <c r="E18" s="12">
        <v>3402778</v>
      </c>
      <c r="G18" s="60" t="s">
        <v>850</v>
      </c>
      <c r="H18" s="66"/>
      <c r="J18" t="s">
        <v>850</v>
      </c>
      <c r="K18" s="12">
        <v>0</v>
      </c>
      <c r="M18" t="s">
        <v>850</v>
      </c>
      <c r="N18" s="12">
        <f>E18+H18+K18</f>
        <v>3402778</v>
      </c>
      <c r="S18" s="87" t="s">
        <v>251</v>
      </c>
      <c r="T18" s="88">
        <v>5510001</v>
      </c>
    </row>
    <row r="19" spans="1:20" x14ac:dyDescent="0.35">
      <c r="A19" s="56" t="s">
        <v>842</v>
      </c>
      <c r="B19" s="57">
        <v>3450042</v>
      </c>
      <c r="D19" t="s">
        <v>690</v>
      </c>
      <c r="E19" s="12">
        <v>2395833</v>
      </c>
      <c r="G19" s="60" t="s">
        <v>690</v>
      </c>
      <c r="H19" s="66"/>
      <c r="J19" t="s">
        <v>690</v>
      </c>
      <c r="K19" s="12">
        <v>0</v>
      </c>
      <c r="M19" t="s">
        <v>690</v>
      </c>
      <c r="N19" s="12">
        <f>E19+H19+K19+T14</f>
        <v>5638526</v>
      </c>
    </row>
    <row r="20" spans="1:20" x14ac:dyDescent="0.35">
      <c r="A20" s="56" t="s">
        <v>1042</v>
      </c>
      <c r="B20" s="57">
        <v>2895833</v>
      </c>
      <c r="D20" t="s">
        <v>614</v>
      </c>
      <c r="E20" s="12">
        <v>0</v>
      </c>
      <c r="G20" s="59" t="s">
        <v>614</v>
      </c>
      <c r="H20" s="68">
        <v>2500000</v>
      </c>
      <c r="J20" t="s">
        <v>614</v>
      </c>
      <c r="K20" s="12">
        <v>0</v>
      </c>
      <c r="M20" t="s">
        <v>614</v>
      </c>
      <c r="N20" s="12">
        <f>E20+H20+K20</f>
        <v>2500000</v>
      </c>
    </row>
    <row r="21" spans="1:20" x14ac:dyDescent="0.35">
      <c r="A21" s="56" t="s">
        <v>725</v>
      </c>
      <c r="B21" s="57">
        <v>3562500</v>
      </c>
      <c r="D21" t="s">
        <v>749</v>
      </c>
      <c r="E21" s="12">
        <v>1375000</v>
      </c>
      <c r="G21" s="60" t="s">
        <v>749</v>
      </c>
      <c r="H21" s="68">
        <v>550000</v>
      </c>
      <c r="J21" t="s">
        <v>749</v>
      </c>
      <c r="K21" s="12">
        <v>0</v>
      </c>
      <c r="M21" t="s">
        <v>749</v>
      </c>
      <c r="N21" s="12">
        <f>E21+H21+K21+Q9</f>
        <v>6629441</v>
      </c>
    </row>
    <row r="22" spans="1:20" x14ac:dyDescent="0.35">
      <c r="A22" s="56" t="s">
        <v>827</v>
      </c>
      <c r="B22" s="57">
        <v>2291667</v>
      </c>
      <c r="D22" t="s">
        <v>686</v>
      </c>
      <c r="E22" s="12">
        <v>0</v>
      </c>
      <c r="G22" s="61" t="s">
        <v>686</v>
      </c>
      <c r="H22" s="68"/>
      <c r="J22" t="s">
        <v>686</v>
      </c>
      <c r="K22" s="12">
        <v>0</v>
      </c>
      <c r="M22" t="s">
        <v>686</v>
      </c>
      <c r="N22" s="12">
        <f>E22+H22+K22</f>
        <v>0</v>
      </c>
    </row>
    <row r="23" spans="1:20" x14ac:dyDescent="0.35">
      <c r="A23" s="56" t="s">
        <v>657</v>
      </c>
      <c r="B23" s="57">
        <v>10608334</v>
      </c>
      <c r="D23" t="s">
        <v>684</v>
      </c>
      <c r="E23" s="12">
        <v>0</v>
      </c>
      <c r="G23" s="60" t="s">
        <v>684</v>
      </c>
      <c r="H23" s="68"/>
      <c r="J23" t="s">
        <v>684</v>
      </c>
      <c r="K23" s="12">
        <v>1665000</v>
      </c>
      <c r="M23" t="s">
        <v>684</v>
      </c>
      <c r="N23" s="12">
        <f>E23+H23+K23</f>
        <v>1665000</v>
      </c>
    </row>
    <row r="24" spans="1:20" x14ac:dyDescent="0.35">
      <c r="A24" s="56" t="s">
        <v>733</v>
      </c>
      <c r="B24" s="57">
        <v>1500000</v>
      </c>
      <c r="D24" t="s">
        <v>715</v>
      </c>
      <c r="E24" s="12">
        <v>2395833</v>
      </c>
      <c r="G24" s="59" t="s">
        <v>715</v>
      </c>
      <c r="H24" s="66"/>
      <c r="J24" t="s">
        <v>715</v>
      </c>
      <c r="K24" s="12">
        <v>0</v>
      </c>
      <c r="M24" t="s">
        <v>715</v>
      </c>
      <c r="N24" s="12">
        <f>E24+H24+K24</f>
        <v>2395833</v>
      </c>
    </row>
    <row r="25" spans="1:20" x14ac:dyDescent="0.35">
      <c r="A25" s="56" t="s">
        <v>942</v>
      </c>
      <c r="B25" s="57">
        <v>5510000</v>
      </c>
      <c r="D25" t="s">
        <v>1225</v>
      </c>
      <c r="E25" s="12">
        <v>2395833</v>
      </c>
      <c r="G25" s="60" t="s">
        <v>1225</v>
      </c>
      <c r="H25" s="66"/>
      <c r="J25" t="s">
        <v>1225</v>
      </c>
      <c r="K25" s="12">
        <v>0</v>
      </c>
      <c r="M25" t="s">
        <v>1225</v>
      </c>
      <c r="N25" s="12">
        <f>E25+H25+K25</f>
        <v>2395833</v>
      </c>
    </row>
    <row r="26" spans="1:20" x14ac:dyDescent="0.35">
      <c r="A26" s="56" t="s">
        <v>850</v>
      </c>
      <c r="B26" s="57">
        <v>3402778</v>
      </c>
      <c r="D26" t="s">
        <v>844</v>
      </c>
      <c r="E26" s="12">
        <v>1701389</v>
      </c>
      <c r="G26" s="60" t="s">
        <v>844</v>
      </c>
      <c r="H26" s="66"/>
      <c r="J26" t="s">
        <v>844</v>
      </c>
      <c r="K26" s="12">
        <v>0</v>
      </c>
      <c r="M26" t="s">
        <v>844</v>
      </c>
      <c r="N26" s="12">
        <f>E26+H26+K26+T8</f>
        <v>4697816</v>
      </c>
    </row>
    <row r="27" spans="1:20" x14ac:dyDescent="0.35">
      <c r="A27" s="56" t="s">
        <v>690</v>
      </c>
      <c r="B27" s="57">
        <v>5638526</v>
      </c>
      <c r="D27" t="s">
        <v>858</v>
      </c>
      <c r="E27" s="12">
        <v>7500000</v>
      </c>
      <c r="G27" s="60" t="s">
        <v>858</v>
      </c>
      <c r="H27" s="68"/>
      <c r="J27" t="s">
        <v>858</v>
      </c>
      <c r="K27" s="12">
        <v>0</v>
      </c>
      <c r="M27" t="s">
        <v>858</v>
      </c>
      <c r="N27" s="12">
        <f>E27+H27+K27+Q8</f>
        <v>12486707</v>
      </c>
    </row>
    <row r="28" spans="1:20" x14ac:dyDescent="0.35">
      <c r="A28" s="56" t="s">
        <v>251</v>
      </c>
      <c r="B28" s="57">
        <v>5510001</v>
      </c>
      <c r="D28" t="s">
        <v>680</v>
      </c>
      <c r="E28" s="12">
        <v>2291667</v>
      </c>
      <c r="G28" s="60" t="s">
        <v>680</v>
      </c>
      <c r="H28" s="68">
        <v>2500000</v>
      </c>
      <c r="J28" t="s">
        <v>680</v>
      </c>
      <c r="K28" s="12">
        <v>676500</v>
      </c>
      <c r="M28" t="s">
        <v>680</v>
      </c>
      <c r="N28" s="12">
        <f>E28+H28+K28+Q6+T10</f>
        <v>17584049</v>
      </c>
    </row>
    <row r="29" spans="1:20" x14ac:dyDescent="0.35">
      <c r="A29" s="56" t="s">
        <v>1166</v>
      </c>
      <c r="B29" s="57">
        <v>2702245</v>
      </c>
      <c r="D29" t="s">
        <v>848</v>
      </c>
      <c r="E29" s="12">
        <v>1190972</v>
      </c>
      <c r="G29" s="59" t="s">
        <v>848</v>
      </c>
      <c r="H29" s="68">
        <v>0</v>
      </c>
      <c r="J29" t="s">
        <v>848</v>
      </c>
      <c r="K29" s="12">
        <v>0</v>
      </c>
      <c r="M29" t="s">
        <v>848</v>
      </c>
      <c r="N29" s="12">
        <f>E29+H29+K29</f>
        <v>1190972</v>
      </c>
    </row>
    <row r="30" spans="1:20" x14ac:dyDescent="0.35">
      <c r="A30" s="56" t="s">
        <v>614</v>
      </c>
      <c r="B30" s="57">
        <v>2500000</v>
      </c>
      <c r="D30" t="s">
        <v>977</v>
      </c>
      <c r="E30" s="12">
        <v>2552083</v>
      </c>
      <c r="G30" s="59" t="s">
        <v>977</v>
      </c>
      <c r="H30" s="66"/>
      <c r="J30" t="s">
        <v>977</v>
      </c>
      <c r="K30" s="12">
        <v>0</v>
      </c>
      <c r="M30" t="s">
        <v>977</v>
      </c>
      <c r="N30" s="12">
        <f>E30+H30+K30+T12</f>
        <v>6939842</v>
      </c>
    </row>
    <row r="31" spans="1:20" x14ac:dyDescent="0.35">
      <c r="A31" s="56" t="s">
        <v>688</v>
      </c>
      <c r="B31" s="57">
        <v>2500000</v>
      </c>
      <c r="D31" t="s">
        <v>1052</v>
      </c>
      <c r="E31" s="12">
        <v>2375000</v>
      </c>
      <c r="G31" s="59" t="s">
        <v>1052</v>
      </c>
      <c r="H31" s="67">
        <v>0</v>
      </c>
      <c r="J31" t="s">
        <v>1052</v>
      </c>
      <c r="K31" s="12">
        <v>2589726</v>
      </c>
      <c r="M31" t="s">
        <v>1052</v>
      </c>
      <c r="N31" s="12">
        <f>E31+H31+K31</f>
        <v>4964726</v>
      </c>
    </row>
    <row r="32" spans="1:20" x14ac:dyDescent="0.35">
      <c r="A32" s="58" t="s">
        <v>1995</v>
      </c>
      <c r="B32" s="57">
        <v>6746750</v>
      </c>
      <c r="D32" t="s">
        <v>702</v>
      </c>
      <c r="E32" s="12">
        <v>0</v>
      </c>
      <c r="G32" s="60" t="s">
        <v>702</v>
      </c>
      <c r="H32" s="68">
        <v>1000000</v>
      </c>
      <c r="J32" t="s">
        <v>702</v>
      </c>
      <c r="K32" s="12">
        <v>0</v>
      </c>
      <c r="M32" t="s">
        <v>702</v>
      </c>
      <c r="N32" s="12">
        <f>E32+H32+K32</f>
        <v>1000000</v>
      </c>
    </row>
    <row r="33" spans="1:14" x14ac:dyDescent="0.35">
      <c r="A33" s="56" t="s">
        <v>749</v>
      </c>
      <c r="B33" s="57">
        <v>6629441</v>
      </c>
      <c r="D33" t="s">
        <v>1223</v>
      </c>
      <c r="E33" s="12">
        <v>0</v>
      </c>
      <c r="G33" s="60" t="s">
        <v>1223</v>
      </c>
      <c r="H33" s="65">
        <v>1500000</v>
      </c>
      <c r="J33" t="s">
        <v>1223</v>
      </c>
      <c r="K33" s="12">
        <v>0</v>
      </c>
      <c r="M33" t="s">
        <v>1223</v>
      </c>
      <c r="N33" s="12">
        <f>E33+H33+K33</f>
        <v>1500000</v>
      </c>
    </row>
    <row r="34" spans="1:14" x14ac:dyDescent="0.35">
      <c r="A34" s="56" t="s">
        <v>684</v>
      </c>
      <c r="B34" s="57">
        <v>1665000</v>
      </c>
      <c r="D34" t="s">
        <v>688</v>
      </c>
      <c r="E34" s="12">
        <v>0</v>
      </c>
      <c r="G34" s="60" t="s">
        <v>688</v>
      </c>
      <c r="H34" s="69">
        <v>2500000</v>
      </c>
      <c r="J34" t="s">
        <v>688</v>
      </c>
      <c r="K34" s="12">
        <v>0</v>
      </c>
      <c r="M34" t="s">
        <v>688</v>
      </c>
      <c r="N34" s="12">
        <f>E34+H34+K34</f>
        <v>2500000</v>
      </c>
    </row>
    <row r="35" spans="1:14" x14ac:dyDescent="0.35">
      <c r="A35" s="56" t="s">
        <v>715</v>
      </c>
      <c r="B35" s="57">
        <v>2395833</v>
      </c>
      <c r="D35" t="s">
        <v>753</v>
      </c>
      <c r="E35" s="12">
        <v>0</v>
      </c>
      <c r="G35" s="63" t="s">
        <v>753</v>
      </c>
      <c r="H35" s="70"/>
      <c r="J35" t="s">
        <v>753</v>
      </c>
      <c r="K35" s="12">
        <v>0</v>
      </c>
      <c r="M35" t="s">
        <v>753</v>
      </c>
      <c r="N35" s="12">
        <f>Q4</f>
        <v>6873356</v>
      </c>
    </row>
    <row r="36" spans="1:14" x14ac:dyDescent="0.35">
      <c r="A36" s="56" t="s">
        <v>1225</v>
      </c>
      <c r="B36" s="57">
        <v>2395833</v>
      </c>
      <c r="D36" t="s">
        <v>733</v>
      </c>
      <c r="E36" s="12">
        <v>0</v>
      </c>
      <c r="G36" s="60" t="s">
        <v>733</v>
      </c>
      <c r="H36" s="69">
        <v>1500000</v>
      </c>
      <c r="J36" t="s">
        <v>733</v>
      </c>
      <c r="K36" s="12">
        <v>0</v>
      </c>
      <c r="M36" t="s">
        <v>733</v>
      </c>
      <c r="N36" s="12">
        <f>E36+H36+K36</f>
        <v>1500000</v>
      </c>
    </row>
    <row r="37" spans="1:14" x14ac:dyDescent="0.35">
      <c r="A37" s="56" t="s">
        <v>844</v>
      </c>
      <c r="B37" s="57">
        <v>4697816</v>
      </c>
      <c r="D37" t="s">
        <v>784</v>
      </c>
      <c r="E37" s="12">
        <v>0</v>
      </c>
      <c r="G37" s="64" t="s">
        <v>784</v>
      </c>
      <c r="H37" s="69">
        <v>1000000</v>
      </c>
      <c r="J37" t="s">
        <v>784</v>
      </c>
      <c r="K37" s="12">
        <v>0</v>
      </c>
      <c r="M37" t="s">
        <v>784</v>
      </c>
      <c r="N37" s="12">
        <f>E37+H37+K37</f>
        <v>1000000</v>
      </c>
    </row>
    <row r="38" spans="1:14" x14ac:dyDescent="0.35">
      <c r="A38" s="56" t="s">
        <v>858</v>
      </c>
      <c r="B38" s="57">
        <v>12486707</v>
      </c>
      <c r="D38" t="s">
        <v>657</v>
      </c>
      <c r="E38" s="12">
        <v>10608334</v>
      </c>
      <c r="G38" s="64" t="s">
        <v>657</v>
      </c>
      <c r="H38" s="69"/>
      <c r="J38" t="s">
        <v>657</v>
      </c>
      <c r="K38" s="12">
        <v>0</v>
      </c>
      <c r="M38" t="s">
        <v>657</v>
      </c>
      <c r="N38" s="12">
        <f>E38+H38+K38</f>
        <v>10608334</v>
      </c>
    </row>
    <row r="39" spans="1:14" x14ac:dyDescent="0.35">
      <c r="A39" s="56" t="s">
        <v>680</v>
      </c>
      <c r="B39" s="57">
        <v>17584049</v>
      </c>
      <c r="D39" t="s">
        <v>802</v>
      </c>
      <c r="E39" s="12">
        <v>0</v>
      </c>
      <c r="G39" s="60" t="s">
        <v>802</v>
      </c>
      <c r="H39" s="71">
        <v>1500000</v>
      </c>
      <c r="J39" t="s">
        <v>802</v>
      </c>
      <c r="K39" s="12">
        <v>5250416</v>
      </c>
      <c r="M39" t="s">
        <v>802</v>
      </c>
      <c r="N39" s="12">
        <f>E39+H39+K39</f>
        <v>6750416</v>
      </c>
    </row>
    <row r="40" spans="1:14" x14ac:dyDescent="0.35">
      <c r="A40" s="56" t="s">
        <v>638</v>
      </c>
      <c r="B40" s="57">
        <v>6154617</v>
      </c>
      <c r="D40" t="s">
        <v>1182</v>
      </c>
      <c r="E40" s="12">
        <v>3402778</v>
      </c>
      <c r="G40" s="60" t="s">
        <v>1182</v>
      </c>
      <c r="H40" s="72">
        <v>0</v>
      </c>
      <c r="J40" t="s">
        <v>1182</v>
      </c>
      <c r="K40" s="12">
        <v>0</v>
      </c>
      <c r="M40" t="s">
        <v>1182</v>
      </c>
      <c r="N40" s="12">
        <f>E40+H40+K40</f>
        <v>3402778</v>
      </c>
    </row>
    <row r="41" spans="1:14" x14ac:dyDescent="0.35">
      <c r="A41" s="56" t="s">
        <v>1060</v>
      </c>
      <c r="B41" s="57">
        <v>7560693</v>
      </c>
      <c r="M41" s="73" t="s">
        <v>638</v>
      </c>
      <c r="N41" s="75">
        <v>6154617</v>
      </c>
    </row>
    <row r="42" spans="1:14" x14ac:dyDescent="0.35">
      <c r="A42" s="56" t="s">
        <v>848</v>
      </c>
      <c r="B42" s="57">
        <v>1590972</v>
      </c>
      <c r="M42" s="74" t="s">
        <v>1060</v>
      </c>
      <c r="N42" s="76">
        <v>7560693</v>
      </c>
    </row>
    <row r="43" spans="1:14" x14ac:dyDescent="0.35">
      <c r="A43" s="56" t="s">
        <v>977</v>
      </c>
      <c r="B43" s="57">
        <v>6939842</v>
      </c>
      <c r="M43" s="73" t="s">
        <v>942</v>
      </c>
      <c r="N43" s="78">
        <v>5510000</v>
      </c>
    </row>
    <row r="44" spans="1:14" x14ac:dyDescent="0.35">
      <c r="A44" s="56" t="s">
        <v>753</v>
      </c>
      <c r="B44" s="57">
        <v>6873356</v>
      </c>
      <c r="M44" s="73" t="s">
        <v>891</v>
      </c>
      <c r="N44" s="78">
        <v>7609848</v>
      </c>
    </row>
    <row r="45" spans="1:14" x14ac:dyDescent="0.35">
      <c r="A45" s="56" t="s">
        <v>1052</v>
      </c>
      <c r="B45" s="57">
        <v>4964726</v>
      </c>
      <c r="M45" s="80" t="s">
        <v>646</v>
      </c>
      <c r="N45" s="78">
        <v>6887500</v>
      </c>
    </row>
    <row r="46" spans="1:14" x14ac:dyDescent="0.35">
      <c r="A46" s="56" t="s">
        <v>702</v>
      </c>
      <c r="B46" s="57">
        <v>1000000</v>
      </c>
      <c r="M46" s="83" t="s">
        <v>1166</v>
      </c>
      <c r="N46" s="86">
        <v>2702245</v>
      </c>
    </row>
    <row r="47" spans="1:14" x14ac:dyDescent="0.35">
      <c r="A47" s="1"/>
      <c r="B47" s="1"/>
      <c r="M47" s="84" t="s">
        <v>1995</v>
      </c>
      <c r="N47" s="85">
        <v>6746749</v>
      </c>
    </row>
    <row r="48" spans="1:14" ht="15" thickBot="1" x14ac:dyDescent="0.4">
      <c r="M48" s="87" t="s">
        <v>251</v>
      </c>
      <c r="N48" s="88">
        <v>5510001</v>
      </c>
    </row>
  </sheetData>
  <sortState xmlns:xlrd2="http://schemas.microsoft.com/office/spreadsheetml/2017/richdata2" ref="A3:B47">
    <sortCondition ref="A1:A47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3C61D-C3C4-48BB-9A70-416509D7E6F9}">
  <dimension ref="A1:G49"/>
  <sheetViews>
    <sheetView topLeftCell="A37" workbookViewId="0">
      <selection activeCell="G37" sqref="G37"/>
    </sheetView>
  </sheetViews>
  <sheetFormatPr defaultRowHeight="14.5" x14ac:dyDescent="0.35"/>
  <cols>
    <col min="1" max="1" width="18.36328125" customWidth="1"/>
    <col min="2" max="2" width="13" customWidth="1"/>
    <col min="4" max="4" width="17.90625" customWidth="1"/>
    <col min="5" max="5" width="16.7265625" customWidth="1"/>
    <col min="7" max="7" width="13.7265625" customWidth="1"/>
  </cols>
  <sheetData>
    <row r="1" spans="1:7" x14ac:dyDescent="0.35">
      <c r="A1" t="s">
        <v>2249</v>
      </c>
      <c r="D1" t="s">
        <v>2250</v>
      </c>
    </row>
    <row r="3" spans="1:7" x14ac:dyDescent="0.35">
      <c r="A3" t="s">
        <v>1223</v>
      </c>
      <c r="B3" s="12">
        <v>1500000</v>
      </c>
      <c r="D3" s="89" t="s">
        <v>1223</v>
      </c>
      <c r="E3" s="90">
        <v>1500000</v>
      </c>
      <c r="G3" s="12">
        <f>B3-E3</f>
        <v>0</v>
      </c>
    </row>
    <row r="4" spans="1:7" x14ac:dyDescent="0.35">
      <c r="A4" t="s">
        <v>646</v>
      </c>
      <c r="B4" s="91">
        <v>6887500</v>
      </c>
      <c r="D4" s="56" t="s">
        <v>646</v>
      </c>
      <c r="E4" s="57">
        <v>6887500</v>
      </c>
      <c r="G4" s="12">
        <f t="shared" ref="G4:G47" si="0">B4-E4</f>
        <v>0</v>
      </c>
    </row>
    <row r="5" spans="1:7" x14ac:dyDescent="0.35">
      <c r="A5" t="s">
        <v>1842</v>
      </c>
      <c r="B5" s="12">
        <v>1020833</v>
      </c>
      <c r="D5" s="56" t="s">
        <v>1842</v>
      </c>
      <c r="E5" s="57">
        <v>1020833</v>
      </c>
      <c r="G5" s="12">
        <f t="shared" si="0"/>
        <v>0</v>
      </c>
    </row>
    <row r="6" spans="1:7" x14ac:dyDescent="0.35">
      <c r="A6" t="s">
        <v>891</v>
      </c>
      <c r="B6" s="91">
        <v>7609848</v>
      </c>
      <c r="D6" s="56" t="s">
        <v>891</v>
      </c>
      <c r="E6" s="57">
        <v>7609848</v>
      </c>
      <c r="G6" s="12">
        <f t="shared" si="0"/>
        <v>0</v>
      </c>
    </row>
    <row r="7" spans="1:7" x14ac:dyDescent="0.35">
      <c r="A7" t="s">
        <v>1182</v>
      </c>
      <c r="B7" s="12">
        <v>3402778</v>
      </c>
      <c r="D7" s="56"/>
      <c r="E7" s="57"/>
      <c r="G7" s="12">
        <f t="shared" si="0"/>
        <v>3402778</v>
      </c>
    </row>
    <row r="8" spans="1:7" x14ac:dyDescent="0.35">
      <c r="A8" t="s">
        <v>719</v>
      </c>
      <c r="B8" s="12">
        <v>7801667</v>
      </c>
      <c r="D8" s="56" t="s">
        <v>719</v>
      </c>
      <c r="E8" s="57">
        <v>7801667</v>
      </c>
      <c r="G8" s="12">
        <f t="shared" si="0"/>
        <v>0</v>
      </c>
    </row>
    <row r="9" spans="1:7" x14ac:dyDescent="0.35">
      <c r="A9" t="s">
        <v>784</v>
      </c>
      <c r="B9" s="12">
        <v>1000000</v>
      </c>
      <c r="D9" s="56" t="s">
        <v>784</v>
      </c>
      <c r="E9" s="57">
        <v>1000000</v>
      </c>
      <c r="G9" s="12">
        <f t="shared" si="0"/>
        <v>0</v>
      </c>
    </row>
    <row r="10" spans="1:7" x14ac:dyDescent="0.35">
      <c r="A10" t="s">
        <v>804</v>
      </c>
      <c r="B10" s="12">
        <v>18366992</v>
      </c>
      <c r="D10" s="56" t="s">
        <v>804</v>
      </c>
      <c r="E10" s="57">
        <v>18366992</v>
      </c>
      <c r="G10" s="12">
        <f t="shared" si="0"/>
        <v>0</v>
      </c>
    </row>
    <row r="11" spans="1:7" x14ac:dyDescent="0.35">
      <c r="A11" t="s">
        <v>787</v>
      </c>
      <c r="B11" s="12">
        <v>1871528</v>
      </c>
      <c r="D11" s="56" t="s">
        <v>787</v>
      </c>
      <c r="E11" s="57">
        <v>1871528</v>
      </c>
      <c r="G11" s="12">
        <f t="shared" si="0"/>
        <v>0</v>
      </c>
    </row>
    <row r="12" spans="1:7" x14ac:dyDescent="0.35">
      <c r="A12" t="s">
        <v>802</v>
      </c>
      <c r="B12" s="12">
        <v>6750416</v>
      </c>
      <c r="D12" s="56" t="s">
        <v>802</v>
      </c>
      <c r="E12" s="57">
        <v>6750416</v>
      </c>
      <c r="G12" s="12">
        <f t="shared" si="0"/>
        <v>0</v>
      </c>
    </row>
    <row r="13" spans="1:7" x14ac:dyDescent="0.35">
      <c r="A13" t="s">
        <v>1373</v>
      </c>
      <c r="B13" s="12">
        <v>6053100</v>
      </c>
      <c r="D13" s="56" t="s">
        <v>1373</v>
      </c>
      <c r="E13" s="57">
        <v>6053100</v>
      </c>
      <c r="G13" s="12">
        <f t="shared" si="0"/>
        <v>0</v>
      </c>
    </row>
    <row r="14" spans="1:7" x14ac:dyDescent="0.35">
      <c r="A14" t="s">
        <v>1050</v>
      </c>
      <c r="B14" s="12">
        <v>11006944</v>
      </c>
      <c r="D14" s="56" t="s">
        <v>1050</v>
      </c>
      <c r="E14" s="57">
        <v>11006944</v>
      </c>
      <c r="G14" s="12">
        <f t="shared" si="0"/>
        <v>0</v>
      </c>
    </row>
    <row r="15" spans="1:7" x14ac:dyDescent="0.35">
      <c r="A15" t="s">
        <v>743</v>
      </c>
      <c r="B15" s="12">
        <v>17623787</v>
      </c>
      <c r="D15" s="56" t="s">
        <v>743</v>
      </c>
      <c r="E15" s="57">
        <v>17623787</v>
      </c>
      <c r="G15" s="12">
        <f t="shared" si="0"/>
        <v>0</v>
      </c>
    </row>
    <row r="16" spans="1:7" x14ac:dyDescent="0.35">
      <c r="A16" t="s">
        <v>1044</v>
      </c>
      <c r="B16" s="12">
        <v>5767335</v>
      </c>
      <c r="D16" s="56" t="s">
        <v>1044</v>
      </c>
      <c r="E16" s="57">
        <v>5767335</v>
      </c>
      <c r="G16" s="12">
        <f t="shared" si="0"/>
        <v>0</v>
      </c>
    </row>
    <row r="17" spans="1:7" x14ac:dyDescent="0.35">
      <c r="B17" s="12"/>
      <c r="D17" s="56" t="s">
        <v>1232</v>
      </c>
      <c r="E17" s="57">
        <v>1890628</v>
      </c>
      <c r="G17" s="12">
        <f t="shared" si="0"/>
        <v>-1890628</v>
      </c>
    </row>
    <row r="18" spans="1:7" x14ac:dyDescent="0.35">
      <c r="A18" t="s">
        <v>626</v>
      </c>
      <c r="B18" s="12">
        <v>850694</v>
      </c>
      <c r="D18" s="56" t="s">
        <v>626</v>
      </c>
      <c r="E18" s="57">
        <v>850694</v>
      </c>
      <c r="G18" s="12">
        <f t="shared" si="0"/>
        <v>0</v>
      </c>
    </row>
    <row r="19" spans="1:7" x14ac:dyDescent="0.35">
      <c r="A19" t="s">
        <v>751</v>
      </c>
      <c r="B19" s="12">
        <v>5832511</v>
      </c>
      <c r="D19" s="56" t="s">
        <v>751</v>
      </c>
      <c r="E19" s="57">
        <v>5832511</v>
      </c>
      <c r="G19" s="12">
        <f t="shared" si="0"/>
        <v>0</v>
      </c>
    </row>
    <row r="20" spans="1:7" x14ac:dyDescent="0.35">
      <c r="A20" t="s">
        <v>842</v>
      </c>
      <c r="B20" s="12">
        <v>3450042</v>
      </c>
      <c r="D20" s="56" t="s">
        <v>842</v>
      </c>
      <c r="E20" s="57">
        <v>3450042</v>
      </c>
      <c r="G20" s="12">
        <f t="shared" si="0"/>
        <v>0</v>
      </c>
    </row>
    <row r="21" spans="1:7" x14ac:dyDescent="0.35">
      <c r="A21" t="s">
        <v>1042</v>
      </c>
      <c r="B21" s="12">
        <v>2395833</v>
      </c>
      <c r="D21" s="56" t="s">
        <v>1042</v>
      </c>
      <c r="E21" s="57">
        <f>2895833</f>
        <v>2895833</v>
      </c>
      <c r="G21" s="12">
        <f t="shared" si="0"/>
        <v>-500000</v>
      </c>
    </row>
    <row r="22" spans="1:7" x14ac:dyDescent="0.35">
      <c r="A22" t="s">
        <v>725</v>
      </c>
      <c r="B22" s="12">
        <v>3562500</v>
      </c>
      <c r="D22" s="56" t="s">
        <v>725</v>
      </c>
      <c r="E22" s="57">
        <v>3562500</v>
      </c>
      <c r="G22" s="12">
        <f t="shared" si="0"/>
        <v>0</v>
      </c>
    </row>
    <row r="23" spans="1:7" x14ac:dyDescent="0.35">
      <c r="A23" t="s">
        <v>827</v>
      </c>
      <c r="B23" s="12">
        <v>2291667</v>
      </c>
      <c r="D23" s="56" t="s">
        <v>827</v>
      </c>
      <c r="E23" s="57">
        <v>2291667</v>
      </c>
      <c r="G23" s="12">
        <f t="shared" si="0"/>
        <v>0</v>
      </c>
    </row>
    <row r="24" spans="1:7" x14ac:dyDescent="0.35">
      <c r="A24" t="s">
        <v>657</v>
      </c>
      <c r="B24" s="12">
        <v>10608334</v>
      </c>
      <c r="D24" s="56" t="s">
        <v>657</v>
      </c>
      <c r="E24" s="57">
        <v>10608334</v>
      </c>
      <c r="G24" s="12">
        <f t="shared" si="0"/>
        <v>0</v>
      </c>
    </row>
    <row r="25" spans="1:7" x14ac:dyDescent="0.35">
      <c r="A25" t="s">
        <v>733</v>
      </c>
      <c r="B25" s="12">
        <v>1500000</v>
      </c>
      <c r="D25" s="56" t="s">
        <v>733</v>
      </c>
      <c r="E25" s="57">
        <v>1500000</v>
      </c>
      <c r="G25" s="12">
        <f t="shared" si="0"/>
        <v>0</v>
      </c>
    </row>
    <row r="26" spans="1:7" x14ac:dyDescent="0.35">
      <c r="A26" t="s">
        <v>942</v>
      </c>
      <c r="B26" s="91">
        <v>5510000</v>
      </c>
      <c r="D26" s="56" t="s">
        <v>942</v>
      </c>
      <c r="E26" s="57">
        <v>5510000</v>
      </c>
      <c r="G26" s="12">
        <f t="shared" si="0"/>
        <v>0</v>
      </c>
    </row>
    <row r="27" spans="1:7" x14ac:dyDescent="0.35">
      <c r="A27" t="s">
        <v>850</v>
      </c>
      <c r="B27" s="12">
        <v>3402778</v>
      </c>
      <c r="D27" s="56" t="s">
        <v>850</v>
      </c>
      <c r="E27" s="57">
        <v>3402778</v>
      </c>
      <c r="G27" s="12">
        <f t="shared" si="0"/>
        <v>0</v>
      </c>
    </row>
    <row r="28" spans="1:7" x14ac:dyDescent="0.35">
      <c r="A28" t="s">
        <v>690</v>
      </c>
      <c r="B28" s="12">
        <v>5638526</v>
      </c>
      <c r="D28" s="56" t="s">
        <v>690</v>
      </c>
      <c r="E28" s="57">
        <v>5638526</v>
      </c>
      <c r="G28" s="12">
        <f t="shared" si="0"/>
        <v>0</v>
      </c>
    </row>
    <row r="29" spans="1:7" x14ac:dyDescent="0.35">
      <c r="A29" t="s">
        <v>251</v>
      </c>
      <c r="B29" s="91">
        <v>5510001</v>
      </c>
      <c r="D29" s="56" t="s">
        <v>251</v>
      </c>
      <c r="E29" s="57">
        <v>5510001</v>
      </c>
      <c r="G29" s="12">
        <f t="shared" si="0"/>
        <v>0</v>
      </c>
    </row>
    <row r="30" spans="1:7" x14ac:dyDescent="0.35">
      <c r="A30" t="s">
        <v>1166</v>
      </c>
      <c r="B30" s="91">
        <v>2702245</v>
      </c>
      <c r="D30" s="56" t="s">
        <v>1166</v>
      </c>
      <c r="E30" s="57">
        <v>2702245</v>
      </c>
      <c r="G30" s="12">
        <f t="shared" si="0"/>
        <v>0</v>
      </c>
    </row>
    <row r="31" spans="1:7" x14ac:dyDescent="0.35">
      <c r="A31" t="s">
        <v>614</v>
      </c>
      <c r="B31" s="12">
        <v>2500000</v>
      </c>
      <c r="D31" s="56" t="s">
        <v>614</v>
      </c>
      <c r="E31" s="57">
        <v>2500000</v>
      </c>
      <c r="G31" s="12">
        <f t="shared" si="0"/>
        <v>0</v>
      </c>
    </row>
    <row r="32" spans="1:7" x14ac:dyDescent="0.35">
      <c r="A32" t="s">
        <v>688</v>
      </c>
      <c r="B32" s="12">
        <v>2500000</v>
      </c>
      <c r="D32" s="56" t="s">
        <v>688</v>
      </c>
      <c r="E32" s="57">
        <v>2500000</v>
      </c>
      <c r="G32" s="12">
        <f t="shared" si="0"/>
        <v>0</v>
      </c>
    </row>
    <row r="33" spans="1:7" x14ac:dyDescent="0.35">
      <c r="A33" t="s">
        <v>1995</v>
      </c>
      <c r="B33" s="91">
        <v>6746749</v>
      </c>
      <c r="D33" s="58" t="s">
        <v>1995</v>
      </c>
      <c r="E33" s="57">
        <v>6746750</v>
      </c>
      <c r="G33" s="12">
        <f t="shared" si="0"/>
        <v>-1</v>
      </c>
    </row>
    <row r="34" spans="1:7" x14ac:dyDescent="0.35">
      <c r="A34" t="s">
        <v>749</v>
      </c>
      <c r="B34" s="12">
        <v>6629441</v>
      </c>
      <c r="D34" s="56" t="s">
        <v>749</v>
      </c>
      <c r="E34" s="57">
        <v>6629441</v>
      </c>
      <c r="G34" s="12">
        <f t="shared" si="0"/>
        <v>0</v>
      </c>
    </row>
    <row r="35" spans="1:7" x14ac:dyDescent="0.35">
      <c r="A35" t="s">
        <v>684</v>
      </c>
      <c r="B35" s="12">
        <v>1665000</v>
      </c>
      <c r="D35" s="56" t="s">
        <v>684</v>
      </c>
      <c r="E35" s="57">
        <v>1665000</v>
      </c>
      <c r="G35" s="12">
        <f t="shared" si="0"/>
        <v>0</v>
      </c>
    </row>
    <row r="36" spans="1:7" x14ac:dyDescent="0.35">
      <c r="A36" t="s">
        <v>715</v>
      </c>
      <c r="B36" s="12">
        <v>2395833</v>
      </c>
      <c r="D36" s="56" t="s">
        <v>715</v>
      </c>
      <c r="E36" s="57">
        <v>2395833</v>
      </c>
      <c r="G36" s="12">
        <f t="shared" si="0"/>
        <v>0</v>
      </c>
    </row>
    <row r="37" spans="1:7" x14ac:dyDescent="0.35">
      <c r="A37" t="s">
        <v>1225</v>
      </c>
      <c r="B37" s="12">
        <v>2395833</v>
      </c>
      <c r="D37" s="56" t="s">
        <v>1225</v>
      </c>
      <c r="E37" s="57">
        <v>2395833</v>
      </c>
      <c r="G37" s="12">
        <f t="shared" si="0"/>
        <v>0</v>
      </c>
    </row>
    <row r="38" spans="1:7" x14ac:dyDescent="0.35">
      <c r="A38" t="s">
        <v>844</v>
      </c>
      <c r="B38" s="12">
        <v>4697816</v>
      </c>
      <c r="D38" s="56" t="s">
        <v>844</v>
      </c>
      <c r="E38" s="57">
        <v>4697816</v>
      </c>
      <c r="G38" s="12">
        <f t="shared" si="0"/>
        <v>0</v>
      </c>
    </row>
    <row r="39" spans="1:7" x14ac:dyDescent="0.35">
      <c r="A39" t="s">
        <v>858</v>
      </c>
      <c r="B39" s="12">
        <v>12486707</v>
      </c>
      <c r="D39" s="56" t="s">
        <v>858</v>
      </c>
      <c r="E39" s="57">
        <v>12486707</v>
      </c>
      <c r="G39" s="12">
        <f t="shared" si="0"/>
        <v>0</v>
      </c>
    </row>
    <row r="40" spans="1:7" x14ac:dyDescent="0.35">
      <c r="A40" t="s">
        <v>680</v>
      </c>
      <c r="B40" s="12">
        <v>17584049</v>
      </c>
      <c r="D40" s="56" t="s">
        <v>680</v>
      </c>
      <c r="E40" s="57">
        <v>17584049</v>
      </c>
      <c r="G40" s="12">
        <f t="shared" si="0"/>
        <v>0</v>
      </c>
    </row>
    <row r="41" spans="1:7" x14ac:dyDescent="0.35">
      <c r="A41" t="s">
        <v>638</v>
      </c>
      <c r="B41" s="91">
        <v>6154617</v>
      </c>
      <c r="D41" s="56" t="s">
        <v>638</v>
      </c>
      <c r="E41" s="57">
        <v>6154617</v>
      </c>
      <c r="G41" s="12">
        <f t="shared" si="0"/>
        <v>0</v>
      </c>
    </row>
    <row r="42" spans="1:7" x14ac:dyDescent="0.35">
      <c r="A42" t="s">
        <v>1060</v>
      </c>
      <c r="B42" s="91">
        <v>7560693</v>
      </c>
      <c r="D42" s="56" t="s">
        <v>1060</v>
      </c>
      <c r="E42" s="57">
        <v>7560693</v>
      </c>
      <c r="G42" s="12">
        <f t="shared" si="0"/>
        <v>0</v>
      </c>
    </row>
    <row r="43" spans="1:7" x14ac:dyDescent="0.35">
      <c r="A43" t="s">
        <v>848</v>
      </c>
      <c r="B43" s="12">
        <v>1190972</v>
      </c>
      <c r="D43" s="56" t="s">
        <v>848</v>
      </c>
      <c r="E43" s="57">
        <v>1590972</v>
      </c>
      <c r="G43" s="12">
        <f t="shared" si="0"/>
        <v>-400000</v>
      </c>
    </row>
    <row r="44" spans="1:7" x14ac:dyDescent="0.35">
      <c r="A44" t="s">
        <v>977</v>
      </c>
      <c r="B44" s="12">
        <v>6939842</v>
      </c>
      <c r="D44" s="56" t="s">
        <v>977</v>
      </c>
      <c r="E44" s="57">
        <v>6939842</v>
      </c>
      <c r="G44" s="12">
        <f t="shared" si="0"/>
        <v>0</v>
      </c>
    </row>
    <row r="45" spans="1:7" x14ac:dyDescent="0.35">
      <c r="A45" t="s">
        <v>753</v>
      </c>
      <c r="B45" s="12">
        <v>6873356</v>
      </c>
      <c r="D45" s="56" t="s">
        <v>753</v>
      </c>
      <c r="E45" s="57">
        <v>6873356</v>
      </c>
      <c r="G45" s="12">
        <f t="shared" si="0"/>
        <v>0</v>
      </c>
    </row>
    <row r="46" spans="1:7" x14ac:dyDescent="0.35">
      <c r="A46" t="s">
        <v>1052</v>
      </c>
      <c r="B46" s="12">
        <v>4964726</v>
      </c>
      <c r="D46" s="56" t="s">
        <v>1052</v>
      </c>
      <c r="E46" s="57">
        <v>4964726</v>
      </c>
      <c r="G46" s="12">
        <f t="shared" si="0"/>
        <v>0</v>
      </c>
    </row>
    <row r="47" spans="1:7" x14ac:dyDescent="0.35">
      <c r="A47" t="s">
        <v>702</v>
      </c>
      <c r="B47" s="12">
        <v>1000000</v>
      </c>
      <c r="D47" s="56" t="s">
        <v>702</v>
      </c>
      <c r="E47" s="57">
        <v>1000000</v>
      </c>
      <c r="G47" s="12">
        <f t="shared" si="0"/>
        <v>0</v>
      </c>
    </row>
    <row r="49" spans="2:7" x14ac:dyDescent="0.35">
      <c r="B49" s="12">
        <f>SUM(B18:B47)</f>
        <v>147540765</v>
      </c>
      <c r="C49" s="12">
        <f t="shared" ref="C49:G49" si="1">SUM(C18:C47)</f>
        <v>0</v>
      </c>
      <c r="D49" s="12">
        <f t="shared" si="1"/>
        <v>0</v>
      </c>
      <c r="E49" s="12">
        <f t="shared" si="1"/>
        <v>148440766</v>
      </c>
      <c r="F49" s="12">
        <f t="shared" si="1"/>
        <v>0</v>
      </c>
      <c r="G49" s="12">
        <f t="shared" si="1"/>
        <v>-900001</v>
      </c>
    </row>
  </sheetData>
  <sortState xmlns:xlrd2="http://schemas.microsoft.com/office/spreadsheetml/2017/richdata2" ref="A3:B47">
    <sortCondition ref="A1:A47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F27C-84E8-4F5F-BA25-0DCDC9C8FE59}">
  <dimension ref="A4:J156"/>
  <sheetViews>
    <sheetView topLeftCell="A142" workbookViewId="0">
      <selection activeCell="G37" sqref="G37"/>
    </sheetView>
  </sheetViews>
  <sheetFormatPr defaultRowHeight="14.5" x14ac:dyDescent="0.35"/>
  <cols>
    <col min="1" max="1" width="32.6328125" customWidth="1"/>
    <col min="2" max="2" width="15.26953125" customWidth="1"/>
    <col min="3" max="3" width="15.1796875" customWidth="1"/>
    <col min="4" max="4" width="5.08984375" customWidth="1"/>
    <col min="5" max="7" width="17.26953125" customWidth="1"/>
    <col min="9" max="9" width="12.1796875" customWidth="1"/>
    <col min="10" max="10" width="14.1796875" customWidth="1"/>
  </cols>
  <sheetData>
    <row r="4" spans="1:10" ht="15.5" x14ac:dyDescent="0.35">
      <c r="A4" s="37" t="s">
        <v>2174</v>
      </c>
      <c r="B4" s="38">
        <v>350000</v>
      </c>
      <c r="C4" s="38">
        <v>1500000</v>
      </c>
      <c r="E4" s="1" t="s">
        <v>1223</v>
      </c>
      <c r="F4" s="2">
        <v>350000</v>
      </c>
      <c r="G4" s="2">
        <v>1500000</v>
      </c>
      <c r="I4" s="33">
        <f>B4-F4</f>
        <v>0</v>
      </c>
      <c r="J4" s="33">
        <f>C4-G4</f>
        <v>0</v>
      </c>
    </row>
    <row r="5" spans="1:10" ht="15.5" x14ac:dyDescent="0.35">
      <c r="A5" s="37" t="s">
        <v>2223</v>
      </c>
      <c r="B5" s="38">
        <v>250000</v>
      </c>
      <c r="C5" s="38">
        <v>6887500</v>
      </c>
      <c r="E5" s="1" t="s">
        <v>646</v>
      </c>
      <c r="F5" s="2">
        <v>250000</v>
      </c>
      <c r="G5" s="2">
        <v>6887500</v>
      </c>
      <c r="I5" s="33">
        <f t="shared" ref="I5" si="0">B5-F5</f>
        <v>0</v>
      </c>
      <c r="J5" s="33">
        <f t="shared" ref="J5" si="1">C5-G5</f>
        <v>0</v>
      </c>
    </row>
    <row r="6" spans="1:10" ht="15.5" x14ac:dyDescent="0.35">
      <c r="A6" s="37" t="s">
        <v>1884</v>
      </c>
      <c r="B6" s="38">
        <v>100000</v>
      </c>
      <c r="C6" s="38">
        <v>0</v>
      </c>
      <c r="E6" s="1" t="s">
        <v>1884</v>
      </c>
      <c r="F6" s="2">
        <v>100000</v>
      </c>
      <c r="G6" s="2">
        <v>0</v>
      </c>
      <c r="I6" s="33">
        <f t="shared" ref="I6:I12" si="2">B6-F6</f>
        <v>0</v>
      </c>
      <c r="J6" s="33">
        <f t="shared" ref="J6:J12" si="3">C6-G6</f>
        <v>0</v>
      </c>
    </row>
    <row r="7" spans="1:10" ht="15.5" x14ac:dyDescent="0.35">
      <c r="A7" s="37" t="s">
        <v>1924</v>
      </c>
      <c r="B7" s="38">
        <v>100000</v>
      </c>
      <c r="C7" s="38">
        <v>0</v>
      </c>
      <c r="E7" s="1" t="s">
        <v>1924</v>
      </c>
      <c r="F7" s="2">
        <v>100000</v>
      </c>
      <c r="G7" s="2">
        <v>0</v>
      </c>
      <c r="I7" s="33">
        <f t="shared" si="2"/>
        <v>0</v>
      </c>
      <c r="J7" s="33">
        <f t="shared" si="3"/>
        <v>0</v>
      </c>
    </row>
    <row r="8" spans="1:10" ht="15.5" x14ac:dyDescent="0.35">
      <c r="A8" s="37" t="s">
        <v>2207</v>
      </c>
      <c r="B8" s="38">
        <v>350000</v>
      </c>
      <c r="C8" s="38">
        <v>0</v>
      </c>
      <c r="E8" s="1" t="s">
        <v>1079</v>
      </c>
      <c r="F8" s="2">
        <v>350000</v>
      </c>
      <c r="G8" s="2">
        <v>0</v>
      </c>
      <c r="I8" s="33">
        <f t="shared" si="2"/>
        <v>0</v>
      </c>
      <c r="J8" s="33">
        <f t="shared" si="3"/>
        <v>0</v>
      </c>
    </row>
    <row r="9" spans="1:10" ht="15.5" x14ac:dyDescent="0.35">
      <c r="A9" s="37" t="s">
        <v>2224</v>
      </c>
      <c r="B9" s="38">
        <v>150000</v>
      </c>
      <c r="C9" s="38">
        <v>0</v>
      </c>
      <c r="E9" s="1"/>
      <c r="F9" s="2"/>
      <c r="G9" s="2"/>
      <c r="I9" s="33">
        <f t="shared" si="2"/>
        <v>150000</v>
      </c>
      <c r="J9" s="33">
        <f t="shared" si="3"/>
        <v>0</v>
      </c>
    </row>
    <row r="10" spans="1:10" ht="15.5" x14ac:dyDescent="0.35">
      <c r="A10" s="37" t="s">
        <v>1842</v>
      </c>
      <c r="B10" s="38">
        <v>100000</v>
      </c>
      <c r="C10" s="38">
        <v>1020833</v>
      </c>
      <c r="E10" s="1" t="s">
        <v>1842</v>
      </c>
      <c r="F10" s="2">
        <v>100000</v>
      </c>
      <c r="G10" s="2">
        <v>1020833</v>
      </c>
      <c r="I10" s="33">
        <f t="shared" si="2"/>
        <v>0</v>
      </c>
      <c r="J10" s="33">
        <f t="shared" si="3"/>
        <v>0</v>
      </c>
    </row>
    <row r="11" spans="1:10" ht="15.5" x14ac:dyDescent="0.35">
      <c r="A11" s="44" t="s">
        <v>2235</v>
      </c>
      <c r="B11" s="38">
        <v>350000</v>
      </c>
      <c r="C11" s="38">
        <v>0</v>
      </c>
      <c r="E11" s="1" t="s">
        <v>1103</v>
      </c>
      <c r="F11" s="2">
        <v>350000</v>
      </c>
      <c r="G11" s="2">
        <v>0</v>
      </c>
      <c r="I11" s="33">
        <f t="shared" si="2"/>
        <v>0</v>
      </c>
      <c r="J11" s="33">
        <f t="shared" si="3"/>
        <v>0</v>
      </c>
    </row>
    <row r="12" spans="1:10" ht="15.5" x14ac:dyDescent="0.35">
      <c r="A12" s="37" t="s">
        <v>2203</v>
      </c>
      <c r="B12" s="38">
        <v>150000</v>
      </c>
      <c r="C12" s="38">
        <v>0</v>
      </c>
      <c r="E12" s="1" t="s">
        <v>1376</v>
      </c>
      <c r="F12" s="2">
        <v>150000</v>
      </c>
      <c r="G12" s="2">
        <v>0</v>
      </c>
      <c r="I12" s="33">
        <f t="shared" si="2"/>
        <v>0</v>
      </c>
      <c r="J12" s="33">
        <f t="shared" si="3"/>
        <v>0</v>
      </c>
    </row>
    <row r="13" spans="1:10" ht="15.5" x14ac:dyDescent="0.35">
      <c r="A13" s="37" t="s">
        <v>2176</v>
      </c>
      <c r="B13" s="38">
        <v>350000</v>
      </c>
      <c r="C13" s="38">
        <v>7609848</v>
      </c>
      <c r="E13" s="1" t="s">
        <v>891</v>
      </c>
      <c r="F13" s="2">
        <v>350000</v>
      </c>
      <c r="G13" s="2">
        <v>7609848</v>
      </c>
      <c r="I13" s="33">
        <f t="shared" ref="I13:I18" si="4">B13-F13</f>
        <v>0</v>
      </c>
      <c r="J13" s="33">
        <f t="shared" ref="J13:J18" si="5">C13-G13</f>
        <v>0</v>
      </c>
    </row>
    <row r="14" spans="1:10" ht="15.5" x14ac:dyDescent="0.35">
      <c r="A14" s="37" t="s">
        <v>2186</v>
      </c>
      <c r="B14" s="38">
        <v>350000</v>
      </c>
      <c r="C14" s="38">
        <v>0</v>
      </c>
      <c r="E14" s="1" t="s">
        <v>969</v>
      </c>
      <c r="F14" s="2">
        <v>350000</v>
      </c>
      <c r="G14" s="2">
        <v>0</v>
      </c>
      <c r="I14" s="33">
        <f t="shared" si="4"/>
        <v>0</v>
      </c>
      <c r="J14" s="33">
        <f t="shared" si="5"/>
        <v>0</v>
      </c>
    </row>
    <row r="15" spans="1:10" ht="15.5" x14ac:dyDescent="0.35">
      <c r="A15" s="37"/>
      <c r="B15" s="38"/>
      <c r="C15" s="38"/>
      <c r="E15" s="3" t="s">
        <v>188</v>
      </c>
      <c r="F15" s="2">
        <v>250000</v>
      </c>
      <c r="G15" s="2">
        <v>0</v>
      </c>
      <c r="I15" s="33">
        <f t="shared" si="4"/>
        <v>-250000</v>
      </c>
      <c r="J15" s="33">
        <f t="shared" si="5"/>
        <v>0</v>
      </c>
    </row>
    <row r="16" spans="1:10" ht="15.5" x14ac:dyDescent="0.35">
      <c r="A16" s="37" t="s">
        <v>2157</v>
      </c>
      <c r="B16" s="38">
        <v>350000</v>
      </c>
      <c r="C16" s="38">
        <v>0</v>
      </c>
      <c r="E16" s="1" t="s">
        <v>796</v>
      </c>
      <c r="F16" s="2">
        <v>350000</v>
      </c>
      <c r="G16" s="2">
        <v>0</v>
      </c>
      <c r="I16" s="33">
        <f t="shared" si="4"/>
        <v>0</v>
      </c>
      <c r="J16" s="33">
        <f t="shared" si="5"/>
        <v>0</v>
      </c>
    </row>
    <row r="17" spans="1:10" ht="15.5" x14ac:dyDescent="0.35">
      <c r="A17" s="37" t="s">
        <v>745</v>
      </c>
      <c r="B17" s="38">
        <v>100000</v>
      </c>
      <c r="C17" s="38">
        <v>0</v>
      </c>
      <c r="E17" s="1" t="s">
        <v>745</v>
      </c>
      <c r="F17" s="2">
        <v>100000</v>
      </c>
      <c r="G17" s="2">
        <v>0</v>
      </c>
      <c r="I17" s="33">
        <f t="shared" si="4"/>
        <v>0</v>
      </c>
      <c r="J17" s="33">
        <f t="shared" si="5"/>
        <v>0</v>
      </c>
    </row>
    <row r="18" spans="1:10" ht="15.5" x14ac:dyDescent="0.35">
      <c r="A18" s="37" t="s">
        <v>1852</v>
      </c>
      <c r="B18" s="38">
        <v>100000</v>
      </c>
      <c r="C18" s="38">
        <v>0</v>
      </c>
      <c r="E18" s="1" t="s">
        <v>1852</v>
      </c>
      <c r="F18" s="2">
        <v>100000</v>
      </c>
      <c r="G18" s="2">
        <v>0</v>
      </c>
      <c r="I18" s="33">
        <f t="shared" si="4"/>
        <v>0</v>
      </c>
      <c r="J18" s="33">
        <f t="shared" si="5"/>
        <v>0</v>
      </c>
    </row>
    <row r="19" spans="1:10" ht="15.5" x14ac:dyDescent="0.35">
      <c r="A19" s="37" t="s">
        <v>2243</v>
      </c>
      <c r="B19" s="43">
        <v>500000</v>
      </c>
      <c r="C19" s="38"/>
      <c r="E19" s="5" t="s">
        <v>1994</v>
      </c>
      <c r="F19" s="6">
        <v>500000</v>
      </c>
      <c r="G19" s="2">
        <v>0</v>
      </c>
      <c r="I19" s="33">
        <f t="shared" ref="I19:I25" si="6">B19-F19</f>
        <v>0</v>
      </c>
      <c r="J19" s="33">
        <f t="shared" ref="J19:J25" si="7">C19-G19</f>
        <v>0</v>
      </c>
    </row>
    <row r="20" spans="1:10" ht="15.5" x14ac:dyDescent="0.35">
      <c r="A20" s="37" t="s">
        <v>2208</v>
      </c>
      <c r="B20" s="38">
        <v>350000</v>
      </c>
      <c r="C20" s="38">
        <v>0</v>
      </c>
      <c r="E20" s="1" t="s">
        <v>1097</v>
      </c>
      <c r="F20" s="2">
        <v>350000</v>
      </c>
      <c r="G20" s="2">
        <v>0</v>
      </c>
      <c r="I20" s="33">
        <f t="shared" si="6"/>
        <v>0</v>
      </c>
      <c r="J20" s="33">
        <f t="shared" si="7"/>
        <v>0</v>
      </c>
    </row>
    <row r="21" spans="1:10" x14ac:dyDescent="0.35">
      <c r="E21" s="3" t="s">
        <v>1117</v>
      </c>
      <c r="F21" s="2">
        <v>250000</v>
      </c>
      <c r="G21" s="2">
        <v>0</v>
      </c>
      <c r="I21" s="33">
        <f t="shared" si="6"/>
        <v>-250000</v>
      </c>
      <c r="J21" s="33">
        <f t="shared" si="7"/>
        <v>0</v>
      </c>
    </row>
    <row r="22" spans="1:10" ht="15.5" x14ac:dyDescent="0.35">
      <c r="A22" s="37"/>
      <c r="B22" s="38"/>
      <c r="C22" s="38"/>
      <c r="E22" s="3" t="s">
        <v>1111</v>
      </c>
      <c r="F22" s="2">
        <v>150000</v>
      </c>
      <c r="G22" s="2">
        <v>0</v>
      </c>
      <c r="I22" s="33">
        <f t="shared" si="6"/>
        <v>-150000</v>
      </c>
      <c r="J22" s="33">
        <f t="shared" si="7"/>
        <v>0</v>
      </c>
    </row>
    <row r="23" spans="1:10" ht="15.5" x14ac:dyDescent="0.35">
      <c r="A23" s="37" t="s">
        <v>2187</v>
      </c>
      <c r="B23" s="38">
        <v>250000</v>
      </c>
      <c r="C23" s="38">
        <v>0</v>
      </c>
      <c r="E23" s="1" t="s">
        <v>924</v>
      </c>
      <c r="F23" s="2">
        <v>250000</v>
      </c>
      <c r="G23" s="2">
        <v>0</v>
      </c>
      <c r="I23" s="33">
        <f t="shared" si="6"/>
        <v>0</v>
      </c>
      <c r="J23" s="33">
        <f t="shared" si="7"/>
        <v>0</v>
      </c>
    </row>
    <row r="24" spans="1:10" ht="15.5" x14ac:dyDescent="0.35">
      <c r="A24" s="37"/>
      <c r="B24" s="38"/>
      <c r="C24" s="38"/>
      <c r="E24" s="3" t="s">
        <v>1182</v>
      </c>
      <c r="F24" s="2">
        <v>250000</v>
      </c>
      <c r="G24" s="2">
        <v>3402778</v>
      </c>
      <c r="I24" s="33">
        <f t="shared" si="6"/>
        <v>-250000</v>
      </c>
      <c r="J24" s="33">
        <f t="shared" si="7"/>
        <v>-3402778</v>
      </c>
    </row>
    <row r="25" spans="1:10" ht="15.5" x14ac:dyDescent="0.35">
      <c r="A25" s="37" t="s">
        <v>2161</v>
      </c>
      <c r="B25" s="38">
        <v>250000</v>
      </c>
      <c r="C25" s="38">
        <v>0</v>
      </c>
      <c r="E25" s="1" t="s">
        <v>694</v>
      </c>
      <c r="F25" s="2">
        <v>250000</v>
      </c>
      <c r="G25" s="2">
        <v>0</v>
      </c>
      <c r="I25" s="33">
        <f t="shared" si="6"/>
        <v>0</v>
      </c>
      <c r="J25" s="33">
        <f t="shared" si="7"/>
        <v>0</v>
      </c>
    </row>
    <row r="26" spans="1:10" ht="15.5" x14ac:dyDescent="0.35">
      <c r="A26" s="45" t="s">
        <v>834</v>
      </c>
      <c r="B26" s="38">
        <v>250000</v>
      </c>
      <c r="C26" s="38">
        <v>0</v>
      </c>
      <c r="E26" s="3" t="s">
        <v>834</v>
      </c>
      <c r="F26" s="2">
        <v>250000</v>
      </c>
      <c r="G26" s="2">
        <v>0</v>
      </c>
      <c r="I26" s="33">
        <f t="shared" ref="I26:I89" si="8">B26-F26</f>
        <v>0</v>
      </c>
      <c r="J26" s="33">
        <f t="shared" ref="J26:J89" si="9">C26-G26</f>
        <v>0</v>
      </c>
    </row>
    <row r="27" spans="1:10" ht="15.5" x14ac:dyDescent="0.35">
      <c r="A27" s="37" t="s">
        <v>2177</v>
      </c>
      <c r="B27" s="38">
        <v>350000</v>
      </c>
      <c r="C27" s="38">
        <v>0</v>
      </c>
      <c r="E27" s="1" t="s">
        <v>616</v>
      </c>
      <c r="F27" s="2">
        <v>350000</v>
      </c>
      <c r="G27" s="2">
        <v>0</v>
      </c>
      <c r="I27" s="33">
        <f t="shared" si="8"/>
        <v>0</v>
      </c>
      <c r="J27" s="33">
        <f t="shared" si="9"/>
        <v>0</v>
      </c>
    </row>
    <row r="28" spans="1:10" ht="15.5" x14ac:dyDescent="0.35">
      <c r="A28" s="37" t="s">
        <v>2164</v>
      </c>
      <c r="B28" s="38">
        <v>250000</v>
      </c>
      <c r="C28" s="38">
        <v>7801667</v>
      </c>
      <c r="E28" s="1" t="s">
        <v>719</v>
      </c>
      <c r="F28" s="2">
        <v>250000</v>
      </c>
      <c r="G28" s="2">
        <v>7801667</v>
      </c>
      <c r="I28" s="33">
        <f t="shared" si="8"/>
        <v>0</v>
      </c>
      <c r="J28" s="33">
        <f t="shared" si="9"/>
        <v>0</v>
      </c>
    </row>
    <row r="29" spans="1:10" ht="15.5" x14ac:dyDescent="0.35">
      <c r="A29" s="48" t="s">
        <v>2241</v>
      </c>
      <c r="B29" s="50">
        <v>500000</v>
      </c>
      <c r="C29" s="52"/>
      <c r="E29" s="5" t="s">
        <v>1996</v>
      </c>
      <c r="F29" s="6">
        <v>500000</v>
      </c>
      <c r="G29" s="2">
        <v>0</v>
      </c>
      <c r="I29" s="33">
        <f t="shared" si="8"/>
        <v>0</v>
      </c>
      <c r="J29" s="33">
        <f t="shared" si="9"/>
        <v>0</v>
      </c>
    </row>
    <row r="30" spans="1:10" ht="15.5" x14ac:dyDescent="0.35">
      <c r="A30" s="37" t="s">
        <v>2232</v>
      </c>
      <c r="B30" s="38">
        <v>500000</v>
      </c>
      <c r="C30" s="38">
        <v>0</v>
      </c>
      <c r="E30" s="1" t="s">
        <v>652</v>
      </c>
      <c r="F30" s="2">
        <v>500000</v>
      </c>
      <c r="G30" s="2">
        <v>0</v>
      </c>
      <c r="I30" s="33">
        <f t="shared" si="8"/>
        <v>0</v>
      </c>
      <c r="J30" s="33">
        <f t="shared" si="9"/>
        <v>0</v>
      </c>
    </row>
    <row r="31" spans="1:10" ht="15.5" x14ac:dyDescent="0.35">
      <c r="A31" s="44" t="s">
        <v>2236</v>
      </c>
      <c r="B31" s="38">
        <v>350000</v>
      </c>
      <c r="C31" s="38">
        <v>0</v>
      </c>
      <c r="E31" s="1"/>
      <c r="F31" s="2"/>
      <c r="G31" s="2"/>
      <c r="I31" s="33">
        <f t="shared" si="8"/>
        <v>350000</v>
      </c>
      <c r="J31" s="33">
        <f t="shared" si="9"/>
        <v>0</v>
      </c>
    </row>
    <row r="32" spans="1:10" ht="15.5" x14ac:dyDescent="0.35">
      <c r="A32" s="37" t="s">
        <v>2227</v>
      </c>
      <c r="B32" s="38">
        <v>250000</v>
      </c>
      <c r="C32" s="38">
        <v>1000000</v>
      </c>
      <c r="E32" s="1" t="s">
        <v>784</v>
      </c>
      <c r="F32" s="2">
        <v>250000</v>
      </c>
      <c r="G32" s="2">
        <v>1000000</v>
      </c>
      <c r="I32" s="33">
        <f t="shared" si="8"/>
        <v>0</v>
      </c>
      <c r="J32" s="33">
        <f t="shared" si="9"/>
        <v>0</v>
      </c>
    </row>
    <row r="33" spans="1:10" ht="15.5" x14ac:dyDescent="0.35">
      <c r="A33" s="37" t="s">
        <v>2206</v>
      </c>
      <c r="B33" s="38">
        <v>150000</v>
      </c>
      <c r="C33" s="38">
        <v>0</v>
      </c>
      <c r="E33" s="1" t="s">
        <v>1048</v>
      </c>
      <c r="F33" s="2">
        <v>150000</v>
      </c>
      <c r="G33" s="2">
        <v>0</v>
      </c>
      <c r="I33" s="33">
        <f t="shared" si="8"/>
        <v>0</v>
      </c>
      <c r="J33" s="33">
        <f t="shared" si="9"/>
        <v>0</v>
      </c>
    </row>
    <row r="34" spans="1:10" ht="15.5" x14ac:dyDescent="0.35">
      <c r="A34" s="37" t="s">
        <v>2163</v>
      </c>
      <c r="B34" s="38">
        <v>250000</v>
      </c>
      <c r="C34" s="38">
        <v>18366992</v>
      </c>
      <c r="E34" s="1" t="s">
        <v>804</v>
      </c>
      <c r="F34" s="2">
        <v>250000</v>
      </c>
      <c r="G34" s="2">
        <v>18366992</v>
      </c>
      <c r="I34" s="33">
        <f t="shared" si="8"/>
        <v>0</v>
      </c>
      <c r="J34" s="33">
        <f t="shared" si="9"/>
        <v>0</v>
      </c>
    </row>
    <row r="35" spans="1:10" ht="15.5" x14ac:dyDescent="0.35">
      <c r="A35" s="37" t="s">
        <v>2188</v>
      </c>
      <c r="B35" s="38">
        <v>250000</v>
      </c>
      <c r="C35" s="38">
        <v>0</v>
      </c>
      <c r="E35" s="1" t="s">
        <v>910</v>
      </c>
      <c r="F35" s="2">
        <v>250000</v>
      </c>
      <c r="G35" s="2">
        <v>0</v>
      </c>
      <c r="I35" s="33">
        <f t="shared" si="8"/>
        <v>0</v>
      </c>
      <c r="J35" s="33">
        <f t="shared" si="9"/>
        <v>0</v>
      </c>
    </row>
    <row r="36" spans="1:10" ht="15.5" x14ac:dyDescent="0.35">
      <c r="A36" s="37" t="s">
        <v>739</v>
      </c>
      <c r="B36" s="38">
        <v>150000</v>
      </c>
      <c r="C36" s="38">
        <v>0</v>
      </c>
      <c r="E36" s="1" t="s">
        <v>739</v>
      </c>
      <c r="F36" s="2">
        <v>150000</v>
      </c>
      <c r="G36" s="2">
        <v>0</v>
      </c>
      <c r="I36" s="33">
        <f t="shared" si="8"/>
        <v>0</v>
      </c>
      <c r="J36" s="33">
        <f t="shared" si="9"/>
        <v>0</v>
      </c>
    </row>
    <row r="37" spans="1:10" ht="15.5" x14ac:dyDescent="0.35">
      <c r="A37" s="37" t="s">
        <v>2189</v>
      </c>
      <c r="B37" s="38">
        <v>250000</v>
      </c>
      <c r="C37" s="38">
        <v>0</v>
      </c>
      <c r="E37" s="1" t="s">
        <v>965</v>
      </c>
      <c r="F37" s="2">
        <v>250000</v>
      </c>
      <c r="G37" s="2">
        <v>0</v>
      </c>
      <c r="I37" s="33">
        <f t="shared" si="8"/>
        <v>0</v>
      </c>
      <c r="J37" s="33">
        <f t="shared" si="9"/>
        <v>0</v>
      </c>
    </row>
    <row r="38" spans="1:10" ht="15.5" x14ac:dyDescent="0.35">
      <c r="A38" s="37" t="s">
        <v>787</v>
      </c>
      <c r="B38" s="38">
        <v>250000</v>
      </c>
      <c r="C38" s="38">
        <v>1871528</v>
      </c>
      <c r="E38" s="1" t="s">
        <v>787</v>
      </c>
      <c r="F38" s="2">
        <v>250000</v>
      </c>
      <c r="G38" s="2">
        <v>1871528</v>
      </c>
      <c r="I38" s="33">
        <f t="shared" si="8"/>
        <v>0</v>
      </c>
      <c r="J38" s="33">
        <f t="shared" si="9"/>
        <v>0</v>
      </c>
    </row>
    <row r="39" spans="1:10" ht="15.5" x14ac:dyDescent="0.35">
      <c r="A39" s="44" t="s">
        <v>2237</v>
      </c>
      <c r="B39" s="38">
        <v>250000</v>
      </c>
      <c r="C39" s="38">
        <v>0</v>
      </c>
      <c r="E39" s="1" t="s">
        <v>1065</v>
      </c>
      <c r="F39" s="2">
        <v>250000</v>
      </c>
      <c r="G39" s="2">
        <v>0</v>
      </c>
      <c r="I39" s="33">
        <f t="shared" si="8"/>
        <v>0</v>
      </c>
      <c r="J39" s="33">
        <f t="shared" si="9"/>
        <v>0</v>
      </c>
    </row>
    <row r="40" spans="1:10" ht="15.5" x14ac:dyDescent="0.35">
      <c r="A40" s="37" t="s">
        <v>2221</v>
      </c>
      <c r="B40" s="38">
        <v>150000</v>
      </c>
      <c r="C40" s="38">
        <v>6750416</v>
      </c>
      <c r="E40" s="1" t="s">
        <v>802</v>
      </c>
      <c r="F40" s="2">
        <v>150000</v>
      </c>
      <c r="G40" s="2">
        <v>6750416</v>
      </c>
      <c r="I40" s="33">
        <f t="shared" si="8"/>
        <v>0</v>
      </c>
      <c r="J40" s="33">
        <f t="shared" si="9"/>
        <v>0</v>
      </c>
    </row>
    <row r="41" spans="1:10" ht="15.5" x14ac:dyDescent="0.35">
      <c r="A41" s="37" t="s">
        <v>2190</v>
      </c>
      <c r="B41" s="38">
        <v>250000</v>
      </c>
      <c r="C41" s="38">
        <v>0</v>
      </c>
      <c r="E41" s="1" t="s">
        <v>957</v>
      </c>
      <c r="F41" s="2">
        <v>250000</v>
      </c>
      <c r="G41" s="2">
        <v>0</v>
      </c>
      <c r="I41" s="33">
        <f t="shared" si="8"/>
        <v>0</v>
      </c>
      <c r="J41" s="33">
        <f t="shared" si="9"/>
        <v>0</v>
      </c>
    </row>
    <row r="42" spans="1:10" ht="15.5" x14ac:dyDescent="0.35">
      <c r="A42" s="45" t="s">
        <v>767</v>
      </c>
      <c r="B42" s="38">
        <v>100000</v>
      </c>
      <c r="C42" s="38">
        <v>0</v>
      </c>
      <c r="E42" s="1" t="s">
        <v>767</v>
      </c>
      <c r="F42" s="2">
        <v>100000</v>
      </c>
      <c r="G42" s="2">
        <v>0</v>
      </c>
      <c r="I42" s="33">
        <f t="shared" si="8"/>
        <v>0</v>
      </c>
      <c r="J42" s="33">
        <f t="shared" si="9"/>
        <v>0</v>
      </c>
    </row>
    <row r="43" spans="1:10" ht="15.5" x14ac:dyDescent="0.35">
      <c r="A43" s="45" t="s">
        <v>810</v>
      </c>
      <c r="B43" s="38">
        <v>100000</v>
      </c>
      <c r="C43" s="38">
        <v>0</v>
      </c>
      <c r="E43" s="1" t="s">
        <v>810</v>
      </c>
      <c r="F43" s="2">
        <v>100000</v>
      </c>
      <c r="G43" s="2">
        <v>0</v>
      </c>
      <c r="I43" s="33">
        <f t="shared" si="8"/>
        <v>0</v>
      </c>
      <c r="J43" s="33">
        <f t="shared" si="9"/>
        <v>0</v>
      </c>
    </row>
    <row r="44" spans="1:10" ht="15.5" x14ac:dyDescent="0.35">
      <c r="A44" s="37" t="s">
        <v>1373</v>
      </c>
      <c r="B44" s="38">
        <v>250000</v>
      </c>
      <c r="C44" s="38">
        <v>6053100</v>
      </c>
      <c r="E44" s="1" t="s">
        <v>1373</v>
      </c>
      <c r="F44" s="2">
        <v>250000</v>
      </c>
      <c r="G44" s="2">
        <v>6053100</v>
      </c>
      <c r="I44" s="33">
        <f t="shared" si="8"/>
        <v>0</v>
      </c>
      <c r="J44" s="33">
        <f t="shared" si="9"/>
        <v>0</v>
      </c>
    </row>
    <row r="45" spans="1:10" ht="15.5" x14ac:dyDescent="0.35">
      <c r="A45" s="37" t="s">
        <v>2205</v>
      </c>
      <c r="B45" s="38">
        <v>350000</v>
      </c>
      <c r="C45" s="38">
        <v>11006944</v>
      </c>
      <c r="E45" s="1" t="s">
        <v>1050</v>
      </c>
      <c r="F45" s="2">
        <v>350000</v>
      </c>
      <c r="G45" s="2">
        <v>11006944</v>
      </c>
      <c r="I45" s="33">
        <f t="shared" si="8"/>
        <v>0</v>
      </c>
      <c r="J45" s="33">
        <f t="shared" si="9"/>
        <v>0</v>
      </c>
    </row>
    <row r="46" spans="1:10" ht="15.5" x14ac:dyDescent="0.35">
      <c r="A46" s="37" t="s">
        <v>743</v>
      </c>
      <c r="B46" s="38">
        <v>350000</v>
      </c>
      <c r="C46" s="38">
        <v>17623787</v>
      </c>
      <c r="E46" s="1" t="s">
        <v>743</v>
      </c>
      <c r="F46" s="2">
        <v>350000</v>
      </c>
      <c r="G46" s="2">
        <v>17623787</v>
      </c>
      <c r="I46" s="33">
        <f t="shared" si="8"/>
        <v>0</v>
      </c>
      <c r="J46" s="33">
        <f t="shared" si="9"/>
        <v>0</v>
      </c>
    </row>
    <row r="47" spans="1:10" ht="15.5" x14ac:dyDescent="0.35">
      <c r="A47" s="37" t="s">
        <v>2196</v>
      </c>
      <c r="B47" s="38">
        <v>250000</v>
      </c>
      <c r="C47" s="38">
        <v>0</v>
      </c>
      <c r="E47" s="1" t="s">
        <v>926</v>
      </c>
      <c r="F47" s="2">
        <v>250000</v>
      </c>
      <c r="G47" s="2">
        <v>0</v>
      </c>
      <c r="I47" s="33">
        <f t="shared" si="8"/>
        <v>0</v>
      </c>
      <c r="J47" s="33">
        <f t="shared" si="9"/>
        <v>0</v>
      </c>
    </row>
    <row r="48" spans="1:10" ht="15.5" x14ac:dyDescent="0.35">
      <c r="A48" s="37" t="s">
        <v>2191</v>
      </c>
      <c r="B48" s="38">
        <v>250000</v>
      </c>
      <c r="C48" s="38">
        <v>0</v>
      </c>
      <c r="E48" s="1" t="s">
        <v>973</v>
      </c>
      <c r="F48" s="2">
        <v>250000</v>
      </c>
      <c r="G48" s="2">
        <v>0</v>
      </c>
      <c r="I48" s="33">
        <f t="shared" si="8"/>
        <v>0</v>
      </c>
      <c r="J48" s="33">
        <f t="shared" si="9"/>
        <v>0</v>
      </c>
    </row>
    <row r="49" spans="1:10" ht="15.5" x14ac:dyDescent="0.35">
      <c r="A49" s="37" t="s">
        <v>2192</v>
      </c>
      <c r="B49" s="38">
        <v>250000</v>
      </c>
      <c r="C49" s="38">
        <v>0</v>
      </c>
      <c r="E49" s="1" t="s">
        <v>912</v>
      </c>
      <c r="F49" s="2">
        <v>250000</v>
      </c>
      <c r="G49" s="2">
        <v>0</v>
      </c>
      <c r="I49" s="33">
        <f t="shared" si="8"/>
        <v>0</v>
      </c>
      <c r="J49" s="33">
        <f t="shared" si="9"/>
        <v>0</v>
      </c>
    </row>
    <row r="50" spans="1:10" ht="15.5" x14ac:dyDescent="0.35">
      <c r="A50" s="37" t="s">
        <v>608</v>
      </c>
      <c r="B50" s="38">
        <v>150000</v>
      </c>
      <c r="C50" s="38">
        <v>0</v>
      </c>
      <c r="E50" s="1" t="s">
        <v>608</v>
      </c>
      <c r="F50" s="2">
        <v>150000</v>
      </c>
      <c r="G50" s="2">
        <v>0</v>
      </c>
      <c r="I50" s="33">
        <f t="shared" si="8"/>
        <v>0</v>
      </c>
      <c r="J50" s="33">
        <f t="shared" si="9"/>
        <v>0</v>
      </c>
    </row>
    <row r="51" spans="1:10" ht="15.5" x14ac:dyDescent="0.35">
      <c r="A51" s="45" t="s">
        <v>533</v>
      </c>
      <c r="B51" s="38">
        <v>100000</v>
      </c>
      <c r="C51" s="38">
        <v>0</v>
      </c>
      <c r="E51" s="3" t="s">
        <v>533</v>
      </c>
      <c r="F51" s="2">
        <v>100000</v>
      </c>
      <c r="G51" s="2">
        <v>0</v>
      </c>
      <c r="I51" s="33">
        <f t="shared" si="8"/>
        <v>0</v>
      </c>
      <c r="J51" s="33">
        <f t="shared" si="9"/>
        <v>0</v>
      </c>
    </row>
    <row r="52" spans="1:10" ht="15.5" x14ac:dyDescent="0.35">
      <c r="A52" s="37" t="s">
        <v>2193</v>
      </c>
      <c r="B52" s="38">
        <v>250000</v>
      </c>
      <c r="C52" s="38">
        <v>0</v>
      </c>
      <c r="E52" s="1" t="s">
        <v>963</v>
      </c>
      <c r="F52" s="2">
        <v>250000</v>
      </c>
      <c r="G52" s="2">
        <v>0</v>
      </c>
      <c r="I52" s="33">
        <f t="shared" si="8"/>
        <v>0</v>
      </c>
      <c r="J52" s="33">
        <f t="shared" si="9"/>
        <v>0</v>
      </c>
    </row>
    <row r="53" spans="1:10" ht="15.5" x14ac:dyDescent="0.35">
      <c r="A53" s="37" t="s">
        <v>1304</v>
      </c>
      <c r="B53" s="38">
        <v>350000</v>
      </c>
      <c r="C53" s="38">
        <v>0</v>
      </c>
      <c r="E53" s="1"/>
      <c r="F53" s="2"/>
      <c r="G53" s="2"/>
      <c r="I53" s="33">
        <f t="shared" si="8"/>
        <v>350000</v>
      </c>
      <c r="J53" s="33">
        <f t="shared" si="9"/>
        <v>0</v>
      </c>
    </row>
    <row r="54" spans="1:10" ht="15.5" x14ac:dyDescent="0.35">
      <c r="A54" s="37" t="s">
        <v>1087</v>
      </c>
      <c r="B54" s="38">
        <v>150000</v>
      </c>
      <c r="C54" s="38">
        <v>0</v>
      </c>
      <c r="E54" s="1" t="s">
        <v>1087</v>
      </c>
      <c r="F54" s="2">
        <v>150000</v>
      </c>
      <c r="G54" s="2">
        <v>0</v>
      </c>
      <c r="I54" s="33">
        <f t="shared" si="8"/>
        <v>0</v>
      </c>
      <c r="J54" s="33">
        <f t="shared" si="9"/>
        <v>0</v>
      </c>
    </row>
    <row r="55" spans="1:10" ht="15.5" x14ac:dyDescent="0.35">
      <c r="A55" s="37" t="s">
        <v>2212</v>
      </c>
      <c r="B55" s="38">
        <v>250000</v>
      </c>
      <c r="C55" s="38">
        <v>0</v>
      </c>
      <c r="E55" s="1" t="s">
        <v>1148</v>
      </c>
      <c r="F55" s="2">
        <v>250000</v>
      </c>
      <c r="G55" s="2">
        <v>0</v>
      </c>
      <c r="I55" s="33">
        <f t="shared" si="8"/>
        <v>0</v>
      </c>
      <c r="J55" s="33">
        <f t="shared" si="9"/>
        <v>0</v>
      </c>
    </row>
    <row r="56" spans="1:10" ht="15.5" x14ac:dyDescent="0.35">
      <c r="A56" s="37" t="s">
        <v>1044</v>
      </c>
      <c r="B56" s="38">
        <v>150000</v>
      </c>
      <c r="C56" s="38">
        <v>5767335</v>
      </c>
      <c r="E56" s="1" t="s">
        <v>1044</v>
      </c>
      <c r="F56" s="2">
        <v>150000</v>
      </c>
      <c r="G56" s="2">
        <v>5767335</v>
      </c>
      <c r="I56" s="33">
        <f t="shared" si="8"/>
        <v>0</v>
      </c>
      <c r="J56" s="33">
        <f t="shared" si="9"/>
        <v>0</v>
      </c>
    </row>
    <row r="57" spans="1:10" ht="15.5" x14ac:dyDescent="0.35">
      <c r="A57" s="37" t="s">
        <v>2214</v>
      </c>
      <c r="B57" s="38">
        <v>150000</v>
      </c>
      <c r="C57" s="38">
        <v>0</v>
      </c>
      <c r="E57" s="1" t="s">
        <v>1135</v>
      </c>
      <c r="F57" s="2">
        <v>150000</v>
      </c>
      <c r="G57" s="2">
        <v>0</v>
      </c>
      <c r="I57" s="33">
        <f t="shared" si="8"/>
        <v>0</v>
      </c>
      <c r="J57" s="33">
        <f t="shared" si="9"/>
        <v>0</v>
      </c>
    </row>
    <row r="58" spans="1:10" ht="15.5" x14ac:dyDescent="0.35">
      <c r="A58" s="37" t="s">
        <v>2230</v>
      </c>
      <c r="B58" s="38">
        <v>150000</v>
      </c>
      <c r="C58" s="38">
        <v>1890628</v>
      </c>
      <c r="E58" s="1"/>
      <c r="F58" s="2"/>
      <c r="G58" s="2"/>
      <c r="I58" s="33">
        <f t="shared" si="8"/>
        <v>150000</v>
      </c>
      <c r="J58" s="33">
        <f t="shared" si="9"/>
        <v>1890628</v>
      </c>
    </row>
    <row r="59" spans="1:10" ht="15.5" x14ac:dyDescent="0.35">
      <c r="A59" s="37" t="s">
        <v>2182</v>
      </c>
      <c r="B59" s="38">
        <v>350000</v>
      </c>
      <c r="C59" s="38">
        <v>0</v>
      </c>
      <c r="E59" s="3" t="s">
        <v>624</v>
      </c>
      <c r="F59" s="2">
        <v>350000</v>
      </c>
      <c r="G59" s="2">
        <v>0</v>
      </c>
      <c r="I59" s="33">
        <f t="shared" si="8"/>
        <v>0</v>
      </c>
      <c r="J59" s="33">
        <f t="shared" si="9"/>
        <v>0</v>
      </c>
    </row>
    <row r="60" spans="1:10" ht="15.5" x14ac:dyDescent="0.35">
      <c r="A60" s="37" t="s">
        <v>2197</v>
      </c>
      <c r="B60" s="38">
        <v>350000</v>
      </c>
      <c r="C60" s="38">
        <v>0</v>
      </c>
      <c r="E60" s="1" t="s">
        <v>918</v>
      </c>
      <c r="F60" s="2">
        <v>350000</v>
      </c>
      <c r="G60" s="2">
        <v>0</v>
      </c>
      <c r="I60" s="33">
        <f t="shared" si="8"/>
        <v>0</v>
      </c>
      <c r="J60" s="33">
        <f t="shared" si="9"/>
        <v>0</v>
      </c>
    </row>
    <row r="61" spans="1:10" ht="15.5" x14ac:dyDescent="0.35">
      <c r="A61" s="37" t="s">
        <v>2194</v>
      </c>
      <c r="B61" s="38">
        <v>250000</v>
      </c>
      <c r="C61" s="38">
        <v>0</v>
      </c>
      <c r="E61" s="1" t="s">
        <v>955</v>
      </c>
      <c r="F61" s="2">
        <v>250000</v>
      </c>
      <c r="G61" s="2">
        <v>0</v>
      </c>
      <c r="I61" s="33">
        <f t="shared" si="8"/>
        <v>0</v>
      </c>
      <c r="J61" s="33">
        <f t="shared" si="9"/>
        <v>0</v>
      </c>
    </row>
    <row r="62" spans="1:10" ht="15.5" x14ac:dyDescent="0.35">
      <c r="A62" s="37" t="s">
        <v>626</v>
      </c>
      <c r="B62" s="38">
        <v>150000</v>
      </c>
      <c r="C62" s="38">
        <v>850694</v>
      </c>
      <c r="E62" s="1" t="s">
        <v>626</v>
      </c>
      <c r="F62" s="2">
        <v>150000</v>
      </c>
      <c r="G62" s="2">
        <v>850694</v>
      </c>
      <c r="I62" s="33">
        <f t="shared" si="8"/>
        <v>0</v>
      </c>
      <c r="J62" s="33">
        <f t="shared" si="9"/>
        <v>0</v>
      </c>
    </row>
    <row r="63" spans="1:10" ht="15.5" x14ac:dyDescent="0.35">
      <c r="A63" s="37" t="s">
        <v>832</v>
      </c>
      <c r="B63" s="38">
        <v>150000</v>
      </c>
      <c r="C63" s="38">
        <v>0</v>
      </c>
      <c r="E63" s="1" t="s">
        <v>832</v>
      </c>
      <c r="F63" s="2">
        <v>150000</v>
      </c>
      <c r="G63" s="2">
        <v>0</v>
      </c>
      <c r="I63" s="33">
        <f t="shared" si="8"/>
        <v>0</v>
      </c>
      <c r="J63" s="33">
        <f t="shared" si="9"/>
        <v>0</v>
      </c>
    </row>
    <row r="64" spans="1:10" ht="15.5" x14ac:dyDescent="0.35">
      <c r="A64" s="37" t="s">
        <v>2158</v>
      </c>
      <c r="B64" s="38">
        <v>350000</v>
      </c>
      <c r="C64" s="38">
        <v>5832511</v>
      </c>
      <c r="E64" s="1" t="s">
        <v>751</v>
      </c>
      <c r="F64" s="2">
        <v>350000</v>
      </c>
      <c r="G64" s="2">
        <v>5832511</v>
      </c>
      <c r="I64" s="33">
        <f t="shared" si="8"/>
        <v>0</v>
      </c>
      <c r="J64" s="33">
        <f t="shared" si="9"/>
        <v>0</v>
      </c>
    </row>
    <row r="65" spans="1:10" ht="15.5" x14ac:dyDescent="0.35">
      <c r="A65" s="37" t="s">
        <v>1918</v>
      </c>
      <c r="B65" s="38">
        <v>100000</v>
      </c>
      <c r="C65" s="38">
        <v>0</v>
      </c>
      <c r="E65" s="1" t="s">
        <v>1918</v>
      </c>
      <c r="F65" s="2">
        <v>100000</v>
      </c>
      <c r="G65" s="2">
        <v>0</v>
      </c>
      <c r="I65" s="33">
        <f t="shared" si="8"/>
        <v>0</v>
      </c>
      <c r="J65" s="33">
        <f t="shared" si="9"/>
        <v>0</v>
      </c>
    </row>
    <row r="66" spans="1:10" ht="15.5" x14ac:dyDescent="0.35">
      <c r="A66" s="45" t="s">
        <v>1194</v>
      </c>
      <c r="B66" s="38">
        <v>100000</v>
      </c>
      <c r="C66" s="38">
        <v>0</v>
      </c>
      <c r="E66" s="1" t="s">
        <v>1194</v>
      </c>
      <c r="F66" s="2">
        <v>100000</v>
      </c>
      <c r="G66" s="2">
        <v>0</v>
      </c>
      <c r="I66" s="33">
        <f t="shared" si="8"/>
        <v>0</v>
      </c>
      <c r="J66" s="33">
        <f t="shared" si="9"/>
        <v>0</v>
      </c>
    </row>
    <row r="67" spans="1:10" ht="15.5" x14ac:dyDescent="0.35">
      <c r="A67" s="37" t="s">
        <v>2178</v>
      </c>
      <c r="B67" s="38">
        <v>150000</v>
      </c>
      <c r="C67" s="38">
        <v>0</v>
      </c>
      <c r="E67" s="1" t="s">
        <v>887</v>
      </c>
      <c r="F67" s="2">
        <v>150000</v>
      </c>
      <c r="G67" s="2">
        <v>0</v>
      </c>
      <c r="I67" s="33">
        <f t="shared" si="8"/>
        <v>0</v>
      </c>
      <c r="J67" s="33">
        <f t="shared" si="9"/>
        <v>0</v>
      </c>
    </row>
    <row r="68" spans="1:10" ht="15.5" x14ac:dyDescent="0.35">
      <c r="A68" s="37" t="s">
        <v>1054</v>
      </c>
      <c r="B68" s="38">
        <v>150000</v>
      </c>
      <c r="C68" s="38">
        <v>0</v>
      </c>
      <c r="E68" s="1"/>
      <c r="F68" s="2"/>
      <c r="G68" s="2"/>
      <c r="I68" s="33">
        <f t="shared" si="8"/>
        <v>150000</v>
      </c>
      <c r="J68" s="33">
        <f t="shared" si="9"/>
        <v>0</v>
      </c>
    </row>
    <row r="69" spans="1:10" ht="15.5" x14ac:dyDescent="0.35">
      <c r="A69" s="37" t="s">
        <v>842</v>
      </c>
      <c r="B69" s="38">
        <v>150000</v>
      </c>
      <c r="C69" s="38">
        <v>3450042</v>
      </c>
      <c r="E69" s="1" t="s">
        <v>842</v>
      </c>
      <c r="F69" s="2">
        <v>150000</v>
      </c>
      <c r="G69" s="2">
        <v>3450042</v>
      </c>
      <c r="I69" s="33">
        <f t="shared" si="8"/>
        <v>0</v>
      </c>
      <c r="J69" s="33">
        <f t="shared" si="9"/>
        <v>0</v>
      </c>
    </row>
    <row r="70" spans="1:10" ht="15.5" x14ac:dyDescent="0.35">
      <c r="A70" s="37" t="s">
        <v>2185</v>
      </c>
      <c r="B70" s="38">
        <v>250000</v>
      </c>
      <c r="C70" s="38">
        <v>0</v>
      </c>
      <c r="E70" s="1" t="s">
        <v>953</v>
      </c>
      <c r="F70" s="2">
        <v>250000</v>
      </c>
      <c r="G70" s="2">
        <v>0</v>
      </c>
      <c r="I70" s="33">
        <f t="shared" si="8"/>
        <v>0</v>
      </c>
      <c r="J70" s="33">
        <f t="shared" si="9"/>
        <v>0</v>
      </c>
    </row>
    <row r="71" spans="1:10" ht="15.5" x14ac:dyDescent="0.35">
      <c r="A71" s="37" t="s">
        <v>2172</v>
      </c>
      <c r="B71" s="38">
        <v>350000</v>
      </c>
      <c r="C71" s="38">
        <v>0</v>
      </c>
      <c r="E71" s="1" t="s">
        <v>700</v>
      </c>
      <c r="F71" s="2">
        <v>350000</v>
      </c>
      <c r="G71" s="2">
        <v>0</v>
      </c>
      <c r="I71" s="33">
        <f t="shared" si="8"/>
        <v>0</v>
      </c>
      <c r="J71" s="33">
        <f t="shared" si="9"/>
        <v>0</v>
      </c>
    </row>
    <row r="72" spans="1:10" ht="15.5" x14ac:dyDescent="0.35">
      <c r="A72" s="37" t="s">
        <v>682</v>
      </c>
      <c r="B72" s="38">
        <v>250000</v>
      </c>
      <c r="C72" s="38">
        <v>0</v>
      </c>
      <c r="E72" s="1" t="s">
        <v>682</v>
      </c>
      <c r="F72" s="2">
        <v>250000</v>
      </c>
      <c r="G72" s="2">
        <v>0</v>
      </c>
      <c r="I72" s="33">
        <f t="shared" si="8"/>
        <v>0</v>
      </c>
      <c r="J72" s="33">
        <f t="shared" si="9"/>
        <v>0</v>
      </c>
    </row>
    <row r="73" spans="1:10" ht="15.5" x14ac:dyDescent="0.35">
      <c r="A73" s="37" t="s">
        <v>1042</v>
      </c>
      <c r="B73" s="38">
        <v>250000</v>
      </c>
      <c r="C73" s="38">
        <v>2895833</v>
      </c>
      <c r="E73" s="1" t="s">
        <v>1042</v>
      </c>
      <c r="F73" s="2">
        <v>250000</v>
      </c>
      <c r="G73" s="2">
        <v>2895833</v>
      </c>
      <c r="I73" s="33">
        <f t="shared" si="8"/>
        <v>0</v>
      </c>
      <c r="J73" s="33">
        <f t="shared" si="9"/>
        <v>0</v>
      </c>
    </row>
    <row r="74" spans="1:10" ht="15.5" x14ac:dyDescent="0.35">
      <c r="A74" s="44" t="s">
        <v>1105</v>
      </c>
      <c r="B74" s="38">
        <v>250000</v>
      </c>
      <c r="C74" s="38">
        <v>0</v>
      </c>
      <c r="E74" s="1" t="s">
        <v>1105</v>
      </c>
      <c r="F74" s="2">
        <v>250000</v>
      </c>
      <c r="G74" s="2">
        <v>0</v>
      </c>
      <c r="I74" s="33">
        <f t="shared" si="8"/>
        <v>0</v>
      </c>
      <c r="J74" s="33">
        <f t="shared" si="9"/>
        <v>0</v>
      </c>
    </row>
    <row r="75" spans="1:10" ht="15.5" x14ac:dyDescent="0.35">
      <c r="A75" s="37" t="s">
        <v>2179</v>
      </c>
      <c r="B75" s="38">
        <v>250000</v>
      </c>
      <c r="C75" s="38">
        <v>0</v>
      </c>
      <c r="E75" s="1" t="s">
        <v>881</v>
      </c>
      <c r="F75" s="2">
        <v>250000</v>
      </c>
      <c r="G75" s="2">
        <v>0</v>
      </c>
      <c r="I75" s="33">
        <f t="shared" si="8"/>
        <v>0</v>
      </c>
      <c r="J75" s="33">
        <f t="shared" si="9"/>
        <v>0</v>
      </c>
    </row>
    <row r="76" spans="1:10" ht="15.5" x14ac:dyDescent="0.35">
      <c r="A76" s="37"/>
      <c r="B76" s="38"/>
      <c r="C76" s="38"/>
      <c r="E76" s="3" t="s">
        <v>1125</v>
      </c>
      <c r="F76" s="2">
        <v>250000</v>
      </c>
      <c r="G76" s="2">
        <v>0</v>
      </c>
      <c r="I76" s="33">
        <f t="shared" si="8"/>
        <v>-250000</v>
      </c>
      <c r="J76" s="33">
        <f t="shared" si="9"/>
        <v>0</v>
      </c>
    </row>
    <row r="77" spans="1:10" ht="15.5" x14ac:dyDescent="0.35">
      <c r="A77" s="37"/>
      <c r="B77" s="38"/>
      <c r="C77" s="38"/>
      <c r="E77" s="1" t="s">
        <v>644</v>
      </c>
      <c r="F77" s="2">
        <v>250000</v>
      </c>
      <c r="G77" s="2">
        <v>0</v>
      </c>
      <c r="I77" s="33">
        <f t="shared" si="8"/>
        <v>-250000</v>
      </c>
      <c r="J77" s="33">
        <f t="shared" si="9"/>
        <v>0</v>
      </c>
    </row>
    <row r="78" spans="1:10" ht="15.5" x14ac:dyDescent="0.35">
      <c r="A78" s="37" t="s">
        <v>2168</v>
      </c>
      <c r="B78" s="38">
        <v>250000</v>
      </c>
      <c r="C78" s="38">
        <v>0</v>
      </c>
      <c r="E78" s="1" t="s">
        <v>737</v>
      </c>
      <c r="F78" s="2">
        <v>250000</v>
      </c>
      <c r="G78" s="2">
        <v>0</v>
      </c>
      <c r="I78" s="33">
        <f t="shared" si="8"/>
        <v>0</v>
      </c>
      <c r="J78" s="33">
        <f t="shared" si="9"/>
        <v>0</v>
      </c>
    </row>
    <row r="79" spans="1:10" ht="15.5" x14ac:dyDescent="0.35">
      <c r="A79" s="37" t="s">
        <v>2159</v>
      </c>
      <c r="B79" s="38">
        <v>250000</v>
      </c>
      <c r="C79" s="38">
        <v>3562500</v>
      </c>
      <c r="E79" s="1" t="s">
        <v>725</v>
      </c>
      <c r="F79" s="2">
        <v>250000</v>
      </c>
      <c r="G79" s="2">
        <v>3562500</v>
      </c>
      <c r="I79" s="33">
        <f t="shared" si="8"/>
        <v>0</v>
      </c>
      <c r="J79" s="33">
        <f t="shared" si="9"/>
        <v>0</v>
      </c>
    </row>
    <row r="80" spans="1:10" ht="15.5" x14ac:dyDescent="0.35">
      <c r="A80" s="37" t="s">
        <v>2217</v>
      </c>
      <c r="B80" s="38">
        <v>250000</v>
      </c>
      <c r="C80" s="38">
        <v>2291667</v>
      </c>
      <c r="E80" s="1" t="s">
        <v>827</v>
      </c>
      <c r="F80" s="2">
        <v>250000</v>
      </c>
      <c r="G80" s="2">
        <v>2291667</v>
      </c>
      <c r="I80" s="33">
        <f t="shared" si="8"/>
        <v>0</v>
      </c>
      <c r="J80" s="33">
        <f t="shared" si="9"/>
        <v>0</v>
      </c>
    </row>
    <row r="81" spans="1:10" ht="15.5" x14ac:dyDescent="0.35">
      <c r="A81" s="37" t="s">
        <v>1850</v>
      </c>
      <c r="B81" s="38">
        <v>100000</v>
      </c>
      <c r="C81" s="38">
        <v>0</v>
      </c>
      <c r="E81" s="1" t="s">
        <v>1850</v>
      </c>
      <c r="F81" s="2">
        <v>100000</v>
      </c>
      <c r="G81" s="2">
        <v>0</v>
      </c>
      <c r="I81" s="33">
        <f t="shared" si="8"/>
        <v>0</v>
      </c>
      <c r="J81" s="33">
        <f t="shared" si="9"/>
        <v>0</v>
      </c>
    </row>
    <row r="82" spans="1:10" ht="15.5" x14ac:dyDescent="0.35">
      <c r="A82" s="44" t="s">
        <v>2238</v>
      </c>
      <c r="B82" s="38">
        <v>350000</v>
      </c>
      <c r="C82" s="38">
        <v>10608334</v>
      </c>
      <c r="E82" s="1" t="s">
        <v>657</v>
      </c>
      <c r="F82" s="2">
        <v>350000</v>
      </c>
      <c r="G82" s="2">
        <v>10608334</v>
      </c>
      <c r="I82" s="33">
        <f t="shared" si="8"/>
        <v>0</v>
      </c>
      <c r="J82" s="33">
        <f t="shared" si="9"/>
        <v>0</v>
      </c>
    </row>
    <row r="83" spans="1:10" ht="15.5" x14ac:dyDescent="0.35">
      <c r="A83" s="37" t="s">
        <v>2169</v>
      </c>
      <c r="B83" s="38">
        <v>150000</v>
      </c>
      <c r="C83" s="38">
        <v>1500000</v>
      </c>
      <c r="E83" s="1" t="s">
        <v>733</v>
      </c>
      <c r="F83" s="2">
        <v>150000</v>
      </c>
      <c r="G83" s="2">
        <v>1500000</v>
      </c>
      <c r="I83" s="33">
        <f t="shared" si="8"/>
        <v>0</v>
      </c>
      <c r="J83" s="33">
        <f t="shared" si="9"/>
        <v>0</v>
      </c>
    </row>
    <row r="84" spans="1:10" ht="15.5" x14ac:dyDescent="0.35">
      <c r="A84" s="37" t="s">
        <v>1036</v>
      </c>
      <c r="B84" s="38">
        <v>150000</v>
      </c>
      <c r="C84" s="38">
        <v>0</v>
      </c>
      <c r="E84" s="1" t="s">
        <v>1036</v>
      </c>
      <c r="F84" s="2">
        <v>150000</v>
      </c>
      <c r="G84" s="2">
        <v>0</v>
      </c>
      <c r="I84" s="33">
        <f t="shared" si="8"/>
        <v>0</v>
      </c>
      <c r="J84" s="33">
        <f t="shared" si="9"/>
        <v>0</v>
      </c>
    </row>
    <row r="85" spans="1:10" ht="15.5" x14ac:dyDescent="0.35">
      <c r="A85" s="37" t="s">
        <v>2198</v>
      </c>
      <c r="B85" s="38">
        <v>350000</v>
      </c>
      <c r="C85" s="38">
        <v>5510000</v>
      </c>
      <c r="E85" s="1" t="s">
        <v>942</v>
      </c>
      <c r="F85" s="2">
        <v>350000</v>
      </c>
      <c r="G85" s="2">
        <v>5510000</v>
      </c>
      <c r="I85" s="33">
        <f t="shared" si="8"/>
        <v>0</v>
      </c>
      <c r="J85" s="33">
        <f t="shared" si="9"/>
        <v>0</v>
      </c>
    </row>
    <row r="86" spans="1:10" ht="15.5" x14ac:dyDescent="0.35">
      <c r="A86" s="37" t="s">
        <v>2200</v>
      </c>
      <c r="B86" s="38">
        <v>250000</v>
      </c>
      <c r="C86" s="38">
        <v>0</v>
      </c>
      <c r="E86" s="1" t="s">
        <v>1007</v>
      </c>
      <c r="F86" s="2">
        <v>250000</v>
      </c>
      <c r="G86" s="2">
        <v>0</v>
      </c>
      <c r="I86" s="33">
        <f t="shared" si="8"/>
        <v>0</v>
      </c>
      <c r="J86" s="33">
        <f t="shared" si="9"/>
        <v>0</v>
      </c>
    </row>
    <row r="87" spans="1:10" ht="15.5" x14ac:dyDescent="0.35">
      <c r="A87" s="37" t="s">
        <v>2165</v>
      </c>
      <c r="B87" s="38">
        <v>150000</v>
      </c>
      <c r="C87" s="38">
        <v>0</v>
      </c>
      <c r="E87" s="1" t="s">
        <v>721</v>
      </c>
      <c r="F87" s="2">
        <v>150000</v>
      </c>
      <c r="G87" s="2">
        <v>0</v>
      </c>
      <c r="I87" s="33">
        <f t="shared" si="8"/>
        <v>0</v>
      </c>
      <c r="J87" s="33">
        <f t="shared" si="9"/>
        <v>0</v>
      </c>
    </row>
    <row r="88" spans="1:10" ht="15.5" x14ac:dyDescent="0.35">
      <c r="A88" s="37" t="s">
        <v>2170</v>
      </c>
      <c r="B88" s="38">
        <v>500000</v>
      </c>
      <c r="C88" s="38">
        <v>0</v>
      </c>
      <c r="E88" s="1" t="s">
        <v>759</v>
      </c>
      <c r="F88" s="2">
        <v>500000</v>
      </c>
      <c r="G88" s="2">
        <v>0</v>
      </c>
      <c r="I88" s="33">
        <f t="shared" si="8"/>
        <v>0</v>
      </c>
      <c r="J88" s="33">
        <f t="shared" si="9"/>
        <v>0</v>
      </c>
    </row>
    <row r="89" spans="1:10" ht="15.5" x14ac:dyDescent="0.35">
      <c r="A89" s="37" t="s">
        <v>800</v>
      </c>
      <c r="B89" s="38">
        <v>150000</v>
      </c>
      <c r="C89" s="38">
        <v>0</v>
      </c>
      <c r="E89" s="1" t="s">
        <v>800</v>
      </c>
      <c r="F89" s="2">
        <v>150000</v>
      </c>
      <c r="G89" s="2">
        <v>0</v>
      </c>
      <c r="I89" s="33">
        <f t="shared" si="8"/>
        <v>0</v>
      </c>
      <c r="J89" s="33">
        <f t="shared" si="9"/>
        <v>0</v>
      </c>
    </row>
    <row r="90" spans="1:10" ht="15.5" x14ac:dyDescent="0.35">
      <c r="A90" s="37" t="s">
        <v>2173</v>
      </c>
      <c r="B90" s="38">
        <v>350000</v>
      </c>
      <c r="C90" s="38">
        <v>0</v>
      </c>
      <c r="E90" s="1" t="s">
        <v>1144</v>
      </c>
      <c r="F90" s="2">
        <v>350000</v>
      </c>
      <c r="G90" s="2">
        <v>0</v>
      </c>
      <c r="I90" s="33">
        <f t="shared" ref="I90:I107" si="10">B90-F90</f>
        <v>0</v>
      </c>
      <c r="J90" s="33">
        <f t="shared" ref="J90:J107" si="11">C90-G90</f>
        <v>0</v>
      </c>
    </row>
    <row r="91" spans="1:10" ht="15.5" x14ac:dyDescent="0.35">
      <c r="A91" s="45" t="s">
        <v>650</v>
      </c>
      <c r="B91" s="38">
        <v>100000</v>
      </c>
      <c r="C91" s="38">
        <v>0</v>
      </c>
      <c r="E91" s="1" t="s">
        <v>650</v>
      </c>
      <c r="F91" s="2">
        <v>100000</v>
      </c>
      <c r="G91" s="2">
        <v>0</v>
      </c>
      <c r="I91" s="33">
        <f t="shared" si="10"/>
        <v>0</v>
      </c>
      <c r="J91" s="33">
        <f t="shared" si="11"/>
        <v>0</v>
      </c>
    </row>
    <row r="92" spans="1:10" ht="15.5" x14ac:dyDescent="0.35">
      <c r="A92" s="45" t="s">
        <v>808</v>
      </c>
      <c r="B92" s="38">
        <v>100000</v>
      </c>
      <c r="C92" s="38">
        <v>0</v>
      </c>
      <c r="E92" s="1" t="s">
        <v>808</v>
      </c>
      <c r="F92" s="2">
        <v>100000</v>
      </c>
      <c r="G92" s="2">
        <v>0</v>
      </c>
      <c r="I92" s="33">
        <f t="shared" si="10"/>
        <v>0</v>
      </c>
      <c r="J92" s="33">
        <f t="shared" si="11"/>
        <v>0</v>
      </c>
    </row>
    <row r="93" spans="1:10" ht="15.5" x14ac:dyDescent="0.35">
      <c r="A93" s="37" t="s">
        <v>1892</v>
      </c>
      <c r="B93" s="38">
        <v>100000</v>
      </c>
      <c r="C93" s="38">
        <v>0</v>
      </c>
      <c r="E93" s="1" t="s">
        <v>1892</v>
      </c>
      <c r="F93" s="2">
        <v>100000</v>
      </c>
      <c r="G93" s="2">
        <v>0</v>
      </c>
      <c r="I93" s="33">
        <f t="shared" si="10"/>
        <v>0</v>
      </c>
      <c r="J93" s="33">
        <f t="shared" si="11"/>
        <v>0</v>
      </c>
    </row>
    <row r="94" spans="1:10" ht="15.5" x14ac:dyDescent="0.35">
      <c r="A94" s="37" t="s">
        <v>2202</v>
      </c>
      <c r="B94" s="38">
        <v>250000</v>
      </c>
      <c r="C94" s="38">
        <v>0</v>
      </c>
      <c r="E94" s="1" t="s">
        <v>1021</v>
      </c>
      <c r="F94" s="2">
        <v>250000</v>
      </c>
      <c r="G94" s="2">
        <v>0</v>
      </c>
      <c r="I94" s="33">
        <f t="shared" si="10"/>
        <v>0</v>
      </c>
      <c r="J94" s="33">
        <f t="shared" si="11"/>
        <v>0</v>
      </c>
    </row>
    <row r="95" spans="1:10" ht="15.5" x14ac:dyDescent="0.35">
      <c r="A95" s="37" t="s">
        <v>1784</v>
      </c>
      <c r="B95" s="38">
        <v>100000</v>
      </c>
      <c r="C95" s="38">
        <v>0</v>
      </c>
      <c r="E95" s="1" t="s">
        <v>1784</v>
      </c>
      <c r="F95" s="2">
        <v>100000</v>
      </c>
      <c r="G95" s="2">
        <v>0</v>
      </c>
      <c r="I95" s="33">
        <f t="shared" si="10"/>
        <v>0</v>
      </c>
      <c r="J95" s="33">
        <f t="shared" si="11"/>
        <v>0</v>
      </c>
    </row>
    <row r="96" spans="1:10" ht="15.5" x14ac:dyDescent="0.35">
      <c r="A96" s="37" t="s">
        <v>2183</v>
      </c>
      <c r="B96" s="38">
        <v>350000</v>
      </c>
      <c r="C96" s="38">
        <v>0</v>
      </c>
      <c r="E96" s="3" t="s">
        <v>628</v>
      </c>
      <c r="F96" s="2">
        <v>350000</v>
      </c>
      <c r="G96" s="2">
        <v>0</v>
      </c>
      <c r="I96" s="33">
        <f t="shared" si="10"/>
        <v>0</v>
      </c>
      <c r="J96" s="33">
        <f t="shared" si="11"/>
        <v>0</v>
      </c>
    </row>
    <row r="97" spans="1:10" ht="15.5" x14ac:dyDescent="0.35">
      <c r="A97" s="37"/>
      <c r="B97" s="38"/>
      <c r="C97" s="38"/>
      <c r="E97" s="3" t="s">
        <v>1184</v>
      </c>
      <c r="F97" s="2">
        <v>250000</v>
      </c>
      <c r="G97" s="2">
        <v>0</v>
      </c>
      <c r="I97" s="33">
        <f t="shared" si="10"/>
        <v>-250000</v>
      </c>
      <c r="J97" s="33">
        <f t="shared" si="11"/>
        <v>0</v>
      </c>
    </row>
    <row r="98" spans="1:10" ht="15.5" x14ac:dyDescent="0.35">
      <c r="A98" s="37" t="s">
        <v>852</v>
      </c>
      <c r="B98" s="38">
        <v>100000</v>
      </c>
      <c r="C98" s="38">
        <v>0</v>
      </c>
      <c r="E98" s="1" t="s">
        <v>852</v>
      </c>
      <c r="F98" s="2">
        <v>100000</v>
      </c>
      <c r="G98" s="2">
        <v>0</v>
      </c>
      <c r="I98" s="33">
        <f t="shared" si="10"/>
        <v>0</v>
      </c>
      <c r="J98" s="33">
        <f t="shared" si="11"/>
        <v>0</v>
      </c>
    </row>
    <row r="99" spans="1:10" ht="15.5" x14ac:dyDescent="0.35">
      <c r="A99" s="37" t="s">
        <v>2162</v>
      </c>
      <c r="B99" s="38">
        <v>500000</v>
      </c>
      <c r="C99" s="38">
        <v>3402778</v>
      </c>
      <c r="E99" s="1" t="s">
        <v>850</v>
      </c>
      <c r="F99" s="2">
        <v>500000</v>
      </c>
      <c r="G99" s="2">
        <v>3402778</v>
      </c>
      <c r="I99" s="33">
        <f t="shared" si="10"/>
        <v>0</v>
      </c>
      <c r="J99" s="33">
        <f t="shared" si="11"/>
        <v>0</v>
      </c>
    </row>
    <row r="100" spans="1:10" ht="15.5" x14ac:dyDescent="0.35">
      <c r="A100" s="37" t="s">
        <v>690</v>
      </c>
      <c r="B100" s="38">
        <v>150000</v>
      </c>
      <c r="C100" s="38">
        <v>5638526</v>
      </c>
      <c r="E100" s="1" t="s">
        <v>690</v>
      </c>
      <c r="F100" s="2">
        <v>150000</v>
      </c>
      <c r="G100" s="2">
        <v>5638526</v>
      </c>
      <c r="I100" s="33">
        <f t="shared" si="10"/>
        <v>0</v>
      </c>
      <c r="J100" s="33">
        <f t="shared" si="11"/>
        <v>0</v>
      </c>
    </row>
    <row r="101" spans="1:10" ht="15.5" x14ac:dyDescent="0.35">
      <c r="A101" s="46" t="s">
        <v>1888</v>
      </c>
      <c r="B101" s="38">
        <v>100000</v>
      </c>
      <c r="C101" s="38">
        <v>0</v>
      </c>
      <c r="E101" s="1" t="s">
        <v>1888</v>
      </c>
      <c r="F101" s="2">
        <v>100000</v>
      </c>
      <c r="G101" s="2">
        <v>0</v>
      </c>
      <c r="I101" s="33">
        <f t="shared" si="10"/>
        <v>0</v>
      </c>
      <c r="J101" s="33">
        <f t="shared" si="11"/>
        <v>0</v>
      </c>
    </row>
    <row r="102" spans="1:10" ht="15.5" x14ac:dyDescent="0.35">
      <c r="A102" s="45" t="s">
        <v>2239</v>
      </c>
      <c r="B102" s="38">
        <v>250000</v>
      </c>
      <c r="C102" s="38">
        <v>5510001</v>
      </c>
      <c r="E102" s="3" t="s">
        <v>251</v>
      </c>
      <c r="F102" s="2">
        <v>250000</v>
      </c>
      <c r="G102" s="2">
        <v>5510001</v>
      </c>
      <c r="I102" s="33">
        <f t="shared" si="10"/>
        <v>0</v>
      </c>
      <c r="J102" s="33">
        <f t="shared" si="11"/>
        <v>0</v>
      </c>
    </row>
    <row r="103" spans="1:10" ht="15.5" x14ac:dyDescent="0.35">
      <c r="A103" s="37" t="s">
        <v>2210</v>
      </c>
      <c r="B103" s="38">
        <v>250000</v>
      </c>
      <c r="C103" s="38">
        <v>0</v>
      </c>
      <c r="E103" s="1" t="s">
        <v>985</v>
      </c>
      <c r="F103" s="2">
        <v>250000</v>
      </c>
      <c r="G103" s="2">
        <v>0</v>
      </c>
      <c r="I103" s="33">
        <f t="shared" si="10"/>
        <v>0</v>
      </c>
      <c r="J103" s="33">
        <f t="shared" si="11"/>
        <v>0</v>
      </c>
    </row>
    <row r="104" spans="1:10" ht="15.5" x14ac:dyDescent="0.35">
      <c r="A104" s="37" t="s">
        <v>2175</v>
      </c>
      <c r="B104" s="38">
        <v>150000</v>
      </c>
      <c r="C104" s="38">
        <v>0</v>
      </c>
      <c r="E104" s="1" t="s">
        <v>1029</v>
      </c>
      <c r="F104" s="2">
        <v>150000</v>
      </c>
      <c r="G104" s="2">
        <v>0</v>
      </c>
      <c r="I104" s="33">
        <f t="shared" si="10"/>
        <v>0</v>
      </c>
      <c r="J104" s="33">
        <f t="shared" si="11"/>
        <v>0</v>
      </c>
    </row>
    <row r="105" spans="1:10" ht="15.5" x14ac:dyDescent="0.35">
      <c r="A105" s="44" t="s">
        <v>1166</v>
      </c>
      <c r="B105" s="38">
        <v>250000</v>
      </c>
      <c r="C105" s="38">
        <v>2702245</v>
      </c>
      <c r="E105" s="1" t="s">
        <v>1166</v>
      </c>
      <c r="F105" s="2">
        <v>250000</v>
      </c>
      <c r="G105" s="2">
        <v>2702245</v>
      </c>
      <c r="I105" s="33">
        <f t="shared" si="10"/>
        <v>0</v>
      </c>
      <c r="J105" s="33">
        <f t="shared" si="11"/>
        <v>0</v>
      </c>
    </row>
    <row r="106" spans="1:10" ht="15.5" x14ac:dyDescent="0.35">
      <c r="A106" s="37" t="s">
        <v>727</v>
      </c>
      <c r="B106" s="38">
        <v>100000</v>
      </c>
      <c r="C106" s="38">
        <v>0</v>
      </c>
      <c r="E106" s="1" t="s">
        <v>727</v>
      </c>
      <c r="F106" s="2">
        <v>100000</v>
      </c>
      <c r="G106" s="2">
        <v>0</v>
      </c>
      <c r="I106" s="33">
        <f t="shared" si="10"/>
        <v>0</v>
      </c>
      <c r="J106" s="33">
        <f t="shared" si="11"/>
        <v>0</v>
      </c>
    </row>
    <row r="107" spans="1:10" ht="15.5" x14ac:dyDescent="0.35">
      <c r="A107" s="37" t="s">
        <v>2156</v>
      </c>
      <c r="B107" s="38">
        <v>250000</v>
      </c>
      <c r="C107" s="38">
        <v>2500000</v>
      </c>
      <c r="E107" s="1" t="s">
        <v>614</v>
      </c>
      <c r="F107" s="2">
        <v>250000</v>
      </c>
      <c r="G107" s="2">
        <v>2500000</v>
      </c>
      <c r="I107" s="33">
        <f t="shared" si="10"/>
        <v>0</v>
      </c>
      <c r="J107" s="33">
        <f t="shared" si="11"/>
        <v>0</v>
      </c>
    </row>
    <row r="108" spans="1:10" ht="15.5" x14ac:dyDescent="0.35">
      <c r="A108" s="37" t="s">
        <v>688</v>
      </c>
      <c r="B108" s="38">
        <v>150000</v>
      </c>
      <c r="C108" s="38">
        <v>2500000</v>
      </c>
      <c r="E108" s="1" t="s">
        <v>688</v>
      </c>
      <c r="F108" s="2">
        <v>150000</v>
      </c>
      <c r="G108" s="2">
        <v>2500000</v>
      </c>
      <c r="I108" s="33">
        <f t="shared" ref="I108:I137" si="12">B108-F108</f>
        <v>0</v>
      </c>
      <c r="J108" s="33">
        <f t="shared" ref="J108:J137" si="13">C108-G108</f>
        <v>0</v>
      </c>
    </row>
    <row r="109" spans="1:10" ht="15.5" x14ac:dyDescent="0.35">
      <c r="A109" s="42" t="s">
        <v>2242</v>
      </c>
      <c r="B109" s="43">
        <v>500000</v>
      </c>
      <c r="C109" s="43">
        <v>6746750</v>
      </c>
      <c r="E109" s="5" t="s">
        <v>1995</v>
      </c>
      <c r="F109" s="6">
        <v>500000</v>
      </c>
      <c r="G109" s="2">
        <v>6746749</v>
      </c>
      <c r="I109" s="33">
        <f t="shared" si="12"/>
        <v>0</v>
      </c>
      <c r="J109" s="33">
        <f t="shared" si="13"/>
        <v>1</v>
      </c>
    </row>
    <row r="110" spans="1:10" ht="15.5" x14ac:dyDescent="0.35">
      <c r="A110" s="37" t="s">
        <v>749</v>
      </c>
      <c r="B110" s="38">
        <v>150000</v>
      </c>
      <c r="C110" s="38">
        <v>6629441</v>
      </c>
      <c r="E110" s="1" t="s">
        <v>749</v>
      </c>
      <c r="F110" s="2">
        <v>150000</v>
      </c>
      <c r="G110" s="2">
        <v>6629441</v>
      </c>
      <c r="I110" s="33">
        <f t="shared" si="12"/>
        <v>0</v>
      </c>
      <c r="J110" s="33">
        <f t="shared" si="13"/>
        <v>0</v>
      </c>
    </row>
    <row r="111" spans="1:10" ht="15.5" x14ac:dyDescent="0.35">
      <c r="A111" s="37" t="s">
        <v>2219</v>
      </c>
      <c r="B111" s="38">
        <v>250000</v>
      </c>
      <c r="C111" s="38">
        <v>0</v>
      </c>
      <c r="E111" s="1" t="s">
        <v>1217</v>
      </c>
      <c r="F111" s="2">
        <v>250000</v>
      </c>
      <c r="G111" s="2">
        <v>0</v>
      </c>
      <c r="I111" s="33">
        <f t="shared" si="12"/>
        <v>0</v>
      </c>
      <c r="J111" s="33">
        <f t="shared" si="13"/>
        <v>0</v>
      </c>
    </row>
    <row r="112" spans="1:10" ht="15.5" x14ac:dyDescent="0.35">
      <c r="A112" s="44" t="s">
        <v>825</v>
      </c>
      <c r="B112" s="38">
        <v>100000</v>
      </c>
      <c r="C112" s="38">
        <v>0</v>
      </c>
      <c r="E112" s="1" t="s">
        <v>825</v>
      </c>
      <c r="F112" s="2">
        <v>100000</v>
      </c>
      <c r="G112" s="2">
        <v>0</v>
      </c>
      <c r="I112" s="33">
        <f t="shared" si="12"/>
        <v>0</v>
      </c>
      <c r="J112" s="33">
        <f t="shared" si="13"/>
        <v>0</v>
      </c>
    </row>
    <row r="113" spans="1:10" ht="15.5" x14ac:dyDescent="0.35">
      <c r="A113" s="39" t="s">
        <v>2233</v>
      </c>
      <c r="B113" s="38">
        <v>150000</v>
      </c>
      <c r="C113" s="38">
        <v>0</v>
      </c>
      <c r="E113" s="1" t="s">
        <v>686</v>
      </c>
      <c r="F113" s="2">
        <v>150000</v>
      </c>
      <c r="G113" s="2">
        <v>0</v>
      </c>
      <c r="I113" s="33">
        <f t="shared" si="12"/>
        <v>0</v>
      </c>
      <c r="J113" s="33">
        <f t="shared" si="13"/>
        <v>0</v>
      </c>
    </row>
    <row r="114" spans="1:10" ht="15.5" x14ac:dyDescent="0.35">
      <c r="A114" s="40" t="s">
        <v>806</v>
      </c>
      <c r="B114" s="38">
        <v>100000</v>
      </c>
      <c r="C114" s="38">
        <v>0</v>
      </c>
      <c r="E114" s="1" t="s">
        <v>806</v>
      </c>
      <c r="F114" s="2">
        <v>100000</v>
      </c>
      <c r="G114" s="2">
        <v>0</v>
      </c>
      <c r="I114" s="33">
        <f t="shared" si="12"/>
        <v>0</v>
      </c>
      <c r="J114" s="33">
        <f t="shared" si="13"/>
        <v>0</v>
      </c>
    </row>
    <row r="115" spans="1:10" ht="15.5" x14ac:dyDescent="0.35">
      <c r="A115" s="40" t="s">
        <v>854</v>
      </c>
      <c r="B115" s="38">
        <v>100000</v>
      </c>
      <c r="C115" s="38">
        <v>0</v>
      </c>
      <c r="E115" s="1" t="s">
        <v>854</v>
      </c>
      <c r="F115" s="2">
        <v>100000</v>
      </c>
      <c r="G115" s="2">
        <v>0</v>
      </c>
      <c r="I115" s="33">
        <f t="shared" si="12"/>
        <v>0</v>
      </c>
      <c r="J115" s="33">
        <f t="shared" si="13"/>
        <v>0</v>
      </c>
    </row>
    <row r="116" spans="1:10" ht="15.5" x14ac:dyDescent="0.35">
      <c r="A116" s="39" t="s">
        <v>2180</v>
      </c>
      <c r="B116" s="38">
        <v>350000</v>
      </c>
      <c r="C116" s="38">
        <v>0</v>
      </c>
      <c r="E116" s="1" t="s">
        <v>741</v>
      </c>
      <c r="F116" s="2">
        <v>350000</v>
      </c>
      <c r="G116" s="2">
        <v>0</v>
      </c>
      <c r="I116" s="33">
        <f t="shared" si="12"/>
        <v>0</v>
      </c>
      <c r="J116" s="33">
        <f t="shared" si="13"/>
        <v>0</v>
      </c>
    </row>
    <row r="117" spans="1:10" ht="15.5" x14ac:dyDescent="0.35">
      <c r="A117" s="39" t="s">
        <v>2220</v>
      </c>
      <c r="B117" s="38">
        <v>500000</v>
      </c>
      <c r="C117" s="38">
        <v>0</v>
      </c>
      <c r="E117" s="1" t="s">
        <v>791</v>
      </c>
      <c r="F117" s="2">
        <v>500000</v>
      </c>
      <c r="G117" s="2">
        <v>0</v>
      </c>
      <c r="I117" s="33">
        <f t="shared" si="12"/>
        <v>0</v>
      </c>
      <c r="J117" s="33">
        <f t="shared" si="13"/>
        <v>0</v>
      </c>
    </row>
    <row r="118" spans="1:10" ht="15.5" x14ac:dyDescent="0.35">
      <c r="A118" s="39" t="s">
        <v>2201</v>
      </c>
      <c r="B118" s="38">
        <v>250000</v>
      </c>
      <c r="C118" s="38">
        <v>0</v>
      </c>
      <c r="E118" s="1" t="s">
        <v>1013</v>
      </c>
      <c r="F118" s="2">
        <v>250000</v>
      </c>
      <c r="G118" s="2">
        <v>0</v>
      </c>
      <c r="I118" s="33">
        <f t="shared" si="12"/>
        <v>0</v>
      </c>
      <c r="J118" s="33">
        <f t="shared" si="13"/>
        <v>0</v>
      </c>
    </row>
    <row r="119" spans="1:10" ht="15.5" x14ac:dyDescent="0.35">
      <c r="A119" s="39" t="s">
        <v>684</v>
      </c>
      <c r="B119" s="38">
        <v>100000</v>
      </c>
      <c r="C119" s="38">
        <v>1665000</v>
      </c>
      <c r="E119" s="1" t="s">
        <v>684</v>
      </c>
      <c r="F119" s="2">
        <v>100000</v>
      </c>
      <c r="G119" s="2">
        <v>1665000</v>
      </c>
      <c r="I119" s="33">
        <f t="shared" si="12"/>
        <v>0</v>
      </c>
      <c r="J119" s="33">
        <f t="shared" si="13"/>
        <v>0</v>
      </c>
    </row>
    <row r="120" spans="1:10" ht="15.5" x14ac:dyDescent="0.35">
      <c r="A120" s="39" t="s">
        <v>922</v>
      </c>
      <c r="B120" s="38">
        <v>150000</v>
      </c>
      <c r="C120" s="38">
        <v>0</v>
      </c>
      <c r="E120" s="1" t="s">
        <v>922</v>
      </c>
      <c r="F120" s="2">
        <v>150000</v>
      </c>
      <c r="G120" s="2">
        <v>0</v>
      </c>
      <c r="I120" s="33">
        <f t="shared" si="12"/>
        <v>0</v>
      </c>
      <c r="J120" s="33">
        <f t="shared" si="13"/>
        <v>0</v>
      </c>
    </row>
    <row r="121" spans="1:10" ht="15.5" x14ac:dyDescent="0.35">
      <c r="A121" s="39" t="s">
        <v>2166</v>
      </c>
      <c r="B121" s="38">
        <v>250000</v>
      </c>
      <c r="C121" s="38">
        <v>0</v>
      </c>
      <c r="E121" s="1" t="s">
        <v>717</v>
      </c>
      <c r="F121" s="2">
        <v>250000</v>
      </c>
      <c r="G121" s="2">
        <v>0</v>
      </c>
      <c r="I121" s="33">
        <f t="shared" si="12"/>
        <v>0</v>
      </c>
      <c r="J121" s="33">
        <f t="shared" si="13"/>
        <v>0</v>
      </c>
    </row>
    <row r="122" spans="1:10" ht="15.5" x14ac:dyDescent="0.35">
      <c r="A122" s="39" t="s">
        <v>2228</v>
      </c>
      <c r="B122" s="38">
        <v>350000</v>
      </c>
      <c r="C122" s="38">
        <v>0</v>
      </c>
      <c r="E122" s="1" t="s">
        <v>757</v>
      </c>
      <c r="F122" s="2">
        <v>350000</v>
      </c>
      <c r="G122" s="2">
        <v>0</v>
      </c>
      <c r="I122" s="33">
        <f t="shared" si="12"/>
        <v>0</v>
      </c>
      <c r="J122" s="33">
        <f t="shared" si="13"/>
        <v>0</v>
      </c>
    </row>
    <row r="123" spans="1:10" ht="15.5" x14ac:dyDescent="0.35">
      <c r="A123" s="39" t="s">
        <v>763</v>
      </c>
      <c r="B123" s="38">
        <v>100000</v>
      </c>
      <c r="C123" s="38">
        <v>0</v>
      </c>
      <c r="E123" s="1" t="s">
        <v>763</v>
      </c>
      <c r="F123" s="2">
        <v>100000</v>
      </c>
      <c r="G123" s="2">
        <v>0</v>
      </c>
      <c r="I123" s="33">
        <f t="shared" si="12"/>
        <v>0</v>
      </c>
      <c r="J123" s="33">
        <f t="shared" si="13"/>
        <v>0</v>
      </c>
    </row>
    <row r="124" spans="1:10" ht="15.5" x14ac:dyDescent="0.35">
      <c r="A124" s="39" t="s">
        <v>2167</v>
      </c>
      <c r="B124" s="38">
        <v>150000</v>
      </c>
      <c r="C124" s="38">
        <v>2395833</v>
      </c>
      <c r="E124" s="1" t="s">
        <v>715</v>
      </c>
      <c r="F124" s="2">
        <v>150000</v>
      </c>
      <c r="G124" s="2">
        <v>2395833</v>
      </c>
      <c r="I124" s="33">
        <f t="shared" si="12"/>
        <v>0</v>
      </c>
      <c r="J124" s="33">
        <f t="shared" si="13"/>
        <v>0</v>
      </c>
    </row>
    <row r="125" spans="1:10" ht="15.5" x14ac:dyDescent="0.35">
      <c r="A125" s="39" t="s">
        <v>2213</v>
      </c>
      <c r="B125" s="38">
        <v>250000</v>
      </c>
      <c r="C125" s="38">
        <v>0</v>
      </c>
      <c r="E125" s="1" t="s">
        <v>1186</v>
      </c>
      <c r="F125" s="2">
        <v>250000</v>
      </c>
      <c r="G125" s="2">
        <v>0</v>
      </c>
      <c r="I125" s="33">
        <f t="shared" si="12"/>
        <v>0</v>
      </c>
      <c r="J125" s="33">
        <f t="shared" si="13"/>
        <v>0</v>
      </c>
    </row>
    <row r="126" spans="1:10" ht="15.5" x14ac:dyDescent="0.35">
      <c r="A126" s="39" t="s">
        <v>2218</v>
      </c>
      <c r="B126" s="38">
        <v>150000</v>
      </c>
      <c r="C126" s="38">
        <v>2395833</v>
      </c>
      <c r="E126" s="1" t="s">
        <v>1225</v>
      </c>
      <c r="F126" s="2">
        <v>150000</v>
      </c>
      <c r="G126" s="2">
        <v>2395833</v>
      </c>
      <c r="I126" s="33">
        <f t="shared" si="12"/>
        <v>0</v>
      </c>
      <c r="J126" s="33">
        <f t="shared" si="13"/>
        <v>0</v>
      </c>
    </row>
    <row r="127" spans="1:10" ht="15.5" x14ac:dyDescent="0.35">
      <c r="A127" s="39" t="s">
        <v>844</v>
      </c>
      <c r="B127" s="38">
        <v>150000</v>
      </c>
      <c r="C127" s="38">
        <v>4697816</v>
      </c>
      <c r="E127" s="1" t="s">
        <v>844</v>
      </c>
      <c r="F127" s="2">
        <v>150000</v>
      </c>
      <c r="G127" s="2">
        <v>4697816</v>
      </c>
      <c r="I127" s="33">
        <f t="shared" si="12"/>
        <v>0</v>
      </c>
      <c r="J127" s="33">
        <f t="shared" si="13"/>
        <v>0</v>
      </c>
    </row>
    <row r="128" spans="1:10" ht="15.5" x14ac:dyDescent="0.35">
      <c r="A128" s="39" t="s">
        <v>2195</v>
      </c>
      <c r="B128" s="38">
        <v>250000</v>
      </c>
      <c r="C128" s="38">
        <v>0</v>
      </c>
      <c r="E128" s="1" t="s">
        <v>920</v>
      </c>
      <c r="F128" s="2">
        <v>250000</v>
      </c>
      <c r="G128" s="2">
        <v>0</v>
      </c>
      <c r="I128" s="33">
        <f t="shared" si="12"/>
        <v>0</v>
      </c>
      <c r="J128" s="33">
        <f t="shared" si="13"/>
        <v>0</v>
      </c>
    </row>
    <row r="129" spans="1:10" ht="15.5" x14ac:dyDescent="0.35">
      <c r="A129" s="40" t="s">
        <v>2231</v>
      </c>
      <c r="B129" s="38">
        <v>250000</v>
      </c>
      <c r="C129" s="38">
        <v>0</v>
      </c>
      <c r="E129" s="1" t="s">
        <v>1107</v>
      </c>
      <c r="F129" s="2">
        <v>250000</v>
      </c>
      <c r="G129" s="2">
        <v>0</v>
      </c>
      <c r="I129" s="33">
        <f t="shared" si="12"/>
        <v>0</v>
      </c>
      <c r="J129" s="33">
        <f t="shared" si="13"/>
        <v>0</v>
      </c>
    </row>
    <row r="130" spans="1:10" ht="15.5" x14ac:dyDescent="0.35">
      <c r="A130" s="39" t="s">
        <v>2229</v>
      </c>
      <c r="B130" s="38">
        <v>350000</v>
      </c>
      <c r="C130" s="38">
        <v>0</v>
      </c>
      <c r="E130" s="1" t="s">
        <v>1099</v>
      </c>
      <c r="F130" s="2">
        <v>350000</v>
      </c>
      <c r="G130" s="2">
        <v>0</v>
      </c>
      <c r="I130" s="33">
        <f t="shared" si="12"/>
        <v>0</v>
      </c>
      <c r="J130" s="33">
        <f t="shared" si="13"/>
        <v>0</v>
      </c>
    </row>
    <row r="131" spans="1:10" ht="15.5" x14ac:dyDescent="0.35">
      <c r="A131" s="39" t="s">
        <v>840</v>
      </c>
      <c r="B131" s="38">
        <v>150000</v>
      </c>
      <c r="C131" s="38">
        <v>0</v>
      </c>
      <c r="E131" s="1" t="s">
        <v>840</v>
      </c>
      <c r="F131" s="2">
        <v>150000</v>
      </c>
      <c r="G131" s="2">
        <v>0</v>
      </c>
      <c r="I131" s="33">
        <f t="shared" si="12"/>
        <v>0</v>
      </c>
      <c r="J131" s="33">
        <f t="shared" si="13"/>
        <v>0</v>
      </c>
    </row>
    <row r="132" spans="1:10" ht="15.5" x14ac:dyDescent="0.35">
      <c r="A132" s="39" t="s">
        <v>858</v>
      </c>
      <c r="B132" s="38">
        <v>150000</v>
      </c>
      <c r="C132" s="38">
        <v>12486707</v>
      </c>
      <c r="E132" s="1" t="s">
        <v>858</v>
      </c>
      <c r="F132" s="2">
        <v>150000</v>
      </c>
      <c r="G132" s="2">
        <v>12486707</v>
      </c>
      <c r="I132" s="33">
        <f t="shared" si="12"/>
        <v>0</v>
      </c>
      <c r="J132" s="33">
        <f t="shared" si="13"/>
        <v>0</v>
      </c>
    </row>
    <row r="133" spans="1:10" ht="15.5" x14ac:dyDescent="0.35">
      <c r="A133" s="39" t="s">
        <v>2184</v>
      </c>
      <c r="B133" s="38">
        <v>350000</v>
      </c>
      <c r="C133" s="38">
        <v>0</v>
      </c>
      <c r="E133" s="1" t="s">
        <v>820</v>
      </c>
      <c r="F133" s="2">
        <v>350000</v>
      </c>
      <c r="G133" s="2">
        <v>0</v>
      </c>
      <c r="I133" s="33">
        <f t="shared" si="12"/>
        <v>0</v>
      </c>
      <c r="J133" s="33">
        <f t="shared" si="13"/>
        <v>0</v>
      </c>
    </row>
    <row r="134" spans="1:10" ht="15.5" x14ac:dyDescent="0.35">
      <c r="A134" s="39" t="s">
        <v>2160</v>
      </c>
      <c r="B134" s="38">
        <v>250000</v>
      </c>
      <c r="C134" s="38">
        <v>17584049</v>
      </c>
      <c r="E134" s="1" t="s">
        <v>680</v>
      </c>
      <c r="F134" s="2">
        <v>250000</v>
      </c>
      <c r="G134" s="2">
        <v>17584049</v>
      </c>
      <c r="I134" s="33">
        <f t="shared" si="12"/>
        <v>0</v>
      </c>
      <c r="J134" s="33">
        <f t="shared" si="13"/>
        <v>0</v>
      </c>
    </row>
    <row r="135" spans="1:10" ht="15.5" x14ac:dyDescent="0.35">
      <c r="A135" s="41" t="s">
        <v>2240</v>
      </c>
      <c r="B135" s="38">
        <v>150000</v>
      </c>
      <c r="C135" s="38">
        <v>0</v>
      </c>
      <c r="E135" s="3" t="s">
        <v>538</v>
      </c>
      <c r="F135" s="2">
        <v>150000</v>
      </c>
      <c r="G135" s="2">
        <v>0</v>
      </c>
      <c r="I135" s="33">
        <f t="shared" si="12"/>
        <v>0</v>
      </c>
      <c r="J135" s="33">
        <f t="shared" si="13"/>
        <v>0</v>
      </c>
    </row>
    <row r="136" spans="1:10" ht="15.5" x14ac:dyDescent="0.35">
      <c r="A136" s="40" t="s">
        <v>1101</v>
      </c>
      <c r="B136" s="38">
        <v>150000</v>
      </c>
      <c r="C136" s="38">
        <v>0</v>
      </c>
      <c r="E136" s="1" t="s">
        <v>1101</v>
      </c>
      <c r="F136" s="2">
        <v>150000</v>
      </c>
      <c r="G136" s="2">
        <v>0</v>
      </c>
      <c r="I136" s="33">
        <f t="shared" si="12"/>
        <v>0</v>
      </c>
      <c r="J136" s="33">
        <f t="shared" si="13"/>
        <v>0</v>
      </c>
    </row>
    <row r="137" spans="1:10" ht="15.5" x14ac:dyDescent="0.35">
      <c r="A137" s="39" t="s">
        <v>2215</v>
      </c>
      <c r="B137" s="38">
        <v>350000</v>
      </c>
      <c r="C137" s="38">
        <v>0</v>
      </c>
      <c r="E137" s="1" t="s">
        <v>1178</v>
      </c>
      <c r="F137" s="2">
        <v>350000</v>
      </c>
      <c r="G137" s="2">
        <v>0</v>
      </c>
      <c r="I137" s="33">
        <f t="shared" si="12"/>
        <v>0</v>
      </c>
      <c r="J137" s="33">
        <f t="shared" si="13"/>
        <v>0</v>
      </c>
    </row>
    <row r="138" spans="1:10" ht="15.5" x14ac:dyDescent="0.35">
      <c r="A138" s="39" t="s">
        <v>2181</v>
      </c>
      <c r="B138" s="38">
        <v>250000</v>
      </c>
      <c r="C138" s="38">
        <v>0</v>
      </c>
      <c r="E138" s="1" t="s">
        <v>979</v>
      </c>
      <c r="F138" s="2">
        <v>250000</v>
      </c>
      <c r="G138" s="2">
        <v>0</v>
      </c>
      <c r="I138" s="33">
        <f t="shared" ref="I138:I150" si="14">B138-F138</f>
        <v>0</v>
      </c>
      <c r="J138" s="33">
        <f t="shared" ref="J138:J150" si="15">C138-G138</f>
        <v>0</v>
      </c>
    </row>
    <row r="139" spans="1:10" ht="15.5" x14ac:dyDescent="0.35">
      <c r="A139" s="39"/>
      <c r="B139" s="38"/>
      <c r="C139" s="38"/>
      <c r="E139" s="3" t="s">
        <v>475</v>
      </c>
      <c r="F139" s="2">
        <v>250000</v>
      </c>
      <c r="G139" s="2">
        <v>0</v>
      </c>
      <c r="I139" s="33">
        <f t="shared" si="14"/>
        <v>-250000</v>
      </c>
      <c r="J139" s="33">
        <f t="shared" si="15"/>
        <v>0</v>
      </c>
    </row>
    <row r="140" spans="1:10" ht="15.5" x14ac:dyDescent="0.35">
      <c r="A140" s="39" t="s">
        <v>2225</v>
      </c>
      <c r="B140" s="38">
        <v>250000</v>
      </c>
      <c r="C140" s="38">
        <v>6154617</v>
      </c>
      <c r="E140" s="1" t="s">
        <v>638</v>
      </c>
      <c r="F140" s="2">
        <v>250000</v>
      </c>
      <c r="G140" s="2">
        <v>6154617</v>
      </c>
      <c r="I140" s="33">
        <f t="shared" si="14"/>
        <v>0</v>
      </c>
      <c r="J140" s="33">
        <f t="shared" si="15"/>
        <v>0</v>
      </c>
    </row>
    <row r="141" spans="1:10" ht="15.5" x14ac:dyDescent="0.35">
      <c r="A141" s="39" t="s">
        <v>2211</v>
      </c>
      <c r="B141" s="38">
        <v>350000</v>
      </c>
      <c r="C141" s="38">
        <v>0</v>
      </c>
      <c r="E141" s="1" t="s">
        <v>1067</v>
      </c>
      <c r="F141" s="2">
        <v>350000</v>
      </c>
      <c r="G141" s="2">
        <v>0</v>
      </c>
      <c r="I141" s="33">
        <f t="shared" si="14"/>
        <v>0</v>
      </c>
      <c r="J141" s="33">
        <f t="shared" si="15"/>
        <v>0</v>
      </c>
    </row>
    <row r="142" spans="1:10" ht="15.5" x14ac:dyDescent="0.35">
      <c r="A142" s="39" t="s">
        <v>692</v>
      </c>
      <c r="B142" s="38">
        <v>150000</v>
      </c>
      <c r="C142" s="38">
        <v>0</v>
      </c>
      <c r="E142" s="1" t="s">
        <v>692</v>
      </c>
      <c r="F142" s="2">
        <v>150000</v>
      </c>
      <c r="G142" s="2">
        <v>0</v>
      </c>
      <c r="I142" s="33">
        <f t="shared" si="14"/>
        <v>0</v>
      </c>
      <c r="J142" s="33">
        <f t="shared" si="15"/>
        <v>0</v>
      </c>
    </row>
    <row r="143" spans="1:10" ht="15.5" x14ac:dyDescent="0.35">
      <c r="A143" s="44" t="s">
        <v>2234</v>
      </c>
      <c r="B143" s="38">
        <v>350000</v>
      </c>
      <c r="C143" s="38">
        <v>7560693</v>
      </c>
      <c r="E143" s="1" t="s">
        <v>1060</v>
      </c>
      <c r="F143" s="2">
        <v>350000</v>
      </c>
      <c r="G143" s="2">
        <v>7560693</v>
      </c>
      <c r="I143" s="33">
        <f t="shared" si="14"/>
        <v>0</v>
      </c>
      <c r="J143" s="33">
        <f t="shared" si="15"/>
        <v>0</v>
      </c>
    </row>
    <row r="144" spans="1:10" ht="15.5" x14ac:dyDescent="0.35">
      <c r="A144" s="37" t="s">
        <v>2226</v>
      </c>
      <c r="B144" s="38">
        <v>100000</v>
      </c>
      <c r="C144" s="38">
        <v>0</v>
      </c>
      <c r="E144" s="1" t="s">
        <v>893</v>
      </c>
      <c r="F144" s="2">
        <v>100000</v>
      </c>
      <c r="G144" s="2">
        <v>0</v>
      </c>
      <c r="I144" s="33">
        <f t="shared" si="14"/>
        <v>0</v>
      </c>
      <c r="J144" s="33">
        <f t="shared" si="15"/>
        <v>0</v>
      </c>
    </row>
    <row r="145" spans="1:10" ht="15.5" x14ac:dyDescent="0.35">
      <c r="A145" s="37" t="s">
        <v>2216</v>
      </c>
      <c r="B145" s="38">
        <v>250000</v>
      </c>
      <c r="C145" s="38">
        <v>1590972</v>
      </c>
      <c r="E145" s="1" t="s">
        <v>848</v>
      </c>
      <c r="F145" s="2">
        <v>250000</v>
      </c>
      <c r="G145" s="2">
        <v>1590972</v>
      </c>
      <c r="I145" s="33">
        <f t="shared" si="14"/>
        <v>0</v>
      </c>
      <c r="J145" s="33">
        <f t="shared" si="15"/>
        <v>0</v>
      </c>
    </row>
    <row r="146" spans="1:10" ht="15.5" x14ac:dyDescent="0.35">
      <c r="A146" s="37" t="s">
        <v>977</v>
      </c>
      <c r="B146" s="38">
        <v>150000</v>
      </c>
      <c r="C146" s="38">
        <v>6939842</v>
      </c>
      <c r="E146" s="1" t="s">
        <v>977</v>
      </c>
      <c r="F146" s="2">
        <v>150000</v>
      </c>
      <c r="G146" s="2">
        <v>6939842</v>
      </c>
      <c r="I146" s="33">
        <f t="shared" si="14"/>
        <v>0</v>
      </c>
      <c r="J146" s="33">
        <f t="shared" si="15"/>
        <v>0</v>
      </c>
    </row>
    <row r="147" spans="1:10" ht="15.5" x14ac:dyDescent="0.35">
      <c r="A147" s="37" t="s">
        <v>2222</v>
      </c>
      <c r="B147" s="38">
        <v>150000</v>
      </c>
      <c r="C147" s="38">
        <v>0</v>
      </c>
      <c r="E147" s="1" t="s">
        <v>794</v>
      </c>
      <c r="F147" s="2">
        <v>150000</v>
      </c>
      <c r="G147" s="2">
        <v>0</v>
      </c>
      <c r="I147" s="33">
        <f t="shared" si="14"/>
        <v>0</v>
      </c>
      <c r="J147" s="33">
        <f t="shared" si="15"/>
        <v>0</v>
      </c>
    </row>
    <row r="148" spans="1:10" ht="15.5" x14ac:dyDescent="0.35">
      <c r="A148" s="39" t="s">
        <v>2209</v>
      </c>
      <c r="B148" s="38">
        <v>350000</v>
      </c>
      <c r="C148" s="38">
        <v>0</v>
      </c>
      <c r="E148" s="1" t="s">
        <v>932</v>
      </c>
      <c r="F148" s="2">
        <v>350000</v>
      </c>
      <c r="G148" s="2">
        <v>0</v>
      </c>
      <c r="I148" s="33">
        <f t="shared" si="14"/>
        <v>0</v>
      </c>
      <c r="J148" s="33">
        <f t="shared" si="15"/>
        <v>0</v>
      </c>
    </row>
    <row r="149" spans="1:10" ht="15.5" x14ac:dyDescent="0.35">
      <c r="A149" s="47" t="s">
        <v>2199</v>
      </c>
      <c r="B149" s="38">
        <v>250000</v>
      </c>
      <c r="C149" s="38">
        <v>6873356</v>
      </c>
      <c r="E149" s="1" t="s">
        <v>753</v>
      </c>
      <c r="F149" s="2">
        <v>250000</v>
      </c>
      <c r="G149" s="2">
        <v>6873356</v>
      </c>
      <c r="I149" s="33">
        <f t="shared" si="14"/>
        <v>0</v>
      </c>
      <c r="J149" s="33">
        <f t="shared" si="15"/>
        <v>0</v>
      </c>
    </row>
    <row r="150" spans="1:10" ht="15.5" x14ac:dyDescent="0.35">
      <c r="A150" s="39" t="s">
        <v>2204</v>
      </c>
      <c r="B150" s="38">
        <v>150000</v>
      </c>
      <c r="C150" s="38">
        <v>0</v>
      </c>
      <c r="E150" s="3" t="s">
        <v>1034</v>
      </c>
      <c r="F150" s="2">
        <v>150000</v>
      </c>
      <c r="G150" s="2">
        <v>0</v>
      </c>
      <c r="I150" s="33">
        <f t="shared" si="14"/>
        <v>0</v>
      </c>
      <c r="J150" s="33">
        <f t="shared" si="15"/>
        <v>0</v>
      </c>
    </row>
    <row r="151" spans="1:10" ht="15.5" x14ac:dyDescent="0.35">
      <c r="A151" s="39" t="s">
        <v>2171</v>
      </c>
      <c r="B151" s="38">
        <v>250000</v>
      </c>
      <c r="C151" s="38">
        <v>4964726</v>
      </c>
      <c r="E151" s="1" t="s">
        <v>1052</v>
      </c>
      <c r="F151" s="2">
        <v>250000</v>
      </c>
      <c r="G151" s="2">
        <v>4964726</v>
      </c>
      <c r="I151" s="33">
        <f t="shared" ref="I151:I154" si="16">B151-F151</f>
        <v>0</v>
      </c>
      <c r="J151" s="33">
        <f t="shared" ref="J151:J154" si="17">C151-G151</f>
        <v>0</v>
      </c>
    </row>
    <row r="152" spans="1:10" ht="15.5" x14ac:dyDescent="0.35">
      <c r="A152" s="49" t="s">
        <v>731</v>
      </c>
      <c r="B152" s="51">
        <v>250000</v>
      </c>
      <c r="C152" s="51">
        <v>0</v>
      </c>
      <c r="E152" s="1" t="s">
        <v>731</v>
      </c>
      <c r="F152" s="2">
        <v>250000</v>
      </c>
      <c r="G152" s="2">
        <v>0</v>
      </c>
      <c r="I152" s="33">
        <f t="shared" si="16"/>
        <v>0</v>
      </c>
      <c r="J152" s="33">
        <f t="shared" si="17"/>
        <v>0</v>
      </c>
    </row>
    <row r="153" spans="1:10" ht="15.5" x14ac:dyDescent="0.35">
      <c r="A153" s="40" t="s">
        <v>702</v>
      </c>
      <c r="B153" s="38">
        <v>100000</v>
      </c>
      <c r="C153" s="38">
        <v>1000000</v>
      </c>
      <c r="E153" s="1" t="s">
        <v>702</v>
      </c>
      <c r="F153" s="2">
        <v>100000</v>
      </c>
      <c r="G153" s="2">
        <v>1000000</v>
      </c>
      <c r="I153" s="33">
        <f t="shared" si="16"/>
        <v>0</v>
      </c>
      <c r="J153" s="33">
        <f t="shared" si="17"/>
        <v>0</v>
      </c>
    </row>
    <row r="154" spans="1:10" ht="15.5" x14ac:dyDescent="0.35">
      <c r="A154" s="37" t="s">
        <v>761</v>
      </c>
      <c r="B154" s="38">
        <v>250000</v>
      </c>
      <c r="C154" s="38">
        <v>0</v>
      </c>
      <c r="E154" s="1" t="s">
        <v>761</v>
      </c>
      <c r="F154" s="2">
        <v>250000</v>
      </c>
      <c r="G154" s="2">
        <v>0</v>
      </c>
      <c r="I154" s="33">
        <f t="shared" si="16"/>
        <v>0</v>
      </c>
      <c r="J154" s="33">
        <f t="shared" si="17"/>
        <v>0</v>
      </c>
    </row>
    <row r="156" spans="1:10" x14ac:dyDescent="0.35">
      <c r="B156" s="36">
        <f>SUM(B4:B154)</f>
        <v>32950000</v>
      </c>
      <c r="C156" s="36">
        <f t="shared" ref="C156:J156" si="18">SUM(C4:C154)</f>
        <v>243591344</v>
      </c>
      <c r="D156" s="36">
        <f t="shared" si="18"/>
        <v>0</v>
      </c>
      <c r="E156" s="36">
        <f t="shared" si="18"/>
        <v>0</v>
      </c>
      <c r="F156" s="36">
        <f t="shared" si="18"/>
        <v>33700000</v>
      </c>
      <c r="G156" s="36">
        <f t="shared" si="18"/>
        <v>245103493</v>
      </c>
      <c r="H156" s="36">
        <f t="shared" si="18"/>
        <v>0</v>
      </c>
      <c r="I156" s="36">
        <f t="shared" si="18"/>
        <v>-750000</v>
      </c>
      <c r="J156" s="36">
        <f t="shared" si="18"/>
        <v>-1512149</v>
      </c>
    </row>
  </sheetData>
  <sortState xmlns:xlrd2="http://schemas.microsoft.com/office/spreadsheetml/2017/richdata2" ref="E4:G155">
    <sortCondition ref="E1:E155"/>
  </sortState>
  <conditionalFormatting sqref="A152 A4:A20 A22:A102 A110:A112 A143:A146">
    <cfRule type="expression" dxfId="3" priority="8" stopIfTrue="1">
      <formula>AND(COUNTIF($E$503:$E$65541, A4)+COUNTIF($E$498:$E$501, A4)+COUNTIF($E$1:$E$217, A4)+COUNTIF($E$221:$E$221, A4)+COUNTIF($E$330:$E$333, A4)+COUNTIF($E$466:$E$469, A4)+COUNTIF($E$238:$E$250, A4)+COUNTIF($E$322:$E$328, A4)+COUNTIF($E$471:$E$473, A4)+COUNTIF($E$477:$E$480, A4)&gt;1,NOT(ISBLANK(A4)))</formula>
    </cfRule>
  </conditionalFormatting>
  <conditionalFormatting sqref="A152">
    <cfRule type="expression" dxfId="2" priority="2" stopIfTrue="1">
      <formula>AND(COUNTIF($E$471:$E$473, A152)+COUNTIF($E$469:$E$469, A152)&gt;1,NOT(ISBLANK(A152)))</formula>
    </cfRule>
  </conditionalFormatting>
  <conditionalFormatting sqref="A154">
    <cfRule type="duplicateValues" dxfId="1" priority="1" stopIfTrue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B68D4-5868-40C0-A6CB-30B8CA90D78B}">
  <dimension ref="A4:J42"/>
  <sheetViews>
    <sheetView topLeftCell="A22" workbookViewId="0">
      <selection activeCell="G37" sqref="G37"/>
    </sheetView>
  </sheetViews>
  <sheetFormatPr defaultRowHeight="14.5" x14ac:dyDescent="0.35"/>
  <cols>
    <col min="1" max="1" width="33.08984375" customWidth="1"/>
    <col min="2" max="2" width="11.6328125" customWidth="1"/>
    <col min="3" max="3" width="12" customWidth="1"/>
    <col min="5" max="5" width="22" customWidth="1"/>
    <col min="7" max="7" width="14.54296875" customWidth="1"/>
    <col min="9" max="9" width="11.7265625" customWidth="1"/>
    <col min="10" max="10" width="16.26953125" customWidth="1"/>
  </cols>
  <sheetData>
    <row r="4" spans="1:10" x14ac:dyDescent="0.35">
      <c r="A4" s="28" t="s">
        <v>2036</v>
      </c>
      <c r="B4" s="29">
        <v>150000</v>
      </c>
      <c r="C4" s="29">
        <v>0</v>
      </c>
      <c r="E4" s="1" t="s">
        <v>817</v>
      </c>
      <c r="F4" s="2">
        <v>150000</v>
      </c>
      <c r="G4" s="2">
        <v>0</v>
      </c>
      <c r="I4" s="33">
        <f>B4-F4</f>
        <v>0</v>
      </c>
      <c r="J4" s="33">
        <f>C4-G4</f>
        <v>0</v>
      </c>
    </row>
    <row r="5" spans="1:10" x14ac:dyDescent="0.35">
      <c r="A5" s="28" t="s">
        <v>666</v>
      </c>
      <c r="B5" s="29">
        <v>500000</v>
      </c>
      <c r="C5" s="29">
        <v>0</v>
      </c>
      <c r="E5" s="1" t="s">
        <v>666</v>
      </c>
      <c r="F5" s="2">
        <v>500000</v>
      </c>
      <c r="G5" s="2">
        <v>0</v>
      </c>
      <c r="I5" s="33">
        <f t="shared" ref="I5:I16" si="0">B5-F5</f>
        <v>0</v>
      </c>
      <c r="J5" s="33">
        <f t="shared" ref="J5:J16" si="1">C5-G5</f>
        <v>0</v>
      </c>
    </row>
    <row r="6" spans="1:10" x14ac:dyDescent="0.35">
      <c r="A6" s="28" t="s">
        <v>669</v>
      </c>
      <c r="B6" s="29">
        <v>150000</v>
      </c>
      <c r="C6" s="29">
        <v>7522865</v>
      </c>
      <c r="E6" s="1" t="s">
        <v>669</v>
      </c>
      <c r="F6" s="2">
        <v>150000</v>
      </c>
      <c r="G6" s="2">
        <v>7522865</v>
      </c>
      <c r="I6" s="33">
        <f t="shared" si="0"/>
        <v>0</v>
      </c>
      <c r="J6" s="33">
        <f t="shared" si="1"/>
        <v>0</v>
      </c>
    </row>
    <row r="7" spans="1:10" x14ac:dyDescent="0.35">
      <c r="A7" s="28" t="s">
        <v>846</v>
      </c>
      <c r="B7" s="29">
        <v>150000</v>
      </c>
      <c r="C7" s="29">
        <v>0</v>
      </c>
      <c r="E7" s="1" t="s">
        <v>846</v>
      </c>
      <c r="F7" s="2">
        <v>150000</v>
      </c>
      <c r="G7" s="2">
        <v>0</v>
      </c>
      <c r="I7" s="33">
        <f t="shared" si="0"/>
        <v>0</v>
      </c>
      <c r="J7" s="33">
        <f t="shared" si="1"/>
        <v>0</v>
      </c>
    </row>
    <row r="8" spans="1:10" x14ac:dyDescent="0.35">
      <c r="A8" s="28" t="s">
        <v>874</v>
      </c>
      <c r="B8" s="29">
        <v>100000</v>
      </c>
      <c r="C8" s="29">
        <v>0</v>
      </c>
      <c r="E8" s="1" t="s">
        <v>874</v>
      </c>
      <c r="F8" s="2">
        <v>100000</v>
      </c>
      <c r="G8" s="2">
        <v>0</v>
      </c>
      <c r="I8" s="33">
        <f t="shared" si="0"/>
        <v>0</v>
      </c>
      <c r="J8" s="33">
        <f t="shared" si="1"/>
        <v>0</v>
      </c>
    </row>
    <row r="9" spans="1:10" x14ac:dyDescent="0.35">
      <c r="A9" s="28" t="s">
        <v>780</v>
      </c>
      <c r="B9" s="29">
        <v>350000</v>
      </c>
      <c r="C9" s="29">
        <v>0</v>
      </c>
      <c r="E9" s="1" t="s">
        <v>780</v>
      </c>
      <c r="F9" s="2">
        <v>350000</v>
      </c>
      <c r="G9" s="2">
        <v>0</v>
      </c>
      <c r="I9" s="33">
        <f t="shared" si="0"/>
        <v>0</v>
      </c>
      <c r="J9" s="33">
        <f t="shared" si="1"/>
        <v>0</v>
      </c>
    </row>
    <row r="10" spans="1:10" x14ac:dyDescent="0.35">
      <c r="A10" s="28" t="s">
        <v>604</v>
      </c>
      <c r="B10" s="29">
        <v>150000</v>
      </c>
      <c r="C10" s="29">
        <v>1531250</v>
      </c>
      <c r="E10" s="1" t="s">
        <v>604</v>
      </c>
      <c r="F10" s="2">
        <v>150000</v>
      </c>
      <c r="G10" s="2">
        <v>1531250</v>
      </c>
      <c r="I10" s="33">
        <f t="shared" si="0"/>
        <v>0</v>
      </c>
      <c r="J10" s="33">
        <f t="shared" si="1"/>
        <v>0</v>
      </c>
    </row>
    <row r="11" spans="1:10" x14ac:dyDescent="0.35">
      <c r="A11" s="28" t="s">
        <v>2037</v>
      </c>
      <c r="B11" s="29">
        <v>350000</v>
      </c>
      <c r="C11" s="29">
        <v>4708150</v>
      </c>
      <c r="E11" s="1" t="s">
        <v>1212</v>
      </c>
      <c r="F11" s="2">
        <v>350000</v>
      </c>
      <c r="G11" s="2">
        <v>4708150</v>
      </c>
      <c r="I11" s="33">
        <f t="shared" si="0"/>
        <v>0</v>
      </c>
      <c r="J11" s="33">
        <f t="shared" si="1"/>
        <v>0</v>
      </c>
    </row>
    <row r="12" spans="1:10" x14ac:dyDescent="0.35">
      <c r="A12" s="28" t="s">
        <v>2042</v>
      </c>
      <c r="B12" s="29">
        <v>250000</v>
      </c>
      <c r="C12" s="29">
        <v>5182201</v>
      </c>
      <c r="E12" s="1" t="s">
        <v>1219</v>
      </c>
      <c r="F12" s="2">
        <v>250000</v>
      </c>
      <c r="G12" s="2">
        <v>5182201</v>
      </c>
      <c r="I12" s="33">
        <f t="shared" si="0"/>
        <v>0</v>
      </c>
      <c r="J12" s="33">
        <f t="shared" si="1"/>
        <v>0</v>
      </c>
    </row>
    <row r="13" spans="1:10" x14ac:dyDescent="0.35">
      <c r="A13" s="28" t="s">
        <v>673</v>
      </c>
      <c r="B13" s="29">
        <v>150000</v>
      </c>
      <c r="C13" s="29">
        <v>0</v>
      </c>
      <c r="E13" s="1" t="s">
        <v>673</v>
      </c>
      <c r="F13" s="2">
        <v>150000</v>
      </c>
      <c r="G13" s="2">
        <v>0</v>
      </c>
      <c r="I13" s="33">
        <f t="shared" si="0"/>
        <v>0</v>
      </c>
      <c r="J13" s="33">
        <f t="shared" si="1"/>
        <v>0</v>
      </c>
    </row>
    <row r="14" spans="1:10" x14ac:dyDescent="0.35">
      <c r="A14" s="28" t="s">
        <v>1038</v>
      </c>
      <c r="B14" s="29">
        <v>250000</v>
      </c>
      <c r="C14" s="29">
        <v>0</v>
      </c>
      <c r="E14" s="1" t="s">
        <v>1038</v>
      </c>
      <c r="F14" s="2">
        <v>250000</v>
      </c>
      <c r="G14" s="2">
        <v>0</v>
      </c>
      <c r="I14" s="33">
        <f t="shared" si="0"/>
        <v>0</v>
      </c>
      <c r="J14" s="33">
        <f t="shared" si="1"/>
        <v>0</v>
      </c>
    </row>
    <row r="15" spans="1:10" x14ac:dyDescent="0.35">
      <c r="A15" s="28" t="s">
        <v>2043</v>
      </c>
      <c r="B15" s="29">
        <v>250000</v>
      </c>
      <c r="C15" s="29">
        <v>0</v>
      </c>
      <c r="E15" s="1" t="s">
        <v>867</v>
      </c>
      <c r="F15" s="2">
        <v>250000</v>
      </c>
      <c r="G15" s="2">
        <v>0</v>
      </c>
      <c r="I15" s="33">
        <f t="shared" si="0"/>
        <v>0</v>
      </c>
      <c r="J15" s="33">
        <f t="shared" si="1"/>
        <v>0</v>
      </c>
    </row>
    <row r="16" spans="1:10" x14ac:dyDescent="0.35">
      <c r="A16" s="28" t="s">
        <v>812</v>
      </c>
      <c r="B16" s="29">
        <v>150000</v>
      </c>
      <c r="C16" s="29">
        <v>0</v>
      </c>
      <c r="E16" s="1" t="s">
        <v>812</v>
      </c>
      <c r="F16" s="2">
        <v>150000</v>
      </c>
      <c r="G16" s="2">
        <v>0</v>
      </c>
      <c r="I16" s="33">
        <f t="shared" si="0"/>
        <v>0</v>
      </c>
      <c r="J16" s="33">
        <f t="shared" si="1"/>
        <v>0</v>
      </c>
    </row>
    <row r="17" spans="1:10" x14ac:dyDescent="0.35">
      <c r="A17" s="28" t="s">
        <v>876</v>
      </c>
      <c r="B17" s="29">
        <v>150000</v>
      </c>
      <c r="C17" s="29">
        <v>0</v>
      </c>
      <c r="E17" s="1" t="s">
        <v>876</v>
      </c>
      <c r="F17" s="2">
        <v>150000</v>
      </c>
      <c r="G17" s="2">
        <v>0</v>
      </c>
      <c r="I17" s="33">
        <f t="shared" ref="I17:I23" si="2">B17-F17</f>
        <v>0</v>
      </c>
      <c r="J17" s="33">
        <f t="shared" ref="J17:J23" si="3">C17-G17</f>
        <v>0</v>
      </c>
    </row>
    <row r="18" spans="1:10" x14ac:dyDescent="0.35">
      <c r="A18" s="28" t="s">
        <v>1906</v>
      </c>
      <c r="B18" s="31">
        <v>100000</v>
      </c>
      <c r="C18" s="31">
        <v>1500000</v>
      </c>
      <c r="E18" s="1" t="s">
        <v>1906</v>
      </c>
      <c r="F18" s="2">
        <v>100000</v>
      </c>
      <c r="G18" s="2">
        <v>1500000</v>
      </c>
      <c r="I18" s="33">
        <f t="shared" si="2"/>
        <v>0</v>
      </c>
      <c r="J18" s="33">
        <f t="shared" si="3"/>
        <v>0</v>
      </c>
    </row>
    <row r="19" spans="1:10" x14ac:dyDescent="0.35">
      <c r="A19" s="28" t="s">
        <v>1199</v>
      </c>
      <c r="B19" s="29">
        <v>150000</v>
      </c>
      <c r="C19" s="29">
        <v>0</v>
      </c>
      <c r="E19" s="1" t="s">
        <v>1199</v>
      </c>
      <c r="F19" s="2">
        <v>150000</v>
      </c>
      <c r="G19" s="2">
        <v>0</v>
      </c>
      <c r="I19" s="33">
        <f t="shared" si="2"/>
        <v>0</v>
      </c>
      <c r="J19" s="33">
        <f t="shared" si="3"/>
        <v>0</v>
      </c>
    </row>
    <row r="20" spans="1:10" x14ac:dyDescent="0.35">
      <c r="A20" s="28" t="s">
        <v>2032</v>
      </c>
      <c r="B20" s="29">
        <v>500000</v>
      </c>
      <c r="C20" s="29">
        <v>0</v>
      </c>
      <c r="E20" s="1" t="s">
        <v>231</v>
      </c>
      <c r="F20" s="2">
        <v>500000</v>
      </c>
      <c r="G20" s="2">
        <v>0</v>
      </c>
      <c r="I20" s="33">
        <f t="shared" si="2"/>
        <v>0</v>
      </c>
      <c r="J20" s="33">
        <f t="shared" si="3"/>
        <v>0</v>
      </c>
    </row>
    <row r="21" spans="1:10" x14ac:dyDescent="0.35">
      <c r="A21" s="28" t="s">
        <v>991</v>
      </c>
      <c r="B21" s="29">
        <v>150000</v>
      </c>
      <c r="C21" s="29">
        <v>0</v>
      </c>
      <c r="E21" s="1" t="s">
        <v>991</v>
      </c>
      <c r="F21" s="2">
        <v>150000</v>
      </c>
      <c r="G21" s="2">
        <v>0</v>
      </c>
      <c r="I21" s="33">
        <f t="shared" si="2"/>
        <v>0</v>
      </c>
      <c r="J21" s="33">
        <f t="shared" si="3"/>
        <v>0</v>
      </c>
    </row>
    <row r="22" spans="1:10" x14ac:dyDescent="0.35">
      <c r="A22" s="28" t="s">
        <v>2033</v>
      </c>
      <c r="B22" s="29">
        <v>150000</v>
      </c>
      <c r="C22" s="29">
        <v>0</v>
      </c>
      <c r="E22" s="1" t="s">
        <v>772</v>
      </c>
      <c r="F22" s="2">
        <v>150000</v>
      </c>
      <c r="G22" s="2">
        <v>0</v>
      </c>
      <c r="I22" s="33">
        <f t="shared" si="2"/>
        <v>0</v>
      </c>
      <c r="J22" s="33">
        <f t="shared" si="3"/>
        <v>0</v>
      </c>
    </row>
    <row r="23" spans="1:10" x14ac:dyDescent="0.35">
      <c r="A23" s="28" t="s">
        <v>2038</v>
      </c>
      <c r="B23" s="29">
        <v>150000</v>
      </c>
      <c r="C23" s="29">
        <v>1650000</v>
      </c>
      <c r="E23" s="1" t="s">
        <v>1046</v>
      </c>
      <c r="F23" s="2">
        <v>150000</v>
      </c>
      <c r="G23" s="2">
        <v>1650000</v>
      </c>
      <c r="I23" s="33">
        <f t="shared" si="2"/>
        <v>0</v>
      </c>
      <c r="J23" s="33">
        <f t="shared" si="3"/>
        <v>0</v>
      </c>
    </row>
    <row r="24" spans="1:10" x14ac:dyDescent="0.35">
      <c r="A24" s="28" t="s">
        <v>2029</v>
      </c>
      <c r="B24" s="29">
        <v>250000</v>
      </c>
      <c r="C24" s="29">
        <v>3563351</v>
      </c>
      <c r="E24" s="1" t="s">
        <v>1207</v>
      </c>
      <c r="F24" s="2">
        <v>250000</v>
      </c>
      <c r="G24" s="2">
        <v>3563351</v>
      </c>
      <c r="I24" s="33">
        <f t="shared" ref="I24:I42" si="4">B24-F24</f>
        <v>0</v>
      </c>
      <c r="J24" s="33">
        <f t="shared" ref="J24:J42" si="5">C24-G24</f>
        <v>0</v>
      </c>
    </row>
    <row r="25" spans="1:10" x14ac:dyDescent="0.35">
      <c r="A25" s="28" t="s">
        <v>2039</v>
      </c>
      <c r="B25" s="29">
        <v>250000</v>
      </c>
      <c r="C25" s="29">
        <v>9525267</v>
      </c>
      <c r="E25" s="1" t="s">
        <v>664</v>
      </c>
      <c r="F25" s="2">
        <v>250000</v>
      </c>
      <c r="G25" s="2">
        <v>9525267</v>
      </c>
      <c r="I25" s="33">
        <f t="shared" si="4"/>
        <v>0</v>
      </c>
      <c r="J25" s="33">
        <f t="shared" si="5"/>
        <v>0</v>
      </c>
    </row>
    <row r="26" spans="1:10" x14ac:dyDescent="0.35">
      <c r="A26" s="32" t="s">
        <v>782</v>
      </c>
      <c r="B26" s="29">
        <v>100000</v>
      </c>
      <c r="C26" s="29">
        <v>0</v>
      </c>
      <c r="E26" s="1" t="s">
        <v>782</v>
      </c>
      <c r="F26" s="2">
        <v>100000</v>
      </c>
      <c r="G26" s="2">
        <v>0</v>
      </c>
      <c r="I26" s="33">
        <f t="shared" si="4"/>
        <v>0</v>
      </c>
      <c r="J26" s="33">
        <f t="shared" si="5"/>
        <v>0</v>
      </c>
    </row>
    <row r="27" spans="1:10" x14ac:dyDescent="0.35">
      <c r="A27" s="32"/>
      <c r="B27" s="29"/>
      <c r="C27" s="29"/>
      <c r="E27" s="1" t="s">
        <v>1054</v>
      </c>
      <c r="F27" s="2">
        <v>150000</v>
      </c>
      <c r="G27" s="2">
        <v>0</v>
      </c>
      <c r="I27" s="33">
        <f t="shared" si="4"/>
        <v>-150000</v>
      </c>
      <c r="J27" s="33">
        <f t="shared" si="5"/>
        <v>0</v>
      </c>
    </row>
    <row r="28" spans="1:10" x14ac:dyDescent="0.35">
      <c r="A28" s="28" t="s">
        <v>1221</v>
      </c>
      <c r="B28" s="29">
        <v>150000</v>
      </c>
      <c r="C28" s="29">
        <v>0</v>
      </c>
      <c r="E28" s="1" t="s">
        <v>1221</v>
      </c>
      <c r="F28" s="2">
        <v>150000</v>
      </c>
      <c r="G28" s="2">
        <v>0</v>
      </c>
      <c r="I28" s="33">
        <f t="shared" si="4"/>
        <v>0</v>
      </c>
      <c r="J28" s="33">
        <f t="shared" si="5"/>
        <v>0</v>
      </c>
    </row>
    <row r="29" spans="1:10" x14ac:dyDescent="0.35">
      <c r="A29" s="28" t="s">
        <v>2031</v>
      </c>
      <c r="B29" s="29">
        <v>250000</v>
      </c>
      <c r="C29" s="29">
        <v>0</v>
      </c>
      <c r="E29" s="1" t="s">
        <v>1203</v>
      </c>
      <c r="F29" s="2">
        <v>250000</v>
      </c>
      <c r="G29" s="2">
        <v>0</v>
      </c>
      <c r="I29" s="33">
        <f t="shared" si="4"/>
        <v>0</v>
      </c>
      <c r="J29" s="33">
        <f t="shared" si="5"/>
        <v>0</v>
      </c>
    </row>
    <row r="30" spans="1:10" x14ac:dyDescent="0.35">
      <c r="A30" s="28" t="s">
        <v>662</v>
      </c>
      <c r="B30" s="29">
        <v>150000</v>
      </c>
      <c r="C30" s="29">
        <v>1354167</v>
      </c>
      <c r="E30" s="1" t="s">
        <v>662</v>
      </c>
      <c r="F30" s="2">
        <v>150000</v>
      </c>
      <c r="G30" s="2">
        <v>1354167</v>
      </c>
      <c r="I30" s="33">
        <f t="shared" si="4"/>
        <v>0</v>
      </c>
      <c r="J30" s="33">
        <f t="shared" si="5"/>
        <v>0</v>
      </c>
    </row>
    <row r="31" spans="1:10" x14ac:dyDescent="0.35">
      <c r="A31" s="28" t="s">
        <v>2035</v>
      </c>
      <c r="B31" s="29">
        <v>150000</v>
      </c>
      <c r="C31" s="29">
        <v>13910000</v>
      </c>
      <c r="E31" s="1" t="s">
        <v>838</v>
      </c>
      <c r="F31" s="2">
        <v>150000</v>
      </c>
      <c r="G31" s="2">
        <v>13910000</v>
      </c>
      <c r="I31" s="33">
        <f t="shared" si="4"/>
        <v>0</v>
      </c>
      <c r="J31" s="33">
        <f t="shared" si="5"/>
        <v>0</v>
      </c>
    </row>
    <row r="32" spans="1:10" x14ac:dyDescent="0.35">
      <c r="A32" s="28" t="s">
        <v>2040</v>
      </c>
      <c r="B32" s="29">
        <v>150000</v>
      </c>
      <c r="C32" s="29">
        <v>0</v>
      </c>
      <c r="E32" s="1" t="s">
        <v>769</v>
      </c>
      <c r="F32" s="2">
        <v>150000</v>
      </c>
      <c r="G32" s="2">
        <v>0</v>
      </c>
      <c r="I32" s="33">
        <f t="shared" si="4"/>
        <v>0</v>
      </c>
      <c r="J32" s="33">
        <f t="shared" si="5"/>
        <v>0</v>
      </c>
    </row>
    <row r="33" spans="1:10" x14ac:dyDescent="0.35">
      <c r="A33" s="28" t="s">
        <v>1214</v>
      </c>
      <c r="B33" s="29">
        <v>150000</v>
      </c>
      <c r="C33" s="29">
        <v>2500000</v>
      </c>
      <c r="E33" s="1" t="s">
        <v>1214</v>
      </c>
      <c r="F33" s="2">
        <v>150000</v>
      </c>
      <c r="G33" s="2">
        <v>2500000</v>
      </c>
      <c r="I33" s="33">
        <f t="shared" si="4"/>
        <v>0</v>
      </c>
      <c r="J33" s="33">
        <f t="shared" si="5"/>
        <v>0</v>
      </c>
    </row>
    <row r="34" spans="1:10" x14ac:dyDescent="0.35">
      <c r="A34" s="28" t="s">
        <v>860</v>
      </c>
      <c r="B34" s="29">
        <v>350000</v>
      </c>
      <c r="C34" s="29">
        <v>0</v>
      </c>
      <c r="E34" s="1" t="s">
        <v>860</v>
      </c>
      <c r="F34" s="2">
        <v>350000</v>
      </c>
      <c r="G34" s="2">
        <v>0</v>
      </c>
      <c r="I34" s="33">
        <f t="shared" si="4"/>
        <v>0</v>
      </c>
      <c r="J34" s="33">
        <f t="shared" si="5"/>
        <v>0</v>
      </c>
    </row>
    <row r="35" spans="1:10" x14ac:dyDescent="0.35">
      <c r="A35" s="28" t="s">
        <v>2030</v>
      </c>
      <c r="B35" s="29">
        <v>350000</v>
      </c>
      <c r="C35" s="29">
        <v>1733796</v>
      </c>
      <c r="E35" s="1" t="s">
        <v>1196</v>
      </c>
      <c r="F35" s="2">
        <v>350000</v>
      </c>
      <c r="G35" s="2">
        <v>1733796</v>
      </c>
      <c r="I35" s="33">
        <f t="shared" si="4"/>
        <v>0</v>
      </c>
      <c r="J35" s="33">
        <f t="shared" si="5"/>
        <v>0</v>
      </c>
    </row>
    <row r="36" spans="1:10" x14ac:dyDescent="0.35">
      <c r="A36" s="28" t="s">
        <v>659</v>
      </c>
      <c r="B36" s="29">
        <v>150000</v>
      </c>
      <c r="C36" s="29">
        <v>0</v>
      </c>
      <c r="E36" s="1" t="s">
        <v>659</v>
      </c>
      <c r="F36" s="2">
        <v>150000</v>
      </c>
      <c r="G36" s="2">
        <v>0</v>
      </c>
      <c r="I36" s="33">
        <f t="shared" si="4"/>
        <v>0</v>
      </c>
      <c r="J36" s="33">
        <f t="shared" si="5"/>
        <v>0</v>
      </c>
    </row>
    <row r="37" spans="1:10" x14ac:dyDescent="0.35">
      <c r="A37" s="30" t="s">
        <v>863</v>
      </c>
      <c r="B37" s="29">
        <v>150000</v>
      </c>
      <c r="C37" s="29">
        <v>0</v>
      </c>
      <c r="E37" s="1" t="s">
        <v>863</v>
      </c>
      <c r="F37" s="2">
        <v>150000</v>
      </c>
      <c r="G37" s="2">
        <v>0</v>
      </c>
      <c r="I37" s="33">
        <f t="shared" si="4"/>
        <v>0</v>
      </c>
      <c r="J37" s="33">
        <f t="shared" si="5"/>
        <v>0</v>
      </c>
    </row>
    <row r="38" spans="1:10" x14ac:dyDescent="0.35">
      <c r="A38" s="30" t="s">
        <v>2034</v>
      </c>
      <c r="B38" s="29">
        <v>350000</v>
      </c>
      <c r="C38" s="29">
        <v>0</v>
      </c>
      <c r="E38" s="1" t="s">
        <v>815</v>
      </c>
      <c r="F38" s="2">
        <v>350000</v>
      </c>
      <c r="G38" s="2">
        <v>0</v>
      </c>
      <c r="I38" s="33">
        <f t="shared" si="4"/>
        <v>0</v>
      </c>
      <c r="J38" s="33">
        <f t="shared" si="5"/>
        <v>0</v>
      </c>
    </row>
    <row r="39" spans="1:10" x14ac:dyDescent="0.35">
      <c r="A39" s="30" t="s">
        <v>2028</v>
      </c>
      <c r="B39" s="29">
        <v>250000</v>
      </c>
      <c r="C39" s="29">
        <v>2822700</v>
      </c>
      <c r="E39" s="1" t="s">
        <v>870</v>
      </c>
      <c r="F39" s="2">
        <v>250000</v>
      </c>
      <c r="G39" s="2">
        <v>2822700</v>
      </c>
      <c r="I39" s="33">
        <f t="shared" si="4"/>
        <v>0</v>
      </c>
      <c r="J39" s="33">
        <f t="shared" si="5"/>
        <v>0</v>
      </c>
    </row>
    <row r="40" spans="1:10" x14ac:dyDescent="0.35">
      <c r="A40" s="30" t="s">
        <v>2041</v>
      </c>
      <c r="B40" s="29">
        <v>250000</v>
      </c>
      <c r="C40" s="29">
        <v>8019190</v>
      </c>
      <c r="E40" s="1" t="s">
        <v>836</v>
      </c>
      <c r="F40" s="2">
        <v>250000</v>
      </c>
      <c r="G40" s="2">
        <v>8019190</v>
      </c>
      <c r="I40" s="33">
        <f t="shared" si="4"/>
        <v>0</v>
      </c>
      <c r="J40" s="33">
        <f t="shared" si="5"/>
        <v>0</v>
      </c>
    </row>
    <row r="41" spans="1:10" x14ac:dyDescent="0.35">
      <c r="A41" s="32" t="s">
        <v>872</v>
      </c>
      <c r="B41" s="29">
        <v>100000</v>
      </c>
      <c r="C41" s="29">
        <v>0</v>
      </c>
      <c r="E41" s="1" t="s">
        <v>872</v>
      </c>
      <c r="F41" s="2">
        <v>100000</v>
      </c>
      <c r="G41" s="2">
        <v>0</v>
      </c>
      <c r="I41" s="33">
        <f t="shared" si="4"/>
        <v>0</v>
      </c>
      <c r="J41" s="33">
        <f t="shared" si="5"/>
        <v>0</v>
      </c>
    </row>
    <row r="42" spans="1:10" x14ac:dyDescent="0.35">
      <c r="I42" s="33">
        <f t="shared" si="4"/>
        <v>0</v>
      </c>
      <c r="J42" s="33">
        <f t="shared" si="5"/>
        <v>0</v>
      </c>
    </row>
  </sheetData>
  <sortState xmlns:xlrd2="http://schemas.microsoft.com/office/spreadsheetml/2017/richdata2" ref="E4:G41">
    <sortCondition ref="E1:E41"/>
  </sortState>
  <conditionalFormatting sqref="A4:A34 A36:A37 A41">
    <cfRule type="expression" dxfId="0" priority="2" stopIfTrue="1">
      <formula>AND(COUNTIF($E$476:$E$65535, A4)+COUNTIF($E$471:$E$474, A4)+COUNTIF($E$1:$E$211, A4)+COUNTIF($E$215:$E$215, A4)+COUNTIF($E$302:$E$305, A4)+COUNTIF($E$447:$E$450, A4)+COUNTIF($E$232:$E$244, A4)+COUNTIF($E$294:$E$300, A4)+COUNTIF($E$452:$E$454, A4)+COUNTIF($E$457:$E$460, A4)&gt;1,NOT(ISBLANK(A4)))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9306-D40B-414B-BC5B-120C4EA817DB}">
  <dimension ref="A2:N30"/>
  <sheetViews>
    <sheetView workbookViewId="0">
      <selection activeCell="B22" sqref="B22"/>
    </sheetView>
  </sheetViews>
  <sheetFormatPr defaultRowHeight="14.5" x14ac:dyDescent="0.35"/>
  <cols>
    <col min="1" max="1" width="77.54296875" bestFit="1" customWidth="1"/>
    <col min="2" max="2" width="13.453125" style="10" bestFit="1" customWidth="1"/>
    <col min="3" max="3" width="40.54296875" style="10" customWidth="1"/>
    <col min="4" max="4" width="7.1796875" customWidth="1"/>
    <col min="7" max="7" width="9.81640625" bestFit="1" customWidth="1"/>
    <col min="9" max="11" width="12.1796875" bestFit="1" customWidth="1"/>
    <col min="12" max="12" width="12.54296875" bestFit="1" customWidth="1"/>
    <col min="13" max="13" width="13.453125" bestFit="1" customWidth="1"/>
    <col min="14" max="14" width="12.1796875" bestFit="1" customWidth="1"/>
  </cols>
  <sheetData>
    <row r="2" spans="1:13" x14ac:dyDescent="0.35">
      <c r="A2" s="8" t="s">
        <v>1998</v>
      </c>
      <c r="B2" s="9"/>
      <c r="C2" s="9"/>
      <c r="D2" s="8"/>
    </row>
    <row r="3" spans="1:13" x14ac:dyDescent="0.35">
      <c r="A3" t="s">
        <v>1999</v>
      </c>
    </row>
    <row r="4" spans="1:13" x14ac:dyDescent="0.35">
      <c r="A4" t="s">
        <v>2000</v>
      </c>
      <c r="B4" s="11">
        <f>ALL!K776</f>
        <v>38500000</v>
      </c>
      <c r="E4" s="12"/>
    </row>
    <row r="5" spans="1:13" x14ac:dyDescent="0.35">
      <c r="A5" t="s">
        <v>2001</v>
      </c>
      <c r="B5" s="11">
        <f>ALL!K777</f>
        <v>1500000</v>
      </c>
      <c r="E5" s="12"/>
    </row>
    <row r="8" spans="1:13" x14ac:dyDescent="0.35">
      <c r="A8" s="8" t="s">
        <v>2002</v>
      </c>
      <c r="B8" s="13">
        <f>B4+B5</f>
        <v>40000000</v>
      </c>
    </row>
    <row r="9" spans="1:13" x14ac:dyDescent="0.35">
      <c r="J9" s="12"/>
    </row>
    <row r="10" spans="1:13" x14ac:dyDescent="0.35">
      <c r="A10" s="8" t="s">
        <v>2013</v>
      </c>
      <c r="C10" s="11">
        <f>ALL!L780</f>
        <v>301177781</v>
      </c>
      <c r="J10" s="9"/>
      <c r="K10" s="12">
        <f>B8+B22</f>
        <v>69750000</v>
      </c>
      <c r="L10" s="12" t="s">
        <v>2003</v>
      </c>
    </row>
    <row r="11" spans="1:13" x14ac:dyDescent="0.35">
      <c r="K11" s="12">
        <f>C12+C29</f>
        <v>403747672</v>
      </c>
      <c r="L11" s="12" t="s">
        <v>2004</v>
      </c>
    </row>
    <row r="12" spans="1:13" x14ac:dyDescent="0.35">
      <c r="A12" s="8" t="s">
        <v>2005</v>
      </c>
      <c r="B12" s="9"/>
      <c r="C12" s="13">
        <f>C10</f>
        <v>301177781</v>
      </c>
      <c r="J12" s="12">
        <f>J10-J9</f>
        <v>0</v>
      </c>
      <c r="M12" s="12"/>
    </row>
    <row r="13" spans="1:13" x14ac:dyDescent="0.35">
      <c r="A13" s="14" t="s">
        <v>2006</v>
      </c>
      <c r="B13" s="15"/>
      <c r="C13" s="15">
        <f>B8+C10</f>
        <v>341177781</v>
      </c>
      <c r="M13" s="12"/>
    </row>
    <row r="14" spans="1:13" x14ac:dyDescent="0.35">
      <c r="G14" s="12"/>
      <c r="I14" s="16">
        <f>C13+C30</f>
        <v>473497672</v>
      </c>
      <c r="J14" t="s">
        <v>2007</v>
      </c>
      <c r="M14" s="12"/>
    </row>
    <row r="16" spans="1:13" x14ac:dyDescent="0.35">
      <c r="A16" s="8" t="s">
        <v>2016</v>
      </c>
      <c r="J16" s="12"/>
    </row>
    <row r="17" spans="1:14" x14ac:dyDescent="0.35">
      <c r="A17" t="s">
        <v>2015</v>
      </c>
      <c r="B17" s="17">
        <v>5800000</v>
      </c>
      <c r="J17" s="9"/>
    </row>
    <row r="18" spans="1:14" x14ac:dyDescent="0.35">
      <c r="A18" t="s">
        <v>2019</v>
      </c>
      <c r="B18" s="17">
        <v>2700000</v>
      </c>
    </row>
    <row r="19" spans="1:14" x14ac:dyDescent="0.35">
      <c r="A19" t="s">
        <v>2023</v>
      </c>
      <c r="B19" s="17">
        <v>2250000</v>
      </c>
      <c r="J19" s="12"/>
    </row>
    <row r="20" spans="1:14" x14ac:dyDescent="0.35">
      <c r="A20" t="s">
        <v>2008</v>
      </c>
      <c r="B20" s="10">
        <v>2300000</v>
      </c>
      <c r="N20" s="12"/>
    </row>
    <row r="21" spans="1:14" x14ac:dyDescent="0.35">
      <c r="A21" t="s">
        <v>2009</v>
      </c>
      <c r="B21" s="10">
        <v>16700000</v>
      </c>
    </row>
    <row r="22" spans="1:14" x14ac:dyDescent="0.35">
      <c r="B22" s="13">
        <f>SUM(B17:B21)</f>
        <v>29750000</v>
      </c>
    </row>
    <row r="23" spans="1:14" x14ac:dyDescent="0.35">
      <c r="A23" s="8" t="s">
        <v>2017</v>
      </c>
      <c r="J23" s="12"/>
    </row>
    <row r="24" spans="1:14" x14ac:dyDescent="0.35">
      <c r="A24" t="s">
        <v>2018</v>
      </c>
      <c r="B24" s="10">
        <v>39937012</v>
      </c>
      <c r="C24" s="10" t="s">
        <v>2025</v>
      </c>
      <c r="D24" t="s">
        <v>2026</v>
      </c>
      <c r="J24" s="12"/>
      <c r="K24" s="12"/>
    </row>
    <row r="25" spans="1:14" x14ac:dyDescent="0.35">
      <c r="A25" t="s">
        <v>2020</v>
      </c>
      <c r="B25" s="10">
        <v>16407732</v>
      </c>
      <c r="C25" s="10" t="s">
        <v>2021</v>
      </c>
      <c r="D25" t="s">
        <v>2022</v>
      </c>
    </row>
    <row r="26" spans="1:14" x14ac:dyDescent="0.35">
      <c r="A26" t="s">
        <v>2024</v>
      </c>
      <c r="B26" s="10">
        <v>4722725</v>
      </c>
    </row>
    <row r="27" spans="1:14" x14ac:dyDescent="0.35">
      <c r="A27" t="s">
        <v>2010</v>
      </c>
      <c r="B27" s="10">
        <v>16268894</v>
      </c>
      <c r="J27" s="12"/>
    </row>
    <row r="28" spans="1:14" x14ac:dyDescent="0.35">
      <c r="A28" t="s">
        <v>2011</v>
      </c>
      <c r="B28" s="10">
        <v>25233528</v>
      </c>
    </row>
    <row r="29" spans="1:14" x14ac:dyDescent="0.35">
      <c r="C29" s="13">
        <f>SUM(B24:B28)</f>
        <v>102569891</v>
      </c>
    </row>
    <row r="30" spans="1:14" x14ac:dyDescent="0.35">
      <c r="A30" s="14" t="s">
        <v>2012</v>
      </c>
      <c r="B30" s="15"/>
      <c r="C30" s="15">
        <f>C29+B22</f>
        <v>132319891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</vt:lpstr>
      <vt:lpstr>PUSAT</vt:lpstr>
      <vt:lpstr>IDS</vt:lpstr>
      <vt:lpstr>CABANG</vt:lpstr>
      <vt:lpstr>Rekon Cabang 2</vt:lpstr>
      <vt:lpstr>Rek. Cab Selindo</vt:lpstr>
      <vt:lpstr>Rek. Pusat 1</vt:lpstr>
      <vt:lpstr>Rek. Pusat</vt:lpstr>
      <vt:lpstr>Rek. Pusat 3</vt:lpstr>
      <vt:lpstr>Rek. IDS</vt:lpstr>
      <vt:lpstr>RINCIAN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Apriansyah</dc:creator>
  <cp:lastModifiedBy>Vivi Hazlinda</cp:lastModifiedBy>
  <cp:lastPrinted>2026-01-06T10:46:22Z</cp:lastPrinted>
  <dcterms:created xsi:type="dcterms:W3CDTF">2025-12-16T03:39:40Z</dcterms:created>
  <dcterms:modified xsi:type="dcterms:W3CDTF">2026-01-30T03:45:01Z</dcterms:modified>
</cp:coreProperties>
</file>